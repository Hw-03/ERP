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매칭_작업안내" sheetId="1" state="visible" r:id="rId1"/>
    <sheet xmlns:r="http://schemas.openxmlformats.org/officeDocument/2006/relationships" name="튜브파트_재고현황" sheetId="2" state="visible" r:id="rId2"/>
    <sheet xmlns:r="http://schemas.openxmlformats.org/officeDocument/2006/relationships" name="고압진공_재고현황" sheetId="3" state="visible" r:id="rId3"/>
    <sheet xmlns:r="http://schemas.openxmlformats.org/officeDocument/2006/relationships" name="조립자재_재고현황" sheetId="4" state="visible" r:id="rId4"/>
    <sheet xmlns:r="http://schemas.openxmlformats.org/officeDocument/2006/relationships" name="조립완제품_재고현황" sheetId="5" state="visible" r:id="rId5"/>
    <sheet xmlns:r="http://schemas.openxmlformats.org/officeDocument/2006/relationships" name="창고_재고현황" sheetId="6" state="visible" r:id="rId6"/>
    <sheet xmlns:r="http://schemas.openxmlformats.org/officeDocument/2006/relationships" name="마스터_품목" sheetId="7" state="visible" r:id="rId7"/>
    <sheet xmlns:r="http://schemas.openxmlformats.org/officeDocument/2006/relationships" name="삭제_이력" sheetId="8" state="visible" r:id="rId8"/>
  </sheets>
  <definedNames>
    <definedName name="_xlnm._FilterDatabase" localSheetId="1" hidden="1">'튜브파트_재고현황'!$A$1:$S$20</definedName>
    <definedName name="_xlnm._FilterDatabase" localSheetId="2" hidden="1">'고압진공_재고현황'!$A$1:$S$165</definedName>
    <definedName name="_xlnm._FilterDatabase" localSheetId="3" hidden="1">'조립자재_재고현황'!$A$1:$S$512</definedName>
    <definedName name="_xlnm._FilterDatabase" localSheetId="4" hidden="1">'조립완제품_재고현황'!$A$1:$S$520</definedName>
    <definedName name="_xlnm._FilterDatabase" localSheetId="5" hidden="1">'창고_재고현황'!$A$1:$T$597</definedName>
    <definedName name="_xlnm._FilterDatabase" localSheetId="6" hidden="1">'마스터_품목'!$A$1:$O$851</definedName>
    <definedName name="_xlnm._FilterDatabase" localSheetId="7" hidden="1">'삭제_이력'!$A$1:$J$88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36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C55A11"/>
      <sz val="14"/>
    </font>
    <font>
      <name val="맑은 고딕"/>
      <charset val="129"/>
      <family val="3"/>
      <b val="1"/>
      <color rgb="FF2F5496"/>
      <sz val="14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C55A11"/>
      <sz val="12"/>
    </font>
    <font>
      <name val="맑은 고딕"/>
      <charset val="129"/>
      <family val="3"/>
      <b val="1"/>
      <color rgb="FF2F5496"/>
      <sz val="12"/>
    </font>
    <font>
      <name val="맑은 고딕"/>
      <charset val="129"/>
      <family val="3"/>
      <b val="1"/>
      <color rgb="FF2F5496"/>
      <sz val="16"/>
    </font>
    <font>
      <name val="맑은 고딕"/>
      <charset val="129"/>
      <family val="3"/>
      <b val="1"/>
      <color rgb="FFC55A11"/>
      <sz val="12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b val="1"/>
      <color rgb="FF2F5496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2F5496"/>
      <sz val="12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808080"/>
      <sz val="9"/>
    </font>
    <font>
      <name val="맑은 고딕"/>
      <charset val="129"/>
      <family val="3"/>
      <b val="1"/>
      <color rgb="FF2F5496"/>
      <sz val="10"/>
    </font>
    <font>
      <name val="맑은 고딕"/>
      <charset val="129"/>
      <family val="3"/>
      <b val="1"/>
      <color rgb="FF0563C1"/>
      <sz val="10"/>
      <u val="single"/>
    </font>
    <font>
      <name val="맑은 고딕"/>
      <charset val="129"/>
      <family val="3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0563C1"/>
      <sz val="10"/>
      <u val="single"/>
    </font>
    <font>
      <name val="맑은 고딕"/>
      <charset val="129"/>
      <family val="3"/>
      <color rgb="FF808080"/>
      <sz val="9"/>
    </font>
    <font>
      <name val="맑은 고딕"/>
      <charset val="129"/>
      <family val="3"/>
      <b val="1"/>
      <color rgb="FFFFFFFF"/>
      <sz val="10"/>
    </font>
    <font>
      <b val="1"/>
      <color rgb="00FFFFFF"/>
      <sz val="11"/>
    </font>
    <font>
      <sz val="10"/>
    </font>
  </fonts>
  <fills count="66">
    <fill>
      <patternFill/>
    </fill>
    <fill>
      <patternFill patternType="gray125"/>
    </fill>
    <fill>
      <patternFill patternType="solid">
        <fgColor rgb="FFEBF3FB"/>
      </patternFill>
    </fill>
    <fill>
      <patternFill patternType="solid">
        <fgColor rgb="FF2F5496"/>
      </patternFill>
    </fill>
    <fill>
      <patternFill patternType="solid">
        <fgColor rgb="FFC55A11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2F5496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BF8F00"/>
      </patternFill>
    </fill>
    <fill>
      <patternFill patternType="solid">
        <fgColor rgb="FFED7D31"/>
      </patternFill>
    </fill>
    <fill>
      <patternFill patternType="solid">
        <fgColor rgb="FF7F7F7F"/>
      </patternFill>
    </fill>
    <fill>
      <patternFill patternType="solid">
        <fgColor rgb="FF8064A2"/>
      </patternFill>
    </fill>
    <fill>
      <patternFill patternType="solid">
        <fgColor rgb="FF2F5496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8F8F8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8F8F8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2F5496"/>
      </patternFill>
    </fill>
    <fill>
      <patternFill patternType="solid">
        <fgColor rgb="FF595959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80808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A6A6A6"/>
      </patternFill>
    </fill>
    <fill>
      <patternFill patternType="solid">
        <fgColor rgb="FFF8F8F8"/>
      </patternFill>
    </fill>
    <fill>
      <patternFill patternType="solid">
        <fgColor rgb="FFE2EFDA"/>
      </patternFill>
    </fill>
    <fill>
      <patternFill patternType="solid">
        <fgColor rgb="FF0563C1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F8F8F8"/>
      </patternFill>
    </fill>
    <fill>
      <patternFill patternType="solid">
        <fgColor rgb="FF0563C1"/>
      </patternFill>
    </fill>
    <fill>
      <patternFill patternType="solid">
        <fgColor rgb="FFA6A6A6"/>
      </patternFill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10"/>
  </cellStyleXfs>
  <cellXfs count="161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9" fillId="9" borderId="5" applyAlignment="1" pivotButton="0" quotePrefix="0" xfId="0">
      <alignment horizontal="center" vertical="center" wrapText="1"/>
    </xf>
    <xf numFmtId="0" fontId="9" fillId="10" borderId="5" applyAlignment="1" pivotButton="0" quotePrefix="0" xfId="0">
      <alignment horizontal="center" vertical="center" wrapText="1"/>
    </xf>
    <xf numFmtId="0" fontId="9" fillId="11" borderId="5" applyAlignment="1" pivotButton="0" quotePrefix="0" xfId="0">
      <alignment horizontal="center" vertical="center" wrapText="1"/>
    </xf>
    <xf numFmtId="0" fontId="9" fillId="12" borderId="5" applyAlignment="1" pivotButton="0" quotePrefix="0" xfId="0">
      <alignment horizontal="center" vertical="center" wrapText="1"/>
    </xf>
    <xf numFmtId="0" fontId="9" fillId="13" borderId="5" applyAlignment="1" pivotButton="0" quotePrefix="0" xfId="0">
      <alignment horizontal="center" vertical="center" wrapText="1"/>
    </xf>
    <xf numFmtId="0" fontId="9" fillId="14" borderId="5" applyAlignment="1" pivotButton="0" quotePrefix="0" xfId="0">
      <alignment horizontal="center" vertical="center" wrapText="1"/>
    </xf>
    <xf numFmtId="0" fontId="9" fillId="15" borderId="5" applyAlignment="1" pivotButton="0" quotePrefix="0" xfId="0">
      <alignment horizontal="center" vertical="center" wrapText="1"/>
    </xf>
    <xf numFmtId="0" fontId="10" fillId="16" borderId="5" applyAlignment="1" pivotButton="0" quotePrefix="0" xfId="0">
      <alignment horizontal="center" vertical="center" wrapText="1"/>
    </xf>
    <xf numFmtId="0" fontId="10" fillId="17" borderId="5" applyAlignment="1" pivotButton="0" quotePrefix="0" xfId="0">
      <alignment horizontal="center" vertical="center" wrapText="1"/>
    </xf>
    <xf numFmtId="0" fontId="10" fillId="18" borderId="5" applyAlignment="1" pivotButton="0" quotePrefix="0" xfId="0">
      <alignment horizontal="center" vertical="center" wrapText="1"/>
    </xf>
    <xf numFmtId="0" fontId="10" fillId="19" borderId="5" applyAlignment="1" pivotButton="0" quotePrefix="0" xfId="0">
      <alignment horizontal="center" vertical="center" wrapText="1"/>
    </xf>
    <xf numFmtId="0" fontId="10" fillId="20" borderId="5" applyAlignment="1" pivotButton="0" quotePrefix="0" xfId="0">
      <alignment horizontal="center" vertical="center" wrapText="1"/>
    </xf>
    <xf numFmtId="0" fontId="10" fillId="21" borderId="5" applyAlignment="1" pivotButton="0" quotePrefix="0" xfId="0">
      <alignment horizontal="center" vertical="center" wrapText="1"/>
    </xf>
    <xf numFmtId="0" fontId="11" fillId="2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7" fillId="16" borderId="5" applyAlignment="1" pivotButton="0" quotePrefix="0" xfId="0">
      <alignment horizontal="center" vertical="center" wrapText="1"/>
    </xf>
    <xf numFmtId="0" fontId="7" fillId="17" borderId="5" applyAlignment="1" pivotButton="0" quotePrefix="0" xfId="0">
      <alignment horizontal="center" vertical="center" wrapText="1"/>
    </xf>
    <xf numFmtId="0" fontId="7" fillId="19" borderId="5" applyAlignment="1" pivotButton="0" quotePrefix="0" xfId="0">
      <alignment horizontal="center" vertical="center" wrapText="1"/>
    </xf>
    <xf numFmtId="0" fontId="8" fillId="22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6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 wrapText="1"/>
    </xf>
    <xf numFmtId="0" fontId="13" fillId="24" borderId="6" applyAlignment="1" pivotButton="0" quotePrefix="0" xfId="0">
      <alignment horizontal="center" vertical="center" wrapText="1"/>
    </xf>
    <xf numFmtId="0" fontId="13" fillId="25" borderId="6" applyAlignment="1" pivotButton="0" quotePrefix="0" xfId="0">
      <alignment horizontal="center" vertical="center" wrapText="1"/>
    </xf>
    <xf numFmtId="0" fontId="13" fillId="23" borderId="6" applyAlignment="1" pivotButton="0" quotePrefix="0" xfId="0">
      <alignment horizontal="center" vertical="center" wrapText="1"/>
    </xf>
    <xf numFmtId="0" fontId="19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0" fontId="13" fillId="28" borderId="6" applyAlignment="1" pivotButton="0" quotePrefix="0" xfId="0">
      <alignment horizontal="center" vertical="center" wrapText="1"/>
    </xf>
    <xf numFmtId="0" fontId="13" fillId="29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6" fillId="11" borderId="5" applyAlignment="1" pivotButton="0" quotePrefix="0" xfId="0">
      <alignment horizontal="center" vertical="center" wrapText="1"/>
    </xf>
    <xf numFmtId="0" fontId="20" fillId="30" borderId="7" applyAlignment="1" pivotButton="0" quotePrefix="0" xfId="0">
      <alignment horizontal="center" vertical="center" wrapText="1"/>
    </xf>
    <xf numFmtId="0" fontId="20" fillId="32" borderId="7" applyAlignment="1" pivotButton="0" quotePrefix="0" xfId="0">
      <alignment horizontal="center" vertical="center" wrapText="1"/>
    </xf>
    <xf numFmtId="0" fontId="20" fillId="34" borderId="7" applyAlignment="1" pivotButton="0" quotePrefix="0" xfId="0">
      <alignment horizontal="center" vertical="center" wrapText="1"/>
    </xf>
    <xf numFmtId="0" fontId="20" fillId="31" borderId="7" applyAlignment="1" pivotButton="0" quotePrefix="0" xfId="0">
      <alignment horizontal="center" vertical="center" wrapText="1"/>
    </xf>
    <xf numFmtId="0" fontId="22" fillId="35" borderId="7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2" fillId="36" borderId="7" applyAlignment="1" pivotButton="0" quotePrefix="0" xfId="0">
      <alignment horizontal="center" vertical="center" wrapText="1"/>
    </xf>
    <xf numFmtId="0" fontId="22" fillId="37" borderId="7" applyAlignment="1" pivotButton="0" quotePrefix="0" xfId="0">
      <alignment horizontal="center" vertical="center" wrapText="1"/>
    </xf>
    <xf numFmtId="0" fontId="22" fillId="33" borderId="7" applyAlignment="1" pivotButton="0" quotePrefix="0" xfId="0">
      <alignment horizontal="center" vertical="center" wrapText="1"/>
    </xf>
    <xf numFmtId="0" fontId="22" fillId="38" borderId="7" applyAlignment="1" pivotButton="0" quotePrefix="0" xfId="0">
      <alignment horizontal="center" vertical="center" wrapText="1"/>
    </xf>
    <xf numFmtId="0" fontId="22" fillId="39" borderId="7" applyAlignment="1" pivotButton="0" quotePrefix="0" xfId="0">
      <alignment horizontal="center" vertical="center" wrapText="1"/>
    </xf>
    <xf numFmtId="0" fontId="22" fillId="40" borderId="7" applyAlignment="1" pivotButton="0" quotePrefix="0" xfId="0">
      <alignment horizontal="center" vertical="center" wrapText="1"/>
    </xf>
    <xf numFmtId="0" fontId="22" fillId="41" borderId="7" applyAlignment="1" pivotButton="0" quotePrefix="0" xfId="0">
      <alignment horizontal="center" vertical="center" wrapText="1"/>
    </xf>
    <xf numFmtId="0" fontId="23" fillId="42" borderId="7" applyAlignment="1" pivotButton="0" quotePrefix="0" xfId="0">
      <alignment horizontal="center" vertical="center" wrapText="1"/>
    </xf>
    <xf numFmtId="0" fontId="24" fillId="45" borderId="8" applyAlignment="1" pivotButton="0" quotePrefix="0" xfId="0">
      <alignment horizontal="left" vertical="center" wrapText="1"/>
    </xf>
    <xf numFmtId="0" fontId="22" fillId="39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2" pivotButton="0" quotePrefix="0" xfId="0"/>
    <xf numFmtId="0" fontId="14" fillId="45" borderId="8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center" vertical="center" wrapText="1"/>
    </xf>
    <xf numFmtId="0" fontId="7" fillId="35" borderId="8" applyAlignment="1" pivotButton="0" quotePrefix="0" xfId="0">
      <alignment horizontal="center" vertical="center" wrapText="1"/>
    </xf>
    <xf numFmtId="0" fontId="7" fillId="44" borderId="8" applyAlignment="1" pivotButton="0" quotePrefix="0" xfId="0">
      <alignment horizontal="center" vertical="center" wrapText="1"/>
    </xf>
    <xf numFmtId="0" fontId="7" fillId="36" borderId="8" applyAlignment="1" pivotButton="0" quotePrefix="0" xfId="0">
      <alignment horizontal="center" vertical="center" wrapText="1"/>
    </xf>
    <xf numFmtId="0" fontId="8" fillId="26" borderId="8" applyAlignment="1" pivotButton="0" quotePrefix="0" xfId="0">
      <alignment horizontal="center" vertical="center" wrapText="1"/>
    </xf>
    <xf numFmtId="0" fontId="10" fillId="35" borderId="8" applyAlignment="1" pivotButton="0" quotePrefix="0" xfId="0">
      <alignment horizontal="center" vertical="center" wrapText="1"/>
    </xf>
    <xf numFmtId="0" fontId="10" fillId="44" borderId="8" applyAlignment="1" pivotButton="0" quotePrefix="0" xfId="0">
      <alignment horizontal="center" vertical="center" wrapText="1"/>
    </xf>
    <xf numFmtId="0" fontId="10" fillId="43" borderId="8" applyAlignment="1" pivotButton="0" quotePrefix="0" xfId="0">
      <alignment horizontal="center" vertical="center" wrapText="1"/>
    </xf>
    <xf numFmtId="0" fontId="10" fillId="36" borderId="8" applyAlignment="1" pivotButton="0" quotePrefix="0" xfId="0">
      <alignment horizontal="center" vertical="center" wrapText="1"/>
    </xf>
    <xf numFmtId="0" fontId="10" fillId="40" borderId="8" applyAlignment="1" pivotButton="0" quotePrefix="0" xfId="0">
      <alignment horizontal="center" vertical="center" wrapText="1"/>
    </xf>
    <xf numFmtId="0" fontId="10" fillId="41" borderId="8" applyAlignment="1" pivotButton="0" quotePrefix="0" xfId="0">
      <alignment horizontal="center" vertical="center" wrapText="1"/>
    </xf>
    <xf numFmtId="0" fontId="11" fillId="26" borderId="8" applyAlignment="1" pivotButton="0" quotePrefix="0" xfId="0">
      <alignment horizontal="center" vertical="center" wrapText="1"/>
    </xf>
    <xf numFmtId="0" fontId="25" fillId="46" borderId="9" applyAlignment="1" pivotButton="0" quotePrefix="0" xfId="0">
      <alignment horizontal="center" vertical="center" wrapText="1"/>
    </xf>
    <xf numFmtId="0" fontId="27" fillId="48" borderId="9" applyAlignment="1" pivotButton="0" quotePrefix="0" xfId="0">
      <alignment horizontal="center" vertical="center" wrapText="1"/>
    </xf>
    <xf numFmtId="0" fontId="26" fillId="47" borderId="9" applyAlignment="1" pivotButton="0" quotePrefix="0" xfId="0">
      <alignment horizontal="center" vertical="center" wrapText="1"/>
    </xf>
    <xf numFmtId="0" fontId="25" fillId="49" borderId="9" applyAlignment="1" pivotButton="0" quotePrefix="0" xfId="0">
      <alignment horizontal="center" vertical="center" wrapText="1"/>
    </xf>
    <xf numFmtId="0" fontId="25" fillId="0" borderId="10" applyAlignment="1" pivotButton="0" quotePrefix="0" xfId="0">
      <alignment horizontal="center" vertical="center" wrapText="1"/>
    </xf>
    <xf numFmtId="0" fontId="28" fillId="50" borderId="9" applyAlignment="1" pivotButton="0" quotePrefix="0" xfId="0">
      <alignment horizontal="center" vertical="center" wrapText="1"/>
    </xf>
    <xf numFmtId="0" fontId="26" fillId="0" borderId="10" applyAlignment="1" pivotButton="0" quotePrefix="0" xfId="0">
      <alignment horizontal="center" vertical="center" wrapText="1"/>
    </xf>
    <xf numFmtId="0" fontId="14" fillId="45" borderId="9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29" fillId="0" borderId="11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7" fillId="51" borderId="11" applyAlignment="1" pivotButton="0" quotePrefix="0" xfId="0">
      <alignment horizontal="center" vertical="center" wrapText="1"/>
    </xf>
    <xf numFmtId="0" fontId="7" fillId="52" borderId="11" applyAlignment="1" pivotButton="0" quotePrefix="0" xfId="0">
      <alignment horizontal="center" vertical="center" wrapText="1"/>
    </xf>
    <xf numFmtId="0" fontId="7" fillId="53" borderId="11" applyAlignment="1" pivotButton="0" quotePrefix="0" xfId="0">
      <alignment horizontal="center" vertical="center" wrapText="1"/>
    </xf>
    <xf numFmtId="0" fontId="8" fillId="47" borderId="11" applyAlignment="1" pivotButton="0" quotePrefix="0" xfId="0">
      <alignment horizontal="center" vertical="center" wrapText="1"/>
    </xf>
    <xf numFmtId="0" fontId="13" fillId="51" borderId="11" applyAlignment="1" pivotButton="0" quotePrefix="0" xfId="0">
      <alignment horizontal="center" vertical="center" wrapText="1"/>
    </xf>
    <xf numFmtId="0" fontId="13" fillId="52" borderId="11" applyAlignment="1" pivotButton="0" quotePrefix="0" xfId="0">
      <alignment horizontal="center" vertical="center" wrapText="1"/>
    </xf>
    <xf numFmtId="0" fontId="13" fillId="54" borderId="11" applyAlignment="1" pivotButton="0" quotePrefix="0" xfId="0">
      <alignment horizontal="center" vertical="center" wrapText="1"/>
    </xf>
    <xf numFmtId="0" fontId="13" fillId="53" borderId="11" applyAlignment="1" pivotButton="0" quotePrefix="0" xfId="0">
      <alignment horizontal="center" vertical="center" wrapText="1"/>
    </xf>
    <xf numFmtId="0" fontId="13" fillId="55" borderId="11" applyAlignment="1" pivotButton="0" quotePrefix="0" xfId="0">
      <alignment horizontal="center" vertical="center" wrapText="1"/>
    </xf>
    <xf numFmtId="0" fontId="13" fillId="56" borderId="11" applyAlignment="1" pivotButton="0" quotePrefix="0" xfId="0">
      <alignment horizontal="center" vertical="center" wrapText="1"/>
    </xf>
    <xf numFmtId="0" fontId="19" fillId="47" borderId="11" applyAlignment="1" pivotButton="0" quotePrefix="0" xfId="0">
      <alignment horizontal="center" vertical="center" wrapText="1"/>
    </xf>
    <xf numFmtId="0" fontId="25" fillId="4" borderId="11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left" vertical="center" wrapText="1"/>
    </xf>
    <xf numFmtId="0" fontId="14" fillId="45" borderId="1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1" fillId="57" borderId="9" applyAlignment="1" pivotButton="0" quotePrefix="0" xfId="0">
      <alignment horizontal="center" vertical="center" wrapText="1"/>
    </xf>
    <xf numFmtId="0" fontId="32" fillId="58" borderId="9" applyAlignment="1" pivotButton="0" quotePrefix="0" xfId="0">
      <alignment horizontal="center" vertical="center" wrapText="1"/>
    </xf>
    <xf numFmtId="0" fontId="33" fillId="59" borderId="13" applyAlignment="1" pivotButton="0" quotePrefix="0" xfId="0">
      <alignment horizontal="center" vertical="center" wrapText="1"/>
    </xf>
    <xf numFmtId="0" fontId="33" fillId="60" borderId="13" applyAlignment="1" pivotButton="0" quotePrefix="0" xfId="0">
      <alignment horizontal="center" vertical="center" wrapText="1"/>
    </xf>
    <xf numFmtId="0" fontId="31" fillId="57" borderId="13" applyAlignment="1" pivotButton="0" quotePrefix="0" xfId="0">
      <alignment horizontal="center" vertical="center" wrapText="1"/>
    </xf>
    <xf numFmtId="0" fontId="32" fillId="58" borderId="13" applyAlignment="1" pivotButton="0" quotePrefix="0" xfId="0">
      <alignment horizontal="center" vertical="center" wrapText="1"/>
    </xf>
    <xf numFmtId="0" fontId="13" fillId="54" borderId="12" applyAlignment="1" pivotButton="0" quotePrefix="0" xfId="0">
      <alignment horizontal="center" vertical="center" wrapText="1"/>
    </xf>
    <xf numFmtId="0" fontId="13" fillId="53" borderId="12" applyAlignment="1" pivotButton="0" quotePrefix="0" xfId="0">
      <alignment horizontal="center" vertical="center" wrapText="1"/>
    </xf>
    <xf numFmtId="0" fontId="10" fillId="54" borderId="12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31" fillId="57" borderId="0" applyAlignment="1" pivotButton="0" quotePrefix="0" xfId="0">
      <alignment horizontal="center" vertical="center" wrapText="1"/>
    </xf>
    <xf numFmtId="0" fontId="32" fillId="58" borderId="0" applyAlignment="1" pivotButton="0" quotePrefix="0" xfId="0">
      <alignment horizontal="center" vertical="center" wrapText="1"/>
    </xf>
    <xf numFmtId="0" fontId="10" fillId="56" borderId="11" applyAlignment="1" pivotButton="0" quotePrefix="0" xfId="0">
      <alignment horizontal="center" vertical="center" wrapText="1"/>
    </xf>
    <xf numFmtId="0" fontId="10" fillId="54" borderId="11" applyAlignment="1" pivotButton="0" quotePrefix="0" xfId="0">
      <alignment horizontal="center" vertical="center" wrapText="1"/>
    </xf>
    <xf numFmtId="0" fontId="10" fillId="53" borderId="11" applyAlignment="1" pivotButton="0" quotePrefix="0" xfId="0">
      <alignment horizontal="center" vertical="center" wrapText="1"/>
    </xf>
    <xf numFmtId="0" fontId="10" fillId="55" borderId="11" applyAlignment="1" pivotButton="0" quotePrefix="0" xfId="0">
      <alignment horizontal="center" vertical="center" wrapText="1"/>
    </xf>
    <xf numFmtId="0" fontId="10" fillId="51" borderId="11" applyAlignment="1" pivotButton="0" quotePrefix="0" xfId="0">
      <alignment horizontal="center" vertical="center" wrapText="1"/>
    </xf>
    <xf numFmtId="0" fontId="10" fillId="52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54" borderId="12" applyAlignment="1" pivotButton="0" quotePrefix="0" xfId="0">
      <alignment horizontal="center" vertical="center" wrapText="1"/>
    </xf>
    <xf numFmtId="0" fontId="4" fillId="30" borderId="13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6" fillId="9" borderId="13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6" fillId="30" borderId="13" applyAlignment="1" pivotButton="0" quotePrefix="0" xfId="0">
      <alignment horizontal="center" vertical="center" wrapText="1"/>
    </xf>
    <xf numFmtId="0" fontId="6" fillId="11" borderId="13" applyAlignment="1" pivotButton="0" quotePrefix="0" xfId="0">
      <alignment horizontal="center" vertical="center" wrapText="1"/>
    </xf>
    <xf numFmtId="0" fontId="6" fillId="13" borderId="13" applyAlignment="1" pivotButton="0" quotePrefix="0" xfId="0">
      <alignment horizontal="center" vertical="center" wrapText="1"/>
    </xf>
    <xf numFmtId="0" fontId="6" fillId="14" borderId="13" applyAlignment="1" pivotButton="0" quotePrefix="0" xfId="0">
      <alignment horizontal="center" vertical="center" wrapText="1"/>
    </xf>
    <xf numFmtId="0" fontId="4" fillId="59" borderId="13" applyAlignment="1" pivotButton="0" quotePrefix="0" xfId="0">
      <alignment horizontal="center" vertical="center" wrapText="1"/>
    </xf>
    <xf numFmtId="0" fontId="4" fillId="60" borderId="13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57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0" fontId="7" fillId="51" borderId="13" applyAlignment="1" pivotButton="0" quotePrefix="0" xfId="0">
      <alignment horizontal="center" vertical="center" wrapText="1"/>
    </xf>
    <xf numFmtId="0" fontId="7" fillId="52" borderId="13" applyAlignment="1" pivotButton="0" quotePrefix="0" xfId="0">
      <alignment horizontal="center" vertical="center" wrapText="1"/>
    </xf>
    <xf numFmtId="0" fontId="7" fillId="53" borderId="13" applyAlignment="1" pivotButton="0" quotePrefix="0" xfId="0">
      <alignment horizontal="center" vertical="center" wrapText="1"/>
    </xf>
    <xf numFmtId="0" fontId="8" fillId="58" borderId="13" applyAlignment="1" pivotButton="0" quotePrefix="0" xfId="0">
      <alignment horizontal="center" vertical="center" wrapText="1"/>
    </xf>
    <xf numFmtId="0" fontId="10" fillId="51" borderId="13" applyAlignment="1" pivotButton="0" quotePrefix="0" xfId="0">
      <alignment horizontal="center" vertical="center" wrapText="1"/>
    </xf>
    <xf numFmtId="0" fontId="10" fillId="52" borderId="13" applyAlignment="1" pivotButton="0" quotePrefix="0" xfId="0">
      <alignment horizontal="center" vertical="center" wrapText="1"/>
    </xf>
    <xf numFmtId="0" fontId="10" fillId="57" borderId="13" applyAlignment="1" pivotButton="0" quotePrefix="0" xfId="0">
      <alignment horizontal="center" vertical="center" wrapText="1"/>
    </xf>
    <xf numFmtId="0" fontId="10" fillId="53" borderId="13" applyAlignment="1" pivotButton="0" quotePrefix="0" xfId="0">
      <alignment horizontal="center" vertical="center" wrapText="1"/>
    </xf>
    <xf numFmtId="0" fontId="10" fillId="55" borderId="13" applyAlignment="1" pivotButton="0" quotePrefix="0" xfId="0">
      <alignment horizontal="center" vertical="center" wrapText="1"/>
    </xf>
    <xf numFmtId="0" fontId="10" fillId="56" borderId="13" applyAlignment="1" pivotButton="0" quotePrefix="0" xfId="0">
      <alignment horizontal="center" vertical="center" wrapText="1"/>
    </xf>
    <xf numFmtId="0" fontId="11" fillId="58" borderId="13" applyAlignment="1" pivotButton="0" quotePrefix="0" xfId="0">
      <alignment horizontal="center" vertical="center" wrapText="1"/>
    </xf>
    <xf numFmtId="0" fontId="28" fillId="57" borderId="13" applyAlignment="1" pivotButton="0" quotePrefix="0" xfId="0">
      <alignment horizontal="center" vertical="center" wrapText="1"/>
    </xf>
    <xf numFmtId="0" fontId="26" fillId="58" borderId="13" applyAlignment="1" pivotButton="0" quotePrefix="0" xfId="0">
      <alignment horizontal="center" vertical="center" wrapText="1"/>
    </xf>
    <xf numFmtId="0" fontId="34" fillId="61" borderId="14" applyAlignment="1" pivotButton="0" quotePrefix="0" xfId="0">
      <alignment horizontal="center" vertical="center" wrapText="1"/>
    </xf>
    <xf numFmtId="0" fontId="35" fillId="62" borderId="15" applyAlignment="1" pivotButton="0" quotePrefix="0" xfId="0">
      <alignment vertical="center" wrapText="1"/>
    </xf>
    <xf numFmtId="0" fontId="35" fillId="63" borderId="15" applyAlignment="1" pivotButton="0" quotePrefix="0" xfId="0">
      <alignment vertical="center" wrapText="1"/>
    </xf>
    <xf numFmtId="0" fontId="35" fillId="64" borderId="15" applyAlignment="1" pivotButton="0" quotePrefix="0" xfId="0">
      <alignment vertical="center" wrapText="1"/>
    </xf>
    <xf numFmtId="0" fontId="35" fillId="65" borderId="15" applyAlignment="1" pivotButton="0" quotePrefix="0" xfId="0">
      <alignment vertical="center" wrapText="1"/>
    </xf>
    <xf numFmtId="0" fontId="35" fillId="0" borderId="15" applyAlignment="1" pivotButton="0" quotePrefix="0" xfId="0">
      <alignment vertical="center" wrapText="1"/>
    </xf>
  </cellXfs>
  <cellStyles count="1">
    <cellStyle name="표준" xfId="0" builtinId="0"/>
  </cellStyles>
  <dxfs count="27">
    <dxf>
      <font>
        <name val="맑은 고딕"/>
        <color rgb="FF595959"/>
        <sz val="10"/>
      </font>
      <fill>
        <patternFill patternType="solid">
          <fgColor rgb="FFF2F2F2"/>
        </patternFill>
      </fill>
    </dxf>
    <dxf>
      <font>
        <name val="맑은 고딕"/>
        <b val="1"/>
        <color rgb="FF9C0006"/>
        <sz val="10"/>
      </font>
      <fill>
        <patternFill patternType="solid">
          <fgColor rgb="FFFFC7CE"/>
        </patternFill>
      </fill>
    </dxf>
    <dxf>
      <font>
        <name val="맑은 고딕"/>
        <color rgb="FF1F4E78"/>
        <sz val="10"/>
      </font>
      <fill>
        <patternFill patternType="solid">
          <fgColor rgb="FFDDEBF7"/>
        </patternFill>
      </fill>
    </dxf>
    <dxf>
      <font>
        <name val="맑은 고딕"/>
        <color rgb="FF1F4E78"/>
        <sz val="10"/>
      </font>
      <fill>
        <patternFill patternType="solid">
          <fgColor rgb="FFDDEBF7"/>
        </patternFill>
      </fill>
    </dxf>
    <dxf>
      <font>
        <name val="맑은 고딕"/>
        <b val="1"/>
        <color rgb="FF006100"/>
        <sz val="10"/>
      </font>
      <fill>
        <patternFill patternType="solid">
          <fgColor rgb="FFC6EFCE"/>
        </patternFill>
      </fill>
    </dxf>
    <dxf>
      <font>
        <name val="맑은 고딕"/>
        <b val="1"/>
        <color rgb="FFC55A11"/>
        <sz val="14"/>
      </font>
      <fill>
        <patternFill patternType="solid">
          <fgColor rgb="FFFCE4D6"/>
        </patternFill>
      </fill>
    </dxf>
    <dxf>
      <font>
        <name val="맑은 고딕"/>
        <b val="1"/>
        <color rgb="FF375623"/>
        <sz val="14"/>
      </font>
      <fill>
        <patternFill patternType="solid">
          <fgColor rgb="FFE2EFDA"/>
        </patternFill>
      </fill>
    </dxf>
    <dxf>
      <font>
        <name val="맑은 고딕"/>
        <b val="1"/>
        <color rgb="FF1F4E78"/>
        <sz val="14"/>
      </font>
      <fill>
        <patternFill patternType="solid">
          <fgColor rgb="FFDEEBF7"/>
        </patternFill>
      </fill>
    </dxf>
    <dxf>
      <font>
        <name val="맑은 고딕"/>
        <b val="1"/>
        <sz val="10"/>
      </font>
      <fill>
        <patternFill patternType="solid">
          <fgColor rgb="FFFFFF00"/>
          <bgColor rgb="FFFFFF00"/>
        </patternFill>
      </fill>
    </dxf>
    <dxf>
      <font>
        <name val="맑은 고딕"/>
        <b val="1"/>
        <sz val="10"/>
      </font>
      <fill>
        <patternFill patternType="solid">
          <fgColor rgb="FFFFFF00"/>
          <bgColor rgb="FFFFFF00"/>
        </patternFill>
      </fill>
    </dxf>
    <dxf>
      <font>
        <name val="맑은 고딕"/>
        <b val="1"/>
        <color rgb="FF806000"/>
        <sz val="10"/>
      </font>
      <fill>
        <patternFill patternType="solid">
          <fgColor rgb="FFFFF2CC"/>
        </patternFill>
      </fill>
    </dxf>
    <dxf>
      <font>
        <name val="맑은 고딕"/>
        <b val="1"/>
        <color rgb="FF1F4E78"/>
        <sz val="10"/>
      </font>
      <fill>
        <patternFill patternType="solid">
          <fgColor rgb="FFDEEBF7"/>
        </patternFill>
      </fill>
    </dxf>
    <dxf>
      <font>
        <name val="맑은 고딕"/>
        <b val="1"/>
        <color rgb="FFC55A11"/>
        <sz val="14"/>
      </font>
      <fill>
        <patternFill patternType="solid">
          <fgColor rgb="FFFCE4D6"/>
        </patternFill>
      </fill>
    </dxf>
    <dxf>
      <font>
        <name val="맑은 고딕"/>
        <b val="1"/>
        <color rgb="FF375623"/>
        <sz val="14"/>
      </font>
      <fill>
        <patternFill patternType="solid">
          <fgColor rgb="FFE2EFDA"/>
        </patternFill>
      </fill>
    </dxf>
    <dxf>
      <font>
        <name val="맑은 고딕"/>
        <b val="1"/>
        <color rgb="FF1F4E78"/>
        <sz val="14"/>
      </font>
      <fill>
        <patternFill patternType="solid">
          <fgColor rgb="FFDEEBF7"/>
        </patternFill>
      </fill>
    </dxf>
    <dxf>
      <font>
        <name val="맑은 고딕"/>
        <b val="1"/>
        <sz val="10"/>
      </font>
      <fill>
        <patternFill patternType="solid">
          <fgColor rgb="FFFFFF00"/>
          <bgColor rgb="FFFFFF00"/>
        </patternFill>
      </fill>
    </dxf>
    <dxf>
      <font>
        <name val="맑은 고딕"/>
        <b val="1"/>
        <sz val="10"/>
      </font>
      <fill>
        <patternFill patternType="solid">
          <fgColor rgb="FFFFFF00"/>
          <bgColor rgb="FFFFFF00"/>
        </patternFill>
      </fill>
    </dxf>
    <dxf>
      <font>
        <name val="맑은 고딕"/>
        <b val="1"/>
        <color rgb="FF806000"/>
        <sz val="10"/>
      </font>
      <fill>
        <patternFill patternType="solid">
          <fgColor rgb="FFFFF2CC"/>
        </patternFill>
      </fill>
    </dxf>
    <dxf>
      <font>
        <name val="맑은 고딕"/>
        <b val="1"/>
        <color rgb="FF1F4E78"/>
        <sz val="10"/>
      </font>
      <fill>
        <patternFill patternType="solid">
          <fgColor rgb="FFDEEBF7"/>
        </patternFill>
      </fill>
    </dxf>
    <dxf>
      <font>
        <name val="맑은 고딕"/>
        <b val="1"/>
        <color rgb="FFC55A11"/>
        <sz val="14"/>
      </font>
      <fill>
        <patternFill patternType="solid">
          <fgColor rgb="FFFCE4D6"/>
        </patternFill>
      </fill>
    </dxf>
    <dxf>
      <font>
        <name val="맑은 고딕"/>
        <b val="1"/>
        <color rgb="FF375623"/>
        <sz val="14"/>
      </font>
      <fill>
        <patternFill patternType="solid">
          <fgColor rgb="FFE2EFDA"/>
        </patternFill>
      </fill>
    </dxf>
    <dxf>
      <font>
        <name val="맑은 고딕"/>
        <b val="1"/>
        <color rgb="FF1F4E78"/>
        <sz val="14"/>
      </font>
      <fill>
        <patternFill patternType="solid">
          <fgColor rgb="FFDEEBF7"/>
        </patternFill>
      </fill>
    </dxf>
    <dxf>
      <font>
        <name val="맑은 고딕"/>
        <b val="1"/>
        <sz val="10"/>
      </font>
      <fill>
        <patternFill patternType="solid">
          <fgColor rgb="FFFFFF00"/>
          <bgColor rgb="FFFFFF00"/>
        </patternFill>
      </fill>
    </dxf>
    <dxf>
      <font>
        <name val="맑은 고딕"/>
        <b val="1"/>
        <color rgb="FFC55A11"/>
        <sz val="14"/>
      </font>
      <fill>
        <patternFill patternType="solid">
          <fgColor rgb="FFFCE4D6"/>
        </patternFill>
      </fill>
    </dxf>
    <dxf>
      <font>
        <name val="맑은 고딕"/>
        <b val="1"/>
        <color rgb="FF375623"/>
        <sz val="14"/>
      </font>
      <fill>
        <patternFill patternType="solid">
          <fgColor rgb="FFE2EFDA"/>
        </patternFill>
      </fill>
    </dxf>
    <dxf>
      <font>
        <name val="맑은 고딕"/>
        <b val="1"/>
        <color rgb="FF1F4E78"/>
        <sz val="14"/>
      </font>
      <fill>
        <patternFill patternType="solid">
          <fgColor rgb="FFDEEBF7"/>
        </patternFill>
      </fill>
    </dxf>
    <dxf>
      <font>
        <name val="맑은 고딕"/>
        <b val="1"/>
        <sz val="10"/>
      </font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N67"/>
  <sheetViews>
    <sheetView showGridLines="0" topLeftCell="A1" zoomScaleNormal="100" workbookViewId="0">
      <selection activeCell="A1" sqref="A1"/>
    </sheetView>
  </sheetViews>
  <sheetFormatPr baseColWidth="8" defaultRowHeight="16.5"/>
  <cols>
    <col width="2" customWidth="1" min="1" max="1"/>
    <col width="95" customWidth="1" min="2" max="2"/>
    <col hidden="1" width="16" customWidth="1" min="13" max="13"/>
    <col hidden="1" width="13" customWidth="1" min="14" max="15"/>
  </cols>
  <sheetData>
    <row r="3" ht="27.95" customHeight="1">
      <c r="B3" s="30" t="inlineStr">
        <is>
          <t>📋  생산부 재고 매칭 작업 안내</t>
        </is>
      </c>
    </row>
    <row r="5" ht="21.95" customHeight="1">
      <c r="B5" s="31" t="inlineStr">
        <is>
          <t>▶ 이 파일의 목적</t>
        </is>
      </c>
    </row>
    <row r="6" ht="18" customHeight="1">
      <c r="B6" s="32" t="inlineStr">
        <is>
          <t xml:space="preserve">  ① 생산부 품목과 창고 품목을 1:1로 매칭</t>
        </is>
      </c>
      <c r="N6" t="n">
        <v>6</v>
      </c>
    </row>
    <row r="7" ht="18" customHeight="1">
      <c r="B7" s="32" t="inlineStr">
        <is>
          <t xml:space="preserve">  ② 각 품목에 ERP 코드 부여 (모델기호 + 공정타입)</t>
        </is>
      </c>
    </row>
    <row r="8" ht="18" customHeight="1">
      <c r="B8" s="32" t="inlineStr">
        <is>
          <t xml:space="preserve">  ③ 매칭/코드 결과를 통합 마스터 데이터로 정리</t>
        </is>
      </c>
    </row>
    <row r="10" ht="18" customHeight="1">
      <c r="B10" s="32" t="inlineStr">
        <is>
          <t>━━━━━━━━━━━━━━━━━━━━━━━━━━━━━━━━━━━━━━━━━━━━━━━━━━━━━━━━━━━━━━━━</t>
        </is>
      </c>
    </row>
    <row r="11" ht="24" customHeight="1">
      <c r="B11" s="31" t="inlineStr">
        <is>
          <t>【작업 1】  창고 품명 매칭  (E열)</t>
        </is>
      </c>
    </row>
    <row r="12" ht="8.1" customHeight="1">
      <c r="B12" s="32" t="inlineStr">
        <is>
          <t>━━━━━━━━━━━━━━━━━━━━━━━━━━━━━━━━━━━━━━━━━━━━━━━━━━━━━━━━━━━━━━━━</t>
        </is>
      </c>
    </row>
    <row r="13" ht="20.1" customHeight="1">
      <c r="B13" s="33" t="inlineStr">
        <is>
          <t>▶ 작업 시트</t>
        </is>
      </c>
    </row>
    <row r="14" ht="18" customHeight="1">
      <c r="B14" s="32" t="inlineStr">
        <is>
          <t xml:space="preserve">  ① 튜브파트_재고현황   ② 고압진공_재고현황   ③ 조립자재_재고현황</t>
        </is>
      </c>
    </row>
    <row r="16" ht="20.1" customHeight="1">
      <c r="B16" s="33" t="inlineStr">
        <is>
          <t>▶ 작업 방법</t>
        </is>
      </c>
    </row>
    <row r="17" ht="18" customHeight="1">
      <c r="B17" s="32" t="inlineStr">
        <is>
          <t xml:space="preserve">  STEP 1.  「생산부_재고_매칭작업.xlsx」을 왼쪽 화면에 띄움</t>
        </is>
      </c>
    </row>
    <row r="18" ht="18" customHeight="1">
      <c r="B18" s="32" t="inlineStr">
        <is>
          <t xml:space="preserve">  STEP 2.  「창고_재고.xlsx」를 오른쪽 화면에 띄움</t>
        </is>
      </c>
    </row>
    <row r="19" ht="18" customHeight="1">
      <c r="B19" s="32" t="inlineStr">
        <is>
          <t xml:space="preserve">  STEP 3.  생산부 시트의 한 행씩 품목 확인 → 창고 파일에서 같은 품목 찾기</t>
        </is>
      </c>
    </row>
    <row r="20" ht="18" customHeight="1">
      <c r="B20" s="32" t="inlineStr">
        <is>
          <t xml:space="preserve">  STEP 4.  창고 파일의 「품목」 셀을 복사 (Ctrl+C)</t>
        </is>
      </c>
    </row>
    <row r="21" ht="18" customHeight="1">
      <c r="B21" s="32" t="inlineStr">
        <is>
          <t xml:space="preserve">  STEP 5.  생산부 시트의 같은 행 E열(주황색 칸)에 붙여넣기 (Ctrl+V)</t>
        </is>
      </c>
    </row>
    <row r="22" ht="18" customHeight="1">
      <c r="B22" s="32" t="inlineStr">
        <is>
          <t xml:space="preserve">  STEP 6.  「창고_재고현황」 시트에서 매칭된 창고 품목이 자동으로 노란색 표시 ✅</t>
        </is>
      </c>
    </row>
    <row r="24" ht="20.1" customHeight="1">
      <c r="B24" s="33" t="inlineStr">
        <is>
          <t>▶ 주의사항</t>
        </is>
      </c>
    </row>
    <row r="25" ht="18" customHeight="1">
      <c r="B25" s="34" t="inlineStr">
        <is>
          <t xml:space="preserve">  ❗ 창고 품명을 정확히 그대로 복사해야 자동 매칭 표시됩니다</t>
        </is>
      </c>
    </row>
    <row r="26" ht="18" customHeight="1">
      <c r="B26" s="34" t="inlineStr">
        <is>
          <t xml:space="preserve">  ❗ 매칭되는 창고 품목이 없으면 빈칸으로 두세요</t>
        </is>
      </c>
    </row>
    <row r="27" ht="18" customHeight="1">
      <c r="B27" s="34" t="inlineStr">
        <is>
          <t xml:space="preserve">  ❗ 한 생산부 품목이 여러 창고 품목과 연결되어도 대표 1개만 붙여넣기</t>
        </is>
      </c>
    </row>
    <row r="29" ht="8.1" customHeight="1">
      <c r="B29" s="32" t="inlineStr">
        <is>
          <t>━━━━━━━━━━━━━━━━━━━━━━━━━━━━━━━━━━━━━━━━━━━━━━━━━━━━━━━━━━━━━━━━</t>
        </is>
      </c>
    </row>
    <row r="30" ht="24" customHeight="1">
      <c r="B30" s="31" t="inlineStr">
        <is>
          <t>【작업 2】  ERP 코드 검수 / 수정  (F~O열)</t>
        </is>
      </c>
    </row>
    <row r="31" ht="8.1" customHeight="1">
      <c r="B31" s="32" t="inlineStr">
        <is>
          <t>━━━━━━━━━━━━━━━━━━━━━━━━━━━━━━━━━━━━━━━━━━━━━━━━━━━━━━━━━━━━━━━━</t>
        </is>
      </c>
    </row>
    <row r="32" ht="20.1" customHeight="1">
      <c r="B32" s="34" t="inlineStr">
        <is>
          <t>⚠ 사전에 작업자가 1차로 입력해 둔 상태입니다.</t>
        </is>
      </c>
    </row>
    <row r="33" ht="20.1" customHeight="1">
      <c r="B33" s="34" t="inlineStr">
        <is>
          <t xml:space="preserve">   담당자분이 직접 확인하고 잘못된 부분이 있으면 수정해 주세요.</t>
        </is>
      </c>
    </row>
    <row r="35" ht="20.1" customHeight="1">
      <c r="B35" s="33" t="inlineStr">
        <is>
          <t>▶ 입력 방법</t>
        </is>
      </c>
    </row>
    <row r="36" ht="18" customHeight="1">
      <c r="B36" s="32" t="inlineStr">
        <is>
          <t xml:space="preserve">  ① F열(원자재) / G열(반제품) / H열(완제품) 중 해당하는 칸에 「O」 입력</t>
        </is>
      </c>
    </row>
    <row r="37" ht="18" customHeight="1">
      <c r="B37" s="32" t="inlineStr">
        <is>
          <t xml:space="preserve">     → I열에 자동으로 공정코드 생성 (예: AR, AF, PR 등)</t>
        </is>
      </c>
    </row>
    <row r="38" ht="18" customHeight="1">
      <c r="B38" s="32" t="inlineStr">
        <is>
          <t xml:space="preserve">  ② J~N열(모델 3/4/6/7/8) 중 해당 모델 칸에 「O」 입력</t>
        </is>
      </c>
    </row>
    <row r="39" ht="18" customHeight="1">
      <c r="B39" s="32" t="inlineStr">
        <is>
          <t xml:space="preserve">     → P열에 ERP 코드 자동 생성 (예: 3-AR, 346-AF 등)</t>
        </is>
      </c>
    </row>
    <row r="40" ht="18" customHeight="1">
      <c r="B40" s="32" t="inlineStr">
        <is>
          <t xml:space="preserve">  ③ O열(?) — 신제품이라 모델기호 미정인 경우 「O」</t>
        </is>
      </c>
    </row>
    <row r="42" ht="20.1" customHeight="1">
      <c r="B42" s="33" t="inlineStr">
        <is>
          <t>▶ 코드 규칙 (참고)</t>
        </is>
      </c>
    </row>
    <row r="43" ht="18" customHeight="1">
      <c r="B43" s="32" t="inlineStr">
        <is>
          <t xml:space="preserve">  공정타입:  R = 원자재  /  A = 반제품 (Ass'y)  /  F = 완제품</t>
        </is>
      </c>
    </row>
    <row r="44" ht="18" customHeight="1">
      <c r="B44" s="32" t="inlineStr">
        <is>
          <t xml:space="preserve">  부서기호:  T(튜브)  H(고압)  V(진공)  N(튜닝)  A(조립)  P(출하)</t>
        </is>
      </c>
    </row>
    <row r="45" ht="18" customHeight="1">
      <c r="B45" s="32" t="inlineStr">
        <is>
          <t xml:space="preserve">  모델기호:  3=DX3000  4=ADX4000W  6=ADX6000FB  7=COCOON  8=SOLO  ?=신제품</t>
        </is>
      </c>
    </row>
    <row r="46" ht="20.1" customHeight="1">
      <c r="B46" s="35" t="inlineStr">
        <is>
          <t xml:space="preserve">  최종 ERP 코드 형식:  {모델기호}-{공정코드}    예) 346-AF, 3-PA, 7-TF</t>
        </is>
      </c>
    </row>
    <row r="48" ht="20.1" customHeight="1">
      <c r="B48" s="33" t="inlineStr">
        <is>
          <t>▶ 부서 변경 시</t>
        </is>
      </c>
    </row>
    <row r="49" ht="18" customHeight="1">
      <c r="B49" s="32" t="inlineStr">
        <is>
          <t xml:space="preserve">  A열의 부서를 바꾸면 (예: 조립 → 출하) 코드 첫 글자가 자동 변경됩니다 (A→P)</t>
        </is>
      </c>
    </row>
    <row r="50" ht="18" customHeight="1">
      <c r="B50" s="32" t="inlineStr">
        <is>
          <t xml:space="preserve">  배경 색상도 부서별로 자동 변경됩니다</t>
        </is>
      </c>
    </row>
    <row r="52" ht="8.1" customHeight="1">
      <c r="B52" s="32" t="inlineStr">
        <is>
          <t>━━━━━━━━━━━━━━━━━━━━━━━━━━━━━━━━━━━━━━━━━━━━━━━━━━━━━━━━━━━━━━━━</t>
        </is>
      </c>
    </row>
    <row r="53" ht="24" customHeight="1">
      <c r="B53" s="31" t="inlineStr">
        <is>
          <t>【확인】  작업 진행 상황 보기</t>
        </is>
      </c>
    </row>
    <row r="54" ht="8.1" customHeight="1">
      <c r="B54" s="32" t="inlineStr">
        <is>
          <t>━━━━━━━━━━━━━━━━━━━━━━━━━━━━━━━━━━━━━━━━━━━━━━━━━━━━━━━━━━━━━━━━</t>
        </is>
      </c>
    </row>
    <row r="55" ht="20.1" customHeight="1">
      <c r="B55" s="33" t="inlineStr">
        <is>
          <t>▶ 「창고_재고현황」 시트</t>
        </is>
      </c>
    </row>
    <row r="56" ht="18" customHeight="1">
      <c r="B56" s="32" t="inlineStr">
        <is>
          <t xml:space="preserve">  매칭된 창고 품목 = 노란색 / 매칭 안 된 창고 품목 = 흰색</t>
        </is>
      </c>
    </row>
    <row r="57" ht="18" customHeight="1">
      <c r="B57" s="32" t="inlineStr">
        <is>
          <t xml:space="preserve">  G열에 생산부 명칭이 자동 표시됨 (어떤 생산부 품목과 매칭됐는지 확인용)</t>
        </is>
      </c>
    </row>
    <row r="59" ht="20.1" customHeight="1">
      <c r="B59" s="33" t="inlineStr">
        <is>
          <t>▶ 「매칭결과_통합」 시트</t>
        </is>
      </c>
    </row>
    <row r="60" ht="18" customHeight="1">
      <c r="B60" s="32" t="inlineStr">
        <is>
          <t xml:space="preserve">  매칭된 품목들이 자동으로 모임 (창고 순서대로)</t>
        </is>
      </c>
    </row>
    <row r="61" ht="18" customHeight="1">
      <c r="B61" s="32" t="inlineStr">
        <is>
          <t xml:space="preserve">  좌측: 생산부 정보 / 중앙: 창고 정보 / 우측 K~M열: 표준화 명칭 직접 입력</t>
        </is>
      </c>
    </row>
    <row r="62" ht="18" customHeight="1">
      <c r="B62" s="32" t="inlineStr">
        <is>
          <t xml:space="preserve">  P열: 자동 생성된 ERP 코드</t>
        </is>
      </c>
    </row>
    <row r="64" ht="8.1" customHeight="1">
      <c r="B64" s="32" t="inlineStr">
        <is>
          <t>━━━━━━━━━━━━━━━━━━━━━━━━━━━━━━━━━━━━━━━━━━━━━━━━━━━━━━━━━━━━━━━━</t>
        </is>
      </c>
    </row>
    <row r="65" ht="20.1" customHeight="1">
      <c r="B65" s="33" t="inlineStr">
        <is>
          <t>▶ 저장</t>
        </is>
      </c>
    </row>
    <row r="66" ht="18" customHeight="1">
      <c r="B66" s="32" t="inlineStr">
        <is>
          <t xml:space="preserve">  작업 완료 후 Ctrl+S 로 저장</t>
        </is>
      </c>
    </row>
    <row r="67" ht="18" customHeight="1">
      <c r="B67" s="34" t="inlineStr">
        <is>
          <t xml:space="preserve">  두 파일 (생산부_재고_매칭작업.xlsx + 창고_재고.xlsx) 같은 폴더에 보관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topLeftCell="A1" zoomScale="70" zoomScaleNormal="70" workbookViewId="0">
      <pane ySplit="1" topLeftCell="A2" activePane="bottomLeft" state="frozen"/>
      <selection activeCell="A1" sqref="A1"/>
    </sheetView>
  </sheetViews>
  <sheetFormatPr baseColWidth="8" defaultRowHeight="16.5"/>
  <cols>
    <col width="8" customWidth="1" min="1" max="1"/>
    <col width="14" customWidth="1" min="2" max="2"/>
    <col width="22" customWidth="1" min="3" max="3"/>
    <col width="52" customWidth="1" min="4" max="5"/>
    <col outlineLevel="2" width="9" customWidth="1" min="6" max="6"/>
    <col outlineLevel="2" width="13" customWidth="1" min="7" max="8"/>
    <col outlineLevel="2" width="9" customWidth="1" min="9" max="9"/>
    <col outlineLevel="1" width="16" bestFit="1" customWidth="1" min="10" max="10"/>
    <col outlineLevel="1" width="13.75" customWidth="1" min="11" max="11"/>
    <col outlineLevel="1" width="13" customWidth="1" min="12" max="14"/>
    <col outlineLevel="1" collapsed="1" width="13" customWidth="1" min="15" max="15"/>
    <col width="14" customWidth="1" min="16" max="16"/>
    <col width="16" customWidth="1" min="17" max="17"/>
    <col width="9" customWidth="1" min="18" max="18"/>
    <col width="14" customWidth="1" min="19" max="19"/>
  </cols>
  <sheetData>
    <row r="1" ht="36" customHeight="1">
      <c r="A1" s="2" t="inlineStr">
        <is>
          <t>부서</t>
        </is>
      </c>
      <c r="B1" s="2" t="inlineStr">
        <is>
          <t>분류</t>
        </is>
      </c>
      <c r="C1" s="2" t="inlineStr">
        <is>
          <t>모델</t>
        </is>
      </c>
      <c r="D1" s="2" t="inlineStr">
        <is>
          <t>품목</t>
        </is>
      </c>
      <c r="E1" s="3" t="inlineStr">
        <is>
          <t>▼ 창고 품명 (창고파일에서 복사→붙여넣기)</t>
        </is>
      </c>
      <c r="F1" s="4" t="inlineStr">
        <is>
          <t>원자재</t>
        </is>
      </c>
      <c r="G1" s="5" t="inlineStr">
        <is>
          <t>반제품</t>
        </is>
      </c>
      <c r="H1" s="6" t="inlineStr">
        <is>
          <t>완제품</t>
        </is>
      </c>
      <c r="I1" s="7" t="inlineStr">
        <is>
          <t>코드</t>
        </is>
      </c>
      <c r="J1" s="8" t="inlineStr">
        <is>
          <t>3
(DX3000)</t>
        </is>
      </c>
      <c r="K1" s="9" t="inlineStr">
        <is>
          <t>4
(ADX4000W)</t>
        </is>
      </c>
      <c r="L1" s="10" t="inlineStr">
        <is>
          <t>6
(ADX6000FB)</t>
        </is>
      </c>
      <c r="M1" s="11" t="inlineStr">
        <is>
          <t>7
(COCOON)</t>
        </is>
      </c>
      <c r="N1" s="12" t="inlineStr">
        <is>
          <t>8
(SOLO)</t>
        </is>
      </c>
      <c r="O1" s="13" t="inlineStr">
        <is>
          <t>?
(신제품)</t>
        </is>
      </c>
      <c r="P1" s="14" t="inlineStr">
        <is>
          <t>ERP 코드
{모델}-{공정}</t>
        </is>
      </c>
      <c r="Q1" s="108" t="inlineStr">
        <is>
          <t>바로가기
(마스터로)</t>
        </is>
      </c>
      <c r="R1" s="109" t="inlineStr">
        <is>
          <t>마스터행</t>
        </is>
      </c>
      <c r="S1" s="109" t="inlineStr">
        <is>
          <t>마스터시트</t>
        </is>
      </c>
    </row>
    <row r="2" ht="48" customHeight="1">
      <c r="A2" s="28" t="inlineStr">
        <is>
          <t>튜브</t>
        </is>
      </c>
      <c r="B2" s="28" t="inlineStr">
        <is>
          <t>공용</t>
        </is>
      </c>
      <c r="C2" s="23" t="n"/>
      <c r="D2" s="23" t="inlineStr">
        <is>
          <t>전극(70kV)</t>
        </is>
      </c>
      <c r="E2" s="23" t="inlineStr">
        <is>
          <t>전극(70kV) (순철 도금)
[DXDR-070]</t>
        </is>
      </c>
      <c r="F2" s="24" t="inlineStr">
        <is>
          <t>O</t>
        </is>
      </c>
      <c r="G2" s="25" t="n"/>
      <c r="H2" s="26" t="n"/>
      <c r="I2" s="27">
        <f>IFERROR(IF(OR($F2="O",$G2="O",$H2="O"),CHOOSE(MATCH($A2,{"튜브","고압","진공","튜닝","조립","출하"},0),"T","H","V","N","A","P")&amp;IF($F2="O","R",IF($G2="O","A",IF($H2="O","F",""))),""),"")</f>
        <v/>
      </c>
      <c r="J2" s="15" t="n"/>
      <c r="K2" s="16" t="n"/>
      <c r="L2" s="17" t="n"/>
      <c r="M2" s="18" t="inlineStr">
        <is>
          <t>O</t>
        </is>
      </c>
      <c r="N2" s="19" t="n"/>
      <c r="O2" s="20" t="n"/>
      <c r="P2" s="21">
        <f>IF($I2="","",IF($J2="O","3","")&amp;IF($K2="O","4","")&amp;IF($L2="O","6","")&amp;IF($M2="O","7","")&amp;IF($N2="O","8","")&amp;IF($O2="O","?","")&amp;IF(OR($J2="O",$K2="O",$L2="O",$M2="O",$N2="O",$O2="O"),"-","")&amp;$I2)</f>
        <v/>
      </c>
      <c r="Q2" s="110">
        <f>HYPERLINK("#'마스터_품목'!A2","→ 마스터 R2")</f>
        <v/>
      </c>
      <c r="R2" s="111" t="n">
        <v>2</v>
      </c>
      <c r="S2" s="111" t="inlineStr">
        <is>
          <t>마스터_품목</t>
        </is>
      </c>
    </row>
    <row r="3" ht="48" customHeight="1">
      <c r="A3" s="28" t="inlineStr">
        <is>
          <t>튜브</t>
        </is>
      </c>
      <c r="B3" s="28" t="inlineStr">
        <is>
          <t>공용</t>
        </is>
      </c>
      <c r="C3" s="23" t="n"/>
      <c r="D3" s="23" t="inlineStr">
        <is>
          <t>텅스텐 필라멘트</t>
        </is>
      </c>
      <c r="E3" s="23" t="inlineStr">
        <is>
          <t>텅스텐 필라멘트
[DXDR-070]</t>
        </is>
      </c>
      <c r="F3" s="24" t="inlineStr">
        <is>
          <t>O</t>
        </is>
      </c>
      <c r="G3" s="25" t="n"/>
      <c r="H3" s="26" t="n"/>
      <c r="I3" s="27">
        <f>IFERROR(IF(OR($F3="O",$G3="O",$H3="O"),CHOOSE(MATCH($A3,{"튜브","고압","진공","튜닝","조립","출하"},0),"T","H","V","N","A","P")&amp;IF($F3="O","R",IF($G3="O","A",IF($H3="O","F",""))),""),"")</f>
        <v/>
      </c>
      <c r="J3" s="15" t="n"/>
      <c r="K3" s="16" t="n"/>
      <c r="L3" s="17" t="n"/>
      <c r="M3" s="18" t="inlineStr">
        <is>
          <t>O</t>
        </is>
      </c>
      <c r="N3" s="19" t="n"/>
      <c r="O3" s="20" t="n"/>
      <c r="P3" s="21">
        <f>IF($I3="","",IF($J3="O","3","")&amp;IF($K3="O","4","")&amp;IF($L3="O","6","")&amp;IF($M3="O","7","")&amp;IF($N3="O","8","")&amp;IF($O3="O","?","")&amp;IF(OR($J3="O",$K3="O",$L3="O",$M3="O",$N3="O",$O3="O"),"-","")&amp;$I3)</f>
        <v/>
      </c>
      <c r="Q3" s="110">
        <f>HYPERLINK("#'마스터_품목'!A3","→ 마스터 R3")</f>
        <v/>
      </c>
      <c r="R3" s="111" t="n">
        <v>3</v>
      </c>
      <c r="S3" s="111" t="inlineStr">
        <is>
          <t>마스터_품목</t>
        </is>
      </c>
    </row>
    <row r="4" ht="48" customHeight="1">
      <c r="A4" s="28" t="inlineStr">
        <is>
          <t>튜브</t>
        </is>
      </c>
      <c r="B4" s="28" t="inlineStr">
        <is>
          <t>공용</t>
        </is>
      </c>
      <c r="C4" s="23" t="n"/>
      <c r="D4" s="23" t="inlineStr">
        <is>
          <t>게터</t>
        </is>
      </c>
      <c r="E4" s="23" t="inlineStr">
        <is>
          <t>게터
[DXDR-070,DXDR-100]</t>
        </is>
      </c>
      <c r="F4" s="24" t="inlineStr">
        <is>
          <t>O</t>
        </is>
      </c>
      <c r="G4" s="25" t="n"/>
      <c r="H4" s="26" t="n"/>
      <c r="I4" s="27">
        <f>IFERROR(IF(OR($F4="O",$G4="O",$H4="O"),CHOOSE(MATCH($A4,{"튜브","고압","진공","튜닝","조립","출하"},0),"T","H","V","N","A","P")&amp;IF($F4="O","R",IF($G4="O","A",IF($H4="O","F",""))),""),"")</f>
        <v/>
      </c>
      <c r="J4" s="15" t="n"/>
      <c r="K4" s="16" t="n"/>
      <c r="L4" s="17" t="n"/>
      <c r="M4" s="18" t="inlineStr">
        <is>
          <t>O</t>
        </is>
      </c>
      <c r="N4" s="19" t="n"/>
      <c r="O4" s="20" t="n"/>
      <c r="P4" s="21">
        <f>IF($I4="","",IF($J4="O","3","")&amp;IF($K4="O","4","")&amp;IF($L4="O","6","")&amp;IF($M4="O","7","")&amp;IF($N4="O","8","")&amp;IF($O4="O","?","")&amp;IF(OR($J4="O",$K4="O",$L4="O",$M4="O",$N4="O",$O4="O"),"-","")&amp;$I4)</f>
        <v/>
      </c>
      <c r="Q4" s="110">
        <f>HYPERLINK("#'마스터_품목'!A4","→ 마스터 R4")</f>
        <v/>
      </c>
      <c r="R4" s="111" t="n">
        <v>4</v>
      </c>
      <c r="S4" s="111" t="inlineStr">
        <is>
          <t>마스터_품목</t>
        </is>
      </c>
    </row>
    <row r="5" ht="48" customHeight="1">
      <c r="A5" s="28" t="inlineStr">
        <is>
          <t>튜브</t>
        </is>
      </c>
      <c r="B5" s="28" t="inlineStr">
        <is>
          <t>공용</t>
        </is>
      </c>
      <c r="C5" s="23" t="n"/>
      <c r="D5" s="23" t="inlineStr">
        <is>
          <t>전극(100kV)</t>
        </is>
      </c>
      <c r="E5" s="23" t="inlineStr">
        <is>
          <t>전극(100kV) (순철 도금)
[DXDR-100]</t>
        </is>
      </c>
      <c r="F5" s="24" t="inlineStr">
        <is>
          <t>O</t>
        </is>
      </c>
      <c r="G5" s="25" t="n"/>
      <c r="H5" s="26" t="n"/>
      <c r="I5" s="27">
        <f>IFERROR(IF(OR($F5="O",$G5="O",$H5="O"),CHOOSE(MATCH($A5,{"튜브","고압","진공","튜닝","조립","출하"},0),"T","H","V","N","A","P")&amp;IF($F5="O","R",IF($G5="O","A",IF($H5="O","F",""))),""),"")</f>
        <v/>
      </c>
      <c r="J5" s="15" t="n"/>
      <c r="K5" s="16" t="n"/>
      <c r="L5" s="17" t="n"/>
      <c r="M5" s="18" t="inlineStr">
        <is>
          <t>O</t>
        </is>
      </c>
      <c r="N5" s="19" t="n"/>
      <c r="O5" s="20" t="n"/>
      <c r="P5" s="21">
        <f>IF($I5="","",IF($J5="O","3","")&amp;IF($K5="O","4","")&amp;IF($L5="O","6","")&amp;IF($M5="O","7","")&amp;IF($N5="O","8","")&amp;IF($O5="O","?","")&amp;IF(OR($J5="O",$K5="O",$L5="O",$M5="O",$N5="O",$O5="O"),"-","")&amp;$I5)</f>
        <v/>
      </c>
      <c r="Q5" s="110">
        <f>HYPERLINK("#'마스터_품목'!A5","→ 마스터 R5")</f>
        <v/>
      </c>
      <c r="R5" s="111" t="n">
        <v>5</v>
      </c>
      <c r="S5" s="111" t="inlineStr">
        <is>
          <t>마스터_품목</t>
        </is>
      </c>
    </row>
    <row r="6" ht="48" customHeight="1">
      <c r="A6" s="28" t="inlineStr">
        <is>
          <t>튜브</t>
        </is>
      </c>
      <c r="B6" s="28" t="inlineStr">
        <is>
          <t>DXDR-70</t>
        </is>
      </c>
      <c r="C6" s="23" t="n"/>
      <c r="D6" s="23" t="inlineStr">
        <is>
          <t>애노드 (70kV)</t>
        </is>
      </c>
      <c r="E6" s="23" t="inlineStr">
        <is>
          <t>에노드
[DXDR-070]</t>
        </is>
      </c>
      <c r="F6" s="24" t="inlineStr">
        <is>
          <t>O</t>
        </is>
      </c>
      <c r="G6" s="25" t="n"/>
      <c r="H6" s="26" t="n"/>
      <c r="I6" s="27">
        <f>IFERROR(IF(OR($F6="O",$G6="O",$H6="O"),CHOOSE(MATCH($A6,{"튜브","고압","진공","튜닝","조립","출하"},0),"T","H","V","N","A","P")&amp;IF($F6="O","R",IF($G6="O","A",IF($H6="O","F",""))),""),"")</f>
        <v/>
      </c>
      <c r="J6" s="15" t="n"/>
      <c r="K6" s="16" t="n"/>
      <c r="L6" s="17" t="n"/>
      <c r="M6" s="18" t="inlineStr">
        <is>
          <t>O</t>
        </is>
      </c>
      <c r="N6" s="19" t="n"/>
      <c r="O6" s="20" t="n"/>
      <c r="P6" s="21">
        <f>IF($I6="","",IF($J6="O","3","")&amp;IF($K6="O","4","")&amp;IF($L6="O","6","")&amp;IF($M6="O","7","")&amp;IF($N6="O","8","")&amp;IF($O6="O","?","")&amp;IF(OR($J6="O",$K6="O",$L6="O",$M6="O",$N6="O",$O6="O"),"-","")&amp;$I6)</f>
        <v/>
      </c>
      <c r="Q6" s="110">
        <f>HYPERLINK("#'마스터_품목'!A6","→ 마스터 R6")</f>
        <v/>
      </c>
      <c r="R6" s="111" t="n">
        <v>6</v>
      </c>
      <c r="S6" s="111" t="inlineStr">
        <is>
          <t>마스터_품목</t>
        </is>
      </c>
    </row>
    <row r="7" ht="48" customHeight="1">
      <c r="A7" s="28" t="inlineStr">
        <is>
          <t>튜브</t>
        </is>
      </c>
      <c r="B7" s="28" t="inlineStr">
        <is>
          <t>DXDR-70</t>
        </is>
      </c>
      <c r="C7" s="23" t="n"/>
      <c r="D7" s="23" t="inlineStr">
        <is>
          <t>포커서 (70kV)</t>
        </is>
      </c>
      <c r="E7" s="23" t="inlineStr">
        <is>
          <t>포커서
[DXDR-070]</t>
        </is>
      </c>
      <c r="F7" s="24" t="inlineStr">
        <is>
          <t>O</t>
        </is>
      </c>
      <c r="G7" s="25" t="n"/>
      <c r="H7" s="26" t="n"/>
      <c r="I7" s="27">
        <f>IFERROR(IF(OR($F7="O",$G7="O",$H7="O"),CHOOSE(MATCH($A7,{"튜브","고압","진공","튜닝","조립","출하"},0),"T","H","V","N","A","P")&amp;IF($F7="O","R",IF($G7="O","A",IF($H7="O","F",""))),""),"")</f>
        <v/>
      </c>
      <c r="J7" s="15" t="n"/>
      <c r="K7" s="16" t="n"/>
      <c r="L7" s="17" t="n"/>
      <c r="M7" s="18" t="inlineStr">
        <is>
          <t>O</t>
        </is>
      </c>
      <c r="N7" s="19" t="n"/>
      <c r="O7" s="20" t="n"/>
      <c r="P7" s="21">
        <f>IF($I7="","",IF($J7="O","3","")&amp;IF($K7="O","4","")&amp;IF($L7="O","6","")&amp;IF($M7="O","7","")&amp;IF($N7="O","8","")&amp;IF($O7="O","?","")&amp;IF(OR($J7="O",$K7="O",$L7="O",$M7="O",$N7="O",$O7="O"),"-","")&amp;$I7)</f>
        <v/>
      </c>
      <c r="Q7" s="110">
        <f>HYPERLINK("#'마스터_품목'!A7","→ 마스터 R7")</f>
        <v/>
      </c>
      <c r="R7" s="111" t="n">
        <v>7</v>
      </c>
      <c r="S7" s="111" t="inlineStr">
        <is>
          <t>마스터_품목</t>
        </is>
      </c>
    </row>
    <row r="8" ht="48" customHeight="1">
      <c r="A8" s="28" t="inlineStr">
        <is>
          <t>튜브</t>
        </is>
      </c>
      <c r="B8" s="28" t="inlineStr">
        <is>
          <t>DXDR-70</t>
        </is>
      </c>
      <c r="C8" s="23" t="n"/>
      <c r="D8" s="23" t="inlineStr">
        <is>
          <t>세라믹 바디 (70kV)</t>
        </is>
      </c>
      <c r="E8" s="23" t="inlineStr">
        <is>
          <t>세라믹 바디
[DXDR-070]</t>
        </is>
      </c>
      <c r="F8" s="24" t="inlineStr">
        <is>
          <t>O</t>
        </is>
      </c>
      <c r="G8" s="25" t="n"/>
      <c r="H8" s="26" t="n"/>
      <c r="I8" s="27">
        <f>IFERROR(IF(OR($F8="O",$G8="O",$H8="O"),CHOOSE(MATCH($A8,{"튜브","고압","진공","튜닝","조립","출하"},0),"T","H","V","N","A","P")&amp;IF($F8="O","R",IF($G8="O","A",IF($H8="O","F",""))),""),"")</f>
        <v/>
      </c>
      <c r="J8" s="15" t="n"/>
      <c r="K8" s="16" t="n"/>
      <c r="L8" s="17" t="n"/>
      <c r="M8" s="18" t="inlineStr">
        <is>
          <t>O</t>
        </is>
      </c>
      <c r="N8" s="19" t="n"/>
      <c r="O8" s="20" t="n"/>
      <c r="P8" s="21">
        <f>IF($I8="","",IF($J8="O","3","")&amp;IF($K8="O","4","")&amp;IF($L8="O","6","")&amp;IF($M8="O","7","")&amp;IF($N8="O","8","")&amp;IF($O8="O","?","")&amp;IF(OR($J8="O",$K8="O",$L8="O",$M8="O",$N8="O",$O8="O"),"-","")&amp;$I8)</f>
        <v/>
      </c>
      <c r="Q8" s="110">
        <f>HYPERLINK("#'마스터_품목'!A8","→ 마스터 R8")</f>
        <v/>
      </c>
      <c r="R8" s="111" t="n">
        <v>8</v>
      </c>
      <c r="S8" s="111" t="inlineStr">
        <is>
          <t>마스터_품목</t>
        </is>
      </c>
    </row>
    <row r="9" ht="48" customHeight="1">
      <c r="A9" s="28" t="inlineStr">
        <is>
          <t>튜브</t>
        </is>
      </c>
      <c r="B9" s="28" t="inlineStr">
        <is>
          <t>DXDR-70</t>
        </is>
      </c>
      <c r="C9" s="23" t="n"/>
      <c r="D9" s="23" t="inlineStr">
        <is>
          <t>세라믹 스템 (70kV)</t>
        </is>
      </c>
      <c r="E9" s="23" t="inlineStr">
        <is>
          <t>세라믹 스템
[DXDR-070]</t>
        </is>
      </c>
      <c r="F9" s="24" t="inlineStr">
        <is>
          <t>O</t>
        </is>
      </c>
      <c r="G9" s="25" t="n"/>
      <c r="H9" s="26" t="n"/>
      <c r="I9" s="27">
        <f>IFERROR(IF(OR($F9="O",$G9="O",$H9="O"),CHOOSE(MATCH($A9,{"튜브","고압","진공","튜닝","조립","출하"},0),"T","H","V","N","A","P")&amp;IF($F9="O","R",IF($G9="O","A",IF($H9="O","F",""))),""),"")</f>
        <v/>
      </c>
      <c r="J9" s="15" t="n"/>
      <c r="K9" s="16" t="n"/>
      <c r="L9" s="17" t="n"/>
      <c r="M9" s="18" t="inlineStr">
        <is>
          <t>O</t>
        </is>
      </c>
      <c r="N9" s="19" t="n"/>
      <c r="O9" s="20" t="n"/>
      <c r="P9" s="21">
        <f>IF($I9="","",IF($J9="O","3","")&amp;IF($K9="O","4","")&amp;IF($L9="O","6","")&amp;IF($M9="O","7","")&amp;IF($N9="O","8","")&amp;IF($O9="O","?","")&amp;IF(OR($J9="O",$K9="O",$L9="O",$M9="O",$N9="O",$O9="O"),"-","")&amp;$I9)</f>
        <v/>
      </c>
      <c r="Q9" s="110">
        <f>HYPERLINK("#'마스터_품목'!A9","→ 마스터 R9")</f>
        <v/>
      </c>
      <c r="R9" s="111" t="n">
        <v>9</v>
      </c>
      <c r="S9" s="111" t="inlineStr">
        <is>
          <t>마스터_품목</t>
        </is>
      </c>
    </row>
    <row r="10" ht="48" customHeight="1">
      <c r="A10" s="28" t="inlineStr">
        <is>
          <t>튜브</t>
        </is>
      </c>
      <c r="B10" s="28" t="inlineStr">
        <is>
          <t>DXDR-70</t>
        </is>
      </c>
      <c r="C10" s="23" t="n"/>
      <c r="D10" s="23" t="inlineStr">
        <is>
          <t>필러 (70kV)</t>
        </is>
      </c>
      <c r="E10" s="23" t="inlineStr">
        <is>
          <t>필러
[DXDR-070]</t>
        </is>
      </c>
      <c r="F10" s="24" t="inlineStr">
        <is>
          <t>O</t>
        </is>
      </c>
      <c r="G10" s="25" t="n"/>
      <c r="H10" s="26" t="n"/>
      <c r="I10" s="27">
        <f>IFERROR(IF(OR($F10="O",$G10="O",$H10="O"),CHOOSE(MATCH($A10,{"튜브","고압","진공","튜닝","조립","출하"},0),"T","H","V","N","A","P")&amp;IF($F10="O","R",IF($G10="O","A",IF($H10="O","F",""))),""),"")</f>
        <v/>
      </c>
      <c r="J10" s="15" t="n"/>
      <c r="K10" s="16" t="n"/>
      <c r="L10" s="17" t="n"/>
      <c r="M10" s="18" t="inlineStr">
        <is>
          <t>O</t>
        </is>
      </c>
      <c r="N10" s="19" t="n"/>
      <c r="O10" s="20" t="n"/>
      <c r="P10" s="21">
        <f>IF($I10="","",IF($J10="O","3","")&amp;IF($K10="O","4","")&amp;IF($L10="O","6","")&amp;IF($M10="O","7","")&amp;IF($N10="O","8","")&amp;IF($O10="O","?","")&amp;IF(OR($J10="O",$K10="O",$L10="O",$M10="O",$N10="O",$O10="O"),"-","")&amp;$I10)</f>
        <v/>
      </c>
      <c r="Q10" s="110">
        <f>HYPERLINK("#'마스터_품목'!A10","→ 마스터 R10")</f>
        <v/>
      </c>
      <c r="R10" s="111" t="n">
        <v>10</v>
      </c>
      <c r="S10" s="111" t="inlineStr">
        <is>
          <t>마스터_품목</t>
        </is>
      </c>
    </row>
    <row r="11" ht="48" customHeight="1">
      <c r="A11" s="28" t="inlineStr">
        <is>
          <t>튜브</t>
        </is>
      </c>
      <c r="B11" s="28" t="inlineStr">
        <is>
          <t>DXDR-70</t>
        </is>
      </c>
      <c r="C11" s="23" t="n"/>
      <c r="D11" s="23" t="inlineStr">
        <is>
          <t>전극 필러 (70kV)</t>
        </is>
      </c>
      <c r="E11" s="23" t="inlineStr">
        <is>
          <t>전극 필러
[DXDR-070]</t>
        </is>
      </c>
      <c r="F11" s="24" t="inlineStr">
        <is>
          <t>O</t>
        </is>
      </c>
      <c r="G11" s="25" t="n"/>
      <c r="H11" s="26" t="n"/>
      <c r="I11" s="27">
        <f>IFERROR(IF(OR($F11="O",$G11="O",$H11="O"),CHOOSE(MATCH($A11,{"튜브","고압","진공","튜닝","조립","출하"},0),"T","H","V","N","A","P")&amp;IF($F11="O","R",IF($G11="O","A",IF($H11="O","F",""))),""),"")</f>
        <v/>
      </c>
      <c r="J11" s="15" t="n"/>
      <c r="K11" s="16" t="n"/>
      <c r="L11" s="17" t="n"/>
      <c r="M11" s="18" t="inlineStr">
        <is>
          <t>O</t>
        </is>
      </c>
      <c r="N11" s="19" t="n"/>
      <c r="O11" s="20" t="n"/>
      <c r="P11" s="21">
        <f>IF($I11="","",IF($J11="O","3","")&amp;IF($K11="O","4","")&amp;IF($L11="O","6","")&amp;IF($M11="O","7","")&amp;IF($N11="O","8","")&amp;IF($O11="O","?","")&amp;IF(OR($J11="O",$K11="O",$L11="O",$M11="O",$N11="O",$O11="O"),"-","")&amp;$I11)</f>
        <v/>
      </c>
      <c r="Q11" s="110">
        <f>HYPERLINK("#'마스터_품목'!A11","→ 마스터 R11")</f>
        <v/>
      </c>
      <c r="R11" s="111" t="n">
        <v>11</v>
      </c>
      <c r="S11" s="111" t="inlineStr">
        <is>
          <t>마스터_품목</t>
        </is>
      </c>
    </row>
    <row r="12" ht="48" customHeight="1">
      <c r="A12" s="28" t="inlineStr">
        <is>
          <t>튜브</t>
        </is>
      </c>
      <c r="B12" s="28" t="inlineStr">
        <is>
          <t>DXDR-100</t>
        </is>
      </c>
      <c r="C12" s="23" t="n"/>
      <c r="D12" s="23" t="inlineStr">
        <is>
          <t>애노드 (100kV)</t>
        </is>
      </c>
      <c r="E12" s="23" t="inlineStr">
        <is>
          <t>에노드
[DXDR-100]</t>
        </is>
      </c>
      <c r="F12" s="24" t="inlineStr">
        <is>
          <t>O</t>
        </is>
      </c>
      <c r="G12" s="25" t="n"/>
      <c r="H12" s="26" t="n"/>
      <c r="I12" s="27">
        <f>IFERROR(IF(OR($F12="O",$G12="O",$H12="O"),CHOOSE(MATCH($A12,{"튜브","고압","진공","튜닝","조립","출하"},0),"T","H","V","N","A","P")&amp;IF($F12="O","R",IF($G12="O","A",IF($H12="O","F",""))),""),"")</f>
        <v/>
      </c>
      <c r="J12" s="15" t="n"/>
      <c r="K12" s="16" t="n"/>
      <c r="L12" s="17" t="n"/>
      <c r="M12" s="18" t="n"/>
      <c r="N12" s="19" t="n"/>
      <c r="O12" s="20" t="inlineStr">
        <is>
          <t>O</t>
        </is>
      </c>
      <c r="P12" s="21">
        <f>IF($I12="","",IF($J12="O","3","")&amp;IF($K12="O","4","")&amp;IF($L12="O","6","")&amp;IF($M12="O","7","")&amp;IF($N12="O","8","")&amp;IF($O12="O","?","")&amp;IF(OR($J12="O",$K12="O",$L12="O",$M12="O",$N12="O",$O12="O"),"-","")&amp;$I12)</f>
        <v/>
      </c>
      <c r="Q12" s="110">
        <f>HYPERLINK("#'마스터_품목'!A12","→ 마스터 R12")</f>
        <v/>
      </c>
      <c r="R12" s="111" t="n">
        <v>12</v>
      </c>
      <c r="S12" s="111" t="inlineStr">
        <is>
          <t>마스터_품목</t>
        </is>
      </c>
    </row>
    <row r="13" ht="48" customHeight="1">
      <c r="A13" s="28" t="inlineStr">
        <is>
          <t>튜브</t>
        </is>
      </c>
      <c r="B13" s="28" t="inlineStr">
        <is>
          <t>DXDR-100</t>
        </is>
      </c>
      <c r="C13" s="23" t="n"/>
      <c r="D13" s="23" t="inlineStr">
        <is>
          <t>에노드 링</t>
        </is>
      </c>
      <c r="E13" s="23" t="inlineStr">
        <is>
          <t>에노드 링
[DXDR-100]</t>
        </is>
      </c>
      <c r="F13" s="24" t="inlineStr">
        <is>
          <t>O</t>
        </is>
      </c>
      <c r="G13" s="25" t="n"/>
      <c r="H13" s="26" t="n"/>
      <c r="I13" s="27">
        <f>IFERROR(IF(OR($F13="O",$G13="O",$H13="O"),CHOOSE(MATCH($A13,{"튜브","고압","진공","튜닝","조립","출하"},0),"T","H","V","N","A","P")&amp;IF($F13="O","R",IF($G13="O","A",IF($H13="O","F",""))),""),"")</f>
        <v/>
      </c>
      <c r="J13" s="15" t="n"/>
      <c r="K13" s="16" t="n"/>
      <c r="L13" s="17" t="n"/>
      <c r="M13" s="18" t="n"/>
      <c r="N13" s="19" t="n"/>
      <c r="O13" s="20" t="inlineStr">
        <is>
          <t>O</t>
        </is>
      </c>
      <c r="P13" s="21">
        <f>IF($I13="","",IF($J13="O","3","")&amp;IF($K13="O","4","")&amp;IF($L13="O","6","")&amp;IF($M13="O","7","")&amp;IF($N13="O","8","")&amp;IF($O13="O","?","")&amp;IF(OR($J13="O",$K13="O",$L13="O",$M13="O",$N13="O",$O13="O"),"-","")&amp;$I13)</f>
        <v/>
      </c>
      <c r="Q13" s="110">
        <f>HYPERLINK("#'마스터_품목'!A13","→ 마스터 R13")</f>
        <v/>
      </c>
      <c r="R13" s="111" t="n">
        <v>13</v>
      </c>
      <c r="S13" s="111" t="inlineStr">
        <is>
          <t>마스터_품목</t>
        </is>
      </c>
    </row>
    <row r="14" ht="48" customHeight="1">
      <c r="A14" s="28" t="inlineStr">
        <is>
          <t>튜브</t>
        </is>
      </c>
      <c r="B14" s="28" t="inlineStr">
        <is>
          <t>DXDR-100</t>
        </is>
      </c>
      <c r="C14" s="23" t="n"/>
      <c r="D14" s="23" t="inlineStr">
        <is>
          <t>포커서 (100kV)</t>
        </is>
      </c>
      <c r="E14" s="23" t="inlineStr">
        <is>
          <t>포커서
[DXDR-100]</t>
        </is>
      </c>
      <c r="F14" s="24" t="inlineStr">
        <is>
          <t>O</t>
        </is>
      </c>
      <c r="G14" s="25" t="n"/>
      <c r="H14" s="26" t="n"/>
      <c r="I14" s="27">
        <f>IFERROR(IF(OR($F14="O",$G14="O",$H14="O"),CHOOSE(MATCH($A14,{"튜브","고압","진공","튜닝","조립","출하"},0),"T","H","V","N","A","P")&amp;IF($F14="O","R",IF($G14="O","A",IF($H14="O","F",""))),""),"")</f>
        <v/>
      </c>
      <c r="J14" s="15" t="n"/>
      <c r="K14" s="16" t="n"/>
      <c r="L14" s="17" t="n"/>
      <c r="M14" s="18" t="n"/>
      <c r="N14" s="19" t="n"/>
      <c r="O14" s="20" t="inlineStr">
        <is>
          <t>O</t>
        </is>
      </c>
      <c r="P14" s="21">
        <f>IF($I14="","",IF($J14="O","3","")&amp;IF($K14="O","4","")&amp;IF($L14="O","6","")&amp;IF($M14="O","7","")&amp;IF($N14="O","8","")&amp;IF($O14="O","?","")&amp;IF(OR($J14="O",$K14="O",$L14="O",$M14="O",$N14="O",$O14="O"),"-","")&amp;$I14)</f>
        <v/>
      </c>
      <c r="Q14" s="110">
        <f>HYPERLINK("#'마스터_품목'!A14","→ 마스터 R14")</f>
        <v/>
      </c>
      <c r="R14" s="111" t="n">
        <v>14</v>
      </c>
      <c r="S14" s="111" t="inlineStr">
        <is>
          <t>마스터_품목</t>
        </is>
      </c>
    </row>
    <row r="15" ht="48" customHeight="1">
      <c r="A15" s="28" t="inlineStr">
        <is>
          <t>튜브</t>
        </is>
      </c>
      <c r="B15" s="28" t="inlineStr">
        <is>
          <t>DXDR-100</t>
        </is>
      </c>
      <c r="C15" s="23" t="n"/>
      <c r="D15" s="23" t="inlineStr">
        <is>
          <t>세라믹 바디 (100kV)</t>
        </is>
      </c>
      <c r="E15" s="23" t="inlineStr">
        <is>
          <t>세라믹 바디
[DXDR-100]</t>
        </is>
      </c>
      <c r="F15" s="24" t="inlineStr">
        <is>
          <t>O</t>
        </is>
      </c>
      <c r="G15" s="25" t="n"/>
      <c r="H15" s="26" t="n"/>
      <c r="I15" s="27">
        <f>IFERROR(IF(OR($F15="O",$G15="O",$H15="O"),CHOOSE(MATCH($A15,{"튜브","고압","진공","튜닝","조립","출하"},0),"T","H","V","N","A","P")&amp;IF($F15="O","R",IF($G15="O","A",IF($H15="O","F",""))),""),"")</f>
        <v/>
      </c>
      <c r="J15" s="15" t="n"/>
      <c r="K15" s="16" t="n"/>
      <c r="L15" s="17" t="n"/>
      <c r="M15" s="18" t="n"/>
      <c r="N15" s="19" t="n"/>
      <c r="O15" s="20" t="inlineStr">
        <is>
          <t>O</t>
        </is>
      </c>
      <c r="P15" s="21">
        <f>IF($I15="","",IF($J15="O","3","")&amp;IF($K15="O","4","")&amp;IF($L15="O","6","")&amp;IF($M15="O","7","")&amp;IF($N15="O","8","")&amp;IF($O15="O","?","")&amp;IF(OR($J15="O",$K15="O",$L15="O",$M15="O",$N15="O",$O15="O"),"-","")&amp;$I15)</f>
        <v/>
      </c>
      <c r="Q15" s="110">
        <f>HYPERLINK("#'마스터_품목'!A15","→ 마스터 R15")</f>
        <v/>
      </c>
      <c r="R15" s="111" t="n">
        <v>15</v>
      </c>
      <c r="S15" s="111" t="inlineStr">
        <is>
          <t>마스터_품목</t>
        </is>
      </c>
    </row>
    <row r="16" ht="48" customHeight="1">
      <c r="A16" s="28" t="inlineStr">
        <is>
          <t>튜브</t>
        </is>
      </c>
      <c r="B16" s="28" t="inlineStr">
        <is>
          <t>DXDR-100</t>
        </is>
      </c>
      <c r="C16" s="23" t="n"/>
      <c r="D16" s="23" t="inlineStr">
        <is>
          <t>세라믹 슬리브</t>
        </is>
      </c>
      <c r="E16" s="23" t="inlineStr">
        <is>
          <t>세라믹 슬리브
[DXDR-100]</t>
        </is>
      </c>
      <c r="F16" s="24" t="inlineStr">
        <is>
          <t>O</t>
        </is>
      </c>
      <c r="G16" s="25" t="n"/>
      <c r="H16" s="26" t="n"/>
      <c r="I16" s="27">
        <f>IFERROR(IF(OR($F16="O",$G16="O",$H16="O"),CHOOSE(MATCH($A16,{"튜브","고압","진공","튜닝","조립","출하"},0),"T","H","V","N","A","P")&amp;IF($F16="O","R",IF($G16="O","A",IF($H16="O","F",""))),""),"")</f>
        <v/>
      </c>
      <c r="J16" s="15" t="n"/>
      <c r="K16" s="16" t="n"/>
      <c r="L16" s="17" t="n"/>
      <c r="M16" s="18" t="n"/>
      <c r="N16" s="19" t="n"/>
      <c r="O16" s="20" t="inlineStr">
        <is>
          <t>O</t>
        </is>
      </c>
      <c r="P16" s="21">
        <f>IF($I16="","",IF($J16="O","3","")&amp;IF($K16="O","4","")&amp;IF($L16="O","6","")&amp;IF($M16="O","7","")&amp;IF($N16="O","8","")&amp;IF($O16="O","?","")&amp;IF(OR($J16="O",$K16="O",$L16="O",$M16="O",$N16="O",$O16="O"),"-","")&amp;$I16)</f>
        <v/>
      </c>
      <c r="Q16" s="110">
        <f>HYPERLINK("#'마스터_품목'!A16","→ 마스터 R16")</f>
        <v/>
      </c>
      <c r="R16" s="111" t="n">
        <v>16</v>
      </c>
      <c r="S16" s="111" t="inlineStr">
        <is>
          <t>마스터_품목</t>
        </is>
      </c>
    </row>
    <row r="17" ht="48" customHeight="1">
      <c r="A17" s="28" t="inlineStr">
        <is>
          <t>튜브</t>
        </is>
      </c>
      <c r="B17" s="28" t="inlineStr">
        <is>
          <t>DXDR-100</t>
        </is>
      </c>
      <c r="C17" s="23" t="n"/>
      <c r="D17" s="23" t="inlineStr">
        <is>
          <t>필러 (100kV)</t>
        </is>
      </c>
      <c r="E17" s="23" t="inlineStr">
        <is>
          <t>필러
[DXDR-100]</t>
        </is>
      </c>
      <c r="F17" s="24" t="inlineStr">
        <is>
          <t>O</t>
        </is>
      </c>
      <c r="G17" s="25" t="n"/>
      <c r="H17" s="26" t="n"/>
      <c r="I17" s="27">
        <f>IFERROR(IF(OR($F17="O",$G17="O",$H17="O"),CHOOSE(MATCH($A17,{"튜브","고압","진공","튜닝","조립","출하"},0),"T","H","V","N","A","P")&amp;IF($F17="O","R",IF($G17="O","A",IF($H17="O","F",""))),""),"")</f>
        <v/>
      </c>
      <c r="J17" s="15" t="n"/>
      <c r="K17" s="16" t="n"/>
      <c r="L17" s="17" t="n"/>
      <c r="M17" s="18" t="n"/>
      <c r="N17" s="19" t="n"/>
      <c r="O17" s="20" t="inlineStr">
        <is>
          <t>O</t>
        </is>
      </c>
      <c r="P17" s="21">
        <f>IF($I17="","",IF($J17="O","3","")&amp;IF($K17="O","4","")&amp;IF($L17="O","6","")&amp;IF($M17="O","7","")&amp;IF($N17="O","8","")&amp;IF($O17="O","?","")&amp;IF(OR($J17="O",$K17="O",$L17="O",$M17="O",$N17="O",$O17="O"),"-","")&amp;$I17)</f>
        <v/>
      </c>
      <c r="Q17" s="110">
        <f>HYPERLINK("#'마스터_품목'!A17","→ 마스터 R17")</f>
        <v/>
      </c>
      <c r="R17" s="111" t="n">
        <v>17</v>
      </c>
      <c r="S17" s="111" t="inlineStr">
        <is>
          <t>마스터_품목</t>
        </is>
      </c>
    </row>
    <row r="18" ht="48" customHeight="1">
      <c r="A18" s="28" t="inlineStr">
        <is>
          <t>튜브</t>
        </is>
      </c>
      <c r="B18" s="28" t="inlineStr">
        <is>
          <t>DXDR-100</t>
        </is>
      </c>
      <c r="C18" s="23" t="n"/>
      <c r="D18" s="23" t="inlineStr">
        <is>
          <t>전극 필러 (100kV)</t>
        </is>
      </c>
      <c r="E18" s="23" t="inlineStr">
        <is>
          <t>전극 필러
[DXDR-100]</t>
        </is>
      </c>
      <c r="F18" s="24" t="inlineStr">
        <is>
          <t>O</t>
        </is>
      </c>
      <c r="G18" s="25" t="n"/>
      <c r="H18" s="26" t="n"/>
      <c r="I18" s="27">
        <f>IFERROR(IF(OR($F18="O",$G18="O",$H18="O"),CHOOSE(MATCH($A18,{"튜브","고압","진공","튜닝","조립","출하"},0),"T","H","V","N","A","P")&amp;IF($F18="O","R",IF($G18="O","A",IF($H18="O","F",""))),""),"")</f>
        <v/>
      </c>
      <c r="J18" s="15" t="n"/>
      <c r="K18" s="16" t="n"/>
      <c r="L18" s="17" t="n"/>
      <c r="M18" s="18" t="n"/>
      <c r="N18" s="19" t="n"/>
      <c r="O18" s="20" t="inlineStr">
        <is>
          <t>O</t>
        </is>
      </c>
      <c r="P18" s="21">
        <f>IF($I18="","",IF($J18="O","3","")&amp;IF($K18="O","4","")&amp;IF($L18="O","6","")&amp;IF($M18="O","7","")&amp;IF($N18="O","8","")&amp;IF($O18="O","?","")&amp;IF(OR($J18="O",$K18="O",$L18="O",$M18="O",$N18="O",$O18="O"),"-","")&amp;$I18)</f>
        <v/>
      </c>
      <c r="Q18" s="110">
        <f>HYPERLINK("#'마스터_품목'!A18","→ 마스터 R18")</f>
        <v/>
      </c>
      <c r="R18" s="111" t="n">
        <v>18</v>
      </c>
      <c r="S18" s="111" t="inlineStr">
        <is>
          <t>마스터_품목</t>
        </is>
      </c>
    </row>
    <row r="19" ht="48" customHeight="1">
      <c r="A19" s="28" t="inlineStr">
        <is>
          <t>튜브</t>
        </is>
      </c>
      <c r="B19" s="28" t="inlineStr">
        <is>
          <t>완제품 튜브</t>
        </is>
      </c>
      <c r="C19" s="23" t="n"/>
      <c r="D19" s="23" t="inlineStr">
        <is>
          <t>DXDR-70 튜브</t>
        </is>
      </c>
      <c r="E19" s="23" t="n"/>
      <c r="F19" s="24" t="n"/>
      <c r="G19" s="25" t="n"/>
      <c r="H19" s="26" t="inlineStr">
        <is>
          <t>O</t>
        </is>
      </c>
      <c r="I19" s="27">
        <f>IFERROR(IF(OR($F19="O",$G19="O",$H19="O"),CHOOSE(MATCH($A19,{"튜브","고압","진공","튜닝","조립","출하"},0),"T","H","V","N","A","P")&amp;IF($F19="O","R",IF($G19="O","A",IF($H19="O","F",""))),""),"")</f>
        <v/>
      </c>
      <c r="J19" s="15" t="n"/>
      <c r="K19" s="16" t="n"/>
      <c r="L19" s="17" t="n"/>
      <c r="M19" s="18" t="inlineStr">
        <is>
          <t>O</t>
        </is>
      </c>
      <c r="N19" s="19" t="n"/>
      <c r="O19" s="20" t="n"/>
      <c r="P19" s="21">
        <f>IF($I19="","",IF($J19="O","3","")&amp;IF($K19="O","4","")&amp;IF($L19="O","6","")&amp;IF($M19="O","7","")&amp;IF($N19="O","8","")&amp;IF($O19="O","?","")&amp;IF(OR($J19="O",$K19="O",$L19="O",$M19="O",$N19="O",$O19="O"),"-","")&amp;$I19)</f>
        <v/>
      </c>
      <c r="Q19" s="110">
        <f>HYPERLINK("#'마스터_품목'!A19","→ 마스터 R19")</f>
        <v/>
      </c>
      <c r="R19" s="111" t="n">
        <v>19</v>
      </c>
      <c r="S19" s="111" t="inlineStr">
        <is>
          <t>마스터_품목</t>
        </is>
      </c>
    </row>
    <row r="20" ht="48" customHeight="1">
      <c r="A20" s="28" t="inlineStr">
        <is>
          <t>튜브</t>
        </is>
      </c>
      <c r="B20" s="28" t="inlineStr">
        <is>
          <t>완제품 튜브</t>
        </is>
      </c>
      <c r="C20" s="23" t="n"/>
      <c r="D20" s="23" t="inlineStr">
        <is>
          <t>DXDR-100 튜브</t>
        </is>
      </c>
      <c r="E20" s="23" t="n"/>
      <c r="F20" s="24" t="n"/>
      <c r="G20" s="25" t="n"/>
      <c r="H20" s="26" t="inlineStr">
        <is>
          <t>O</t>
        </is>
      </c>
      <c r="I20" s="27">
        <f>IFERROR(IF(OR($F20="O",$G20="O",$H20="O"),CHOOSE(MATCH($A20,{"튜브","고압","진공","튜닝","조립","출하"},0),"T","H","V","N","A","P")&amp;IF($F20="O","R",IF($G20="O","A",IF($H20="O","F",""))),""),"")</f>
        <v/>
      </c>
      <c r="J20" s="15" t="n"/>
      <c r="K20" s="16" t="n"/>
      <c r="L20" s="17" t="n"/>
      <c r="M20" s="18" t="n"/>
      <c r="N20" s="19" t="n"/>
      <c r="O20" s="20" t="inlineStr">
        <is>
          <t>O</t>
        </is>
      </c>
      <c r="P20" s="21">
        <f>IF($I20="","",IF($J20="O","3","")&amp;IF($K20="O","4","")&amp;IF($L20="O","6","")&amp;IF($M20="O","7","")&amp;IF($N20="O","8","")&amp;IF($O20="O","?","")&amp;IF(OR($J20="O",$K20="O",$L20="O",$M20="O",$N20="O",$O20="O"),"-","")&amp;$I20)</f>
        <v/>
      </c>
      <c r="Q20" s="110">
        <f>HYPERLINK("#'마스터_품목'!A20","→ 마스터 R20")</f>
        <v/>
      </c>
      <c r="R20" s="111" t="n">
        <v>20</v>
      </c>
      <c r="S20" s="111" t="inlineStr">
        <is>
          <t>마스터_품목</t>
        </is>
      </c>
    </row>
  </sheetData>
  <autoFilter ref="A1:S20"/>
  <conditionalFormatting sqref="E2:E20">
    <cfRule type="notContainsBlanks" priority="1" dxfId="8"/>
  </conditionalFormatting>
  <conditionalFormatting sqref="I2:I20">
    <cfRule type="expression" priority="2" dxfId="7">
      <formula>RIGHT($I2,1)="R"</formula>
    </cfRule>
    <cfRule type="expression" priority="3" dxfId="6">
      <formula>RIGHT($I2,1)="A"</formula>
    </cfRule>
    <cfRule type="expression" priority="4" dxfId="5">
      <formula>RIGHT($I2,1)="F"</formula>
    </cfRule>
  </conditionalFormatting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5"/>
  <sheetViews>
    <sheetView topLeftCell="A1" zoomScale="70" zoomScaleNormal="70" workbookViewId="0">
      <pane ySplit="1" topLeftCell="A2" activePane="bottomLeft" state="frozen"/>
      <selection activeCell="A1" sqref="A1"/>
    </sheetView>
  </sheetViews>
  <sheetFormatPr baseColWidth="8" defaultRowHeight="16.5"/>
  <cols>
    <col width="8" customWidth="1" style="139" min="1" max="1"/>
    <col width="14" customWidth="1" style="139" min="2" max="2"/>
    <col width="22" customWidth="1" style="139" min="3" max="3"/>
    <col width="52" customWidth="1" style="139" min="4" max="5"/>
    <col outlineLevel="2" width="9" customWidth="1" style="139" min="6" max="6"/>
    <col outlineLevel="2" width="13" customWidth="1" style="139" min="7" max="8"/>
    <col outlineLevel="2" width="9" customWidth="1" style="139" min="9" max="9"/>
    <col outlineLevel="1" width="16" bestFit="1" customWidth="1" style="139" min="10" max="10"/>
    <col outlineLevel="1" width="13.75" customWidth="1" style="139" min="11" max="11"/>
    <col outlineLevel="1" width="13" customWidth="1" style="139" min="12" max="14"/>
    <col outlineLevel="1" collapsed="1" width="13" customWidth="1" style="139" min="15" max="15"/>
    <col width="14" customWidth="1" style="139" min="16" max="16"/>
    <col width="16" customWidth="1" style="139" min="17" max="17"/>
    <col width="9" customWidth="1" style="139" min="18" max="18"/>
    <col width="14" customWidth="1" style="139" min="19" max="19"/>
    <col width="9" customWidth="1" style="139" min="20" max="20"/>
    <col width="9" customWidth="1" style="139" min="21" max="16384"/>
  </cols>
  <sheetData>
    <row r="1" ht="36" customHeight="1">
      <c r="A1" s="128" t="inlineStr">
        <is>
          <t>부서</t>
        </is>
      </c>
      <c r="B1" s="128" t="inlineStr">
        <is>
          <t>분류</t>
        </is>
      </c>
      <c r="C1" s="128" t="inlineStr">
        <is>
          <t>모델</t>
        </is>
      </c>
      <c r="D1" s="128" t="inlineStr">
        <is>
          <t>품목</t>
        </is>
      </c>
      <c r="E1" s="129" t="inlineStr">
        <is>
          <t>▼ 창고 품명 (창고파일에서 복사→붙여넣기)</t>
        </is>
      </c>
      <c r="F1" s="130" t="inlineStr">
        <is>
          <t>원자재</t>
        </is>
      </c>
      <c r="G1" s="131" t="inlineStr">
        <is>
          <t>반제품</t>
        </is>
      </c>
      <c r="H1" s="132" t="inlineStr">
        <is>
          <t>완제품</t>
        </is>
      </c>
      <c r="I1" s="133" t="inlineStr">
        <is>
          <t>코드</t>
        </is>
      </c>
      <c r="J1" s="130" t="inlineStr">
        <is>
          <t>3
(DX3000)</t>
        </is>
      </c>
      <c r="K1" s="131" t="inlineStr">
        <is>
          <t>4
(ADX4000W)</t>
        </is>
      </c>
      <c r="L1" s="134" t="inlineStr">
        <is>
          <t>6
(ADX6000FB)</t>
        </is>
      </c>
      <c r="M1" s="132" t="inlineStr">
        <is>
          <t>7
(COCOON)</t>
        </is>
      </c>
      <c r="N1" s="135" t="inlineStr">
        <is>
          <t>8
(SOLO)</t>
        </is>
      </c>
      <c r="O1" s="136" t="inlineStr">
        <is>
          <t>?
(신제품)</t>
        </is>
      </c>
      <c r="P1" s="133" t="inlineStr">
        <is>
          <t>ERP 코드
{모델}-{공정}</t>
        </is>
      </c>
      <c r="Q1" s="137" t="inlineStr">
        <is>
          <t>바로가기
(마스터로)</t>
        </is>
      </c>
      <c r="R1" s="138" t="inlineStr">
        <is>
          <t>마스터행</t>
        </is>
      </c>
      <c r="S1" s="138" t="inlineStr">
        <is>
          <t>마스터시트</t>
        </is>
      </c>
    </row>
    <row r="2" ht="48" customHeight="1">
      <c r="A2" s="140" t="inlineStr">
        <is>
          <t>고압</t>
        </is>
      </c>
      <c r="B2" s="140" t="inlineStr">
        <is>
          <t>튜브</t>
        </is>
      </c>
      <c r="C2" s="141" t="inlineStr">
        <is>
          <t>DX3000,  ADX4000W</t>
        </is>
      </c>
      <c r="D2" s="141" t="inlineStr">
        <is>
          <t>캐논튜브 [ D-081B ] _ 60KV</t>
        </is>
      </c>
      <c r="E2" s="141" t="inlineStr">
        <is>
          <t>TUBE (60KV D-081B)
[DX3000, ADX4000W]</t>
        </is>
      </c>
      <c r="F2" s="142" t="inlineStr">
        <is>
          <t>O</t>
        </is>
      </c>
      <c r="G2" s="143" t="n"/>
      <c r="H2" s="144" t="n"/>
      <c r="I2" s="145">
        <f>IFERROR(IF(OR($F2="O",$G2="O",$H2="O"),CHOOSE(MATCH($A2,{"튜브","고압","진공","튜닝","조립","출하"},0),"T","H","V","N","A","P")&amp;IF($F2="O","R",IF($G2="O","A",IF($H2="O","F",""))),""),"")</f>
        <v/>
      </c>
      <c r="J2" s="146" t="inlineStr">
        <is>
          <t>O</t>
        </is>
      </c>
      <c r="K2" s="147" t="inlineStr">
        <is>
          <t>O</t>
        </is>
      </c>
      <c r="L2" s="148" t="n"/>
      <c r="M2" s="149" t="n"/>
      <c r="N2" s="150" t="n"/>
      <c r="O2" s="151" t="n"/>
      <c r="P2" s="152">
        <f>IF($I2="","",IF($J2="O","3","")&amp;IF($K2="O","4","")&amp;IF($L2="O","6","")&amp;IF($M2="O","7","")&amp;IF($N2="O","8","")&amp;IF($O2="O","?","")&amp;IF(OR($J2="O",$K2="O",$L2="O",$M2="O",$N2="O",$O2="O"),"-","")&amp;$I2)</f>
        <v/>
      </c>
      <c r="Q2" s="153">
        <f>HYPERLINK("#'마스터_품목'!A21","→ 마스터 R21")</f>
        <v/>
      </c>
      <c r="R2" s="154" t="n">
        <v>21</v>
      </c>
      <c r="S2" s="154" t="inlineStr">
        <is>
          <t>마스터_품목</t>
        </is>
      </c>
    </row>
    <row r="3" ht="48" customHeight="1">
      <c r="A3" s="140" t="inlineStr">
        <is>
          <t>고압</t>
        </is>
      </c>
      <c r="B3" s="140" t="inlineStr">
        <is>
          <t>튜브</t>
        </is>
      </c>
      <c r="C3" s="141" t="inlineStr">
        <is>
          <t>COCOON, 
SOLO</t>
        </is>
      </c>
      <c r="D3" s="141" t="inlineStr">
        <is>
          <t>캐논튜브 [ D-041 ] _ 70KV</t>
        </is>
      </c>
      <c r="E3" s="141" t="inlineStr">
        <is>
          <t>TUBE (70KV D-041)
[COCOON]</t>
        </is>
      </c>
      <c r="F3" s="142" t="inlineStr">
        <is>
          <t>O</t>
        </is>
      </c>
      <c r="G3" s="143" t="n"/>
      <c r="H3" s="144" t="n"/>
      <c r="I3" s="145">
        <f>IFERROR(IF(OR($F3="O",$G3="O",$H3="O"),CHOOSE(MATCH($A3,{"튜브","고압","진공","튜닝","조립","출하"},0),"T","H","V","N","A","P")&amp;IF($F3="O","R",IF($G3="O","A",IF($H3="O","F",""))),""),"")</f>
        <v/>
      </c>
      <c r="J3" s="146" t="n"/>
      <c r="K3" s="147" t="n"/>
      <c r="L3" s="148" t="n"/>
      <c r="M3" s="149" t="inlineStr">
        <is>
          <t>O</t>
        </is>
      </c>
      <c r="N3" s="150" t="inlineStr">
        <is>
          <t>O</t>
        </is>
      </c>
      <c r="O3" s="151" t="n"/>
      <c r="P3" s="152">
        <f>IF($I3="","",IF($J3="O","3","")&amp;IF($K3="O","4","")&amp;IF($L3="O","6","")&amp;IF($M3="O","7","")&amp;IF($N3="O","8","")&amp;IF($O3="O","?","")&amp;IF(OR($J3="O",$K3="O",$L3="O",$M3="O",$N3="O",$O3="O"),"-","")&amp;$I3)</f>
        <v/>
      </c>
      <c r="Q3" s="153">
        <f>HYPERLINK("#'마스터_품목'!A22","→ 마스터 R22")</f>
        <v/>
      </c>
      <c r="R3" s="154" t="n">
        <v>22</v>
      </c>
      <c r="S3" s="154" t="inlineStr">
        <is>
          <t>마스터_품목</t>
        </is>
      </c>
    </row>
    <row r="4" ht="48" customHeight="1">
      <c r="A4" s="140" t="inlineStr">
        <is>
          <t>고압</t>
        </is>
      </c>
      <c r="B4" s="140" t="inlineStr">
        <is>
          <t>튜브</t>
        </is>
      </c>
      <c r="C4" s="141" t="inlineStr">
        <is>
          <t>ADX6000</t>
        </is>
      </c>
      <c r="D4" s="141" t="inlineStr">
        <is>
          <t>캐논튜브 [ D-0813 ] _ 80KV</t>
        </is>
      </c>
      <c r="E4" s="141" t="inlineStr">
        <is>
          <t>TUBE (80KV D-0813)
[ADX6000]</t>
        </is>
      </c>
      <c r="F4" s="142" t="inlineStr">
        <is>
          <t>O</t>
        </is>
      </c>
      <c r="G4" s="143" t="n"/>
      <c r="H4" s="144" t="n"/>
      <c r="I4" s="145">
        <f>IFERROR(IF(OR($F4="O",$G4="O",$H4="O"),CHOOSE(MATCH($A4,{"튜브","고압","진공","튜닝","조립","출하"},0),"T","H","V","N","A","P")&amp;IF($F4="O","R",IF($G4="O","A",IF($H4="O","F",""))),""),"")</f>
        <v/>
      </c>
      <c r="J4" s="146" t="n"/>
      <c r="K4" s="147" t="n"/>
      <c r="L4" s="148" t="inlineStr">
        <is>
          <t>O</t>
        </is>
      </c>
      <c r="M4" s="149" t="n"/>
      <c r="N4" s="150" t="n"/>
      <c r="O4" s="151" t="n"/>
      <c r="P4" s="152">
        <f>IF($I4="","",IF($J4="O","3","")&amp;IF($K4="O","4","")&amp;IF($L4="O","6","")&amp;IF($M4="O","7","")&amp;IF($N4="O","8","")&amp;IF($O4="O","?","")&amp;IF(OR($J4="O",$K4="O",$L4="O",$M4="O",$N4="O",$O4="O"),"-","")&amp;$I4)</f>
        <v/>
      </c>
      <c r="Q4" s="153">
        <f>HYPERLINK("#'마스터_품목'!A23","→ 마스터 R23")</f>
        <v/>
      </c>
      <c r="R4" s="154" t="n">
        <v>23</v>
      </c>
      <c r="S4" s="154" t="inlineStr">
        <is>
          <t>마스터_품목</t>
        </is>
      </c>
    </row>
    <row r="5" ht="48" customHeight="1">
      <c r="A5" s="140" t="inlineStr">
        <is>
          <t>고압</t>
        </is>
      </c>
      <c r="B5" s="140" t="inlineStr">
        <is>
          <t>튜브</t>
        </is>
      </c>
      <c r="C5" s="141" t="inlineStr">
        <is>
          <t>DX3000,  ADX4000W,  ADX6000, 
SOLO</t>
        </is>
      </c>
      <c r="D5" s="141" t="inlineStr">
        <is>
          <t>세라믹튜브 [DXDR-070] _ 70KV</t>
        </is>
      </c>
      <c r="E5" s="141" t="inlineStr">
        <is>
          <t>TUBE (70KV DXDR-070)
[SOLO]</t>
        </is>
      </c>
      <c r="F5" s="142" t="inlineStr">
        <is>
          <t>O</t>
        </is>
      </c>
      <c r="G5" s="143" t="n"/>
      <c r="H5" s="144" t="n"/>
      <c r="I5" s="145">
        <f>IFERROR(IF(OR($F5="O",$G5="O",$H5="O"),CHOOSE(MATCH($A5,{"튜브","고압","진공","튜닝","조립","출하"},0),"T","H","V","N","A","P")&amp;IF($F5="O","R",IF($G5="O","A",IF($H5="O","F",""))),""),"")</f>
        <v/>
      </c>
      <c r="J5" s="146" t="inlineStr">
        <is>
          <t>O</t>
        </is>
      </c>
      <c r="K5" s="147" t="inlineStr">
        <is>
          <t>O</t>
        </is>
      </c>
      <c r="L5" s="148" t="inlineStr">
        <is>
          <t>O</t>
        </is>
      </c>
      <c r="M5" s="149" t="n"/>
      <c r="N5" s="150" t="inlineStr">
        <is>
          <t>O</t>
        </is>
      </c>
      <c r="O5" s="151" t="n"/>
      <c r="P5" s="152">
        <f>IF($I5="","",IF($J5="O","3","")&amp;IF($K5="O","4","")&amp;IF($L5="O","6","")&amp;IF($M5="O","7","")&amp;IF($N5="O","8","")&amp;IF($O5="O","?","")&amp;IF(OR($J5="O",$K5="O",$L5="O",$M5="O",$N5="O",$O5="O"),"-","")&amp;$I5)</f>
        <v/>
      </c>
      <c r="Q5" s="153">
        <f>HYPERLINK("#'마스터_품목'!A24","→ 마스터 R24")</f>
        <v/>
      </c>
      <c r="R5" s="154" t="n">
        <v>24</v>
      </c>
      <c r="S5" s="154" t="inlineStr">
        <is>
          <t>마스터_품목</t>
        </is>
      </c>
    </row>
    <row r="6" ht="48" customHeight="1">
      <c r="A6" s="140" t="inlineStr">
        <is>
          <t>고압</t>
        </is>
      </c>
      <c r="B6" s="140" t="inlineStr">
        <is>
          <t>튜브</t>
        </is>
      </c>
      <c r="C6" s="141" t="inlineStr">
        <is>
          <t>ADX6000</t>
        </is>
      </c>
      <c r="D6" s="141" t="inlineStr">
        <is>
          <t>세라믹튜브 [DXDR-100] _ 100KV</t>
        </is>
      </c>
      <c r="E6" s="141" t="inlineStr">
        <is>
          <t>TUBE (100Kv DXDR-100)
[100kV]</t>
        </is>
      </c>
      <c r="F6" s="142" t="inlineStr">
        <is>
          <t>O</t>
        </is>
      </c>
      <c r="G6" s="143" t="n"/>
      <c r="H6" s="144" t="n"/>
      <c r="I6" s="145">
        <f>IFERROR(IF(OR($F6="O",$G6="O",$H6="O"),CHOOSE(MATCH($A6,{"튜브","고압","진공","튜닝","조립","출하"},0),"T","H","V","N","A","P")&amp;IF($F6="O","R",IF($G6="O","A",IF($H6="O","F",""))),""),"")</f>
        <v/>
      </c>
      <c r="J6" s="146" t="n"/>
      <c r="K6" s="147" t="n"/>
      <c r="L6" s="148" t="inlineStr">
        <is>
          <t>O</t>
        </is>
      </c>
      <c r="M6" s="149" t="n"/>
      <c r="N6" s="150" t="n"/>
      <c r="O6" s="151" t="n"/>
      <c r="P6" s="152">
        <f>IF($I6="","",IF($J6="O","3","")&amp;IF($K6="O","4","")&amp;IF($L6="O","6","")&amp;IF($M6="O","7","")&amp;IF($N6="O","8","")&amp;IF($O6="O","?","")&amp;IF(OR($J6="O",$K6="O",$L6="O",$M6="O",$N6="O",$O6="O"),"-","")&amp;$I6)</f>
        <v/>
      </c>
      <c r="Q6" s="153">
        <f>HYPERLINK("#'마스터_품목'!A25","→ 마스터 R25")</f>
        <v/>
      </c>
      <c r="R6" s="154" t="n">
        <v>25</v>
      </c>
      <c r="S6" s="154" t="inlineStr">
        <is>
          <t>마스터_품목</t>
        </is>
      </c>
    </row>
    <row r="7" ht="48" customHeight="1">
      <c r="A7" s="140" t="inlineStr">
        <is>
          <t>고압</t>
        </is>
      </c>
      <c r="B7" s="140" t="inlineStr">
        <is>
          <t>튜브</t>
        </is>
      </c>
      <c r="C7" s="141" t="inlineStr">
        <is>
          <t>ADX6000</t>
        </is>
      </c>
      <c r="D7" s="141" t="inlineStr">
        <is>
          <t>CEI튜브 [OX-70] _ 90KV</t>
        </is>
      </c>
      <c r="E7" s="141" t="inlineStr">
        <is>
          <t>TUBE (90kV OX / 70-1.0)
[ADX6000]</t>
        </is>
      </c>
      <c r="F7" s="142" t="inlineStr">
        <is>
          <t>O</t>
        </is>
      </c>
      <c r="G7" s="143" t="n"/>
      <c r="H7" s="144" t="n"/>
      <c r="I7" s="145">
        <f>IFERROR(IF(OR($F7="O",$G7="O",$H7="O"),CHOOSE(MATCH($A7,{"튜브","고압","진공","튜닝","조립","출하"},0),"T","H","V","N","A","P")&amp;IF($F7="O","R",IF($G7="O","A",IF($H7="O","F",""))),""),"")</f>
        <v/>
      </c>
      <c r="J7" s="146" t="n"/>
      <c r="K7" s="147" t="n"/>
      <c r="L7" s="148" t="inlineStr">
        <is>
          <t>O</t>
        </is>
      </c>
      <c r="M7" s="149" t="n"/>
      <c r="N7" s="150" t="n"/>
      <c r="O7" s="151" t="n"/>
      <c r="P7" s="152">
        <f>IF($I7="","",IF($J7="O","3","")&amp;IF($K7="O","4","")&amp;IF($L7="O","6","")&amp;IF($M7="O","7","")&amp;IF($N7="O","8","")&amp;IF($O7="O","?","")&amp;IF(OR($J7="O",$K7="O",$L7="O",$M7="O",$N7="O",$O7="O"),"-","")&amp;$I7)</f>
        <v/>
      </c>
      <c r="Q7" s="153">
        <f>HYPERLINK("#'마스터_품목'!A26","→ 마스터 R26")</f>
        <v/>
      </c>
      <c r="R7" s="154" t="n">
        <v>26</v>
      </c>
      <c r="S7" s="154" t="inlineStr">
        <is>
          <t>마스터_품목</t>
        </is>
      </c>
    </row>
    <row r="8" ht="48" customHeight="1">
      <c r="A8" s="140" t="inlineStr">
        <is>
          <t>고압</t>
        </is>
      </c>
      <c r="B8" s="140" t="inlineStr">
        <is>
          <t>부품</t>
        </is>
      </c>
      <c r="C8" s="141" t="inlineStr">
        <is>
          <t>DX3000,  ADX4000W</t>
        </is>
      </c>
      <c r="D8" s="141" t="inlineStr">
        <is>
          <t>고압다이오드 2CL77 [20KV, 5mA]</t>
        </is>
      </c>
      <c r="E8" s="141" t="inlineStr">
        <is>
          <t>고압 다이오드 (2CL77 (20KV, 5mA))
[DX3000, ADX4000W]</t>
        </is>
      </c>
      <c r="F8" s="142" t="inlineStr">
        <is>
          <t>O</t>
        </is>
      </c>
      <c r="G8" s="143" t="n"/>
      <c r="H8" s="144" t="n"/>
      <c r="I8" s="145">
        <f>IFERROR(IF(OR($F8="O",$G8="O",$H8="O"),CHOOSE(MATCH($A8,{"튜브","고압","진공","튜닝","조립","출하"},0),"T","H","V","N","A","P")&amp;IF($F8="O","R",IF($G8="O","A",IF($H8="O","F",""))),""),"")</f>
        <v/>
      </c>
      <c r="J8" s="146" t="inlineStr">
        <is>
          <t>O</t>
        </is>
      </c>
      <c r="K8" s="147" t="inlineStr">
        <is>
          <t>O</t>
        </is>
      </c>
      <c r="L8" s="148" t="n"/>
      <c r="M8" s="149" t="n"/>
      <c r="N8" s="150" t="n"/>
      <c r="O8" s="151" t="n"/>
      <c r="P8" s="152">
        <f>IF($I8="","",IF($J8="O","3","")&amp;IF($K8="O","4","")&amp;IF($L8="O","6","")&amp;IF($M8="O","7","")&amp;IF($N8="O","8","")&amp;IF($O8="O","?","")&amp;IF(OR($J8="O",$K8="O",$L8="O",$M8="O",$N8="O",$O8="O"),"-","")&amp;$I8)</f>
        <v/>
      </c>
      <c r="Q8" s="153">
        <f>HYPERLINK("#'마스터_품목'!A27","→ 마스터 R27")</f>
        <v/>
      </c>
      <c r="R8" s="154" t="n">
        <v>27</v>
      </c>
      <c r="S8" s="154" t="inlineStr">
        <is>
          <t>마스터_품목</t>
        </is>
      </c>
    </row>
    <row r="9" ht="48" customHeight="1">
      <c r="A9" s="140" t="inlineStr">
        <is>
          <t>고압</t>
        </is>
      </c>
      <c r="B9" s="140" t="inlineStr">
        <is>
          <t>부품</t>
        </is>
      </c>
      <c r="C9" s="141" t="inlineStr">
        <is>
          <t>DX3000,  ADX4000W,  COCOON</t>
        </is>
      </c>
      <c r="D9" s="141" t="inlineStr">
        <is>
          <t>네온램프(NEON-5T)</t>
        </is>
      </c>
      <c r="E9" s="141" t="inlineStr">
        <is>
          <t>네온램프 (NEON-5T.5*13 red)
[DX3000, ADX4000W COCOON]</t>
        </is>
      </c>
      <c r="F9" s="142" t="inlineStr">
        <is>
          <t>O</t>
        </is>
      </c>
      <c r="G9" s="143" t="n"/>
      <c r="H9" s="144" t="n"/>
      <c r="I9" s="145">
        <f>IFERROR(IF(OR($F9="O",$G9="O",$H9="O"),CHOOSE(MATCH($A9,{"튜브","고압","진공","튜닝","조립","출하"},0),"T","H","V","N","A","P")&amp;IF($F9="O","R",IF($G9="O","A",IF($H9="O","F",""))),""),"")</f>
        <v/>
      </c>
      <c r="J9" s="146" t="inlineStr">
        <is>
          <t>O</t>
        </is>
      </c>
      <c r="K9" s="147" t="inlineStr">
        <is>
          <t>O</t>
        </is>
      </c>
      <c r="L9" s="148" t="n"/>
      <c r="M9" s="149" t="inlineStr">
        <is>
          <t>O</t>
        </is>
      </c>
      <c r="N9" s="150" t="n"/>
      <c r="O9" s="151" t="n"/>
      <c r="P9" s="152">
        <f>IF($I9="","",IF($J9="O","3","")&amp;IF($K9="O","4","")&amp;IF($L9="O","6","")&amp;IF($M9="O","7","")&amp;IF($N9="O","8","")&amp;IF($O9="O","?","")&amp;IF(OR($J9="O",$K9="O",$L9="O",$M9="O",$N9="O",$O9="O"),"-","")&amp;$I9)</f>
        <v/>
      </c>
      <c r="Q9" s="153">
        <f>HYPERLINK("#'마스터_품목'!A28","→ 마스터 R28")</f>
        <v/>
      </c>
      <c r="R9" s="154" t="n">
        <v>28</v>
      </c>
      <c r="S9" s="154" t="inlineStr">
        <is>
          <t>마스터_품목</t>
        </is>
      </c>
    </row>
    <row r="10" ht="48" customHeight="1">
      <c r="A10" s="140" t="inlineStr">
        <is>
          <t>고압</t>
        </is>
      </c>
      <c r="B10" s="140" t="inlineStr">
        <is>
          <t>부품</t>
        </is>
      </c>
      <c r="C10" s="141" t="inlineStr">
        <is>
          <t>DX3000,  ADX4000W,  ADX6000</t>
        </is>
      </c>
      <c r="D10" s="141" t="inlineStr">
        <is>
          <t>RK92-11XD307J (시멘트 저항)</t>
        </is>
      </c>
      <c r="E10" s="141" t="inlineStr">
        <is>
          <t>1.7W,10kV 시멘트저항 짧은 것 (RK92-11XD 307J (1.7W,10kV,±5%,300ppm,Flat))
[DX3000, ADX4000W]</t>
        </is>
      </c>
      <c r="F10" s="142" t="inlineStr">
        <is>
          <t>O</t>
        </is>
      </c>
      <c r="G10" s="143" t="n"/>
      <c r="H10" s="144" t="n"/>
      <c r="I10" s="145">
        <f>IFERROR(IF(OR($F10="O",$G10="O",$H10="O"),CHOOSE(MATCH($A10,{"튜브","고압","진공","튜닝","조립","출하"},0),"T","H","V","N","A","P")&amp;IF($F10="O","R",IF($G10="O","A",IF($H10="O","F",""))),""),"")</f>
        <v/>
      </c>
      <c r="J10" s="146" t="inlineStr">
        <is>
          <t>O</t>
        </is>
      </c>
      <c r="K10" s="147" t="inlineStr">
        <is>
          <t>O</t>
        </is>
      </c>
      <c r="L10" s="148" t="inlineStr">
        <is>
          <t>O</t>
        </is>
      </c>
      <c r="M10" s="149" t="n"/>
      <c r="N10" s="150" t="n"/>
      <c r="O10" s="151" t="n"/>
      <c r="P10" s="152">
        <f>IF($I10="","",IF($J10="O","3","")&amp;IF($K10="O","4","")&amp;IF($L10="O","6","")&amp;IF($M10="O","7","")&amp;IF($N10="O","8","")&amp;IF($O10="O","?","")&amp;IF(OR($J10="O",$K10="O",$L10="O",$M10="O",$N10="O",$O10="O"),"-","")&amp;$I10)</f>
        <v/>
      </c>
      <c r="Q10" s="153">
        <f>HYPERLINK("#'마스터_품목'!A29","→ 마스터 R29")</f>
        <v/>
      </c>
      <c r="R10" s="154" t="n">
        <v>29</v>
      </c>
      <c r="S10" s="154" t="inlineStr">
        <is>
          <t>마스터_품목</t>
        </is>
      </c>
    </row>
    <row r="11" ht="48" customHeight="1">
      <c r="A11" s="140" t="inlineStr">
        <is>
          <t>고압</t>
        </is>
      </c>
      <c r="B11" s="140" t="inlineStr">
        <is>
          <t>부품</t>
        </is>
      </c>
      <c r="C11" s="141" t="inlineStr">
        <is>
          <t>DX3000,  ADX4000W</t>
        </is>
      </c>
      <c r="D11" s="141" t="inlineStr">
        <is>
          <t>고압용 (30㏀)</t>
        </is>
      </c>
      <c r="E11" s="141" t="inlineStr">
        <is>
          <t>30㏀ 고압용 저항 (30㏀±1％, DIP-1/4W)
[DX3000, ADX4000W ADX6000]</t>
        </is>
      </c>
      <c r="F11" s="142" t="inlineStr">
        <is>
          <t>O</t>
        </is>
      </c>
      <c r="G11" s="143" t="n"/>
      <c r="H11" s="144" t="n"/>
      <c r="I11" s="145">
        <f>IFERROR(IF(OR($F11="O",$G11="O",$H11="O"),CHOOSE(MATCH($A11,{"튜브","고압","진공","튜닝","조립","출하"},0),"T","H","V","N","A","P")&amp;IF($F11="O","R",IF($G11="O","A",IF($H11="O","F",""))),""),"")</f>
        <v/>
      </c>
      <c r="J11" s="146" t="inlineStr">
        <is>
          <t>O</t>
        </is>
      </c>
      <c r="K11" s="147" t="inlineStr">
        <is>
          <t>O</t>
        </is>
      </c>
      <c r="L11" s="148" t="n"/>
      <c r="M11" s="149" t="n"/>
      <c r="N11" s="150" t="n"/>
      <c r="O11" s="151" t="n"/>
      <c r="P11" s="152">
        <f>IF($I11="","",IF($J11="O","3","")&amp;IF($K11="O","4","")&amp;IF($L11="O","6","")&amp;IF($M11="O","7","")&amp;IF($N11="O","8","")&amp;IF($O11="O","?","")&amp;IF(OR($J11="O",$K11="O",$L11="O",$M11="O",$N11="O",$O11="O"),"-","")&amp;$I11)</f>
        <v/>
      </c>
      <c r="Q11" s="153">
        <f>HYPERLINK("#'마스터_품목'!A30","→ 마스터 R30")</f>
        <v/>
      </c>
      <c r="R11" s="154" t="n">
        <v>30</v>
      </c>
      <c r="S11" s="154" t="inlineStr">
        <is>
          <t>마스터_품목</t>
        </is>
      </c>
    </row>
    <row r="12" ht="48" customHeight="1">
      <c r="A12" s="140" t="inlineStr">
        <is>
          <t>고압</t>
        </is>
      </c>
      <c r="B12" s="140" t="inlineStr">
        <is>
          <t>부품</t>
        </is>
      </c>
      <c r="C12" s="141" t="inlineStr">
        <is>
          <t>DX3000,  ADX4000W,  ADX6000</t>
        </is>
      </c>
      <c r="D12" s="141" t="inlineStr">
        <is>
          <t>고압용 (15㏀±1％, DIP) - 1/4W</t>
        </is>
      </c>
      <c r="E12" s="141" t="inlineStr">
        <is>
          <t>15㏀ 고압용 저항 (15㏀±1％, DIP-1/4W)
[DX3000, ADX4000W]</t>
        </is>
      </c>
      <c r="F12" s="142" t="inlineStr">
        <is>
          <t>O</t>
        </is>
      </c>
      <c r="G12" s="143" t="n"/>
      <c r="H12" s="144" t="n"/>
      <c r="I12" s="145">
        <f>IFERROR(IF(OR($F12="O",$G12="O",$H12="O"),CHOOSE(MATCH($A12,{"튜브","고압","진공","튜닝","조립","출하"},0),"T","H","V","N","A","P")&amp;IF($F12="O","R",IF($G12="O","A",IF($H12="O","F",""))),""),"")</f>
        <v/>
      </c>
      <c r="J12" s="146" t="inlineStr">
        <is>
          <t>O</t>
        </is>
      </c>
      <c r="K12" s="147" t="inlineStr">
        <is>
          <t>O</t>
        </is>
      </c>
      <c r="L12" s="148" t="inlineStr">
        <is>
          <t>O</t>
        </is>
      </c>
      <c r="M12" s="149" t="n"/>
      <c r="N12" s="150" t="n"/>
      <c r="O12" s="151" t="n"/>
      <c r="P12" s="152">
        <f>IF($I12="","",IF($J12="O","3","")&amp;IF($K12="O","4","")&amp;IF($L12="O","6","")&amp;IF($M12="O","7","")&amp;IF($N12="O","8","")&amp;IF($O12="O","?","")&amp;IF(OR($J12="O",$K12="O",$L12="O",$M12="O",$N12="O",$O12="O"),"-","")&amp;$I12)</f>
        <v/>
      </c>
      <c r="Q12" s="153">
        <f>HYPERLINK("#'마스터_품목'!A31","→ 마스터 R31")</f>
        <v/>
      </c>
      <c r="R12" s="154" t="n">
        <v>31</v>
      </c>
      <c r="S12" s="154" t="inlineStr">
        <is>
          <t>마스터_품목</t>
        </is>
      </c>
    </row>
    <row r="13" ht="48" customHeight="1">
      <c r="A13" s="140" t="inlineStr">
        <is>
          <t>고압</t>
        </is>
      </c>
      <c r="B13" s="140" t="inlineStr">
        <is>
          <t>부품</t>
        </is>
      </c>
      <c r="C13" s="141" t="inlineStr">
        <is>
          <t>ADX6000</t>
        </is>
      </c>
      <c r="D13" s="141" t="inlineStr">
        <is>
          <t>고압용 (500Ω±1％, DIP) - 1/4W</t>
        </is>
      </c>
      <c r="E13" s="141" t="inlineStr">
        <is>
          <t>500Ω 고압용 저항 (500Ω±1％, DIP-1/4W)
[ADX6000]</t>
        </is>
      </c>
      <c r="F13" s="142" t="inlineStr">
        <is>
          <t>O</t>
        </is>
      </c>
      <c r="G13" s="143" t="n"/>
      <c r="H13" s="144" t="n"/>
      <c r="I13" s="145">
        <f>IFERROR(IF(OR($F13="O",$G13="O",$H13="O"),CHOOSE(MATCH($A13,{"튜브","고압","진공","튜닝","조립","출하"},0),"T","H","V","N","A","P")&amp;IF($F13="O","R",IF($G13="O","A",IF($H13="O","F",""))),""),"")</f>
        <v/>
      </c>
      <c r="J13" s="146" t="n"/>
      <c r="K13" s="147" t="n"/>
      <c r="L13" s="148" t="inlineStr">
        <is>
          <t>O</t>
        </is>
      </c>
      <c r="M13" s="149" t="n"/>
      <c r="N13" s="150" t="n"/>
      <c r="O13" s="151" t="n"/>
      <c r="P13" s="152">
        <f>IF($I13="","",IF($J13="O","3","")&amp;IF($K13="O","4","")&amp;IF($L13="O","6","")&amp;IF($M13="O","7","")&amp;IF($N13="O","8","")&amp;IF($O13="O","?","")&amp;IF(OR($J13="O",$K13="O",$L13="O",$M13="O",$N13="O",$O13="O"),"-","")&amp;$I13)</f>
        <v/>
      </c>
      <c r="Q13" s="153">
        <f>HYPERLINK("#'마스터_품목'!A32","→ 마스터 R32")</f>
        <v/>
      </c>
      <c r="R13" s="154" t="n">
        <v>32</v>
      </c>
      <c r="S13" s="154" t="inlineStr">
        <is>
          <t>마스터_품목</t>
        </is>
      </c>
    </row>
    <row r="14" ht="48" customHeight="1">
      <c r="A14" s="140" t="inlineStr">
        <is>
          <t>고압</t>
        </is>
      </c>
      <c r="B14" s="140" t="inlineStr">
        <is>
          <t>부품</t>
        </is>
      </c>
      <c r="C14" s="141" t="inlineStr">
        <is>
          <t>DX3000,  ADX4000W,  ADX6000</t>
        </is>
      </c>
      <c r="D14" s="141" t="inlineStr">
        <is>
          <t>고압용(세라믹103)</t>
        </is>
      </c>
      <c r="E14" s="141" t="inlineStr">
        <is>
          <t>103Z 고압용 세라믹 콘덴서 (50V F103Z)
[DX3000, ADX4000W ADX6000]</t>
        </is>
      </c>
      <c r="F14" s="142" t="inlineStr">
        <is>
          <t>O</t>
        </is>
      </c>
      <c r="G14" s="143" t="n"/>
      <c r="H14" s="144" t="n"/>
      <c r="I14" s="145">
        <f>IFERROR(IF(OR($F14="O",$G14="O",$H14="O"),CHOOSE(MATCH($A14,{"튜브","고압","진공","튜닝","조립","출하"},0),"T","H","V","N","A","P")&amp;IF($F14="O","R",IF($G14="O","A",IF($H14="O","F",""))),""),"")</f>
        <v/>
      </c>
      <c r="J14" s="146" t="inlineStr">
        <is>
          <t>O</t>
        </is>
      </c>
      <c r="K14" s="147" t="inlineStr">
        <is>
          <t>O</t>
        </is>
      </c>
      <c r="L14" s="148" t="inlineStr">
        <is>
          <t>O</t>
        </is>
      </c>
      <c r="M14" s="149" t="n"/>
      <c r="N14" s="150" t="n"/>
      <c r="O14" s="151" t="n"/>
      <c r="P14" s="152">
        <f>IF($I14="","",IF($J14="O","3","")&amp;IF($K14="O","4","")&amp;IF($L14="O","6","")&amp;IF($M14="O","7","")&amp;IF($N14="O","8","")&amp;IF($O14="O","?","")&amp;IF(OR($J14="O",$K14="O",$L14="O",$M14="O",$N14="O",$O14="O"),"-","")&amp;$I14)</f>
        <v/>
      </c>
      <c r="Q14" s="153">
        <f>HYPERLINK("#'마스터_품목'!A33","→ 마스터 R33")</f>
        <v/>
      </c>
      <c r="R14" s="154" t="n">
        <v>33</v>
      </c>
      <c r="S14" s="154" t="inlineStr">
        <is>
          <t>마스터_품목</t>
        </is>
      </c>
    </row>
    <row r="15" ht="48" customHeight="1">
      <c r="A15" s="140" t="inlineStr">
        <is>
          <t>고압</t>
        </is>
      </c>
      <c r="B15" s="140" t="inlineStr">
        <is>
          <t>부품</t>
        </is>
      </c>
      <c r="C15" s="141" t="inlineStr">
        <is>
          <t>DX3000,  ADX4000W</t>
        </is>
      </c>
      <c r="D15" s="141" t="inlineStr">
        <is>
          <t>DHR4E4C102K2FB 큰 콘덴서</t>
        </is>
      </c>
      <c r="E15" s="141" t="inlineStr">
        <is>
          <t>세라믹 큰 콘덴서 (DHR4E4C102K2FB)
[DX3000, ADX4000W]</t>
        </is>
      </c>
      <c r="F15" s="142" t="inlineStr">
        <is>
          <t>O</t>
        </is>
      </c>
      <c r="G15" s="143" t="n"/>
      <c r="H15" s="144" t="n"/>
      <c r="I15" s="145">
        <f>IFERROR(IF(OR($F15="O",$G15="O",$H15="O"),CHOOSE(MATCH($A15,{"튜브","고압","진공","튜닝","조립","출하"},0),"T","H","V","N","A","P")&amp;IF($F15="O","R",IF($G15="O","A",IF($H15="O","F",""))),""),"")</f>
        <v/>
      </c>
      <c r="J15" s="146" t="inlineStr">
        <is>
          <t>O</t>
        </is>
      </c>
      <c r="K15" s="147" t="inlineStr">
        <is>
          <t>O</t>
        </is>
      </c>
      <c r="L15" s="148" t="n"/>
      <c r="M15" s="149" t="n"/>
      <c r="N15" s="150" t="n"/>
      <c r="O15" s="151" t="n"/>
      <c r="P15" s="152">
        <f>IF($I15="","",IF($J15="O","3","")&amp;IF($K15="O","4","")&amp;IF($L15="O","6","")&amp;IF($M15="O","7","")&amp;IF($N15="O","8","")&amp;IF($O15="O","?","")&amp;IF(OR($J15="O",$K15="O",$L15="O",$M15="O",$N15="O",$O15="O"),"-","")&amp;$I15)</f>
        <v/>
      </c>
      <c r="Q15" s="153">
        <f>HYPERLINK("#'마스터_품목'!A34","→ 마스터 R34")</f>
        <v/>
      </c>
      <c r="R15" s="154" t="n">
        <v>34</v>
      </c>
      <c r="S15" s="154" t="inlineStr">
        <is>
          <t>마스터_품목</t>
        </is>
      </c>
    </row>
    <row r="16" ht="48" customHeight="1">
      <c r="A16" s="140" t="inlineStr">
        <is>
          <t>고압</t>
        </is>
      </c>
      <c r="B16" s="140" t="inlineStr">
        <is>
          <t>부품</t>
        </is>
      </c>
      <c r="C16" s="141" t="inlineStr">
        <is>
          <t>DX3000,  ADX4000W,  ADX6000</t>
        </is>
      </c>
      <c r="D16" s="141" t="inlineStr">
        <is>
          <t>3216 B 100nF</t>
        </is>
      </c>
      <c r="E16" s="141" t="inlineStr">
        <is>
          <t>100nF 칩세라믹 콘덴서 (3216B 100nF)
[DX3000, ADX4000W ADX6000]</t>
        </is>
      </c>
      <c r="F16" s="142" t="inlineStr">
        <is>
          <t>O</t>
        </is>
      </c>
      <c r="G16" s="143" t="n"/>
      <c r="H16" s="144" t="n"/>
      <c r="I16" s="145">
        <f>IFERROR(IF(OR($F16="O",$G16="O",$H16="O"),CHOOSE(MATCH($A16,{"튜브","고압","진공","튜닝","조립","출하"},0),"T","H","V","N","A","P")&amp;IF($F16="O","R",IF($G16="O","A",IF($H16="O","F",""))),""),"")</f>
        <v/>
      </c>
      <c r="J16" s="146" t="inlineStr">
        <is>
          <t>O</t>
        </is>
      </c>
      <c r="K16" s="147" t="inlineStr">
        <is>
          <t>O</t>
        </is>
      </c>
      <c r="L16" s="148" t="inlineStr">
        <is>
          <t>O</t>
        </is>
      </c>
      <c r="M16" s="149" t="n"/>
      <c r="N16" s="150" t="n"/>
      <c r="O16" s="151" t="n"/>
      <c r="P16" s="152">
        <f>IF($I16="","",IF($J16="O","3","")&amp;IF($K16="O","4","")&amp;IF($L16="O","6","")&amp;IF($M16="O","7","")&amp;IF($N16="O","8","")&amp;IF($O16="O","?","")&amp;IF(OR($J16="O",$K16="O",$L16="O",$M16="O",$N16="O",$O16="O"),"-","")&amp;$I16)</f>
        <v/>
      </c>
      <c r="Q16" s="153">
        <f>HYPERLINK("#'마스터_품목'!A35","→ 마스터 R35")</f>
        <v/>
      </c>
      <c r="R16" s="154" t="n">
        <v>35</v>
      </c>
      <c r="S16" s="154" t="inlineStr">
        <is>
          <t>마스터_품목</t>
        </is>
      </c>
    </row>
    <row r="17" ht="48" customHeight="1">
      <c r="A17" s="140" t="inlineStr">
        <is>
          <t>고압</t>
        </is>
      </c>
      <c r="B17" s="140" t="inlineStr">
        <is>
          <t>부품</t>
        </is>
      </c>
      <c r="C17" s="141" t="inlineStr">
        <is>
          <t>DX3000,  ADX4000W,  ADX6000,  COCOON</t>
        </is>
      </c>
      <c r="D17" s="141" t="inlineStr">
        <is>
          <t>DL1500(다이오드)</t>
        </is>
      </c>
      <c r="E17" s="141" t="inlineStr">
        <is>
          <t>고압 다이오드 (DL1500)
[DX3000, ADX4000W ADX6000]</t>
        </is>
      </c>
      <c r="F17" s="142" t="inlineStr">
        <is>
          <t>O</t>
        </is>
      </c>
      <c r="G17" s="143" t="n"/>
      <c r="H17" s="144" t="n"/>
      <c r="I17" s="145">
        <f>IFERROR(IF(OR($F17="O",$G17="O",$H17="O"),CHOOSE(MATCH($A17,{"튜브","고압","진공","튜닝","조립","출하"},0),"T","H","V","N","A","P")&amp;IF($F17="O","R",IF($G17="O","A",IF($H17="O","F",""))),""),"")</f>
        <v/>
      </c>
      <c r="J17" s="146" t="inlineStr">
        <is>
          <t>O</t>
        </is>
      </c>
      <c r="K17" s="147" t="inlineStr">
        <is>
          <t>O</t>
        </is>
      </c>
      <c r="L17" s="148" t="inlineStr">
        <is>
          <t>O</t>
        </is>
      </c>
      <c r="M17" s="149" t="n"/>
      <c r="N17" s="150" t="n"/>
      <c r="O17" s="151" t="n"/>
      <c r="P17" s="152">
        <f>IF($I17="","",IF($J17="O","3","")&amp;IF($K17="O","4","")&amp;IF($L17="O","6","")&amp;IF($M17="O","7","")&amp;IF($N17="O","8","")&amp;IF($O17="O","?","")&amp;IF(OR($J17="O",$K17="O",$L17="O",$M17="O",$N17="O",$O17="O"),"-","")&amp;$I17)</f>
        <v/>
      </c>
      <c r="Q17" s="153">
        <f>HYPERLINK("#'마스터_품목'!A36","→ 마스터 R36")</f>
        <v/>
      </c>
      <c r="R17" s="154" t="n">
        <v>36</v>
      </c>
      <c r="S17" s="154" t="inlineStr">
        <is>
          <t>마스터_품목</t>
        </is>
      </c>
    </row>
    <row r="18" ht="48" customHeight="1">
      <c r="A18" s="140" t="inlineStr">
        <is>
          <t>고압</t>
        </is>
      </c>
      <c r="B18" s="140" t="inlineStr">
        <is>
          <t>부품</t>
        </is>
      </c>
      <c r="C18" s="141" t="inlineStr">
        <is>
          <t>DX3000,  ADX4000W,  ADX6000,  COCOON</t>
        </is>
      </c>
      <c r="D18" s="141" t="inlineStr">
        <is>
          <t>HPC-2C 47k/Surge</t>
        </is>
      </c>
      <c r="E18" s="141" t="inlineStr">
        <is>
          <t>47k Surge 저항 (HPC-2C 47k/Surge)
[DX3000, ADX4000W ADX6000]</t>
        </is>
      </c>
      <c r="F18" s="142" t="inlineStr">
        <is>
          <t>O</t>
        </is>
      </c>
      <c r="G18" s="143" t="n"/>
      <c r="H18" s="144" t="n"/>
      <c r="I18" s="145">
        <f>IFERROR(IF(OR($F18="O",$G18="O",$H18="O"),CHOOSE(MATCH($A18,{"튜브","고압","진공","튜닝","조립","출하"},0),"T","H","V","N","A","P")&amp;IF($F18="O","R",IF($G18="O","A",IF($H18="O","F",""))),""),"")</f>
        <v/>
      </c>
      <c r="J18" s="146" t="inlineStr">
        <is>
          <t>O</t>
        </is>
      </c>
      <c r="K18" s="147" t="inlineStr">
        <is>
          <t>O</t>
        </is>
      </c>
      <c r="L18" s="148" t="inlineStr">
        <is>
          <t>O</t>
        </is>
      </c>
      <c r="M18" s="149" t="inlineStr">
        <is>
          <t>O</t>
        </is>
      </c>
      <c r="N18" s="150" t="n"/>
      <c r="O18" s="151" t="n"/>
      <c r="P18" s="152">
        <f>IF($I18="","",IF($J18="O","3","")&amp;IF($K18="O","4","")&amp;IF($L18="O","6","")&amp;IF($M18="O","7","")&amp;IF($N18="O","8","")&amp;IF($O18="O","?","")&amp;IF(OR($J18="O",$K18="O",$L18="O",$M18="O",$N18="O",$O18="O"),"-","")&amp;$I18)</f>
        <v/>
      </c>
      <c r="Q18" s="153">
        <f>HYPERLINK("#'마스터_품목'!A37","→ 마스터 R37")</f>
        <v/>
      </c>
      <c r="R18" s="154" t="n">
        <v>37</v>
      </c>
      <c r="S18" s="154" t="inlineStr">
        <is>
          <t>마스터_품목</t>
        </is>
      </c>
    </row>
    <row r="19" ht="48" customHeight="1">
      <c r="A19" s="140" t="inlineStr">
        <is>
          <t>고압</t>
        </is>
      </c>
      <c r="B19" s="140" t="inlineStr">
        <is>
          <t>부품</t>
        </is>
      </c>
      <c r="C19" s="141" t="inlineStr">
        <is>
          <t>COCOON</t>
        </is>
      </c>
      <c r="D19" s="141" t="inlineStr">
        <is>
          <t>RK92-18XD 307J 시멘트저항 긴 것</t>
        </is>
      </c>
      <c r="E19" s="141" t="inlineStr">
        <is>
          <t>2.7W,15kV 시멘트저항 긴 것 (RK92-18XD 307J (2.7W,15kV,±5%,300ppm,Flat))
[COCOON]</t>
        </is>
      </c>
      <c r="F19" s="142" t="inlineStr">
        <is>
          <t>O</t>
        </is>
      </c>
      <c r="G19" s="143" t="n"/>
      <c r="H19" s="144" t="n"/>
      <c r="I19" s="145">
        <f>IFERROR(IF(OR($F19="O",$G19="O",$H19="O"),CHOOSE(MATCH($A19,{"튜브","고압","진공","튜닝","조립","출하"},0),"T","H","V","N","A","P")&amp;IF($F19="O","R",IF($G19="O","A",IF($H19="O","F",""))),""),"")</f>
        <v/>
      </c>
      <c r="J19" s="146" t="n"/>
      <c r="K19" s="147" t="n"/>
      <c r="L19" s="148" t="n"/>
      <c r="M19" s="149" t="inlineStr">
        <is>
          <t>O</t>
        </is>
      </c>
      <c r="N19" s="150" t="n"/>
      <c r="O19" s="151" t="n"/>
      <c r="P19" s="152">
        <f>IF($I19="","",IF($J19="O","3","")&amp;IF($K19="O","4","")&amp;IF($L19="O","6","")&amp;IF($M19="O","7","")&amp;IF($N19="O","8","")&amp;IF($O19="O","?","")&amp;IF(OR($J19="O",$K19="O",$L19="O",$M19="O",$N19="O",$O19="O"),"-","")&amp;$I19)</f>
        <v/>
      </c>
      <c r="Q19" s="153">
        <f>HYPERLINK("#'마스터_품목'!A38","→ 마스터 R38")</f>
        <v/>
      </c>
      <c r="R19" s="154" t="n">
        <v>38</v>
      </c>
      <c r="S19" s="154" t="inlineStr">
        <is>
          <t>마스터_품목</t>
        </is>
      </c>
    </row>
    <row r="20" ht="48" customHeight="1">
      <c r="A20" s="140" t="inlineStr">
        <is>
          <t>고압</t>
        </is>
      </c>
      <c r="B20" s="140" t="inlineStr">
        <is>
          <t>부품</t>
        </is>
      </c>
      <c r="C20" s="141" t="inlineStr">
        <is>
          <t>ADX6000, 
COCOON</t>
        </is>
      </c>
      <c r="D20" s="141" t="inlineStr">
        <is>
          <t>680pF  DHR4E4C681K2BB 무라타 작은 콘덴서</t>
        </is>
      </c>
      <c r="E20" s="141" t="inlineStr">
        <is>
          <t>세라믹 작은 콘덴서 Murata (680pF DHR4E4C681K2BB)
[COCOON, ADX6000]</t>
        </is>
      </c>
      <c r="F20" s="142" t="inlineStr">
        <is>
          <t>O</t>
        </is>
      </c>
      <c r="G20" s="143" t="n"/>
      <c r="H20" s="144" t="n"/>
      <c r="I20" s="145">
        <f>IFERROR(IF(OR($F20="O",$G20="O",$H20="O"),CHOOSE(MATCH($A20,{"튜브","고압","진공","튜닝","조립","출하"},0),"T","H","V","N","A","P")&amp;IF($F20="O","R",IF($G20="O","A",IF($H20="O","F",""))),""),"")</f>
        <v/>
      </c>
      <c r="J20" s="146" t="n"/>
      <c r="K20" s="147" t="n"/>
      <c r="L20" s="148" t="inlineStr">
        <is>
          <t>O</t>
        </is>
      </c>
      <c r="M20" s="149" t="inlineStr">
        <is>
          <t>O</t>
        </is>
      </c>
      <c r="N20" s="150" t="n"/>
      <c r="O20" s="151" t="n"/>
      <c r="P20" s="152">
        <f>IF($I20="","",IF($J20="O","3","")&amp;IF($K20="O","4","")&amp;IF($L20="O","6","")&amp;IF($M20="O","7","")&amp;IF($N20="O","8","")&amp;IF($O20="O","?","")&amp;IF(OR($J20="O",$K20="O",$L20="O",$M20="O",$N20="O",$O20="O"),"-","")&amp;$I20)</f>
        <v/>
      </c>
      <c r="Q20" s="153">
        <f>HYPERLINK("#'마스터_품목'!A39","→ 마스터 R39")</f>
        <v/>
      </c>
      <c r="R20" s="154" t="n">
        <v>39</v>
      </c>
      <c r="S20" s="154" t="inlineStr">
        <is>
          <t>마스터_품목</t>
        </is>
      </c>
    </row>
    <row r="21" ht="48" customHeight="1">
      <c r="A21" s="140" t="inlineStr">
        <is>
          <t>고압</t>
        </is>
      </c>
      <c r="B21" s="140" t="inlineStr">
        <is>
          <t>부품</t>
        </is>
      </c>
      <c r="C21" s="141" t="inlineStr">
        <is>
          <t>COCOON</t>
        </is>
      </c>
      <c r="D21" s="141" t="inlineStr">
        <is>
          <t>LNTK103FW 온도센서</t>
        </is>
      </c>
      <c r="E21" s="141" t="inlineStr">
        <is>
          <t>온도센서 (LNTK103FW)
[COCOON]</t>
        </is>
      </c>
      <c r="F21" s="142" t="inlineStr">
        <is>
          <t>O</t>
        </is>
      </c>
      <c r="G21" s="143" t="n"/>
      <c r="H21" s="144" t="n"/>
      <c r="I21" s="145">
        <f>IFERROR(IF(OR($F21="O",$G21="O",$H21="O"),CHOOSE(MATCH($A21,{"튜브","고압","진공","튜닝","조립","출하"},0),"T","H","V","N","A","P")&amp;IF($F21="O","R",IF($G21="O","A",IF($H21="O","F",""))),""),"")</f>
        <v/>
      </c>
      <c r="J21" s="146" t="n"/>
      <c r="K21" s="147" t="n"/>
      <c r="L21" s="148" t="n"/>
      <c r="M21" s="149" t="inlineStr">
        <is>
          <t>O</t>
        </is>
      </c>
      <c r="N21" s="150" t="n"/>
      <c r="O21" s="151" t="n"/>
      <c r="P21" s="152">
        <f>IF($I21="","",IF($J21="O","3","")&amp;IF($K21="O","4","")&amp;IF($L21="O","6","")&amp;IF($M21="O","7","")&amp;IF($N21="O","8","")&amp;IF($O21="O","?","")&amp;IF(OR($J21="O",$K21="O",$L21="O",$M21="O",$N21="O",$O21="O"),"-","")&amp;$I21)</f>
        <v/>
      </c>
      <c r="Q21" s="153">
        <f>HYPERLINK("#'마스터_품목'!A40","→ 마스터 R40")</f>
        <v/>
      </c>
      <c r="R21" s="154" t="n">
        <v>40</v>
      </c>
      <c r="S21" s="154" t="inlineStr">
        <is>
          <t>마스터_품목</t>
        </is>
      </c>
    </row>
    <row r="22" ht="48" customHeight="1">
      <c r="A22" s="140" t="inlineStr">
        <is>
          <t>고압</t>
        </is>
      </c>
      <c r="B22" s="140" t="inlineStr">
        <is>
          <t>부품</t>
        </is>
      </c>
      <c r="C22" s="141" t="inlineStr">
        <is>
          <t>ADX6000</t>
        </is>
      </c>
      <c r="D22" s="141" t="inlineStr">
        <is>
          <t>15k/Surge</t>
        </is>
      </c>
      <c r="E22" s="141" t="n"/>
      <c r="F22" s="142" t="inlineStr">
        <is>
          <t>O</t>
        </is>
      </c>
      <c r="G22" s="143" t="n"/>
      <c r="H22" s="144" t="n"/>
      <c r="I22" s="145">
        <f>IFERROR(IF(OR($F22="O",$G22="O",$H22="O"),CHOOSE(MATCH($A22,{"튜브","고압","진공","튜닝","조립","출하"},0),"T","H","V","N","A","P")&amp;IF($F22="O","R",IF($G22="O","A",IF($H22="O","F",""))),""),"")</f>
        <v/>
      </c>
      <c r="J22" s="146" t="n"/>
      <c r="K22" s="147" t="n"/>
      <c r="L22" s="148" t="inlineStr">
        <is>
          <t>O</t>
        </is>
      </c>
      <c r="M22" s="149" t="n"/>
      <c r="N22" s="150" t="n"/>
      <c r="O22" s="151" t="n"/>
      <c r="P22" s="152">
        <f>IF($I22="","",IF($J22="O","3","")&amp;IF($K22="O","4","")&amp;IF($L22="O","6","")&amp;IF($M22="O","7","")&amp;IF($N22="O","8","")&amp;IF($O22="O","?","")&amp;IF(OR($J22="O",$K22="O",$L22="O",$M22="O",$N22="O",$O22="O"),"-","")&amp;$I22)</f>
        <v/>
      </c>
      <c r="Q22" s="153">
        <f>HYPERLINK("#'마스터_품목'!A41","→ 마스터 R41")</f>
        <v/>
      </c>
      <c r="R22" s="154" t="n">
        <v>41</v>
      </c>
      <c r="S22" s="154" t="inlineStr">
        <is>
          <t>마스터_품목</t>
        </is>
      </c>
    </row>
    <row r="23" ht="48" customHeight="1">
      <c r="A23" s="140" t="inlineStr">
        <is>
          <t>고압</t>
        </is>
      </c>
      <c r="B23" s="140" t="inlineStr">
        <is>
          <t>부품</t>
        </is>
      </c>
      <c r="C23" s="141" t="inlineStr">
        <is>
          <t>COCOON</t>
        </is>
      </c>
      <c r="D23" s="141" t="inlineStr">
        <is>
          <t>DD1800 (신규 다이오드)</t>
        </is>
      </c>
      <c r="E23" s="141" t="inlineStr">
        <is>
          <t>고압 다이오드 (DD1800)
[COCOON]</t>
        </is>
      </c>
      <c r="F23" s="142" t="inlineStr">
        <is>
          <t>O</t>
        </is>
      </c>
      <c r="G23" s="143" t="n"/>
      <c r="H23" s="144" t="n"/>
      <c r="I23" s="145">
        <f>IFERROR(IF(OR($F23="O",$G23="O",$H23="O"),CHOOSE(MATCH($A23,{"튜브","고압","진공","튜닝","조립","출하"},0),"T","H","V","N","A","P")&amp;IF($F23="O","R",IF($G23="O","A",IF($H23="O","F",""))),""),"")</f>
        <v/>
      </c>
      <c r="J23" s="146" t="n"/>
      <c r="K23" s="147" t="n"/>
      <c r="L23" s="148" t="n"/>
      <c r="M23" s="149" t="inlineStr">
        <is>
          <t>O</t>
        </is>
      </c>
      <c r="N23" s="150" t="n"/>
      <c r="O23" s="151" t="n"/>
      <c r="P23" s="152">
        <f>IF($I23="","",IF($J23="O","3","")&amp;IF($K23="O","4","")&amp;IF($L23="O","6","")&amp;IF($M23="O","7","")&amp;IF($N23="O","8","")&amp;IF($O23="O","?","")&amp;IF(OR($J23="O",$K23="O",$L23="O",$M23="O",$N23="O",$O23="O"),"-","")&amp;$I23)</f>
        <v/>
      </c>
      <c r="Q23" s="153">
        <f>HYPERLINK("#'마스터_품목'!A42","→ 마스터 R42")</f>
        <v/>
      </c>
      <c r="R23" s="154" t="n">
        <v>42</v>
      </c>
      <c r="S23" s="154" t="inlineStr">
        <is>
          <t>마스터_품목</t>
        </is>
      </c>
    </row>
    <row r="24" ht="48" customHeight="1">
      <c r="A24" s="140" t="inlineStr">
        <is>
          <t>진공</t>
        </is>
      </c>
      <c r="B24" s="140" t="inlineStr">
        <is>
          <t>부품</t>
        </is>
      </c>
      <c r="C24" s="141" t="inlineStr">
        <is>
          <t>ADX6000</t>
        </is>
      </c>
      <c r="D24" s="141" t="inlineStr">
        <is>
          <t>2T 알루미늄 필터</t>
        </is>
      </c>
      <c r="E24" s="141" t="inlineStr">
        <is>
          <t>알루미늄 필터 (2T * Φ24)
[ADX6000]</t>
        </is>
      </c>
      <c r="F24" s="142" t="inlineStr">
        <is>
          <t>O</t>
        </is>
      </c>
      <c r="G24" s="143" t="n"/>
      <c r="H24" s="144" t="n"/>
      <c r="I24" s="145">
        <f>IFERROR(IF(OR($F24="O",$G24="O",$H24="O"),CHOOSE(MATCH($A24,{"튜브","고압","진공","튜닝","조립","출하"},0),"T","H","V","N","A","P")&amp;IF($F24="O","R",IF($G24="O","A",IF($H24="O","F",""))),""),"")</f>
        <v/>
      </c>
      <c r="J24" s="146" t="n"/>
      <c r="K24" s="147" t="n"/>
      <c r="L24" s="148" t="inlineStr">
        <is>
          <t>O</t>
        </is>
      </c>
      <c r="M24" s="149" t="n"/>
      <c r="N24" s="150" t="n"/>
      <c r="O24" s="151" t="inlineStr">
        <is>
          <t>O</t>
        </is>
      </c>
      <c r="P24" s="152">
        <f>IF($I24="","",IF($J24="O","3","")&amp;IF($K24="O","4","")&amp;IF($L24="O","6","")&amp;IF($M24="O","7","")&amp;IF($N24="O","8","")&amp;IF($O24="O","?","")&amp;IF(OR($J24="O",$K24="O",$L24="O",$M24="O",$N24="O",$O24="O"),"-","")&amp;$I24)</f>
        <v/>
      </c>
      <c r="Q24" s="153">
        <f>HYPERLINK("#'마스터_품목'!A91","→ 마스터 R91")</f>
        <v/>
      </c>
      <c r="R24" s="154" t="n">
        <v>91</v>
      </c>
      <c r="S24" s="154" t="inlineStr">
        <is>
          <t>마스터_품목</t>
        </is>
      </c>
    </row>
    <row r="25" ht="48" customHeight="1">
      <c r="A25" s="140" t="inlineStr">
        <is>
          <t>진공</t>
        </is>
      </c>
      <c r="B25" s="140" t="inlineStr">
        <is>
          <t>부품</t>
        </is>
      </c>
      <c r="C25" s="141" t="inlineStr">
        <is>
          <t>COCOON</t>
        </is>
      </c>
      <c r="D25" s="141" t="inlineStr">
        <is>
          <t>1.2T 알루미늄 필터</t>
        </is>
      </c>
      <c r="E25" s="141" t="inlineStr">
        <is>
          <t>알루미늄 필터 (1.2T * Φ24)
[COCOON]</t>
        </is>
      </c>
      <c r="F25" s="142" t="inlineStr">
        <is>
          <t>O</t>
        </is>
      </c>
      <c r="G25" s="143" t="n"/>
      <c r="H25" s="144" t="n"/>
      <c r="I25" s="145">
        <f>IFERROR(IF(OR($F25="O",$G25="O",$H25="O"),CHOOSE(MATCH($A25,{"튜브","고압","진공","튜닝","조립","출하"},0),"T","H","V","N","A","P")&amp;IF($F25="O","R",IF($G25="O","A",IF($H25="O","F",""))),""),"")</f>
        <v/>
      </c>
      <c r="J25" s="146" t="inlineStr">
        <is>
          <t>O</t>
        </is>
      </c>
      <c r="K25" s="147" t="n"/>
      <c r="L25" s="148" t="n"/>
      <c r="M25" s="149" t="inlineStr">
        <is>
          <t>O</t>
        </is>
      </c>
      <c r="N25" s="150" t="n"/>
      <c r="O25" s="151" t="n"/>
      <c r="P25" s="152">
        <f>IF($I25="","",IF($J25="O","3","")&amp;IF($K25="O","4","")&amp;IF($L25="O","6","")&amp;IF($M25="O","7","")&amp;IF($N25="O","8","")&amp;IF($O25="O","?","")&amp;IF(OR($J25="O",$K25="O",$L25="O",$M25="O",$N25="O",$O25="O"),"-","")&amp;$I25)</f>
        <v/>
      </c>
      <c r="Q25" s="153">
        <f>HYPERLINK("#'마스터_품목'!A92","→ 마스터 R92")</f>
        <v/>
      </c>
      <c r="R25" s="154" t="n">
        <v>92</v>
      </c>
      <c r="S25" s="154" t="inlineStr">
        <is>
          <t>마스터_품목</t>
        </is>
      </c>
    </row>
    <row r="26" ht="48" customHeight="1">
      <c r="A26" s="140" t="inlineStr">
        <is>
          <t>진공</t>
        </is>
      </c>
      <c r="B26" s="140" t="inlineStr">
        <is>
          <t>부품</t>
        </is>
      </c>
      <c r="C26" s="141" t="inlineStr">
        <is>
          <t>DX3000,  ADX4000W,  ADX6000,  COCOON</t>
        </is>
      </c>
      <c r="D26" s="141" t="inlineStr">
        <is>
          <t>0.8T 알루미늄 필터</t>
        </is>
      </c>
      <c r="E26" s="141" t="inlineStr">
        <is>
          <t>알루미늄 필터 (0.8T * Φ24)
[DX3000, ADX4000W ADX6000]</t>
        </is>
      </c>
      <c r="F26" s="142" t="inlineStr">
        <is>
          <t>O</t>
        </is>
      </c>
      <c r="G26" s="143" t="n"/>
      <c r="H26" s="144" t="n"/>
      <c r="I26" s="145">
        <f>IFERROR(IF(OR($F26="O",$G26="O",$H26="O"),CHOOSE(MATCH($A26,{"튜브","고압","진공","튜닝","조립","출하"},0),"T","H","V","N","A","P")&amp;IF($F26="O","R",IF($G26="O","A",IF($H26="O","F",""))),""),"")</f>
        <v/>
      </c>
      <c r="J26" s="146" t="inlineStr">
        <is>
          <t>O</t>
        </is>
      </c>
      <c r="K26" s="147" t="inlineStr">
        <is>
          <t>O</t>
        </is>
      </c>
      <c r="L26" s="148" t="n"/>
      <c r="M26" s="149" t="inlineStr">
        <is>
          <t>O</t>
        </is>
      </c>
      <c r="N26" s="150" t="inlineStr">
        <is>
          <t>O</t>
        </is>
      </c>
      <c r="O26" s="151" t="n"/>
      <c r="P26" s="152">
        <f>IF($I26="","",IF($J26="O","3","")&amp;IF($K26="O","4","")&amp;IF($L26="O","6","")&amp;IF($M26="O","7","")&amp;IF($N26="O","8","")&amp;IF($O26="O","?","")&amp;IF(OR($J26="O",$K26="O",$L26="O",$M26="O",$N26="O",$O26="O"),"-","")&amp;$I26)</f>
        <v/>
      </c>
      <c r="Q26" s="153">
        <f>HYPERLINK("#'마스터_품목'!A93","→ 마스터 R93")</f>
        <v/>
      </c>
      <c r="R26" s="154" t="n">
        <v>93</v>
      </c>
      <c r="S26" s="154" t="inlineStr">
        <is>
          <t>마스터_품목</t>
        </is>
      </c>
    </row>
    <row r="27" ht="48" customHeight="1">
      <c r="A27" s="140" t="inlineStr">
        <is>
          <t>진공</t>
        </is>
      </c>
      <c r="B27" s="140" t="inlineStr">
        <is>
          <t>부품</t>
        </is>
      </c>
      <c r="C27" s="141" t="inlineStr">
        <is>
          <t>DX3000,  ADX4000W,  ADX6000,  COCOON</t>
        </is>
      </c>
      <c r="D27" s="141" t="inlineStr">
        <is>
          <t>오링 (2*18)</t>
        </is>
      </c>
      <c r="E27" s="141" t="inlineStr">
        <is>
          <t>방사구 오링 (2*18)
[공용]</t>
        </is>
      </c>
      <c r="F27" s="142" t="inlineStr">
        <is>
          <t>O</t>
        </is>
      </c>
      <c r="G27" s="143" t="n"/>
      <c r="H27" s="144" t="n"/>
      <c r="I27" s="145">
        <f>IFERROR(IF(OR($F27="O",$G27="O",$H27="O"),CHOOSE(MATCH($A27,{"튜브","고압","진공","튜닝","조립","출하"},0),"T","H","V","N","A","P")&amp;IF($F27="O","R",IF($G27="O","A",IF($H27="O","F",""))),""),"")</f>
        <v/>
      </c>
      <c r="J27" s="146" t="inlineStr">
        <is>
          <t>O</t>
        </is>
      </c>
      <c r="K27" s="147" t="inlineStr">
        <is>
          <t>O</t>
        </is>
      </c>
      <c r="L27" s="148" t="inlineStr">
        <is>
          <t>O</t>
        </is>
      </c>
      <c r="M27" s="149" t="inlineStr">
        <is>
          <t>O</t>
        </is>
      </c>
      <c r="N27" s="150" t="inlineStr">
        <is>
          <t>O</t>
        </is>
      </c>
      <c r="O27" s="151" t="inlineStr">
        <is>
          <t>O</t>
        </is>
      </c>
      <c r="P27" s="152">
        <f>IF($I27="","",IF($J27="O","3","")&amp;IF($K27="O","4","")&amp;IF($L27="O","6","")&amp;IF($M27="O","7","")&amp;IF($N27="O","8","")&amp;IF($O27="O","?","")&amp;IF(OR($J27="O",$K27="O",$L27="O",$M27="O",$N27="O",$O27="O"),"-","")&amp;$I27)</f>
        <v/>
      </c>
      <c r="Q27" s="153">
        <f>HYPERLINK("#'마스터_품목'!A94","→ 마스터 R94")</f>
        <v/>
      </c>
      <c r="R27" s="154" t="n">
        <v>94</v>
      </c>
      <c r="S27" s="154" t="inlineStr">
        <is>
          <t>마스터_품목</t>
        </is>
      </c>
    </row>
    <row r="28" ht="48" customHeight="1">
      <c r="A28" s="140" t="inlineStr">
        <is>
          <t>고압</t>
        </is>
      </c>
      <c r="B28" s="140" t="inlineStr">
        <is>
          <t>히터
트랜스</t>
        </is>
      </c>
      <c r="C28" s="141" t="inlineStr">
        <is>
          <t>DX3000,  ADX4000W,  ADX6000</t>
        </is>
      </c>
      <c r="D28" s="141" t="inlineStr">
        <is>
          <t>TIW (외경)0.7mm(내경)0.5 5000m(히터트랜스용 선)</t>
        </is>
      </c>
      <c r="E28" s="141" t="inlineStr">
        <is>
          <t>TIW 권선 (히터트랜스용 선) ((외경)0.7mm (내경)0.5mm, 4000m)
[DX3000, ADX4000W ADX6000]</t>
        </is>
      </c>
      <c r="F28" s="142" t="inlineStr">
        <is>
          <t>O</t>
        </is>
      </c>
      <c r="G28" s="143" t="n"/>
      <c r="H28" s="144" t="n"/>
      <c r="I28" s="145">
        <f>IFERROR(IF(OR($F28="O",$G28="O",$H28="O"),CHOOSE(MATCH($A28,{"튜브","고압","진공","튜닝","조립","출하"},0),"T","H","V","N","A","P")&amp;IF($F28="O","R",IF($G28="O","A",IF($H28="O","F",""))),""),"")</f>
        <v/>
      </c>
      <c r="J28" s="146" t="inlineStr">
        <is>
          <t>O</t>
        </is>
      </c>
      <c r="K28" s="147" t="inlineStr">
        <is>
          <t>O</t>
        </is>
      </c>
      <c r="L28" s="148" t="inlineStr">
        <is>
          <t>O</t>
        </is>
      </c>
      <c r="M28" s="149" t="n"/>
      <c r="N28" s="150" t="n"/>
      <c r="O28" s="151" t="n"/>
      <c r="P28" s="152">
        <f>IF($I28="","",IF($J28="O","3","")&amp;IF($K28="O","4","")&amp;IF($L28="O","6","")&amp;IF($M28="O","7","")&amp;IF($N28="O","8","")&amp;IF($O28="O","?","")&amp;IF(OR($J28="O",$K28="O",$L28="O",$M28="O",$N28="O",$O28="O"),"-","")&amp;$I28)</f>
        <v/>
      </c>
      <c r="Q28" s="153">
        <f>HYPERLINK("#'마스터_품목'!A43","→ 마스터 R43")</f>
        <v/>
      </c>
      <c r="R28" s="154" t="n">
        <v>43</v>
      </c>
      <c r="S28" s="154" t="inlineStr">
        <is>
          <t>마스터_품목</t>
        </is>
      </c>
    </row>
    <row r="29" ht="48" customHeight="1">
      <c r="A29" s="140" t="inlineStr">
        <is>
          <t>고압</t>
        </is>
      </c>
      <c r="B29" s="140" t="inlineStr">
        <is>
          <t>히터
트랜스</t>
        </is>
      </c>
      <c r="C29" s="141" t="inlineStr">
        <is>
          <t>DX3000,  ADX4000W,  ADX6000</t>
        </is>
      </c>
      <c r="D29" s="141" t="inlineStr">
        <is>
          <t>40KVDC 22AWG  (히터트랜스용 붉은 고압선)</t>
        </is>
      </c>
      <c r="E29" s="141" t="inlineStr">
        <is>
          <t>히터트랜스용 고압선(적색) (40KVDC 22AWG)
[DX3000, ADX4000W ADX6000]</t>
        </is>
      </c>
      <c r="F29" s="142" t="inlineStr">
        <is>
          <t>O</t>
        </is>
      </c>
      <c r="G29" s="143" t="n"/>
      <c r="H29" s="144" t="n"/>
      <c r="I29" s="145">
        <f>IFERROR(IF(OR($F29="O",$G29="O",$H29="O"),CHOOSE(MATCH($A29,{"튜브","고압","진공","튜닝","조립","출하"},0),"T","H","V","N","A","P")&amp;IF($F29="O","R",IF($G29="O","A",IF($H29="O","F",""))),""),"")</f>
        <v/>
      </c>
      <c r="J29" s="146" t="inlineStr">
        <is>
          <t>O</t>
        </is>
      </c>
      <c r="K29" s="147" t="inlineStr">
        <is>
          <t>O</t>
        </is>
      </c>
      <c r="L29" s="148" t="inlineStr">
        <is>
          <t>O</t>
        </is>
      </c>
      <c r="M29" s="149" t="n"/>
      <c r="N29" s="150" t="n"/>
      <c r="O29" s="151" t="n"/>
      <c r="P29" s="152">
        <f>IF($I29="","",IF($J29="O","3","")&amp;IF($K29="O","4","")&amp;IF($L29="O","6","")&amp;IF($M29="O","7","")&amp;IF($N29="O","8","")&amp;IF($O29="O","?","")&amp;IF(OR($J29="O",$K29="O",$L29="O",$M29="O",$N29="O",$O29="O"),"-","")&amp;$I29)</f>
        <v/>
      </c>
      <c r="Q29" s="153">
        <f>HYPERLINK("#'마스터_품목'!A44","→ 마스터 R44")</f>
        <v/>
      </c>
      <c r="R29" s="154" t="n">
        <v>44</v>
      </c>
      <c r="S29" s="154" t="inlineStr">
        <is>
          <t>마스터_품목</t>
        </is>
      </c>
    </row>
    <row r="30" ht="48" customHeight="1">
      <c r="A30" s="140" t="inlineStr">
        <is>
          <t>고압</t>
        </is>
      </c>
      <c r="B30" s="140" t="inlineStr">
        <is>
          <t>히터
트랜스</t>
        </is>
      </c>
      <c r="C30" s="141" t="inlineStr">
        <is>
          <t>ADX6000</t>
        </is>
      </c>
      <c r="D30" s="141" t="inlineStr">
        <is>
          <t>센더스트 코어 CS234060</t>
        </is>
      </c>
      <c r="E30" s="141" t="inlineStr">
        <is>
          <t>센더스트 코어 (CS234060)
[ADX6000]</t>
        </is>
      </c>
      <c r="F30" s="142" t="inlineStr">
        <is>
          <t>O</t>
        </is>
      </c>
      <c r="G30" s="143" t="n"/>
      <c r="H30" s="144" t="n"/>
      <c r="I30" s="145">
        <f>IFERROR(IF(OR($F30="O",$G30="O",$H30="O"),CHOOSE(MATCH($A30,{"튜브","고압","진공","튜닝","조립","출하"},0),"T","H","V","N","A","P")&amp;IF($F30="O","R",IF($G30="O","A",IF($H30="O","F",""))),""),"")</f>
        <v/>
      </c>
      <c r="J30" s="146" t="n"/>
      <c r="K30" s="147" t="n"/>
      <c r="L30" s="148" t="inlineStr">
        <is>
          <t>O</t>
        </is>
      </c>
      <c r="M30" s="149" t="n"/>
      <c r="N30" s="150" t="n"/>
      <c r="O30" s="151" t="n"/>
      <c r="P30" s="152">
        <f>IF($I30="","",IF($J30="O","3","")&amp;IF($K30="O","4","")&amp;IF($L30="O","6","")&amp;IF($M30="O","7","")&amp;IF($N30="O","8","")&amp;IF($O30="O","?","")&amp;IF(OR($J30="O",$K30="O",$L30="O",$M30="O",$N30="O",$O30="O"),"-","")&amp;$I30)</f>
        <v/>
      </c>
      <c r="Q30" s="153">
        <f>HYPERLINK("#'마스터_품목'!A45","→ 마스터 R45")</f>
        <v/>
      </c>
      <c r="R30" s="154" t="n">
        <v>45</v>
      </c>
      <c r="S30" s="154" t="inlineStr">
        <is>
          <t>마스터_품목</t>
        </is>
      </c>
    </row>
    <row r="31" ht="48" customHeight="1">
      <c r="A31" s="140" t="inlineStr">
        <is>
          <t>고압</t>
        </is>
      </c>
      <c r="B31" s="140" t="inlineStr">
        <is>
          <t>히터
트랜스</t>
        </is>
      </c>
      <c r="C31" s="141" t="inlineStr">
        <is>
          <t>DX3000,  ADX4000W</t>
        </is>
      </c>
      <c r="D31" s="141" t="inlineStr">
        <is>
          <t>T 코어 (히터트랜스용)</t>
        </is>
      </c>
      <c r="E31" s="141" t="inlineStr">
        <is>
          <t>T 코어 (히터트랜스용) (T31 X 8 X 19E)
[DX3000, ADX4000W ADX6000]</t>
        </is>
      </c>
      <c r="F31" s="142" t="inlineStr">
        <is>
          <t>O</t>
        </is>
      </c>
      <c r="G31" s="143" t="n"/>
      <c r="H31" s="144" t="n"/>
      <c r="I31" s="145">
        <f>IFERROR(IF(OR($F31="O",$G31="O",$H31="O"),CHOOSE(MATCH($A31,{"튜브","고압","진공","튜닝","조립","출하"},0),"T","H","V","N","A","P")&amp;IF($F31="O","R",IF($G31="O","A",IF($H31="O","F",""))),""),"")</f>
        <v/>
      </c>
      <c r="J31" s="146" t="inlineStr">
        <is>
          <t>O</t>
        </is>
      </c>
      <c r="K31" s="147" t="inlineStr">
        <is>
          <t>O</t>
        </is>
      </c>
      <c r="L31" s="148" t="n"/>
      <c r="M31" s="149" t="n"/>
      <c r="N31" s="150" t="n"/>
      <c r="O31" s="151" t="n"/>
      <c r="P31" s="152">
        <f>IF($I31="","",IF($J31="O","3","")&amp;IF($K31="O","4","")&amp;IF($L31="O","6","")&amp;IF($M31="O","7","")&amp;IF($N31="O","8","")&amp;IF($O31="O","?","")&amp;IF(OR($J31="O",$K31="O",$L31="O",$M31="O",$N31="O",$O31="O"),"-","")&amp;$I31)</f>
        <v/>
      </c>
      <c r="Q31" s="153">
        <f>HYPERLINK("#'마스터_품목'!A46","→ 마스터 R46")</f>
        <v/>
      </c>
      <c r="R31" s="154" t="n">
        <v>46</v>
      </c>
      <c r="S31" s="154" t="inlineStr">
        <is>
          <t>마스터_품목</t>
        </is>
      </c>
    </row>
    <row r="32" ht="48" customHeight="1">
      <c r="A32" s="140" t="inlineStr">
        <is>
          <t>고압</t>
        </is>
      </c>
      <c r="B32" s="140" t="inlineStr">
        <is>
          <t>히터
트랜스</t>
        </is>
      </c>
      <c r="C32" s="141" t="inlineStr">
        <is>
          <t>SOLO</t>
        </is>
      </c>
      <c r="D32" s="141" t="inlineStr">
        <is>
          <t>T 코어 (히터트랜스용)</t>
        </is>
      </c>
      <c r="E32" s="141" t="inlineStr">
        <is>
          <t>T 코어 (히터트랜스용) (TR22-14-6.5)
[SOLO]</t>
        </is>
      </c>
      <c r="F32" s="142" t="inlineStr">
        <is>
          <t>O</t>
        </is>
      </c>
      <c r="G32" s="143" t="n"/>
      <c r="H32" s="144" t="n"/>
      <c r="I32" s="145">
        <f>IFERROR(IF(OR($F32="O",$G32="O",$H32="O"),CHOOSE(MATCH($A32,{"튜브","고압","진공","튜닝","조립","출하"},0),"T","H","V","N","A","P")&amp;IF($F32="O","R",IF($G32="O","A",IF($H32="O","F",""))),""),"")</f>
        <v/>
      </c>
      <c r="J32" s="146" t="n"/>
      <c r="K32" s="147" t="n"/>
      <c r="L32" s="148" t="n"/>
      <c r="M32" s="149" t="n"/>
      <c r="N32" s="150" t="inlineStr">
        <is>
          <t>O</t>
        </is>
      </c>
      <c r="O32" s="151" t="n"/>
      <c r="P32" s="152">
        <f>IF($I32="","",IF($J32="O","3","")&amp;IF($K32="O","4","")&amp;IF($L32="O","6","")&amp;IF($M32="O","7","")&amp;IF($N32="O","8","")&amp;IF($O32="O","?","")&amp;IF(OR($J32="O",$K32="O",$L32="O",$M32="O",$N32="O",$O32="O"),"-","")&amp;$I32)</f>
        <v/>
      </c>
      <c r="Q32" s="153">
        <f>HYPERLINK("#'마스터_품목'!A47","→ 마스터 R47")</f>
        <v/>
      </c>
      <c r="R32" s="154" t="n">
        <v>47</v>
      </c>
      <c r="S32" s="154" t="inlineStr">
        <is>
          <t>마스터_품목</t>
        </is>
      </c>
    </row>
    <row r="33" ht="48" customHeight="1">
      <c r="A33" s="140" t="inlineStr">
        <is>
          <t>고압</t>
        </is>
      </c>
      <c r="B33" s="140" t="inlineStr">
        <is>
          <t>히터
트랜스</t>
        </is>
      </c>
      <c r="C33" s="141" t="inlineStr">
        <is>
          <t>DX3000,  ADX4000W</t>
        </is>
      </c>
      <c r="D33" s="141" t="inlineStr">
        <is>
          <t>히터트랜스포머 24턴</t>
        </is>
      </c>
      <c r="E33" s="141" t="n"/>
      <c r="F33" s="142" t="n"/>
      <c r="G33" s="143" t="inlineStr">
        <is>
          <t>O</t>
        </is>
      </c>
      <c r="H33" s="144" t="n"/>
      <c r="I33" s="145">
        <f>IFERROR(IF(OR($F33="O",$G33="O",$H33="O"),CHOOSE(MATCH($A33,{"튜브","고압","진공","튜닝","조립","출하"},0),"T","H","V","N","A","P")&amp;IF($F33="O","R",IF($G33="O","A",IF($H33="O","F",""))),""),"")</f>
        <v/>
      </c>
      <c r="J33" s="146" t="inlineStr">
        <is>
          <t>O</t>
        </is>
      </c>
      <c r="K33" s="147" t="inlineStr">
        <is>
          <t>O</t>
        </is>
      </c>
      <c r="L33" s="148" t="n"/>
      <c r="M33" s="149" t="n"/>
      <c r="N33" s="150" t="n"/>
      <c r="O33" s="151" t="n"/>
      <c r="P33" s="152">
        <f>IF($I33="","",IF($J33="O","3","")&amp;IF($K33="O","4","")&amp;IF($L33="O","6","")&amp;IF($M33="O","7","")&amp;IF($N33="O","8","")&amp;IF($O33="O","?","")&amp;IF(OR($J33="O",$K33="O",$L33="O",$M33="O",$N33="O",$O33="O"),"-","")&amp;$I33)</f>
        <v/>
      </c>
      <c r="Q33" s="153">
        <f>HYPERLINK("#'마스터_품목'!A48","→ 마스터 R48")</f>
        <v/>
      </c>
      <c r="R33" s="154" t="n">
        <v>48</v>
      </c>
      <c r="S33" s="154" t="inlineStr">
        <is>
          <t>마스터_품목</t>
        </is>
      </c>
    </row>
    <row r="34" ht="48" customHeight="1">
      <c r="A34" s="140" t="inlineStr">
        <is>
          <t>고압</t>
        </is>
      </c>
      <c r="B34" s="140" t="inlineStr">
        <is>
          <t>히터
트랜스</t>
        </is>
      </c>
      <c r="C34" s="141" t="inlineStr">
        <is>
          <t>ADX6000</t>
        </is>
      </c>
      <c r="D34" s="141" t="inlineStr">
        <is>
          <t>히터트랜스포머 20턴 작업完</t>
        </is>
      </c>
      <c r="E34" s="141" t="n"/>
      <c r="F34" s="142" t="n"/>
      <c r="G34" s="143" t="inlineStr">
        <is>
          <t>O</t>
        </is>
      </c>
      <c r="H34" s="144" t="n"/>
      <c r="I34" s="145">
        <f>IFERROR(IF(OR($F34="O",$G34="O",$H34="O"),CHOOSE(MATCH($A34,{"튜브","고압","진공","튜닝","조립","출하"},0),"T","H","V","N","A","P")&amp;IF($F34="O","R",IF($G34="O","A",IF($H34="O","F",""))),""),"")</f>
        <v/>
      </c>
      <c r="J34" s="146" t="n"/>
      <c r="K34" s="147" t="n"/>
      <c r="L34" s="148" t="inlineStr">
        <is>
          <t>O</t>
        </is>
      </c>
      <c r="M34" s="149" t="n"/>
      <c r="N34" s="150" t="n"/>
      <c r="O34" s="151" t="n"/>
      <c r="P34" s="152">
        <f>IF($I34="","",IF($J34="O","3","")&amp;IF($K34="O","4","")&amp;IF($L34="O","6","")&amp;IF($M34="O","7","")&amp;IF($N34="O","8","")&amp;IF($O34="O","?","")&amp;IF(OR($J34="O",$K34="O",$L34="O",$M34="O",$N34="O",$O34="O"),"-","")&amp;$I34)</f>
        <v/>
      </c>
      <c r="Q34" s="153">
        <f>HYPERLINK("#'마스터_품목'!A49","→ 마스터 R49")</f>
        <v/>
      </c>
      <c r="R34" s="154" t="n">
        <v>49</v>
      </c>
      <c r="S34" s="154" t="inlineStr">
        <is>
          <t>마스터_품목</t>
        </is>
      </c>
    </row>
    <row r="35" ht="48" customHeight="1">
      <c r="A35" s="140" t="inlineStr">
        <is>
          <t>고압</t>
        </is>
      </c>
      <c r="B35" s="140" t="inlineStr">
        <is>
          <t>히터
트랜스</t>
        </is>
      </c>
      <c r="C35" s="141" t="inlineStr">
        <is>
          <t>SOLO</t>
        </is>
      </c>
      <c r="D35" s="141" t="inlineStr">
        <is>
          <t>히터트랜스포머 20턴</t>
        </is>
      </c>
      <c r="E35" s="141" t="n"/>
      <c r="F35" s="142" t="n"/>
      <c r="G35" s="143" t="inlineStr">
        <is>
          <t>O</t>
        </is>
      </c>
      <c r="H35" s="144" t="n"/>
      <c r="I35" s="145">
        <f>IFERROR(IF(OR($F35="O",$G35="O",$H35="O"),CHOOSE(MATCH($A35,{"튜브","고압","진공","튜닝","조립","출하"},0),"T","H","V","N","A","P")&amp;IF($F35="O","R",IF($G35="O","A",IF($H35="O","F",""))),""),"")</f>
        <v/>
      </c>
      <c r="J35" s="146" t="n"/>
      <c r="K35" s="147" t="n"/>
      <c r="L35" s="148" t="n"/>
      <c r="M35" s="149" t="n"/>
      <c r="N35" s="150" t="inlineStr">
        <is>
          <t>O</t>
        </is>
      </c>
      <c r="O35" s="151" t="n"/>
      <c r="P35" s="152">
        <f>IF($I35="","",IF($J35="O","3","")&amp;IF($K35="O","4","")&amp;IF($L35="O","6","")&amp;IF($M35="O","7","")&amp;IF($N35="O","8","")&amp;IF($O35="O","?","")&amp;IF(OR($J35="O",$K35="O",$L35="O",$M35="O",$N35="O",$O35="O"),"-","")&amp;$I35)</f>
        <v/>
      </c>
      <c r="Q35" s="153">
        <f>HYPERLINK("#'마스터_품목'!A50","→ 마스터 R50")</f>
        <v/>
      </c>
      <c r="R35" s="154" t="n">
        <v>50</v>
      </c>
      <c r="S35" s="154" t="inlineStr">
        <is>
          <t>마스터_품목</t>
        </is>
      </c>
    </row>
    <row r="36" ht="48" customHeight="1">
      <c r="A36" s="140" t="inlineStr">
        <is>
          <t>고압</t>
        </is>
      </c>
      <c r="B36" s="140" t="inlineStr">
        <is>
          <t>히터
트랜스</t>
        </is>
      </c>
      <c r="C36" s="141" t="inlineStr">
        <is>
          <t>ADX6000</t>
        </is>
      </c>
      <c r="D36" s="141" t="inlineStr">
        <is>
          <t>센더스트 코어 작업完</t>
        </is>
      </c>
      <c r="E36" s="141" t="n"/>
      <c r="F36" s="142" t="n"/>
      <c r="G36" s="143" t="inlineStr">
        <is>
          <t>O</t>
        </is>
      </c>
      <c r="H36" s="144" t="n"/>
      <c r="I36" s="145">
        <f>IFERROR(IF(OR($F36="O",$G36="O",$H36="O"),CHOOSE(MATCH($A36,{"튜브","고압","진공","튜닝","조립","출하"},0),"T","H","V","N","A","P")&amp;IF($F36="O","R",IF($G36="O","A",IF($H36="O","F",""))),""),"")</f>
        <v/>
      </c>
      <c r="J36" s="146" t="n"/>
      <c r="K36" s="147" t="n"/>
      <c r="L36" s="148" t="inlineStr">
        <is>
          <t>O</t>
        </is>
      </c>
      <c r="M36" s="149" t="n"/>
      <c r="N36" s="150" t="n"/>
      <c r="O36" s="151" t="n"/>
      <c r="P36" s="152">
        <f>IF($I36="","",IF($J36="O","3","")&amp;IF($K36="O","4","")&amp;IF($L36="O","6","")&amp;IF($M36="O","7","")&amp;IF($N36="O","8","")&amp;IF($O36="O","?","")&amp;IF(OR($J36="O",$K36="O",$L36="O",$M36="O",$N36="O",$O36="O"),"-","")&amp;$I36)</f>
        <v/>
      </c>
      <c r="Q36" s="153">
        <f>HYPERLINK("#'마스터_품목'!A51","→ 마스터 R51")</f>
        <v/>
      </c>
      <c r="R36" s="154" t="n">
        <v>51</v>
      </c>
      <c r="S36" s="154" t="inlineStr">
        <is>
          <t>마스터_품목</t>
        </is>
      </c>
    </row>
    <row r="37" ht="48" customHeight="1">
      <c r="A37" s="140" t="inlineStr">
        <is>
          <t>고압</t>
        </is>
      </c>
      <c r="B37" s="140" t="inlineStr">
        <is>
          <t>트랜스포머</t>
        </is>
      </c>
      <c r="C37" s="141" t="inlineStr">
        <is>
          <t>DX3000,  ADX4000W</t>
        </is>
      </c>
      <c r="D37" s="141" t="inlineStr">
        <is>
          <t>트랜스포머</t>
        </is>
      </c>
      <c r="E37" s="141" t="inlineStr">
        <is>
          <t>트랜스포머 (60kV)
[DX3000, ADX4000W]</t>
        </is>
      </c>
      <c r="F37" s="142" t="inlineStr">
        <is>
          <t>O</t>
        </is>
      </c>
      <c r="G37" s="143" t="n"/>
      <c r="H37" s="144" t="n"/>
      <c r="I37" s="145">
        <f>IFERROR(IF(OR($F37="O",$G37="O",$H37="O"),CHOOSE(MATCH($A37,{"튜브","고압","진공","튜닝","조립","출하"},0),"T","H","V","N","A","P")&amp;IF($F37="O","R",IF($G37="O","A",IF($H37="O","F",""))),""),"")</f>
        <v/>
      </c>
      <c r="J37" s="146" t="inlineStr">
        <is>
          <t>O</t>
        </is>
      </c>
      <c r="K37" s="147" t="inlineStr">
        <is>
          <t>O</t>
        </is>
      </c>
      <c r="L37" s="148" t="n"/>
      <c r="M37" s="149" t="n"/>
      <c r="N37" s="150" t="n"/>
      <c r="O37" s="151" t="n"/>
      <c r="P37" s="152">
        <f>IF($I37="","",IF($J37="O","3","")&amp;IF($K37="O","4","")&amp;IF($L37="O","6","")&amp;IF($M37="O","7","")&amp;IF($N37="O","8","")&amp;IF($O37="O","?","")&amp;IF(OR($J37="O",$K37="O",$L37="O",$M37="O",$N37="O",$O37="O"),"-","")&amp;$I37)</f>
        <v/>
      </c>
      <c r="Q37" s="153">
        <f>HYPERLINK("#'마스터_품목'!A52","→ 마스터 R52")</f>
        <v/>
      </c>
      <c r="R37" s="154" t="n">
        <v>52</v>
      </c>
      <c r="S37" s="154" t="inlineStr">
        <is>
          <t>마스터_품목</t>
        </is>
      </c>
    </row>
    <row r="38" ht="48" customHeight="1">
      <c r="A38" s="140" t="inlineStr">
        <is>
          <t>고압</t>
        </is>
      </c>
      <c r="B38" s="140" t="inlineStr">
        <is>
          <t>트랜스포머</t>
        </is>
      </c>
      <c r="C38" s="141" t="inlineStr">
        <is>
          <t>COCOON</t>
        </is>
      </c>
      <c r="D38" s="141" t="inlineStr">
        <is>
          <t>트랜스포머</t>
        </is>
      </c>
      <c r="E38" s="141" t="inlineStr">
        <is>
          <t>트랜스포머 (70kV)
[COCOON]</t>
        </is>
      </c>
      <c r="F38" s="142" t="inlineStr">
        <is>
          <t>O</t>
        </is>
      </c>
      <c r="G38" s="143" t="n"/>
      <c r="H38" s="144" t="n"/>
      <c r="I38" s="145">
        <f>IFERROR(IF(OR($F38="O",$G38="O",$H38="O"),CHOOSE(MATCH($A38,{"튜브","고압","진공","튜닝","조립","출하"},0),"T","H","V","N","A","P")&amp;IF($F38="O","R",IF($G38="O","A",IF($H38="O","F",""))),""),"")</f>
        <v/>
      </c>
      <c r="J38" s="146" t="n"/>
      <c r="K38" s="147" t="n"/>
      <c r="L38" s="148" t="n"/>
      <c r="M38" s="149" t="inlineStr">
        <is>
          <t>O</t>
        </is>
      </c>
      <c r="N38" s="150" t="n"/>
      <c r="O38" s="151" t="n"/>
      <c r="P38" s="152">
        <f>IF($I38="","",IF($J38="O","3","")&amp;IF($K38="O","4","")&amp;IF($L38="O","6","")&amp;IF($M38="O","7","")&amp;IF($N38="O","8","")&amp;IF($O38="O","?","")&amp;IF(OR($J38="O",$K38="O",$L38="O",$M38="O",$N38="O",$O38="O"),"-","")&amp;$I38)</f>
        <v/>
      </c>
      <c r="Q38" s="153">
        <f>HYPERLINK("#'마스터_품목'!A53","→ 마스터 R53")</f>
        <v/>
      </c>
      <c r="R38" s="154" t="n">
        <v>53</v>
      </c>
      <c r="S38" s="154" t="inlineStr">
        <is>
          <t>마스터_품목</t>
        </is>
      </c>
    </row>
    <row r="39" ht="48" customHeight="1">
      <c r="A39" s="140" t="inlineStr">
        <is>
          <t>고압</t>
        </is>
      </c>
      <c r="B39" s="140" t="inlineStr">
        <is>
          <t>트랜스포머</t>
        </is>
      </c>
      <c r="C39" s="141" t="inlineStr">
        <is>
          <t>SOLO</t>
        </is>
      </c>
      <c r="D39" s="141" t="inlineStr">
        <is>
          <t>트랜스포머</t>
        </is>
      </c>
      <c r="E39" s="141" t="n"/>
      <c r="F39" s="142" t="inlineStr">
        <is>
          <t>O</t>
        </is>
      </c>
      <c r="G39" s="143" t="n"/>
      <c r="H39" s="144" t="n"/>
      <c r="I39" s="145">
        <f>IFERROR(IF(OR($F39="O",$G39="O",$H39="O"),CHOOSE(MATCH($A39,{"튜브","고압","진공","튜닝","조립","출하"},0),"T","H","V","N","A","P")&amp;IF($F39="O","R",IF($G39="O","A",IF($H39="O","F",""))),""),"")</f>
        <v/>
      </c>
      <c r="J39" s="146" t="n"/>
      <c r="K39" s="147" t="n"/>
      <c r="L39" s="148" t="n"/>
      <c r="M39" s="149" t="n"/>
      <c r="N39" s="150" t="inlineStr">
        <is>
          <t>O</t>
        </is>
      </c>
      <c r="O39" s="151" t="n"/>
      <c r="P39" s="152">
        <f>IF($I39="","",IF($J39="O","3","")&amp;IF($K39="O","4","")&amp;IF($L39="O","6","")&amp;IF($M39="O","7","")&amp;IF($N39="O","8","")&amp;IF($O39="O","?","")&amp;IF(OR($J39="O",$K39="O",$L39="O",$M39="O",$N39="O",$O39="O"),"-","")&amp;$I39)</f>
        <v/>
      </c>
      <c r="Q39" s="153">
        <f>HYPERLINK("#'마스터_품목'!A54","→ 마스터 R54")</f>
        <v/>
      </c>
      <c r="R39" s="154" t="n">
        <v>54</v>
      </c>
      <c r="S39" s="154" t="inlineStr">
        <is>
          <t>마스터_품목</t>
        </is>
      </c>
    </row>
    <row r="40" ht="48" customHeight="1">
      <c r="A40" s="140" t="inlineStr">
        <is>
          <t>고압</t>
        </is>
      </c>
      <c r="B40" s="140" t="inlineStr">
        <is>
          <t>트랜스포머</t>
        </is>
      </c>
      <c r="C40" s="141" t="inlineStr">
        <is>
          <t>ADX6000</t>
        </is>
      </c>
      <c r="D40" s="141" t="inlineStr">
        <is>
          <t>트랜스포머</t>
        </is>
      </c>
      <c r="E40" s="141" t="inlineStr">
        <is>
          <t>트랜스포머 (800턴) (80kV)
[ADX6000]</t>
        </is>
      </c>
      <c r="F40" s="142" t="inlineStr">
        <is>
          <t>O</t>
        </is>
      </c>
      <c r="G40" s="143" t="n"/>
      <c r="H40" s="144" t="n"/>
      <c r="I40" s="145">
        <f>IFERROR(IF(OR($F40="O",$G40="O",$H40="O"),CHOOSE(MATCH($A40,{"튜브","고압","진공","튜닝","조립","출하"},0),"T","H","V","N","A","P")&amp;IF($F40="O","R",IF($G40="O","A",IF($H40="O","F",""))),""),"")</f>
        <v/>
      </c>
      <c r="J40" s="146" t="n"/>
      <c r="K40" s="147" t="n"/>
      <c r="L40" s="148" t="inlineStr">
        <is>
          <t>O</t>
        </is>
      </c>
      <c r="M40" s="149" t="n"/>
      <c r="N40" s="150" t="n"/>
      <c r="O40" s="151" t="n"/>
      <c r="P40" s="152">
        <f>IF($I40="","",IF($J40="O","3","")&amp;IF($K40="O","4","")&amp;IF($L40="O","6","")&amp;IF($M40="O","7","")&amp;IF($N40="O","8","")&amp;IF($O40="O","?","")&amp;IF(OR($J40="O",$K40="O",$L40="O",$M40="O",$N40="O",$O40="O"),"-","")&amp;$I40)</f>
        <v/>
      </c>
      <c r="Q40" s="153">
        <f>HYPERLINK("#'마스터_품목'!A55","→ 마스터 R55")</f>
        <v/>
      </c>
      <c r="R40" s="154" t="n">
        <v>55</v>
      </c>
      <c r="S40" s="154" t="inlineStr">
        <is>
          <t>마스터_품목</t>
        </is>
      </c>
    </row>
    <row r="41" ht="48" customHeight="1">
      <c r="A41" s="140" t="inlineStr">
        <is>
          <t>고압</t>
        </is>
      </c>
      <c r="B41" s="140" t="inlineStr">
        <is>
          <t>BD</t>
        </is>
      </c>
      <c r="C41" s="141" t="inlineStr">
        <is>
          <t>DX3000,  ADX4000W</t>
        </is>
      </c>
      <c r="D41" s="141" t="inlineStr">
        <is>
          <t>튜브 고정 보드 에노드 (나사)</t>
        </is>
      </c>
      <c r="E41" s="141" t="inlineStr">
        <is>
          <t>튜브 고정 보드 에노드 (나사)
[DX3000, ADX4000W]</t>
        </is>
      </c>
      <c r="F41" s="142" t="inlineStr">
        <is>
          <t>O</t>
        </is>
      </c>
      <c r="G41" s="143" t="n"/>
      <c r="H41" s="144" t="n"/>
      <c r="I41" s="145">
        <f>IFERROR(IF(OR($F41="O",$G41="O",$H41="O"),CHOOSE(MATCH($A41,{"튜브","고압","진공","튜닝","조립","출하"},0),"T","H","V","N","A","P")&amp;IF($F41="O","R",IF($G41="O","A",IF($H41="O","F",""))),""),"")</f>
        <v/>
      </c>
      <c r="J41" s="146" t="inlineStr">
        <is>
          <t>O</t>
        </is>
      </c>
      <c r="K41" s="147" t="inlineStr">
        <is>
          <t>O</t>
        </is>
      </c>
      <c r="L41" s="148" t="n"/>
      <c r="M41" s="149" t="n"/>
      <c r="N41" s="150" t="n"/>
      <c r="O41" s="151" t="n"/>
      <c r="P41" s="152">
        <f>IF($I41="","",IF($J41="O","3","")&amp;IF($K41="O","4","")&amp;IF($L41="O","6","")&amp;IF($M41="O","7","")&amp;IF($N41="O","8","")&amp;IF($O41="O","?","")&amp;IF(OR($J41="O",$K41="O",$L41="O",$M41="O",$N41="O",$O41="O"),"-","")&amp;$I41)</f>
        <v/>
      </c>
      <c r="Q41" s="153">
        <f>HYPERLINK("#'마스터_품목'!A56","→ 마스터 R56")</f>
        <v/>
      </c>
      <c r="R41" s="154" t="n">
        <v>56</v>
      </c>
      <c r="S41" s="154" t="inlineStr">
        <is>
          <t>마스터_품목</t>
        </is>
      </c>
    </row>
    <row r="42" ht="48" customHeight="1">
      <c r="A42" s="140" t="inlineStr">
        <is>
          <t>고압</t>
        </is>
      </c>
      <c r="B42" s="140" t="inlineStr">
        <is>
          <t>BD</t>
        </is>
      </c>
      <c r="C42" s="141" t="inlineStr">
        <is>
          <t>DX3000</t>
        </is>
      </c>
      <c r="D42" s="141" t="inlineStr">
        <is>
          <t>튜브 고정 보드 케소드 (필라멘트)</t>
        </is>
      </c>
      <c r="E42" s="141" t="inlineStr">
        <is>
          <t>튜브 고정 보드 케소드 (필라멘트)
[DX3000]</t>
        </is>
      </c>
      <c r="F42" s="142" t="inlineStr">
        <is>
          <t>O</t>
        </is>
      </c>
      <c r="G42" s="143" t="n"/>
      <c r="H42" s="144" t="n"/>
      <c r="I42" s="145">
        <f>IFERROR(IF(OR($F42="O",$G42="O",$H42="O"),CHOOSE(MATCH($A42,{"튜브","고압","진공","튜닝","조립","출하"},0),"T","H","V","N","A","P")&amp;IF($F42="O","R",IF($G42="O","A",IF($H42="O","F",""))),""),"")</f>
        <v/>
      </c>
      <c r="J42" s="146" t="inlineStr">
        <is>
          <t>O</t>
        </is>
      </c>
      <c r="K42" s="147" t="n"/>
      <c r="L42" s="148" t="n"/>
      <c r="M42" s="149" t="n"/>
      <c r="N42" s="150" t="n"/>
      <c r="O42" s="151" t="n"/>
      <c r="P42" s="152">
        <f>IF($I42="","",IF($J42="O","3","")&amp;IF($K42="O","4","")&amp;IF($L42="O","6","")&amp;IF($M42="O","7","")&amp;IF($N42="O","8","")&amp;IF($O42="O","?","")&amp;IF(OR($J42="O",$K42="O",$L42="O",$M42="O",$N42="O",$O42="O"),"-","")&amp;$I42)</f>
        <v/>
      </c>
      <c r="Q42" s="153">
        <f>HYPERLINK("#'마스터_품목'!A57","→ 마스터 R57")</f>
        <v/>
      </c>
      <c r="R42" s="154" t="n">
        <v>57</v>
      </c>
      <c r="S42" s="154" t="inlineStr">
        <is>
          <t>마스터_품목</t>
        </is>
      </c>
    </row>
    <row r="43" ht="48" customHeight="1">
      <c r="A43" s="140" t="inlineStr">
        <is>
          <t>고압</t>
        </is>
      </c>
      <c r="B43" s="140" t="inlineStr">
        <is>
          <t>BD</t>
        </is>
      </c>
      <c r="C43" s="141" t="inlineStr">
        <is>
          <t>ADX4000W</t>
        </is>
      </c>
      <c r="D43" s="141" t="inlineStr">
        <is>
          <t>튜브 고정 보드 케소드 (필라멘트)</t>
        </is>
      </c>
      <c r="E43" s="141" t="inlineStr">
        <is>
          <t>튜브 고정 보드 케소드 (필라멘트)
[ADX4000W]</t>
        </is>
      </c>
      <c r="F43" s="142" t="inlineStr">
        <is>
          <t>O</t>
        </is>
      </c>
      <c r="G43" s="143" t="n"/>
      <c r="H43" s="144" t="n"/>
      <c r="I43" s="145">
        <f>IFERROR(IF(OR($F43="O",$G43="O",$H43="O"),CHOOSE(MATCH($A43,{"튜브","고압","진공","튜닝","조립","출하"},0),"T","H","V","N","A","P")&amp;IF($F43="O","R",IF($G43="O","A",IF($H43="O","F",""))),""),"")</f>
        <v/>
      </c>
      <c r="J43" s="146" t="n"/>
      <c r="K43" s="147" t="inlineStr">
        <is>
          <t>O</t>
        </is>
      </c>
      <c r="L43" s="148" t="n"/>
      <c r="M43" s="149" t="n"/>
      <c r="N43" s="150" t="n"/>
      <c r="O43" s="151" t="n"/>
      <c r="P43" s="152">
        <f>IF($I43="","",IF($J43="O","3","")&amp;IF($K43="O","4","")&amp;IF($L43="O","6","")&amp;IF($M43="O","7","")&amp;IF($N43="O","8","")&amp;IF($O43="O","?","")&amp;IF(OR($J43="O",$K43="O",$L43="O",$M43="O",$N43="O",$O43="O"),"-","")&amp;$I43)</f>
        <v/>
      </c>
      <c r="Q43" s="153">
        <f>HYPERLINK("#'마스터_품목'!A58","→ 마스터 R58")</f>
        <v/>
      </c>
      <c r="R43" s="154" t="n">
        <v>58</v>
      </c>
      <c r="S43" s="154" t="inlineStr">
        <is>
          <t>마스터_품목</t>
        </is>
      </c>
    </row>
    <row r="44" ht="48" customHeight="1">
      <c r="A44" s="140" t="inlineStr">
        <is>
          <t>고압</t>
        </is>
      </c>
      <c r="B44" s="140" t="inlineStr">
        <is>
          <t>BD</t>
        </is>
      </c>
      <c r="C44" s="141" t="inlineStr">
        <is>
          <t>COCOON</t>
        </is>
      </c>
      <c r="D44" s="141" t="inlineStr">
        <is>
          <t>에노드 튜브 고정 보드(나사)</t>
        </is>
      </c>
      <c r="E44" s="141" t="inlineStr">
        <is>
          <t>튜브 고정 보드 에노드 (나사)
[COCOON]</t>
        </is>
      </c>
      <c r="F44" s="142" t="inlineStr">
        <is>
          <t>O</t>
        </is>
      </c>
      <c r="G44" s="143" t="n"/>
      <c r="H44" s="144" t="n"/>
      <c r="I44" s="145">
        <f>IFERROR(IF(OR($F44="O",$G44="O",$H44="O"),CHOOSE(MATCH($A44,{"튜브","고압","진공","튜닝","조립","출하"},0),"T","H","V","N","A","P")&amp;IF($F44="O","R",IF($G44="O","A",IF($H44="O","F",""))),""),"")</f>
        <v/>
      </c>
      <c r="J44" s="146" t="n"/>
      <c r="K44" s="147" t="n"/>
      <c r="L44" s="148" t="n"/>
      <c r="M44" s="149" t="inlineStr">
        <is>
          <t>O</t>
        </is>
      </c>
      <c r="N44" s="150" t="n"/>
      <c r="O44" s="151" t="n"/>
      <c r="P44" s="152">
        <f>IF($I44="","",IF($J44="O","3","")&amp;IF($K44="O","4","")&amp;IF($L44="O","6","")&amp;IF($M44="O","7","")&amp;IF($N44="O","8","")&amp;IF($O44="O","?","")&amp;IF(OR($J44="O",$K44="O",$L44="O",$M44="O",$N44="O",$O44="O"),"-","")&amp;$I44)</f>
        <v/>
      </c>
      <c r="Q44" s="153">
        <f>HYPERLINK("#'마스터_품목'!A59","→ 마스터 R59")</f>
        <v/>
      </c>
      <c r="R44" s="154" t="n">
        <v>59</v>
      </c>
      <c r="S44" s="154" t="inlineStr">
        <is>
          <t>마스터_품목</t>
        </is>
      </c>
    </row>
    <row r="45" ht="48" customHeight="1">
      <c r="A45" s="140" t="inlineStr">
        <is>
          <t>고압</t>
        </is>
      </c>
      <c r="B45" s="140" t="inlineStr">
        <is>
          <t>BD</t>
        </is>
      </c>
      <c r="C45" s="141" t="inlineStr">
        <is>
          <t>ADX6000</t>
        </is>
      </c>
      <c r="D45" s="141" t="inlineStr">
        <is>
          <t>ADX6000 고압 베어보드</t>
        </is>
      </c>
      <c r="E45" s="141" t="inlineStr">
        <is>
          <t>고압베어 B/D (구형)
[ADX6000]</t>
        </is>
      </c>
      <c r="F45" s="142" t="inlineStr">
        <is>
          <t>O</t>
        </is>
      </c>
      <c r="G45" s="143" t="n"/>
      <c r="H45" s="144" t="n"/>
      <c r="I45" s="145">
        <f>IFERROR(IF(OR($F45="O",$G45="O",$H45="O"),CHOOSE(MATCH($A45,{"튜브","고압","진공","튜닝","조립","출하"},0),"T","H","V","N","A","P")&amp;IF($F45="O","R",IF($G45="O","A",IF($H45="O","F",""))),""),"")</f>
        <v/>
      </c>
      <c r="J45" s="146" t="n"/>
      <c r="K45" s="147" t="n"/>
      <c r="L45" s="148" t="inlineStr">
        <is>
          <t>O</t>
        </is>
      </c>
      <c r="M45" s="149" t="n"/>
      <c r="N45" s="150" t="n"/>
      <c r="O45" s="151" t="n"/>
      <c r="P45" s="152">
        <f>IF($I45="","",IF($J45="O","3","")&amp;IF($K45="O","4","")&amp;IF($L45="O","6","")&amp;IF($M45="O","7","")&amp;IF($N45="O","8","")&amp;IF($O45="O","?","")&amp;IF(OR($J45="O",$K45="O",$L45="O",$M45="O",$N45="O",$O45="O"),"-","")&amp;$I45)</f>
        <v/>
      </c>
      <c r="Q45" s="153">
        <f>HYPERLINK("#'마스터_품목'!A60","→ 마스터 R60")</f>
        <v/>
      </c>
      <c r="R45" s="154" t="n">
        <v>60</v>
      </c>
      <c r="S45" s="154" t="inlineStr">
        <is>
          <t>마스터_품목</t>
        </is>
      </c>
    </row>
    <row r="46" ht="48" customHeight="1">
      <c r="A46" s="140" t="inlineStr">
        <is>
          <t>고압</t>
        </is>
      </c>
      <c r="B46" s="140" t="inlineStr">
        <is>
          <t>BD</t>
        </is>
      </c>
      <c r="C46" s="141" t="inlineStr">
        <is>
          <t>ADX6000</t>
        </is>
      </c>
      <c r="D46" s="141" t="inlineStr">
        <is>
          <t>ADX6000 신형 고압 베어보드</t>
        </is>
      </c>
      <c r="E46" s="141" t="inlineStr">
        <is>
          <t>고압베어 B/D (신형)
[ADX6000]</t>
        </is>
      </c>
      <c r="F46" s="142" t="inlineStr">
        <is>
          <t>O</t>
        </is>
      </c>
      <c r="G46" s="143" t="n"/>
      <c r="H46" s="144" t="n"/>
      <c r="I46" s="145">
        <f>IFERROR(IF(OR($F46="O",$G46="O",$H46="O"),CHOOSE(MATCH($A46,{"튜브","고압","진공","튜닝","조립","출하"},0),"T","H","V","N","A","P")&amp;IF($F46="O","R",IF($G46="O","A",IF($H46="O","F",""))),""),"")</f>
        <v/>
      </c>
      <c r="J46" s="146" t="n"/>
      <c r="K46" s="147" t="n"/>
      <c r="L46" s="148" t="inlineStr">
        <is>
          <t>O</t>
        </is>
      </c>
      <c r="M46" s="149" t="n"/>
      <c r="N46" s="150" t="n"/>
      <c r="O46" s="151" t="n"/>
      <c r="P46" s="152">
        <f>IF($I46="","",IF($J46="O","3","")&amp;IF($K46="O","4","")&amp;IF($L46="O","6","")&amp;IF($M46="O","7","")&amp;IF($N46="O","8","")&amp;IF($O46="O","?","")&amp;IF(OR($J46="O",$K46="O",$L46="O",$M46="O",$N46="O",$O46="O"),"-","")&amp;$I46)</f>
        <v/>
      </c>
      <c r="Q46" s="153">
        <f>HYPERLINK("#'마스터_품목'!A61","→ 마스터 R61")</f>
        <v/>
      </c>
      <c r="R46" s="154" t="n">
        <v>61</v>
      </c>
      <c r="S46" s="154" t="inlineStr">
        <is>
          <t>마스터_품목</t>
        </is>
      </c>
    </row>
    <row r="47" ht="48" customHeight="1">
      <c r="A47" s="140" t="inlineStr">
        <is>
          <t>고압</t>
        </is>
      </c>
      <c r="B47" s="140" t="inlineStr">
        <is>
          <t>BD</t>
        </is>
      </c>
      <c r="C47" s="141" t="inlineStr">
        <is>
          <t>DX3000,  ADX4000W</t>
        </is>
      </c>
      <c r="D47" s="141" t="inlineStr">
        <is>
          <t>고압베어 B/D (Ver. 2.5)</t>
        </is>
      </c>
      <c r="E47" s="141" t="inlineStr">
        <is>
          <t>고압베어 B/D
[DX3000, ADX4000W]</t>
        </is>
      </c>
      <c r="F47" s="142" t="inlineStr">
        <is>
          <t>O</t>
        </is>
      </c>
      <c r="G47" s="143" t="n"/>
      <c r="H47" s="144" t="n"/>
      <c r="I47" s="145">
        <f>IFERROR(IF(OR($F47="O",$G47="O",$H47="O"),CHOOSE(MATCH($A47,{"튜브","고압","진공","튜닝","조립","출하"},0),"T","H","V","N","A","P")&amp;IF($F47="O","R",IF($G47="O","A",IF($H47="O","F",""))),""),"")</f>
        <v/>
      </c>
      <c r="J47" s="146" t="inlineStr">
        <is>
          <t>O</t>
        </is>
      </c>
      <c r="K47" s="147" t="inlineStr">
        <is>
          <t>O</t>
        </is>
      </c>
      <c r="L47" s="148" t="n"/>
      <c r="M47" s="149" t="n"/>
      <c r="N47" s="150" t="n"/>
      <c r="O47" s="151" t="n"/>
      <c r="P47" s="152">
        <f>IF($I47="","",IF($J47="O","3","")&amp;IF($K47="O","4","")&amp;IF($L47="O","6","")&amp;IF($M47="O","7","")&amp;IF($N47="O","8","")&amp;IF($O47="O","?","")&amp;IF(OR($J47="O",$K47="O",$L47="O",$M47="O",$N47="O",$O47="O"),"-","")&amp;$I47)</f>
        <v/>
      </c>
      <c r="Q47" s="153">
        <f>HYPERLINK("#'마스터_품목'!A62","→ 마스터 R62")</f>
        <v/>
      </c>
      <c r="R47" s="154" t="n">
        <v>62</v>
      </c>
      <c r="S47" s="154" t="inlineStr">
        <is>
          <t>마스터_품목</t>
        </is>
      </c>
    </row>
    <row r="48" ht="48" customHeight="1">
      <c r="A48" s="140" t="inlineStr">
        <is>
          <t>고압</t>
        </is>
      </c>
      <c r="B48" s="140" t="inlineStr">
        <is>
          <t>BD</t>
        </is>
      </c>
      <c r="C48" s="141" t="inlineStr">
        <is>
          <t>DX3000</t>
        </is>
      </c>
      <c r="D48" s="141" t="inlineStr">
        <is>
          <t>고압베어B/D (신형) (Ver. 1.0.1)</t>
        </is>
      </c>
      <c r="E48" s="141" t="inlineStr">
        <is>
          <t>고압베어 B/D - TFT (70kV, 3mA)
[DX3000]</t>
        </is>
      </c>
      <c r="F48" s="142" t="inlineStr">
        <is>
          <t>O</t>
        </is>
      </c>
      <c r="G48" s="143" t="n"/>
      <c r="H48" s="144" t="n"/>
      <c r="I48" s="145">
        <f>IFERROR(IF(OR($F48="O",$G48="O",$H48="O"),CHOOSE(MATCH($A48,{"튜브","고압","진공","튜닝","조립","출하"},0),"T","H","V","N","A","P")&amp;IF($F48="O","R",IF($G48="O","A",IF($H48="O","F",""))),""),"")</f>
        <v/>
      </c>
      <c r="J48" s="146" t="inlineStr">
        <is>
          <t>O</t>
        </is>
      </c>
      <c r="K48" s="147" t="n"/>
      <c r="L48" s="148" t="n"/>
      <c r="M48" s="149" t="n"/>
      <c r="N48" s="150" t="n"/>
      <c r="O48" s="151" t="n"/>
      <c r="P48" s="152">
        <f>IF($I48="","",IF($J48="O","3","")&amp;IF($K48="O","4","")&amp;IF($L48="O","6","")&amp;IF($M48="O","7","")&amp;IF($N48="O","8","")&amp;IF($O48="O","?","")&amp;IF(OR($J48="O",$K48="O",$L48="O",$M48="O",$N48="O",$O48="O"),"-","")&amp;$I48)</f>
        <v/>
      </c>
      <c r="Q48" s="153">
        <f>HYPERLINK("#'마스터_품목'!A63","→ 마스터 R63")</f>
        <v/>
      </c>
      <c r="R48" s="154" t="n">
        <v>63</v>
      </c>
      <c r="S48" s="154" t="inlineStr">
        <is>
          <t>마스터_품목</t>
        </is>
      </c>
    </row>
    <row r="49" ht="48" customHeight="1">
      <c r="A49" s="140" t="inlineStr">
        <is>
          <t>고압</t>
        </is>
      </c>
      <c r="B49" s="140" t="inlineStr">
        <is>
          <t>BD</t>
        </is>
      </c>
      <c r="C49" s="141" t="inlineStr">
        <is>
          <t>COCOON</t>
        </is>
      </c>
      <c r="D49" s="141" t="inlineStr">
        <is>
          <t>고압베어B/D</t>
        </is>
      </c>
      <c r="E49" s="141" t="inlineStr">
        <is>
          <t>고압베어 B/D (구형)
[COCOON]</t>
        </is>
      </c>
      <c r="F49" s="142" t="inlineStr">
        <is>
          <t>O</t>
        </is>
      </c>
      <c r="G49" s="143" t="n"/>
      <c r="H49" s="144" t="n"/>
      <c r="I49" s="145">
        <f>IFERROR(IF(OR($F49="O",$G49="O",$H49="O"),CHOOSE(MATCH($A49,{"튜브","고압","진공","튜닝","조립","출하"},0),"T","H","V","N","A","P")&amp;IF($F49="O","R",IF($G49="O","A",IF($H49="O","F",""))),""),"")</f>
        <v/>
      </c>
      <c r="J49" s="146" t="n"/>
      <c r="K49" s="147" t="n"/>
      <c r="L49" s="148" t="n"/>
      <c r="M49" s="149" t="inlineStr">
        <is>
          <t>O</t>
        </is>
      </c>
      <c r="N49" s="150" t="n"/>
      <c r="O49" s="151" t="n"/>
      <c r="P49" s="152">
        <f>IF($I49="","",IF($J49="O","3","")&amp;IF($K49="O","4","")&amp;IF($L49="O","6","")&amp;IF($M49="O","7","")&amp;IF($N49="O","8","")&amp;IF($O49="O","?","")&amp;IF(OR($J49="O",$K49="O",$L49="O",$M49="O",$N49="O",$O49="O"),"-","")&amp;$I49)</f>
        <v/>
      </c>
      <c r="Q49" s="153">
        <f>HYPERLINK("#'마스터_품목'!A64","→ 마스터 R64")</f>
        <v/>
      </c>
      <c r="R49" s="154" t="n">
        <v>64</v>
      </c>
      <c r="S49" s="154" t="inlineStr">
        <is>
          <t>마스터_품목</t>
        </is>
      </c>
    </row>
    <row r="50" ht="48" customHeight="1">
      <c r="A50" s="140" t="inlineStr">
        <is>
          <t>고압</t>
        </is>
      </c>
      <c r="B50" s="140" t="inlineStr">
        <is>
          <t>BD</t>
        </is>
      </c>
      <c r="C50" s="141" t="inlineStr">
        <is>
          <t>SOLO</t>
        </is>
      </c>
      <c r="D50" s="141" t="inlineStr">
        <is>
          <t>고압베어B/D (4개 1세트)</t>
        </is>
      </c>
      <c r="E50" s="141" t="inlineStr">
        <is>
          <t>고압베어 B/D
[SOLO]</t>
        </is>
      </c>
      <c r="F50" s="142" t="inlineStr">
        <is>
          <t>O</t>
        </is>
      </c>
      <c r="G50" s="143" t="n"/>
      <c r="H50" s="144" t="n"/>
      <c r="I50" s="145">
        <f>IFERROR(IF(OR($F50="O",$G50="O",$H50="O"),CHOOSE(MATCH($A50,{"튜브","고압","진공","튜닝","조립","출하"},0),"T","H","V","N","A","P")&amp;IF($F50="O","R",IF($G50="O","A",IF($H50="O","F",""))),""),"")</f>
        <v/>
      </c>
      <c r="J50" s="146" t="n"/>
      <c r="K50" s="147" t="n"/>
      <c r="L50" s="148" t="n"/>
      <c r="M50" s="149" t="n"/>
      <c r="N50" s="150" t="inlineStr">
        <is>
          <t>O</t>
        </is>
      </c>
      <c r="O50" s="151" t="n"/>
      <c r="P50" s="152">
        <f>IF($I50="","",IF($J50="O","3","")&amp;IF($K50="O","4","")&amp;IF($L50="O","6","")&amp;IF($M50="O","7","")&amp;IF($N50="O","8","")&amp;IF($O50="O","?","")&amp;IF(OR($J50="O",$K50="O",$L50="O",$M50="O",$N50="O",$O50="O"),"-","")&amp;$I50)</f>
        <v/>
      </c>
      <c r="Q50" s="153">
        <f>HYPERLINK("#'마스터_품목'!A65","→ 마스터 R65")</f>
        <v/>
      </c>
      <c r="R50" s="154" t="n">
        <v>65</v>
      </c>
      <c r="S50" s="154" t="inlineStr">
        <is>
          <t>마스터_품목</t>
        </is>
      </c>
    </row>
    <row r="51" ht="48" customHeight="1">
      <c r="A51" s="140" t="inlineStr">
        <is>
          <t>고압</t>
        </is>
      </c>
      <c r="B51" s="140" t="inlineStr">
        <is>
          <t>BD</t>
        </is>
      </c>
      <c r="C51" s="141" t="inlineStr">
        <is>
          <t>COCOON</t>
        </is>
      </c>
      <c r="D51" s="141" t="inlineStr">
        <is>
          <t>고압베어B/D (신형) (Ver. 2.12)</t>
        </is>
      </c>
      <c r="E51" s="141" t="inlineStr">
        <is>
          <t>고압베어 B/D (신형)
[COCOON]</t>
        </is>
      </c>
      <c r="F51" s="142" t="inlineStr">
        <is>
          <t>O</t>
        </is>
      </c>
      <c r="G51" s="143" t="n"/>
      <c r="H51" s="144" t="n"/>
      <c r="I51" s="145">
        <f>IFERROR(IF(OR($F51="O",$G51="O",$H51="O"),CHOOSE(MATCH($A51,{"튜브","고압","진공","튜닝","조립","출하"},0),"T","H","V","N","A","P")&amp;IF($F51="O","R",IF($G51="O","A",IF($H51="O","F",""))),""),"")</f>
        <v/>
      </c>
      <c r="J51" s="146" t="n"/>
      <c r="K51" s="147" t="n"/>
      <c r="L51" s="148" t="n"/>
      <c r="M51" s="149" t="inlineStr">
        <is>
          <t>O</t>
        </is>
      </c>
      <c r="N51" s="150" t="n"/>
      <c r="O51" s="151" t="n"/>
      <c r="P51" s="152">
        <f>IF($I51="","",IF($J51="O","3","")&amp;IF($K51="O","4","")&amp;IF($L51="O","6","")&amp;IF($M51="O","7","")&amp;IF($N51="O","8","")&amp;IF($O51="O","?","")&amp;IF(OR($J51="O",$K51="O",$L51="O",$M51="O",$N51="O",$O51="O"),"-","")&amp;$I51)</f>
        <v/>
      </c>
      <c r="Q51" s="153">
        <f>HYPERLINK("#'마스터_품목'!A66","→ 마스터 R66")</f>
        <v/>
      </c>
      <c r="R51" s="154" t="n">
        <v>66</v>
      </c>
      <c r="S51" s="154" t="inlineStr">
        <is>
          <t>마스터_품목</t>
        </is>
      </c>
    </row>
    <row r="52" ht="48" customHeight="1">
      <c r="A52" s="140" t="inlineStr">
        <is>
          <t>고압</t>
        </is>
      </c>
      <c r="B52" s="140" t="inlineStr">
        <is>
          <t>BD</t>
        </is>
      </c>
      <c r="C52" s="141" t="inlineStr">
        <is>
          <t>COCOON</t>
        </is>
      </c>
      <c r="D52" s="141" t="inlineStr">
        <is>
          <t>튜브 고정 지지대 (Ver 2.12에 사용)</t>
        </is>
      </c>
      <c r="E52" s="141" t="n"/>
      <c r="F52" s="142" t="inlineStr">
        <is>
          <t>O</t>
        </is>
      </c>
      <c r="G52" s="143" t="n"/>
      <c r="H52" s="144" t="n"/>
      <c r="I52" s="145">
        <f>IFERROR(IF(OR($F52="O",$G52="O",$H52="O"),CHOOSE(MATCH($A52,{"튜브","고압","진공","튜닝","조립","출하"},0),"T","H","V","N","A","P")&amp;IF($F52="O","R",IF($G52="O","A",IF($H52="O","F",""))),""),"")</f>
        <v/>
      </c>
      <c r="J52" s="146" t="n"/>
      <c r="K52" s="147" t="n"/>
      <c r="L52" s="148" t="n"/>
      <c r="M52" s="149" t="inlineStr">
        <is>
          <t>O</t>
        </is>
      </c>
      <c r="N52" s="150" t="n"/>
      <c r="O52" s="151" t="n"/>
      <c r="P52" s="152">
        <f>IF($I52="","",IF($J52="O","3","")&amp;IF($K52="O","4","")&amp;IF($L52="O","6","")&amp;IF($M52="O","7","")&amp;IF($N52="O","8","")&amp;IF($O52="O","?","")&amp;IF(OR($J52="O",$K52="O",$L52="O",$M52="O",$N52="O",$O52="O"),"-","")&amp;$I52)</f>
        <v/>
      </c>
      <c r="Q52" s="153">
        <f>HYPERLINK("#'마스터_품목'!A67","→ 마스터 R67")</f>
        <v/>
      </c>
      <c r="R52" s="154" t="n">
        <v>67</v>
      </c>
      <c r="S52" s="154" t="inlineStr">
        <is>
          <t>마스터_품목</t>
        </is>
      </c>
    </row>
    <row r="53" ht="48" customHeight="1">
      <c r="A53" s="140" t="inlineStr">
        <is>
          <t>고압</t>
        </is>
      </c>
      <c r="B53" s="140" t="inlineStr">
        <is>
          <t>BD</t>
        </is>
      </c>
      <c r="C53" s="141" t="inlineStr">
        <is>
          <t>DX3000V</t>
        </is>
      </c>
      <c r="D53" s="141" t="inlineStr">
        <is>
          <t>고압베어B/D (D-0813) (Ver 1.0.0)</t>
        </is>
      </c>
      <c r="E53" s="141" t="n"/>
      <c r="F53" s="142" t="inlineStr">
        <is>
          <t>O</t>
        </is>
      </c>
      <c r="G53" s="143" t="n"/>
      <c r="H53" s="144" t="n"/>
      <c r="I53" s="145">
        <f>IFERROR(IF(OR($F53="O",$G53="O",$H53="O"),CHOOSE(MATCH($A53,{"튜브","고압","진공","튜닝","조립","출하"},0),"T","H","V","N","A","P")&amp;IF($F53="O","R",IF($G53="O","A",IF($H53="O","F",""))),""),"")</f>
        <v/>
      </c>
      <c r="J53" s="146" t="inlineStr">
        <is>
          <t>O</t>
        </is>
      </c>
      <c r="K53" s="147" t="n"/>
      <c r="L53" s="148" t="n"/>
      <c r="M53" s="149" t="n"/>
      <c r="N53" s="150" t="n"/>
      <c r="O53" s="151" t="n"/>
      <c r="P53" s="152">
        <f>IF($I53="","",IF($J53="O","3","")&amp;IF($K53="O","4","")&amp;IF($L53="O","6","")&amp;IF($M53="O","7","")&amp;IF($N53="O","8","")&amp;IF($O53="O","?","")&amp;IF(OR($J53="O",$K53="O",$L53="O",$M53="O",$N53="O",$O53="O"),"-","")&amp;$I53)</f>
        <v/>
      </c>
      <c r="Q53" s="153">
        <f>HYPERLINK("#'마스터_품목'!A68","→ 마스터 R68")</f>
        <v/>
      </c>
      <c r="R53" s="154" t="n">
        <v>68</v>
      </c>
      <c r="S53" s="154" t="inlineStr">
        <is>
          <t>마스터_품목</t>
        </is>
      </c>
    </row>
    <row r="54" ht="48" customHeight="1">
      <c r="A54" s="140" t="inlineStr">
        <is>
          <t>고압</t>
        </is>
      </c>
      <c r="B54" s="140" t="inlineStr">
        <is>
          <t>BD</t>
        </is>
      </c>
      <c r="C54" s="141" t="inlineStr">
        <is>
          <t>ADX6000</t>
        </is>
      </c>
      <c r="D54" s="141" t="inlineStr">
        <is>
          <t>튜브 고정 보드 에노드 (나사)</t>
        </is>
      </c>
      <c r="E54" s="141" t="inlineStr">
        <is>
          <t>튜브 고정 보드 에노드 (나사)
[ADX6000]</t>
        </is>
      </c>
      <c r="F54" s="142" t="inlineStr">
        <is>
          <t>O</t>
        </is>
      </c>
      <c r="G54" s="143" t="n"/>
      <c r="H54" s="144" t="n"/>
      <c r="I54" s="145">
        <f>IFERROR(IF(OR($F54="O",$G54="O",$H54="O"),CHOOSE(MATCH($A54,{"튜브","고압","진공","튜닝","조립","출하"},0),"T","H","V","N","A","P")&amp;IF($F54="O","R",IF($G54="O","A",IF($H54="O","F",""))),""),"")</f>
        <v/>
      </c>
      <c r="J54" s="146" t="n"/>
      <c r="K54" s="147" t="n"/>
      <c r="L54" s="148" t="inlineStr">
        <is>
          <t>O</t>
        </is>
      </c>
      <c r="M54" s="149" t="n"/>
      <c r="N54" s="150" t="n"/>
      <c r="O54" s="151" t="n"/>
      <c r="P54" s="152">
        <f>IF($I54="","",IF($J54="O","3","")&amp;IF($K54="O","4","")&amp;IF($L54="O","6","")&amp;IF($M54="O","7","")&amp;IF($N54="O","8","")&amp;IF($O54="O","?","")&amp;IF(OR($J54="O",$K54="O",$L54="O",$M54="O",$N54="O",$O54="O"),"-","")&amp;$I54)</f>
        <v/>
      </c>
      <c r="Q54" s="153">
        <f>HYPERLINK("#'마스터_품목'!A69","→ 마스터 R69")</f>
        <v/>
      </c>
      <c r="R54" s="154" t="n">
        <v>69</v>
      </c>
      <c r="S54" s="154" t="inlineStr">
        <is>
          <t>마스터_품목</t>
        </is>
      </c>
    </row>
    <row r="55" ht="48" customHeight="1">
      <c r="A55" s="140" t="inlineStr">
        <is>
          <t>고압</t>
        </is>
      </c>
      <c r="B55" s="140" t="inlineStr">
        <is>
          <t>BD</t>
        </is>
      </c>
      <c r="C55" s="141" t="inlineStr">
        <is>
          <t>ADX6000</t>
        </is>
      </c>
      <c r="D55" s="141" t="inlineStr">
        <is>
          <t>튜브 고정 보드 케소드 (필라멘트)</t>
        </is>
      </c>
      <c r="E55" s="141" t="inlineStr">
        <is>
          <t>튜브 고정 보드 케소드 (필라멘트)
[ADX6000]</t>
        </is>
      </c>
      <c r="F55" s="142" t="inlineStr">
        <is>
          <t>O</t>
        </is>
      </c>
      <c r="G55" s="143" t="n"/>
      <c r="H55" s="144" t="n"/>
      <c r="I55" s="145">
        <f>IFERROR(IF(OR($F55="O",$G55="O",$H55="O"),CHOOSE(MATCH($A55,{"튜브","고압","진공","튜닝","조립","출하"},0),"T","H","V","N","A","P")&amp;IF($F55="O","R",IF($G55="O","A",IF($H55="O","F",""))),""),"")</f>
        <v/>
      </c>
      <c r="J55" s="146" t="n"/>
      <c r="K55" s="147" t="n"/>
      <c r="L55" s="148" t="inlineStr">
        <is>
          <t>O</t>
        </is>
      </c>
      <c r="M55" s="149" t="n"/>
      <c r="N55" s="150" t="n"/>
      <c r="O55" s="151" t="n"/>
      <c r="P55" s="152">
        <f>IF($I55="","",IF($J55="O","3","")&amp;IF($K55="O","4","")&amp;IF($L55="O","6","")&amp;IF($M55="O","7","")&amp;IF($N55="O","8","")&amp;IF($O55="O","?","")&amp;IF(OR($J55="O",$K55="O",$L55="O",$M55="O",$N55="O",$O55="O"),"-","")&amp;$I55)</f>
        <v/>
      </c>
      <c r="Q55" s="153">
        <f>HYPERLINK("#'마스터_품목'!A70","→ 마스터 R70")</f>
        <v/>
      </c>
      <c r="R55" s="154" t="n">
        <v>70</v>
      </c>
      <c r="S55" s="154" t="inlineStr">
        <is>
          <t>마스터_품목</t>
        </is>
      </c>
    </row>
    <row r="56" ht="48" customHeight="1">
      <c r="A56" s="140" t="inlineStr">
        <is>
          <t>진공</t>
        </is>
      </c>
      <c r="B56" s="140" t="inlineStr">
        <is>
          <t>BD</t>
        </is>
      </c>
      <c r="C56" s="141" t="inlineStr">
        <is>
          <t>DX3000,  ADX4000W</t>
        </is>
      </c>
      <c r="D56" s="141" t="inlineStr">
        <is>
          <t>7핀 BD [190*88*1.6T*2L]</t>
        </is>
      </c>
      <c r="E56" s="141" t="inlineStr">
        <is>
          <t>7핀 B/D
[DX3000, ADX4000W]</t>
        </is>
      </c>
      <c r="F56" s="142" t="inlineStr">
        <is>
          <t>O</t>
        </is>
      </c>
      <c r="G56" s="143" t="n"/>
      <c r="H56" s="144" t="n"/>
      <c r="I56" s="145">
        <f>IFERROR(IF(OR($F56="O",$G56="O",$H56="O"),CHOOSE(MATCH($A56,{"튜브","고압","진공","튜닝","조립","출하"},0),"T","H","V","N","A","P")&amp;IF($F56="O","R",IF($G56="O","A",IF($H56="O","F",""))),""),"")</f>
        <v/>
      </c>
      <c r="J56" s="146" t="inlineStr">
        <is>
          <t>O</t>
        </is>
      </c>
      <c r="K56" s="147" t="inlineStr">
        <is>
          <t>O</t>
        </is>
      </c>
      <c r="L56" s="148" t="n"/>
      <c r="M56" s="149" t="n"/>
      <c r="N56" s="150" t="n"/>
      <c r="O56" s="151" t="n"/>
      <c r="P56" s="152">
        <f>IF($I56="","",IF($J56="O","3","")&amp;IF($K56="O","4","")&amp;IF($L56="O","6","")&amp;IF($M56="O","7","")&amp;IF($N56="O","8","")&amp;IF($O56="O","?","")&amp;IF(OR($J56="O",$K56="O",$L56="O",$M56="O",$N56="O",$O56="O"),"-","")&amp;$I56)</f>
        <v/>
      </c>
      <c r="Q56" s="153">
        <f>HYPERLINK("#'마스터_품목'!A95","→ 마스터 R95")</f>
        <v/>
      </c>
      <c r="R56" s="154" t="n">
        <v>95</v>
      </c>
      <c r="S56" s="154" t="inlineStr">
        <is>
          <t>마스터_품목</t>
        </is>
      </c>
    </row>
    <row r="57" ht="48" customHeight="1">
      <c r="A57" s="140" t="inlineStr">
        <is>
          <t>진공</t>
        </is>
      </c>
      <c r="B57" s="140" t="inlineStr">
        <is>
          <t>BD</t>
        </is>
      </c>
      <c r="C57" s="141" t="inlineStr">
        <is>
          <t>ADX6000</t>
        </is>
      </c>
      <c r="D57" s="141" t="inlineStr">
        <is>
          <t>8핀 BD</t>
        </is>
      </c>
      <c r="E57" s="141" t="inlineStr">
        <is>
          <t>8핀 B/D (구형 8핀 보드)
[ADX6000]</t>
        </is>
      </c>
      <c r="F57" s="142" t="inlineStr">
        <is>
          <t>O</t>
        </is>
      </c>
      <c r="G57" s="143" t="n"/>
      <c r="H57" s="144" t="n"/>
      <c r="I57" s="145">
        <f>IFERROR(IF(OR($F57="O",$G57="O",$H57="O"),CHOOSE(MATCH($A57,{"튜브","고압","진공","튜닝","조립","출하"},0),"T","H","V","N","A","P")&amp;IF($F57="O","R",IF($G57="O","A",IF($H57="O","F",""))),""),"")</f>
        <v/>
      </c>
      <c r="J57" s="146" t="n"/>
      <c r="K57" s="147" t="n"/>
      <c r="L57" s="148" t="inlineStr">
        <is>
          <t>O</t>
        </is>
      </c>
      <c r="M57" s="149" t="n"/>
      <c r="N57" s="150" t="n"/>
      <c r="O57" s="151" t="n"/>
      <c r="P57" s="152">
        <f>IF($I57="","",IF($J57="O","3","")&amp;IF($K57="O","4","")&amp;IF($L57="O","6","")&amp;IF($M57="O","7","")&amp;IF($N57="O","8","")&amp;IF($O57="O","?","")&amp;IF(OR($J57="O",$K57="O",$L57="O",$M57="O",$N57="O",$O57="O"),"-","")&amp;$I57)</f>
        <v/>
      </c>
      <c r="Q57" s="153">
        <f>HYPERLINK("#'마스터_품목'!A96","→ 마스터 R96")</f>
        <v/>
      </c>
      <c r="R57" s="154" t="n">
        <v>96</v>
      </c>
      <c r="S57" s="154" t="inlineStr">
        <is>
          <t>마스터_품목</t>
        </is>
      </c>
    </row>
    <row r="58" ht="48" customHeight="1">
      <c r="A58" s="140" t="inlineStr">
        <is>
          <t>진공</t>
        </is>
      </c>
      <c r="B58" s="140" t="inlineStr">
        <is>
          <t>BD</t>
        </is>
      </c>
      <c r="C58" s="141" t="inlineStr">
        <is>
          <t>ADX6000</t>
        </is>
      </c>
      <c r="D58" s="141" t="inlineStr">
        <is>
          <t>10핀 BD</t>
        </is>
      </c>
      <c r="E58" s="141" t="inlineStr">
        <is>
          <t>10핀 B/D
[ADX6000]</t>
        </is>
      </c>
      <c r="F58" s="142" t="inlineStr">
        <is>
          <t>O</t>
        </is>
      </c>
      <c r="G58" s="143" t="n"/>
      <c r="H58" s="144" t="n"/>
      <c r="I58" s="145">
        <f>IFERROR(IF(OR($F58="O",$G58="O",$H58="O"),CHOOSE(MATCH($A58,{"튜브","고압","진공","튜닝","조립","출하"},0),"T","H","V","N","A","P")&amp;IF($F58="O","R",IF($G58="O","A",IF($H58="O","F",""))),""),"")</f>
        <v/>
      </c>
      <c r="J58" s="146" t="n"/>
      <c r="K58" s="147" t="n"/>
      <c r="L58" s="148" t="inlineStr">
        <is>
          <t>O</t>
        </is>
      </c>
      <c r="M58" s="149" t="n"/>
      <c r="N58" s="150" t="n"/>
      <c r="O58" s="151" t="n"/>
      <c r="P58" s="152">
        <f>IF($I58="","",IF($J58="O","3","")&amp;IF($K58="O","4","")&amp;IF($L58="O","6","")&amp;IF($M58="O","7","")&amp;IF($N58="O","8","")&amp;IF($O58="O","?","")&amp;IF(OR($J58="O",$K58="O",$L58="O",$M58="O",$N58="O",$O58="O"),"-","")&amp;$I58)</f>
        <v/>
      </c>
      <c r="Q58" s="153">
        <f>HYPERLINK("#'마스터_품목'!A97","→ 마스터 R97")</f>
        <v/>
      </c>
      <c r="R58" s="154" t="n">
        <v>97</v>
      </c>
      <c r="S58" s="154" t="inlineStr">
        <is>
          <t>마스터_품목</t>
        </is>
      </c>
    </row>
    <row r="59" ht="48" customHeight="1">
      <c r="A59" s="140" t="inlineStr">
        <is>
          <t>진공</t>
        </is>
      </c>
      <c r="B59" s="140" t="inlineStr">
        <is>
          <t>BD</t>
        </is>
      </c>
      <c r="C59" s="141" t="inlineStr">
        <is>
          <t>COCOON</t>
        </is>
      </c>
      <c r="D59" s="141" t="inlineStr">
        <is>
          <t>8핀 BD</t>
        </is>
      </c>
      <c r="E59" s="141" t="n"/>
      <c r="F59" s="142" t="inlineStr">
        <is>
          <t>O</t>
        </is>
      </c>
      <c r="G59" s="143" t="n"/>
      <c r="H59" s="144" t="n"/>
      <c r="I59" s="145">
        <f>IFERROR(IF(OR($F59="O",$G59="O",$H59="O"),CHOOSE(MATCH($A59,{"튜브","고압","진공","튜닝","조립","출하"},0),"T","H","V","N","A","P")&amp;IF($F59="O","R",IF($G59="O","A",IF($H59="O","F",""))),""),"")</f>
        <v/>
      </c>
      <c r="J59" s="146" t="n"/>
      <c r="K59" s="147" t="n"/>
      <c r="L59" s="148" t="n"/>
      <c r="M59" s="149" t="inlineStr">
        <is>
          <t>O</t>
        </is>
      </c>
      <c r="N59" s="150" t="n"/>
      <c r="O59" s="151" t="n"/>
      <c r="P59" s="152">
        <f>IF($I59="","",IF($J59="O","3","")&amp;IF($K59="O","4","")&amp;IF($L59="O","6","")&amp;IF($M59="O","7","")&amp;IF($N59="O","8","")&amp;IF($O59="O","?","")&amp;IF(OR($J59="O",$K59="O",$L59="O",$M59="O",$N59="O",$O59="O"),"-","")&amp;$I59)</f>
        <v/>
      </c>
      <c r="Q59" s="153">
        <f>HYPERLINK("#'마스터_품목'!A98","→ 마스터 R98")</f>
        <v/>
      </c>
      <c r="R59" s="154" t="n">
        <v>98</v>
      </c>
      <c r="S59" s="154" t="inlineStr">
        <is>
          <t>마스터_품목</t>
        </is>
      </c>
    </row>
    <row r="60" ht="48" customHeight="1">
      <c r="A60" s="140" t="inlineStr">
        <is>
          <t>진공</t>
        </is>
      </c>
      <c r="B60" s="140" t="inlineStr">
        <is>
          <t>BD</t>
        </is>
      </c>
      <c r="C60" s="141" t="inlineStr">
        <is>
          <t>DX3000</t>
        </is>
      </c>
      <c r="D60" s="141" t="inlineStr">
        <is>
          <t>9핀 BD</t>
        </is>
      </c>
      <c r="E60" s="141" t="inlineStr">
        <is>
          <t>9핀 B/D - TFT
[DX3000]</t>
        </is>
      </c>
      <c r="F60" s="142" t="inlineStr">
        <is>
          <t>O</t>
        </is>
      </c>
      <c r="G60" s="143" t="n"/>
      <c r="H60" s="144" t="n"/>
      <c r="I60" s="145">
        <f>IFERROR(IF(OR($F60="O",$G60="O",$H60="O"),CHOOSE(MATCH($A60,{"튜브","고압","진공","튜닝","조립","출하"},0),"T","H","V","N","A","P")&amp;IF($F60="O","R",IF($G60="O","A",IF($H60="O","F",""))),""),"")</f>
        <v/>
      </c>
      <c r="J60" s="146" t="inlineStr">
        <is>
          <t>O</t>
        </is>
      </c>
      <c r="K60" s="147" t="n"/>
      <c r="L60" s="148" t="n"/>
      <c r="M60" s="149" t="n"/>
      <c r="N60" s="150" t="n"/>
      <c r="O60" s="151" t="n"/>
      <c r="P60" s="152">
        <f>IF($I60="","",IF($J60="O","3","")&amp;IF($K60="O","4","")&amp;IF($L60="O","6","")&amp;IF($M60="O","7","")&amp;IF($N60="O","8","")&amp;IF($O60="O","?","")&amp;IF(OR($J60="O",$K60="O",$L60="O",$M60="O",$N60="O",$O60="O"),"-","")&amp;$I60)</f>
        <v/>
      </c>
      <c r="Q60" s="153">
        <f>HYPERLINK("#'마스터_품목'!A99","→ 마스터 R99")</f>
        <v/>
      </c>
      <c r="R60" s="154" t="n">
        <v>99</v>
      </c>
      <c r="S60" s="154" t="inlineStr">
        <is>
          <t>마스터_품목</t>
        </is>
      </c>
    </row>
    <row r="61" ht="48" customHeight="1">
      <c r="A61" s="140" t="inlineStr">
        <is>
          <t>진공</t>
        </is>
      </c>
      <c r="B61" s="140" t="inlineStr">
        <is>
          <t>BD</t>
        </is>
      </c>
      <c r="C61" s="141" t="inlineStr">
        <is>
          <t>SOLO</t>
        </is>
      </c>
      <c r="D61" s="141" t="inlineStr">
        <is>
          <t>9핀 BD</t>
        </is>
      </c>
      <c r="E61" s="141" t="inlineStr">
        <is>
          <t>9핀 B/D
[SOLO]</t>
        </is>
      </c>
      <c r="F61" s="142" t="inlineStr">
        <is>
          <t>O</t>
        </is>
      </c>
      <c r="G61" s="143" t="n"/>
      <c r="H61" s="144" t="n"/>
      <c r="I61" s="145">
        <f>IFERROR(IF(OR($F61="O",$G61="O",$H61="O"),CHOOSE(MATCH($A61,{"튜브","고압","진공","튜닝","조립","출하"},0),"T","H","V","N","A","P")&amp;IF($F61="O","R",IF($G61="O","A",IF($H61="O","F",""))),""),"")</f>
        <v/>
      </c>
      <c r="J61" s="146" t="n"/>
      <c r="K61" s="147" t="n"/>
      <c r="L61" s="148" t="n"/>
      <c r="M61" s="149" t="n"/>
      <c r="N61" s="150" t="inlineStr">
        <is>
          <t>O</t>
        </is>
      </c>
      <c r="O61" s="151" t="n"/>
      <c r="P61" s="152">
        <f>IF($I61="","",IF($J61="O","3","")&amp;IF($K61="O","4","")&amp;IF($L61="O","6","")&amp;IF($M61="O","7","")&amp;IF($N61="O","8","")&amp;IF($O61="O","?","")&amp;IF(OR($J61="O",$K61="O",$L61="O",$M61="O",$N61="O",$O61="O"),"-","")&amp;$I61)</f>
        <v/>
      </c>
      <c r="Q61" s="153">
        <f>HYPERLINK("#'마스터_품목'!A100","→ 마스터 R100")</f>
        <v/>
      </c>
      <c r="R61" s="154" t="n">
        <v>100</v>
      </c>
      <c r="S61" s="154" t="inlineStr">
        <is>
          <t>마스터_품목</t>
        </is>
      </c>
    </row>
    <row r="62" ht="48" customHeight="1">
      <c r="A62" s="140" t="inlineStr">
        <is>
          <t>진공</t>
        </is>
      </c>
      <c r="B62" s="140" t="inlineStr">
        <is>
          <t>BD</t>
        </is>
      </c>
      <c r="C62" s="141" t="inlineStr">
        <is>
          <t>DX3000V</t>
        </is>
      </c>
      <c r="D62" s="141" t="inlineStr">
        <is>
          <t>10핀 BD</t>
        </is>
      </c>
      <c r="E62" s="141" t="n"/>
      <c r="F62" s="142" t="inlineStr">
        <is>
          <t>O</t>
        </is>
      </c>
      <c r="G62" s="143" t="n"/>
      <c r="H62" s="144" t="n"/>
      <c r="I62" s="145">
        <f>IFERROR(IF(OR($F62="O",$G62="O",$H62="O"),CHOOSE(MATCH($A62,{"튜브","고압","진공","튜닝","조립","출하"},0),"T","H","V","N","A","P")&amp;IF($F62="O","R",IF($G62="O","A",IF($H62="O","F",""))),""),"")</f>
        <v/>
      </c>
      <c r="J62" s="146" t="inlineStr">
        <is>
          <t>O</t>
        </is>
      </c>
      <c r="K62" s="147" t="n"/>
      <c r="L62" s="148" t="n"/>
      <c r="M62" s="149" t="n"/>
      <c r="N62" s="150" t="n"/>
      <c r="O62" s="151" t="n"/>
      <c r="P62" s="152">
        <f>IF($I62="","",IF($J62="O","3","")&amp;IF($K62="O","4","")&amp;IF($L62="O","6","")&amp;IF($M62="O","7","")&amp;IF($N62="O","8","")&amp;IF($O62="O","?","")&amp;IF(OR($J62="O",$K62="O",$L62="O",$M62="O",$N62="O",$O62="O"),"-","")&amp;$I62)</f>
        <v/>
      </c>
      <c r="Q62" s="153">
        <f>HYPERLINK("#'마스터_품목'!A101","→ 마스터 R101")</f>
        <v/>
      </c>
      <c r="R62" s="154" t="n">
        <v>101</v>
      </c>
      <c r="S62" s="154" t="inlineStr">
        <is>
          <t>마스터_품목</t>
        </is>
      </c>
    </row>
    <row r="63" ht="48" customHeight="1">
      <c r="A63" s="140" t="inlineStr">
        <is>
          <t>진공</t>
        </is>
      </c>
      <c r="B63" s="140" t="inlineStr">
        <is>
          <t>BD</t>
        </is>
      </c>
      <c r="C63" s="141" t="inlineStr">
        <is>
          <t>DX3000</t>
        </is>
      </c>
      <c r="D63" s="141" t="inlineStr">
        <is>
          <t>D3CT (TFT용)</t>
        </is>
      </c>
      <c r="E63" s="141" t="inlineStr">
        <is>
          <t>CTR B/D (TFT용) (V3.1.1)
[DX3000]</t>
        </is>
      </c>
      <c r="F63" s="142" t="inlineStr">
        <is>
          <t>O</t>
        </is>
      </c>
      <c r="G63" s="143" t="n"/>
      <c r="H63" s="144" t="n"/>
      <c r="I63" s="145">
        <f>IFERROR(IF(OR($F63="O",$G63="O",$H63="O"),CHOOSE(MATCH($A63,{"튜브","고압","진공","튜닝","조립","출하"},0),"T","H","V","N","A","P")&amp;IF($F63="O","R",IF($G63="O","A",IF($H63="O","F",""))),""),"")</f>
        <v/>
      </c>
      <c r="J63" s="146" t="inlineStr">
        <is>
          <t>O</t>
        </is>
      </c>
      <c r="K63" s="147" t="n"/>
      <c r="L63" s="148" t="n"/>
      <c r="M63" s="149" t="n"/>
      <c r="N63" s="150" t="n"/>
      <c r="O63" s="151" t="n"/>
      <c r="P63" s="152">
        <f>IF($I63="","",IF($J63="O","3","")&amp;IF($K63="O","4","")&amp;IF($L63="O","6","")&amp;IF($M63="O","7","")&amp;IF($N63="O","8","")&amp;IF($O63="O","?","")&amp;IF(OR($J63="O",$K63="O",$L63="O",$M63="O",$N63="O",$O63="O"),"-","")&amp;$I63)</f>
        <v/>
      </c>
      <c r="Q63" s="153">
        <f>HYPERLINK("#'마스터_품목'!A102","→ 마스터 R102")</f>
        <v/>
      </c>
      <c r="R63" s="154" t="n">
        <v>102</v>
      </c>
      <c r="S63" s="154" t="inlineStr">
        <is>
          <t>마스터_품목</t>
        </is>
      </c>
    </row>
    <row r="64" ht="48" customHeight="1">
      <c r="A64" s="140" t="inlineStr">
        <is>
          <t>진공</t>
        </is>
      </c>
      <c r="B64" s="140" t="inlineStr">
        <is>
          <t>BD</t>
        </is>
      </c>
      <c r="C64" s="141" t="inlineStr">
        <is>
          <t>DX3000</t>
        </is>
      </c>
      <c r="D64" s="141" t="inlineStr">
        <is>
          <t>DC3D (유럽용)</t>
        </is>
      </c>
      <c r="E64" s="141" t="inlineStr">
        <is>
          <t>CTR B/D (유럽용)
[DX3000]</t>
        </is>
      </c>
      <c r="F64" s="142" t="inlineStr">
        <is>
          <t>O</t>
        </is>
      </c>
      <c r="G64" s="143" t="n"/>
      <c r="H64" s="144" t="n"/>
      <c r="I64" s="145">
        <f>IFERROR(IF(OR($F64="O",$G64="O",$H64="O"),CHOOSE(MATCH($A64,{"튜브","고압","진공","튜닝","조립","출하"},0),"T","H","V","N","A","P")&amp;IF($F64="O","R",IF($G64="O","A",IF($H64="O","F",""))),""),"")</f>
        <v/>
      </c>
      <c r="J64" s="146" t="inlineStr">
        <is>
          <t>O</t>
        </is>
      </c>
      <c r="K64" s="147" t="n"/>
      <c r="L64" s="148" t="n"/>
      <c r="M64" s="149" t="n"/>
      <c r="N64" s="150" t="n"/>
      <c r="O64" s="151" t="n"/>
      <c r="P64" s="152">
        <f>IF($I64="","",IF($J64="O","3","")&amp;IF($K64="O","4","")&amp;IF($L64="O","6","")&amp;IF($M64="O","7","")&amp;IF($N64="O","8","")&amp;IF($O64="O","?","")&amp;IF(OR($J64="O",$K64="O",$L64="O",$M64="O",$N64="O",$O64="O"),"-","")&amp;$I64)</f>
        <v/>
      </c>
      <c r="Q64" s="153">
        <f>HYPERLINK("#'마스터_품목'!A103","→ 마스터 R103")</f>
        <v/>
      </c>
      <c r="R64" s="154" t="n">
        <v>103</v>
      </c>
      <c r="S64" s="154" t="inlineStr">
        <is>
          <t>마스터_품목</t>
        </is>
      </c>
    </row>
    <row r="65" ht="48" customHeight="1">
      <c r="A65" s="140" t="inlineStr">
        <is>
          <t>진공</t>
        </is>
      </c>
      <c r="B65" s="140" t="inlineStr">
        <is>
          <t>BD</t>
        </is>
      </c>
      <c r="C65" s="141" t="inlineStr">
        <is>
          <t>DX3000</t>
        </is>
      </c>
      <c r="D65" s="141" t="inlineStr">
        <is>
          <t>D3CL (미국용)</t>
        </is>
      </c>
      <c r="E65" s="141" t="inlineStr">
        <is>
          <t>CTR B/D (미국용)
[DX3000]</t>
        </is>
      </c>
      <c r="F65" s="142" t="inlineStr">
        <is>
          <t>O</t>
        </is>
      </c>
      <c r="G65" s="143" t="n"/>
      <c r="H65" s="144" t="n"/>
      <c r="I65" s="145">
        <f>IFERROR(IF(OR($F65="O",$G65="O",$H65="O"),CHOOSE(MATCH($A65,{"튜브","고압","진공","튜닝","조립","출하"},0),"T","H","V","N","A","P")&amp;IF($F65="O","R",IF($G65="O","A",IF($H65="O","F",""))),""),"")</f>
        <v/>
      </c>
      <c r="J65" s="146" t="inlineStr">
        <is>
          <t>O</t>
        </is>
      </c>
      <c r="K65" s="147" t="n"/>
      <c r="L65" s="148" t="n"/>
      <c r="M65" s="149" t="n"/>
      <c r="N65" s="150" t="n"/>
      <c r="O65" s="151" t="n"/>
      <c r="P65" s="152">
        <f>IF($I65="","",IF($J65="O","3","")&amp;IF($K65="O","4","")&amp;IF($L65="O","6","")&amp;IF($M65="O","7","")&amp;IF($N65="O","8","")&amp;IF($O65="O","?","")&amp;IF(OR($J65="O",$K65="O",$L65="O",$M65="O",$N65="O",$O65="O"),"-","")&amp;$I65)</f>
        <v/>
      </c>
      <c r="Q65" s="153">
        <f>HYPERLINK("#'마스터_품목'!A104","→ 마스터 R104")</f>
        <v/>
      </c>
      <c r="R65" s="154" t="n">
        <v>104</v>
      </c>
      <c r="S65" s="154" t="inlineStr">
        <is>
          <t>마스터_품목</t>
        </is>
      </c>
    </row>
    <row r="66" ht="48" customHeight="1">
      <c r="A66" s="140" t="inlineStr">
        <is>
          <t>진공</t>
        </is>
      </c>
      <c r="B66" s="140" t="inlineStr">
        <is>
          <t>BD</t>
        </is>
      </c>
      <c r="C66" s="141" t="inlineStr">
        <is>
          <t>ADX4000W</t>
        </is>
      </c>
      <c r="D66" s="141" t="inlineStr">
        <is>
          <t>A4CB</t>
        </is>
      </c>
      <c r="E66" s="141" t="n"/>
      <c r="F66" s="142" t="inlineStr">
        <is>
          <t>O</t>
        </is>
      </c>
      <c r="G66" s="143" t="n"/>
      <c r="H66" s="144" t="n"/>
      <c r="I66" s="145">
        <f>IFERROR(IF(OR($F66="O",$G66="O",$H66="O"),CHOOSE(MATCH($A66,{"튜브","고압","진공","튜닝","조립","출하"},0),"T","H","V","N","A","P")&amp;IF($F66="O","R",IF($G66="O","A",IF($H66="O","F",""))),""),"")</f>
        <v/>
      </c>
      <c r="J66" s="146" t="n"/>
      <c r="K66" s="147" t="inlineStr">
        <is>
          <t>O</t>
        </is>
      </c>
      <c r="L66" s="148" t="n"/>
      <c r="M66" s="149" t="n"/>
      <c r="N66" s="150" t="n"/>
      <c r="O66" s="151" t="n"/>
      <c r="P66" s="152">
        <f>IF($I66="","",IF($J66="O","3","")&amp;IF($K66="O","4","")&amp;IF($L66="O","6","")&amp;IF($M66="O","7","")&amp;IF($N66="O","8","")&amp;IF($O66="O","?","")&amp;IF(OR($J66="O",$K66="O",$L66="O",$M66="O",$N66="O",$O66="O"),"-","")&amp;$I66)</f>
        <v/>
      </c>
      <c r="Q66" s="153">
        <f>HYPERLINK("#'마스터_품목'!A105","→ 마스터 R105")</f>
        <v/>
      </c>
      <c r="R66" s="154" t="n">
        <v>105</v>
      </c>
      <c r="S66" s="154" t="inlineStr">
        <is>
          <t>마스터_품목</t>
        </is>
      </c>
    </row>
    <row r="67" ht="48" customHeight="1">
      <c r="A67" s="140" t="inlineStr">
        <is>
          <t>진공</t>
        </is>
      </c>
      <c r="B67" s="140" t="inlineStr">
        <is>
          <t>BD</t>
        </is>
      </c>
      <c r="C67" s="141" t="inlineStr">
        <is>
          <t>COCOON</t>
        </is>
      </c>
      <c r="D67" s="141" t="inlineStr">
        <is>
          <t>FET BD</t>
        </is>
      </c>
      <c r="E67" s="141" t="n"/>
      <c r="F67" s="142" t="inlineStr">
        <is>
          <t>O</t>
        </is>
      </c>
      <c r="G67" s="143" t="n"/>
      <c r="H67" s="144" t="n"/>
      <c r="I67" s="145">
        <f>IFERROR(IF(OR($F67="O",$G67="O",$H67="O"),CHOOSE(MATCH($A67,{"튜브","고압","진공","튜닝","조립","출하"},0),"T","H","V","N","A","P")&amp;IF($F67="O","R",IF($G67="O","A",IF($H67="O","F",""))),""),"")</f>
        <v/>
      </c>
      <c r="J67" s="146" t="n"/>
      <c r="K67" s="147" t="n"/>
      <c r="L67" s="148" t="n"/>
      <c r="M67" s="149" t="inlineStr">
        <is>
          <t>O</t>
        </is>
      </c>
      <c r="N67" s="150" t="n"/>
      <c r="O67" s="151" t="n"/>
      <c r="P67" s="152">
        <f>IF($I67="","",IF($J67="O","3","")&amp;IF($K67="O","4","")&amp;IF($L67="O","6","")&amp;IF($M67="O","7","")&amp;IF($N67="O","8","")&amp;IF($O67="O","?","")&amp;IF(OR($J67="O",$K67="O",$L67="O",$M67="O",$N67="O",$O67="O"),"-","")&amp;$I67)</f>
        <v/>
      </c>
      <c r="Q67" s="153">
        <f>HYPERLINK("#'마스터_품목'!A106","→ 마스터 R106")</f>
        <v/>
      </c>
      <c r="R67" s="154" t="n">
        <v>106</v>
      </c>
      <c r="S67" s="154" t="inlineStr">
        <is>
          <t>마스터_품목</t>
        </is>
      </c>
    </row>
    <row r="68" ht="48" customHeight="1">
      <c r="A68" s="140" t="inlineStr">
        <is>
          <t>진공</t>
        </is>
      </c>
      <c r="B68" s="140" t="inlineStr">
        <is>
          <t>BD</t>
        </is>
      </c>
      <c r="C68" s="141" t="inlineStr">
        <is>
          <t>SOLO</t>
        </is>
      </c>
      <c r="D68" s="141" t="inlineStr">
        <is>
          <t>CSCB</t>
        </is>
      </c>
      <c r="E68" s="141" t="n"/>
      <c r="F68" s="142" t="inlineStr">
        <is>
          <t>O</t>
        </is>
      </c>
      <c r="G68" s="143" t="n"/>
      <c r="H68" s="144" t="n"/>
      <c r="I68" s="145">
        <f>IFERROR(IF(OR($F68="O",$G68="O",$H68="O"),CHOOSE(MATCH($A68,{"튜브","고압","진공","튜닝","조립","출하"},0),"T","H","V","N","A","P")&amp;IF($F68="O","R",IF($G68="O","A",IF($H68="O","F",""))),""),"")</f>
        <v/>
      </c>
      <c r="J68" s="146" t="n"/>
      <c r="K68" s="147" t="n"/>
      <c r="L68" s="148" t="n"/>
      <c r="M68" s="149" t="n"/>
      <c r="N68" s="150" t="inlineStr">
        <is>
          <t>O</t>
        </is>
      </c>
      <c r="O68" s="151" t="n"/>
      <c r="P68" s="152">
        <f>IF($I68="","",IF($J68="O","3","")&amp;IF($K68="O","4","")&amp;IF($L68="O","6","")&amp;IF($M68="O","7","")&amp;IF($N68="O","8","")&amp;IF($O68="O","?","")&amp;IF(OR($J68="O",$K68="O",$L68="O",$M68="O",$N68="O",$O68="O"),"-","")&amp;$I68)</f>
        <v/>
      </c>
      <c r="Q68" s="153">
        <f>HYPERLINK("#'마스터_품목'!A107","→ 마스터 R107")</f>
        <v/>
      </c>
      <c r="R68" s="154" t="n">
        <v>107</v>
      </c>
      <c r="S68" s="154" t="inlineStr">
        <is>
          <t>마스터_품목</t>
        </is>
      </c>
    </row>
    <row r="69" ht="48" customHeight="1">
      <c r="A69" s="140" t="inlineStr">
        <is>
          <t>진공</t>
        </is>
      </c>
      <c r="B69" s="140" t="inlineStr">
        <is>
          <t>BD</t>
        </is>
      </c>
      <c r="C69" s="141" t="inlineStr">
        <is>
          <t>DX3000V</t>
        </is>
      </c>
      <c r="D69" s="141" t="inlineStr">
        <is>
          <t>D3CV</t>
        </is>
      </c>
      <c r="E69" s="141" t="n"/>
      <c r="F69" s="142" t="inlineStr">
        <is>
          <t>O</t>
        </is>
      </c>
      <c r="G69" s="143" t="n"/>
      <c r="H69" s="144" t="n"/>
      <c r="I69" s="145">
        <f>IFERROR(IF(OR($F69="O",$G69="O",$H69="O"),CHOOSE(MATCH($A69,{"튜브","고압","진공","튜닝","조립","출하"},0),"T","H","V","N","A","P")&amp;IF($F69="O","R",IF($G69="O","A",IF($H69="O","F",""))),""),"")</f>
        <v/>
      </c>
      <c r="J69" s="146" t="inlineStr">
        <is>
          <t>O</t>
        </is>
      </c>
      <c r="K69" s="147" t="n"/>
      <c r="L69" s="148" t="n"/>
      <c r="M69" s="149" t="n"/>
      <c r="N69" s="150" t="n"/>
      <c r="O69" s="151" t="n"/>
      <c r="P69" s="152">
        <f>IF($I69="","",IF($J69="O","3","")&amp;IF($K69="O","4","")&amp;IF($L69="O","6","")&amp;IF($M69="O","7","")&amp;IF($N69="O","8","")&amp;IF($O69="O","?","")&amp;IF(OR($J69="O",$K69="O",$L69="O",$M69="O",$N69="O",$O69="O"),"-","")&amp;$I69)</f>
        <v/>
      </c>
      <c r="Q69" s="153">
        <f>HYPERLINK("#'마스터_품목'!A108","→ 마스터 R108")</f>
        <v/>
      </c>
      <c r="R69" s="154" t="n">
        <v>108</v>
      </c>
      <c r="S69" s="154" t="inlineStr">
        <is>
          <t>마스터_품목</t>
        </is>
      </c>
    </row>
    <row r="70" ht="48" customHeight="1">
      <c r="A70" s="140" t="inlineStr">
        <is>
          <t>튜닝</t>
        </is>
      </c>
      <c r="B70" s="140" t="inlineStr">
        <is>
          <t>BD</t>
        </is>
      </c>
      <c r="C70" s="141" t="inlineStr">
        <is>
          <t>ADX6000</t>
        </is>
      </c>
      <c r="D70" s="141" t="inlineStr">
        <is>
          <t>A6CB</t>
        </is>
      </c>
      <c r="E70" s="141" t="n"/>
      <c r="F70" s="142" t="inlineStr">
        <is>
          <t>O</t>
        </is>
      </c>
      <c r="G70" s="143" t="n"/>
      <c r="H70" s="144" t="n"/>
      <c r="I70" s="145">
        <f>IFERROR(IF(OR($F70="O",$G70="O",$H70="O"),CHOOSE(MATCH($A70,{"튜브","고압","진공","튜닝","조립","출하"},0),"T","H","V","N","A","P")&amp;IF($F70="O","R",IF($G70="O","A",IF($H70="O","F",""))),""),"")</f>
        <v/>
      </c>
      <c r="J70" s="146" t="n"/>
      <c r="K70" s="147" t="n"/>
      <c r="L70" s="148" t="inlineStr">
        <is>
          <t>O</t>
        </is>
      </c>
      <c r="M70" s="149" t="n"/>
      <c r="N70" s="150" t="n"/>
      <c r="O70" s="151" t="n"/>
      <c r="P70" s="152">
        <f>IF($I70="","",IF($J70="O","3","")&amp;IF($K70="O","4","")&amp;IF($L70="O","6","")&amp;IF($M70="O","7","")&amp;IF($N70="O","8","")&amp;IF($O70="O","?","")&amp;IF(OR($J70="O",$K70="O",$L70="O",$M70="O",$N70="O",$O70="O"),"-","")&amp;$I70)</f>
        <v/>
      </c>
      <c r="Q70" s="153">
        <f>HYPERLINK("#'마스터_품목'!A159","→ 마스터 R159")</f>
        <v/>
      </c>
      <c r="R70" s="154" t="n">
        <v>159</v>
      </c>
      <c r="S70" s="154" t="inlineStr">
        <is>
          <t>마스터_품목</t>
        </is>
      </c>
    </row>
    <row r="71" ht="48" customHeight="1">
      <c r="A71" s="140" t="inlineStr">
        <is>
          <t>튜닝</t>
        </is>
      </c>
      <c r="B71" s="140" t="inlineStr">
        <is>
          <t>BD</t>
        </is>
      </c>
      <c r="C71" s="141" t="inlineStr">
        <is>
          <t>COCOON</t>
        </is>
      </c>
      <c r="D71" s="141" t="inlineStr">
        <is>
          <t>COCB</t>
        </is>
      </c>
      <c r="E71" s="141" t="inlineStr">
        <is>
          <t>CTR B/D
[COCOON]</t>
        </is>
      </c>
      <c r="F71" s="142" t="inlineStr">
        <is>
          <t>O</t>
        </is>
      </c>
      <c r="G71" s="143" t="n"/>
      <c r="H71" s="144" t="n"/>
      <c r="I71" s="145">
        <f>IFERROR(IF(OR($F71="O",$G71="O",$H71="O"),CHOOSE(MATCH($A71,{"튜브","고압","진공","튜닝","조립","출하"},0),"T","H","V","N","A","P")&amp;IF($F71="O","R",IF($G71="O","A",IF($H71="O","F",""))),""),"")</f>
        <v/>
      </c>
      <c r="J71" s="146" t="n"/>
      <c r="K71" s="147" t="n"/>
      <c r="L71" s="148" t="n"/>
      <c r="M71" s="149" t="inlineStr">
        <is>
          <t>O</t>
        </is>
      </c>
      <c r="N71" s="150" t="n"/>
      <c r="O71" s="151" t="n"/>
      <c r="P71" s="152">
        <f>IF($I71="","",IF($J71="O","3","")&amp;IF($K71="O","4","")&amp;IF($L71="O","6","")&amp;IF($M71="O","7","")&amp;IF($N71="O","8","")&amp;IF($O71="O","?","")&amp;IF(OR($J71="O",$K71="O",$L71="O",$M71="O",$N71="O",$O71="O"),"-","")&amp;$I71)</f>
        <v/>
      </c>
      <c r="Q71" s="153">
        <f>HYPERLINK("#'마스터_품목'!A160","→ 마스터 R160")</f>
        <v/>
      </c>
      <c r="R71" s="154" t="n">
        <v>160</v>
      </c>
      <c r="S71" s="154" t="inlineStr">
        <is>
          <t>마스터_품목</t>
        </is>
      </c>
    </row>
    <row r="72" ht="48" customHeight="1">
      <c r="A72" s="140" t="inlineStr">
        <is>
          <t>고압</t>
        </is>
      </c>
      <c r="B72" s="140" t="inlineStr">
        <is>
          <t>튜브
A,SSY</t>
        </is>
      </c>
      <c r="C72" s="141" t="inlineStr">
        <is>
          <t>DX3000,  ADX4000W</t>
        </is>
      </c>
      <c r="D72" s="141" t="inlineStr">
        <is>
          <t>캐논튜브 60KV 하우징 [D-081B]</t>
        </is>
      </c>
      <c r="E72" s="141" t="n"/>
      <c r="F72" s="142" t="n"/>
      <c r="G72" s="143" t="inlineStr">
        <is>
          <t>O</t>
        </is>
      </c>
      <c r="H72" s="144" t="n"/>
      <c r="I72" s="145">
        <f>IFERROR(IF(OR($F72="O",$G72="O",$H72="O"),CHOOSE(MATCH($A72,{"튜브","고압","진공","튜닝","조립","출하"},0),"T","H","V","N","A","P")&amp;IF($F72="O","R",IF($G72="O","A",IF($H72="O","F",""))),""),"")</f>
        <v/>
      </c>
      <c r="J72" s="146" t="inlineStr">
        <is>
          <t>O</t>
        </is>
      </c>
      <c r="K72" s="147" t="inlineStr">
        <is>
          <t>O</t>
        </is>
      </c>
      <c r="L72" s="148" t="n"/>
      <c r="M72" s="149" t="n"/>
      <c r="N72" s="150" t="n"/>
      <c r="O72" s="151" t="n"/>
      <c r="P72" s="152">
        <f>IF($I72="","",IF($J72="O","3","")&amp;IF($K72="O","4","")&amp;IF($L72="O","6","")&amp;IF($M72="O","7","")&amp;IF($N72="O","8","")&amp;IF($O72="O","?","")&amp;IF(OR($J72="O",$K72="O",$L72="O",$M72="O",$N72="O",$O72="O"),"-","")&amp;$I72)</f>
        <v/>
      </c>
      <c r="Q72" s="153">
        <f>HYPERLINK("#'마스터_품목'!A71","→ 마스터 R71")</f>
        <v/>
      </c>
      <c r="R72" s="154" t="n">
        <v>71</v>
      </c>
      <c r="S72" s="154" t="inlineStr">
        <is>
          <t>마스터_품목</t>
        </is>
      </c>
    </row>
    <row r="73" ht="48" customHeight="1">
      <c r="A73" s="140" t="inlineStr">
        <is>
          <t>고압</t>
        </is>
      </c>
      <c r="B73" s="140" t="inlineStr">
        <is>
          <t>튜브
A,SSY</t>
        </is>
      </c>
      <c r="C73" s="141" t="inlineStr">
        <is>
          <t>DX3000,  ADX4000W,  ADX6000, 
SOLO</t>
        </is>
      </c>
      <c r="D73" s="141" t="inlineStr">
        <is>
          <t>세라믹튜브 70KV 하우징 [DXDR-070]</t>
        </is>
      </c>
      <c r="E73" s="141" t="n"/>
      <c r="F73" s="142" t="n"/>
      <c r="G73" s="143" t="inlineStr">
        <is>
          <t>O</t>
        </is>
      </c>
      <c r="H73" s="144" t="n"/>
      <c r="I73" s="145">
        <f>IFERROR(IF(OR($F73="O",$G73="O",$H73="O"),CHOOSE(MATCH($A73,{"튜브","고압","진공","튜닝","조립","출하"},0),"T","H","V","N","A","P")&amp;IF($F73="O","R",IF($G73="O","A",IF($H73="O","F",""))),""),"")</f>
        <v/>
      </c>
      <c r="J73" s="146" t="inlineStr">
        <is>
          <t>O</t>
        </is>
      </c>
      <c r="K73" s="147" t="inlineStr">
        <is>
          <t>O</t>
        </is>
      </c>
      <c r="L73" s="148" t="inlineStr">
        <is>
          <t>O</t>
        </is>
      </c>
      <c r="M73" s="149" t="n"/>
      <c r="N73" s="150" t="inlineStr">
        <is>
          <t>O</t>
        </is>
      </c>
      <c r="O73" s="151" t="n"/>
      <c r="P73" s="152">
        <f>IF($I73="","",IF($J73="O","3","")&amp;IF($K73="O","4","")&amp;IF($L73="O","6","")&amp;IF($M73="O","7","")&amp;IF($N73="O","8","")&amp;IF($O73="O","?","")&amp;IF(OR($J73="O",$K73="O",$L73="O",$M73="O",$N73="O",$O73="O"),"-","")&amp;$I73)</f>
        <v/>
      </c>
      <c r="Q73" s="153">
        <f>HYPERLINK("#'마스터_품목'!A72","→ 마스터 R72")</f>
        <v/>
      </c>
      <c r="R73" s="154" t="n">
        <v>72</v>
      </c>
      <c r="S73" s="154" t="inlineStr">
        <is>
          <t>마스터_품목</t>
        </is>
      </c>
    </row>
    <row r="74" ht="48" customHeight="1">
      <c r="A74" s="140" t="inlineStr">
        <is>
          <t>고압</t>
        </is>
      </c>
      <c r="B74" s="140" t="inlineStr">
        <is>
          <t>튜브
A,SSY</t>
        </is>
      </c>
      <c r="C74" s="141" t="inlineStr">
        <is>
          <t>COCOON, 
SOLO</t>
        </is>
      </c>
      <c r="D74" s="141" t="inlineStr">
        <is>
          <t>캐논튜브 70KV 하우징 [D-041]</t>
        </is>
      </c>
      <c r="E74" s="141" t="n"/>
      <c r="F74" s="142" t="n"/>
      <c r="G74" s="143" t="inlineStr">
        <is>
          <t>O</t>
        </is>
      </c>
      <c r="H74" s="144" t="n"/>
      <c r="I74" s="145">
        <f>IFERROR(IF(OR($F74="O",$G74="O",$H74="O"),CHOOSE(MATCH($A74,{"튜브","고압","진공","튜닝","조립","출하"},0),"T","H","V","N","A","P")&amp;IF($F74="O","R",IF($G74="O","A",IF($H74="O","F",""))),""),"")</f>
        <v/>
      </c>
      <c r="J74" s="146" t="n"/>
      <c r="K74" s="147" t="n"/>
      <c r="L74" s="148" t="n"/>
      <c r="M74" s="149" t="inlineStr">
        <is>
          <t>O</t>
        </is>
      </c>
      <c r="N74" s="150" t="inlineStr">
        <is>
          <t>O</t>
        </is>
      </c>
      <c r="O74" s="151" t="n"/>
      <c r="P74" s="152">
        <f>IF($I74="","",IF($J74="O","3","")&amp;IF($K74="O","4","")&amp;IF($L74="O","6","")&amp;IF($M74="O","7","")&amp;IF($N74="O","8","")&amp;IF($O74="O","?","")&amp;IF(OR($J74="O",$K74="O",$L74="O",$M74="O",$N74="O",$O74="O"),"-","")&amp;$I74)</f>
        <v/>
      </c>
      <c r="Q74" s="153">
        <f>HYPERLINK("#'마스터_품목'!A73","→ 마스터 R73")</f>
        <v/>
      </c>
      <c r="R74" s="154" t="n">
        <v>73</v>
      </c>
      <c r="S74" s="154" t="inlineStr">
        <is>
          <t>마스터_품목</t>
        </is>
      </c>
    </row>
    <row r="75" ht="48" customHeight="1">
      <c r="A75" s="140" t="inlineStr">
        <is>
          <t>고압</t>
        </is>
      </c>
      <c r="B75" s="140" t="inlineStr">
        <is>
          <t>튜브
A,SSY</t>
        </is>
      </c>
      <c r="C75" s="141" t="inlineStr">
        <is>
          <t>ADX6000</t>
        </is>
      </c>
      <c r="D75" s="141" t="inlineStr">
        <is>
          <t>캐논튜브 80KV 하우징 [D-0813]</t>
        </is>
      </c>
      <c r="E75" s="141" t="n"/>
      <c r="F75" s="142" t="n"/>
      <c r="G75" s="143" t="inlineStr">
        <is>
          <t>O</t>
        </is>
      </c>
      <c r="H75" s="144" t="n"/>
      <c r="I75" s="145">
        <f>IFERROR(IF(OR($F75="O",$G75="O",$H75="O"),CHOOSE(MATCH($A75,{"튜브","고압","진공","튜닝","조립","출하"},0),"T","H","V","N","A","P")&amp;IF($F75="O","R",IF($G75="O","A",IF($H75="O","F",""))),""),"")</f>
        <v/>
      </c>
      <c r="J75" s="146" t="n"/>
      <c r="K75" s="147" t="n"/>
      <c r="L75" s="148" t="inlineStr">
        <is>
          <t>O</t>
        </is>
      </c>
      <c r="M75" s="149" t="n"/>
      <c r="N75" s="150" t="n"/>
      <c r="O75" s="151" t="n"/>
      <c r="P75" s="152">
        <f>IF($I75="","",IF($J75="O","3","")&amp;IF($K75="O","4","")&amp;IF($L75="O","6","")&amp;IF($M75="O","7","")&amp;IF($N75="O","8","")&amp;IF($O75="O","?","")&amp;IF(OR($J75="O",$K75="O",$L75="O",$M75="O",$N75="O",$O75="O"),"-","")&amp;$I75)</f>
        <v/>
      </c>
      <c r="Q75" s="153">
        <f>HYPERLINK("#'마스터_품목'!A74","→ 마스터 R74")</f>
        <v/>
      </c>
      <c r="R75" s="154" t="n">
        <v>74</v>
      </c>
      <c r="S75" s="154" t="inlineStr">
        <is>
          <t>마스터_품목</t>
        </is>
      </c>
    </row>
    <row r="76" ht="48" customHeight="1">
      <c r="A76" s="140" t="inlineStr">
        <is>
          <t>고압</t>
        </is>
      </c>
      <c r="B76" s="140" t="inlineStr">
        <is>
          <t>튜브
A,SSY</t>
        </is>
      </c>
      <c r="C76" s="141" t="inlineStr">
        <is>
          <t>ADX6000</t>
        </is>
      </c>
      <c r="D76" s="141" t="inlineStr">
        <is>
          <t>세라믹튜브 100KV 하우징 [DXDR-100]</t>
        </is>
      </c>
      <c r="E76" s="141" t="n"/>
      <c r="F76" s="142" t="n"/>
      <c r="G76" s="143" t="inlineStr">
        <is>
          <t>O</t>
        </is>
      </c>
      <c r="H76" s="144" t="n"/>
      <c r="I76" s="145">
        <f>IFERROR(IF(OR($F76="O",$G76="O",$H76="O"),CHOOSE(MATCH($A76,{"튜브","고압","진공","튜닝","조립","출하"},0),"T","H","V","N","A","P")&amp;IF($F76="O","R",IF($G76="O","A",IF($H76="O","F",""))),""),"")</f>
        <v/>
      </c>
      <c r="J76" s="146" t="n"/>
      <c r="K76" s="147" t="n"/>
      <c r="L76" s="148" t="inlineStr">
        <is>
          <t>O</t>
        </is>
      </c>
      <c r="M76" s="149" t="n"/>
      <c r="N76" s="150" t="n"/>
      <c r="O76" s="151" t="n"/>
      <c r="P76" s="152">
        <f>IF($I76="","",IF($J76="O","3","")&amp;IF($K76="O","4","")&amp;IF($L76="O","6","")&amp;IF($M76="O","7","")&amp;IF($N76="O","8","")&amp;IF($O76="O","?","")&amp;IF(OR($J76="O",$K76="O",$L76="O",$M76="O",$N76="O",$O76="O"),"-","")&amp;$I76)</f>
        <v/>
      </c>
      <c r="Q76" s="153">
        <f>HYPERLINK("#'마스터_품목'!A75","→ 마스터 R75")</f>
        <v/>
      </c>
      <c r="R76" s="154" t="n">
        <v>75</v>
      </c>
      <c r="S76" s="154" t="inlineStr">
        <is>
          <t>마스터_품목</t>
        </is>
      </c>
    </row>
    <row r="77" ht="48" customHeight="1">
      <c r="A77" s="140" t="inlineStr">
        <is>
          <t>고압</t>
        </is>
      </c>
      <c r="B77" s="140" t="inlineStr">
        <is>
          <t>튜브
A,SSY</t>
        </is>
      </c>
      <c r="C77" s="141" t="inlineStr">
        <is>
          <t>ADX6000</t>
        </is>
      </c>
      <c r="D77" s="141" t="inlineStr">
        <is>
          <t>CEI튜브 90KV 하우징 [OX-70]</t>
        </is>
      </c>
      <c r="E77" s="141" t="n"/>
      <c r="F77" s="142" t="n"/>
      <c r="G77" s="143" t="inlineStr">
        <is>
          <t>O</t>
        </is>
      </c>
      <c r="H77" s="144" t="n"/>
      <c r="I77" s="145">
        <f>IFERROR(IF(OR($F77="O",$G77="O",$H77="O"),CHOOSE(MATCH($A77,{"튜브","고압","진공","튜닝","조립","출하"},0),"T","H","V","N","A","P")&amp;IF($F77="O","R",IF($G77="O","A",IF($H77="O","F",""))),""),"")</f>
        <v/>
      </c>
      <c r="J77" s="146" t="n"/>
      <c r="K77" s="147" t="n"/>
      <c r="L77" s="148" t="inlineStr">
        <is>
          <t>O</t>
        </is>
      </c>
      <c r="M77" s="149" t="n"/>
      <c r="N77" s="150" t="n"/>
      <c r="O77" s="151" t="n"/>
      <c r="P77" s="152">
        <f>IF($I77="","",IF($J77="O","3","")&amp;IF($K77="O","4","")&amp;IF($L77="O","6","")&amp;IF($M77="O","7","")&amp;IF($N77="O","8","")&amp;IF($O77="O","?","")&amp;IF(OR($J77="O",$K77="O",$L77="O",$M77="O",$N77="O",$O77="O"),"-","")&amp;$I77)</f>
        <v/>
      </c>
      <c r="Q77" s="153">
        <f>HYPERLINK("#'마스터_품목'!A76","→ 마스터 R76")</f>
        <v/>
      </c>
      <c r="R77" s="154" t="n">
        <v>76</v>
      </c>
      <c r="S77" s="154" t="inlineStr">
        <is>
          <t>마스터_품목</t>
        </is>
      </c>
    </row>
    <row r="78" ht="48" customHeight="1">
      <c r="A78" s="140" t="inlineStr">
        <is>
          <t>고압</t>
        </is>
      </c>
      <c r="B78" s="140" t="inlineStr">
        <is>
          <t>고압보드
A,SSY</t>
        </is>
      </c>
      <c r="C78" s="141" t="inlineStr">
        <is>
          <t>DX3000,  ADX4000W</t>
        </is>
      </c>
      <c r="D78" s="141" t="inlineStr">
        <is>
          <t>고압보드SMT 完 (Ver. 2.5)</t>
        </is>
      </c>
      <c r="E78" s="141" t="n"/>
      <c r="F78" s="142" t="n"/>
      <c r="G78" s="143" t="inlineStr">
        <is>
          <t>O</t>
        </is>
      </c>
      <c r="H78" s="144" t="n"/>
      <c r="I78" s="145">
        <f>IFERROR(IF(OR($F78="O",$G78="O",$H78="O"),CHOOSE(MATCH($A78,{"튜브","고압","진공","튜닝","조립","출하"},0),"T","H","V","N","A","P")&amp;IF($F78="O","R",IF($G78="O","A",IF($H78="O","F",""))),""),"")</f>
        <v/>
      </c>
      <c r="J78" s="146" t="inlineStr">
        <is>
          <t>O</t>
        </is>
      </c>
      <c r="K78" s="147" t="inlineStr">
        <is>
          <t>O</t>
        </is>
      </c>
      <c r="L78" s="148" t="n"/>
      <c r="M78" s="149" t="n"/>
      <c r="N78" s="150" t="n"/>
      <c r="O78" s="151" t="n"/>
      <c r="P78" s="152">
        <f>IF($I78="","",IF($J78="O","3","")&amp;IF($K78="O","4","")&amp;IF($L78="O","6","")&amp;IF($M78="O","7","")&amp;IF($N78="O","8","")&amp;IF($O78="O","?","")&amp;IF(OR($J78="O",$K78="O",$L78="O",$M78="O",$N78="O",$O78="O"),"-","")&amp;$I78)</f>
        <v/>
      </c>
      <c r="Q78" s="153">
        <f>HYPERLINK("#'마스터_품목'!A77","→ 마스터 R77")</f>
        <v/>
      </c>
      <c r="R78" s="154" t="n">
        <v>77</v>
      </c>
      <c r="S78" s="154" t="inlineStr">
        <is>
          <t>마스터_품목</t>
        </is>
      </c>
    </row>
    <row r="79" ht="48" customHeight="1">
      <c r="A79" s="140" t="inlineStr">
        <is>
          <t>고압</t>
        </is>
      </c>
      <c r="B79" s="140" t="inlineStr">
        <is>
          <t>고압보드
A,SSY</t>
        </is>
      </c>
      <c r="C79" s="141" t="inlineStr">
        <is>
          <t>DX3000</t>
        </is>
      </c>
      <c r="D79" s="141" t="inlineStr">
        <is>
          <t>고압보드SMT 完 (신형) (Ver. 1.0.1)</t>
        </is>
      </c>
      <c r="E79" s="141" t="n"/>
      <c r="F79" s="142" t="n"/>
      <c r="G79" s="143" t="inlineStr">
        <is>
          <t>O</t>
        </is>
      </c>
      <c r="H79" s="144" t="n"/>
      <c r="I79" s="145">
        <f>IFERROR(IF(OR($F79="O",$G79="O",$H79="O"),CHOOSE(MATCH($A79,{"튜브","고압","진공","튜닝","조립","출하"},0),"T","H","V","N","A","P")&amp;IF($F79="O","R",IF($G79="O","A",IF($H79="O","F",""))),""),"")</f>
        <v/>
      </c>
      <c r="J79" s="146" t="inlineStr">
        <is>
          <t>O</t>
        </is>
      </c>
      <c r="K79" s="147" t="n"/>
      <c r="L79" s="148" t="n"/>
      <c r="M79" s="149" t="n"/>
      <c r="N79" s="150" t="n"/>
      <c r="O79" s="151" t="n"/>
      <c r="P79" s="152">
        <f>IF($I79="","",IF($J79="O","3","")&amp;IF($K79="O","4","")&amp;IF($L79="O","6","")&amp;IF($M79="O","7","")&amp;IF($N79="O","8","")&amp;IF($O79="O","?","")&amp;IF(OR($J79="O",$K79="O",$L79="O",$M79="O",$N79="O",$O79="O"),"-","")&amp;$I79)</f>
        <v/>
      </c>
      <c r="Q79" s="153">
        <f>HYPERLINK("#'마스터_품목'!A78","→ 마스터 R78")</f>
        <v/>
      </c>
      <c r="R79" s="154" t="n">
        <v>78</v>
      </c>
      <c r="S79" s="154" t="inlineStr">
        <is>
          <t>마스터_품목</t>
        </is>
      </c>
    </row>
    <row r="80" ht="48" customHeight="1">
      <c r="A80" s="140" t="inlineStr">
        <is>
          <t>고압</t>
        </is>
      </c>
      <c r="B80" s="140" t="inlineStr">
        <is>
          <t>고압보드
A,SSY</t>
        </is>
      </c>
      <c r="C80" s="141" t="inlineStr">
        <is>
          <t>ADX6000</t>
        </is>
      </c>
      <c r="D80" s="141" t="inlineStr">
        <is>
          <t>고압보드SMT 完</t>
        </is>
      </c>
      <c r="E80" s="141" t="n"/>
      <c r="F80" s="142" t="n"/>
      <c r="G80" s="143" t="inlineStr">
        <is>
          <t>O</t>
        </is>
      </c>
      <c r="H80" s="144" t="n"/>
      <c r="I80" s="145">
        <f>IFERROR(IF(OR($F80="O",$G80="O",$H80="O"),CHOOSE(MATCH($A80,{"튜브","고압","진공","튜닝","조립","출하"},0),"T","H","V","N","A","P")&amp;IF($F80="O","R",IF($G80="O","A",IF($H80="O","F",""))),""),"")</f>
        <v/>
      </c>
      <c r="J80" s="146" t="n"/>
      <c r="K80" s="147" t="n"/>
      <c r="L80" s="148" t="inlineStr">
        <is>
          <t>O</t>
        </is>
      </c>
      <c r="M80" s="149" t="n"/>
      <c r="N80" s="150" t="n"/>
      <c r="O80" s="151" t="n"/>
      <c r="P80" s="152">
        <f>IF($I80="","",IF($J80="O","3","")&amp;IF($K80="O","4","")&amp;IF($L80="O","6","")&amp;IF($M80="O","7","")&amp;IF($N80="O","8","")&amp;IF($O80="O","?","")&amp;IF(OR($J80="O",$K80="O",$L80="O",$M80="O",$N80="O",$O80="O"),"-","")&amp;$I80)</f>
        <v/>
      </c>
      <c r="Q80" s="153">
        <f>HYPERLINK("#'마스터_품목'!A79","→ 마스터 R79")</f>
        <v/>
      </c>
      <c r="R80" s="154" t="n">
        <v>79</v>
      </c>
      <c r="S80" s="154" t="inlineStr">
        <is>
          <t>마스터_품목</t>
        </is>
      </c>
    </row>
    <row r="81" ht="48" customHeight="1">
      <c r="A81" s="140" t="inlineStr">
        <is>
          <t>고압</t>
        </is>
      </c>
      <c r="B81" s="140" t="inlineStr">
        <is>
          <t>고압보드
A,SSY</t>
        </is>
      </c>
      <c r="C81" s="141" t="inlineStr">
        <is>
          <t>ADX6000</t>
        </is>
      </c>
      <c r="D81" s="141" t="inlineStr">
        <is>
          <t>고압보드SMT 完 (신형)</t>
        </is>
      </c>
      <c r="E81" s="141" t="n"/>
      <c r="F81" s="142" t="n"/>
      <c r="G81" s="143" t="inlineStr">
        <is>
          <t>O</t>
        </is>
      </c>
      <c r="H81" s="144" t="n"/>
      <c r="I81" s="145">
        <f>IFERROR(IF(OR($F81="O",$G81="O",$H81="O"),CHOOSE(MATCH($A81,{"튜브","고압","진공","튜닝","조립","출하"},0),"T","H","V","N","A","P")&amp;IF($F81="O","R",IF($G81="O","A",IF($H81="O","F",""))),""),"")</f>
        <v/>
      </c>
      <c r="J81" s="146" t="n"/>
      <c r="K81" s="147" t="n"/>
      <c r="L81" s="148" t="inlineStr">
        <is>
          <t>O</t>
        </is>
      </c>
      <c r="M81" s="149" t="n"/>
      <c r="N81" s="150" t="n"/>
      <c r="O81" s="151" t="n"/>
      <c r="P81" s="152">
        <f>IF($I81="","",IF($J81="O","3","")&amp;IF($K81="O","4","")&amp;IF($L81="O","6","")&amp;IF($M81="O","7","")&amp;IF($N81="O","8","")&amp;IF($O81="O","?","")&amp;IF(OR($J81="O",$K81="O",$L81="O",$M81="O",$N81="O",$O81="O"),"-","")&amp;$I81)</f>
        <v/>
      </c>
      <c r="Q81" s="153">
        <f>HYPERLINK("#'마스터_품목'!A80","→ 마스터 R80")</f>
        <v/>
      </c>
      <c r="R81" s="154" t="n">
        <v>80</v>
      </c>
      <c r="S81" s="154" t="inlineStr">
        <is>
          <t>마스터_품목</t>
        </is>
      </c>
    </row>
    <row r="82" ht="48" customHeight="1">
      <c r="A82" s="140" t="inlineStr">
        <is>
          <t>고압</t>
        </is>
      </c>
      <c r="B82" s="140" t="inlineStr">
        <is>
          <t>고압보드
A,SSY</t>
        </is>
      </c>
      <c r="C82" s="141" t="inlineStr">
        <is>
          <t>COCOON</t>
        </is>
      </c>
      <c r="D82" s="141" t="inlineStr">
        <is>
          <t>고압보드SMT 完</t>
        </is>
      </c>
      <c r="E82" s="141" t="n"/>
      <c r="F82" s="142" t="n"/>
      <c r="G82" s="143" t="inlineStr">
        <is>
          <t>O</t>
        </is>
      </c>
      <c r="H82" s="144" t="n"/>
      <c r="I82" s="145">
        <f>IFERROR(IF(OR($F82="O",$G82="O",$H82="O"),CHOOSE(MATCH($A82,{"튜브","고압","진공","튜닝","조립","출하"},0),"T","H","V","N","A","P")&amp;IF($F82="O","R",IF($G82="O","A",IF($H82="O","F",""))),""),"")</f>
        <v/>
      </c>
      <c r="J82" s="146" t="n"/>
      <c r="K82" s="147" t="n"/>
      <c r="L82" s="148" t="n"/>
      <c r="M82" s="149" t="inlineStr">
        <is>
          <t>O</t>
        </is>
      </c>
      <c r="N82" s="150" t="n"/>
      <c r="O82" s="151" t="n"/>
      <c r="P82" s="152">
        <f>IF($I82="","",IF($J82="O","3","")&amp;IF($K82="O","4","")&amp;IF($L82="O","6","")&amp;IF($M82="O","7","")&amp;IF($N82="O","8","")&amp;IF($O82="O","?","")&amp;IF(OR($J82="O",$K82="O",$L82="O",$M82="O",$N82="O",$O82="O"),"-","")&amp;$I82)</f>
        <v/>
      </c>
      <c r="Q82" s="153">
        <f>HYPERLINK("#'마스터_품목'!A81","→ 마스터 R81")</f>
        <v/>
      </c>
      <c r="R82" s="154" t="n">
        <v>81</v>
      </c>
      <c r="S82" s="154" t="inlineStr">
        <is>
          <t>마스터_품목</t>
        </is>
      </c>
    </row>
    <row r="83" ht="48" customHeight="1">
      <c r="A83" s="140" t="inlineStr">
        <is>
          <t>고압</t>
        </is>
      </c>
      <c r="B83" s="140" t="inlineStr">
        <is>
          <t>고압보드
A,SSY</t>
        </is>
      </c>
      <c r="C83" s="141" t="inlineStr">
        <is>
          <t>COCOON</t>
        </is>
      </c>
      <c r="D83" s="141" t="inlineStr">
        <is>
          <t>고압보드SMT 完 [Ver 2.12 신형]</t>
        </is>
      </c>
      <c r="E83" s="141" t="n"/>
      <c r="F83" s="142" t="n"/>
      <c r="G83" s="143" t="inlineStr">
        <is>
          <t>O</t>
        </is>
      </c>
      <c r="H83" s="144" t="n"/>
      <c r="I83" s="145">
        <f>IFERROR(IF(OR($F83="O",$G83="O",$H83="O"),CHOOSE(MATCH($A83,{"튜브","고압","진공","튜닝","조립","출하"},0),"T","H","V","N","A","P")&amp;IF($F83="O","R",IF($G83="O","A",IF($H83="O","F",""))),""),"")</f>
        <v/>
      </c>
      <c r="J83" s="146" t="n"/>
      <c r="K83" s="147" t="n"/>
      <c r="L83" s="148" t="n"/>
      <c r="M83" s="149" t="inlineStr">
        <is>
          <t>O</t>
        </is>
      </c>
      <c r="N83" s="150" t="n"/>
      <c r="O83" s="151" t="n"/>
      <c r="P83" s="152">
        <f>IF($I83="","",IF($J83="O","3","")&amp;IF($K83="O","4","")&amp;IF($L83="O","6","")&amp;IF($M83="O","7","")&amp;IF($N83="O","8","")&amp;IF($O83="O","?","")&amp;IF(OR($J83="O",$K83="O",$L83="O",$M83="O",$N83="O",$O83="O"),"-","")&amp;$I83)</f>
        <v/>
      </c>
      <c r="Q83" s="153">
        <f>HYPERLINK("#'마스터_품목'!A82","→ 마스터 R82")</f>
        <v/>
      </c>
      <c r="R83" s="154" t="n">
        <v>82</v>
      </c>
      <c r="S83" s="154" t="inlineStr">
        <is>
          <t>마스터_품목</t>
        </is>
      </c>
    </row>
    <row r="84" ht="48" customHeight="1">
      <c r="A84" s="140" t="inlineStr">
        <is>
          <t>고압</t>
        </is>
      </c>
      <c r="B84" s="140" t="inlineStr">
        <is>
          <t>고압보드
A,SSY</t>
        </is>
      </c>
      <c r="C84" s="141" t="inlineStr">
        <is>
          <t>SOLO</t>
        </is>
      </c>
      <c r="D84" s="141" t="inlineStr">
        <is>
          <t>고압보드 SMT (DXDR-070)</t>
        </is>
      </c>
      <c r="E84" s="141" t="n"/>
      <c r="F84" s="142" t="n"/>
      <c r="G84" s="143" t="inlineStr">
        <is>
          <t>O</t>
        </is>
      </c>
      <c r="H84" s="144" t="n"/>
      <c r="I84" s="145">
        <f>IFERROR(IF(OR($F84="O",$G84="O",$H84="O"),CHOOSE(MATCH($A84,{"튜브","고압","진공","튜닝","조립","출하"},0),"T","H","V","N","A","P")&amp;IF($F84="O","R",IF($G84="O","A",IF($H84="O","F",""))),""),"")</f>
        <v/>
      </c>
      <c r="J84" s="146" t="n"/>
      <c r="K84" s="147" t="n"/>
      <c r="L84" s="148" t="n"/>
      <c r="M84" s="149" t="n"/>
      <c r="N84" s="150" t="inlineStr">
        <is>
          <t>O</t>
        </is>
      </c>
      <c r="O84" s="151" t="n"/>
      <c r="P84" s="152">
        <f>IF($I84="","",IF($J84="O","3","")&amp;IF($K84="O","4","")&amp;IF($L84="O","6","")&amp;IF($M84="O","7","")&amp;IF($N84="O","8","")&amp;IF($O84="O","?","")&amp;IF(OR($J84="O",$K84="O",$L84="O",$M84="O",$N84="O",$O84="O"),"-","")&amp;$I84)</f>
        <v/>
      </c>
      <c r="Q84" s="153">
        <f>HYPERLINK("#'마스터_품목'!A83","→ 마스터 R83")</f>
        <v/>
      </c>
      <c r="R84" s="154" t="n">
        <v>83</v>
      </c>
      <c r="S84" s="154" t="inlineStr">
        <is>
          <t>마스터_품목</t>
        </is>
      </c>
    </row>
    <row r="85" ht="48" customHeight="1">
      <c r="A85" s="140" t="inlineStr">
        <is>
          <t>고압</t>
        </is>
      </c>
      <c r="B85" s="140" t="inlineStr">
        <is>
          <t>고압보드
A,SSY</t>
        </is>
      </c>
      <c r="C85" s="141" t="inlineStr">
        <is>
          <t>SOLO</t>
        </is>
      </c>
      <c r="D85" s="141" t="inlineStr">
        <is>
          <t>고압보드 SMT (D-041)</t>
        </is>
      </c>
      <c r="E85" s="141" t="n"/>
      <c r="F85" s="142" t="n"/>
      <c r="G85" s="143" t="inlineStr">
        <is>
          <t>O</t>
        </is>
      </c>
      <c r="H85" s="144" t="n"/>
      <c r="I85" s="145">
        <f>IFERROR(IF(OR($F85="O",$G85="O",$H85="O"),CHOOSE(MATCH($A85,{"튜브","고압","진공","튜닝","조립","출하"},0),"T","H","V","N","A","P")&amp;IF($F85="O","R",IF($G85="O","A",IF($H85="O","F",""))),""),"")</f>
        <v/>
      </c>
      <c r="J85" s="146" t="n"/>
      <c r="K85" s="147" t="n"/>
      <c r="L85" s="148" t="n"/>
      <c r="M85" s="149" t="n"/>
      <c r="N85" s="150" t="inlineStr">
        <is>
          <t>O</t>
        </is>
      </c>
      <c r="O85" s="151" t="n"/>
      <c r="P85" s="152">
        <f>IF($I85="","",IF($J85="O","3","")&amp;IF($K85="O","4","")&amp;IF($L85="O","6","")&amp;IF($M85="O","7","")&amp;IF($N85="O","8","")&amp;IF($O85="O","?","")&amp;IF(OR($J85="O",$K85="O",$L85="O",$M85="O",$N85="O",$O85="O"),"-","")&amp;$I85)</f>
        <v/>
      </c>
      <c r="Q85" s="153">
        <f>HYPERLINK("#'마스터_품목'!A84","→ 마스터 R84")</f>
        <v/>
      </c>
      <c r="R85" s="154" t="n">
        <v>84</v>
      </c>
      <c r="S85" s="154" t="inlineStr">
        <is>
          <t>마스터_품목</t>
        </is>
      </c>
    </row>
    <row r="86" ht="48" customHeight="1">
      <c r="A86" s="140" t="inlineStr">
        <is>
          <t>고압</t>
        </is>
      </c>
      <c r="B86" s="140" t="inlineStr">
        <is>
          <t>고압보드
A,SSY</t>
        </is>
      </c>
      <c r="C86" s="141" t="inlineStr">
        <is>
          <t>DX3000V</t>
        </is>
      </c>
      <c r="D86" s="141" t="inlineStr">
        <is>
          <t>고압보드 SMT 完 (D-0813) (Ver 1.0.0)</t>
        </is>
      </c>
      <c r="E86" s="141" t="n"/>
      <c r="F86" s="142" t="n"/>
      <c r="G86" s="143" t="inlineStr">
        <is>
          <t>O</t>
        </is>
      </c>
      <c r="H86" s="144" t="n"/>
      <c r="I86" s="145">
        <f>IFERROR(IF(OR($F86="O",$G86="O",$H86="O"),CHOOSE(MATCH($A86,{"튜브","고압","진공","튜닝","조립","출하"},0),"T","H","V","N","A","P")&amp;IF($F86="O","R",IF($G86="O","A",IF($H86="O","F",""))),""),"")</f>
        <v/>
      </c>
      <c r="J86" s="146" t="inlineStr">
        <is>
          <t>O</t>
        </is>
      </c>
      <c r="K86" s="147" t="n"/>
      <c r="L86" s="148" t="n"/>
      <c r="M86" s="149" t="n"/>
      <c r="N86" s="150" t="n"/>
      <c r="O86" s="151" t="n"/>
      <c r="P86" s="152">
        <f>IF($I86="","",IF($J86="O","3","")&amp;IF($K86="O","4","")&amp;IF($L86="O","6","")&amp;IF($M86="O","7","")&amp;IF($N86="O","8","")&amp;IF($O86="O","?","")&amp;IF(OR($J86="O",$K86="O",$L86="O",$M86="O",$N86="O",$O86="O"),"-","")&amp;$I86)</f>
        <v/>
      </c>
      <c r="Q86" s="153">
        <f>HYPERLINK("#'마스터_품목'!A85","→ 마스터 R85")</f>
        <v/>
      </c>
      <c r="R86" s="154" t="n">
        <v>85</v>
      </c>
      <c r="S86" s="154" t="inlineStr">
        <is>
          <t>마스터_품목</t>
        </is>
      </c>
    </row>
    <row r="87" ht="48" customHeight="1">
      <c r="A87" s="140" t="inlineStr">
        <is>
          <t>고압</t>
        </is>
      </c>
      <c r="B87" s="140" t="inlineStr">
        <is>
          <t>신주 및 
베크라이트</t>
        </is>
      </c>
      <c r="C87" s="141" t="inlineStr">
        <is>
          <t>DX3000,  ADX4000W,  ADX6000</t>
        </is>
      </c>
      <c r="D87" s="141" t="inlineStr">
        <is>
          <t>베이클라이트 하우징 파이프</t>
        </is>
      </c>
      <c r="E87" s="141" t="inlineStr">
        <is>
          <t>튜브 하우징 파이프 (베이클라이트)
[DX3000, ADX4000W ADX6000]</t>
        </is>
      </c>
      <c r="F87" s="142" t="inlineStr">
        <is>
          <t>O</t>
        </is>
      </c>
      <c r="G87" s="143" t="n"/>
      <c r="H87" s="144" t="n"/>
      <c r="I87" s="145">
        <f>IFERROR(IF(OR($F87="O",$G87="O",$H87="O"),CHOOSE(MATCH($A87,{"튜브","고압","진공","튜닝","조립","출하"},0),"T","H","V","N","A","P")&amp;IF($F87="O","R",IF($G87="O","A",IF($H87="O","F",""))),""),"")</f>
        <v/>
      </c>
      <c r="J87" s="146" t="inlineStr">
        <is>
          <t>O</t>
        </is>
      </c>
      <c r="K87" s="147" t="inlineStr">
        <is>
          <t>O</t>
        </is>
      </c>
      <c r="L87" s="148" t="inlineStr">
        <is>
          <t>O</t>
        </is>
      </c>
      <c r="M87" s="149" t="n"/>
      <c r="N87" s="150" t="n"/>
      <c r="O87" s="151" t="n"/>
      <c r="P87" s="152">
        <f>IF($I87="","",IF($J87="O","3","")&amp;IF($K87="O","4","")&amp;IF($L87="O","6","")&amp;IF($M87="O","7","")&amp;IF($N87="O","8","")&amp;IF($O87="O","?","")&amp;IF(OR($J87="O",$K87="O",$L87="O",$M87="O",$N87="O",$O87="O"),"-","")&amp;$I87)</f>
        <v/>
      </c>
      <c r="Q87" s="153">
        <f>HYPERLINK("#'마스터_품목'!A86","→ 마스터 R86")</f>
        <v/>
      </c>
      <c r="R87" s="154" t="n">
        <v>86</v>
      </c>
      <c r="S87" s="154" t="inlineStr">
        <is>
          <t>마스터_품목</t>
        </is>
      </c>
    </row>
    <row r="88" ht="48" customHeight="1">
      <c r="A88" s="140" t="inlineStr">
        <is>
          <t>고압</t>
        </is>
      </c>
      <c r="B88" s="140" t="inlineStr">
        <is>
          <t>신주 및 
베크라이트</t>
        </is>
      </c>
      <c r="C88" s="141" t="inlineStr">
        <is>
          <t>COCOON,
SOLO</t>
        </is>
      </c>
      <c r="D88" s="141" t="inlineStr">
        <is>
          <t>70KV 튜브 하우징용 파이프</t>
        </is>
      </c>
      <c r="E88" s="141" t="inlineStr">
        <is>
          <t>튜브 하우징 파이프 (HDPE)
[COCOON]</t>
        </is>
      </c>
      <c r="F88" s="142" t="inlineStr">
        <is>
          <t>O</t>
        </is>
      </c>
      <c r="G88" s="143" t="n"/>
      <c r="H88" s="144" t="n"/>
      <c r="I88" s="145">
        <f>IFERROR(IF(OR($F88="O",$G88="O",$H88="O"),CHOOSE(MATCH($A88,{"튜브","고압","진공","튜닝","조립","출하"},0),"T","H","V","N","A","P")&amp;IF($F88="O","R",IF($G88="O","A",IF($H88="O","F",""))),""),"")</f>
        <v/>
      </c>
      <c r="J88" s="146" t="n"/>
      <c r="K88" s="147" t="n"/>
      <c r="L88" s="148" t="n"/>
      <c r="M88" s="149" t="inlineStr">
        <is>
          <t>O</t>
        </is>
      </c>
      <c r="N88" s="150" t="inlineStr">
        <is>
          <t>O</t>
        </is>
      </c>
      <c r="O88" s="151" t="n"/>
      <c r="P88" s="152">
        <f>IF($I88="","",IF($J88="O","3","")&amp;IF($K88="O","4","")&amp;IF($L88="O","6","")&amp;IF($M88="O","7","")&amp;IF($N88="O","8","")&amp;IF($O88="O","?","")&amp;IF(OR($J88="O",$K88="O",$L88="O",$M88="O",$N88="O",$O88="O"),"-","")&amp;$I88)</f>
        <v/>
      </c>
      <c r="Q88" s="153">
        <f>HYPERLINK("#'마스터_품목'!A87","→ 마스터 R87")</f>
        <v/>
      </c>
      <c r="R88" s="154" t="n">
        <v>87</v>
      </c>
      <c r="S88" s="154" t="inlineStr">
        <is>
          <t>마스터_품목</t>
        </is>
      </c>
    </row>
    <row r="89" ht="48" customHeight="1">
      <c r="A89" s="140" t="inlineStr">
        <is>
          <t>고압</t>
        </is>
      </c>
      <c r="B89" s="140" t="inlineStr">
        <is>
          <t>신주 및 
베크라이트</t>
        </is>
      </c>
      <c r="C89" s="141" t="inlineStr">
        <is>
          <t>SOLO</t>
        </is>
      </c>
      <c r="D89" s="141" t="inlineStr">
        <is>
          <t>DXDR-070 하우징용 파이프</t>
        </is>
      </c>
      <c r="E89" s="141" t="inlineStr">
        <is>
          <t>세라믹 튜브 하우징 파이프 (HDPE)
[SOLO]</t>
        </is>
      </c>
      <c r="F89" s="142" t="inlineStr">
        <is>
          <t>O</t>
        </is>
      </c>
      <c r="G89" s="143" t="n"/>
      <c r="H89" s="144" t="n"/>
      <c r="I89" s="145">
        <f>IFERROR(IF(OR($F89="O",$G89="O",$H89="O"),CHOOSE(MATCH($A89,{"튜브","고압","진공","튜닝","조립","출하"},0),"T","H","V","N","A","P")&amp;IF($F89="O","R",IF($G89="O","A",IF($H89="O","F",""))),""),"")</f>
        <v/>
      </c>
      <c r="J89" s="146" t="n"/>
      <c r="K89" s="147" t="n"/>
      <c r="L89" s="148" t="n"/>
      <c r="M89" s="149" t="n"/>
      <c r="N89" s="150" t="inlineStr">
        <is>
          <t>O</t>
        </is>
      </c>
      <c r="O89" s="151" t="n"/>
      <c r="P89" s="152">
        <f>IF($I89="","",IF($J89="O","3","")&amp;IF($K89="O","4","")&amp;IF($L89="O","6","")&amp;IF($M89="O","7","")&amp;IF($N89="O","8","")&amp;IF($O89="O","?","")&amp;IF(OR($J89="O",$K89="O",$L89="O",$M89="O",$N89="O",$O89="O"),"-","")&amp;$I89)</f>
        <v/>
      </c>
      <c r="Q89" s="153">
        <f>HYPERLINK("#'마스터_품목'!A88","→ 마스터 R88")</f>
        <v/>
      </c>
      <c r="R89" s="154" t="n">
        <v>88</v>
      </c>
      <c r="S89" s="154" t="inlineStr">
        <is>
          <t>마스터_품목</t>
        </is>
      </c>
    </row>
    <row r="90" ht="48" customHeight="1">
      <c r="A90" s="140" t="inlineStr">
        <is>
          <t>고압</t>
        </is>
      </c>
      <c r="B90" s="140" t="inlineStr">
        <is>
          <t>신주 및 
베크라이트</t>
        </is>
      </c>
      <c r="C90" s="141" t="inlineStr">
        <is>
          <t>SOLO</t>
        </is>
      </c>
      <c r="D90" s="141" t="inlineStr">
        <is>
          <t>D-041 하우징용 파이프</t>
        </is>
      </c>
      <c r="E90" s="141" t="inlineStr">
        <is>
          <t>튜브 하우징 파이프 (HDPE)
[SOLO]</t>
        </is>
      </c>
      <c r="F90" s="142" t="inlineStr">
        <is>
          <t>O</t>
        </is>
      </c>
      <c r="G90" s="143" t="n"/>
      <c r="H90" s="144" t="n"/>
      <c r="I90" s="145">
        <f>IFERROR(IF(OR($F90="O",$G90="O",$H90="O"),CHOOSE(MATCH($A90,{"튜브","고압","진공","튜닝","조립","출하"},0),"T","H","V","N","A","P")&amp;IF($F90="O","R",IF($G90="O","A",IF($H90="O","F",""))),""),"")</f>
        <v/>
      </c>
      <c r="J90" s="146" t="n"/>
      <c r="K90" s="147" t="n"/>
      <c r="L90" s="148" t="n"/>
      <c r="M90" s="149" t="n"/>
      <c r="N90" s="150" t="inlineStr">
        <is>
          <t>O</t>
        </is>
      </c>
      <c r="O90" s="151" t="n"/>
      <c r="P90" s="152">
        <f>IF($I90="","",IF($J90="O","3","")&amp;IF($K90="O","4","")&amp;IF($L90="O","6","")&amp;IF($M90="O","7","")&amp;IF($N90="O","8","")&amp;IF($O90="O","?","")&amp;IF(OR($J90="O",$K90="O",$L90="O",$M90="O",$N90="O",$O90="O"),"-","")&amp;$I90)</f>
        <v/>
      </c>
      <c r="Q90" s="153">
        <f>HYPERLINK("#'마스터_품목'!A89","→ 마스터 R89")</f>
        <v/>
      </c>
      <c r="R90" s="154" t="n">
        <v>89</v>
      </c>
      <c r="S90" s="154" t="inlineStr">
        <is>
          <t>마스터_품목</t>
        </is>
      </c>
    </row>
    <row r="91" ht="48" customHeight="1">
      <c r="A91" s="140" t="inlineStr">
        <is>
          <t>고압</t>
        </is>
      </c>
      <c r="B91" s="140" t="inlineStr">
        <is>
          <t>신주 및 
베크라이트</t>
        </is>
      </c>
      <c r="C91" s="141" t="inlineStr">
        <is>
          <t>ADX6000</t>
        </is>
      </c>
      <c r="D91" s="141" t="inlineStr">
        <is>
          <t>PE 하우징 파이프</t>
        </is>
      </c>
      <c r="E91" s="141" t="n"/>
      <c r="F91" s="142" t="inlineStr">
        <is>
          <t>O</t>
        </is>
      </c>
      <c r="G91" s="143" t="n"/>
      <c r="H91" s="144" t="n"/>
      <c r="I91" s="145">
        <f>IFERROR(IF(OR($F91="O",$G91="O",$H91="O"),CHOOSE(MATCH($A91,{"튜브","고압","진공","튜닝","조립","출하"},0),"T","H","V","N","A","P")&amp;IF($F91="O","R",IF($G91="O","A",IF($H91="O","F",""))),""),"")</f>
        <v/>
      </c>
      <c r="J91" s="146" t="n"/>
      <c r="K91" s="147" t="n"/>
      <c r="L91" s="148" t="inlineStr">
        <is>
          <t>O</t>
        </is>
      </c>
      <c r="M91" s="149" t="n"/>
      <c r="N91" s="150" t="n"/>
      <c r="O91" s="151" t="n"/>
      <c r="P91" s="152">
        <f>IF($I91="","",IF($J91="O","3","")&amp;IF($K91="O","4","")&amp;IF($L91="O","6","")&amp;IF($M91="O","7","")&amp;IF($N91="O","8","")&amp;IF($O91="O","?","")&amp;IF(OR($J91="O",$K91="O",$L91="O",$M91="O",$N91="O",$O91="O"),"-","")&amp;$I91)</f>
        <v/>
      </c>
      <c r="Q91" s="153">
        <f>HYPERLINK("#'마스터_품목'!A90","→ 마스터 R90")</f>
        <v/>
      </c>
      <c r="R91" s="154" t="n">
        <v>90</v>
      </c>
      <c r="S91" s="154" t="inlineStr">
        <is>
          <t>마스터_품목</t>
        </is>
      </c>
    </row>
    <row r="92" ht="48" customHeight="1">
      <c r="A92" s="140" t="inlineStr">
        <is>
          <t>진공</t>
        </is>
      </c>
      <c r="B92" s="140" t="inlineStr">
        <is>
          <t>신주 
A,ssy</t>
        </is>
      </c>
      <c r="C92" s="141" t="inlineStr">
        <is>
          <t>DX3000,  ADX4000W,  ADX6000</t>
        </is>
      </c>
      <c r="D92" s="141" t="inlineStr">
        <is>
          <t>베크라이트케이스</t>
        </is>
      </c>
      <c r="E92" s="141" t="inlineStr">
        <is>
          <t>베이클라이트 케이스 (베이클라이트)
[DX3000, ADX4000W ADX6000]</t>
        </is>
      </c>
      <c r="F92" s="142" t="inlineStr">
        <is>
          <t>O</t>
        </is>
      </c>
      <c r="G92" s="143" t="n"/>
      <c r="H92" s="144" t="n"/>
      <c r="I92" s="145">
        <f>IFERROR(IF(OR($F92="O",$G92="O",$H92="O"),CHOOSE(MATCH($A92,{"튜브","고압","진공","튜닝","조립","출하"},0),"T","H","V","N","A","P")&amp;IF($F92="O","R",IF($G92="O","A",IF($H92="O","F",""))),""),"")</f>
        <v/>
      </c>
      <c r="J92" s="146" t="inlineStr">
        <is>
          <t>O</t>
        </is>
      </c>
      <c r="K92" s="147" t="inlineStr">
        <is>
          <t>O</t>
        </is>
      </c>
      <c r="L92" s="148" t="n"/>
      <c r="M92" s="149" t="n"/>
      <c r="N92" s="150" t="n"/>
      <c r="O92" s="151" t="n"/>
      <c r="P92" s="152">
        <f>IF($I92="","",IF($J92="O","3","")&amp;IF($K92="O","4","")&amp;IF($L92="O","6","")&amp;IF($M92="O","7","")&amp;IF($N92="O","8","")&amp;IF($O92="O","?","")&amp;IF(OR($J92="O",$K92="O",$L92="O",$M92="O",$N92="O",$O92="O"),"-","")&amp;$I92)</f>
        <v/>
      </c>
      <c r="Q92" s="153">
        <f>HYPERLINK("#'마스터_품목'!A109","→ 마스터 R109")</f>
        <v/>
      </c>
      <c r="R92" s="154" t="n">
        <v>109</v>
      </c>
      <c r="S92" s="154" t="inlineStr">
        <is>
          <t>마스터_품목</t>
        </is>
      </c>
    </row>
    <row r="93" ht="48" customHeight="1">
      <c r="A93" s="140" t="inlineStr">
        <is>
          <t>진공</t>
        </is>
      </c>
      <c r="B93" s="140" t="inlineStr">
        <is>
          <t>신주 
A,ssy</t>
        </is>
      </c>
      <c r="C93" s="141" t="inlineStr">
        <is>
          <t>COCOON</t>
        </is>
      </c>
      <c r="D93" s="141" t="inlineStr">
        <is>
          <t>(nc)케이스</t>
        </is>
      </c>
      <c r="E93" s="141" t="inlineStr">
        <is>
          <t>NC 케이스 (HDPE)
[COCOON]</t>
        </is>
      </c>
      <c r="F93" s="142" t="inlineStr">
        <is>
          <t>O</t>
        </is>
      </c>
      <c r="G93" s="143" t="n"/>
      <c r="H93" s="144" t="n"/>
      <c r="I93" s="145">
        <f>IFERROR(IF(OR($F93="O",$G93="O",$H93="O"),CHOOSE(MATCH($A93,{"튜브","고압","진공","튜닝","조립","출하"},0),"T","H","V","N","A","P")&amp;IF($F93="O","R",IF($G93="O","A",IF($H93="O","F",""))),""),"")</f>
        <v/>
      </c>
      <c r="J93" s="146" t="n"/>
      <c r="K93" s="147" t="n"/>
      <c r="L93" s="148" t="n"/>
      <c r="M93" s="149" t="inlineStr">
        <is>
          <t>O</t>
        </is>
      </c>
      <c r="N93" s="150" t="n"/>
      <c r="O93" s="151" t="n"/>
      <c r="P93" s="152">
        <f>IF($I93="","",IF($J93="O","3","")&amp;IF($K93="O","4","")&amp;IF($L93="O","6","")&amp;IF($M93="O","7","")&amp;IF($N93="O","8","")&amp;IF($O93="O","?","")&amp;IF(OR($J93="O",$K93="O",$L93="O",$M93="O",$N93="O",$O93="O"),"-","")&amp;$I93)</f>
        <v/>
      </c>
      <c r="Q93" s="153">
        <f>HYPERLINK("#'마스터_품목'!A110","→ 마스터 R110")</f>
        <v/>
      </c>
      <c r="R93" s="154" t="n">
        <v>110</v>
      </c>
      <c r="S93" s="154" t="inlineStr">
        <is>
          <t>마스터_품목</t>
        </is>
      </c>
    </row>
    <row r="94" ht="48" customHeight="1">
      <c r="A94" s="140" t="inlineStr">
        <is>
          <t>진공</t>
        </is>
      </c>
      <c r="B94" s="140" t="inlineStr">
        <is>
          <t>신주 
A,ssy</t>
        </is>
      </c>
      <c r="C94" s="141" t="inlineStr">
        <is>
          <t>COCOON</t>
        </is>
      </c>
      <c r="D94" s="141" t="inlineStr">
        <is>
          <t>PE케이스거치대</t>
        </is>
      </c>
      <c r="E94" s="141" t="inlineStr">
        <is>
          <t>PE케이스 거치대 (HDPE)
[COCOON]</t>
        </is>
      </c>
      <c r="F94" s="142" t="inlineStr">
        <is>
          <t>O</t>
        </is>
      </c>
      <c r="G94" s="143" t="n"/>
      <c r="H94" s="144" t="n"/>
      <c r="I94" s="145">
        <f>IFERROR(IF(OR($F94="O",$G94="O",$H94="O"),CHOOSE(MATCH($A94,{"튜브","고압","진공","튜닝","조립","출하"},0),"T","H","V","N","A","P")&amp;IF($F94="O","R",IF($G94="O","A",IF($H94="O","F",""))),""),"")</f>
        <v/>
      </c>
      <c r="J94" s="146" t="n"/>
      <c r="K94" s="147" t="n"/>
      <c r="L94" s="148" t="n"/>
      <c r="M94" s="149" t="inlineStr">
        <is>
          <t>O</t>
        </is>
      </c>
      <c r="N94" s="150" t="n"/>
      <c r="O94" s="151" t="n"/>
      <c r="P94" s="152">
        <f>IF($I94="","",IF($J94="O","3","")&amp;IF($K94="O","4","")&amp;IF($L94="O","6","")&amp;IF($M94="O","7","")&amp;IF($N94="O","8","")&amp;IF($O94="O","?","")&amp;IF(OR($J94="O",$K94="O",$L94="O",$M94="O",$N94="O",$O94="O"),"-","")&amp;$I94)</f>
        <v/>
      </c>
      <c r="Q94" s="153">
        <f>HYPERLINK("#'마스터_품목'!A111","→ 마스터 R111")</f>
        <v/>
      </c>
      <c r="R94" s="154" t="n">
        <v>111</v>
      </c>
      <c r="S94" s="154" t="inlineStr">
        <is>
          <t>마스터_품목</t>
        </is>
      </c>
    </row>
    <row r="95" ht="48" customHeight="1">
      <c r="A95" s="140" t="inlineStr">
        <is>
          <t>진공</t>
        </is>
      </c>
      <c r="B95" s="140" t="inlineStr">
        <is>
          <t>신주 
A,ssy</t>
        </is>
      </c>
      <c r="C95" s="141" t="inlineStr">
        <is>
          <t>ADX6000</t>
        </is>
      </c>
      <c r="D95" s="141" t="inlineStr">
        <is>
          <t>(nc)케이스</t>
        </is>
      </c>
      <c r="E95" s="141" t="n"/>
      <c r="F95" s="142" t="inlineStr">
        <is>
          <t>O</t>
        </is>
      </c>
      <c r="G95" s="143" t="n"/>
      <c r="H95" s="144" t="n"/>
      <c r="I95" s="145">
        <f>IFERROR(IF(OR($F95="O",$G95="O",$H95="O"),CHOOSE(MATCH($A95,{"튜브","고압","진공","튜닝","조립","출하"},0),"T","H","V","N","A","P")&amp;IF($F95="O","R",IF($G95="O","A",IF($H95="O","F",""))),""),"")</f>
        <v/>
      </c>
      <c r="J95" s="146" t="inlineStr">
        <is>
          <t>O</t>
        </is>
      </c>
      <c r="K95" s="147" t="n"/>
      <c r="L95" s="148" t="inlineStr">
        <is>
          <t>O</t>
        </is>
      </c>
      <c r="M95" s="149" t="n"/>
      <c r="N95" s="150" t="n"/>
      <c r="O95" s="151" t="n"/>
      <c r="P95" s="152">
        <f>IF($I95="","",IF($J95="O","3","")&amp;IF($K95="O","4","")&amp;IF($L95="O","6","")&amp;IF($M95="O","7","")&amp;IF($N95="O","8","")&amp;IF($O95="O","?","")&amp;IF(OR($J95="O",$K95="O",$L95="O",$M95="O",$N95="O",$O95="O"),"-","")&amp;$I95)</f>
        <v/>
      </c>
      <c r="Q95" s="153">
        <f>HYPERLINK("#'마스터_품목'!A112","→ 마스터 R112")</f>
        <v/>
      </c>
      <c r="R95" s="154" t="n">
        <v>112</v>
      </c>
      <c r="S95" s="154" t="inlineStr">
        <is>
          <t>마스터_품목</t>
        </is>
      </c>
    </row>
    <row r="96" ht="48" customHeight="1">
      <c r="A96" s="140" t="inlineStr">
        <is>
          <t>진공</t>
        </is>
      </c>
      <c r="B96" s="140" t="inlineStr">
        <is>
          <t>신주 
A,ssy</t>
        </is>
      </c>
      <c r="C96" s="141" t="inlineStr">
        <is>
          <t>SOLO</t>
        </is>
      </c>
      <c r="D96" s="141" t="inlineStr">
        <is>
          <t>(nc)케이스</t>
        </is>
      </c>
      <c r="E96" s="141" t="inlineStr">
        <is>
          <t>NC 케이스 (HDPE)
[SOLO]</t>
        </is>
      </c>
      <c r="F96" s="142" t="inlineStr">
        <is>
          <t>O</t>
        </is>
      </c>
      <c r="G96" s="143" t="n"/>
      <c r="H96" s="144" t="n"/>
      <c r="I96" s="145">
        <f>IFERROR(IF(OR($F96="O",$G96="O",$H96="O"),CHOOSE(MATCH($A96,{"튜브","고압","진공","튜닝","조립","출하"},0),"T","H","V","N","A","P")&amp;IF($F96="O","R",IF($G96="O","A",IF($H96="O","F",""))),""),"")</f>
        <v/>
      </c>
      <c r="J96" s="146" t="n"/>
      <c r="K96" s="147" t="n"/>
      <c r="L96" s="148" t="n"/>
      <c r="M96" s="149" t="n"/>
      <c r="N96" s="150" t="inlineStr">
        <is>
          <t>O</t>
        </is>
      </c>
      <c r="O96" s="151" t="n"/>
      <c r="P96" s="152">
        <f>IF($I96="","",IF($J96="O","3","")&amp;IF($K96="O","4","")&amp;IF($L96="O","6","")&amp;IF($M96="O","7","")&amp;IF($N96="O","8","")&amp;IF($O96="O","?","")&amp;IF(OR($J96="O",$K96="O",$L96="O",$M96="O",$N96="O",$O96="O"),"-","")&amp;$I96)</f>
        <v/>
      </c>
      <c r="Q96" s="153">
        <f>HYPERLINK("#'마스터_품목'!A113","→ 마스터 R113")</f>
        <v/>
      </c>
      <c r="R96" s="154" t="n">
        <v>113</v>
      </c>
      <c r="S96" s="154" t="inlineStr">
        <is>
          <t>마스터_품목</t>
        </is>
      </c>
    </row>
    <row r="97" ht="48" customHeight="1">
      <c r="A97" s="140" t="inlineStr">
        <is>
          <t>진공</t>
        </is>
      </c>
      <c r="B97" s="140" t="inlineStr">
        <is>
          <t>신주 
A,ssy</t>
        </is>
      </c>
      <c r="C97" s="141" t="inlineStr">
        <is>
          <t>SOLO</t>
        </is>
      </c>
      <c r="D97" s="141" t="inlineStr">
        <is>
          <t>신주케이스 뚜껑</t>
        </is>
      </c>
      <c r="E97" s="141" t="inlineStr">
        <is>
          <t>신주 케이스 뚜껑 (0.6T)
[SOLO]</t>
        </is>
      </c>
      <c r="F97" s="142" t="inlineStr">
        <is>
          <t>O</t>
        </is>
      </c>
      <c r="G97" s="143" t="n"/>
      <c r="H97" s="144" t="n"/>
      <c r="I97" s="145">
        <f>IFERROR(IF(OR($F97="O",$G97="O",$H97="O"),CHOOSE(MATCH($A97,{"튜브","고압","진공","튜닝","조립","출하"},0),"T","H","V","N","A","P")&amp;IF($F97="O","R",IF($G97="O","A",IF($H97="O","F",""))),""),"")</f>
        <v/>
      </c>
      <c r="J97" s="146" t="n"/>
      <c r="K97" s="147" t="n"/>
      <c r="L97" s="148" t="n"/>
      <c r="M97" s="149" t="n"/>
      <c r="N97" s="150" t="inlineStr">
        <is>
          <t>O</t>
        </is>
      </c>
      <c r="O97" s="151" t="n"/>
      <c r="P97" s="152">
        <f>IF($I97="","",IF($J97="O","3","")&amp;IF($K97="O","4","")&amp;IF($L97="O","6","")&amp;IF($M97="O","7","")&amp;IF($N97="O","8","")&amp;IF($O97="O","?","")&amp;IF(OR($J97="O",$K97="O",$L97="O",$M97="O",$N97="O",$O97="O"),"-","")&amp;$I97)</f>
        <v/>
      </c>
      <c r="Q97" s="153">
        <f>HYPERLINK("#'마스터_품목'!A114","→ 마스터 R114")</f>
        <v/>
      </c>
      <c r="R97" s="154" t="n">
        <v>114</v>
      </c>
      <c r="S97" s="154" t="inlineStr">
        <is>
          <t>마스터_품목</t>
        </is>
      </c>
    </row>
    <row r="98" ht="48" customHeight="1">
      <c r="A98" s="140" t="inlineStr">
        <is>
          <t>진공</t>
        </is>
      </c>
      <c r="B98" s="140" t="inlineStr">
        <is>
          <t>신주 및 
베크라이트</t>
        </is>
      </c>
      <c r="C98" s="141" t="inlineStr">
        <is>
          <t>COCOON</t>
        </is>
      </c>
      <c r="D98" s="141" t="inlineStr">
        <is>
          <t>신주케이스 뚜껑</t>
        </is>
      </c>
      <c r="E98" s="141" t="inlineStr">
        <is>
          <t>신주 케이스 뚜껑 (0.6T)
[COCOON]</t>
        </is>
      </c>
      <c r="F98" s="142" t="inlineStr">
        <is>
          <t>O</t>
        </is>
      </c>
      <c r="G98" s="143" t="n"/>
      <c r="H98" s="144" t="n"/>
      <c r="I98" s="145">
        <f>IFERROR(IF(OR($F98="O",$G98="O",$H98="O"),CHOOSE(MATCH($A98,{"튜브","고압","진공","튜닝","조립","출하"},0),"T","H","V","N","A","P")&amp;IF($F98="O","R",IF($G98="O","A",IF($H98="O","F",""))),""),"")</f>
        <v/>
      </c>
      <c r="J98" s="146" t="n"/>
      <c r="K98" s="147" t="n"/>
      <c r="L98" s="148" t="n"/>
      <c r="M98" s="149" t="inlineStr">
        <is>
          <t>O</t>
        </is>
      </c>
      <c r="N98" s="150" t="n"/>
      <c r="O98" s="151" t="n"/>
      <c r="P98" s="152">
        <f>IF($I98="","",IF($J98="O","3","")&amp;IF($K98="O","4","")&amp;IF($L98="O","6","")&amp;IF($M98="O","7","")&amp;IF($N98="O","8","")&amp;IF($O98="O","?","")&amp;IF(OR($J98="O",$K98="O",$L98="O",$M98="O",$N98="O",$O98="O"),"-","")&amp;$I98)</f>
        <v/>
      </c>
      <c r="Q98" s="153">
        <f>HYPERLINK("#'마스터_품목'!A115","→ 마스터 R115")</f>
        <v/>
      </c>
      <c r="R98" s="154" t="n">
        <v>115</v>
      </c>
      <c r="S98" s="154" t="inlineStr">
        <is>
          <t>마스터_품목</t>
        </is>
      </c>
    </row>
    <row r="99" ht="48" customHeight="1">
      <c r="A99" s="140" t="inlineStr">
        <is>
          <t>진공</t>
        </is>
      </c>
      <c r="B99" s="140" t="inlineStr">
        <is>
          <t>신주 및 
베크라이트</t>
        </is>
      </c>
      <c r="C99" s="141" t="inlineStr">
        <is>
          <t>DX3000,  ADX4000W</t>
        </is>
      </c>
      <c r="D99" s="141" t="inlineStr">
        <is>
          <t>3 PIN (봉 단위)</t>
        </is>
      </c>
      <c r="E99" s="141" t="inlineStr">
        <is>
          <t>3 PIN 커넥터
[DX3000, ADX4000W]</t>
        </is>
      </c>
      <c r="F99" s="142" t="inlineStr">
        <is>
          <t>O</t>
        </is>
      </c>
      <c r="G99" s="143" t="n"/>
      <c r="H99" s="144" t="n"/>
      <c r="I99" s="145">
        <f>IFERROR(IF(OR($F99="O",$G99="O",$H99="O"),CHOOSE(MATCH($A99,{"튜브","고압","진공","튜닝","조립","출하"},0),"T","H","V","N","A","P")&amp;IF($F99="O","R",IF($G99="O","A",IF($H99="O","F",""))),""),"")</f>
        <v/>
      </c>
      <c r="J99" s="146" t="inlineStr">
        <is>
          <t>O</t>
        </is>
      </c>
      <c r="K99" s="147" t="inlineStr">
        <is>
          <t>O</t>
        </is>
      </c>
      <c r="L99" s="148" t="n"/>
      <c r="M99" s="149" t="n"/>
      <c r="N99" s="150" t="n"/>
      <c r="O99" s="151" t="n"/>
      <c r="P99" s="152">
        <f>IF($I99="","",IF($J99="O","3","")&amp;IF($K99="O","4","")&amp;IF($L99="O","6","")&amp;IF($M99="O","7","")&amp;IF($N99="O","8","")&amp;IF($O99="O","?","")&amp;IF(OR($J99="O",$K99="O",$L99="O",$M99="O",$N99="O",$O99="O"),"-","")&amp;$I99)</f>
        <v/>
      </c>
      <c r="Q99" s="153">
        <f>HYPERLINK("#'마스터_품목'!A116","→ 마스터 R116")</f>
        <v/>
      </c>
      <c r="R99" s="154" t="n">
        <v>116</v>
      </c>
      <c r="S99" s="154" t="inlineStr">
        <is>
          <t>마스터_품목</t>
        </is>
      </c>
    </row>
    <row r="100" ht="48" customHeight="1">
      <c r="A100" s="140" t="inlineStr">
        <is>
          <t>진공</t>
        </is>
      </c>
      <c r="B100" s="140" t="inlineStr">
        <is>
          <t>신주 및 
베크라이트</t>
        </is>
      </c>
      <c r="C100" s="141" t="inlineStr">
        <is>
          <t>DX3000,  ADX4000W,  ADX6000,  COCOON</t>
        </is>
      </c>
      <c r="D100" s="141" t="inlineStr">
        <is>
          <t>4 PIN (봉 단위)</t>
        </is>
      </c>
      <c r="E100" s="141" t="inlineStr">
        <is>
          <t>4 PIN 커넥터
[DX3000,ADX4000W COCOON,ADX6000]</t>
        </is>
      </c>
      <c r="F100" s="142" t="inlineStr">
        <is>
          <t>O</t>
        </is>
      </c>
      <c r="G100" s="143" t="n"/>
      <c r="H100" s="144" t="n"/>
      <c r="I100" s="145">
        <f>IFERROR(IF(OR($F100="O",$G100="O",$H100="O"),CHOOSE(MATCH($A100,{"튜브","고압","진공","튜닝","조립","출하"},0),"T","H","V","N","A","P")&amp;IF($F100="O","R",IF($G100="O","A",IF($H100="O","F",""))),""),"")</f>
        <v/>
      </c>
      <c r="J100" s="146" t="inlineStr">
        <is>
          <t>O</t>
        </is>
      </c>
      <c r="K100" s="147" t="inlineStr">
        <is>
          <t>O</t>
        </is>
      </c>
      <c r="L100" s="148" t="n"/>
      <c r="M100" s="149" t="inlineStr">
        <is>
          <t>O</t>
        </is>
      </c>
      <c r="N100" s="150" t="n"/>
      <c r="O100" s="151" t="n"/>
      <c r="P100" s="152">
        <f>IF($I100="","",IF($J100="O","3","")&amp;IF($K100="O","4","")&amp;IF($L100="O","6","")&amp;IF($M100="O","7","")&amp;IF($N100="O","8","")&amp;IF($O100="O","?","")&amp;IF(OR($J100="O",$K100="O",$L100="O",$M100="O",$N100="O",$O100="O"),"-","")&amp;$I100)</f>
        <v/>
      </c>
      <c r="Q100" s="153">
        <f>HYPERLINK("#'마스터_품목'!A117","→ 마스터 R117")</f>
        <v/>
      </c>
      <c r="R100" s="154" t="n">
        <v>117</v>
      </c>
      <c r="S100" s="154" t="inlineStr">
        <is>
          <t>마스터_품목</t>
        </is>
      </c>
    </row>
    <row r="101" ht="48" customHeight="1">
      <c r="A101" s="140" t="inlineStr">
        <is>
          <t>진공</t>
        </is>
      </c>
      <c r="B101" s="140" t="inlineStr">
        <is>
          <t>신주 및 
베크라이트</t>
        </is>
      </c>
      <c r="C101" s="141" t="inlineStr">
        <is>
          <t>SOLO</t>
        </is>
      </c>
      <c r="D101" s="141" t="inlineStr">
        <is>
          <t>4 PIN (봉 단위)</t>
        </is>
      </c>
      <c r="E101" s="141" t="n"/>
      <c r="F101" s="142" t="inlineStr">
        <is>
          <t>O</t>
        </is>
      </c>
      <c r="G101" s="143" t="n"/>
      <c r="H101" s="144" t="n"/>
      <c r="I101" s="145">
        <f>IFERROR(IF(OR($F101="O",$G101="O",$H101="O"),CHOOSE(MATCH($A101,{"튜브","고압","진공","튜닝","조립","출하"},0),"T","H","V","N","A","P")&amp;IF($F101="O","R",IF($G101="O","A",IF($H101="O","F",""))),""),"")</f>
        <v/>
      </c>
      <c r="J101" s="146" t="inlineStr">
        <is>
          <t>O</t>
        </is>
      </c>
      <c r="K101" s="147" t="n"/>
      <c r="L101" s="148" t="n"/>
      <c r="M101" s="149" t="n"/>
      <c r="N101" s="150" t="inlineStr">
        <is>
          <t>O</t>
        </is>
      </c>
      <c r="O101" s="151" t="inlineStr">
        <is>
          <t>O</t>
        </is>
      </c>
      <c r="P101" s="152">
        <f>IF($I101="","",IF($J101="O","3","")&amp;IF($K101="O","4","")&amp;IF($L101="O","6","")&amp;IF($M101="O","7","")&amp;IF($N101="O","8","")&amp;IF($O101="O","?","")&amp;IF(OR($J101="O",$K101="O",$L101="O",$M101="O",$N101="O",$O101="O"),"-","")&amp;$I101)</f>
        <v/>
      </c>
      <c r="Q101" s="153">
        <f>HYPERLINK("#'마스터_품목'!A118","→ 마스터 R118")</f>
        <v/>
      </c>
      <c r="R101" s="154" t="n">
        <v>118</v>
      </c>
      <c r="S101" s="154" t="inlineStr">
        <is>
          <t>마스터_품목</t>
        </is>
      </c>
    </row>
    <row r="102" ht="48" customHeight="1">
      <c r="A102" s="140" t="inlineStr">
        <is>
          <t>진공</t>
        </is>
      </c>
      <c r="B102" s="140" t="inlineStr">
        <is>
          <t>신주 및 
베크라이트</t>
        </is>
      </c>
      <c r="C102" s="141" t="inlineStr">
        <is>
          <t>SOLO</t>
        </is>
      </c>
      <c r="D102" s="141" t="inlineStr">
        <is>
          <t>5 PIN (봉 단위)</t>
        </is>
      </c>
      <c r="E102" s="141" t="n"/>
      <c r="F102" s="142" t="inlineStr">
        <is>
          <t>O</t>
        </is>
      </c>
      <c r="G102" s="143" t="n"/>
      <c r="H102" s="144" t="n"/>
      <c r="I102" s="145">
        <f>IFERROR(IF(OR($F102="O",$G102="O",$H102="O"),CHOOSE(MATCH($A102,{"튜브","고압","진공","튜닝","조립","출하"},0),"T","H","V","N","A","P")&amp;IF($F102="O","R",IF($G102="O","A",IF($H102="O","F",""))),""),"")</f>
        <v/>
      </c>
      <c r="J102" s="146" t="inlineStr">
        <is>
          <t>O</t>
        </is>
      </c>
      <c r="K102" s="147" t="n"/>
      <c r="L102" s="148" t="n"/>
      <c r="M102" s="149" t="n"/>
      <c r="N102" s="150" t="inlineStr">
        <is>
          <t>O</t>
        </is>
      </c>
      <c r="O102" s="151" t="inlineStr">
        <is>
          <t>O</t>
        </is>
      </c>
      <c r="P102" s="152">
        <f>IF($I102="","",IF($J102="O","3","")&amp;IF($K102="O","4","")&amp;IF($L102="O","6","")&amp;IF($M102="O","7","")&amp;IF($N102="O","8","")&amp;IF($O102="O","?","")&amp;IF(OR($J102="O",$K102="O",$L102="O",$M102="O",$N102="O",$O102="O"),"-","")&amp;$I102)</f>
        <v/>
      </c>
      <c r="Q102" s="153">
        <f>HYPERLINK("#'마스터_품목'!A119","→ 마스터 R119")</f>
        <v/>
      </c>
      <c r="R102" s="154" t="n">
        <v>119</v>
      </c>
      <c r="S102" s="154" t="inlineStr">
        <is>
          <t>마스터_품목</t>
        </is>
      </c>
    </row>
    <row r="103" ht="48" customHeight="1">
      <c r="A103" s="140" t="inlineStr">
        <is>
          <t>진공</t>
        </is>
      </c>
      <c r="B103" s="140" t="inlineStr">
        <is>
          <t>신주 및 
베크라이트</t>
        </is>
      </c>
      <c r="C103" s="141" t="inlineStr">
        <is>
          <t>DX3000,ADX6000</t>
        </is>
      </c>
      <c r="D103" s="141" t="inlineStr">
        <is>
          <t>5 PIN (봉 단위)</t>
        </is>
      </c>
      <c r="E103" s="141" t="n"/>
      <c r="F103" s="142" t="inlineStr">
        <is>
          <t>O</t>
        </is>
      </c>
      <c r="G103" s="143" t="n"/>
      <c r="H103" s="144" t="n"/>
      <c r="I103" s="145">
        <f>IFERROR(IF(OR($F103="O",$G103="O",$H103="O"),CHOOSE(MATCH($A103,{"튜브","고압","진공","튜닝","조립","출하"},0),"T","H","V","N","A","P")&amp;IF($F103="O","R",IF($G103="O","A",IF($H103="O","F",""))),""),"")</f>
        <v/>
      </c>
      <c r="J103" s="146" t="n"/>
      <c r="K103" s="147" t="n"/>
      <c r="L103" s="148" t="inlineStr">
        <is>
          <t>O</t>
        </is>
      </c>
      <c r="M103" s="149" t="n"/>
      <c r="N103" s="150" t="n"/>
      <c r="O103" s="151" t="n"/>
      <c r="P103" s="152">
        <f>IF($I103="","",IF($J103="O","3","")&amp;IF($K103="O","4","")&amp;IF($L103="O","6","")&amp;IF($M103="O","7","")&amp;IF($N103="O","8","")&amp;IF($O103="O","?","")&amp;IF(OR($J103="O",$K103="O",$L103="O",$M103="O",$N103="O",$O103="O"),"-","")&amp;$I103)</f>
        <v/>
      </c>
      <c r="Q103" s="153">
        <f>HYPERLINK("#'마스터_품목'!A120","→ 마스터 R120")</f>
        <v/>
      </c>
      <c r="R103" s="154" t="n">
        <v>120</v>
      </c>
      <c r="S103" s="154" t="inlineStr">
        <is>
          <t>마스터_품목</t>
        </is>
      </c>
    </row>
    <row r="104" ht="48" customHeight="1">
      <c r="A104" s="140" t="inlineStr">
        <is>
          <t>진공</t>
        </is>
      </c>
      <c r="B104" s="140" t="inlineStr">
        <is>
          <t>신주 및 
베크라이트</t>
        </is>
      </c>
      <c r="C104" s="141" t="inlineStr">
        <is>
          <t>DX3000</t>
        </is>
      </c>
      <c r="D104" s="141" t="inlineStr">
        <is>
          <t>신주케이스</t>
        </is>
      </c>
      <c r="E104" s="141" t="inlineStr">
        <is>
          <t>신주 케이스 (0.6T)
[DX3000]</t>
        </is>
      </c>
      <c r="F104" s="142" t="inlineStr">
        <is>
          <t>O</t>
        </is>
      </c>
      <c r="G104" s="143" t="n"/>
      <c r="H104" s="144" t="n"/>
      <c r="I104" s="145">
        <f>IFERROR(IF(OR($F104="O",$G104="O",$H104="O"),CHOOSE(MATCH($A104,{"튜브","고압","진공","튜닝","조립","출하"},0),"T","H","V","N","A","P")&amp;IF($F104="O","R",IF($G104="O","A",IF($H104="O","F",""))),""),"")</f>
        <v/>
      </c>
      <c r="J104" s="146" t="inlineStr">
        <is>
          <t>O</t>
        </is>
      </c>
      <c r="K104" s="147" t="n"/>
      <c r="L104" s="148" t="n"/>
      <c r="M104" s="149" t="n"/>
      <c r="N104" s="150" t="n"/>
      <c r="O104" s="151" t="n"/>
      <c r="P104" s="152">
        <f>IF($I104="","",IF($J104="O","3","")&amp;IF($K104="O","4","")&amp;IF($L104="O","6","")&amp;IF($M104="O","7","")&amp;IF($N104="O","8","")&amp;IF($O104="O","?","")&amp;IF(OR($J104="O",$K104="O",$L104="O",$M104="O",$N104="O",$O104="O"),"-","")&amp;$I104)</f>
        <v/>
      </c>
      <c r="Q104" s="153">
        <f>HYPERLINK("#'마스터_품목'!A121","→ 마스터 R121")</f>
        <v/>
      </c>
      <c r="R104" s="154" t="n">
        <v>121</v>
      </c>
      <c r="S104" s="154" t="inlineStr">
        <is>
          <t>마스터_품목</t>
        </is>
      </c>
    </row>
    <row r="105" ht="48" customHeight="1">
      <c r="A105" s="140" t="inlineStr">
        <is>
          <t>진공</t>
        </is>
      </c>
      <c r="B105" s="140" t="inlineStr">
        <is>
          <t>신주 및 
베크라이트</t>
        </is>
      </c>
      <c r="C105" s="141" t="inlineStr">
        <is>
          <t>DX3000,  ADX4000W,  ADX6000</t>
        </is>
      </c>
      <c r="D105" s="141" t="inlineStr">
        <is>
          <t>신주케이스 뚜껑</t>
        </is>
      </c>
      <c r="E105" s="141" t="inlineStr">
        <is>
          <t>신주 케이스 뚜껑 (0.6T)
[DX3000, ADX4000W ADX6000]</t>
        </is>
      </c>
      <c r="F105" s="142" t="inlineStr">
        <is>
          <t>O</t>
        </is>
      </c>
      <c r="G105" s="143" t="n"/>
      <c r="H105" s="144" t="n"/>
      <c r="I105" s="145">
        <f>IFERROR(IF(OR($F105="O",$G105="O",$H105="O"),CHOOSE(MATCH($A105,{"튜브","고압","진공","튜닝","조립","출하"},0),"T","H","V","N","A","P")&amp;IF($F105="O","R",IF($G105="O","A",IF($H105="O","F",""))),""),"")</f>
        <v/>
      </c>
      <c r="J105" s="146" t="inlineStr">
        <is>
          <t>O</t>
        </is>
      </c>
      <c r="K105" s="147" t="inlineStr">
        <is>
          <t>O</t>
        </is>
      </c>
      <c r="L105" s="148" t="inlineStr">
        <is>
          <t>O</t>
        </is>
      </c>
      <c r="M105" s="149" t="n"/>
      <c r="N105" s="150" t="n"/>
      <c r="O105" s="151" t="n"/>
      <c r="P105" s="152">
        <f>IF($I105="","",IF($J105="O","3","")&amp;IF($K105="O","4","")&amp;IF($L105="O","6","")&amp;IF($M105="O","7","")&amp;IF($N105="O","8","")&amp;IF($O105="O","?","")&amp;IF(OR($J105="O",$K105="O",$L105="O",$M105="O",$N105="O",$O105="O"),"-","")&amp;$I105)</f>
        <v/>
      </c>
      <c r="Q105" s="153">
        <f>HYPERLINK("#'마스터_품목'!A122","→ 마스터 R122")</f>
        <v/>
      </c>
      <c r="R105" s="154" t="n">
        <v>122</v>
      </c>
      <c r="S105" s="154" t="inlineStr">
        <is>
          <t>마스터_품목</t>
        </is>
      </c>
    </row>
    <row r="106" ht="48" customHeight="1">
      <c r="A106" s="140" t="inlineStr">
        <is>
          <t>진공</t>
        </is>
      </c>
      <c r="B106" s="140" t="inlineStr">
        <is>
          <t>신주 및 
베크라이트</t>
        </is>
      </c>
      <c r="C106" s="141" t="inlineStr">
        <is>
          <t>ADX4000W</t>
        </is>
      </c>
      <c r="D106" s="141" t="inlineStr">
        <is>
          <t>신주케이스</t>
        </is>
      </c>
      <c r="E106" s="141" t="inlineStr">
        <is>
          <t>신주 케이스 (0.6T)
[ADX4000W]</t>
        </is>
      </c>
      <c r="F106" s="142" t="inlineStr">
        <is>
          <t>O</t>
        </is>
      </c>
      <c r="G106" s="143" t="n"/>
      <c r="H106" s="144" t="n"/>
      <c r="I106" s="145">
        <f>IFERROR(IF(OR($F106="O",$G106="O",$H106="O"),CHOOSE(MATCH($A106,{"튜브","고압","진공","튜닝","조립","출하"},0),"T","H","V","N","A","P")&amp;IF($F106="O","R",IF($G106="O","A",IF($H106="O","F",""))),""),"")</f>
        <v/>
      </c>
      <c r="J106" s="146" t="n"/>
      <c r="K106" s="147" t="inlineStr">
        <is>
          <t>O</t>
        </is>
      </c>
      <c r="L106" s="148" t="n"/>
      <c r="M106" s="149" t="n"/>
      <c r="N106" s="150" t="n"/>
      <c r="O106" s="151" t="n"/>
      <c r="P106" s="152">
        <f>IF($I106="","",IF($J106="O","3","")&amp;IF($K106="O","4","")&amp;IF($L106="O","6","")&amp;IF($M106="O","7","")&amp;IF($N106="O","8","")&amp;IF($O106="O","?","")&amp;IF(OR($J106="O",$K106="O",$L106="O",$M106="O",$N106="O",$O106="O"),"-","")&amp;$I106)</f>
        <v/>
      </c>
      <c r="Q106" s="153">
        <f>HYPERLINK("#'마스터_품목'!A123","→ 마스터 R123")</f>
        <v/>
      </c>
      <c r="R106" s="154" t="n">
        <v>123</v>
      </c>
      <c r="S106" s="154" t="inlineStr">
        <is>
          <t>마스터_품목</t>
        </is>
      </c>
    </row>
    <row r="107" ht="48" customHeight="1">
      <c r="A107" s="140" t="inlineStr">
        <is>
          <t>진공</t>
        </is>
      </c>
      <c r="B107" s="140" t="inlineStr">
        <is>
          <t>신주 및 
베크라이트</t>
        </is>
      </c>
      <c r="C107" s="141" t="inlineStr">
        <is>
          <t>COCOON</t>
        </is>
      </c>
      <c r="D107" s="141" t="inlineStr">
        <is>
          <t>신주케이스</t>
        </is>
      </c>
      <c r="E107" s="141" t="inlineStr">
        <is>
          <t>신주 케이스 (0.6T)
[COCOON]</t>
        </is>
      </c>
      <c r="F107" s="142" t="inlineStr">
        <is>
          <t>O</t>
        </is>
      </c>
      <c r="G107" s="143" t="n"/>
      <c r="H107" s="144" t="n"/>
      <c r="I107" s="145">
        <f>IFERROR(IF(OR($F107="O",$G107="O",$H107="O"),CHOOSE(MATCH($A107,{"튜브","고압","진공","튜닝","조립","출하"},0),"T","H","V","N","A","P")&amp;IF($F107="O","R",IF($G107="O","A",IF($H107="O","F",""))),""),"")</f>
        <v/>
      </c>
      <c r="J107" s="146" t="n"/>
      <c r="K107" s="147" t="n"/>
      <c r="L107" s="148" t="n"/>
      <c r="M107" s="149" t="inlineStr">
        <is>
          <t>O</t>
        </is>
      </c>
      <c r="N107" s="150" t="n"/>
      <c r="O107" s="151" t="n"/>
      <c r="P107" s="152">
        <f>IF($I107="","",IF($J107="O","3","")&amp;IF($K107="O","4","")&amp;IF($L107="O","6","")&amp;IF($M107="O","7","")&amp;IF($N107="O","8","")&amp;IF($O107="O","?","")&amp;IF(OR($J107="O",$K107="O",$L107="O",$M107="O",$N107="O",$O107="O"),"-","")&amp;$I107)</f>
        <v/>
      </c>
      <c r="Q107" s="153">
        <f>HYPERLINK("#'마스터_품목'!A124","→ 마스터 R124")</f>
        <v/>
      </c>
      <c r="R107" s="154" t="n">
        <v>124</v>
      </c>
      <c r="S107" s="154" t="inlineStr">
        <is>
          <t>마스터_품목</t>
        </is>
      </c>
    </row>
    <row r="108" ht="48" customHeight="1">
      <c r="A108" s="140" t="inlineStr">
        <is>
          <t>진공</t>
        </is>
      </c>
      <c r="B108" s="140" t="inlineStr">
        <is>
          <t>신주 및 
베크라이트</t>
        </is>
      </c>
      <c r="C108" s="141" t="inlineStr">
        <is>
          <t>ADX6000</t>
        </is>
      </c>
      <c r="D108" s="141" t="inlineStr">
        <is>
          <t>신주케이스</t>
        </is>
      </c>
      <c r="E108" s="141" t="inlineStr">
        <is>
          <t>신주 케이스 (0.6T + 193 (커팅전))
[ADX6000]</t>
        </is>
      </c>
      <c r="F108" s="142" t="inlineStr">
        <is>
          <t>O</t>
        </is>
      </c>
      <c r="G108" s="143" t="n"/>
      <c r="H108" s="144" t="n"/>
      <c r="I108" s="145">
        <f>IFERROR(IF(OR($F108="O",$G108="O",$H108="O"),CHOOSE(MATCH($A108,{"튜브","고압","진공","튜닝","조립","출하"},0),"T","H","V","N","A","P")&amp;IF($F108="O","R",IF($G108="O","A",IF($H108="O","F",""))),""),"")</f>
        <v/>
      </c>
      <c r="J108" s="146" t="n"/>
      <c r="K108" s="147" t="n"/>
      <c r="L108" s="148" t="inlineStr">
        <is>
          <t>O</t>
        </is>
      </c>
      <c r="M108" s="149" t="n"/>
      <c r="N108" s="150" t="n"/>
      <c r="O108" s="151" t="n"/>
      <c r="P108" s="152">
        <f>IF($I108="","",IF($J108="O","3","")&amp;IF($K108="O","4","")&amp;IF($L108="O","6","")&amp;IF($M108="O","7","")&amp;IF($N108="O","8","")&amp;IF($O108="O","?","")&amp;IF(OR($J108="O",$K108="O",$L108="O",$M108="O",$N108="O",$O108="O"),"-","")&amp;$I108)</f>
        <v/>
      </c>
      <c r="Q108" s="153">
        <f>HYPERLINK("#'마스터_품목'!A125","→ 마스터 R125")</f>
        <v/>
      </c>
      <c r="R108" s="154" t="n">
        <v>125</v>
      </c>
      <c r="S108" s="154" t="inlineStr">
        <is>
          <t>마스터_품목</t>
        </is>
      </c>
    </row>
    <row r="109" ht="48" customHeight="1">
      <c r="A109" s="140" t="inlineStr">
        <is>
          <t>진공</t>
        </is>
      </c>
      <c r="B109" s="140" t="inlineStr">
        <is>
          <t>신주 및 
베크라이트</t>
        </is>
      </c>
      <c r="C109" s="141" t="inlineStr">
        <is>
          <t>ADX6000</t>
        </is>
      </c>
      <c r="D109" s="141" t="inlineStr">
        <is>
          <t>신주케이스 (10P)</t>
        </is>
      </c>
      <c r="E109" s="141" t="n"/>
      <c r="F109" s="142" t="inlineStr">
        <is>
          <t>O</t>
        </is>
      </c>
      <c r="G109" s="143" t="n"/>
      <c r="H109" s="144" t="n"/>
      <c r="I109" s="145">
        <f>IFERROR(IF(OR($F109="O",$G109="O",$H109="O"),CHOOSE(MATCH($A109,{"튜브","고압","진공","튜닝","조립","출하"},0),"T","H","V","N","A","P")&amp;IF($F109="O","R",IF($G109="O","A",IF($H109="O","F",""))),""),"")</f>
        <v/>
      </c>
      <c r="J109" s="146" t="n"/>
      <c r="K109" s="147" t="n"/>
      <c r="L109" s="148" t="inlineStr">
        <is>
          <t>O</t>
        </is>
      </c>
      <c r="M109" s="149" t="n"/>
      <c r="N109" s="150" t="n"/>
      <c r="O109" s="151" t="n"/>
      <c r="P109" s="152">
        <f>IF($I109="","",IF($J109="O","3","")&amp;IF($K109="O","4","")&amp;IF($L109="O","6","")&amp;IF($M109="O","7","")&amp;IF($N109="O","8","")&amp;IF($O109="O","?","")&amp;IF(OR($J109="O",$K109="O",$L109="O",$M109="O",$N109="O",$O109="O"),"-","")&amp;$I109)</f>
        <v/>
      </c>
      <c r="Q109" s="153">
        <f>HYPERLINK("#'마스터_품목'!A126","→ 마스터 R126")</f>
        <v/>
      </c>
      <c r="R109" s="154" t="n">
        <v>126</v>
      </c>
      <c r="S109" s="154" t="inlineStr">
        <is>
          <t>마스터_품목</t>
        </is>
      </c>
    </row>
    <row r="110" ht="48" customHeight="1">
      <c r="A110" s="140" t="inlineStr">
        <is>
          <t>진공</t>
        </is>
      </c>
      <c r="B110" s="140" t="inlineStr">
        <is>
          <t>신주 및 
베크라이트</t>
        </is>
      </c>
      <c r="C110" s="141" t="inlineStr">
        <is>
          <t>DX3000V</t>
        </is>
      </c>
      <c r="D110" s="141" t="inlineStr">
        <is>
          <t>신주케이스 (10P)</t>
        </is>
      </c>
      <c r="E110" s="141" t="n"/>
      <c r="F110" s="142" t="inlineStr">
        <is>
          <t>O</t>
        </is>
      </c>
      <c r="G110" s="143" t="n"/>
      <c r="H110" s="144" t="n"/>
      <c r="I110" s="145">
        <f>IFERROR(IF(OR($F110="O",$G110="O",$H110="O"),CHOOSE(MATCH($A110,{"튜브","고압","진공","튜닝","조립","출하"},0),"T","H","V","N","A","P")&amp;IF($F110="O","R",IF($G110="O","A",IF($H110="O","F",""))),""),"")</f>
        <v/>
      </c>
      <c r="J110" s="146" t="inlineStr">
        <is>
          <t>O</t>
        </is>
      </c>
      <c r="K110" s="147" t="n"/>
      <c r="L110" s="148" t="n"/>
      <c r="M110" s="149" t="n"/>
      <c r="N110" s="150" t="n"/>
      <c r="O110" s="151" t="n"/>
      <c r="P110" s="152">
        <f>IF($I110="","",IF($J110="O","3","")&amp;IF($K110="O","4","")&amp;IF($L110="O","6","")&amp;IF($M110="O","7","")&amp;IF($N110="O","8","")&amp;IF($O110="O","?","")&amp;IF(OR($J110="O",$K110="O",$L110="O",$M110="O",$N110="O",$O110="O"),"-","")&amp;$I110)</f>
        <v/>
      </c>
      <c r="Q110" s="153">
        <f>HYPERLINK("#'마스터_품목'!A127","→ 마스터 R127")</f>
        <v/>
      </c>
      <c r="R110" s="154" t="n">
        <v>127</v>
      </c>
      <c r="S110" s="154" t="inlineStr">
        <is>
          <t>마스터_품목</t>
        </is>
      </c>
    </row>
    <row r="111" ht="48" customHeight="1">
      <c r="A111" s="140" t="inlineStr">
        <is>
          <t>진공</t>
        </is>
      </c>
      <c r="B111" s="140" t="inlineStr">
        <is>
          <t>신주 및 
베크라이트</t>
        </is>
      </c>
      <c r="C111" s="141" t="inlineStr">
        <is>
          <t>SOLO</t>
        </is>
      </c>
      <c r="D111" s="141" t="inlineStr">
        <is>
          <t>신주케이스</t>
        </is>
      </c>
      <c r="E111" s="141" t="inlineStr">
        <is>
          <t>신주 케이스 (0.6T)
[SOLO]</t>
        </is>
      </c>
      <c r="F111" s="142" t="inlineStr">
        <is>
          <t>O</t>
        </is>
      </c>
      <c r="G111" s="143" t="n"/>
      <c r="H111" s="144" t="n"/>
      <c r="I111" s="145">
        <f>IFERROR(IF(OR($F111="O",$G111="O",$H111="O"),CHOOSE(MATCH($A111,{"튜브","고압","진공","튜닝","조립","출하"},0),"T","H","V","N","A","P")&amp;IF($F111="O","R",IF($G111="O","A",IF($H111="O","F",""))),""),"")</f>
        <v/>
      </c>
      <c r="J111" s="146" t="n"/>
      <c r="K111" s="147" t="n"/>
      <c r="L111" s="148" t="n"/>
      <c r="M111" s="149" t="n"/>
      <c r="N111" s="150" t="inlineStr">
        <is>
          <t>O</t>
        </is>
      </c>
      <c r="O111" s="151" t="n"/>
      <c r="P111" s="152">
        <f>IF($I111="","",IF($J111="O","3","")&amp;IF($K111="O","4","")&amp;IF($L111="O","6","")&amp;IF($M111="O","7","")&amp;IF($N111="O","8","")&amp;IF($O111="O","?","")&amp;IF(OR($J111="O",$K111="O",$L111="O",$M111="O",$N111="O",$O111="O"),"-","")&amp;$I111)</f>
        <v/>
      </c>
      <c r="Q111" s="153">
        <f>HYPERLINK("#'마스터_품목'!A128","→ 마스터 R128")</f>
        <v/>
      </c>
      <c r="R111" s="154" t="n">
        <v>128</v>
      </c>
      <c r="S111" s="154" t="inlineStr">
        <is>
          <t>마스터_품목</t>
        </is>
      </c>
    </row>
    <row r="112" ht="48" customHeight="1">
      <c r="A112" s="140" t="inlineStr">
        <is>
          <t>진공</t>
        </is>
      </c>
      <c r="B112" s="140" t="inlineStr">
        <is>
          <t>신주 및 
베크라이트</t>
        </is>
      </c>
      <c r="C112" s="141" t="inlineStr">
        <is>
          <t>DX3000,  ADX4000W,  ADX6000</t>
        </is>
      </c>
      <c r="D112" s="141" t="inlineStr">
        <is>
          <t>방사구</t>
        </is>
      </c>
      <c r="E112" s="141" t="inlineStr">
        <is>
          <t>방사구
[공용]</t>
        </is>
      </c>
      <c r="F112" s="142" t="inlineStr">
        <is>
          <t>O</t>
        </is>
      </c>
      <c r="G112" s="143" t="n"/>
      <c r="H112" s="144" t="n"/>
      <c r="I112" s="145">
        <f>IFERROR(IF(OR($F112="O",$G112="O",$H112="O"),CHOOSE(MATCH($A112,{"튜브","고압","진공","튜닝","조립","출하"},0),"T","H","V","N","A","P")&amp;IF($F112="O","R",IF($G112="O","A",IF($H112="O","F",""))),""),"")</f>
        <v/>
      </c>
      <c r="J112" s="146" t="n"/>
      <c r="K112" s="147" t="n"/>
      <c r="L112" s="148" t="n"/>
      <c r="M112" s="149" t="n"/>
      <c r="N112" s="150" t="n"/>
      <c r="O112" s="151" t="n"/>
      <c r="P112" s="152">
        <f>IF($I112="","",IF($J112="O","3","")&amp;IF($K112="O","4","")&amp;IF($L112="O","6","")&amp;IF($M112="O","7","")&amp;IF($N112="O","8","")&amp;IF($O112="O","?","")&amp;IF(OR($J112="O",$K112="O",$L112="O",$M112="O",$N112="O",$O112="O"),"-","")&amp;$I112)</f>
        <v/>
      </c>
      <c r="Q112" s="153">
        <f>HYPERLINK("#'마스터_품목'!A129","→ 마스터 R129")</f>
        <v/>
      </c>
      <c r="R112" s="154" t="n">
        <v>129</v>
      </c>
      <c r="S112" s="154" t="inlineStr">
        <is>
          <t>마스터_품목</t>
        </is>
      </c>
    </row>
    <row r="113" ht="48" customHeight="1">
      <c r="A113" s="140" t="inlineStr">
        <is>
          <t>진공</t>
        </is>
      </c>
      <c r="B113" s="140" t="inlineStr">
        <is>
          <t>신주 및 
베크라이트</t>
        </is>
      </c>
      <c r="C113" s="141" t="inlineStr">
        <is>
          <t>DX3000</t>
        </is>
      </c>
      <c r="D113" s="141" t="inlineStr">
        <is>
          <t>방사구 (외부탭)</t>
        </is>
      </c>
      <c r="E113" s="141" t="inlineStr">
        <is>
          <t>방사구 (외경 탭 추가)
[공용]</t>
        </is>
      </c>
      <c r="F113" s="142" t="inlineStr">
        <is>
          <t>O</t>
        </is>
      </c>
      <c r="G113" s="143" t="n"/>
      <c r="H113" s="144" t="n"/>
      <c r="I113" s="145">
        <f>IFERROR(IF(OR($F113="O",$G113="O",$H113="O"),CHOOSE(MATCH($A113,{"튜브","고압","진공","튜닝","조립","출하"},0),"T","H","V","N","A","P")&amp;IF($F113="O","R",IF($G113="O","A",IF($H113="O","F",""))),""),"")</f>
        <v/>
      </c>
      <c r="J113" s="146" t="inlineStr">
        <is>
          <t>O</t>
        </is>
      </c>
      <c r="K113" s="147" t="inlineStr">
        <is>
          <t>O</t>
        </is>
      </c>
      <c r="L113" s="148" t="inlineStr">
        <is>
          <t>O</t>
        </is>
      </c>
      <c r="M113" s="149" t="inlineStr">
        <is>
          <t>O</t>
        </is>
      </c>
      <c r="N113" s="150" t="inlineStr">
        <is>
          <t>O</t>
        </is>
      </c>
      <c r="O113" s="151" t="inlineStr">
        <is>
          <t>O</t>
        </is>
      </c>
      <c r="P113" s="152">
        <f>IF($I113="","",IF($J113="O","3","")&amp;IF($K113="O","4","")&amp;IF($L113="O","6","")&amp;IF($M113="O","7","")&amp;IF($N113="O","8","")&amp;IF($O113="O","?","")&amp;IF(OR($J113="O",$K113="O",$L113="O",$M113="O",$N113="O",$O113="O"),"-","")&amp;$I113)</f>
        <v/>
      </c>
      <c r="Q113" s="153">
        <f>HYPERLINK("#'마스터_품목'!A130","→ 마스터 R130")</f>
        <v/>
      </c>
      <c r="R113" s="154" t="n">
        <v>130</v>
      </c>
      <c r="S113" s="154" t="inlineStr">
        <is>
          <t>마스터_품목</t>
        </is>
      </c>
    </row>
    <row r="114" ht="48" customHeight="1">
      <c r="A114" s="140" t="inlineStr">
        <is>
          <t>진공</t>
        </is>
      </c>
      <c r="B114" s="140" t="inlineStr">
        <is>
          <t>신주 및 
베크라이트</t>
        </is>
      </c>
      <c r="C114" s="141" t="inlineStr">
        <is>
          <t>DX3000</t>
        </is>
      </c>
      <c r="D114" s="141" t="inlineStr">
        <is>
          <t>방사구 너트</t>
        </is>
      </c>
      <c r="E114" s="141" t="inlineStr">
        <is>
          <t>방사구 너트
[공용]</t>
        </is>
      </c>
      <c r="F114" s="142" t="inlineStr">
        <is>
          <t>O</t>
        </is>
      </c>
      <c r="G114" s="143" t="n"/>
      <c r="H114" s="144" t="n"/>
      <c r="I114" s="145">
        <f>IFERROR(IF(OR($F114="O",$G114="O",$H114="O"),CHOOSE(MATCH($A114,{"튜브","고압","진공","튜닝","조립","출하"},0),"T","H","V","N","A","P")&amp;IF($F114="O","R",IF($G114="O","A",IF($H114="O","F",""))),""),"")</f>
        <v/>
      </c>
      <c r="J114" s="146" t="inlineStr">
        <is>
          <t>O</t>
        </is>
      </c>
      <c r="K114" s="147" t="inlineStr">
        <is>
          <t>O</t>
        </is>
      </c>
      <c r="L114" s="148" t="inlineStr">
        <is>
          <t>O</t>
        </is>
      </c>
      <c r="M114" s="149" t="inlineStr">
        <is>
          <t>O</t>
        </is>
      </c>
      <c r="N114" s="150" t="inlineStr">
        <is>
          <t>O</t>
        </is>
      </c>
      <c r="O114" s="151" t="inlineStr">
        <is>
          <t>O</t>
        </is>
      </c>
      <c r="P114" s="152">
        <f>IF($I114="","",IF($J114="O","3","")&amp;IF($K114="O","4","")&amp;IF($L114="O","6","")&amp;IF($M114="O","7","")&amp;IF($N114="O","8","")&amp;IF($O114="O","?","")&amp;IF(OR($J114="O",$K114="O",$L114="O",$M114="O",$N114="O",$O114="O"),"-","")&amp;$I114)</f>
        <v/>
      </c>
      <c r="Q114" s="153">
        <f>HYPERLINK("#'마스터_품목'!A131","→ 마스터 R131")</f>
        <v/>
      </c>
      <c r="R114" s="154" t="n">
        <v>131</v>
      </c>
      <c r="S114" s="154" t="inlineStr">
        <is>
          <t>마스터_품목</t>
        </is>
      </c>
    </row>
    <row r="115" ht="48" customHeight="1">
      <c r="A115" s="140" t="inlineStr">
        <is>
          <t>진공</t>
        </is>
      </c>
      <c r="B115" s="140" t="inlineStr">
        <is>
          <t>신주 
A,ssy</t>
        </is>
      </c>
      <c r="C115" s="141" t="inlineStr">
        <is>
          <t>DX3000</t>
        </is>
      </c>
      <c r="D115" s="141" t="inlineStr">
        <is>
          <t>신주케이스 작업완료</t>
        </is>
      </c>
      <c r="E115" s="141" t="n"/>
      <c r="F115" s="142" t="n"/>
      <c r="G115" s="143" t="inlineStr">
        <is>
          <t>O</t>
        </is>
      </c>
      <c r="H115" s="144" t="n"/>
      <c r="I115" s="145">
        <f>IFERROR(IF(OR($F115="O",$G115="O",$H115="O"),CHOOSE(MATCH($A115,{"튜브","고압","진공","튜닝","조립","출하"},0),"T","H","V","N","A","P")&amp;IF($F115="O","R",IF($G115="O","A",IF($H115="O","F",""))),""),"")</f>
        <v/>
      </c>
      <c r="J115" s="146" t="inlineStr">
        <is>
          <t>O</t>
        </is>
      </c>
      <c r="K115" s="147" t="n"/>
      <c r="L115" s="148" t="n"/>
      <c r="M115" s="149" t="n"/>
      <c r="N115" s="150" t="n"/>
      <c r="O115" s="151" t="n"/>
      <c r="P115" s="152">
        <f>IF($I115="","",IF($J115="O","3","")&amp;IF($K115="O","4","")&amp;IF($L115="O","6","")&amp;IF($M115="O","7","")&amp;IF($N115="O","8","")&amp;IF($O115="O","?","")&amp;IF(OR($J115="O",$K115="O",$L115="O",$M115="O",$N115="O",$O115="O"),"-","")&amp;$I115)</f>
        <v/>
      </c>
      <c r="Q115" s="153">
        <f>HYPERLINK("#'마스터_품목'!A132","→ 마스터 R132")</f>
        <v/>
      </c>
      <c r="R115" s="154" t="n">
        <v>132</v>
      </c>
      <c r="S115" s="154" t="inlineStr">
        <is>
          <t>마스터_품목</t>
        </is>
      </c>
    </row>
    <row r="116" ht="48" customHeight="1">
      <c r="A116" s="140" t="inlineStr">
        <is>
          <t>진공</t>
        </is>
      </c>
      <c r="B116" s="140" t="inlineStr">
        <is>
          <t>신주 
A,ssy</t>
        </is>
      </c>
      <c r="C116" s="141" t="inlineStr">
        <is>
          <t>DX3000</t>
        </is>
      </c>
      <c r="D116" s="141" t="inlineStr">
        <is>
          <t>신주케이스(9P) 작업완료</t>
        </is>
      </c>
      <c r="E116" s="141" t="n"/>
      <c r="F116" s="142" t="n"/>
      <c r="G116" s="143" t="inlineStr">
        <is>
          <t>O</t>
        </is>
      </c>
      <c r="H116" s="144" t="n"/>
      <c r="I116" s="145">
        <f>IFERROR(IF(OR($F116="O",$G116="O",$H116="O"),CHOOSE(MATCH($A116,{"튜브","고압","진공","튜닝","조립","출하"},0),"T","H","V","N","A","P")&amp;IF($F116="O","R",IF($G116="O","A",IF($H116="O","F",""))),""),"")</f>
        <v/>
      </c>
      <c r="J116" s="146" t="inlineStr">
        <is>
          <t>O</t>
        </is>
      </c>
      <c r="K116" s="147" t="n"/>
      <c r="L116" s="148" t="n"/>
      <c r="M116" s="149" t="n"/>
      <c r="N116" s="150" t="n"/>
      <c r="O116" s="151" t="n"/>
      <c r="P116" s="152">
        <f>IF($I116="","",IF($J116="O","3","")&amp;IF($K116="O","4","")&amp;IF($L116="O","6","")&amp;IF($M116="O","7","")&amp;IF($N116="O","8","")&amp;IF($O116="O","?","")&amp;IF(OR($J116="O",$K116="O",$L116="O",$M116="O",$N116="O",$O116="O"),"-","")&amp;$I116)</f>
        <v/>
      </c>
      <c r="Q116" s="153">
        <f>HYPERLINK("#'마스터_품목'!A133","→ 마스터 R133")</f>
        <v/>
      </c>
      <c r="R116" s="154" t="n">
        <v>133</v>
      </c>
      <c r="S116" s="154" t="inlineStr">
        <is>
          <t>마스터_품목</t>
        </is>
      </c>
    </row>
    <row r="117" ht="48" customHeight="1">
      <c r="A117" s="140" t="inlineStr">
        <is>
          <t>진공</t>
        </is>
      </c>
      <c r="B117" s="140" t="inlineStr">
        <is>
          <t>신주 
A,ssy</t>
        </is>
      </c>
      <c r="C117" s="141" t="inlineStr">
        <is>
          <t>ADX4000W</t>
        </is>
      </c>
      <c r="D117" s="141" t="inlineStr">
        <is>
          <t>신주케이스 작업완료</t>
        </is>
      </c>
      <c r="E117" s="141" t="n"/>
      <c r="F117" s="142" t="n"/>
      <c r="G117" s="143" t="inlineStr">
        <is>
          <t>O</t>
        </is>
      </c>
      <c r="H117" s="144" t="n"/>
      <c r="I117" s="145">
        <f>IFERROR(IF(OR($F117="O",$G117="O",$H117="O"),CHOOSE(MATCH($A117,{"튜브","고압","진공","튜닝","조립","출하"},0),"T","H","V","N","A","P")&amp;IF($F117="O","R",IF($G117="O","A",IF($H117="O","F",""))),""),"")</f>
        <v/>
      </c>
      <c r="J117" s="146" t="n"/>
      <c r="K117" s="147" t="inlineStr">
        <is>
          <t>O</t>
        </is>
      </c>
      <c r="L117" s="148" t="n"/>
      <c r="M117" s="149" t="n"/>
      <c r="N117" s="150" t="n"/>
      <c r="O117" s="151" t="n"/>
      <c r="P117" s="152">
        <f>IF($I117="","",IF($J117="O","3","")&amp;IF($K117="O","4","")&amp;IF($L117="O","6","")&amp;IF($M117="O","7","")&amp;IF($N117="O","8","")&amp;IF($O117="O","?","")&amp;IF(OR($J117="O",$K117="O",$L117="O",$M117="O",$N117="O",$O117="O"),"-","")&amp;$I117)</f>
        <v/>
      </c>
      <c r="Q117" s="153">
        <f>HYPERLINK("#'마스터_품목'!A134","→ 마스터 R134")</f>
        <v/>
      </c>
      <c r="R117" s="154" t="n">
        <v>134</v>
      </c>
      <c r="S117" s="154" t="inlineStr">
        <is>
          <t>마스터_품목</t>
        </is>
      </c>
    </row>
    <row r="118" ht="48" customHeight="1">
      <c r="A118" s="140" t="inlineStr">
        <is>
          <t>진공</t>
        </is>
      </c>
      <c r="B118" s="140" t="inlineStr">
        <is>
          <t>신주 
A,ssy</t>
        </is>
      </c>
      <c r="C118" s="141" t="inlineStr">
        <is>
          <t>ADX6000</t>
        </is>
      </c>
      <c r="D118" s="141" t="inlineStr">
        <is>
          <t>신주케이스 작업완료</t>
        </is>
      </c>
      <c r="E118" s="141" t="n"/>
      <c r="F118" s="142" t="n"/>
      <c r="G118" s="143" t="inlineStr">
        <is>
          <t>O</t>
        </is>
      </c>
      <c r="H118" s="144" t="n"/>
      <c r="I118" s="145">
        <f>IFERROR(IF(OR($F118="O",$G118="O",$H118="O"),CHOOSE(MATCH($A118,{"튜브","고압","진공","튜닝","조립","출하"},0),"T","H","V","N","A","P")&amp;IF($F118="O","R",IF($G118="O","A",IF($H118="O","F",""))),""),"")</f>
        <v/>
      </c>
      <c r="J118" s="146" t="n"/>
      <c r="K118" s="147" t="n"/>
      <c r="L118" s="148" t="inlineStr">
        <is>
          <t>O</t>
        </is>
      </c>
      <c r="M118" s="149" t="n"/>
      <c r="N118" s="150" t="n"/>
      <c r="O118" s="151" t="n"/>
      <c r="P118" s="152">
        <f>IF($I118="","",IF($J118="O","3","")&amp;IF($K118="O","4","")&amp;IF($L118="O","6","")&amp;IF($M118="O","7","")&amp;IF($N118="O","8","")&amp;IF($O118="O","?","")&amp;IF(OR($J118="O",$K118="O",$L118="O",$M118="O",$N118="O",$O118="O"),"-","")&amp;$I118)</f>
        <v/>
      </c>
      <c r="Q118" s="153">
        <f>HYPERLINK("#'마스터_품목'!A135","→ 마스터 R135")</f>
        <v/>
      </c>
      <c r="R118" s="154" t="n">
        <v>135</v>
      </c>
      <c r="S118" s="154" t="inlineStr">
        <is>
          <t>마스터_품목</t>
        </is>
      </c>
    </row>
    <row r="119" ht="48" customHeight="1">
      <c r="A119" s="140" t="inlineStr">
        <is>
          <t>진공</t>
        </is>
      </c>
      <c r="B119" s="140" t="inlineStr">
        <is>
          <t>신주 
A,ssy</t>
        </is>
      </c>
      <c r="C119" s="141" t="inlineStr">
        <is>
          <t>ADX6000</t>
        </is>
      </c>
      <c r="D119" s="141" t="inlineStr">
        <is>
          <t>신주케이스(10P) 작업완료</t>
        </is>
      </c>
      <c r="E119" s="141" t="n"/>
      <c r="F119" s="142" t="n"/>
      <c r="G119" s="143" t="inlineStr">
        <is>
          <t>O</t>
        </is>
      </c>
      <c r="H119" s="144" t="n"/>
      <c r="I119" s="145">
        <f>IFERROR(IF(OR($F119="O",$G119="O",$H119="O"),CHOOSE(MATCH($A119,{"튜브","고압","진공","튜닝","조립","출하"},0),"T","H","V","N","A","P")&amp;IF($F119="O","R",IF($G119="O","A",IF($H119="O","F",""))),""),"")</f>
        <v/>
      </c>
      <c r="J119" s="146" t="n"/>
      <c r="K119" s="147" t="n"/>
      <c r="L119" s="148" t="inlineStr">
        <is>
          <t>O</t>
        </is>
      </c>
      <c r="M119" s="149" t="n"/>
      <c r="N119" s="150" t="n"/>
      <c r="O119" s="151" t="n"/>
      <c r="P119" s="152">
        <f>IF($I119="","",IF($J119="O","3","")&amp;IF($K119="O","4","")&amp;IF($L119="O","6","")&amp;IF($M119="O","7","")&amp;IF($N119="O","8","")&amp;IF($O119="O","?","")&amp;IF(OR($J119="O",$K119="O",$L119="O",$M119="O",$N119="O",$O119="O"),"-","")&amp;$I119)</f>
        <v/>
      </c>
      <c r="Q119" s="153">
        <f>HYPERLINK("#'마스터_품목'!A136","→ 마스터 R136")</f>
        <v/>
      </c>
      <c r="R119" s="154" t="n">
        <v>136</v>
      </c>
      <c r="S119" s="154" t="inlineStr">
        <is>
          <t>마스터_품목</t>
        </is>
      </c>
    </row>
    <row r="120" ht="48" customHeight="1">
      <c r="A120" s="140" t="inlineStr">
        <is>
          <t>진공</t>
        </is>
      </c>
      <c r="B120" s="140" t="inlineStr">
        <is>
          <t>신주 
A,ssy</t>
        </is>
      </c>
      <c r="C120" s="141" t="inlineStr">
        <is>
          <t>COCOON</t>
        </is>
      </c>
      <c r="D120" s="141" t="inlineStr">
        <is>
          <t>신주케이스 작업완료</t>
        </is>
      </c>
      <c r="E120" s="141" t="n"/>
      <c r="F120" s="142" t="n"/>
      <c r="G120" s="143" t="inlineStr">
        <is>
          <t>O</t>
        </is>
      </c>
      <c r="H120" s="144" t="n"/>
      <c r="I120" s="145">
        <f>IFERROR(IF(OR($F120="O",$G120="O",$H120="O"),CHOOSE(MATCH($A120,{"튜브","고압","진공","튜닝","조립","출하"},0),"T","H","V","N","A","P")&amp;IF($F120="O","R",IF($G120="O","A",IF($H120="O","F",""))),""),"")</f>
        <v/>
      </c>
      <c r="J120" s="146" t="n"/>
      <c r="K120" s="147" t="n"/>
      <c r="L120" s="148" t="n"/>
      <c r="M120" s="149" t="inlineStr">
        <is>
          <t>O</t>
        </is>
      </c>
      <c r="N120" s="150" t="n"/>
      <c r="O120" s="151" t="n"/>
      <c r="P120" s="152">
        <f>IF($I120="","",IF($J120="O","3","")&amp;IF($K120="O","4","")&amp;IF($L120="O","6","")&amp;IF($M120="O","7","")&amp;IF($N120="O","8","")&amp;IF($O120="O","?","")&amp;IF(OR($J120="O",$K120="O",$L120="O",$M120="O",$N120="O",$O120="O"),"-","")&amp;$I120)</f>
        <v/>
      </c>
      <c r="Q120" s="153">
        <f>HYPERLINK("#'마스터_품목'!A137","→ 마스터 R137")</f>
        <v/>
      </c>
      <c r="R120" s="154" t="n">
        <v>137</v>
      </c>
      <c r="S120" s="154" t="inlineStr">
        <is>
          <t>마스터_품목</t>
        </is>
      </c>
    </row>
    <row r="121" ht="48" customHeight="1">
      <c r="A121" s="140" t="inlineStr">
        <is>
          <t>진공</t>
        </is>
      </c>
      <c r="B121" s="140" t="inlineStr">
        <is>
          <t>신주 
A,ssy</t>
        </is>
      </c>
      <c r="C121" s="141" t="inlineStr">
        <is>
          <t>DX3000V</t>
        </is>
      </c>
      <c r="D121" s="141" t="inlineStr">
        <is>
          <t>신주케이스(10P) 작업완료</t>
        </is>
      </c>
      <c r="E121" s="141" t="n"/>
      <c r="F121" s="142" t="n"/>
      <c r="G121" s="143" t="inlineStr">
        <is>
          <t>O</t>
        </is>
      </c>
      <c r="H121" s="144" t="n"/>
      <c r="I121" s="145">
        <f>IFERROR(IF(OR($F121="O",$G121="O",$H121="O"),CHOOSE(MATCH($A121,{"튜브","고압","진공","튜닝","조립","출하"},0),"T","H","V","N","A","P")&amp;IF($F121="O","R",IF($G121="O","A",IF($H121="O","F",""))),""),"")</f>
        <v/>
      </c>
      <c r="J121" s="146" t="inlineStr">
        <is>
          <t>O</t>
        </is>
      </c>
      <c r="K121" s="147" t="n"/>
      <c r="L121" s="148" t="n"/>
      <c r="M121" s="149" t="n"/>
      <c r="N121" s="150" t="n"/>
      <c r="O121" s="151" t="n"/>
      <c r="P121" s="152">
        <f>IF($I121="","",IF($J121="O","3","")&amp;IF($K121="O","4","")&amp;IF($L121="O","6","")&amp;IF($M121="O","7","")&amp;IF($N121="O","8","")&amp;IF($O121="O","?","")&amp;IF(OR($J121="O",$K121="O",$L121="O",$M121="O",$N121="O",$O121="O"),"-","")&amp;$I121)</f>
        <v/>
      </c>
      <c r="Q121" s="153">
        <f>HYPERLINK("#'마스터_품목'!A138","→ 마스터 R138")</f>
        <v/>
      </c>
      <c r="R121" s="154" t="n">
        <v>138</v>
      </c>
      <c r="S121" s="154" t="inlineStr">
        <is>
          <t>마스터_품목</t>
        </is>
      </c>
    </row>
    <row r="122" ht="48" customHeight="1">
      <c r="A122" s="140" t="inlineStr">
        <is>
          <t>진공</t>
        </is>
      </c>
      <c r="B122" s="140" t="inlineStr">
        <is>
          <t>신주 
A,ssy</t>
        </is>
      </c>
      <c r="C122" s="141" t="inlineStr">
        <is>
          <t>SOLO</t>
        </is>
      </c>
      <c r="D122" s="141" t="inlineStr">
        <is>
          <t>신주케이스 작업완료</t>
        </is>
      </c>
      <c r="E122" s="141" t="n"/>
      <c r="F122" s="142" t="n"/>
      <c r="G122" s="143" t="inlineStr">
        <is>
          <t>O</t>
        </is>
      </c>
      <c r="H122" s="144" t="n"/>
      <c r="I122" s="145">
        <f>IFERROR(IF(OR($F122="O",$G122="O",$H122="O"),CHOOSE(MATCH($A122,{"튜브","고압","진공","튜닝","조립","출하"},0),"T","H","V","N","A","P")&amp;IF($F122="O","R",IF($G122="O","A",IF($H122="O","F",""))),""),"")</f>
        <v/>
      </c>
      <c r="J122" s="146" t="n"/>
      <c r="K122" s="147" t="n"/>
      <c r="L122" s="148" t="n"/>
      <c r="M122" s="149" t="n"/>
      <c r="N122" s="150" t="inlineStr">
        <is>
          <t>O</t>
        </is>
      </c>
      <c r="O122" s="151" t="n"/>
      <c r="P122" s="152">
        <f>IF($I122="","",IF($J122="O","3","")&amp;IF($K122="O","4","")&amp;IF($L122="O","6","")&amp;IF($M122="O","7","")&amp;IF($N122="O","8","")&amp;IF($O122="O","?","")&amp;IF(OR($J122="O",$K122="O",$L122="O",$M122="O",$N122="O",$O122="O"),"-","")&amp;$I122)</f>
        <v/>
      </c>
      <c r="Q122" s="153">
        <f>HYPERLINK("#'마스터_품목'!A139","→ 마스터 R139")</f>
        <v/>
      </c>
      <c r="R122" s="154" t="n">
        <v>139</v>
      </c>
      <c r="S122" s="154" t="inlineStr">
        <is>
          <t>마스터_품목</t>
        </is>
      </c>
    </row>
    <row r="123" ht="48" customHeight="1">
      <c r="A123" s="140" t="inlineStr">
        <is>
          <t>고압</t>
        </is>
      </c>
      <c r="B123" s="140" t="inlineStr">
        <is>
          <t>고압 A,ssy 
진공 이전</t>
        </is>
      </c>
      <c r="C123" s="141" t="inlineStr">
        <is>
          <t>DX3000</t>
        </is>
      </c>
      <c r="D123" s="141" t="inlineStr">
        <is>
          <t>발생부 고압B/D+튜브 최종 작업完</t>
        </is>
      </c>
      <c r="E123" s="141" t="n"/>
      <c r="F123" s="142" t="n"/>
      <c r="G123" s="143" t="n"/>
      <c r="H123" s="144" t="inlineStr">
        <is>
          <t>O</t>
        </is>
      </c>
      <c r="I123" s="145">
        <f>IFERROR(IF(OR($F123="O",$G123="O",$H123="O"),CHOOSE(MATCH($A123,{"튜브","고압","진공","튜닝","조립","출하"},0),"T","H","V","N","A","P")&amp;IF($F123="O","R",IF($G123="O","A",IF($H123="O","F",""))),""),"")</f>
        <v/>
      </c>
      <c r="J123" s="146" t="inlineStr">
        <is>
          <t>O</t>
        </is>
      </c>
      <c r="K123" s="147" t="n"/>
      <c r="L123" s="148" t="n"/>
      <c r="M123" s="149" t="n"/>
      <c r="N123" s="150" t="n"/>
      <c r="O123" s="151" t="n"/>
      <c r="P123" s="152">
        <f>IF($I123="","",IF($J123="O","3","")&amp;IF($K123="O","4","")&amp;IF($L123="O","6","")&amp;IF($M123="O","7","")&amp;IF($N123="O","8","")&amp;IF($O123="O","?","")&amp;IF(OR($J123="O",$K123="O",$L123="O",$M123="O",$N123="O",$O123="O"),"-","")&amp;$I123)</f>
        <v/>
      </c>
      <c r="Q123" s="153">
        <f>HYPERLINK("#'마스터_품목'!A140","→ 마스터 R140")</f>
        <v/>
      </c>
      <c r="R123" s="154" t="n">
        <v>140</v>
      </c>
      <c r="S123" s="154" t="inlineStr">
        <is>
          <t>마스터_품목</t>
        </is>
      </c>
    </row>
    <row r="124" ht="48" customHeight="1">
      <c r="A124" s="140" t="inlineStr">
        <is>
          <t>고압</t>
        </is>
      </c>
      <c r="B124" s="140" t="inlineStr">
        <is>
          <t>고압 A,ssy 
진공 이전</t>
        </is>
      </c>
      <c r="C124" s="141" t="inlineStr">
        <is>
          <t>DX3000</t>
        </is>
      </c>
      <c r="D124" s="141" t="inlineStr">
        <is>
          <t>발생부 고압B/D+튜브 최종 작업完 (9P)</t>
        </is>
      </c>
      <c r="E124" s="141" t="n"/>
      <c r="F124" s="142" t="n"/>
      <c r="G124" s="143" t="n"/>
      <c r="H124" s="144" t="inlineStr">
        <is>
          <t>O</t>
        </is>
      </c>
      <c r="I124" s="145">
        <f>IFERROR(IF(OR($F124="O",$G124="O",$H124="O"),CHOOSE(MATCH($A124,{"튜브","고압","진공","튜닝","조립","출하"},0),"T","H","V","N","A","P")&amp;IF($F124="O","R",IF($G124="O","A",IF($H124="O","F",""))),""),"")</f>
        <v/>
      </c>
      <c r="J124" s="146" t="inlineStr">
        <is>
          <t>O</t>
        </is>
      </c>
      <c r="K124" s="147" t="n"/>
      <c r="L124" s="148" t="n"/>
      <c r="M124" s="149" t="n"/>
      <c r="N124" s="150" t="n"/>
      <c r="O124" s="151" t="n"/>
      <c r="P124" s="152">
        <f>IF($I124="","",IF($J124="O","3","")&amp;IF($K124="O","4","")&amp;IF($L124="O","6","")&amp;IF($M124="O","7","")&amp;IF($N124="O","8","")&amp;IF($O124="O","?","")&amp;IF(OR($J124="O",$K124="O",$L124="O",$M124="O",$N124="O",$O124="O"),"-","")&amp;$I124)</f>
        <v/>
      </c>
      <c r="Q124" s="153">
        <f>HYPERLINK("#'마스터_품목'!A141","→ 마스터 R141")</f>
        <v/>
      </c>
      <c r="R124" s="154" t="n">
        <v>141</v>
      </c>
      <c r="S124" s="154" t="inlineStr">
        <is>
          <t>마스터_품목</t>
        </is>
      </c>
    </row>
    <row r="125" ht="48" customHeight="1">
      <c r="A125" s="140" t="inlineStr">
        <is>
          <t>고압</t>
        </is>
      </c>
      <c r="B125" s="140" t="inlineStr">
        <is>
          <t>고압 A,ssy 
진공 이전</t>
        </is>
      </c>
      <c r="C125" s="141" t="inlineStr">
        <is>
          <t>ADX4000W</t>
        </is>
      </c>
      <c r="D125" s="141" t="inlineStr">
        <is>
          <t>발생부 고압B/D+튜브 최종 작업完</t>
        </is>
      </c>
      <c r="E125" s="141" t="n"/>
      <c r="F125" s="142" t="n"/>
      <c r="G125" s="143" t="n"/>
      <c r="H125" s="144" t="inlineStr">
        <is>
          <t>O</t>
        </is>
      </c>
      <c r="I125" s="145">
        <f>IFERROR(IF(OR($F125="O",$G125="O",$H125="O"),CHOOSE(MATCH($A125,{"튜브","고압","진공","튜닝","조립","출하"},0),"T","H","V","N","A","P")&amp;IF($F125="O","R",IF($G125="O","A",IF($H125="O","F",""))),""),"")</f>
        <v/>
      </c>
      <c r="J125" s="146" t="n"/>
      <c r="K125" s="147" t="inlineStr">
        <is>
          <t>O</t>
        </is>
      </c>
      <c r="L125" s="148" t="n"/>
      <c r="M125" s="149" t="n"/>
      <c r="N125" s="150" t="n"/>
      <c r="O125" s="151" t="n"/>
      <c r="P125" s="152">
        <f>IF($I125="","",IF($J125="O","3","")&amp;IF($K125="O","4","")&amp;IF($L125="O","6","")&amp;IF($M125="O","7","")&amp;IF($N125="O","8","")&amp;IF($O125="O","?","")&amp;IF(OR($J125="O",$K125="O",$L125="O",$M125="O",$N125="O",$O125="O"),"-","")&amp;$I125)</f>
        <v/>
      </c>
      <c r="Q125" s="153">
        <f>HYPERLINK("#'마스터_품목'!A142","→ 마스터 R142")</f>
        <v/>
      </c>
      <c r="R125" s="154" t="n">
        <v>142</v>
      </c>
      <c r="S125" s="154" t="inlineStr">
        <is>
          <t>마스터_품목</t>
        </is>
      </c>
    </row>
    <row r="126" ht="48" customHeight="1">
      <c r="A126" s="140" t="inlineStr">
        <is>
          <t>고압</t>
        </is>
      </c>
      <c r="B126" s="140" t="inlineStr">
        <is>
          <t>고압 A,ssy 
진공 이전</t>
        </is>
      </c>
      <c r="C126" s="141" t="inlineStr">
        <is>
          <t>ADX6000</t>
        </is>
      </c>
      <c r="D126" s="141" t="inlineStr">
        <is>
          <t>발생부 고압B/D+튜브 최종 작업完 [D-0813]</t>
        </is>
      </c>
      <c r="E126" s="141" t="n"/>
      <c r="F126" s="142" t="n"/>
      <c r="G126" s="143" t="n"/>
      <c r="H126" s="144" t="inlineStr">
        <is>
          <t>O</t>
        </is>
      </c>
      <c r="I126" s="145">
        <f>IFERROR(IF(OR($F126="O",$G126="O",$H126="O"),CHOOSE(MATCH($A126,{"튜브","고압","진공","튜닝","조립","출하"},0),"T","H","V","N","A","P")&amp;IF($F126="O","R",IF($G126="O","A",IF($H126="O","F",""))),""),"")</f>
        <v/>
      </c>
      <c r="J126" s="146" t="n"/>
      <c r="K126" s="147" t="n"/>
      <c r="L126" s="148" t="inlineStr">
        <is>
          <t>O</t>
        </is>
      </c>
      <c r="M126" s="149" t="n"/>
      <c r="N126" s="150" t="n"/>
      <c r="O126" s="151" t="n"/>
      <c r="P126" s="152">
        <f>IF($I126="","",IF($J126="O","3","")&amp;IF($K126="O","4","")&amp;IF($L126="O","6","")&amp;IF($M126="O","7","")&amp;IF($N126="O","8","")&amp;IF($O126="O","?","")&amp;IF(OR($J126="O",$K126="O",$L126="O",$M126="O",$N126="O",$O126="O"),"-","")&amp;$I126)</f>
        <v/>
      </c>
      <c r="Q126" s="153">
        <f>HYPERLINK("#'마스터_품목'!A143","→ 마스터 R143")</f>
        <v/>
      </c>
      <c r="R126" s="154" t="n">
        <v>143</v>
      </c>
      <c r="S126" s="154" t="inlineStr">
        <is>
          <t>마스터_품목</t>
        </is>
      </c>
    </row>
    <row r="127" ht="48" customHeight="1">
      <c r="A127" s="140" t="inlineStr">
        <is>
          <t>고압</t>
        </is>
      </c>
      <c r="B127" s="140" t="inlineStr">
        <is>
          <t>고압 A,ssy 
진공 이전</t>
        </is>
      </c>
      <c r="C127" s="141" t="inlineStr">
        <is>
          <t>ADX6000</t>
        </is>
      </c>
      <c r="D127" s="141" t="inlineStr">
        <is>
          <t>발생부 고압B/D+튜브 최종 작업完 [DXDR-100]</t>
        </is>
      </c>
      <c r="E127" s="141" t="n"/>
      <c r="F127" s="142" t="n"/>
      <c r="G127" s="143" t="n"/>
      <c r="H127" s="144" t="inlineStr">
        <is>
          <t>O</t>
        </is>
      </c>
      <c r="I127" s="145">
        <f>IFERROR(IF(OR($F127="O",$G127="O",$H127="O"),CHOOSE(MATCH($A127,{"튜브","고압","진공","튜닝","조립","출하"},0),"T","H","V","N","A","P")&amp;IF($F127="O","R",IF($G127="O","A",IF($H127="O","F",""))),""),"")</f>
        <v/>
      </c>
      <c r="J127" s="146" t="n"/>
      <c r="K127" s="147" t="n"/>
      <c r="L127" s="148" t="inlineStr">
        <is>
          <t>O</t>
        </is>
      </c>
      <c r="M127" s="149" t="n"/>
      <c r="N127" s="150" t="n"/>
      <c r="O127" s="151" t="n"/>
      <c r="P127" s="152">
        <f>IF($I127="","",IF($J127="O","3","")&amp;IF($K127="O","4","")&amp;IF($L127="O","6","")&amp;IF($M127="O","7","")&amp;IF($N127="O","8","")&amp;IF($O127="O","?","")&amp;IF(OR($J127="O",$K127="O",$L127="O",$M127="O",$N127="O",$O127="O"),"-","")&amp;$I127)</f>
        <v/>
      </c>
      <c r="Q127" s="153">
        <f>HYPERLINK("#'마스터_품목'!A144","→ 마스터 R144")</f>
        <v/>
      </c>
      <c r="R127" s="154" t="n">
        <v>144</v>
      </c>
      <c r="S127" s="154" t="inlineStr">
        <is>
          <t>마스터_품목</t>
        </is>
      </c>
    </row>
    <row r="128" ht="48" customHeight="1">
      <c r="A128" s="140" t="inlineStr">
        <is>
          <t>고압</t>
        </is>
      </c>
      <c r="B128" s="140" t="inlineStr">
        <is>
          <t>고압 A,ssy 
진공 이전</t>
        </is>
      </c>
      <c r="C128" s="141" t="inlineStr">
        <is>
          <t>ADX6000</t>
        </is>
      </c>
      <c r="D128" s="141" t="inlineStr">
        <is>
          <t>발생부 고압B/D+튜브 최종 작업完 [OX-70]</t>
        </is>
      </c>
      <c r="E128" s="141" t="n"/>
      <c r="F128" s="142" t="n"/>
      <c r="G128" s="143" t="n"/>
      <c r="H128" s="144" t="inlineStr">
        <is>
          <t>O</t>
        </is>
      </c>
      <c r="I128" s="145">
        <f>IFERROR(IF(OR($F128="O",$G128="O",$H128="O"),CHOOSE(MATCH($A128,{"튜브","고압","진공","튜닝","조립","출하"},0),"T","H","V","N","A","P")&amp;IF($F128="O","R",IF($G128="O","A",IF($H128="O","F",""))),""),"")</f>
        <v/>
      </c>
      <c r="J128" s="146" t="n"/>
      <c r="K128" s="147" t="n"/>
      <c r="L128" s="148" t="inlineStr">
        <is>
          <t>O</t>
        </is>
      </c>
      <c r="M128" s="149" t="n"/>
      <c r="N128" s="150" t="n"/>
      <c r="O128" s="151" t="n"/>
      <c r="P128" s="152">
        <f>IF($I128="","",IF($J128="O","3","")&amp;IF($K128="O","4","")&amp;IF($L128="O","6","")&amp;IF($M128="O","7","")&amp;IF($N128="O","8","")&amp;IF($O128="O","?","")&amp;IF(OR($J128="O",$K128="O",$L128="O",$M128="O",$N128="O",$O128="O"),"-","")&amp;$I128)</f>
        <v/>
      </c>
      <c r="Q128" s="153">
        <f>HYPERLINK("#'마스터_품목'!A145","→ 마스터 R145")</f>
        <v/>
      </c>
      <c r="R128" s="154" t="n">
        <v>145</v>
      </c>
      <c r="S128" s="154" t="inlineStr">
        <is>
          <t>마스터_품목</t>
        </is>
      </c>
    </row>
    <row r="129" ht="48" customHeight="1">
      <c r="A129" s="140" t="inlineStr">
        <is>
          <t>고압</t>
        </is>
      </c>
      <c r="B129" s="140" t="inlineStr">
        <is>
          <t>고압 A,ssy 
진공 이전</t>
        </is>
      </c>
      <c r="C129" s="141" t="inlineStr">
        <is>
          <t>COCOON</t>
        </is>
      </c>
      <c r="D129" s="141" t="inlineStr">
        <is>
          <t>발생부 고압B/D+튜브 최종 작업完</t>
        </is>
      </c>
      <c r="E129" s="141" t="n"/>
      <c r="F129" s="142" t="n"/>
      <c r="G129" s="143" t="n"/>
      <c r="H129" s="144" t="inlineStr">
        <is>
          <t>O</t>
        </is>
      </c>
      <c r="I129" s="145">
        <f>IFERROR(IF(OR($F129="O",$G129="O",$H129="O"),CHOOSE(MATCH($A129,{"튜브","고압","진공","튜닝","조립","출하"},0),"T","H","V","N","A","P")&amp;IF($F129="O","R",IF($G129="O","A",IF($H129="O","F",""))),""),"")</f>
        <v/>
      </c>
      <c r="J129" s="146" t="n"/>
      <c r="K129" s="147" t="n"/>
      <c r="L129" s="148" t="n"/>
      <c r="M129" s="149" t="inlineStr">
        <is>
          <t>O</t>
        </is>
      </c>
      <c r="N129" s="150" t="n"/>
      <c r="O129" s="151" t="n"/>
      <c r="P129" s="152">
        <f>IF($I129="","",IF($J129="O","3","")&amp;IF($K129="O","4","")&amp;IF($L129="O","6","")&amp;IF($M129="O","7","")&amp;IF($N129="O","8","")&amp;IF($O129="O","?","")&amp;IF(OR($J129="O",$K129="O",$L129="O",$M129="O",$N129="O",$O129="O"),"-","")&amp;$I129)</f>
        <v/>
      </c>
      <c r="Q129" s="153">
        <f>HYPERLINK("#'마스터_품목'!A146","→ 마스터 R146")</f>
        <v/>
      </c>
      <c r="R129" s="154" t="n">
        <v>146</v>
      </c>
      <c r="S129" s="154" t="inlineStr">
        <is>
          <t>마스터_품목</t>
        </is>
      </c>
    </row>
    <row r="130" ht="48" customHeight="1">
      <c r="A130" s="140" t="inlineStr">
        <is>
          <t>고압</t>
        </is>
      </c>
      <c r="B130" s="140" t="inlineStr">
        <is>
          <t>고압 A,ssy 
진공 이전</t>
        </is>
      </c>
      <c r="C130" s="141" t="inlineStr">
        <is>
          <t>ADX6000</t>
        </is>
      </c>
      <c r="D130" s="141" t="inlineStr">
        <is>
          <t>발생부 고압B/D+튜브 최종 작업完 (10핀)[D-0813]</t>
        </is>
      </c>
      <c r="E130" s="141" t="n"/>
      <c r="F130" s="142" t="n"/>
      <c r="G130" s="143" t="n"/>
      <c r="H130" s="144" t="inlineStr">
        <is>
          <t>O</t>
        </is>
      </c>
      <c r="I130" s="145">
        <f>IFERROR(IF(OR($F130="O",$G130="O",$H130="O"),CHOOSE(MATCH($A130,{"튜브","고압","진공","튜닝","조립","출하"},0),"T","H","V","N","A","P")&amp;IF($F130="O","R",IF($G130="O","A",IF($H130="O","F",""))),""),"")</f>
        <v/>
      </c>
      <c r="J130" s="146" t="n"/>
      <c r="K130" s="147" t="n"/>
      <c r="L130" s="148" t="inlineStr">
        <is>
          <t>O</t>
        </is>
      </c>
      <c r="M130" s="149" t="n"/>
      <c r="N130" s="150" t="n"/>
      <c r="O130" s="151" t="n"/>
      <c r="P130" s="152">
        <f>IF($I130="","",IF($J130="O","3","")&amp;IF($K130="O","4","")&amp;IF($L130="O","6","")&amp;IF($M130="O","7","")&amp;IF($N130="O","8","")&amp;IF($O130="O","?","")&amp;IF(OR($J130="O",$K130="O",$L130="O",$M130="O",$N130="O",$O130="O"),"-","")&amp;$I130)</f>
        <v/>
      </c>
      <c r="Q130" s="153">
        <f>HYPERLINK("#'마스터_품목'!A147","→ 마스터 R147")</f>
        <v/>
      </c>
      <c r="R130" s="154" t="n">
        <v>147</v>
      </c>
      <c r="S130" s="154" t="inlineStr">
        <is>
          <t>마스터_품목</t>
        </is>
      </c>
    </row>
    <row r="131" ht="48" customHeight="1">
      <c r="A131" s="140" t="inlineStr">
        <is>
          <t>진공</t>
        </is>
      </c>
      <c r="B131" s="140" t="inlineStr">
        <is>
          <t>고압 A,ssy 
진공 이전</t>
        </is>
      </c>
      <c r="C131" s="141" t="inlineStr">
        <is>
          <t>COCOON</t>
        </is>
      </c>
      <c r="D131" s="141" t="inlineStr">
        <is>
          <t>발생부 고압B/D+튜브 최종 작업完 [Ver 2.12]</t>
        </is>
      </c>
      <c r="E131" s="141" t="n"/>
      <c r="F131" s="142" t="n"/>
      <c r="G131" s="143" t="inlineStr">
        <is>
          <t>O</t>
        </is>
      </c>
      <c r="H131" s="144" t="n"/>
      <c r="I131" s="145">
        <f>IFERROR(IF(OR($F131="O",$G131="O",$H131="O"),CHOOSE(MATCH($A131,{"튜브","고압","진공","튜닝","조립","출하"},0),"T","H","V","N","A","P")&amp;IF($F131="O","R",IF($G131="O","A",IF($H131="O","F",""))),""),"")</f>
        <v/>
      </c>
      <c r="J131" s="146" t="n"/>
      <c r="K131" s="147" t="n"/>
      <c r="L131" s="148" t="n"/>
      <c r="M131" s="149" t="inlineStr">
        <is>
          <t>O</t>
        </is>
      </c>
      <c r="N131" s="150" t="n"/>
      <c r="O131" s="151" t="n"/>
      <c r="P131" s="152">
        <f>IF($I131="","",IF($J131="O","3","")&amp;IF($K131="O","4","")&amp;IF($L131="O","6","")&amp;IF($M131="O","7","")&amp;IF($N131="O","8","")&amp;IF($O131="O","?","")&amp;IF(OR($J131="O",$K131="O",$L131="O",$M131="O",$N131="O",$O131="O"),"-","")&amp;$I131)</f>
        <v/>
      </c>
      <c r="Q131" s="153">
        <f>HYPERLINK("#'마스터_품목'!A148","→ 마스터 R148")</f>
        <v/>
      </c>
      <c r="R131" s="154" t="n">
        <v>148</v>
      </c>
      <c r="S131" s="154" t="inlineStr">
        <is>
          <t>마스터_품목</t>
        </is>
      </c>
    </row>
    <row r="132" ht="48" customHeight="1">
      <c r="A132" s="140" t="inlineStr">
        <is>
          <t>진공</t>
        </is>
      </c>
      <c r="B132" s="140" t="inlineStr">
        <is>
          <t>고압 A,ssy 
진공 이전</t>
        </is>
      </c>
      <c r="C132" s="141" t="inlineStr">
        <is>
          <t>DX3000V</t>
        </is>
      </c>
      <c r="D132" s="141" t="inlineStr">
        <is>
          <t>발생부 고압B/D+튜브 최종 작업完 (10핀)[D-0813]</t>
        </is>
      </c>
      <c r="E132" s="141" t="n"/>
      <c r="F132" s="142" t="n"/>
      <c r="G132" s="143" t="inlineStr">
        <is>
          <t>O</t>
        </is>
      </c>
      <c r="H132" s="144" t="n"/>
      <c r="I132" s="145">
        <f>IFERROR(IF(OR($F132="O",$G132="O",$H132="O"),CHOOSE(MATCH($A132,{"튜브","고압","진공","튜닝","조립","출하"},0),"T","H","V","N","A","P")&amp;IF($F132="O","R",IF($G132="O","A",IF($H132="O","F",""))),""),"")</f>
        <v/>
      </c>
      <c r="J132" s="146" t="inlineStr">
        <is>
          <t>O</t>
        </is>
      </c>
      <c r="K132" s="147" t="n"/>
      <c r="L132" s="148" t="n"/>
      <c r="M132" s="149" t="n"/>
      <c r="N132" s="150" t="n"/>
      <c r="O132" s="151" t="n"/>
      <c r="P132" s="152">
        <f>IF($I132="","",IF($J132="O","3","")&amp;IF($K132="O","4","")&amp;IF($L132="O","6","")&amp;IF($M132="O","7","")&amp;IF($N132="O","8","")&amp;IF($O132="O","?","")&amp;IF(OR($J132="O",$K132="O",$L132="O",$M132="O",$N132="O",$O132="O"),"-","")&amp;$I132)</f>
        <v/>
      </c>
      <c r="Q132" s="153">
        <f>HYPERLINK("#'마스터_품목'!A149","→ 마스터 R149")</f>
        <v/>
      </c>
      <c r="R132" s="154" t="n">
        <v>149</v>
      </c>
      <c r="S132" s="154" t="inlineStr">
        <is>
          <t>마스터_품목</t>
        </is>
      </c>
    </row>
    <row r="133" ht="48" customHeight="1">
      <c r="A133" s="140" t="inlineStr">
        <is>
          <t>진공</t>
        </is>
      </c>
      <c r="B133" s="140" t="inlineStr">
        <is>
          <t>고압 A,ssy 
진공 이전</t>
        </is>
      </c>
      <c r="C133" s="141" t="inlineStr">
        <is>
          <t>SOLO</t>
        </is>
      </c>
      <c r="D133" s="141" t="inlineStr">
        <is>
          <t>발생부 고압B/D+튜브 최종 작업完 [CBT]</t>
        </is>
      </c>
      <c r="E133" s="141" t="n"/>
      <c r="F133" s="142" t="n"/>
      <c r="G133" s="143" t="inlineStr">
        <is>
          <t>O</t>
        </is>
      </c>
      <c r="H133" s="144" t="n"/>
      <c r="I133" s="145">
        <f>IFERROR(IF(OR($F133="O",$G133="O",$H133="O"),CHOOSE(MATCH($A133,{"튜브","고압","진공","튜닝","조립","출하"},0),"T","H","V","N","A","P")&amp;IF($F133="O","R",IF($G133="O","A",IF($H133="O","F",""))),""),"")</f>
        <v/>
      </c>
      <c r="J133" s="146" t="n"/>
      <c r="K133" s="147" t="n"/>
      <c r="L133" s="148" t="n"/>
      <c r="M133" s="149" t="n"/>
      <c r="N133" s="150" t="inlineStr">
        <is>
          <t>O</t>
        </is>
      </c>
      <c r="O133" s="151" t="n"/>
      <c r="P133" s="152">
        <f>IF($I133="","",IF($J133="O","3","")&amp;IF($K133="O","4","")&amp;IF($L133="O","6","")&amp;IF($M133="O","7","")&amp;IF($N133="O","8","")&amp;IF($O133="O","?","")&amp;IF(OR($J133="O",$K133="O",$L133="O",$M133="O",$N133="O",$O133="O"),"-","")&amp;$I133)</f>
        <v/>
      </c>
      <c r="Q133" s="153">
        <f>HYPERLINK("#'마스터_품목'!A150","→ 마스터 R150")</f>
        <v/>
      </c>
      <c r="R133" s="154" t="n">
        <v>150</v>
      </c>
      <c r="S133" s="154" t="inlineStr">
        <is>
          <t>마스터_품목</t>
        </is>
      </c>
    </row>
    <row r="134" ht="48" customHeight="1">
      <c r="A134" s="140" t="inlineStr">
        <is>
          <t>진공</t>
        </is>
      </c>
      <c r="B134" s="140" t="inlineStr">
        <is>
          <t>진공</t>
        </is>
      </c>
      <c r="C134" s="141" t="inlineStr">
        <is>
          <t>DX3000</t>
        </is>
      </c>
      <c r="D134" s="141" t="inlineStr">
        <is>
          <t>발생부(진공)</t>
        </is>
      </c>
      <c r="E134" s="141" t="n"/>
      <c r="F134" s="142" t="n"/>
      <c r="G134" s="143" t="inlineStr">
        <is>
          <t>O</t>
        </is>
      </c>
      <c r="H134" s="144" t="n"/>
      <c r="I134" s="145">
        <f>IFERROR(IF(OR($F134="O",$G134="O",$H134="O"),CHOOSE(MATCH($A134,{"튜브","고압","진공","튜닝","조립","출하"},0),"T","H","V","N","A","P")&amp;IF($F134="O","R",IF($G134="O","A",IF($H134="O","F",""))),""),"")</f>
        <v/>
      </c>
      <c r="J134" s="146" t="inlineStr">
        <is>
          <t>O</t>
        </is>
      </c>
      <c r="K134" s="147" t="n"/>
      <c r="L134" s="148" t="n"/>
      <c r="M134" s="149" t="n"/>
      <c r="N134" s="150" t="n"/>
      <c r="O134" s="151" t="n"/>
      <c r="P134" s="152">
        <f>IF($I134="","",IF($J134="O","3","")&amp;IF($K134="O","4","")&amp;IF($L134="O","6","")&amp;IF($M134="O","7","")&amp;IF($N134="O","8","")&amp;IF($O134="O","?","")&amp;IF(OR($J134="O",$K134="O",$L134="O",$M134="O",$N134="O",$O134="O"),"-","")&amp;$I134)</f>
        <v/>
      </c>
      <c r="Q134" s="153">
        <f>HYPERLINK("#'마스터_품목'!A151","→ 마스터 R151")</f>
        <v/>
      </c>
      <c r="R134" s="154" t="n">
        <v>151</v>
      </c>
      <c r="S134" s="154" t="inlineStr">
        <is>
          <t>마스터_품목</t>
        </is>
      </c>
    </row>
    <row r="135" ht="48" customHeight="1">
      <c r="A135" s="140" t="inlineStr">
        <is>
          <t>진공</t>
        </is>
      </c>
      <c r="B135" s="140" t="inlineStr">
        <is>
          <t>진공</t>
        </is>
      </c>
      <c r="C135" s="141" t="inlineStr">
        <is>
          <t>DX3000</t>
        </is>
      </c>
      <c r="D135" s="141" t="inlineStr">
        <is>
          <t>발생부(9P)(진공)</t>
        </is>
      </c>
      <c r="E135" s="141" t="n"/>
      <c r="F135" s="142" t="n"/>
      <c r="G135" s="143" t="inlineStr">
        <is>
          <t>O</t>
        </is>
      </c>
      <c r="H135" s="144" t="n"/>
      <c r="I135" s="145">
        <f>IFERROR(IF(OR($F135="O",$G135="O",$H135="O"),CHOOSE(MATCH($A135,{"튜브","고압","진공","튜닝","조립","출하"},0),"T","H","V","N","A","P")&amp;IF($F135="O","R",IF($G135="O","A",IF($H135="O","F",""))),""),"")</f>
        <v/>
      </c>
      <c r="J135" s="146" t="inlineStr">
        <is>
          <t>O</t>
        </is>
      </c>
      <c r="K135" s="147" t="n"/>
      <c r="L135" s="148" t="n"/>
      <c r="M135" s="149" t="n"/>
      <c r="N135" s="150" t="n"/>
      <c r="O135" s="151" t="n"/>
      <c r="P135" s="152">
        <f>IF($I135="","",IF($J135="O","3","")&amp;IF($K135="O","4","")&amp;IF($L135="O","6","")&amp;IF($M135="O","7","")&amp;IF($N135="O","8","")&amp;IF($O135="O","?","")&amp;IF(OR($J135="O",$K135="O",$L135="O",$M135="O",$N135="O",$O135="O"),"-","")&amp;$I135)</f>
        <v/>
      </c>
      <c r="Q135" s="153">
        <f>HYPERLINK("#'마스터_품목'!A152","→ 마스터 R152")</f>
        <v/>
      </c>
      <c r="R135" s="154" t="n">
        <v>152</v>
      </c>
      <c r="S135" s="154" t="inlineStr">
        <is>
          <t>마스터_품목</t>
        </is>
      </c>
    </row>
    <row r="136" ht="48" customHeight="1">
      <c r="A136" s="140" t="inlineStr">
        <is>
          <t>진공</t>
        </is>
      </c>
      <c r="B136" s="140" t="inlineStr">
        <is>
          <t>진공</t>
        </is>
      </c>
      <c r="C136" s="141" t="inlineStr">
        <is>
          <t>ADX4000W</t>
        </is>
      </c>
      <c r="D136" s="141" t="inlineStr">
        <is>
          <t>발생부(진공)</t>
        </is>
      </c>
      <c r="E136" s="141" t="n"/>
      <c r="F136" s="142" t="n"/>
      <c r="G136" s="143" t="inlineStr">
        <is>
          <t>O</t>
        </is>
      </c>
      <c r="H136" s="144" t="n"/>
      <c r="I136" s="145">
        <f>IFERROR(IF(OR($F136="O",$G136="O",$H136="O"),CHOOSE(MATCH($A136,{"튜브","고압","진공","튜닝","조립","출하"},0),"T","H","V","N","A","P")&amp;IF($F136="O","R",IF($G136="O","A",IF($H136="O","F",""))),""),"")</f>
        <v/>
      </c>
      <c r="J136" s="146" t="n"/>
      <c r="K136" s="147" t="inlineStr">
        <is>
          <t>O</t>
        </is>
      </c>
      <c r="L136" s="148" t="n"/>
      <c r="M136" s="149" t="n"/>
      <c r="N136" s="150" t="n"/>
      <c r="O136" s="151" t="n"/>
      <c r="P136" s="152">
        <f>IF($I136="","",IF($J136="O","3","")&amp;IF($K136="O","4","")&amp;IF($L136="O","6","")&amp;IF($M136="O","7","")&amp;IF($N136="O","8","")&amp;IF($O136="O","?","")&amp;IF(OR($J136="O",$K136="O",$L136="O",$M136="O",$N136="O",$O136="O"),"-","")&amp;$I136)</f>
        <v/>
      </c>
      <c r="Q136" s="153">
        <f>HYPERLINK("#'마스터_품목'!A153","→ 마스터 R153")</f>
        <v/>
      </c>
      <c r="R136" s="154" t="n">
        <v>153</v>
      </c>
      <c r="S136" s="154" t="inlineStr">
        <is>
          <t>마스터_품목</t>
        </is>
      </c>
    </row>
    <row r="137" ht="48" customHeight="1">
      <c r="A137" s="140" t="inlineStr">
        <is>
          <t>진공</t>
        </is>
      </c>
      <c r="B137" s="140" t="inlineStr">
        <is>
          <t>진공</t>
        </is>
      </c>
      <c r="C137" s="141" t="inlineStr">
        <is>
          <t>ADX6000</t>
        </is>
      </c>
      <c r="D137" s="141" t="inlineStr">
        <is>
          <t>발생부(진공)</t>
        </is>
      </c>
      <c r="E137" s="141" t="n"/>
      <c r="F137" s="142" t="n"/>
      <c r="G137" s="143" t="inlineStr">
        <is>
          <t>O</t>
        </is>
      </c>
      <c r="H137" s="144" t="n"/>
      <c r="I137" s="145">
        <f>IFERROR(IF(OR($F137="O",$G137="O",$H137="O"),CHOOSE(MATCH($A137,{"튜브","고압","진공","튜닝","조립","출하"},0),"T","H","V","N","A","P")&amp;IF($F137="O","R",IF($G137="O","A",IF($H137="O","F",""))),""),"")</f>
        <v/>
      </c>
      <c r="J137" s="146" t="n"/>
      <c r="K137" s="147" t="n"/>
      <c r="L137" s="148" t="inlineStr">
        <is>
          <t>O</t>
        </is>
      </c>
      <c r="M137" s="149" t="n"/>
      <c r="N137" s="150" t="n"/>
      <c r="O137" s="151" t="n"/>
      <c r="P137" s="152">
        <f>IF($I137="","",IF($J137="O","3","")&amp;IF($K137="O","4","")&amp;IF($L137="O","6","")&amp;IF($M137="O","7","")&amp;IF($N137="O","8","")&amp;IF($O137="O","?","")&amp;IF(OR($J137="O",$K137="O",$L137="O",$M137="O",$N137="O",$O137="O"),"-","")&amp;$I137)</f>
        <v/>
      </c>
      <c r="Q137" s="153">
        <f>HYPERLINK("#'마스터_품목'!A154","→ 마스터 R154")</f>
        <v/>
      </c>
      <c r="R137" s="154" t="n">
        <v>154</v>
      </c>
      <c r="S137" s="154" t="inlineStr">
        <is>
          <t>마스터_품목</t>
        </is>
      </c>
    </row>
    <row r="138" ht="48" customHeight="1">
      <c r="A138" s="140" t="inlineStr">
        <is>
          <t>진공</t>
        </is>
      </c>
      <c r="B138" s="140" t="inlineStr">
        <is>
          <t>진공</t>
        </is>
      </c>
      <c r="C138" s="141" t="inlineStr">
        <is>
          <t>ADX6000</t>
        </is>
      </c>
      <c r="D138" s="141" t="inlineStr">
        <is>
          <t>발생부(10P)(진공)</t>
        </is>
      </c>
      <c r="E138" s="141" t="n"/>
      <c r="F138" s="142" t="n"/>
      <c r="G138" s="143" t="inlineStr">
        <is>
          <t>O</t>
        </is>
      </c>
      <c r="H138" s="144" t="n"/>
      <c r="I138" s="145">
        <f>IFERROR(IF(OR($F138="O",$G138="O",$H138="O"),CHOOSE(MATCH($A138,{"튜브","고압","진공","튜닝","조립","출하"},0),"T","H","V","N","A","P")&amp;IF($F138="O","R",IF($G138="O","A",IF($H138="O","F",""))),""),"")</f>
        <v/>
      </c>
      <c r="J138" s="146" t="n"/>
      <c r="K138" s="147" t="n"/>
      <c r="L138" s="148" t="inlineStr">
        <is>
          <t>O</t>
        </is>
      </c>
      <c r="M138" s="149" t="n"/>
      <c r="N138" s="150" t="n"/>
      <c r="O138" s="151" t="n"/>
      <c r="P138" s="152">
        <f>IF($I138="","",IF($J138="O","3","")&amp;IF($K138="O","4","")&amp;IF($L138="O","6","")&amp;IF($M138="O","7","")&amp;IF($N138="O","8","")&amp;IF($O138="O","?","")&amp;IF(OR($J138="O",$K138="O",$L138="O",$M138="O",$N138="O",$O138="O"),"-","")&amp;$I138)</f>
        <v/>
      </c>
      <c r="Q138" s="153">
        <f>HYPERLINK("#'마스터_품목'!A155","→ 마스터 R155")</f>
        <v/>
      </c>
      <c r="R138" s="154" t="n">
        <v>155</v>
      </c>
      <c r="S138" s="154" t="inlineStr">
        <is>
          <t>마스터_품목</t>
        </is>
      </c>
    </row>
    <row r="139" ht="48" customHeight="1">
      <c r="A139" s="140" t="inlineStr">
        <is>
          <t>진공</t>
        </is>
      </c>
      <c r="B139" s="140" t="inlineStr">
        <is>
          <t>진공</t>
        </is>
      </c>
      <c r="C139" s="141" t="inlineStr">
        <is>
          <t>COCOON</t>
        </is>
      </c>
      <c r="D139" s="141" t="inlineStr">
        <is>
          <t>발생부(진공)</t>
        </is>
      </c>
      <c r="E139" s="141" t="n"/>
      <c r="F139" s="142" t="n"/>
      <c r="G139" s="143" t="inlineStr">
        <is>
          <t>O</t>
        </is>
      </c>
      <c r="H139" s="144" t="n"/>
      <c r="I139" s="145">
        <f>IFERROR(IF(OR($F139="O",$G139="O",$H139="O"),CHOOSE(MATCH($A139,{"튜브","고압","진공","튜닝","조립","출하"},0),"T","H","V","N","A","P")&amp;IF($F139="O","R",IF($G139="O","A",IF($H139="O","F",""))),""),"")</f>
        <v/>
      </c>
      <c r="J139" s="146" t="n"/>
      <c r="K139" s="147" t="n"/>
      <c r="L139" s="148" t="n"/>
      <c r="M139" s="149" t="inlineStr">
        <is>
          <t>O</t>
        </is>
      </c>
      <c r="N139" s="150" t="n"/>
      <c r="O139" s="151" t="n"/>
      <c r="P139" s="152">
        <f>IF($I139="","",IF($J139="O","3","")&amp;IF($K139="O","4","")&amp;IF($L139="O","6","")&amp;IF($M139="O","7","")&amp;IF($N139="O","8","")&amp;IF($O139="O","?","")&amp;IF(OR($J139="O",$K139="O",$L139="O",$M139="O",$N139="O",$O139="O"),"-","")&amp;$I139)</f>
        <v/>
      </c>
      <c r="Q139" s="153">
        <f>HYPERLINK("#'마스터_품목'!A156","→ 마스터 R156")</f>
        <v/>
      </c>
      <c r="R139" s="154" t="n">
        <v>156</v>
      </c>
      <c r="S139" s="154" t="inlineStr">
        <is>
          <t>마스터_품목</t>
        </is>
      </c>
    </row>
    <row r="140" ht="48" customHeight="1">
      <c r="A140" s="140" t="inlineStr">
        <is>
          <t>진공</t>
        </is>
      </c>
      <c r="B140" s="140" t="inlineStr">
        <is>
          <t>진공</t>
        </is>
      </c>
      <c r="C140" s="141" t="inlineStr">
        <is>
          <t>SOLO</t>
        </is>
      </c>
      <c r="D140" s="141" t="inlineStr">
        <is>
          <t>발생부(진공)</t>
        </is>
      </c>
      <c r="E140" s="141" t="n"/>
      <c r="F140" s="142" t="n"/>
      <c r="G140" s="143" t="inlineStr">
        <is>
          <t>O</t>
        </is>
      </c>
      <c r="H140" s="144" t="n"/>
      <c r="I140" s="145">
        <f>IFERROR(IF(OR($F140="O",$G140="O",$H140="O"),CHOOSE(MATCH($A140,{"튜브","고압","진공","튜닝","조립","출하"},0),"T","H","V","N","A","P")&amp;IF($F140="O","R",IF($G140="O","A",IF($H140="O","F",""))),""),"")</f>
        <v/>
      </c>
      <c r="J140" s="146" t="n"/>
      <c r="K140" s="147" t="n"/>
      <c r="L140" s="148" t="n"/>
      <c r="M140" s="149" t="n"/>
      <c r="N140" s="150" t="inlineStr">
        <is>
          <t>O</t>
        </is>
      </c>
      <c r="O140" s="151" t="n"/>
      <c r="P140" s="152">
        <f>IF($I140="","",IF($J140="O","3","")&amp;IF($K140="O","4","")&amp;IF($L140="O","6","")&amp;IF($M140="O","7","")&amp;IF($N140="O","8","")&amp;IF($O140="O","?","")&amp;IF(OR($J140="O",$K140="O",$L140="O",$M140="O",$N140="O",$O140="O"),"-","")&amp;$I140)</f>
        <v/>
      </c>
      <c r="Q140" s="153">
        <f>HYPERLINK("#'마스터_품목'!A157","→ 마스터 R157")</f>
        <v/>
      </c>
      <c r="R140" s="154" t="n">
        <v>157</v>
      </c>
      <c r="S140" s="154" t="inlineStr">
        <is>
          <t>마스터_품목</t>
        </is>
      </c>
    </row>
    <row r="141" ht="48" customHeight="1">
      <c r="A141" s="140" t="inlineStr">
        <is>
          <t>진공</t>
        </is>
      </c>
      <c r="B141" s="140" t="inlineStr">
        <is>
          <t>진공</t>
        </is>
      </c>
      <c r="C141" s="141" t="inlineStr">
        <is>
          <t>DX3000V</t>
        </is>
      </c>
      <c r="D141" s="141" t="inlineStr">
        <is>
          <t>발생부(10P)(진공)</t>
        </is>
      </c>
      <c r="E141" s="141" t="n"/>
      <c r="F141" s="142" t="n"/>
      <c r="G141" s="143" t="inlineStr">
        <is>
          <t>O</t>
        </is>
      </c>
      <c r="H141" s="144" t="n"/>
      <c r="I141" s="145">
        <f>IFERROR(IF(OR($F141="O",$G141="O",$H141="O"),CHOOSE(MATCH($A141,{"튜브","고압","진공","튜닝","조립","출하"},0),"T","H","V","N","A","P")&amp;IF($F141="O","R",IF($G141="O","A",IF($H141="O","F",""))),""),"")</f>
        <v/>
      </c>
      <c r="J141" s="146" t="inlineStr">
        <is>
          <t>O</t>
        </is>
      </c>
      <c r="K141" s="147" t="n"/>
      <c r="L141" s="148" t="n"/>
      <c r="M141" s="149" t="n"/>
      <c r="N141" s="150" t="n"/>
      <c r="O141" s="151" t="n"/>
      <c r="P141" s="152">
        <f>IF($I141="","",IF($J141="O","3","")&amp;IF($K141="O","4","")&amp;IF($L141="O","6","")&amp;IF($M141="O","7","")&amp;IF($N141="O","8","")&amp;IF($O141="O","?","")&amp;IF(OR($J141="O",$K141="O",$L141="O",$M141="O",$N141="O",$O141="O"),"-","")&amp;$I141)</f>
        <v/>
      </c>
      <c r="Q141" s="153">
        <f>HYPERLINK("#'마스터_품목'!A158","→ 마스터 R158")</f>
        <v/>
      </c>
      <c r="R141" s="154" t="n">
        <v>158</v>
      </c>
      <c r="S141" s="154" t="inlineStr">
        <is>
          <t>마스터_품목</t>
        </is>
      </c>
    </row>
    <row r="142" ht="48" customHeight="1">
      <c r="A142" s="140" t="inlineStr">
        <is>
          <t>진공</t>
        </is>
      </c>
      <c r="B142" s="140" t="inlineStr">
        <is>
          <t>진공</t>
        </is>
      </c>
      <c r="C142" s="141" t="inlineStr">
        <is>
          <t>DX3000</t>
        </is>
      </c>
      <c r="D142" s="141" t="inlineStr">
        <is>
          <t>D3GR + D3CD (해외용)</t>
        </is>
      </c>
      <c r="E142" s="141" t="n"/>
      <c r="F142" s="142" t="n"/>
      <c r="G142" s="143" t="n"/>
      <c r="H142" s="144" t="inlineStr">
        <is>
          <t>O</t>
        </is>
      </c>
      <c r="I142" s="145">
        <f>IFERROR(IF(OR($F142="O",$G142="O",$H142="O"),CHOOSE(MATCH($A142,{"튜브","고압","진공","튜닝","조립","출하"},0),"T","H","V","N","A","P")&amp;IF($F142="O","R",IF($G142="O","A",IF($H142="O","F",""))),""),"")</f>
        <v/>
      </c>
      <c r="J142" s="146" t="inlineStr">
        <is>
          <t>O</t>
        </is>
      </c>
      <c r="K142" s="147" t="n"/>
      <c r="L142" s="148" t="n"/>
      <c r="M142" s="149" t="n"/>
      <c r="N142" s="150" t="n"/>
      <c r="O142" s="151" t="n"/>
      <c r="P142" s="152">
        <f>IF($I142="","",IF($J142="O","3","")&amp;IF($K142="O","4","")&amp;IF($L142="O","6","")&amp;IF($M142="O","7","")&amp;IF($N142="O","8","")&amp;IF($O142="O","?","")&amp;IF(OR($J142="O",$K142="O",$L142="O",$M142="O",$N142="O",$O142="O"),"-","")&amp;$I142)</f>
        <v/>
      </c>
      <c r="Q142" s="153">
        <f>HYPERLINK("#'마스터_품목'!A161","→ 마스터 R161")</f>
        <v/>
      </c>
      <c r="R142" s="154" t="n">
        <v>161</v>
      </c>
      <c r="S142" s="154" t="inlineStr">
        <is>
          <t>마스터_품목</t>
        </is>
      </c>
    </row>
    <row r="143" ht="48" customHeight="1">
      <c r="A143" s="140" t="inlineStr">
        <is>
          <t>진공</t>
        </is>
      </c>
      <c r="B143" s="140" t="inlineStr">
        <is>
          <t>진공</t>
        </is>
      </c>
      <c r="C143" s="141" t="inlineStr">
        <is>
          <t>DX3000</t>
        </is>
      </c>
      <c r="D143" s="141" t="inlineStr">
        <is>
          <t>D3GR + D3CL (미국용)</t>
        </is>
      </c>
      <c r="E143" s="141" t="n"/>
      <c r="F143" s="142" t="n"/>
      <c r="G143" s="143" t="n"/>
      <c r="H143" s="144" t="inlineStr">
        <is>
          <t>O</t>
        </is>
      </c>
      <c r="I143" s="145">
        <f>IFERROR(IF(OR($F143="O",$G143="O",$H143="O"),CHOOSE(MATCH($A143,{"튜브","고압","진공","튜닝","조립","출하"},0),"T","H","V","N","A","P")&amp;IF($F143="O","R",IF($G143="O","A",IF($H143="O","F",""))),""),"")</f>
        <v/>
      </c>
      <c r="J143" s="146" t="inlineStr">
        <is>
          <t>O</t>
        </is>
      </c>
      <c r="K143" s="147" t="n"/>
      <c r="L143" s="148" t="n"/>
      <c r="M143" s="149" t="n"/>
      <c r="N143" s="150" t="n"/>
      <c r="O143" s="151" t="n"/>
      <c r="P143" s="152">
        <f>IF($I143="","",IF($J143="O","3","")&amp;IF($K143="O","4","")&amp;IF($L143="O","6","")&amp;IF($M143="O","7","")&amp;IF($N143="O","8","")&amp;IF($O143="O","?","")&amp;IF(OR($J143="O",$K143="O",$L143="O",$M143="O",$N143="O",$O143="O"),"-","")&amp;$I143)</f>
        <v/>
      </c>
      <c r="Q143" s="153">
        <f>HYPERLINK("#'마스터_품목'!A162","→ 마스터 R162")</f>
        <v/>
      </c>
      <c r="R143" s="154" t="n">
        <v>162</v>
      </c>
      <c r="S143" s="154" t="inlineStr">
        <is>
          <t>마스터_품목</t>
        </is>
      </c>
    </row>
    <row r="144" ht="48" customHeight="1">
      <c r="A144" s="140" t="inlineStr">
        <is>
          <t>진공</t>
        </is>
      </c>
      <c r="B144" s="140" t="inlineStr">
        <is>
          <t>진공</t>
        </is>
      </c>
      <c r="C144" s="141" t="inlineStr">
        <is>
          <t>DX3000</t>
        </is>
      </c>
      <c r="D144" s="141" t="inlineStr">
        <is>
          <t>D3GR + D3CT (TFT용)</t>
        </is>
      </c>
      <c r="E144" s="141" t="n"/>
      <c r="F144" s="142" t="n"/>
      <c r="G144" s="143" t="n"/>
      <c r="H144" s="144" t="inlineStr">
        <is>
          <t>O</t>
        </is>
      </c>
      <c r="I144" s="145">
        <f>IFERROR(IF(OR($F144="O",$G144="O",$H144="O"),CHOOSE(MATCH($A144,{"튜브","고압","진공","튜닝","조립","출하"},0),"T","H","V","N","A","P")&amp;IF($F144="O","R",IF($G144="O","A",IF($H144="O","F",""))),""),"")</f>
        <v/>
      </c>
      <c r="J144" s="146" t="inlineStr">
        <is>
          <t>O</t>
        </is>
      </c>
      <c r="K144" s="147" t="n"/>
      <c r="L144" s="148" t="n"/>
      <c r="M144" s="149" t="n"/>
      <c r="N144" s="150" t="n"/>
      <c r="O144" s="151" t="n"/>
      <c r="P144" s="152">
        <f>IF($I144="","",IF($J144="O","3","")&amp;IF($K144="O","4","")&amp;IF($L144="O","6","")&amp;IF($M144="O","7","")&amp;IF($N144="O","8","")&amp;IF($O144="O","?","")&amp;IF(OR($J144="O",$K144="O",$L144="O",$M144="O",$N144="O",$O144="O"),"-","")&amp;$I144)</f>
        <v/>
      </c>
      <c r="Q144" s="153">
        <f>HYPERLINK("#'마스터_품목'!A163","→ 마스터 R163")</f>
        <v/>
      </c>
      <c r="R144" s="154" t="n">
        <v>163</v>
      </c>
      <c r="S144" s="154" t="inlineStr">
        <is>
          <t>마스터_품목</t>
        </is>
      </c>
    </row>
    <row r="145" ht="48" customHeight="1">
      <c r="A145" s="140" t="inlineStr">
        <is>
          <t>진공</t>
        </is>
      </c>
      <c r="B145" s="140" t="inlineStr">
        <is>
          <t>진공</t>
        </is>
      </c>
      <c r="C145" s="141" t="inlineStr">
        <is>
          <t>ADX4000W</t>
        </is>
      </c>
      <c r="D145" s="141" t="inlineStr">
        <is>
          <t>A4GR + A4CB</t>
        </is>
      </c>
      <c r="E145" s="141" t="n"/>
      <c r="F145" s="142" t="n"/>
      <c r="G145" s="143" t="n"/>
      <c r="H145" s="144" t="inlineStr">
        <is>
          <t>O</t>
        </is>
      </c>
      <c r="I145" s="145">
        <f>IFERROR(IF(OR($F145="O",$G145="O",$H145="O"),CHOOSE(MATCH($A145,{"튜브","고압","진공","튜닝","조립","출하"},0),"T","H","V","N","A","P")&amp;IF($F145="O","R",IF($G145="O","A",IF($H145="O","F",""))),""),"")</f>
        <v/>
      </c>
      <c r="J145" s="146" t="n"/>
      <c r="K145" s="147" t="inlineStr">
        <is>
          <t>O</t>
        </is>
      </c>
      <c r="L145" s="148" t="n"/>
      <c r="M145" s="149" t="n"/>
      <c r="N145" s="150" t="n"/>
      <c r="O145" s="151" t="n"/>
      <c r="P145" s="152">
        <f>IF($I145="","",IF($J145="O","3","")&amp;IF($K145="O","4","")&amp;IF($L145="O","6","")&amp;IF($M145="O","7","")&amp;IF($N145="O","8","")&amp;IF($O145="O","?","")&amp;IF(OR($J145="O",$K145="O",$L145="O",$M145="O",$N145="O",$O145="O"),"-","")&amp;$I145)</f>
        <v/>
      </c>
      <c r="Q145" s="153">
        <f>HYPERLINK("#'마스터_품목'!A164","→ 마스터 R164")</f>
        <v/>
      </c>
      <c r="R145" s="154" t="n">
        <v>164</v>
      </c>
      <c r="S145" s="154" t="inlineStr">
        <is>
          <t>마스터_품목</t>
        </is>
      </c>
    </row>
    <row r="146" ht="48" customHeight="1">
      <c r="A146" s="140" t="inlineStr">
        <is>
          <t>진공</t>
        </is>
      </c>
      <c r="B146" s="140" t="inlineStr">
        <is>
          <t>진공</t>
        </is>
      </c>
      <c r="C146" s="141" t="inlineStr">
        <is>
          <t>ADX6000</t>
        </is>
      </c>
      <c r="D146" s="141" t="inlineStr">
        <is>
          <t>A6GR (10핀)</t>
        </is>
      </c>
      <c r="E146" s="141" t="n"/>
      <c r="F146" s="142" t="n"/>
      <c r="G146" s="143" t="n"/>
      <c r="H146" s="144" t="inlineStr">
        <is>
          <t>O</t>
        </is>
      </c>
      <c r="I146" s="145">
        <f>IFERROR(IF(OR($F146="O",$G146="O",$H146="O"),CHOOSE(MATCH($A146,{"튜브","고압","진공","튜닝","조립","출하"},0),"T","H","V","N","A","P")&amp;IF($F146="O","R",IF($G146="O","A",IF($H146="O","F",""))),""),"")</f>
        <v/>
      </c>
      <c r="J146" s="146" t="n"/>
      <c r="K146" s="147" t="n"/>
      <c r="L146" s="148" t="inlineStr">
        <is>
          <t>O</t>
        </is>
      </c>
      <c r="M146" s="149" t="n"/>
      <c r="N146" s="150" t="n"/>
      <c r="O146" s="151" t="n"/>
      <c r="P146" s="152">
        <f>IF($I146="","",IF($J146="O","3","")&amp;IF($K146="O","4","")&amp;IF($L146="O","6","")&amp;IF($M146="O","7","")&amp;IF($N146="O","8","")&amp;IF($O146="O","?","")&amp;IF(OR($J146="O",$K146="O",$L146="O",$M146="O",$N146="O",$O146="O"),"-","")&amp;$I146)</f>
        <v/>
      </c>
      <c r="Q146" s="153">
        <f>HYPERLINK("#'마스터_품목'!A165","→ 마스터 R165")</f>
        <v/>
      </c>
      <c r="R146" s="154" t="n">
        <v>165</v>
      </c>
      <c r="S146" s="154" t="inlineStr">
        <is>
          <t>마스터_품목</t>
        </is>
      </c>
    </row>
    <row r="147" ht="48" customHeight="1">
      <c r="A147" s="140" t="inlineStr">
        <is>
          <t>진공</t>
        </is>
      </c>
      <c r="B147" s="140" t="inlineStr">
        <is>
          <t>진공</t>
        </is>
      </c>
      <c r="C147" s="141" t="inlineStr">
        <is>
          <t>SOLO</t>
        </is>
      </c>
      <c r="D147" s="141" t="inlineStr">
        <is>
          <t>CSGR + CSCB</t>
        </is>
      </c>
      <c r="E147" s="141" t="n"/>
      <c r="F147" s="142" t="n"/>
      <c r="G147" s="143" t="n"/>
      <c r="H147" s="144" t="inlineStr">
        <is>
          <t>O</t>
        </is>
      </c>
      <c r="I147" s="145">
        <f>IFERROR(IF(OR($F147="O",$G147="O",$H147="O"),CHOOSE(MATCH($A147,{"튜브","고압","진공","튜닝","조립","출하"},0),"T","H","V","N","A","P")&amp;IF($F147="O","R",IF($G147="O","A",IF($H147="O","F",""))),""),"")</f>
        <v/>
      </c>
      <c r="J147" s="146" t="n"/>
      <c r="K147" s="147" t="n"/>
      <c r="L147" s="148" t="n"/>
      <c r="M147" s="149" t="n"/>
      <c r="N147" s="150" t="inlineStr">
        <is>
          <t>O</t>
        </is>
      </c>
      <c r="O147" s="151" t="n"/>
      <c r="P147" s="152">
        <f>IF($I147="","",IF($J147="O","3","")&amp;IF($K147="O","4","")&amp;IF($L147="O","6","")&amp;IF($M147="O","7","")&amp;IF($N147="O","8","")&amp;IF($O147="O","?","")&amp;IF(OR($J147="O",$K147="O",$L147="O",$M147="O",$N147="O",$O147="O"),"-","")&amp;$I147)</f>
        <v/>
      </c>
      <c r="Q147" s="153">
        <f>HYPERLINK("#'마스터_품목'!A166","→ 마스터 R166")</f>
        <v/>
      </c>
      <c r="R147" s="154" t="n">
        <v>166</v>
      </c>
      <c r="S147" s="154" t="inlineStr">
        <is>
          <t>마스터_품목</t>
        </is>
      </c>
    </row>
    <row r="148" ht="48" customHeight="1">
      <c r="A148" s="140" t="inlineStr">
        <is>
          <t>진공</t>
        </is>
      </c>
      <c r="B148" s="140" t="inlineStr">
        <is>
          <t>진공</t>
        </is>
      </c>
      <c r="C148" s="141" t="inlineStr">
        <is>
          <t>COCOON</t>
        </is>
      </c>
      <c r="D148" s="141" t="inlineStr">
        <is>
          <t>COGR + FET BD</t>
        </is>
      </c>
      <c r="E148" s="141" t="n"/>
      <c r="F148" s="142" t="n"/>
      <c r="G148" s="143" t="n"/>
      <c r="H148" s="144" t="inlineStr">
        <is>
          <t>O</t>
        </is>
      </c>
      <c r="I148" s="145">
        <f>IFERROR(IF(OR($F148="O",$G148="O",$H148="O"),CHOOSE(MATCH($A148,{"튜브","고압","진공","튜닝","조립","출하"},0),"T","H","V","N","A","P")&amp;IF($F148="O","R",IF($G148="O","A",IF($H148="O","F",""))),""),"")</f>
        <v/>
      </c>
      <c r="J148" s="146" t="n"/>
      <c r="K148" s="147" t="n"/>
      <c r="L148" s="148" t="n"/>
      <c r="M148" s="149" t="inlineStr">
        <is>
          <t>O</t>
        </is>
      </c>
      <c r="N148" s="150" t="n"/>
      <c r="O148" s="151" t="n"/>
      <c r="P148" s="152">
        <f>IF($I148="","",IF($J148="O","3","")&amp;IF($K148="O","4","")&amp;IF($L148="O","6","")&amp;IF($M148="O","7","")&amp;IF($N148="O","8","")&amp;IF($O148="O","?","")&amp;IF(OR($J148="O",$K148="O",$L148="O",$M148="O",$N148="O",$O148="O"),"-","")&amp;$I148)</f>
        <v/>
      </c>
      <c r="Q148" s="153">
        <f>HYPERLINK("#'마스터_품목'!A167","→ 마스터 R167")</f>
        <v/>
      </c>
      <c r="R148" s="154" t="n">
        <v>167</v>
      </c>
      <c r="S148" s="154" t="inlineStr">
        <is>
          <t>마스터_품목</t>
        </is>
      </c>
    </row>
    <row r="149" ht="48" customHeight="1">
      <c r="A149" s="140" t="inlineStr">
        <is>
          <t>튜닝</t>
        </is>
      </c>
      <c r="B149" s="140" t="inlineStr">
        <is>
          <t>튜닝완료</t>
        </is>
      </c>
      <c r="C149" s="141" t="inlineStr">
        <is>
          <t>DX3000</t>
        </is>
      </c>
      <c r="D149" s="141" t="inlineStr">
        <is>
          <t>D3GR + D3CD (해외용)
60KV, 2mA</t>
        </is>
      </c>
      <c r="E149" s="141" t="n"/>
      <c r="F149" s="142" t="n"/>
      <c r="G149" s="143" t="n"/>
      <c r="H149" s="144" t="inlineStr">
        <is>
          <t>O</t>
        </is>
      </c>
      <c r="I149" s="145">
        <f>IFERROR(IF(OR($F149="O",$G149="O",$H149="O"),CHOOSE(MATCH($A149,{"튜브","고압","진공","튜닝","조립","출하"},0),"T","H","V","N","A","P")&amp;IF($F149="O","R",IF($G149="O","A",IF($H149="O","F",""))),""),"")</f>
        <v/>
      </c>
      <c r="J149" s="146" t="inlineStr">
        <is>
          <t>O</t>
        </is>
      </c>
      <c r="K149" s="147" t="n"/>
      <c r="L149" s="148" t="n"/>
      <c r="M149" s="149" t="n"/>
      <c r="N149" s="150" t="n"/>
      <c r="O149" s="151" t="n"/>
      <c r="P149" s="152">
        <f>IF($I149="","",IF($J149="O","3","")&amp;IF($K149="O","4","")&amp;IF($L149="O","6","")&amp;IF($M149="O","7","")&amp;IF($N149="O","8","")&amp;IF($O149="O","?","")&amp;IF(OR($J149="O",$K149="O",$L149="O",$M149="O",$N149="O",$O149="O"),"-","")&amp;$I149)</f>
        <v/>
      </c>
      <c r="Q149" s="153">
        <f>HYPERLINK("#'마스터_품목'!A168","→ 마스터 R168")</f>
        <v/>
      </c>
      <c r="R149" s="154" t="n">
        <v>168</v>
      </c>
      <c r="S149" s="154" t="inlineStr">
        <is>
          <t>마스터_품목</t>
        </is>
      </c>
    </row>
    <row r="150" ht="48" customHeight="1">
      <c r="A150" s="140" t="inlineStr">
        <is>
          <t>튜닝</t>
        </is>
      </c>
      <c r="B150" s="140" t="inlineStr">
        <is>
          <t>튜닝완료</t>
        </is>
      </c>
      <c r="C150" s="141" t="inlineStr">
        <is>
          <t>DX3000</t>
        </is>
      </c>
      <c r="D150" s="141" t="inlineStr">
        <is>
          <t>D3GR + D3CD + 1.4T (Safari Dental용)
60KV, 2mA</t>
        </is>
      </c>
      <c r="E150" s="141" t="n"/>
      <c r="F150" s="142" t="n"/>
      <c r="G150" s="143" t="n"/>
      <c r="H150" s="144" t="inlineStr">
        <is>
          <t>O</t>
        </is>
      </c>
      <c r="I150" s="145">
        <f>IFERROR(IF(OR($F150="O",$G150="O",$H150="O"),CHOOSE(MATCH($A150,{"튜브","고압","진공","튜닝","조립","출하"},0),"T","H","V","N","A","P")&amp;IF($F150="O","R",IF($G150="O","A",IF($H150="O","F",""))),""),"")</f>
        <v/>
      </c>
      <c r="J150" s="146" t="inlineStr">
        <is>
          <t>O</t>
        </is>
      </c>
      <c r="K150" s="147" t="n"/>
      <c r="L150" s="148" t="n"/>
      <c r="M150" s="149" t="n"/>
      <c r="N150" s="150" t="n"/>
      <c r="O150" s="151" t="n"/>
      <c r="P150" s="152">
        <f>IF($I150="","",IF($J150="O","3","")&amp;IF($K150="O","4","")&amp;IF($L150="O","6","")&amp;IF($M150="O","7","")&amp;IF($N150="O","8","")&amp;IF($O150="O","?","")&amp;IF(OR($J150="O",$K150="O",$L150="O",$M150="O",$N150="O",$O150="O"),"-","")&amp;$I150)</f>
        <v/>
      </c>
      <c r="Q150" s="153">
        <f>HYPERLINK("#'마스터_품목'!A169","→ 마스터 R169")</f>
        <v/>
      </c>
      <c r="R150" s="154" t="n">
        <v>169</v>
      </c>
      <c r="S150" s="154" t="inlineStr">
        <is>
          <t>마스터_품목</t>
        </is>
      </c>
    </row>
    <row r="151" ht="48" customHeight="1">
      <c r="A151" s="140" t="inlineStr">
        <is>
          <t>튜닝</t>
        </is>
      </c>
      <c r="B151" s="140" t="inlineStr">
        <is>
          <t>튜닝완료</t>
        </is>
      </c>
      <c r="C151" s="141" t="inlineStr">
        <is>
          <t>DX3000</t>
        </is>
      </c>
      <c r="D151" s="141" t="inlineStr">
        <is>
          <t>D3GR + D3CL (미국용)
65kv, 1.7mA</t>
        </is>
      </c>
      <c r="E151" s="141" t="n"/>
      <c r="F151" s="142" t="n"/>
      <c r="G151" s="143" t="n"/>
      <c r="H151" s="144" t="inlineStr">
        <is>
          <t>O</t>
        </is>
      </c>
      <c r="I151" s="145">
        <f>IFERROR(IF(OR($F151="O",$G151="O",$H151="O"),CHOOSE(MATCH($A151,{"튜브","고압","진공","튜닝","조립","출하"},0),"T","H","V","N","A","P")&amp;IF($F151="O","R",IF($G151="O","A",IF($H151="O","F",""))),""),"")</f>
        <v/>
      </c>
      <c r="J151" s="146" t="inlineStr">
        <is>
          <t>O</t>
        </is>
      </c>
      <c r="K151" s="147" t="n"/>
      <c r="L151" s="148" t="n"/>
      <c r="M151" s="149" t="n"/>
      <c r="N151" s="150" t="n"/>
      <c r="O151" s="151" t="n"/>
      <c r="P151" s="152">
        <f>IF($I151="","",IF($J151="O","3","")&amp;IF($K151="O","4","")&amp;IF($L151="O","6","")&amp;IF($M151="O","7","")&amp;IF($N151="O","8","")&amp;IF($O151="O","?","")&amp;IF(OR($J151="O",$K151="O",$L151="O",$M151="O",$N151="O",$O151="O"),"-","")&amp;$I151)</f>
        <v/>
      </c>
      <c r="Q151" s="153">
        <f>HYPERLINK("#'마스터_품목'!A170","→ 마스터 R170")</f>
        <v/>
      </c>
      <c r="R151" s="154" t="n">
        <v>170</v>
      </c>
      <c r="S151" s="154" t="inlineStr">
        <is>
          <t>마스터_품목</t>
        </is>
      </c>
    </row>
    <row r="152" ht="48" customHeight="1">
      <c r="A152" s="140" t="inlineStr">
        <is>
          <t>튜닝</t>
        </is>
      </c>
      <c r="B152" s="140" t="inlineStr">
        <is>
          <t>튜닝완료</t>
        </is>
      </c>
      <c r="C152" s="141" t="inlineStr">
        <is>
          <t>DX3000M</t>
        </is>
      </c>
      <c r="D152" s="141" t="inlineStr">
        <is>
          <t>D3GR + D3CT (TFT용)
70kv, 3mA</t>
        </is>
      </c>
      <c r="E152" s="141" t="n"/>
      <c r="F152" s="142" t="n"/>
      <c r="G152" s="143" t="n"/>
      <c r="H152" s="144" t="inlineStr">
        <is>
          <t>O</t>
        </is>
      </c>
      <c r="I152" s="145">
        <f>IFERROR(IF(OR($F152="O",$G152="O",$H152="O"),CHOOSE(MATCH($A152,{"튜브","고압","진공","튜닝","조립","출하"},0),"T","H","V","N","A","P")&amp;IF($F152="O","R",IF($G152="O","A",IF($H152="O","F",""))),""),"")</f>
        <v/>
      </c>
      <c r="J152" s="146" t="inlineStr">
        <is>
          <t>O</t>
        </is>
      </c>
      <c r="K152" s="147" t="n"/>
      <c r="L152" s="148" t="n"/>
      <c r="M152" s="149" t="n"/>
      <c r="N152" s="150" t="n"/>
      <c r="O152" s="151" t="n"/>
      <c r="P152" s="152">
        <f>IF($I152="","",IF($J152="O","3","")&amp;IF($K152="O","4","")&amp;IF($L152="O","6","")&amp;IF($M152="O","7","")&amp;IF($N152="O","8","")&amp;IF($O152="O","?","")&amp;IF(OR($J152="O",$K152="O",$L152="O",$M152="O",$N152="O",$O152="O"),"-","")&amp;$I152)</f>
        <v/>
      </c>
      <c r="Q152" s="153">
        <f>HYPERLINK("#'마스터_품목'!A171","→ 마스터 R171")</f>
        <v/>
      </c>
      <c r="R152" s="154" t="n">
        <v>171</v>
      </c>
      <c r="S152" s="154" t="inlineStr">
        <is>
          <t>마스터_품목</t>
        </is>
      </c>
    </row>
    <row r="153" ht="48" customHeight="1">
      <c r="A153" s="140" t="inlineStr">
        <is>
          <t>튜닝</t>
        </is>
      </c>
      <c r="B153" s="140" t="inlineStr">
        <is>
          <t>튜닝완료</t>
        </is>
      </c>
      <c r="C153" s="141" t="inlineStr">
        <is>
          <t>ADX4000W</t>
        </is>
      </c>
      <c r="D153" s="141" t="inlineStr">
        <is>
          <t>A4GR + A4CB
60KV 2mA</t>
        </is>
      </c>
      <c r="E153" s="141" t="n"/>
      <c r="F153" s="142" t="n"/>
      <c r="G153" s="143" t="n"/>
      <c r="H153" s="144" t="inlineStr">
        <is>
          <t>O</t>
        </is>
      </c>
      <c r="I153" s="145">
        <f>IFERROR(IF(OR($F153="O",$G153="O",$H153="O"),CHOOSE(MATCH($A153,{"튜브","고압","진공","튜닝","조립","출하"},0),"T","H","V","N","A","P")&amp;IF($F153="O","R",IF($G153="O","A",IF($H153="O","F",""))),""),"")</f>
        <v/>
      </c>
      <c r="J153" s="146" t="n"/>
      <c r="K153" s="147" t="inlineStr">
        <is>
          <t>O</t>
        </is>
      </c>
      <c r="L153" s="148" t="n"/>
      <c r="M153" s="149" t="n"/>
      <c r="N153" s="150" t="n"/>
      <c r="O153" s="151" t="n"/>
      <c r="P153" s="152">
        <f>IF($I153="","",IF($J153="O","3","")&amp;IF($K153="O","4","")&amp;IF($L153="O","6","")&amp;IF($M153="O","7","")&amp;IF($N153="O","8","")&amp;IF($O153="O","?","")&amp;IF(OR($J153="O",$K153="O",$L153="O",$M153="O",$N153="O",$O153="O"),"-","")&amp;$I153)</f>
        <v/>
      </c>
      <c r="Q153" s="153">
        <f>HYPERLINK("#'마스터_품목'!A172","→ 마스터 R172")</f>
        <v/>
      </c>
      <c r="R153" s="154" t="n">
        <v>172</v>
      </c>
      <c r="S153" s="154" t="inlineStr">
        <is>
          <t>마스터_품목</t>
        </is>
      </c>
    </row>
    <row r="154" ht="48" customHeight="1">
      <c r="A154" s="140" t="inlineStr">
        <is>
          <t>튜닝</t>
        </is>
      </c>
      <c r="B154" s="140" t="inlineStr">
        <is>
          <t>튜닝완료</t>
        </is>
      </c>
      <c r="C154" s="141" t="inlineStr">
        <is>
          <t>ADX4000W</t>
        </is>
      </c>
      <c r="D154" s="141" t="inlineStr">
        <is>
          <t>A4GR + A4CB + 1.4T (Safari Dental용)
60KV 2mA</t>
        </is>
      </c>
      <c r="E154" s="141" t="n"/>
      <c r="F154" s="142" t="n"/>
      <c r="G154" s="143" t="n"/>
      <c r="H154" s="144" t="inlineStr">
        <is>
          <t>O</t>
        </is>
      </c>
      <c r="I154" s="145">
        <f>IFERROR(IF(OR($F154="O",$G154="O",$H154="O"),CHOOSE(MATCH($A154,{"튜브","고압","진공","튜닝","조립","출하"},0),"T","H","V","N","A","P")&amp;IF($F154="O","R",IF($G154="O","A",IF($H154="O","F",""))),""),"")</f>
        <v/>
      </c>
      <c r="J154" s="146" t="n"/>
      <c r="K154" s="147" t="inlineStr">
        <is>
          <t>O</t>
        </is>
      </c>
      <c r="L154" s="148" t="n"/>
      <c r="M154" s="149" t="n"/>
      <c r="N154" s="150" t="n"/>
      <c r="O154" s="151" t="n"/>
      <c r="P154" s="152">
        <f>IF($I154="","",IF($J154="O","3","")&amp;IF($K154="O","4","")&amp;IF($L154="O","6","")&amp;IF($M154="O","7","")&amp;IF($N154="O","8","")&amp;IF($O154="O","?","")&amp;IF(OR($J154="O",$K154="O",$L154="O",$M154="O",$N154="O",$O154="O"),"-","")&amp;$I154)</f>
        <v/>
      </c>
      <c r="Q154" s="153">
        <f>HYPERLINK("#'마스터_품목'!A173","→ 마스터 R173")</f>
        <v/>
      </c>
      <c r="R154" s="154" t="n">
        <v>173</v>
      </c>
      <c r="S154" s="154" t="inlineStr">
        <is>
          <t>마스터_품목</t>
        </is>
      </c>
    </row>
    <row r="155" ht="48" customHeight="1">
      <c r="A155" s="140" t="inlineStr">
        <is>
          <t>튜닝</t>
        </is>
      </c>
      <c r="B155" s="140" t="inlineStr">
        <is>
          <t>튜닝완료</t>
        </is>
      </c>
      <c r="C155" s="141" t="inlineStr">
        <is>
          <t>ADX6000</t>
        </is>
      </c>
      <c r="D155" s="141" t="inlineStr">
        <is>
          <t>XG + A6CTR
80KV, 5mA</t>
        </is>
      </c>
      <c r="E155" s="141" t="n"/>
      <c r="F155" s="142" t="n"/>
      <c r="G155" s="143" t="n"/>
      <c r="H155" s="144" t="inlineStr">
        <is>
          <t>O</t>
        </is>
      </c>
      <c r="I155" s="145">
        <f>IFERROR(IF(OR($F155="O",$G155="O",$H155="O"),CHOOSE(MATCH($A155,{"튜브","고압","진공","튜닝","조립","출하"},0),"T","H","V","N","A","P")&amp;IF($F155="O","R",IF($G155="O","A",IF($H155="O","F",""))),""),"")</f>
        <v/>
      </c>
      <c r="J155" s="146" t="n"/>
      <c r="K155" s="147" t="n"/>
      <c r="L155" s="148" t="inlineStr">
        <is>
          <t>O</t>
        </is>
      </c>
      <c r="M155" s="149" t="n"/>
      <c r="N155" s="150" t="n"/>
      <c r="O155" s="151" t="n"/>
      <c r="P155" s="152">
        <f>IF($I155="","",IF($J155="O","3","")&amp;IF($K155="O","4","")&amp;IF($L155="O","6","")&amp;IF($M155="O","7","")&amp;IF($N155="O","8","")&amp;IF($O155="O","?","")&amp;IF(OR($J155="O",$K155="O",$L155="O",$M155="O",$N155="O",$O155="O"),"-","")&amp;$I155)</f>
        <v/>
      </c>
      <c r="Q155" s="153">
        <f>HYPERLINK("#'마스터_품목'!A174","→ 마스터 R174")</f>
        <v/>
      </c>
      <c r="R155" s="154" t="n">
        <v>174</v>
      </c>
      <c r="S155" s="154" t="inlineStr">
        <is>
          <t>마스터_품목</t>
        </is>
      </c>
    </row>
    <row r="156" ht="48" customHeight="1">
      <c r="A156" s="140" t="inlineStr">
        <is>
          <t>튜닝</t>
        </is>
      </c>
      <c r="B156" s="140" t="inlineStr">
        <is>
          <t>튜닝완료</t>
        </is>
      </c>
      <c r="C156" s="141" t="inlineStr">
        <is>
          <t>ADX6000S</t>
        </is>
      </c>
      <c r="D156" s="141" t="inlineStr">
        <is>
          <t>A6GR + A6CB
90KV 6mA</t>
        </is>
      </c>
      <c r="E156" s="141" t="n"/>
      <c r="F156" s="142" t="n"/>
      <c r="G156" s="143" t="n"/>
      <c r="H156" s="144" t="inlineStr">
        <is>
          <t>O</t>
        </is>
      </c>
      <c r="I156" s="145">
        <f>IFERROR(IF(OR($F156="O",$G156="O",$H156="O"),CHOOSE(MATCH($A156,{"튜브","고압","진공","튜닝","조립","출하"},0),"T","H","V","N","A","P")&amp;IF($F156="O","R",IF($G156="O","A",IF($H156="O","F",""))),""),"")</f>
        <v/>
      </c>
      <c r="J156" s="146" t="n"/>
      <c r="K156" s="147" t="n"/>
      <c r="L156" s="148" t="inlineStr">
        <is>
          <t>O</t>
        </is>
      </c>
      <c r="M156" s="149" t="n"/>
      <c r="N156" s="150" t="n"/>
      <c r="O156" s="151" t="n"/>
      <c r="P156" s="152">
        <f>IF($I156="","",IF($J156="O","3","")&amp;IF($K156="O","4","")&amp;IF($L156="O","6","")&amp;IF($M156="O","7","")&amp;IF($N156="O","8","")&amp;IF($O156="O","?","")&amp;IF(OR($J156="O",$K156="O",$L156="O",$M156="O",$N156="O",$O156="O"),"-","")&amp;$I156)</f>
        <v/>
      </c>
      <c r="Q156" s="153">
        <f>HYPERLINK("#'마스터_품목'!A175","→ 마스터 R175")</f>
        <v/>
      </c>
      <c r="R156" s="154" t="n">
        <v>175</v>
      </c>
      <c r="S156" s="154" t="inlineStr">
        <is>
          <t>마스터_품목</t>
        </is>
      </c>
    </row>
    <row r="157" ht="48" customHeight="1">
      <c r="A157" s="140" t="inlineStr">
        <is>
          <t>튜닝</t>
        </is>
      </c>
      <c r="B157" s="140" t="inlineStr">
        <is>
          <t>튜닝완료</t>
        </is>
      </c>
      <c r="C157" s="141" t="inlineStr">
        <is>
          <t>COCOON</t>
        </is>
      </c>
      <c r="D157" s="141" t="inlineStr">
        <is>
          <t>COGR + COCB + FET BD
70kv, 2mA</t>
        </is>
      </c>
      <c r="E157" s="141" t="n"/>
      <c r="F157" s="142" t="n"/>
      <c r="G157" s="143" t="n"/>
      <c r="H157" s="144" t="inlineStr">
        <is>
          <t>O</t>
        </is>
      </c>
      <c r="I157" s="145">
        <f>IFERROR(IF(OR($F157="O",$G157="O",$H157="O"),CHOOSE(MATCH($A157,{"튜브","고압","진공","튜닝","조립","출하"},0),"T","H","V","N","A","P")&amp;IF($F157="O","R",IF($G157="O","A",IF($H157="O","F",""))),""),"")</f>
        <v/>
      </c>
      <c r="J157" s="146" t="n"/>
      <c r="K157" s="147" t="n"/>
      <c r="L157" s="148" t="n"/>
      <c r="M157" s="149" t="inlineStr">
        <is>
          <t>O</t>
        </is>
      </c>
      <c r="N157" s="150" t="n"/>
      <c r="O157" s="151" t="n"/>
      <c r="P157" s="152">
        <f>IF($I157="","",IF($J157="O","3","")&amp;IF($K157="O","4","")&amp;IF($L157="O","6","")&amp;IF($M157="O","7","")&amp;IF($N157="O","8","")&amp;IF($O157="O","?","")&amp;IF(OR($J157="O",$K157="O",$L157="O",$M157="O",$N157="O",$O157="O"),"-","")&amp;$I157)</f>
        <v/>
      </c>
      <c r="Q157" s="153">
        <f>HYPERLINK("#'마스터_품목'!A176","→ 마스터 R176")</f>
        <v/>
      </c>
      <c r="R157" s="154" t="n">
        <v>176</v>
      </c>
      <c r="S157" s="154" t="inlineStr">
        <is>
          <t>마스터_품목</t>
        </is>
      </c>
    </row>
    <row r="158" ht="48" customHeight="1">
      <c r="A158" s="140" t="inlineStr">
        <is>
          <t>튜닝</t>
        </is>
      </c>
      <c r="B158" s="140" t="inlineStr">
        <is>
          <t>튜닝완료</t>
        </is>
      </c>
      <c r="C158" s="141" t="inlineStr">
        <is>
          <t>SOLO</t>
        </is>
      </c>
      <c r="D158" s="141" t="inlineStr">
        <is>
          <t>CSGR + CSCB 
70KV 2mA</t>
        </is>
      </c>
      <c r="E158" s="141" t="n"/>
      <c r="F158" s="142" t="n"/>
      <c r="G158" s="143" t="n"/>
      <c r="H158" s="144" t="inlineStr">
        <is>
          <t>O</t>
        </is>
      </c>
      <c r="I158" s="145">
        <f>IFERROR(IF(OR($F158="O",$G158="O",$H158="O"),CHOOSE(MATCH($A158,{"튜브","고압","진공","튜닝","조립","출하"},0),"T","H","V","N","A","P")&amp;IF($F158="O","R",IF($G158="O","A",IF($H158="O","F",""))),""),"")</f>
        <v/>
      </c>
      <c r="J158" s="146" t="n"/>
      <c r="K158" s="147" t="n"/>
      <c r="L158" s="148" t="n"/>
      <c r="M158" s="149" t="n"/>
      <c r="N158" s="150" t="inlineStr">
        <is>
          <t>O</t>
        </is>
      </c>
      <c r="O158" s="151" t="n"/>
      <c r="P158" s="152">
        <f>IF($I158="","",IF($J158="O","3","")&amp;IF($K158="O","4","")&amp;IF($L158="O","6","")&amp;IF($M158="O","7","")&amp;IF($N158="O","8","")&amp;IF($O158="O","?","")&amp;IF(OR($J158="O",$K158="O",$L158="O",$M158="O",$N158="O",$O158="O"),"-","")&amp;$I158)</f>
        <v/>
      </c>
      <c r="Q158" s="153">
        <f>HYPERLINK("#'마스터_품목'!A177","→ 마스터 R177")</f>
        <v/>
      </c>
      <c r="R158" s="154" t="n">
        <v>177</v>
      </c>
      <c r="S158" s="154" t="inlineStr">
        <is>
          <t>마스터_품목</t>
        </is>
      </c>
    </row>
    <row r="159" ht="48" customHeight="1">
      <c r="A159" s="127" t="inlineStr">
        <is>
          <t>튜닝</t>
        </is>
      </c>
      <c r="B159" s="140" t="inlineStr">
        <is>
          <t>6000S</t>
        </is>
      </c>
      <c r="C159" s="141" t="inlineStr">
        <is>
          <t>A6CB(8핀)</t>
        </is>
      </c>
      <c r="D159" s="141" t="inlineStr">
        <is>
          <t>V1.1.1</t>
        </is>
      </c>
      <c r="E159" s="141" t="n"/>
      <c r="F159" s="142" t="inlineStr">
        <is>
          <t>O</t>
        </is>
      </c>
      <c r="G159" s="143" t="n"/>
      <c r="H159" s="144" t="n"/>
      <c r="I159" s="145">
        <f>IFERROR(IF(OR($F159="O",$G159="O",$H159="O"),CHOOSE(MATCH($A159,{"튜브","고압","진공","튜닝","조립","출하"},0),"T","H","V","N","A","P")&amp;IF($F159="O","R",IF($G159="O","A",IF($H159="O","F",""))),""),"")</f>
        <v/>
      </c>
      <c r="J159" s="146" t="n"/>
      <c r="K159" s="147" t="n"/>
      <c r="L159" s="112" t="inlineStr">
        <is>
          <t>O</t>
        </is>
      </c>
      <c r="M159" s="113" t="n"/>
      <c r="N159" s="150" t="n"/>
      <c r="O159" s="151" t="n"/>
      <c r="P159" s="152">
        <f>IF($I159="","",IF($J159="O","3","")&amp;IF($K159="O","4","")&amp;IF($L159="O","6","")&amp;IF($M159="O","7","")&amp;IF($N159="O","8","")&amp;IF($O159="O","?","")&amp;IF(OR($J159="O",$K159="O",$L159="O",$M159="O",$N159="O",$O159="O"),"-","")&amp;$I159)</f>
        <v/>
      </c>
      <c r="Q159" s="153">
        <f>HYPERLINK("#'마스터_품목'!A688","→ 마스터 R688")</f>
        <v/>
      </c>
      <c r="R159" s="154" t="n">
        <v>688</v>
      </c>
      <c r="S159" s="154" t="inlineStr">
        <is>
          <t>마스터_품목</t>
        </is>
      </c>
    </row>
    <row r="160" ht="48" customHeight="1">
      <c r="A160" s="127" t="inlineStr">
        <is>
          <t>튜닝</t>
        </is>
      </c>
      <c r="B160" s="140" t="inlineStr">
        <is>
          <t>6000</t>
        </is>
      </c>
      <c r="C160" s="141" t="inlineStr">
        <is>
          <t>A6CTR(6000 CTR)</t>
        </is>
      </c>
      <c r="D160" s="141" t="inlineStr">
        <is>
          <t>V1.5</t>
        </is>
      </c>
      <c r="E160" s="141" t="n"/>
      <c r="F160" s="142" t="inlineStr">
        <is>
          <t>O</t>
        </is>
      </c>
      <c r="G160" s="143" t="n"/>
      <c r="H160" s="144" t="n"/>
      <c r="I160" s="145">
        <f>IFERROR(IF(OR($F160="O",$G160="O",$H160="O"),CHOOSE(MATCH($A160,{"튜브","고압","진공","튜닝","조립","출하"},0),"T","H","V","N","A","P")&amp;IF($F160="O","R",IF($G160="O","A",IF($H160="O","F",""))),""),"")</f>
        <v/>
      </c>
      <c r="J160" s="146" t="n"/>
      <c r="K160" s="147" t="n"/>
      <c r="L160" s="112" t="inlineStr">
        <is>
          <t>O</t>
        </is>
      </c>
      <c r="M160" s="113" t="n"/>
      <c r="N160" s="150" t="n"/>
      <c r="O160" s="151" t="n"/>
      <c r="P160" s="152">
        <f>IF($I160="","",IF($J160="O","3","")&amp;IF($K160="O","4","")&amp;IF($L160="O","6","")&amp;IF($M160="O","7","")&amp;IF($N160="O","8","")&amp;IF($O160="O","?","")&amp;IF(OR($J160="O",$K160="O",$L160="O",$M160="O",$N160="O",$O160="O"),"-","")&amp;$I160)</f>
        <v/>
      </c>
      <c r="Q160" s="153">
        <f>HYPERLINK("#'마스터_품목'!A689","→ 마스터 R689")</f>
        <v/>
      </c>
      <c r="R160" s="154" t="n">
        <v>689</v>
      </c>
      <c r="S160" s="154" t="inlineStr">
        <is>
          <t>마스터_품목</t>
        </is>
      </c>
    </row>
    <row r="161" ht="48" customHeight="1">
      <c r="A161" s="127" t="inlineStr">
        <is>
          <t>튜닝</t>
        </is>
      </c>
      <c r="B161" s="140" t="inlineStr">
        <is>
          <t>COCOON</t>
        </is>
      </c>
      <c r="C161" s="141" t="inlineStr">
        <is>
          <t>COCB(핸들공용 이전)</t>
        </is>
      </c>
      <c r="D161" s="141" t="inlineStr">
        <is>
          <t>v2.20.5</t>
        </is>
      </c>
      <c r="E161" s="141" t="n"/>
      <c r="F161" s="142" t="inlineStr">
        <is>
          <t>O</t>
        </is>
      </c>
      <c r="G161" s="143" t="n"/>
      <c r="H161" s="144" t="n"/>
      <c r="I161" s="145">
        <f>IFERROR(IF(OR($F161="O",$G161="O",$H161="O"),CHOOSE(MATCH($A161,{"튜브","고압","진공","튜닝","조립","출하"},0),"T","H","V","N","A","P")&amp;IF($F161="O","R",IF($G161="O","A",IF($H161="O","F",""))),""),"")</f>
        <v/>
      </c>
      <c r="J161" s="146" t="n"/>
      <c r="K161" s="147" t="n"/>
      <c r="L161" s="112" t="n"/>
      <c r="M161" s="113" t="inlineStr">
        <is>
          <t>O</t>
        </is>
      </c>
      <c r="N161" s="150" t="n"/>
      <c r="O161" s="151" t="n"/>
      <c r="P161" s="152">
        <f>IF($I161="","",IF($J161="O","3","")&amp;IF($K161="O","4","")&amp;IF($L161="O","6","")&amp;IF($M161="O","7","")&amp;IF($N161="O","8","")&amp;IF($O161="O","?","")&amp;IF(OR($J161="O",$K161="O",$L161="O",$M161="O",$N161="O",$O161="O"),"-","")&amp;$I161)</f>
        <v/>
      </c>
      <c r="Q161" s="153">
        <f>HYPERLINK("#'마스터_품목'!A690","→ 마스터 R690")</f>
        <v/>
      </c>
      <c r="R161" s="154" t="n">
        <v>690</v>
      </c>
      <c r="S161" s="154" t="inlineStr">
        <is>
          <t>마스터_품목</t>
        </is>
      </c>
    </row>
    <row r="162" ht="48" customHeight="1">
      <c r="A162" s="127" t="inlineStr">
        <is>
          <t>튜닝</t>
        </is>
      </c>
      <c r="B162" s="140" t="inlineStr">
        <is>
          <t>6000</t>
        </is>
      </c>
      <c r="C162" s="141" t="inlineStr">
        <is>
          <t>INNER_USB_BD
(6000 커넥터)</t>
        </is>
      </c>
      <c r="D162" s="141" t="inlineStr">
        <is>
          <t>V2.1</t>
        </is>
      </c>
      <c r="E162" s="141" t="n"/>
      <c r="F162" s="142" t="inlineStr">
        <is>
          <t>O</t>
        </is>
      </c>
      <c r="G162" s="143" t="n"/>
      <c r="H162" s="144" t="n"/>
      <c r="I162" s="145">
        <f>IFERROR(IF(OR($F162="O",$G162="O",$H162="O"),CHOOSE(MATCH($A162,{"튜브","고압","진공","튜닝","조립","출하"},0),"T","H","V","N","A","P")&amp;IF($F162="O","R",IF($G162="O","A",IF($H162="O","F",""))),""),"")</f>
        <v/>
      </c>
      <c r="J162" s="146" t="n"/>
      <c r="K162" s="147" t="n"/>
      <c r="L162" s="112" t="inlineStr">
        <is>
          <t>O</t>
        </is>
      </c>
      <c r="M162" s="113" t="n"/>
      <c r="N162" s="150" t="n"/>
      <c r="O162" s="151" t="n"/>
      <c r="P162" s="152">
        <f>IF($I162="","",IF($J162="O","3","")&amp;IF($K162="O","4","")&amp;IF($L162="O","6","")&amp;IF($M162="O","7","")&amp;IF($N162="O","8","")&amp;IF($O162="O","?","")&amp;IF(OR($J162="O",$K162="O",$L162="O",$M162="O",$N162="O",$O162="O"),"-","")&amp;$I162)</f>
        <v/>
      </c>
      <c r="Q162" s="153">
        <f>HYPERLINK("#'마스터_품목'!A691","→ 마스터 R691")</f>
        <v/>
      </c>
      <c r="R162" s="154" t="n">
        <v>691</v>
      </c>
      <c r="S162" s="154" t="inlineStr">
        <is>
          <t>마스터_품목</t>
        </is>
      </c>
    </row>
    <row r="163" ht="48" customHeight="1">
      <c r="A163" s="127" t="inlineStr">
        <is>
          <t>튜닝</t>
        </is>
      </c>
      <c r="B163" s="140" t="inlineStr">
        <is>
          <t>6000S</t>
        </is>
      </c>
      <c r="C163" s="141" t="inlineStr">
        <is>
          <t>CTR_to_GEN BD
(8핀 커넥터)</t>
        </is>
      </c>
      <c r="D163" s="141" t="inlineStr">
        <is>
          <t>V2.0.0</t>
        </is>
      </c>
      <c r="E163" s="141" t="n"/>
      <c r="F163" s="142" t="inlineStr">
        <is>
          <t>O</t>
        </is>
      </c>
      <c r="G163" s="143" t="n"/>
      <c r="H163" s="144" t="n"/>
      <c r="I163" s="145">
        <f>IFERROR(IF(OR($F163="O",$G163="O",$H163="O"),CHOOSE(MATCH($A163,{"튜브","고압","진공","튜닝","조립","출하"},0),"T","H","V","N","A","P")&amp;IF($F163="O","R",IF($G163="O","A",IF($H163="O","F",""))),""),"")</f>
        <v/>
      </c>
      <c r="J163" s="146" t="n"/>
      <c r="K163" s="147" t="n"/>
      <c r="L163" s="114" t="inlineStr">
        <is>
          <t>O</t>
        </is>
      </c>
      <c r="M163" s="113" t="n"/>
      <c r="N163" s="150" t="n"/>
      <c r="O163" s="151" t="n"/>
      <c r="P163" s="152">
        <f>IF($I163="","",IF($J163="O","3","")&amp;IF($K163="O","4","")&amp;IF($L163="O","6","")&amp;IF($M163="O","7","")&amp;IF($N163="O","8","")&amp;IF($O163="O","?","")&amp;IF(OR($J163="O",$K163="O",$L163="O",$M163="O",$N163="O",$O163="O"),"-","")&amp;$I163)</f>
        <v/>
      </c>
      <c r="Q163" s="153">
        <f>HYPERLINK("#'마스터_품목'!A692","→ 마스터 R692")</f>
        <v/>
      </c>
      <c r="R163" s="154" t="n">
        <v>692</v>
      </c>
      <c r="S163" s="154" t="inlineStr">
        <is>
          <t>마스터_품목</t>
        </is>
      </c>
    </row>
    <row r="164" ht="48" customHeight="1">
      <c r="A164" s="127" t="inlineStr">
        <is>
          <t>튜닝</t>
        </is>
      </c>
      <c r="B164" s="140" t="inlineStr">
        <is>
          <t>6000S</t>
        </is>
      </c>
      <c r="C164" s="141" t="inlineStr">
        <is>
          <t>AIM_LIGHT_DRIVER BD
(9핀 커넥터)</t>
        </is>
      </c>
      <c r="D164" s="141" t="inlineStr">
        <is>
          <t>V1.0.0</t>
        </is>
      </c>
      <c r="E164" s="141" t="n"/>
      <c r="F164" s="142" t="inlineStr">
        <is>
          <t>O</t>
        </is>
      </c>
      <c r="G164" s="143" t="n"/>
      <c r="H164" s="144" t="n"/>
      <c r="I164" s="145">
        <f>IFERROR(IF(OR($F164="O",$G164="O",$H164="O"),CHOOSE(MATCH($A164,{"튜브","고압","진공","튜닝","조립","출하"},0),"T","H","V","N","A","P")&amp;IF($F164="O","R",IF($G164="O","A",IF($H164="O","F",""))),""),"")</f>
        <v/>
      </c>
      <c r="J164" s="146" t="n"/>
      <c r="K164" s="147" t="n"/>
      <c r="L164" s="114" t="inlineStr">
        <is>
          <t>O</t>
        </is>
      </c>
      <c r="M164" s="113" t="n"/>
      <c r="N164" s="150" t="n"/>
      <c r="O164" s="151" t="n"/>
      <c r="P164" s="152">
        <f>IF($I164="","",IF($J164="O","3","")&amp;IF($K164="O","4","")&amp;IF($L164="O","6","")&amp;IF($M164="O","7","")&amp;IF($N164="O","8","")&amp;IF($O164="O","?","")&amp;IF(OR($J164="O",$K164="O",$L164="O",$M164="O",$N164="O",$O164="O"),"-","")&amp;$I164)</f>
        <v/>
      </c>
      <c r="Q164" s="153">
        <f>HYPERLINK("#'마스터_품목'!A693","→ 마스터 R693")</f>
        <v/>
      </c>
      <c r="R164" s="154" t="n">
        <v>693</v>
      </c>
      <c r="S164" s="154" t="inlineStr">
        <is>
          <t>마스터_품목</t>
        </is>
      </c>
    </row>
    <row r="165" ht="48" customHeight="1">
      <c r="A165" s="127" t="inlineStr">
        <is>
          <t>튜닝</t>
        </is>
      </c>
      <c r="B165" s="140" t="inlineStr">
        <is>
          <t>6000FB</t>
        </is>
      </c>
      <c r="C165" s="141" t="inlineStr">
        <is>
          <t>CTR_to_GEN BD
(10핀 커넥터)</t>
        </is>
      </c>
      <c r="D165" s="141" t="inlineStr">
        <is>
          <t>V2.0.1</t>
        </is>
      </c>
      <c r="E165" s="141" t="n"/>
      <c r="F165" s="142" t="inlineStr">
        <is>
          <t>O</t>
        </is>
      </c>
      <c r="G165" s="143" t="n"/>
      <c r="H165" s="144" t="n"/>
      <c r="I165" s="145">
        <f>IFERROR(IF(OR($F165="O",$G165="O",$H165="O"),CHOOSE(MATCH($A165,{"튜브","고압","진공","튜닝","조립","출하"},0),"T","H","V","N","A","P")&amp;IF($F165="O","R",IF($G165="O","A",IF($H165="O","F",""))),""),"")</f>
        <v/>
      </c>
      <c r="J165" s="146" t="n"/>
      <c r="K165" s="147" t="n"/>
      <c r="L165" s="114" t="inlineStr">
        <is>
          <t>O</t>
        </is>
      </c>
      <c r="M165" s="113" t="n"/>
      <c r="N165" s="150" t="n"/>
      <c r="O165" s="151" t="n"/>
      <c r="P165" s="152">
        <f>IF($I165="","",IF($J165="O","3","")&amp;IF($K165="O","4","")&amp;IF($L165="O","6","")&amp;IF($M165="O","7","")&amp;IF($N165="O","8","")&amp;IF($O165="O","?","")&amp;IF(OR($J165="O",$K165="O",$L165="O",$M165="O",$N165="O",$O165="O"),"-","")&amp;$I165)</f>
        <v/>
      </c>
      <c r="Q165" s="153">
        <f>HYPERLINK("#'마스터_품목'!A694","→ 마스터 R694")</f>
        <v/>
      </c>
      <c r="R165" s="154" t="n">
        <v>694</v>
      </c>
      <c r="S165" s="154" t="inlineStr">
        <is>
          <t>마스터_품목</t>
        </is>
      </c>
    </row>
  </sheetData>
  <autoFilter ref="A1:S165"/>
  <conditionalFormatting sqref="E2:E165">
    <cfRule type="notContainsBlanks" priority="1" dxfId="8"/>
  </conditionalFormatting>
  <conditionalFormatting sqref="I2:I165">
    <cfRule type="expression" priority="2" dxfId="7">
      <formula>RIGHT($I2,1)="R"</formula>
    </cfRule>
    <cfRule type="expression" priority="3" dxfId="6">
      <formula>RIGHT($I2,1)="A"</formula>
    </cfRule>
    <cfRule type="expression" priority="4" dxfId="5">
      <formula>RIGHT($I2,1)="F"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2"/>
  <sheetViews>
    <sheetView topLeftCell="A1" zoomScale="70" zoomScaleNormal="70" workbookViewId="0">
      <pane ySplit="1" topLeftCell="A2" activePane="bottomLeft" state="frozen"/>
      <selection activeCell="A1" sqref="A1"/>
    </sheetView>
  </sheetViews>
  <sheetFormatPr baseColWidth="8" defaultRowHeight="16.5"/>
  <cols>
    <col width="8" customWidth="1" min="1" max="1"/>
    <col width="14" customWidth="1" min="2" max="2"/>
    <col width="22" customWidth="1" min="3" max="3"/>
    <col width="52" customWidth="1" min="4" max="5"/>
    <col outlineLevel="2" width="9" customWidth="1" min="6" max="6"/>
    <col outlineLevel="2" width="13" customWidth="1" min="7" max="8"/>
    <col outlineLevel="2" width="9" customWidth="1" min="9" max="9"/>
    <col outlineLevel="1" width="16" bestFit="1" customWidth="1" min="10" max="10"/>
    <col outlineLevel="1" width="13.75" customWidth="1" min="11" max="11"/>
    <col outlineLevel="1" width="13" customWidth="1" min="12" max="14"/>
    <col outlineLevel="1" collapsed="1" width="13" customWidth="1" min="15" max="15"/>
    <col width="14" customWidth="1" min="16" max="16"/>
    <col width="16" customWidth="1" min="17" max="17"/>
    <col width="9" customWidth="1" min="18" max="18"/>
    <col width="14" customWidth="1" min="19" max="19"/>
  </cols>
  <sheetData>
    <row r="1" ht="36" customHeight="1">
      <c r="A1" s="2" t="inlineStr">
        <is>
          <t>부서</t>
        </is>
      </c>
      <c r="B1" s="2" t="inlineStr">
        <is>
          <t>분류</t>
        </is>
      </c>
      <c r="C1" s="2" t="inlineStr">
        <is>
          <t>모델</t>
        </is>
      </c>
      <c r="D1" s="2" t="inlineStr">
        <is>
          <t>품목</t>
        </is>
      </c>
      <c r="E1" s="3" t="inlineStr">
        <is>
          <t>▼ 창고 품명 (창고파일에서 복사→붙여넣기)</t>
        </is>
      </c>
      <c r="F1" s="4" t="inlineStr">
        <is>
          <t>원자재</t>
        </is>
      </c>
      <c r="G1" s="5" t="inlineStr">
        <is>
          <t>반제품</t>
        </is>
      </c>
      <c r="H1" s="6" t="inlineStr">
        <is>
          <t>완제품</t>
        </is>
      </c>
      <c r="I1" s="7" t="inlineStr">
        <is>
          <t>코드</t>
        </is>
      </c>
      <c r="J1" s="8" t="inlineStr">
        <is>
          <t>3
(DX3000)</t>
        </is>
      </c>
      <c r="K1" s="9" t="inlineStr">
        <is>
          <t>4
(ADX4000W)</t>
        </is>
      </c>
      <c r="L1" s="46" t="inlineStr">
        <is>
          <t>6
(ADX6000FB)</t>
        </is>
      </c>
      <c r="M1" s="11" t="inlineStr">
        <is>
          <t>7
(COCOON)</t>
        </is>
      </c>
      <c r="N1" s="12" t="inlineStr">
        <is>
          <t>8
(SOLO)</t>
        </is>
      </c>
      <c r="O1" s="13" t="inlineStr">
        <is>
          <t>?
(신제품)</t>
        </is>
      </c>
      <c r="P1" s="14" t="inlineStr">
        <is>
          <t>ERP 코드
{모델}-{공정}</t>
        </is>
      </c>
      <c r="Q1" s="108" t="inlineStr">
        <is>
          <t>바로가기
(마스터로)</t>
        </is>
      </c>
      <c r="R1" s="109" t="inlineStr">
        <is>
          <t>마스터행</t>
        </is>
      </c>
      <c r="S1" s="109" t="inlineStr">
        <is>
          <t>마스터시트</t>
        </is>
      </c>
    </row>
    <row r="2" ht="48" customHeight="1">
      <c r="A2" s="22" t="inlineStr">
        <is>
          <t>조립</t>
        </is>
      </c>
      <c r="B2" s="22" t="inlineStr">
        <is>
          <t>판넬</t>
        </is>
      </c>
      <c r="C2" s="23" t="inlineStr">
        <is>
          <t>DX3000</t>
        </is>
      </c>
      <c r="D2" s="45" t="inlineStr">
        <is>
          <t>2.35" LCD 판넬</t>
        </is>
      </c>
      <c r="E2" s="1" t="inlineStr">
        <is>
          <t>LCD PANEL (2.35"LCD)
[DX3000]</t>
        </is>
      </c>
      <c r="F2" s="24" t="inlineStr">
        <is>
          <t>O</t>
        </is>
      </c>
      <c r="G2" s="25" t="n"/>
      <c r="H2" s="26" t="n"/>
      <c r="I2" s="27">
        <f>IFERROR(IF(OR($F2="O",$G2="O",$H2="O"),CHOOSE(MATCH($A2,{"튜브","고압","진공","튜닝","조립","출하"},0),"T","H","V","N","A","P")&amp;IF($F2="O","R",IF($G2="O","A",IF($H2="O","F",""))),""),"")</f>
        <v/>
      </c>
      <c r="J2" s="15" t="inlineStr">
        <is>
          <t>O</t>
        </is>
      </c>
      <c r="K2" s="16" t="n"/>
      <c r="L2" s="17" t="n"/>
      <c r="M2" s="18" t="n"/>
      <c r="N2" s="19" t="n"/>
      <c r="O2" s="20" t="n"/>
      <c r="P2" s="21">
        <f>IF($I2="","",IF($J2="O","3","")&amp;IF($K2="O","4","")&amp;IF($L2="O","6","")&amp;IF($M2="O","7","")&amp;IF($N2="O","8","")&amp;IF($O2="O","?","")&amp;IF(OR($J2="O",$K2="O",$L2="O",$M2="O",$N2="O",$O2="O"),"-","")&amp;$I2)</f>
        <v/>
      </c>
      <c r="Q2" s="110">
        <f>HYPERLINK("#'마스터_품목'!A178","→ 마스터 R178")</f>
        <v/>
      </c>
      <c r="R2" s="111" t="n">
        <v>178</v>
      </c>
      <c r="S2" s="111" t="inlineStr">
        <is>
          <t>마스터_품목</t>
        </is>
      </c>
    </row>
    <row r="3" ht="48" customHeight="1">
      <c r="A3" s="22" t="inlineStr">
        <is>
          <t>조립</t>
        </is>
      </c>
      <c r="B3" s="22" t="inlineStr">
        <is>
          <t>판넬</t>
        </is>
      </c>
      <c r="C3" s="23" t="inlineStr">
        <is>
          <t>DX3000</t>
        </is>
      </c>
      <c r="D3" s="23" t="inlineStr">
        <is>
          <t>2.4" TFT LCD 판넬</t>
        </is>
      </c>
      <c r="E3" s="45" t="inlineStr">
        <is>
          <t>TFT LCD PANEL (2.4"LCD - CT1715N241A)
[DX3000, SOLO]</t>
        </is>
      </c>
      <c r="F3" s="24" t="inlineStr">
        <is>
          <t>O</t>
        </is>
      </c>
      <c r="G3" s="25" t="n"/>
      <c r="H3" s="26" t="n"/>
      <c r="I3" s="27">
        <f>IFERROR(IF(OR($F3="O",$G3="O",$H3="O"),CHOOSE(MATCH($A3,{"튜브","고압","진공","튜닝","조립","출하"},0),"T","H","V","N","A","P")&amp;IF($F3="O","R",IF($G3="O","A",IF($H3="O","F",""))),""),"")</f>
        <v/>
      </c>
      <c r="J3" s="15" t="inlineStr">
        <is>
          <t>O</t>
        </is>
      </c>
      <c r="K3" s="16" t="n"/>
      <c r="L3" s="17" t="n"/>
      <c r="M3" s="18" t="n"/>
      <c r="N3" s="19" t="inlineStr">
        <is>
          <t>O</t>
        </is>
      </c>
      <c r="O3" s="20" t="n"/>
      <c r="P3" s="21">
        <f>IF($I3="","",IF($J3="O","3","")&amp;IF($K3="O","4","")&amp;IF($L3="O","6","")&amp;IF($M3="O","7","")&amp;IF($N3="O","8","")&amp;IF($O3="O","?","")&amp;IF(OR($J3="O",$K3="O",$L3="O",$M3="O",$N3="O",$O3="O"),"-","")&amp;$I3)</f>
        <v/>
      </c>
      <c r="Q3" s="110">
        <f>HYPERLINK("#'마스터_품목'!A179","→ 마스터 R179")</f>
        <v/>
      </c>
      <c r="R3" s="111" t="n">
        <v>179</v>
      </c>
      <c r="S3" s="111" t="inlineStr">
        <is>
          <t>마스터_품목</t>
        </is>
      </c>
    </row>
    <row r="4" ht="48" customHeight="1">
      <c r="A4" s="22" t="inlineStr">
        <is>
          <t>조립</t>
        </is>
      </c>
      <c r="B4" s="22" t="inlineStr">
        <is>
          <t>사출 및 공용 자재</t>
        </is>
      </c>
      <c r="C4" s="23" t="inlineStr">
        <is>
          <t>DX3000</t>
        </is>
      </c>
      <c r="D4" s="23" t="inlineStr">
        <is>
          <t>LCD GUIDE</t>
        </is>
      </c>
      <c r="E4" s="23" t="inlineStr">
        <is>
          <t>LCD GUIDE (ABS 난연 화이트)
[DX3000]</t>
        </is>
      </c>
      <c r="F4" s="24" t="inlineStr">
        <is>
          <t>O</t>
        </is>
      </c>
      <c r="G4" s="25" t="n"/>
      <c r="H4" s="26" t="n"/>
      <c r="I4" s="27">
        <f>IFERROR(IF(OR($F4="O",$G4="O",$H4="O"),CHOOSE(MATCH($A4,{"튜브","고압","진공","튜닝","조립","출하"},0),"T","H","V","N","A","P")&amp;IF($F4="O","R",IF($G4="O","A",IF($H4="O","F",""))),""),"")</f>
        <v/>
      </c>
      <c r="J4" s="15" t="inlineStr">
        <is>
          <t>O</t>
        </is>
      </c>
      <c r="K4" s="16" t="n"/>
      <c r="L4" s="17" t="n"/>
      <c r="M4" s="18" t="n"/>
      <c r="N4" s="19" t="n"/>
      <c r="O4" s="20" t="n"/>
      <c r="P4" s="21">
        <f>IF($I4="","",IF($J4="O","3","")&amp;IF($K4="O","4","")&amp;IF($L4="O","6","")&amp;IF($M4="O","7","")&amp;IF($N4="O","8","")&amp;IF($O4="O","?","")&amp;IF(OR($J4="O",$K4="O",$L4="O",$M4="O",$N4="O",$O4="O"),"-","")&amp;$I4)</f>
        <v/>
      </c>
      <c r="Q4" s="110">
        <f>HYPERLINK("#'마스터_품목'!A180","→ 마스터 R180")</f>
        <v/>
      </c>
      <c r="R4" s="111" t="n">
        <v>180</v>
      </c>
      <c r="S4" s="111" t="inlineStr">
        <is>
          <t>마스터_품목</t>
        </is>
      </c>
    </row>
    <row r="5" ht="48" customHeight="1">
      <c r="A5" s="22" t="inlineStr">
        <is>
          <t>조립</t>
        </is>
      </c>
      <c r="B5" s="22" t="inlineStr">
        <is>
          <t>사출 및 공용 자재</t>
        </is>
      </c>
      <c r="C5" s="23" t="inlineStr">
        <is>
          <t>DX3000</t>
        </is>
      </c>
      <c r="D5" s="23" t="inlineStr">
        <is>
          <t>NAVI KEY</t>
        </is>
      </c>
      <c r="E5" s="23" t="inlineStr">
        <is>
          <t>NAVI KEY (ABS 난연 화이트 + 밝은 회색)
[DX3000]</t>
        </is>
      </c>
      <c r="F5" s="24" t="inlineStr">
        <is>
          <t>O</t>
        </is>
      </c>
      <c r="G5" s="25" t="n"/>
      <c r="H5" s="26" t="n"/>
      <c r="I5" s="27">
        <f>IFERROR(IF(OR($F5="O",$G5="O",$H5="O"),CHOOSE(MATCH($A5,{"튜브","고압","진공","튜닝","조립","출하"},0),"T","H","V","N","A","P")&amp;IF($F5="O","R",IF($G5="O","A",IF($H5="O","F",""))),""),"")</f>
        <v/>
      </c>
      <c r="J5" s="15" t="inlineStr">
        <is>
          <t>O</t>
        </is>
      </c>
      <c r="K5" s="16" t="n"/>
      <c r="L5" s="17" t="n"/>
      <c r="M5" s="18" t="n"/>
      <c r="N5" s="19" t="n"/>
      <c r="O5" s="20" t="n"/>
      <c r="P5" s="21">
        <f>IF($I5="","",IF($J5="O","3","")&amp;IF($K5="O","4","")&amp;IF($L5="O","6","")&amp;IF($M5="O","7","")&amp;IF($N5="O","8","")&amp;IF($O5="O","?","")&amp;IF(OR($J5="O",$K5="O",$L5="O",$M5="O",$N5="O",$O5="O"),"-","")&amp;$I5)</f>
        <v/>
      </c>
      <c r="Q5" s="110">
        <f>HYPERLINK("#'마스터_품목'!A181","→ 마스터 R181")</f>
        <v/>
      </c>
      <c r="R5" s="111" t="n">
        <v>181</v>
      </c>
      <c r="S5" s="111" t="inlineStr">
        <is>
          <t>마스터_품목</t>
        </is>
      </c>
    </row>
    <row r="6" ht="48" customHeight="1">
      <c r="A6" s="22" t="inlineStr">
        <is>
          <t>조립</t>
        </is>
      </c>
      <c r="B6" s="22" t="inlineStr">
        <is>
          <t>사출 및 공용 자재</t>
        </is>
      </c>
      <c r="C6" s="23" t="inlineStr">
        <is>
          <t>DX3000</t>
        </is>
      </c>
      <c r="D6" s="23" t="inlineStr">
        <is>
          <t>POWER LED</t>
        </is>
      </c>
      <c r="E6" s="23" t="inlineStr">
        <is>
          <t>POWER LED (확산 아크릴)
[DX3000]</t>
        </is>
      </c>
      <c r="F6" s="24" t="inlineStr">
        <is>
          <t>O</t>
        </is>
      </c>
      <c r="G6" s="25" t="n"/>
      <c r="H6" s="26" t="n"/>
      <c r="I6" s="27">
        <f>IFERROR(IF(OR($F6="O",$G6="O",$H6="O"),CHOOSE(MATCH($A6,{"튜브","고압","진공","튜닝","조립","출하"},0),"T","H","V","N","A","P")&amp;IF($F6="O","R",IF($G6="O","A",IF($H6="O","F",""))),""),"")</f>
        <v/>
      </c>
      <c r="J6" s="15" t="inlineStr">
        <is>
          <t>O</t>
        </is>
      </c>
      <c r="K6" s="16" t="n"/>
      <c r="L6" s="17" t="n"/>
      <c r="M6" s="18" t="n"/>
      <c r="N6" s="19" t="n"/>
      <c r="O6" s="20" t="n"/>
      <c r="P6" s="21">
        <f>IF($I6="","",IF($J6="O","3","")&amp;IF($K6="O","4","")&amp;IF($L6="O","6","")&amp;IF($M6="O","7","")&amp;IF($N6="O","8","")&amp;IF($O6="O","?","")&amp;IF(OR($J6="O",$K6="O",$L6="O",$M6="O",$N6="O",$O6="O"),"-","")&amp;$I6)</f>
        <v/>
      </c>
      <c r="Q6" s="110">
        <f>HYPERLINK("#'마스터_품목'!A182","→ 마스터 R182")</f>
        <v/>
      </c>
      <c r="R6" s="111" t="n">
        <v>182</v>
      </c>
      <c r="S6" s="111" t="inlineStr">
        <is>
          <t>마스터_품목</t>
        </is>
      </c>
    </row>
    <row r="7" ht="48" customHeight="1">
      <c r="A7" s="22" t="inlineStr">
        <is>
          <t>조립</t>
        </is>
      </c>
      <c r="B7" s="22" t="inlineStr">
        <is>
          <t>사출 및 공용 자재</t>
        </is>
      </c>
      <c r="C7" s="23" t="inlineStr">
        <is>
          <t>DX3000</t>
        </is>
      </c>
      <c r="D7" s="23" t="inlineStr">
        <is>
          <t>POWER BUTTON</t>
        </is>
      </c>
      <c r="E7" s="23" t="inlineStr">
        <is>
          <t>POWER BUTTON (ABS 난연 화이트 + 밝은 회색)
[DX3000]</t>
        </is>
      </c>
      <c r="F7" s="24" t="inlineStr">
        <is>
          <t>O</t>
        </is>
      </c>
      <c r="G7" s="25" t="n"/>
      <c r="H7" s="26" t="n"/>
      <c r="I7" s="27">
        <f>IFERROR(IF(OR($F7="O",$G7="O",$H7="O"),CHOOSE(MATCH($A7,{"튜브","고압","진공","튜닝","조립","출하"},0),"T","H","V","N","A","P")&amp;IF($F7="O","R",IF($G7="O","A",IF($H7="O","F",""))),""),"")</f>
        <v/>
      </c>
      <c r="J7" s="15" t="inlineStr">
        <is>
          <t>O</t>
        </is>
      </c>
      <c r="K7" s="16" t="n"/>
      <c r="L7" s="17" t="n"/>
      <c r="M7" s="18" t="n"/>
      <c r="N7" s="19" t="n"/>
      <c r="O7" s="20" t="n"/>
      <c r="P7" s="21">
        <f>IF($I7="","",IF($J7="O","3","")&amp;IF($K7="O","4","")&amp;IF($L7="O","6","")&amp;IF($M7="O","7","")&amp;IF($N7="O","8","")&amp;IF($O7="O","?","")&amp;IF(OR($J7="O",$K7="O",$L7="O",$M7="O",$N7="O",$O7="O"),"-","")&amp;$I7)</f>
        <v/>
      </c>
      <c r="Q7" s="110">
        <f>HYPERLINK("#'마스터_품목'!A183","→ 마스터 R183")</f>
        <v/>
      </c>
      <c r="R7" s="111" t="n">
        <v>183</v>
      </c>
      <c r="S7" s="111" t="inlineStr">
        <is>
          <t>마스터_품목</t>
        </is>
      </c>
    </row>
    <row r="8" ht="48" customHeight="1">
      <c r="A8" s="22" t="inlineStr">
        <is>
          <t>조립</t>
        </is>
      </c>
      <c r="B8" s="22" t="inlineStr">
        <is>
          <t>사출 및 공용 자재</t>
        </is>
      </c>
      <c r="C8" s="23" t="inlineStr">
        <is>
          <t>DX3000블랙</t>
        </is>
      </c>
      <c r="D8" s="23" t="inlineStr">
        <is>
          <t>FRONT COVER (듀얼 슬라이드)</t>
        </is>
      </c>
      <c r="E8" s="23" t="inlineStr">
        <is>
          <t>FRONT COVER (듀얼 슬라이드) (ABS 난연 블랙)
[DX3000]</t>
        </is>
      </c>
      <c r="F8" s="24" t="inlineStr">
        <is>
          <t>O</t>
        </is>
      </c>
      <c r="G8" s="25" t="n"/>
      <c r="H8" s="26" t="n"/>
      <c r="I8" s="27">
        <f>IFERROR(IF(OR($F8="O",$G8="O",$H8="O"),CHOOSE(MATCH($A8,{"튜브","고압","진공","튜닝","조립","출하"},0),"T","H","V","N","A","P")&amp;IF($F8="O","R",IF($G8="O","A",IF($H8="O","F",""))),""),"")</f>
        <v/>
      </c>
      <c r="J8" s="15" t="inlineStr">
        <is>
          <t>O</t>
        </is>
      </c>
      <c r="K8" s="16" t="n"/>
      <c r="L8" s="17" t="n"/>
      <c r="M8" s="18" t="n"/>
      <c r="N8" s="19" t="n"/>
      <c r="O8" s="20" t="n"/>
      <c r="P8" s="21">
        <f>IF($I8="","",IF($J8="O","3","")&amp;IF($K8="O","4","")&amp;IF($L8="O","6","")&amp;IF($M8="O","7","")&amp;IF($N8="O","8","")&amp;IF($O8="O","?","")&amp;IF(OR($J8="O",$K8="O",$L8="O",$M8="O",$N8="O",$O8="O"),"-","")&amp;$I8)</f>
        <v/>
      </c>
      <c r="Q8" s="110">
        <f>HYPERLINK("#'마스터_품목'!A184","→ 마스터 R184")</f>
        <v/>
      </c>
      <c r="R8" s="111" t="n">
        <v>184</v>
      </c>
      <c r="S8" s="111" t="inlineStr">
        <is>
          <t>마스터_품목</t>
        </is>
      </c>
    </row>
    <row r="9" ht="48" customHeight="1">
      <c r="A9" s="22" t="inlineStr">
        <is>
          <t>조립</t>
        </is>
      </c>
      <c r="B9" s="22" t="inlineStr">
        <is>
          <t>사출 및 공용 자재</t>
        </is>
      </c>
      <c r="C9" s="23" t="inlineStr">
        <is>
          <t>DX3000 화이트</t>
        </is>
      </c>
      <c r="D9" s="23" t="inlineStr">
        <is>
          <t>FRONT COVER (듀얼 슬라이드)</t>
        </is>
      </c>
      <c r="E9" s="23" t="inlineStr">
        <is>
          <t>FRONT COVER (듀얼 슬라이드) (ABS 난연 화이트)
[DX3000]</t>
        </is>
      </c>
      <c r="F9" s="24" t="inlineStr">
        <is>
          <t>O</t>
        </is>
      </c>
      <c r="G9" s="25" t="n"/>
      <c r="H9" s="26" t="n"/>
      <c r="I9" s="27">
        <f>IFERROR(IF(OR($F9="O",$G9="O",$H9="O"),CHOOSE(MATCH($A9,{"튜브","고압","진공","튜닝","조립","출하"},0),"T","H","V","N","A","P")&amp;IF($F9="O","R",IF($G9="O","A",IF($H9="O","F",""))),""),"")</f>
        <v/>
      </c>
      <c r="J9" s="15" t="inlineStr">
        <is>
          <t>O</t>
        </is>
      </c>
      <c r="K9" s="16" t="n"/>
      <c r="L9" s="17" t="n"/>
      <c r="M9" s="18" t="n"/>
      <c r="N9" s="19" t="n"/>
      <c r="O9" s="20" t="n"/>
      <c r="P9" s="21">
        <f>IF($I9="","",IF($J9="O","3","")&amp;IF($K9="O","4","")&amp;IF($L9="O","6","")&amp;IF($M9="O","7","")&amp;IF($N9="O","8","")&amp;IF($O9="O","?","")&amp;IF(OR($J9="O",$K9="O",$L9="O",$M9="O",$N9="O",$O9="O"),"-","")&amp;$I9)</f>
        <v/>
      </c>
      <c r="Q9" s="110">
        <f>HYPERLINK("#'마스터_품목'!A185","→ 마스터 R185")</f>
        <v/>
      </c>
      <c r="R9" s="111" t="n">
        <v>185</v>
      </c>
      <c r="S9" s="111" t="inlineStr">
        <is>
          <t>마스터_품목</t>
        </is>
      </c>
    </row>
    <row r="10" ht="48" customHeight="1">
      <c r="A10" s="22" t="inlineStr">
        <is>
          <t>조립</t>
        </is>
      </c>
      <c r="B10" s="22" t="inlineStr">
        <is>
          <t>사출 및 공용 자재</t>
        </is>
      </c>
      <c r="C10" s="23" t="inlineStr">
        <is>
          <t>DX3000 블랙</t>
        </is>
      </c>
      <c r="D10" s="23" t="inlineStr">
        <is>
          <t>REAR COVER</t>
        </is>
      </c>
      <c r="E10" s="23" t="inlineStr">
        <is>
          <t>REAR COVER (ABS 난연 블랙)
[DX3000]</t>
        </is>
      </c>
      <c r="F10" s="24" t="inlineStr">
        <is>
          <t>O</t>
        </is>
      </c>
      <c r="G10" s="25" t="n"/>
      <c r="H10" s="26" t="n"/>
      <c r="I10" s="27">
        <f>IFERROR(IF(OR($F10="O",$G10="O",$H10="O"),CHOOSE(MATCH($A10,{"튜브","고압","진공","튜닝","조립","출하"},0),"T","H","V","N","A","P")&amp;IF($F10="O","R",IF($G10="O","A",IF($H10="O","F",""))),""),"")</f>
        <v/>
      </c>
      <c r="J10" s="15" t="inlineStr">
        <is>
          <t>O</t>
        </is>
      </c>
      <c r="K10" s="16" t="n"/>
      <c r="L10" s="17" t="n"/>
      <c r="M10" s="18" t="n"/>
      <c r="N10" s="19" t="n"/>
      <c r="O10" s="20" t="n"/>
      <c r="P10" s="21">
        <f>IF($I10="","",IF($J10="O","3","")&amp;IF($K10="O","4","")&amp;IF($L10="O","6","")&amp;IF($M10="O","7","")&amp;IF($N10="O","8","")&amp;IF($O10="O","?","")&amp;IF(OR($J10="O",$K10="O",$L10="O",$M10="O",$N10="O",$O10="O"),"-","")&amp;$I10)</f>
        <v/>
      </c>
      <c r="Q10" s="110">
        <f>HYPERLINK("#'마스터_품목'!A186","→ 마스터 R186")</f>
        <v/>
      </c>
      <c r="R10" s="111" t="n">
        <v>186</v>
      </c>
      <c r="S10" s="111" t="inlineStr">
        <is>
          <t>마스터_품목</t>
        </is>
      </c>
    </row>
    <row r="11" ht="48" customHeight="1">
      <c r="A11" s="22" t="inlineStr">
        <is>
          <t>조립</t>
        </is>
      </c>
      <c r="B11" s="22" t="inlineStr">
        <is>
          <t>사출 및 공용 자재</t>
        </is>
      </c>
      <c r="C11" s="23" t="inlineStr">
        <is>
          <t>DX3000 화이트</t>
        </is>
      </c>
      <c r="D11" s="23" t="inlineStr">
        <is>
          <t>REAR COVER</t>
        </is>
      </c>
      <c r="E11" s="23" t="inlineStr">
        <is>
          <t>REAR COVER (ABS 난연 화이트)
[DX3000]</t>
        </is>
      </c>
      <c r="F11" s="24" t="inlineStr">
        <is>
          <t>O</t>
        </is>
      </c>
      <c r="G11" s="25" t="n"/>
      <c r="H11" s="26" t="n"/>
      <c r="I11" s="27">
        <f>IFERROR(IF(OR($F11="O",$G11="O",$H11="O"),CHOOSE(MATCH($A11,{"튜브","고압","진공","튜닝","조립","출하"},0),"T","H","V","N","A","P")&amp;IF($F11="O","R",IF($G11="O","A",IF($H11="O","F",""))),""),"")</f>
        <v/>
      </c>
      <c r="J11" s="15" t="inlineStr">
        <is>
          <t>O</t>
        </is>
      </c>
      <c r="K11" s="16" t="n"/>
      <c r="L11" s="17" t="n"/>
      <c r="M11" s="18" t="n"/>
      <c r="N11" s="19" t="n"/>
      <c r="O11" s="20" t="n"/>
      <c r="P11" s="21">
        <f>IF($I11="","",IF($J11="O","3","")&amp;IF($K11="O","4","")&amp;IF($L11="O","6","")&amp;IF($M11="O","7","")&amp;IF($N11="O","8","")&amp;IF($O11="O","?","")&amp;IF(OR($J11="O",$K11="O",$L11="O",$M11="O",$N11="O",$O11="O"),"-","")&amp;$I11)</f>
        <v/>
      </c>
      <c r="Q11" s="110">
        <f>HYPERLINK("#'마스터_품목'!A187","→ 마스터 R187")</f>
        <v/>
      </c>
      <c r="R11" s="111" t="n">
        <v>187</v>
      </c>
      <c r="S11" s="111" t="inlineStr">
        <is>
          <t>마스터_품목</t>
        </is>
      </c>
    </row>
    <row r="12" ht="48" customHeight="1">
      <c r="A12" s="22" t="inlineStr">
        <is>
          <t>조립</t>
        </is>
      </c>
      <c r="B12" s="22" t="inlineStr">
        <is>
          <t>사출 및 공용 자재</t>
        </is>
      </c>
      <c r="C12" s="23" t="inlineStr">
        <is>
          <t>DX3000</t>
        </is>
      </c>
      <c r="D12" s="23" t="inlineStr">
        <is>
          <t>LCD LED</t>
        </is>
      </c>
      <c r="E12" s="23" t="inlineStr">
        <is>
          <t>LCD LED (확산 아크릴)
[DX3000]</t>
        </is>
      </c>
      <c r="F12" s="24" t="inlineStr">
        <is>
          <t>O</t>
        </is>
      </c>
      <c r="G12" s="25" t="n"/>
      <c r="H12" s="26" t="n"/>
      <c r="I12" s="27">
        <f>IFERROR(IF(OR($F12="O",$G12="O",$H12="O"),CHOOSE(MATCH($A12,{"튜브","고압","진공","튜닝","조립","출하"},0),"T","H","V","N","A","P")&amp;IF($F12="O","R",IF($G12="O","A",IF($H12="O","F",""))),""),"")</f>
        <v/>
      </c>
      <c r="J12" s="15" t="inlineStr">
        <is>
          <t>O</t>
        </is>
      </c>
      <c r="K12" s="16" t="n"/>
      <c r="L12" s="17" t="n"/>
      <c r="M12" s="18" t="n"/>
      <c r="N12" s="19" t="n"/>
      <c r="O12" s="20" t="n"/>
      <c r="P12" s="21">
        <f>IF($I12="","",IF($J12="O","3","")&amp;IF($K12="O","4","")&amp;IF($L12="O","6","")&amp;IF($M12="O","7","")&amp;IF($N12="O","8","")&amp;IF($O12="O","?","")&amp;IF(OR($J12="O",$K12="O",$L12="O",$M12="O",$N12="O",$O12="O"),"-","")&amp;$I12)</f>
        <v/>
      </c>
      <c r="Q12" s="110">
        <f>HYPERLINK("#'마스터_품목'!A188","→ 마스터 R188")</f>
        <v/>
      </c>
      <c r="R12" s="111" t="n">
        <v>188</v>
      </c>
      <c r="S12" s="111" t="inlineStr">
        <is>
          <t>마스터_품목</t>
        </is>
      </c>
    </row>
    <row r="13" ht="48" customHeight="1">
      <c r="A13" s="22" t="inlineStr">
        <is>
          <t>조립</t>
        </is>
      </c>
      <c r="B13" s="22" t="inlineStr">
        <is>
          <t>사출 및 공용 자재</t>
        </is>
      </c>
      <c r="C13" s="23" t="inlineStr">
        <is>
          <t>DX3000</t>
        </is>
      </c>
      <c r="D13" s="23" t="inlineStr">
        <is>
          <t>EX LED (왼쪽)</t>
        </is>
      </c>
      <c r="E13" s="23" t="inlineStr">
        <is>
          <t>EX LED (좌) (확산 아크릴)
[DX3000]</t>
        </is>
      </c>
      <c r="F13" s="24" t="inlineStr">
        <is>
          <t>O</t>
        </is>
      </c>
      <c r="G13" s="25" t="n"/>
      <c r="H13" s="26" t="n"/>
      <c r="I13" s="27">
        <f>IFERROR(IF(OR($F13="O",$G13="O",$H13="O"),CHOOSE(MATCH($A13,{"튜브","고압","진공","튜닝","조립","출하"},0),"T","H","V","N","A","P")&amp;IF($F13="O","R",IF($G13="O","A",IF($H13="O","F",""))),""),"")</f>
        <v/>
      </c>
      <c r="J13" s="15" t="inlineStr">
        <is>
          <t>O</t>
        </is>
      </c>
      <c r="K13" s="16" t="n"/>
      <c r="L13" s="17" t="n"/>
      <c r="M13" s="18" t="n"/>
      <c r="N13" s="19" t="n"/>
      <c r="O13" s="20" t="n"/>
      <c r="P13" s="21">
        <f>IF($I13="","",IF($J13="O","3","")&amp;IF($K13="O","4","")&amp;IF($L13="O","6","")&amp;IF($M13="O","7","")&amp;IF($N13="O","8","")&amp;IF($O13="O","?","")&amp;IF(OR($J13="O",$K13="O",$L13="O",$M13="O",$N13="O",$O13="O"),"-","")&amp;$I13)</f>
        <v/>
      </c>
      <c r="Q13" s="110">
        <f>HYPERLINK("#'마스터_품목'!A189","→ 마스터 R189")</f>
        <v/>
      </c>
      <c r="R13" s="111" t="n">
        <v>189</v>
      </c>
      <c r="S13" s="111" t="inlineStr">
        <is>
          <t>마스터_품목</t>
        </is>
      </c>
    </row>
    <row r="14" ht="48" customHeight="1">
      <c r="A14" s="22" t="inlineStr">
        <is>
          <t>조립</t>
        </is>
      </c>
      <c r="B14" s="22" t="inlineStr">
        <is>
          <t>사출 및 공용 자재</t>
        </is>
      </c>
      <c r="C14" s="23" t="inlineStr">
        <is>
          <t>DX3000</t>
        </is>
      </c>
      <c r="D14" s="23" t="inlineStr">
        <is>
          <t>EX LED (오른쪽)</t>
        </is>
      </c>
      <c r="E14" s="23" t="inlineStr">
        <is>
          <t>EX LED (우) (확산 아크릴)
[DX3000]</t>
        </is>
      </c>
      <c r="F14" s="24" t="inlineStr">
        <is>
          <t>O</t>
        </is>
      </c>
      <c r="G14" s="25" t="n"/>
      <c r="H14" s="26" t="n"/>
      <c r="I14" s="27">
        <f>IFERROR(IF(OR($F14="O",$G14="O",$H14="O"),CHOOSE(MATCH($A14,{"튜브","고압","진공","튜닝","조립","출하"},0),"T","H","V","N","A","P")&amp;IF($F14="O","R",IF($G14="O","A",IF($H14="O","F",""))),""),"")</f>
        <v/>
      </c>
      <c r="J14" s="15" t="inlineStr">
        <is>
          <t>O</t>
        </is>
      </c>
      <c r="K14" s="16" t="n"/>
      <c r="L14" s="17" t="n"/>
      <c r="M14" s="18" t="n"/>
      <c r="N14" s="19" t="n"/>
      <c r="O14" s="20" t="n"/>
      <c r="P14" s="21">
        <f>IF($I14="","",IF($J14="O","3","")&amp;IF($K14="O","4","")&amp;IF($L14="O","6","")&amp;IF($M14="O","7","")&amp;IF($N14="O","8","")&amp;IF($O14="O","?","")&amp;IF(OR($J14="O",$K14="O",$L14="O",$M14="O",$N14="O",$O14="O"),"-","")&amp;$I14)</f>
        <v/>
      </c>
      <c r="Q14" s="110">
        <f>HYPERLINK("#'마스터_품목'!A190","→ 마스터 R190")</f>
        <v/>
      </c>
      <c r="R14" s="111" t="n">
        <v>190</v>
      </c>
      <c r="S14" s="111" t="inlineStr">
        <is>
          <t>마스터_품목</t>
        </is>
      </c>
    </row>
    <row r="15" ht="48" customHeight="1">
      <c r="A15" s="22" t="inlineStr">
        <is>
          <t>조립</t>
        </is>
      </c>
      <c r="B15" s="22" t="inlineStr">
        <is>
          <t>사출 및 공용 자재</t>
        </is>
      </c>
      <c r="C15" s="23" t="inlineStr">
        <is>
          <t>DX3000</t>
        </is>
      </c>
      <c r="D15" s="23" t="inlineStr">
        <is>
          <t>EX BUTTON (개당 두개씩)</t>
        </is>
      </c>
      <c r="E15" s="23" t="inlineStr">
        <is>
          <t>EX BUTTON (ABS 난연 화이트 + 밝은 회색)
[DX3000]</t>
        </is>
      </c>
      <c r="F15" s="24" t="inlineStr">
        <is>
          <t>O</t>
        </is>
      </c>
      <c r="G15" s="25" t="n"/>
      <c r="H15" s="26" t="n"/>
      <c r="I15" s="27">
        <f>IFERROR(IF(OR($F15="O",$G15="O",$H15="O"),CHOOSE(MATCH($A15,{"튜브","고압","진공","튜닝","조립","출하"},0),"T","H","V","N","A","P")&amp;IF($F15="O","R",IF($G15="O","A",IF($H15="O","F",""))),""),"")</f>
        <v/>
      </c>
      <c r="J15" s="15" t="inlineStr">
        <is>
          <t>O</t>
        </is>
      </c>
      <c r="K15" s="16" t="n"/>
      <c r="L15" s="17" t="n"/>
      <c r="M15" s="18" t="n"/>
      <c r="N15" s="19" t="n"/>
      <c r="O15" s="20" t="n"/>
      <c r="P15" s="21">
        <f>IF($I15="","",IF($J15="O","3","")&amp;IF($K15="O","4","")&amp;IF($L15="O","6","")&amp;IF($M15="O","7","")&amp;IF($N15="O","8","")&amp;IF($O15="O","?","")&amp;IF(OR($J15="O",$K15="O",$L15="O",$M15="O",$N15="O",$O15="O"),"-","")&amp;$I15)</f>
        <v/>
      </c>
      <c r="Q15" s="110">
        <f>HYPERLINK("#'마스터_품목'!A191","→ 마스터 R191")</f>
        <v/>
      </c>
      <c r="R15" s="111" t="n">
        <v>191</v>
      </c>
      <c r="S15" s="111" t="inlineStr">
        <is>
          <t>마스터_품목</t>
        </is>
      </c>
    </row>
    <row r="16" ht="48" customHeight="1">
      <c r="A16" s="22" t="inlineStr">
        <is>
          <t>조립</t>
        </is>
      </c>
      <c r="B16" s="22" t="inlineStr">
        <is>
          <t>사출 및 공용 자재</t>
        </is>
      </c>
      <c r="C16" s="23" t="inlineStr">
        <is>
          <t>DX3000</t>
        </is>
      </c>
      <c r="D16" s="23" t="inlineStr">
        <is>
          <t>HAND STRAP</t>
        </is>
      </c>
      <c r="E16" s="23" t="inlineStr">
        <is>
          <t>HAND STRAP 손잡이 (인조 가죽)
[DX3000]</t>
        </is>
      </c>
      <c r="F16" s="24" t="inlineStr">
        <is>
          <t>O</t>
        </is>
      </c>
      <c r="G16" s="25" t="n"/>
      <c r="H16" s="26" t="n"/>
      <c r="I16" s="27">
        <f>IFERROR(IF(OR($F16="O",$G16="O",$H16="O"),CHOOSE(MATCH($A16,{"튜브","고압","진공","튜닝","조립","출하"},0),"T","H","V","N","A","P")&amp;IF($F16="O","R",IF($G16="O","A",IF($H16="O","F",""))),""),"")</f>
        <v/>
      </c>
      <c r="J16" s="15" t="inlineStr">
        <is>
          <t>O</t>
        </is>
      </c>
      <c r="K16" s="16" t="n"/>
      <c r="L16" s="17" t="n"/>
      <c r="M16" s="18" t="n"/>
      <c r="N16" s="19" t="n"/>
      <c r="O16" s="20" t="n"/>
      <c r="P16" s="21">
        <f>IF($I16="","",IF($J16="O","3","")&amp;IF($K16="O","4","")&amp;IF($L16="O","6","")&amp;IF($M16="O","7","")&amp;IF($N16="O","8","")&amp;IF($O16="O","?","")&amp;IF(OR($J16="O",$K16="O",$L16="O",$M16="O",$N16="O",$O16="O"),"-","")&amp;$I16)</f>
        <v/>
      </c>
      <c r="Q16" s="110">
        <f>HYPERLINK("#'마스터_품목'!A192","→ 마스터 R192")</f>
        <v/>
      </c>
      <c r="R16" s="111" t="n">
        <v>192</v>
      </c>
      <c r="S16" s="111" t="inlineStr">
        <is>
          <t>마스터_품목</t>
        </is>
      </c>
    </row>
    <row r="17" ht="48" customHeight="1">
      <c r="A17" s="22" t="inlineStr">
        <is>
          <t>조립</t>
        </is>
      </c>
      <c r="B17" s="22" t="inlineStr">
        <is>
          <t>사출 및 공용 자재</t>
        </is>
      </c>
      <c r="C17" s="23" t="inlineStr">
        <is>
          <t>DX3000</t>
        </is>
      </c>
      <c r="D17" s="23" t="inlineStr">
        <is>
          <t>HAND STRAP_로고없음_사파리,이미지웍스용</t>
        </is>
      </c>
      <c r="E17" s="23" t="inlineStr">
        <is>
          <t>HAND STRAP 손잡이 (로고 없음) (인조 가죽)
[DX3000]</t>
        </is>
      </c>
      <c r="F17" s="24" t="inlineStr">
        <is>
          <t>O</t>
        </is>
      </c>
      <c r="G17" s="25" t="n"/>
      <c r="H17" s="26" t="n"/>
      <c r="I17" s="27">
        <f>IFERROR(IF(OR($F17="O",$G17="O",$H17="O"),CHOOSE(MATCH($A17,{"튜브","고압","진공","튜닝","조립","출하"},0),"T","H","V","N","A","P")&amp;IF($F17="O","R",IF($G17="O","A",IF($H17="O","F",""))),""),"")</f>
        <v/>
      </c>
      <c r="J17" s="15" t="inlineStr">
        <is>
          <t>O</t>
        </is>
      </c>
      <c r="K17" s="16" t="n"/>
      <c r="L17" s="17" t="n"/>
      <c r="M17" s="18" t="n"/>
      <c r="N17" s="19" t="n"/>
      <c r="O17" s="20" t="n"/>
      <c r="P17" s="21">
        <f>IF($I17="","",IF($J17="O","3","")&amp;IF($K17="O","4","")&amp;IF($L17="O","6","")&amp;IF($M17="O","7","")&amp;IF($N17="O","8","")&amp;IF($O17="O","?","")&amp;IF(OR($J17="O",$K17="O",$L17="O",$M17="O",$N17="O",$O17="O"),"-","")&amp;$I17)</f>
        <v/>
      </c>
      <c r="Q17" s="110">
        <f>HYPERLINK("#'마스터_품목'!A193","→ 마스터 R193")</f>
        <v/>
      </c>
      <c r="R17" s="111" t="n">
        <v>193</v>
      </c>
      <c r="S17" s="111" t="inlineStr">
        <is>
          <t>마스터_품목</t>
        </is>
      </c>
    </row>
    <row r="18" ht="48" customHeight="1">
      <c r="A18" s="22" t="inlineStr">
        <is>
          <t>조립</t>
        </is>
      </c>
      <c r="B18" s="22" t="inlineStr">
        <is>
          <t>사출 및 공용 자재</t>
        </is>
      </c>
      <c r="C18" s="23" t="inlineStr">
        <is>
          <t>DX3000 화이트</t>
        </is>
      </c>
      <c r="D18" s="23" t="inlineStr">
        <is>
          <t>20cm CONE</t>
        </is>
      </c>
      <c r="E18" s="23" t="inlineStr">
        <is>
          <t>20cm CONE (ABS 난연 화이트)
[DX3000]</t>
        </is>
      </c>
      <c r="F18" s="24" t="inlineStr">
        <is>
          <t>O</t>
        </is>
      </c>
      <c r="G18" s="25" t="n"/>
      <c r="H18" s="26" t="n"/>
      <c r="I18" s="27">
        <f>IFERROR(IF(OR($F18="O",$G18="O",$H18="O"),CHOOSE(MATCH($A18,{"튜브","고압","진공","튜닝","조립","출하"},0),"T","H","V","N","A","P")&amp;IF($F18="O","R",IF($G18="O","A",IF($H18="O","F",""))),""),"")</f>
        <v/>
      </c>
      <c r="J18" s="15" t="inlineStr">
        <is>
          <t>O</t>
        </is>
      </c>
      <c r="K18" s="16" t="n"/>
      <c r="L18" s="17" t="n"/>
      <c r="M18" s="18" t="n"/>
      <c r="N18" s="19" t="n"/>
      <c r="O18" s="20" t="n"/>
      <c r="P18" s="21">
        <f>IF($I18="","",IF($J18="O","3","")&amp;IF($K18="O","4","")&amp;IF($L18="O","6","")&amp;IF($M18="O","7","")&amp;IF($N18="O","8","")&amp;IF($O18="O","?","")&amp;IF(OR($J18="O",$K18="O",$L18="O",$M18="O",$N18="O",$O18="O"),"-","")&amp;$I18)</f>
        <v/>
      </c>
      <c r="Q18" s="110">
        <f>HYPERLINK("#'마스터_품목'!A194","→ 마스터 R194")</f>
        <v/>
      </c>
      <c r="R18" s="111" t="n">
        <v>194</v>
      </c>
      <c r="S18" s="111" t="inlineStr">
        <is>
          <t>마스터_품목</t>
        </is>
      </c>
    </row>
    <row r="19" ht="48" customHeight="1">
      <c r="A19" s="22" t="inlineStr">
        <is>
          <t>조립</t>
        </is>
      </c>
      <c r="B19" s="22" t="inlineStr">
        <is>
          <t>사출 및 공용 자재</t>
        </is>
      </c>
      <c r="C19" s="23" t="inlineStr">
        <is>
          <t>DX3000 블랙</t>
        </is>
      </c>
      <c r="D19" s="23" t="inlineStr">
        <is>
          <t>20cm CONE</t>
        </is>
      </c>
      <c r="E19" s="23" t="inlineStr">
        <is>
          <t>20cm CONE (ABS 난연 블랙 + 블랙 무광)
[DX3000]</t>
        </is>
      </c>
      <c r="F19" s="24" t="inlineStr">
        <is>
          <t>O</t>
        </is>
      </c>
      <c r="G19" s="25" t="n"/>
      <c r="H19" s="26" t="n"/>
      <c r="I19" s="27">
        <f>IFERROR(IF(OR($F19="O",$G19="O",$H19="O"),CHOOSE(MATCH($A19,{"튜브","고압","진공","튜닝","조립","출하"},0),"T","H","V","N","A","P")&amp;IF($F19="O","R",IF($G19="O","A",IF($H19="O","F",""))),""),"")</f>
        <v/>
      </c>
      <c r="J19" s="15" t="inlineStr">
        <is>
          <t>O</t>
        </is>
      </c>
      <c r="K19" s="16" t="n"/>
      <c r="L19" s="17" t="n"/>
      <c r="M19" s="18" t="n"/>
      <c r="N19" s="19" t="n"/>
      <c r="O19" s="20" t="n"/>
      <c r="P19" s="21">
        <f>IF($I19="","",IF($J19="O","3","")&amp;IF($K19="O","4","")&amp;IF($L19="O","6","")&amp;IF($M19="O","7","")&amp;IF($N19="O","8","")&amp;IF($O19="O","?","")&amp;IF(OR($J19="O",$K19="O",$L19="O",$M19="O",$N19="O",$O19="O"),"-","")&amp;$I19)</f>
        <v/>
      </c>
      <c r="Q19" s="110">
        <f>HYPERLINK("#'마스터_품목'!A195","→ 마스터 R195")</f>
        <v/>
      </c>
      <c r="R19" s="111" t="n">
        <v>195</v>
      </c>
      <c r="S19" s="111" t="inlineStr">
        <is>
          <t>마스터_품목</t>
        </is>
      </c>
    </row>
    <row r="20" ht="48" customHeight="1">
      <c r="A20" s="22" t="inlineStr">
        <is>
          <t>조립</t>
        </is>
      </c>
      <c r="B20" s="22" t="inlineStr">
        <is>
          <t>사출 및 공용 자재</t>
        </is>
      </c>
      <c r="C20" s="23" t="inlineStr">
        <is>
          <t>DX3000 화이트</t>
        </is>
      </c>
      <c r="D20" s="23" t="inlineStr">
        <is>
          <t>15cm CONE</t>
        </is>
      </c>
      <c r="E20" s="23" t="inlineStr">
        <is>
          <t>15cm CONE (ABS 난연 화이트)
[DX3000]</t>
        </is>
      </c>
      <c r="F20" s="24" t="inlineStr">
        <is>
          <t>O</t>
        </is>
      </c>
      <c r="G20" s="25" t="n"/>
      <c r="H20" s="26" t="n"/>
      <c r="I20" s="27">
        <f>IFERROR(IF(OR($F20="O",$G20="O",$H20="O"),CHOOSE(MATCH($A20,{"튜브","고압","진공","튜닝","조립","출하"},0),"T","H","V","N","A","P")&amp;IF($F20="O","R",IF($G20="O","A",IF($H20="O","F",""))),""),"")</f>
        <v/>
      </c>
      <c r="J20" s="15" t="inlineStr">
        <is>
          <t>O</t>
        </is>
      </c>
      <c r="K20" s="16" t="n"/>
      <c r="L20" s="17" t="n"/>
      <c r="M20" s="18" t="n"/>
      <c r="N20" s="19" t="n"/>
      <c r="O20" s="20" t="n"/>
      <c r="P20" s="21">
        <f>IF($I20="","",IF($J20="O","3","")&amp;IF($K20="O","4","")&amp;IF($L20="O","6","")&amp;IF($M20="O","7","")&amp;IF($N20="O","8","")&amp;IF($O20="O","?","")&amp;IF(OR($J20="O",$K20="O",$L20="O",$M20="O",$N20="O",$O20="O"),"-","")&amp;$I20)</f>
        <v/>
      </c>
      <c r="Q20" s="110">
        <f>HYPERLINK("#'마스터_품목'!A196","→ 마스터 R196")</f>
        <v/>
      </c>
      <c r="R20" s="111" t="n">
        <v>196</v>
      </c>
      <c r="S20" s="111" t="inlineStr">
        <is>
          <t>마스터_품목</t>
        </is>
      </c>
    </row>
    <row r="21" ht="48" customHeight="1">
      <c r="A21" s="22" t="inlineStr">
        <is>
          <t>조립</t>
        </is>
      </c>
      <c r="B21" s="22" t="inlineStr">
        <is>
          <t>사출 및 공용 자재</t>
        </is>
      </c>
      <c r="C21" s="23" t="inlineStr">
        <is>
          <t>DX3000</t>
        </is>
      </c>
      <c r="D21" s="23" t="inlineStr">
        <is>
          <t>X-CAP (기본)</t>
        </is>
      </c>
      <c r="E21" s="23" t="inlineStr">
        <is>
          <t>X-CAP (기본) (ABS 화이트 + 진한 회색)
[DX3000]</t>
        </is>
      </c>
      <c r="F21" s="24" t="inlineStr">
        <is>
          <t>O</t>
        </is>
      </c>
      <c r="G21" s="25" t="n"/>
      <c r="H21" s="26" t="n"/>
      <c r="I21" s="27">
        <f>IFERROR(IF(OR($F21="O",$G21="O",$H21="O"),CHOOSE(MATCH($A21,{"튜브","고압","진공","튜닝","조립","출하"},0),"T","H","V","N","A","P")&amp;IF($F21="O","R",IF($G21="O","A",IF($H21="O","F",""))),""),"")</f>
        <v/>
      </c>
      <c r="J21" s="15" t="inlineStr">
        <is>
          <t>O</t>
        </is>
      </c>
      <c r="K21" s="16" t="n"/>
      <c r="L21" s="17" t="n"/>
      <c r="M21" s="18" t="n"/>
      <c r="N21" s="19" t="n"/>
      <c r="O21" s="20" t="n"/>
      <c r="P21" s="21">
        <f>IF($I21="","",IF($J21="O","3","")&amp;IF($K21="O","4","")&amp;IF($L21="O","6","")&amp;IF($M21="O","7","")&amp;IF($N21="O","8","")&amp;IF($O21="O","?","")&amp;IF(OR($J21="O",$K21="O",$L21="O",$M21="O",$N21="O",$O21="O"),"-","")&amp;$I21)</f>
        <v/>
      </c>
      <c r="Q21" s="110">
        <f>HYPERLINK("#'마스터_품목'!A197","→ 마스터 R197")</f>
        <v/>
      </c>
      <c r="R21" s="111" t="n">
        <v>197</v>
      </c>
      <c r="S21" s="111" t="inlineStr">
        <is>
          <t>마스터_품목</t>
        </is>
      </c>
    </row>
    <row r="22" ht="48" customHeight="1">
      <c r="A22" s="22" t="inlineStr">
        <is>
          <t>조립</t>
        </is>
      </c>
      <c r="B22" s="22" t="inlineStr">
        <is>
          <t>사출 및 공용 자재</t>
        </is>
      </c>
      <c r="C22" s="23" t="inlineStr">
        <is>
          <t>DX3000
ADX4000W</t>
        </is>
      </c>
      <c r="D22" s="23" t="inlineStr">
        <is>
          <t>X-CAP 체결형 (신형)</t>
        </is>
      </c>
      <c r="E22" s="23" t="inlineStr">
        <is>
          <t>X-CAP 체결형 (신형) (ABS 난연 화이트 + 진한 회색)
[DX3000]</t>
        </is>
      </c>
      <c r="F22" s="24" t="inlineStr">
        <is>
          <t>O</t>
        </is>
      </c>
      <c r="G22" s="25" t="n"/>
      <c r="H22" s="26" t="n"/>
      <c r="I22" s="27">
        <f>IFERROR(IF(OR($F22="O",$G22="O",$H22="O"),CHOOSE(MATCH($A22,{"튜브","고압","진공","튜닝","조립","출하"},0),"T","H","V","N","A","P")&amp;IF($F22="O","R",IF($G22="O","A",IF($H22="O","F",""))),""),"")</f>
        <v/>
      </c>
      <c r="J22" s="15" t="inlineStr">
        <is>
          <t>O</t>
        </is>
      </c>
      <c r="K22" s="16" t="inlineStr">
        <is>
          <t>O</t>
        </is>
      </c>
      <c r="L22" s="17" t="n"/>
      <c r="M22" s="18" t="n"/>
      <c r="N22" s="19" t="n"/>
      <c r="O22" s="20" t="n"/>
      <c r="P22" s="21">
        <f>IF($I22="","",IF($J22="O","3","")&amp;IF($K22="O","4","")&amp;IF($L22="O","6","")&amp;IF($M22="O","7","")&amp;IF($N22="O","8","")&amp;IF($O22="O","?","")&amp;IF(OR($J22="O",$K22="O",$L22="O",$M22="O",$N22="O",$O22="O"),"-","")&amp;$I22)</f>
        <v/>
      </c>
      <c r="Q22" s="110">
        <f>HYPERLINK("#'마스터_품목'!A198","→ 마스터 R198")</f>
        <v/>
      </c>
      <c r="R22" s="111" t="n">
        <v>198</v>
      </c>
      <c r="S22" s="111" t="inlineStr">
        <is>
          <t>마스터_품목</t>
        </is>
      </c>
    </row>
    <row r="23" ht="48" customHeight="1">
      <c r="A23" s="22" t="inlineStr">
        <is>
          <t>조립</t>
        </is>
      </c>
      <c r="B23" s="22" t="inlineStr">
        <is>
          <t>사출 및 공용 자재</t>
        </is>
      </c>
      <c r="C23" s="23" t="inlineStr">
        <is>
          <t>DX3000
ADX4000W</t>
        </is>
      </c>
      <c r="D23" s="23" t="inlineStr">
        <is>
          <t>가죽손잡이 고리1_ [AL(Cr도금), SUS Φ2.0]</t>
        </is>
      </c>
      <c r="E23" s="23" t="inlineStr">
        <is>
          <t>고리 1 (니켈 도금)
[DX3000, ADX4000W]</t>
        </is>
      </c>
      <c r="F23" s="24" t="inlineStr">
        <is>
          <t>O</t>
        </is>
      </c>
      <c r="G23" s="25" t="n"/>
      <c r="H23" s="26" t="n"/>
      <c r="I23" s="27">
        <f>IFERROR(IF(OR($F23="O",$G23="O",$H23="O"),CHOOSE(MATCH($A23,{"튜브","고압","진공","튜닝","조립","출하"},0),"T","H","V","N","A","P")&amp;IF($F23="O","R",IF($G23="O","A",IF($H23="O","F",""))),""),"")</f>
        <v/>
      </c>
      <c r="J23" s="15" t="inlineStr">
        <is>
          <t>O</t>
        </is>
      </c>
      <c r="K23" s="16" t="inlineStr">
        <is>
          <t>O</t>
        </is>
      </c>
      <c r="L23" s="17" t="n"/>
      <c r="M23" s="18" t="n"/>
      <c r="N23" s="19" t="n"/>
      <c r="O23" s="20" t="n"/>
      <c r="P23" s="21">
        <f>IF($I23="","",IF($J23="O","3","")&amp;IF($K23="O","4","")&amp;IF($L23="O","6","")&amp;IF($M23="O","7","")&amp;IF($N23="O","8","")&amp;IF($O23="O","?","")&amp;IF(OR($J23="O",$K23="O",$L23="O",$M23="O",$N23="O",$O23="O"),"-","")&amp;$I23)</f>
        <v/>
      </c>
      <c r="Q23" s="110">
        <f>HYPERLINK("#'마스터_품목'!A199","→ 마스터 R199")</f>
        <v/>
      </c>
      <c r="R23" s="111" t="n">
        <v>199</v>
      </c>
      <c r="S23" s="111" t="inlineStr">
        <is>
          <t>마스터_품목</t>
        </is>
      </c>
    </row>
    <row r="24" ht="48" customHeight="1">
      <c r="A24" s="22" t="inlineStr">
        <is>
          <t>조립</t>
        </is>
      </c>
      <c r="B24" s="22" t="inlineStr">
        <is>
          <t>사출 및 공용 자재</t>
        </is>
      </c>
      <c r="C24" s="23" t="inlineStr">
        <is>
          <t>DX3000
ADX4000W</t>
        </is>
      </c>
      <c r="D24" s="23" t="inlineStr">
        <is>
          <t>가죽손잡이 고리2_ [AL(Cr도금), SUS Φ2.0 ]</t>
        </is>
      </c>
      <c r="E24" s="23" t="inlineStr">
        <is>
          <t>고리 2 (니켈 도금)
[DX3000]</t>
        </is>
      </c>
      <c r="F24" s="24" t="inlineStr">
        <is>
          <t>O</t>
        </is>
      </c>
      <c r="G24" s="25" t="n"/>
      <c r="H24" s="26" t="n"/>
      <c r="I24" s="27">
        <f>IFERROR(IF(OR($F24="O",$G24="O",$H24="O"),CHOOSE(MATCH($A24,{"튜브","고압","진공","튜닝","조립","출하"},0),"T","H","V","N","A","P")&amp;IF($F24="O","R",IF($G24="O","A",IF($H24="O","F",""))),""),"")</f>
        <v/>
      </c>
      <c r="J24" s="15" t="inlineStr">
        <is>
          <t>O</t>
        </is>
      </c>
      <c r="K24" s="16" t="n"/>
      <c r="L24" s="17" t="n"/>
      <c r="M24" s="18" t="n"/>
      <c r="N24" s="19" t="n"/>
      <c r="O24" s="20" t="n"/>
      <c r="P24" s="21">
        <f>IF($I24="","",IF($J24="O","3","")&amp;IF($K24="O","4","")&amp;IF($L24="O","6","")&amp;IF($M24="O","7","")&amp;IF($N24="O","8","")&amp;IF($O24="O","?","")&amp;IF(OR($J24="O",$K24="O",$L24="O",$M24="O",$N24="O",$O24="O"),"-","")&amp;$I24)</f>
        <v/>
      </c>
      <c r="Q24" s="110">
        <f>HYPERLINK("#'마스터_품목'!A200","→ 마스터 R200")</f>
        <v/>
      </c>
      <c r="R24" s="111" t="n">
        <v>200</v>
      </c>
      <c r="S24" s="111" t="inlineStr">
        <is>
          <t>마스터_품목</t>
        </is>
      </c>
    </row>
    <row r="25" ht="48" customHeight="1">
      <c r="A25" s="22" t="inlineStr">
        <is>
          <t>조립</t>
        </is>
      </c>
      <c r="B25" s="22" t="inlineStr">
        <is>
          <t>사출 및 공용 자재</t>
        </is>
      </c>
      <c r="C25" s="23" t="inlineStr">
        <is>
          <t>DX3000</t>
        </is>
      </c>
      <c r="D25" s="23" t="inlineStr">
        <is>
          <t>LCD 윈도우</t>
        </is>
      </c>
      <c r="E25" s="23" t="inlineStr">
        <is>
          <t>LCD WINDOW (투명 아크릴)
[DX3000]</t>
        </is>
      </c>
      <c r="F25" s="24" t="inlineStr">
        <is>
          <t>O</t>
        </is>
      </c>
      <c r="G25" s="25" t="n"/>
      <c r="H25" s="26" t="n"/>
      <c r="I25" s="27">
        <f>IFERROR(IF(OR($F25="O",$G25="O",$H25="O"),CHOOSE(MATCH($A25,{"튜브","고압","진공","튜닝","조립","출하"},0),"T","H","V","N","A","P")&amp;IF($F25="O","R",IF($G25="O","A",IF($H25="O","F",""))),""),"")</f>
        <v/>
      </c>
      <c r="J25" s="15" t="inlineStr">
        <is>
          <t>O</t>
        </is>
      </c>
      <c r="K25" s="16" t="n"/>
      <c r="L25" s="17" t="n"/>
      <c r="M25" s="18" t="n"/>
      <c r="N25" s="19" t="n"/>
      <c r="O25" s="20" t="n"/>
      <c r="P25" s="21">
        <f>IF($I25="","",IF($J25="O","3","")&amp;IF($K25="O","4","")&amp;IF($L25="O","6","")&amp;IF($M25="O","7","")&amp;IF($N25="O","8","")&amp;IF($O25="O","?","")&amp;IF(OR($J25="O",$K25="O",$L25="O",$M25="O",$N25="O",$O25="O"),"-","")&amp;$I25)</f>
        <v/>
      </c>
      <c r="Q25" s="110">
        <f>HYPERLINK("#'마스터_품목'!A201","→ 마스터 R201")</f>
        <v/>
      </c>
      <c r="R25" s="111" t="n">
        <v>201</v>
      </c>
      <c r="S25" s="111" t="inlineStr">
        <is>
          <t>마스터_품목</t>
        </is>
      </c>
    </row>
    <row r="26" ht="48" customHeight="1">
      <c r="A26" s="22" t="inlineStr">
        <is>
          <t>조립</t>
        </is>
      </c>
      <c r="B26" s="22" t="inlineStr">
        <is>
          <t>사출 및 공용 자재</t>
        </is>
      </c>
      <c r="C26" s="23" t="inlineStr">
        <is>
          <t>DX3000 
회색</t>
        </is>
      </c>
      <c r="D26" s="23" t="inlineStr">
        <is>
          <t>배터리커버</t>
        </is>
      </c>
      <c r="E26" s="23" t="inlineStr">
        <is>
          <t>BATTERY COVER (ABS 난연 화이트 + 진한 회색)
[DX3000]</t>
        </is>
      </c>
      <c r="F26" s="24" t="inlineStr">
        <is>
          <t>O</t>
        </is>
      </c>
      <c r="G26" s="25" t="n"/>
      <c r="H26" s="26" t="n"/>
      <c r="I26" s="27">
        <f>IFERROR(IF(OR($F26="O",$G26="O",$H26="O"),CHOOSE(MATCH($A26,{"튜브","고압","진공","튜닝","조립","출하"},0),"T","H","V","N","A","P")&amp;IF($F26="O","R",IF($G26="O","A",IF($H26="O","F",""))),""),"")</f>
        <v/>
      </c>
      <c r="J26" s="15" t="inlineStr">
        <is>
          <t>O</t>
        </is>
      </c>
      <c r="K26" s="16" t="n"/>
      <c r="L26" s="17" t="n"/>
      <c r="M26" s="18" t="n"/>
      <c r="N26" s="19" t="n"/>
      <c r="O26" s="20" t="n"/>
      <c r="P26" s="21">
        <f>IF($I26="","",IF($J26="O","3","")&amp;IF($K26="O","4","")&amp;IF($L26="O","6","")&amp;IF($M26="O","7","")&amp;IF($N26="O","8","")&amp;IF($O26="O","?","")&amp;IF(OR($J26="O",$K26="O",$L26="O",$M26="O",$N26="O",$O26="O"),"-","")&amp;$I26)</f>
        <v/>
      </c>
      <c r="Q26" s="110">
        <f>HYPERLINK("#'마스터_품목'!A202","→ 마스터 R202")</f>
        <v/>
      </c>
      <c r="R26" s="111" t="n">
        <v>202</v>
      </c>
      <c r="S26" s="111" t="inlineStr">
        <is>
          <t>마스터_품목</t>
        </is>
      </c>
    </row>
    <row r="27" ht="48" customHeight="1">
      <c r="A27" s="22" t="inlineStr">
        <is>
          <t>조립</t>
        </is>
      </c>
      <c r="B27" s="22" t="inlineStr">
        <is>
          <t>사출 및 공용 자재</t>
        </is>
      </c>
      <c r="C27" s="23" t="inlineStr">
        <is>
          <t>DX3000
 블랙</t>
        </is>
      </c>
      <c r="D27" s="23" t="inlineStr">
        <is>
          <t>배터리커버</t>
        </is>
      </c>
      <c r="E27" s="23" t="inlineStr">
        <is>
          <t>BATTERY COVER (ABS 난연 블랙 + 블랙)
[DX3000]</t>
        </is>
      </c>
      <c r="F27" s="24" t="inlineStr">
        <is>
          <t>O</t>
        </is>
      </c>
      <c r="G27" s="25" t="n"/>
      <c r="H27" s="26" t="n"/>
      <c r="I27" s="27">
        <f>IFERROR(IF(OR($F27="O",$G27="O",$H27="O"),CHOOSE(MATCH($A27,{"튜브","고압","진공","튜닝","조립","출하"},0),"T","H","V","N","A","P")&amp;IF($F27="O","R",IF($G27="O","A",IF($H27="O","F",""))),""),"")</f>
        <v/>
      </c>
      <c r="J27" s="15" t="inlineStr">
        <is>
          <t>O</t>
        </is>
      </c>
      <c r="K27" s="16" t="n"/>
      <c r="L27" s="17" t="n"/>
      <c r="M27" s="18" t="n"/>
      <c r="N27" s="19" t="n"/>
      <c r="O27" s="20" t="n"/>
      <c r="P27" s="21">
        <f>IF($I27="","",IF($J27="O","3","")&amp;IF($K27="O","4","")&amp;IF($L27="O","6","")&amp;IF($M27="O","7","")&amp;IF($N27="O","8","")&amp;IF($O27="O","?","")&amp;IF(OR($J27="O",$K27="O",$L27="O",$M27="O",$N27="O",$O27="O"),"-","")&amp;$I27)</f>
        <v/>
      </c>
      <c r="Q27" s="110">
        <f>HYPERLINK("#'마스터_품목'!A203","→ 마스터 R203")</f>
        <v/>
      </c>
      <c r="R27" s="111" t="n">
        <v>203</v>
      </c>
      <c r="S27" s="111" t="inlineStr">
        <is>
          <t>마스터_품목</t>
        </is>
      </c>
    </row>
    <row r="28" ht="48" customHeight="1">
      <c r="A28" s="22" t="inlineStr">
        <is>
          <t>조립</t>
        </is>
      </c>
      <c r="B28" s="22" t="inlineStr">
        <is>
          <t>사출 및 공용 자재</t>
        </is>
      </c>
      <c r="C28" s="23" t="inlineStr">
        <is>
          <t>DX3000</t>
        </is>
      </c>
      <c r="D28" s="23" t="inlineStr">
        <is>
          <t>데코가이드</t>
        </is>
      </c>
      <c r="E28" s="23" t="inlineStr">
        <is>
          <t>DECO GUIDE (ABS 난연 화이트 + 진한 회색)
[DX3000]</t>
        </is>
      </c>
      <c r="F28" s="24" t="inlineStr">
        <is>
          <t>O</t>
        </is>
      </c>
      <c r="G28" s="25" t="n"/>
      <c r="H28" s="26" t="n"/>
      <c r="I28" s="27">
        <f>IFERROR(IF(OR($F28="O",$G28="O",$H28="O"),CHOOSE(MATCH($A28,{"튜브","고압","진공","튜닝","조립","출하"},0),"T","H","V","N","A","P")&amp;IF($F28="O","R",IF($G28="O","A",IF($H28="O","F",""))),""),"")</f>
        <v/>
      </c>
      <c r="J28" s="15" t="inlineStr">
        <is>
          <t>O</t>
        </is>
      </c>
      <c r="K28" s="16" t="n"/>
      <c r="L28" s="17" t="n"/>
      <c r="M28" s="18" t="n"/>
      <c r="N28" s="19" t="n"/>
      <c r="O28" s="20" t="n"/>
      <c r="P28" s="21">
        <f>IF($I28="","",IF($J28="O","3","")&amp;IF($K28="O","4","")&amp;IF($L28="O","6","")&amp;IF($M28="O","7","")&amp;IF($N28="O","8","")&amp;IF($O28="O","?","")&amp;IF(OR($J28="O",$K28="O",$L28="O",$M28="O",$N28="O",$O28="O"),"-","")&amp;$I28)</f>
        <v/>
      </c>
      <c r="Q28" s="110">
        <f>HYPERLINK("#'마스터_품목'!A204","→ 마스터 R204")</f>
        <v/>
      </c>
      <c r="R28" s="111" t="n">
        <v>204</v>
      </c>
      <c r="S28" s="111" t="inlineStr">
        <is>
          <t>마스터_품목</t>
        </is>
      </c>
    </row>
    <row r="29" ht="48" customHeight="1">
      <c r="A29" s="22" t="inlineStr">
        <is>
          <t>조립</t>
        </is>
      </c>
      <c r="B29" s="22" t="inlineStr">
        <is>
          <t>사출 및 공용 자재</t>
        </is>
      </c>
      <c r="C29" s="23" t="inlineStr">
        <is>
          <t>DX3000</t>
        </is>
      </c>
      <c r="D29" s="23" t="inlineStr">
        <is>
          <t>알루미늄 필터 [0.8T * Φ63]</t>
        </is>
      </c>
      <c r="E29" s="23" t="inlineStr">
        <is>
          <t>알루미늄 필터 (0.8T * Φ63)
[DX3000]</t>
        </is>
      </c>
      <c r="F29" s="24" t="inlineStr">
        <is>
          <t>O</t>
        </is>
      </c>
      <c r="G29" s="25" t="n"/>
      <c r="H29" s="26" t="n"/>
      <c r="I29" s="27">
        <f>IFERROR(IF(OR($F29="O",$G29="O",$H29="O"),CHOOSE(MATCH($A29,{"튜브","고압","진공","튜닝","조립","출하"},0),"T","H","V","N","A","P")&amp;IF($F29="O","R",IF($G29="O","A",IF($H29="O","F",""))),""),"")</f>
        <v/>
      </c>
      <c r="J29" s="15" t="inlineStr">
        <is>
          <t>O</t>
        </is>
      </c>
      <c r="K29" s="16" t="inlineStr">
        <is>
          <t>O</t>
        </is>
      </c>
      <c r="L29" s="17" t="n"/>
      <c r="M29" s="18" t="n"/>
      <c r="N29" s="19" t="n"/>
      <c r="O29" s="20" t="n"/>
      <c r="P29" s="21">
        <f>IF($I29="","",IF($J29="O","3","")&amp;IF($K29="O","4","")&amp;IF($L29="O","6","")&amp;IF($M29="O","7","")&amp;IF($N29="O","8","")&amp;IF($O29="O","?","")&amp;IF(OR($J29="O",$K29="O",$L29="O",$M29="O",$N29="O",$O29="O"),"-","")&amp;$I29)</f>
        <v/>
      </c>
      <c r="Q29" s="110">
        <f>HYPERLINK("#'마스터_품목'!A205","→ 마스터 R205")</f>
        <v/>
      </c>
      <c r="R29" s="111" t="n">
        <v>205</v>
      </c>
      <c r="S29" s="111" t="inlineStr">
        <is>
          <t>마스터_품목</t>
        </is>
      </c>
    </row>
    <row r="30" ht="48" customHeight="1">
      <c r="A30" s="22" t="inlineStr">
        <is>
          <t>조립</t>
        </is>
      </c>
      <c r="B30" s="22" t="inlineStr">
        <is>
          <t>하네스</t>
        </is>
      </c>
      <c r="C30" s="23" t="inlineStr">
        <is>
          <t>DX3000</t>
        </is>
      </c>
      <c r="D30" s="23" t="inlineStr">
        <is>
          <t>CJ4003 JACK  (관전류 짹 + 2핀케이블) - 하네스8</t>
        </is>
      </c>
      <c r="E30" s="23" t="inlineStr">
        <is>
          <t>하네스 8번 (CJ4003 잭 (관전류 짹 + 2핀케이블))
[DX3000]</t>
        </is>
      </c>
      <c r="F30" s="24" t="inlineStr">
        <is>
          <t>O</t>
        </is>
      </c>
      <c r="G30" s="25" t="n"/>
      <c r="H30" s="26" t="n"/>
      <c r="I30" s="27">
        <f>IFERROR(IF(OR($F30="O",$G30="O",$H30="O"),CHOOSE(MATCH($A30,{"튜브","고압","진공","튜닝","조립","출하"},0),"T","H","V","N","A","P")&amp;IF($F30="O","R",IF($G30="O","A",IF($H30="O","F",""))),""),"")</f>
        <v/>
      </c>
      <c r="J30" s="15" t="inlineStr">
        <is>
          <t>O</t>
        </is>
      </c>
      <c r="K30" s="16" t="n"/>
      <c r="L30" s="17" t="n"/>
      <c r="M30" s="18" t="n"/>
      <c r="N30" s="19" t="n"/>
      <c r="O30" s="20" t="n"/>
      <c r="P30" s="21">
        <f>IF($I30="","",IF($J30="O","3","")&amp;IF($K30="O","4","")&amp;IF($L30="O","6","")&amp;IF($M30="O","7","")&amp;IF($N30="O","8","")&amp;IF($O30="O","?","")&amp;IF(OR($J30="O",$K30="O",$L30="O",$M30="O",$N30="O",$O30="O"),"-","")&amp;$I30)</f>
        <v/>
      </c>
      <c r="Q30" s="110">
        <f>HYPERLINK("#'마스터_품목'!A206","→ 마스터 R206")</f>
        <v/>
      </c>
      <c r="R30" s="111" t="n">
        <v>206</v>
      </c>
      <c r="S30" s="111" t="inlineStr">
        <is>
          <t>마스터_품목</t>
        </is>
      </c>
    </row>
    <row r="31" ht="48" customHeight="1">
      <c r="A31" s="22" t="inlineStr">
        <is>
          <t>조립</t>
        </is>
      </c>
      <c r="B31" s="22" t="inlineStr">
        <is>
          <t>하네스</t>
        </is>
      </c>
      <c r="C31" s="23" t="inlineStr">
        <is>
          <t>DX3000</t>
        </is>
      </c>
      <c r="D31" s="23" t="inlineStr">
        <is>
          <t>FFC 20핀 - 하네스1</t>
        </is>
      </c>
      <c r="E31" s="23" t="inlineStr">
        <is>
          <t>하네스 1번 (FFC 20핀)
[DX3000]</t>
        </is>
      </c>
      <c r="F31" s="24" t="inlineStr">
        <is>
          <t>O</t>
        </is>
      </c>
      <c r="G31" s="25" t="n"/>
      <c r="H31" s="26" t="n"/>
      <c r="I31" s="27">
        <f>IFERROR(IF(OR($F31="O",$G31="O",$H31="O"),CHOOSE(MATCH($A31,{"튜브","고압","진공","튜닝","조립","출하"},0),"T","H","V","N","A","P")&amp;IF($F31="O","R",IF($G31="O","A",IF($H31="O","F",""))),""),"")</f>
        <v/>
      </c>
      <c r="J31" s="15" t="inlineStr">
        <is>
          <t>O</t>
        </is>
      </c>
      <c r="K31" s="16" t="n"/>
      <c r="L31" s="17" t="n"/>
      <c r="M31" s="18" t="n"/>
      <c r="N31" s="19" t="n"/>
      <c r="O31" s="20" t="n"/>
      <c r="P31" s="21">
        <f>IF($I31="","",IF($J31="O","3","")&amp;IF($K31="O","4","")&amp;IF($L31="O","6","")&amp;IF($M31="O","7","")&amp;IF($N31="O","8","")&amp;IF($O31="O","?","")&amp;IF(OR($J31="O",$K31="O",$L31="O",$M31="O",$N31="O",$O31="O"),"-","")&amp;$I31)</f>
        <v/>
      </c>
      <c r="Q31" s="110">
        <f>HYPERLINK("#'마스터_품목'!A207","→ 마스터 R207")</f>
        <v/>
      </c>
      <c r="R31" s="111" t="n">
        <v>207</v>
      </c>
      <c r="S31" s="111" t="inlineStr">
        <is>
          <t>마스터_품목</t>
        </is>
      </c>
    </row>
    <row r="32" ht="48" customHeight="1">
      <c r="A32" s="22" t="inlineStr">
        <is>
          <t>조립</t>
        </is>
      </c>
      <c r="B32" s="22" t="inlineStr">
        <is>
          <t>하네스</t>
        </is>
      </c>
      <c r="C32" s="23" t="inlineStr">
        <is>
          <t>DX3000</t>
        </is>
      </c>
      <c r="D32" s="23" t="inlineStr">
        <is>
          <t>EXP KEY 4핀 케이블 - 하네스5 (개당 2개씩)</t>
        </is>
      </c>
      <c r="E32" s="23" t="inlineStr">
        <is>
          <t>하네스 5번 (EXP KEY 4핀 케이블)
[DX3000]</t>
        </is>
      </c>
      <c r="F32" s="24" t="inlineStr">
        <is>
          <t>O</t>
        </is>
      </c>
      <c r="G32" s="25" t="n"/>
      <c r="H32" s="26" t="n"/>
      <c r="I32" s="27">
        <f>IFERROR(IF(OR($F32="O",$G32="O",$H32="O"),CHOOSE(MATCH($A32,{"튜브","고압","진공","튜닝","조립","출하"},0),"T","H","V","N","A","P")&amp;IF($F32="O","R",IF($G32="O","A",IF($H32="O","F",""))),""),"")</f>
        <v/>
      </c>
      <c r="J32" s="15" t="inlineStr">
        <is>
          <t>O</t>
        </is>
      </c>
      <c r="K32" s="16" t="n"/>
      <c r="L32" s="17" t="n"/>
      <c r="M32" s="18" t="n"/>
      <c r="N32" s="19" t="n"/>
      <c r="O32" s="20" t="n"/>
      <c r="P32" s="21">
        <f>IF($I32="","",IF($J32="O","3","")&amp;IF($K32="O","4","")&amp;IF($L32="O","6","")&amp;IF($M32="O","7","")&amp;IF($N32="O","8","")&amp;IF($O32="O","?","")&amp;IF(OR($J32="O",$K32="O",$L32="O",$M32="O",$N32="O",$O32="O"),"-","")&amp;$I32)</f>
        <v/>
      </c>
      <c r="Q32" s="110">
        <f>HYPERLINK("#'마스터_품목'!A208","→ 마스터 R208")</f>
        <v/>
      </c>
      <c r="R32" s="111" t="n">
        <v>208</v>
      </c>
      <c r="S32" s="111" t="inlineStr">
        <is>
          <t>마스터_품목</t>
        </is>
      </c>
    </row>
    <row r="33" ht="48" customHeight="1">
      <c r="A33" s="22" t="inlineStr">
        <is>
          <t>조립</t>
        </is>
      </c>
      <c r="B33" s="22" t="inlineStr">
        <is>
          <t>하네스</t>
        </is>
      </c>
      <c r="C33" s="23" t="inlineStr">
        <is>
          <t>DX3000</t>
        </is>
      </c>
      <c r="D33" s="23" t="inlineStr">
        <is>
          <t>EX BD (듀얼) - 왼쪽</t>
        </is>
      </c>
      <c r="E33" s="23" t="inlineStr">
        <is>
          <t>EX B/D (듀얼) (좌)
[DX3000]</t>
        </is>
      </c>
      <c r="F33" s="24" t="inlineStr">
        <is>
          <t>O</t>
        </is>
      </c>
      <c r="G33" s="25" t="n"/>
      <c r="H33" s="26" t="n"/>
      <c r="I33" s="27">
        <f>IFERROR(IF(OR($F33="O",$G33="O",$H33="O"),CHOOSE(MATCH($A33,{"튜브","고압","진공","튜닝","조립","출하"},0),"T","H","V","N","A","P")&amp;IF($F33="O","R",IF($G33="O","A",IF($H33="O","F",""))),""),"")</f>
        <v/>
      </c>
      <c r="J33" s="15" t="inlineStr">
        <is>
          <t>O</t>
        </is>
      </c>
      <c r="K33" s="16" t="n"/>
      <c r="L33" s="17" t="n"/>
      <c r="M33" s="18" t="n"/>
      <c r="N33" s="19" t="n"/>
      <c r="O33" s="20" t="n"/>
      <c r="P33" s="21">
        <f>IF($I33="","",IF($J33="O","3","")&amp;IF($K33="O","4","")&amp;IF($L33="O","6","")&amp;IF($M33="O","7","")&amp;IF($N33="O","8","")&amp;IF($O33="O","?","")&amp;IF(OR($J33="O",$K33="O",$L33="O",$M33="O",$N33="O",$O33="O"),"-","")&amp;$I33)</f>
        <v/>
      </c>
      <c r="Q33" s="110">
        <f>HYPERLINK("#'마스터_품목'!A209","→ 마스터 R209")</f>
        <v/>
      </c>
      <c r="R33" s="111" t="n">
        <v>209</v>
      </c>
      <c r="S33" s="111" t="inlineStr">
        <is>
          <t>마스터_품목</t>
        </is>
      </c>
    </row>
    <row r="34" ht="48" customHeight="1">
      <c r="A34" s="22" t="inlineStr">
        <is>
          <t>조립</t>
        </is>
      </c>
      <c r="B34" s="22" t="inlineStr">
        <is>
          <t>하네스</t>
        </is>
      </c>
      <c r="C34" s="23" t="inlineStr">
        <is>
          <t>DX3000</t>
        </is>
      </c>
      <c r="D34" s="23" t="inlineStr">
        <is>
          <t>EX BD (듀얼) - 오른쪽</t>
        </is>
      </c>
      <c r="E34" s="23" t="inlineStr">
        <is>
          <t>EX B/D (듀얼) (우)
[DX3000]</t>
        </is>
      </c>
      <c r="F34" s="24" t="inlineStr">
        <is>
          <t>O</t>
        </is>
      </c>
      <c r="G34" s="25" t="n"/>
      <c r="H34" s="26" t="n"/>
      <c r="I34" s="27">
        <f>IFERROR(IF(OR($F34="O",$G34="O",$H34="O"),CHOOSE(MATCH($A34,{"튜브","고압","진공","튜닝","조립","출하"},0),"T","H","V","N","A","P")&amp;IF($F34="O","R",IF($G34="O","A",IF($H34="O","F",""))),""),"")</f>
        <v/>
      </c>
      <c r="J34" s="15" t="inlineStr">
        <is>
          <t>O</t>
        </is>
      </c>
      <c r="K34" s="16" t="n"/>
      <c r="L34" s="17" t="n"/>
      <c r="M34" s="18" t="n"/>
      <c r="N34" s="19" t="n"/>
      <c r="O34" s="20" t="n"/>
      <c r="P34" s="21">
        <f>IF($I34="","",IF($J34="O","3","")&amp;IF($K34="O","4","")&amp;IF($L34="O","6","")&amp;IF($M34="O","7","")&amp;IF($N34="O","8","")&amp;IF($O34="O","?","")&amp;IF(OR($J34="O",$K34="O",$L34="O",$M34="O",$N34="O",$O34="O"),"-","")&amp;$I34)</f>
        <v/>
      </c>
      <c r="Q34" s="110">
        <f>HYPERLINK("#'마스터_품목'!A210","→ 마스터 R210")</f>
        <v/>
      </c>
      <c r="R34" s="111" t="n">
        <v>210</v>
      </c>
      <c r="S34" s="111" t="inlineStr">
        <is>
          <t>마스터_품목</t>
        </is>
      </c>
    </row>
    <row r="35" ht="48" customHeight="1">
      <c r="A35" s="22" t="inlineStr">
        <is>
          <t>조립</t>
        </is>
      </c>
      <c r="B35" s="22" t="inlineStr">
        <is>
          <t>하네스</t>
        </is>
      </c>
      <c r="C35" s="23" t="inlineStr">
        <is>
          <t>DX3000</t>
        </is>
      </c>
      <c r="D35" s="23" t="inlineStr">
        <is>
          <t>EX BD (원버턴) - 사파리</t>
        </is>
      </c>
      <c r="E35" s="23" t="inlineStr">
        <is>
          <t>EX B/D 사파리 (원버턴)
[DX3000]</t>
        </is>
      </c>
      <c r="F35" s="24" t="inlineStr">
        <is>
          <t>O</t>
        </is>
      </c>
      <c r="G35" s="25" t="n"/>
      <c r="H35" s="26" t="n"/>
      <c r="I35" s="27">
        <f>IFERROR(IF(OR($F35="O",$G35="O",$H35="O"),CHOOSE(MATCH($A35,{"튜브","고압","진공","튜닝","조립","출하"},0),"T","H","V","N","A","P")&amp;IF($F35="O","R",IF($G35="O","A",IF($H35="O","F",""))),""),"")</f>
        <v/>
      </c>
      <c r="J35" s="15" t="inlineStr">
        <is>
          <t>O</t>
        </is>
      </c>
      <c r="K35" s="16" t="n"/>
      <c r="L35" s="17" t="n"/>
      <c r="M35" s="18" t="n"/>
      <c r="N35" s="19" t="n"/>
      <c r="O35" s="20" t="n"/>
      <c r="P35" s="21">
        <f>IF($I35="","",IF($J35="O","3","")&amp;IF($K35="O","4","")&amp;IF($L35="O","6","")&amp;IF($M35="O","7","")&amp;IF($N35="O","8","")&amp;IF($O35="O","?","")&amp;IF(OR($J35="O",$K35="O",$L35="O",$M35="O",$N35="O",$O35="O"),"-","")&amp;$I35)</f>
        <v/>
      </c>
      <c r="Q35" s="110">
        <f>HYPERLINK("#'마스터_품목'!A211","→ 마스터 R211")</f>
        <v/>
      </c>
      <c r="R35" s="111" t="n">
        <v>211</v>
      </c>
      <c r="S35" s="111" t="inlineStr">
        <is>
          <t>마스터_품목</t>
        </is>
      </c>
    </row>
    <row r="36" ht="48" customHeight="1">
      <c r="A36" s="22" t="inlineStr">
        <is>
          <t>조립</t>
        </is>
      </c>
      <c r="B36" s="22" t="inlineStr">
        <is>
          <t>하네스</t>
        </is>
      </c>
      <c r="C36" s="23" t="inlineStr">
        <is>
          <t>DX3000</t>
        </is>
      </c>
      <c r="D36" s="23" t="inlineStr">
        <is>
          <t>LCD BD</t>
        </is>
      </c>
      <c r="E36" s="23" t="inlineStr">
        <is>
          <t>LCD B/D (듀얼 슬라이드)
[DX3000]</t>
        </is>
      </c>
      <c r="F36" s="24" t="inlineStr">
        <is>
          <t>O</t>
        </is>
      </c>
      <c r="G36" s="25" t="n"/>
      <c r="H36" s="26" t="n"/>
      <c r="I36" s="27">
        <f>IFERROR(IF(OR($F36="O",$G36="O",$H36="O"),CHOOSE(MATCH($A36,{"튜브","고압","진공","튜닝","조립","출하"},0),"T","H","V","N","A","P")&amp;IF($F36="O","R",IF($G36="O","A",IF($H36="O","F",""))),""),"")</f>
        <v/>
      </c>
      <c r="J36" s="15" t="inlineStr">
        <is>
          <t>O</t>
        </is>
      </c>
      <c r="K36" s="16" t="n"/>
      <c r="L36" s="17" t="n"/>
      <c r="M36" s="18" t="n"/>
      <c r="N36" s="19" t="n"/>
      <c r="O36" s="20" t="n"/>
      <c r="P36" s="21">
        <f>IF($I36="","",IF($J36="O","3","")&amp;IF($K36="O","4","")&amp;IF($L36="O","6","")&amp;IF($M36="O","7","")&amp;IF($N36="O","8","")&amp;IF($O36="O","?","")&amp;IF(OR($J36="O",$K36="O",$L36="O",$M36="O",$N36="O",$O36="O"),"-","")&amp;$I36)</f>
        <v/>
      </c>
      <c r="Q36" s="110">
        <f>HYPERLINK("#'마스터_품목'!A212","→ 마스터 R212")</f>
        <v/>
      </c>
      <c r="R36" s="111" t="n">
        <v>212</v>
      </c>
      <c r="S36" s="111" t="inlineStr">
        <is>
          <t>마스터_품목</t>
        </is>
      </c>
    </row>
    <row r="37" ht="48" customHeight="1">
      <c r="A37" s="22" t="inlineStr">
        <is>
          <t>조립</t>
        </is>
      </c>
      <c r="B37" s="22" t="inlineStr">
        <is>
          <t>하네스</t>
        </is>
      </c>
      <c r="C37" s="23" t="inlineStr">
        <is>
          <t>DX3000</t>
        </is>
      </c>
      <c r="D37" s="23" t="inlineStr">
        <is>
          <t>LCD BD  (사파리) -원버턴타입</t>
        </is>
      </c>
      <c r="E37" s="23" t="inlineStr">
        <is>
          <t>LCD B/D (사파리) -원버턴타입
[DX3000]</t>
        </is>
      </c>
      <c r="F37" s="24" t="inlineStr">
        <is>
          <t>O</t>
        </is>
      </c>
      <c r="G37" s="25" t="n"/>
      <c r="H37" s="26" t="n"/>
      <c r="I37" s="27">
        <f>IFERROR(IF(OR($F37="O",$G37="O",$H37="O"),CHOOSE(MATCH($A37,{"튜브","고압","진공","튜닝","조립","출하"},0),"T","H","V","N","A","P")&amp;IF($F37="O","R",IF($G37="O","A",IF($H37="O","F",""))),""),"")</f>
        <v/>
      </c>
      <c r="J37" s="15" t="inlineStr">
        <is>
          <t>O</t>
        </is>
      </c>
      <c r="K37" s="16" t="n"/>
      <c r="L37" s="17" t="n"/>
      <c r="M37" s="18" t="n"/>
      <c r="N37" s="19" t="n"/>
      <c r="O37" s="20" t="n"/>
      <c r="P37" s="21">
        <f>IF($I37="","",IF($J37="O","3","")&amp;IF($K37="O","4","")&amp;IF($L37="O","6","")&amp;IF($M37="O","7","")&amp;IF($N37="O","8","")&amp;IF($O37="O","?","")&amp;IF(OR($J37="O",$K37="O",$L37="O",$M37="O",$N37="O",$O37="O"),"-","")&amp;$I37)</f>
        <v/>
      </c>
      <c r="Q37" s="110">
        <f>HYPERLINK("#'마스터_품목'!A213","→ 마스터 R213")</f>
        <v/>
      </c>
      <c r="R37" s="111" t="n">
        <v>213</v>
      </c>
      <c r="S37" s="111" t="inlineStr">
        <is>
          <t>마스터_품목</t>
        </is>
      </c>
    </row>
    <row r="38" ht="48" customHeight="1">
      <c r="A38" s="22" t="inlineStr">
        <is>
          <t>조립</t>
        </is>
      </c>
      <c r="B38" s="22" t="inlineStr">
        <is>
          <t>하네스</t>
        </is>
      </c>
      <c r="C38" s="23" t="inlineStr">
        <is>
          <t>DX3000</t>
        </is>
      </c>
      <c r="D38" s="23" t="inlineStr">
        <is>
          <t>TFT LCD BD</t>
        </is>
      </c>
      <c r="E38" s="23" t="inlineStr">
        <is>
          <t>TFT LCD B/D (듀얼 슬라이드) (V3.0.1)
[DX3000]</t>
        </is>
      </c>
      <c r="F38" s="24" t="inlineStr">
        <is>
          <t>O</t>
        </is>
      </c>
      <c r="G38" s="25" t="n"/>
      <c r="H38" s="26" t="n"/>
      <c r="I38" s="27">
        <f>IFERROR(IF(OR($F38="O",$G38="O",$H38="O"),CHOOSE(MATCH($A38,{"튜브","고압","진공","튜닝","조립","출하"},0),"T","H","V","N","A","P")&amp;IF($F38="O","R",IF($G38="O","A",IF($H38="O","F",""))),""),"")</f>
        <v/>
      </c>
      <c r="J38" s="15" t="inlineStr">
        <is>
          <t>O</t>
        </is>
      </c>
      <c r="K38" s="16" t="n"/>
      <c r="L38" s="17" t="n"/>
      <c r="M38" s="18" t="n"/>
      <c r="N38" s="19" t="n"/>
      <c r="O38" s="20" t="n"/>
      <c r="P38" s="21">
        <f>IF($I38="","",IF($J38="O","3","")&amp;IF($K38="O","4","")&amp;IF($L38="O","6","")&amp;IF($M38="O","7","")&amp;IF($N38="O","8","")&amp;IF($O38="O","?","")&amp;IF(OR($J38="O",$K38="O",$L38="O",$M38="O",$N38="O",$O38="O"),"-","")&amp;$I38)</f>
        <v/>
      </c>
      <c r="Q38" s="110">
        <f>HYPERLINK("#'마스터_품목'!A214","→ 마스터 R214")</f>
        <v/>
      </c>
      <c r="R38" s="111" t="n">
        <v>214</v>
      </c>
      <c r="S38" s="111" t="inlineStr">
        <is>
          <t>마스터_품목</t>
        </is>
      </c>
    </row>
    <row r="39" ht="48" customHeight="1">
      <c r="A39" s="22" t="inlineStr">
        <is>
          <t>조립</t>
        </is>
      </c>
      <c r="B39" s="22" t="inlineStr">
        <is>
          <t>하네스</t>
        </is>
      </c>
      <c r="C39" s="23" t="inlineStr">
        <is>
          <t>DX3000</t>
        </is>
      </c>
      <c r="D39" s="23" t="inlineStr">
        <is>
          <t>LED DRIVE BD V3.0.1 (TFT CTR BD용)</t>
        </is>
      </c>
      <c r="E39" s="23" t="inlineStr">
        <is>
          <t>AIM LED 쪽 보드 (V3.0.1)
[DX3000]</t>
        </is>
      </c>
      <c r="F39" s="24" t="inlineStr">
        <is>
          <t>O</t>
        </is>
      </c>
      <c r="G39" s="25" t="n"/>
      <c r="H39" s="26" t="n"/>
      <c r="I39" s="27">
        <f>IFERROR(IF(OR($F39="O",$G39="O",$H39="O"),CHOOSE(MATCH($A39,{"튜브","고압","진공","튜닝","조립","출하"},0),"T","H","V","N","A","P")&amp;IF($F39="O","R",IF($G39="O","A",IF($H39="O","F",""))),""),"")</f>
        <v/>
      </c>
      <c r="J39" s="15" t="inlineStr">
        <is>
          <t>O</t>
        </is>
      </c>
      <c r="K39" s="16" t="n"/>
      <c r="L39" s="17" t="n"/>
      <c r="M39" s="18" t="n"/>
      <c r="N39" s="19" t="n"/>
      <c r="O39" s="20" t="n"/>
      <c r="P39" s="21">
        <f>IF($I39="","",IF($J39="O","3","")&amp;IF($K39="O","4","")&amp;IF($L39="O","6","")&amp;IF($M39="O","7","")&amp;IF($N39="O","8","")&amp;IF($O39="O","?","")&amp;IF(OR($J39="O",$K39="O",$L39="O",$M39="O",$N39="O",$O39="O"),"-","")&amp;$I39)</f>
        <v/>
      </c>
      <c r="Q39" s="110">
        <f>HYPERLINK("#'마스터_품목'!A215","→ 마스터 R215")</f>
        <v/>
      </c>
      <c r="R39" s="111" t="n">
        <v>215</v>
      </c>
      <c r="S39" s="111" t="inlineStr">
        <is>
          <t>마스터_품목</t>
        </is>
      </c>
    </row>
    <row r="40" ht="48" customHeight="1">
      <c r="A40" s="22" t="inlineStr">
        <is>
          <t>조립</t>
        </is>
      </c>
      <c r="B40" s="22" t="inlineStr">
        <is>
          <t>ASS'Y</t>
        </is>
      </c>
      <c r="C40" s="23" t="inlineStr">
        <is>
          <t>DX3000</t>
        </is>
      </c>
      <c r="D40" s="23" t="inlineStr">
        <is>
          <t>데코가이드 ASS'Y (손잡이 포함)</t>
        </is>
      </c>
      <c r="E40" s="23" t="n"/>
      <c r="F40" s="24" t="n"/>
      <c r="G40" s="25" t="inlineStr">
        <is>
          <t>O</t>
        </is>
      </c>
      <c r="H40" s="26" t="n"/>
      <c r="I40" s="27">
        <f>IFERROR(IF(OR($F40="O",$G40="O",$H40="O"),CHOOSE(MATCH($A40,{"튜브","고압","진공","튜닝","조립","출하"},0),"T","H","V","N","A","P")&amp;IF($F40="O","R",IF($G40="O","A",IF($H40="O","F",""))),""),"")</f>
        <v/>
      </c>
      <c r="J40" s="15" t="inlineStr">
        <is>
          <t>O</t>
        </is>
      </c>
      <c r="K40" s="16" t="n"/>
      <c r="L40" s="17" t="n"/>
      <c r="M40" s="18" t="n"/>
      <c r="N40" s="19" t="n"/>
      <c r="O40" s="20" t="n"/>
      <c r="P40" s="21">
        <f>IF($I40="","",IF($J40="O","3","")&amp;IF($K40="O","4","")&amp;IF($L40="O","6","")&amp;IF($M40="O","7","")&amp;IF($N40="O","8","")&amp;IF($O40="O","?","")&amp;IF(OR($J40="O",$K40="O",$L40="O",$M40="O",$N40="O",$O40="O"),"-","")&amp;$I40)</f>
        <v/>
      </c>
      <c r="Q40" s="110">
        <f>HYPERLINK("#'마스터_품목'!A216","→ 마스터 R216")</f>
        <v/>
      </c>
      <c r="R40" s="111" t="n">
        <v>216</v>
      </c>
      <c r="S40" s="111" t="inlineStr">
        <is>
          <t>마스터_품목</t>
        </is>
      </c>
    </row>
    <row r="41" ht="48" customHeight="1">
      <c r="A41" s="22" t="inlineStr">
        <is>
          <t>조립</t>
        </is>
      </c>
      <c r="B41" s="22" t="inlineStr">
        <is>
          <t>ASS'Y</t>
        </is>
      </c>
      <c r="C41" s="23" t="inlineStr">
        <is>
          <t>DX3000</t>
        </is>
      </c>
      <c r="D41" s="23" t="inlineStr">
        <is>
          <t>LCD BD ASS'Y</t>
        </is>
      </c>
      <c r="E41" s="23" t="n"/>
      <c r="F41" s="24" t="n"/>
      <c r="G41" s="25" t="inlineStr">
        <is>
          <t>O</t>
        </is>
      </c>
      <c r="H41" s="26" t="n"/>
      <c r="I41" s="27">
        <f>IFERROR(IF(OR($F41="O",$G41="O",$H41="O"),CHOOSE(MATCH($A41,{"튜브","고압","진공","튜닝","조립","출하"},0),"T","H","V","N","A","P")&amp;IF($F41="O","R",IF($G41="O","A",IF($H41="O","F",""))),""),"")</f>
        <v/>
      </c>
      <c r="J41" s="15" t="inlineStr">
        <is>
          <t>O</t>
        </is>
      </c>
      <c r="K41" s="16" t="n"/>
      <c r="L41" s="17" t="n"/>
      <c r="M41" s="18" t="n"/>
      <c r="N41" s="19" t="n"/>
      <c r="O41" s="20" t="n"/>
      <c r="P41" s="21">
        <f>IF($I41="","",IF($J41="O","3","")&amp;IF($K41="O","4","")&amp;IF($L41="O","6","")&amp;IF($M41="O","7","")&amp;IF($N41="O","8","")&amp;IF($O41="O","?","")&amp;IF(OR($J41="O",$K41="O",$L41="O",$M41="O",$N41="O",$O41="O"),"-","")&amp;$I41)</f>
        <v/>
      </c>
      <c r="Q41" s="110">
        <f>HYPERLINK("#'마스터_품목'!A217","→ 마스터 R217")</f>
        <v/>
      </c>
      <c r="R41" s="111" t="n">
        <v>217</v>
      </c>
      <c r="S41" s="111" t="inlineStr">
        <is>
          <t>마스터_품목</t>
        </is>
      </c>
    </row>
    <row r="42" ht="48" customHeight="1">
      <c r="A42" s="22" t="inlineStr">
        <is>
          <t>조립</t>
        </is>
      </c>
      <c r="B42" s="22" t="inlineStr">
        <is>
          <t>ASS'Y</t>
        </is>
      </c>
      <c r="C42" s="23" t="inlineStr">
        <is>
          <t>DX3000</t>
        </is>
      </c>
      <c r="D42" s="23" t="inlineStr">
        <is>
          <t>LCD BD ASS'Y  _사파리_원버턴 타입</t>
        </is>
      </c>
      <c r="E42" s="23" t="n"/>
      <c r="F42" s="24" t="n"/>
      <c r="G42" s="25" t="inlineStr">
        <is>
          <t>O</t>
        </is>
      </c>
      <c r="H42" s="26" t="n"/>
      <c r="I42" s="27">
        <f>IFERROR(IF(OR($F42="O",$G42="O",$H42="O"),CHOOSE(MATCH($A42,{"튜브","고압","진공","튜닝","조립","출하"},0),"T","H","V","N","A","P")&amp;IF($F42="O","R",IF($G42="O","A",IF($H42="O","F",""))),""),"")</f>
        <v/>
      </c>
      <c r="J42" s="15" t="inlineStr">
        <is>
          <t>O</t>
        </is>
      </c>
      <c r="K42" s="16" t="n"/>
      <c r="L42" s="17" t="n"/>
      <c r="M42" s="18" t="n"/>
      <c r="N42" s="19" t="n"/>
      <c r="O42" s="20" t="n"/>
      <c r="P42" s="21">
        <f>IF($I42="","",IF($J42="O","3","")&amp;IF($K42="O","4","")&amp;IF($L42="O","6","")&amp;IF($M42="O","7","")&amp;IF($N42="O","8","")&amp;IF($O42="O","?","")&amp;IF(OR($J42="O",$K42="O",$L42="O",$M42="O",$N42="O",$O42="O"),"-","")&amp;$I42)</f>
        <v/>
      </c>
      <c r="Q42" s="110">
        <f>HYPERLINK("#'마스터_품목'!A218","→ 마스터 R218")</f>
        <v/>
      </c>
      <c r="R42" s="111" t="n">
        <v>218</v>
      </c>
      <c r="S42" s="111" t="inlineStr">
        <is>
          <t>마스터_품목</t>
        </is>
      </c>
    </row>
    <row r="43" ht="48" customHeight="1">
      <c r="A43" s="22" t="inlineStr">
        <is>
          <t>조립</t>
        </is>
      </c>
      <c r="B43" s="22" t="inlineStr">
        <is>
          <t>ASS'Y</t>
        </is>
      </c>
      <c r="C43" s="23" t="inlineStr">
        <is>
          <t>DX3000</t>
        </is>
      </c>
      <c r="D43" s="23" t="inlineStr">
        <is>
          <t>LCD BD ASS'Y  _TFT</t>
        </is>
      </c>
      <c r="E43" s="23" t="n"/>
      <c r="F43" s="24" t="n"/>
      <c r="G43" s="25" t="inlineStr">
        <is>
          <t>O</t>
        </is>
      </c>
      <c r="H43" s="26" t="n"/>
      <c r="I43" s="27">
        <f>IFERROR(IF(OR($F43="O",$G43="O",$H43="O"),CHOOSE(MATCH($A43,{"튜브","고압","진공","튜닝","조립","출하"},0),"T","H","V","N","A","P")&amp;IF($F43="O","R",IF($G43="O","A",IF($H43="O","F",""))),""),"")</f>
        <v/>
      </c>
      <c r="J43" s="15" t="inlineStr">
        <is>
          <t>O</t>
        </is>
      </c>
      <c r="K43" s="16" t="n"/>
      <c r="L43" s="17" t="n"/>
      <c r="M43" s="18" t="n"/>
      <c r="N43" s="19" t="n"/>
      <c r="O43" s="20" t="n"/>
      <c r="P43" s="21">
        <f>IF($I43="","",IF($J43="O","3","")&amp;IF($K43="O","4","")&amp;IF($L43="O","6","")&amp;IF($M43="O","7","")&amp;IF($N43="O","8","")&amp;IF($O43="O","?","")&amp;IF(OR($J43="O",$K43="O",$L43="O",$M43="O",$N43="O",$O43="O"),"-","")&amp;$I43)</f>
        <v/>
      </c>
      <c r="Q43" s="110">
        <f>HYPERLINK("#'마스터_품목'!A219","→ 마스터 R219")</f>
        <v/>
      </c>
      <c r="R43" s="111" t="n">
        <v>219</v>
      </c>
      <c r="S43" s="111" t="inlineStr">
        <is>
          <t>마스터_품목</t>
        </is>
      </c>
    </row>
    <row r="44" ht="48" customHeight="1">
      <c r="A44" s="22" t="inlineStr">
        <is>
          <t>조립</t>
        </is>
      </c>
      <c r="B44" s="22" t="inlineStr">
        <is>
          <t>ASS'Y</t>
        </is>
      </c>
      <c r="C44" s="23" t="inlineStr">
        <is>
          <t>DX3000 
화이트</t>
        </is>
      </c>
      <c r="D44" s="23" t="inlineStr">
        <is>
          <t>기본 사출 ASS'Y</t>
        </is>
      </c>
      <c r="E44" s="23" t="n"/>
      <c r="F44" s="24" t="n"/>
      <c r="G44" s="25" t="inlineStr">
        <is>
          <t>O</t>
        </is>
      </c>
      <c r="H44" s="26" t="n"/>
      <c r="I44" s="27">
        <f>IFERROR(IF(OR($F44="O",$G44="O",$H44="O"),CHOOSE(MATCH($A44,{"튜브","고압","진공","튜닝","조립","출하"},0),"T","H","V","N","A","P")&amp;IF($F44="O","R",IF($G44="O","A",IF($H44="O","F",""))),""),"")</f>
        <v/>
      </c>
      <c r="J44" s="15" t="inlineStr">
        <is>
          <t>O</t>
        </is>
      </c>
      <c r="K44" s="16" t="n"/>
      <c r="L44" s="17" t="n"/>
      <c r="M44" s="18" t="n"/>
      <c r="N44" s="19" t="n"/>
      <c r="O44" s="20" t="n"/>
      <c r="P44" s="21">
        <f>IF($I44="","",IF($J44="O","3","")&amp;IF($K44="O","4","")&amp;IF($L44="O","6","")&amp;IF($M44="O","7","")&amp;IF($N44="O","8","")&amp;IF($O44="O","?","")&amp;IF(OR($J44="O",$K44="O",$L44="O",$M44="O",$N44="O",$O44="O"),"-","")&amp;$I44)</f>
        <v/>
      </c>
      <c r="Q44" s="110">
        <f>HYPERLINK("#'마스터_품목'!A220","→ 마스터 R220")</f>
        <v/>
      </c>
      <c r="R44" s="111" t="n">
        <v>220</v>
      </c>
      <c r="S44" s="111" t="inlineStr">
        <is>
          <t>마스터_품목</t>
        </is>
      </c>
    </row>
    <row r="45" ht="48" customHeight="1">
      <c r="A45" s="22" t="inlineStr">
        <is>
          <t>조립</t>
        </is>
      </c>
      <c r="B45" s="22" t="inlineStr">
        <is>
          <t>ASS'Y</t>
        </is>
      </c>
      <c r="C45" s="23" t="inlineStr">
        <is>
          <t>DX3000 
블랙</t>
        </is>
      </c>
      <c r="D45" s="23" t="inlineStr">
        <is>
          <t>기본 사출 ASS'Y</t>
        </is>
      </c>
      <c r="E45" s="23" t="n"/>
      <c r="F45" s="24" t="n"/>
      <c r="G45" s="25" t="inlineStr">
        <is>
          <t>O</t>
        </is>
      </c>
      <c r="H45" s="26" t="n"/>
      <c r="I45" s="27">
        <f>IFERROR(IF(OR($F45="O",$G45="O",$H45="O"),CHOOSE(MATCH($A45,{"튜브","고압","진공","튜닝","조립","출하"},0),"T","H","V","N","A","P")&amp;IF($F45="O","R",IF($G45="O","A",IF($H45="O","F",""))),""),"")</f>
        <v/>
      </c>
      <c r="J45" s="15" t="inlineStr">
        <is>
          <t>O</t>
        </is>
      </c>
      <c r="K45" s="16" t="n"/>
      <c r="L45" s="17" t="n"/>
      <c r="M45" s="18" t="n"/>
      <c r="N45" s="19" t="n"/>
      <c r="O45" s="20" t="n"/>
      <c r="P45" s="21">
        <f>IF($I45="","",IF($J45="O","3","")&amp;IF($K45="O","4","")&amp;IF($L45="O","6","")&amp;IF($M45="O","7","")&amp;IF($N45="O","8","")&amp;IF($O45="O","?","")&amp;IF(OR($J45="O",$K45="O",$L45="O",$M45="O",$N45="O",$O45="O"),"-","")&amp;$I45)</f>
        <v/>
      </c>
      <c r="Q45" s="110">
        <f>HYPERLINK("#'마스터_품목'!A221","→ 마스터 R221")</f>
        <v/>
      </c>
      <c r="R45" s="111" t="n">
        <v>221</v>
      </c>
      <c r="S45" s="111" t="inlineStr">
        <is>
          <t>마스터_품목</t>
        </is>
      </c>
    </row>
    <row r="46" ht="48" customHeight="1">
      <c r="A46" s="22" t="inlineStr">
        <is>
          <t>조립</t>
        </is>
      </c>
      <c r="B46" s="22" t="inlineStr">
        <is>
          <t>ASS'Y</t>
        </is>
      </c>
      <c r="C46" s="23" t="inlineStr">
        <is>
          <t>DX3000
화이트</t>
        </is>
      </c>
      <c r="D46" s="23" t="inlineStr">
        <is>
          <t>사출 ASS'Y _ 태국용</t>
        </is>
      </c>
      <c r="E46" s="23" t="n"/>
      <c r="F46" s="24" t="n"/>
      <c r="G46" s="25" t="inlineStr">
        <is>
          <t>O</t>
        </is>
      </c>
      <c r="H46" s="26" t="n"/>
      <c r="I46" s="27">
        <f>IFERROR(IF(OR($F46="O",$G46="O",$H46="O"),CHOOSE(MATCH($A46,{"튜브","고압","진공","튜닝","조립","출하"},0),"T","H","V","N","A","P")&amp;IF($F46="O","R",IF($G46="O","A",IF($H46="O","F",""))),""),"")</f>
        <v/>
      </c>
      <c r="J46" s="15" t="inlineStr">
        <is>
          <t>O</t>
        </is>
      </c>
      <c r="K46" s="16" t="n"/>
      <c r="L46" s="17" t="n"/>
      <c r="M46" s="18" t="n"/>
      <c r="N46" s="19" t="n"/>
      <c r="O46" s="20" t="n"/>
      <c r="P46" s="21">
        <f>IF($I46="","",IF($J46="O","3","")&amp;IF($K46="O","4","")&amp;IF($L46="O","6","")&amp;IF($M46="O","7","")&amp;IF($N46="O","8","")&amp;IF($O46="O","?","")&amp;IF(OR($J46="O",$K46="O",$L46="O",$M46="O",$N46="O",$O46="O"),"-","")&amp;$I46)</f>
        <v/>
      </c>
      <c r="Q46" s="110">
        <f>HYPERLINK("#'마스터_품목'!A222","→ 마스터 R222")</f>
        <v/>
      </c>
      <c r="R46" s="111" t="n">
        <v>222</v>
      </c>
      <c r="S46" s="111" t="inlineStr">
        <is>
          <t>마스터_품목</t>
        </is>
      </c>
    </row>
    <row r="47" ht="48" customHeight="1">
      <c r="A47" s="22" t="inlineStr">
        <is>
          <t>조립</t>
        </is>
      </c>
      <c r="B47" s="22" t="inlineStr">
        <is>
          <t>ASS'Y</t>
        </is>
      </c>
      <c r="C47" s="23" t="inlineStr">
        <is>
          <t>DX3000 
블랙</t>
        </is>
      </c>
      <c r="D47" s="23" t="inlineStr">
        <is>
          <t>기본 사출 ASS'Y _ 이미지웍스</t>
        </is>
      </c>
      <c r="E47" s="23" t="n"/>
      <c r="F47" s="24" t="n"/>
      <c r="G47" s="25" t="inlineStr">
        <is>
          <t>O</t>
        </is>
      </c>
      <c r="H47" s="26" t="n"/>
      <c r="I47" s="27">
        <f>IFERROR(IF(OR($F47="O",$G47="O",$H47="O"),CHOOSE(MATCH($A47,{"튜브","고압","진공","튜닝","조립","출하"},0),"T","H","V","N","A","P")&amp;IF($F47="O","R",IF($G47="O","A",IF($H47="O","F",""))),""),"")</f>
        <v/>
      </c>
      <c r="J47" s="15" t="inlineStr">
        <is>
          <t>O</t>
        </is>
      </c>
      <c r="K47" s="16" t="n"/>
      <c r="L47" s="17" t="n"/>
      <c r="M47" s="18" t="n"/>
      <c r="N47" s="19" t="n"/>
      <c r="O47" s="20" t="n"/>
      <c r="P47" s="21">
        <f>IF($I47="","",IF($J47="O","3","")&amp;IF($K47="O","4","")&amp;IF($L47="O","6","")&amp;IF($M47="O","7","")&amp;IF($N47="O","8","")&amp;IF($O47="O","?","")&amp;IF(OR($J47="O",$K47="O",$L47="O",$M47="O",$N47="O",$O47="O"),"-","")&amp;$I47)</f>
        <v/>
      </c>
      <c r="Q47" s="110">
        <f>HYPERLINK("#'마스터_품목'!A223","→ 마스터 R223")</f>
        <v/>
      </c>
      <c r="R47" s="111" t="n">
        <v>223</v>
      </c>
      <c r="S47" s="111" t="inlineStr">
        <is>
          <t>마스터_품목</t>
        </is>
      </c>
    </row>
    <row r="48" ht="48" customHeight="1">
      <c r="A48" s="22" t="inlineStr">
        <is>
          <t>조립</t>
        </is>
      </c>
      <c r="B48" s="22" t="inlineStr">
        <is>
          <t>ASS'Y</t>
        </is>
      </c>
      <c r="C48" s="23" t="inlineStr">
        <is>
          <t>DX3000
화이트</t>
        </is>
      </c>
      <c r="D48" s="23" t="inlineStr">
        <is>
          <t>기본 사출 ASS'Y _ 미국용_동물용</t>
        </is>
      </c>
      <c r="E48" s="23" t="n"/>
      <c r="F48" s="24" t="n"/>
      <c r="G48" s="25" t="inlineStr">
        <is>
          <t>O</t>
        </is>
      </c>
      <c r="H48" s="26" t="n"/>
      <c r="I48" s="27">
        <f>IFERROR(IF(OR($F48="O",$G48="O",$H48="O"),CHOOSE(MATCH($A48,{"튜브","고압","진공","튜닝","조립","출하"},0),"T","H","V","N","A","P")&amp;IF($F48="O","R",IF($G48="O","A",IF($H48="O","F",""))),""),"")</f>
        <v/>
      </c>
      <c r="J48" s="15" t="inlineStr">
        <is>
          <t>O</t>
        </is>
      </c>
      <c r="K48" s="16" t="n"/>
      <c r="L48" s="17" t="n"/>
      <c r="M48" s="18" t="n"/>
      <c r="N48" s="19" t="n"/>
      <c r="O48" s="20" t="n"/>
      <c r="P48" s="21">
        <f>IF($I48="","",IF($J48="O","3","")&amp;IF($K48="O","4","")&amp;IF($L48="O","6","")&amp;IF($M48="O","7","")&amp;IF($N48="O","8","")&amp;IF($O48="O","?","")&amp;IF(OR($J48="O",$K48="O",$L48="O",$M48="O",$N48="O",$O48="O"),"-","")&amp;$I48)</f>
        <v/>
      </c>
      <c r="Q48" s="110">
        <f>HYPERLINK("#'마스터_품목'!A224","→ 마스터 R224")</f>
        <v/>
      </c>
      <c r="R48" s="111" t="n">
        <v>224</v>
      </c>
      <c r="S48" s="111" t="inlineStr">
        <is>
          <t>마스터_품목</t>
        </is>
      </c>
    </row>
    <row r="49" ht="48" customHeight="1">
      <c r="A49" s="22" t="inlineStr">
        <is>
          <t>조립</t>
        </is>
      </c>
      <c r="B49" s="22" t="inlineStr">
        <is>
          <t>ASS'Y</t>
        </is>
      </c>
      <c r="C49" s="23" t="inlineStr">
        <is>
          <t>DX3000
화이트</t>
        </is>
      </c>
      <c r="D49" s="23" t="inlineStr">
        <is>
          <t>15cm 사출 ASS'Y - 일본용</t>
        </is>
      </c>
      <c r="E49" s="23" t="n"/>
      <c r="F49" s="24" t="n"/>
      <c r="G49" s="25" t="inlineStr">
        <is>
          <t>O</t>
        </is>
      </c>
      <c r="H49" s="26" t="n"/>
      <c r="I49" s="27">
        <f>IFERROR(IF(OR($F49="O",$G49="O",$H49="O"),CHOOSE(MATCH($A49,{"튜브","고압","진공","튜닝","조립","출하"},0),"T","H","V","N","A","P")&amp;IF($F49="O","R",IF($G49="O","A",IF($H49="O","F",""))),""),"")</f>
        <v/>
      </c>
      <c r="J49" s="15" t="inlineStr">
        <is>
          <t>O</t>
        </is>
      </c>
      <c r="K49" s="16" t="n"/>
      <c r="L49" s="17" t="n"/>
      <c r="M49" s="18" t="n"/>
      <c r="N49" s="19" t="n"/>
      <c r="O49" s="20" t="n"/>
      <c r="P49" s="21">
        <f>IF($I49="","",IF($J49="O","3","")&amp;IF($K49="O","4","")&amp;IF($L49="O","6","")&amp;IF($M49="O","7","")&amp;IF($N49="O","8","")&amp;IF($O49="O","?","")&amp;IF(OR($J49="O",$K49="O",$L49="O",$M49="O",$N49="O",$O49="O"),"-","")&amp;$I49)</f>
        <v/>
      </c>
      <c r="Q49" s="110">
        <f>HYPERLINK("#'마스터_품목'!A225","→ 마스터 R225")</f>
        <v/>
      </c>
      <c r="R49" s="111" t="n">
        <v>225</v>
      </c>
      <c r="S49" s="111" t="inlineStr">
        <is>
          <t>마스터_품목</t>
        </is>
      </c>
    </row>
    <row r="50" ht="48" customHeight="1">
      <c r="A50" s="22" t="inlineStr">
        <is>
          <t>조립</t>
        </is>
      </c>
      <c r="B50" s="22" t="inlineStr">
        <is>
          <t>ASS'Y</t>
        </is>
      </c>
      <c r="C50" s="23" t="inlineStr">
        <is>
          <t>DX3000
화이트</t>
        </is>
      </c>
      <c r="D50" s="23" t="inlineStr">
        <is>
          <t>20cm 사출 ASS'Y - 기본</t>
        </is>
      </c>
      <c r="E50" s="23" t="n"/>
      <c r="F50" s="24" t="n"/>
      <c r="G50" s="25" t="inlineStr">
        <is>
          <t>O</t>
        </is>
      </c>
      <c r="H50" s="26" t="n"/>
      <c r="I50" s="27">
        <f>IFERROR(IF(OR($F50="O",$G50="O",$H50="O"),CHOOSE(MATCH($A50,{"튜브","고압","진공","튜닝","조립","출하"},0),"T","H","V","N","A","P")&amp;IF($F50="O","R",IF($G50="O","A",IF($H50="O","F",""))),""),"")</f>
        <v/>
      </c>
      <c r="J50" s="15" t="inlineStr">
        <is>
          <t>O</t>
        </is>
      </c>
      <c r="K50" s="16" t="n"/>
      <c r="L50" s="17" t="n"/>
      <c r="M50" s="18" t="n"/>
      <c r="N50" s="19" t="n"/>
      <c r="O50" s="20" t="n"/>
      <c r="P50" s="21">
        <f>IF($I50="","",IF($J50="O","3","")&amp;IF($K50="O","4","")&amp;IF($L50="O","6","")&amp;IF($M50="O","7","")&amp;IF($N50="O","8","")&amp;IF($O50="O","?","")&amp;IF(OR($J50="O",$K50="O",$L50="O",$M50="O",$N50="O",$O50="O"),"-","")&amp;$I50)</f>
        <v/>
      </c>
      <c r="Q50" s="110">
        <f>HYPERLINK("#'마스터_품목'!A226","→ 마스터 R226")</f>
        <v/>
      </c>
      <c r="R50" s="111" t="n">
        <v>226</v>
      </c>
      <c r="S50" s="111" t="inlineStr">
        <is>
          <t>마스터_품목</t>
        </is>
      </c>
    </row>
    <row r="51" ht="48" customHeight="1">
      <c r="A51" s="22" t="inlineStr">
        <is>
          <t>조립</t>
        </is>
      </c>
      <c r="B51" s="22" t="inlineStr">
        <is>
          <t>ASS'Y</t>
        </is>
      </c>
      <c r="C51" s="23" t="inlineStr">
        <is>
          <t>DX3000 
블랙</t>
        </is>
      </c>
      <c r="D51" s="23" t="inlineStr">
        <is>
          <t>20cm 사출 ASS'Y - 기본</t>
        </is>
      </c>
      <c r="E51" s="23" t="n"/>
      <c r="F51" s="24" t="n"/>
      <c r="G51" s="25" t="inlineStr">
        <is>
          <t>O</t>
        </is>
      </c>
      <c r="H51" s="26" t="n"/>
      <c r="I51" s="27">
        <f>IFERROR(IF(OR($F51="O",$G51="O",$H51="O"),CHOOSE(MATCH($A51,{"튜브","고압","진공","튜닝","조립","출하"},0),"T","H","V","N","A","P")&amp;IF($F51="O","R",IF($G51="O","A",IF($H51="O","F",""))),""),"")</f>
        <v/>
      </c>
      <c r="J51" s="15" t="inlineStr">
        <is>
          <t>O</t>
        </is>
      </c>
      <c r="K51" s="16" t="n"/>
      <c r="L51" s="17" t="n"/>
      <c r="M51" s="18" t="n"/>
      <c r="N51" s="19" t="n"/>
      <c r="O51" s="20" t="n"/>
      <c r="P51" s="21">
        <f>IF($I51="","",IF($J51="O","3","")&amp;IF($K51="O","4","")&amp;IF($L51="O","6","")&amp;IF($M51="O","7","")&amp;IF($N51="O","8","")&amp;IF($O51="O","?","")&amp;IF(OR($J51="O",$K51="O",$L51="O",$M51="O",$N51="O",$O51="O"),"-","")&amp;$I51)</f>
        <v/>
      </c>
      <c r="Q51" s="110">
        <f>HYPERLINK("#'마스터_품목'!A227","→ 마스터 R227")</f>
        <v/>
      </c>
      <c r="R51" s="111" t="n">
        <v>227</v>
      </c>
      <c r="S51" s="111" t="inlineStr">
        <is>
          <t>마스터_품목</t>
        </is>
      </c>
    </row>
    <row r="52" ht="48" customHeight="1">
      <c r="A52" s="22" t="inlineStr">
        <is>
          <t>조립</t>
        </is>
      </c>
      <c r="B52" s="22" t="inlineStr">
        <is>
          <t>ASS'Y</t>
        </is>
      </c>
      <c r="C52" s="23" t="inlineStr">
        <is>
          <t>DX3000
화이트</t>
        </is>
      </c>
      <c r="D52" s="23" t="inlineStr">
        <is>
          <t>20cm 사출 ASS'Y - 맥스레이</t>
        </is>
      </c>
      <c r="E52" s="23" t="n"/>
      <c r="F52" s="24" t="n"/>
      <c r="G52" s="25" t="inlineStr">
        <is>
          <t>O</t>
        </is>
      </c>
      <c r="H52" s="26" t="n"/>
      <c r="I52" s="27">
        <f>IFERROR(IF(OR($F52="O",$G52="O",$H52="O"),CHOOSE(MATCH($A52,{"튜브","고압","진공","튜닝","조립","출하"},0),"T","H","V","N","A","P")&amp;IF($F52="O","R",IF($G52="O","A",IF($H52="O","F",""))),""),"")</f>
        <v/>
      </c>
      <c r="J52" s="15" t="inlineStr">
        <is>
          <t>O</t>
        </is>
      </c>
      <c r="K52" s="16" t="n"/>
      <c r="L52" s="17" t="n"/>
      <c r="M52" s="18" t="n"/>
      <c r="N52" s="19" t="n"/>
      <c r="O52" s="20" t="n"/>
      <c r="P52" s="21">
        <f>IF($I52="","",IF($J52="O","3","")&amp;IF($K52="O","4","")&amp;IF($L52="O","6","")&amp;IF($M52="O","7","")&amp;IF($N52="O","8","")&amp;IF($O52="O","?","")&amp;IF(OR($J52="O",$K52="O",$L52="O",$M52="O",$N52="O",$O52="O"),"-","")&amp;$I52)</f>
        <v/>
      </c>
      <c r="Q52" s="110">
        <f>HYPERLINK("#'마스터_품목'!A228","→ 마스터 R228")</f>
        <v/>
      </c>
      <c r="R52" s="111" t="n">
        <v>228</v>
      </c>
      <c r="S52" s="111" t="inlineStr">
        <is>
          <t>마스터_품목</t>
        </is>
      </c>
    </row>
    <row r="53" ht="48" customHeight="1">
      <c r="A53" s="22" t="inlineStr">
        <is>
          <t>조립</t>
        </is>
      </c>
      <c r="B53" s="22" t="inlineStr">
        <is>
          <t>ASS'Y</t>
        </is>
      </c>
      <c r="C53" s="23" t="inlineStr">
        <is>
          <t>DX3000 
블랙</t>
        </is>
      </c>
      <c r="D53" s="23" t="inlineStr">
        <is>
          <t>20cm 사출 ASS'Y - 맥스레이</t>
        </is>
      </c>
      <c r="E53" s="23" t="n"/>
      <c r="F53" s="24" t="n"/>
      <c r="G53" s="25" t="inlineStr">
        <is>
          <t>O</t>
        </is>
      </c>
      <c r="H53" s="26" t="n"/>
      <c r="I53" s="27">
        <f>IFERROR(IF(OR($F53="O",$G53="O",$H53="O"),CHOOSE(MATCH($A53,{"튜브","고압","진공","튜닝","조립","출하"},0),"T","H","V","N","A","P")&amp;IF($F53="O","R",IF($G53="O","A",IF($H53="O","F",""))),""),"")</f>
        <v/>
      </c>
      <c r="J53" s="15" t="inlineStr">
        <is>
          <t>O</t>
        </is>
      </c>
      <c r="K53" s="16" t="n"/>
      <c r="L53" s="17" t="n"/>
      <c r="M53" s="18" t="n"/>
      <c r="N53" s="19" t="n"/>
      <c r="O53" s="20" t="n"/>
      <c r="P53" s="21">
        <f>IF($I53="","",IF($J53="O","3","")&amp;IF($K53="O","4","")&amp;IF($L53="O","6","")&amp;IF($M53="O","7","")&amp;IF($N53="O","8","")&amp;IF($O53="O","?","")&amp;IF(OR($J53="O",$K53="O",$L53="O",$M53="O",$N53="O",$O53="O"),"-","")&amp;$I53)</f>
        <v/>
      </c>
      <c r="Q53" s="110">
        <f>HYPERLINK("#'마스터_품목'!A229","→ 마스터 R229")</f>
        <v/>
      </c>
      <c r="R53" s="111" t="n">
        <v>229</v>
      </c>
      <c r="S53" s="111" t="inlineStr">
        <is>
          <t>마스터_품목</t>
        </is>
      </c>
    </row>
    <row r="54" ht="48" customHeight="1">
      <c r="A54" s="22" t="inlineStr">
        <is>
          <t>조립</t>
        </is>
      </c>
      <c r="B54" s="22" t="inlineStr">
        <is>
          <t>ASS'Y</t>
        </is>
      </c>
      <c r="C54" s="23" t="inlineStr">
        <is>
          <t>DX3000
화이트</t>
        </is>
      </c>
      <c r="D54" s="23" t="inlineStr">
        <is>
          <t>20cm 사출 ASS'Y 원버튼 _ 사파리용</t>
        </is>
      </c>
      <c r="E54" s="23" t="n"/>
      <c r="F54" s="24" t="n"/>
      <c r="G54" s="25" t="inlineStr">
        <is>
          <t>O</t>
        </is>
      </c>
      <c r="H54" s="26" t="n"/>
      <c r="I54" s="27">
        <f>IFERROR(IF(OR($F54="O",$G54="O",$H54="O"),CHOOSE(MATCH($A54,{"튜브","고압","진공","튜닝","조립","출하"},0),"T","H","V","N","A","P")&amp;IF($F54="O","R",IF($G54="O","A",IF($H54="O","F",""))),""),"")</f>
        <v/>
      </c>
      <c r="J54" s="15" t="inlineStr">
        <is>
          <t>O</t>
        </is>
      </c>
      <c r="K54" s="16" t="n"/>
      <c r="L54" s="17" t="n"/>
      <c r="M54" s="18" t="n"/>
      <c r="N54" s="19" t="n"/>
      <c r="O54" s="20" t="n"/>
      <c r="P54" s="21">
        <f>IF($I54="","",IF($J54="O","3","")&amp;IF($K54="O","4","")&amp;IF($L54="O","6","")&amp;IF($M54="O","7","")&amp;IF($N54="O","8","")&amp;IF($O54="O","?","")&amp;IF(OR($J54="O",$K54="O",$L54="O",$M54="O",$N54="O",$O54="O"),"-","")&amp;$I54)</f>
        <v/>
      </c>
      <c r="Q54" s="110">
        <f>HYPERLINK("#'마스터_품목'!A230","→ 마스터 R230")</f>
        <v/>
      </c>
      <c r="R54" s="111" t="n">
        <v>230</v>
      </c>
      <c r="S54" s="111" t="inlineStr">
        <is>
          <t>마스터_품목</t>
        </is>
      </c>
    </row>
    <row r="55" ht="48" customHeight="1">
      <c r="A55" s="22" t="inlineStr">
        <is>
          <t>조립</t>
        </is>
      </c>
      <c r="B55" s="22" t="inlineStr">
        <is>
          <t>ASS'Y</t>
        </is>
      </c>
      <c r="C55" s="23" t="inlineStr">
        <is>
          <t>DX3000 
블랙</t>
        </is>
      </c>
      <c r="D55" s="23" t="inlineStr">
        <is>
          <t>사출 ASS'Y _ 태국용</t>
        </is>
      </c>
      <c r="E55" s="23" t="n"/>
      <c r="F55" s="24" t="n"/>
      <c r="G55" s="25" t="inlineStr">
        <is>
          <t>O</t>
        </is>
      </c>
      <c r="H55" s="26" t="n"/>
      <c r="I55" s="27">
        <f>IFERROR(IF(OR($F55="O",$G55="O",$H55="O"),CHOOSE(MATCH($A55,{"튜브","고압","진공","튜닝","조립","출하"},0),"T","H","V","N","A","P")&amp;IF($F55="O","R",IF($G55="O","A",IF($H55="O","F",""))),""),"")</f>
        <v/>
      </c>
      <c r="J55" s="15" t="inlineStr">
        <is>
          <t>O</t>
        </is>
      </c>
      <c r="K55" s="16" t="n"/>
      <c r="L55" s="17" t="n"/>
      <c r="M55" s="18" t="n"/>
      <c r="N55" s="19" t="n"/>
      <c r="O55" s="20" t="n"/>
      <c r="P55" s="21">
        <f>IF($I55="","",IF($J55="O","3","")&amp;IF($K55="O","4","")&amp;IF($L55="O","6","")&amp;IF($M55="O","7","")&amp;IF($N55="O","8","")&amp;IF($O55="O","?","")&amp;IF(OR($J55="O",$K55="O",$L55="O",$M55="O",$N55="O",$O55="O"),"-","")&amp;$I55)</f>
        <v/>
      </c>
      <c r="Q55" s="110">
        <f>HYPERLINK("#'마스터_품목'!A231","→ 마스터 R231")</f>
        <v/>
      </c>
      <c r="R55" s="111" t="n">
        <v>231</v>
      </c>
      <c r="S55" s="111" t="inlineStr">
        <is>
          <t>마스터_품목</t>
        </is>
      </c>
    </row>
    <row r="56" ht="48" customHeight="1">
      <c r="A56" s="22" t="inlineStr">
        <is>
          <t>조립</t>
        </is>
      </c>
      <c r="B56" s="22" t="inlineStr">
        <is>
          <t>컬리메이터 적용</t>
        </is>
      </c>
      <c r="C56" s="23" t="inlineStr">
        <is>
          <t>DX3000
블랙 무광</t>
        </is>
      </c>
      <c r="D56" s="23" t="inlineStr">
        <is>
          <t>메디컬용 콘 가이드</t>
        </is>
      </c>
      <c r="E56" s="23" t="inlineStr">
        <is>
          <t>메디컬용 컬리메타 (ABS 난연 블랙)
[DX3000]</t>
        </is>
      </c>
      <c r="F56" s="24" t="inlineStr">
        <is>
          <t>O</t>
        </is>
      </c>
      <c r="G56" s="25" t="n"/>
      <c r="H56" s="26" t="n"/>
      <c r="I56" s="27">
        <f>IFERROR(IF(OR($F56="O",$G56="O",$H56="O"),CHOOSE(MATCH($A56,{"튜브","고압","진공","튜닝","조립","출하"},0),"T","H","V","N","A","P")&amp;IF($F56="O","R",IF($G56="O","A",IF($H56="O","F",""))),""),"")</f>
        <v/>
      </c>
      <c r="J56" s="15" t="inlineStr">
        <is>
          <t>O</t>
        </is>
      </c>
      <c r="K56" s="16" t="n"/>
      <c r="L56" s="17" t="n"/>
      <c r="M56" s="18" t="n"/>
      <c r="N56" s="19" t="n"/>
      <c r="O56" s="20" t="n"/>
      <c r="P56" s="21">
        <f>IF($I56="","",IF($J56="O","3","")&amp;IF($K56="O","4","")&amp;IF($L56="O","6","")&amp;IF($M56="O","7","")&amp;IF($N56="O","8","")&amp;IF($O56="O","?","")&amp;IF(OR($J56="O",$K56="O",$L56="O",$M56="O",$N56="O",$O56="O"),"-","")&amp;$I56)</f>
        <v/>
      </c>
      <c r="Q56" s="110">
        <f>HYPERLINK("#'마스터_품목'!A232","→ 마스터 R232")</f>
        <v/>
      </c>
      <c r="R56" s="111" t="n">
        <v>232</v>
      </c>
      <c r="S56" s="111" t="inlineStr">
        <is>
          <t>마스터_품목</t>
        </is>
      </c>
    </row>
    <row r="57" ht="48" customHeight="1">
      <c r="A57" s="22" t="inlineStr">
        <is>
          <t>조립</t>
        </is>
      </c>
      <c r="B57" s="22" t="inlineStr">
        <is>
          <t>컬리메이터 적용</t>
        </is>
      </c>
      <c r="C57" s="23" t="inlineStr">
        <is>
          <t>DX3000
블랙 무광</t>
        </is>
      </c>
      <c r="D57" s="23" t="inlineStr">
        <is>
          <t>메디컬용 FRONT</t>
        </is>
      </c>
      <c r="E57" s="23" t="inlineStr">
        <is>
          <t>메디컬용 컬리메타 CAP (ABS 난연 블랙 + 블랙 무광)
[DX3000]</t>
        </is>
      </c>
      <c r="F57" s="24" t="inlineStr">
        <is>
          <t>O</t>
        </is>
      </c>
      <c r="G57" s="25" t="n"/>
      <c r="H57" s="26" t="n"/>
      <c r="I57" s="27">
        <f>IFERROR(IF(OR($F57="O",$G57="O",$H57="O"),CHOOSE(MATCH($A57,{"튜브","고압","진공","튜닝","조립","출하"},0),"T","H","V","N","A","P")&amp;IF($F57="O","R",IF($G57="O","A",IF($H57="O","F",""))),""),"")</f>
        <v/>
      </c>
      <c r="J57" s="15" t="inlineStr">
        <is>
          <t>O</t>
        </is>
      </c>
      <c r="K57" s="16" t="n"/>
      <c r="L57" s="17" t="n"/>
      <c r="M57" s="18" t="n"/>
      <c r="N57" s="19" t="n"/>
      <c r="O57" s="20" t="n"/>
      <c r="P57" s="21">
        <f>IF($I57="","",IF($J57="O","3","")&amp;IF($K57="O","4","")&amp;IF($L57="O","6","")&amp;IF($M57="O","7","")&amp;IF($N57="O","8","")&amp;IF($O57="O","?","")&amp;IF(OR($J57="O",$K57="O",$L57="O",$M57="O",$N57="O",$O57="O"),"-","")&amp;$I57)</f>
        <v/>
      </c>
      <c r="Q57" s="110">
        <f>HYPERLINK("#'마스터_품목'!A233","→ 마스터 R233")</f>
        <v/>
      </c>
      <c r="R57" s="111" t="n">
        <v>233</v>
      </c>
      <c r="S57" s="111" t="inlineStr">
        <is>
          <t>마스터_품목</t>
        </is>
      </c>
    </row>
    <row r="58" ht="48" customHeight="1">
      <c r="A58" s="22" t="inlineStr">
        <is>
          <t>조립</t>
        </is>
      </c>
      <c r="B58" s="22" t="inlineStr">
        <is>
          <t>컬리메이터 적용</t>
        </is>
      </c>
      <c r="C58" s="23" t="inlineStr">
        <is>
          <t>DX3000</t>
        </is>
      </c>
      <c r="D58" s="23" t="inlineStr">
        <is>
          <t>아크릴 투명 십자 Panel (66 x 66 mm)</t>
        </is>
      </c>
      <c r="E58" s="23" t="inlineStr">
        <is>
          <t>메디컬용 십자아크릴 (66*66)
[DX3000]</t>
        </is>
      </c>
      <c r="F58" s="24" t="inlineStr">
        <is>
          <t>O</t>
        </is>
      </c>
      <c r="G58" s="25" t="n"/>
      <c r="H58" s="26" t="n"/>
      <c r="I58" s="27">
        <f>IFERROR(IF(OR($F58="O",$G58="O",$H58="O"),CHOOSE(MATCH($A58,{"튜브","고압","진공","튜닝","조립","출하"},0),"T","H","V","N","A","P")&amp;IF($F58="O","R",IF($G58="O","A",IF($H58="O","F",""))),""),"")</f>
        <v/>
      </c>
      <c r="J58" s="15" t="inlineStr">
        <is>
          <t>O</t>
        </is>
      </c>
      <c r="K58" s="16" t="n"/>
      <c r="L58" s="17" t="n"/>
      <c r="M58" s="18" t="n"/>
      <c r="N58" s="19" t="n"/>
      <c r="O58" s="20" t="n"/>
      <c r="P58" s="21">
        <f>IF($I58="","",IF($J58="O","3","")&amp;IF($K58="O","4","")&amp;IF($L58="O","6","")&amp;IF($M58="O","7","")&amp;IF($N58="O","8","")&amp;IF($O58="O","?","")&amp;IF(OR($J58="O",$K58="O",$L58="O",$M58="O",$N58="O",$O58="O"),"-","")&amp;$I58)</f>
        <v/>
      </c>
      <c r="Q58" s="110">
        <f>HYPERLINK("#'마스터_품목'!A234","→ 마스터 R234")</f>
        <v/>
      </c>
      <c r="R58" s="111" t="n">
        <v>234</v>
      </c>
      <c r="S58" s="111" t="inlineStr">
        <is>
          <t>마스터_품목</t>
        </is>
      </c>
    </row>
    <row r="59" ht="48" customHeight="1">
      <c r="A59" s="22" t="inlineStr">
        <is>
          <t>조립</t>
        </is>
      </c>
      <c r="B59" s="22" t="inlineStr">
        <is>
          <t>컬리메이터 적용</t>
        </is>
      </c>
      <c r="C59" s="23" t="inlineStr">
        <is>
          <t>DX3000</t>
        </is>
      </c>
      <c r="D59" s="23" t="inlineStr">
        <is>
          <t>아크릴 은경 40∮</t>
        </is>
      </c>
      <c r="E59" s="23" t="inlineStr">
        <is>
          <t>아크릴 은경 (아크릴 40파이)
[DX3000, ADX6000,SOLO]</t>
        </is>
      </c>
      <c r="F59" s="24" t="inlineStr">
        <is>
          <t>O</t>
        </is>
      </c>
      <c r="G59" s="25" t="n"/>
      <c r="H59" s="26" t="n"/>
      <c r="I59" s="27">
        <f>IFERROR(IF(OR($F59="O",$G59="O",$H59="O"),CHOOSE(MATCH($A59,{"튜브","고압","진공","튜닝","조립","출하"},0),"T","H","V","N","A","P")&amp;IF($F59="O","R",IF($G59="O","A",IF($H59="O","F",""))),""),"")</f>
        <v/>
      </c>
      <c r="J59" s="15" t="inlineStr">
        <is>
          <t>O</t>
        </is>
      </c>
      <c r="K59" s="16" t="n"/>
      <c r="L59" s="17" t="inlineStr">
        <is>
          <t>O</t>
        </is>
      </c>
      <c r="M59" s="18" t="n"/>
      <c r="N59" s="19" t="inlineStr">
        <is>
          <t>O</t>
        </is>
      </c>
      <c r="O59" s="20" t="n"/>
      <c r="P59" s="21">
        <f>IF($I59="","",IF($J59="O","3","")&amp;IF($K59="O","4","")&amp;IF($L59="O","6","")&amp;IF($M59="O","7","")&amp;IF($N59="O","8","")&amp;IF($O59="O","?","")&amp;IF(OR($J59="O",$K59="O",$L59="O",$M59="O",$N59="O",$O59="O"),"-","")&amp;$I59)</f>
        <v/>
      </c>
      <c r="Q59" s="110">
        <f>HYPERLINK("#'마스터_품목'!A235","→ 마스터 R235")</f>
        <v/>
      </c>
      <c r="R59" s="111" t="n">
        <v>235</v>
      </c>
      <c r="S59" s="111" t="inlineStr">
        <is>
          <t>마스터_품목</t>
        </is>
      </c>
    </row>
    <row r="60" ht="48" customHeight="1">
      <c r="A60" s="22" t="inlineStr">
        <is>
          <t>조립</t>
        </is>
      </c>
      <c r="B60" s="22" t="inlineStr">
        <is>
          <t>컬리메이터 적용</t>
        </is>
      </c>
      <c r="C60" s="23" t="inlineStr">
        <is>
          <t>DX3000</t>
        </is>
      </c>
      <c r="D60" s="23" t="inlineStr">
        <is>
          <t>에이밍 알루미늄 플레이트</t>
        </is>
      </c>
      <c r="E60" s="23" t="inlineStr">
        <is>
          <t>LED PCB 방열 가이드 (흑색 다이캐스팅)
[DX3000, ADX6000,SOLO]</t>
        </is>
      </c>
      <c r="F60" s="24" t="inlineStr">
        <is>
          <t>O</t>
        </is>
      </c>
      <c r="G60" s="25" t="n"/>
      <c r="H60" s="26" t="n"/>
      <c r="I60" s="27">
        <f>IFERROR(IF(OR($F60="O",$G60="O",$H60="O"),CHOOSE(MATCH($A60,{"튜브","고압","진공","튜닝","조립","출하"},0),"T","H","V","N","A","P")&amp;IF($F60="O","R",IF($G60="O","A",IF($H60="O","F",""))),""),"")</f>
        <v/>
      </c>
      <c r="J60" s="15" t="inlineStr">
        <is>
          <t>O</t>
        </is>
      </c>
      <c r="K60" s="16" t="n"/>
      <c r="L60" s="17" t="inlineStr">
        <is>
          <t>O</t>
        </is>
      </c>
      <c r="M60" s="18" t="n"/>
      <c r="N60" s="19" t="inlineStr">
        <is>
          <t>O</t>
        </is>
      </c>
      <c r="O60" s="20" t="n"/>
      <c r="P60" s="21">
        <f>IF($I60="","",IF($J60="O","3","")&amp;IF($K60="O","4","")&amp;IF($L60="O","6","")&amp;IF($M60="O","7","")&amp;IF($N60="O","8","")&amp;IF($O60="O","?","")&amp;IF(OR($J60="O",$K60="O",$L60="O",$M60="O",$N60="O",$O60="O"),"-","")&amp;$I60)</f>
        <v/>
      </c>
      <c r="Q60" s="110">
        <f>HYPERLINK("#'마스터_품목'!A236","→ 마스터 R236")</f>
        <v/>
      </c>
      <c r="R60" s="111" t="n">
        <v>236</v>
      </c>
      <c r="S60" s="111" t="inlineStr">
        <is>
          <t>마스터_품목</t>
        </is>
      </c>
    </row>
    <row r="61" ht="48" customHeight="1">
      <c r="A61" s="22" t="inlineStr">
        <is>
          <t>조립</t>
        </is>
      </c>
      <c r="B61" s="22" t="inlineStr">
        <is>
          <t>컬리메이터 적용</t>
        </is>
      </c>
      <c r="C61" s="23" t="inlineStr">
        <is>
          <t>DX3000</t>
        </is>
      </c>
      <c r="D61" s="23" t="inlineStr">
        <is>
          <t>에이밍 LED BD</t>
        </is>
      </c>
      <c r="E61" s="23" t="inlineStr">
        <is>
          <t>에이밍 LED 보드 (LED PCB)
[DX3000, ADX6000,SOLO]</t>
        </is>
      </c>
      <c r="F61" s="24" t="inlineStr">
        <is>
          <t>O</t>
        </is>
      </c>
      <c r="G61" s="25" t="n"/>
      <c r="H61" s="26" t="n"/>
      <c r="I61" s="27">
        <f>IFERROR(IF(OR($F61="O",$G61="O",$H61="O"),CHOOSE(MATCH($A61,{"튜브","고압","진공","튜닝","조립","출하"},0),"T","H","V","N","A","P")&amp;IF($F61="O","R",IF($G61="O","A",IF($H61="O","F",""))),""),"")</f>
        <v/>
      </c>
      <c r="J61" s="15" t="inlineStr">
        <is>
          <t>O</t>
        </is>
      </c>
      <c r="K61" s="16" t="n"/>
      <c r="L61" s="17" t="inlineStr">
        <is>
          <t>O</t>
        </is>
      </c>
      <c r="M61" s="18" t="n"/>
      <c r="N61" s="19" t="inlineStr">
        <is>
          <t>O</t>
        </is>
      </c>
      <c r="O61" s="20" t="n"/>
      <c r="P61" s="21">
        <f>IF($I61="","",IF($J61="O","3","")&amp;IF($K61="O","4","")&amp;IF($L61="O","6","")&amp;IF($M61="O","7","")&amp;IF($N61="O","8","")&amp;IF($O61="O","?","")&amp;IF(OR($J61="O",$K61="O",$L61="O",$M61="O",$N61="O",$O61="O"),"-","")&amp;$I61)</f>
        <v/>
      </c>
      <c r="Q61" s="110">
        <f>HYPERLINK("#'마스터_품목'!A237","→ 마스터 R237")</f>
        <v/>
      </c>
      <c r="R61" s="111" t="n">
        <v>237</v>
      </c>
      <c r="S61" s="111" t="inlineStr">
        <is>
          <t>마스터_품목</t>
        </is>
      </c>
    </row>
    <row r="62" ht="48" customHeight="1">
      <c r="A62" s="22" t="inlineStr">
        <is>
          <t>조립</t>
        </is>
      </c>
      <c r="B62" s="22" t="inlineStr">
        <is>
          <t>컬리메이터 적용</t>
        </is>
      </c>
      <c r="C62" s="23" t="inlineStr">
        <is>
          <t>DX3000</t>
        </is>
      </c>
      <c r="D62" s="23" t="inlineStr">
        <is>
          <t>에이밍 원형 LED GUIDE</t>
        </is>
      </c>
      <c r="E62" s="23" t="inlineStr">
        <is>
          <t>에이밍 바디 뭉치 (ø33*19.3)
[DX3000, ADX6000,SOLO]</t>
        </is>
      </c>
      <c r="F62" s="24" t="inlineStr">
        <is>
          <t>O</t>
        </is>
      </c>
      <c r="G62" s="25" t="n"/>
      <c r="H62" s="26" t="n"/>
      <c r="I62" s="27">
        <f>IFERROR(IF(OR($F62="O",$G62="O",$H62="O"),CHOOSE(MATCH($A62,{"튜브","고압","진공","튜닝","조립","출하"},0),"T","H","V","N","A","P")&amp;IF($F62="O","R",IF($G62="O","A",IF($H62="O","F",""))),""),"")</f>
        <v/>
      </c>
      <c r="J62" s="15" t="inlineStr">
        <is>
          <t>O</t>
        </is>
      </c>
      <c r="K62" s="16" t="n"/>
      <c r="L62" s="17" t="inlineStr">
        <is>
          <t>O</t>
        </is>
      </c>
      <c r="M62" s="18" t="n"/>
      <c r="N62" s="19" t="inlineStr">
        <is>
          <t>O</t>
        </is>
      </c>
      <c r="O62" s="20" t="n"/>
      <c r="P62" s="21">
        <f>IF($I62="","",IF($J62="O","3","")&amp;IF($K62="O","4","")&amp;IF($L62="O","6","")&amp;IF($M62="O","7","")&amp;IF($N62="O","8","")&amp;IF($O62="O","?","")&amp;IF(OR($J62="O",$K62="O",$L62="O",$M62="O",$N62="O",$O62="O"),"-","")&amp;$I62)</f>
        <v/>
      </c>
      <c r="Q62" s="110">
        <f>HYPERLINK("#'마스터_품목'!A238","→ 마스터 R238")</f>
        <v/>
      </c>
      <c r="R62" s="111" t="n">
        <v>238</v>
      </c>
      <c r="S62" s="111" t="inlineStr">
        <is>
          <t>마스터_품목</t>
        </is>
      </c>
    </row>
    <row r="63" ht="48" customHeight="1">
      <c r="A63" s="22" t="inlineStr">
        <is>
          <t>조립</t>
        </is>
      </c>
      <c r="B63" s="22" t="inlineStr">
        <is>
          <t>컬리메이터 적용</t>
        </is>
      </c>
      <c r="C63" s="23" t="inlineStr">
        <is>
          <t>DX3000</t>
        </is>
      </c>
      <c r="D63" s="23" t="inlineStr">
        <is>
          <t>메디컬용 FRONT ASS'Y</t>
        </is>
      </c>
      <c r="E63" s="23" t="n"/>
      <c r="F63" s="24" t="n"/>
      <c r="G63" s="25" t="inlineStr">
        <is>
          <t>O</t>
        </is>
      </c>
      <c r="H63" s="26" t="n"/>
      <c r="I63" s="27">
        <f>IFERROR(IF(OR($F63="O",$G63="O",$H63="O"),CHOOSE(MATCH($A63,{"튜브","고압","진공","튜닝","조립","출하"},0),"T","H","V","N","A","P")&amp;IF($F63="O","R",IF($G63="O","A",IF($H63="O","F",""))),""),"")</f>
        <v/>
      </c>
      <c r="J63" s="15" t="inlineStr">
        <is>
          <t>O</t>
        </is>
      </c>
      <c r="K63" s="16" t="n"/>
      <c r="L63" s="17" t="n"/>
      <c r="M63" s="18" t="n"/>
      <c r="N63" s="19" t="n"/>
      <c r="O63" s="20" t="n"/>
      <c r="P63" s="21">
        <f>IF($I63="","",IF($J63="O","3","")&amp;IF($K63="O","4","")&amp;IF($L63="O","6","")&amp;IF($M63="O","7","")&amp;IF($N63="O","8","")&amp;IF($O63="O","?","")&amp;IF(OR($J63="O",$K63="O",$L63="O",$M63="O",$N63="O",$O63="O"),"-","")&amp;$I63)</f>
        <v/>
      </c>
      <c r="Q63" s="110">
        <f>HYPERLINK("#'마스터_품목'!A239","→ 마스터 R239")</f>
        <v/>
      </c>
      <c r="R63" s="111" t="n">
        <v>239</v>
      </c>
      <c r="S63" s="111" t="inlineStr">
        <is>
          <t>마스터_품목</t>
        </is>
      </c>
    </row>
    <row r="64" ht="48" customHeight="1">
      <c r="A64" s="22" t="inlineStr">
        <is>
          <t>조립</t>
        </is>
      </c>
      <c r="B64" s="22" t="inlineStr">
        <is>
          <t>컬리메이터 적용</t>
        </is>
      </c>
      <c r="C64" s="23" t="inlineStr">
        <is>
          <t>DX3000</t>
        </is>
      </c>
      <c r="D64" s="23" t="inlineStr">
        <is>
          <t>에이밍라이트 플레이트 ASS'Y</t>
        </is>
      </c>
      <c r="E64" s="23" t="n"/>
      <c r="F64" s="24" t="n"/>
      <c r="G64" s="25" t="inlineStr">
        <is>
          <t>O</t>
        </is>
      </c>
      <c r="H64" s="26" t="n"/>
      <c r="I64" s="27">
        <f>IFERROR(IF(OR($F64="O",$G64="O",$H64="O"),CHOOSE(MATCH($A64,{"튜브","고압","진공","튜닝","조립","출하"},0),"T","H","V","N","A","P")&amp;IF($F64="O","R",IF($G64="O","A",IF($H64="O","F",""))),""),"")</f>
        <v/>
      </c>
      <c r="J64" s="15" t="inlineStr">
        <is>
          <t>O</t>
        </is>
      </c>
      <c r="K64" s="16" t="n"/>
      <c r="L64" s="17" t="n"/>
      <c r="M64" s="18" t="n"/>
      <c r="N64" s="19" t="n"/>
      <c r="O64" s="20" t="n"/>
      <c r="P64" s="21">
        <f>IF($I64="","",IF($J64="O","3","")&amp;IF($K64="O","4","")&amp;IF($L64="O","6","")&amp;IF($M64="O","7","")&amp;IF($N64="O","8","")&amp;IF($O64="O","?","")&amp;IF(OR($J64="O",$K64="O",$L64="O",$M64="O",$N64="O",$O64="O"),"-","")&amp;$I64)</f>
        <v/>
      </c>
      <c r="Q64" s="110">
        <f>HYPERLINK("#'마스터_품목'!A240","→ 마스터 R240")</f>
        <v/>
      </c>
      <c r="R64" s="111" t="n">
        <v>240</v>
      </c>
      <c r="S64" s="111" t="inlineStr">
        <is>
          <t>마스터_품목</t>
        </is>
      </c>
    </row>
    <row r="65" ht="48" customHeight="1">
      <c r="A65" s="22" t="inlineStr">
        <is>
          <t>조립</t>
        </is>
      </c>
      <c r="B65" s="22" t="inlineStr">
        <is>
          <t>컬리메이터 적용</t>
        </is>
      </c>
      <c r="C65" s="23" t="inlineStr">
        <is>
          <t>DX3000
블랙 무광</t>
        </is>
      </c>
      <c r="D65" s="23" t="inlineStr">
        <is>
          <t>메디컬용 FRONT ASS'Y</t>
        </is>
      </c>
      <c r="E65" s="23" t="n"/>
      <c r="F65" s="24" t="n"/>
      <c r="G65" s="25" t="inlineStr">
        <is>
          <t>O</t>
        </is>
      </c>
      <c r="H65" s="26" t="n"/>
      <c r="I65" s="27">
        <f>IFERROR(IF(OR($F65="O",$G65="O",$H65="O"),CHOOSE(MATCH($A65,{"튜브","고압","진공","튜닝","조립","출하"},0),"T","H","V","N","A","P")&amp;IF($F65="O","R",IF($G65="O","A",IF($H65="O","F",""))),""),"")</f>
        <v/>
      </c>
      <c r="J65" s="15" t="inlineStr">
        <is>
          <t>O</t>
        </is>
      </c>
      <c r="K65" s="16" t="n"/>
      <c r="L65" s="17" t="n"/>
      <c r="M65" s="18" t="n"/>
      <c r="N65" s="19" t="n"/>
      <c r="O65" s="20" t="n"/>
      <c r="P65" s="21">
        <f>IF($I65="","",IF($J65="O","3","")&amp;IF($K65="O","4","")&amp;IF($L65="O","6","")&amp;IF($M65="O","7","")&amp;IF($N65="O","8","")&amp;IF($O65="O","?","")&amp;IF(OR($J65="O",$K65="O",$L65="O",$M65="O",$N65="O",$O65="O"),"-","")&amp;$I65)</f>
        <v/>
      </c>
      <c r="Q65" s="110">
        <f>HYPERLINK("#'마스터_품목'!A241","→ 마스터 R241")</f>
        <v/>
      </c>
      <c r="R65" s="111" t="n">
        <v>241</v>
      </c>
      <c r="S65" s="111" t="inlineStr">
        <is>
          <t>마스터_품목</t>
        </is>
      </c>
    </row>
    <row r="66" ht="48" customHeight="1">
      <c r="A66" s="22" t="inlineStr">
        <is>
          <t>조립</t>
        </is>
      </c>
      <c r="B66" s="22" t="inlineStr">
        <is>
          <t>컬리메이터 적용</t>
        </is>
      </c>
      <c r="C66" s="23" t="inlineStr">
        <is>
          <t>DX3000
블랙 무광</t>
        </is>
      </c>
      <c r="D66" s="23" t="inlineStr">
        <is>
          <t>메디컬용 사출 ASS'Y</t>
        </is>
      </c>
      <c r="E66" s="23" t="n"/>
      <c r="F66" s="24" t="n"/>
      <c r="G66" s="25" t="inlineStr">
        <is>
          <t>O</t>
        </is>
      </c>
      <c r="H66" s="26" t="n"/>
      <c r="I66" s="27">
        <f>IFERROR(IF(OR($F66="O",$G66="O",$H66="O"),CHOOSE(MATCH($A66,{"튜브","고압","진공","튜닝","조립","출하"},0),"T","H","V","N","A","P")&amp;IF($F66="O","R",IF($G66="O","A",IF($H66="O","F",""))),""),"")</f>
        <v/>
      </c>
      <c r="J66" s="15" t="inlineStr">
        <is>
          <t>O</t>
        </is>
      </c>
      <c r="K66" s="16" t="n"/>
      <c r="L66" s="17" t="n"/>
      <c r="M66" s="18" t="n"/>
      <c r="N66" s="19" t="n"/>
      <c r="O66" s="20" t="n"/>
      <c r="P66" s="21">
        <f>IF($I66="","",IF($J66="O","3","")&amp;IF($K66="O","4","")&amp;IF($L66="O","6","")&amp;IF($M66="O","7","")&amp;IF($N66="O","8","")&amp;IF($O66="O","?","")&amp;IF(OR($J66="O",$K66="O",$L66="O",$M66="O",$N66="O",$O66="O"),"-","")&amp;$I66)</f>
        <v/>
      </c>
      <c r="Q66" s="110">
        <f>HYPERLINK("#'마스터_품목'!A242","→ 마스터 R242")</f>
        <v/>
      </c>
      <c r="R66" s="111" t="n">
        <v>242</v>
      </c>
      <c r="S66" s="111" t="inlineStr">
        <is>
          <t>마스터_품목</t>
        </is>
      </c>
    </row>
    <row r="67" ht="48" customHeight="1">
      <c r="A67" s="22" t="inlineStr">
        <is>
          <t>조립</t>
        </is>
      </c>
      <c r="B67" s="22" t="inlineStr">
        <is>
          <t>사출 및 자재</t>
        </is>
      </c>
      <c r="C67" s="23" t="inlineStr">
        <is>
          <t>ADX4000W</t>
        </is>
      </c>
      <c r="D67" s="23" t="inlineStr">
        <is>
          <t>LCD TOP COVER</t>
        </is>
      </c>
      <c r="E67" s="23" t="inlineStr">
        <is>
          <t>LCD TOP (ABS 난연 화이트)
[ADX4000W]</t>
        </is>
      </c>
      <c r="F67" s="24" t="inlineStr">
        <is>
          <t>O</t>
        </is>
      </c>
      <c r="G67" s="25" t="n"/>
      <c r="H67" s="26" t="n"/>
      <c r="I67" s="27">
        <f>IFERROR(IF(OR($F67="O",$G67="O",$H67="O"),CHOOSE(MATCH($A67,{"튜브","고압","진공","튜닝","조립","출하"},0),"T","H","V","N","A","P")&amp;IF($F67="O","R",IF($G67="O","A",IF($H67="O","F",""))),""),"")</f>
        <v/>
      </c>
      <c r="J67" s="15" t="n"/>
      <c r="K67" s="16" t="inlineStr">
        <is>
          <t>O</t>
        </is>
      </c>
      <c r="L67" s="17" t="n"/>
      <c r="M67" s="18" t="n"/>
      <c r="N67" s="19" t="n"/>
      <c r="O67" s="20" t="n"/>
      <c r="P67" s="21">
        <f>IF($I67="","",IF($J67="O","3","")&amp;IF($K67="O","4","")&amp;IF($L67="O","6","")&amp;IF($M67="O","7","")&amp;IF($N67="O","8","")&amp;IF($O67="O","?","")&amp;IF(OR($J67="O",$K67="O",$L67="O",$M67="O",$N67="O",$O67="O"),"-","")&amp;$I67)</f>
        <v/>
      </c>
      <c r="Q67" s="110">
        <f>HYPERLINK("#'마스터_품목'!A243","→ 마스터 R243")</f>
        <v/>
      </c>
      <c r="R67" s="111" t="n">
        <v>243</v>
      </c>
      <c r="S67" s="111" t="inlineStr">
        <is>
          <t>마스터_품목</t>
        </is>
      </c>
    </row>
    <row r="68" ht="48" customHeight="1">
      <c r="A68" s="22" t="inlineStr">
        <is>
          <t>조립</t>
        </is>
      </c>
      <c r="B68" s="22" t="inlineStr">
        <is>
          <t>사출 및 자재</t>
        </is>
      </c>
      <c r="C68" s="23" t="inlineStr">
        <is>
          <t>ADX4000W</t>
        </is>
      </c>
      <c r="D68" s="23" t="inlineStr">
        <is>
          <t>LCD BOTTOM COVER</t>
        </is>
      </c>
      <c r="E68" s="23" t="inlineStr">
        <is>
          <t>LCD BOTTOM (ABS 난연 화이트)
[ADX4000W]</t>
        </is>
      </c>
      <c r="F68" s="24" t="inlineStr">
        <is>
          <t>O</t>
        </is>
      </c>
      <c r="G68" s="25" t="n"/>
      <c r="H68" s="26" t="n"/>
      <c r="I68" s="27">
        <f>IFERROR(IF(OR($F68="O",$G68="O",$H68="O"),CHOOSE(MATCH($A68,{"튜브","고압","진공","튜닝","조립","출하"},0),"T","H","V","N","A","P")&amp;IF($F68="O","R",IF($G68="O","A",IF($H68="O","F",""))),""),"")</f>
        <v/>
      </c>
      <c r="J68" s="15" t="n"/>
      <c r="K68" s="16" t="inlineStr">
        <is>
          <t>O</t>
        </is>
      </c>
      <c r="L68" s="17" t="n"/>
      <c r="M68" s="18" t="n"/>
      <c r="N68" s="19" t="n"/>
      <c r="O68" s="20" t="n"/>
      <c r="P68" s="21">
        <f>IF($I68="","",IF($J68="O","3","")&amp;IF($K68="O","4","")&amp;IF($L68="O","6","")&amp;IF($M68="O","7","")&amp;IF($N68="O","8","")&amp;IF($O68="O","?","")&amp;IF(OR($J68="O",$K68="O",$L68="O",$M68="O",$N68="O",$O68="O"),"-","")&amp;$I68)</f>
        <v/>
      </c>
      <c r="Q68" s="110">
        <f>HYPERLINK("#'마스터_품목'!A244","→ 마스터 R244")</f>
        <v/>
      </c>
      <c r="R68" s="111" t="n">
        <v>244</v>
      </c>
      <c r="S68" s="111" t="inlineStr">
        <is>
          <t>마스터_품목</t>
        </is>
      </c>
    </row>
    <row r="69" ht="48" customHeight="1">
      <c r="A69" s="22" t="inlineStr">
        <is>
          <t>조립</t>
        </is>
      </c>
      <c r="B69" s="22" t="inlineStr">
        <is>
          <t>사출 및 자재</t>
        </is>
      </c>
      <c r="C69" s="23" t="inlineStr">
        <is>
          <t>ADX4000W</t>
        </is>
      </c>
      <c r="D69" s="23" t="inlineStr">
        <is>
          <t>TOP BODY</t>
        </is>
      </c>
      <c r="E69" s="23" t="inlineStr">
        <is>
          <t>TOP (ABS 난연 화이트)
[ADX4000W]</t>
        </is>
      </c>
      <c r="F69" s="24" t="inlineStr">
        <is>
          <t>O</t>
        </is>
      </c>
      <c r="G69" s="25" t="n"/>
      <c r="H69" s="26" t="n"/>
      <c r="I69" s="27">
        <f>IFERROR(IF(OR($F69="O",$G69="O",$H69="O"),CHOOSE(MATCH($A69,{"튜브","고압","진공","튜닝","조립","출하"},0),"T","H","V","N","A","P")&amp;IF($F69="O","R",IF($G69="O","A",IF($H69="O","F",""))),""),"")</f>
        <v/>
      </c>
      <c r="J69" s="15" t="n"/>
      <c r="K69" s="16" t="inlineStr">
        <is>
          <t>O</t>
        </is>
      </c>
      <c r="L69" s="17" t="n"/>
      <c r="M69" s="18" t="n"/>
      <c r="N69" s="19" t="n"/>
      <c r="O69" s="20" t="n"/>
      <c r="P69" s="21">
        <f>IF($I69="","",IF($J69="O","3","")&amp;IF($K69="O","4","")&amp;IF($L69="O","6","")&amp;IF($M69="O","7","")&amp;IF($N69="O","8","")&amp;IF($O69="O","?","")&amp;IF(OR($J69="O",$K69="O",$L69="O",$M69="O",$N69="O",$O69="O"),"-","")&amp;$I69)</f>
        <v/>
      </c>
      <c r="Q69" s="110">
        <f>HYPERLINK("#'마스터_품목'!A245","→ 마스터 R245")</f>
        <v/>
      </c>
      <c r="R69" s="111" t="n">
        <v>245</v>
      </c>
      <c r="S69" s="111" t="inlineStr">
        <is>
          <t>마스터_품목</t>
        </is>
      </c>
    </row>
    <row r="70" ht="48" customHeight="1">
      <c r="A70" s="22" t="inlineStr">
        <is>
          <t>조립</t>
        </is>
      </c>
      <c r="B70" s="22" t="inlineStr">
        <is>
          <t>사출 및 자재</t>
        </is>
      </c>
      <c r="C70" s="23" t="inlineStr">
        <is>
          <t>ADX4000W</t>
        </is>
      </c>
      <c r="D70" s="23" t="inlineStr">
        <is>
          <t>BOTTOM BODY</t>
        </is>
      </c>
      <c r="E70" s="23" t="inlineStr">
        <is>
          <t>BOTTOM (ABS 난연 화이트)
[ADX4000W]</t>
        </is>
      </c>
      <c r="F70" s="24" t="inlineStr">
        <is>
          <t>O</t>
        </is>
      </c>
      <c r="G70" s="25" t="n"/>
      <c r="H70" s="26" t="n"/>
      <c r="I70" s="27">
        <f>IFERROR(IF(OR($F70="O",$G70="O",$H70="O"),CHOOSE(MATCH($A70,{"튜브","고압","진공","튜닝","조립","출하"},0),"T","H","V","N","A","P")&amp;IF($F70="O","R",IF($G70="O","A",IF($H70="O","F",""))),""),"")</f>
        <v/>
      </c>
      <c r="J70" s="15" t="n"/>
      <c r="K70" s="16" t="inlineStr">
        <is>
          <t>O</t>
        </is>
      </c>
      <c r="L70" s="17" t="n"/>
      <c r="M70" s="18" t="n"/>
      <c r="N70" s="19" t="n"/>
      <c r="O70" s="20" t="n"/>
      <c r="P70" s="21">
        <f>IF($I70="","",IF($J70="O","3","")&amp;IF($K70="O","4","")&amp;IF($L70="O","6","")&amp;IF($M70="O","7","")&amp;IF($N70="O","8","")&amp;IF($O70="O","?","")&amp;IF(OR($J70="O",$K70="O",$L70="O",$M70="O",$N70="O",$O70="O"),"-","")&amp;$I70)</f>
        <v/>
      </c>
      <c r="Q70" s="110">
        <f>HYPERLINK("#'마스터_품목'!A246","→ 마스터 R246")</f>
        <v/>
      </c>
      <c r="R70" s="111" t="n">
        <v>246</v>
      </c>
      <c r="S70" s="111" t="inlineStr">
        <is>
          <t>마스터_품목</t>
        </is>
      </c>
    </row>
    <row r="71" ht="48" customHeight="1">
      <c r="A71" s="22" t="inlineStr">
        <is>
          <t>조립</t>
        </is>
      </c>
      <c r="B71" s="22" t="inlineStr">
        <is>
          <t>사출 및 자재</t>
        </is>
      </c>
      <c r="C71" s="23" t="inlineStr">
        <is>
          <t>ADX4000W</t>
        </is>
      </c>
      <c r="D71" s="23" t="inlineStr">
        <is>
          <t>POWER BUTTON</t>
        </is>
      </c>
      <c r="E71" s="23" t="inlineStr">
        <is>
          <t>POWER BUTTON (ABS 난연 화이트 + 밝은 회색)
[ADX4000W]</t>
        </is>
      </c>
      <c r="F71" s="24" t="inlineStr">
        <is>
          <t>O</t>
        </is>
      </c>
      <c r="G71" s="25" t="n"/>
      <c r="H71" s="26" t="n"/>
      <c r="I71" s="27">
        <f>IFERROR(IF(OR($F71="O",$G71="O",$H71="O"),CHOOSE(MATCH($A71,{"튜브","고압","진공","튜닝","조립","출하"},0),"T","H","V","N","A","P")&amp;IF($F71="O","R",IF($G71="O","A",IF($H71="O","F",""))),""),"")</f>
        <v/>
      </c>
      <c r="J71" s="15" t="n"/>
      <c r="K71" s="16" t="inlineStr">
        <is>
          <t>O</t>
        </is>
      </c>
      <c r="L71" s="17" t="n"/>
      <c r="M71" s="18" t="n"/>
      <c r="N71" s="19" t="n"/>
      <c r="O71" s="20" t="n"/>
      <c r="P71" s="21">
        <f>IF($I71="","",IF($J71="O","3","")&amp;IF($K71="O","4","")&amp;IF($L71="O","6","")&amp;IF($M71="O","7","")&amp;IF($N71="O","8","")&amp;IF($O71="O","?","")&amp;IF(OR($J71="O",$K71="O",$L71="O",$M71="O",$N71="O",$O71="O"),"-","")&amp;$I71)</f>
        <v/>
      </c>
      <c r="Q71" s="110">
        <f>HYPERLINK("#'마스터_품목'!A247","→ 마스터 R247")</f>
        <v/>
      </c>
      <c r="R71" s="111" t="n">
        <v>247</v>
      </c>
      <c r="S71" s="111" t="inlineStr">
        <is>
          <t>마스터_품목</t>
        </is>
      </c>
    </row>
    <row r="72" ht="48" customHeight="1">
      <c r="A72" s="22" t="inlineStr">
        <is>
          <t>조립</t>
        </is>
      </c>
      <c r="B72" s="22" t="inlineStr">
        <is>
          <t>사출 및 자재</t>
        </is>
      </c>
      <c r="C72" s="23" t="inlineStr">
        <is>
          <t>ADX4000W</t>
        </is>
      </c>
      <c r="D72" s="23" t="inlineStr">
        <is>
          <t>POWER LED GUIDE</t>
        </is>
      </c>
      <c r="E72" s="23" t="inlineStr">
        <is>
          <t>POWER LED GUIDE (확산 아크릴)
[ADX4000W]</t>
        </is>
      </c>
      <c r="F72" s="24" t="inlineStr">
        <is>
          <t>O</t>
        </is>
      </c>
      <c r="G72" s="25" t="n"/>
      <c r="H72" s="26" t="n"/>
      <c r="I72" s="27">
        <f>IFERROR(IF(OR($F72="O",$G72="O",$H72="O"),CHOOSE(MATCH($A72,{"튜브","고압","진공","튜닝","조립","출하"},0),"T","H","V","N","A","P")&amp;IF($F72="O","R",IF($G72="O","A",IF($H72="O","F",""))),""),"")</f>
        <v/>
      </c>
      <c r="J72" s="15" t="n"/>
      <c r="K72" s="16" t="inlineStr">
        <is>
          <t>O</t>
        </is>
      </c>
      <c r="L72" s="17" t="n"/>
      <c r="M72" s="18" t="n"/>
      <c r="N72" s="19" t="n"/>
      <c r="O72" s="20" t="n"/>
      <c r="P72" s="21">
        <f>IF($I72="","",IF($J72="O","3","")&amp;IF($K72="O","4","")&amp;IF($L72="O","6","")&amp;IF($M72="O","7","")&amp;IF($N72="O","8","")&amp;IF($O72="O","?","")&amp;IF(OR($J72="O",$K72="O",$L72="O",$M72="O",$N72="O",$O72="O"),"-","")&amp;$I72)</f>
        <v/>
      </c>
      <c r="Q72" s="110">
        <f>HYPERLINK("#'마스터_품목'!A248","→ 마스터 R248")</f>
        <v/>
      </c>
      <c r="R72" s="111" t="n">
        <v>248</v>
      </c>
      <c r="S72" s="111" t="inlineStr">
        <is>
          <t>마스터_품목</t>
        </is>
      </c>
    </row>
    <row r="73" ht="48" customHeight="1">
      <c r="A73" s="22" t="inlineStr">
        <is>
          <t>조립</t>
        </is>
      </c>
      <c r="B73" s="22" t="inlineStr">
        <is>
          <t>사출 및 자재</t>
        </is>
      </c>
      <c r="C73" s="23" t="inlineStr">
        <is>
          <t>ADX4000W</t>
        </is>
      </c>
      <c r="D73" s="23" t="inlineStr">
        <is>
          <t>NAVI BUTTON (가운데)</t>
        </is>
      </c>
      <c r="E73" s="23" t="inlineStr">
        <is>
          <t>NAVI BUTTON (가운데) (ABS 난연 화이트 + 밝은 회색)
[ADX4000W]</t>
        </is>
      </c>
      <c r="F73" s="24" t="inlineStr">
        <is>
          <t>O</t>
        </is>
      </c>
      <c r="G73" s="25" t="n"/>
      <c r="H73" s="26" t="n"/>
      <c r="I73" s="27">
        <f>IFERROR(IF(OR($F73="O",$G73="O",$H73="O"),CHOOSE(MATCH($A73,{"튜브","고압","진공","튜닝","조립","출하"},0),"T","H","V","N","A","P")&amp;IF($F73="O","R",IF($G73="O","A",IF($H73="O","F",""))),""),"")</f>
        <v/>
      </c>
      <c r="J73" s="15" t="n"/>
      <c r="K73" s="16" t="inlineStr">
        <is>
          <t>O</t>
        </is>
      </c>
      <c r="L73" s="17" t="n"/>
      <c r="M73" s="18" t="n"/>
      <c r="N73" s="19" t="n"/>
      <c r="O73" s="20" t="n"/>
      <c r="P73" s="21">
        <f>IF($I73="","",IF($J73="O","3","")&amp;IF($K73="O","4","")&amp;IF($L73="O","6","")&amp;IF($M73="O","7","")&amp;IF($N73="O","8","")&amp;IF($O73="O","?","")&amp;IF(OR($J73="O",$K73="O",$L73="O",$M73="O",$N73="O",$O73="O"),"-","")&amp;$I73)</f>
        <v/>
      </c>
      <c r="Q73" s="110">
        <f>HYPERLINK("#'마스터_품목'!A249","→ 마스터 R249")</f>
        <v/>
      </c>
      <c r="R73" s="111" t="n">
        <v>249</v>
      </c>
      <c r="S73" s="111" t="inlineStr">
        <is>
          <t>마스터_품목</t>
        </is>
      </c>
    </row>
    <row r="74" ht="48" customHeight="1">
      <c r="A74" s="22" t="inlineStr">
        <is>
          <t>조립</t>
        </is>
      </c>
      <c r="B74" s="22" t="inlineStr">
        <is>
          <t>사출 및 자재</t>
        </is>
      </c>
      <c r="C74" s="23" t="inlineStr">
        <is>
          <t>ADX4000W</t>
        </is>
      </c>
      <c r="D74" s="23" t="inlineStr">
        <is>
          <t>NAVI KEY (방향)</t>
        </is>
      </c>
      <c r="E74" s="23" t="inlineStr">
        <is>
          <t>NAVI KEY (방향) (ABS 난연 화이트 + 밝은 회색)
[ADX4000W]</t>
        </is>
      </c>
      <c r="F74" s="24" t="inlineStr">
        <is>
          <t>O</t>
        </is>
      </c>
      <c r="G74" s="25" t="n"/>
      <c r="H74" s="26" t="n"/>
      <c r="I74" s="27">
        <f>IFERROR(IF(OR($F74="O",$G74="O",$H74="O"),CHOOSE(MATCH($A74,{"튜브","고압","진공","튜닝","조립","출하"},0),"T","H","V","N","A","P")&amp;IF($F74="O","R",IF($G74="O","A",IF($H74="O","F",""))),""),"")</f>
        <v/>
      </c>
      <c r="J74" s="15" t="n"/>
      <c r="K74" s="16" t="inlineStr">
        <is>
          <t>O</t>
        </is>
      </c>
      <c r="L74" s="17" t="n"/>
      <c r="M74" s="18" t="n"/>
      <c r="N74" s="19" t="n"/>
      <c r="O74" s="20" t="n"/>
      <c r="P74" s="21">
        <f>IF($I74="","",IF($J74="O","3","")&amp;IF($K74="O","4","")&amp;IF($L74="O","6","")&amp;IF($M74="O","7","")&amp;IF($N74="O","8","")&amp;IF($O74="O","?","")&amp;IF(OR($J74="O",$K74="O",$L74="O",$M74="O",$N74="O",$O74="O"),"-","")&amp;$I74)</f>
        <v/>
      </c>
      <c r="Q74" s="110">
        <f>HYPERLINK("#'마스터_품목'!A250","→ 마스터 R250")</f>
        <v/>
      </c>
      <c r="R74" s="111" t="n">
        <v>250</v>
      </c>
      <c r="S74" s="111" t="inlineStr">
        <is>
          <t>마스터_품목</t>
        </is>
      </c>
    </row>
    <row r="75" ht="48" customHeight="1">
      <c r="A75" s="22" t="inlineStr">
        <is>
          <t>조립</t>
        </is>
      </c>
      <c r="B75" s="22" t="inlineStr">
        <is>
          <t>사출 및 자재</t>
        </is>
      </c>
      <c r="C75" s="23" t="inlineStr">
        <is>
          <t>ADX4000W</t>
        </is>
      </c>
      <c r="D75" s="23" t="inlineStr">
        <is>
          <t>EXPOSE BUTTON</t>
        </is>
      </c>
      <c r="E75" s="23" t="inlineStr">
        <is>
          <t>EXPOSE BUTTON (ABS 난연 화이트 + 밝은 회색)
[ADX4000W]</t>
        </is>
      </c>
      <c r="F75" s="24" t="inlineStr">
        <is>
          <t>O</t>
        </is>
      </c>
      <c r="G75" s="25" t="n"/>
      <c r="H75" s="26" t="n"/>
      <c r="I75" s="27">
        <f>IFERROR(IF(OR($F75="O",$G75="O",$H75="O"),CHOOSE(MATCH($A75,{"튜브","고압","진공","튜닝","조립","출하"},0),"T","H","V","N","A","P")&amp;IF($F75="O","R",IF($G75="O","A",IF($H75="O","F",""))),""),"")</f>
        <v/>
      </c>
      <c r="J75" s="15" t="n"/>
      <c r="K75" s="16" t="inlineStr">
        <is>
          <t>O</t>
        </is>
      </c>
      <c r="L75" s="17" t="n"/>
      <c r="M75" s="18" t="n"/>
      <c r="N75" s="19" t="n"/>
      <c r="O75" s="20" t="n"/>
      <c r="P75" s="21">
        <f>IF($I75="","",IF($J75="O","3","")&amp;IF($K75="O","4","")&amp;IF($L75="O","6","")&amp;IF($M75="O","7","")&amp;IF($N75="O","8","")&amp;IF($O75="O","?","")&amp;IF(OR($J75="O",$K75="O",$L75="O",$M75="O",$N75="O",$O75="O"),"-","")&amp;$I75)</f>
        <v/>
      </c>
      <c r="Q75" s="110">
        <f>HYPERLINK("#'마스터_품목'!A251","→ 마스터 R251")</f>
        <v/>
      </c>
      <c r="R75" s="111" t="n">
        <v>251</v>
      </c>
      <c r="S75" s="111" t="inlineStr">
        <is>
          <t>마스터_품목</t>
        </is>
      </c>
    </row>
    <row r="76" ht="48" customHeight="1">
      <c r="A76" s="22" t="inlineStr">
        <is>
          <t>조립</t>
        </is>
      </c>
      <c r="B76" s="22" t="inlineStr">
        <is>
          <t>사출 및 자재</t>
        </is>
      </c>
      <c r="C76" s="23" t="inlineStr">
        <is>
          <t>ADX4000W</t>
        </is>
      </c>
      <c r="D76" s="23" t="inlineStr">
        <is>
          <t>EX LED GUIDE</t>
        </is>
      </c>
      <c r="E76" s="23" t="inlineStr">
        <is>
          <t>EX LED GUIDE (확산 아크릴)
[ADX4000W]</t>
        </is>
      </c>
      <c r="F76" s="24" t="inlineStr">
        <is>
          <t>O</t>
        </is>
      </c>
      <c r="G76" s="25" t="n"/>
      <c r="H76" s="26" t="n"/>
      <c r="I76" s="27">
        <f>IFERROR(IF(OR($F76="O",$G76="O",$H76="O"),CHOOSE(MATCH($A76,{"튜브","고압","진공","튜닝","조립","출하"},0),"T","H","V","N","A","P")&amp;IF($F76="O","R",IF($G76="O","A",IF($H76="O","F",""))),""),"")</f>
        <v/>
      </c>
      <c r="J76" s="15" t="n"/>
      <c r="K76" s="16" t="inlineStr">
        <is>
          <t>O</t>
        </is>
      </c>
      <c r="L76" s="17" t="n"/>
      <c r="M76" s="18" t="n"/>
      <c r="N76" s="19" t="n"/>
      <c r="O76" s="20" t="n"/>
      <c r="P76" s="21">
        <f>IF($I76="","",IF($J76="O","3","")&amp;IF($K76="O","4","")&amp;IF($L76="O","6","")&amp;IF($M76="O","7","")&amp;IF($N76="O","8","")&amp;IF($O76="O","?","")&amp;IF(OR($J76="O",$K76="O",$L76="O",$M76="O",$N76="O",$O76="O"),"-","")&amp;$I76)</f>
        <v/>
      </c>
      <c r="Q76" s="110">
        <f>HYPERLINK("#'마스터_품목'!A252","→ 마스터 R252")</f>
        <v/>
      </c>
      <c r="R76" s="111" t="n">
        <v>252</v>
      </c>
      <c r="S76" s="111" t="inlineStr">
        <is>
          <t>마스터_품목</t>
        </is>
      </c>
    </row>
    <row r="77" ht="48" customHeight="1">
      <c r="A77" s="22" t="inlineStr">
        <is>
          <t>조립</t>
        </is>
      </c>
      <c r="B77" s="22" t="inlineStr">
        <is>
          <t>사출 및 자재</t>
        </is>
      </c>
      <c r="C77" s="23" t="inlineStr">
        <is>
          <t>ADX4000W</t>
        </is>
      </c>
      <c r="D77" s="23" t="inlineStr">
        <is>
          <t>HAND GUIDE</t>
        </is>
      </c>
      <c r="E77" s="23" t="inlineStr">
        <is>
          <t>HAND GUIDE (ABS 난연 화이트)
[ADX4000W]</t>
        </is>
      </c>
      <c r="F77" s="24" t="inlineStr">
        <is>
          <t>O</t>
        </is>
      </c>
      <c r="G77" s="25" t="n"/>
      <c r="H77" s="26" t="n"/>
      <c r="I77" s="27">
        <f>IFERROR(IF(OR($F77="O",$G77="O",$H77="O"),CHOOSE(MATCH($A77,{"튜브","고압","진공","튜닝","조립","출하"},0),"T","H","V","N","A","P")&amp;IF($F77="O","R",IF($G77="O","A",IF($H77="O","F",""))),""),"")</f>
        <v/>
      </c>
      <c r="J77" s="15" t="n"/>
      <c r="K77" s="16" t="inlineStr">
        <is>
          <t>O</t>
        </is>
      </c>
      <c r="L77" s="17" t="n"/>
      <c r="M77" s="18" t="n"/>
      <c r="N77" s="19" t="n"/>
      <c r="O77" s="20" t="n"/>
      <c r="P77" s="21">
        <f>IF($I77="","",IF($J77="O","3","")&amp;IF($K77="O","4","")&amp;IF($L77="O","6","")&amp;IF($M77="O","7","")&amp;IF($N77="O","8","")&amp;IF($O77="O","?","")&amp;IF(OR($J77="O",$K77="O",$L77="O",$M77="O",$N77="O",$O77="O"),"-","")&amp;$I77)</f>
        <v/>
      </c>
      <c r="Q77" s="110">
        <f>HYPERLINK("#'마스터_품목'!A253","→ 마스터 R253")</f>
        <v/>
      </c>
      <c r="R77" s="111" t="n">
        <v>253</v>
      </c>
      <c r="S77" s="111" t="inlineStr">
        <is>
          <t>마스터_품목</t>
        </is>
      </c>
    </row>
    <row r="78" ht="48" customHeight="1">
      <c r="A78" s="22" t="inlineStr">
        <is>
          <t>조립</t>
        </is>
      </c>
      <c r="B78" s="22" t="inlineStr">
        <is>
          <t>사출 및 자재</t>
        </is>
      </c>
      <c r="C78" s="23" t="inlineStr">
        <is>
          <t>ADX4000W</t>
        </is>
      </c>
      <c r="D78" s="23" t="inlineStr">
        <is>
          <t>LCD GUIDE</t>
        </is>
      </c>
      <c r="E78" s="23" t="inlineStr">
        <is>
          <t>LCD GUIDE (ABS 난연 화이트)
[ADX4000W]</t>
        </is>
      </c>
      <c r="F78" s="24" t="inlineStr">
        <is>
          <t>O</t>
        </is>
      </c>
      <c r="G78" s="25" t="n"/>
      <c r="H78" s="26" t="n"/>
      <c r="I78" s="27">
        <f>IFERROR(IF(OR($F78="O",$G78="O",$H78="O"),CHOOSE(MATCH($A78,{"튜브","고압","진공","튜닝","조립","출하"},0),"T","H","V","N","A","P")&amp;IF($F78="O","R",IF($G78="O","A",IF($H78="O","F",""))),""),"")</f>
        <v/>
      </c>
      <c r="J78" s="15" t="n"/>
      <c r="K78" s="16" t="inlineStr">
        <is>
          <t>O</t>
        </is>
      </c>
      <c r="L78" s="17" t="n"/>
      <c r="M78" s="18" t="n"/>
      <c r="N78" s="19" t="n"/>
      <c r="O78" s="20" t="n"/>
      <c r="P78" s="21">
        <f>IF($I78="","",IF($J78="O","3","")&amp;IF($K78="O","4","")&amp;IF($L78="O","6","")&amp;IF($M78="O","7","")&amp;IF($N78="O","8","")&amp;IF($O78="O","?","")&amp;IF(OR($J78="O",$K78="O",$L78="O",$M78="O",$N78="O",$O78="O"),"-","")&amp;$I78)</f>
        <v/>
      </c>
      <c r="Q78" s="110">
        <f>HYPERLINK("#'마스터_품목'!A254","→ 마스터 R254")</f>
        <v/>
      </c>
      <c r="R78" s="111" t="n">
        <v>254</v>
      </c>
      <c r="S78" s="111" t="inlineStr">
        <is>
          <t>마스터_품목</t>
        </is>
      </c>
    </row>
    <row r="79" ht="48" customHeight="1">
      <c r="A79" s="22" t="inlineStr">
        <is>
          <t>조립</t>
        </is>
      </c>
      <c r="B79" s="22" t="inlineStr">
        <is>
          <t>사출 및 자재</t>
        </is>
      </c>
      <c r="C79" s="23" t="inlineStr">
        <is>
          <t>ADX4000W</t>
        </is>
      </c>
      <c r="D79" s="23" t="inlineStr">
        <is>
          <t>HINGE GUIDE</t>
        </is>
      </c>
      <c r="E79" s="23" t="inlineStr">
        <is>
          <t>HINGE GUIDE (ABS 난연 화이트)
[ADX4000W]</t>
        </is>
      </c>
      <c r="F79" s="24" t="inlineStr">
        <is>
          <t>O</t>
        </is>
      </c>
      <c r="G79" s="25" t="n"/>
      <c r="H79" s="26" t="n"/>
      <c r="I79" s="27">
        <f>IFERROR(IF(OR($F79="O",$G79="O",$H79="O"),CHOOSE(MATCH($A79,{"튜브","고압","진공","튜닝","조립","출하"},0),"T","H","V","N","A","P")&amp;IF($F79="O","R",IF($G79="O","A",IF($H79="O","F",""))),""),"")</f>
        <v/>
      </c>
      <c r="J79" s="15" t="n"/>
      <c r="K79" s="16" t="inlineStr">
        <is>
          <t>O</t>
        </is>
      </c>
      <c r="L79" s="17" t="n"/>
      <c r="M79" s="18" t="n"/>
      <c r="N79" s="19" t="n"/>
      <c r="O79" s="20" t="n"/>
      <c r="P79" s="21">
        <f>IF($I79="","",IF($J79="O","3","")&amp;IF($K79="O","4","")&amp;IF($L79="O","6","")&amp;IF($M79="O","7","")&amp;IF($N79="O","8","")&amp;IF($O79="O","?","")&amp;IF(OR($J79="O",$K79="O",$L79="O",$M79="O",$N79="O",$O79="O"),"-","")&amp;$I79)</f>
        <v/>
      </c>
      <c r="Q79" s="110">
        <f>HYPERLINK("#'마스터_품목'!A255","→ 마스터 R255")</f>
        <v/>
      </c>
      <c r="R79" s="111" t="n">
        <v>255</v>
      </c>
      <c r="S79" s="111" t="inlineStr">
        <is>
          <t>마스터_품목</t>
        </is>
      </c>
    </row>
    <row r="80" ht="48" customHeight="1">
      <c r="A80" s="22" t="inlineStr">
        <is>
          <t>조립</t>
        </is>
      </c>
      <c r="B80" s="22" t="inlineStr">
        <is>
          <t>사출 및 자재</t>
        </is>
      </c>
      <c r="C80" s="23" t="inlineStr">
        <is>
          <t>ADX4000W</t>
        </is>
      </c>
      <c r="D80" s="23" t="inlineStr">
        <is>
          <t>데코 가이드</t>
        </is>
      </c>
      <c r="E80" s="23" t="inlineStr">
        <is>
          <t>GUIDE (ABS 난연 화이트 + 진한 회색)
[ADX4000W]</t>
        </is>
      </c>
      <c r="F80" s="24" t="inlineStr">
        <is>
          <t>O</t>
        </is>
      </c>
      <c r="G80" s="25" t="n"/>
      <c r="H80" s="26" t="n"/>
      <c r="I80" s="27">
        <f>IFERROR(IF(OR($F80="O",$G80="O",$H80="O"),CHOOSE(MATCH($A80,{"튜브","고압","진공","튜닝","조립","출하"},0),"T","H","V","N","A","P")&amp;IF($F80="O","R",IF($G80="O","A",IF($H80="O","F",""))),""),"")</f>
        <v/>
      </c>
      <c r="J80" s="15" t="n"/>
      <c r="K80" s="16" t="inlineStr">
        <is>
          <t>O</t>
        </is>
      </c>
      <c r="L80" s="17" t="n"/>
      <c r="M80" s="18" t="n"/>
      <c r="N80" s="19" t="n"/>
      <c r="O80" s="20" t="n"/>
      <c r="P80" s="21">
        <f>IF($I80="","",IF($J80="O","3","")&amp;IF($K80="O","4","")&amp;IF($L80="O","6","")&amp;IF($M80="O","7","")&amp;IF($N80="O","8","")&amp;IF($O80="O","?","")&amp;IF(OR($J80="O",$K80="O",$L80="O",$M80="O",$N80="O",$O80="O"),"-","")&amp;$I80)</f>
        <v/>
      </c>
      <c r="Q80" s="110">
        <f>HYPERLINK("#'마스터_품목'!A256","→ 마스터 R256")</f>
        <v/>
      </c>
      <c r="R80" s="111" t="n">
        <v>256</v>
      </c>
      <c r="S80" s="111" t="inlineStr">
        <is>
          <t>마스터_품목</t>
        </is>
      </c>
    </row>
    <row r="81" ht="48" customHeight="1">
      <c r="A81" s="22" t="inlineStr">
        <is>
          <t>조립</t>
        </is>
      </c>
      <c r="B81" s="22" t="inlineStr">
        <is>
          <t>사출 및 자재</t>
        </is>
      </c>
      <c r="C81" s="23" t="inlineStr">
        <is>
          <t>ADX4000W</t>
        </is>
      </c>
      <c r="D81" s="23" t="inlineStr">
        <is>
          <t>FRONT CONE 일체형</t>
        </is>
      </c>
      <c r="E81" s="23" t="inlineStr">
        <is>
          <t>FRONT CONE 일체형 (ABS 난연 화이트 + 진한 회색)
[ADX4000W]</t>
        </is>
      </c>
      <c r="F81" s="24" t="inlineStr">
        <is>
          <t>O</t>
        </is>
      </c>
      <c r="G81" s="25" t="n"/>
      <c r="H81" s="26" t="n"/>
      <c r="I81" s="27">
        <f>IFERROR(IF(OR($F81="O",$G81="O",$H81="O"),CHOOSE(MATCH($A81,{"튜브","고압","진공","튜닝","조립","출하"},0),"T","H","V","N","A","P")&amp;IF($F81="O","R",IF($G81="O","A",IF($H81="O","F",""))),""),"")</f>
        <v/>
      </c>
      <c r="J81" s="15" t="n"/>
      <c r="K81" s="16" t="inlineStr">
        <is>
          <t>O</t>
        </is>
      </c>
      <c r="L81" s="17" t="n"/>
      <c r="M81" s="18" t="n"/>
      <c r="N81" s="19" t="n"/>
      <c r="O81" s="20" t="n"/>
      <c r="P81" s="21">
        <f>IF($I81="","",IF($J81="O","3","")&amp;IF($K81="O","4","")&amp;IF($L81="O","6","")&amp;IF($M81="O","7","")&amp;IF($N81="O","8","")&amp;IF($O81="O","?","")&amp;IF(OR($J81="O",$K81="O",$L81="O",$M81="O",$N81="O",$O81="O"),"-","")&amp;$I81)</f>
        <v/>
      </c>
      <c r="Q81" s="110">
        <f>HYPERLINK("#'마스터_품목'!A257","→ 마스터 R257")</f>
        <v/>
      </c>
      <c r="R81" s="111" t="n">
        <v>257</v>
      </c>
      <c r="S81" s="111" t="inlineStr">
        <is>
          <t>마스터_품목</t>
        </is>
      </c>
    </row>
    <row r="82" ht="48" customHeight="1">
      <c r="A82" s="22" t="inlineStr">
        <is>
          <t>조립</t>
        </is>
      </c>
      <c r="B82" s="22" t="inlineStr">
        <is>
          <t>사출 및 자재</t>
        </is>
      </c>
      <c r="C82" s="23" t="inlineStr">
        <is>
          <t>ADX4000W</t>
        </is>
      </c>
      <c r="D82" s="23" t="inlineStr">
        <is>
          <t>FRONT CONE 체결형</t>
        </is>
      </c>
      <c r="E82" s="23" t="inlineStr">
        <is>
          <t>FRONT CONE 체결형 (ABS 난연 화이트 + 진한 회색)
[ADX4000W]</t>
        </is>
      </c>
      <c r="F82" s="24" t="inlineStr">
        <is>
          <t>O</t>
        </is>
      </c>
      <c r="G82" s="25" t="n"/>
      <c r="H82" s="26" t="n"/>
      <c r="I82" s="27">
        <f>IFERROR(IF(OR($F82="O",$G82="O",$H82="O"),CHOOSE(MATCH($A82,{"튜브","고압","진공","튜닝","조립","출하"},0),"T","H","V","N","A","P")&amp;IF($F82="O","R",IF($G82="O","A",IF($H82="O","F",""))),""),"")</f>
        <v/>
      </c>
      <c r="J82" s="15" t="n"/>
      <c r="K82" s="16" t="inlineStr">
        <is>
          <t>O</t>
        </is>
      </c>
      <c r="L82" s="17" t="n"/>
      <c r="M82" s="18" t="n"/>
      <c r="N82" s="19" t="n"/>
      <c r="O82" s="20" t="n"/>
      <c r="P82" s="21">
        <f>IF($I82="","",IF($J82="O","3","")&amp;IF($K82="O","4","")&amp;IF($L82="O","6","")&amp;IF($M82="O","7","")&amp;IF($N82="O","8","")&amp;IF($O82="O","?","")&amp;IF(OR($J82="O",$K82="O",$L82="O",$M82="O",$N82="O",$O82="O"),"-","")&amp;$I82)</f>
        <v/>
      </c>
      <c r="Q82" s="110">
        <f>HYPERLINK("#'마스터_품목'!A258","→ 마스터 R258")</f>
        <v/>
      </c>
      <c r="R82" s="111" t="n">
        <v>258</v>
      </c>
      <c r="S82" s="111" t="inlineStr">
        <is>
          <t>마스터_품목</t>
        </is>
      </c>
    </row>
    <row r="83" ht="48" customHeight="1">
      <c r="A83" s="22" t="inlineStr">
        <is>
          <t>조립</t>
        </is>
      </c>
      <c r="B83" s="22" t="inlineStr">
        <is>
          <t>사출 및 자재</t>
        </is>
      </c>
      <c r="C83" s="23" t="inlineStr">
        <is>
          <t>ADX4000W</t>
        </is>
      </c>
      <c r="D83" s="23" t="inlineStr">
        <is>
          <t>20cm CONE</t>
        </is>
      </c>
      <c r="E83" s="23" t="inlineStr">
        <is>
          <t>20cm CONE (ABS 난연 화이트 + 진한 회색)
[ADX4000W]</t>
        </is>
      </c>
      <c r="F83" s="24" t="inlineStr">
        <is>
          <t>O</t>
        </is>
      </c>
      <c r="G83" s="25" t="n"/>
      <c r="H83" s="26" t="n"/>
      <c r="I83" s="27">
        <f>IFERROR(IF(OR($F83="O",$G83="O",$H83="O"),CHOOSE(MATCH($A83,{"튜브","고압","진공","튜닝","조립","출하"},0),"T","H","V","N","A","P")&amp;IF($F83="O","R",IF($G83="O","A",IF($H83="O","F",""))),""),"")</f>
        <v/>
      </c>
      <c r="J83" s="15" t="n"/>
      <c r="K83" s="16" t="inlineStr">
        <is>
          <t>O</t>
        </is>
      </c>
      <c r="L83" s="17" t="n"/>
      <c r="M83" s="18" t="n"/>
      <c r="N83" s="19" t="n"/>
      <c r="O83" s="20" t="n"/>
      <c r="P83" s="21">
        <f>IF($I83="","",IF($J83="O","3","")&amp;IF($K83="O","4","")&amp;IF($L83="O","6","")&amp;IF($M83="O","7","")&amp;IF($N83="O","8","")&amp;IF($O83="O","?","")&amp;IF(OR($J83="O",$K83="O",$L83="O",$M83="O",$N83="O",$O83="O"),"-","")&amp;$I83)</f>
        <v/>
      </c>
      <c r="Q83" s="110">
        <f>HYPERLINK("#'마스터_품목'!A259","→ 마스터 R259")</f>
        <v/>
      </c>
      <c r="R83" s="111" t="n">
        <v>259</v>
      </c>
      <c r="S83" s="111" t="inlineStr">
        <is>
          <t>마스터_품목</t>
        </is>
      </c>
    </row>
    <row r="84" ht="48" customHeight="1">
      <c r="A84" s="22" t="inlineStr">
        <is>
          <t>조립</t>
        </is>
      </c>
      <c r="B84" s="22" t="inlineStr">
        <is>
          <t>사출 및 자재</t>
        </is>
      </c>
      <c r="C84" s="23" t="inlineStr">
        <is>
          <t>ADX4000W</t>
        </is>
      </c>
      <c r="D84" s="23" t="inlineStr">
        <is>
          <t>15cm CONE</t>
        </is>
      </c>
      <c r="E84" s="23" t="inlineStr">
        <is>
          <t>15cm CONE (ABS 난연 화이트 + 진한 회색)
[ADX4000W]</t>
        </is>
      </c>
      <c r="F84" s="24" t="inlineStr">
        <is>
          <t>O</t>
        </is>
      </c>
      <c r="G84" s="25" t="n"/>
      <c r="H84" s="26" t="n"/>
      <c r="I84" s="27">
        <f>IFERROR(IF(OR($F84="O",$G84="O",$H84="O"),CHOOSE(MATCH($A84,{"튜브","고압","진공","튜닝","조립","출하"},0),"T","H","V","N","A","P")&amp;IF($F84="O","R",IF($G84="O","A",IF($H84="O","F",""))),""),"")</f>
        <v/>
      </c>
      <c r="J84" s="15" t="n"/>
      <c r="K84" s="16" t="inlineStr">
        <is>
          <t>O</t>
        </is>
      </c>
      <c r="L84" s="17" t="n"/>
      <c r="M84" s="18" t="n"/>
      <c r="N84" s="19" t="n"/>
      <c r="O84" s="20" t="n"/>
      <c r="P84" s="21">
        <f>IF($I84="","",IF($J84="O","3","")&amp;IF($K84="O","4","")&amp;IF($L84="O","6","")&amp;IF($M84="O","7","")&amp;IF($N84="O","8","")&amp;IF($O84="O","?","")&amp;IF(OR($J84="O",$K84="O",$L84="O",$M84="O",$N84="O",$O84="O"),"-","")&amp;$I84)</f>
        <v/>
      </c>
      <c r="Q84" s="110">
        <f>HYPERLINK("#'마스터_품목'!A260","→ 마스터 R260")</f>
        <v/>
      </c>
      <c r="R84" s="111" t="n">
        <v>260</v>
      </c>
      <c r="S84" s="111" t="inlineStr">
        <is>
          <t>마스터_품목</t>
        </is>
      </c>
    </row>
    <row r="85" ht="48" customHeight="1">
      <c r="A85" s="22" t="inlineStr">
        <is>
          <t>조립</t>
        </is>
      </c>
      <c r="B85" s="22" t="inlineStr">
        <is>
          <t>사출 및 자재</t>
        </is>
      </c>
      <c r="C85" s="23" t="inlineStr">
        <is>
          <t>ADX4000W</t>
        </is>
      </c>
      <c r="D85" s="23" t="inlineStr">
        <is>
          <t>BATTERY COVER</t>
        </is>
      </c>
      <c r="E85" s="23" t="inlineStr">
        <is>
          <t>BATTERY COVER (ABS 난연 화이트 + 진한 회색)
[ADX4000W]</t>
        </is>
      </c>
      <c r="F85" s="24" t="inlineStr">
        <is>
          <t>O</t>
        </is>
      </c>
      <c r="G85" s="25" t="n"/>
      <c r="H85" s="26" t="n"/>
      <c r="I85" s="27">
        <f>IFERROR(IF(OR($F85="O",$G85="O",$H85="O"),CHOOSE(MATCH($A85,{"튜브","고압","진공","튜닝","조립","출하"},0),"T","H","V","N","A","P")&amp;IF($F85="O","R",IF($G85="O","A",IF($H85="O","F",""))),""),"")</f>
        <v/>
      </c>
      <c r="J85" s="15" t="n"/>
      <c r="K85" s="16" t="inlineStr">
        <is>
          <t>O</t>
        </is>
      </c>
      <c r="L85" s="17" t="n"/>
      <c r="M85" s="18" t="n"/>
      <c r="N85" s="19" t="n"/>
      <c r="O85" s="20" t="n"/>
      <c r="P85" s="21">
        <f>IF($I85="","",IF($J85="O","3","")&amp;IF($K85="O","4","")&amp;IF($L85="O","6","")&amp;IF($M85="O","7","")&amp;IF($N85="O","8","")&amp;IF($O85="O","?","")&amp;IF(OR($J85="O",$K85="O",$L85="O",$M85="O",$N85="O",$O85="O"),"-","")&amp;$I85)</f>
        <v/>
      </c>
      <c r="Q85" s="110">
        <f>HYPERLINK("#'마스터_품목'!A261","→ 마스터 R261")</f>
        <v/>
      </c>
      <c r="R85" s="111" t="n">
        <v>261</v>
      </c>
      <c r="S85" s="111" t="inlineStr">
        <is>
          <t>마스터_품목</t>
        </is>
      </c>
    </row>
    <row r="86" ht="48" customHeight="1">
      <c r="A86" s="22" t="inlineStr">
        <is>
          <t>조립</t>
        </is>
      </c>
      <c r="B86" s="22" t="inlineStr">
        <is>
          <t>사출 및 자재</t>
        </is>
      </c>
      <c r="C86" s="23" t="inlineStr">
        <is>
          <t>ADX4000W</t>
        </is>
      </c>
      <c r="D86" s="23" t="inlineStr">
        <is>
          <t>USB COVER</t>
        </is>
      </c>
      <c r="E86" s="23" t="inlineStr">
        <is>
          <t>USB COVER (ABS 난연 화이트 + 진한 회색)
[ADX4000W]</t>
        </is>
      </c>
      <c r="F86" s="24" t="inlineStr">
        <is>
          <t>O</t>
        </is>
      </c>
      <c r="G86" s="25" t="n"/>
      <c r="H86" s="26" t="n"/>
      <c r="I86" s="27">
        <f>IFERROR(IF(OR($F86="O",$G86="O",$H86="O"),CHOOSE(MATCH($A86,{"튜브","고압","진공","튜닝","조립","출하"},0),"T","H","V","N","A","P")&amp;IF($F86="O","R",IF($G86="O","A",IF($H86="O","F",""))),""),"")</f>
        <v/>
      </c>
      <c r="J86" s="15" t="n"/>
      <c r="K86" s="16" t="inlineStr">
        <is>
          <t>O</t>
        </is>
      </c>
      <c r="L86" s="17" t="n"/>
      <c r="M86" s="18" t="n"/>
      <c r="N86" s="19" t="n"/>
      <c r="O86" s="20" t="n"/>
      <c r="P86" s="21">
        <f>IF($I86="","",IF($J86="O","3","")&amp;IF($K86="O","4","")&amp;IF($L86="O","6","")&amp;IF($M86="O","7","")&amp;IF($N86="O","8","")&amp;IF($O86="O","?","")&amp;IF(OR($J86="O",$K86="O",$L86="O",$M86="O",$N86="O",$O86="O"),"-","")&amp;$I86)</f>
        <v/>
      </c>
      <c r="Q86" s="110">
        <f>HYPERLINK("#'마스터_품목'!A262","→ 마스터 R262")</f>
        <v/>
      </c>
      <c r="R86" s="111" t="n">
        <v>262</v>
      </c>
      <c r="S86" s="111" t="inlineStr">
        <is>
          <t>마스터_품목</t>
        </is>
      </c>
    </row>
    <row r="87" ht="48" customHeight="1">
      <c r="A87" s="22" t="inlineStr">
        <is>
          <t>조립</t>
        </is>
      </c>
      <c r="B87" s="22" t="inlineStr">
        <is>
          <t>사출 및 자재</t>
        </is>
      </c>
      <c r="C87" s="23" t="inlineStr">
        <is>
          <t>ADX4000W</t>
        </is>
      </c>
      <c r="D87" s="23" t="inlineStr">
        <is>
          <t>HAND STRAP [AL(Cr도금), SUS Φ2.0]-손잡이(터치펜)</t>
        </is>
      </c>
      <c r="E87" s="23" t="inlineStr">
        <is>
          <t>HAND STRAP -손잡이(터치펜) (인조 가죽, AL(Cr도금), SUS Φ2.0)
[ADX4000W]</t>
        </is>
      </c>
      <c r="F87" s="24" t="inlineStr">
        <is>
          <t>O</t>
        </is>
      </c>
      <c r="G87" s="25" t="n"/>
      <c r="H87" s="26" t="n"/>
      <c r="I87" s="27">
        <f>IFERROR(IF(OR($F87="O",$G87="O",$H87="O"),CHOOSE(MATCH($A87,{"튜브","고압","진공","튜닝","조립","출하"},0),"T","H","V","N","A","P")&amp;IF($F87="O","R",IF($G87="O","A",IF($H87="O","F",""))),""),"")</f>
        <v/>
      </c>
      <c r="J87" s="15" t="n"/>
      <c r="K87" s="16" t="inlineStr">
        <is>
          <t>O</t>
        </is>
      </c>
      <c r="L87" s="17" t="n"/>
      <c r="M87" s="18" t="n"/>
      <c r="N87" s="19" t="n"/>
      <c r="O87" s="20" t="n"/>
      <c r="P87" s="21">
        <f>IF($I87="","",IF($J87="O","3","")&amp;IF($K87="O","4","")&amp;IF($L87="O","6","")&amp;IF($M87="O","7","")&amp;IF($N87="O","8","")&amp;IF($O87="O","?","")&amp;IF(OR($J87="O",$K87="O",$L87="O",$M87="O",$N87="O",$O87="O"),"-","")&amp;$I87)</f>
        <v/>
      </c>
      <c r="Q87" s="110">
        <f>HYPERLINK("#'마스터_품목'!A263","→ 마스터 R263")</f>
        <v/>
      </c>
      <c r="R87" s="111" t="n">
        <v>263</v>
      </c>
      <c r="S87" s="111" t="inlineStr">
        <is>
          <t>마스터_품목</t>
        </is>
      </c>
    </row>
    <row r="88" ht="48" customHeight="1">
      <c r="A88" s="22" t="inlineStr">
        <is>
          <t>조립</t>
        </is>
      </c>
      <c r="B88" s="22" t="inlineStr">
        <is>
          <t>사출 및 자재</t>
        </is>
      </c>
      <c r="C88" s="23" t="inlineStr">
        <is>
          <t>ADX4000W</t>
        </is>
      </c>
      <c r="D88" s="23" t="inlineStr">
        <is>
          <t>NAVI KEY(방향) _ 사파리용</t>
        </is>
      </c>
      <c r="E88" s="23" t="inlineStr">
        <is>
          <t>NAVI KEY 사파리 (방향) (ABS 난연 반투명)
[ADX4000W]</t>
        </is>
      </c>
      <c r="F88" s="24" t="inlineStr">
        <is>
          <t>O</t>
        </is>
      </c>
      <c r="G88" s="25" t="n"/>
      <c r="H88" s="26" t="n"/>
      <c r="I88" s="27">
        <f>IFERROR(IF(OR($F88="O",$G88="O",$H88="O"),CHOOSE(MATCH($A88,{"튜브","고압","진공","튜닝","조립","출하"},0),"T","H","V","N","A","P")&amp;IF($F88="O","R",IF($G88="O","A",IF($H88="O","F",""))),""),"")</f>
        <v/>
      </c>
      <c r="J88" s="15" t="n"/>
      <c r="K88" s="16" t="inlineStr">
        <is>
          <t>O</t>
        </is>
      </c>
      <c r="L88" s="17" t="n"/>
      <c r="M88" s="18" t="n"/>
      <c r="N88" s="19" t="n"/>
      <c r="O88" s="20" t="n"/>
      <c r="P88" s="21">
        <f>IF($I88="","",IF($J88="O","3","")&amp;IF($K88="O","4","")&amp;IF($L88="O","6","")&amp;IF($M88="O","7","")&amp;IF($N88="O","8","")&amp;IF($O88="O","?","")&amp;IF(OR($J88="O",$K88="O",$L88="O",$M88="O",$N88="O",$O88="O"),"-","")&amp;$I88)</f>
        <v/>
      </c>
      <c r="Q88" s="110">
        <f>HYPERLINK("#'마스터_품목'!A264","→ 마스터 R264")</f>
        <v/>
      </c>
      <c r="R88" s="111" t="n">
        <v>264</v>
      </c>
      <c r="S88" s="111" t="inlineStr">
        <is>
          <t>마스터_품목</t>
        </is>
      </c>
    </row>
    <row r="89" ht="48" customHeight="1">
      <c r="A89" s="22" t="inlineStr">
        <is>
          <t>조립</t>
        </is>
      </c>
      <c r="B89" s="22" t="inlineStr">
        <is>
          <t>사출 및 자재</t>
        </is>
      </c>
      <c r="C89" s="23" t="inlineStr">
        <is>
          <t>ADX4000W</t>
        </is>
      </c>
      <c r="D89" s="23" t="inlineStr">
        <is>
          <t>5" LCD 판넬 (SHARF)</t>
        </is>
      </c>
      <c r="E89" s="23" t="inlineStr">
        <is>
          <t>5" LCD (LQ050W1LA0A)
[ADX4000W]</t>
        </is>
      </c>
      <c r="F89" s="24" t="inlineStr">
        <is>
          <t>O</t>
        </is>
      </c>
      <c r="G89" s="25" t="n"/>
      <c r="H89" s="26" t="n"/>
      <c r="I89" s="27">
        <f>IFERROR(IF(OR($F89="O",$G89="O",$H89="O"),CHOOSE(MATCH($A89,{"튜브","고압","진공","튜닝","조립","출하"},0),"T","H","V","N","A","P")&amp;IF($F89="O","R",IF($G89="O","A",IF($H89="O","F",""))),""),"")</f>
        <v/>
      </c>
      <c r="J89" s="15" t="n"/>
      <c r="K89" s="16" t="inlineStr">
        <is>
          <t>O</t>
        </is>
      </c>
      <c r="L89" s="17" t="n"/>
      <c r="M89" s="18" t="n"/>
      <c r="N89" s="19" t="n"/>
      <c r="O89" s="20" t="n"/>
      <c r="P89" s="21">
        <f>IF($I89="","",IF($J89="O","3","")&amp;IF($K89="O","4","")&amp;IF($L89="O","6","")&amp;IF($M89="O","7","")&amp;IF($N89="O","8","")&amp;IF($O89="O","?","")&amp;IF(OR($J89="O",$K89="O",$L89="O",$M89="O",$N89="O",$O89="O"),"-","")&amp;$I89)</f>
        <v/>
      </c>
      <c r="Q89" s="110">
        <f>HYPERLINK("#'마스터_품목'!A265","→ 마스터 R265")</f>
        <v/>
      </c>
      <c r="R89" s="111" t="n">
        <v>265</v>
      </c>
      <c r="S89" s="111" t="inlineStr">
        <is>
          <t>마스터_품목</t>
        </is>
      </c>
    </row>
    <row r="90" ht="48" customHeight="1">
      <c r="A90" s="22" t="inlineStr">
        <is>
          <t>조립</t>
        </is>
      </c>
      <c r="B90" s="22" t="inlineStr">
        <is>
          <t>사출 및 자재</t>
        </is>
      </c>
      <c r="C90" s="23" t="inlineStr">
        <is>
          <t>ADX4000W
ADX6000</t>
        </is>
      </c>
      <c r="D90" s="23" t="inlineStr">
        <is>
          <t>4.8" LCD 판넬 (SAMSUNG)</t>
        </is>
      </c>
      <c r="E90" s="23" t="inlineStr">
        <is>
          <t>4.8" LCD (LMS480J-C01(LTS480WS-C01))
[ADX4000W]</t>
        </is>
      </c>
      <c r="F90" s="24" t="inlineStr">
        <is>
          <t>O</t>
        </is>
      </c>
      <c r="G90" s="25" t="n"/>
      <c r="H90" s="26" t="n"/>
      <c r="I90" s="27">
        <f>IFERROR(IF(OR($F90="O",$G90="O",$H90="O"),CHOOSE(MATCH($A90,{"튜브","고압","진공","튜닝","조립","출하"},0),"T","H","V","N","A","P")&amp;IF($F90="O","R",IF($G90="O","A",IF($H90="O","F",""))),""),"")</f>
        <v/>
      </c>
      <c r="J90" s="15" t="n"/>
      <c r="K90" s="16" t="inlineStr">
        <is>
          <t>O</t>
        </is>
      </c>
      <c r="L90" s="17" t="inlineStr">
        <is>
          <t>O</t>
        </is>
      </c>
      <c r="M90" s="18" t="n"/>
      <c r="N90" s="19" t="n"/>
      <c r="O90" s="20" t="n"/>
      <c r="P90" s="21">
        <f>IF($I90="","",IF($J90="O","3","")&amp;IF($K90="O","4","")&amp;IF($L90="O","6","")&amp;IF($M90="O","7","")&amp;IF($N90="O","8","")&amp;IF($O90="O","?","")&amp;IF(OR($J90="O",$K90="O",$L90="O",$M90="O",$N90="O",$O90="O"),"-","")&amp;$I90)</f>
        <v/>
      </c>
      <c r="Q90" s="110">
        <f>HYPERLINK("#'마스터_품목'!A266","→ 마스터 R266")</f>
        <v/>
      </c>
      <c r="R90" s="111" t="n">
        <v>266</v>
      </c>
      <c r="S90" s="111" t="inlineStr">
        <is>
          <t>마스터_품목</t>
        </is>
      </c>
    </row>
    <row r="91" ht="48" customHeight="1">
      <c r="A91" s="22" t="inlineStr">
        <is>
          <t>조립</t>
        </is>
      </c>
      <c r="B91" s="22" t="inlineStr">
        <is>
          <t>사출 및 자재</t>
        </is>
      </c>
      <c r="C91" s="23" t="inlineStr">
        <is>
          <t>ADX4000W
ADX6000</t>
        </is>
      </c>
      <c r="D91" s="23" t="inlineStr">
        <is>
          <t>16GB USB 메모리</t>
        </is>
      </c>
      <c r="E91" s="23" t="inlineStr">
        <is>
          <t>USB 메모리 (16GB)
[ADX4000W]</t>
        </is>
      </c>
      <c r="F91" s="24" t="inlineStr">
        <is>
          <t>O</t>
        </is>
      </c>
      <c r="G91" s="25" t="n"/>
      <c r="H91" s="26" t="n"/>
      <c r="I91" s="27">
        <f>IFERROR(IF(OR($F91="O",$G91="O",$H91="O"),CHOOSE(MATCH($A91,{"튜브","고압","진공","튜닝","조립","출하"},0),"T","H","V","N","A","P")&amp;IF($F91="O","R",IF($G91="O","A",IF($H91="O","F",""))),""),"")</f>
        <v/>
      </c>
      <c r="J91" s="15" t="n"/>
      <c r="K91" s="16" t="inlineStr">
        <is>
          <t>O</t>
        </is>
      </c>
      <c r="L91" s="17" t="inlineStr">
        <is>
          <t>O</t>
        </is>
      </c>
      <c r="M91" s="18" t="n"/>
      <c r="N91" s="19" t="n"/>
      <c r="O91" s="20" t="n"/>
      <c r="P91" s="21">
        <f>IF($I91="","",IF($J91="O","3","")&amp;IF($K91="O","4","")&amp;IF($L91="O","6","")&amp;IF($M91="O","7","")&amp;IF($N91="O","8","")&amp;IF($O91="O","?","")&amp;IF(OR($J91="O",$K91="O",$L91="O",$M91="O",$N91="O",$O91="O"),"-","")&amp;$I91)</f>
        <v/>
      </c>
      <c r="Q91" s="110">
        <f>HYPERLINK("#'마스터_품목'!A267","→ 마스터 R267")</f>
        <v/>
      </c>
      <c r="R91" s="111" t="n">
        <v>267</v>
      </c>
      <c r="S91" s="111" t="inlineStr">
        <is>
          <t>마스터_품목</t>
        </is>
      </c>
    </row>
    <row r="92" ht="48" customHeight="1">
      <c r="A92" s="22" t="inlineStr">
        <is>
          <t>조립</t>
        </is>
      </c>
      <c r="B92" s="22" t="inlineStr">
        <is>
          <t>사출 및 자재</t>
        </is>
      </c>
      <c r="C92" s="23" t="inlineStr">
        <is>
          <t>ADX4000W
ADX6000</t>
        </is>
      </c>
      <c r="D92" s="23" t="inlineStr">
        <is>
          <t>TP-LINK (WAN1000M)-동글</t>
        </is>
      </c>
      <c r="E92" s="23" t="inlineStr">
        <is>
          <t>TP-LINK (WAN1000M)-동글
[ADX4000W]</t>
        </is>
      </c>
      <c r="F92" s="24" t="inlineStr">
        <is>
          <t>O</t>
        </is>
      </c>
      <c r="G92" s="25" t="n"/>
      <c r="H92" s="26" t="n"/>
      <c r="I92" s="27">
        <f>IFERROR(IF(OR($F92="O",$G92="O",$H92="O"),CHOOSE(MATCH($A92,{"튜브","고압","진공","튜닝","조립","출하"},0),"T","H","V","N","A","P")&amp;IF($F92="O","R",IF($G92="O","A",IF($H92="O","F",""))),""),"")</f>
        <v/>
      </c>
      <c r="J92" s="15" t="n"/>
      <c r="K92" s="16" t="inlineStr">
        <is>
          <t>O</t>
        </is>
      </c>
      <c r="L92" s="17" t="inlineStr">
        <is>
          <t>O</t>
        </is>
      </c>
      <c r="M92" s="18" t="n"/>
      <c r="N92" s="19" t="n"/>
      <c r="O92" s="20" t="n"/>
      <c r="P92" s="21">
        <f>IF($I92="","",IF($J92="O","3","")&amp;IF($K92="O","4","")&amp;IF($L92="O","6","")&amp;IF($M92="O","7","")&amp;IF($N92="O","8","")&amp;IF($O92="O","?","")&amp;IF(OR($J92="O",$K92="O",$L92="O",$M92="O",$N92="O",$O92="O"),"-","")&amp;$I92)</f>
        <v/>
      </c>
      <c r="Q92" s="110">
        <f>HYPERLINK("#'마스터_품목'!A268","→ 마스터 R268")</f>
        <v/>
      </c>
      <c r="R92" s="111" t="n">
        <v>268</v>
      </c>
      <c r="S92" s="111" t="inlineStr">
        <is>
          <t>마스터_품목</t>
        </is>
      </c>
    </row>
    <row r="93" ht="48" customHeight="1">
      <c r="A93" s="22" t="inlineStr">
        <is>
          <t>조립</t>
        </is>
      </c>
      <c r="B93" s="22" t="inlineStr">
        <is>
          <t>사출 및 자재</t>
        </is>
      </c>
      <c r="C93" s="23" t="inlineStr">
        <is>
          <t>ADX4000W
ADX6000</t>
        </is>
      </c>
      <c r="D93" s="23" t="inlineStr">
        <is>
          <t>ip TIME 무선 랜카드 [N100UM]</t>
        </is>
      </c>
      <c r="E93" s="23" t="inlineStr">
        <is>
          <t>ip TIME 무선 랜카드 [N100UM]
[ADX4000W]</t>
        </is>
      </c>
      <c r="F93" s="24" t="inlineStr">
        <is>
          <t>O</t>
        </is>
      </c>
      <c r="G93" s="25" t="n"/>
      <c r="H93" s="26" t="n"/>
      <c r="I93" s="27">
        <f>IFERROR(IF(OR($F93="O",$G93="O",$H93="O"),CHOOSE(MATCH($A93,{"튜브","고압","진공","튜닝","조립","출하"},0),"T","H","V","N","A","P")&amp;IF($F93="O","R",IF($G93="O","A",IF($H93="O","F",""))),""),"")</f>
        <v/>
      </c>
      <c r="J93" s="15" t="n"/>
      <c r="K93" s="16" t="inlineStr">
        <is>
          <t>O</t>
        </is>
      </c>
      <c r="L93" s="17" t="inlineStr">
        <is>
          <t>O</t>
        </is>
      </c>
      <c r="M93" s="18" t="n"/>
      <c r="N93" s="19" t="n"/>
      <c r="O93" s="20" t="n"/>
      <c r="P93" s="21">
        <f>IF($I93="","",IF($J93="O","3","")&amp;IF($K93="O","4","")&amp;IF($L93="O","6","")&amp;IF($M93="O","7","")&amp;IF($N93="O","8","")&amp;IF($O93="O","?","")&amp;IF(OR($J93="O",$K93="O",$L93="O",$M93="O",$N93="O",$O93="O"),"-","")&amp;$I93)</f>
        <v/>
      </c>
      <c r="Q93" s="110">
        <f>HYPERLINK("#'마스터_품목'!A269","→ 마스터 R269")</f>
        <v/>
      </c>
      <c r="R93" s="111" t="n">
        <v>269</v>
      </c>
      <c r="S93" s="111" t="inlineStr">
        <is>
          <t>마스터_품목</t>
        </is>
      </c>
    </row>
    <row r="94" ht="48" customHeight="1">
      <c r="A94" s="22" t="inlineStr">
        <is>
          <t>조립</t>
        </is>
      </c>
      <c r="B94" s="22" t="inlineStr">
        <is>
          <t>사출 및 자재</t>
        </is>
      </c>
      <c r="C94" s="23" t="inlineStr">
        <is>
          <t>ADX4000W</t>
        </is>
      </c>
      <c r="D94" s="23" t="inlineStr">
        <is>
          <t>히팅 싱크 구형 (일본 사용)</t>
        </is>
      </c>
      <c r="E94" s="23" t="inlineStr">
        <is>
          <t>히팅 싱크 구형 (일본 사용)
[ADX4000W]</t>
        </is>
      </c>
      <c r="F94" s="24" t="inlineStr">
        <is>
          <t>O</t>
        </is>
      </c>
      <c r="G94" s="25" t="n"/>
      <c r="H94" s="26" t="n"/>
      <c r="I94" s="27">
        <f>IFERROR(IF(OR($F94="O",$G94="O",$H94="O"),CHOOSE(MATCH($A94,{"튜브","고압","진공","튜닝","조립","출하"},0),"T","H","V","N","A","P")&amp;IF($F94="O","R",IF($G94="O","A",IF($H94="O","F",""))),""),"")</f>
        <v/>
      </c>
      <c r="J94" s="15" t="n"/>
      <c r="K94" s="16" t="inlineStr">
        <is>
          <t>O</t>
        </is>
      </c>
      <c r="L94" s="17" t="inlineStr">
        <is>
          <t>O</t>
        </is>
      </c>
      <c r="M94" s="18" t="n"/>
      <c r="N94" s="19" t="n"/>
      <c r="O94" s="20" t="n"/>
      <c r="P94" s="21">
        <f>IF($I94="","",IF($J94="O","3","")&amp;IF($K94="O","4","")&amp;IF($L94="O","6","")&amp;IF($M94="O","7","")&amp;IF($N94="O","8","")&amp;IF($O94="O","?","")&amp;IF(OR($J94="O",$K94="O",$L94="O",$M94="O",$N94="O",$O94="O"),"-","")&amp;$I94)</f>
        <v/>
      </c>
      <c r="Q94" s="110">
        <f>HYPERLINK("#'마스터_품목'!A270","→ 마스터 R270")</f>
        <v/>
      </c>
      <c r="R94" s="111" t="n">
        <v>270</v>
      </c>
      <c r="S94" s="111" t="inlineStr">
        <is>
          <t>마스터_품목</t>
        </is>
      </c>
    </row>
    <row r="95" ht="48" customHeight="1">
      <c r="A95" s="22" t="inlineStr">
        <is>
          <t>조립</t>
        </is>
      </c>
      <c r="B95" s="22" t="inlineStr">
        <is>
          <t>사출 및 자재</t>
        </is>
      </c>
      <c r="C95" s="23" t="inlineStr">
        <is>
          <t>ADX4000W</t>
        </is>
      </c>
      <c r="D95" s="23" t="inlineStr">
        <is>
          <t>방열 팬 구형 (일본 사용) [1204KL-01W-B10 5V 0.1A]</t>
        </is>
      </c>
      <c r="E95" s="23" t="inlineStr">
        <is>
          <t>방열 팬 구형 (일본 사용) (1204KL-01W-B10 5V 0.1A)
[ADX4000W]</t>
        </is>
      </c>
      <c r="F95" s="24" t="inlineStr">
        <is>
          <t>O</t>
        </is>
      </c>
      <c r="G95" s="25" t="n"/>
      <c r="H95" s="26" t="n"/>
      <c r="I95" s="27">
        <f>IFERROR(IF(OR($F95="O",$G95="O",$H95="O"),CHOOSE(MATCH($A95,{"튜브","고압","진공","튜닝","조립","출하"},0),"T","H","V","N","A","P")&amp;IF($F95="O","R",IF($G95="O","A",IF($H95="O","F",""))),""),"")</f>
        <v/>
      </c>
      <c r="J95" s="15" t="n"/>
      <c r="K95" s="16" t="inlineStr">
        <is>
          <t>O</t>
        </is>
      </c>
      <c r="L95" s="17" t="inlineStr">
        <is>
          <t>O</t>
        </is>
      </c>
      <c r="M95" s="18" t="n"/>
      <c r="N95" s="19" t="n"/>
      <c r="O95" s="20" t="n"/>
      <c r="P95" s="21">
        <f>IF($I95="","",IF($J95="O","3","")&amp;IF($K95="O","4","")&amp;IF($L95="O","6","")&amp;IF($M95="O","7","")&amp;IF($N95="O","8","")&amp;IF($O95="O","?","")&amp;IF(OR($J95="O",$K95="O",$L95="O",$M95="O",$N95="O",$O95="O"),"-","")&amp;$I95)</f>
        <v/>
      </c>
      <c r="Q95" s="110">
        <f>HYPERLINK("#'마스터_품목'!A271","→ 마스터 R271")</f>
        <v/>
      </c>
      <c r="R95" s="111" t="n">
        <v>271</v>
      </c>
      <c r="S95" s="111" t="inlineStr">
        <is>
          <t>마스터_품목</t>
        </is>
      </c>
    </row>
    <row r="96" ht="48" customHeight="1">
      <c r="A96" s="22" t="inlineStr">
        <is>
          <t>조립</t>
        </is>
      </c>
      <c r="B96" s="22" t="inlineStr">
        <is>
          <t>사출 및 자재</t>
        </is>
      </c>
      <c r="C96" s="23" t="inlineStr">
        <is>
          <t>ADX4000W
ADX6000</t>
        </is>
      </c>
      <c r="D96" s="23" t="inlineStr">
        <is>
          <t>히팅 패드</t>
        </is>
      </c>
      <c r="E96" s="23" t="inlineStr">
        <is>
          <t>히팅 패드
[ADX4000W]</t>
        </is>
      </c>
      <c r="F96" s="24" t="inlineStr">
        <is>
          <t>O</t>
        </is>
      </c>
      <c r="G96" s="25" t="n"/>
      <c r="H96" s="26" t="n"/>
      <c r="I96" s="27">
        <f>IFERROR(IF(OR($F96="O",$G96="O",$H96="O"),CHOOSE(MATCH($A96,{"튜브","고압","진공","튜닝","조립","출하"},0),"T","H","V","N","A","P")&amp;IF($F96="O","R",IF($G96="O","A",IF($H96="O","F",""))),""),"")</f>
        <v/>
      </c>
      <c r="J96" s="15" t="n"/>
      <c r="K96" s="16" t="inlineStr">
        <is>
          <t>O</t>
        </is>
      </c>
      <c r="L96" s="17" t="inlineStr">
        <is>
          <t>O</t>
        </is>
      </c>
      <c r="M96" s="18" t="n"/>
      <c r="N96" s="19" t="n"/>
      <c r="O96" s="20" t="n"/>
      <c r="P96" s="21">
        <f>IF($I96="","",IF($J96="O","3","")&amp;IF($K96="O","4","")&amp;IF($L96="O","6","")&amp;IF($M96="O","7","")&amp;IF($N96="O","8","")&amp;IF($O96="O","?","")&amp;IF(OR($J96="O",$K96="O",$L96="O",$M96="O",$N96="O",$O96="O"),"-","")&amp;$I96)</f>
        <v/>
      </c>
      <c r="Q96" s="110">
        <f>HYPERLINK("#'마스터_품목'!A272","→ 마스터 R272")</f>
        <v/>
      </c>
      <c r="R96" s="111" t="n">
        <v>272</v>
      </c>
      <c r="S96" s="111" t="inlineStr">
        <is>
          <t>마스터_품목</t>
        </is>
      </c>
    </row>
    <row r="97" ht="48" customHeight="1">
      <c r="A97" s="22" t="inlineStr">
        <is>
          <t>조립</t>
        </is>
      </c>
      <c r="B97" s="22" t="inlineStr">
        <is>
          <t>사출 및 자재</t>
        </is>
      </c>
      <c r="C97" s="23" t="inlineStr">
        <is>
          <t>ADX4000W
ADX6000</t>
        </is>
      </c>
      <c r="D97" s="23" t="inlineStr">
        <is>
          <t>히팅 싱크 신형</t>
        </is>
      </c>
      <c r="E97" s="23" t="inlineStr">
        <is>
          <t>히팅 싱크 신형
[ADX4000W]</t>
        </is>
      </c>
      <c r="F97" s="24" t="inlineStr">
        <is>
          <t>O</t>
        </is>
      </c>
      <c r="G97" s="25" t="n"/>
      <c r="H97" s="26" t="n"/>
      <c r="I97" s="27">
        <f>IFERROR(IF(OR($F97="O",$G97="O",$H97="O"),CHOOSE(MATCH($A97,{"튜브","고압","진공","튜닝","조립","출하"},0),"T","H","V","N","A","P")&amp;IF($F97="O","R",IF($G97="O","A",IF($H97="O","F",""))),""),"")</f>
        <v/>
      </c>
      <c r="J97" s="15" t="n"/>
      <c r="K97" s="16" t="inlineStr">
        <is>
          <t>O</t>
        </is>
      </c>
      <c r="L97" s="17" t="inlineStr">
        <is>
          <t>O</t>
        </is>
      </c>
      <c r="M97" s="18" t="n"/>
      <c r="N97" s="19" t="n"/>
      <c r="O97" s="20" t="n"/>
      <c r="P97" s="21">
        <f>IF($I97="","",IF($J97="O","3","")&amp;IF($K97="O","4","")&amp;IF($L97="O","6","")&amp;IF($M97="O","7","")&amp;IF($N97="O","8","")&amp;IF($O97="O","?","")&amp;IF(OR($J97="O",$K97="O",$L97="O",$M97="O",$N97="O",$O97="O"),"-","")&amp;$I97)</f>
        <v/>
      </c>
      <c r="Q97" s="110">
        <f>HYPERLINK("#'마스터_품목'!A273","→ 마스터 R273")</f>
        <v/>
      </c>
      <c r="R97" s="111" t="n">
        <v>273</v>
      </c>
      <c r="S97" s="111" t="inlineStr">
        <is>
          <t>마스터_품목</t>
        </is>
      </c>
    </row>
    <row r="98" ht="48" customHeight="1">
      <c r="A98" s="22" t="inlineStr">
        <is>
          <t>조립</t>
        </is>
      </c>
      <c r="B98" s="22" t="inlineStr">
        <is>
          <t>사출 및 자재</t>
        </is>
      </c>
      <c r="C98" s="23" t="inlineStr">
        <is>
          <t>ADX4000W
ADX6000</t>
        </is>
      </c>
      <c r="D98" s="23" t="inlineStr">
        <is>
          <t>방열 팬 신형 [HBD0401005SEM 5V 0.15A]</t>
        </is>
      </c>
      <c r="E98" s="23" t="inlineStr">
        <is>
          <t>방열 팬 신형 (HBD0401005SEM 5V 0.15A)
[ADX4000W]</t>
        </is>
      </c>
      <c r="F98" s="24" t="inlineStr">
        <is>
          <t>O</t>
        </is>
      </c>
      <c r="G98" s="25" t="n"/>
      <c r="H98" s="26" t="n"/>
      <c r="I98" s="27">
        <f>IFERROR(IF(OR($F98="O",$G98="O",$H98="O"),CHOOSE(MATCH($A98,{"튜브","고압","진공","튜닝","조립","출하"},0),"T","H","V","N","A","P")&amp;IF($F98="O","R",IF($G98="O","A",IF($H98="O","F",""))),""),"")</f>
        <v/>
      </c>
      <c r="J98" s="15" t="n"/>
      <c r="K98" s="16" t="inlineStr">
        <is>
          <t>O</t>
        </is>
      </c>
      <c r="L98" s="17" t="inlineStr">
        <is>
          <t>O</t>
        </is>
      </c>
      <c r="M98" s="18" t="n"/>
      <c r="N98" s="19" t="n"/>
      <c r="O98" s="20" t="n"/>
      <c r="P98" s="21">
        <f>IF($I98="","",IF($J98="O","3","")&amp;IF($K98="O","4","")&amp;IF($L98="O","6","")&amp;IF($M98="O","7","")&amp;IF($N98="O","8","")&amp;IF($O98="O","?","")&amp;IF(OR($J98="O",$K98="O",$L98="O",$M98="O",$N98="O",$O98="O"),"-","")&amp;$I98)</f>
        <v/>
      </c>
      <c r="Q98" s="110">
        <f>HYPERLINK("#'마스터_품목'!A274","→ 마스터 R274")</f>
        <v/>
      </c>
      <c r="R98" s="111" t="n">
        <v>274</v>
      </c>
      <c r="S98" s="111" t="inlineStr">
        <is>
          <t>마스터_품목</t>
        </is>
      </c>
    </row>
    <row r="99" ht="48" customHeight="1">
      <c r="A99" s="22" t="inlineStr">
        <is>
          <t>조립</t>
        </is>
      </c>
      <c r="B99" s="22" t="inlineStr">
        <is>
          <t>사출 및 자재</t>
        </is>
      </c>
      <c r="C99" s="23" t="inlineStr">
        <is>
          <t>ADX4000W
ADX6000</t>
        </is>
      </c>
      <c r="D99" s="23" t="inlineStr">
        <is>
          <t>ELECOM WIFI (10DR) [WDC-150SU2M]</t>
        </is>
      </c>
      <c r="E99" s="23" t="inlineStr">
        <is>
          <t>ELECOM WIFI (10DR) (WDC-150SU2M)
[ADX4000W]</t>
        </is>
      </c>
      <c r="F99" s="24" t="inlineStr">
        <is>
          <t>O</t>
        </is>
      </c>
      <c r="G99" s="25" t="n"/>
      <c r="H99" s="26" t="n"/>
      <c r="I99" s="27">
        <f>IFERROR(IF(OR($F99="O",$G99="O",$H99="O"),CHOOSE(MATCH($A99,{"튜브","고압","진공","튜닝","조립","출하"},0),"T","H","V","N","A","P")&amp;IF($F99="O","R",IF($G99="O","A",IF($H99="O","F",""))),""),"")</f>
        <v/>
      </c>
      <c r="J99" s="15" t="n"/>
      <c r="K99" s="16" t="inlineStr">
        <is>
          <t>O</t>
        </is>
      </c>
      <c r="L99" s="17" t="inlineStr">
        <is>
          <t>O</t>
        </is>
      </c>
      <c r="M99" s="18" t="n"/>
      <c r="N99" s="19" t="n"/>
      <c r="O99" s="20" t="n"/>
      <c r="P99" s="21">
        <f>IF($I99="","",IF($J99="O","3","")&amp;IF($K99="O","4","")&amp;IF($L99="O","6","")&amp;IF($M99="O","7","")&amp;IF($N99="O","8","")&amp;IF($O99="O","?","")&amp;IF(OR($J99="O",$K99="O",$L99="O",$M99="O",$N99="O",$O99="O"),"-","")&amp;$I99)</f>
        <v/>
      </c>
      <c r="Q99" s="110">
        <f>HYPERLINK("#'마스터_품목'!A275","→ 마스터 R275")</f>
        <v/>
      </c>
      <c r="R99" s="111" t="n">
        <v>275</v>
      </c>
      <c r="S99" s="111" t="inlineStr">
        <is>
          <t>마스터_품목</t>
        </is>
      </c>
    </row>
    <row r="100" ht="48" customHeight="1">
      <c r="A100" s="22" t="inlineStr">
        <is>
          <t>조립</t>
        </is>
      </c>
      <c r="B100" s="22" t="inlineStr">
        <is>
          <t>사출 및 자재</t>
        </is>
      </c>
      <c r="C100" s="23" t="inlineStr">
        <is>
          <t>ADX4000W
ADX6000</t>
        </is>
      </c>
      <c r="D100" s="23" t="inlineStr">
        <is>
          <t>BUFFALO WIFI [WLI-UC-GNM2]</t>
        </is>
      </c>
      <c r="E100" s="23" t="n"/>
      <c r="F100" s="24" t="inlineStr">
        <is>
          <t>O</t>
        </is>
      </c>
      <c r="G100" s="25" t="n"/>
      <c r="H100" s="26" t="n"/>
      <c r="I100" s="27">
        <f>IFERROR(IF(OR($F100="O",$G100="O",$H100="O"),CHOOSE(MATCH($A100,{"튜브","고압","진공","튜닝","조립","출하"},0),"T","H","V","N","A","P")&amp;IF($F100="O","R",IF($G100="O","A",IF($H100="O","F",""))),""),"")</f>
        <v/>
      </c>
      <c r="J100" s="15" t="n"/>
      <c r="K100" s="16" t="inlineStr">
        <is>
          <t>O</t>
        </is>
      </c>
      <c r="L100" s="17" t="inlineStr">
        <is>
          <t>O</t>
        </is>
      </c>
      <c r="M100" s="18" t="n"/>
      <c r="N100" s="19" t="n"/>
      <c r="O100" s="20" t="n"/>
      <c r="P100" s="21">
        <f>IF($I100="","",IF($J100="O","3","")&amp;IF($K100="O","4","")&amp;IF($L100="O","6","")&amp;IF($M100="O","7","")&amp;IF($N100="O","8","")&amp;IF($O100="O","?","")&amp;IF(OR($J100="O",$K100="O",$L100="O",$M100="O",$N100="O",$O100="O"),"-","")&amp;$I100)</f>
        <v/>
      </c>
      <c r="Q100" s="110">
        <f>HYPERLINK("#'마스터_품목'!A276","→ 마스터 R276")</f>
        <v/>
      </c>
      <c r="R100" s="111" t="n">
        <v>276</v>
      </c>
      <c r="S100" s="111" t="inlineStr">
        <is>
          <t>마스터_품목</t>
        </is>
      </c>
    </row>
    <row r="101" ht="48" customHeight="1">
      <c r="A101" s="22" t="inlineStr">
        <is>
          <t>조립</t>
        </is>
      </c>
      <c r="B101" s="22" t="inlineStr">
        <is>
          <t>보드</t>
        </is>
      </c>
      <c r="C101" s="23" t="inlineStr">
        <is>
          <t>ADX4000W</t>
        </is>
      </c>
      <c r="D101" s="23" t="inlineStr">
        <is>
          <t>NAVI BD _ 사파리용</t>
        </is>
      </c>
      <c r="E101" s="23" t="inlineStr">
        <is>
          <t>NAVI BD 사파리
[ADX4000W]</t>
        </is>
      </c>
      <c r="F101" s="24" t="inlineStr">
        <is>
          <t>O</t>
        </is>
      </c>
      <c r="G101" s="25" t="n"/>
      <c r="H101" s="26" t="n"/>
      <c r="I101" s="27">
        <f>IFERROR(IF(OR($F101="O",$G101="O",$H101="O"),CHOOSE(MATCH($A101,{"튜브","고압","진공","튜닝","조립","출하"},0),"T","H","V","N","A","P")&amp;IF($F101="O","R",IF($G101="O","A",IF($H101="O","F",""))),""),"")</f>
        <v/>
      </c>
      <c r="J101" s="15" t="n"/>
      <c r="K101" s="16" t="inlineStr">
        <is>
          <t>O</t>
        </is>
      </c>
      <c r="L101" s="17" t="n"/>
      <c r="M101" s="18" t="n"/>
      <c r="N101" s="19" t="n"/>
      <c r="O101" s="20" t="n"/>
      <c r="P101" s="21">
        <f>IF($I101="","",IF($J101="O","3","")&amp;IF($K101="O","4","")&amp;IF($L101="O","6","")&amp;IF($M101="O","7","")&amp;IF($N101="O","8","")&amp;IF($O101="O","?","")&amp;IF(OR($J101="O",$K101="O",$L101="O",$M101="O",$N101="O",$O101="O"),"-","")&amp;$I101)</f>
        <v/>
      </c>
      <c r="Q101" s="110">
        <f>HYPERLINK("#'마스터_품목'!A277","→ 마스터 R277")</f>
        <v/>
      </c>
      <c r="R101" s="111" t="n">
        <v>277</v>
      </c>
      <c r="S101" s="111" t="inlineStr">
        <is>
          <t>마스터_품목</t>
        </is>
      </c>
    </row>
    <row r="102" ht="48" customHeight="1">
      <c r="A102" s="22" t="inlineStr">
        <is>
          <t>조립</t>
        </is>
      </c>
      <c r="B102" s="22" t="inlineStr">
        <is>
          <t>보드</t>
        </is>
      </c>
      <c r="C102" s="23" t="inlineStr">
        <is>
          <t>ADX4000W</t>
        </is>
      </c>
      <c r="D102" s="23" t="inlineStr">
        <is>
          <t>4.8" LCD  BD</t>
        </is>
      </c>
      <c r="E102" s="23" t="inlineStr">
        <is>
          <t>4.8" LCD BD
[ADX4000W]</t>
        </is>
      </c>
      <c r="F102" s="24" t="inlineStr">
        <is>
          <t>O</t>
        </is>
      </c>
      <c r="G102" s="25" t="n"/>
      <c r="H102" s="26" t="n"/>
      <c r="I102" s="27">
        <f>IFERROR(IF(OR($F102="O",$G102="O",$H102="O"),CHOOSE(MATCH($A102,{"튜브","고압","진공","튜닝","조립","출하"},0),"T","H","V","N","A","P")&amp;IF($F102="O","R",IF($G102="O","A",IF($H102="O","F",""))),""),"")</f>
        <v/>
      </c>
      <c r="J102" s="15" t="n"/>
      <c r="K102" s="16" t="inlineStr">
        <is>
          <t>O</t>
        </is>
      </c>
      <c r="L102" s="17" t="n"/>
      <c r="M102" s="18" t="n"/>
      <c r="N102" s="19" t="n"/>
      <c r="O102" s="20" t="n"/>
      <c r="P102" s="21">
        <f>IF($I102="","",IF($J102="O","3","")&amp;IF($K102="O","4","")&amp;IF($L102="O","6","")&amp;IF($M102="O","7","")&amp;IF($N102="O","8","")&amp;IF($O102="O","?","")&amp;IF(OR($J102="O",$K102="O",$L102="O",$M102="O",$N102="O",$O102="O"),"-","")&amp;$I102)</f>
        <v/>
      </c>
      <c r="Q102" s="110">
        <f>HYPERLINK("#'마스터_품목'!A278","→ 마스터 R278")</f>
        <v/>
      </c>
      <c r="R102" s="111" t="n">
        <v>278</v>
      </c>
      <c r="S102" s="111" t="inlineStr">
        <is>
          <t>마스터_품목</t>
        </is>
      </c>
    </row>
    <row r="103" ht="48" customHeight="1">
      <c r="A103" s="22" t="inlineStr">
        <is>
          <t>조립</t>
        </is>
      </c>
      <c r="B103" s="22" t="inlineStr">
        <is>
          <t>보드</t>
        </is>
      </c>
      <c r="C103" s="23" t="inlineStr">
        <is>
          <t>ADX4000W</t>
        </is>
      </c>
      <c r="D103" s="23" t="inlineStr">
        <is>
          <t>POWER BD</t>
        </is>
      </c>
      <c r="E103" s="23" t="inlineStr">
        <is>
          <t>POWER BD
[ADX4000W]</t>
        </is>
      </c>
      <c r="F103" s="24" t="inlineStr">
        <is>
          <t>O</t>
        </is>
      </c>
      <c r="G103" s="25" t="n"/>
      <c r="H103" s="26" t="n"/>
      <c r="I103" s="27">
        <f>IFERROR(IF(OR($F103="O",$G103="O",$H103="O"),CHOOSE(MATCH($A103,{"튜브","고압","진공","튜닝","조립","출하"},0),"T","H","V","N","A","P")&amp;IF($F103="O","R",IF($G103="O","A",IF($H103="O","F",""))),""),"")</f>
        <v/>
      </c>
      <c r="J103" s="15" t="n"/>
      <c r="K103" s="16" t="inlineStr">
        <is>
          <t>O</t>
        </is>
      </c>
      <c r="L103" s="17" t="n"/>
      <c r="M103" s="18" t="n"/>
      <c r="N103" s="19" t="n"/>
      <c r="O103" s="20" t="n"/>
      <c r="P103" s="21">
        <f>IF($I103="","",IF($J103="O","3","")&amp;IF($K103="O","4","")&amp;IF($L103="O","6","")&amp;IF($M103="O","7","")&amp;IF($N103="O","8","")&amp;IF($O103="O","?","")&amp;IF(OR($J103="O",$K103="O",$L103="O",$M103="O",$N103="O",$O103="O"),"-","")&amp;$I103)</f>
        <v/>
      </c>
      <c r="Q103" s="110">
        <f>HYPERLINK("#'마스터_품목'!A279","→ 마스터 R279")</f>
        <v/>
      </c>
      <c r="R103" s="111" t="n">
        <v>279</v>
      </c>
      <c r="S103" s="111" t="inlineStr">
        <is>
          <t>마스터_품목</t>
        </is>
      </c>
    </row>
    <row r="104" ht="48" customHeight="1">
      <c r="A104" s="22" t="inlineStr">
        <is>
          <t>조립</t>
        </is>
      </c>
      <c r="B104" s="22" t="inlineStr">
        <is>
          <t>보드</t>
        </is>
      </c>
      <c r="C104" s="23" t="inlineStr">
        <is>
          <t>ADX4000W</t>
        </is>
      </c>
      <c r="D104" s="23" t="inlineStr">
        <is>
          <t>NAVI BD</t>
        </is>
      </c>
      <c r="E104" s="23" t="inlineStr">
        <is>
          <t>NAVI BD
[ADX4000W]</t>
        </is>
      </c>
      <c r="F104" s="24" t="inlineStr">
        <is>
          <t>O</t>
        </is>
      </c>
      <c r="G104" s="25" t="n"/>
      <c r="H104" s="26" t="n"/>
      <c r="I104" s="27">
        <f>IFERROR(IF(OR($F104="O",$G104="O",$H104="O"),CHOOSE(MATCH($A104,{"튜브","고압","진공","튜닝","조립","출하"},0),"T","H","V","N","A","P")&amp;IF($F104="O","R",IF($G104="O","A",IF($H104="O","F",""))),""),"")</f>
        <v/>
      </c>
      <c r="J104" s="15" t="n"/>
      <c r="K104" s="16" t="inlineStr">
        <is>
          <t>O</t>
        </is>
      </c>
      <c r="L104" s="17" t="n"/>
      <c r="M104" s="18" t="n"/>
      <c r="N104" s="19" t="n"/>
      <c r="O104" s="20" t="n"/>
      <c r="P104" s="21">
        <f>IF($I104="","",IF($J104="O","3","")&amp;IF($K104="O","4","")&amp;IF($L104="O","6","")&amp;IF($M104="O","7","")&amp;IF($N104="O","8","")&amp;IF($O104="O","?","")&amp;IF(OR($J104="O",$K104="O",$L104="O",$M104="O",$N104="O",$O104="O"),"-","")&amp;$I104)</f>
        <v/>
      </c>
      <c r="Q104" s="110">
        <f>HYPERLINK("#'마스터_품목'!A280","→ 마스터 R280")</f>
        <v/>
      </c>
      <c r="R104" s="111" t="n">
        <v>280</v>
      </c>
      <c r="S104" s="111" t="inlineStr">
        <is>
          <t>마스터_품목</t>
        </is>
      </c>
    </row>
    <row r="105" ht="48" customHeight="1">
      <c r="A105" s="22" t="inlineStr">
        <is>
          <t>조립</t>
        </is>
      </c>
      <c r="B105" s="22" t="inlineStr">
        <is>
          <t>보드</t>
        </is>
      </c>
      <c r="C105" s="23" t="inlineStr">
        <is>
          <t>ADX4000W</t>
        </is>
      </c>
      <c r="D105" s="23" t="inlineStr">
        <is>
          <t>EX B/D</t>
        </is>
      </c>
      <c r="E105" s="23" t="inlineStr">
        <is>
          <t>EX B/D
[ADX4000W]</t>
        </is>
      </c>
      <c r="F105" s="24" t="inlineStr">
        <is>
          <t>O</t>
        </is>
      </c>
      <c r="G105" s="25" t="n"/>
      <c r="H105" s="26" t="n"/>
      <c r="I105" s="27">
        <f>IFERROR(IF(OR($F105="O",$G105="O",$H105="O"),CHOOSE(MATCH($A105,{"튜브","고압","진공","튜닝","조립","출하"},0),"T","H","V","N","A","P")&amp;IF($F105="O","R",IF($G105="O","A",IF($H105="O","F",""))),""),"")</f>
        <v/>
      </c>
      <c r="J105" s="15" t="n"/>
      <c r="K105" s="16" t="inlineStr">
        <is>
          <t>O</t>
        </is>
      </c>
      <c r="L105" s="17" t="n"/>
      <c r="M105" s="18" t="n"/>
      <c r="N105" s="19" t="n"/>
      <c r="O105" s="20" t="n"/>
      <c r="P105" s="21">
        <f>IF($I105="","",IF($J105="O","3","")&amp;IF($K105="O","4","")&amp;IF($L105="O","6","")&amp;IF($M105="O","7","")&amp;IF($N105="O","8","")&amp;IF($O105="O","?","")&amp;IF(OR($J105="O",$K105="O",$L105="O",$M105="O",$N105="O",$O105="O"),"-","")&amp;$I105)</f>
        <v/>
      </c>
      <c r="Q105" s="110">
        <f>HYPERLINK("#'마스터_품목'!A281","→ 마스터 R281")</f>
        <v/>
      </c>
      <c r="R105" s="111" t="n">
        <v>281</v>
      </c>
      <c r="S105" s="111" t="inlineStr">
        <is>
          <t>마스터_품목</t>
        </is>
      </c>
    </row>
    <row r="106" ht="48" customHeight="1">
      <c r="A106" s="22" t="inlineStr">
        <is>
          <t>조립</t>
        </is>
      </c>
      <c r="B106" s="22" t="inlineStr">
        <is>
          <t>보드</t>
        </is>
      </c>
      <c r="C106" s="23" t="inlineStr">
        <is>
          <t>ADX4000W</t>
        </is>
      </c>
      <c r="D106" s="23" t="inlineStr">
        <is>
          <t>Carrier BD _ KONTRON</t>
        </is>
      </c>
      <c r="E106" s="23" t="inlineStr">
        <is>
          <t>Carrier BD (구형 KONTRON)
[ADX4000W]</t>
        </is>
      </c>
      <c r="F106" s="24" t="inlineStr">
        <is>
          <t>O</t>
        </is>
      </c>
      <c r="G106" s="25" t="n"/>
      <c r="H106" s="26" t="n"/>
      <c r="I106" s="27">
        <f>IFERROR(IF(OR($F106="O",$G106="O",$H106="O"),CHOOSE(MATCH($A106,{"튜브","고압","진공","튜닝","조립","출하"},0),"T","H","V","N","A","P")&amp;IF($F106="O","R",IF($G106="O","A",IF($H106="O","F",""))),""),"")</f>
        <v/>
      </c>
      <c r="J106" s="15" t="n"/>
      <c r="K106" s="16" t="inlineStr">
        <is>
          <t>O</t>
        </is>
      </c>
      <c r="L106" s="17" t="n"/>
      <c r="M106" s="18" t="n"/>
      <c r="N106" s="19" t="n"/>
      <c r="O106" s="20" t="n"/>
      <c r="P106" s="21">
        <f>IF($I106="","",IF($J106="O","3","")&amp;IF($K106="O","4","")&amp;IF($L106="O","6","")&amp;IF($M106="O","7","")&amp;IF($N106="O","8","")&amp;IF($O106="O","?","")&amp;IF(OR($J106="O",$K106="O",$L106="O",$M106="O",$N106="O",$O106="O"),"-","")&amp;$I106)</f>
        <v/>
      </c>
      <c r="Q106" s="110">
        <f>HYPERLINK("#'마스터_품목'!A282","→ 마스터 R282")</f>
        <v/>
      </c>
      <c r="R106" s="111" t="n">
        <v>282</v>
      </c>
      <c r="S106" s="111" t="inlineStr">
        <is>
          <t>마스터_품목</t>
        </is>
      </c>
    </row>
    <row r="107" ht="48" customHeight="1">
      <c r="A107" s="22" t="inlineStr">
        <is>
          <t>조립</t>
        </is>
      </c>
      <c r="B107" s="22" t="inlineStr">
        <is>
          <t>보드</t>
        </is>
      </c>
      <c r="C107" s="23" t="inlineStr">
        <is>
          <t>ADX4000W
ADX6000</t>
        </is>
      </c>
      <c r="D107" s="23" t="inlineStr">
        <is>
          <t>Module BD _ KONTRON</t>
        </is>
      </c>
      <c r="E107" s="23" t="inlineStr">
        <is>
          <t>Module BD (구형 KONTRON)
[ADX4000W]</t>
        </is>
      </c>
      <c r="F107" s="24" t="inlineStr">
        <is>
          <t>O</t>
        </is>
      </c>
      <c r="G107" s="25" t="n"/>
      <c r="H107" s="26" t="n"/>
      <c r="I107" s="27">
        <f>IFERROR(IF(OR($F107="O",$G107="O",$H107="O"),CHOOSE(MATCH($A107,{"튜브","고압","진공","튜닝","조립","출하"},0),"T","H","V","N","A","P")&amp;IF($F107="O","R",IF($G107="O","A",IF($H107="O","F",""))),""),"")</f>
        <v/>
      </c>
      <c r="J107" s="15" t="n"/>
      <c r="K107" s="16" t="inlineStr">
        <is>
          <t>O</t>
        </is>
      </c>
      <c r="L107" s="17" t="inlineStr">
        <is>
          <t>O</t>
        </is>
      </c>
      <c r="M107" s="18" t="n"/>
      <c r="N107" s="19" t="n"/>
      <c r="O107" s="20" t="n"/>
      <c r="P107" s="21">
        <f>IF($I107="","",IF($J107="O","3","")&amp;IF($K107="O","4","")&amp;IF($L107="O","6","")&amp;IF($M107="O","7","")&amp;IF($N107="O","8","")&amp;IF($O107="O","?","")&amp;IF(OR($J107="O",$K107="O",$L107="O",$M107="O",$N107="O",$O107="O"),"-","")&amp;$I107)</f>
        <v/>
      </c>
      <c r="Q107" s="110">
        <f>HYPERLINK("#'마스터_품목'!A283","→ 마스터 R283")</f>
        <v/>
      </c>
      <c r="R107" s="111" t="n">
        <v>283</v>
      </c>
      <c r="S107" s="111" t="inlineStr">
        <is>
          <t>마스터_품목</t>
        </is>
      </c>
    </row>
    <row r="108" ht="48" customHeight="1">
      <c r="A108" s="22" t="inlineStr">
        <is>
          <t>조립</t>
        </is>
      </c>
      <c r="B108" s="22" t="inlineStr">
        <is>
          <t>보드</t>
        </is>
      </c>
      <c r="C108" s="23" t="inlineStr">
        <is>
          <t>ADX4000W</t>
        </is>
      </c>
      <c r="D108" s="23" t="inlineStr">
        <is>
          <t>Carrier BD _ DFI</t>
        </is>
      </c>
      <c r="E108" s="23" t="inlineStr">
        <is>
          <t>Carrier BD (신형 DFI)
[ADX4000W]</t>
        </is>
      </c>
      <c r="F108" s="24" t="inlineStr">
        <is>
          <t>O</t>
        </is>
      </c>
      <c r="G108" s="25" t="n"/>
      <c r="H108" s="26" t="n"/>
      <c r="I108" s="27">
        <f>IFERROR(IF(OR($F108="O",$G108="O",$H108="O"),CHOOSE(MATCH($A108,{"튜브","고압","진공","튜닝","조립","출하"},0),"T","H","V","N","A","P")&amp;IF($F108="O","R",IF($G108="O","A",IF($H108="O","F",""))),""),"")</f>
        <v/>
      </c>
      <c r="J108" s="15" t="n"/>
      <c r="K108" s="16" t="inlineStr">
        <is>
          <t>O</t>
        </is>
      </c>
      <c r="L108" s="17" t="n"/>
      <c r="M108" s="18" t="n"/>
      <c r="N108" s="19" t="n"/>
      <c r="O108" s="20" t="n"/>
      <c r="P108" s="21">
        <f>IF($I108="","",IF($J108="O","3","")&amp;IF($K108="O","4","")&amp;IF($L108="O","6","")&amp;IF($M108="O","7","")&amp;IF($N108="O","8","")&amp;IF($O108="O","?","")&amp;IF(OR($J108="O",$K108="O",$L108="O",$M108="O",$N108="O",$O108="O"),"-","")&amp;$I108)</f>
        <v/>
      </c>
      <c r="Q108" s="110">
        <f>HYPERLINK("#'마스터_품목'!A284","→ 마스터 R284")</f>
        <v/>
      </c>
      <c r="R108" s="111" t="n">
        <v>284</v>
      </c>
      <c r="S108" s="111" t="inlineStr">
        <is>
          <t>마스터_품목</t>
        </is>
      </c>
    </row>
    <row r="109" ht="48" customHeight="1">
      <c r="A109" s="22" t="inlineStr">
        <is>
          <t>조립</t>
        </is>
      </c>
      <c r="B109" s="22" t="inlineStr">
        <is>
          <t>보드</t>
        </is>
      </c>
      <c r="C109" s="23" t="inlineStr">
        <is>
          <t>ADX4000W
ADX6000</t>
        </is>
      </c>
      <c r="D109" s="23" t="inlineStr">
        <is>
          <t>Module BD _ DFI</t>
        </is>
      </c>
      <c r="E109" s="23" t="inlineStr">
        <is>
          <t>Module BD (신형 DFI)
[ADX4000W]</t>
        </is>
      </c>
      <c r="F109" s="24" t="inlineStr">
        <is>
          <t>O</t>
        </is>
      </c>
      <c r="G109" s="25" t="n"/>
      <c r="H109" s="26" t="n"/>
      <c r="I109" s="27">
        <f>IFERROR(IF(OR($F109="O",$G109="O",$H109="O"),CHOOSE(MATCH($A109,{"튜브","고압","진공","튜닝","조립","출하"},0),"T","H","V","N","A","P")&amp;IF($F109="O","R",IF($G109="O","A",IF($H109="O","F",""))),""),"")</f>
        <v/>
      </c>
      <c r="J109" s="15" t="n"/>
      <c r="K109" s="16" t="inlineStr">
        <is>
          <t>O</t>
        </is>
      </c>
      <c r="L109" s="17" t="inlineStr">
        <is>
          <t>O</t>
        </is>
      </c>
      <c r="M109" s="18" t="n"/>
      <c r="N109" s="19" t="n"/>
      <c r="O109" s="20" t="n"/>
      <c r="P109" s="21">
        <f>IF($I109="","",IF($J109="O","3","")&amp;IF($K109="O","4","")&amp;IF($L109="O","6","")&amp;IF($M109="O","7","")&amp;IF($N109="O","8","")&amp;IF($O109="O","?","")&amp;IF(OR($J109="O",$K109="O",$L109="O",$M109="O",$N109="O",$O109="O"),"-","")&amp;$I109)</f>
        <v/>
      </c>
      <c r="Q109" s="110">
        <f>HYPERLINK("#'마스터_품목'!A285","→ 마스터 R285")</f>
        <v/>
      </c>
      <c r="R109" s="111" t="n">
        <v>285</v>
      </c>
      <c r="S109" s="111" t="inlineStr">
        <is>
          <t>마스터_품목</t>
        </is>
      </c>
    </row>
    <row r="110" ht="48" customHeight="1">
      <c r="A110" s="22" t="inlineStr">
        <is>
          <t>조립</t>
        </is>
      </c>
      <c r="B110" s="22" t="inlineStr">
        <is>
          <t>보드</t>
        </is>
      </c>
      <c r="C110" s="23" t="inlineStr">
        <is>
          <t>ADX4000W</t>
        </is>
      </c>
      <c r="D110" s="23" t="inlineStr">
        <is>
          <t>USB 메모리 BD _ KONTRON</t>
        </is>
      </c>
      <c r="E110" s="23" t="inlineStr">
        <is>
          <t>USB 메모리 BD (구형 KONTRON)
[ADX4000W]</t>
        </is>
      </c>
      <c r="F110" s="24" t="inlineStr">
        <is>
          <t>O</t>
        </is>
      </c>
      <c r="G110" s="25" t="n"/>
      <c r="H110" s="26" t="n"/>
      <c r="I110" s="27">
        <f>IFERROR(IF(OR($F110="O",$G110="O",$H110="O"),CHOOSE(MATCH($A110,{"튜브","고압","진공","튜닝","조립","출하"},0),"T","H","V","N","A","P")&amp;IF($F110="O","R",IF($G110="O","A",IF($H110="O","F",""))),""),"")</f>
        <v/>
      </c>
      <c r="J110" s="15" t="n"/>
      <c r="K110" s="16" t="inlineStr">
        <is>
          <t>O</t>
        </is>
      </c>
      <c r="L110" s="17" t="n"/>
      <c r="M110" s="18" t="n"/>
      <c r="N110" s="19" t="n"/>
      <c r="O110" s="20" t="n"/>
      <c r="P110" s="21">
        <f>IF($I110="","",IF($J110="O","3","")&amp;IF($K110="O","4","")&amp;IF($L110="O","6","")&amp;IF($M110="O","7","")&amp;IF($N110="O","8","")&amp;IF($O110="O","?","")&amp;IF(OR($J110="O",$K110="O",$L110="O",$M110="O",$N110="O",$O110="O"),"-","")&amp;$I110)</f>
        <v/>
      </c>
      <c r="Q110" s="110">
        <f>HYPERLINK("#'마스터_품목'!A286","→ 마스터 R286")</f>
        <v/>
      </c>
      <c r="R110" s="111" t="n">
        <v>286</v>
      </c>
      <c r="S110" s="111" t="inlineStr">
        <is>
          <t>마스터_품목</t>
        </is>
      </c>
    </row>
    <row r="111" ht="48" customHeight="1">
      <c r="A111" s="22" t="inlineStr">
        <is>
          <t>조립</t>
        </is>
      </c>
      <c r="B111" s="22" t="inlineStr">
        <is>
          <t>보드</t>
        </is>
      </c>
      <c r="C111" s="23" t="inlineStr">
        <is>
          <t>ADX4000W</t>
        </is>
      </c>
      <c r="D111" s="23" t="inlineStr">
        <is>
          <t>USB 메모리 BD _ DFI</t>
        </is>
      </c>
      <c r="E111" s="23" t="inlineStr">
        <is>
          <t>USB 메모리 BD (신형 DFI)
[ADX4000W]</t>
        </is>
      </c>
      <c r="F111" s="24" t="inlineStr">
        <is>
          <t>O</t>
        </is>
      </c>
      <c r="G111" s="25" t="n"/>
      <c r="H111" s="26" t="n"/>
      <c r="I111" s="27">
        <f>IFERROR(IF(OR($F111="O",$G111="O",$H111="O"),CHOOSE(MATCH($A111,{"튜브","고압","진공","튜닝","조립","출하"},0),"T","H","V","N","A","P")&amp;IF($F111="O","R",IF($G111="O","A",IF($H111="O","F",""))),""),"")</f>
        <v/>
      </c>
      <c r="J111" s="15" t="n"/>
      <c r="K111" s="16" t="inlineStr">
        <is>
          <t>O</t>
        </is>
      </c>
      <c r="L111" s="17" t="n"/>
      <c r="M111" s="18" t="n"/>
      <c r="N111" s="19" t="n"/>
      <c r="O111" s="20" t="n"/>
      <c r="P111" s="21">
        <f>IF($I111="","",IF($J111="O","3","")&amp;IF($K111="O","4","")&amp;IF($L111="O","6","")&amp;IF($M111="O","7","")&amp;IF($N111="O","8","")&amp;IF($O111="O","?","")&amp;IF(OR($J111="O",$K111="O",$L111="O",$M111="O",$N111="O",$O111="O"),"-","")&amp;$I111)</f>
        <v/>
      </c>
      <c r="Q111" s="110">
        <f>HYPERLINK("#'마스터_품목'!A287","→ 마스터 R287")</f>
        <v/>
      </c>
      <c r="R111" s="111" t="n">
        <v>287</v>
      </c>
      <c r="S111" s="111" t="inlineStr">
        <is>
          <t>마스터_품목</t>
        </is>
      </c>
    </row>
    <row r="112" ht="48" customHeight="1">
      <c r="A112" s="22" t="inlineStr">
        <is>
          <t>조립</t>
        </is>
      </c>
      <c r="B112" s="22" t="inlineStr">
        <is>
          <t>보드</t>
        </is>
      </c>
      <c r="C112" s="23" t="inlineStr">
        <is>
          <t>ADX4000W
ADX6000</t>
        </is>
      </c>
      <c r="D112" s="23" t="inlineStr">
        <is>
          <t>큰 페라이트 CAT-1730-0730</t>
        </is>
      </c>
      <c r="E112" s="23" t="inlineStr">
        <is>
          <t>큰 페라이트 (ZCAT-1730-0730)
[ADX4000W]</t>
        </is>
      </c>
      <c r="F112" s="24" t="inlineStr">
        <is>
          <t>O</t>
        </is>
      </c>
      <c r="G112" s="25" t="n"/>
      <c r="H112" s="26" t="n"/>
      <c r="I112" s="27">
        <f>IFERROR(IF(OR($F112="O",$G112="O",$H112="O"),CHOOSE(MATCH($A112,{"튜브","고압","진공","튜닝","조립","출하"},0),"T","H","V","N","A","P")&amp;IF($F112="O","R",IF($G112="O","A",IF($H112="O","F",""))),""),"")</f>
        <v/>
      </c>
      <c r="J112" s="15" t="n"/>
      <c r="K112" s="16" t="inlineStr">
        <is>
          <t>O</t>
        </is>
      </c>
      <c r="L112" s="17" t="n"/>
      <c r="M112" s="18" t="n"/>
      <c r="N112" s="19" t="n"/>
      <c r="O112" s="20" t="n"/>
      <c r="P112" s="21">
        <f>IF($I112="","",IF($J112="O","3","")&amp;IF($K112="O","4","")&amp;IF($L112="O","6","")&amp;IF($M112="O","7","")&amp;IF($N112="O","8","")&amp;IF($O112="O","?","")&amp;IF(OR($J112="O",$K112="O",$L112="O",$M112="O",$N112="O",$O112="O"),"-","")&amp;$I112)</f>
        <v/>
      </c>
      <c r="Q112" s="110">
        <f>HYPERLINK("#'마스터_품목'!A288","→ 마스터 R288")</f>
        <v/>
      </c>
      <c r="R112" s="111" t="n">
        <v>288</v>
      </c>
      <c r="S112" s="111" t="inlineStr">
        <is>
          <t>마스터_품목</t>
        </is>
      </c>
    </row>
    <row r="113" ht="48" customHeight="1">
      <c r="A113" s="22" t="inlineStr">
        <is>
          <t>조립</t>
        </is>
      </c>
      <c r="B113" s="22" t="inlineStr">
        <is>
          <t>보드</t>
        </is>
      </c>
      <c r="C113" s="23" t="inlineStr">
        <is>
          <t>ADX4000W</t>
        </is>
      </c>
      <c r="D113" s="23" t="inlineStr">
        <is>
          <t>작은 페라이트 ZCAT-1325-0530</t>
        </is>
      </c>
      <c r="E113" s="23" t="inlineStr">
        <is>
          <t>작은 페라이트 (ZCAT-1325-0530)
[ADX4000W]</t>
        </is>
      </c>
      <c r="F113" s="24" t="inlineStr">
        <is>
          <t>O</t>
        </is>
      </c>
      <c r="G113" s="25" t="n"/>
      <c r="H113" s="26" t="n"/>
      <c r="I113" s="27">
        <f>IFERROR(IF(OR($F113="O",$G113="O",$H113="O"),CHOOSE(MATCH($A113,{"튜브","고압","진공","튜닝","조립","출하"},0),"T","H","V","N","A","P")&amp;IF($F113="O","R",IF($G113="O","A",IF($H113="O","F",""))),""),"")</f>
        <v/>
      </c>
      <c r="J113" s="15" t="n"/>
      <c r="K113" s="16" t="inlineStr">
        <is>
          <t>O</t>
        </is>
      </c>
      <c r="L113" s="17" t="inlineStr">
        <is>
          <t>O</t>
        </is>
      </c>
      <c r="M113" s="18" t="n"/>
      <c r="N113" s="19" t="n"/>
      <c r="O113" s="20" t="n"/>
      <c r="P113" s="21">
        <f>IF($I113="","",IF($J113="O","3","")&amp;IF($K113="O","4","")&amp;IF($L113="O","6","")&amp;IF($M113="O","7","")&amp;IF($N113="O","8","")&amp;IF($O113="O","?","")&amp;IF(OR($J113="O",$K113="O",$L113="O",$M113="O",$N113="O",$O113="O"),"-","")&amp;$I113)</f>
        <v/>
      </c>
      <c r="Q113" s="110">
        <f>HYPERLINK("#'마스터_품목'!A289","→ 마스터 R289")</f>
        <v/>
      </c>
      <c r="R113" s="111" t="n">
        <v>289</v>
      </c>
      <c r="S113" s="111" t="inlineStr">
        <is>
          <t>마스터_품목</t>
        </is>
      </c>
    </row>
    <row r="114" ht="48" customHeight="1">
      <c r="A114" s="22" t="inlineStr">
        <is>
          <t>조립</t>
        </is>
      </c>
      <c r="B114" s="22" t="inlineStr">
        <is>
          <t>하네스</t>
        </is>
      </c>
      <c r="C114" s="23" t="inlineStr">
        <is>
          <t>ADX4000W
ADX6000</t>
        </is>
      </c>
      <c r="D114" s="23" t="inlineStr">
        <is>
          <t>LCD Wire (LVDS) -30핀</t>
        </is>
      </c>
      <c r="E114" s="23" t="inlineStr">
        <is>
          <t>LCD Wire (LVDS) (30핀)
[ADX4000W]</t>
        </is>
      </c>
      <c r="F114" s="24" t="inlineStr">
        <is>
          <t>O</t>
        </is>
      </c>
      <c r="G114" s="25" t="n"/>
      <c r="H114" s="26" t="n"/>
      <c r="I114" s="27">
        <f>IFERROR(IF(OR($F114="O",$G114="O",$H114="O"),CHOOSE(MATCH($A114,{"튜브","고압","진공","튜닝","조립","출하"},0),"T","H","V","N","A","P")&amp;IF($F114="O","R",IF($G114="O","A",IF($H114="O","F",""))),""),"")</f>
        <v/>
      </c>
      <c r="J114" s="15" t="n"/>
      <c r="K114" s="16" t="inlineStr">
        <is>
          <t>O</t>
        </is>
      </c>
      <c r="L114" s="17" t="inlineStr">
        <is>
          <t>O</t>
        </is>
      </c>
      <c r="M114" s="18" t="n"/>
      <c r="N114" s="19" t="n"/>
      <c r="O114" s="20" t="n"/>
      <c r="P114" s="21">
        <f>IF($I114="","",IF($J114="O","3","")&amp;IF($K114="O","4","")&amp;IF($L114="O","6","")&amp;IF($M114="O","7","")&amp;IF($N114="O","8","")&amp;IF($O114="O","?","")&amp;IF(OR($J114="O",$K114="O",$L114="O",$M114="O",$N114="O",$O114="O"),"-","")&amp;$I114)</f>
        <v/>
      </c>
      <c r="Q114" s="110">
        <f>HYPERLINK("#'마스터_품목'!A290","→ 마스터 R290")</f>
        <v/>
      </c>
      <c r="R114" s="111" t="n">
        <v>290</v>
      </c>
      <c r="S114" s="111" t="inlineStr">
        <is>
          <t>마스터_품목</t>
        </is>
      </c>
    </row>
    <row r="115" ht="48" customHeight="1">
      <c r="A115" s="22" t="inlineStr">
        <is>
          <t>조립</t>
        </is>
      </c>
      <c r="B115" s="22" t="inlineStr">
        <is>
          <t>하네스</t>
        </is>
      </c>
      <c r="C115" s="23" t="inlineStr">
        <is>
          <t>ADX4000W</t>
        </is>
      </c>
      <c r="D115" s="23" t="inlineStr">
        <is>
          <t>전원 및 EXP Wire  -8핀</t>
        </is>
      </c>
      <c r="E115" s="23" t="inlineStr">
        <is>
          <t>전원 및 EXP Wire (8핀)
[ADX4000W]</t>
        </is>
      </c>
      <c r="F115" s="24" t="inlineStr">
        <is>
          <t>O</t>
        </is>
      </c>
      <c r="G115" s="25" t="n"/>
      <c r="H115" s="26" t="n"/>
      <c r="I115" s="27">
        <f>IFERROR(IF(OR($F115="O",$G115="O",$H115="O"),CHOOSE(MATCH($A115,{"튜브","고압","진공","튜닝","조립","출하"},0),"T","H","V","N","A","P")&amp;IF($F115="O","R",IF($G115="O","A",IF($H115="O","F",""))),""),"")</f>
        <v/>
      </c>
      <c r="J115" s="15" t="n"/>
      <c r="K115" s="16" t="inlineStr">
        <is>
          <t>O</t>
        </is>
      </c>
      <c r="L115" s="17" t="n"/>
      <c r="M115" s="18" t="n"/>
      <c r="N115" s="19" t="n"/>
      <c r="O115" s="20" t="n"/>
      <c r="P115" s="21">
        <f>IF($I115="","",IF($J115="O","3","")&amp;IF($K115="O","4","")&amp;IF($L115="O","6","")&amp;IF($M115="O","7","")&amp;IF($N115="O","8","")&amp;IF($O115="O","?","")&amp;IF(OR($J115="O",$K115="O",$L115="O",$M115="O",$N115="O",$O115="O"),"-","")&amp;$I115)</f>
        <v/>
      </c>
      <c r="Q115" s="110">
        <f>HYPERLINK("#'마스터_품목'!A291","→ 마스터 R291")</f>
        <v/>
      </c>
      <c r="R115" s="111" t="n">
        <v>291</v>
      </c>
      <c r="S115" s="111" t="inlineStr">
        <is>
          <t>마스터_품목</t>
        </is>
      </c>
    </row>
    <row r="116" ht="48" customHeight="1">
      <c r="A116" s="22" t="inlineStr">
        <is>
          <t>조립</t>
        </is>
      </c>
      <c r="B116" s="22" t="inlineStr">
        <is>
          <t>하네스</t>
        </is>
      </c>
      <c r="C116" s="23" t="inlineStr">
        <is>
          <t>ADX4000W</t>
        </is>
      </c>
      <c r="D116" s="23" t="inlineStr">
        <is>
          <t>NAVIGATION KEY -6핀</t>
        </is>
      </c>
      <c r="E116" s="23" t="inlineStr">
        <is>
          <t>NAVIGATION KEY (6핀)
[ADX4000W]</t>
        </is>
      </c>
      <c r="F116" s="24" t="inlineStr">
        <is>
          <t>O</t>
        </is>
      </c>
      <c r="G116" s="25" t="n"/>
      <c r="H116" s="26" t="n"/>
      <c r="I116" s="27">
        <f>IFERROR(IF(OR($F116="O",$G116="O",$H116="O"),CHOOSE(MATCH($A116,{"튜브","고압","진공","튜닝","조립","출하"},0),"T","H","V","N","A","P")&amp;IF($F116="O","R",IF($G116="O","A",IF($H116="O","F",""))),""),"")</f>
        <v/>
      </c>
      <c r="J116" s="15" t="n"/>
      <c r="K116" s="16" t="inlineStr">
        <is>
          <t>O</t>
        </is>
      </c>
      <c r="L116" s="17" t="n"/>
      <c r="M116" s="18" t="n"/>
      <c r="N116" s="19" t="n"/>
      <c r="O116" s="20" t="n"/>
      <c r="P116" s="21">
        <f>IF($I116="","",IF($J116="O","3","")&amp;IF($K116="O","4","")&amp;IF($L116="O","6","")&amp;IF($M116="O","7","")&amp;IF($N116="O","8","")&amp;IF($O116="O","?","")&amp;IF(OR($J116="O",$K116="O",$L116="O",$M116="O",$N116="O",$O116="O"),"-","")&amp;$I116)</f>
        <v/>
      </c>
      <c r="Q116" s="110">
        <f>HYPERLINK("#'마스터_품목'!A292","→ 마스터 R292")</f>
        <v/>
      </c>
      <c r="R116" s="111" t="n">
        <v>292</v>
      </c>
      <c r="S116" s="111" t="inlineStr">
        <is>
          <t>마스터_품목</t>
        </is>
      </c>
    </row>
    <row r="117" ht="48" customHeight="1">
      <c r="A117" s="22" t="inlineStr">
        <is>
          <t>조립</t>
        </is>
      </c>
      <c r="B117" s="22" t="inlineStr">
        <is>
          <t>하네스</t>
        </is>
      </c>
      <c r="C117" s="23" t="inlineStr">
        <is>
          <t>ADX4000W</t>
        </is>
      </c>
      <c r="D117" s="23" t="inlineStr">
        <is>
          <t>리모콘 및 관전류 -4핀</t>
        </is>
      </c>
      <c r="E117" s="23" t="inlineStr">
        <is>
          <t>리모콘 및 관전류 (4핀)
[ADX4000W]</t>
        </is>
      </c>
      <c r="F117" s="24" t="inlineStr">
        <is>
          <t>O</t>
        </is>
      </c>
      <c r="G117" s="25" t="n"/>
      <c r="H117" s="26" t="n"/>
      <c r="I117" s="27">
        <f>IFERROR(IF(OR($F117="O",$G117="O",$H117="O"),CHOOSE(MATCH($A117,{"튜브","고압","진공","튜닝","조립","출하"},0),"T","H","V","N","A","P")&amp;IF($F117="O","R",IF($G117="O","A",IF($H117="O","F",""))),""),"")</f>
        <v/>
      </c>
      <c r="J117" s="15" t="n"/>
      <c r="K117" s="16" t="inlineStr">
        <is>
          <t>O</t>
        </is>
      </c>
      <c r="L117" s="17" t="n"/>
      <c r="M117" s="18" t="n"/>
      <c r="N117" s="19" t="n"/>
      <c r="O117" s="20" t="n"/>
      <c r="P117" s="21">
        <f>IF($I117="","",IF($J117="O","3","")&amp;IF($K117="O","4","")&amp;IF($L117="O","6","")&amp;IF($M117="O","7","")&amp;IF($N117="O","8","")&amp;IF($O117="O","?","")&amp;IF(OR($J117="O",$K117="O",$L117="O",$M117="O",$N117="O",$O117="O"),"-","")&amp;$I117)</f>
        <v/>
      </c>
      <c r="Q117" s="110">
        <f>HYPERLINK("#'마스터_품목'!A293","→ 마스터 R293")</f>
        <v/>
      </c>
      <c r="R117" s="111" t="n">
        <v>293</v>
      </c>
      <c r="S117" s="111" t="inlineStr">
        <is>
          <t>마스터_품목</t>
        </is>
      </c>
    </row>
    <row r="118" ht="48" customHeight="1">
      <c r="A118" s="22" t="inlineStr">
        <is>
          <t>조립</t>
        </is>
      </c>
      <c r="B118" s="22" t="inlineStr">
        <is>
          <t>하네스</t>
        </is>
      </c>
      <c r="C118" s="23" t="inlineStr">
        <is>
          <t>ADX4000W</t>
        </is>
      </c>
      <c r="D118" s="23" t="inlineStr">
        <is>
          <t>RS422 통신 및 PC 전원 on/off  -7핀</t>
        </is>
      </c>
      <c r="E118" s="23" t="inlineStr">
        <is>
          <t>RS422 통신 및 PC 전원 on/off (7핀)
[ADX4000W]</t>
        </is>
      </c>
      <c r="F118" s="24" t="inlineStr">
        <is>
          <t>O</t>
        </is>
      </c>
      <c r="G118" s="25" t="n"/>
      <c r="H118" s="26" t="n"/>
      <c r="I118" s="27">
        <f>IFERROR(IF(OR($F118="O",$G118="O",$H118="O"),CHOOSE(MATCH($A118,{"튜브","고압","진공","튜닝","조립","출하"},0),"T","H","V","N","A","P")&amp;IF($F118="O","R",IF($G118="O","A",IF($H118="O","F",""))),""),"")</f>
        <v/>
      </c>
      <c r="J118" s="15" t="n"/>
      <c r="K118" s="16" t="inlineStr">
        <is>
          <t>O</t>
        </is>
      </c>
      <c r="L118" s="17" t="n"/>
      <c r="M118" s="18" t="n"/>
      <c r="N118" s="19" t="n"/>
      <c r="O118" s="20" t="n"/>
      <c r="P118" s="21">
        <f>IF($I118="","",IF($J118="O","3","")&amp;IF($K118="O","4","")&amp;IF($L118="O","6","")&amp;IF($M118="O","7","")&amp;IF($N118="O","8","")&amp;IF($O118="O","?","")&amp;IF(OR($J118="O",$K118="O",$L118="O",$M118="O",$N118="O",$O118="O"),"-","")&amp;$I118)</f>
        <v/>
      </c>
      <c r="Q118" s="110">
        <f>HYPERLINK("#'마스터_품목'!A294","→ 마스터 R294")</f>
        <v/>
      </c>
      <c r="R118" s="111" t="n">
        <v>294</v>
      </c>
      <c r="S118" s="111" t="inlineStr">
        <is>
          <t>마스터_품목</t>
        </is>
      </c>
    </row>
    <row r="119" ht="48" customHeight="1">
      <c r="A119" s="22" t="inlineStr">
        <is>
          <t>조립</t>
        </is>
      </c>
      <c r="B119" s="22" t="inlineStr">
        <is>
          <t>하네스</t>
        </is>
      </c>
      <c r="C119" s="23" t="inlineStr">
        <is>
          <t>ADX4000W
ADX6000</t>
        </is>
      </c>
      <c r="D119" s="23" t="inlineStr">
        <is>
          <t>Embedded PC 전원 -2핀 (케리어+CTR B/D 연결)</t>
        </is>
      </c>
      <c r="E119" s="23" t="inlineStr">
        <is>
          <t>Embedded PC 전원 (2핀) (케리어+CTR B/D 연결)
[ADX4000W]</t>
        </is>
      </c>
      <c r="F119" s="24" t="inlineStr">
        <is>
          <t>O</t>
        </is>
      </c>
      <c r="G119" s="25" t="n"/>
      <c r="H119" s="26" t="n"/>
      <c r="I119" s="27">
        <f>IFERROR(IF(OR($F119="O",$G119="O",$H119="O"),CHOOSE(MATCH($A119,{"튜브","고압","진공","튜닝","조립","출하"},0),"T","H","V","N","A","P")&amp;IF($F119="O","R",IF($G119="O","A",IF($H119="O","F",""))),""),"")</f>
        <v/>
      </c>
      <c r="J119" s="15" t="n"/>
      <c r="K119" s="16" t="inlineStr">
        <is>
          <t>O</t>
        </is>
      </c>
      <c r="L119" s="17" t="n"/>
      <c r="M119" s="18" t="n"/>
      <c r="N119" s="19" t="n"/>
      <c r="O119" s="20" t="n"/>
      <c r="P119" s="21">
        <f>IF($I119="","",IF($J119="O","3","")&amp;IF($K119="O","4","")&amp;IF($L119="O","6","")&amp;IF($M119="O","7","")&amp;IF($N119="O","8","")&amp;IF($O119="O","?","")&amp;IF(OR($J119="O",$K119="O",$L119="O",$M119="O",$N119="O",$O119="O"),"-","")&amp;$I119)</f>
        <v/>
      </c>
      <c r="Q119" s="110">
        <f>HYPERLINK("#'마스터_품목'!A295","→ 마스터 R295")</f>
        <v/>
      </c>
      <c r="R119" s="111" t="n">
        <v>295</v>
      </c>
      <c r="S119" s="111" t="inlineStr">
        <is>
          <t>마스터_품목</t>
        </is>
      </c>
    </row>
    <row r="120" ht="48" customHeight="1">
      <c r="A120" s="22" t="inlineStr">
        <is>
          <t>조립</t>
        </is>
      </c>
      <c r="B120" s="22" t="inlineStr">
        <is>
          <t>하네스</t>
        </is>
      </c>
      <c r="C120" s="23" t="inlineStr">
        <is>
          <t>ADX4000W
COCOON
ADX6000 공용</t>
        </is>
      </c>
      <c r="D120" s="23" t="inlineStr">
        <is>
          <t>12505HS-02+SORDER 200mm 스피커 2핀 
(하네스 4-1번)</t>
        </is>
      </c>
      <c r="E120" s="23" t="inlineStr">
        <is>
          <t>스피커 2핀 (12505HS-02+SORDER 200mm)
[ADX4000W, ADX6000]</t>
        </is>
      </c>
      <c r="F120" s="24" t="inlineStr">
        <is>
          <t>O</t>
        </is>
      </c>
      <c r="G120" s="25" t="n"/>
      <c r="H120" s="26" t="n"/>
      <c r="I120" s="27">
        <f>IFERROR(IF(OR($F120="O",$G120="O",$H120="O"),CHOOSE(MATCH($A120,{"튜브","고압","진공","튜닝","조립","출하"},0),"T","H","V","N","A","P")&amp;IF($F120="O","R",IF($G120="O","A",IF($H120="O","F",""))),""),"")</f>
        <v/>
      </c>
      <c r="J120" s="15" t="n"/>
      <c r="K120" s="16" t="inlineStr">
        <is>
          <t>O</t>
        </is>
      </c>
      <c r="L120" s="17" t="inlineStr">
        <is>
          <t>O</t>
        </is>
      </c>
      <c r="M120" s="18" t="n"/>
      <c r="N120" s="19" t="n"/>
      <c r="O120" s="20" t="n"/>
      <c r="P120" s="21">
        <f>IF($I120="","",IF($J120="O","3","")&amp;IF($K120="O","4","")&amp;IF($L120="O","6","")&amp;IF($M120="O","7","")&amp;IF($N120="O","8","")&amp;IF($O120="O","?","")&amp;IF(OR($J120="O",$K120="O",$L120="O",$M120="O",$N120="O",$O120="O"),"-","")&amp;$I120)</f>
        <v/>
      </c>
      <c r="Q120" s="110">
        <f>HYPERLINK("#'마스터_품목'!A296","→ 마스터 R296")</f>
        <v/>
      </c>
      <c r="R120" s="111" t="n">
        <v>296</v>
      </c>
      <c r="S120" s="111" t="inlineStr">
        <is>
          <t>마스터_품목</t>
        </is>
      </c>
    </row>
    <row r="121" ht="48" customHeight="1">
      <c r="A121" s="22" t="inlineStr">
        <is>
          <t>조립</t>
        </is>
      </c>
      <c r="B121" s="22" t="inlineStr">
        <is>
          <t>하네스</t>
        </is>
      </c>
      <c r="C121" s="23" t="inlineStr">
        <is>
          <t>ADX4000W</t>
        </is>
      </c>
      <c r="D121" s="23" t="inlineStr">
        <is>
          <t>사파리용 NAVI FFC [UL2896-0.5mm*16P*80mm*C]</t>
        </is>
      </c>
      <c r="E121" s="23" t="n"/>
      <c r="F121" s="24" t="inlineStr">
        <is>
          <t>O</t>
        </is>
      </c>
      <c r="G121" s="25" t="n"/>
      <c r="H121" s="26" t="n"/>
      <c r="I121" s="27">
        <f>IFERROR(IF(OR($F121="O",$G121="O",$H121="O"),CHOOSE(MATCH($A121,{"튜브","고압","진공","튜닝","조립","출하"},0),"T","H","V","N","A","P")&amp;IF($F121="O","R",IF($G121="O","A",IF($H121="O","F",""))),""),"")</f>
        <v/>
      </c>
      <c r="J121" s="15" t="n"/>
      <c r="K121" s="16" t="inlineStr">
        <is>
          <t>O</t>
        </is>
      </c>
      <c r="L121" s="17" t="inlineStr">
        <is>
          <t>O</t>
        </is>
      </c>
      <c r="M121" s="18" t="n"/>
      <c r="N121" s="19" t="n"/>
      <c r="O121" s="20" t="n"/>
      <c r="P121" s="21">
        <f>IF($I121="","",IF($J121="O","3","")&amp;IF($K121="O","4","")&amp;IF($L121="O","6","")&amp;IF($M121="O","7","")&amp;IF($N121="O","8","")&amp;IF($O121="O","?","")&amp;IF(OR($J121="O",$K121="O",$L121="O",$M121="O",$N121="O",$O121="O"),"-","")&amp;$I121)</f>
        <v/>
      </c>
      <c r="Q121" s="110">
        <f>HYPERLINK("#'마스터_품목'!A297","→ 마스터 R297")</f>
        <v/>
      </c>
      <c r="R121" s="111" t="n">
        <v>297</v>
      </c>
      <c r="S121" s="111" t="inlineStr">
        <is>
          <t>마스터_품목</t>
        </is>
      </c>
    </row>
    <row r="122" ht="48" customHeight="1">
      <c r="A122" s="22" t="inlineStr">
        <is>
          <t>조립</t>
        </is>
      </c>
      <c r="B122" s="22" t="inlineStr">
        <is>
          <t>하네스</t>
        </is>
      </c>
      <c r="C122" s="23" t="inlineStr">
        <is>
          <t>ADX4000W</t>
        </is>
      </c>
      <c r="D122" s="23" t="inlineStr">
        <is>
          <t>USB Wire -4핀 하네스</t>
        </is>
      </c>
      <c r="E122" s="23" t="inlineStr">
        <is>
          <t>USB Wire (4핀)
[ADX4000W]</t>
        </is>
      </c>
      <c r="F122" s="24" t="inlineStr">
        <is>
          <t>O</t>
        </is>
      </c>
      <c r="G122" s="25" t="n"/>
      <c r="H122" s="26" t="n"/>
      <c r="I122" s="27">
        <f>IFERROR(IF(OR($F122="O",$G122="O",$H122="O"),CHOOSE(MATCH($A122,{"튜브","고압","진공","튜닝","조립","출하"},0),"T","H","V","N","A","P")&amp;IF($F122="O","R",IF($G122="O","A",IF($H122="O","F",""))),""),"")</f>
        <v/>
      </c>
      <c r="J122" s="15" t="n"/>
      <c r="K122" s="16" t="inlineStr">
        <is>
          <t>O</t>
        </is>
      </c>
      <c r="L122" s="17" t="n"/>
      <c r="M122" s="18" t="n"/>
      <c r="N122" s="19" t="n"/>
      <c r="O122" s="20" t="n"/>
      <c r="P122" s="21">
        <f>IF($I122="","",IF($J122="O","3","")&amp;IF($K122="O","4","")&amp;IF($L122="O","6","")&amp;IF($M122="O","7","")&amp;IF($N122="O","8","")&amp;IF($O122="O","?","")&amp;IF(OR($J122="O",$K122="O",$L122="O",$M122="O",$N122="O",$O122="O"),"-","")&amp;$I122)</f>
        <v/>
      </c>
      <c r="Q122" s="110">
        <f>HYPERLINK("#'마스터_품목'!A298","→ 마스터 R298")</f>
        <v/>
      </c>
      <c r="R122" s="111" t="n">
        <v>298</v>
      </c>
      <c r="S122" s="111" t="inlineStr">
        <is>
          <t>마스터_품목</t>
        </is>
      </c>
    </row>
    <row r="123" ht="48" customHeight="1">
      <c r="A123" s="22" t="inlineStr">
        <is>
          <t>조립</t>
        </is>
      </c>
      <c r="B123" s="22" t="inlineStr">
        <is>
          <t>사출
ASS'Y</t>
        </is>
      </c>
      <c r="C123" s="23" t="inlineStr">
        <is>
          <t>ADX4000W</t>
        </is>
      </c>
      <c r="D123" s="23" t="inlineStr">
        <is>
          <t>TOP BODY 사출 ASS'Y</t>
        </is>
      </c>
      <c r="E123" s="23" t="n"/>
      <c r="F123" s="24" t="n"/>
      <c r="G123" s="25" t="inlineStr">
        <is>
          <t>O</t>
        </is>
      </c>
      <c r="H123" s="26" t="n"/>
      <c r="I123" s="27">
        <f>IFERROR(IF(OR($F123="O",$G123="O",$H123="O"),CHOOSE(MATCH($A123,{"튜브","고압","진공","튜닝","조립","출하"},0),"T","H","V","N","A","P")&amp;IF($F123="O","R",IF($G123="O","A",IF($H123="O","F",""))),""),"")</f>
        <v/>
      </c>
      <c r="J123" s="15" t="n"/>
      <c r="K123" s="16" t="inlineStr">
        <is>
          <t>O</t>
        </is>
      </c>
      <c r="L123" s="17" t="n"/>
      <c r="M123" s="18" t="n"/>
      <c r="N123" s="19" t="n"/>
      <c r="O123" s="20" t="n"/>
      <c r="P123" s="21">
        <f>IF($I123="","",IF($J123="O","3","")&amp;IF($K123="O","4","")&amp;IF($L123="O","6","")&amp;IF($M123="O","7","")&amp;IF($N123="O","8","")&amp;IF($O123="O","?","")&amp;IF(OR($J123="O",$K123="O",$L123="O",$M123="O",$N123="O",$O123="O"),"-","")&amp;$I123)</f>
        <v/>
      </c>
      <c r="Q123" s="110">
        <f>HYPERLINK("#'마스터_품목'!A299","→ 마스터 R299")</f>
        <v/>
      </c>
      <c r="R123" s="111" t="n">
        <v>299</v>
      </c>
      <c r="S123" s="111" t="inlineStr">
        <is>
          <t>마스터_품목</t>
        </is>
      </c>
    </row>
    <row r="124" ht="48" customHeight="1">
      <c r="A124" s="22" t="inlineStr">
        <is>
          <t>조립</t>
        </is>
      </c>
      <c r="B124" s="22" t="inlineStr">
        <is>
          <t>사출
ASS'Y</t>
        </is>
      </c>
      <c r="C124" s="23" t="inlineStr">
        <is>
          <t>ADX4000W</t>
        </is>
      </c>
      <c r="D124" s="23" t="inlineStr">
        <is>
          <t>BOTTOM BODY 사출 ASS'Y</t>
        </is>
      </c>
      <c r="E124" s="23" t="n"/>
      <c r="F124" s="24" t="n"/>
      <c r="G124" s="25" t="inlineStr">
        <is>
          <t>O</t>
        </is>
      </c>
      <c r="H124" s="26" t="n"/>
      <c r="I124" s="27">
        <f>IFERROR(IF(OR($F124="O",$G124="O",$H124="O"),CHOOSE(MATCH($A124,{"튜브","고압","진공","튜닝","조립","출하"},0),"T","H","V","N","A","P")&amp;IF($F124="O","R",IF($G124="O","A",IF($H124="O","F",""))),""),"")</f>
        <v/>
      </c>
      <c r="J124" s="15" t="n"/>
      <c r="K124" s="16" t="inlineStr">
        <is>
          <t>O</t>
        </is>
      </c>
      <c r="L124" s="17" t="n"/>
      <c r="M124" s="18" t="n"/>
      <c r="N124" s="19" t="n"/>
      <c r="O124" s="20" t="n"/>
      <c r="P124" s="21">
        <f>IF($I124="","",IF($J124="O","3","")&amp;IF($K124="O","4","")&amp;IF($L124="O","6","")&amp;IF($M124="O","7","")&amp;IF($N124="O","8","")&amp;IF($O124="O","?","")&amp;IF(OR($J124="O",$K124="O",$L124="O",$M124="O",$N124="O",$O124="O"),"-","")&amp;$I124)</f>
        <v/>
      </c>
      <c r="Q124" s="110">
        <f>HYPERLINK("#'마스터_품목'!A300","→ 마스터 R300")</f>
        <v/>
      </c>
      <c r="R124" s="111" t="n">
        <v>300</v>
      </c>
      <c r="S124" s="111" t="inlineStr">
        <is>
          <t>마스터_품목</t>
        </is>
      </c>
    </row>
    <row r="125" ht="48" customHeight="1">
      <c r="A125" s="22" t="inlineStr">
        <is>
          <t>조립</t>
        </is>
      </c>
      <c r="B125" s="22" t="inlineStr">
        <is>
          <t>사출
ASS'Y</t>
        </is>
      </c>
      <c r="C125" s="23" t="inlineStr">
        <is>
          <t>ADX4000W</t>
        </is>
      </c>
      <c r="D125" s="23" t="inlineStr">
        <is>
          <t>기본 CONE ASS'Y</t>
        </is>
      </c>
      <c r="E125" s="23" t="n"/>
      <c r="F125" s="24" t="n"/>
      <c r="G125" s="25" t="inlineStr">
        <is>
          <t>O</t>
        </is>
      </c>
      <c r="H125" s="26" t="n"/>
      <c r="I125" s="27">
        <f>IFERROR(IF(OR($F125="O",$G125="O",$H125="O"),CHOOSE(MATCH($A125,{"튜브","고압","진공","튜닝","조립","출하"},0),"T","H","V","N","A","P")&amp;IF($F125="O","R",IF($G125="O","A",IF($H125="O","F",""))),""),"")</f>
        <v/>
      </c>
      <c r="J125" s="15" t="n"/>
      <c r="K125" s="16" t="inlineStr">
        <is>
          <t>O</t>
        </is>
      </c>
      <c r="L125" s="17" t="n"/>
      <c r="M125" s="18" t="n"/>
      <c r="N125" s="19" t="n"/>
      <c r="O125" s="20" t="n"/>
      <c r="P125" s="21">
        <f>IF($I125="","",IF($J125="O","3","")&amp;IF($K125="O","4","")&amp;IF($L125="O","6","")&amp;IF($M125="O","7","")&amp;IF($N125="O","8","")&amp;IF($O125="O","?","")&amp;IF(OR($J125="O",$K125="O",$L125="O",$M125="O",$N125="O",$O125="O"),"-","")&amp;$I125)</f>
        <v/>
      </c>
      <c r="Q125" s="110">
        <f>HYPERLINK("#'마스터_품목'!A301","→ 마스터 R301")</f>
        <v/>
      </c>
      <c r="R125" s="111" t="n">
        <v>301</v>
      </c>
      <c r="S125" s="111" t="inlineStr">
        <is>
          <t>마스터_품목</t>
        </is>
      </c>
    </row>
    <row r="126" ht="48" customHeight="1">
      <c r="A126" s="22" t="inlineStr">
        <is>
          <t>조립</t>
        </is>
      </c>
      <c r="B126" s="22" t="inlineStr">
        <is>
          <t>사출
ASS'Y</t>
        </is>
      </c>
      <c r="C126" s="23" t="inlineStr">
        <is>
          <t>ADX4000W</t>
        </is>
      </c>
      <c r="D126" s="23" t="inlineStr">
        <is>
          <t>15cm CONE ASS'Y</t>
        </is>
      </c>
      <c r="E126" s="23" t="n"/>
      <c r="F126" s="24" t="n"/>
      <c r="G126" s="25" t="inlineStr">
        <is>
          <t>O</t>
        </is>
      </c>
      <c r="H126" s="26" t="n"/>
      <c r="I126" s="27">
        <f>IFERROR(IF(OR($F126="O",$G126="O",$H126="O"),CHOOSE(MATCH($A126,{"튜브","고압","진공","튜닝","조립","출하"},0),"T","H","V","N","A","P")&amp;IF($F126="O","R",IF($G126="O","A",IF($H126="O","F",""))),""),"")</f>
        <v/>
      </c>
      <c r="J126" s="15" t="n"/>
      <c r="K126" s="16" t="inlineStr">
        <is>
          <t>O</t>
        </is>
      </c>
      <c r="L126" s="17" t="n"/>
      <c r="M126" s="18" t="n"/>
      <c r="N126" s="19" t="n"/>
      <c r="O126" s="20" t="n"/>
      <c r="P126" s="21">
        <f>IF($I126="","",IF($J126="O","3","")&amp;IF($K126="O","4","")&amp;IF($L126="O","6","")&amp;IF($M126="O","7","")&amp;IF($N126="O","8","")&amp;IF($O126="O","?","")&amp;IF(OR($J126="O",$K126="O",$L126="O",$M126="O",$N126="O",$O126="O"),"-","")&amp;$I126)</f>
        <v/>
      </c>
      <c r="Q126" s="110">
        <f>HYPERLINK("#'마스터_품목'!A302","→ 마스터 R302")</f>
        <v/>
      </c>
      <c r="R126" s="111" t="n">
        <v>302</v>
      </c>
      <c r="S126" s="111" t="inlineStr">
        <is>
          <t>마스터_품목</t>
        </is>
      </c>
    </row>
    <row r="127" ht="48" customHeight="1">
      <c r="A127" s="22" t="inlineStr">
        <is>
          <t>조립</t>
        </is>
      </c>
      <c r="B127" s="22" t="inlineStr">
        <is>
          <t>사출
ASS'Y</t>
        </is>
      </c>
      <c r="C127" s="23" t="inlineStr">
        <is>
          <t>ADX4000W</t>
        </is>
      </c>
      <c r="D127" s="23" t="inlineStr">
        <is>
          <t>20cm CONE ASS'Y</t>
        </is>
      </c>
      <c r="E127" s="23" t="n"/>
      <c r="F127" s="24" t="n"/>
      <c r="G127" s="25" t="inlineStr">
        <is>
          <t>O</t>
        </is>
      </c>
      <c r="H127" s="26" t="n"/>
      <c r="I127" s="27">
        <f>IFERROR(IF(OR($F127="O",$G127="O",$H127="O"),CHOOSE(MATCH($A127,{"튜브","고압","진공","튜닝","조립","출하"},0),"T","H","V","N","A","P")&amp;IF($F127="O","R",IF($G127="O","A",IF($H127="O","F",""))),""),"")</f>
        <v/>
      </c>
      <c r="J127" s="15" t="n"/>
      <c r="K127" s="16" t="inlineStr">
        <is>
          <t>O</t>
        </is>
      </c>
      <c r="L127" s="17" t="n"/>
      <c r="M127" s="18" t="n"/>
      <c r="N127" s="19" t="n"/>
      <c r="O127" s="20" t="n"/>
      <c r="P127" s="21">
        <f>IF($I127="","",IF($J127="O","3","")&amp;IF($K127="O","4","")&amp;IF($L127="O","6","")&amp;IF($M127="O","7","")&amp;IF($N127="O","8","")&amp;IF($O127="O","?","")&amp;IF(OR($J127="O",$K127="O",$L127="O",$M127="O",$N127="O",$O127="O"),"-","")&amp;$I127)</f>
        <v/>
      </c>
      <c r="Q127" s="110">
        <f>HYPERLINK("#'마스터_품목'!A303","→ 마스터 R303")</f>
        <v/>
      </c>
      <c r="R127" s="111" t="n">
        <v>303</v>
      </c>
      <c r="S127" s="111" t="inlineStr">
        <is>
          <t>마스터_품목</t>
        </is>
      </c>
    </row>
    <row r="128" ht="48" customHeight="1">
      <c r="A128" s="22" t="inlineStr">
        <is>
          <t>조립</t>
        </is>
      </c>
      <c r="B128" s="22" t="inlineStr">
        <is>
          <t>모듈 ASS'Y</t>
        </is>
      </c>
      <c r="C128" s="23" t="inlineStr">
        <is>
          <t>ADX4000W</t>
        </is>
      </c>
      <c r="D128" s="23" t="inlineStr">
        <is>
          <t>4.8" LCD  BD  ASS'Y</t>
        </is>
      </c>
      <c r="E128" s="23" t="n"/>
      <c r="F128" s="24" t="n"/>
      <c r="G128" s="25" t="inlineStr">
        <is>
          <t>O</t>
        </is>
      </c>
      <c r="H128" s="26" t="n"/>
      <c r="I128" s="27">
        <f>IFERROR(IF(OR($F128="O",$G128="O",$H128="O"),CHOOSE(MATCH($A128,{"튜브","고압","진공","튜닝","조립","출하"},0),"T","H","V","N","A","P")&amp;IF($F128="O","R",IF($G128="O","A",IF($H128="O","F",""))),""),"")</f>
        <v/>
      </c>
      <c r="J128" s="15" t="n"/>
      <c r="K128" s="16" t="inlineStr">
        <is>
          <t>O</t>
        </is>
      </c>
      <c r="L128" s="17" t="n"/>
      <c r="M128" s="18" t="n"/>
      <c r="N128" s="19" t="n"/>
      <c r="O128" s="20" t="n"/>
      <c r="P128" s="21">
        <f>IF($I128="","",IF($J128="O","3","")&amp;IF($K128="O","4","")&amp;IF($L128="O","6","")&amp;IF($M128="O","7","")&amp;IF($N128="O","8","")&amp;IF($O128="O","?","")&amp;IF(OR($J128="O",$K128="O",$L128="O",$M128="O",$N128="O",$O128="O"),"-","")&amp;$I128)</f>
        <v/>
      </c>
      <c r="Q128" s="110">
        <f>HYPERLINK("#'마스터_품목'!A304","→ 마스터 R304")</f>
        <v/>
      </c>
      <c r="R128" s="111" t="n">
        <v>304</v>
      </c>
      <c r="S128" s="111" t="inlineStr">
        <is>
          <t>마스터_품목</t>
        </is>
      </c>
    </row>
    <row r="129" ht="48" customHeight="1">
      <c r="A129" s="22" t="inlineStr">
        <is>
          <t>조립</t>
        </is>
      </c>
      <c r="B129" s="22" t="inlineStr">
        <is>
          <t>모듈 ASS'Y</t>
        </is>
      </c>
      <c r="C129" s="23" t="inlineStr">
        <is>
          <t>ADX4000W</t>
        </is>
      </c>
      <c r="D129" s="23" t="inlineStr">
        <is>
          <t>KONTRON_B/D ASS′Y
 (carrier B/D+Module B/D+방열팬+USB B/D)</t>
        </is>
      </c>
      <c r="E129" s="23" t="n"/>
      <c r="F129" s="24" t="n"/>
      <c r="G129" s="25" t="inlineStr">
        <is>
          <t>O</t>
        </is>
      </c>
      <c r="H129" s="26" t="n"/>
      <c r="I129" s="27">
        <f>IFERROR(IF(OR($F129="O",$G129="O",$H129="O"),CHOOSE(MATCH($A129,{"튜브","고압","진공","튜닝","조립","출하"},0),"T","H","V","N","A","P")&amp;IF($F129="O","R",IF($G129="O","A",IF($H129="O","F",""))),""),"")</f>
        <v/>
      </c>
      <c r="J129" s="15" t="n"/>
      <c r="K129" s="16" t="inlineStr">
        <is>
          <t>O</t>
        </is>
      </c>
      <c r="L129" s="17" t="n"/>
      <c r="M129" s="18" t="n"/>
      <c r="N129" s="19" t="n"/>
      <c r="O129" s="20" t="n"/>
      <c r="P129" s="21">
        <f>IF($I129="","",IF($J129="O","3","")&amp;IF($K129="O","4","")&amp;IF($L129="O","6","")&amp;IF($M129="O","7","")&amp;IF($N129="O","8","")&amp;IF($O129="O","?","")&amp;IF(OR($J129="O",$K129="O",$L129="O",$M129="O",$N129="O",$O129="O"),"-","")&amp;$I129)</f>
        <v/>
      </c>
      <c r="Q129" s="110">
        <f>HYPERLINK("#'마스터_품목'!A305","→ 마스터 R305")</f>
        <v/>
      </c>
      <c r="R129" s="111" t="n">
        <v>305</v>
      </c>
      <c r="S129" s="111" t="inlineStr">
        <is>
          <t>마스터_품목</t>
        </is>
      </c>
    </row>
    <row r="130" ht="48" customHeight="1">
      <c r="A130" s="22" t="inlineStr">
        <is>
          <t>조립</t>
        </is>
      </c>
      <c r="B130" s="22" t="inlineStr">
        <is>
          <t>모듈 ASS'Y</t>
        </is>
      </c>
      <c r="C130" s="23" t="inlineStr">
        <is>
          <t>ADX4000W</t>
        </is>
      </c>
      <c r="D130" s="23" t="inlineStr">
        <is>
          <t>DFI_B/D ASS′Y
 (carrier B/D+Module B/D+방열팬+USB B/D)</t>
        </is>
      </c>
      <c r="E130" s="23" t="n"/>
      <c r="F130" s="24" t="n"/>
      <c r="G130" s="25" t="inlineStr">
        <is>
          <t>O</t>
        </is>
      </c>
      <c r="H130" s="26" t="n"/>
      <c r="I130" s="27">
        <f>IFERROR(IF(OR($F130="O",$G130="O",$H130="O"),CHOOSE(MATCH($A130,{"튜브","고압","진공","튜닝","조립","출하"},0),"T","H","V","N","A","P")&amp;IF($F130="O","R",IF($G130="O","A",IF($H130="O","F",""))),""),"")</f>
        <v/>
      </c>
      <c r="J130" s="15" t="n"/>
      <c r="K130" s="16" t="inlineStr">
        <is>
          <t>O</t>
        </is>
      </c>
      <c r="L130" s="17" t="n"/>
      <c r="M130" s="18" t="n"/>
      <c r="N130" s="19" t="n"/>
      <c r="O130" s="20" t="n"/>
      <c r="P130" s="21">
        <f>IF($I130="","",IF($J130="O","3","")&amp;IF($K130="O","4","")&amp;IF($L130="O","6","")&amp;IF($M130="O","7","")&amp;IF($N130="O","8","")&amp;IF($O130="O","?","")&amp;IF(OR($J130="O",$K130="O",$L130="O",$M130="O",$N130="O",$O130="O"),"-","")&amp;$I130)</f>
        <v/>
      </c>
      <c r="Q130" s="110">
        <f>HYPERLINK("#'마스터_품목'!A306","→ 마스터 R306")</f>
        <v/>
      </c>
      <c r="R130" s="111" t="n">
        <v>306</v>
      </c>
      <c r="S130" s="111" t="inlineStr">
        <is>
          <t>마스터_품목</t>
        </is>
      </c>
    </row>
    <row r="131" ht="48" customHeight="1">
      <c r="A131" s="22" t="inlineStr">
        <is>
          <t>조립</t>
        </is>
      </c>
      <c r="B131" s="22" t="inlineStr">
        <is>
          <t>사출 및 자재</t>
        </is>
      </c>
      <c r="C131" s="23" t="inlineStr">
        <is>
          <t>ADX6000 공용</t>
        </is>
      </c>
      <c r="D131" s="23" t="inlineStr">
        <is>
          <t>컬리메이터 TOP 사출</t>
        </is>
      </c>
      <c r="E131" s="23" t="inlineStr">
        <is>
          <t>컬리메이터 TOP 사출 (ABS 난연 화이트 + 스프레이)
[ADX6000]</t>
        </is>
      </c>
      <c r="F131" s="24" t="inlineStr">
        <is>
          <t>O</t>
        </is>
      </c>
      <c r="G131" s="25" t="n"/>
      <c r="H131" s="26" t="n"/>
      <c r="I131" s="27">
        <f>IFERROR(IF(OR($F131="O",$G131="O",$H131="O"),CHOOSE(MATCH($A131,{"튜브","고압","진공","튜닝","조립","출하"},0),"T","H","V","N","A","P")&amp;IF($F131="O","R",IF($G131="O","A",IF($H131="O","F",""))),""),"")</f>
        <v/>
      </c>
      <c r="J131" s="15" t="n"/>
      <c r="K131" s="16" t="n"/>
      <c r="L131" s="17" t="inlineStr">
        <is>
          <t>O</t>
        </is>
      </c>
      <c r="M131" s="18" t="n"/>
      <c r="N131" s="19" t="n"/>
      <c r="O131" s="20" t="n"/>
      <c r="P131" s="21">
        <f>IF($I131="","",IF($J131="O","3","")&amp;IF($K131="O","4","")&amp;IF($L131="O","6","")&amp;IF($M131="O","7","")&amp;IF($N131="O","8","")&amp;IF($O131="O","?","")&amp;IF(OR($J131="O",$K131="O",$L131="O",$M131="O",$N131="O",$O131="O"),"-","")&amp;$I131)</f>
        <v/>
      </c>
      <c r="Q131" s="110">
        <f>HYPERLINK("#'마스터_품목'!A307","→ 마스터 R307")</f>
        <v/>
      </c>
      <c r="R131" s="111" t="n">
        <v>307</v>
      </c>
      <c r="S131" s="111" t="inlineStr">
        <is>
          <t>마스터_품목</t>
        </is>
      </c>
    </row>
    <row r="132" ht="48" customHeight="1">
      <c r="A132" s="22" t="inlineStr">
        <is>
          <t>조립</t>
        </is>
      </c>
      <c r="B132" s="22" t="inlineStr">
        <is>
          <t>사출 및 자재</t>
        </is>
      </c>
      <c r="C132" s="23" t="inlineStr">
        <is>
          <t>ADX6000 공용</t>
        </is>
      </c>
      <c r="D132" s="23" t="inlineStr">
        <is>
          <t>컬리메이터 Bottom 사출</t>
        </is>
      </c>
      <c r="E132" s="23" t="inlineStr">
        <is>
          <t>컬리메이터 BOTTOM 사출 (ABS 난연 화이트 + 스프레이)
[ADX6000]</t>
        </is>
      </c>
      <c r="F132" s="24" t="inlineStr">
        <is>
          <t>O</t>
        </is>
      </c>
      <c r="G132" s="25" t="n"/>
      <c r="H132" s="26" t="n"/>
      <c r="I132" s="27">
        <f>IFERROR(IF(OR($F132="O",$G132="O",$H132="O"),CHOOSE(MATCH($A132,{"튜브","고압","진공","튜닝","조립","출하"},0),"T","H","V","N","A","P")&amp;IF($F132="O","R",IF($G132="O","A",IF($H132="O","F",""))),""),"")</f>
        <v/>
      </c>
      <c r="J132" s="15" t="n"/>
      <c r="K132" s="16" t="n"/>
      <c r="L132" s="17" t="inlineStr">
        <is>
          <t>O</t>
        </is>
      </c>
      <c r="M132" s="18" t="n"/>
      <c r="N132" s="19" t="n"/>
      <c r="O132" s="20" t="n"/>
      <c r="P132" s="21">
        <f>IF($I132="","",IF($J132="O","3","")&amp;IF($K132="O","4","")&amp;IF($L132="O","6","")&amp;IF($M132="O","7","")&amp;IF($N132="O","8","")&amp;IF($O132="O","?","")&amp;IF(OR($J132="O",$K132="O",$L132="O",$M132="O",$N132="O",$O132="O"),"-","")&amp;$I132)</f>
        <v/>
      </c>
      <c r="Q132" s="110">
        <f>HYPERLINK("#'마스터_품목'!A308","→ 마스터 R308")</f>
        <v/>
      </c>
      <c r="R132" s="111" t="n">
        <v>308</v>
      </c>
      <c r="S132" s="111" t="inlineStr">
        <is>
          <t>마스터_품목</t>
        </is>
      </c>
    </row>
    <row r="133" ht="48" customHeight="1">
      <c r="A133" s="22" t="inlineStr">
        <is>
          <t>조립</t>
        </is>
      </c>
      <c r="B133" s="22" t="inlineStr">
        <is>
          <t>사출 및 자재</t>
        </is>
      </c>
      <c r="C133" s="23" t="inlineStr">
        <is>
          <t>ADX6000 공용</t>
        </is>
      </c>
      <c r="D133" s="23" t="inlineStr">
        <is>
          <t>컬리메이터 콘 가이드</t>
        </is>
      </c>
      <c r="E133" s="23" t="inlineStr">
        <is>
          <t>일체형 컬리메이터 (ABS 난연 블랙)
[ADX6000]</t>
        </is>
      </c>
      <c r="F133" s="24" t="inlineStr">
        <is>
          <t>O</t>
        </is>
      </c>
      <c r="G133" s="25" t="n"/>
      <c r="H133" s="26" t="n"/>
      <c r="I133" s="27">
        <f>IFERROR(IF(OR($F133="O",$G133="O",$H133="O"),CHOOSE(MATCH($A133,{"튜브","고압","진공","튜닝","조립","출하"},0),"T","H","V","N","A","P")&amp;IF($F133="O","R",IF($G133="O","A",IF($H133="O","F",""))),""),"")</f>
        <v/>
      </c>
      <c r="J133" s="15" t="n"/>
      <c r="K133" s="16" t="n"/>
      <c r="L133" s="17" t="inlineStr">
        <is>
          <t>O</t>
        </is>
      </c>
      <c r="M133" s="18" t="n"/>
      <c r="N133" s="19" t="n"/>
      <c r="O133" s="20" t="n"/>
      <c r="P133" s="21">
        <f>IF($I133="","",IF($J133="O","3","")&amp;IF($K133="O","4","")&amp;IF($L133="O","6","")&amp;IF($M133="O","7","")&amp;IF($N133="O","8","")&amp;IF($O133="O","?","")&amp;IF(OR($J133="O",$K133="O",$L133="O",$M133="O",$N133="O",$O133="O"),"-","")&amp;$I133)</f>
        <v/>
      </c>
      <c r="Q133" s="110">
        <f>HYPERLINK("#'마스터_품목'!A309","→ 마스터 R309")</f>
        <v/>
      </c>
      <c r="R133" s="111" t="n">
        <v>309</v>
      </c>
      <c r="S133" s="111" t="inlineStr">
        <is>
          <t>마스터_품목</t>
        </is>
      </c>
    </row>
    <row r="134" ht="48" customHeight="1">
      <c r="A134" s="22" t="inlineStr">
        <is>
          <t>조립</t>
        </is>
      </c>
      <c r="B134" s="22" t="inlineStr">
        <is>
          <t>사출 및 자재</t>
        </is>
      </c>
      <c r="C134" s="23" t="inlineStr">
        <is>
          <t>ADX6000 공용</t>
        </is>
      </c>
      <c r="D134" s="23" t="inlineStr">
        <is>
          <t>컬리메이터 내부하우징 사출</t>
        </is>
      </c>
      <c r="E134" s="23" t="inlineStr">
        <is>
          <t>컬리메이터 내부하우징 사출 (ABS 난연 화이트 + 스프레이)
[ADX6000]</t>
        </is>
      </c>
      <c r="F134" s="24" t="inlineStr">
        <is>
          <t>O</t>
        </is>
      </c>
      <c r="G134" s="25" t="n"/>
      <c r="H134" s="26" t="n"/>
      <c r="I134" s="27">
        <f>IFERROR(IF(OR($F134="O",$G134="O",$H134="O"),CHOOSE(MATCH($A134,{"튜브","고압","진공","튜닝","조립","출하"},0),"T","H","V","N","A","P")&amp;IF($F134="O","R",IF($G134="O","A",IF($H134="O","F",""))),""),"")</f>
        <v/>
      </c>
      <c r="J134" s="15" t="n"/>
      <c r="K134" s="16" t="n"/>
      <c r="L134" s="17" t="inlineStr">
        <is>
          <t>O</t>
        </is>
      </c>
      <c r="M134" s="18" t="n"/>
      <c r="N134" s="19" t="n"/>
      <c r="O134" s="20" t="n"/>
      <c r="P134" s="21">
        <f>IF($I134="","",IF($J134="O","3","")&amp;IF($K134="O","4","")&amp;IF($L134="O","6","")&amp;IF($M134="O","7","")&amp;IF($N134="O","8","")&amp;IF($O134="O","?","")&amp;IF(OR($J134="O",$K134="O",$L134="O",$M134="O",$N134="O",$O134="O"),"-","")&amp;$I134)</f>
        <v/>
      </c>
      <c r="Q134" s="110">
        <f>HYPERLINK("#'마스터_품목'!A310","→ 마스터 R310")</f>
        <v/>
      </c>
      <c r="R134" s="111" t="n">
        <v>310</v>
      </c>
      <c r="S134" s="111" t="inlineStr">
        <is>
          <t>마스터_품목</t>
        </is>
      </c>
    </row>
    <row r="135" ht="48" customHeight="1">
      <c r="A135" s="22" t="inlineStr">
        <is>
          <t>조립</t>
        </is>
      </c>
      <c r="B135" s="22" t="inlineStr">
        <is>
          <t>사출 및 자재</t>
        </is>
      </c>
      <c r="C135" s="23" t="inlineStr">
        <is>
          <t>ADX6000 공용</t>
        </is>
      </c>
      <c r="D135" s="23" t="inlineStr">
        <is>
          <t>컬리메이터 내부브릿지 사출</t>
        </is>
      </c>
      <c r="E135" s="23" t="inlineStr">
        <is>
          <t>컬리메이터 내부브릿지 사출 (ABS 난연 화이트 + 스프레이)
[ADX6000]</t>
        </is>
      </c>
      <c r="F135" s="24" t="inlineStr">
        <is>
          <t>O</t>
        </is>
      </c>
      <c r="G135" s="25" t="n"/>
      <c r="H135" s="26" t="n"/>
      <c r="I135" s="27">
        <f>IFERROR(IF(OR($F135="O",$G135="O",$H135="O"),CHOOSE(MATCH($A135,{"튜브","고압","진공","튜닝","조립","출하"},0),"T","H","V","N","A","P")&amp;IF($F135="O","R",IF($G135="O","A",IF($H135="O","F",""))),""),"")</f>
        <v/>
      </c>
      <c r="J135" s="15" t="n"/>
      <c r="K135" s="16" t="n"/>
      <c r="L135" s="17" t="inlineStr">
        <is>
          <t>O</t>
        </is>
      </c>
      <c r="M135" s="18" t="n"/>
      <c r="N135" s="19" t="n"/>
      <c r="O135" s="20" t="n"/>
      <c r="P135" s="21">
        <f>IF($I135="","",IF($J135="O","3","")&amp;IF($K135="O","4","")&amp;IF($L135="O","6","")&amp;IF($M135="O","7","")&amp;IF($N135="O","8","")&amp;IF($O135="O","?","")&amp;IF(OR($J135="O",$K135="O",$L135="O",$M135="O",$N135="O",$O135="O"),"-","")&amp;$I135)</f>
        <v/>
      </c>
      <c r="Q135" s="110">
        <f>HYPERLINK("#'마스터_품목'!A311","→ 마스터 R311")</f>
        <v/>
      </c>
      <c r="R135" s="111" t="n">
        <v>311</v>
      </c>
      <c r="S135" s="111" t="inlineStr">
        <is>
          <t>마스터_품목</t>
        </is>
      </c>
    </row>
    <row r="136" ht="48" customHeight="1">
      <c r="A136" s="22" t="inlineStr">
        <is>
          <t>조립</t>
        </is>
      </c>
      <c r="B136" s="22" t="inlineStr">
        <is>
          <t>사출 및 자재</t>
        </is>
      </c>
      <c r="C136" s="23" t="inlineStr">
        <is>
          <t>ADX6000 공용</t>
        </is>
      </c>
      <c r="D136" s="23" t="inlineStr">
        <is>
          <t>컬리메이터 Mirror 거치대 사출</t>
        </is>
      </c>
      <c r="E136" s="23" t="inlineStr">
        <is>
          <t>컬리메이터 MIRROR 거치대 사출 (ABS 난연 화이트 + 스프레이 블랙)
[ADX6000]</t>
        </is>
      </c>
      <c r="F136" s="24" t="inlineStr">
        <is>
          <t>O</t>
        </is>
      </c>
      <c r="G136" s="25" t="n"/>
      <c r="H136" s="26" t="n"/>
      <c r="I136" s="27">
        <f>IFERROR(IF(OR($F136="O",$G136="O",$H136="O"),CHOOSE(MATCH($A136,{"튜브","고압","진공","튜닝","조립","출하"},0),"T","H","V","N","A","P")&amp;IF($F136="O","R",IF($G136="O","A",IF($H136="O","F",""))),""),"")</f>
        <v/>
      </c>
      <c r="J136" s="15" t="n"/>
      <c r="K136" s="16" t="n"/>
      <c r="L136" s="17" t="inlineStr">
        <is>
          <t>O</t>
        </is>
      </c>
      <c r="M136" s="18" t="n"/>
      <c r="N136" s="19" t="n"/>
      <c r="O136" s="20" t="n"/>
      <c r="P136" s="21">
        <f>IF($I136="","",IF($J136="O","3","")&amp;IF($K136="O","4","")&amp;IF($L136="O","6","")&amp;IF($M136="O","7","")&amp;IF($N136="O","8","")&amp;IF($O136="O","?","")&amp;IF(OR($J136="O",$K136="O",$L136="O",$M136="O",$N136="O",$O136="O"),"-","")&amp;$I136)</f>
        <v/>
      </c>
      <c r="Q136" s="110">
        <f>HYPERLINK("#'마스터_품목'!A312","→ 마스터 R312")</f>
        <v/>
      </c>
      <c r="R136" s="111" t="n">
        <v>312</v>
      </c>
      <c r="S136" s="111" t="inlineStr">
        <is>
          <t>마스터_품목</t>
        </is>
      </c>
    </row>
    <row r="137" ht="48" customHeight="1">
      <c r="A137" s="22" t="inlineStr">
        <is>
          <t>조립</t>
        </is>
      </c>
      <c r="B137" s="22" t="inlineStr">
        <is>
          <t>사출 및 자재</t>
        </is>
      </c>
      <c r="C137" s="23" t="inlineStr">
        <is>
          <t>ADX6000 공용</t>
        </is>
      </c>
      <c r="D137" s="23" t="inlineStr">
        <is>
          <t>아크릴 은경</t>
        </is>
      </c>
      <c r="E137" s="23" t="inlineStr">
        <is>
          <t>아크릴 은경 (아크릴 + 불량42)
[ADX6000]</t>
        </is>
      </c>
      <c r="F137" s="24" t="inlineStr">
        <is>
          <t>O</t>
        </is>
      </c>
      <c r="G137" s="25" t="n"/>
      <c r="H137" s="26" t="n"/>
      <c r="I137" s="27">
        <f>IFERROR(IF(OR($F137="O",$G137="O",$H137="O"),CHOOSE(MATCH($A137,{"튜브","고압","진공","튜닝","조립","출하"},0),"T","H","V","N","A","P")&amp;IF($F137="O","R",IF($G137="O","A",IF($H137="O","F",""))),""),"")</f>
        <v/>
      </c>
      <c r="J137" s="15" t="n"/>
      <c r="K137" s="16" t="n"/>
      <c r="L137" s="17" t="inlineStr">
        <is>
          <t>O</t>
        </is>
      </c>
      <c r="M137" s="18" t="n"/>
      <c r="N137" s="19" t="n"/>
      <c r="O137" s="20" t="n"/>
      <c r="P137" s="21">
        <f>IF($I137="","",IF($J137="O","3","")&amp;IF($K137="O","4","")&amp;IF($L137="O","6","")&amp;IF($M137="O","7","")&amp;IF($N137="O","8","")&amp;IF($O137="O","?","")&amp;IF(OR($J137="O",$K137="O",$L137="O",$M137="O",$N137="O",$O137="O"),"-","")&amp;$I137)</f>
        <v/>
      </c>
      <c r="Q137" s="110">
        <f>HYPERLINK("#'마스터_품목'!A313","→ 마스터 R313")</f>
        <v/>
      </c>
      <c r="R137" s="111" t="n">
        <v>313</v>
      </c>
      <c r="S137" s="111" t="inlineStr">
        <is>
          <t>마스터_품목</t>
        </is>
      </c>
    </row>
    <row r="138" ht="48" customHeight="1">
      <c r="A138" s="22" t="inlineStr">
        <is>
          <t>조립</t>
        </is>
      </c>
      <c r="B138" s="22" t="inlineStr">
        <is>
          <t>사출 및 자재</t>
        </is>
      </c>
      <c r="C138" s="23" t="inlineStr">
        <is>
          <t>ADX6000 공용</t>
        </is>
      </c>
      <c r="D138" s="23" t="inlineStr">
        <is>
          <t>컬리메이터 LED 알루미늄 가이드</t>
        </is>
      </c>
      <c r="E138" s="23" t="inlineStr">
        <is>
          <t>컬리메이터 LED 알루미늄 가이드 (AL 가공 + 흑색 아노다이징)
[ADX6000]</t>
        </is>
      </c>
      <c r="F138" s="24" t="inlineStr">
        <is>
          <t>O</t>
        </is>
      </c>
      <c r="G138" s="25" t="n"/>
      <c r="H138" s="26" t="n"/>
      <c r="I138" s="27">
        <f>IFERROR(IF(OR($F138="O",$G138="O",$H138="O"),CHOOSE(MATCH($A138,{"튜브","고압","진공","튜닝","조립","출하"},0),"T","H","V","N","A","P")&amp;IF($F138="O","R",IF($G138="O","A",IF($H138="O","F",""))),""),"")</f>
        <v/>
      </c>
      <c r="J138" s="15" t="n"/>
      <c r="K138" s="16" t="n"/>
      <c r="L138" s="17" t="inlineStr">
        <is>
          <t>O</t>
        </is>
      </c>
      <c r="M138" s="18" t="n"/>
      <c r="N138" s="19" t="n"/>
      <c r="O138" s="20" t="n"/>
      <c r="P138" s="21">
        <f>IF($I138="","",IF($J138="O","3","")&amp;IF($K138="O","4","")&amp;IF($L138="O","6","")&amp;IF($M138="O","7","")&amp;IF($N138="O","8","")&amp;IF($O138="O","?","")&amp;IF(OR($J138="O",$K138="O",$L138="O",$M138="O",$N138="O",$O138="O"),"-","")&amp;$I138)</f>
        <v/>
      </c>
      <c r="Q138" s="110">
        <f>HYPERLINK("#'마스터_품목'!A314","→ 마스터 R314")</f>
        <v/>
      </c>
      <c r="R138" s="111" t="n">
        <v>314</v>
      </c>
      <c r="S138" s="111" t="inlineStr">
        <is>
          <t>마스터_품목</t>
        </is>
      </c>
    </row>
    <row r="139" ht="48" customHeight="1">
      <c r="A139" s="22" t="inlineStr">
        <is>
          <t>조립</t>
        </is>
      </c>
      <c r="B139" s="22" t="inlineStr">
        <is>
          <t>사출 및 자재</t>
        </is>
      </c>
      <c r="C139" s="23" t="inlineStr">
        <is>
          <t>ADX6000 공용</t>
        </is>
      </c>
      <c r="D139" s="23" t="inlineStr">
        <is>
          <t>컬리메이터 FRONT 사출</t>
        </is>
      </c>
      <c r="E139" s="23" t="inlineStr">
        <is>
          <t>컬리메이터 FRONT 사출 (ABS 난연 화이트 + 스프레이)
[ADX6000]</t>
        </is>
      </c>
      <c r="F139" s="24" t="inlineStr">
        <is>
          <t>O</t>
        </is>
      </c>
      <c r="G139" s="25" t="n"/>
      <c r="H139" s="26" t="n"/>
      <c r="I139" s="27">
        <f>IFERROR(IF(OR($F139="O",$G139="O",$H139="O"),CHOOSE(MATCH($A139,{"튜브","고압","진공","튜닝","조립","출하"},0),"T","H","V","N","A","P")&amp;IF($F139="O","R",IF($G139="O","A",IF($H139="O","F",""))),""),"")</f>
        <v/>
      </c>
      <c r="J139" s="15" t="n"/>
      <c r="K139" s="16" t="n"/>
      <c r="L139" s="17" t="inlineStr">
        <is>
          <t>O</t>
        </is>
      </c>
      <c r="M139" s="18" t="n"/>
      <c r="N139" s="19" t="n"/>
      <c r="O139" s="20" t="n"/>
      <c r="P139" s="21">
        <f>IF($I139="","",IF($J139="O","3","")&amp;IF($K139="O","4","")&amp;IF($L139="O","6","")&amp;IF($M139="O","7","")&amp;IF($N139="O","8","")&amp;IF($O139="O","?","")&amp;IF(OR($J139="O",$K139="O",$L139="O",$M139="O",$N139="O",$O139="O"),"-","")&amp;$I139)</f>
        <v/>
      </c>
      <c r="Q139" s="110">
        <f>HYPERLINK("#'마스터_품목'!A315","→ 마스터 R315")</f>
        <v/>
      </c>
      <c r="R139" s="111" t="n">
        <v>315</v>
      </c>
      <c r="S139" s="111" t="inlineStr">
        <is>
          <t>마스터_품목</t>
        </is>
      </c>
    </row>
    <row r="140" ht="48" customHeight="1">
      <c r="A140" s="22" t="inlineStr">
        <is>
          <t>조립</t>
        </is>
      </c>
      <c r="B140" s="22" t="inlineStr">
        <is>
          <t>사출 및 자재</t>
        </is>
      </c>
      <c r="C140" s="23" t="inlineStr">
        <is>
          <t>ADX6000 공용</t>
        </is>
      </c>
      <c r="D140" s="23" t="inlineStr">
        <is>
          <t>Base Block</t>
        </is>
      </c>
      <c r="E140" s="23" t="inlineStr">
        <is>
          <t>Base Block (AL 가공 + 흑색 아노다이징)
[ADX6000]</t>
        </is>
      </c>
      <c r="F140" s="24" t="inlineStr">
        <is>
          <t>O</t>
        </is>
      </c>
      <c r="G140" s="25" t="n"/>
      <c r="H140" s="26" t="n"/>
      <c r="I140" s="27">
        <f>IFERROR(IF(OR($F140="O",$G140="O",$H140="O"),CHOOSE(MATCH($A140,{"튜브","고압","진공","튜닝","조립","출하"},0),"T","H","V","N","A","P")&amp;IF($F140="O","R",IF($G140="O","A",IF($H140="O","F",""))),""),"")</f>
        <v/>
      </c>
      <c r="J140" s="15" t="n"/>
      <c r="K140" s="16" t="n"/>
      <c r="L140" s="17" t="inlineStr">
        <is>
          <t>O</t>
        </is>
      </c>
      <c r="M140" s="18" t="n"/>
      <c r="N140" s="19" t="n"/>
      <c r="O140" s="20" t="n"/>
      <c r="P140" s="21">
        <f>IF($I140="","",IF($J140="O","3","")&amp;IF($K140="O","4","")&amp;IF($L140="O","6","")&amp;IF($M140="O","7","")&amp;IF($N140="O","8","")&amp;IF($O140="O","?","")&amp;IF(OR($J140="O",$K140="O",$L140="O",$M140="O",$N140="O",$O140="O"),"-","")&amp;$I140)</f>
        <v/>
      </c>
      <c r="Q140" s="110">
        <f>HYPERLINK("#'마스터_품목'!A316","→ 마스터 R316")</f>
        <v/>
      </c>
      <c r="R140" s="111" t="n">
        <v>316</v>
      </c>
      <c r="S140" s="111" t="inlineStr">
        <is>
          <t>마스터_품목</t>
        </is>
      </c>
    </row>
    <row r="141" ht="48" customHeight="1">
      <c r="A141" s="22" t="inlineStr">
        <is>
          <t>조립</t>
        </is>
      </c>
      <c r="B141" s="22" t="inlineStr">
        <is>
          <t>사출 및 자재</t>
        </is>
      </c>
      <c r="C141" s="23" t="inlineStr">
        <is>
          <t>ADX6000 공용</t>
        </is>
      </c>
      <c r="D141" s="23" t="inlineStr">
        <is>
          <t>Top Block</t>
        </is>
      </c>
      <c r="E141" s="23" t="inlineStr">
        <is>
          <t>Top Block (AL 가공 + 흑색 아노다이징)
[ADX6000]</t>
        </is>
      </c>
      <c r="F141" s="24" t="inlineStr">
        <is>
          <t>O</t>
        </is>
      </c>
      <c r="G141" s="25" t="n"/>
      <c r="H141" s="26" t="n"/>
      <c r="I141" s="27">
        <f>IFERROR(IF(OR($F141="O",$G141="O",$H141="O"),CHOOSE(MATCH($A141,{"튜브","고압","진공","튜닝","조립","출하"},0),"T","H","V","N","A","P")&amp;IF($F141="O","R",IF($G141="O","A",IF($H141="O","F",""))),""),"")</f>
        <v/>
      </c>
      <c r="J141" s="15" t="n"/>
      <c r="K141" s="16" t="n"/>
      <c r="L141" s="17" t="inlineStr">
        <is>
          <t>O</t>
        </is>
      </c>
      <c r="M141" s="18" t="n"/>
      <c r="N141" s="19" t="n"/>
      <c r="O141" s="20" t="n"/>
      <c r="P141" s="21">
        <f>IF($I141="","",IF($J141="O","3","")&amp;IF($K141="O","4","")&amp;IF($L141="O","6","")&amp;IF($M141="O","7","")&amp;IF($N141="O","8","")&amp;IF($O141="O","?","")&amp;IF(OR($J141="O",$K141="O",$L141="O",$M141="O",$N141="O",$O141="O"),"-","")&amp;$I141)</f>
        <v/>
      </c>
      <c r="Q141" s="110">
        <f>HYPERLINK("#'마스터_품목'!A317","→ 마스터 R317")</f>
        <v/>
      </c>
      <c r="R141" s="111" t="n">
        <v>317</v>
      </c>
      <c r="S141" s="111" t="inlineStr">
        <is>
          <t>마스터_품목</t>
        </is>
      </c>
    </row>
    <row r="142" ht="48" customHeight="1">
      <c r="A142" s="22" t="inlineStr">
        <is>
          <t>조립</t>
        </is>
      </c>
      <c r="B142" s="22" t="inlineStr">
        <is>
          <t>사출 및 자재</t>
        </is>
      </c>
      <c r="C142" s="23" t="inlineStr">
        <is>
          <t>ADX6000 공용</t>
        </is>
      </c>
      <c r="D142" s="23" t="inlineStr">
        <is>
          <t>Bottom Blcok</t>
        </is>
      </c>
      <c r="E142" s="23" t="inlineStr">
        <is>
          <t>Bottom Block (AL 가공 + 흑색 아노다이징)
[ADX6000]</t>
        </is>
      </c>
      <c r="F142" s="24" t="inlineStr">
        <is>
          <t>O</t>
        </is>
      </c>
      <c r="G142" s="25" t="n"/>
      <c r="H142" s="26" t="n"/>
      <c r="I142" s="27">
        <f>IFERROR(IF(OR($F142="O",$G142="O",$H142="O"),CHOOSE(MATCH($A142,{"튜브","고압","진공","튜닝","조립","출하"},0),"T","H","V","N","A","P")&amp;IF($F142="O","R",IF($G142="O","A",IF($H142="O","F",""))),""),"")</f>
        <v/>
      </c>
      <c r="J142" s="15" t="n"/>
      <c r="K142" s="16" t="n"/>
      <c r="L142" s="17" t="inlineStr">
        <is>
          <t>O</t>
        </is>
      </c>
      <c r="M142" s="18" t="n"/>
      <c r="N142" s="19" t="n"/>
      <c r="O142" s="20" t="n"/>
      <c r="P142" s="21">
        <f>IF($I142="","",IF($J142="O","3","")&amp;IF($K142="O","4","")&amp;IF($L142="O","6","")&amp;IF($M142="O","7","")&amp;IF($N142="O","8","")&amp;IF($O142="O","?","")&amp;IF(OR($J142="O",$K142="O",$L142="O",$M142="O",$N142="O",$O142="O"),"-","")&amp;$I142)</f>
        <v/>
      </c>
      <c r="Q142" s="110">
        <f>HYPERLINK("#'마스터_품목'!A318","→ 마스터 R318")</f>
        <v/>
      </c>
      <c r="R142" s="111" t="n">
        <v>318</v>
      </c>
      <c r="S142" s="111" t="inlineStr">
        <is>
          <t>마스터_품목</t>
        </is>
      </c>
    </row>
    <row r="143" ht="48" customHeight="1">
      <c r="A143" s="22" t="inlineStr">
        <is>
          <t>조립</t>
        </is>
      </c>
      <c r="B143" s="22" t="inlineStr">
        <is>
          <t>사출 및 자재</t>
        </is>
      </c>
      <c r="C143" s="23" t="inlineStr">
        <is>
          <t>ADX6000 공용</t>
        </is>
      </c>
      <c r="D143" s="23" t="inlineStr">
        <is>
          <t>Skin Guard Frame</t>
        </is>
      </c>
      <c r="E143" s="23" t="n"/>
      <c r="F143" s="24" t="inlineStr">
        <is>
          <t>O</t>
        </is>
      </c>
      <c r="G143" s="25" t="n"/>
      <c r="H143" s="26" t="n"/>
      <c r="I143" s="27">
        <f>IFERROR(IF(OR($F143="O",$G143="O",$H143="O"),CHOOSE(MATCH($A143,{"튜브","고압","진공","튜닝","조립","출하"},0),"T","H","V","N","A","P")&amp;IF($F143="O","R",IF($G143="O","A",IF($H143="O","F",""))),""),"")</f>
        <v/>
      </c>
      <c r="J143" s="15" t="n"/>
      <c r="K143" s="16" t="n"/>
      <c r="L143" s="17" t="inlineStr">
        <is>
          <t>O</t>
        </is>
      </c>
      <c r="M143" s="18" t="n"/>
      <c r="N143" s="19" t="n"/>
      <c r="O143" s="20" t="n"/>
      <c r="P143" s="21">
        <f>IF($I143="","",IF($J143="O","3","")&amp;IF($K143="O","4","")&amp;IF($L143="O","6","")&amp;IF($M143="O","7","")&amp;IF($N143="O","8","")&amp;IF($O143="O","?","")&amp;IF(OR($J143="O",$K143="O",$L143="O",$M143="O",$N143="O",$O143="O"),"-","")&amp;$I143)</f>
        <v/>
      </c>
      <c r="Q143" s="110">
        <f>HYPERLINK("#'마스터_품목'!A319","→ 마스터 R319")</f>
        <v/>
      </c>
      <c r="R143" s="111" t="n">
        <v>319</v>
      </c>
      <c r="S143" s="111" t="inlineStr">
        <is>
          <t>마스터_품목</t>
        </is>
      </c>
    </row>
    <row r="144" ht="48" customHeight="1">
      <c r="A144" s="22" t="inlineStr">
        <is>
          <t>조립</t>
        </is>
      </c>
      <c r="B144" s="22" t="inlineStr">
        <is>
          <t>사출 및 자재</t>
        </is>
      </c>
      <c r="C144" s="23" t="inlineStr">
        <is>
          <t>ADX6000 공용</t>
        </is>
      </c>
      <c r="D144" s="23" t="inlineStr">
        <is>
          <t>아크릴 투명 십자 panel (70 x70 mm)</t>
        </is>
      </c>
      <c r="E144" s="23" t="inlineStr">
        <is>
          <t>아크릴 투명 십자 panel (아크릴 + 실크 인쇄)
[ADX6000]</t>
        </is>
      </c>
      <c r="F144" s="24" t="inlineStr">
        <is>
          <t>O</t>
        </is>
      </c>
      <c r="G144" s="25" t="n"/>
      <c r="H144" s="26" t="n"/>
      <c r="I144" s="27">
        <f>IFERROR(IF(OR($F144="O",$G144="O",$H144="O"),CHOOSE(MATCH($A144,{"튜브","고압","진공","튜닝","조립","출하"},0),"T","H","V","N","A","P")&amp;IF($F144="O","R",IF($G144="O","A",IF($H144="O","F",""))),""),"")</f>
        <v/>
      </c>
      <c r="J144" s="15" t="n"/>
      <c r="K144" s="16" t="n"/>
      <c r="L144" s="17" t="inlineStr">
        <is>
          <t>O</t>
        </is>
      </c>
      <c r="M144" s="18" t="n"/>
      <c r="N144" s="19" t="n"/>
      <c r="O144" s="20" t="n"/>
      <c r="P144" s="21">
        <f>IF($I144="","",IF($J144="O","3","")&amp;IF($K144="O","4","")&amp;IF($L144="O","6","")&amp;IF($M144="O","7","")&amp;IF($N144="O","8","")&amp;IF($O144="O","?","")&amp;IF(OR($J144="O",$K144="O",$L144="O",$M144="O",$N144="O",$O144="O"),"-","")&amp;$I144)</f>
        <v/>
      </c>
      <c r="Q144" s="110">
        <f>HYPERLINK("#'마스터_품목'!A320","→ 마스터 R320")</f>
        <v/>
      </c>
      <c r="R144" s="111" t="n">
        <v>320</v>
      </c>
      <c r="S144" s="111" t="inlineStr">
        <is>
          <t>마스터_품목</t>
        </is>
      </c>
    </row>
    <row r="145" ht="48" customHeight="1">
      <c r="A145" s="22" t="inlineStr">
        <is>
          <t>조립</t>
        </is>
      </c>
      <c r="B145" s="22" t="inlineStr">
        <is>
          <t>사출 및 자재</t>
        </is>
      </c>
      <c r="C145" s="23" t="inlineStr">
        <is>
          <t>ADX6000 공용</t>
        </is>
      </c>
      <c r="D145" s="23" t="inlineStr">
        <is>
          <t>LCD Cover 사출 (white)</t>
        </is>
      </c>
      <c r="E145" s="23" t="inlineStr">
        <is>
          <t>LCD Cover 사출 (ABS 난연 화이트+ 색바랜 노란색 398)
[ADX6000]</t>
        </is>
      </c>
      <c r="F145" s="24" t="inlineStr">
        <is>
          <t>O</t>
        </is>
      </c>
      <c r="G145" s="25" t="n"/>
      <c r="H145" s="26" t="n"/>
      <c r="I145" s="27">
        <f>IFERROR(IF(OR($F145="O",$G145="O",$H145="O"),CHOOSE(MATCH($A145,{"튜브","고압","진공","튜닝","조립","출하"},0),"T","H","V","N","A","P")&amp;IF($F145="O","R",IF($G145="O","A",IF($H145="O","F",""))),""),"")</f>
        <v/>
      </c>
      <c r="J145" s="15" t="n"/>
      <c r="K145" s="16" t="n"/>
      <c r="L145" s="17" t="inlineStr">
        <is>
          <t>O</t>
        </is>
      </c>
      <c r="M145" s="18" t="n"/>
      <c r="N145" s="19" t="n"/>
      <c r="O145" s="20" t="n"/>
      <c r="P145" s="21">
        <f>IF($I145="","",IF($J145="O","3","")&amp;IF($K145="O","4","")&amp;IF($L145="O","6","")&amp;IF($M145="O","7","")&amp;IF($N145="O","8","")&amp;IF($O145="O","?","")&amp;IF(OR($J145="O",$K145="O",$L145="O",$M145="O",$N145="O",$O145="O"),"-","")&amp;$I145)</f>
        <v/>
      </c>
      <c r="Q145" s="110">
        <f>HYPERLINK("#'마스터_품목'!A321","→ 마스터 R321")</f>
        <v/>
      </c>
      <c r="R145" s="111" t="n">
        <v>321</v>
      </c>
      <c r="S145" s="111" t="inlineStr">
        <is>
          <t>마스터_품목</t>
        </is>
      </c>
    </row>
    <row r="146" ht="48" customHeight="1">
      <c r="A146" s="22" t="inlineStr">
        <is>
          <t>조립</t>
        </is>
      </c>
      <c r="B146" s="22" t="inlineStr">
        <is>
          <t>사출 및 자재</t>
        </is>
      </c>
      <c r="C146" s="23" t="inlineStr">
        <is>
          <t>ADX6000 공용</t>
        </is>
      </c>
      <c r="D146" s="23" t="inlineStr">
        <is>
          <t>LCD Inner Cover 사출</t>
        </is>
      </c>
      <c r="E146" s="23" t="inlineStr">
        <is>
          <t>LCD Inner Cover 사출 (ABS 난연 화이트 + 스프레이)
[ADX6000]</t>
        </is>
      </c>
      <c r="F146" s="24" t="inlineStr">
        <is>
          <t>O</t>
        </is>
      </c>
      <c r="G146" s="25" t="n"/>
      <c r="H146" s="26" t="n"/>
      <c r="I146" s="27">
        <f>IFERROR(IF(OR($F146="O",$G146="O",$H146="O"),CHOOSE(MATCH($A146,{"튜브","고압","진공","튜닝","조립","출하"},0),"T","H","V","N","A","P")&amp;IF($F146="O","R",IF($G146="O","A",IF($H146="O","F",""))),""),"")</f>
        <v/>
      </c>
      <c r="J146" s="15" t="n"/>
      <c r="K146" s="16" t="n"/>
      <c r="L146" s="17" t="inlineStr">
        <is>
          <t>O</t>
        </is>
      </c>
      <c r="M146" s="18" t="n"/>
      <c r="N146" s="19" t="n"/>
      <c r="O146" s="20" t="n"/>
      <c r="P146" s="21">
        <f>IF($I146="","",IF($J146="O","3","")&amp;IF($K146="O","4","")&amp;IF($L146="O","6","")&amp;IF($M146="O","7","")&amp;IF($N146="O","8","")&amp;IF($O146="O","?","")&amp;IF(OR($J146="O",$K146="O",$L146="O",$M146="O",$N146="O",$O146="O"),"-","")&amp;$I146)</f>
        <v/>
      </c>
      <c r="Q146" s="110">
        <f>HYPERLINK("#'마스터_품목'!A322","→ 마스터 R322")</f>
        <v/>
      </c>
      <c r="R146" s="111" t="n">
        <v>322</v>
      </c>
      <c r="S146" s="111" t="inlineStr">
        <is>
          <t>마스터_품목</t>
        </is>
      </c>
    </row>
    <row r="147" ht="48" customHeight="1">
      <c r="A147" s="22" t="inlineStr">
        <is>
          <t>조립</t>
        </is>
      </c>
      <c r="B147" s="22" t="inlineStr">
        <is>
          <t>사출 및 자재</t>
        </is>
      </c>
      <c r="C147" s="23" t="inlineStr">
        <is>
          <t>ADX6000 공용</t>
        </is>
      </c>
      <c r="D147" s="23" t="inlineStr">
        <is>
          <t>LCD 힌지 사출 커버 TOP</t>
        </is>
      </c>
      <c r="E147" s="23" t="inlineStr">
        <is>
          <t>LCD 힌지 사출 커버 TOP (ABS 난연 화이트 + 스프레이)
[ADX6000]</t>
        </is>
      </c>
      <c r="F147" s="24" t="inlineStr">
        <is>
          <t>O</t>
        </is>
      </c>
      <c r="G147" s="25" t="n"/>
      <c r="H147" s="26" t="n"/>
      <c r="I147" s="27">
        <f>IFERROR(IF(OR($F147="O",$G147="O",$H147="O"),CHOOSE(MATCH($A147,{"튜브","고압","진공","튜닝","조립","출하"},0),"T","H","V","N","A","P")&amp;IF($F147="O","R",IF($G147="O","A",IF($H147="O","F",""))),""),"")</f>
        <v/>
      </c>
      <c r="J147" s="15" t="n"/>
      <c r="K147" s="16" t="n"/>
      <c r="L147" s="17" t="inlineStr">
        <is>
          <t>O</t>
        </is>
      </c>
      <c r="M147" s="18" t="n"/>
      <c r="N147" s="19" t="n"/>
      <c r="O147" s="20" t="n"/>
      <c r="P147" s="21">
        <f>IF($I147="","",IF($J147="O","3","")&amp;IF($K147="O","4","")&amp;IF($L147="O","6","")&amp;IF($M147="O","7","")&amp;IF($N147="O","8","")&amp;IF($O147="O","?","")&amp;IF(OR($J147="O",$K147="O",$L147="O",$M147="O",$N147="O",$O147="O"),"-","")&amp;$I147)</f>
        <v/>
      </c>
      <c r="Q147" s="110">
        <f>HYPERLINK("#'마스터_품목'!A323","→ 마스터 R323")</f>
        <v/>
      </c>
      <c r="R147" s="111" t="n">
        <v>323</v>
      </c>
      <c r="S147" s="111" t="inlineStr">
        <is>
          <t>마스터_품목</t>
        </is>
      </c>
    </row>
    <row r="148" ht="48" customHeight="1">
      <c r="A148" s="22" t="inlineStr">
        <is>
          <t>조립</t>
        </is>
      </c>
      <c r="B148" s="22" t="inlineStr">
        <is>
          <t>사출 및 자재</t>
        </is>
      </c>
      <c r="C148" s="23" t="inlineStr">
        <is>
          <t>ADX6000 공용</t>
        </is>
      </c>
      <c r="D148" s="23" t="inlineStr">
        <is>
          <t>LCD 힌지 사출 커버 BOTTOM</t>
        </is>
      </c>
      <c r="E148" s="23" t="inlineStr">
        <is>
          <t>LCD 힌지 사출 커버 BOTTOM (ABS 난연 화이트 + 스프레이)
[ADX6000]</t>
        </is>
      </c>
      <c r="F148" s="24" t="inlineStr">
        <is>
          <t>O</t>
        </is>
      </c>
      <c r="G148" s="25" t="n"/>
      <c r="H148" s="26" t="n"/>
      <c r="I148" s="27">
        <f>IFERROR(IF(OR($F148="O",$G148="O",$H148="O"),CHOOSE(MATCH($A148,{"튜브","고압","진공","튜닝","조립","출하"},0),"T","H","V","N","A","P")&amp;IF($F148="O","R",IF($G148="O","A",IF($H148="O","F",""))),""),"")</f>
        <v/>
      </c>
      <c r="J148" s="15" t="n"/>
      <c r="K148" s="16" t="n"/>
      <c r="L148" s="17" t="inlineStr">
        <is>
          <t>O</t>
        </is>
      </c>
      <c r="M148" s="18" t="n"/>
      <c r="N148" s="19" t="n"/>
      <c r="O148" s="20" t="n"/>
      <c r="P148" s="21">
        <f>IF($I148="","",IF($J148="O","3","")&amp;IF($K148="O","4","")&amp;IF($L148="O","6","")&amp;IF($M148="O","7","")&amp;IF($N148="O","8","")&amp;IF($O148="O","?","")&amp;IF(OR($J148="O",$K148="O",$L148="O",$M148="O",$N148="O",$O148="O"),"-","")&amp;$I148)</f>
        <v/>
      </c>
      <c r="Q148" s="110">
        <f>HYPERLINK("#'마스터_품목'!A324","→ 마스터 R324")</f>
        <v/>
      </c>
      <c r="R148" s="111" t="n">
        <v>324</v>
      </c>
      <c r="S148" s="111" t="inlineStr">
        <is>
          <t>마스터_품목</t>
        </is>
      </c>
    </row>
    <row r="149" ht="48" customHeight="1">
      <c r="A149" s="22" t="inlineStr">
        <is>
          <t>조립</t>
        </is>
      </c>
      <c r="B149" s="22" t="inlineStr">
        <is>
          <t>사출 및 자재</t>
        </is>
      </c>
      <c r="C149" s="23" t="inlineStr">
        <is>
          <t>ADX6000 공용</t>
        </is>
      </c>
      <c r="D149" s="23" t="inlineStr">
        <is>
          <t>LCD HINGE</t>
        </is>
      </c>
      <c r="E149" s="23" t="inlineStr">
        <is>
          <t>LCD HINGE (가공)
[ADX6000]</t>
        </is>
      </c>
      <c r="F149" s="24" t="inlineStr">
        <is>
          <t>O</t>
        </is>
      </c>
      <c r="G149" s="25" t="n"/>
      <c r="H149" s="26" t="n"/>
      <c r="I149" s="27">
        <f>IFERROR(IF(OR($F149="O",$G149="O",$H149="O"),CHOOSE(MATCH($A149,{"튜브","고압","진공","튜닝","조립","출하"},0),"T","H","V","N","A","P")&amp;IF($F149="O","R",IF($G149="O","A",IF($H149="O","F",""))),""),"")</f>
        <v/>
      </c>
      <c r="J149" s="15" t="n"/>
      <c r="K149" s="16" t="n"/>
      <c r="L149" s="17" t="inlineStr">
        <is>
          <t>O</t>
        </is>
      </c>
      <c r="M149" s="18" t="n"/>
      <c r="N149" s="19" t="n"/>
      <c r="O149" s="20" t="n"/>
      <c r="P149" s="21">
        <f>IF($I149="","",IF($J149="O","3","")&amp;IF($K149="O","4","")&amp;IF($L149="O","6","")&amp;IF($M149="O","7","")&amp;IF($N149="O","8","")&amp;IF($O149="O","?","")&amp;IF(OR($J149="O",$K149="O",$L149="O",$M149="O",$N149="O",$O149="O"),"-","")&amp;$I149)</f>
        <v/>
      </c>
      <c r="Q149" s="110">
        <f>HYPERLINK("#'마스터_품목'!A325","→ 마스터 R325")</f>
        <v/>
      </c>
      <c r="R149" s="111" t="n">
        <v>325</v>
      </c>
      <c r="S149" s="111" t="inlineStr">
        <is>
          <t>마스터_품목</t>
        </is>
      </c>
    </row>
    <row r="150" ht="48" customHeight="1">
      <c r="A150" s="22" t="inlineStr">
        <is>
          <t>조립</t>
        </is>
      </c>
      <c r="B150" s="22" t="inlineStr">
        <is>
          <t>사출 및 자재</t>
        </is>
      </c>
      <c r="C150" s="23" t="inlineStr">
        <is>
          <t>ADX6000 공용</t>
        </is>
      </c>
      <c r="D150" s="23" t="inlineStr">
        <is>
          <t>LCD 힌지 가죽 커버</t>
        </is>
      </c>
      <c r="E150" s="23" t="inlineStr">
        <is>
          <t>LCD 힌지 가죽 커버 (인조 가죽)
[ADX6000]</t>
        </is>
      </c>
      <c r="F150" s="24" t="inlineStr">
        <is>
          <t>O</t>
        </is>
      </c>
      <c r="G150" s="25" t="n"/>
      <c r="H150" s="26" t="n"/>
      <c r="I150" s="27">
        <f>IFERROR(IF(OR($F150="O",$G150="O",$H150="O"),CHOOSE(MATCH($A150,{"튜브","고압","진공","튜닝","조립","출하"},0),"T","H","V","N","A","P")&amp;IF($F150="O","R",IF($G150="O","A",IF($H150="O","F",""))),""),"")</f>
        <v/>
      </c>
      <c r="J150" s="15" t="n"/>
      <c r="K150" s="16" t="n"/>
      <c r="L150" s="17" t="inlineStr">
        <is>
          <t>O</t>
        </is>
      </c>
      <c r="M150" s="18" t="n"/>
      <c r="N150" s="19" t="n"/>
      <c r="O150" s="20" t="n"/>
      <c r="P150" s="21">
        <f>IF($I150="","",IF($J150="O","3","")&amp;IF($K150="O","4","")&amp;IF($L150="O","6","")&amp;IF($M150="O","7","")&amp;IF($N150="O","8","")&amp;IF($O150="O","?","")&amp;IF(OR($J150="O",$K150="O",$L150="O",$M150="O",$N150="O",$O150="O"),"-","")&amp;$I150)</f>
        <v/>
      </c>
      <c r="Q150" s="110">
        <f>HYPERLINK("#'마스터_품목'!A326","→ 마스터 R326")</f>
        <v/>
      </c>
      <c r="R150" s="111" t="n">
        <v>326</v>
      </c>
      <c r="S150" s="111" t="inlineStr">
        <is>
          <t>마스터_품목</t>
        </is>
      </c>
    </row>
    <row r="151" ht="48" customHeight="1">
      <c r="A151" s="22" t="inlineStr">
        <is>
          <t>조립</t>
        </is>
      </c>
      <c r="B151" s="22" t="inlineStr">
        <is>
          <t>사출 및 자재</t>
        </is>
      </c>
      <c r="C151" s="23" t="inlineStr">
        <is>
          <t>ADX6000FB
ADX6000s</t>
        </is>
      </c>
      <c r="D151" s="23" t="inlineStr">
        <is>
          <t>LCD 아크릴 가이드</t>
        </is>
      </c>
      <c r="E151" s="23" t="inlineStr">
        <is>
          <t>LCD 아크릴 가이드 (투명 아크릴)
[ADX6000]</t>
        </is>
      </c>
      <c r="F151" s="24" t="inlineStr">
        <is>
          <t>O</t>
        </is>
      </c>
      <c r="G151" s="25" t="n"/>
      <c r="H151" s="26" t="n"/>
      <c r="I151" s="27">
        <f>IFERROR(IF(OR($F151="O",$G151="O",$H151="O"),CHOOSE(MATCH($A151,{"튜브","고압","진공","튜닝","조립","출하"},0),"T","H","V","N","A","P")&amp;IF($F151="O","R",IF($G151="O","A",IF($H151="O","F",""))),""),"")</f>
        <v/>
      </c>
      <c r="J151" s="15" t="n"/>
      <c r="K151" s="16" t="n"/>
      <c r="L151" s="17" t="inlineStr">
        <is>
          <t>O</t>
        </is>
      </c>
      <c r="M151" s="18" t="n"/>
      <c r="N151" s="19" t="n"/>
      <c r="O151" s="20" t="n"/>
      <c r="P151" s="21">
        <f>IF($I151="","",IF($J151="O","3","")&amp;IF($K151="O","4","")&amp;IF($L151="O","6","")&amp;IF($M151="O","7","")&amp;IF($N151="O","8","")&amp;IF($O151="O","?","")&amp;IF(OR($J151="O",$K151="O",$L151="O",$M151="O",$N151="O",$O151="O"),"-","")&amp;$I151)</f>
        <v/>
      </c>
      <c r="Q151" s="110">
        <f>HYPERLINK("#'마스터_품목'!A327","→ 마스터 R327")</f>
        <v/>
      </c>
      <c r="R151" s="111" t="n">
        <v>327</v>
      </c>
      <c r="S151" s="111" t="inlineStr">
        <is>
          <t>마스터_품목</t>
        </is>
      </c>
    </row>
    <row r="152" ht="48" customHeight="1">
      <c r="A152" s="22" t="inlineStr">
        <is>
          <t>조립</t>
        </is>
      </c>
      <c r="B152" s="22" t="inlineStr">
        <is>
          <t>사출 및 자재</t>
        </is>
      </c>
      <c r="C152" s="23" t="inlineStr">
        <is>
          <t>ADX6000FB
ADX6000s</t>
        </is>
      </c>
      <c r="D152" s="23" t="inlineStr">
        <is>
          <t>LCD 배젤 스티커</t>
        </is>
      </c>
      <c r="E152" s="23" t="inlineStr">
        <is>
          <t>LCD 배젤 스티커
[ADX6000S]</t>
        </is>
      </c>
      <c r="F152" s="24" t="inlineStr">
        <is>
          <t>O</t>
        </is>
      </c>
      <c r="G152" s="25" t="n"/>
      <c r="H152" s="26" t="n"/>
      <c r="I152" s="27">
        <f>IFERROR(IF(OR($F152="O",$G152="O",$H152="O"),CHOOSE(MATCH($A152,{"튜브","고압","진공","튜닝","조립","출하"},0),"T","H","V","N","A","P")&amp;IF($F152="O","R",IF($G152="O","A",IF($H152="O","F",""))),""),"")</f>
        <v/>
      </c>
      <c r="J152" s="15" t="n"/>
      <c r="K152" s="16" t="n"/>
      <c r="L152" s="17" t="inlineStr">
        <is>
          <t>O</t>
        </is>
      </c>
      <c r="M152" s="18" t="n"/>
      <c r="N152" s="19" t="n"/>
      <c r="O152" s="20" t="n"/>
      <c r="P152" s="21">
        <f>IF($I152="","",IF($J152="O","3","")&amp;IF($K152="O","4","")&amp;IF($L152="O","6","")&amp;IF($M152="O","7","")&amp;IF($N152="O","8","")&amp;IF($O152="O","?","")&amp;IF(OR($J152="O",$K152="O",$L152="O",$M152="O",$N152="O",$O152="O"),"-","")&amp;$I152)</f>
        <v/>
      </c>
      <c r="Q152" s="110">
        <f>HYPERLINK("#'마스터_품목'!A328","→ 마스터 R328")</f>
        <v/>
      </c>
      <c r="R152" s="111" t="n">
        <v>328</v>
      </c>
      <c r="S152" s="111" t="inlineStr">
        <is>
          <t>마스터_품목</t>
        </is>
      </c>
    </row>
    <row r="153" ht="48" customHeight="1">
      <c r="A153" s="22" t="inlineStr">
        <is>
          <t>조립</t>
        </is>
      </c>
      <c r="B153" s="22" t="inlineStr">
        <is>
          <t>사출 및 자재</t>
        </is>
      </c>
      <c r="C153" s="23" t="inlineStr">
        <is>
          <t>ADX6000FB
ADX6000s</t>
        </is>
      </c>
      <c r="D153" s="23" t="inlineStr">
        <is>
          <t>LCD 배젤 스티커 - 중앙 필름 제거</t>
        </is>
      </c>
      <c r="E153" s="23" t="n"/>
      <c r="F153" s="24" t="inlineStr">
        <is>
          <t>O</t>
        </is>
      </c>
      <c r="G153" s="25" t="n"/>
      <c r="H153" s="26" t="n"/>
      <c r="I153" s="27">
        <f>IFERROR(IF(OR($F153="O",$G153="O",$H153="O"),CHOOSE(MATCH($A153,{"튜브","고압","진공","튜닝","조립","출하"},0),"T","H","V","N","A","P")&amp;IF($F153="O","R",IF($G153="O","A",IF($H153="O","F",""))),""),"")</f>
        <v/>
      </c>
      <c r="J153" s="15" t="n"/>
      <c r="K153" s="16" t="n"/>
      <c r="L153" s="17" t="inlineStr">
        <is>
          <t>O</t>
        </is>
      </c>
      <c r="M153" s="18" t="n"/>
      <c r="N153" s="19" t="n"/>
      <c r="O153" s="20" t="n"/>
      <c r="P153" s="21">
        <f>IF($I153="","",IF($J153="O","3","")&amp;IF($K153="O","4","")&amp;IF($L153="O","6","")&amp;IF($M153="O","7","")&amp;IF($N153="O","8","")&amp;IF($O153="O","?","")&amp;IF(OR($J153="O",$K153="O",$L153="O",$M153="O",$N153="O",$O153="O"),"-","")&amp;$I153)</f>
        <v/>
      </c>
      <c r="Q153" s="110">
        <f>HYPERLINK("#'마스터_품목'!A329","→ 마스터 R329")</f>
        <v/>
      </c>
      <c r="R153" s="111" t="n">
        <v>329</v>
      </c>
      <c r="S153" s="111" t="inlineStr">
        <is>
          <t>마스터_품목</t>
        </is>
      </c>
    </row>
    <row r="154" ht="48" customHeight="1">
      <c r="A154" s="22" t="inlineStr">
        <is>
          <t>조립</t>
        </is>
      </c>
      <c r="B154" s="22" t="inlineStr">
        <is>
          <t>사출 및 자재</t>
        </is>
      </c>
      <c r="C154" s="23" t="inlineStr">
        <is>
          <t>ADX6000 공용</t>
        </is>
      </c>
      <c r="D154" s="23" t="inlineStr">
        <is>
          <t>BODY LEFT 사출</t>
        </is>
      </c>
      <c r="E154" s="23" t="inlineStr">
        <is>
          <t>BODY LEFT 사출 (ABS 난연 화이트 + 스프레이)
[ADX6000]</t>
        </is>
      </c>
      <c r="F154" s="24" t="inlineStr">
        <is>
          <t>O</t>
        </is>
      </c>
      <c r="G154" s="25" t="n"/>
      <c r="H154" s="26" t="n"/>
      <c r="I154" s="27">
        <f>IFERROR(IF(OR($F154="O",$G154="O",$H154="O"),CHOOSE(MATCH($A154,{"튜브","고압","진공","튜닝","조립","출하"},0),"T","H","V","N","A","P")&amp;IF($F154="O","R",IF($G154="O","A",IF($H154="O","F",""))),""),"")</f>
        <v/>
      </c>
      <c r="J154" s="15" t="n"/>
      <c r="K154" s="16" t="n"/>
      <c r="L154" s="17" t="inlineStr">
        <is>
          <t>O</t>
        </is>
      </c>
      <c r="M154" s="18" t="n"/>
      <c r="N154" s="19" t="n"/>
      <c r="O154" s="20" t="n"/>
      <c r="P154" s="21">
        <f>IF($I154="","",IF($J154="O","3","")&amp;IF($K154="O","4","")&amp;IF($L154="O","6","")&amp;IF($M154="O","7","")&amp;IF($N154="O","8","")&amp;IF($O154="O","?","")&amp;IF(OR($J154="O",$K154="O",$L154="O",$M154="O",$N154="O",$O154="O"),"-","")&amp;$I154)</f>
        <v/>
      </c>
      <c r="Q154" s="110">
        <f>HYPERLINK("#'마스터_품목'!A330","→ 마스터 R330")</f>
        <v/>
      </c>
      <c r="R154" s="111" t="n">
        <v>330</v>
      </c>
      <c r="S154" s="111" t="inlineStr">
        <is>
          <t>마스터_품목</t>
        </is>
      </c>
    </row>
    <row r="155" ht="48" customHeight="1">
      <c r="A155" s="22" t="inlineStr">
        <is>
          <t>조립</t>
        </is>
      </c>
      <c r="B155" s="22" t="inlineStr">
        <is>
          <t>사출 및 자재</t>
        </is>
      </c>
      <c r="C155" s="23" t="inlineStr">
        <is>
          <t>ADX6000 공용</t>
        </is>
      </c>
      <c r="D155" s="23" t="inlineStr">
        <is>
          <t>BODY LEFT 사출 배터리 커버</t>
        </is>
      </c>
      <c r="E155" s="23" t="inlineStr">
        <is>
          <t>BODY LEFT 사출 배터리 커버 (ABS 난연 화이트 + 스프레이)
[ADX6000]</t>
        </is>
      </c>
      <c r="F155" s="24" t="inlineStr">
        <is>
          <t>O</t>
        </is>
      </c>
      <c r="G155" s="25" t="n"/>
      <c r="H155" s="26" t="n"/>
      <c r="I155" s="27">
        <f>IFERROR(IF(OR($F155="O",$G155="O",$H155="O"),CHOOSE(MATCH($A155,{"튜브","고압","진공","튜닝","조립","출하"},0),"T","H","V","N","A","P")&amp;IF($F155="O","R",IF($G155="O","A",IF($H155="O","F",""))),""),"")</f>
        <v/>
      </c>
      <c r="J155" s="15" t="n"/>
      <c r="K155" s="16" t="n"/>
      <c r="L155" s="17" t="inlineStr">
        <is>
          <t>O</t>
        </is>
      </c>
      <c r="M155" s="18" t="n"/>
      <c r="N155" s="19" t="n"/>
      <c r="O155" s="20" t="n"/>
      <c r="P155" s="21">
        <f>IF($I155="","",IF($J155="O","3","")&amp;IF($K155="O","4","")&amp;IF($L155="O","6","")&amp;IF($M155="O","7","")&amp;IF($N155="O","8","")&amp;IF($O155="O","?","")&amp;IF(OR($J155="O",$K155="O",$L155="O",$M155="O",$N155="O",$O155="O"),"-","")&amp;$I155)</f>
        <v/>
      </c>
      <c r="Q155" s="110">
        <f>HYPERLINK("#'마스터_품목'!A331","→ 마스터 R331")</f>
        <v/>
      </c>
      <c r="R155" s="111" t="n">
        <v>331</v>
      </c>
      <c r="S155" s="111" t="inlineStr">
        <is>
          <t>마스터_품목</t>
        </is>
      </c>
    </row>
    <row r="156" ht="48" customHeight="1">
      <c r="A156" s="22" t="inlineStr">
        <is>
          <t>조립</t>
        </is>
      </c>
      <c r="B156" s="22" t="inlineStr">
        <is>
          <t>사출 및 자재</t>
        </is>
      </c>
      <c r="C156" s="23" t="inlineStr">
        <is>
          <t>ADX6000 공용</t>
        </is>
      </c>
      <c r="D156" s="23" t="inlineStr">
        <is>
          <t>Black Deco Guide</t>
        </is>
      </c>
      <c r="E156" s="23" t="inlineStr">
        <is>
          <t>Black Deco Guide (스모그 투명 아크릴)
[ADX6000]</t>
        </is>
      </c>
      <c r="F156" s="24" t="inlineStr">
        <is>
          <t>O</t>
        </is>
      </c>
      <c r="G156" s="25" t="n"/>
      <c r="H156" s="26" t="n"/>
      <c r="I156" s="27">
        <f>IFERROR(IF(OR($F156="O",$G156="O",$H156="O"),CHOOSE(MATCH($A156,{"튜브","고압","진공","튜닝","조립","출하"},0),"T","H","V","N","A","P")&amp;IF($F156="O","R",IF($G156="O","A",IF($H156="O","F",""))),""),"")</f>
        <v/>
      </c>
      <c r="J156" s="15" t="n"/>
      <c r="K156" s="16" t="n"/>
      <c r="L156" s="17" t="inlineStr">
        <is>
          <t>O</t>
        </is>
      </c>
      <c r="M156" s="18" t="n"/>
      <c r="N156" s="19" t="n"/>
      <c r="O156" s="20" t="n"/>
      <c r="P156" s="21">
        <f>IF($I156="","",IF($J156="O","3","")&amp;IF($K156="O","4","")&amp;IF($L156="O","6","")&amp;IF($M156="O","7","")&amp;IF($N156="O","8","")&amp;IF($O156="O","?","")&amp;IF(OR($J156="O",$K156="O",$L156="O",$M156="O",$N156="O",$O156="O"),"-","")&amp;$I156)</f>
        <v/>
      </c>
      <c r="Q156" s="110">
        <f>HYPERLINK("#'마스터_품목'!A332","→ 마스터 R332")</f>
        <v/>
      </c>
      <c r="R156" s="111" t="n">
        <v>332</v>
      </c>
      <c r="S156" s="111" t="inlineStr">
        <is>
          <t>마스터_품목</t>
        </is>
      </c>
    </row>
    <row r="157" ht="48" customHeight="1">
      <c r="A157" s="22" t="inlineStr">
        <is>
          <t>조립</t>
        </is>
      </c>
      <c r="B157" s="22" t="inlineStr">
        <is>
          <t>사출 및 자재</t>
        </is>
      </c>
      <c r="C157" s="23" t="inlineStr">
        <is>
          <t>ADX6000 공용</t>
        </is>
      </c>
      <c r="D157" s="23" t="inlineStr">
        <is>
          <t>Power Button 사출</t>
        </is>
      </c>
      <c r="E157" s="23" t="inlineStr">
        <is>
          <t>Power Button 사출 (스모그 투명 아크릴)
[ADX6000]</t>
        </is>
      </c>
      <c r="F157" s="24" t="inlineStr">
        <is>
          <t>O</t>
        </is>
      </c>
      <c r="G157" s="25" t="n"/>
      <c r="H157" s="26" t="n"/>
      <c r="I157" s="27">
        <f>IFERROR(IF(OR($F157="O",$G157="O",$H157="O"),CHOOSE(MATCH($A157,{"튜브","고압","진공","튜닝","조립","출하"},0),"T","H","V","N","A","P")&amp;IF($F157="O","R",IF($G157="O","A",IF($H157="O","F",""))),""),"")</f>
        <v/>
      </c>
      <c r="J157" s="15" t="n"/>
      <c r="K157" s="16" t="n"/>
      <c r="L157" s="17" t="inlineStr">
        <is>
          <t>O</t>
        </is>
      </c>
      <c r="M157" s="18" t="n"/>
      <c r="N157" s="19" t="n"/>
      <c r="O157" s="20" t="n"/>
      <c r="P157" s="21">
        <f>IF($I157="","",IF($J157="O","3","")&amp;IF($K157="O","4","")&amp;IF($L157="O","6","")&amp;IF($M157="O","7","")&amp;IF($N157="O","8","")&amp;IF($O157="O","?","")&amp;IF(OR($J157="O",$K157="O",$L157="O",$M157="O",$N157="O",$O157="O"),"-","")&amp;$I157)</f>
        <v/>
      </c>
      <c r="Q157" s="110">
        <f>HYPERLINK("#'마스터_품목'!A333","→ 마스터 R333")</f>
        <v/>
      </c>
      <c r="R157" s="111" t="n">
        <v>333</v>
      </c>
      <c r="S157" s="111" t="inlineStr">
        <is>
          <t>마스터_품목</t>
        </is>
      </c>
    </row>
    <row r="158" ht="48" customHeight="1">
      <c r="A158" s="22" t="inlineStr">
        <is>
          <t>조립</t>
        </is>
      </c>
      <c r="B158" s="22" t="inlineStr">
        <is>
          <t>사출 및 자재</t>
        </is>
      </c>
      <c r="C158" s="23" t="inlineStr">
        <is>
          <t>ADX6000
ADX6000U</t>
        </is>
      </c>
      <c r="D158" s="23" t="inlineStr">
        <is>
          <t>Micro USB 사출 가이드</t>
        </is>
      </c>
      <c r="E158" s="23" t="inlineStr">
        <is>
          <t>Micro USB 사출 가이드 (ABS 난연 화이트 + 스프레이)
[ADX6000]</t>
        </is>
      </c>
      <c r="F158" s="24" t="inlineStr">
        <is>
          <t>O</t>
        </is>
      </c>
      <c r="G158" s="25" t="n"/>
      <c r="H158" s="26" t="n"/>
      <c r="I158" s="27">
        <f>IFERROR(IF(OR($F158="O",$G158="O",$H158="O"),CHOOSE(MATCH($A158,{"튜브","고압","진공","튜닝","조립","출하"},0),"T","H","V","N","A","P")&amp;IF($F158="O","R",IF($G158="O","A",IF($H158="O","F",""))),""),"")</f>
        <v/>
      </c>
      <c r="J158" s="15" t="n"/>
      <c r="K158" s="16" t="n"/>
      <c r="L158" s="17" t="inlineStr">
        <is>
          <t>O</t>
        </is>
      </c>
      <c r="M158" s="18" t="n"/>
      <c r="N158" s="19" t="n"/>
      <c r="O158" s="20" t="n"/>
      <c r="P158" s="21">
        <f>IF($I158="","",IF($J158="O","3","")&amp;IF($K158="O","4","")&amp;IF($L158="O","6","")&amp;IF($M158="O","7","")&amp;IF($N158="O","8","")&amp;IF($O158="O","?","")&amp;IF(OR($J158="O",$K158="O",$L158="O",$M158="O",$N158="O",$O158="O"),"-","")&amp;$I158)</f>
        <v/>
      </c>
      <c r="Q158" s="110">
        <f>HYPERLINK("#'마스터_품목'!A334","→ 마스터 R334")</f>
        <v/>
      </c>
      <c r="R158" s="111" t="n">
        <v>334</v>
      </c>
      <c r="S158" s="111" t="inlineStr">
        <is>
          <t>마스터_품목</t>
        </is>
      </c>
    </row>
    <row r="159" ht="48" customHeight="1">
      <c r="A159" s="22" t="inlineStr">
        <is>
          <t>조립</t>
        </is>
      </c>
      <c r="B159" s="22" t="inlineStr">
        <is>
          <t>사출 및 자재</t>
        </is>
      </c>
      <c r="C159" s="23" t="inlineStr">
        <is>
          <t>ADX6000 공용</t>
        </is>
      </c>
      <c r="D159" s="23" t="inlineStr">
        <is>
          <t>Main PC 거치대 사출</t>
        </is>
      </c>
      <c r="E159" s="23" t="inlineStr">
        <is>
          <t>Main PC 거치대 사출 (ABS 난연 화이트)
[ADX6000]</t>
        </is>
      </c>
      <c r="F159" s="24" t="inlineStr">
        <is>
          <t>O</t>
        </is>
      </c>
      <c r="G159" s="25" t="n"/>
      <c r="H159" s="26" t="n"/>
      <c r="I159" s="27">
        <f>IFERROR(IF(OR($F159="O",$G159="O",$H159="O"),CHOOSE(MATCH($A159,{"튜브","고압","진공","튜닝","조립","출하"},0),"T","H","V","N","A","P")&amp;IF($F159="O","R",IF($G159="O","A",IF($H159="O","F",""))),""),"")</f>
        <v/>
      </c>
      <c r="J159" s="15" t="n"/>
      <c r="K159" s="16" t="n"/>
      <c r="L159" s="17" t="inlineStr">
        <is>
          <t>O</t>
        </is>
      </c>
      <c r="M159" s="18" t="n"/>
      <c r="N159" s="19" t="n"/>
      <c r="O159" s="20" t="n"/>
      <c r="P159" s="21">
        <f>IF($I159="","",IF($J159="O","3","")&amp;IF($K159="O","4","")&amp;IF($L159="O","6","")&amp;IF($M159="O","7","")&amp;IF($N159="O","8","")&amp;IF($O159="O","?","")&amp;IF(OR($J159="O",$K159="O",$L159="O",$M159="O",$N159="O",$O159="O"),"-","")&amp;$I159)</f>
        <v/>
      </c>
      <c r="Q159" s="110">
        <f>HYPERLINK("#'마스터_품목'!A335","→ 마스터 R335")</f>
        <v/>
      </c>
      <c r="R159" s="111" t="n">
        <v>335</v>
      </c>
      <c r="S159" s="111" t="inlineStr">
        <is>
          <t>마스터_품목</t>
        </is>
      </c>
    </row>
    <row r="160" ht="48" customHeight="1">
      <c r="A160" s="22" t="inlineStr">
        <is>
          <t>조립</t>
        </is>
      </c>
      <c r="B160" s="22" t="inlineStr">
        <is>
          <t>사출 및 자재</t>
        </is>
      </c>
      <c r="C160" s="23" t="inlineStr">
        <is>
          <t>ADX6000 공용</t>
        </is>
      </c>
      <c r="D160" s="23" t="inlineStr">
        <is>
          <t>손잡이 핀</t>
        </is>
      </c>
      <c r="E160" s="23" t="inlineStr">
        <is>
          <t>손잡이 핀 (가공)
[ADX6000]</t>
        </is>
      </c>
      <c r="F160" s="24" t="inlineStr">
        <is>
          <t>O</t>
        </is>
      </c>
      <c r="G160" s="25" t="n"/>
      <c r="H160" s="26" t="n"/>
      <c r="I160" s="27">
        <f>IFERROR(IF(OR($F160="O",$G160="O",$H160="O"),CHOOSE(MATCH($A160,{"튜브","고압","진공","튜닝","조립","출하"},0),"T","H","V","N","A","P")&amp;IF($F160="O","R",IF($G160="O","A",IF($H160="O","F",""))),""),"")</f>
        <v/>
      </c>
      <c r="J160" s="15" t="n"/>
      <c r="K160" s="16" t="n"/>
      <c r="L160" s="17" t="inlineStr">
        <is>
          <t>O</t>
        </is>
      </c>
      <c r="M160" s="18" t="n"/>
      <c r="N160" s="19" t="n"/>
      <c r="O160" s="20" t="n"/>
      <c r="P160" s="21">
        <f>IF($I160="","",IF($J160="O","3","")&amp;IF($K160="O","4","")&amp;IF($L160="O","6","")&amp;IF($M160="O","7","")&amp;IF($N160="O","8","")&amp;IF($O160="O","?","")&amp;IF(OR($J160="O",$K160="O",$L160="O",$M160="O",$N160="O",$O160="O"),"-","")&amp;$I160)</f>
        <v/>
      </c>
      <c r="Q160" s="110">
        <f>HYPERLINK("#'마스터_품목'!A336","→ 마스터 R336")</f>
        <v/>
      </c>
      <c r="R160" s="111" t="n">
        <v>336</v>
      </c>
      <c r="S160" s="111" t="inlineStr">
        <is>
          <t>마스터_품목</t>
        </is>
      </c>
    </row>
    <row r="161" ht="48" customHeight="1">
      <c r="A161" s="22" t="inlineStr">
        <is>
          <t>조립</t>
        </is>
      </c>
      <c r="B161" s="22" t="inlineStr">
        <is>
          <t>사출 및 자재</t>
        </is>
      </c>
      <c r="C161" s="23" t="inlineStr">
        <is>
          <t>ADX6000
ADX6000U</t>
        </is>
      </c>
      <c r="D161" s="23" t="inlineStr">
        <is>
          <t>Front Port Sticker (전면 포트 스티커)</t>
        </is>
      </c>
      <c r="E161" s="23" t="inlineStr">
        <is>
          <t>Front Port Sticker
[ADX6000]</t>
        </is>
      </c>
      <c r="F161" s="24" t="inlineStr">
        <is>
          <t>O</t>
        </is>
      </c>
      <c r="G161" s="25" t="n"/>
      <c r="H161" s="26" t="n"/>
      <c r="I161" s="27">
        <f>IFERROR(IF(OR($F161="O",$G161="O",$H161="O"),CHOOSE(MATCH($A161,{"튜브","고압","진공","튜닝","조립","출하"},0),"T","H","V","N","A","P")&amp;IF($F161="O","R",IF($G161="O","A",IF($H161="O","F",""))),""),"")</f>
        <v/>
      </c>
      <c r="J161" s="15" t="n"/>
      <c r="K161" s="16" t="n"/>
      <c r="L161" s="17" t="inlineStr">
        <is>
          <t>O</t>
        </is>
      </c>
      <c r="M161" s="18" t="n"/>
      <c r="N161" s="19" t="n"/>
      <c r="O161" s="20" t="n"/>
      <c r="P161" s="21">
        <f>IF($I161="","",IF($J161="O","3","")&amp;IF($K161="O","4","")&amp;IF($L161="O","6","")&amp;IF($M161="O","7","")&amp;IF($N161="O","8","")&amp;IF($O161="O","?","")&amp;IF(OR($J161="O",$K161="O",$L161="O",$M161="O",$N161="O",$O161="O"),"-","")&amp;$I161)</f>
        <v/>
      </c>
      <c r="Q161" s="110">
        <f>HYPERLINK("#'마스터_품목'!A337","→ 마스터 R337")</f>
        <v/>
      </c>
      <c r="R161" s="111" t="n">
        <v>337</v>
      </c>
      <c r="S161" s="111" t="inlineStr">
        <is>
          <t>마스터_품목</t>
        </is>
      </c>
    </row>
    <row r="162" ht="48" customHeight="1">
      <c r="A162" s="22" t="inlineStr">
        <is>
          <t>조립</t>
        </is>
      </c>
      <c r="B162" s="22" t="inlineStr">
        <is>
          <t>사출 및 자재</t>
        </is>
      </c>
      <c r="C162" s="23" t="inlineStr">
        <is>
          <t>ADX6000FB
ADX6000s</t>
        </is>
      </c>
      <c r="D162" s="23" t="inlineStr">
        <is>
          <t>ETC FRONT BD  (리모콘 포트 수정 신형 얇은것)</t>
        </is>
      </c>
      <c r="E162" s="1" t="inlineStr">
        <is>
          <t>ETC FRONT BD (리모콘 포트 수정 신형 얇은 것)
[ADX6000S]</t>
        </is>
      </c>
      <c r="F162" s="24" t="inlineStr">
        <is>
          <t>O</t>
        </is>
      </c>
      <c r="G162" s="25" t="n"/>
      <c r="H162" s="26" t="n"/>
      <c r="I162" s="27">
        <f>IFERROR(IF(OR($F162="O",$G162="O",$H162="O"),CHOOSE(MATCH($A162,{"튜브","고압","진공","튜닝","조립","출하"},0),"T","H","V","N","A","P")&amp;IF($F162="O","R",IF($G162="O","A",IF($H162="O","F",""))),""),"")</f>
        <v/>
      </c>
      <c r="J162" s="15" t="n"/>
      <c r="K162" s="16" t="n"/>
      <c r="L162" s="17" t="inlineStr">
        <is>
          <t>O</t>
        </is>
      </c>
      <c r="M162" s="18" t="n"/>
      <c r="N162" s="19" t="n"/>
      <c r="O162" s="20" t="n"/>
      <c r="P162" s="21">
        <f>IF($I162="","",IF($J162="O","3","")&amp;IF($K162="O","4","")&amp;IF($L162="O","6","")&amp;IF($M162="O","7","")&amp;IF($N162="O","8","")&amp;IF($O162="O","?","")&amp;IF(OR($J162="O",$K162="O",$L162="O",$M162="O",$N162="O",$O162="O"),"-","")&amp;$I162)</f>
        <v/>
      </c>
      <c r="Q162" s="110">
        <f>HYPERLINK("#'마스터_품목'!A338","→ 마스터 R338")</f>
        <v/>
      </c>
      <c r="R162" s="111" t="n">
        <v>338</v>
      </c>
      <c r="S162" s="111" t="inlineStr">
        <is>
          <t>마스터_품목</t>
        </is>
      </c>
    </row>
    <row r="163" ht="48" customHeight="1">
      <c r="A163" s="22" t="inlineStr">
        <is>
          <t>조립</t>
        </is>
      </c>
      <c r="B163" s="22" t="inlineStr">
        <is>
          <t>사출 및 자재</t>
        </is>
      </c>
      <c r="C163" s="23" t="inlineStr">
        <is>
          <t>ADX6000FB
ADX6000s</t>
        </is>
      </c>
      <c r="D163" s="23" t="inlineStr">
        <is>
          <t>리모콘 포트 가이드</t>
        </is>
      </c>
      <c r="E163" s="23" t="inlineStr">
        <is>
          <t>리모콘 포트 가이드 (ABS 난연 화이트)
[ADX6000]</t>
        </is>
      </c>
      <c r="F163" s="24" t="inlineStr">
        <is>
          <t>O</t>
        </is>
      </c>
      <c r="G163" s="25" t="n"/>
      <c r="H163" s="26" t="n"/>
      <c r="I163" s="27">
        <f>IFERROR(IF(OR($F163="O",$G163="O",$H163="O"),CHOOSE(MATCH($A163,{"튜브","고압","진공","튜닝","조립","출하"},0),"T","H","V","N","A","P")&amp;IF($F163="O","R",IF($G163="O","A",IF($H163="O","F",""))),""),"")</f>
        <v/>
      </c>
      <c r="J163" s="15" t="n"/>
      <c r="K163" s="16" t="n"/>
      <c r="L163" s="17" t="inlineStr">
        <is>
          <t>O</t>
        </is>
      </c>
      <c r="M163" s="18" t="n"/>
      <c r="N163" s="19" t="n"/>
      <c r="O163" s="20" t="n"/>
      <c r="P163" s="21">
        <f>IF($I163="","",IF($J163="O","3","")&amp;IF($K163="O","4","")&amp;IF($L163="O","6","")&amp;IF($M163="O","7","")&amp;IF($N163="O","8","")&amp;IF($O163="O","?","")&amp;IF(OR($J163="O",$K163="O",$L163="O",$M163="O",$N163="O",$O163="O"),"-","")&amp;$I163)</f>
        <v/>
      </c>
      <c r="Q163" s="110">
        <f>HYPERLINK("#'마스터_품목'!A339","→ 마스터 R339")</f>
        <v/>
      </c>
      <c r="R163" s="111" t="n">
        <v>339</v>
      </c>
      <c r="S163" s="111" t="inlineStr">
        <is>
          <t>마스터_품목</t>
        </is>
      </c>
    </row>
    <row r="164" ht="48" customHeight="1">
      <c r="A164" s="22" t="inlineStr">
        <is>
          <t>조립</t>
        </is>
      </c>
      <c r="B164" s="22" t="inlineStr">
        <is>
          <t>사출 및 자재</t>
        </is>
      </c>
      <c r="C164" s="23" t="inlineStr">
        <is>
          <t>ADX6000FB
ADX6000s</t>
        </is>
      </c>
      <c r="D164" s="23" t="inlineStr">
        <is>
          <t>Front Port Sticker 
(리모콘 포트 수정 신형)</t>
        </is>
      </c>
      <c r="E164" s="23" t="inlineStr">
        <is>
          <t>Front Port Sticker (리모콘 포트 수정 신형)
[ADX6000S]</t>
        </is>
      </c>
      <c r="F164" s="24" t="inlineStr">
        <is>
          <t>O</t>
        </is>
      </c>
      <c r="G164" s="25" t="n"/>
      <c r="H164" s="26" t="n"/>
      <c r="I164" s="27">
        <f>IFERROR(IF(OR($F164="O",$G164="O",$H164="O"),CHOOSE(MATCH($A164,{"튜브","고압","진공","튜닝","조립","출하"},0),"T","H","V","N","A","P")&amp;IF($F164="O","R",IF($G164="O","A",IF($H164="O","F",""))),""),"")</f>
        <v/>
      </c>
      <c r="J164" s="15" t="n"/>
      <c r="K164" s="16" t="n"/>
      <c r="L164" s="17" t="inlineStr">
        <is>
          <t>O</t>
        </is>
      </c>
      <c r="M164" s="18" t="n"/>
      <c r="N164" s="19" t="n"/>
      <c r="O164" s="20" t="n"/>
      <c r="P164" s="21">
        <f>IF($I164="","",IF($J164="O","3","")&amp;IF($K164="O","4","")&amp;IF($L164="O","6","")&amp;IF($M164="O","7","")&amp;IF($N164="O","8","")&amp;IF($O164="O","?","")&amp;IF(OR($J164="O",$K164="O",$L164="O",$M164="O",$N164="O",$O164="O"),"-","")&amp;$I164)</f>
        <v/>
      </c>
      <c r="Q164" s="110">
        <f>HYPERLINK("#'마스터_품목'!A340","→ 마스터 R340")</f>
        <v/>
      </c>
      <c r="R164" s="111" t="n">
        <v>340</v>
      </c>
      <c r="S164" s="111" t="inlineStr">
        <is>
          <t>마스터_품목</t>
        </is>
      </c>
    </row>
    <row r="165" ht="48" customHeight="1">
      <c r="A165" s="22" t="inlineStr">
        <is>
          <t>조립</t>
        </is>
      </c>
      <c r="B165" s="22" t="inlineStr">
        <is>
          <t>사출 및 자재</t>
        </is>
      </c>
      <c r="C165" s="23" t="inlineStr">
        <is>
          <t>ADX6000FB
ADX6000s</t>
        </is>
      </c>
      <c r="D165" s="23" t="inlineStr">
        <is>
          <t>Front Port Sticker 
(USB 포트 제거형)</t>
        </is>
      </c>
      <c r="E165" s="23" t="inlineStr">
        <is>
          <t>Front Port Sticker (USB 포트 제거형)
[ADX6000S]</t>
        </is>
      </c>
      <c r="F165" s="24" t="inlineStr">
        <is>
          <t>O</t>
        </is>
      </c>
      <c r="G165" s="25" t="n"/>
      <c r="H165" s="26" t="n"/>
      <c r="I165" s="27">
        <f>IFERROR(IF(OR($F165="O",$G165="O",$H165="O"),CHOOSE(MATCH($A165,{"튜브","고압","진공","튜닝","조립","출하"},0),"T","H","V","N","A","P")&amp;IF($F165="O","R",IF($G165="O","A",IF($H165="O","F",""))),""),"")</f>
        <v/>
      </c>
      <c r="J165" s="15" t="n"/>
      <c r="K165" s="16" t="n"/>
      <c r="L165" s="17" t="inlineStr">
        <is>
          <t>O</t>
        </is>
      </c>
      <c r="M165" s="18" t="n"/>
      <c r="N165" s="19" t="n"/>
      <c r="O165" s="20" t="n"/>
      <c r="P165" s="21">
        <f>IF($I165="","",IF($J165="O","3","")&amp;IF($K165="O","4","")&amp;IF($L165="O","6","")&amp;IF($M165="O","7","")&amp;IF($N165="O","8","")&amp;IF($O165="O","?","")&amp;IF(OR($J165="O",$K165="O",$L165="O",$M165="O",$N165="O",$O165="O"),"-","")&amp;$I165)</f>
        <v/>
      </c>
      <c r="Q165" s="110">
        <f>HYPERLINK("#'마스터_품목'!A341","→ 마스터 R341")</f>
        <v/>
      </c>
      <c r="R165" s="111" t="n">
        <v>341</v>
      </c>
      <c r="S165" s="111" t="inlineStr">
        <is>
          <t>마스터_품목</t>
        </is>
      </c>
    </row>
    <row r="166" ht="48" customHeight="1">
      <c r="A166" s="22" t="inlineStr">
        <is>
          <t>조립</t>
        </is>
      </c>
      <c r="B166" s="22" t="inlineStr">
        <is>
          <t>사출 및 자재</t>
        </is>
      </c>
      <c r="C166" s="23" t="inlineStr">
        <is>
          <t>ADX6000 공용</t>
        </is>
      </c>
      <c r="D166" s="23" t="inlineStr">
        <is>
          <t>BODY RIGHT 사출</t>
        </is>
      </c>
      <c r="E166" s="23" t="inlineStr">
        <is>
          <t>BODY RIGHT 사출 (ABS 난연 화이트 + 스프레이)
[ADX6000]</t>
        </is>
      </c>
      <c r="F166" s="24" t="inlineStr">
        <is>
          <t>O</t>
        </is>
      </c>
      <c r="G166" s="25" t="n"/>
      <c r="H166" s="26" t="n"/>
      <c r="I166" s="27">
        <f>IFERROR(IF(OR($F166="O",$G166="O",$H166="O"),CHOOSE(MATCH($A166,{"튜브","고압","진공","튜닝","조립","출하"},0),"T","H","V","N","A","P")&amp;IF($F166="O","R",IF($G166="O","A",IF($H166="O","F",""))),""),"")</f>
        <v/>
      </c>
      <c r="J166" s="15" t="n"/>
      <c r="K166" s="16" t="n"/>
      <c r="L166" s="17" t="inlineStr">
        <is>
          <t>O</t>
        </is>
      </c>
      <c r="M166" s="18" t="n"/>
      <c r="N166" s="19" t="n"/>
      <c r="O166" s="20" t="n"/>
      <c r="P166" s="21">
        <f>IF($I166="","",IF($J166="O","3","")&amp;IF($K166="O","4","")&amp;IF($L166="O","6","")&amp;IF($M166="O","7","")&amp;IF($N166="O","8","")&amp;IF($O166="O","?","")&amp;IF(OR($J166="O",$K166="O",$L166="O",$M166="O",$N166="O",$O166="O"),"-","")&amp;$I166)</f>
        <v/>
      </c>
      <c r="Q166" s="110">
        <f>HYPERLINK("#'마스터_품목'!A342","→ 마스터 R342")</f>
        <v/>
      </c>
      <c r="R166" s="111" t="n">
        <v>342</v>
      </c>
      <c r="S166" s="111" t="inlineStr">
        <is>
          <t>마스터_품목</t>
        </is>
      </c>
    </row>
    <row r="167" ht="48" customHeight="1">
      <c r="A167" s="22" t="inlineStr">
        <is>
          <t>조립</t>
        </is>
      </c>
      <c r="B167" s="22" t="inlineStr">
        <is>
          <t>사출 및 자재</t>
        </is>
      </c>
      <c r="C167" s="23" t="inlineStr">
        <is>
          <t>ADX6000 공용</t>
        </is>
      </c>
      <c r="D167" s="23" t="inlineStr">
        <is>
          <t>HANDLE RIGHT 사출</t>
        </is>
      </c>
      <c r="E167" s="23" t="inlineStr">
        <is>
          <t>HANDLE RIGHT 사출 (ABS 난연 화이트 + 스프레이)
[ADX6000]</t>
        </is>
      </c>
      <c r="F167" s="24" t="inlineStr">
        <is>
          <t>O</t>
        </is>
      </c>
      <c r="G167" s="25" t="n"/>
      <c r="H167" s="26" t="n"/>
      <c r="I167" s="27">
        <f>IFERROR(IF(OR($F167="O",$G167="O",$H167="O"),CHOOSE(MATCH($A167,{"튜브","고압","진공","튜닝","조립","출하"},0),"T","H","V","N","A","P")&amp;IF($F167="O","R",IF($G167="O","A",IF($H167="O","F",""))),""),"")</f>
        <v/>
      </c>
      <c r="J167" s="15" t="n"/>
      <c r="K167" s="16" t="n"/>
      <c r="L167" s="17" t="inlineStr">
        <is>
          <t>O</t>
        </is>
      </c>
      <c r="M167" s="18" t="n"/>
      <c r="N167" s="19" t="n"/>
      <c r="O167" s="20" t="n"/>
      <c r="P167" s="21">
        <f>IF($I167="","",IF($J167="O","3","")&amp;IF($K167="O","4","")&amp;IF($L167="O","6","")&amp;IF($M167="O","7","")&amp;IF($N167="O","8","")&amp;IF($O167="O","?","")&amp;IF(OR($J167="O",$K167="O",$L167="O",$M167="O",$N167="O",$O167="O"),"-","")&amp;$I167)</f>
        <v/>
      </c>
      <c r="Q167" s="110">
        <f>HYPERLINK("#'마스터_품목'!A343","→ 마스터 R343")</f>
        <v/>
      </c>
      <c r="R167" s="111" t="n">
        <v>343</v>
      </c>
      <c r="S167" s="111" t="inlineStr">
        <is>
          <t>마스터_품목</t>
        </is>
      </c>
    </row>
    <row r="168" ht="48" customHeight="1">
      <c r="A168" s="22" t="inlineStr">
        <is>
          <t>조립</t>
        </is>
      </c>
      <c r="B168" s="22" t="inlineStr">
        <is>
          <t>사출 및 자재</t>
        </is>
      </c>
      <c r="C168" s="23" t="inlineStr">
        <is>
          <t>ADX6000 공용</t>
        </is>
      </c>
      <c r="D168" s="23" t="inlineStr">
        <is>
          <t>LCD 사출 나사 커버</t>
        </is>
      </c>
      <c r="E168" s="23" t="inlineStr">
        <is>
          <t>LCD 사출 나사 커버 (ABS 난연 화이트 + 스프레이)
[ADX6000]</t>
        </is>
      </c>
      <c r="F168" s="24" t="inlineStr">
        <is>
          <t>O</t>
        </is>
      </c>
      <c r="G168" s="25" t="n"/>
      <c r="H168" s="26" t="n"/>
      <c r="I168" s="27">
        <f>IFERROR(IF(OR($F168="O",$G168="O",$H168="O"),CHOOSE(MATCH($A168,{"튜브","고압","진공","튜닝","조립","출하"},0),"T","H","V","N","A","P")&amp;IF($F168="O","R",IF($G168="O","A",IF($H168="O","F",""))),""),"")</f>
        <v/>
      </c>
      <c r="J168" s="15" t="n"/>
      <c r="K168" s="16" t="n"/>
      <c r="L168" s="17" t="inlineStr">
        <is>
          <t>O</t>
        </is>
      </c>
      <c r="M168" s="18" t="n"/>
      <c r="N168" s="19" t="n"/>
      <c r="O168" s="20" t="n"/>
      <c r="P168" s="21">
        <f>IF($I168="","",IF($J168="O","3","")&amp;IF($K168="O","4","")&amp;IF($L168="O","6","")&amp;IF($M168="O","7","")&amp;IF($N168="O","8","")&amp;IF($O168="O","?","")&amp;IF(OR($J168="O",$K168="O",$L168="O",$M168="O",$N168="O",$O168="O"),"-","")&amp;$I168)</f>
        <v/>
      </c>
      <c r="Q168" s="110">
        <f>HYPERLINK("#'마스터_품목'!A344","→ 마스터 R344")</f>
        <v/>
      </c>
      <c r="R168" s="111" t="n">
        <v>344</v>
      </c>
      <c r="S168" s="111" t="inlineStr">
        <is>
          <t>마스터_품목</t>
        </is>
      </c>
    </row>
    <row r="169" ht="48" customHeight="1">
      <c r="A169" s="22" t="inlineStr">
        <is>
          <t>조립</t>
        </is>
      </c>
      <c r="B169" s="22" t="inlineStr">
        <is>
          <t>사출 및 자재</t>
        </is>
      </c>
      <c r="C169" s="23" t="inlineStr">
        <is>
          <t>ADX6000 공용</t>
        </is>
      </c>
      <c r="D169" s="23" t="inlineStr">
        <is>
          <t>HANDLE LEFT 사출</t>
        </is>
      </c>
      <c r="E169" s="23" t="inlineStr">
        <is>
          <t>HANDLE LEFT 사출 (ABS 난연 화이트 + 스프레이)
[ADX6000]</t>
        </is>
      </c>
      <c r="F169" s="24" t="inlineStr">
        <is>
          <t>O</t>
        </is>
      </c>
      <c r="G169" s="25" t="n"/>
      <c r="H169" s="26" t="n"/>
      <c r="I169" s="27">
        <f>IFERROR(IF(OR($F169="O",$G169="O",$H169="O"),CHOOSE(MATCH($A169,{"튜브","고압","진공","튜닝","조립","출하"},0),"T","H","V","N","A","P")&amp;IF($F169="O","R",IF($G169="O","A",IF($H169="O","F",""))),""),"")</f>
        <v/>
      </c>
      <c r="J169" s="15" t="n"/>
      <c r="K169" s="16" t="n"/>
      <c r="L169" s="17" t="inlineStr">
        <is>
          <t>O</t>
        </is>
      </c>
      <c r="M169" s="18" t="n"/>
      <c r="N169" s="19" t="n"/>
      <c r="O169" s="20" t="n"/>
      <c r="P169" s="21">
        <f>IF($I169="","",IF($J169="O","3","")&amp;IF($K169="O","4","")&amp;IF($L169="O","6","")&amp;IF($M169="O","7","")&amp;IF($N169="O","8","")&amp;IF($O169="O","?","")&amp;IF(OR($J169="O",$K169="O",$L169="O",$M169="O",$N169="O",$O169="O"),"-","")&amp;$I169)</f>
        <v/>
      </c>
      <c r="Q169" s="110">
        <f>HYPERLINK("#'마스터_품목'!A345","→ 마스터 R345")</f>
        <v/>
      </c>
      <c r="R169" s="111" t="n">
        <v>345</v>
      </c>
      <c r="S169" s="111" t="inlineStr">
        <is>
          <t>마스터_품목</t>
        </is>
      </c>
    </row>
    <row r="170" ht="48" customHeight="1">
      <c r="A170" s="22" t="inlineStr">
        <is>
          <t>조립</t>
        </is>
      </c>
      <c r="B170" s="22" t="inlineStr">
        <is>
          <t>사출 및 자재</t>
        </is>
      </c>
      <c r="C170" s="23" t="inlineStr">
        <is>
          <t>ADX6000 공용</t>
        </is>
      </c>
      <c r="D170" s="23" t="inlineStr">
        <is>
          <t>EX Button 사출</t>
        </is>
      </c>
      <c r="E170" s="23" t="inlineStr">
        <is>
          <t>EX Button 사출 (스모그 투명 아크릴)
[ADX6000]</t>
        </is>
      </c>
      <c r="F170" s="24" t="inlineStr">
        <is>
          <t>O</t>
        </is>
      </c>
      <c r="G170" s="25" t="n"/>
      <c r="H170" s="26" t="n"/>
      <c r="I170" s="27">
        <f>IFERROR(IF(OR($F170="O",$G170="O",$H170="O"),CHOOSE(MATCH($A170,{"튜브","고압","진공","튜닝","조립","출하"},0),"T","H","V","N","A","P")&amp;IF($F170="O","R",IF($G170="O","A",IF($H170="O","F",""))),""),"")</f>
        <v/>
      </c>
      <c r="J170" s="15" t="n"/>
      <c r="K170" s="16" t="n"/>
      <c r="L170" s="17" t="inlineStr">
        <is>
          <t>O</t>
        </is>
      </c>
      <c r="M170" s="18" t="n"/>
      <c r="N170" s="19" t="n"/>
      <c r="O170" s="20" t="n"/>
      <c r="P170" s="21">
        <f>IF($I170="","",IF($J170="O","3","")&amp;IF($K170="O","4","")&amp;IF($L170="O","6","")&amp;IF($M170="O","7","")&amp;IF($N170="O","8","")&amp;IF($O170="O","?","")&amp;IF(OR($J170="O",$K170="O",$L170="O",$M170="O",$N170="O",$O170="O"),"-","")&amp;$I170)</f>
        <v/>
      </c>
      <c r="Q170" s="110">
        <f>HYPERLINK("#'마스터_품목'!A346","→ 마스터 R346")</f>
        <v/>
      </c>
      <c r="R170" s="111" t="n">
        <v>346</v>
      </c>
      <c r="S170" s="111" t="inlineStr">
        <is>
          <t>마스터_품목</t>
        </is>
      </c>
    </row>
    <row r="171" ht="48" customHeight="1">
      <c r="A171" s="22" t="inlineStr">
        <is>
          <t>조립</t>
        </is>
      </c>
      <c r="B171" s="22" t="inlineStr">
        <is>
          <t>사출 및 자재</t>
        </is>
      </c>
      <c r="C171" s="23" t="inlineStr">
        <is>
          <t>ADX6000 공용</t>
        </is>
      </c>
      <c r="D171" s="23" t="inlineStr">
        <is>
          <t>크래들 TOP 사출</t>
        </is>
      </c>
      <c r="E171" s="23" t="inlineStr">
        <is>
          <t>CRADLE TOP 사출 (ABS 난연 화이트 + 스프레이)
[ADX6000]</t>
        </is>
      </c>
      <c r="F171" s="24" t="inlineStr">
        <is>
          <t>O</t>
        </is>
      </c>
      <c r="G171" s="25" t="n"/>
      <c r="H171" s="26" t="n"/>
      <c r="I171" s="27">
        <f>IFERROR(IF(OR($F171="O",$G171="O",$H171="O"),CHOOSE(MATCH($A171,{"튜브","고압","진공","튜닝","조립","출하"},0),"T","H","V","N","A","P")&amp;IF($F171="O","R",IF($G171="O","A",IF($H171="O","F",""))),""),"")</f>
        <v/>
      </c>
      <c r="J171" s="15" t="n"/>
      <c r="K171" s="16" t="n"/>
      <c r="L171" s="17" t="inlineStr">
        <is>
          <t>O</t>
        </is>
      </c>
      <c r="M171" s="18" t="n"/>
      <c r="N171" s="19" t="n"/>
      <c r="O171" s="20" t="n"/>
      <c r="P171" s="21">
        <f>IF($I171="","",IF($J171="O","3","")&amp;IF($K171="O","4","")&amp;IF($L171="O","6","")&amp;IF($M171="O","7","")&amp;IF($N171="O","8","")&amp;IF($O171="O","?","")&amp;IF(OR($J171="O",$K171="O",$L171="O",$M171="O",$N171="O",$O171="O"),"-","")&amp;$I171)</f>
        <v/>
      </c>
      <c r="Q171" s="110">
        <f>HYPERLINK("#'마스터_품목'!A347","→ 마스터 R347")</f>
        <v/>
      </c>
      <c r="R171" s="111" t="n">
        <v>347</v>
      </c>
      <c r="S171" s="111" t="inlineStr">
        <is>
          <t>마스터_품목</t>
        </is>
      </c>
    </row>
    <row r="172" ht="48" customHeight="1">
      <c r="A172" s="22" t="inlineStr">
        <is>
          <t>조립</t>
        </is>
      </c>
      <c r="B172" s="22" t="inlineStr">
        <is>
          <t>사출 및 자재</t>
        </is>
      </c>
      <c r="C172" s="23" t="inlineStr">
        <is>
          <t>ADX6000 공용</t>
        </is>
      </c>
      <c r="D172" s="23" t="inlineStr">
        <is>
          <t>크래들 BOTTOM 사출</t>
        </is>
      </c>
      <c r="E172" s="23" t="inlineStr">
        <is>
          <t>CRADLE BOTTOM 사출 (ABS 난연 화이트 + 스프레이 블랙)
[ADX6000]</t>
        </is>
      </c>
      <c r="F172" s="24" t="inlineStr">
        <is>
          <t>O</t>
        </is>
      </c>
      <c r="G172" s="25" t="n"/>
      <c r="H172" s="26" t="n"/>
      <c r="I172" s="27">
        <f>IFERROR(IF(OR($F172="O",$G172="O",$H172="O"),CHOOSE(MATCH($A172,{"튜브","고압","진공","튜닝","조립","출하"},0),"T","H","V","N","A","P")&amp;IF($F172="O","R",IF($G172="O","A",IF($H172="O","F",""))),""),"")</f>
        <v/>
      </c>
      <c r="J172" s="15" t="n"/>
      <c r="K172" s="16" t="n"/>
      <c r="L172" s="17" t="inlineStr">
        <is>
          <t>O</t>
        </is>
      </c>
      <c r="M172" s="18" t="n"/>
      <c r="N172" s="19" t="n"/>
      <c r="O172" s="20" t="n"/>
      <c r="P172" s="21">
        <f>IF($I172="","",IF($J172="O","3","")&amp;IF($K172="O","4","")&amp;IF($L172="O","6","")&amp;IF($M172="O","7","")&amp;IF($N172="O","8","")&amp;IF($O172="O","?","")&amp;IF(OR($J172="O",$K172="O",$L172="O",$M172="O",$N172="O",$O172="O"),"-","")&amp;$I172)</f>
        <v/>
      </c>
      <c r="Q172" s="110">
        <f>HYPERLINK("#'마스터_품목'!A348","→ 마스터 R348")</f>
        <v/>
      </c>
      <c r="R172" s="111" t="n">
        <v>348</v>
      </c>
      <c r="S172" s="111" t="inlineStr">
        <is>
          <t>마스터_품목</t>
        </is>
      </c>
    </row>
    <row r="173" ht="48" customHeight="1">
      <c r="A173" s="22" t="inlineStr">
        <is>
          <t>조립</t>
        </is>
      </c>
      <c r="B173" s="22" t="inlineStr">
        <is>
          <t>사출 및 자재</t>
        </is>
      </c>
      <c r="C173" s="23" t="inlineStr">
        <is>
          <t>ADX6000 공용</t>
        </is>
      </c>
      <c r="D173" s="23" t="inlineStr">
        <is>
          <t>크래들 LED Guide 사출</t>
        </is>
      </c>
      <c r="E173" s="23" t="inlineStr">
        <is>
          <t>CRADLE LED Guide 사출 (ABS 난연 화이트 + 스프레이)
[ADX6000]</t>
        </is>
      </c>
      <c r="F173" s="24" t="inlineStr">
        <is>
          <t>O</t>
        </is>
      </c>
      <c r="G173" s="25" t="n"/>
      <c r="H173" s="26" t="n"/>
      <c r="I173" s="27">
        <f>IFERROR(IF(OR($F173="O",$G173="O",$H173="O"),CHOOSE(MATCH($A173,{"튜브","고압","진공","튜닝","조립","출하"},0),"T","H","V","N","A","P")&amp;IF($F173="O","R",IF($G173="O","A",IF($H173="O","F",""))),""),"")</f>
        <v/>
      </c>
      <c r="J173" s="15" t="n"/>
      <c r="K173" s="16" t="n"/>
      <c r="L173" s="17" t="inlineStr">
        <is>
          <t>O</t>
        </is>
      </c>
      <c r="M173" s="18" t="n"/>
      <c r="N173" s="19" t="n"/>
      <c r="O173" s="20" t="n"/>
      <c r="P173" s="21">
        <f>IF($I173="","",IF($J173="O","3","")&amp;IF($K173="O","4","")&amp;IF($L173="O","6","")&amp;IF($M173="O","7","")&amp;IF($N173="O","8","")&amp;IF($O173="O","?","")&amp;IF(OR($J173="O",$K173="O",$L173="O",$M173="O",$N173="O",$O173="O"),"-","")&amp;$I173)</f>
        <v/>
      </c>
      <c r="Q173" s="110">
        <f>HYPERLINK("#'마스터_품목'!A349","→ 마스터 R349")</f>
        <v/>
      </c>
      <c r="R173" s="111" t="n">
        <v>349</v>
      </c>
      <c r="S173" s="111" t="inlineStr">
        <is>
          <t>마스터_품목</t>
        </is>
      </c>
    </row>
    <row r="174" ht="48" customHeight="1">
      <c r="A174" s="22" t="inlineStr">
        <is>
          <t>조립</t>
        </is>
      </c>
      <c r="B174" s="22" t="inlineStr">
        <is>
          <t>사출 및 자재</t>
        </is>
      </c>
      <c r="C174" s="23" t="inlineStr">
        <is>
          <t>ADX6000 공용</t>
        </is>
      </c>
      <c r="D174" s="23" t="inlineStr">
        <is>
          <t>페라이트 코어 [ZCAT 1518-0730]</t>
        </is>
      </c>
      <c r="E174" s="23" t="inlineStr">
        <is>
          <t>중간 페라이트 코어 (ZCAT 1518-0730)
[ADX6000]</t>
        </is>
      </c>
      <c r="F174" s="24" t="inlineStr">
        <is>
          <t>O</t>
        </is>
      </c>
      <c r="G174" s="25" t="n"/>
      <c r="H174" s="26" t="n"/>
      <c r="I174" s="27">
        <f>IFERROR(IF(OR($F174="O",$G174="O",$H174="O"),CHOOSE(MATCH($A174,{"튜브","고압","진공","튜닝","조립","출하"},0),"T","H","V","N","A","P")&amp;IF($F174="O","R",IF($G174="O","A",IF($H174="O","F",""))),""),"")</f>
        <v/>
      </c>
      <c r="J174" s="15" t="n"/>
      <c r="K174" s="16" t="n"/>
      <c r="L174" s="17" t="inlineStr">
        <is>
          <t>O</t>
        </is>
      </c>
      <c r="M174" s="18" t="n"/>
      <c r="N174" s="19" t="n"/>
      <c r="O174" s="20" t="n"/>
      <c r="P174" s="21">
        <f>IF($I174="","",IF($J174="O","3","")&amp;IF($K174="O","4","")&amp;IF($L174="O","6","")&amp;IF($M174="O","7","")&amp;IF($N174="O","8","")&amp;IF($O174="O","?","")&amp;IF(OR($J174="O",$K174="O",$L174="O",$M174="O",$N174="O",$O174="O"),"-","")&amp;$I174)</f>
        <v/>
      </c>
      <c r="Q174" s="110">
        <f>HYPERLINK("#'마스터_품목'!A350","→ 마스터 R350")</f>
        <v/>
      </c>
      <c r="R174" s="111" t="n">
        <v>350</v>
      </c>
      <c r="S174" s="111" t="inlineStr">
        <is>
          <t>마스터_품목</t>
        </is>
      </c>
    </row>
    <row r="175" ht="48" customHeight="1">
      <c r="A175" s="22" t="inlineStr">
        <is>
          <t>조립</t>
        </is>
      </c>
      <c r="B175" s="22" t="inlineStr">
        <is>
          <t>사출 및 자재</t>
        </is>
      </c>
      <c r="C175" s="23" t="inlineStr">
        <is>
          <t>ADX6000 공용</t>
        </is>
      </c>
      <c r="D175" s="23" t="inlineStr">
        <is>
          <t>알루미늄 브라켓 6 hole</t>
        </is>
      </c>
      <c r="E175" s="23" t="inlineStr">
        <is>
          <t>알루미늄 브라켓 6 hole (AL 가공 + 백색 아노다이징)
[ADX6000]</t>
        </is>
      </c>
      <c r="F175" s="24" t="inlineStr">
        <is>
          <t>O</t>
        </is>
      </c>
      <c r="G175" s="25" t="n"/>
      <c r="H175" s="26" t="n"/>
      <c r="I175" s="27">
        <f>IFERROR(IF(OR($F175="O",$G175="O",$H175="O"),CHOOSE(MATCH($A175,{"튜브","고압","진공","튜닝","조립","출하"},0),"T","H","V","N","A","P")&amp;IF($F175="O","R",IF($G175="O","A",IF($H175="O","F",""))),""),"")</f>
        <v/>
      </c>
      <c r="J175" s="15" t="n"/>
      <c r="K175" s="16" t="n"/>
      <c r="L175" s="17" t="inlineStr">
        <is>
          <t>O</t>
        </is>
      </c>
      <c r="M175" s="18" t="n"/>
      <c r="N175" s="19" t="n"/>
      <c r="O175" s="20" t="n"/>
      <c r="P175" s="21">
        <f>IF($I175="","",IF($J175="O","3","")&amp;IF($K175="O","4","")&amp;IF($L175="O","6","")&amp;IF($M175="O","7","")&amp;IF($N175="O","8","")&amp;IF($O175="O","?","")&amp;IF(OR($J175="O",$K175="O",$L175="O",$M175="O",$N175="O",$O175="O"),"-","")&amp;$I175)</f>
        <v/>
      </c>
      <c r="Q175" s="110">
        <f>HYPERLINK("#'마스터_품목'!A351","→ 마스터 R351")</f>
        <v/>
      </c>
      <c r="R175" s="111" t="n">
        <v>351</v>
      </c>
      <c r="S175" s="111" t="inlineStr">
        <is>
          <t>마스터_품목</t>
        </is>
      </c>
    </row>
    <row r="176" ht="48" customHeight="1">
      <c r="A176" s="22" t="inlineStr">
        <is>
          <t>조립</t>
        </is>
      </c>
      <c r="B176" s="22" t="inlineStr">
        <is>
          <t>사출 및 자재</t>
        </is>
      </c>
      <c r="C176" s="23" t="inlineStr">
        <is>
          <t>ADX6000
ADX6000U</t>
        </is>
      </c>
      <c r="D176" s="23" t="inlineStr">
        <is>
          <t>가죽 손잡이 탈착배터리용 터치펜 O</t>
        </is>
      </c>
      <c r="E176" s="23" t="inlineStr">
        <is>
          <t>가죽 손잡이 (탈착배터리 터치펜 O) (인조 가죽)
[ADX6000]</t>
        </is>
      </c>
      <c r="F176" s="24" t="inlineStr">
        <is>
          <t>O</t>
        </is>
      </c>
      <c r="G176" s="25" t="n"/>
      <c r="H176" s="26" t="n"/>
      <c r="I176" s="27">
        <f>IFERROR(IF(OR($F176="O",$G176="O",$H176="O"),CHOOSE(MATCH($A176,{"튜브","고압","진공","튜닝","조립","출하"},0),"T","H","V","N","A","P")&amp;IF($F176="O","R",IF($G176="O","A",IF($H176="O","F",""))),""),"")</f>
        <v/>
      </c>
      <c r="J176" s="15" t="n"/>
      <c r="K176" s="16" t="n"/>
      <c r="L176" s="17" t="inlineStr">
        <is>
          <t>O</t>
        </is>
      </c>
      <c r="M176" s="18" t="n"/>
      <c r="N176" s="19" t="n"/>
      <c r="O176" s="20" t="n"/>
      <c r="P176" s="21">
        <f>IF($I176="","",IF($J176="O","3","")&amp;IF($K176="O","4","")&amp;IF($L176="O","6","")&amp;IF($M176="O","7","")&amp;IF($N176="O","8","")&amp;IF($O176="O","?","")&amp;IF(OR($J176="O",$K176="O",$L176="O",$M176="O",$N176="O",$O176="O"),"-","")&amp;$I176)</f>
        <v/>
      </c>
      <c r="Q176" s="110">
        <f>HYPERLINK("#'마스터_품목'!A352","→ 마스터 R352")</f>
        <v/>
      </c>
      <c r="R176" s="111" t="n">
        <v>352</v>
      </c>
      <c r="S176" s="111" t="inlineStr">
        <is>
          <t>마스터_품목</t>
        </is>
      </c>
    </row>
    <row r="177" ht="48" customHeight="1">
      <c r="A177" s="22" t="inlineStr">
        <is>
          <t>조립</t>
        </is>
      </c>
      <c r="B177" s="22" t="inlineStr">
        <is>
          <t>사출 및 자재</t>
        </is>
      </c>
      <c r="C177" s="23" t="inlineStr">
        <is>
          <t>ADX6000FB</t>
        </is>
      </c>
      <c r="D177" s="23" t="inlineStr">
        <is>
          <t>가죽 손잡이 탈착배터리용 터치펜 X</t>
        </is>
      </c>
      <c r="E177" s="23" t="inlineStr">
        <is>
          <t>가죽 손잡이 (탈착배터리 터치펜 X) (인조 가죽)
[ADX6000]</t>
        </is>
      </c>
      <c r="F177" s="24" t="inlineStr">
        <is>
          <t>O</t>
        </is>
      </c>
      <c r="G177" s="25" t="n"/>
      <c r="H177" s="26" t="n"/>
      <c r="I177" s="27">
        <f>IFERROR(IF(OR($F177="O",$G177="O",$H177="O"),CHOOSE(MATCH($A177,{"튜브","고압","진공","튜닝","조립","출하"},0),"T","H","V","N","A","P")&amp;IF($F177="O","R",IF($G177="O","A",IF($H177="O","F",""))),""),"")</f>
        <v/>
      </c>
      <c r="J177" s="15" t="n"/>
      <c r="K177" s="16" t="n"/>
      <c r="L177" s="17" t="inlineStr">
        <is>
          <t>O</t>
        </is>
      </c>
      <c r="M177" s="18" t="n"/>
      <c r="N177" s="19" t="n"/>
      <c r="O177" s="20" t="n"/>
      <c r="P177" s="21">
        <f>IF($I177="","",IF($J177="O","3","")&amp;IF($K177="O","4","")&amp;IF($L177="O","6","")&amp;IF($M177="O","7","")&amp;IF($N177="O","8","")&amp;IF($O177="O","?","")&amp;IF(OR($J177="O",$K177="O",$L177="O",$M177="O",$N177="O",$O177="O"),"-","")&amp;$I177)</f>
        <v/>
      </c>
      <c r="Q177" s="110">
        <f>HYPERLINK("#'마스터_품목'!A353","→ 마스터 R353")</f>
        <v/>
      </c>
      <c r="R177" s="111" t="n">
        <v>353</v>
      </c>
      <c r="S177" s="111" t="inlineStr">
        <is>
          <t>마스터_품목</t>
        </is>
      </c>
    </row>
    <row r="178" ht="48" customHeight="1">
      <c r="A178" s="22" t="inlineStr">
        <is>
          <t>조립</t>
        </is>
      </c>
      <c r="B178" s="22" t="inlineStr">
        <is>
          <t>사출 및 자재</t>
        </is>
      </c>
      <c r="C178" s="23" t="inlineStr">
        <is>
          <t>ADX6000FB
ADX6000s</t>
        </is>
      </c>
      <c r="D178" s="23" t="inlineStr">
        <is>
          <t>4.3" LCD 판넬 (IEC-266 &amp; IEC-1000 공용)</t>
        </is>
      </c>
      <c r="E178" s="23" t="inlineStr">
        <is>
          <t>4.3" LCD (신형) (IEC-1000)
[ADX6000S]</t>
        </is>
      </c>
      <c r="F178" s="24" t="inlineStr">
        <is>
          <t>O</t>
        </is>
      </c>
      <c r="G178" s="25" t="n"/>
      <c r="H178" s="26" t="n"/>
      <c r="I178" s="27">
        <f>IFERROR(IF(OR($F178="O",$G178="O",$H178="O"),CHOOSE(MATCH($A178,{"튜브","고압","진공","튜닝","조립","출하"},0),"T","H","V","N","A","P")&amp;IF($F178="O","R",IF($G178="O","A",IF($H178="O","F",""))),""),"")</f>
        <v/>
      </c>
      <c r="J178" s="15" t="n"/>
      <c r="K178" s="16" t="n"/>
      <c r="L178" s="17" t="inlineStr">
        <is>
          <t>O</t>
        </is>
      </c>
      <c r="M178" s="18" t="n"/>
      <c r="N178" s="19" t="n"/>
      <c r="O178" s="20" t="n"/>
      <c r="P178" s="21">
        <f>IF($I178="","",IF($J178="O","3","")&amp;IF($K178="O","4","")&amp;IF($L178="O","6","")&amp;IF($M178="O","7","")&amp;IF($N178="O","8","")&amp;IF($O178="O","?","")&amp;IF(OR($J178="O",$K178="O",$L178="O",$M178="O",$N178="O",$O178="O"),"-","")&amp;$I178)</f>
        <v/>
      </c>
      <c r="Q178" s="110">
        <f>HYPERLINK("#'마스터_품목'!A354","→ 마스터 R354")</f>
        <v/>
      </c>
      <c r="R178" s="111" t="n">
        <v>354</v>
      </c>
      <c r="S178" s="111" t="inlineStr">
        <is>
          <t>마스터_품목</t>
        </is>
      </c>
    </row>
    <row r="179" ht="48" customHeight="1">
      <c r="A179" s="22" t="inlineStr">
        <is>
          <t>조립</t>
        </is>
      </c>
      <c r="B179" s="22" t="inlineStr">
        <is>
          <t>보드</t>
        </is>
      </c>
      <c r="C179" s="23" t="inlineStr">
        <is>
          <t>ADX6000FB
ADX6000s</t>
        </is>
      </c>
      <c r="D179" s="23" t="inlineStr">
        <is>
          <t>4.3" Module (IEC-266 구형)</t>
        </is>
      </c>
      <c r="E179" s="23" t="inlineStr">
        <is>
          <t>4.3" Module (IEC266lite-43, OS 영문)
[ADX6000S]</t>
        </is>
      </c>
      <c r="F179" s="24" t="inlineStr">
        <is>
          <t>O</t>
        </is>
      </c>
      <c r="G179" s="25" t="n"/>
      <c r="H179" s="26" t="n"/>
      <c r="I179" s="27">
        <f>IFERROR(IF(OR($F179="O",$G179="O",$H179="O"),CHOOSE(MATCH($A179,{"튜브","고압","진공","튜닝","조립","출하"},0),"T","H","V","N","A","P")&amp;IF($F179="O","R",IF($G179="O","A",IF($H179="O","F",""))),""),"")</f>
        <v/>
      </c>
      <c r="J179" s="15" t="n"/>
      <c r="K179" s="16" t="n"/>
      <c r="L179" s="17" t="inlineStr">
        <is>
          <t>O</t>
        </is>
      </c>
      <c r="M179" s="18" t="n"/>
      <c r="N179" s="19" t="n"/>
      <c r="O179" s="20" t="n"/>
      <c r="P179" s="21">
        <f>IF($I179="","",IF($J179="O","3","")&amp;IF($K179="O","4","")&amp;IF($L179="O","6","")&amp;IF($M179="O","7","")&amp;IF($N179="O","8","")&amp;IF($O179="O","?","")&amp;IF(OR($J179="O",$K179="O",$L179="O",$M179="O",$N179="O",$O179="O"),"-","")&amp;$I179)</f>
        <v/>
      </c>
      <c r="Q179" s="110">
        <f>HYPERLINK("#'마스터_품목'!A355","→ 마스터 R355")</f>
        <v/>
      </c>
      <c r="R179" s="111" t="n">
        <v>355</v>
      </c>
      <c r="S179" s="111" t="inlineStr">
        <is>
          <t>마스터_품목</t>
        </is>
      </c>
    </row>
    <row r="180" ht="48" customHeight="1">
      <c r="A180" s="22" t="inlineStr">
        <is>
          <t>조립</t>
        </is>
      </c>
      <c r="B180" s="22" t="inlineStr">
        <is>
          <t>보드</t>
        </is>
      </c>
      <c r="C180" s="23" t="inlineStr">
        <is>
          <t>ADX6000FB
ADX6000s</t>
        </is>
      </c>
      <c r="D180" s="23" t="inlineStr">
        <is>
          <t>4.3" Module (IEC-1000 신형)</t>
        </is>
      </c>
      <c r="E180" s="23" t="inlineStr">
        <is>
          <t>4.3" Module (신형) (IEC-1000)
[ADX6000S]</t>
        </is>
      </c>
      <c r="F180" s="24" t="inlineStr">
        <is>
          <t>O</t>
        </is>
      </c>
      <c r="G180" s="25" t="n"/>
      <c r="H180" s="26" t="n"/>
      <c r="I180" s="27">
        <f>IFERROR(IF(OR($F180="O",$G180="O",$H180="O"),CHOOSE(MATCH($A180,{"튜브","고압","진공","튜닝","조립","출하"},0),"T","H","V","N","A","P")&amp;IF($F180="O","R",IF($G180="O","A",IF($H180="O","F",""))),""),"")</f>
        <v/>
      </c>
      <c r="J180" s="15" t="n"/>
      <c r="K180" s="16" t="n"/>
      <c r="L180" s="17" t="inlineStr">
        <is>
          <t>O</t>
        </is>
      </c>
      <c r="M180" s="18" t="n"/>
      <c r="N180" s="19" t="n"/>
      <c r="O180" s="20" t="n"/>
      <c r="P180" s="21">
        <f>IF($I180="","",IF($J180="O","3","")&amp;IF($K180="O","4","")&amp;IF($L180="O","6","")&amp;IF($M180="O","7","")&amp;IF($N180="O","8","")&amp;IF($O180="O","?","")&amp;IF(OR($J180="O",$K180="O",$L180="O",$M180="O",$N180="O",$O180="O"),"-","")&amp;$I180)</f>
        <v/>
      </c>
      <c r="Q180" s="110">
        <f>HYPERLINK("#'마스터_품목'!A356","→ 마스터 R356")</f>
        <v/>
      </c>
      <c r="R180" s="111" t="n">
        <v>356</v>
      </c>
      <c r="S180" s="111" t="inlineStr">
        <is>
          <t>마스터_품목</t>
        </is>
      </c>
    </row>
    <row r="181" ht="48" customHeight="1">
      <c r="A181" s="22" t="inlineStr">
        <is>
          <t>조립</t>
        </is>
      </c>
      <c r="B181" s="22" t="inlineStr">
        <is>
          <t>보드</t>
        </is>
      </c>
      <c r="C181" s="23" t="inlineStr">
        <is>
          <t>ADX6000FB
ADX6000s</t>
        </is>
      </c>
      <c r="D181" s="23" t="inlineStr">
        <is>
          <t>LCD B/D</t>
        </is>
      </c>
      <c r="E181" s="23" t="inlineStr">
        <is>
          <t>LCD B/D
[ADX6000S]</t>
        </is>
      </c>
      <c r="F181" s="24" t="inlineStr">
        <is>
          <t>O</t>
        </is>
      </c>
      <c r="G181" s="25" t="n"/>
      <c r="H181" s="26" t="n"/>
      <c r="I181" s="27">
        <f>IFERROR(IF(OR($F181="O",$G181="O",$H181="O"),CHOOSE(MATCH($A181,{"튜브","고압","진공","튜닝","조립","출하"},0),"T","H","V","N","A","P")&amp;IF($F181="O","R",IF($G181="O","A",IF($H181="O","F",""))),""),"")</f>
        <v/>
      </c>
      <c r="J181" s="15" t="n"/>
      <c r="K181" s="16" t="n"/>
      <c r="L181" s="17" t="inlineStr">
        <is>
          <t>O</t>
        </is>
      </c>
      <c r="M181" s="18" t="n"/>
      <c r="N181" s="19" t="n"/>
      <c r="O181" s="20" t="n"/>
      <c r="P181" s="21">
        <f>IF($I181="","",IF($J181="O","3","")&amp;IF($K181="O","4","")&amp;IF($L181="O","6","")&amp;IF($M181="O","7","")&amp;IF($N181="O","8","")&amp;IF($O181="O","?","")&amp;IF(OR($J181="O",$K181="O",$L181="O",$M181="O",$N181="O",$O181="O"),"-","")&amp;$I181)</f>
        <v/>
      </c>
      <c r="Q181" s="110">
        <f>HYPERLINK("#'마스터_품목'!A357","→ 마스터 R357")</f>
        <v/>
      </c>
      <c r="R181" s="111" t="n">
        <v>357</v>
      </c>
      <c r="S181" s="111" t="inlineStr">
        <is>
          <t>마스터_품목</t>
        </is>
      </c>
    </row>
    <row r="182" ht="48" customHeight="1">
      <c r="A182" s="22" t="inlineStr">
        <is>
          <t>조립</t>
        </is>
      </c>
      <c r="B182" s="22" t="inlineStr">
        <is>
          <t>보드</t>
        </is>
      </c>
      <c r="C182" s="23" t="inlineStr">
        <is>
          <t>ADX6000
ADX6000U</t>
        </is>
      </c>
      <c r="D182" s="23" t="inlineStr">
        <is>
          <t>LCD B/D</t>
        </is>
      </c>
      <c r="E182" s="23" t="inlineStr">
        <is>
          <t>LCD B/D
[ADX6000]</t>
        </is>
      </c>
      <c r="F182" s="24" t="inlineStr">
        <is>
          <t>O</t>
        </is>
      </c>
      <c r="G182" s="25" t="n"/>
      <c r="H182" s="26" t="n"/>
      <c r="I182" s="27">
        <f>IFERROR(IF(OR($F182="O",$G182="O",$H182="O"),CHOOSE(MATCH($A182,{"튜브","고압","진공","튜닝","조립","출하"},0),"T","H","V","N","A","P")&amp;IF($F182="O","R",IF($G182="O","A",IF($H182="O","F",""))),""),"")</f>
        <v/>
      </c>
      <c r="J182" s="15" t="n"/>
      <c r="K182" s="16" t="n"/>
      <c r="L182" s="17" t="inlineStr">
        <is>
          <t>O</t>
        </is>
      </c>
      <c r="M182" s="18" t="n"/>
      <c r="N182" s="19" t="n"/>
      <c r="O182" s="20" t="n"/>
      <c r="P182" s="21">
        <f>IF($I182="","",IF($J182="O","3","")&amp;IF($K182="O","4","")&amp;IF($L182="O","6","")&amp;IF($M182="O","7","")&amp;IF($N182="O","8","")&amp;IF($O182="O","?","")&amp;IF(OR($J182="O",$K182="O",$L182="O",$M182="O",$N182="O",$O182="O"),"-","")&amp;$I182)</f>
        <v/>
      </c>
      <c r="Q182" s="110">
        <f>HYPERLINK("#'마스터_품목'!A358","→ 마스터 R358")</f>
        <v/>
      </c>
      <c r="R182" s="111" t="n">
        <v>358</v>
      </c>
      <c r="S182" s="111" t="inlineStr">
        <is>
          <t>마스터_품목</t>
        </is>
      </c>
    </row>
    <row r="183" ht="48" customHeight="1">
      <c r="A183" s="22" t="inlineStr">
        <is>
          <t>조립</t>
        </is>
      </c>
      <c r="B183" s="22" t="inlineStr">
        <is>
          <t>보드</t>
        </is>
      </c>
      <c r="C183" s="23" t="inlineStr">
        <is>
          <t>ADX6000FB
ADX6000s</t>
        </is>
      </c>
      <c r="D183" s="23" t="inlineStr">
        <is>
          <t>ETC CARRIER BD (IEC-1000)</t>
        </is>
      </c>
      <c r="E183" s="23" t="inlineStr">
        <is>
          <t>ETC CARRIER BD (IEC-1000)
[ADX6000S]</t>
        </is>
      </c>
      <c r="F183" s="24" t="inlineStr">
        <is>
          <t>O</t>
        </is>
      </c>
      <c r="G183" s="25" t="n"/>
      <c r="H183" s="26" t="n"/>
      <c r="I183" s="27">
        <f>IFERROR(IF(OR($F183="O",$G183="O",$H183="O"),CHOOSE(MATCH($A183,{"튜브","고압","진공","튜닝","조립","출하"},0),"T","H","V","N","A","P")&amp;IF($F183="O","R",IF($G183="O","A",IF($H183="O","F",""))),""),"")</f>
        <v/>
      </c>
      <c r="J183" s="15" t="n"/>
      <c r="K183" s="16" t="n"/>
      <c r="L183" s="17" t="inlineStr">
        <is>
          <t>O</t>
        </is>
      </c>
      <c r="M183" s="18" t="n"/>
      <c r="N183" s="19" t="n"/>
      <c r="O183" s="20" t="n"/>
      <c r="P183" s="21">
        <f>IF($I183="","",IF($J183="O","3","")&amp;IF($K183="O","4","")&amp;IF($L183="O","6","")&amp;IF($M183="O","7","")&amp;IF($N183="O","8","")&amp;IF($O183="O","?","")&amp;IF(OR($J183="O",$K183="O",$L183="O",$M183="O",$N183="O",$O183="O"),"-","")&amp;$I183)</f>
        <v/>
      </c>
      <c r="Q183" s="110">
        <f>HYPERLINK("#'마스터_품목'!A359","→ 마스터 R359")</f>
        <v/>
      </c>
      <c r="R183" s="111" t="n">
        <v>359</v>
      </c>
      <c r="S183" s="111" t="inlineStr">
        <is>
          <t>마스터_품목</t>
        </is>
      </c>
    </row>
    <row r="184" ht="48" customHeight="1">
      <c r="A184" s="22" t="inlineStr">
        <is>
          <t>조립</t>
        </is>
      </c>
      <c r="B184" s="22" t="inlineStr">
        <is>
          <t>보드</t>
        </is>
      </c>
      <c r="C184" s="23" t="inlineStr">
        <is>
          <t>ADX6000FB
ADX6000s</t>
        </is>
      </c>
      <c r="D184" s="23" t="inlineStr">
        <is>
          <t>ETC CARRIER BD (IEC-266)</t>
        </is>
      </c>
      <c r="E184" s="23" t="inlineStr">
        <is>
          <t>ETC CARRIER BD
[ADX6000S]</t>
        </is>
      </c>
      <c r="F184" s="24" t="inlineStr">
        <is>
          <t>O</t>
        </is>
      </c>
      <c r="G184" s="25" t="n"/>
      <c r="H184" s="26" t="n"/>
      <c r="I184" s="27">
        <f>IFERROR(IF(OR($F184="O",$G184="O",$H184="O"),CHOOSE(MATCH($A184,{"튜브","고압","진공","튜닝","조립","출하"},0),"T","H","V","N","A","P")&amp;IF($F184="O","R",IF($G184="O","A",IF($H184="O","F",""))),""),"")</f>
        <v/>
      </c>
      <c r="J184" s="15" t="n"/>
      <c r="K184" s="16" t="n"/>
      <c r="L184" s="17" t="inlineStr">
        <is>
          <t>O</t>
        </is>
      </c>
      <c r="M184" s="18" t="n"/>
      <c r="N184" s="19" t="n"/>
      <c r="O184" s="20" t="n"/>
      <c r="P184" s="21">
        <f>IF($I184="","",IF($J184="O","3","")&amp;IF($K184="O","4","")&amp;IF($L184="O","6","")&amp;IF($M184="O","7","")&amp;IF($N184="O","8","")&amp;IF($O184="O","?","")&amp;IF(OR($J184="O",$K184="O",$L184="O",$M184="O",$N184="O",$O184="O"),"-","")&amp;$I184)</f>
        <v/>
      </c>
      <c r="Q184" s="110">
        <f>HYPERLINK("#'마스터_품목'!A360","→ 마스터 R360")</f>
        <v/>
      </c>
      <c r="R184" s="111" t="n">
        <v>360</v>
      </c>
      <c r="S184" s="111" t="inlineStr">
        <is>
          <t>마스터_품목</t>
        </is>
      </c>
    </row>
    <row r="185" ht="48" customHeight="1">
      <c r="A185" s="22" t="inlineStr">
        <is>
          <t>조립</t>
        </is>
      </c>
      <c r="B185" s="22" t="inlineStr">
        <is>
          <t>보드</t>
        </is>
      </c>
      <c r="C185" s="23" t="inlineStr">
        <is>
          <t>ADX6000FB
ADX6000s</t>
        </is>
      </c>
      <c r="D185" s="23" t="inlineStr">
        <is>
          <t>ETC CARRIER MINI BD</t>
        </is>
      </c>
      <c r="E185" s="23" t="inlineStr">
        <is>
          <t>ETC CARRIER MINI BD
[ADX6000S]</t>
        </is>
      </c>
      <c r="F185" s="24" t="inlineStr">
        <is>
          <t>O</t>
        </is>
      </c>
      <c r="G185" s="25" t="n"/>
      <c r="H185" s="26" t="n"/>
      <c r="I185" s="27">
        <f>IFERROR(IF(OR($F185="O",$G185="O",$H185="O"),CHOOSE(MATCH($A185,{"튜브","고압","진공","튜닝","조립","출하"},0),"T","H","V","N","A","P")&amp;IF($F185="O","R",IF($G185="O","A",IF($H185="O","F",""))),""),"")</f>
        <v/>
      </c>
      <c r="J185" s="15" t="n"/>
      <c r="K185" s="16" t="n"/>
      <c r="L185" s="17" t="inlineStr">
        <is>
          <t>O</t>
        </is>
      </c>
      <c r="M185" s="18" t="n"/>
      <c r="N185" s="19" t="n"/>
      <c r="O185" s="20" t="n"/>
      <c r="P185" s="21">
        <f>IF($I185="","",IF($J185="O","3","")&amp;IF($K185="O","4","")&amp;IF($L185="O","6","")&amp;IF($M185="O","7","")&amp;IF($N185="O","8","")&amp;IF($O185="O","?","")&amp;IF(OR($J185="O",$K185="O",$L185="O",$M185="O",$N185="O",$O185="O"),"-","")&amp;$I185)</f>
        <v/>
      </c>
      <c r="Q185" s="110">
        <f>HYPERLINK("#'마스터_품목'!A361","→ 마스터 R361")</f>
        <v/>
      </c>
      <c r="R185" s="111" t="n">
        <v>361</v>
      </c>
      <c r="S185" s="111" t="inlineStr">
        <is>
          <t>마스터_품목</t>
        </is>
      </c>
    </row>
    <row r="186" ht="48" customHeight="1">
      <c r="A186" s="22" t="inlineStr">
        <is>
          <t>조립</t>
        </is>
      </c>
      <c r="B186" s="22" t="inlineStr">
        <is>
          <t>보드</t>
        </is>
      </c>
      <c r="C186" s="23" t="inlineStr">
        <is>
          <t>ADX6000
ADX6000U</t>
        </is>
      </c>
      <c r="D186" s="23" t="inlineStr">
        <is>
          <t>Carrier B/D (구형 KONTRON)</t>
        </is>
      </c>
      <c r="E186" s="23" t="inlineStr">
        <is>
          <t>Carrier B/D (구형 KONTRON)
[ADX6000]</t>
        </is>
      </c>
      <c r="F186" s="24" t="inlineStr">
        <is>
          <t>O</t>
        </is>
      </c>
      <c r="G186" s="25" t="n"/>
      <c r="H186" s="26" t="n"/>
      <c r="I186" s="27">
        <f>IFERROR(IF(OR($F186="O",$G186="O",$H186="O"),CHOOSE(MATCH($A186,{"튜브","고압","진공","튜닝","조립","출하"},0),"T","H","V","N","A","P")&amp;IF($F186="O","R",IF($G186="O","A",IF($H186="O","F",""))),""),"")</f>
        <v/>
      </c>
      <c r="J186" s="15" t="n"/>
      <c r="K186" s="16" t="n"/>
      <c r="L186" s="17" t="inlineStr">
        <is>
          <t>O</t>
        </is>
      </c>
      <c r="M186" s="18" t="n"/>
      <c r="N186" s="19" t="n"/>
      <c r="O186" s="20" t="n"/>
      <c r="P186" s="21">
        <f>IF($I186="","",IF($J186="O","3","")&amp;IF($K186="O","4","")&amp;IF($L186="O","6","")&amp;IF($M186="O","7","")&amp;IF($N186="O","8","")&amp;IF($O186="O","?","")&amp;IF(OR($J186="O",$K186="O",$L186="O",$M186="O",$N186="O",$O186="O"),"-","")&amp;$I186)</f>
        <v/>
      </c>
      <c r="Q186" s="110">
        <f>HYPERLINK("#'마스터_품목'!A362","→ 마스터 R362")</f>
        <v/>
      </c>
      <c r="R186" s="111" t="n">
        <v>362</v>
      </c>
      <c r="S186" s="111" t="inlineStr">
        <is>
          <t>마스터_품목</t>
        </is>
      </c>
    </row>
    <row r="187" ht="48" customHeight="1">
      <c r="A187" s="22" t="inlineStr">
        <is>
          <t>조립</t>
        </is>
      </c>
      <c r="B187" s="22" t="inlineStr">
        <is>
          <t>보드</t>
        </is>
      </c>
      <c r="C187" s="23" t="inlineStr">
        <is>
          <t>ADX6000
ADX6000U</t>
        </is>
      </c>
      <c r="D187" s="23" t="inlineStr">
        <is>
          <t>Carrier B/D (신형 DFI)</t>
        </is>
      </c>
      <c r="E187" s="23" t="inlineStr">
        <is>
          <t>Carrier B/D (신형 DFI)
[ADX6000]</t>
        </is>
      </c>
      <c r="F187" s="24" t="inlineStr">
        <is>
          <t>O</t>
        </is>
      </c>
      <c r="G187" s="25" t="n"/>
      <c r="H187" s="26" t="n"/>
      <c r="I187" s="27">
        <f>IFERROR(IF(OR($F187="O",$G187="O",$H187="O"),CHOOSE(MATCH($A187,{"튜브","고압","진공","튜닝","조립","출하"},0),"T","H","V","N","A","P")&amp;IF($F187="O","R",IF($G187="O","A",IF($H187="O","F",""))),""),"")</f>
        <v/>
      </c>
      <c r="J187" s="15" t="n"/>
      <c r="K187" s="16" t="n"/>
      <c r="L187" s="17" t="inlineStr">
        <is>
          <t>O</t>
        </is>
      </c>
      <c r="M187" s="18" t="n"/>
      <c r="N187" s="19" t="n"/>
      <c r="O187" s="20" t="n"/>
      <c r="P187" s="21">
        <f>IF($I187="","",IF($J187="O","3","")&amp;IF($K187="O","4","")&amp;IF($L187="O","6","")&amp;IF($M187="O","7","")&amp;IF($N187="O","8","")&amp;IF($O187="O","?","")&amp;IF(OR($J187="O",$K187="O",$L187="O",$M187="O",$N187="O",$O187="O"),"-","")&amp;$I187)</f>
        <v/>
      </c>
      <c r="Q187" s="110">
        <f>HYPERLINK("#'마스터_품목'!A363","→ 마스터 R363")</f>
        <v/>
      </c>
      <c r="R187" s="111" t="n">
        <v>363</v>
      </c>
      <c r="S187" s="111" t="inlineStr">
        <is>
          <t>마스터_품목</t>
        </is>
      </c>
    </row>
    <row r="188" ht="48" customHeight="1">
      <c r="A188" s="22" t="inlineStr">
        <is>
          <t>조립</t>
        </is>
      </c>
      <c r="B188" s="22" t="inlineStr">
        <is>
          <t>보드</t>
        </is>
      </c>
      <c r="C188" s="23" t="inlineStr">
        <is>
          <t>ADX6000 공용</t>
        </is>
      </c>
      <c r="D188" s="23" t="inlineStr">
        <is>
          <t>Power Switch B/D</t>
        </is>
      </c>
      <c r="E188" s="23" t="inlineStr">
        <is>
          <t>Power Switch B/D
[ADX6000]</t>
        </is>
      </c>
      <c r="F188" s="24" t="inlineStr">
        <is>
          <t>O</t>
        </is>
      </c>
      <c r="G188" s="25" t="n"/>
      <c r="H188" s="26" t="n"/>
      <c r="I188" s="27">
        <f>IFERROR(IF(OR($F188="O",$G188="O",$H188="O"),CHOOSE(MATCH($A188,{"튜브","고압","진공","튜닝","조립","출하"},0),"T","H","V","N","A","P")&amp;IF($F188="O","R",IF($G188="O","A",IF($H188="O","F",""))),""),"")</f>
        <v/>
      </c>
      <c r="J188" s="15" t="n"/>
      <c r="K188" s="16" t="n"/>
      <c r="L188" s="17" t="inlineStr">
        <is>
          <t>O</t>
        </is>
      </c>
      <c r="M188" s="18" t="n"/>
      <c r="N188" s="19" t="n"/>
      <c r="O188" s="20" t="n"/>
      <c r="P188" s="21">
        <f>IF($I188="","",IF($J188="O","3","")&amp;IF($K188="O","4","")&amp;IF($L188="O","6","")&amp;IF($M188="O","7","")&amp;IF($N188="O","8","")&amp;IF($O188="O","?","")&amp;IF(OR($J188="O",$K188="O",$L188="O",$M188="O",$N188="O",$O188="O"),"-","")&amp;$I188)</f>
        <v/>
      </c>
      <c r="Q188" s="110">
        <f>HYPERLINK("#'마스터_품목'!A364","→ 마스터 R364")</f>
        <v/>
      </c>
      <c r="R188" s="111" t="n">
        <v>364</v>
      </c>
      <c r="S188" s="111" t="inlineStr">
        <is>
          <t>마스터_품목</t>
        </is>
      </c>
    </row>
    <row r="189" ht="48" customHeight="1">
      <c r="A189" s="22" t="inlineStr">
        <is>
          <t>조립</t>
        </is>
      </c>
      <c r="B189" s="22" t="inlineStr">
        <is>
          <t>보드</t>
        </is>
      </c>
      <c r="C189" s="23" t="inlineStr">
        <is>
          <t>ADX6000
ADX6000U</t>
        </is>
      </c>
      <c r="D189" s="23" t="inlineStr">
        <is>
          <t>FRONT CONNECTOR B/D (ADX6000용)</t>
        </is>
      </c>
      <c r="E189" s="1" t="inlineStr">
        <is>
          <t>ETC FRONT BD (리모콘 포트 수정 신형 얇은 것)
[ADX6000S]</t>
        </is>
      </c>
      <c r="F189" s="24" t="inlineStr">
        <is>
          <t>O</t>
        </is>
      </c>
      <c r="G189" s="25" t="n"/>
      <c r="H189" s="26" t="n"/>
      <c r="I189" s="27">
        <f>IFERROR(IF(OR($F189="O",$G189="O",$H189="O"),CHOOSE(MATCH($A189,{"튜브","고압","진공","튜닝","조립","출하"},0),"T","H","V","N","A","P")&amp;IF($F189="O","R",IF($G189="O","A",IF($H189="O","F",""))),""),"")</f>
        <v/>
      </c>
      <c r="J189" s="15" t="n"/>
      <c r="K189" s="16" t="n"/>
      <c r="L189" s="17" t="inlineStr">
        <is>
          <t>O</t>
        </is>
      </c>
      <c r="M189" s="18" t="n"/>
      <c r="N189" s="19" t="n"/>
      <c r="O189" s="20" t="n"/>
      <c r="P189" s="21">
        <f>IF($I189="","",IF($J189="O","3","")&amp;IF($K189="O","4","")&amp;IF($L189="O","6","")&amp;IF($M189="O","7","")&amp;IF($N189="O","8","")&amp;IF($O189="O","?","")&amp;IF(OR($J189="O",$K189="O",$L189="O",$M189="O",$N189="O",$O189="O"),"-","")&amp;$I189)</f>
        <v/>
      </c>
      <c r="Q189" s="110">
        <f>HYPERLINK("#'마스터_품목'!A365","→ 마스터 R365")</f>
        <v/>
      </c>
      <c r="R189" s="111" t="n">
        <v>365</v>
      </c>
      <c r="S189" s="111" t="inlineStr">
        <is>
          <t>마스터_품목</t>
        </is>
      </c>
    </row>
    <row r="190" ht="48" customHeight="1">
      <c r="A190" s="22" t="inlineStr">
        <is>
          <t>조립</t>
        </is>
      </c>
      <c r="B190" s="22" t="inlineStr">
        <is>
          <t>보드</t>
        </is>
      </c>
      <c r="C190" s="23" t="inlineStr">
        <is>
          <t>ADX6000
ADX6000U</t>
        </is>
      </c>
      <c r="D190" s="23" t="inlineStr">
        <is>
          <t>Front Micro B/D (ADX6000용)</t>
        </is>
      </c>
      <c r="E190" s="23" t="inlineStr">
        <is>
          <t>Front Micro B/D
[ADX6000]</t>
        </is>
      </c>
      <c r="F190" s="24" t="inlineStr">
        <is>
          <t>O</t>
        </is>
      </c>
      <c r="G190" s="25" t="n"/>
      <c r="H190" s="26" t="n"/>
      <c r="I190" s="27">
        <f>IFERROR(IF(OR($F190="O",$G190="O",$H190="O"),CHOOSE(MATCH($A190,{"튜브","고압","진공","튜닝","조립","출하"},0),"T","H","V","N","A","P")&amp;IF($F190="O","R",IF($G190="O","A",IF($H190="O","F",""))),""),"")</f>
        <v/>
      </c>
      <c r="J190" s="15" t="n"/>
      <c r="K190" s="16" t="n"/>
      <c r="L190" s="17" t="inlineStr">
        <is>
          <t>O</t>
        </is>
      </c>
      <c r="M190" s="18" t="n"/>
      <c r="N190" s="19" t="n"/>
      <c r="O190" s="20" t="n"/>
      <c r="P190" s="21">
        <f>IF($I190="","",IF($J190="O","3","")&amp;IF($K190="O","4","")&amp;IF($L190="O","6","")&amp;IF($M190="O","7","")&amp;IF($N190="O","8","")&amp;IF($O190="O","?","")&amp;IF(OR($J190="O",$K190="O",$L190="O",$M190="O",$N190="O",$O190="O"),"-","")&amp;$I190)</f>
        <v/>
      </c>
      <c r="Q190" s="110">
        <f>HYPERLINK("#'마스터_품목'!A366","→ 마스터 R366")</f>
        <v/>
      </c>
      <c r="R190" s="111" t="n">
        <v>366</v>
      </c>
      <c r="S190" s="111" t="inlineStr">
        <is>
          <t>마스터_품목</t>
        </is>
      </c>
    </row>
    <row r="191" ht="48" customHeight="1">
      <c r="A191" s="22" t="inlineStr">
        <is>
          <t>조립</t>
        </is>
      </c>
      <c r="B191" s="22" t="inlineStr">
        <is>
          <t>보드</t>
        </is>
      </c>
      <c r="C191" s="23" t="inlineStr">
        <is>
          <t>ADX6000 공용</t>
        </is>
      </c>
      <c r="D191" s="23" t="inlineStr">
        <is>
          <t>Battery Bridge B/D</t>
        </is>
      </c>
      <c r="E191" s="23" t="inlineStr">
        <is>
          <t>Battery Bridge B/D
[ADX6000]</t>
        </is>
      </c>
      <c r="F191" s="24" t="inlineStr">
        <is>
          <t>O</t>
        </is>
      </c>
      <c r="G191" s="25" t="n"/>
      <c r="H191" s="26" t="n"/>
      <c r="I191" s="27">
        <f>IFERROR(IF(OR($F191="O",$G191="O",$H191="O"),CHOOSE(MATCH($A191,{"튜브","고압","진공","튜닝","조립","출하"},0),"T","H","V","N","A","P")&amp;IF($F191="O","R",IF($G191="O","A",IF($H191="O","F",""))),""),"")</f>
        <v/>
      </c>
      <c r="J191" s="15" t="n"/>
      <c r="K191" s="16" t="n"/>
      <c r="L191" s="17" t="inlineStr">
        <is>
          <t>O</t>
        </is>
      </c>
      <c r="M191" s="18" t="n"/>
      <c r="N191" s="19" t="n"/>
      <c r="O191" s="20" t="n"/>
      <c r="P191" s="21">
        <f>IF($I191="","",IF($J191="O","3","")&amp;IF($K191="O","4","")&amp;IF($L191="O","6","")&amp;IF($M191="O","7","")&amp;IF($N191="O","8","")&amp;IF($O191="O","?","")&amp;IF(OR($J191="O",$K191="O",$L191="O",$M191="O",$N191="O",$O191="O"),"-","")&amp;$I191)</f>
        <v/>
      </c>
      <c r="Q191" s="110">
        <f>HYPERLINK("#'마스터_품목'!A367","→ 마스터 R367")</f>
        <v/>
      </c>
      <c r="R191" s="111" t="n">
        <v>367</v>
      </c>
      <c r="S191" s="111" t="inlineStr">
        <is>
          <t>마스터_품목</t>
        </is>
      </c>
    </row>
    <row r="192" ht="48" customHeight="1">
      <c r="A192" s="22" t="inlineStr">
        <is>
          <t>조립</t>
        </is>
      </c>
      <c r="B192" s="22" t="inlineStr">
        <is>
          <t>보드</t>
        </is>
      </c>
      <c r="C192" s="23" t="inlineStr">
        <is>
          <t>ADX6000 공용</t>
        </is>
      </c>
      <c r="D192" s="23" t="inlineStr">
        <is>
          <t>Battery Connect B/D</t>
        </is>
      </c>
      <c r="E192" s="23" t="inlineStr">
        <is>
          <t>Battery Connect B/D
[ADX6000]</t>
        </is>
      </c>
      <c r="F192" s="24" t="inlineStr">
        <is>
          <t>O</t>
        </is>
      </c>
      <c r="G192" s="25" t="n"/>
      <c r="H192" s="26" t="n"/>
      <c r="I192" s="27">
        <f>IFERROR(IF(OR($F192="O",$G192="O",$H192="O"),CHOOSE(MATCH($A192,{"튜브","고압","진공","튜닝","조립","출하"},0),"T","H","V","N","A","P")&amp;IF($F192="O","R",IF($G192="O","A",IF($H192="O","F",""))),""),"")</f>
        <v/>
      </c>
      <c r="J192" s="15" t="n"/>
      <c r="K192" s="16" t="n"/>
      <c r="L192" s="17" t="inlineStr">
        <is>
          <t>O</t>
        </is>
      </c>
      <c r="M192" s="18" t="n"/>
      <c r="N192" s="19" t="n"/>
      <c r="O192" s="20" t="n"/>
      <c r="P192" s="21">
        <f>IF($I192="","",IF($J192="O","3","")&amp;IF($K192="O","4","")&amp;IF($L192="O","6","")&amp;IF($M192="O","7","")&amp;IF($N192="O","8","")&amp;IF($O192="O","?","")&amp;IF(OR($J192="O",$K192="O",$L192="O",$M192="O",$N192="O",$O192="O"),"-","")&amp;$I192)</f>
        <v/>
      </c>
      <c r="Q192" s="110">
        <f>HYPERLINK("#'마스터_품목'!A368","→ 마스터 R368")</f>
        <v/>
      </c>
      <c r="R192" s="111" t="n">
        <v>368</v>
      </c>
      <c r="S192" s="111" t="inlineStr">
        <is>
          <t>마스터_품목</t>
        </is>
      </c>
    </row>
    <row r="193" ht="48" customHeight="1">
      <c r="A193" s="22" t="inlineStr">
        <is>
          <t>조립</t>
        </is>
      </c>
      <c r="B193" s="22" t="inlineStr">
        <is>
          <t>보드</t>
        </is>
      </c>
      <c r="C193" s="23" t="inlineStr">
        <is>
          <t>ADX6000 공용</t>
        </is>
      </c>
      <c r="D193" s="23" t="inlineStr">
        <is>
          <t>관전류 B/D</t>
        </is>
      </c>
      <c r="E193" s="23" t="inlineStr">
        <is>
          <t>관전류 B/D
[ADX6000]</t>
        </is>
      </c>
      <c r="F193" s="24" t="inlineStr">
        <is>
          <t>O</t>
        </is>
      </c>
      <c r="G193" s="25" t="n"/>
      <c r="H193" s="26" t="n"/>
      <c r="I193" s="27">
        <f>IFERROR(IF(OR($F193="O",$G193="O",$H193="O"),CHOOSE(MATCH($A193,{"튜브","고압","진공","튜닝","조립","출하"},0),"T","H","V","N","A","P")&amp;IF($F193="O","R",IF($G193="O","A",IF($H193="O","F",""))),""),"")</f>
        <v/>
      </c>
      <c r="J193" s="15" t="n"/>
      <c r="K193" s="16" t="n"/>
      <c r="L193" s="17" t="inlineStr">
        <is>
          <t>O</t>
        </is>
      </c>
      <c r="M193" s="18" t="n"/>
      <c r="N193" s="19" t="n"/>
      <c r="O193" s="20" t="n"/>
      <c r="P193" s="21">
        <f>IF($I193="","",IF($J193="O","3","")&amp;IF($K193="O","4","")&amp;IF($L193="O","6","")&amp;IF($M193="O","7","")&amp;IF($N193="O","8","")&amp;IF($O193="O","?","")&amp;IF(OR($J193="O",$K193="O",$L193="O",$M193="O",$N193="O",$O193="O"),"-","")&amp;$I193)</f>
        <v/>
      </c>
      <c r="Q193" s="110">
        <f>HYPERLINK("#'마스터_품목'!A369","→ 마스터 R369")</f>
        <v/>
      </c>
      <c r="R193" s="111" t="n">
        <v>369</v>
      </c>
      <c r="S193" s="111" t="inlineStr">
        <is>
          <t>마스터_품목</t>
        </is>
      </c>
    </row>
    <row r="194" ht="48" customHeight="1">
      <c r="A194" s="22" t="inlineStr">
        <is>
          <t>조립</t>
        </is>
      </c>
      <c r="B194" s="22" t="inlineStr">
        <is>
          <t>보드</t>
        </is>
      </c>
      <c r="C194" s="23" t="inlineStr">
        <is>
          <t>ADX6000 공용</t>
        </is>
      </c>
      <c r="D194" s="23" t="inlineStr">
        <is>
          <t>EX B/D</t>
        </is>
      </c>
      <c r="E194" s="23" t="inlineStr">
        <is>
          <t>EX B/D
[ADX6000]</t>
        </is>
      </c>
      <c r="F194" s="24" t="inlineStr">
        <is>
          <t>O</t>
        </is>
      </c>
      <c r="G194" s="25" t="n"/>
      <c r="H194" s="26" t="n"/>
      <c r="I194" s="27">
        <f>IFERROR(IF(OR($F194="O",$G194="O",$H194="O"),CHOOSE(MATCH($A194,{"튜브","고압","진공","튜닝","조립","출하"},0),"T","H","V","N","A","P")&amp;IF($F194="O","R",IF($G194="O","A",IF($H194="O","F",""))),""),"")</f>
        <v/>
      </c>
      <c r="J194" s="15" t="n"/>
      <c r="K194" s="16" t="n"/>
      <c r="L194" s="17" t="inlineStr">
        <is>
          <t>O</t>
        </is>
      </c>
      <c r="M194" s="18" t="n"/>
      <c r="N194" s="19" t="n"/>
      <c r="O194" s="20" t="n"/>
      <c r="P194" s="21">
        <f>IF($I194="","",IF($J194="O","3","")&amp;IF($K194="O","4","")&amp;IF($L194="O","6","")&amp;IF($M194="O","7","")&amp;IF($N194="O","8","")&amp;IF($O194="O","?","")&amp;IF(OR($J194="O",$K194="O",$L194="O",$M194="O",$N194="O",$O194="O"),"-","")&amp;$I194)</f>
        <v/>
      </c>
      <c r="Q194" s="110">
        <f>HYPERLINK("#'마스터_품목'!A370","→ 마스터 R370")</f>
        <v/>
      </c>
      <c r="R194" s="111" t="n">
        <v>370</v>
      </c>
      <c r="S194" s="111" t="inlineStr">
        <is>
          <t>마스터_품목</t>
        </is>
      </c>
    </row>
    <row r="195" ht="48" customHeight="1">
      <c r="A195" s="22" t="inlineStr">
        <is>
          <t>조립</t>
        </is>
      </c>
      <c r="B195" s="22" t="inlineStr">
        <is>
          <t>보드</t>
        </is>
      </c>
      <c r="C195" s="23" t="inlineStr">
        <is>
          <t>ADX6000 공용</t>
        </is>
      </c>
      <c r="D195" s="23" t="inlineStr">
        <is>
          <t>Cradle B/D</t>
        </is>
      </c>
      <c r="E195" s="23" t="inlineStr">
        <is>
          <t>Cradle B/D
[ADX6000]</t>
        </is>
      </c>
      <c r="F195" s="24" t="inlineStr">
        <is>
          <t>O</t>
        </is>
      </c>
      <c r="G195" s="25" t="n"/>
      <c r="H195" s="26" t="n"/>
      <c r="I195" s="27">
        <f>IFERROR(IF(OR($F195="O",$G195="O",$H195="O"),CHOOSE(MATCH($A195,{"튜브","고압","진공","튜닝","조립","출하"},0),"T","H","V","N","A","P")&amp;IF($F195="O","R",IF($G195="O","A",IF($H195="O","F",""))),""),"")</f>
        <v/>
      </c>
      <c r="J195" s="15" t="n"/>
      <c r="K195" s="16" t="n"/>
      <c r="L195" s="17" t="inlineStr">
        <is>
          <t>O</t>
        </is>
      </c>
      <c r="M195" s="18" t="n"/>
      <c r="N195" s="19" t="n"/>
      <c r="O195" s="20" t="n"/>
      <c r="P195" s="21">
        <f>IF($I195="","",IF($J195="O","3","")&amp;IF($K195="O","4","")&amp;IF($L195="O","6","")&amp;IF($M195="O","7","")&amp;IF($N195="O","8","")&amp;IF($O195="O","?","")&amp;IF(OR($J195="O",$K195="O",$L195="O",$M195="O",$N195="O",$O195="O"),"-","")&amp;$I195)</f>
        <v/>
      </c>
      <c r="Q195" s="110">
        <f>HYPERLINK("#'마스터_품목'!A371","→ 마스터 R371")</f>
        <v/>
      </c>
      <c r="R195" s="111" t="n">
        <v>371</v>
      </c>
      <c r="S195" s="111" t="inlineStr">
        <is>
          <t>마스터_품목</t>
        </is>
      </c>
    </row>
    <row r="196" ht="48" customHeight="1">
      <c r="A196" s="22" t="inlineStr">
        <is>
          <t>조립</t>
        </is>
      </c>
      <c r="B196" s="22" t="inlineStr">
        <is>
          <t>하네스</t>
        </is>
      </c>
      <c r="C196" s="23" t="inlineStr">
        <is>
          <t>ADX6000 공용</t>
        </is>
      </c>
      <c r="D196" s="23" t="inlineStr">
        <is>
          <t>컬리메이터 LED B/D (신형 LED 밝기 수정한 것)</t>
        </is>
      </c>
      <c r="E196" s="23" t="inlineStr">
        <is>
          <t>컬리메이터 LED B/D (신형 LED, 밝기 수정)
[ADX6000]</t>
        </is>
      </c>
      <c r="F196" s="24" t="inlineStr">
        <is>
          <t>O</t>
        </is>
      </c>
      <c r="G196" s="25" t="n"/>
      <c r="H196" s="26" t="n"/>
      <c r="I196" s="27">
        <f>IFERROR(IF(OR($F196="O",$G196="O",$H196="O"),CHOOSE(MATCH($A196,{"튜브","고압","진공","튜닝","조립","출하"},0),"T","H","V","N","A","P")&amp;IF($F196="O","R",IF($G196="O","A",IF($H196="O","F",""))),""),"")</f>
        <v/>
      </c>
      <c r="J196" s="15" t="n"/>
      <c r="K196" s="16" t="n"/>
      <c r="L196" s="17" t="inlineStr">
        <is>
          <t>O</t>
        </is>
      </c>
      <c r="M196" s="18" t="n"/>
      <c r="N196" s="19" t="n"/>
      <c r="O196" s="20" t="n"/>
      <c r="P196" s="21">
        <f>IF($I196="","",IF($J196="O","3","")&amp;IF($K196="O","4","")&amp;IF($L196="O","6","")&amp;IF($M196="O","7","")&amp;IF($N196="O","8","")&amp;IF($O196="O","?","")&amp;IF(OR($J196="O",$K196="O",$L196="O",$M196="O",$N196="O",$O196="O"),"-","")&amp;$I196)</f>
        <v/>
      </c>
      <c r="Q196" s="110">
        <f>HYPERLINK("#'마스터_품목'!A372","→ 마스터 R372")</f>
        <v/>
      </c>
      <c r="R196" s="111" t="n">
        <v>372</v>
      </c>
      <c r="S196" s="111" t="inlineStr">
        <is>
          <t>마스터_품목</t>
        </is>
      </c>
    </row>
    <row r="197" ht="48" customHeight="1">
      <c r="A197" s="22" t="inlineStr">
        <is>
          <t>조립</t>
        </is>
      </c>
      <c r="B197" s="22" t="inlineStr">
        <is>
          <t>하네스</t>
        </is>
      </c>
      <c r="C197" s="23" t="inlineStr">
        <is>
          <t>ADX6000FB
ADX6000s</t>
        </is>
      </c>
      <c r="D197" s="23" t="inlineStr">
        <is>
          <t>CTR, CURRENT, FRONT, PC BD연결 _ 하네스 1번
 [ 12505HS-06, 12505HS-04, 12505HS-03, 12505HS-02 (250mm, 140mm, 200mm) ]</t>
        </is>
      </c>
      <c r="E197" s="23" t="inlineStr">
        <is>
          <t>하네스 1번 (12505HS-06, 12505HS-04, 12505HS-03, 12505HS-02 CTR, CURRENT, FRONT, PC BD연결 / 180mm, 140mm, 200mm)
[ADX6000S]</t>
        </is>
      </c>
      <c r="F197" s="24" t="inlineStr">
        <is>
          <t>O</t>
        </is>
      </c>
      <c r="G197" s="25" t="n"/>
      <c r="H197" s="26" t="n"/>
      <c r="I197" s="27">
        <f>IFERROR(IF(OR($F197="O",$G197="O",$H197="O"),CHOOSE(MATCH($A197,{"튜브","고압","진공","튜닝","조립","출하"},0),"T","H","V","N","A","P")&amp;IF($F197="O","R",IF($G197="O","A",IF($H197="O","F",""))),""),"")</f>
        <v/>
      </c>
      <c r="J197" s="15" t="n"/>
      <c r="K197" s="16" t="n"/>
      <c r="L197" s="17" t="inlineStr">
        <is>
          <t>O</t>
        </is>
      </c>
      <c r="M197" s="18" t="n"/>
      <c r="N197" s="19" t="n"/>
      <c r="O197" s="20" t="n"/>
      <c r="P197" s="21">
        <f>IF($I197="","",IF($J197="O","3","")&amp;IF($K197="O","4","")&amp;IF($L197="O","6","")&amp;IF($M197="O","7","")&amp;IF($N197="O","8","")&amp;IF($O197="O","?","")&amp;IF(OR($J197="O",$K197="O",$L197="O",$M197="O",$N197="O",$O197="O"),"-","")&amp;$I197)</f>
        <v/>
      </c>
      <c r="Q197" s="110">
        <f>HYPERLINK("#'마스터_품목'!A373","→ 마스터 R373")</f>
        <v/>
      </c>
      <c r="R197" s="111" t="n">
        <v>373</v>
      </c>
      <c r="S197" s="111" t="inlineStr">
        <is>
          <t>마스터_품목</t>
        </is>
      </c>
    </row>
    <row r="198" ht="48" customHeight="1">
      <c r="A198" s="22" t="inlineStr">
        <is>
          <t>조립</t>
        </is>
      </c>
      <c r="B198" s="22" t="inlineStr">
        <is>
          <t>하네스</t>
        </is>
      </c>
      <c r="C198" s="23" t="inlineStr">
        <is>
          <t>ADX6000FB
ADX6000s</t>
        </is>
      </c>
      <c r="D198" s="23" t="inlineStr">
        <is>
          <t>CTR, CURRENT, FRONT, PC BD연결 _ 하네스 1-1번
 [ 12505HS-06, 12505HS-04, 12505HS-03, 5264-02  (250mm, 140mm, 300mm) ]</t>
        </is>
      </c>
      <c r="E198" s="23" t="n"/>
      <c r="F198" s="24" t="inlineStr">
        <is>
          <t>O</t>
        </is>
      </c>
      <c r="G198" s="25" t="n"/>
      <c r="H198" s="26" t="n"/>
      <c r="I198" s="27">
        <f>IFERROR(IF(OR($F198="O",$G198="O",$H198="O"),CHOOSE(MATCH($A198,{"튜브","고압","진공","튜닝","조립","출하"},0),"T","H","V","N","A","P")&amp;IF($F198="O","R",IF($G198="O","A",IF($H198="O","F",""))),""),"")</f>
        <v/>
      </c>
      <c r="J198" s="15" t="n"/>
      <c r="K198" s="16" t="n"/>
      <c r="L198" s="17" t="inlineStr">
        <is>
          <t>O</t>
        </is>
      </c>
      <c r="M198" s="18" t="n"/>
      <c r="N198" s="19" t="n"/>
      <c r="O198" s="20" t="n"/>
      <c r="P198" s="21">
        <f>IF($I198="","",IF($J198="O","3","")&amp;IF($K198="O","4","")&amp;IF($L198="O","6","")&amp;IF($M198="O","7","")&amp;IF($N198="O","8","")&amp;IF($O198="O","?","")&amp;IF(OR($J198="O",$K198="O",$L198="O",$M198="O",$N198="O",$O198="O"),"-","")&amp;$I198)</f>
        <v/>
      </c>
      <c r="Q198" s="110">
        <f>HYPERLINK("#'마스터_품목'!A374","→ 마스터 R374")</f>
        <v/>
      </c>
      <c r="R198" s="111" t="n">
        <v>374</v>
      </c>
      <c r="S198" s="111" t="inlineStr">
        <is>
          <t>마스터_품목</t>
        </is>
      </c>
    </row>
    <row r="199" ht="48" customHeight="1">
      <c r="A199" s="22" t="inlineStr">
        <is>
          <t>조립</t>
        </is>
      </c>
      <c r="B199" s="22" t="inlineStr">
        <is>
          <t>하네스</t>
        </is>
      </c>
      <c r="C199" s="23" t="inlineStr">
        <is>
          <t>ADX6000FB
ADX6000s</t>
        </is>
      </c>
      <c r="D199" s="23" t="inlineStr">
        <is>
          <t>PC, FRONT BD 연결 _  하네스 2번
[ 12505HS-04, USB-105 (70mm) ]</t>
        </is>
      </c>
      <c r="E199" s="23" t="inlineStr">
        <is>
          <t>하네스 2번 (12505HS-04, USB-105 PC, FRONT BD 연결 / 70mm)
[ADX6000S]</t>
        </is>
      </c>
      <c r="F199" s="24" t="inlineStr">
        <is>
          <t>O</t>
        </is>
      </c>
      <c r="G199" s="25" t="n"/>
      <c r="H199" s="26" t="n"/>
      <c r="I199" s="27">
        <f>IFERROR(IF(OR($F199="O",$G199="O",$H199="O"),CHOOSE(MATCH($A199,{"튜브","고압","진공","튜닝","조립","출하"},0),"T","H","V","N","A","P")&amp;IF($F199="O","R",IF($G199="O","A",IF($H199="O","F",""))),""),"")</f>
        <v/>
      </c>
      <c r="J199" s="15" t="n"/>
      <c r="K199" s="16" t="n"/>
      <c r="L199" s="17" t="inlineStr">
        <is>
          <t>O</t>
        </is>
      </c>
      <c r="M199" s="18" t="n"/>
      <c r="N199" s="19" t="n"/>
      <c r="O199" s="20" t="n"/>
      <c r="P199" s="21">
        <f>IF($I199="","",IF($J199="O","3","")&amp;IF($K199="O","4","")&amp;IF($L199="O","6","")&amp;IF($M199="O","7","")&amp;IF($N199="O","8","")&amp;IF($O199="O","?","")&amp;IF(OR($J199="O",$K199="O",$L199="O",$M199="O",$N199="O",$O199="O"),"-","")&amp;$I199)</f>
        <v/>
      </c>
      <c r="Q199" s="110">
        <f>HYPERLINK("#'마스터_품목'!A375","→ 마스터 R375")</f>
        <v/>
      </c>
      <c r="R199" s="111" t="n">
        <v>375</v>
      </c>
      <c r="S199" s="111" t="inlineStr">
        <is>
          <t>마스터_품목</t>
        </is>
      </c>
    </row>
    <row r="200" ht="48" customHeight="1">
      <c r="A200" s="22" t="inlineStr">
        <is>
          <t>조립</t>
        </is>
      </c>
      <c r="B200" s="22" t="inlineStr">
        <is>
          <t>하네스</t>
        </is>
      </c>
      <c r="C200" s="23" t="inlineStr">
        <is>
          <t>ADX6000 공용</t>
        </is>
      </c>
      <c r="D200" s="23" t="inlineStr">
        <is>
          <t>Power&amp;Exp Connector Wire Harness 12pin [170mm,70mm] (하네스 3번)</t>
        </is>
      </c>
      <c r="E200" s="23" t="inlineStr">
        <is>
          <t>하네스 3번 (Power&amp;Exp Connector 12핀 / 160mm, 70mm)
[ADX6000]</t>
        </is>
      </c>
      <c r="F200" s="24" t="inlineStr">
        <is>
          <t>O</t>
        </is>
      </c>
      <c r="G200" s="25" t="n"/>
      <c r="H200" s="26" t="n"/>
      <c r="I200" s="27">
        <f>IFERROR(IF(OR($F200="O",$G200="O",$H200="O"),CHOOSE(MATCH($A200,{"튜브","고압","진공","튜닝","조립","출하"},0),"T","H","V","N","A","P")&amp;IF($F200="O","R",IF($G200="O","A",IF($H200="O","F",""))),""),"")</f>
        <v/>
      </c>
      <c r="J200" s="15" t="n"/>
      <c r="K200" s="16" t="n"/>
      <c r="L200" s="17" t="inlineStr">
        <is>
          <t>O</t>
        </is>
      </c>
      <c r="M200" s="18" t="n"/>
      <c r="N200" s="19" t="n"/>
      <c r="O200" s="20" t="n"/>
      <c r="P200" s="21">
        <f>IF($I200="","",IF($J200="O","3","")&amp;IF($K200="O","4","")&amp;IF($L200="O","6","")&amp;IF($M200="O","7","")&amp;IF($N200="O","8","")&amp;IF($O200="O","?","")&amp;IF(OR($J200="O",$K200="O",$L200="O",$M200="O",$N200="O",$O200="O"),"-","")&amp;$I200)</f>
        <v/>
      </c>
      <c r="Q200" s="110">
        <f>HYPERLINK("#'마스터_품목'!A376","→ 마스터 R376")</f>
        <v/>
      </c>
      <c r="R200" s="111" t="n">
        <v>376</v>
      </c>
      <c r="S200" s="111" t="inlineStr">
        <is>
          <t>마스터_품목</t>
        </is>
      </c>
    </row>
    <row r="201" ht="48" customHeight="1">
      <c r="A201" s="22" t="inlineStr">
        <is>
          <t>조립</t>
        </is>
      </c>
      <c r="B201" s="22" t="inlineStr">
        <is>
          <t>하네스</t>
        </is>
      </c>
      <c r="C201" s="23" t="inlineStr">
        <is>
          <t>ADX6000 공용</t>
        </is>
      </c>
      <c r="D201" s="23" t="inlineStr">
        <is>
          <t>컬리메이터 LED Wire Harness 2pin [300mm] (하네스 5번)</t>
        </is>
      </c>
      <c r="E201" s="23" t="inlineStr">
        <is>
          <t>하네스 5번 (컬리메이터 LED 2핀 / 300mm)
[ADX6000]</t>
        </is>
      </c>
      <c r="F201" s="24" t="inlineStr">
        <is>
          <t>O</t>
        </is>
      </c>
      <c r="G201" s="25" t="n"/>
      <c r="H201" s="26" t="n"/>
      <c r="I201" s="27">
        <f>IFERROR(IF(OR($F201="O",$G201="O",$H201="O"),CHOOSE(MATCH($A201,{"튜브","고압","진공","튜닝","조립","출하"},0),"T","H","V","N","A","P")&amp;IF($F201="O","R",IF($G201="O","A",IF($H201="O","F",""))),""),"")</f>
        <v/>
      </c>
      <c r="J201" s="15" t="n"/>
      <c r="K201" s="16" t="n"/>
      <c r="L201" s="17" t="inlineStr">
        <is>
          <t>O</t>
        </is>
      </c>
      <c r="M201" s="18" t="n"/>
      <c r="N201" s="19" t="n"/>
      <c r="O201" s="20" t="n"/>
      <c r="P201" s="21">
        <f>IF($I201="","",IF($J201="O","3","")&amp;IF($K201="O","4","")&amp;IF($L201="O","6","")&amp;IF($M201="O","7","")&amp;IF($N201="O","8","")&amp;IF($O201="O","?","")&amp;IF(OR($J201="O",$K201="O",$L201="O",$M201="O",$N201="O",$O201="O"),"-","")&amp;$I201)</f>
        <v/>
      </c>
      <c r="Q201" s="110">
        <f>HYPERLINK("#'마스터_품목'!A377","→ 마스터 R377")</f>
        <v/>
      </c>
      <c r="R201" s="111" t="n">
        <v>377</v>
      </c>
      <c r="S201" s="111" t="inlineStr">
        <is>
          <t>마스터_품목</t>
        </is>
      </c>
    </row>
    <row r="202" ht="48" customHeight="1">
      <c r="A202" s="22" t="inlineStr">
        <is>
          <t>조립</t>
        </is>
      </c>
      <c r="B202" s="22" t="inlineStr">
        <is>
          <t>하네스</t>
        </is>
      </c>
      <c r="C202" s="23" t="inlineStr">
        <is>
          <t>ADX6000FB
ADX6000s</t>
        </is>
      </c>
      <c r="D202" s="23" t="inlineStr">
        <is>
          <t>PC 전원 케이블 [ SMH250-02 (130mm) ] _ 하네스 6번</t>
        </is>
      </c>
      <c r="E202" s="23" t="inlineStr">
        <is>
          <t>하네스 6번 (SMH250-02 PC 전원 케이블 / 130mm)
[ADX6000S]</t>
        </is>
      </c>
      <c r="F202" s="24" t="inlineStr">
        <is>
          <t>O</t>
        </is>
      </c>
      <c r="G202" s="25" t="n"/>
      <c r="H202" s="26" t="n"/>
      <c r="I202" s="27">
        <f>IFERROR(IF(OR($F202="O",$G202="O",$H202="O"),CHOOSE(MATCH($A202,{"튜브","고압","진공","튜닝","조립","출하"},0),"T","H","V","N","A","P")&amp;IF($F202="O","R",IF($G202="O","A",IF($H202="O","F",""))),""),"")</f>
        <v/>
      </c>
      <c r="J202" s="15" t="n"/>
      <c r="K202" s="16" t="n"/>
      <c r="L202" s="17" t="inlineStr">
        <is>
          <t>O</t>
        </is>
      </c>
      <c r="M202" s="18" t="n"/>
      <c r="N202" s="19" t="n"/>
      <c r="O202" s="20" t="n"/>
      <c r="P202" s="21">
        <f>IF($I202="","",IF($J202="O","3","")&amp;IF($K202="O","4","")&amp;IF($L202="O","6","")&amp;IF($M202="O","7","")&amp;IF($N202="O","8","")&amp;IF($O202="O","?","")&amp;IF(OR($J202="O",$K202="O",$L202="O",$M202="O",$N202="O",$O202="O"),"-","")&amp;$I202)</f>
        <v/>
      </c>
      <c r="Q202" s="110">
        <f>HYPERLINK("#'마스터_품목'!A378","→ 마스터 R378")</f>
        <v/>
      </c>
      <c r="R202" s="111" t="n">
        <v>378</v>
      </c>
      <c r="S202" s="111" t="inlineStr">
        <is>
          <t>마스터_품목</t>
        </is>
      </c>
    </row>
    <row r="203" ht="48" customHeight="1">
      <c r="A203" s="22" t="inlineStr">
        <is>
          <t>조립</t>
        </is>
      </c>
      <c r="B203" s="22" t="inlineStr">
        <is>
          <t>하네스</t>
        </is>
      </c>
      <c r="C203" s="23" t="inlineStr">
        <is>
          <t>ADX6000FB
ADX6000s</t>
        </is>
      </c>
      <c r="D203" s="23" t="inlineStr">
        <is>
          <t>DF19G-20S-1C(0.5) (2EA) (160mm) (ADX6000s용)
LVDS 케이블 (하네스 7번)</t>
        </is>
      </c>
      <c r="E203" s="23" t="inlineStr">
        <is>
          <t>하네스 7번 (DF19G-20S-1C(0.5) (2EA) LVDS 케이블 / 160mm 힌지 작업시 발주)
[ADX6000S]</t>
        </is>
      </c>
      <c r="F203" s="24" t="inlineStr">
        <is>
          <t>O</t>
        </is>
      </c>
      <c r="G203" s="25" t="n"/>
      <c r="H203" s="26" t="n"/>
      <c r="I203" s="27">
        <f>IFERROR(IF(OR($F203="O",$G203="O",$H203="O"),CHOOSE(MATCH($A203,{"튜브","고압","진공","튜닝","조립","출하"},0),"T","H","V","N","A","P")&amp;IF($F203="O","R",IF($G203="O","A",IF($H203="O","F",""))),""),"")</f>
        <v/>
      </c>
      <c r="J203" s="15" t="n"/>
      <c r="K203" s="16" t="n"/>
      <c r="L203" s="17" t="inlineStr">
        <is>
          <t>O</t>
        </is>
      </c>
      <c r="M203" s="18" t="n"/>
      <c r="N203" s="19" t="n"/>
      <c r="O203" s="20" t="n"/>
      <c r="P203" s="21">
        <f>IF($I203="","",IF($J203="O","3","")&amp;IF($K203="O","4","")&amp;IF($L203="O","6","")&amp;IF($M203="O","7","")&amp;IF($N203="O","8","")&amp;IF($O203="O","?","")&amp;IF(OR($J203="O",$K203="O",$L203="O",$M203="O",$N203="O",$O203="O"),"-","")&amp;$I203)</f>
        <v/>
      </c>
      <c r="Q203" s="110">
        <f>HYPERLINK("#'마스터_품목'!A379","→ 마스터 R379")</f>
        <v/>
      </c>
      <c r="R203" s="111" t="n">
        <v>379</v>
      </c>
      <c r="S203" s="111" t="inlineStr">
        <is>
          <t>마스터_품목</t>
        </is>
      </c>
    </row>
    <row r="204" ht="48" customHeight="1">
      <c r="A204" s="22" t="inlineStr">
        <is>
          <t>조립</t>
        </is>
      </c>
      <c r="B204" s="22" t="inlineStr">
        <is>
          <t>하네스</t>
        </is>
      </c>
      <c r="C204" s="23" t="inlineStr">
        <is>
          <t>ADX6000FB
ADX6000s</t>
        </is>
      </c>
      <c r="D204" s="23" t="inlineStr">
        <is>
          <t>Carrier Mini BD 케이블 _ 하네스 9번  
 [ 12505HS-03 (100mm) ]</t>
        </is>
      </c>
      <c r="E204" s="23" t="inlineStr">
        <is>
          <t>하네스 9번 (12505HS-03 Carrier Mini BD 케이블 / 100mm)
[ADX6000S]</t>
        </is>
      </c>
      <c r="F204" s="24" t="inlineStr">
        <is>
          <t>O</t>
        </is>
      </c>
      <c r="G204" s="25" t="n"/>
      <c r="H204" s="26" t="n"/>
      <c r="I204" s="27">
        <f>IFERROR(IF(OR($F204="O",$G204="O",$H204="O"),CHOOSE(MATCH($A204,{"튜브","고압","진공","튜닝","조립","출하"},0),"T","H","V","N","A","P")&amp;IF($F204="O","R",IF($G204="O","A",IF($H204="O","F",""))),""),"")</f>
        <v/>
      </c>
      <c r="J204" s="15" t="n"/>
      <c r="K204" s="16" t="n"/>
      <c r="L204" s="17" t="inlineStr">
        <is>
          <t>O</t>
        </is>
      </c>
      <c r="M204" s="18" t="n"/>
      <c r="N204" s="19" t="n"/>
      <c r="O204" s="20" t="n"/>
      <c r="P204" s="21">
        <f>IF($I204="","",IF($J204="O","3","")&amp;IF($K204="O","4","")&amp;IF($L204="O","6","")&amp;IF($M204="O","7","")&amp;IF($N204="O","8","")&amp;IF($O204="O","?","")&amp;IF(OR($J204="O",$K204="O",$L204="O",$M204="O",$N204="O",$O204="O"),"-","")&amp;$I204)</f>
        <v/>
      </c>
      <c r="Q204" s="110">
        <f>HYPERLINK("#'마스터_품목'!A380","→ 마스터 R380")</f>
        <v/>
      </c>
      <c r="R204" s="111" t="n">
        <v>380</v>
      </c>
      <c r="S204" s="111" t="inlineStr">
        <is>
          <t>마스터_품목</t>
        </is>
      </c>
    </row>
    <row r="205" ht="48" customHeight="1">
      <c r="A205" s="22" t="inlineStr">
        <is>
          <t>조립</t>
        </is>
      </c>
      <c r="B205" s="22" t="inlineStr">
        <is>
          <t>하네스</t>
        </is>
      </c>
      <c r="C205" s="23" t="inlineStr">
        <is>
          <t>ADX6000FB
ADX6000s</t>
        </is>
      </c>
      <c r="D205" s="23" t="inlineStr">
        <is>
          <t>Carrier Mini BD 케이블 _ 하네스 9-1번  
 [ 12505HS-03 (100mm) ]</t>
        </is>
      </c>
      <c r="E205" s="23" t="inlineStr">
        <is>
          <t>하네스 9-1번 (12505HS-03 Carrier Mini BD 케이블 / 100mm (한쪽만 커넥터))
[ADX6000S]</t>
        </is>
      </c>
      <c r="F205" s="24" t="inlineStr">
        <is>
          <t>O</t>
        </is>
      </c>
      <c r="G205" s="25" t="n"/>
      <c r="H205" s="26" t="n"/>
      <c r="I205" s="27">
        <f>IFERROR(IF(OR($F205="O",$G205="O",$H205="O"),CHOOSE(MATCH($A205,{"튜브","고압","진공","튜닝","조립","출하"},0),"T","H","V","N","A","P")&amp;IF($F205="O","R",IF($G205="O","A",IF($H205="O","F",""))),""),"")</f>
        <v/>
      </c>
      <c r="J205" s="15" t="n"/>
      <c r="K205" s="16" t="n"/>
      <c r="L205" s="17" t="inlineStr">
        <is>
          <t>O</t>
        </is>
      </c>
      <c r="M205" s="18" t="n"/>
      <c r="N205" s="19" t="n"/>
      <c r="O205" s="20" t="n"/>
      <c r="P205" s="21">
        <f>IF($I205="","",IF($J205="O","3","")&amp;IF($K205="O","4","")&amp;IF($L205="O","6","")&amp;IF($M205="O","7","")&amp;IF($N205="O","8","")&amp;IF($O205="O","?","")&amp;IF(OR($J205="O",$K205="O",$L205="O",$M205="O",$N205="O",$O205="O"),"-","")&amp;$I205)</f>
        <v/>
      </c>
      <c r="Q205" s="110">
        <f>HYPERLINK("#'마스터_품목'!A381","→ 마스터 R381")</f>
        <v/>
      </c>
      <c r="R205" s="111" t="n">
        <v>381</v>
      </c>
      <c r="S205" s="111" t="inlineStr">
        <is>
          <t>마스터_품목</t>
        </is>
      </c>
    </row>
    <row r="206" ht="48" customHeight="1">
      <c r="A206" s="22" t="inlineStr">
        <is>
          <t>조립</t>
        </is>
      </c>
      <c r="B206" s="22" t="inlineStr">
        <is>
          <t>하네스</t>
        </is>
      </c>
      <c r="C206" s="23" t="inlineStr">
        <is>
          <t>ADX6000FB
ADX6000s</t>
        </is>
      </c>
      <c r="D206" s="23" t="inlineStr">
        <is>
          <t>PC, CTR BD 연결 _ 하네스 10번 
[ CHW0640-03, 1205HS-03 (130mm) ]</t>
        </is>
      </c>
      <c r="E206" s="23" t="inlineStr">
        <is>
          <t>하네스 10번 (CHW0640-03, 1205HS-03 PC, CTR BD 연결 / 130mm)
[ADX6000S]</t>
        </is>
      </c>
      <c r="F206" s="24" t="inlineStr">
        <is>
          <t>O</t>
        </is>
      </c>
      <c r="G206" s="25" t="n"/>
      <c r="H206" s="26" t="n"/>
      <c r="I206" s="27">
        <f>IFERROR(IF(OR($F206="O",$G206="O",$H206="O"),CHOOSE(MATCH($A206,{"튜브","고압","진공","튜닝","조립","출하"},0),"T","H","V","N","A","P")&amp;IF($F206="O","R",IF($G206="O","A",IF($H206="O","F",""))),""),"")</f>
        <v/>
      </c>
      <c r="J206" s="15" t="n"/>
      <c r="K206" s="16" t="n"/>
      <c r="L206" s="17" t="inlineStr">
        <is>
          <t>O</t>
        </is>
      </c>
      <c r="M206" s="18" t="n"/>
      <c r="N206" s="19" t="n"/>
      <c r="O206" s="20" t="n"/>
      <c r="P206" s="21">
        <f>IF($I206="","",IF($J206="O","3","")&amp;IF($K206="O","4","")&amp;IF($L206="O","6","")&amp;IF($M206="O","7","")&amp;IF($N206="O","8","")&amp;IF($O206="O","?","")&amp;IF(OR($J206="O",$K206="O",$L206="O",$M206="O",$N206="O",$O206="O"),"-","")&amp;$I206)</f>
        <v/>
      </c>
      <c r="Q206" s="110">
        <f>HYPERLINK("#'마스터_품목'!A382","→ 마스터 R382")</f>
        <v/>
      </c>
      <c r="R206" s="111" t="n">
        <v>382</v>
      </c>
      <c r="S206" s="111" t="inlineStr">
        <is>
          <t>마스터_품목</t>
        </is>
      </c>
    </row>
    <row r="207" ht="48" customHeight="1">
      <c r="A207" s="22" t="inlineStr">
        <is>
          <t>조립</t>
        </is>
      </c>
      <c r="B207" s="22" t="inlineStr">
        <is>
          <t>하네스</t>
        </is>
      </c>
      <c r="C207" s="23" t="inlineStr">
        <is>
          <t>ADX6000 공용</t>
        </is>
      </c>
      <c r="D207" s="23" t="inlineStr">
        <is>
          <t>Battery BD 02 Wire Harness [4pin,2pin,Dual] [90mm,80mm] 탈착, 외부 BAT BD 연결 (하네스 11번)</t>
        </is>
      </c>
      <c r="E207" s="23" t="inlineStr">
        <is>
          <t>하네스 11번 (Battery BD 02 [4핀,2핀,Dual] 탈착, 외부 BAT BD 연결 / 90mm, 80mm)
[ADX6000]</t>
        </is>
      </c>
      <c r="F207" s="24" t="inlineStr">
        <is>
          <t>O</t>
        </is>
      </c>
      <c r="G207" s="25" t="n"/>
      <c r="H207" s="26" t="n"/>
      <c r="I207" s="27">
        <f>IFERROR(IF(OR($F207="O",$G207="O",$H207="O"),CHOOSE(MATCH($A207,{"튜브","고압","진공","튜닝","조립","출하"},0),"T","H","V","N","A","P")&amp;IF($F207="O","R",IF($G207="O","A",IF($H207="O","F",""))),""),"")</f>
        <v/>
      </c>
      <c r="J207" s="15" t="n"/>
      <c r="K207" s="16" t="n"/>
      <c r="L207" s="17" t="inlineStr">
        <is>
          <t>O</t>
        </is>
      </c>
      <c r="M207" s="18" t="n"/>
      <c r="N207" s="19" t="n"/>
      <c r="O207" s="20" t="n"/>
      <c r="P207" s="21">
        <f>IF($I207="","",IF($J207="O","3","")&amp;IF($K207="O","4","")&amp;IF($L207="O","6","")&amp;IF($M207="O","7","")&amp;IF($N207="O","8","")&amp;IF($O207="O","?","")&amp;IF(OR($J207="O",$K207="O",$L207="O",$M207="O",$N207="O",$O207="O"),"-","")&amp;$I207)</f>
        <v/>
      </c>
      <c r="Q207" s="110">
        <f>HYPERLINK("#'마스터_품목'!A383","→ 마스터 R383")</f>
        <v/>
      </c>
      <c r="R207" s="111" t="n">
        <v>383</v>
      </c>
      <c r="S207" s="111" t="inlineStr">
        <is>
          <t>마스터_품목</t>
        </is>
      </c>
    </row>
    <row r="208" ht="48" customHeight="1">
      <c r="A208" s="22" t="inlineStr">
        <is>
          <t>조립</t>
        </is>
      </c>
      <c r="B208" s="22" t="inlineStr">
        <is>
          <t>하네스</t>
        </is>
      </c>
      <c r="C208" s="23" t="inlineStr">
        <is>
          <t>ADX6000 공용</t>
        </is>
      </c>
      <c r="D208" s="23" t="inlineStr">
        <is>
          <t>Battery BD 02 Wire Harness [12505HS-06]
[80mm] 탈착 BAT BD 연결 (하네스 11-1번)</t>
        </is>
      </c>
      <c r="E208" s="23" t="inlineStr">
        <is>
          <t>Battery BD 01 Wire Harness (2핀) (80mm)
[ADX6000]</t>
        </is>
      </c>
      <c r="F208" s="24" t="inlineStr">
        <is>
          <t>O</t>
        </is>
      </c>
      <c r="G208" s="25" t="n"/>
      <c r="H208" s="26" t="n"/>
      <c r="I208" s="27">
        <f>IFERROR(IF(OR($F208="O",$G208="O",$H208="O"),CHOOSE(MATCH($A208,{"튜브","고압","진공","튜닝","조립","출하"},0),"T","H","V","N","A","P")&amp;IF($F208="O","R",IF($G208="O","A",IF($H208="O","F",""))),""),"")</f>
        <v/>
      </c>
      <c r="J208" s="15" t="n"/>
      <c r="K208" s="16" t="n"/>
      <c r="L208" s="17" t="inlineStr">
        <is>
          <t>O</t>
        </is>
      </c>
      <c r="M208" s="18" t="n"/>
      <c r="N208" s="19" t="n"/>
      <c r="O208" s="20" t="n"/>
      <c r="P208" s="21">
        <f>IF($I208="","",IF($J208="O","3","")&amp;IF($K208="O","4","")&amp;IF($L208="O","6","")&amp;IF($M208="O","7","")&amp;IF($N208="O","8","")&amp;IF($O208="O","?","")&amp;IF(OR($J208="O",$K208="O",$L208="O",$M208="O",$N208="O",$O208="O"),"-","")&amp;$I208)</f>
        <v/>
      </c>
      <c r="Q208" s="110">
        <f>HYPERLINK("#'마스터_품목'!A384","→ 마스터 R384")</f>
        <v/>
      </c>
      <c r="R208" s="111" t="n">
        <v>384</v>
      </c>
      <c r="S208" s="111" t="inlineStr">
        <is>
          <t>마스터_품목</t>
        </is>
      </c>
    </row>
    <row r="209" ht="48" customHeight="1">
      <c r="A209" s="22" t="inlineStr">
        <is>
          <t>조립</t>
        </is>
      </c>
      <c r="B209" s="22" t="inlineStr">
        <is>
          <t>하네스</t>
        </is>
      </c>
      <c r="C209" s="23" t="inlineStr">
        <is>
          <t>ADX6000FB
ADX6000s</t>
        </is>
      </c>
      <c r="D209" s="23" t="inlineStr">
        <is>
          <t>40pin FFC Cable (50mm) _ 하네스 14번</t>
        </is>
      </c>
      <c r="E209" s="23" t="inlineStr">
        <is>
          <t>하네스 14번 (FFC Cable 40핀 / 50mm - 사용안함)
[ADX6000S]</t>
        </is>
      </c>
      <c r="F209" s="24" t="inlineStr">
        <is>
          <t>O</t>
        </is>
      </c>
      <c r="G209" s="25" t="n"/>
      <c r="H209" s="26" t="n"/>
      <c r="I209" s="27">
        <f>IFERROR(IF(OR($F209="O",$G209="O",$H209="O"),CHOOSE(MATCH($A209,{"튜브","고압","진공","튜닝","조립","출하"},0),"T","H","V","N","A","P")&amp;IF($F209="O","R",IF($G209="O","A",IF($H209="O","F",""))),""),"")</f>
        <v/>
      </c>
      <c r="J209" s="15" t="n"/>
      <c r="K209" s="16" t="n"/>
      <c r="L209" s="17" t="inlineStr">
        <is>
          <t>O</t>
        </is>
      </c>
      <c r="M209" s="18" t="n"/>
      <c r="N209" s="19" t="n"/>
      <c r="O209" s="20" t="n"/>
      <c r="P209" s="21">
        <f>IF($I209="","",IF($J209="O","3","")&amp;IF($K209="O","4","")&amp;IF($L209="O","6","")&amp;IF($M209="O","7","")&amp;IF($N209="O","8","")&amp;IF($O209="O","?","")&amp;IF(OR($J209="O",$K209="O",$L209="O",$M209="O",$N209="O",$O209="O"),"-","")&amp;$I209)</f>
        <v/>
      </c>
      <c r="Q209" s="110">
        <f>HYPERLINK("#'마스터_품목'!A385","→ 마스터 R385")</f>
        <v/>
      </c>
      <c r="R209" s="111" t="n">
        <v>385</v>
      </c>
      <c r="S209" s="111" t="inlineStr">
        <is>
          <t>마스터_품목</t>
        </is>
      </c>
    </row>
    <row r="210" ht="48" customHeight="1">
      <c r="A210" s="22" t="inlineStr">
        <is>
          <t>조립</t>
        </is>
      </c>
      <c r="B210" s="22" t="inlineStr">
        <is>
          <t>하네스</t>
        </is>
      </c>
      <c r="C210" s="23" t="inlineStr">
        <is>
          <t>ADX6000 공용</t>
        </is>
      </c>
      <c r="D210" s="23" t="inlineStr">
        <is>
          <t>Battery BD 01 Wire Harness 2pin [80mm]</t>
        </is>
      </c>
      <c r="E210" s="23" t="n"/>
      <c r="F210" s="24" t="inlineStr">
        <is>
          <t>O</t>
        </is>
      </c>
      <c r="G210" s="25" t="n"/>
      <c r="H210" s="26" t="n"/>
      <c r="I210" s="27">
        <f>IFERROR(IF(OR($F210="O",$G210="O",$H210="O"),CHOOSE(MATCH($A210,{"튜브","고압","진공","튜닝","조립","출하"},0),"T","H","V","N","A","P")&amp;IF($F210="O","R",IF($G210="O","A",IF($H210="O","F",""))),""),"")</f>
        <v/>
      </c>
      <c r="J210" s="15" t="n"/>
      <c r="K210" s="16" t="n"/>
      <c r="L210" s="17" t="inlineStr">
        <is>
          <t>O</t>
        </is>
      </c>
      <c r="M210" s="18" t="n"/>
      <c r="N210" s="19" t="n"/>
      <c r="O210" s="20" t="n"/>
      <c r="P210" s="21">
        <f>IF($I210="","",IF($J210="O","3","")&amp;IF($K210="O","4","")&amp;IF($L210="O","6","")&amp;IF($M210="O","7","")&amp;IF($N210="O","8","")&amp;IF($O210="O","?","")&amp;IF(OR($J210="O",$K210="O",$L210="O",$M210="O",$N210="O",$O210="O"),"-","")&amp;$I210)</f>
        <v/>
      </c>
      <c r="Q210" s="110">
        <f>HYPERLINK("#'마스터_품목'!A386","→ 마스터 R386")</f>
        <v/>
      </c>
      <c r="R210" s="111" t="n">
        <v>386</v>
      </c>
      <c r="S210" s="111" t="inlineStr">
        <is>
          <t>마스터_품목</t>
        </is>
      </c>
    </row>
    <row r="211" ht="48" customHeight="1">
      <c r="A211" s="22" t="inlineStr">
        <is>
          <t>조립</t>
        </is>
      </c>
      <c r="B211" s="22" t="inlineStr">
        <is>
          <t>하네스</t>
        </is>
      </c>
      <c r="C211" s="23" t="inlineStr">
        <is>
          <t>ADX6000
ADX6000U</t>
        </is>
      </c>
      <c r="D211" s="23" t="inlineStr">
        <is>
          <t>PC Connector Wire Harness 7pin 
[100mm,140mm,200mm]</t>
        </is>
      </c>
      <c r="E211" s="23" t="inlineStr">
        <is>
          <t>PC Connector Wire Harness (7핀) (100mm, 140mm, 200mm)
[ADX6000]</t>
        </is>
      </c>
      <c r="F211" s="24" t="inlineStr">
        <is>
          <t>O</t>
        </is>
      </c>
      <c r="G211" s="25" t="n"/>
      <c r="H211" s="26" t="n"/>
      <c r="I211" s="27">
        <f>IFERROR(IF(OR($F211="O",$G211="O",$H211="O"),CHOOSE(MATCH($A211,{"튜브","고압","진공","튜닝","조립","출하"},0),"T","H","V","N","A","P")&amp;IF($F211="O","R",IF($G211="O","A",IF($H211="O","F",""))),""),"")</f>
        <v/>
      </c>
      <c r="J211" s="15" t="n"/>
      <c r="K211" s="16" t="n"/>
      <c r="L211" s="17" t="inlineStr">
        <is>
          <t>O</t>
        </is>
      </c>
      <c r="M211" s="18" t="n"/>
      <c r="N211" s="19" t="n"/>
      <c r="O211" s="20" t="n"/>
      <c r="P211" s="21">
        <f>IF($I211="","",IF($J211="O","3","")&amp;IF($K211="O","4","")&amp;IF($L211="O","6","")&amp;IF($M211="O","7","")&amp;IF($N211="O","8","")&amp;IF($O211="O","?","")&amp;IF(OR($J211="O",$K211="O",$L211="O",$M211="O",$N211="O",$O211="O"),"-","")&amp;$I211)</f>
        <v/>
      </c>
      <c r="Q211" s="110">
        <f>HYPERLINK("#'마스터_품목'!A387","→ 마스터 R387")</f>
        <v/>
      </c>
      <c r="R211" s="111" t="n">
        <v>387</v>
      </c>
      <c r="S211" s="111" t="inlineStr">
        <is>
          <t>마스터_품목</t>
        </is>
      </c>
    </row>
    <row r="212" ht="48" customHeight="1">
      <c r="A212" s="22" t="inlineStr">
        <is>
          <t>조립</t>
        </is>
      </c>
      <c r="B212" s="22" t="inlineStr">
        <is>
          <t>하네스</t>
        </is>
      </c>
      <c r="C212" s="23" t="inlineStr">
        <is>
          <t>ADX6000
ADX6000U</t>
        </is>
      </c>
      <c r="D212" s="23" t="inlineStr">
        <is>
          <t>RS422 통신 Wire Harness 6pin [120mm]</t>
        </is>
      </c>
      <c r="E212" s="23" t="inlineStr">
        <is>
          <t>RS422 통신 Wire Harness (6핀) (120mm)
[ADX6000]</t>
        </is>
      </c>
      <c r="F212" s="24" t="inlineStr">
        <is>
          <t>O</t>
        </is>
      </c>
      <c r="G212" s="25" t="n"/>
      <c r="H212" s="26" t="n"/>
      <c r="I212" s="27">
        <f>IFERROR(IF(OR($F212="O",$G212="O",$H212="O"),CHOOSE(MATCH($A212,{"튜브","고압","진공","튜닝","조립","출하"},0),"T","H","V","N","A","P")&amp;IF($F212="O","R",IF($G212="O","A",IF($H212="O","F",""))),""),"")</f>
        <v/>
      </c>
      <c r="J212" s="15" t="n"/>
      <c r="K212" s="16" t="n"/>
      <c r="L212" s="17" t="inlineStr">
        <is>
          <t>O</t>
        </is>
      </c>
      <c r="M212" s="18" t="n"/>
      <c r="N212" s="19" t="n"/>
      <c r="O212" s="20" t="n"/>
      <c r="P212" s="21">
        <f>IF($I212="","",IF($J212="O","3","")&amp;IF($K212="O","4","")&amp;IF($L212="O","6","")&amp;IF($M212="O","7","")&amp;IF($N212="O","8","")&amp;IF($O212="O","?","")&amp;IF(OR($J212="O",$K212="O",$L212="O",$M212="O",$N212="O",$O212="O"),"-","")&amp;$I212)</f>
        <v/>
      </c>
      <c r="Q212" s="110">
        <f>HYPERLINK("#'마스터_품목'!A388","→ 마스터 R388")</f>
        <v/>
      </c>
      <c r="R212" s="111" t="n">
        <v>388</v>
      </c>
      <c r="S212" s="111" t="inlineStr">
        <is>
          <t>마스터_품목</t>
        </is>
      </c>
    </row>
    <row r="213" ht="48" customHeight="1">
      <c r="A213" s="22" t="inlineStr">
        <is>
          <t>조립</t>
        </is>
      </c>
      <c r="B213" s="22" t="inlineStr">
        <is>
          <t>하네스</t>
        </is>
      </c>
      <c r="C213" s="23" t="inlineStr">
        <is>
          <t>ADX6000
ADX6000U</t>
        </is>
      </c>
      <c r="D213" s="23" t="inlineStr">
        <is>
          <t>USB Connector Wire Harness 4pin [100mm]</t>
        </is>
      </c>
      <c r="E213" s="23" t="inlineStr">
        <is>
          <t>USB Connector Wire Harness (4핀) (100mm)
[ADX6000]</t>
        </is>
      </c>
      <c r="F213" s="24" t="inlineStr">
        <is>
          <t>O</t>
        </is>
      </c>
      <c r="G213" s="25" t="n"/>
      <c r="H213" s="26" t="n"/>
      <c r="I213" s="27">
        <f>IFERROR(IF(OR($F213="O",$G213="O",$H213="O"),CHOOSE(MATCH($A213,{"튜브","고압","진공","튜닝","조립","출하"},0),"T","H","V","N","A","P")&amp;IF($F213="O","R",IF($G213="O","A",IF($H213="O","F",""))),""),"")</f>
        <v/>
      </c>
      <c r="J213" s="15" t="n"/>
      <c r="K213" s="16" t="n"/>
      <c r="L213" s="17" t="inlineStr">
        <is>
          <t>O</t>
        </is>
      </c>
      <c r="M213" s="18" t="n"/>
      <c r="N213" s="19" t="n"/>
      <c r="O213" s="20" t="n"/>
      <c r="P213" s="21">
        <f>IF($I213="","",IF($J213="O","3","")&amp;IF($K213="O","4","")&amp;IF($L213="O","6","")&amp;IF($M213="O","7","")&amp;IF($N213="O","8","")&amp;IF($O213="O","?","")&amp;IF(OR($J213="O",$K213="O",$L213="O",$M213="O",$N213="O",$O213="O"),"-","")&amp;$I213)</f>
        <v/>
      </c>
      <c r="Q213" s="110">
        <f>HYPERLINK("#'마스터_품목'!A389","→ 마스터 R389")</f>
        <v/>
      </c>
      <c r="R213" s="111" t="n">
        <v>389</v>
      </c>
      <c r="S213" s="111" t="inlineStr">
        <is>
          <t>마스터_품목</t>
        </is>
      </c>
    </row>
    <row r="214" ht="48" customHeight="1">
      <c r="A214" s="22" t="inlineStr">
        <is>
          <t>조립</t>
        </is>
      </c>
      <c r="B214" s="22" t="inlineStr">
        <is>
          <t>하네스</t>
        </is>
      </c>
      <c r="C214" s="23" t="inlineStr">
        <is>
          <t>ADX6000
ADX6000U</t>
        </is>
      </c>
      <c r="D214" s="23" t="inlineStr">
        <is>
          <t>FFC 16pin [82mm] (ADX6000용)</t>
        </is>
      </c>
      <c r="E214" s="23" t="inlineStr">
        <is>
          <t>FFC (16핀) (82mm)
[ADX6000]</t>
        </is>
      </c>
      <c r="F214" s="24" t="inlineStr">
        <is>
          <t>O</t>
        </is>
      </c>
      <c r="G214" s="25" t="n"/>
      <c r="H214" s="26" t="n"/>
      <c r="I214" s="27">
        <f>IFERROR(IF(OR($F214="O",$G214="O",$H214="O"),CHOOSE(MATCH($A214,{"튜브","고압","진공","튜닝","조립","출하"},0),"T","H","V","N","A","P")&amp;IF($F214="O","R",IF($G214="O","A",IF($H214="O","F",""))),""),"")</f>
        <v/>
      </c>
      <c r="J214" s="15" t="n"/>
      <c r="K214" s="16" t="n"/>
      <c r="L214" s="17" t="inlineStr">
        <is>
          <t>O</t>
        </is>
      </c>
      <c r="M214" s="18" t="n"/>
      <c r="N214" s="19" t="n"/>
      <c r="O214" s="20" t="n"/>
      <c r="P214" s="21">
        <f>IF($I214="","",IF($J214="O","3","")&amp;IF($K214="O","4","")&amp;IF($L214="O","6","")&amp;IF($M214="O","7","")&amp;IF($N214="O","8","")&amp;IF($O214="O","?","")&amp;IF(OR($J214="O",$K214="O",$L214="O",$M214="O",$N214="O",$O214="O"),"-","")&amp;$I214)</f>
        <v/>
      </c>
      <c r="Q214" s="110">
        <f>HYPERLINK("#'마스터_품목'!A390","→ 마스터 R390")</f>
        <v/>
      </c>
      <c r="R214" s="111" t="n">
        <v>390</v>
      </c>
      <c r="S214" s="111" t="inlineStr">
        <is>
          <t>마스터_품목</t>
        </is>
      </c>
    </row>
    <row r="215" ht="48" customHeight="1">
      <c r="A215" s="22" t="inlineStr">
        <is>
          <t>조립</t>
        </is>
      </c>
      <c r="B215" s="22" t="inlineStr">
        <is>
          <t>하네스</t>
        </is>
      </c>
      <c r="C215" s="23" t="inlineStr">
        <is>
          <t>ADX6000
ADX6000U</t>
        </is>
      </c>
      <c r="D215" s="23" t="inlineStr">
        <is>
          <t>Front USB Wire Harness 4pin [80mm]</t>
        </is>
      </c>
      <c r="E215" s="23" t="inlineStr">
        <is>
          <t>Front USB Wire Harness (4핀) (80mm)
[ADX6000]</t>
        </is>
      </c>
      <c r="F215" s="24" t="inlineStr">
        <is>
          <t>O</t>
        </is>
      </c>
      <c r="G215" s="25" t="n"/>
      <c r="H215" s="26" t="n"/>
      <c r="I215" s="27">
        <f>IFERROR(IF(OR($F215="O",$G215="O",$H215="O"),CHOOSE(MATCH($A215,{"튜브","고압","진공","튜닝","조립","출하"},0),"T","H","V","N","A","P")&amp;IF($F215="O","R",IF($G215="O","A",IF($H215="O","F",""))),""),"")</f>
        <v/>
      </c>
      <c r="J215" s="15" t="n"/>
      <c r="K215" s="16" t="n"/>
      <c r="L215" s="17" t="inlineStr">
        <is>
          <t>O</t>
        </is>
      </c>
      <c r="M215" s="18" t="n"/>
      <c r="N215" s="19" t="n"/>
      <c r="O215" s="20" t="n"/>
      <c r="P215" s="21">
        <f>IF($I215="","",IF($J215="O","3","")&amp;IF($K215="O","4","")&amp;IF($L215="O","6","")&amp;IF($M215="O","7","")&amp;IF($N215="O","8","")&amp;IF($O215="O","?","")&amp;IF(OR($J215="O",$K215="O",$L215="O",$M215="O",$N215="O",$O215="O"),"-","")&amp;$I215)</f>
        <v/>
      </c>
      <c r="Q215" s="110">
        <f>HYPERLINK("#'마스터_품목'!A391","→ 마스터 R391")</f>
        <v/>
      </c>
      <c r="R215" s="111" t="n">
        <v>391</v>
      </c>
      <c r="S215" s="111" t="inlineStr">
        <is>
          <t>마스터_품목</t>
        </is>
      </c>
    </row>
    <row r="216" ht="48" customHeight="1">
      <c r="A216" s="22" t="inlineStr">
        <is>
          <t>조립</t>
        </is>
      </c>
      <c r="B216" s="22" t="inlineStr">
        <is>
          <t>하네스</t>
        </is>
      </c>
      <c r="C216" s="23" t="inlineStr">
        <is>
          <t>ADX6000 공용</t>
        </is>
      </c>
      <c r="D216" s="23" t="inlineStr">
        <is>
          <t>콘 납 부착 ASS'Y</t>
        </is>
      </c>
      <c r="E216" s="23" t="n"/>
      <c r="F216" s="24" t="n"/>
      <c r="G216" s="25" t="inlineStr">
        <is>
          <t>O</t>
        </is>
      </c>
      <c r="H216" s="26" t="n"/>
      <c r="I216" s="27">
        <f>IFERROR(IF(OR($F216="O",$G216="O",$H216="O"),CHOOSE(MATCH($A216,{"튜브","고압","진공","튜닝","조립","출하"},0),"T","H","V","N","A","P")&amp;IF($F216="O","R",IF($G216="O","A",IF($H216="O","F",""))),""),"")</f>
        <v/>
      </c>
      <c r="J216" s="15" t="n"/>
      <c r="K216" s="16" t="n"/>
      <c r="L216" s="17" t="inlineStr">
        <is>
          <t>O</t>
        </is>
      </c>
      <c r="M216" s="18" t="n"/>
      <c r="N216" s="19" t="n"/>
      <c r="O216" s="20" t="n"/>
      <c r="P216" s="21">
        <f>IF($I216="","",IF($J216="O","3","")&amp;IF($K216="O","4","")&amp;IF($L216="O","6","")&amp;IF($M216="O","7","")&amp;IF($N216="O","8","")&amp;IF($O216="O","?","")&amp;IF(OR($J216="O",$K216="O",$L216="O",$M216="O",$N216="O",$O216="O"),"-","")&amp;$I216)</f>
        <v/>
      </c>
      <c r="Q216" s="110">
        <f>HYPERLINK("#'마스터_품목'!A392","→ 마스터 R392")</f>
        <v/>
      </c>
      <c r="R216" s="111" t="n">
        <v>392</v>
      </c>
      <c r="S216" s="111" t="inlineStr">
        <is>
          <t>마스터_품목</t>
        </is>
      </c>
    </row>
    <row r="217" ht="48" customHeight="1">
      <c r="A217" s="22" t="inlineStr">
        <is>
          <t>조립</t>
        </is>
      </c>
      <c r="B217" s="22" t="inlineStr">
        <is>
          <t>하네스</t>
        </is>
      </c>
      <c r="C217" s="23" t="inlineStr">
        <is>
          <t>ADX6000 공용</t>
        </is>
      </c>
      <c r="D217" s="23" t="inlineStr">
        <is>
          <t>콘 컬리메이터 ASS'Y</t>
        </is>
      </c>
      <c r="E217" s="23" t="n"/>
      <c r="F217" s="24" t="n"/>
      <c r="G217" s="25" t="inlineStr">
        <is>
          <t>O</t>
        </is>
      </c>
      <c r="H217" s="26" t="n"/>
      <c r="I217" s="27">
        <f>IFERROR(IF(OR($F217="O",$G217="O",$H217="O"),CHOOSE(MATCH($A217,{"튜브","고압","진공","튜닝","조립","출하"},0),"T","H","V","N","A","P")&amp;IF($F217="O","R",IF($G217="O","A",IF($H217="O","F",""))),""),"")</f>
        <v/>
      </c>
      <c r="J217" s="15" t="n"/>
      <c r="K217" s="16" t="n"/>
      <c r="L217" s="17" t="inlineStr">
        <is>
          <t>O</t>
        </is>
      </c>
      <c r="M217" s="18" t="n"/>
      <c r="N217" s="19" t="n"/>
      <c r="O217" s="20" t="n"/>
      <c r="P217" s="21">
        <f>IF($I217="","",IF($J217="O","3","")&amp;IF($K217="O","4","")&amp;IF($L217="O","6","")&amp;IF($M217="O","7","")&amp;IF($N217="O","8","")&amp;IF($O217="O","?","")&amp;IF(OR($J217="O",$K217="O",$L217="O",$M217="O",$N217="O",$O217="O"),"-","")&amp;$I217)</f>
        <v/>
      </c>
      <c r="Q217" s="110">
        <f>HYPERLINK("#'마스터_품목'!A393","→ 마스터 R393")</f>
        <v/>
      </c>
      <c r="R217" s="111" t="n">
        <v>393</v>
      </c>
      <c r="S217" s="111" t="inlineStr">
        <is>
          <t>마스터_품목</t>
        </is>
      </c>
    </row>
    <row r="218" ht="48" customHeight="1">
      <c r="A218" s="22" t="inlineStr">
        <is>
          <t>조립</t>
        </is>
      </c>
      <c r="B218" s="22" t="inlineStr">
        <is>
          <t>하네스</t>
        </is>
      </c>
      <c r="C218" s="23" t="inlineStr">
        <is>
          <t>ADX6000 공용</t>
        </is>
      </c>
      <c r="D218" s="23" t="inlineStr">
        <is>
          <t>콘 컬리메이터 ASS'Y + BOTTOM Base block</t>
        </is>
      </c>
      <c r="E218" s="23" t="n"/>
      <c r="F218" s="24" t="n"/>
      <c r="G218" s="25" t="inlineStr">
        <is>
          <t>O</t>
        </is>
      </c>
      <c r="H218" s="26" t="n"/>
      <c r="I218" s="27">
        <f>IFERROR(IF(OR($F218="O",$G218="O",$H218="O"),CHOOSE(MATCH($A218,{"튜브","고압","진공","튜닝","조립","출하"},0),"T","H","V","N","A","P")&amp;IF($F218="O","R",IF($G218="O","A",IF($H218="O","F",""))),""),"")</f>
        <v/>
      </c>
      <c r="J218" s="15" t="n"/>
      <c r="K218" s="16" t="n"/>
      <c r="L218" s="17" t="inlineStr">
        <is>
          <t>O</t>
        </is>
      </c>
      <c r="M218" s="18" t="n"/>
      <c r="N218" s="19" t="n"/>
      <c r="O218" s="20" t="n"/>
      <c r="P218" s="21">
        <f>IF($I218="","",IF($J218="O","3","")&amp;IF($K218="O","4","")&amp;IF($L218="O","6","")&amp;IF($M218="O","7","")&amp;IF($N218="O","8","")&amp;IF($O218="O","?","")&amp;IF(OR($J218="O",$K218="O",$L218="O",$M218="O",$N218="O",$O218="O"),"-","")&amp;$I218)</f>
        <v/>
      </c>
      <c r="Q218" s="110">
        <f>HYPERLINK("#'마스터_품목'!A394","→ 마스터 R394")</f>
        <v/>
      </c>
      <c r="R218" s="111" t="n">
        <v>394</v>
      </c>
      <c r="S218" s="111" t="inlineStr">
        <is>
          <t>마스터_품목</t>
        </is>
      </c>
    </row>
    <row r="219" ht="48" customHeight="1">
      <c r="A219" s="22" t="inlineStr">
        <is>
          <t>조립</t>
        </is>
      </c>
      <c r="B219" s="22" t="inlineStr">
        <is>
          <t>하네스</t>
        </is>
      </c>
      <c r="C219" s="23" t="inlineStr">
        <is>
          <t>ADX6000 공용</t>
        </is>
      </c>
      <c r="D219" s="23" t="inlineStr">
        <is>
          <t>컬리메이터 ASS'Y</t>
        </is>
      </c>
      <c r="E219" s="23" t="n"/>
      <c r="F219" s="24" t="n"/>
      <c r="G219" s="25" t="inlineStr">
        <is>
          <t>O</t>
        </is>
      </c>
      <c r="H219" s="26" t="n"/>
      <c r="I219" s="27">
        <f>IFERROR(IF(OR($F219="O",$G219="O",$H219="O"),CHOOSE(MATCH($A219,{"튜브","고압","진공","튜닝","조립","출하"},0),"T","H","V","N","A","P")&amp;IF($F219="O","R",IF($G219="O","A",IF($H219="O","F",""))),""),"")</f>
        <v/>
      </c>
      <c r="J219" s="15" t="n"/>
      <c r="K219" s="16" t="n"/>
      <c r="L219" s="17" t="inlineStr">
        <is>
          <t>O</t>
        </is>
      </c>
      <c r="M219" s="18" t="n"/>
      <c r="N219" s="19" t="n"/>
      <c r="O219" s="20" t="n"/>
      <c r="P219" s="21">
        <f>IF($I219="","",IF($J219="O","3","")&amp;IF($K219="O","4","")&amp;IF($L219="O","6","")&amp;IF($M219="O","7","")&amp;IF($N219="O","8","")&amp;IF($O219="O","?","")&amp;IF(OR($J219="O",$K219="O",$L219="O",$M219="O",$N219="O",$O219="O"),"-","")&amp;$I219)</f>
        <v/>
      </c>
      <c r="Q219" s="110">
        <f>HYPERLINK("#'마스터_품목'!A395","→ 마스터 R395")</f>
        <v/>
      </c>
      <c r="R219" s="111" t="n">
        <v>395</v>
      </c>
      <c r="S219" s="111" t="inlineStr">
        <is>
          <t>마스터_품목</t>
        </is>
      </c>
    </row>
    <row r="220" ht="48" customHeight="1">
      <c r="A220" s="22" t="inlineStr">
        <is>
          <t>조립</t>
        </is>
      </c>
      <c r="B220" s="22" t="inlineStr">
        <is>
          <t>하네스</t>
        </is>
      </c>
      <c r="C220" s="23" t="inlineStr">
        <is>
          <t>ADX6000 공용</t>
        </is>
      </c>
      <c r="D220" s="23" t="inlineStr">
        <is>
          <t>컬리메이터 ASS'Y + BOTTOM Base block (더 밝게 수정)</t>
        </is>
      </c>
      <c r="E220" s="23" t="n"/>
      <c r="F220" s="24" t="n"/>
      <c r="G220" s="25" t="inlineStr">
        <is>
          <t>O</t>
        </is>
      </c>
      <c r="H220" s="26" t="n"/>
      <c r="I220" s="27">
        <f>IFERROR(IF(OR($F220="O",$G220="O",$H220="O"),CHOOSE(MATCH($A220,{"튜브","고압","진공","튜닝","조립","출하"},0),"T","H","V","N","A","P")&amp;IF($F220="O","R",IF($G220="O","A",IF($H220="O","F",""))),""),"")</f>
        <v/>
      </c>
      <c r="J220" s="15" t="n"/>
      <c r="K220" s="16" t="n"/>
      <c r="L220" s="17" t="inlineStr">
        <is>
          <t>O</t>
        </is>
      </c>
      <c r="M220" s="18" t="n"/>
      <c r="N220" s="19" t="n"/>
      <c r="O220" s="20" t="n"/>
      <c r="P220" s="21">
        <f>IF($I220="","",IF($J220="O","3","")&amp;IF($K220="O","4","")&amp;IF($L220="O","6","")&amp;IF($M220="O","7","")&amp;IF($N220="O","8","")&amp;IF($O220="O","?","")&amp;IF(OR($J220="O",$K220="O",$L220="O",$M220="O",$N220="O",$O220="O"),"-","")&amp;$I220)</f>
        <v/>
      </c>
      <c r="Q220" s="110">
        <f>HYPERLINK("#'마스터_품목'!A396","→ 마스터 R396")</f>
        <v/>
      </c>
      <c r="R220" s="111" t="n">
        <v>396</v>
      </c>
      <c r="S220" s="111" t="inlineStr">
        <is>
          <t>마스터_품목</t>
        </is>
      </c>
    </row>
    <row r="221" ht="48" customHeight="1">
      <c r="A221" s="22" t="inlineStr">
        <is>
          <t>조립</t>
        </is>
      </c>
      <c r="B221" s="22" t="inlineStr">
        <is>
          <t>하네스</t>
        </is>
      </c>
      <c r="C221" s="23" t="inlineStr">
        <is>
          <t>ADX6000 공용</t>
        </is>
      </c>
      <c r="D221" s="23" t="inlineStr">
        <is>
          <t>컬리메이터 ASS'Y + BOTTOM Base block</t>
        </is>
      </c>
      <c r="E221" s="23" t="n"/>
      <c r="F221" s="24" t="n"/>
      <c r="G221" s="25" t="inlineStr">
        <is>
          <t>O</t>
        </is>
      </c>
      <c r="H221" s="26" t="n"/>
      <c r="I221" s="27">
        <f>IFERROR(IF(OR($F221="O",$G221="O",$H221="O"),CHOOSE(MATCH($A221,{"튜브","고압","진공","튜닝","조립","출하"},0),"T","H","V","N","A","P")&amp;IF($F221="O","R",IF($G221="O","A",IF($H221="O","F",""))),""),"")</f>
        <v/>
      </c>
      <c r="J221" s="15" t="n"/>
      <c r="K221" s="16" t="n"/>
      <c r="L221" s="17" t="inlineStr">
        <is>
          <t>O</t>
        </is>
      </c>
      <c r="M221" s="18" t="n"/>
      <c r="N221" s="19" t="n"/>
      <c r="O221" s="20" t="n"/>
      <c r="P221" s="21">
        <f>IF($I221="","",IF($J221="O","3","")&amp;IF($K221="O","4","")&amp;IF($L221="O","6","")&amp;IF($M221="O","7","")&amp;IF($N221="O","8","")&amp;IF($O221="O","?","")&amp;IF(OR($J221="O",$K221="O",$L221="O",$M221="O",$N221="O",$O221="O"),"-","")&amp;$I221)</f>
        <v/>
      </c>
      <c r="Q221" s="110">
        <f>HYPERLINK("#'마스터_품목'!A397","→ 마스터 R397")</f>
        <v/>
      </c>
      <c r="R221" s="111" t="n">
        <v>397</v>
      </c>
      <c r="S221" s="111" t="inlineStr">
        <is>
          <t>마스터_품목</t>
        </is>
      </c>
    </row>
    <row r="222" ht="48" customHeight="1">
      <c r="A222" s="22" t="inlineStr">
        <is>
          <t>조립</t>
        </is>
      </c>
      <c r="B222" s="22" t="inlineStr">
        <is>
          <t>하네스</t>
        </is>
      </c>
      <c r="C222" s="23" t="inlineStr">
        <is>
          <t>ADX6000 공용</t>
        </is>
      </c>
      <c r="D222" s="23" t="inlineStr">
        <is>
          <t>컬리메이터 ASS'Y + TOP, BOTTOM Base block</t>
        </is>
      </c>
      <c r="E222" s="23" t="n"/>
      <c r="F222" s="24" t="n"/>
      <c r="G222" s="25" t="inlineStr">
        <is>
          <t>O</t>
        </is>
      </c>
      <c r="H222" s="26" t="n"/>
      <c r="I222" s="27">
        <f>IFERROR(IF(OR($F222="O",$G222="O",$H222="O"),CHOOSE(MATCH($A222,{"튜브","고압","진공","튜닝","조립","출하"},0),"T","H","V","N","A","P")&amp;IF($F222="O","R",IF($G222="O","A",IF($H222="O","F",""))),""),"")</f>
        <v/>
      </c>
      <c r="J222" s="15" t="n"/>
      <c r="K222" s="16" t="n"/>
      <c r="L222" s="17" t="inlineStr">
        <is>
          <t>O</t>
        </is>
      </c>
      <c r="M222" s="18" t="n"/>
      <c r="N222" s="19" t="n"/>
      <c r="O222" s="20" t="n"/>
      <c r="P222" s="21">
        <f>IF($I222="","",IF($J222="O","3","")&amp;IF($K222="O","4","")&amp;IF($L222="O","6","")&amp;IF($M222="O","7","")&amp;IF($N222="O","8","")&amp;IF($O222="O","?","")&amp;IF(OR($J222="O",$K222="O",$L222="O",$M222="O",$N222="O",$O222="O"),"-","")&amp;$I222)</f>
        <v/>
      </c>
      <c r="Q222" s="110">
        <f>HYPERLINK("#'마스터_품목'!A398","→ 마스터 R398")</f>
        <v/>
      </c>
      <c r="R222" s="111" t="n">
        <v>398</v>
      </c>
      <c r="S222" s="111" t="inlineStr">
        <is>
          <t>마스터_품목</t>
        </is>
      </c>
    </row>
    <row r="223" ht="48" customHeight="1">
      <c r="A223" s="22" t="inlineStr">
        <is>
          <t>조립</t>
        </is>
      </c>
      <c r="B223" s="22" t="inlineStr">
        <is>
          <t>하네스</t>
        </is>
      </c>
      <c r="C223" s="23" t="inlineStr">
        <is>
          <t>ADX6000 공용</t>
        </is>
      </c>
      <c r="D223" s="23" t="inlineStr">
        <is>
          <t>[CR-ADX] 크래들 ASS'Y</t>
        </is>
      </c>
      <c r="E223" s="23" t="n"/>
      <c r="F223" s="24" t="n"/>
      <c r="G223" s="25" t="inlineStr">
        <is>
          <t>O</t>
        </is>
      </c>
      <c r="H223" s="26" t="n"/>
      <c r="I223" s="27">
        <f>IFERROR(IF(OR($F223="O",$G223="O",$H223="O"),CHOOSE(MATCH($A223,{"튜브","고압","진공","튜닝","조립","출하"},0),"T","H","V","N","A","P")&amp;IF($F223="O","R",IF($G223="O","A",IF($H223="O","F",""))),""),"")</f>
        <v/>
      </c>
      <c r="J223" s="15" t="n"/>
      <c r="K223" s="16" t="n"/>
      <c r="L223" s="17" t="inlineStr">
        <is>
          <t>O</t>
        </is>
      </c>
      <c r="M223" s="18" t="n"/>
      <c r="N223" s="19" t="n"/>
      <c r="O223" s="20" t="n"/>
      <c r="P223" s="21">
        <f>IF($I223="","",IF($J223="O","3","")&amp;IF($K223="O","4","")&amp;IF($L223="O","6","")&amp;IF($M223="O","7","")&amp;IF($N223="O","8","")&amp;IF($O223="O","?","")&amp;IF(OR($J223="O",$K223="O",$L223="O",$M223="O",$N223="O",$O223="O"),"-","")&amp;$I223)</f>
        <v/>
      </c>
      <c r="Q223" s="110">
        <f>HYPERLINK("#'마스터_품목'!A399","→ 마스터 R399")</f>
        <v/>
      </c>
      <c r="R223" s="111" t="n">
        <v>399</v>
      </c>
      <c r="S223" s="111" t="inlineStr">
        <is>
          <t>마스터_품목</t>
        </is>
      </c>
    </row>
    <row r="224" ht="48" customHeight="1">
      <c r="A224" s="22" t="inlineStr">
        <is>
          <t>조립</t>
        </is>
      </c>
      <c r="B224" s="22" t="inlineStr">
        <is>
          <t>하네스</t>
        </is>
      </c>
      <c r="C224" s="23" t="inlineStr">
        <is>
          <t>ADX6000
ADX6000U</t>
        </is>
      </c>
      <c r="D224" s="23" t="inlineStr">
        <is>
          <t>LCD ASS'Y</t>
        </is>
      </c>
      <c r="E224" s="23" t="n"/>
      <c r="F224" s="24" t="n"/>
      <c r="G224" s="25" t="inlineStr">
        <is>
          <t>O</t>
        </is>
      </c>
      <c r="H224" s="26" t="n"/>
      <c r="I224" s="27">
        <f>IFERROR(IF(OR($F224="O",$G224="O",$H224="O"),CHOOSE(MATCH($A224,{"튜브","고압","진공","튜닝","조립","출하"},0),"T","H","V","N","A","P")&amp;IF($F224="O","R",IF($G224="O","A",IF($H224="O","F",""))),""),"")</f>
        <v/>
      </c>
      <c r="J224" s="15" t="n"/>
      <c r="K224" s="16" t="n"/>
      <c r="L224" s="17" t="inlineStr">
        <is>
          <t>O</t>
        </is>
      </c>
      <c r="M224" s="18" t="n"/>
      <c r="N224" s="19" t="n"/>
      <c r="O224" s="20" t="n"/>
      <c r="P224" s="21">
        <f>IF($I224="","",IF($J224="O","3","")&amp;IF($K224="O","4","")&amp;IF($L224="O","6","")&amp;IF($M224="O","7","")&amp;IF($N224="O","8","")&amp;IF($O224="O","?","")&amp;IF(OR($J224="O",$K224="O",$L224="O",$M224="O",$N224="O",$O224="O"),"-","")&amp;$I224)</f>
        <v/>
      </c>
      <c r="Q224" s="110">
        <f>HYPERLINK("#'마스터_품목'!A400","→ 마스터 R400")</f>
        <v/>
      </c>
      <c r="R224" s="111" t="n">
        <v>400</v>
      </c>
      <c r="S224" s="111" t="inlineStr">
        <is>
          <t>마스터_품목</t>
        </is>
      </c>
    </row>
    <row r="225" ht="48" customHeight="1">
      <c r="A225" s="22" t="inlineStr">
        <is>
          <t>조립</t>
        </is>
      </c>
      <c r="B225" s="22" t="inlineStr">
        <is>
          <t>하네스</t>
        </is>
      </c>
      <c r="C225" s="23" t="inlineStr">
        <is>
          <t>ADX6000
ADX6000U</t>
        </is>
      </c>
      <c r="D225" s="23" t="inlineStr">
        <is>
          <t>탈착형 BODY LEFT ASS'Y</t>
        </is>
      </c>
      <c r="E225" s="23" t="n"/>
      <c r="F225" s="24" t="n"/>
      <c r="G225" s="25" t="inlineStr">
        <is>
          <t>O</t>
        </is>
      </c>
      <c r="H225" s="26" t="n"/>
      <c r="I225" s="27">
        <f>IFERROR(IF(OR($F225="O",$G225="O",$H225="O"),CHOOSE(MATCH($A225,{"튜브","고압","진공","튜닝","조립","출하"},0),"T","H","V","N","A","P")&amp;IF($F225="O","R",IF($G225="O","A",IF($H225="O","F",""))),""),"")</f>
        <v/>
      </c>
      <c r="J225" s="15" t="n"/>
      <c r="K225" s="16" t="n"/>
      <c r="L225" s="17" t="inlineStr">
        <is>
          <t>O</t>
        </is>
      </c>
      <c r="M225" s="18" t="n"/>
      <c r="N225" s="19" t="n"/>
      <c r="O225" s="20" t="n"/>
      <c r="P225" s="21">
        <f>IF($I225="","",IF($J225="O","3","")&amp;IF($K225="O","4","")&amp;IF($L225="O","6","")&amp;IF($M225="O","7","")&amp;IF($N225="O","8","")&amp;IF($O225="O","?","")&amp;IF(OR($J225="O",$K225="O",$L225="O",$M225="O",$N225="O",$O225="O"),"-","")&amp;$I225)</f>
        <v/>
      </c>
      <c r="Q225" s="110">
        <f>HYPERLINK("#'마스터_품목'!A401","→ 마스터 R401")</f>
        <v/>
      </c>
      <c r="R225" s="111" t="n">
        <v>401</v>
      </c>
      <c r="S225" s="111" t="inlineStr">
        <is>
          <t>마스터_품목</t>
        </is>
      </c>
    </row>
    <row r="226" ht="48" customHeight="1">
      <c r="A226" s="22" t="inlineStr">
        <is>
          <t>조립</t>
        </is>
      </c>
      <c r="B226" s="22" t="inlineStr">
        <is>
          <t>하네스</t>
        </is>
      </c>
      <c r="C226" s="23" t="inlineStr">
        <is>
          <t>ADX6000
ADX6000U</t>
        </is>
      </c>
      <c r="D226" s="23" t="inlineStr">
        <is>
          <t>외부형 BODY LEFT ASS'Y</t>
        </is>
      </c>
      <c r="E226" s="23" t="n"/>
      <c r="F226" s="24" t="n"/>
      <c r="G226" s="25" t="inlineStr">
        <is>
          <t>O</t>
        </is>
      </c>
      <c r="H226" s="26" t="n"/>
      <c r="I226" s="27">
        <f>IFERROR(IF(OR($F226="O",$G226="O",$H226="O"),CHOOSE(MATCH($A226,{"튜브","고압","진공","튜닝","조립","출하"},0),"T","H","V","N","A","P")&amp;IF($F226="O","R",IF($G226="O","A",IF($H226="O","F",""))),""),"")</f>
        <v/>
      </c>
      <c r="J226" s="15" t="n"/>
      <c r="K226" s="16" t="n"/>
      <c r="L226" s="17" t="inlineStr">
        <is>
          <t>O</t>
        </is>
      </c>
      <c r="M226" s="18" t="n"/>
      <c r="N226" s="19" t="n"/>
      <c r="O226" s="20" t="n"/>
      <c r="P226" s="21">
        <f>IF($I226="","",IF($J226="O","3","")&amp;IF($K226="O","4","")&amp;IF($L226="O","6","")&amp;IF($M226="O","7","")&amp;IF($N226="O","8","")&amp;IF($O226="O","?","")&amp;IF(OR($J226="O",$K226="O",$L226="O",$M226="O",$N226="O",$O226="O"),"-","")&amp;$I226)</f>
        <v/>
      </c>
      <c r="Q226" s="110">
        <f>HYPERLINK("#'마스터_품목'!A402","→ 마스터 R402")</f>
        <v/>
      </c>
      <c r="R226" s="111" t="n">
        <v>402</v>
      </c>
      <c r="S226" s="111" t="inlineStr">
        <is>
          <t>마스터_품목</t>
        </is>
      </c>
    </row>
    <row r="227" ht="48" customHeight="1">
      <c r="A227" s="22" t="inlineStr">
        <is>
          <t>조립</t>
        </is>
      </c>
      <c r="B227" s="22" t="inlineStr">
        <is>
          <t>하네스</t>
        </is>
      </c>
      <c r="C227" s="23" t="inlineStr">
        <is>
          <t>ADX6000FB
ADX6000s</t>
        </is>
      </c>
      <c r="D227" s="23" t="inlineStr">
        <is>
          <t>LCD ASS'Y</t>
        </is>
      </c>
      <c r="E227" s="23" t="n"/>
      <c r="F227" s="24" t="n"/>
      <c r="G227" s="25" t="inlineStr">
        <is>
          <t>O</t>
        </is>
      </c>
      <c r="H227" s="26" t="n"/>
      <c r="I227" s="27">
        <f>IFERROR(IF(OR($F227="O",$G227="O",$H227="O"),CHOOSE(MATCH($A227,{"튜브","고압","진공","튜닝","조립","출하"},0),"T","H","V","N","A","P")&amp;IF($F227="O","R",IF($G227="O","A",IF($H227="O","F",""))),""),"")</f>
        <v/>
      </c>
      <c r="J227" s="15" t="n"/>
      <c r="K227" s="16" t="n"/>
      <c r="L227" s="17" t="inlineStr">
        <is>
          <t>O</t>
        </is>
      </c>
      <c r="M227" s="18" t="n"/>
      <c r="N227" s="19" t="n"/>
      <c r="O227" s="20" t="n"/>
      <c r="P227" s="21">
        <f>IF($I227="","",IF($J227="O","3","")&amp;IF($K227="O","4","")&amp;IF($L227="O","6","")&amp;IF($M227="O","7","")&amp;IF($N227="O","8","")&amp;IF($O227="O","?","")&amp;IF(OR($J227="O",$K227="O",$L227="O",$M227="O",$N227="O",$O227="O"),"-","")&amp;$I227)</f>
        <v/>
      </c>
      <c r="Q227" s="110">
        <f>HYPERLINK("#'마스터_품목'!A403","→ 마스터 R403")</f>
        <v/>
      </c>
      <c r="R227" s="111" t="n">
        <v>403</v>
      </c>
      <c r="S227" s="111" t="inlineStr">
        <is>
          <t>마스터_품목</t>
        </is>
      </c>
    </row>
    <row r="228" ht="48" customHeight="1">
      <c r="A228" s="22" t="inlineStr">
        <is>
          <t>조립</t>
        </is>
      </c>
      <c r="B228" s="22" t="inlineStr">
        <is>
          <t>하네스</t>
        </is>
      </c>
      <c r="C228" s="23" t="inlineStr">
        <is>
          <t>ADX6000FB
ADX6000s</t>
        </is>
      </c>
      <c r="D228" s="23" t="inlineStr">
        <is>
          <t>Main PC ASS'Y (IEC-266 구형)</t>
        </is>
      </c>
      <c r="E228" s="23" t="n"/>
      <c r="F228" s="24" t="n"/>
      <c r="G228" s="25" t="inlineStr">
        <is>
          <t>O</t>
        </is>
      </c>
      <c r="H228" s="26" t="n"/>
      <c r="I228" s="27">
        <f>IFERROR(IF(OR($F228="O",$G228="O",$H228="O"),CHOOSE(MATCH($A228,{"튜브","고압","진공","튜닝","조립","출하"},0),"T","H","V","N","A","P")&amp;IF($F228="O","R",IF($G228="O","A",IF($H228="O","F",""))),""),"")</f>
        <v/>
      </c>
      <c r="J228" s="15" t="n"/>
      <c r="K228" s="16" t="n"/>
      <c r="L228" s="17" t="inlineStr">
        <is>
          <t>O</t>
        </is>
      </c>
      <c r="M228" s="18" t="n"/>
      <c r="N228" s="19" t="n"/>
      <c r="O228" s="20" t="n"/>
      <c r="P228" s="21">
        <f>IF($I228="","",IF($J228="O","3","")&amp;IF($K228="O","4","")&amp;IF($L228="O","6","")&amp;IF($M228="O","7","")&amp;IF($N228="O","8","")&amp;IF($O228="O","?","")&amp;IF(OR($J228="O",$K228="O",$L228="O",$M228="O",$N228="O",$O228="O"),"-","")&amp;$I228)</f>
        <v/>
      </c>
      <c r="Q228" s="110">
        <f>HYPERLINK("#'마스터_품목'!A404","→ 마스터 R404")</f>
        <v/>
      </c>
      <c r="R228" s="111" t="n">
        <v>404</v>
      </c>
      <c r="S228" s="111" t="inlineStr">
        <is>
          <t>마스터_품목</t>
        </is>
      </c>
    </row>
    <row r="229" ht="48" customHeight="1">
      <c r="A229" s="22" t="inlineStr">
        <is>
          <t>조립</t>
        </is>
      </c>
      <c r="B229" s="22" t="inlineStr">
        <is>
          <t>하네스</t>
        </is>
      </c>
      <c r="C229" s="23" t="inlineStr">
        <is>
          <t>ADX6000FB
ADX6000s</t>
        </is>
      </c>
      <c r="D229" s="23" t="inlineStr">
        <is>
          <t>Main PC ASS'Y (IEC-1000 신형)</t>
        </is>
      </c>
      <c r="E229" s="23" t="n"/>
      <c r="F229" s="24" t="n"/>
      <c r="G229" s="25" t="inlineStr">
        <is>
          <t>O</t>
        </is>
      </c>
      <c r="H229" s="26" t="n"/>
      <c r="I229" s="27">
        <f>IFERROR(IF(OR($F229="O",$G229="O",$H229="O"),CHOOSE(MATCH($A229,{"튜브","고압","진공","튜닝","조립","출하"},0),"T","H","V","N","A","P")&amp;IF($F229="O","R",IF($G229="O","A",IF($H229="O","F",""))),""),"")</f>
        <v/>
      </c>
      <c r="J229" s="15" t="n"/>
      <c r="K229" s="16" t="n"/>
      <c r="L229" s="17" t="inlineStr">
        <is>
          <t>O</t>
        </is>
      </c>
      <c r="M229" s="18" t="n"/>
      <c r="N229" s="19" t="n"/>
      <c r="O229" s="20" t="n"/>
      <c r="P229" s="21">
        <f>IF($I229="","",IF($J229="O","3","")&amp;IF($K229="O","4","")&amp;IF($L229="O","6","")&amp;IF($M229="O","7","")&amp;IF($N229="O","8","")&amp;IF($O229="O","?","")&amp;IF(OR($J229="O",$K229="O",$L229="O",$M229="O",$N229="O",$O229="O"),"-","")&amp;$I229)</f>
        <v/>
      </c>
      <c r="Q229" s="110">
        <f>HYPERLINK("#'마스터_품목'!A405","→ 마스터 R405")</f>
        <v/>
      </c>
      <c r="R229" s="111" t="n">
        <v>405</v>
      </c>
      <c r="S229" s="111" t="inlineStr">
        <is>
          <t>마스터_품목</t>
        </is>
      </c>
    </row>
    <row r="230" ht="48" customHeight="1">
      <c r="A230" s="22" t="inlineStr">
        <is>
          <t>조립</t>
        </is>
      </c>
      <c r="B230" s="22" t="inlineStr">
        <is>
          <t>하네스</t>
        </is>
      </c>
      <c r="C230" s="23" t="inlineStr">
        <is>
          <t>ADX6000FB
ADX6000s</t>
        </is>
      </c>
      <c r="D230" s="23" t="inlineStr">
        <is>
          <t>탈착형 BODY LEFT ASS'Y</t>
        </is>
      </c>
      <c r="E230" s="23" t="n"/>
      <c r="F230" s="24" t="n"/>
      <c r="G230" s="25" t="inlineStr">
        <is>
          <t>O</t>
        </is>
      </c>
      <c r="H230" s="26" t="n"/>
      <c r="I230" s="27">
        <f>IFERROR(IF(OR($F230="O",$G230="O",$H230="O"),CHOOSE(MATCH($A230,{"튜브","고압","진공","튜닝","조립","출하"},0),"T","H","V","N","A","P")&amp;IF($F230="O","R",IF($G230="O","A",IF($H230="O","F",""))),""),"")</f>
        <v/>
      </c>
      <c r="J230" s="15" t="n"/>
      <c r="K230" s="16" t="n"/>
      <c r="L230" s="17" t="inlineStr">
        <is>
          <t>O</t>
        </is>
      </c>
      <c r="M230" s="18" t="n"/>
      <c r="N230" s="19" t="n"/>
      <c r="O230" s="20" t="n"/>
      <c r="P230" s="21">
        <f>IF($I230="","",IF($J230="O","3","")&amp;IF($K230="O","4","")&amp;IF($L230="O","6","")&amp;IF($M230="O","7","")&amp;IF($N230="O","8","")&amp;IF($O230="O","?","")&amp;IF(OR($J230="O",$K230="O",$L230="O",$M230="O",$N230="O",$O230="O"),"-","")&amp;$I230)</f>
        <v/>
      </c>
      <c r="Q230" s="110">
        <f>HYPERLINK("#'마스터_품목'!A406","→ 마스터 R406")</f>
        <v/>
      </c>
      <c r="R230" s="111" t="n">
        <v>406</v>
      </c>
      <c r="S230" s="111" t="inlineStr">
        <is>
          <t>마스터_품목</t>
        </is>
      </c>
    </row>
    <row r="231" ht="48" customHeight="1">
      <c r="A231" s="22" t="inlineStr">
        <is>
          <t>조립</t>
        </is>
      </c>
      <c r="B231" s="22" t="inlineStr">
        <is>
          <t>하네스</t>
        </is>
      </c>
      <c r="C231" s="23" t="inlineStr">
        <is>
          <t>ADX6000FB
ADX6000s</t>
        </is>
      </c>
      <c r="D231" s="23" t="inlineStr">
        <is>
          <t>외부형 BODY LEFT ASS'Y</t>
        </is>
      </c>
      <c r="E231" s="23" t="n"/>
      <c r="F231" s="24" t="n"/>
      <c r="G231" s="25" t="inlineStr">
        <is>
          <t>O</t>
        </is>
      </c>
      <c r="H231" s="26" t="n"/>
      <c r="I231" s="27">
        <f>IFERROR(IF(OR($F231="O",$G231="O",$H231="O"),CHOOSE(MATCH($A231,{"튜브","고압","진공","튜닝","조립","출하"},0),"T","H","V","N","A","P")&amp;IF($F231="O","R",IF($G231="O","A",IF($H231="O","F",""))),""),"")</f>
        <v/>
      </c>
      <c r="J231" s="15" t="n"/>
      <c r="K231" s="16" t="n"/>
      <c r="L231" s="17" t="inlineStr">
        <is>
          <t>O</t>
        </is>
      </c>
      <c r="M231" s="18" t="n"/>
      <c r="N231" s="19" t="n"/>
      <c r="O231" s="20" t="n"/>
      <c r="P231" s="21">
        <f>IF($I231="","",IF($J231="O","3","")&amp;IF($K231="O","4","")&amp;IF($L231="O","6","")&amp;IF($M231="O","7","")&amp;IF($N231="O","8","")&amp;IF($O231="O","?","")&amp;IF(OR($J231="O",$K231="O",$L231="O",$M231="O",$N231="O",$O231="O"),"-","")&amp;$I231)</f>
        <v/>
      </c>
      <c r="Q231" s="110">
        <f>HYPERLINK("#'마스터_품목'!A407","→ 마스터 R407")</f>
        <v/>
      </c>
      <c r="R231" s="111" t="n">
        <v>407</v>
      </c>
      <c r="S231" s="111" t="inlineStr">
        <is>
          <t>마스터_품목</t>
        </is>
      </c>
    </row>
    <row r="232" ht="48" customHeight="1">
      <c r="A232" s="22" t="inlineStr">
        <is>
          <t>조립</t>
        </is>
      </c>
      <c r="B232" s="22" t="inlineStr">
        <is>
          <t>하네스</t>
        </is>
      </c>
      <c r="C232" s="23" t="inlineStr">
        <is>
          <t>ADX6000 공용</t>
        </is>
      </c>
      <c r="D232" s="23" t="inlineStr">
        <is>
          <t>BODY RIGHT ASS'Y</t>
        </is>
      </c>
      <c r="E232" s="23" t="n"/>
      <c r="F232" s="24" t="n"/>
      <c r="G232" s="25" t="inlineStr">
        <is>
          <t>O</t>
        </is>
      </c>
      <c r="H232" s="26" t="n"/>
      <c r="I232" s="27">
        <f>IFERROR(IF(OR($F232="O",$G232="O",$H232="O"),CHOOSE(MATCH($A232,{"튜브","고압","진공","튜닝","조립","출하"},0),"T","H","V","N","A","P")&amp;IF($F232="O","R",IF($G232="O","A",IF($H232="O","F",""))),""),"")</f>
        <v/>
      </c>
      <c r="J232" s="15" t="n"/>
      <c r="K232" s="16" t="n"/>
      <c r="L232" s="17" t="inlineStr">
        <is>
          <t>O</t>
        </is>
      </c>
      <c r="M232" s="18" t="n"/>
      <c r="N232" s="19" t="n"/>
      <c r="O232" s="20" t="n"/>
      <c r="P232" s="21">
        <f>IF($I232="","",IF($J232="O","3","")&amp;IF($K232="O","4","")&amp;IF($L232="O","6","")&amp;IF($M232="O","7","")&amp;IF($N232="O","8","")&amp;IF($O232="O","?","")&amp;IF(OR($J232="O",$K232="O",$L232="O",$M232="O",$N232="O",$O232="O"),"-","")&amp;$I232)</f>
        <v/>
      </c>
      <c r="Q232" s="110">
        <f>HYPERLINK("#'마스터_품목'!A408","→ 마스터 R408")</f>
        <v/>
      </c>
      <c r="R232" s="111" t="n">
        <v>408</v>
      </c>
      <c r="S232" s="111" t="inlineStr">
        <is>
          <t>마스터_품목</t>
        </is>
      </c>
    </row>
    <row r="233" ht="48" customHeight="1">
      <c r="A233" s="22" t="inlineStr">
        <is>
          <t>조립</t>
        </is>
      </c>
      <c r="B233" s="22" t="inlineStr">
        <is>
          <t>하네스</t>
        </is>
      </c>
      <c r="C233" s="23" t="inlineStr">
        <is>
          <t>ADX6000 공용</t>
        </is>
      </c>
      <c r="D233" s="23" t="inlineStr">
        <is>
          <t>BODY RIGHT ASS'Y (관전류 B/D 미포함)</t>
        </is>
      </c>
      <c r="E233" s="23" t="n"/>
      <c r="F233" s="24" t="n"/>
      <c r="G233" s="25" t="inlineStr">
        <is>
          <t>O</t>
        </is>
      </c>
      <c r="H233" s="26" t="n"/>
      <c r="I233" s="27">
        <f>IFERROR(IF(OR($F233="O",$G233="O",$H233="O"),CHOOSE(MATCH($A233,{"튜브","고압","진공","튜닝","조립","출하"},0),"T","H","V","N","A","P")&amp;IF($F233="O","R",IF($G233="O","A",IF($H233="O","F",""))),""),"")</f>
        <v/>
      </c>
      <c r="J233" s="15" t="n"/>
      <c r="K233" s="16" t="n"/>
      <c r="L233" s="17" t="inlineStr">
        <is>
          <t>O</t>
        </is>
      </c>
      <c r="M233" s="18" t="n"/>
      <c r="N233" s="19" t="n"/>
      <c r="O233" s="20" t="n"/>
      <c r="P233" s="21">
        <f>IF($I233="","",IF($J233="O","3","")&amp;IF($K233="O","4","")&amp;IF($L233="O","6","")&amp;IF($M233="O","7","")&amp;IF($N233="O","8","")&amp;IF($O233="O","?","")&amp;IF(OR($J233="O",$K233="O",$L233="O",$M233="O",$N233="O",$O233="O"),"-","")&amp;$I233)</f>
        <v/>
      </c>
      <c r="Q233" s="110">
        <f>HYPERLINK("#'마스터_품목'!A409","→ 마스터 R409")</f>
        <v/>
      </c>
      <c r="R233" s="111" t="n">
        <v>409</v>
      </c>
      <c r="S233" s="111" t="inlineStr">
        <is>
          <t>마스터_품목</t>
        </is>
      </c>
    </row>
    <row r="234" ht="48" customHeight="1">
      <c r="A234" s="22" t="inlineStr">
        <is>
          <t>조립</t>
        </is>
      </c>
      <c r="B234" s="22" t="inlineStr">
        <is>
          <t>하네스</t>
        </is>
      </c>
      <c r="C234" s="23" t="inlineStr">
        <is>
          <t>ADX6000FB
ADX6000s</t>
        </is>
      </c>
      <c r="D234" s="23" t="inlineStr">
        <is>
          <t>탈착형 BODY LEFT ASS'Y</t>
        </is>
      </c>
      <c r="E234" s="23" t="n"/>
      <c r="F234" s="24" t="n"/>
      <c r="G234" s="25" t="inlineStr">
        <is>
          <t>O</t>
        </is>
      </c>
      <c r="H234" s="26" t="n"/>
      <c r="I234" s="27">
        <f>IFERROR(IF(OR($F234="O",$G234="O",$H234="O"),CHOOSE(MATCH($A234,{"튜브","고압","진공","튜닝","조립","출하"},0),"T","H","V","N","A","P")&amp;IF($F234="O","R",IF($G234="O","A",IF($H234="O","F",""))),""),"")</f>
        <v/>
      </c>
      <c r="J234" s="15" t="n"/>
      <c r="K234" s="16" t="n"/>
      <c r="L234" s="17" t="inlineStr">
        <is>
          <t>O</t>
        </is>
      </c>
      <c r="M234" s="18" t="n"/>
      <c r="N234" s="19" t="n"/>
      <c r="O234" s="20" t="n"/>
      <c r="P234" s="21">
        <f>IF($I234="","",IF($J234="O","3","")&amp;IF($K234="O","4","")&amp;IF($L234="O","6","")&amp;IF($M234="O","7","")&amp;IF($N234="O","8","")&amp;IF($O234="O","?","")&amp;IF(OR($J234="O",$K234="O",$L234="O",$M234="O",$N234="O",$O234="O"),"-","")&amp;$I234)</f>
        <v/>
      </c>
    </row>
    <row r="235" ht="48" customHeight="1">
      <c r="A235" s="29" t="inlineStr">
        <is>
          <t>출하</t>
        </is>
      </c>
      <c r="B235" s="22" t="inlineStr">
        <is>
          <t>스탠드</t>
        </is>
      </c>
      <c r="C235" s="23" t="inlineStr">
        <is>
          <t>ADX6000 공용</t>
        </is>
      </c>
      <c r="D235" s="23" t="inlineStr">
        <is>
          <t>국내용 스탠드 브라켓 1. BLOCK</t>
        </is>
      </c>
      <c r="E235" s="23" t="inlineStr">
        <is>
          <t>국내용 스탠드 브라켓 1. BLOCK
[ADX6000]</t>
        </is>
      </c>
      <c r="F235" s="24" t="inlineStr">
        <is>
          <t>O</t>
        </is>
      </c>
      <c r="G235" s="25" t="n"/>
      <c r="H235" s="26" t="n"/>
      <c r="I235" s="27">
        <f>IFERROR(IF(OR($F235="O",$G235="O",$H235="O"),CHOOSE(MATCH($A235,{"튜브","고압","진공","튜닝","조립","출하"},0),"T","H","V","N","A","P")&amp;IF($F235="O","R",IF($G235="O","A",IF($H235="O","F",""))),""),"")</f>
        <v/>
      </c>
      <c r="J235" s="15" t="n"/>
      <c r="K235" s="16" t="n"/>
      <c r="L235" s="17" t="inlineStr">
        <is>
          <t>O</t>
        </is>
      </c>
      <c r="M235" s="18" t="n"/>
      <c r="N235" s="19" t="n"/>
      <c r="O235" s="20" t="n"/>
      <c r="P235" s="21">
        <f>IF($I235="","",IF($J235="O","3","")&amp;IF($K235="O","4","")&amp;IF($L235="O","6","")&amp;IF($M235="O","7","")&amp;IF($N235="O","8","")&amp;IF($O235="O","?","")&amp;IF(OR($J235="O",$K235="O",$L235="O",$M235="O",$N235="O",$O235="O"),"-","")&amp;$I235)</f>
        <v/>
      </c>
      <c r="Q235" s="110">
        <f>HYPERLINK("#'마스터_품목'!A560","→ 마스터 R560")</f>
        <v/>
      </c>
      <c r="R235" s="111" t="n">
        <v>560</v>
      </c>
      <c r="S235" s="111" t="inlineStr">
        <is>
          <t>마스터_품목</t>
        </is>
      </c>
    </row>
    <row r="236" ht="48" customHeight="1">
      <c r="A236" s="29" t="inlineStr">
        <is>
          <t>출하</t>
        </is>
      </c>
      <c r="B236" s="22" t="inlineStr">
        <is>
          <t>스탠드</t>
        </is>
      </c>
      <c r="C236" s="23" t="inlineStr">
        <is>
          <t>ADX6000 공용</t>
        </is>
      </c>
      <c r="D236" s="23" t="inlineStr">
        <is>
          <t>국내용 스탠드 브라켓 2. ARM</t>
        </is>
      </c>
      <c r="E236" s="23" t="inlineStr">
        <is>
          <t>국내용 스탠드 브라켓 2. ARM
[ADX6000]</t>
        </is>
      </c>
      <c r="F236" s="24" t="inlineStr">
        <is>
          <t>O</t>
        </is>
      </c>
      <c r="G236" s="25" t="n"/>
      <c r="H236" s="26" t="n"/>
      <c r="I236" s="27">
        <f>IFERROR(IF(OR($F236="O",$G236="O",$H236="O"),CHOOSE(MATCH($A236,{"튜브","고압","진공","튜닝","조립","출하"},0),"T","H","V","N","A","P")&amp;IF($F236="O","R",IF($G236="O","A",IF($H236="O","F",""))),""),"")</f>
        <v/>
      </c>
      <c r="J236" s="15" t="n"/>
      <c r="K236" s="16" t="n"/>
      <c r="L236" s="17" t="inlineStr">
        <is>
          <t>O</t>
        </is>
      </c>
      <c r="M236" s="18" t="n"/>
      <c r="N236" s="19" t="n"/>
      <c r="O236" s="20" t="n"/>
      <c r="P236" s="21">
        <f>IF($I236="","",IF($J236="O","3","")&amp;IF($K236="O","4","")&amp;IF($L236="O","6","")&amp;IF($M236="O","7","")&amp;IF($N236="O","8","")&amp;IF($O236="O","?","")&amp;IF(OR($J236="O",$K236="O",$L236="O",$M236="O",$N236="O",$O236="O"),"-","")&amp;$I236)</f>
        <v/>
      </c>
      <c r="Q236" s="110">
        <f>HYPERLINK("#'마스터_품목'!A561","→ 마스터 R561")</f>
        <v/>
      </c>
      <c r="R236" s="111" t="n">
        <v>561</v>
      </c>
      <c r="S236" s="111" t="inlineStr">
        <is>
          <t>마스터_품목</t>
        </is>
      </c>
    </row>
    <row r="237" ht="48" customHeight="1">
      <c r="A237" s="29" t="inlineStr">
        <is>
          <t>출하</t>
        </is>
      </c>
      <c r="B237" s="22" t="inlineStr">
        <is>
          <t>스탠드</t>
        </is>
      </c>
      <c r="C237" s="23" t="inlineStr">
        <is>
          <t>ADX6000 공용</t>
        </is>
      </c>
      <c r="D237" s="23" t="inlineStr">
        <is>
          <t>국내용 스탠드 브라켓 3. TILT BODY</t>
        </is>
      </c>
      <c r="E237" s="23" t="inlineStr">
        <is>
          <t>국내용 스탠드 브라켓 3. TILT BODY
[ADX6000]</t>
        </is>
      </c>
      <c r="F237" s="24" t="inlineStr">
        <is>
          <t>O</t>
        </is>
      </c>
      <c r="G237" s="25" t="n"/>
      <c r="H237" s="26" t="n"/>
      <c r="I237" s="27">
        <f>IFERROR(IF(OR($F237="O",$G237="O",$H237="O"),CHOOSE(MATCH($A237,{"튜브","고압","진공","튜닝","조립","출하"},0),"T","H","V","N","A","P")&amp;IF($F237="O","R",IF($G237="O","A",IF($H237="O","F",""))),""),"")</f>
        <v/>
      </c>
      <c r="J237" s="15" t="n"/>
      <c r="K237" s="16" t="n"/>
      <c r="L237" s="17" t="inlineStr">
        <is>
          <t>O</t>
        </is>
      </c>
      <c r="M237" s="18" t="n"/>
      <c r="N237" s="19" t="n"/>
      <c r="O237" s="20" t="n"/>
      <c r="P237" s="21">
        <f>IF($I237="","",IF($J237="O","3","")&amp;IF($K237="O","4","")&amp;IF($L237="O","6","")&amp;IF($M237="O","7","")&amp;IF($N237="O","8","")&amp;IF($O237="O","?","")&amp;IF(OR($J237="O",$K237="O",$L237="O",$M237="O",$N237="O",$O237="O"),"-","")&amp;$I237)</f>
        <v/>
      </c>
      <c r="Q237" s="110">
        <f>HYPERLINK("#'마스터_품목'!A562","→ 마스터 R562")</f>
        <v/>
      </c>
      <c r="R237" s="111" t="n">
        <v>562</v>
      </c>
      <c r="S237" s="111" t="inlineStr">
        <is>
          <t>마스터_품목</t>
        </is>
      </c>
    </row>
    <row r="238" ht="48" customHeight="1">
      <c r="A238" s="29" t="inlineStr">
        <is>
          <t>출하</t>
        </is>
      </c>
      <c r="B238" s="22" t="inlineStr">
        <is>
          <t>스탠드</t>
        </is>
      </c>
      <c r="C238" s="23" t="inlineStr">
        <is>
          <t>ADX6000 공용</t>
        </is>
      </c>
      <c r="D238" s="23" t="inlineStr">
        <is>
          <t>국내용 스탠드 브라켓 4. BASE</t>
        </is>
      </c>
      <c r="E238" s="23" t="inlineStr">
        <is>
          <t>국내용 스탠드 브라켓 4. BASE
[ADX6000]</t>
        </is>
      </c>
      <c r="F238" s="24" t="inlineStr">
        <is>
          <t>O</t>
        </is>
      </c>
      <c r="G238" s="25" t="n"/>
      <c r="H238" s="26" t="n"/>
      <c r="I238" s="27">
        <f>IFERROR(IF(OR($F238="O",$G238="O",$H238="O"),CHOOSE(MATCH($A238,{"튜브","고압","진공","튜닝","조립","출하"},0),"T","H","V","N","A","P")&amp;IF($F238="O","R",IF($G238="O","A",IF($H238="O","F",""))),""),"")</f>
        <v/>
      </c>
      <c r="J238" s="15" t="n"/>
      <c r="K238" s="16" t="n"/>
      <c r="L238" s="17" t="inlineStr">
        <is>
          <t>O</t>
        </is>
      </c>
      <c r="M238" s="18" t="n"/>
      <c r="N238" s="19" t="n"/>
      <c r="O238" s="20" t="n"/>
      <c r="P238" s="21">
        <f>IF($I238="","",IF($J238="O","3","")&amp;IF($K238="O","4","")&amp;IF($L238="O","6","")&amp;IF($M238="O","7","")&amp;IF($N238="O","8","")&amp;IF($O238="O","?","")&amp;IF(OR($J238="O",$K238="O",$L238="O",$M238="O",$N238="O",$O238="O"),"-","")&amp;$I238)</f>
        <v/>
      </c>
      <c r="Q238" s="110">
        <f>HYPERLINK("#'마스터_품목'!A563","→ 마스터 R563")</f>
        <v/>
      </c>
      <c r="R238" s="111" t="n">
        <v>563</v>
      </c>
      <c r="S238" s="111" t="inlineStr">
        <is>
          <t>마스터_품목</t>
        </is>
      </c>
    </row>
    <row r="239" ht="48" customHeight="1">
      <c r="A239" s="29" t="inlineStr">
        <is>
          <t>출하</t>
        </is>
      </c>
      <c r="B239" s="22" t="inlineStr">
        <is>
          <t>스탠드</t>
        </is>
      </c>
      <c r="C239" s="23" t="inlineStr">
        <is>
          <t>ADX6000 공용</t>
        </is>
      </c>
      <c r="D239" s="23" t="inlineStr">
        <is>
          <t>국내용 스탠드 브라켓 5. SHAFT</t>
        </is>
      </c>
      <c r="E239" s="23" t="inlineStr">
        <is>
          <t>국내용 스탠드 브라켓 5. SHAFT
[ADX6000]</t>
        </is>
      </c>
      <c r="F239" s="24" t="inlineStr">
        <is>
          <t>O</t>
        </is>
      </c>
      <c r="G239" s="25" t="n"/>
      <c r="H239" s="26" t="n"/>
      <c r="I239" s="27">
        <f>IFERROR(IF(OR($F239="O",$G239="O",$H239="O"),CHOOSE(MATCH($A239,{"튜브","고압","진공","튜닝","조립","출하"},0),"T","H","V","N","A","P")&amp;IF($F239="O","R",IF($G239="O","A",IF($H239="O","F",""))),""),"")</f>
        <v/>
      </c>
      <c r="J239" s="15" t="n"/>
      <c r="K239" s="16" t="n"/>
      <c r="L239" s="17" t="inlineStr">
        <is>
          <t>O</t>
        </is>
      </c>
      <c r="M239" s="18" t="n"/>
      <c r="N239" s="19" t="n"/>
      <c r="O239" s="20" t="n"/>
      <c r="P239" s="21">
        <f>IF($I239="","",IF($J239="O","3","")&amp;IF($K239="O","4","")&amp;IF($L239="O","6","")&amp;IF($M239="O","7","")&amp;IF($N239="O","8","")&amp;IF($O239="O","?","")&amp;IF(OR($J239="O",$K239="O",$L239="O",$M239="O",$N239="O",$O239="O"),"-","")&amp;$I239)</f>
        <v/>
      </c>
      <c r="Q239" s="110">
        <f>HYPERLINK("#'마스터_품목'!A564","→ 마스터 R564")</f>
        <v/>
      </c>
      <c r="R239" s="111" t="n">
        <v>564</v>
      </c>
      <c r="S239" s="111" t="inlineStr">
        <is>
          <t>마스터_품목</t>
        </is>
      </c>
    </row>
    <row r="240" ht="48" customHeight="1">
      <c r="A240" s="29" t="inlineStr">
        <is>
          <t>출하</t>
        </is>
      </c>
      <c r="B240" s="22" t="inlineStr">
        <is>
          <t>스탠드</t>
        </is>
      </c>
      <c r="C240" s="23" t="inlineStr">
        <is>
          <t>ADX6000 공용</t>
        </is>
      </c>
      <c r="D240" s="23" t="inlineStr">
        <is>
          <t>국내용 스탠드 브라켓 6. PUSH PLATE</t>
        </is>
      </c>
      <c r="E240" s="23" t="inlineStr">
        <is>
          <t>국내용 스탠드 브라켓 6. PUSH PLATE
[ADX6000]</t>
        </is>
      </c>
      <c r="F240" s="24" t="inlineStr">
        <is>
          <t>O</t>
        </is>
      </c>
      <c r="G240" s="25" t="n"/>
      <c r="H240" s="26" t="n"/>
      <c r="I240" s="27">
        <f>IFERROR(IF(OR($F240="O",$G240="O",$H240="O"),CHOOSE(MATCH($A240,{"튜브","고압","진공","튜닝","조립","출하"},0),"T","H","V","N","A","P")&amp;IF($F240="O","R",IF($G240="O","A",IF($H240="O","F",""))),""),"")</f>
        <v/>
      </c>
      <c r="J240" s="15" t="n"/>
      <c r="K240" s="16" t="n"/>
      <c r="L240" s="17" t="inlineStr">
        <is>
          <t>O</t>
        </is>
      </c>
      <c r="M240" s="18" t="n"/>
      <c r="N240" s="19" t="n"/>
      <c r="O240" s="20" t="n"/>
      <c r="P240" s="21">
        <f>IF($I240="","",IF($J240="O","3","")&amp;IF($K240="O","4","")&amp;IF($L240="O","6","")&amp;IF($M240="O","7","")&amp;IF($N240="O","8","")&amp;IF($O240="O","?","")&amp;IF(OR($J240="O",$K240="O",$L240="O",$M240="O",$N240="O",$O240="O"),"-","")&amp;$I240)</f>
        <v/>
      </c>
      <c r="Q240" s="110">
        <f>HYPERLINK("#'마스터_품목'!A565","→ 마스터 R565")</f>
        <v/>
      </c>
      <c r="R240" s="111" t="n">
        <v>565</v>
      </c>
      <c r="S240" s="111" t="inlineStr">
        <is>
          <t>마스터_품목</t>
        </is>
      </c>
    </row>
    <row r="241" ht="48" customHeight="1">
      <c r="A241" s="29" t="inlineStr">
        <is>
          <t>출하</t>
        </is>
      </c>
      <c r="B241" s="22" t="inlineStr">
        <is>
          <t>스탠드</t>
        </is>
      </c>
      <c r="C241" s="23" t="inlineStr">
        <is>
          <t>ADX6000 공용</t>
        </is>
      </c>
      <c r="D241" s="23" t="inlineStr">
        <is>
          <t>국내용 스탠드 브라켓 7. EASY LOCK PLATE</t>
        </is>
      </c>
      <c r="E241" s="23" t="inlineStr">
        <is>
          <t>국내용 스탠드 브라켓 7. EASY LOCK PLATE
[ADX6000]</t>
        </is>
      </c>
      <c r="F241" s="24" t="inlineStr">
        <is>
          <t>O</t>
        </is>
      </c>
      <c r="G241" s="25" t="n"/>
      <c r="H241" s="26" t="n"/>
      <c r="I241" s="27">
        <f>IFERROR(IF(OR($F241="O",$G241="O",$H241="O"),CHOOSE(MATCH($A241,{"튜브","고압","진공","튜닝","조립","출하"},0),"T","H","V","N","A","P")&amp;IF($F241="O","R",IF($G241="O","A",IF($H241="O","F",""))),""),"")</f>
        <v/>
      </c>
      <c r="J241" s="15" t="n"/>
      <c r="K241" s="16" t="n"/>
      <c r="L241" s="17" t="inlineStr">
        <is>
          <t>O</t>
        </is>
      </c>
      <c r="M241" s="18" t="n"/>
      <c r="N241" s="19" t="n"/>
      <c r="O241" s="20" t="n"/>
      <c r="P241" s="21">
        <f>IF($I241="","",IF($J241="O","3","")&amp;IF($K241="O","4","")&amp;IF($L241="O","6","")&amp;IF($M241="O","7","")&amp;IF($N241="O","8","")&amp;IF($O241="O","?","")&amp;IF(OR($J241="O",$K241="O",$L241="O",$M241="O",$N241="O",$O241="O"),"-","")&amp;$I241)</f>
        <v/>
      </c>
      <c r="Q241" s="110">
        <f>HYPERLINK("#'마스터_품목'!A566","→ 마스터 R566")</f>
        <v/>
      </c>
      <c r="R241" s="111" t="n">
        <v>566</v>
      </c>
      <c r="S241" s="111" t="inlineStr">
        <is>
          <t>마스터_품목</t>
        </is>
      </c>
    </row>
    <row r="242" ht="48" customHeight="1">
      <c r="A242" s="29" t="inlineStr">
        <is>
          <t>출하</t>
        </is>
      </c>
      <c r="B242" s="22" t="inlineStr">
        <is>
          <t>스탠드</t>
        </is>
      </c>
      <c r="C242" s="23" t="inlineStr">
        <is>
          <t>ADX6000 공용</t>
        </is>
      </c>
      <c r="D242" s="23" t="inlineStr">
        <is>
          <t>국내용 스탠드 브라켓 8. MOUNT</t>
        </is>
      </c>
      <c r="E242" s="23" t="inlineStr">
        <is>
          <t>국내용 스탠드 브라켓 8. MOUNT
[ADX6000]</t>
        </is>
      </c>
      <c r="F242" s="24" t="inlineStr">
        <is>
          <t>O</t>
        </is>
      </c>
      <c r="G242" s="25" t="n"/>
      <c r="H242" s="26" t="n"/>
      <c r="I242" s="27">
        <f>IFERROR(IF(OR($F242="O",$G242="O",$H242="O"),CHOOSE(MATCH($A242,{"튜브","고압","진공","튜닝","조립","출하"},0),"T","H","V","N","A","P")&amp;IF($F242="O","R",IF($G242="O","A",IF($H242="O","F",""))),""),"")</f>
        <v/>
      </c>
      <c r="J242" s="15" t="n"/>
      <c r="K242" s="16" t="n"/>
      <c r="L242" s="17" t="inlineStr">
        <is>
          <t>O</t>
        </is>
      </c>
      <c r="M242" s="18" t="n"/>
      <c r="N242" s="19" t="n"/>
      <c r="O242" s="20" t="n"/>
      <c r="P242" s="21">
        <f>IF($I242="","",IF($J242="O","3","")&amp;IF($K242="O","4","")&amp;IF($L242="O","6","")&amp;IF($M242="O","7","")&amp;IF($N242="O","8","")&amp;IF($O242="O","?","")&amp;IF(OR($J242="O",$K242="O",$L242="O",$M242="O",$N242="O",$O242="O"),"-","")&amp;$I242)</f>
        <v/>
      </c>
      <c r="Q242" s="110">
        <f>HYPERLINK("#'마스터_품목'!A567","→ 마스터 R567")</f>
        <v/>
      </c>
      <c r="R242" s="111" t="n">
        <v>567</v>
      </c>
      <c r="S242" s="111" t="inlineStr">
        <is>
          <t>마스터_품목</t>
        </is>
      </c>
    </row>
    <row r="243" ht="48" customHeight="1">
      <c r="A243" s="29" t="inlineStr">
        <is>
          <t>출하</t>
        </is>
      </c>
      <c r="B243" s="22" t="inlineStr">
        <is>
          <t>스탠드</t>
        </is>
      </c>
      <c r="C243" s="23" t="inlineStr">
        <is>
          <t>ADX6000 공용</t>
        </is>
      </c>
      <c r="D243" s="23" t="inlineStr">
        <is>
          <t>국내용 스탠드 브라켓 9. 조임 손잡이</t>
        </is>
      </c>
      <c r="E243" s="23" t="inlineStr">
        <is>
          <t>국내용 스탠드 브라켓 9. 조임 손잡이
[ADX6000]</t>
        </is>
      </c>
      <c r="F243" s="24" t="inlineStr">
        <is>
          <t>O</t>
        </is>
      </c>
      <c r="G243" s="25" t="n"/>
      <c r="H243" s="26" t="n"/>
      <c r="I243" s="27">
        <f>IFERROR(IF(OR($F243="O",$G243="O",$H243="O"),CHOOSE(MATCH($A243,{"튜브","고압","진공","튜닝","조립","출하"},0),"T","H","V","N","A","P")&amp;IF($F243="O","R",IF($G243="O","A",IF($H243="O","F",""))),""),"")</f>
        <v/>
      </c>
      <c r="J243" s="15" t="n"/>
      <c r="K243" s="16" t="n"/>
      <c r="L243" s="17" t="inlineStr">
        <is>
          <t>O</t>
        </is>
      </c>
      <c r="M243" s="18" t="n"/>
      <c r="N243" s="19" t="n"/>
      <c r="O243" s="20" t="n"/>
      <c r="P243" s="21">
        <f>IF($I243="","",IF($J243="O","3","")&amp;IF($K243="O","4","")&amp;IF($L243="O","6","")&amp;IF($M243="O","7","")&amp;IF($N243="O","8","")&amp;IF($O243="O","?","")&amp;IF(OR($J243="O",$K243="O",$L243="O",$M243="O",$N243="O",$O243="O"),"-","")&amp;$I243)</f>
        <v/>
      </c>
      <c r="Q243" s="110">
        <f>HYPERLINK("#'마스터_품목'!A568","→ 마스터 R568")</f>
        <v/>
      </c>
      <c r="R243" s="111" t="n">
        <v>568</v>
      </c>
      <c r="S243" s="111" t="inlineStr">
        <is>
          <t>마스터_품목</t>
        </is>
      </c>
    </row>
    <row r="244" ht="48" customHeight="1">
      <c r="A244" s="29" t="inlineStr">
        <is>
          <t>출하</t>
        </is>
      </c>
      <c r="B244" s="22" t="inlineStr">
        <is>
          <t>스탠드</t>
        </is>
      </c>
      <c r="C244" s="23" t="inlineStr">
        <is>
          <t>ADX6000 공용</t>
        </is>
      </c>
      <c r="D244" s="23" t="inlineStr">
        <is>
          <t>스탠드 브라켓 조인트 셋트 (브라켓 1~9)</t>
        </is>
      </c>
      <c r="E244" s="23" t="n"/>
      <c r="F244" s="24" t="n"/>
      <c r="G244" s="25" t="inlineStr">
        <is>
          <t>O</t>
        </is>
      </c>
      <c r="H244" s="26" t="n"/>
      <c r="I244" s="27">
        <f>IFERROR(IF(OR($F244="O",$G244="O",$H244="O"),CHOOSE(MATCH($A244,{"튜브","고압","진공","튜닝","조립","출하"},0),"T","H","V","N","A","P")&amp;IF($F244="O","R",IF($G244="O","A",IF($H244="O","F",""))),""),"")</f>
        <v/>
      </c>
      <c r="J244" s="15" t="n"/>
      <c r="K244" s="16" t="n"/>
      <c r="L244" s="17" t="inlineStr">
        <is>
          <t>O</t>
        </is>
      </c>
      <c r="M244" s="18" t="n"/>
      <c r="N244" s="19" t="n"/>
      <c r="O244" s="20" t="n"/>
      <c r="P244" s="21">
        <f>IF($I244="","",IF($J244="O","3","")&amp;IF($K244="O","4","")&amp;IF($L244="O","6","")&amp;IF($M244="O","7","")&amp;IF($N244="O","8","")&amp;IF($O244="O","?","")&amp;IF(OR($J244="O",$K244="O",$L244="O",$M244="O",$N244="O",$O244="O"),"-","")&amp;$I244)</f>
        <v/>
      </c>
      <c r="Q244" s="110">
        <f>HYPERLINK("#'마스터_품목'!A569","→ 마스터 R569")</f>
        <v/>
      </c>
      <c r="R244" s="111" t="n">
        <v>569</v>
      </c>
      <c r="S244" s="111" t="inlineStr">
        <is>
          <t>마스터_품목</t>
        </is>
      </c>
    </row>
    <row r="245" ht="48" customHeight="1">
      <c r="A245" s="29" t="inlineStr">
        <is>
          <t>출하</t>
        </is>
      </c>
      <c r="B245" s="22" t="inlineStr">
        <is>
          <t>스탠드</t>
        </is>
      </c>
      <c r="C245" s="23" t="inlineStr">
        <is>
          <t>공용</t>
        </is>
      </c>
      <c r="D245" s="23" t="inlineStr">
        <is>
          <t>AllMyT Stand Base</t>
        </is>
      </c>
      <c r="E245" s="23" t="inlineStr">
        <is>
          <t>AlmyT STAND BODY SET
[공용]</t>
        </is>
      </c>
      <c r="F245" s="24" t="inlineStr">
        <is>
          <t>O</t>
        </is>
      </c>
      <c r="G245" s="25" t="n"/>
      <c r="H245" s="26" t="n"/>
      <c r="I245" s="27">
        <f>IFERROR(IF(OR($F245="O",$G245="O",$H245="O"),CHOOSE(MATCH($A245,{"튜브","고압","진공","튜닝","조립","출하"},0),"T","H","V","N","A","P")&amp;IF($F245="O","R",IF($G245="O","A",IF($H245="O","F",""))),""),"")</f>
        <v/>
      </c>
      <c r="J245" s="15" t="inlineStr">
        <is>
          <t>O</t>
        </is>
      </c>
      <c r="K245" s="16" t="inlineStr">
        <is>
          <t>O</t>
        </is>
      </c>
      <c r="L245" s="17" t="inlineStr">
        <is>
          <t>O</t>
        </is>
      </c>
      <c r="M245" s="18" t="n"/>
      <c r="N245" s="19" t="n"/>
      <c r="O245" s="20" t="n"/>
      <c r="P245" s="21">
        <f>IF($I245="","",IF($J245="O","3","")&amp;IF($K245="O","4","")&amp;IF($L245="O","6","")&amp;IF($M245="O","7","")&amp;IF($N245="O","8","")&amp;IF($O245="O","?","")&amp;IF(OR($J245="O",$K245="O",$L245="O",$M245="O",$N245="O",$O245="O"),"-","")&amp;$I245)</f>
        <v/>
      </c>
      <c r="Q245" s="110">
        <f>HYPERLINK("#'마스터_품목'!A570","→ 마스터 R570")</f>
        <v/>
      </c>
      <c r="R245" s="111" t="n">
        <v>570</v>
      </c>
      <c r="S245" s="111" t="inlineStr">
        <is>
          <t>마스터_품목</t>
        </is>
      </c>
    </row>
    <row r="246" ht="48" customHeight="1">
      <c r="A246" s="29" t="inlineStr">
        <is>
          <t>출하</t>
        </is>
      </c>
      <c r="B246" s="22" t="inlineStr">
        <is>
          <t>스탠드</t>
        </is>
      </c>
      <c r="C246" s="23" t="inlineStr">
        <is>
          <t>공용</t>
        </is>
      </c>
      <c r="D246" s="23" t="inlineStr">
        <is>
          <t>AllMyT Stand Arm 및 Accessory</t>
        </is>
      </c>
      <c r="E246" s="23" t="inlineStr">
        <is>
          <t>AlmyT STAND ACC SET
[공용]</t>
        </is>
      </c>
      <c r="F246" s="24" t="inlineStr">
        <is>
          <t>O</t>
        </is>
      </c>
      <c r="G246" s="25" t="n"/>
      <c r="H246" s="26" t="n"/>
      <c r="I246" s="27">
        <f>IFERROR(IF(OR($F246="O",$G246="O",$H246="O"),CHOOSE(MATCH($A246,{"튜브","고압","진공","튜닝","조립","출하"},0),"T","H","V","N","A","P")&amp;IF($F246="O","R",IF($G246="O","A",IF($H246="O","F",""))),""),"")</f>
        <v/>
      </c>
      <c r="J246" s="15" t="inlineStr">
        <is>
          <t>O</t>
        </is>
      </c>
      <c r="K246" s="16" t="inlineStr">
        <is>
          <t>O</t>
        </is>
      </c>
      <c r="L246" s="17" t="inlineStr">
        <is>
          <t>O</t>
        </is>
      </c>
      <c r="M246" s="18" t="n"/>
      <c r="N246" s="19" t="n"/>
      <c r="O246" s="20" t="n"/>
      <c r="P246" s="21">
        <f>IF($I246="","",IF($J246="O","3","")&amp;IF($K246="O","4","")&amp;IF($L246="O","6","")&amp;IF($M246="O","7","")&amp;IF($N246="O","8","")&amp;IF($O246="O","?","")&amp;IF(OR($J246="O",$K246="O",$L246="O",$M246="O",$N246="O",$O246="O"),"-","")&amp;$I246)</f>
        <v/>
      </c>
      <c r="Q246" s="110">
        <f>HYPERLINK("#'마스터_품목'!A571","→ 마스터 R571")</f>
        <v/>
      </c>
      <c r="R246" s="111" t="n">
        <v>571</v>
      </c>
      <c r="S246" s="111" t="inlineStr">
        <is>
          <t>마스터_품목</t>
        </is>
      </c>
    </row>
    <row r="247" ht="48" customHeight="1">
      <c r="A247" s="29" t="inlineStr">
        <is>
          <t>출하</t>
        </is>
      </c>
      <c r="B247" s="22" t="inlineStr">
        <is>
          <t>스탠드</t>
        </is>
      </c>
      <c r="C247" s="23" t="inlineStr">
        <is>
          <t>ADX6000 공용</t>
        </is>
      </c>
      <c r="D247" s="23" t="inlineStr">
        <is>
          <t>체스트 &amp; 베드 STAND</t>
        </is>
      </c>
      <c r="E247" s="23" t="inlineStr">
        <is>
          <t>체스트 &amp; 베드 스탠드
[공용]</t>
        </is>
      </c>
      <c r="F247" s="24" t="inlineStr">
        <is>
          <t>O</t>
        </is>
      </c>
      <c r="G247" s="25" t="n"/>
      <c r="H247" s="26" t="n"/>
      <c r="I247" s="27">
        <f>IFERROR(IF(OR($F247="O",$G247="O",$H247="O"),CHOOSE(MATCH($A247,{"튜브","고압","진공","튜닝","조립","출하"},0),"T","H","V","N","A","P")&amp;IF($F247="O","R",IF($G247="O","A",IF($H247="O","F",""))),""),"")</f>
        <v/>
      </c>
      <c r="J247" s="15" t="n"/>
      <c r="K247" s="16" t="n"/>
      <c r="L247" s="17" t="inlineStr">
        <is>
          <t>O</t>
        </is>
      </c>
      <c r="M247" s="18" t="n"/>
      <c r="N247" s="19" t="n"/>
      <c r="O247" s="20" t="n"/>
      <c r="P247" s="21">
        <f>IF($I247="","",IF($J247="O","3","")&amp;IF($K247="O","4","")&amp;IF($L247="O","6","")&amp;IF($M247="O","7","")&amp;IF($N247="O","8","")&amp;IF($O247="O","?","")&amp;IF(OR($J247="O",$K247="O",$L247="O",$M247="O",$N247="O",$O247="O"),"-","")&amp;$I247)</f>
        <v/>
      </c>
      <c r="Q247" s="110">
        <f>HYPERLINK("#'마스터_품목'!A572","→ 마스터 R572")</f>
        <v/>
      </c>
      <c r="R247" s="111" t="n">
        <v>572</v>
      </c>
      <c r="S247" s="111" t="inlineStr">
        <is>
          <t>마스터_품목</t>
        </is>
      </c>
    </row>
    <row r="248" ht="48" customHeight="1">
      <c r="A248" s="29" t="inlineStr">
        <is>
          <t>출하</t>
        </is>
      </c>
      <c r="B248" s="22" t="inlineStr">
        <is>
          <t>스탠드</t>
        </is>
      </c>
      <c r="C248" s="23" t="inlineStr">
        <is>
          <t>ADX6000 공용</t>
        </is>
      </c>
      <c r="D248" s="23" t="inlineStr">
        <is>
          <t>체스트 &amp; 베드 JOINT ARM</t>
        </is>
      </c>
      <c r="E248" s="23" t="inlineStr">
        <is>
          <t>체스트 &amp; 베드 조인트 암
[공용]</t>
        </is>
      </c>
      <c r="F248" s="24" t="inlineStr">
        <is>
          <t>O</t>
        </is>
      </c>
      <c r="G248" s="25" t="n"/>
      <c r="H248" s="26" t="n"/>
      <c r="I248" s="27">
        <f>IFERROR(IF(OR($F248="O",$G248="O",$H248="O"),CHOOSE(MATCH($A248,{"튜브","고압","진공","튜닝","조립","출하"},0),"T","H","V","N","A","P")&amp;IF($F248="O","R",IF($G248="O","A",IF($H248="O","F",""))),""),"")</f>
        <v/>
      </c>
      <c r="J248" s="15" t="n"/>
      <c r="K248" s="16" t="n"/>
      <c r="L248" s="17" t="inlineStr">
        <is>
          <t>O</t>
        </is>
      </c>
      <c r="M248" s="18" t="n"/>
      <c r="N248" s="19" t="n"/>
      <c r="O248" s="20" t="n"/>
      <c r="P248" s="21">
        <f>IF($I248="","",IF($J248="O","3","")&amp;IF($K248="O","4","")&amp;IF($L248="O","6","")&amp;IF($M248="O","7","")&amp;IF($N248="O","8","")&amp;IF($O248="O","?","")&amp;IF(OR($J248="O",$K248="O",$L248="O",$M248="O",$N248="O",$O248="O"),"-","")&amp;$I248)</f>
        <v/>
      </c>
      <c r="Q248" s="110">
        <f>HYPERLINK("#'마스터_품목'!A573","→ 마스터 R573")</f>
        <v/>
      </c>
      <c r="R248" s="111" t="n">
        <v>573</v>
      </c>
      <c r="S248" s="111" t="inlineStr">
        <is>
          <t>마스터_품목</t>
        </is>
      </c>
    </row>
    <row r="249" ht="48" customHeight="1">
      <c r="A249" s="29" t="inlineStr">
        <is>
          <t>출하</t>
        </is>
      </c>
      <c r="B249" s="22" t="inlineStr">
        <is>
          <t>스탠드</t>
        </is>
      </c>
      <c r="C249" s="23" t="inlineStr">
        <is>
          <t>ADX6000 공용</t>
        </is>
      </c>
      <c r="D249" s="23" t="inlineStr">
        <is>
          <t>체스트 &amp; 베드 ARM PIPE</t>
        </is>
      </c>
      <c r="E249" s="23" t="inlineStr">
        <is>
          <t>체스트 &amp; 베드 암 파이프
[공용]</t>
        </is>
      </c>
      <c r="F249" s="24" t="inlineStr">
        <is>
          <t>O</t>
        </is>
      </c>
      <c r="G249" s="25" t="n"/>
      <c r="H249" s="26" t="n"/>
      <c r="I249" s="27">
        <f>IFERROR(IF(OR($F249="O",$G249="O",$H249="O"),CHOOSE(MATCH($A249,{"튜브","고압","진공","튜닝","조립","출하"},0),"T","H","V","N","A","P")&amp;IF($F249="O","R",IF($G249="O","A",IF($H249="O","F",""))),""),"")</f>
        <v/>
      </c>
      <c r="J249" s="15" t="n"/>
      <c r="K249" s="16" t="n"/>
      <c r="L249" s="17" t="inlineStr">
        <is>
          <t>O</t>
        </is>
      </c>
      <c r="M249" s="18" t="n"/>
      <c r="N249" s="19" t="n"/>
      <c r="O249" s="20" t="n"/>
      <c r="P249" s="21">
        <f>IF($I249="","",IF($J249="O","3","")&amp;IF($K249="O","4","")&amp;IF($L249="O","6","")&amp;IF($M249="O","7","")&amp;IF($N249="O","8","")&amp;IF($O249="O","?","")&amp;IF(OR($J249="O",$K249="O",$L249="O",$M249="O",$N249="O",$O249="O"),"-","")&amp;$I249)</f>
        <v/>
      </c>
      <c r="Q249" s="110">
        <f>HYPERLINK("#'마스터_품목'!A574","→ 마스터 R574")</f>
        <v/>
      </c>
      <c r="R249" s="111" t="n">
        <v>574</v>
      </c>
      <c r="S249" s="111" t="inlineStr">
        <is>
          <t>마스터_품목</t>
        </is>
      </c>
    </row>
    <row r="250" ht="48" customHeight="1">
      <c r="A250" s="29" t="inlineStr">
        <is>
          <t>출하</t>
        </is>
      </c>
      <c r="B250" s="22" t="inlineStr">
        <is>
          <t>스탠드</t>
        </is>
      </c>
      <c r="C250" s="23" t="inlineStr">
        <is>
          <t>ADX6000 공용</t>
        </is>
      </c>
      <c r="D250" s="23" t="inlineStr">
        <is>
          <t>체스트 &amp; 베드 FIX BLOCK A, B</t>
        </is>
      </c>
      <c r="E250" s="23" t="inlineStr">
        <is>
          <t>체스트 &amp; 베드 픽스 블럭 A, B (육각 렌치 3, 5)
[공용]</t>
        </is>
      </c>
      <c r="F250" s="24" t="inlineStr">
        <is>
          <t>O</t>
        </is>
      </c>
      <c r="G250" s="25" t="n"/>
      <c r="H250" s="26" t="n"/>
      <c r="I250" s="27">
        <f>IFERROR(IF(OR($F250="O",$G250="O",$H250="O"),CHOOSE(MATCH($A250,{"튜브","고압","진공","튜닝","조립","출하"},0),"T","H","V","N","A","P")&amp;IF($F250="O","R",IF($G250="O","A",IF($H250="O","F",""))),""),"")</f>
        <v/>
      </c>
      <c r="J250" s="15" t="n"/>
      <c r="K250" s="16" t="n"/>
      <c r="L250" s="17" t="inlineStr">
        <is>
          <t>O</t>
        </is>
      </c>
      <c r="M250" s="18" t="n"/>
      <c r="N250" s="19" t="n"/>
      <c r="O250" s="20" t="n"/>
      <c r="P250" s="21">
        <f>IF($I250="","",IF($J250="O","3","")&amp;IF($K250="O","4","")&amp;IF($L250="O","6","")&amp;IF($M250="O","7","")&amp;IF($N250="O","8","")&amp;IF($O250="O","?","")&amp;IF(OR($J250="O",$K250="O",$L250="O",$M250="O",$N250="O",$O250="O"),"-","")&amp;$I250)</f>
        <v/>
      </c>
      <c r="Q250" s="110">
        <f>HYPERLINK("#'마스터_품목'!A575","→ 마스터 R575")</f>
        <v/>
      </c>
      <c r="R250" s="111" t="n">
        <v>575</v>
      </c>
      <c r="S250" s="111" t="inlineStr">
        <is>
          <t>마스터_품목</t>
        </is>
      </c>
    </row>
    <row r="251" ht="48" customHeight="1">
      <c r="A251" s="29" t="inlineStr">
        <is>
          <t>출하</t>
        </is>
      </c>
      <c r="B251" s="22" t="inlineStr">
        <is>
          <t>스탠드</t>
        </is>
      </c>
      <c r="C251" s="23" t="inlineStr">
        <is>
          <t>ADX6000 공용</t>
        </is>
      </c>
      <c r="D251" s="23" t="inlineStr">
        <is>
          <t>체스트 &amp; 베드 스탠드 박스 내장재 상, 하판 [230 * 130 * 30T]</t>
        </is>
      </c>
      <c r="E251" s="23" t="inlineStr">
        <is>
          <t>체스트 &amp; 베드 스탠드 박스 내장재 상, 하판 (230 * 130 * 30T)
[공용]</t>
        </is>
      </c>
      <c r="F251" s="24" t="inlineStr">
        <is>
          <t>O</t>
        </is>
      </c>
      <c r="G251" s="25" t="n"/>
      <c r="H251" s="26" t="n"/>
      <c r="I251" s="27">
        <f>IFERROR(IF(OR($F251="O",$G251="O",$H251="O"),CHOOSE(MATCH($A251,{"튜브","고압","진공","튜닝","조립","출하"},0),"T","H","V","N","A","P")&amp;IF($F251="O","R",IF($G251="O","A",IF($H251="O","F",""))),""),"")</f>
        <v/>
      </c>
      <c r="J251" s="15" t="n"/>
      <c r="K251" s="16" t="n"/>
      <c r="L251" s="17" t="inlineStr">
        <is>
          <t>O</t>
        </is>
      </c>
      <c r="M251" s="18" t="n"/>
      <c r="N251" s="19" t="n"/>
      <c r="O251" s="20" t="n"/>
      <c r="P251" s="21">
        <f>IF($I251="","",IF($J251="O","3","")&amp;IF($K251="O","4","")&amp;IF($L251="O","6","")&amp;IF($M251="O","7","")&amp;IF($N251="O","8","")&amp;IF($O251="O","?","")&amp;IF(OR($J251="O",$K251="O",$L251="O",$M251="O",$N251="O",$O251="O"),"-","")&amp;$I251)</f>
        <v/>
      </c>
      <c r="Q251" s="110">
        <f>HYPERLINK("#'마스터_품목'!A576","→ 마스터 R576")</f>
        <v/>
      </c>
      <c r="R251" s="111" t="n">
        <v>576</v>
      </c>
      <c r="S251" s="111" t="inlineStr">
        <is>
          <t>마스터_품목</t>
        </is>
      </c>
    </row>
    <row r="252" ht="48" customHeight="1">
      <c r="A252" s="29" t="inlineStr">
        <is>
          <t>출하</t>
        </is>
      </c>
      <c r="B252" s="22" t="inlineStr">
        <is>
          <t>스탠드</t>
        </is>
      </c>
      <c r="C252" s="23" t="inlineStr">
        <is>
          <t>ADX6000 공용</t>
        </is>
      </c>
      <c r="D252" s="23" t="inlineStr">
        <is>
          <t>체스트 &amp; 베드 스탠드 박스 내장재 좌, 우판 [130 * 980 * 30T]</t>
        </is>
      </c>
      <c r="E252" s="23" t="inlineStr">
        <is>
          <t>체스트 &amp; 베드 스탠드 박스 내장재 좌, 우판 (130 * 980 * 30T)
[공용]</t>
        </is>
      </c>
      <c r="F252" s="24" t="inlineStr">
        <is>
          <t>O</t>
        </is>
      </c>
      <c r="G252" s="25" t="n"/>
      <c r="H252" s="26" t="n"/>
      <c r="I252" s="27">
        <f>IFERROR(IF(OR($F252="O",$G252="O",$H252="O"),CHOOSE(MATCH($A252,{"튜브","고압","진공","튜닝","조립","출하"},0),"T","H","V","N","A","P")&amp;IF($F252="O","R",IF($G252="O","A",IF($H252="O","F",""))),""),"")</f>
        <v/>
      </c>
      <c r="J252" s="15" t="n"/>
      <c r="K252" s="16" t="n"/>
      <c r="L252" s="17" t="inlineStr">
        <is>
          <t>O</t>
        </is>
      </c>
      <c r="M252" s="18" t="n"/>
      <c r="N252" s="19" t="n"/>
      <c r="O252" s="20" t="n"/>
      <c r="P252" s="21">
        <f>IF($I252="","",IF($J252="O","3","")&amp;IF($K252="O","4","")&amp;IF($L252="O","6","")&amp;IF($M252="O","7","")&amp;IF($N252="O","8","")&amp;IF($O252="O","?","")&amp;IF(OR($J252="O",$K252="O",$L252="O",$M252="O",$N252="O",$O252="O"),"-","")&amp;$I252)</f>
        <v/>
      </c>
      <c r="Q252" s="110">
        <f>HYPERLINK("#'마스터_품목'!A577","→ 마스터 R577")</f>
        <v/>
      </c>
      <c r="R252" s="111" t="n">
        <v>577</v>
      </c>
      <c r="S252" s="111" t="inlineStr">
        <is>
          <t>마스터_품목</t>
        </is>
      </c>
    </row>
    <row r="253" ht="48" customHeight="1">
      <c r="A253" s="29" t="inlineStr">
        <is>
          <t>출하</t>
        </is>
      </c>
      <c r="B253" s="22" t="inlineStr">
        <is>
          <t>스탠드</t>
        </is>
      </c>
      <c r="C253" s="23" t="inlineStr">
        <is>
          <t>ADX6000 공용</t>
        </is>
      </c>
      <c r="D253" s="23" t="inlineStr">
        <is>
          <t>체스트 &amp; 베드 스탠드 박스 내장재 전, 후판 [230 * 920 * 30T]</t>
        </is>
      </c>
      <c r="E253" s="23" t="inlineStr">
        <is>
          <t>체스트 &amp; 베드 스탠드 박스 내장재 전, 후판 (230 * 920 * 30T)
[공용]</t>
        </is>
      </c>
      <c r="F253" s="24" t="inlineStr">
        <is>
          <t>O</t>
        </is>
      </c>
      <c r="G253" s="25" t="n"/>
      <c r="H253" s="26" t="n"/>
      <c r="I253" s="27">
        <f>IFERROR(IF(OR($F253="O",$G253="O",$H253="O"),CHOOSE(MATCH($A253,{"튜브","고압","진공","튜닝","조립","출하"},0),"T","H","V","N","A","P")&amp;IF($F253="O","R",IF($G253="O","A",IF($H253="O","F",""))),""),"")</f>
        <v/>
      </c>
      <c r="J253" s="15" t="n"/>
      <c r="K253" s="16" t="n"/>
      <c r="L253" s="17" t="inlineStr">
        <is>
          <t>O</t>
        </is>
      </c>
      <c r="M253" s="18" t="n"/>
      <c r="N253" s="19" t="n"/>
      <c r="O253" s="20" t="n"/>
      <c r="P253" s="21">
        <f>IF($I253="","",IF($J253="O","3","")&amp;IF($K253="O","4","")&amp;IF($L253="O","6","")&amp;IF($M253="O","7","")&amp;IF($N253="O","8","")&amp;IF($O253="O","?","")&amp;IF(OR($J253="O",$K253="O",$L253="O",$M253="O",$N253="O",$O253="O"),"-","")&amp;$I253)</f>
        <v/>
      </c>
      <c r="Q253" s="110">
        <f>HYPERLINK("#'마스터_품목'!A578","→ 마스터 R578")</f>
        <v/>
      </c>
      <c r="R253" s="111" t="n">
        <v>578</v>
      </c>
      <c r="S253" s="111" t="inlineStr">
        <is>
          <t>마스터_품목</t>
        </is>
      </c>
    </row>
    <row r="254" ht="48" customHeight="1">
      <c r="A254" s="29" t="inlineStr">
        <is>
          <t>출하</t>
        </is>
      </c>
      <c r="B254" s="22" t="inlineStr">
        <is>
          <t>스탠드</t>
        </is>
      </c>
      <c r="C254" s="23" t="inlineStr">
        <is>
          <t>ADX6000 공용</t>
        </is>
      </c>
      <c r="D254" s="23" t="inlineStr">
        <is>
          <t>체스트 &amp; 베드 스탠드 박스 [1000 * 300 * 160]</t>
        </is>
      </c>
      <c r="E254" s="23" t="inlineStr">
        <is>
          <t>체스트 &amp; 베드 스탠드 박스 (1000 * 300 * 150)
[공용]</t>
        </is>
      </c>
      <c r="F254" s="24" t="inlineStr">
        <is>
          <t>O</t>
        </is>
      </c>
      <c r="G254" s="25" t="n"/>
      <c r="H254" s="26" t="n"/>
      <c r="I254" s="27">
        <f>IFERROR(IF(OR($F254="O",$G254="O",$H254="O"),CHOOSE(MATCH($A254,{"튜브","고압","진공","튜닝","조립","출하"},0),"T","H","V","N","A","P")&amp;IF($F254="O","R",IF($G254="O","A",IF($H254="O","F",""))),""),"")</f>
        <v/>
      </c>
      <c r="J254" s="15" t="n"/>
      <c r="K254" s="16" t="n"/>
      <c r="L254" s="17" t="inlineStr">
        <is>
          <t>O</t>
        </is>
      </c>
      <c r="M254" s="18" t="n"/>
      <c r="N254" s="19" t="n"/>
      <c r="O254" s="20" t="n"/>
      <c r="P254" s="21">
        <f>IF($I254="","",IF($J254="O","3","")&amp;IF($K254="O","4","")&amp;IF($L254="O","6","")&amp;IF($M254="O","7","")&amp;IF($N254="O","8","")&amp;IF($O254="O","?","")&amp;IF(OR($J254="O",$K254="O",$L254="O",$M254="O",$N254="O",$O254="O"),"-","")&amp;$I254)</f>
        <v/>
      </c>
      <c r="Q254" s="110">
        <f>HYPERLINK("#'마스터_품목'!A579","→ 마스터 R579")</f>
        <v/>
      </c>
      <c r="R254" s="111" t="n">
        <v>579</v>
      </c>
      <c r="S254" s="111" t="inlineStr">
        <is>
          <t>마스터_품목</t>
        </is>
      </c>
    </row>
    <row r="255" ht="48" customHeight="1">
      <c r="A255" s="29" t="inlineStr">
        <is>
          <t>출하</t>
        </is>
      </c>
      <c r="B255" s="22" t="inlineStr">
        <is>
          <t>스탠드</t>
        </is>
      </c>
      <c r="C255" s="23" t="inlineStr">
        <is>
          <t>ADX6000 공용</t>
        </is>
      </c>
      <c r="D255" s="23" t="inlineStr">
        <is>
          <t>접이식 정형외과용 스탠드 세트</t>
        </is>
      </c>
      <c r="E255" s="23" t="inlineStr">
        <is>
          <t>접이식 스탠드 SET (정형외과용)
[공용]</t>
        </is>
      </c>
      <c r="F255" s="24" t="inlineStr">
        <is>
          <t>O</t>
        </is>
      </c>
      <c r="G255" s="25" t="n"/>
      <c r="H255" s="26" t="n"/>
      <c r="I255" s="27">
        <f>IFERROR(IF(OR($F255="O",$G255="O",$H255="O"),CHOOSE(MATCH($A255,{"튜브","고압","진공","튜닝","조립","출하"},0),"T","H","V","N","A","P")&amp;IF($F255="O","R",IF($G255="O","A",IF($H255="O","F",""))),""),"")</f>
        <v/>
      </c>
      <c r="J255" s="15" t="n"/>
      <c r="K255" s="16" t="n"/>
      <c r="L255" s="17" t="inlineStr">
        <is>
          <t>O</t>
        </is>
      </c>
      <c r="M255" s="18" t="n"/>
      <c r="N255" s="19" t="n"/>
      <c r="O255" s="20" t="n"/>
      <c r="P255" s="21">
        <f>IF($I255="","",IF($J255="O","3","")&amp;IF($K255="O","4","")&amp;IF($L255="O","6","")&amp;IF($M255="O","7","")&amp;IF($N255="O","8","")&amp;IF($O255="O","?","")&amp;IF(OR($J255="O",$K255="O",$L255="O",$M255="O",$N255="O",$O255="O"),"-","")&amp;$I255)</f>
        <v/>
      </c>
      <c r="Q255" s="110">
        <f>HYPERLINK("#'마스터_품목'!A580","→ 마스터 R580")</f>
        <v/>
      </c>
      <c r="R255" s="111" t="n">
        <v>580</v>
      </c>
      <c r="S255" s="111" t="inlineStr">
        <is>
          <t>마스터_품목</t>
        </is>
      </c>
    </row>
    <row r="256" ht="48" customHeight="1">
      <c r="A256" s="29" t="inlineStr">
        <is>
          <t>출하</t>
        </is>
      </c>
      <c r="B256" s="22" t="inlineStr">
        <is>
          <t>홀드</t>
        </is>
      </c>
      <c r="C256" s="23" t="inlineStr">
        <is>
          <t>DX3000</t>
        </is>
      </c>
      <c r="D256" s="23" t="inlineStr">
        <is>
          <t>스탠드 홀드 (메탈)</t>
        </is>
      </c>
      <c r="E256" s="23" t="inlineStr">
        <is>
          <t>스탠드홀드
[DX3000]</t>
        </is>
      </c>
      <c r="F256" s="24" t="inlineStr">
        <is>
          <t>O</t>
        </is>
      </c>
      <c r="G256" s="25" t="n"/>
      <c r="H256" s="26" t="n"/>
      <c r="I256" s="27">
        <f>IFERROR(IF(OR($F256="O",$G256="O",$H256="O"),CHOOSE(MATCH($A256,{"튜브","고압","진공","튜닝","조립","출하"},0),"T","H","V","N","A","P")&amp;IF($F256="O","R",IF($G256="O","A",IF($H256="O","F",""))),""),"")</f>
        <v/>
      </c>
      <c r="J256" s="15" t="inlineStr">
        <is>
          <t>O</t>
        </is>
      </c>
      <c r="K256" s="16" t="n"/>
      <c r="L256" s="17" t="n"/>
      <c r="M256" s="18" t="n"/>
      <c r="N256" s="19" t="n"/>
      <c r="O256" s="20" t="n"/>
      <c r="P256" s="21">
        <f>IF($I256="","",IF($J256="O","3","")&amp;IF($K256="O","4","")&amp;IF($L256="O","6","")&amp;IF($M256="O","7","")&amp;IF($N256="O","8","")&amp;IF($O256="O","?","")&amp;IF(OR($J256="O",$K256="O",$L256="O",$M256="O",$N256="O",$O256="O"),"-","")&amp;$I256)</f>
        <v/>
      </c>
      <c r="Q256" s="110">
        <f>HYPERLINK("#'마스터_품목'!A581","→ 마스터 R581")</f>
        <v/>
      </c>
      <c r="R256" s="111" t="n">
        <v>581</v>
      </c>
      <c r="S256" s="111" t="inlineStr">
        <is>
          <t>마스터_품목</t>
        </is>
      </c>
    </row>
    <row r="257" ht="48" customHeight="1">
      <c r="A257" s="29" t="inlineStr">
        <is>
          <t>출하</t>
        </is>
      </c>
      <c r="B257" s="22" t="inlineStr">
        <is>
          <t>홀드</t>
        </is>
      </c>
      <c r="C257" s="23" t="inlineStr">
        <is>
          <t>ADX4000W</t>
        </is>
      </c>
      <c r="D257" s="23" t="inlineStr">
        <is>
          <t>스탠드 홀드 (메탈)</t>
        </is>
      </c>
      <c r="E257" s="23" t="inlineStr">
        <is>
          <t>스탠드홀드 (은색)
[ADX4000W]</t>
        </is>
      </c>
      <c r="F257" s="24" t="inlineStr">
        <is>
          <t>O</t>
        </is>
      </c>
      <c r="G257" s="25" t="n"/>
      <c r="H257" s="26" t="n"/>
      <c r="I257" s="27">
        <f>IFERROR(IF(OR($F257="O",$G257="O",$H257="O"),CHOOSE(MATCH($A257,{"튜브","고압","진공","튜닝","조립","출하"},0),"T","H","V","N","A","P")&amp;IF($F257="O","R",IF($G257="O","A",IF($H257="O","F",""))),""),"")</f>
        <v/>
      </c>
      <c r="J257" s="15" t="n"/>
      <c r="K257" s="16" t="inlineStr">
        <is>
          <t>O</t>
        </is>
      </c>
      <c r="L257" s="17" t="n"/>
      <c r="M257" s="18" t="n"/>
      <c r="N257" s="19" t="n"/>
      <c r="O257" s="20" t="n"/>
      <c r="P257" s="21">
        <f>IF($I257="","",IF($J257="O","3","")&amp;IF($K257="O","4","")&amp;IF($L257="O","6","")&amp;IF($M257="O","7","")&amp;IF($N257="O","8","")&amp;IF($O257="O","?","")&amp;IF(OR($J257="O",$K257="O",$L257="O",$M257="O",$N257="O",$O257="O"),"-","")&amp;$I257)</f>
        <v/>
      </c>
      <c r="Q257" s="110">
        <f>HYPERLINK("#'마스터_품목'!A582","→ 마스터 R582")</f>
        <v/>
      </c>
      <c r="R257" s="111" t="n">
        <v>582</v>
      </c>
      <c r="S257" s="111" t="inlineStr">
        <is>
          <t>마스터_품목</t>
        </is>
      </c>
    </row>
    <row r="258" ht="48" customHeight="1">
      <c r="A258" s="29" t="inlineStr">
        <is>
          <t>출하</t>
        </is>
      </c>
      <c r="B258" s="22" t="inlineStr">
        <is>
          <t>홀드</t>
        </is>
      </c>
      <c r="C258" s="23" t="inlineStr">
        <is>
          <t>ADX4000W</t>
        </is>
      </c>
      <c r="D258" s="23" t="inlineStr">
        <is>
          <t>스탠드 홀드 브라켓 (흰색)</t>
        </is>
      </c>
      <c r="E258" s="23" t="inlineStr">
        <is>
          <t>스탠드홀드(신형) (흰색)
[ADX4000W]</t>
        </is>
      </c>
      <c r="F258" s="24" t="inlineStr">
        <is>
          <t>O</t>
        </is>
      </c>
      <c r="G258" s="25" t="n"/>
      <c r="H258" s="26" t="n"/>
      <c r="I258" s="27">
        <f>IFERROR(IF(OR($F258="O",$G258="O",$H258="O"),CHOOSE(MATCH($A258,{"튜브","고압","진공","튜닝","조립","출하"},0),"T","H","V","N","A","P")&amp;IF($F258="O","R",IF($G258="O","A",IF($H258="O","F",""))),""),"")</f>
        <v/>
      </c>
      <c r="J258" s="15" t="n"/>
      <c r="K258" s="16" t="inlineStr">
        <is>
          <t>O</t>
        </is>
      </c>
      <c r="L258" s="17" t="n"/>
      <c r="M258" s="18" t="n"/>
      <c r="N258" s="19" t="n"/>
      <c r="O258" s="20" t="n"/>
      <c r="P258" s="21">
        <f>IF($I258="","",IF($J258="O","3","")&amp;IF($K258="O","4","")&amp;IF($L258="O","6","")&amp;IF($M258="O","7","")&amp;IF($N258="O","8","")&amp;IF($O258="O","?","")&amp;IF(OR($J258="O",$K258="O",$L258="O",$M258="O",$N258="O",$O258="O"),"-","")&amp;$I258)</f>
        <v/>
      </c>
      <c r="Q258" s="110">
        <f>HYPERLINK("#'마스터_품목'!A583","→ 마스터 R583")</f>
        <v/>
      </c>
      <c r="R258" s="111" t="n">
        <v>583</v>
      </c>
      <c r="S258" s="111" t="inlineStr">
        <is>
          <t>마스터_품목</t>
        </is>
      </c>
    </row>
    <row r="259" ht="48" customHeight="1">
      <c r="A259" s="22" t="inlineStr">
        <is>
          <t>조립</t>
        </is>
      </c>
      <c r="B259" s="22" t="inlineStr">
        <is>
          <t>판넬</t>
        </is>
      </c>
      <c r="C259" s="23" t="inlineStr">
        <is>
          <t>COCOON</t>
        </is>
      </c>
      <c r="D259" s="23" t="inlineStr">
        <is>
          <t>OLED PANEL</t>
        </is>
      </c>
      <c r="E259" s="23" t="inlineStr">
        <is>
          <t>OLED PANEL (UG-5664ASWEF01)
[COCOON]</t>
        </is>
      </c>
      <c r="F259" s="24" t="inlineStr">
        <is>
          <t>O</t>
        </is>
      </c>
      <c r="G259" s="25" t="n"/>
      <c r="H259" s="26" t="n"/>
      <c r="I259" s="27">
        <f>IFERROR(IF(OR($F259="O",$G259="O",$H259="O"),CHOOSE(MATCH($A259,{"튜브","고압","진공","튜닝","조립","출하"},0),"T","H","V","N","A","P")&amp;IF($F259="O","R",IF($G259="O","A",IF($H259="O","F",""))),""),"")</f>
        <v/>
      </c>
      <c r="J259" s="15" t="n"/>
      <c r="K259" s="16" t="n"/>
      <c r="L259" s="17" t="n"/>
      <c r="M259" s="18" t="inlineStr">
        <is>
          <t>O</t>
        </is>
      </c>
      <c r="N259" s="19" t="n"/>
      <c r="O259" s="20" t="n"/>
      <c r="P259" s="21">
        <f>IF($I259="","",IF($J259="O","3","")&amp;IF($K259="O","4","")&amp;IF($L259="O","6","")&amp;IF($M259="O","7","")&amp;IF($N259="O","8","")&amp;IF($O259="O","?","")&amp;IF(OR($J259="O",$K259="O",$L259="O",$M259="O",$N259="O",$O259="O"),"-","")&amp;$I259)</f>
        <v/>
      </c>
      <c r="Q259" s="110">
        <f>HYPERLINK("#'마스터_품목'!A410","→ 마스터 R410")</f>
        <v/>
      </c>
      <c r="R259" s="111" t="n">
        <v>410</v>
      </c>
      <c r="S259" s="111" t="inlineStr">
        <is>
          <t>마스터_품목</t>
        </is>
      </c>
    </row>
    <row r="260" ht="48" customHeight="1">
      <c r="A260" s="22" t="inlineStr">
        <is>
          <t>조립</t>
        </is>
      </c>
      <c r="B260" s="22" t="inlineStr">
        <is>
          <t>판넬</t>
        </is>
      </c>
      <c r="C260" s="23" t="inlineStr">
        <is>
          <t>COCOON</t>
        </is>
      </c>
      <c r="D260" s="23" t="inlineStr">
        <is>
          <t>OLED GUIDE 사출</t>
        </is>
      </c>
      <c r="E260" s="23" t="inlineStr">
        <is>
          <t>OLED GUIDE (ABS 난연 화이트)
[COCOON]</t>
        </is>
      </c>
      <c r="F260" s="24" t="inlineStr">
        <is>
          <t>O</t>
        </is>
      </c>
      <c r="G260" s="25" t="n"/>
      <c r="H260" s="26" t="n"/>
      <c r="I260" s="27">
        <f>IFERROR(IF(OR($F260="O",$G260="O",$H260="O"),CHOOSE(MATCH($A260,{"튜브","고압","진공","튜닝","조립","출하"},0),"T","H","V","N","A","P")&amp;IF($F260="O","R",IF($G260="O","A",IF($H260="O","F",""))),""),"")</f>
        <v/>
      </c>
      <c r="J260" s="15" t="n"/>
      <c r="K260" s="16" t="n"/>
      <c r="L260" s="17" t="n"/>
      <c r="M260" s="18" t="inlineStr">
        <is>
          <t>O</t>
        </is>
      </c>
      <c r="N260" s="19" t="n"/>
      <c r="O260" s="20" t="n"/>
      <c r="P260" s="21">
        <f>IF($I260="","",IF($J260="O","3","")&amp;IF($K260="O","4","")&amp;IF($L260="O","6","")&amp;IF($M260="O","7","")&amp;IF($N260="O","8","")&amp;IF($O260="O","?","")&amp;IF(OR($J260="O",$K260="O",$L260="O",$M260="O",$N260="O",$O260="O"),"-","")&amp;$I260)</f>
        <v/>
      </c>
      <c r="Q260" s="110">
        <f>HYPERLINK("#'마스터_품목'!A411","→ 마스터 R411")</f>
        <v/>
      </c>
      <c r="R260" s="111" t="n">
        <v>411</v>
      </c>
      <c r="S260" s="111" t="inlineStr">
        <is>
          <t>마스터_품목</t>
        </is>
      </c>
    </row>
    <row r="261" ht="48" customHeight="1">
      <c r="A261" s="22" t="inlineStr">
        <is>
          <t>조립</t>
        </is>
      </c>
      <c r="B261" s="22" t="inlineStr">
        <is>
          <t>사출</t>
        </is>
      </c>
      <c r="C261" s="23" t="inlineStr">
        <is>
          <t>COCOON 
메탈 실버 유광</t>
        </is>
      </c>
      <c r="D261" s="23" t="inlineStr">
        <is>
          <t>TOP BODY 사출</t>
        </is>
      </c>
      <c r="E261" s="23" t="inlineStr">
        <is>
          <t>TOP BODY (메탈 실버 유광)
[COCOON]</t>
        </is>
      </c>
      <c r="F261" s="24" t="inlineStr">
        <is>
          <t>O</t>
        </is>
      </c>
      <c r="G261" s="25" t="n"/>
      <c r="H261" s="26" t="n"/>
      <c r="I261" s="27">
        <f>IFERROR(IF(OR($F261="O",$G261="O",$H261="O"),CHOOSE(MATCH($A261,{"튜브","고압","진공","튜닝","조립","출하"},0),"T","H","V","N","A","P")&amp;IF($F261="O","R",IF($G261="O","A",IF($H261="O","F",""))),""),"")</f>
        <v/>
      </c>
      <c r="J261" s="15" t="n"/>
      <c r="K261" s="16" t="n"/>
      <c r="L261" s="17" t="n"/>
      <c r="M261" s="18" t="inlineStr">
        <is>
          <t>O</t>
        </is>
      </c>
      <c r="N261" s="19" t="n"/>
      <c r="O261" s="20" t="n"/>
      <c r="P261" s="21">
        <f>IF($I261="","",IF($J261="O","3","")&amp;IF($K261="O","4","")&amp;IF($L261="O","6","")&amp;IF($M261="O","7","")&amp;IF($N261="O","8","")&amp;IF($O261="O","?","")&amp;IF(OR($J261="O",$K261="O",$L261="O",$M261="O",$N261="O",$O261="O"),"-","")&amp;$I261)</f>
        <v/>
      </c>
      <c r="Q261" s="110">
        <f>HYPERLINK("#'마스터_품목'!A412","→ 마스터 R412")</f>
        <v/>
      </c>
      <c r="R261" s="111" t="n">
        <v>412</v>
      </c>
      <c r="S261" s="111" t="inlineStr">
        <is>
          <t>마스터_품목</t>
        </is>
      </c>
    </row>
    <row r="262" ht="48" customHeight="1">
      <c r="A262" s="22" t="inlineStr">
        <is>
          <t>조립</t>
        </is>
      </c>
      <c r="B262" s="22" t="inlineStr">
        <is>
          <t>사출</t>
        </is>
      </c>
      <c r="C262" s="23" t="inlineStr">
        <is>
          <t>COCOON 
메탈 실버 유광</t>
        </is>
      </c>
      <c r="D262" s="23" t="inlineStr">
        <is>
          <t>TOP BODY 사출 (cocoon로고 없음)</t>
        </is>
      </c>
      <c r="E262" s="23" t="n"/>
      <c r="F262" s="24" t="inlineStr">
        <is>
          <t>O</t>
        </is>
      </c>
      <c r="G262" s="25" t="n"/>
      <c r="H262" s="26" t="n"/>
      <c r="I262" s="27">
        <f>IFERROR(IF(OR($F262="O",$G262="O",$H262="O"),CHOOSE(MATCH($A262,{"튜브","고압","진공","튜닝","조립","출하"},0),"T","H","V","N","A","P")&amp;IF($F262="O","R",IF($G262="O","A",IF($H262="O","F",""))),""),"")</f>
        <v/>
      </c>
      <c r="J262" s="15" t="n"/>
      <c r="K262" s="16" t="n"/>
      <c r="L262" s="17" t="n"/>
      <c r="M262" s="18" t="inlineStr">
        <is>
          <t>O</t>
        </is>
      </c>
      <c r="N262" s="19" t="n"/>
      <c r="O262" s="20" t="n"/>
      <c r="P262" s="21">
        <f>IF($I262="","",IF($J262="O","3","")&amp;IF($K262="O","4","")&amp;IF($L262="O","6","")&amp;IF($M262="O","7","")&amp;IF($N262="O","8","")&amp;IF($O262="O","?","")&amp;IF(OR($J262="O",$K262="O",$L262="O",$M262="O",$N262="O",$O262="O"),"-","")&amp;$I262)</f>
        <v/>
      </c>
      <c r="Q262" s="110">
        <f>HYPERLINK("#'마스터_품목'!A413","→ 마스터 R413")</f>
        <v/>
      </c>
      <c r="R262" s="111" t="n">
        <v>413</v>
      </c>
      <c r="S262" s="111" t="inlineStr">
        <is>
          <t>마스터_품목</t>
        </is>
      </c>
    </row>
    <row r="263" ht="48" customHeight="1">
      <c r="A263" s="22" t="inlineStr">
        <is>
          <t>조립</t>
        </is>
      </c>
      <c r="B263" s="22" t="inlineStr">
        <is>
          <t>사출</t>
        </is>
      </c>
      <c r="C263" s="23" t="inlineStr">
        <is>
          <t>COCOON
블랙 유광</t>
        </is>
      </c>
      <c r="D263" s="23" t="inlineStr">
        <is>
          <t>BOTTOM BODY 사출</t>
        </is>
      </c>
      <c r="E263" s="23" t="inlineStr">
        <is>
          <t>BOTTOM BODY (블랙 유광)
[COCOON]</t>
        </is>
      </c>
      <c r="F263" s="24" t="inlineStr">
        <is>
          <t>O</t>
        </is>
      </c>
      <c r="G263" s="25" t="n"/>
      <c r="H263" s="26" t="n"/>
      <c r="I263" s="27">
        <f>IFERROR(IF(OR($F263="O",$G263="O",$H263="O"),CHOOSE(MATCH($A263,{"튜브","고압","진공","튜닝","조립","출하"},0),"T","H","V","N","A","P")&amp;IF($F263="O","R",IF($G263="O","A",IF($H263="O","F",""))),""),"")</f>
        <v/>
      </c>
      <c r="J263" s="15" t="n"/>
      <c r="K263" s="16" t="n"/>
      <c r="L263" s="17" t="n"/>
      <c r="M263" s="18" t="inlineStr">
        <is>
          <t>O</t>
        </is>
      </c>
      <c r="N263" s="19" t="n"/>
      <c r="O263" s="20" t="n"/>
      <c r="P263" s="21">
        <f>IF($I263="","",IF($J263="O","3","")&amp;IF($K263="O","4","")&amp;IF($L263="O","6","")&amp;IF($M263="O","7","")&amp;IF($N263="O","8","")&amp;IF($O263="O","?","")&amp;IF(OR($J263="O",$K263="O",$L263="O",$M263="O",$N263="O",$O263="O"),"-","")&amp;$I263)</f>
        <v/>
      </c>
      <c r="Q263" s="110">
        <f>HYPERLINK("#'마스터_품목'!A414","→ 마스터 R414")</f>
        <v/>
      </c>
      <c r="R263" s="111" t="n">
        <v>414</v>
      </c>
      <c r="S263" s="111" t="inlineStr">
        <is>
          <t>마스터_품목</t>
        </is>
      </c>
    </row>
    <row r="264" ht="48" customHeight="1">
      <c r="A264" s="22" t="inlineStr">
        <is>
          <t>조립</t>
        </is>
      </c>
      <c r="B264" s="22" t="inlineStr">
        <is>
          <t>사출</t>
        </is>
      </c>
      <c r="C264" s="23" t="inlineStr">
        <is>
          <t>COCOON 
메탈 실버 유광</t>
        </is>
      </c>
      <c r="D264" s="23" t="inlineStr">
        <is>
          <t>POWER BUTTON 사출</t>
        </is>
      </c>
      <c r="E264" s="23" t="inlineStr">
        <is>
          <t>POWER BUTTON (메탈 실버 유광)
[COCOON]</t>
        </is>
      </c>
      <c r="F264" s="24" t="inlineStr">
        <is>
          <t>O</t>
        </is>
      </c>
      <c r="G264" s="25" t="n"/>
      <c r="H264" s="26" t="n"/>
      <c r="I264" s="27">
        <f>IFERROR(IF(OR($F264="O",$G264="O",$H264="O"),CHOOSE(MATCH($A264,{"튜브","고압","진공","튜닝","조립","출하"},0),"T","H","V","N","A","P")&amp;IF($F264="O","R",IF($G264="O","A",IF($H264="O","F",""))),""),"")</f>
        <v/>
      </c>
      <c r="J264" s="15" t="n"/>
      <c r="K264" s="16" t="n"/>
      <c r="L264" s="17" t="n"/>
      <c r="M264" s="18" t="inlineStr">
        <is>
          <t>O</t>
        </is>
      </c>
      <c r="N264" s="19" t="n"/>
      <c r="O264" s="20" t="n"/>
      <c r="P264" s="21">
        <f>IF($I264="","",IF($J264="O","3","")&amp;IF($K264="O","4","")&amp;IF($L264="O","6","")&amp;IF($M264="O","7","")&amp;IF($N264="O","8","")&amp;IF($O264="O","?","")&amp;IF(OR($J264="O",$K264="O",$L264="O",$M264="O",$N264="O",$O264="O"),"-","")&amp;$I264)</f>
        <v/>
      </c>
      <c r="Q264" s="110">
        <f>HYPERLINK("#'마스터_품목'!A415","→ 마스터 R415")</f>
        <v/>
      </c>
      <c r="R264" s="111" t="n">
        <v>415</v>
      </c>
      <c r="S264" s="111" t="inlineStr">
        <is>
          <t>마스터_품목</t>
        </is>
      </c>
    </row>
    <row r="265" ht="48" customHeight="1">
      <c r="A265" s="22" t="inlineStr">
        <is>
          <t>조립</t>
        </is>
      </c>
      <c r="B265" s="22" t="inlineStr">
        <is>
          <t>사출</t>
        </is>
      </c>
      <c r="C265" s="23" t="inlineStr">
        <is>
          <t>COCOON</t>
        </is>
      </c>
      <c r="D265" s="23" t="inlineStr">
        <is>
          <t>BUTTON INDICATOR</t>
        </is>
      </c>
      <c r="E265" s="23" t="inlineStr">
        <is>
          <t>BUTTON INDICATOR (ABS 난연 화이트)
[COCOON]</t>
        </is>
      </c>
      <c r="F265" s="24" t="inlineStr">
        <is>
          <t>O</t>
        </is>
      </c>
      <c r="G265" s="25" t="n"/>
      <c r="H265" s="26" t="n"/>
      <c r="I265" s="27">
        <f>IFERROR(IF(OR($F265="O",$G265="O",$H265="O"),CHOOSE(MATCH($A265,{"튜브","고압","진공","튜닝","조립","출하"},0),"T","H","V","N","A","P")&amp;IF($F265="O","R",IF($G265="O","A",IF($H265="O","F",""))),""),"")</f>
        <v/>
      </c>
      <c r="J265" s="15" t="n"/>
      <c r="K265" s="16" t="n"/>
      <c r="L265" s="17" t="n"/>
      <c r="M265" s="18" t="inlineStr">
        <is>
          <t>O</t>
        </is>
      </c>
      <c r="N265" s="19" t="n"/>
      <c r="O265" s="20" t="n"/>
      <c r="P265" s="21">
        <f>IF($I265="","",IF($J265="O","3","")&amp;IF($K265="O","4","")&amp;IF($L265="O","6","")&amp;IF($M265="O","7","")&amp;IF($N265="O","8","")&amp;IF($O265="O","?","")&amp;IF(OR($J265="O",$K265="O",$L265="O",$M265="O",$N265="O",$O265="O"),"-","")&amp;$I265)</f>
        <v/>
      </c>
      <c r="Q265" s="110">
        <f>HYPERLINK("#'마스터_품목'!A416","→ 마스터 R416")</f>
        <v/>
      </c>
      <c r="R265" s="111" t="n">
        <v>416</v>
      </c>
      <c r="S265" s="111" t="inlineStr">
        <is>
          <t>마스터_품목</t>
        </is>
      </c>
    </row>
    <row r="266" ht="48" customHeight="1">
      <c r="A266" s="22" t="inlineStr">
        <is>
          <t>조립</t>
        </is>
      </c>
      <c r="B266" s="22" t="inlineStr">
        <is>
          <t>사출</t>
        </is>
      </c>
      <c r="C266" s="23" t="inlineStr">
        <is>
          <t>COCOON</t>
        </is>
      </c>
      <c r="D266" s="23" t="inlineStr">
        <is>
          <t>TOUCH DUMMY</t>
        </is>
      </c>
      <c r="E266" s="23" t="inlineStr">
        <is>
          <t>TOUCH DUMMY (확산 아크릴)
[COCOON]</t>
        </is>
      </c>
      <c r="F266" s="24" t="inlineStr">
        <is>
          <t>O</t>
        </is>
      </c>
      <c r="G266" s="25" t="n"/>
      <c r="H266" s="26" t="n"/>
      <c r="I266" s="27">
        <f>IFERROR(IF(OR($F266="O",$G266="O",$H266="O"),CHOOSE(MATCH($A266,{"튜브","고압","진공","튜닝","조립","출하"},0),"T","H","V","N","A","P")&amp;IF($F266="O","R",IF($G266="O","A",IF($H266="O","F",""))),""),"")</f>
        <v/>
      </c>
      <c r="J266" s="15" t="n"/>
      <c r="K266" s="16" t="n"/>
      <c r="L266" s="17" t="n"/>
      <c r="M266" s="18" t="inlineStr">
        <is>
          <t>O</t>
        </is>
      </c>
      <c r="N266" s="19" t="n"/>
      <c r="O266" s="20" t="n"/>
      <c r="P266" s="21">
        <f>IF($I266="","",IF($J266="O","3","")&amp;IF($K266="O","4","")&amp;IF($L266="O","6","")&amp;IF($M266="O","7","")&amp;IF($N266="O","8","")&amp;IF($O266="O","?","")&amp;IF(OR($J266="O",$K266="O",$L266="O",$M266="O",$N266="O",$O266="O"),"-","")&amp;$I266)</f>
        <v/>
      </c>
      <c r="Q266" s="110">
        <f>HYPERLINK("#'마스터_품목'!A417","→ 마스터 R417")</f>
        <v/>
      </c>
      <c r="R266" s="111" t="n">
        <v>417</v>
      </c>
      <c r="S266" s="111" t="inlineStr">
        <is>
          <t>마스터_품목</t>
        </is>
      </c>
    </row>
    <row r="267" ht="48" customHeight="1">
      <c r="A267" s="22" t="inlineStr">
        <is>
          <t>조립</t>
        </is>
      </c>
      <c r="B267" s="22" t="inlineStr">
        <is>
          <t>사출</t>
        </is>
      </c>
      <c r="C267" s="23" t="inlineStr">
        <is>
          <t>COCOON</t>
        </is>
      </c>
      <c r="D267" s="23" t="inlineStr">
        <is>
          <t>D링 고리</t>
        </is>
      </c>
      <c r="E267" s="23" t="inlineStr">
        <is>
          <t>고리 (니켈 도금 D링)
[COCOON]</t>
        </is>
      </c>
      <c r="F267" s="24" t="inlineStr">
        <is>
          <t>O</t>
        </is>
      </c>
      <c r="G267" s="25" t="n"/>
      <c r="H267" s="26" t="n"/>
      <c r="I267" s="27">
        <f>IFERROR(IF(OR($F267="O",$G267="O",$H267="O"),CHOOSE(MATCH($A267,{"튜브","고압","진공","튜닝","조립","출하"},0),"T","H","V","N","A","P")&amp;IF($F267="O","R",IF($G267="O","A",IF($H267="O","F",""))),""),"")</f>
        <v/>
      </c>
      <c r="J267" s="15" t="n"/>
      <c r="K267" s="16" t="n"/>
      <c r="L267" s="17" t="n"/>
      <c r="M267" s="18" t="inlineStr">
        <is>
          <t>O</t>
        </is>
      </c>
      <c r="N267" s="19" t="n"/>
      <c r="O267" s="20" t="n"/>
      <c r="P267" s="21">
        <f>IF($I267="","",IF($J267="O","3","")&amp;IF($K267="O","4","")&amp;IF($L267="O","6","")&amp;IF($M267="O","7","")&amp;IF($N267="O","8","")&amp;IF($O267="O","?","")&amp;IF(OR($J267="O",$K267="O",$L267="O",$M267="O",$N267="O",$O267="O"),"-","")&amp;$I267)</f>
        <v/>
      </c>
      <c r="Q267" s="110">
        <f>HYPERLINK("#'마스터_품목'!A418","→ 마스터 R418")</f>
        <v/>
      </c>
      <c r="R267" s="111" t="n">
        <v>418</v>
      </c>
      <c r="S267" s="111" t="inlineStr">
        <is>
          <t>마스터_품목</t>
        </is>
      </c>
    </row>
    <row r="268" ht="48" customHeight="1">
      <c r="A268" s="22" t="inlineStr">
        <is>
          <t>조립</t>
        </is>
      </c>
      <c r="B268" s="22" t="inlineStr">
        <is>
          <t>사출</t>
        </is>
      </c>
      <c r="C268" s="23" t="inlineStr">
        <is>
          <t>COCOON 
메탈 실버</t>
        </is>
      </c>
      <c r="D268" s="23" t="inlineStr">
        <is>
          <t>LOCK KNOB</t>
        </is>
      </c>
      <c r="E268" s="23" t="inlineStr">
        <is>
          <t>LOCK KNOB (메탈 실버 유광)
[COCOON]</t>
        </is>
      </c>
      <c r="F268" s="24" t="inlineStr">
        <is>
          <t>O</t>
        </is>
      </c>
      <c r="G268" s="25" t="n"/>
      <c r="H268" s="26" t="n"/>
      <c r="I268" s="27">
        <f>IFERROR(IF(OR($F268="O",$G268="O",$H268="O"),CHOOSE(MATCH($A268,{"튜브","고압","진공","튜닝","조립","출하"},0),"T","H","V","N","A","P")&amp;IF($F268="O","R",IF($G268="O","A",IF($H268="O","F",""))),""),"")</f>
        <v/>
      </c>
      <c r="J268" s="15" t="n"/>
      <c r="K268" s="16" t="n"/>
      <c r="L268" s="17" t="n"/>
      <c r="M268" s="18" t="inlineStr">
        <is>
          <t>O</t>
        </is>
      </c>
      <c r="N268" s="19" t="n"/>
      <c r="O268" s="20" t="n"/>
      <c r="P268" s="21">
        <f>IF($I268="","",IF($J268="O","3","")&amp;IF($K268="O","4","")&amp;IF($L268="O","6","")&amp;IF($M268="O","7","")&amp;IF($N268="O","8","")&amp;IF($O268="O","?","")&amp;IF(OR($J268="O",$K268="O",$L268="O",$M268="O",$N268="O",$O268="O"),"-","")&amp;$I268)</f>
        <v/>
      </c>
      <c r="Q268" s="110">
        <f>HYPERLINK("#'마스터_품목'!A419","→ 마스터 R419")</f>
        <v/>
      </c>
      <c r="R268" s="111" t="n">
        <v>419</v>
      </c>
      <c r="S268" s="111" t="inlineStr">
        <is>
          <t>마스터_품목</t>
        </is>
      </c>
    </row>
    <row r="269" ht="48" customHeight="1">
      <c r="A269" s="22" t="inlineStr">
        <is>
          <t>조립</t>
        </is>
      </c>
      <c r="B269" s="22" t="inlineStr">
        <is>
          <t>사출</t>
        </is>
      </c>
      <c r="C269" s="23" t="inlineStr">
        <is>
          <t>COCOON 
메탈 실버</t>
        </is>
      </c>
      <c r="D269" s="23" t="inlineStr">
        <is>
          <t>LOCK INNER</t>
        </is>
      </c>
      <c r="E269" s="23" t="inlineStr">
        <is>
          <t>LOCK INNER (메탈 실버)
[COCOON]</t>
        </is>
      </c>
      <c r="F269" s="24" t="inlineStr">
        <is>
          <t>O</t>
        </is>
      </c>
      <c r="G269" s="25" t="n"/>
      <c r="H269" s="26" t="n"/>
      <c r="I269" s="27">
        <f>IFERROR(IF(OR($F269="O",$G269="O",$H269="O"),CHOOSE(MATCH($A269,{"튜브","고압","진공","튜닝","조립","출하"},0),"T","H","V","N","A","P")&amp;IF($F269="O","R",IF($G269="O","A",IF($H269="O","F",""))),""),"")</f>
        <v/>
      </c>
      <c r="J269" s="15" t="n"/>
      <c r="K269" s="16" t="n"/>
      <c r="L269" s="17" t="n"/>
      <c r="M269" s="18" t="inlineStr">
        <is>
          <t>O</t>
        </is>
      </c>
      <c r="N269" s="19" t="n"/>
      <c r="O269" s="20" t="n"/>
      <c r="P269" s="21">
        <f>IF($I269="","",IF($J269="O","3","")&amp;IF($K269="O","4","")&amp;IF($L269="O","6","")&amp;IF($M269="O","7","")&amp;IF($N269="O","8","")&amp;IF($O269="O","?","")&amp;IF(OR($J269="O",$K269="O",$L269="O",$M269="O",$N269="O",$O269="O"),"-","")&amp;$I269)</f>
        <v/>
      </c>
      <c r="Q269" s="110">
        <f>HYPERLINK("#'마스터_품목'!A420","→ 마스터 R420")</f>
        <v/>
      </c>
      <c r="R269" s="111" t="n">
        <v>420</v>
      </c>
      <c r="S269" s="111" t="inlineStr">
        <is>
          <t>마스터_품목</t>
        </is>
      </c>
    </row>
    <row r="270" ht="48" customHeight="1">
      <c r="A270" s="22" t="inlineStr">
        <is>
          <t>조립</t>
        </is>
      </c>
      <c r="B270" s="22" t="inlineStr">
        <is>
          <t>손잡이</t>
        </is>
      </c>
      <c r="C270" s="23" t="inlineStr">
        <is>
          <t>COCOON 
메탈 실버 유광</t>
        </is>
      </c>
      <c r="D270" s="23" t="inlineStr">
        <is>
          <t>HAND BODY 사출</t>
        </is>
      </c>
      <c r="E270" s="23" t="inlineStr">
        <is>
          <t>HAND BODY (메탈 실버 유광)
[COCOON]</t>
        </is>
      </c>
      <c r="F270" s="24" t="inlineStr">
        <is>
          <t>O</t>
        </is>
      </c>
      <c r="G270" s="25" t="n"/>
      <c r="H270" s="26" t="n"/>
      <c r="I270" s="27">
        <f>IFERROR(IF(OR($F270="O",$G270="O",$H270="O"),CHOOSE(MATCH($A270,{"튜브","고압","진공","튜닝","조립","출하"},0),"T","H","V","N","A","P")&amp;IF($F270="O","R",IF($G270="O","A",IF($H270="O","F",""))),""),"")</f>
        <v/>
      </c>
      <c r="J270" s="15" t="n"/>
      <c r="K270" s="16" t="n"/>
      <c r="L270" s="17" t="n"/>
      <c r="M270" s="18" t="inlineStr">
        <is>
          <t>O</t>
        </is>
      </c>
      <c r="N270" s="19" t="n"/>
      <c r="O270" s="20" t="n"/>
      <c r="P270" s="21">
        <f>IF($I270="","",IF($J270="O","3","")&amp;IF($K270="O","4","")&amp;IF($L270="O","6","")&amp;IF($M270="O","7","")&amp;IF($N270="O","8","")&amp;IF($O270="O","?","")&amp;IF(OR($J270="O",$K270="O",$L270="O",$M270="O",$N270="O",$O270="O"),"-","")&amp;$I270)</f>
        <v/>
      </c>
      <c r="Q270" s="110">
        <f>HYPERLINK("#'마스터_품목'!A421","→ 마스터 R421")</f>
        <v/>
      </c>
      <c r="R270" s="111" t="n">
        <v>421</v>
      </c>
      <c r="S270" s="111" t="inlineStr">
        <is>
          <t>마스터_품목</t>
        </is>
      </c>
    </row>
    <row r="271" ht="48" customHeight="1">
      <c r="A271" s="22" t="inlineStr">
        <is>
          <t>조립</t>
        </is>
      </c>
      <c r="B271" s="22" t="inlineStr">
        <is>
          <t>손잡이</t>
        </is>
      </c>
      <c r="C271" s="23" t="inlineStr">
        <is>
          <t>COCOON 
메탈 실버</t>
        </is>
      </c>
      <c r="D271" s="23" t="inlineStr">
        <is>
          <t>HAND TOP COVER 사출</t>
        </is>
      </c>
      <c r="E271" s="23" t="inlineStr">
        <is>
          <t>HAND TOP COVER (메탈 실버)
[COCOON]</t>
        </is>
      </c>
      <c r="F271" s="24" t="inlineStr">
        <is>
          <t>O</t>
        </is>
      </c>
      <c r="G271" s="25" t="n"/>
      <c r="H271" s="26" t="n"/>
      <c r="I271" s="27">
        <f>IFERROR(IF(OR($F271="O",$G271="O",$H271="O"),CHOOSE(MATCH($A271,{"튜브","고압","진공","튜닝","조립","출하"},0),"T","H","V","N","A","P")&amp;IF($F271="O","R",IF($G271="O","A",IF($H271="O","F",""))),""),"")</f>
        <v/>
      </c>
      <c r="J271" s="15" t="n"/>
      <c r="K271" s="16" t="n"/>
      <c r="L271" s="17" t="n"/>
      <c r="M271" s="18" t="inlineStr">
        <is>
          <t>O</t>
        </is>
      </c>
      <c r="N271" s="19" t="n"/>
      <c r="O271" s="20" t="n"/>
      <c r="P271" s="21">
        <f>IF($I271="","",IF($J271="O","3","")&amp;IF($K271="O","4","")&amp;IF($L271="O","6","")&amp;IF($M271="O","7","")&amp;IF($N271="O","8","")&amp;IF($O271="O","?","")&amp;IF(OR($J271="O",$K271="O",$L271="O",$M271="O",$N271="O",$O271="O"),"-","")&amp;$I271)</f>
        <v/>
      </c>
      <c r="Q271" s="110">
        <f>HYPERLINK("#'마스터_품목'!A422","→ 마스터 R422")</f>
        <v/>
      </c>
      <c r="R271" s="111" t="n">
        <v>422</v>
      </c>
      <c r="S271" s="111" t="inlineStr">
        <is>
          <t>마스터_품목</t>
        </is>
      </c>
    </row>
    <row r="272" ht="48" customHeight="1">
      <c r="A272" s="22" t="inlineStr">
        <is>
          <t>조립</t>
        </is>
      </c>
      <c r="B272" s="22" t="inlineStr">
        <is>
          <t>손잡이</t>
        </is>
      </c>
      <c r="C272" s="23" t="inlineStr">
        <is>
          <t>COCOON</t>
        </is>
      </c>
      <c r="D272" s="23" t="inlineStr">
        <is>
          <t>SHOT BUTTON 사출</t>
        </is>
      </c>
      <c r="E272" s="23" t="inlineStr">
        <is>
          <t>SHOT BUTTON (ABS 난연 화이트 + 오렌지 유광)
[COCOON]</t>
        </is>
      </c>
      <c r="F272" s="24" t="inlineStr">
        <is>
          <t>O</t>
        </is>
      </c>
      <c r="G272" s="25" t="n"/>
      <c r="H272" s="26" t="n"/>
      <c r="I272" s="27">
        <f>IFERROR(IF(OR($F272="O",$G272="O",$H272="O"),CHOOSE(MATCH($A272,{"튜브","고압","진공","튜닝","조립","출하"},0),"T","H","V","N","A","P")&amp;IF($F272="O","R",IF($G272="O","A",IF($H272="O","F",""))),""),"")</f>
        <v/>
      </c>
      <c r="J272" s="15" t="n"/>
      <c r="K272" s="16" t="n"/>
      <c r="L272" s="17" t="n"/>
      <c r="M272" s="18" t="inlineStr">
        <is>
          <t>O</t>
        </is>
      </c>
      <c r="N272" s="19" t="n"/>
      <c r="O272" s="20" t="n"/>
      <c r="P272" s="21">
        <f>IF($I272="","",IF($J272="O","3","")&amp;IF($K272="O","4","")&amp;IF($L272="O","6","")&amp;IF($M272="O","7","")&amp;IF($N272="O","8","")&amp;IF($O272="O","?","")&amp;IF(OR($J272="O",$K272="O",$L272="O",$M272="O",$N272="O",$O272="O"),"-","")&amp;$I272)</f>
        <v/>
      </c>
      <c r="Q272" s="110">
        <f>HYPERLINK("#'마스터_품목'!A423","→ 마스터 R423")</f>
        <v/>
      </c>
      <c r="R272" s="111" t="n">
        <v>423</v>
      </c>
      <c r="S272" s="111" t="inlineStr">
        <is>
          <t>마스터_품목</t>
        </is>
      </c>
    </row>
    <row r="273" ht="48" customHeight="1">
      <c r="A273" s="22" t="inlineStr">
        <is>
          <t>조립</t>
        </is>
      </c>
      <c r="B273" s="22" t="inlineStr">
        <is>
          <t>손잡이</t>
        </is>
      </c>
      <c r="C273" s="23" t="inlineStr">
        <is>
          <t>COCOON</t>
        </is>
      </c>
      <c r="D273" s="23" t="inlineStr">
        <is>
          <t>SHOT PCB GUIDE 사출</t>
        </is>
      </c>
      <c r="E273" s="23" t="inlineStr">
        <is>
          <t>SHOT PCB GUIDE (ABS 난연 화이트)
[COCOON]</t>
        </is>
      </c>
      <c r="F273" s="24" t="inlineStr">
        <is>
          <t>O</t>
        </is>
      </c>
      <c r="G273" s="25" t="n"/>
      <c r="H273" s="26" t="n"/>
      <c r="I273" s="27">
        <f>IFERROR(IF(OR($F273="O",$G273="O",$H273="O"),CHOOSE(MATCH($A273,{"튜브","고압","진공","튜닝","조립","출하"},0),"T","H","V","N","A","P")&amp;IF($F273="O","R",IF($G273="O","A",IF($H273="O","F",""))),""),"")</f>
        <v/>
      </c>
      <c r="J273" s="15" t="n"/>
      <c r="K273" s="16" t="n"/>
      <c r="L273" s="17" t="n"/>
      <c r="M273" s="18" t="inlineStr">
        <is>
          <t>O</t>
        </is>
      </c>
      <c r="N273" s="19" t="n"/>
      <c r="O273" s="20" t="n"/>
      <c r="P273" s="21">
        <f>IF($I273="","",IF($J273="O","3","")&amp;IF($K273="O","4","")&amp;IF($L273="O","6","")&amp;IF($M273="O","7","")&amp;IF($N273="O","8","")&amp;IF($O273="O","?","")&amp;IF(OR($J273="O",$K273="O",$L273="O",$M273="O",$N273="O",$O273="O"),"-","")&amp;$I273)</f>
        <v/>
      </c>
      <c r="Q273" s="110">
        <f>HYPERLINK("#'마스터_품목'!A424","→ 마스터 R424")</f>
        <v/>
      </c>
      <c r="R273" s="111" t="n">
        <v>424</v>
      </c>
      <c r="S273" s="111" t="inlineStr">
        <is>
          <t>마스터_품목</t>
        </is>
      </c>
    </row>
    <row r="274" ht="48" customHeight="1">
      <c r="A274" s="22" t="inlineStr">
        <is>
          <t>조립</t>
        </is>
      </c>
      <c r="B274" s="22" t="inlineStr">
        <is>
          <t>손잡이</t>
        </is>
      </c>
      <c r="C274" s="23" t="inlineStr">
        <is>
          <t>COCOON
레드 유광</t>
        </is>
      </c>
      <c r="D274" s="23" t="inlineStr">
        <is>
          <t>SLIDE SWITCH 사출</t>
        </is>
      </c>
      <c r="E274" s="23" t="inlineStr">
        <is>
          <t>SLIDE SWITCH (ABS 난연 화이트 + 레드 유광)
[COCOON]</t>
        </is>
      </c>
      <c r="F274" s="24" t="inlineStr">
        <is>
          <t>O</t>
        </is>
      </c>
      <c r="G274" s="25" t="n"/>
      <c r="H274" s="26" t="n"/>
      <c r="I274" s="27">
        <f>IFERROR(IF(OR($F274="O",$G274="O",$H274="O"),CHOOSE(MATCH($A274,{"튜브","고압","진공","튜닝","조립","출하"},0),"T","H","V","N","A","P")&amp;IF($F274="O","R",IF($G274="O","A",IF($H274="O","F",""))),""),"")</f>
        <v/>
      </c>
      <c r="J274" s="15" t="n"/>
      <c r="K274" s="16" t="n"/>
      <c r="L274" s="17" t="n"/>
      <c r="M274" s="18" t="inlineStr">
        <is>
          <t>O</t>
        </is>
      </c>
      <c r="N274" s="19" t="n"/>
      <c r="O274" s="20" t="n"/>
      <c r="P274" s="21">
        <f>IF($I274="","",IF($J274="O","3","")&amp;IF($K274="O","4","")&amp;IF($L274="O","6","")&amp;IF($M274="O","7","")&amp;IF($N274="O","8","")&amp;IF($O274="O","?","")&amp;IF(OR($J274="O",$K274="O",$L274="O",$M274="O",$N274="O",$O274="O"),"-","")&amp;$I274)</f>
        <v/>
      </c>
      <c r="Q274" s="110">
        <f>HYPERLINK("#'마스터_품목'!A425","→ 마스터 R425")</f>
        <v/>
      </c>
      <c r="R274" s="111" t="n">
        <v>425</v>
      </c>
      <c r="S274" s="111" t="inlineStr">
        <is>
          <t>마스터_품목</t>
        </is>
      </c>
    </row>
    <row r="275" ht="48" customHeight="1">
      <c r="A275" s="22" t="inlineStr">
        <is>
          <t>조립</t>
        </is>
      </c>
      <c r="B275" s="22" t="inlineStr">
        <is>
          <t>손잡이</t>
        </is>
      </c>
      <c r="C275" s="23" t="inlineStr">
        <is>
          <t>COCOON
레드 유광</t>
        </is>
      </c>
      <c r="D275" s="23" t="inlineStr">
        <is>
          <t>SLIDE CAP</t>
        </is>
      </c>
      <c r="E275" s="23" t="inlineStr">
        <is>
          <t>SLIDE CAP (ABS 난연 화이트 + 레드 유광)
[COCOON]</t>
        </is>
      </c>
      <c r="F275" s="24" t="inlineStr">
        <is>
          <t>O</t>
        </is>
      </c>
      <c r="G275" s="25" t="n"/>
      <c r="H275" s="26" t="n"/>
      <c r="I275" s="27">
        <f>IFERROR(IF(OR($F275="O",$G275="O",$H275="O"),CHOOSE(MATCH($A275,{"튜브","고압","진공","튜닝","조립","출하"},0),"T","H","V","N","A","P")&amp;IF($F275="O","R",IF($G275="O","A",IF($H275="O","F",""))),""),"")</f>
        <v/>
      </c>
      <c r="J275" s="15" t="n"/>
      <c r="K275" s="16" t="n"/>
      <c r="L275" s="17" t="n"/>
      <c r="M275" s="18" t="inlineStr">
        <is>
          <t>O</t>
        </is>
      </c>
      <c r="N275" s="19" t="n"/>
      <c r="O275" s="20" t="n"/>
      <c r="P275" s="21">
        <f>IF($I275="","",IF($J275="O","3","")&amp;IF($K275="O","4","")&amp;IF($L275="O","6","")&amp;IF($M275="O","7","")&amp;IF($N275="O","8","")&amp;IF($O275="O","?","")&amp;IF(OR($J275="O",$K275="O",$L275="O",$M275="O",$N275="O",$O275="O"),"-","")&amp;$I275)</f>
        <v/>
      </c>
      <c r="Q275" s="110">
        <f>HYPERLINK("#'마스터_품목'!A426","→ 마스터 R426")</f>
        <v/>
      </c>
      <c r="R275" s="111" t="n">
        <v>426</v>
      </c>
      <c r="S275" s="111" t="inlineStr">
        <is>
          <t>마스터_품목</t>
        </is>
      </c>
    </row>
    <row r="276" ht="48" customHeight="1">
      <c r="A276" s="22" t="inlineStr">
        <is>
          <t>조립</t>
        </is>
      </c>
      <c r="B276" s="22" t="inlineStr">
        <is>
          <t>손잡이</t>
        </is>
      </c>
      <c r="C276" s="23" t="inlineStr">
        <is>
          <t>COCOON 
 블랙 유광</t>
        </is>
      </c>
      <c r="D276" s="23" t="inlineStr">
        <is>
          <t>BAT BOTTOM</t>
        </is>
      </c>
      <c r="E276" s="23" t="inlineStr">
        <is>
          <t>BAT BOTTOM (블랙 유광)
[COCOON]</t>
        </is>
      </c>
      <c r="F276" s="24" t="inlineStr">
        <is>
          <t>O</t>
        </is>
      </c>
      <c r="G276" s="25" t="n"/>
      <c r="H276" s="26" t="n"/>
      <c r="I276" s="27">
        <f>IFERROR(IF(OR($F276="O",$G276="O",$H276="O"),CHOOSE(MATCH($A276,{"튜브","고압","진공","튜닝","조립","출하"},0),"T","H","V","N","A","P")&amp;IF($F276="O","R",IF($G276="O","A",IF($H276="O","F",""))),""),"")</f>
        <v/>
      </c>
      <c r="J276" s="15" t="n"/>
      <c r="K276" s="16" t="n"/>
      <c r="L276" s="17" t="n"/>
      <c r="M276" s="18" t="inlineStr">
        <is>
          <t>O</t>
        </is>
      </c>
      <c r="N276" s="19" t="n"/>
      <c r="O276" s="20" t="n"/>
      <c r="P276" s="21">
        <f>IF($I276="","",IF($J276="O","3","")&amp;IF($K276="O","4","")&amp;IF($L276="O","6","")&amp;IF($M276="O","7","")&amp;IF($N276="O","8","")&amp;IF($O276="O","?","")&amp;IF(OR($J276="O",$K276="O",$L276="O",$M276="O",$N276="O",$O276="O"),"-","")&amp;$I276)</f>
        <v/>
      </c>
      <c r="Q276" s="110">
        <f>HYPERLINK("#'마스터_품목'!A427","→ 마스터 R427")</f>
        <v/>
      </c>
      <c r="R276" s="111" t="n">
        <v>427</v>
      </c>
      <c r="S276" s="111" t="inlineStr">
        <is>
          <t>마스터_품목</t>
        </is>
      </c>
    </row>
    <row r="277" ht="48" customHeight="1">
      <c r="A277" s="22" t="inlineStr">
        <is>
          <t>조립</t>
        </is>
      </c>
      <c r="B277" s="22" t="inlineStr">
        <is>
          <t>손잡이</t>
        </is>
      </c>
      <c r="C277" s="23" t="inlineStr">
        <is>
          <t>COCOON</t>
        </is>
      </c>
      <c r="D277" s="23" t="inlineStr">
        <is>
          <t>EXP BUTTON 스프링</t>
        </is>
      </c>
      <c r="E277" s="23" t="inlineStr">
        <is>
          <t>EXP BUTTON 스프링 (스프링)
[COCOON]</t>
        </is>
      </c>
      <c r="F277" s="24" t="inlineStr">
        <is>
          <t>O</t>
        </is>
      </c>
      <c r="G277" s="25" t="n"/>
      <c r="H277" s="26" t="n"/>
      <c r="I277" s="27">
        <f>IFERROR(IF(OR($F277="O",$G277="O",$H277="O"),CHOOSE(MATCH($A277,{"튜브","고압","진공","튜닝","조립","출하"},0),"T","H","V","N","A","P")&amp;IF($F277="O","R",IF($G277="O","A",IF($H277="O","F",""))),""),"")</f>
        <v/>
      </c>
      <c r="J277" s="15" t="n"/>
      <c r="K277" s="16" t="n"/>
      <c r="L277" s="17" t="n"/>
      <c r="M277" s="18" t="inlineStr">
        <is>
          <t>O</t>
        </is>
      </c>
      <c r="N277" s="19" t="n"/>
      <c r="O277" s="20" t="n"/>
      <c r="P277" s="21">
        <f>IF($I277="","",IF($J277="O","3","")&amp;IF($K277="O","4","")&amp;IF($L277="O","6","")&amp;IF($M277="O","7","")&amp;IF($N277="O","8","")&amp;IF($O277="O","?","")&amp;IF(OR($J277="O",$K277="O",$L277="O",$M277="O",$N277="O",$O277="O"),"-","")&amp;$I277)</f>
        <v/>
      </c>
      <c r="Q277" s="110">
        <f>HYPERLINK("#'마스터_품목'!A428","→ 마스터 R428")</f>
        <v/>
      </c>
      <c r="R277" s="111" t="n">
        <v>428</v>
      </c>
      <c r="S277" s="111" t="inlineStr">
        <is>
          <t>마스터_품목</t>
        </is>
      </c>
    </row>
    <row r="278" ht="48" customHeight="1">
      <c r="A278" s="22" t="inlineStr">
        <is>
          <t>조립</t>
        </is>
      </c>
      <c r="B278" s="22" t="inlineStr">
        <is>
          <t>손잡이</t>
        </is>
      </c>
      <c r="C278" s="23" t="inlineStr">
        <is>
          <t>COCOON</t>
        </is>
      </c>
      <c r="D278" s="23" t="inlineStr">
        <is>
          <t>BAT BOTTOM RUBBER</t>
        </is>
      </c>
      <c r="E278" s="23" t="inlineStr">
        <is>
          <t>BAT BOTTOM RUBBER (RUBBER)
[COCOON]</t>
        </is>
      </c>
      <c r="F278" s="24" t="inlineStr">
        <is>
          <t>O</t>
        </is>
      </c>
      <c r="G278" s="25" t="n"/>
      <c r="H278" s="26" t="n"/>
      <c r="I278" s="27">
        <f>IFERROR(IF(OR($F278="O",$G278="O",$H278="O"),CHOOSE(MATCH($A278,{"튜브","고압","진공","튜닝","조립","출하"},0),"T","H","V","N","A","P")&amp;IF($F278="O","R",IF($G278="O","A",IF($H278="O","F",""))),""),"")</f>
        <v/>
      </c>
      <c r="J278" s="15" t="n"/>
      <c r="K278" s="16" t="n"/>
      <c r="L278" s="17" t="n"/>
      <c r="M278" s="18" t="inlineStr">
        <is>
          <t>O</t>
        </is>
      </c>
      <c r="N278" s="19" t="n"/>
      <c r="O278" s="20" t="n"/>
      <c r="P278" s="21">
        <f>IF($I278="","",IF($J278="O","3","")&amp;IF($K278="O","4","")&amp;IF($L278="O","6","")&amp;IF($M278="O","7","")&amp;IF($N278="O","8","")&amp;IF($O278="O","?","")&amp;IF(OR($J278="O",$K278="O",$L278="O",$M278="O",$N278="O",$O278="O"),"-","")&amp;$I278)</f>
        <v/>
      </c>
      <c r="Q278" s="110">
        <f>HYPERLINK("#'마스터_품목'!A429","→ 마스터 R429")</f>
        <v/>
      </c>
      <c r="R278" s="111" t="n">
        <v>429</v>
      </c>
      <c r="S278" s="111" t="inlineStr">
        <is>
          <t>마스터_품목</t>
        </is>
      </c>
    </row>
    <row r="279" ht="48" customHeight="1">
      <c r="A279" s="22" t="inlineStr">
        <is>
          <t>조립</t>
        </is>
      </c>
      <c r="B279" s="22" t="inlineStr">
        <is>
          <t>손잡이</t>
        </is>
      </c>
      <c r="C279" s="23" t="inlineStr">
        <is>
          <t>COCOON</t>
        </is>
      </c>
      <c r="D279" s="23" t="inlineStr">
        <is>
          <t>내부 배터리 [PF605060HP]</t>
        </is>
      </c>
      <c r="E279" s="23" t="inlineStr">
        <is>
          <t>내부 배터리 (PF605060HP)
[COCOON]</t>
        </is>
      </c>
      <c r="F279" s="24" t="inlineStr">
        <is>
          <t>O</t>
        </is>
      </c>
      <c r="G279" s="25" t="n"/>
      <c r="H279" s="26" t="n"/>
      <c r="I279" s="27">
        <f>IFERROR(IF(OR($F279="O",$G279="O",$H279="O"),CHOOSE(MATCH($A279,{"튜브","고압","진공","튜닝","조립","출하"},0),"T","H","V","N","A","P")&amp;IF($F279="O","R",IF($G279="O","A",IF($H279="O","F",""))),""),"")</f>
        <v/>
      </c>
      <c r="J279" s="15" t="n"/>
      <c r="K279" s="16" t="n"/>
      <c r="L279" s="17" t="n"/>
      <c r="M279" s="18" t="inlineStr">
        <is>
          <t>O</t>
        </is>
      </c>
      <c r="N279" s="19" t="n"/>
      <c r="O279" s="20" t="n"/>
      <c r="P279" s="21">
        <f>IF($I279="","",IF($J279="O","3","")&amp;IF($K279="O","4","")&amp;IF($L279="O","6","")&amp;IF($M279="O","7","")&amp;IF($N279="O","8","")&amp;IF($O279="O","?","")&amp;IF(OR($J279="O",$K279="O",$L279="O",$M279="O",$N279="O",$O279="O"),"-","")&amp;$I279)</f>
        <v/>
      </c>
      <c r="Q279" s="110">
        <f>HYPERLINK("#'마스터_품목'!A430","→ 마스터 R430")</f>
        <v/>
      </c>
      <c r="R279" s="111" t="n">
        <v>430</v>
      </c>
      <c r="S279" s="111" t="inlineStr">
        <is>
          <t>마스터_품목</t>
        </is>
      </c>
    </row>
    <row r="280" ht="48" customHeight="1">
      <c r="A280" s="22" t="inlineStr">
        <is>
          <t>조립</t>
        </is>
      </c>
      <c r="B280" s="22" t="inlineStr">
        <is>
          <t>크래들</t>
        </is>
      </c>
      <c r="C280" s="23" t="inlineStr">
        <is>
          <t>COCOON
 블랙 유광</t>
        </is>
      </c>
      <c r="D280" s="23" t="inlineStr">
        <is>
          <t>CRADLE BODY 사출</t>
        </is>
      </c>
      <c r="E280" s="23" t="inlineStr">
        <is>
          <t>CRADLE BODY BUTTON X (ABS 난연 블랙 + 블랙 유광)
[COCOON]</t>
        </is>
      </c>
      <c r="F280" s="24" t="inlineStr">
        <is>
          <t>O</t>
        </is>
      </c>
      <c r="G280" s="25" t="n"/>
      <c r="H280" s="26" t="n"/>
      <c r="I280" s="27">
        <f>IFERROR(IF(OR($F280="O",$G280="O",$H280="O"),CHOOSE(MATCH($A280,{"튜브","고압","진공","튜닝","조립","출하"},0),"T","H","V","N","A","P")&amp;IF($F280="O","R",IF($G280="O","A",IF($H280="O","F",""))),""),"")</f>
        <v/>
      </c>
      <c r="J280" s="15" t="n"/>
      <c r="K280" s="16" t="n"/>
      <c r="L280" s="17" t="n"/>
      <c r="M280" s="18" t="inlineStr">
        <is>
          <t>O</t>
        </is>
      </c>
      <c r="N280" s="19" t="n"/>
      <c r="O280" s="20" t="n"/>
      <c r="P280" s="21">
        <f>IF($I280="","",IF($J280="O","3","")&amp;IF($K280="O","4","")&amp;IF($L280="O","6","")&amp;IF($M280="O","7","")&amp;IF($N280="O","8","")&amp;IF($O280="O","?","")&amp;IF(OR($J280="O",$K280="O",$L280="O",$M280="O",$N280="O",$O280="O"),"-","")&amp;$I280)</f>
        <v/>
      </c>
      <c r="Q280" s="110">
        <f>HYPERLINK("#'마스터_품목'!A431","→ 마스터 R431")</f>
        <v/>
      </c>
      <c r="R280" s="111" t="n">
        <v>431</v>
      </c>
      <c r="S280" s="111" t="inlineStr">
        <is>
          <t>마스터_품목</t>
        </is>
      </c>
    </row>
    <row r="281" ht="48" customHeight="1">
      <c r="A281" s="22" t="inlineStr">
        <is>
          <t>조립</t>
        </is>
      </c>
      <c r="B281" s="22" t="inlineStr">
        <is>
          <t>크래들</t>
        </is>
      </c>
      <c r="C281" s="23" t="inlineStr">
        <is>
          <t>COCOON
 블랙 유광</t>
        </is>
      </c>
      <c r="D281" s="23" t="inlineStr">
        <is>
          <t>CRADLE BOTTOM 사출</t>
        </is>
      </c>
      <c r="E281" s="23" t="inlineStr">
        <is>
          <t>CRADLE BOTTOM (블랙 유광)
[COCOON]</t>
        </is>
      </c>
      <c r="F281" s="24" t="inlineStr">
        <is>
          <t>O</t>
        </is>
      </c>
      <c r="G281" s="25" t="n"/>
      <c r="H281" s="26" t="n"/>
      <c r="I281" s="27">
        <f>IFERROR(IF(OR($F281="O",$G281="O",$H281="O"),CHOOSE(MATCH($A281,{"튜브","고압","진공","튜닝","조립","출하"},0),"T","H","V","N","A","P")&amp;IF($F281="O","R",IF($G281="O","A",IF($H281="O","F",""))),""),"")</f>
        <v/>
      </c>
      <c r="J281" s="15" t="n"/>
      <c r="K281" s="16" t="n"/>
      <c r="L281" s="17" t="n"/>
      <c r="M281" s="18" t="inlineStr">
        <is>
          <t>O</t>
        </is>
      </c>
      <c r="N281" s="19" t="n"/>
      <c r="O281" s="20" t="n"/>
      <c r="P281" s="21">
        <f>IF($I281="","",IF($J281="O","3","")&amp;IF($K281="O","4","")&amp;IF($L281="O","6","")&amp;IF($M281="O","7","")&amp;IF($N281="O","8","")&amp;IF($O281="O","?","")&amp;IF(OR($J281="O",$K281="O",$L281="O",$M281="O",$N281="O",$O281="O"),"-","")&amp;$I281)</f>
        <v/>
      </c>
      <c r="Q281" s="110">
        <f>HYPERLINK("#'마스터_품목'!A432","→ 마스터 R432")</f>
        <v/>
      </c>
      <c r="R281" s="111" t="n">
        <v>432</v>
      </c>
      <c r="S281" s="111" t="inlineStr">
        <is>
          <t>마스터_품목</t>
        </is>
      </c>
    </row>
    <row r="282" ht="48" customHeight="1">
      <c r="A282" s="22" t="inlineStr">
        <is>
          <t>조립</t>
        </is>
      </c>
      <c r="B282" s="22" t="inlineStr">
        <is>
          <t>크래들</t>
        </is>
      </c>
      <c r="C282" s="23" t="inlineStr">
        <is>
          <t>COCOON</t>
        </is>
      </c>
      <c r="D282" s="23" t="inlineStr">
        <is>
          <t>CRADLE FRAME</t>
        </is>
      </c>
      <c r="E282" s="23" t="inlineStr">
        <is>
          <t>CRADLE FRAME (도금용 사출 + 크롬 도금)
[COCOON]</t>
        </is>
      </c>
      <c r="F282" s="24" t="inlineStr">
        <is>
          <t>O</t>
        </is>
      </c>
      <c r="G282" s="25" t="n"/>
      <c r="H282" s="26" t="n"/>
      <c r="I282" s="27">
        <f>IFERROR(IF(OR($F282="O",$G282="O",$H282="O"),CHOOSE(MATCH($A282,{"튜브","고압","진공","튜닝","조립","출하"},0),"T","H","V","N","A","P")&amp;IF($F282="O","R",IF($G282="O","A",IF($H282="O","F",""))),""),"")</f>
        <v/>
      </c>
      <c r="J282" s="15" t="n"/>
      <c r="K282" s="16" t="n"/>
      <c r="L282" s="17" t="n"/>
      <c r="M282" s="18" t="inlineStr">
        <is>
          <t>O</t>
        </is>
      </c>
      <c r="N282" s="19" t="n"/>
      <c r="O282" s="20" t="n"/>
      <c r="P282" s="21">
        <f>IF($I282="","",IF($J282="O","3","")&amp;IF($K282="O","4","")&amp;IF($L282="O","6","")&amp;IF($M282="O","7","")&amp;IF($N282="O","8","")&amp;IF($O282="O","?","")&amp;IF(OR($J282="O",$K282="O",$L282="O",$M282="O",$N282="O",$O282="O"),"-","")&amp;$I282)</f>
        <v/>
      </c>
      <c r="Q282" s="110">
        <f>HYPERLINK("#'마스터_품목'!A433","→ 마스터 R433")</f>
        <v/>
      </c>
      <c r="R282" s="111" t="n">
        <v>433</v>
      </c>
      <c r="S282" s="111" t="inlineStr">
        <is>
          <t>마스터_품목</t>
        </is>
      </c>
    </row>
    <row r="283" ht="48" customHeight="1">
      <c r="A283" s="22" t="inlineStr">
        <is>
          <t>조립</t>
        </is>
      </c>
      <c r="B283" s="22" t="inlineStr">
        <is>
          <t>크래들</t>
        </is>
      </c>
      <c r="C283" s="23" t="inlineStr">
        <is>
          <t>COCOON</t>
        </is>
      </c>
      <c r="D283" s="23" t="inlineStr">
        <is>
          <t>신주 핀</t>
        </is>
      </c>
      <c r="E283" s="23" t="inlineStr">
        <is>
          <t>CRADLE 신주 핀 (신주 가공 + 니켈 도금)
[COCOON]</t>
        </is>
      </c>
      <c r="F283" s="24" t="inlineStr">
        <is>
          <t>O</t>
        </is>
      </c>
      <c r="G283" s="25" t="n"/>
      <c r="H283" s="26" t="n"/>
      <c r="I283" s="27">
        <f>IFERROR(IF(OR($F283="O",$G283="O",$H283="O"),CHOOSE(MATCH($A283,{"튜브","고압","진공","튜닝","조립","출하"},0),"T","H","V","N","A","P")&amp;IF($F283="O","R",IF($G283="O","A",IF($H283="O","F",""))),""),"")</f>
        <v/>
      </c>
      <c r="J283" s="15" t="n"/>
      <c r="K283" s="16" t="n"/>
      <c r="L283" s="17" t="n"/>
      <c r="M283" s="18" t="inlineStr">
        <is>
          <t>O</t>
        </is>
      </c>
      <c r="N283" s="19" t="n"/>
      <c r="O283" s="20" t="n"/>
      <c r="P283" s="21">
        <f>IF($I283="","",IF($J283="O","3","")&amp;IF($K283="O","4","")&amp;IF($L283="O","6","")&amp;IF($M283="O","7","")&amp;IF($N283="O","8","")&amp;IF($O283="O","?","")&amp;IF(OR($J283="O",$K283="O",$L283="O",$M283="O",$N283="O",$O283="O"),"-","")&amp;$I283)</f>
        <v/>
      </c>
      <c r="Q283" s="110">
        <f>HYPERLINK("#'마스터_품목'!A434","→ 마스터 R434")</f>
        <v/>
      </c>
      <c r="R283" s="111" t="n">
        <v>434</v>
      </c>
      <c r="S283" s="111" t="inlineStr">
        <is>
          <t>마스터_품목</t>
        </is>
      </c>
    </row>
    <row r="284" ht="48" customHeight="1">
      <c r="A284" s="22" t="inlineStr">
        <is>
          <t>조립</t>
        </is>
      </c>
      <c r="B284" s="22" t="inlineStr">
        <is>
          <t>크래들</t>
        </is>
      </c>
      <c r="C284" s="23" t="inlineStr">
        <is>
          <t>COCOON</t>
        </is>
      </c>
      <c r="D284" s="23" t="inlineStr">
        <is>
          <t>크래들 충전단자 스프링</t>
        </is>
      </c>
      <c r="E284" s="23" t="inlineStr">
        <is>
          <t>CRADLE 충전단자 스프링 (스프링)
[COCOON]</t>
        </is>
      </c>
      <c r="F284" s="24" t="inlineStr">
        <is>
          <t>O</t>
        </is>
      </c>
      <c r="G284" s="25" t="n"/>
      <c r="H284" s="26" t="n"/>
      <c r="I284" s="27">
        <f>IFERROR(IF(OR($F284="O",$G284="O",$H284="O"),CHOOSE(MATCH($A284,{"튜브","고압","진공","튜닝","조립","출하"},0),"T","H","V","N","A","P")&amp;IF($F284="O","R",IF($G284="O","A",IF($H284="O","F",""))),""),"")</f>
        <v/>
      </c>
      <c r="J284" s="15" t="n"/>
      <c r="K284" s="16" t="n"/>
      <c r="L284" s="17" t="n"/>
      <c r="M284" s="18" t="inlineStr">
        <is>
          <t>O</t>
        </is>
      </c>
      <c r="N284" s="19" t="n"/>
      <c r="O284" s="20" t="n"/>
      <c r="P284" s="21">
        <f>IF($I284="","",IF($J284="O","3","")&amp;IF($K284="O","4","")&amp;IF($L284="O","6","")&amp;IF($M284="O","7","")&amp;IF($N284="O","8","")&amp;IF($O284="O","?","")&amp;IF(OR($J284="O",$K284="O",$L284="O",$M284="O",$N284="O",$O284="O"),"-","")&amp;$I284)</f>
        <v/>
      </c>
      <c r="Q284" s="110">
        <f>HYPERLINK("#'마스터_품목'!A435","→ 마스터 R435")</f>
        <v/>
      </c>
      <c r="R284" s="111" t="n">
        <v>435</v>
      </c>
      <c r="S284" s="111" t="inlineStr">
        <is>
          <t>마스터_품목</t>
        </is>
      </c>
    </row>
    <row r="285" ht="48" customHeight="1">
      <c r="A285" s="22" t="inlineStr">
        <is>
          <t>조립</t>
        </is>
      </c>
      <c r="B285" s="22" t="inlineStr">
        <is>
          <t>크래들</t>
        </is>
      </c>
      <c r="C285" s="23" t="inlineStr">
        <is>
          <t>COCOON</t>
        </is>
      </c>
      <c r="D285" s="23" t="inlineStr">
        <is>
          <t>CRADLE FOOT RUBBER</t>
        </is>
      </c>
      <c r="E285" s="23" t="inlineStr">
        <is>
          <t>CRADLE FOOT RUBBER (RUBBER)
[COCOON]</t>
        </is>
      </c>
      <c r="F285" s="24" t="inlineStr">
        <is>
          <t>O</t>
        </is>
      </c>
      <c r="G285" s="25" t="n"/>
      <c r="H285" s="26" t="n"/>
      <c r="I285" s="27">
        <f>IFERROR(IF(OR($F285="O",$G285="O",$H285="O"),CHOOSE(MATCH($A285,{"튜브","고압","진공","튜닝","조립","출하"},0),"T","H","V","N","A","P")&amp;IF($F285="O","R",IF($G285="O","A",IF($H285="O","F",""))),""),"")</f>
        <v/>
      </c>
      <c r="J285" s="15" t="n"/>
      <c r="K285" s="16" t="n"/>
      <c r="L285" s="17" t="n"/>
      <c r="M285" s="18" t="inlineStr">
        <is>
          <t>O</t>
        </is>
      </c>
      <c r="N285" s="19" t="n"/>
      <c r="O285" s="20" t="n"/>
      <c r="P285" s="21">
        <f>IF($I285="","",IF($J285="O","3","")&amp;IF($K285="O","4","")&amp;IF($L285="O","6","")&amp;IF($M285="O","7","")&amp;IF($N285="O","8","")&amp;IF($O285="O","?","")&amp;IF(OR($J285="O",$K285="O",$L285="O",$M285="O",$N285="O",$O285="O"),"-","")&amp;$I285)</f>
        <v/>
      </c>
      <c r="Q285" s="110">
        <f>HYPERLINK("#'마스터_품목'!A436","→ 마스터 R436")</f>
        <v/>
      </c>
      <c r="R285" s="111" t="n">
        <v>436</v>
      </c>
      <c r="S285" s="111" t="inlineStr">
        <is>
          <t>마스터_품목</t>
        </is>
      </c>
    </row>
    <row r="286" ht="48" customHeight="1">
      <c r="A286" s="22" t="inlineStr">
        <is>
          <t>조립</t>
        </is>
      </c>
      <c r="B286" s="22" t="inlineStr">
        <is>
          <t>케어스트림</t>
        </is>
      </c>
      <c r="C286" s="23" t="inlineStr">
        <is>
          <t>COCOON 
화이트 케어스트림</t>
        </is>
      </c>
      <c r="D286" s="23" t="inlineStr">
        <is>
          <t>TOP BODY 사출 (케어스트림)</t>
        </is>
      </c>
      <c r="E286" s="23" t="n"/>
      <c r="F286" s="24" t="inlineStr">
        <is>
          <t>O</t>
        </is>
      </c>
      <c r="G286" s="25" t="n"/>
      <c r="H286" s="26" t="n"/>
      <c r="I286" s="27">
        <f>IFERROR(IF(OR($F286="O",$G286="O",$H286="O"),CHOOSE(MATCH($A286,{"튜브","고압","진공","튜닝","조립","출하"},0),"T","H","V","N","A","P")&amp;IF($F286="O","R",IF($G286="O","A",IF($H286="O","F",""))),""),"")</f>
        <v/>
      </c>
      <c r="J286" s="15" t="n"/>
      <c r="K286" s="16" t="n"/>
      <c r="L286" s="17" t="n"/>
      <c r="M286" s="18" t="inlineStr">
        <is>
          <t>O</t>
        </is>
      </c>
      <c r="N286" s="19" t="n"/>
      <c r="O286" s="20" t="n"/>
      <c r="P286" s="21">
        <f>IF($I286="","",IF($J286="O","3","")&amp;IF($K286="O","4","")&amp;IF($L286="O","6","")&amp;IF($M286="O","7","")&amp;IF($N286="O","8","")&amp;IF($O286="O","?","")&amp;IF(OR($J286="O",$K286="O",$L286="O",$M286="O",$N286="O",$O286="O"),"-","")&amp;$I286)</f>
        <v/>
      </c>
      <c r="Q286" s="110">
        <f>HYPERLINK("#'마스터_품목'!A437","→ 마스터 R437")</f>
        <v/>
      </c>
      <c r="R286" s="111" t="n">
        <v>437</v>
      </c>
      <c r="S286" s="111" t="inlineStr">
        <is>
          <t>마스터_품목</t>
        </is>
      </c>
    </row>
    <row r="287" ht="48" customHeight="1">
      <c r="A287" s="22" t="inlineStr">
        <is>
          <t>조립</t>
        </is>
      </c>
      <c r="B287" s="22" t="inlineStr">
        <is>
          <t>케어스트림</t>
        </is>
      </c>
      <c r="C287" s="23" t="inlineStr">
        <is>
          <t>COCOON
화이트 케어스트림</t>
        </is>
      </c>
      <c r="D287" s="23" t="inlineStr">
        <is>
          <t>POWER BUTTON 사출</t>
        </is>
      </c>
      <c r="E287" s="23" t="n"/>
      <c r="F287" s="24" t="inlineStr">
        <is>
          <t>O</t>
        </is>
      </c>
      <c r="G287" s="25" t="n"/>
      <c r="H287" s="26" t="n"/>
      <c r="I287" s="27">
        <f>IFERROR(IF(OR($F287="O",$G287="O",$H287="O"),CHOOSE(MATCH($A287,{"튜브","고압","진공","튜닝","조립","출하"},0),"T","H","V","N","A","P")&amp;IF($F287="O","R",IF($G287="O","A",IF($H287="O","F",""))),""),"")</f>
        <v/>
      </c>
      <c r="J287" s="15" t="n"/>
      <c r="K287" s="16" t="n"/>
      <c r="L287" s="17" t="n"/>
      <c r="M287" s="18" t="inlineStr">
        <is>
          <t>O</t>
        </is>
      </c>
      <c r="N287" s="19" t="n"/>
      <c r="O287" s="20" t="n"/>
      <c r="P287" s="21">
        <f>IF($I287="","",IF($J287="O","3","")&amp;IF($K287="O","4","")&amp;IF($L287="O","6","")&amp;IF($M287="O","7","")&amp;IF($N287="O","8","")&amp;IF($O287="O","?","")&amp;IF(OR($J287="O",$K287="O",$L287="O",$M287="O",$N287="O",$O287="O"),"-","")&amp;$I287)</f>
        <v/>
      </c>
      <c r="Q287" s="110">
        <f>HYPERLINK("#'마스터_품목'!A438","→ 마스터 R438")</f>
        <v/>
      </c>
      <c r="R287" s="111" t="n">
        <v>438</v>
      </c>
      <c r="S287" s="111" t="inlineStr">
        <is>
          <t>마스터_품목</t>
        </is>
      </c>
    </row>
    <row r="288" ht="48" customHeight="1">
      <c r="A288" s="22" t="inlineStr">
        <is>
          <t>조립</t>
        </is>
      </c>
      <c r="B288" s="22" t="inlineStr">
        <is>
          <t>케어스트림</t>
        </is>
      </c>
      <c r="C288" s="23" t="inlineStr">
        <is>
          <t>COCOON
화이트 케어스트림</t>
        </is>
      </c>
      <c r="D288" s="23" t="inlineStr">
        <is>
          <t>BOTTOM BODY 사출</t>
        </is>
      </c>
      <c r="E288" s="23" t="n"/>
      <c r="F288" s="24" t="inlineStr">
        <is>
          <t>O</t>
        </is>
      </c>
      <c r="G288" s="25" t="n"/>
      <c r="H288" s="26" t="n"/>
      <c r="I288" s="27">
        <f>IFERROR(IF(OR($F288="O",$G288="O",$H288="O"),CHOOSE(MATCH($A288,{"튜브","고압","진공","튜닝","조립","출하"},0),"T","H","V","N","A","P")&amp;IF($F288="O","R",IF($G288="O","A",IF($H288="O","F",""))),""),"")</f>
        <v/>
      </c>
      <c r="J288" s="15" t="n"/>
      <c r="K288" s="16" t="n"/>
      <c r="L288" s="17" t="n"/>
      <c r="M288" s="18" t="inlineStr">
        <is>
          <t>O</t>
        </is>
      </c>
      <c r="N288" s="19" t="n"/>
      <c r="O288" s="20" t="n"/>
      <c r="P288" s="21">
        <f>IF($I288="","",IF($J288="O","3","")&amp;IF($K288="O","4","")&amp;IF($L288="O","6","")&amp;IF($M288="O","7","")&amp;IF($N288="O","8","")&amp;IF($O288="O","?","")&amp;IF(OR($J288="O",$K288="O",$L288="O",$M288="O",$N288="O",$O288="O"),"-","")&amp;$I288)</f>
        <v/>
      </c>
      <c r="Q288" s="110">
        <f>HYPERLINK("#'마스터_품목'!A439","→ 마스터 R439")</f>
        <v/>
      </c>
      <c r="R288" s="111" t="n">
        <v>439</v>
      </c>
      <c r="S288" s="111" t="inlineStr">
        <is>
          <t>마스터_품목</t>
        </is>
      </c>
    </row>
    <row r="289" ht="48" customHeight="1">
      <c r="A289" s="22" t="inlineStr">
        <is>
          <t>조립</t>
        </is>
      </c>
      <c r="B289" s="22" t="inlineStr">
        <is>
          <t>케어스트림</t>
        </is>
      </c>
      <c r="C289" s="23" t="inlineStr">
        <is>
          <t>COCOON
화이트 케어스트림</t>
        </is>
      </c>
      <c r="D289" s="23" t="inlineStr">
        <is>
          <t>LOCK KNOB</t>
        </is>
      </c>
      <c r="E289" s="23" t="n"/>
      <c r="F289" s="24" t="inlineStr">
        <is>
          <t>O</t>
        </is>
      </c>
      <c r="G289" s="25" t="n"/>
      <c r="H289" s="26" t="n"/>
      <c r="I289" s="27">
        <f>IFERROR(IF(OR($F289="O",$G289="O",$H289="O"),CHOOSE(MATCH($A289,{"튜브","고압","진공","튜닝","조립","출하"},0),"T","H","V","N","A","P")&amp;IF($F289="O","R",IF($G289="O","A",IF($H289="O","F",""))),""),"")</f>
        <v/>
      </c>
      <c r="J289" s="15" t="n"/>
      <c r="K289" s="16" t="n"/>
      <c r="L289" s="17" t="n"/>
      <c r="M289" s="18" t="inlineStr">
        <is>
          <t>O</t>
        </is>
      </c>
      <c r="N289" s="19" t="n"/>
      <c r="O289" s="20" t="n"/>
      <c r="P289" s="21">
        <f>IF($I289="","",IF($J289="O","3","")&amp;IF($K289="O","4","")&amp;IF($L289="O","6","")&amp;IF($M289="O","7","")&amp;IF($N289="O","8","")&amp;IF($O289="O","?","")&amp;IF(OR($J289="O",$K289="O",$L289="O",$M289="O",$N289="O",$O289="O"),"-","")&amp;$I289)</f>
        <v/>
      </c>
      <c r="Q289" s="110">
        <f>HYPERLINK("#'마스터_품목'!A440","→ 마스터 R440")</f>
        <v/>
      </c>
      <c r="R289" s="111" t="n">
        <v>440</v>
      </c>
      <c r="S289" s="111" t="inlineStr">
        <is>
          <t>마스터_품목</t>
        </is>
      </c>
    </row>
    <row r="290" ht="48" customHeight="1">
      <c r="A290" s="22" t="inlineStr">
        <is>
          <t>조립</t>
        </is>
      </c>
      <c r="B290" s="22" t="inlineStr">
        <is>
          <t>케어스트림</t>
        </is>
      </c>
      <c r="C290" s="23" t="inlineStr">
        <is>
          <t>COCOON
화이트 케어스트림</t>
        </is>
      </c>
      <c r="D290" s="23" t="inlineStr">
        <is>
          <t>LOCK INNER</t>
        </is>
      </c>
      <c r="E290" s="23" t="n"/>
      <c r="F290" s="24" t="inlineStr">
        <is>
          <t>O</t>
        </is>
      </c>
      <c r="G290" s="25" t="n"/>
      <c r="H290" s="26" t="n"/>
      <c r="I290" s="27">
        <f>IFERROR(IF(OR($F290="O",$G290="O",$H290="O"),CHOOSE(MATCH($A290,{"튜브","고압","진공","튜닝","조립","출하"},0),"T","H","V","N","A","P")&amp;IF($F290="O","R",IF($G290="O","A",IF($H290="O","F",""))),""),"")</f>
        <v/>
      </c>
      <c r="J290" s="15" t="n"/>
      <c r="K290" s="16" t="n"/>
      <c r="L290" s="17" t="n"/>
      <c r="M290" s="18" t="inlineStr">
        <is>
          <t>O</t>
        </is>
      </c>
      <c r="N290" s="19" t="n"/>
      <c r="O290" s="20" t="n"/>
      <c r="P290" s="21">
        <f>IF($I290="","",IF($J290="O","3","")&amp;IF($K290="O","4","")&amp;IF($L290="O","6","")&amp;IF($M290="O","7","")&amp;IF($N290="O","8","")&amp;IF($O290="O","?","")&amp;IF(OR($J290="O",$K290="O",$L290="O",$M290="O",$N290="O",$O290="O"),"-","")&amp;$I290)</f>
        <v/>
      </c>
      <c r="Q290" s="110">
        <f>HYPERLINK("#'마스터_품목'!A441","→ 마스터 R441")</f>
        <v/>
      </c>
      <c r="R290" s="111" t="n">
        <v>441</v>
      </c>
      <c r="S290" s="111" t="inlineStr">
        <is>
          <t>마스터_품목</t>
        </is>
      </c>
    </row>
    <row r="291" ht="48" customHeight="1">
      <c r="A291" s="22" t="inlineStr">
        <is>
          <t>조립</t>
        </is>
      </c>
      <c r="B291" s="22" t="inlineStr">
        <is>
          <t>케어스트림</t>
        </is>
      </c>
      <c r="C291" s="23" t="inlineStr">
        <is>
          <t>COCOON
화이트 케어스트림</t>
        </is>
      </c>
      <c r="D291" s="23" t="inlineStr">
        <is>
          <t>HAND BODY 사출</t>
        </is>
      </c>
      <c r="E291" s="23" t="n"/>
      <c r="F291" s="24" t="inlineStr">
        <is>
          <t>O</t>
        </is>
      </c>
      <c r="G291" s="25" t="n"/>
      <c r="H291" s="26" t="n"/>
      <c r="I291" s="27">
        <f>IFERROR(IF(OR($F291="O",$G291="O",$H291="O"),CHOOSE(MATCH($A291,{"튜브","고압","진공","튜닝","조립","출하"},0),"T","H","V","N","A","P")&amp;IF($F291="O","R",IF($G291="O","A",IF($H291="O","F",""))),""),"")</f>
        <v/>
      </c>
      <c r="J291" s="15" t="n"/>
      <c r="K291" s="16" t="n"/>
      <c r="L291" s="17" t="n"/>
      <c r="M291" s="18" t="inlineStr">
        <is>
          <t>O</t>
        </is>
      </c>
      <c r="N291" s="19" t="n"/>
      <c r="O291" s="20" t="n"/>
      <c r="P291" s="21">
        <f>IF($I291="","",IF($J291="O","3","")&amp;IF($K291="O","4","")&amp;IF($L291="O","6","")&amp;IF($M291="O","7","")&amp;IF($N291="O","8","")&amp;IF($O291="O","?","")&amp;IF(OR($J291="O",$K291="O",$L291="O",$M291="O",$N291="O",$O291="O"),"-","")&amp;$I291)</f>
        <v/>
      </c>
      <c r="Q291" s="110">
        <f>HYPERLINK("#'마스터_품목'!A442","→ 마스터 R442")</f>
        <v/>
      </c>
      <c r="R291" s="111" t="n">
        <v>442</v>
      </c>
      <c r="S291" s="111" t="inlineStr">
        <is>
          <t>마스터_품목</t>
        </is>
      </c>
    </row>
    <row r="292" ht="48" customHeight="1">
      <c r="A292" s="22" t="inlineStr">
        <is>
          <t>조립</t>
        </is>
      </c>
      <c r="B292" s="22" t="inlineStr">
        <is>
          <t>케어스트림</t>
        </is>
      </c>
      <c r="C292" s="23" t="inlineStr">
        <is>
          <t>COCOON
화이트 케어스트림</t>
        </is>
      </c>
      <c r="D292" s="23" t="inlineStr">
        <is>
          <t>HAND TOP COVER 사출</t>
        </is>
      </c>
      <c r="E292" s="23" t="n"/>
      <c r="F292" s="24" t="inlineStr">
        <is>
          <t>O</t>
        </is>
      </c>
      <c r="G292" s="25" t="n"/>
      <c r="H292" s="26" t="n"/>
      <c r="I292" s="27">
        <f>IFERROR(IF(OR($F292="O",$G292="O",$H292="O"),CHOOSE(MATCH($A292,{"튜브","고압","진공","튜닝","조립","출하"},0),"T","H","V","N","A","P")&amp;IF($F292="O","R",IF($G292="O","A",IF($H292="O","F",""))),""),"")</f>
        <v/>
      </c>
      <c r="J292" s="15" t="n"/>
      <c r="K292" s="16" t="n"/>
      <c r="L292" s="17" t="n"/>
      <c r="M292" s="18" t="inlineStr">
        <is>
          <t>O</t>
        </is>
      </c>
      <c r="N292" s="19" t="n"/>
      <c r="O292" s="20" t="n"/>
      <c r="P292" s="21">
        <f>IF($I292="","",IF($J292="O","3","")&amp;IF($K292="O","4","")&amp;IF($L292="O","6","")&amp;IF($M292="O","7","")&amp;IF($N292="O","8","")&amp;IF($O292="O","?","")&amp;IF(OR($J292="O",$K292="O",$L292="O",$M292="O",$N292="O",$O292="O"),"-","")&amp;$I292)</f>
        <v/>
      </c>
      <c r="Q292" s="110">
        <f>HYPERLINK("#'마스터_품목'!A443","→ 마스터 R443")</f>
        <v/>
      </c>
      <c r="R292" s="111" t="n">
        <v>443</v>
      </c>
      <c r="S292" s="111" t="inlineStr">
        <is>
          <t>마스터_품목</t>
        </is>
      </c>
    </row>
    <row r="293" ht="48" customHeight="1">
      <c r="A293" s="22" t="inlineStr">
        <is>
          <t>조립</t>
        </is>
      </c>
      <c r="B293" s="22" t="inlineStr">
        <is>
          <t>케어스트림</t>
        </is>
      </c>
      <c r="C293" s="23" t="inlineStr">
        <is>
          <t>COCOON
화이트 케어스트림</t>
        </is>
      </c>
      <c r="D293" s="23" t="inlineStr">
        <is>
          <t>CRADLE FRAME</t>
        </is>
      </c>
      <c r="E293" s="23" t="n"/>
      <c r="F293" s="24" t="inlineStr">
        <is>
          <t>O</t>
        </is>
      </c>
      <c r="G293" s="25" t="n"/>
      <c r="H293" s="26" t="n"/>
      <c r="I293" s="27">
        <f>IFERROR(IF(OR($F293="O",$G293="O",$H293="O"),CHOOSE(MATCH($A293,{"튜브","고압","진공","튜닝","조립","출하"},0),"T","H","V","N","A","P")&amp;IF($F293="O","R",IF($G293="O","A",IF($H293="O","F",""))),""),"")</f>
        <v/>
      </c>
      <c r="J293" s="15" t="n"/>
      <c r="K293" s="16" t="n"/>
      <c r="L293" s="17" t="n"/>
      <c r="M293" s="18" t="inlineStr">
        <is>
          <t>O</t>
        </is>
      </c>
      <c r="N293" s="19" t="n"/>
      <c r="O293" s="20" t="n"/>
      <c r="P293" s="21">
        <f>IF($I293="","",IF($J293="O","3","")&amp;IF($K293="O","4","")&amp;IF($L293="O","6","")&amp;IF($M293="O","7","")&amp;IF($N293="O","8","")&amp;IF($O293="O","?","")&amp;IF(OR($J293="O",$K293="O",$L293="O",$M293="O",$N293="O",$O293="O"),"-","")&amp;$I293)</f>
        <v/>
      </c>
      <c r="Q293" s="110">
        <f>HYPERLINK("#'마스터_품목'!A444","→ 마스터 R444")</f>
        <v/>
      </c>
      <c r="R293" s="111" t="n">
        <v>444</v>
      </c>
      <c r="S293" s="111" t="inlineStr">
        <is>
          <t>마스터_품목</t>
        </is>
      </c>
    </row>
    <row r="294" ht="48" customHeight="1">
      <c r="A294" s="22" t="inlineStr">
        <is>
          <t>조립</t>
        </is>
      </c>
      <c r="B294" s="22" t="inlineStr">
        <is>
          <t>케어스트림</t>
        </is>
      </c>
      <c r="C294" s="23" t="inlineStr">
        <is>
          <t>COCOON
화이트 케어스트림</t>
        </is>
      </c>
      <c r="D294" s="23" t="inlineStr">
        <is>
          <t>CRADLE FRAME 실리콘 커버</t>
        </is>
      </c>
      <c r="E294" s="23" t="n"/>
      <c r="F294" s="24" t="inlineStr">
        <is>
          <t>O</t>
        </is>
      </c>
      <c r="G294" s="25" t="n"/>
      <c r="H294" s="26" t="n"/>
      <c r="I294" s="27">
        <f>IFERROR(IF(OR($F294="O",$G294="O",$H294="O"),CHOOSE(MATCH($A294,{"튜브","고압","진공","튜닝","조립","출하"},0),"T","H","V","N","A","P")&amp;IF($F294="O","R",IF($G294="O","A",IF($H294="O","F",""))),""),"")</f>
        <v/>
      </c>
      <c r="J294" s="15" t="n"/>
      <c r="K294" s="16" t="n"/>
      <c r="L294" s="17" t="n"/>
      <c r="M294" s="18" t="inlineStr">
        <is>
          <t>O</t>
        </is>
      </c>
      <c r="N294" s="19" t="n"/>
      <c r="O294" s="20" t="n"/>
      <c r="P294" s="21">
        <f>IF($I294="","",IF($J294="O","3","")&amp;IF($K294="O","4","")&amp;IF($L294="O","6","")&amp;IF($M294="O","7","")&amp;IF($N294="O","8","")&amp;IF($O294="O","?","")&amp;IF(OR($J294="O",$K294="O",$L294="O",$M294="O",$N294="O",$O294="O"),"-","")&amp;$I294)</f>
        <v/>
      </c>
      <c r="Q294" s="110">
        <f>HYPERLINK("#'마스터_품목'!A445","→ 마스터 R445")</f>
        <v/>
      </c>
      <c r="R294" s="111" t="n">
        <v>445</v>
      </c>
      <c r="S294" s="111" t="inlineStr">
        <is>
          <t>마스터_품목</t>
        </is>
      </c>
    </row>
    <row r="295" ht="48" customHeight="1">
      <c r="A295" s="22" t="inlineStr">
        <is>
          <t>조립</t>
        </is>
      </c>
      <c r="B295" s="22" t="inlineStr">
        <is>
          <t>조립</t>
        </is>
      </c>
      <c r="C295" s="23" t="inlineStr">
        <is>
          <t>COCOON</t>
        </is>
      </c>
      <c r="D295" s="23" t="inlineStr">
        <is>
          <t>GER GUIDE</t>
        </is>
      </c>
      <c r="E295" s="23" t="inlineStr">
        <is>
          <t>GER GUIDE (ABS 난연 화이트)
[COCOON]</t>
        </is>
      </c>
      <c r="F295" s="24" t="inlineStr">
        <is>
          <t>O</t>
        </is>
      </c>
      <c r="G295" s="25" t="n"/>
      <c r="H295" s="26" t="n"/>
      <c r="I295" s="27">
        <f>IFERROR(IF(OR($F295="O",$G295="O",$H295="O"),CHOOSE(MATCH($A295,{"튜브","고압","진공","튜닝","조립","출하"},0),"T","H","V","N","A","P")&amp;IF($F295="O","R",IF($G295="O","A",IF($H295="O","F",""))),""),"")</f>
        <v/>
      </c>
      <c r="J295" s="15" t="n"/>
      <c r="K295" s="16" t="n"/>
      <c r="L295" s="17" t="n"/>
      <c r="M295" s="18" t="inlineStr">
        <is>
          <t>O</t>
        </is>
      </c>
      <c r="N295" s="19" t="n"/>
      <c r="O295" s="20" t="n"/>
      <c r="P295" s="21">
        <f>IF($I295="","",IF($J295="O","3","")&amp;IF($K295="O","4","")&amp;IF($L295="O","6","")&amp;IF($M295="O","7","")&amp;IF($N295="O","8","")&amp;IF($O295="O","?","")&amp;IF(OR($J295="O",$K295="O",$L295="O",$M295="O",$N295="O",$O295="O"),"-","")&amp;$I295)</f>
        <v/>
      </c>
      <c r="Q295" s="110">
        <f>HYPERLINK("#'마스터_품목'!A446","→ 마스터 R446")</f>
        <v/>
      </c>
      <c r="R295" s="111" t="n">
        <v>446</v>
      </c>
      <c r="S295" s="111" t="inlineStr">
        <is>
          <t>마스터_품목</t>
        </is>
      </c>
    </row>
    <row r="296" ht="48" customHeight="1">
      <c r="A296" s="22" t="inlineStr">
        <is>
          <t>조립</t>
        </is>
      </c>
      <c r="B296" s="22" t="inlineStr">
        <is>
          <t>조립</t>
        </is>
      </c>
      <c r="C296" s="23" t="inlineStr">
        <is>
          <t>COCOON 
블랙 유광</t>
        </is>
      </c>
      <c r="D296" s="23" t="inlineStr">
        <is>
          <t>FRONT_S (18cm)</t>
        </is>
      </c>
      <c r="E296" s="23" t="inlineStr">
        <is>
          <t>FRONT_S (18cm) (블랙 유광)
[COCOON]</t>
        </is>
      </c>
      <c r="F296" s="24" t="inlineStr">
        <is>
          <t>O</t>
        </is>
      </c>
      <c r="G296" s="25" t="n"/>
      <c r="H296" s="26" t="n"/>
      <c r="I296" s="27">
        <f>IFERROR(IF(OR($F296="O",$G296="O",$H296="O"),CHOOSE(MATCH($A296,{"튜브","고압","진공","튜닝","조립","출하"},0),"T","H","V","N","A","P")&amp;IF($F296="O","R",IF($G296="O","A",IF($H296="O","F",""))),""),"")</f>
        <v/>
      </c>
      <c r="J296" s="15" t="n"/>
      <c r="K296" s="16" t="n"/>
      <c r="L296" s="17" t="n"/>
      <c r="M296" s="18" t="inlineStr">
        <is>
          <t>O</t>
        </is>
      </c>
      <c r="N296" s="19" t="n"/>
      <c r="O296" s="20" t="n"/>
      <c r="P296" s="21">
        <f>IF($I296="","",IF($J296="O","3","")&amp;IF($K296="O","4","")&amp;IF($L296="O","6","")&amp;IF($M296="O","7","")&amp;IF($N296="O","8","")&amp;IF($O296="O","?","")&amp;IF(OR($J296="O",$K296="O",$L296="O",$M296="O",$N296="O",$O296="O"),"-","")&amp;$I296)</f>
        <v/>
      </c>
      <c r="Q296" s="110">
        <f>HYPERLINK("#'마스터_품목'!A447","→ 마스터 R447")</f>
        <v/>
      </c>
      <c r="R296" s="111" t="n">
        <v>447</v>
      </c>
      <c r="S296" s="111" t="inlineStr">
        <is>
          <t>마스터_품목</t>
        </is>
      </c>
    </row>
    <row r="297" ht="48" customHeight="1">
      <c r="A297" s="22" t="inlineStr">
        <is>
          <t>조립</t>
        </is>
      </c>
      <c r="B297" s="22" t="inlineStr">
        <is>
          <t>조립</t>
        </is>
      </c>
      <c r="C297" s="23" t="inlineStr">
        <is>
          <t>COCOON</t>
        </is>
      </c>
      <c r="D297" s="23" t="inlineStr">
        <is>
          <t>CONE GUIDE_S (18cm)</t>
        </is>
      </c>
      <c r="E297" s="23" t="inlineStr">
        <is>
          <t>CONE GUIDE_S (18cm) (ABS 난연 화이트)
[COCOON]</t>
        </is>
      </c>
      <c r="F297" s="24" t="inlineStr">
        <is>
          <t>O</t>
        </is>
      </c>
      <c r="G297" s="25" t="n"/>
      <c r="H297" s="26" t="n"/>
      <c r="I297" s="27">
        <f>IFERROR(IF(OR($F297="O",$G297="O",$H297="O"),CHOOSE(MATCH($A297,{"튜브","고압","진공","튜닝","조립","출하"},0),"T","H","V","N","A","P")&amp;IF($F297="O","R",IF($G297="O","A",IF($H297="O","F",""))),""),"")</f>
        <v/>
      </c>
      <c r="J297" s="15" t="n"/>
      <c r="K297" s="16" t="n"/>
      <c r="L297" s="17" t="n"/>
      <c r="M297" s="18" t="inlineStr">
        <is>
          <t>O</t>
        </is>
      </c>
      <c r="N297" s="19" t="n"/>
      <c r="O297" s="20" t="n"/>
      <c r="P297" s="21">
        <f>IF($I297="","",IF($J297="O","3","")&amp;IF($K297="O","4","")&amp;IF($L297="O","6","")&amp;IF($M297="O","7","")&amp;IF($N297="O","8","")&amp;IF($O297="O","?","")&amp;IF(OR($J297="O",$K297="O",$L297="O",$M297="O",$N297="O",$O297="O"),"-","")&amp;$I297)</f>
        <v/>
      </c>
      <c r="Q297" s="110">
        <f>HYPERLINK("#'마스터_품목'!A448","→ 마스터 R448")</f>
        <v/>
      </c>
      <c r="R297" s="111" t="n">
        <v>448</v>
      </c>
      <c r="S297" s="111" t="inlineStr">
        <is>
          <t>마스터_품목</t>
        </is>
      </c>
    </row>
    <row r="298" ht="48" customHeight="1">
      <c r="A298" s="22" t="inlineStr">
        <is>
          <t>조립</t>
        </is>
      </c>
      <c r="B298" s="22" t="inlineStr">
        <is>
          <t>조립</t>
        </is>
      </c>
      <c r="C298" s="23" t="inlineStr">
        <is>
          <t>COCOON</t>
        </is>
      </c>
      <c r="D298" s="23" t="inlineStr">
        <is>
          <t>CONE GUIDE_L (20cm)</t>
        </is>
      </c>
      <c r="E298" s="23" t="inlineStr">
        <is>
          <t>CONE GUIDE_L (20cm) (ABS 난연 화이트)
[COCOON]</t>
        </is>
      </c>
      <c r="F298" s="24" t="inlineStr">
        <is>
          <t>O</t>
        </is>
      </c>
      <c r="G298" s="25" t="n"/>
      <c r="H298" s="26" t="n"/>
      <c r="I298" s="27">
        <f>IFERROR(IF(OR($F298="O",$G298="O",$H298="O"),CHOOSE(MATCH($A298,{"튜브","고압","진공","튜닝","조립","출하"},0),"T","H","V","N","A","P")&amp;IF($F298="O","R",IF($G298="O","A",IF($H298="O","F",""))),""),"")</f>
        <v/>
      </c>
      <c r="J298" s="15" t="n"/>
      <c r="K298" s="16" t="n"/>
      <c r="L298" s="17" t="n"/>
      <c r="M298" s="18" t="inlineStr">
        <is>
          <t>O</t>
        </is>
      </c>
      <c r="N298" s="19" t="n"/>
      <c r="O298" s="20" t="n"/>
      <c r="P298" s="21">
        <f>IF($I298="","",IF($J298="O","3","")&amp;IF($K298="O","4","")&amp;IF($L298="O","6","")&amp;IF($M298="O","7","")&amp;IF($N298="O","8","")&amp;IF($O298="O","?","")&amp;IF(OR($J298="O",$K298="O",$L298="O",$M298="O",$N298="O",$O298="O"),"-","")&amp;$I298)</f>
        <v/>
      </c>
      <c r="Q298" s="110">
        <f>HYPERLINK("#'마스터_품목'!A449","→ 마스터 R449")</f>
        <v/>
      </c>
      <c r="R298" s="111" t="n">
        <v>449</v>
      </c>
      <c r="S298" s="111" t="inlineStr">
        <is>
          <t>마스터_품목</t>
        </is>
      </c>
    </row>
    <row r="299" ht="48" customHeight="1">
      <c r="A299" s="22" t="inlineStr">
        <is>
          <t>조립</t>
        </is>
      </c>
      <c r="B299" s="22" t="inlineStr">
        <is>
          <t>조립</t>
        </is>
      </c>
      <c r="C299" s="23" t="inlineStr">
        <is>
          <t>COCOON 
블랙 유광</t>
        </is>
      </c>
      <c r="D299" s="23" t="inlineStr">
        <is>
          <t>FRONT_L (20cm)</t>
        </is>
      </c>
      <c r="E299" s="23" t="inlineStr">
        <is>
          <t>FRONT_L (20cm) (ABS 난연 블랙 + 블랙 유광)
[COCOON]</t>
        </is>
      </c>
      <c r="F299" s="24" t="inlineStr">
        <is>
          <t>O</t>
        </is>
      </c>
      <c r="G299" s="25" t="n"/>
      <c r="H299" s="26" t="n"/>
      <c r="I299" s="27">
        <f>IFERROR(IF(OR($F299="O",$G299="O",$H299="O"),CHOOSE(MATCH($A299,{"튜브","고압","진공","튜닝","조립","출하"},0),"T","H","V","N","A","P")&amp;IF($F299="O","R",IF($G299="O","A",IF($H299="O","F",""))),""),"")</f>
        <v/>
      </c>
      <c r="J299" s="15" t="n"/>
      <c r="K299" s="16" t="n"/>
      <c r="L299" s="17" t="n"/>
      <c r="M299" s="18" t="inlineStr">
        <is>
          <t>O</t>
        </is>
      </c>
      <c r="N299" s="19" t="n"/>
      <c r="O299" s="20" t="n"/>
      <c r="P299" s="21">
        <f>IF($I299="","",IF($J299="O","3","")&amp;IF($K299="O","4","")&amp;IF($L299="O","6","")&amp;IF($M299="O","7","")&amp;IF($N299="O","8","")&amp;IF($O299="O","?","")&amp;IF(OR($J299="O",$K299="O",$L299="O",$M299="O",$N299="O",$O299="O"),"-","")&amp;$I299)</f>
        <v/>
      </c>
      <c r="Q299" s="110">
        <f>HYPERLINK("#'마스터_품목'!A450","→ 마스터 R450")</f>
        <v/>
      </c>
      <c r="R299" s="111" t="n">
        <v>450</v>
      </c>
      <c r="S299" s="111" t="inlineStr">
        <is>
          <t>마스터_품목</t>
        </is>
      </c>
    </row>
    <row r="300" ht="48" customHeight="1">
      <c r="A300" s="22" t="inlineStr">
        <is>
          <t>조립</t>
        </is>
      </c>
      <c r="B300" s="22" t="inlineStr">
        <is>
          <t>조립</t>
        </is>
      </c>
      <c r="C300" s="23" t="inlineStr">
        <is>
          <t>COCOON 
블랙 유광</t>
        </is>
      </c>
      <c r="D300" s="23" t="inlineStr">
        <is>
          <t>FRONT_CAP</t>
        </is>
      </c>
      <c r="E300" s="23" t="inlineStr">
        <is>
          <t>FRONT_CAP (블랙 유광)
[COCOON]</t>
        </is>
      </c>
      <c r="F300" s="24" t="inlineStr">
        <is>
          <t>O</t>
        </is>
      </c>
      <c r="G300" s="25" t="n"/>
      <c r="H300" s="26" t="n"/>
      <c r="I300" s="27">
        <f>IFERROR(IF(OR($F300="O",$G300="O",$H300="O"),CHOOSE(MATCH($A300,{"튜브","고압","진공","튜닝","조립","출하"},0),"T","H","V","N","A","P")&amp;IF($F300="O","R",IF($G300="O","A",IF($H300="O","F",""))),""),"")</f>
        <v/>
      </c>
      <c r="J300" s="15" t="n"/>
      <c r="K300" s="16" t="n"/>
      <c r="L300" s="17" t="n"/>
      <c r="M300" s="18" t="inlineStr">
        <is>
          <t>O</t>
        </is>
      </c>
      <c r="N300" s="19" t="n"/>
      <c r="O300" s="20" t="n"/>
      <c r="P300" s="21">
        <f>IF($I300="","",IF($J300="O","3","")&amp;IF($K300="O","4","")&amp;IF($L300="O","6","")&amp;IF($M300="O","7","")&amp;IF($N300="O","8","")&amp;IF($O300="O","?","")&amp;IF(OR($J300="O",$K300="O",$L300="O",$M300="O",$N300="O",$O300="O"),"-","")&amp;$I300)</f>
        <v/>
      </c>
      <c r="Q300" s="110">
        <f>HYPERLINK("#'마스터_품목'!A451","→ 마스터 R451")</f>
        <v/>
      </c>
      <c r="R300" s="111" t="n">
        <v>451</v>
      </c>
      <c r="S300" s="111" t="inlineStr">
        <is>
          <t>마스터_품목</t>
        </is>
      </c>
    </row>
    <row r="301" ht="48" customHeight="1">
      <c r="A301" s="22" t="inlineStr">
        <is>
          <t>조립</t>
        </is>
      </c>
      <c r="B301" s="22" t="inlineStr">
        <is>
          <t>조립</t>
        </is>
      </c>
      <c r="C301" s="23" t="inlineStr">
        <is>
          <t>COCOON</t>
        </is>
      </c>
      <c r="D301" s="23" t="inlineStr">
        <is>
          <t>WINDOW</t>
        </is>
      </c>
      <c r="E301" s="23" t="inlineStr">
        <is>
          <t>WINDOW (투명 아크릴 + 실크 인쇄 로고O)
[COCOON]</t>
        </is>
      </c>
      <c r="F301" s="24" t="inlineStr">
        <is>
          <t>O</t>
        </is>
      </c>
      <c r="G301" s="25" t="n"/>
      <c r="H301" s="26" t="n"/>
      <c r="I301" s="27">
        <f>IFERROR(IF(OR($F301="O",$G301="O",$H301="O"),CHOOSE(MATCH($A301,{"튜브","고압","진공","튜닝","조립","출하"},0),"T","H","V","N","A","P")&amp;IF($F301="O","R",IF($G301="O","A",IF($H301="O","F",""))),""),"")</f>
        <v/>
      </c>
      <c r="J301" s="15" t="n"/>
      <c r="K301" s="16" t="n"/>
      <c r="L301" s="17" t="n"/>
      <c r="M301" s="18" t="inlineStr">
        <is>
          <t>O</t>
        </is>
      </c>
      <c r="N301" s="19" t="n"/>
      <c r="O301" s="20" t="n"/>
      <c r="P301" s="21">
        <f>IF($I301="","",IF($J301="O","3","")&amp;IF($K301="O","4","")&amp;IF($L301="O","6","")&amp;IF($M301="O","7","")&amp;IF($N301="O","8","")&amp;IF($O301="O","?","")&amp;IF(OR($J301="O",$K301="O",$L301="O",$M301="O",$N301="O",$O301="O"),"-","")&amp;$I301)</f>
        <v/>
      </c>
      <c r="Q301" s="110">
        <f>HYPERLINK("#'마스터_품목'!A452","→ 마스터 R452")</f>
        <v/>
      </c>
      <c r="R301" s="111" t="n">
        <v>452</v>
      </c>
      <c r="S301" s="111" t="inlineStr">
        <is>
          <t>마스터_품목</t>
        </is>
      </c>
    </row>
    <row r="302" ht="48" customHeight="1">
      <c r="A302" s="22" t="inlineStr">
        <is>
          <t>조립</t>
        </is>
      </c>
      <c r="B302" s="22" t="inlineStr">
        <is>
          <t>조립</t>
        </is>
      </c>
      <c r="C302" s="23" t="inlineStr">
        <is>
          <t>COCOON</t>
        </is>
      </c>
      <c r="D302" s="23" t="inlineStr">
        <is>
          <t>WINDOW (cocoon로고 없음)</t>
        </is>
      </c>
      <c r="E302" s="23" t="inlineStr">
        <is>
          <t>WINDOW (투명 아크릴 + 실크 인쇄 로고X)
[COCOON]</t>
        </is>
      </c>
      <c r="F302" s="24" t="inlineStr">
        <is>
          <t>O</t>
        </is>
      </c>
      <c r="G302" s="25" t="n"/>
      <c r="H302" s="26" t="n"/>
      <c r="I302" s="27">
        <f>IFERROR(IF(OR($F302="O",$G302="O",$H302="O"),CHOOSE(MATCH($A302,{"튜브","고압","진공","튜닝","조립","출하"},0),"T","H","V","N","A","P")&amp;IF($F302="O","R",IF($G302="O","A",IF($H302="O","F",""))),""),"")</f>
        <v/>
      </c>
      <c r="J302" s="15" t="n"/>
      <c r="K302" s="16" t="n"/>
      <c r="L302" s="17" t="n"/>
      <c r="M302" s="18" t="inlineStr">
        <is>
          <t>O</t>
        </is>
      </c>
      <c r="N302" s="19" t="n"/>
      <c r="O302" s="20" t="n"/>
      <c r="P302" s="21">
        <f>IF($I302="","",IF($J302="O","3","")&amp;IF($K302="O","4","")&amp;IF($L302="O","6","")&amp;IF($M302="O","7","")&amp;IF($N302="O","8","")&amp;IF($O302="O","?","")&amp;IF(OR($J302="O",$K302="O",$L302="O",$M302="O",$N302="O",$O302="O"),"-","")&amp;$I302)</f>
        <v/>
      </c>
      <c r="Q302" s="110">
        <f>HYPERLINK("#'마스터_품목'!A453","→ 마스터 R453")</f>
        <v/>
      </c>
      <c r="R302" s="111" t="n">
        <v>453</v>
      </c>
      <c r="S302" s="111" t="inlineStr">
        <is>
          <t>마스터_품목</t>
        </is>
      </c>
    </row>
    <row r="303" ht="48" customHeight="1">
      <c r="A303" s="22" t="inlineStr">
        <is>
          <t>조립</t>
        </is>
      </c>
      <c r="B303" s="22" t="inlineStr">
        <is>
          <t>조립</t>
        </is>
      </c>
      <c r="C303" s="23" t="inlineStr">
        <is>
          <t>COCOON</t>
        </is>
      </c>
      <c r="D303" s="23" t="inlineStr">
        <is>
          <t>자석 (네오디움 마그넷)</t>
        </is>
      </c>
      <c r="E303" s="23" t="inlineStr">
        <is>
          <t>자석 (네오디움 마그넷)
[COCOON]</t>
        </is>
      </c>
      <c r="F303" s="24" t="inlineStr">
        <is>
          <t>O</t>
        </is>
      </c>
      <c r="G303" s="25" t="n"/>
      <c r="H303" s="26" t="n"/>
      <c r="I303" s="27">
        <f>IFERROR(IF(OR($F303="O",$G303="O",$H303="O"),CHOOSE(MATCH($A303,{"튜브","고압","진공","튜닝","조립","출하"},0),"T","H","V","N","A","P")&amp;IF($F303="O","R",IF($G303="O","A",IF($H303="O","F",""))),""),"")</f>
        <v/>
      </c>
      <c r="J303" s="15" t="n"/>
      <c r="K303" s="16" t="n"/>
      <c r="L303" s="17" t="inlineStr">
        <is>
          <t>O</t>
        </is>
      </c>
      <c r="M303" s="18" t="inlineStr">
        <is>
          <t>O</t>
        </is>
      </c>
      <c r="N303" s="19" t="n"/>
      <c r="O303" s="20" t="n"/>
      <c r="P303" s="21">
        <f>IF($I303="","",IF($J303="O","3","")&amp;IF($K303="O","4","")&amp;IF($L303="O","6","")&amp;IF($M303="O","7","")&amp;IF($N303="O","8","")&amp;IF($O303="O","?","")&amp;IF(OR($J303="O",$K303="O",$L303="O",$M303="O",$N303="O",$O303="O"),"-","")&amp;$I303)</f>
        <v/>
      </c>
      <c r="Q303" s="110">
        <f>HYPERLINK("#'마스터_품목'!A454","→ 마스터 R454")</f>
        <v/>
      </c>
      <c r="R303" s="111" t="n">
        <v>454</v>
      </c>
      <c r="S303" s="111" t="inlineStr">
        <is>
          <t>마스터_품목</t>
        </is>
      </c>
    </row>
    <row r="304" ht="48" customHeight="1">
      <c r="A304" s="22" t="inlineStr">
        <is>
          <t>조립</t>
        </is>
      </c>
      <c r="B304" s="22" t="inlineStr">
        <is>
          <t>조립</t>
        </is>
      </c>
      <c r="C304" s="23" t="inlineStr">
        <is>
          <t>COCOON</t>
        </is>
      </c>
      <c r="D304" s="23" t="inlineStr">
        <is>
          <t>알루미늄 필터 [ 0.5T * Φ63 ]</t>
        </is>
      </c>
      <c r="E304" s="23" t="inlineStr">
        <is>
          <t>알루미늄 필터 (0.5T * Φ63 코쿤 기본)
[COCOON]</t>
        </is>
      </c>
      <c r="F304" s="24" t="inlineStr">
        <is>
          <t>O</t>
        </is>
      </c>
      <c r="G304" s="25" t="n"/>
      <c r="H304" s="26" t="n"/>
      <c r="I304" s="27">
        <f>IFERROR(IF(OR($F304="O",$G304="O",$H304="O"),CHOOSE(MATCH($A304,{"튜브","고압","진공","튜닝","조립","출하"},0),"T","H","V","N","A","P")&amp;IF($F304="O","R",IF($G304="O","A",IF($H304="O","F",""))),""),"")</f>
        <v/>
      </c>
      <c r="J304" s="15" t="inlineStr">
        <is>
          <t>O</t>
        </is>
      </c>
      <c r="K304" s="16" t="n"/>
      <c r="L304" s="17" t="n"/>
      <c r="M304" s="18" t="inlineStr">
        <is>
          <t>O</t>
        </is>
      </c>
      <c r="N304" s="19" t="n"/>
      <c r="O304" s="20" t="n"/>
      <c r="P304" s="21">
        <f>IF($I304="","",IF($J304="O","3","")&amp;IF($K304="O","4","")&amp;IF($L304="O","6","")&amp;IF($M304="O","7","")&amp;IF($N304="O","8","")&amp;IF($O304="O","?","")&amp;IF(OR($J304="O",$K304="O",$L304="O",$M304="O",$N304="O",$O304="O"),"-","")&amp;$I304)</f>
        <v/>
      </c>
      <c r="Q304" s="110">
        <f>HYPERLINK("#'마스터_품목'!A455","→ 마스터 R455")</f>
        <v/>
      </c>
      <c r="R304" s="111" t="n">
        <v>455</v>
      </c>
      <c r="S304" s="111" t="inlineStr">
        <is>
          <t>마스터_품목</t>
        </is>
      </c>
    </row>
    <row r="305" ht="48" customHeight="1">
      <c r="A305" s="22" t="inlineStr">
        <is>
          <t>조립</t>
        </is>
      </c>
      <c r="B305" s="22" t="inlineStr">
        <is>
          <t>하네스</t>
        </is>
      </c>
      <c r="C305" s="23" t="inlineStr">
        <is>
          <t>COCOON</t>
        </is>
      </c>
      <c r="D305" s="23" t="inlineStr">
        <is>
          <t>CTR BD 외부단자 2핀 (TX30(FEMALE)+YH396-02100mm 
(하네스 1번)</t>
        </is>
      </c>
      <c r="E305" s="23" t="inlineStr">
        <is>
          <t>하네스 1번 (TX30(FEMALE)+YH396-02 100mm CTR BD 외부단자 2핀)
[COCOON]</t>
        </is>
      </c>
      <c r="F305" s="24" t="inlineStr">
        <is>
          <t>O</t>
        </is>
      </c>
      <c r="G305" s="25" t="n"/>
      <c r="H305" s="26" t="n"/>
      <c r="I305" s="27">
        <f>IFERROR(IF(OR($F305="O",$G305="O",$H305="O"),CHOOSE(MATCH($A305,{"튜브","고압","진공","튜닝","조립","출하"},0),"T","H","V","N","A","P")&amp;IF($F305="O","R",IF($G305="O","A",IF($H305="O","F",""))),""),"")</f>
        <v/>
      </c>
      <c r="J305" s="15" t="n"/>
      <c r="K305" s="16" t="n"/>
      <c r="L305" s="17" t="n"/>
      <c r="M305" s="18" t="inlineStr">
        <is>
          <t>O</t>
        </is>
      </c>
      <c r="N305" s="19" t="n"/>
      <c r="O305" s="20" t="n"/>
      <c r="P305" s="21">
        <f>IF($I305="","",IF($J305="O","3","")&amp;IF($K305="O","4","")&amp;IF($L305="O","6","")&amp;IF($M305="O","7","")&amp;IF($N305="O","8","")&amp;IF($O305="O","?","")&amp;IF(OR($J305="O",$K305="O",$L305="O",$M305="O",$N305="O",$O305="O"),"-","")&amp;$I305)</f>
        <v/>
      </c>
      <c r="Q305" s="110">
        <f>HYPERLINK("#'마스터_품목'!A456","→ 마스터 R456")</f>
        <v/>
      </c>
      <c r="R305" s="111" t="n">
        <v>456</v>
      </c>
      <c r="S305" s="111" t="inlineStr">
        <is>
          <t>마스터_품목</t>
        </is>
      </c>
    </row>
    <row r="306" ht="48" customHeight="1">
      <c r="A306" s="22" t="inlineStr">
        <is>
          <t>조립</t>
        </is>
      </c>
      <c r="B306" s="22" t="inlineStr">
        <is>
          <t>하네스</t>
        </is>
      </c>
      <c r="C306" s="23" t="inlineStr">
        <is>
          <t>COCOON</t>
        </is>
      </c>
      <c r="D306" s="23" t="inlineStr">
        <is>
          <t>TX30(MALE)+DC022(2.5) 80mm 전원 외부단자 2핀 
(하네스 2번)</t>
        </is>
      </c>
      <c r="E306" s="23" t="inlineStr">
        <is>
          <t>하네스 2번 (TX30(MALE)+DC022(2.5) 80mm 전원 외부단자 2핀)
[COCOON]</t>
        </is>
      </c>
      <c r="F306" s="24" t="inlineStr">
        <is>
          <t>O</t>
        </is>
      </c>
      <c r="G306" s="25" t="n"/>
      <c r="H306" s="26" t="n"/>
      <c r="I306" s="27">
        <f>IFERROR(IF(OR($F306="O",$G306="O",$H306="O"),CHOOSE(MATCH($A306,{"튜브","고압","진공","튜닝","조립","출하"},0),"T","H","V","N","A","P")&amp;IF($F306="O","R",IF($G306="O","A",IF($H306="O","F",""))),""),"")</f>
        <v/>
      </c>
      <c r="J306" s="15" t="n"/>
      <c r="K306" s="16" t="n"/>
      <c r="L306" s="17" t="n"/>
      <c r="M306" s="18" t="inlineStr">
        <is>
          <t>O</t>
        </is>
      </c>
      <c r="N306" s="19" t="n"/>
      <c r="O306" s="20" t="n"/>
      <c r="P306" s="21">
        <f>IF($I306="","",IF($J306="O","3","")&amp;IF($K306="O","4","")&amp;IF($L306="O","6","")&amp;IF($M306="O","7","")&amp;IF($N306="O","8","")&amp;IF($O306="O","?","")&amp;IF(OR($J306="O",$K306="O",$L306="O",$M306="O",$N306="O",$O306="O"),"-","")&amp;$I306)</f>
        <v/>
      </c>
      <c r="Q306" s="110">
        <f>HYPERLINK("#'마스터_품목'!A457","→ 마스터 R457")</f>
        <v/>
      </c>
      <c r="R306" s="111" t="n">
        <v>457</v>
      </c>
      <c r="S306" s="111" t="inlineStr">
        <is>
          <t>마스터_품목</t>
        </is>
      </c>
    </row>
    <row r="307" ht="48" customHeight="1">
      <c r="A307" s="22" t="inlineStr">
        <is>
          <t>조립</t>
        </is>
      </c>
      <c r="B307" s="22" t="inlineStr">
        <is>
          <t>하네스</t>
        </is>
      </c>
      <c r="C307" s="23" t="inlineStr">
        <is>
          <t>COCOON</t>
        </is>
      </c>
      <c r="D307" s="23" t="inlineStr">
        <is>
          <t>30핀 FFC CABLE 
(하네스 3번)</t>
        </is>
      </c>
      <c r="E307" s="23" t="inlineStr">
        <is>
          <t>하네스 3번 (FFC CABLE 1mm*30P*200*B CTR BD*OP BD (다른방향))
[COCOON]</t>
        </is>
      </c>
      <c r="F307" s="24" t="inlineStr">
        <is>
          <t>O</t>
        </is>
      </c>
      <c r="G307" s="25" t="n"/>
      <c r="H307" s="26" t="n"/>
      <c r="I307" s="27">
        <f>IFERROR(IF(OR($F307="O",$G307="O",$H307="O"),CHOOSE(MATCH($A307,{"튜브","고압","진공","튜닝","조립","출하"},0),"T","H","V","N","A","P")&amp;IF($F307="O","R",IF($G307="O","A",IF($H307="O","F",""))),""),"")</f>
        <v/>
      </c>
      <c r="J307" s="15" t="n"/>
      <c r="K307" s="16" t="n"/>
      <c r="L307" s="17" t="n"/>
      <c r="M307" s="18" t="inlineStr">
        <is>
          <t>O</t>
        </is>
      </c>
      <c r="N307" s="19" t="n"/>
      <c r="O307" s="20" t="n"/>
      <c r="P307" s="21">
        <f>IF($I307="","",IF($J307="O","3","")&amp;IF($K307="O","4","")&amp;IF($L307="O","6","")&amp;IF($M307="O","7","")&amp;IF($N307="O","8","")&amp;IF($O307="O","?","")&amp;IF(OR($J307="O",$K307="O",$L307="O",$M307="O",$N307="O",$O307="O"),"-","")&amp;$I307)</f>
        <v/>
      </c>
      <c r="Q307" s="110">
        <f>HYPERLINK("#'마스터_품목'!A458","→ 마스터 R458")</f>
        <v/>
      </c>
      <c r="R307" s="111" t="n">
        <v>458</v>
      </c>
      <c r="S307" s="111" t="inlineStr">
        <is>
          <t>마스터_품목</t>
        </is>
      </c>
    </row>
    <row r="308" ht="48" customHeight="1">
      <c r="A308" s="22" t="inlineStr">
        <is>
          <t>조립</t>
        </is>
      </c>
      <c r="B308" s="22" t="inlineStr">
        <is>
          <t>하네스</t>
        </is>
      </c>
      <c r="C308" s="23" t="inlineStr">
        <is>
          <t>COCOON</t>
        </is>
      </c>
      <c r="D308" s="23" t="inlineStr">
        <is>
          <t>12505HS-02+SORDER 50mm 스피커 2핀 
(하네스 4번)</t>
        </is>
      </c>
      <c r="E308" s="23" t="inlineStr">
        <is>
          <t>하네스 4번 (12505HS-02+SORDER 50mm - OP BD 2.20 전용 스피커 2핀)
[COCOON]</t>
        </is>
      </c>
      <c r="F308" s="24" t="inlineStr">
        <is>
          <t>O</t>
        </is>
      </c>
      <c r="G308" s="25" t="n"/>
      <c r="H308" s="26" t="n"/>
      <c r="I308" s="27">
        <f>IFERROR(IF(OR($F308="O",$G308="O",$H308="O"),CHOOSE(MATCH($A308,{"튜브","고압","진공","튜닝","조립","출하"},0),"T","H","V","N","A","P")&amp;IF($F308="O","R",IF($G308="O","A",IF($H308="O","F",""))),""),"")</f>
        <v/>
      </c>
      <c r="J308" s="15" t="n"/>
      <c r="K308" s="16" t="n"/>
      <c r="L308" s="17" t="n"/>
      <c r="M308" s="18" t="inlineStr">
        <is>
          <t>O</t>
        </is>
      </c>
      <c r="N308" s="19" t="n"/>
      <c r="O308" s="20" t="n"/>
      <c r="P308" s="21">
        <f>IF($I308="","",IF($J308="O","3","")&amp;IF($K308="O","4","")&amp;IF($L308="O","6","")&amp;IF($M308="O","7","")&amp;IF($N308="O","8","")&amp;IF($O308="O","?","")&amp;IF(OR($J308="O",$K308="O",$L308="O",$M308="O",$N308="O",$O308="O"),"-","")&amp;$I308)</f>
        <v/>
      </c>
      <c r="Q308" s="110">
        <f>HYPERLINK("#'마스터_품목'!A459","→ 마스터 R459")</f>
        <v/>
      </c>
      <c r="R308" s="111" t="n">
        <v>459</v>
      </c>
      <c r="S308" s="111" t="inlineStr">
        <is>
          <t>마스터_품목</t>
        </is>
      </c>
    </row>
    <row r="309" ht="48" customHeight="1">
      <c r="A309" s="22" t="inlineStr">
        <is>
          <t>조립</t>
        </is>
      </c>
      <c r="B309" s="22" t="inlineStr">
        <is>
          <t>하네스</t>
        </is>
      </c>
      <c r="C309" s="23" t="inlineStr">
        <is>
          <t>COCOON</t>
        </is>
      </c>
      <c r="D309" s="23" t="inlineStr">
        <is>
          <t>BATTERY BRIDGE BD 4핀 (YH396-04*2EA 150mm
 (하네스 5번)</t>
        </is>
      </c>
      <c r="E309" s="23" t="inlineStr">
        <is>
          <t>하네스 5번 (YH396-04*2EA 150mm BATTERY BRIDGE BD 4핀)
[COCOON]</t>
        </is>
      </c>
      <c r="F309" s="24" t="inlineStr">
        <is>
          <t>O</t>
        </is>
      </c>
      <c r="G309" s="25" t="n"/>
      <c r="H309" s="26" t="n"/>
      <c r="I309" s="27">
        <f>IFERROR(IF(OR($F309="O",$G309="O",$H309="O"),CHOOSE(MATCH($A309,{"튜브","고압","진공","튜닝","조립","출하"},0),"T","H","V","N","A","P")&amp;IF($F309="O","R",IF($G309="O","A",IF($H309="O","F",""))),""),"")</f>
        <v/>
      </c>
      <c r="J309" s="15" t="n"/>
      <c r="K309" s="16" t="n"/>
      <c r="L309" s="17" t="n"/>
      <c r="M309" s="18" t="inlineStr">
        <is>
          <t>O</t>
        </is>
      </c>
      <c r="N309" s="19" t="n"/>
      <c r="O309" s="20" t="n"/>
      <c r="P309" s="21">
        <f>IF($I309="","",IF($J309="O","3","")&amp;IF($K309="O","4","")&amp;IF($L309="O","6","")&amp;IF($M309="O","7","")&amp;IF($N309="O","8","")&amp;IF($O309="O","?","")&amp;IF(OR($J309="O",$K309="O",$L309="O",$M309="O",$N309="O",$O309="O"),"-","")&amp;$I309)</f>
        <v/>
      </c>
      <c r="Q309" s="110">
        <f>HYPERLINK("#'마스터_품목'!A460","→ 마스터 R460")</f>
        <v/>
      </c>
      <c r="R309" s="111" t="n">
        <v>460</v>
      </c>
      <c r="S309" s="111" t="inlineStr">
        <is>
          <t>마스터_품목</t>
        </is>
      </c>
    </row>
    <row r="310" ht="48" customHeight="1">
      <c r="A310" s="22" t="inlineStr">
        <is>
          <t>조립</t>
        </is>
      </c>
      <c r="B310" s="22" t="inlineStr">
        <is>
          <t>하네스</t>
        </is>
      </c>
      <c r="C310" s="23" t="inlineStr">
        <is>
          <t>COCOON</t>
        </is>
      </c>
      <c r="D310" s="23" t="inlineStr">
        <is>
          <t>12505HS-05 125mm POWER SWITCH BD 5핀
 (하네스 7번)</t>
        </is>
      </c>
      <c r="E310" s="23" t="inlineStr">
        <is>
          <t>하네스 7번 (12505HS-05 125mm POWER SWITCH BD 5핀)
[COCOON]</t>
        </is>
      </c>
      <c r="F310" s="24" t="inlineStr">
        <is>
          <t>O</t>
        </is>
      </c>
      <c r="G310" s="25" t="n"/>
      <c r="H310" s="26" t="n"/>
      <c r="I310" s="27">
        <f>IFERROR(IF(OR($F310="O",$G310="O",$H310="O"),CHOOSE(MATCH($A310,{"튜브","고압","진공","튜닝","조립","출하"},0),"T","H","V","N","A","P")&amp;IF($F310="O","R",IF($G310="O","A",IF($H310="O","F",""))),""),"")</f>
        <v/>
      </c>
      <c r="J310" s="15" t="n"/>
      <c r="K310" s="16" t="n"/>
      <c r="L310" s="17" t="n"/>
      <c r="M310" s="18" t="inlineStr">
        <is>
          <t>O</t>
        </is>
      </c>
      <c r="N310" s="19" t="n"/>
      <c r="O310" s="20" t="n"/>
      <c r="P310" s="21">
        <f>IF($I310="","",IF($J310="O","3","")&amp;IF($K310="O","4","")&amp;IF($L310="O","6","")&amp;IF($M310="O","7","")&amp;IF($N310="O","8","")&amp;IF($O310="O","?","")&amp;IF(OR($J310="O",$K310="O",$L310="O",$M310="O",$N310="O",$O310="O"),"-","")&amp;$I310)</f>
        <v/>
      </c>
      <c r="Q310" s="110">
        <f>HYPERLINK("#'마스터_품목'!A461","→ 마스터 R461")</f>
        <v/>
      </c>
      <c r="R310" s="111" t="n">
        <v>461</v>
      </c>
      <c r="S310" s="111" t="inlineStr">
        <is>
          <t>마스터_품목</t>
        </is>
      </c>
    </row>
    <row r="311" ht="48" customHeight="1">
      <c r="A311" s="22" t="inlineStr">
        <is>
          <t>조립</t>
        </is>
      </c>
      <c r="B311" s="22" t="inlineStr">
        <is>
          <t>하네스</t>
        </is>
      </c>
      <c r="C311" s="23" t="inlineStr">
        <is>
          <t>COCOON</t>
        </is>
      </c>
      <c r="D311" s="23" t="inlineStr">
        <is>
          <t>YH396-02+SORDER 80mm CRADLE 신주 연결 2핀 
(하네스 11번)</t>
        </is>
      </c>
      <c r="E311" s="23" t="inlineStr">
        <is>
          <t>하네스 11번 (YH396-02+SORDER 80mm CRADLE 신주 연결 2핀)
[COCOON]</t>
        </is>
      </c>
      <c r="F311" s="24" t="inlineStr">
        <is>
          <t>O</t>
        </is>
      </c>
      <c r="G311" s="25" t="n"/>
      <c r="H311" s="26" t="n"/>
      <c r="I311" s="27">
        <f>IFERROR(IF(OR($F311="O",$G311="O",$H311="O"),CHOOSE(MATCH($A311,{"튜브","고압","진공","튜닝","조립","출하"},0),"T","H","V","N","A","P")&amp;IF($F311="O","R",IF($G311="O","A",IF($H311="O","F",""))),""),"")</f>
        <v/>
      </c>
      <c r="J311" s="15" t="n"/>
      <c r="K311" s="16" t="n"/>
      <c r="L311" s="17" t="n"/>
      <c r="M311" s="18" t="inlineStr">
        <is>
          <t>O</t>
        </is>
      </c>
      <c r="N311" s="19" t="n"/>
      <c r="O311" s="20" t="n"/>
      <c r="P311" s="21">
        <f>IF($I311="","",IF($J311="O","3","")&amp;IF($K311="O","4","")&amp;IF($L311="O","6","")&amp;IF($M311="O","7","")&amp;IF($N311="O","8","")&amp;IF($O311="O","?","")&amp;IF(OR($J311="O",$K311="O",$L311="O",$M311="O",$N311="O",$O311="O"),"-","")&amp;$I311)</f>
        <v/>
      </c>
      <c r="Q311" s="110">
        <f>HYPERLINK("#'마스터_품목'!A462","→ 마스터 R462")</f>
        <v/>
      </c>
      <c r="R311" s="111" t="n">
        <v>462</v>
      </c>
      <c r="S311" s="111" t="inlineStr">
        <is>
          <t>마스터_품목</t>
        </is>
      </c>
    </row>
    <row r="312" ht="48" customHeight="1">
      <c r="A312" s="22" t="inlineStr">
        <is>
          <t>조립</t>
        </is>
      </c>
      <c r="B312" s="22" t="inlineStr">
        <is>
          <t>보드</t>
        </is>
      </c>
      <c r="C312" s="23" t="inlineStr">
        <is>
          <t>COCOON</t>
        </is>
      </c>
      <c r="D312" s="23" t="inlineStr">
        <is>
          <t>POWER SWITCH BD</t>
        </is>
      </c>
      <c r="E312" s="23" t="inlineStr">
        <is>
          <t>POWER SWITCH BD
[COCOON]</t>
        </is>
      </c>
      <c r="F312" s="24" t="inlineStr">
        <is>
          <t>O</t>
        </is>
      </c>
      <c r="G312" s="25" t="n"/>
      <c r="H312" s="26" t="n"/>
      <c r="I312" s="27">
        <f>IFERROR(IF(OR($F312="O",$G312="O",$H312="O"),CHOOSE(MATCH($A312,{"튜브","고압","진공","튜닝","조립","출하"},0),"T","H","V","N","A","P")&amp;IF($F312="O","R",IF($G312="O","A",IF($H312="O","F",""))),""),"")</f>
        <v/>
      </c>
      <c r="J312" s="15" t="n"/>
      <c r="K312" s="16" t="n"/>
      <c r="L312" s="17" t="n"/>
      <c r="M312" s="18" t="inlineStr">
        <is>
          <t>O</t>
        </is>
      </c>
      <c r="N312" s="19" t="n"/>
      <c r="O312" s="20" t="n"/>
      <c r="P312" s="21">
        <f>IF($I312="","",IF($J312="O","3","")&amp;IF($K312="O","4","")&amp;IF($L312="O","6","")&amp;IF($M312="O","7","")&amp;IF($N312="O","8","")&amp;IF($O312="O","?","")&amp;IF(OR($J312="O",$K312="O",$L312="O",$M312="O",$N312="O",$O312="O"),"-","")&amp;$I312)</f>
        <v/>
      </c>
      <c r="Q312" s="110">
        <f>HYPERLINK("#'마스터_품목'!A463","→ 마스터 R463")</f>
        <v/>
      </c>
      <c r="R312" s="111" t="n">
        <v>463</v>
      </c>
      <c r="S312" s="111" t="inlineStr">
        <is>
          <t>마스터_품목</t>
        </is>
      </c>
    </row>
    <row r="313" ht="48" customHeight="1">
      <c r="A313" s="22" t="inlineStr">
        <is>
          <t>조립</t>
        </is>
      </c>
      <c r="B313" s="22" t="inlineStr">
        <is>
          <t>보드</t>
        </is>
      </c>
      <c r="C313" s="23" t="inlineStr">
        <is>
          <t>COCOON</t>
        </is>
      </c>
      <c r="D313" s="23" t="inlineStr">
        <is>
          <t>CONNECTOR BD (신주 2핀)</t>
        </is>
      </c>
      <c r="E313" s="23" t="inlineStr">
        <is>
          <t>HANDLE CONNECTOR BD 신형 (신주 2핀)
[COCOON]</t>
        </is>
      </c>
      <c r="F313" s="24" t="inlineStr">
        <is>
          <t>O</t>
        </is>
      </c>
      <c r="G313" s="25" t="n"/>
      <c r="H313" s="26" t="n"/>
      <c r="I313" s="27">
        <f>IFERROR(IF(OR($F313="O",$G313="O",$H313="O"),CHOOSE(MATCH($A313,{"튜브","고압","진공","튜닝","조립","출하"},0),"T","H","V","N","A","P")&amp;IF($F313="O","R",IF($G313="O","A",IF($H313="O","F",""))),""),"")</f>
        <v/>
      </c>
      <c r="J313" s="15" t="n"/>
      <c r="K313" s="16" t="n"/>
      <c r="L313" s="17" t="n"/>
      <c r="M313" s="18" t="inlineStr">
        <is>
          <t>O</t>
        </is>
      </c>
      <c r="N313" s="19" t="n"/>
      <c r="O313" s="20" t="n"/>
      <c r="P313" s="21">
        <f>IF($I313="","",IF($J313="O","3","")&amp;IF($K313="O","4","")&amp;IF($L313="O","6","")&amp;IF($M313="O","7","")&amp;IF($N313="O","8","")&amp;IF($O313="O","?","")&amp;IF(OR($J313="O",$K313="O",$L313="O",$M313="O",$N313="O",$O313="O"),"-","")&amp;$I313)</f>
        <v/>
      </c>
      <c r="Q313" s="110">
        <f>HYPERLINK("#'마스터_품목'!A464","→ 마스터 R464")</f>
        <v/>
      </c>
      <c r="R313" s="111" t="n">
        <v>464</v>
      </c>
      <c r="S313" s="111" t="inlineStr">
        <is>
          <t>마스터_품목</t>
        </is>
      </c>
    </row>
    <row r="314" ht="48" customHeight="1">
      <c r="A314" s="22" t="inlineStr">
        <is>
          <t>조립</t>
        </is>
      </c>
      <c r="B314" s="22" t="inlineStr">
        <is>
          <t>보드</t>
        </is>
      </c>
      <c r="C314" s="23" t="inlineStr">
        <is>
          <t>COCOON</t>
        </is>
      </c>
      <c r="D314" s="23" t="inlineStr">
        <is>
          <t>BATTERY BRIDGE BD</t>
        </is>
      </c>
      <c r="E314" s="23" t="inlineStr">
        <is>
          <t>BATTERY BRIDGE BD
[COCOON]</t>
        </is>
      </c>
      <c r="F314" s="24" t="inlineStr">
        <is>
          <t>O</t>
        </is>
      </c>
      <c r="G314" s="25" t="n"/>
      <c r="H314" s="26" t="n"/>
      <c r="I314" s="27">
        <f>IFERROR(IF(OR($F314="O",$G314="O",$H314="O"),CHOOSE(MATCH($A314,{"튜브","고압","진공","튜닝","조립","출하"},0),"T","H","V","N","A","P")&amp;IF($F314="O","R",IF($G314="O","A",IF($H314="O","F",""))),""),"")</f>
        <v/>
      </c>
      <c r="J314" s="15" t="n"/>
      <c r="K314" s="16" t="n"/>
      <c r="L314" s="17" t="n"/>
      <c r="M314" s="18" t="inlineStr">
        <is>
          <t>O</t>
        </is>
      </c>
      <c r="N314" s="19" t="n"/>
      <c r="O314" s="20" t="n"/>
      <c r="P314" s="21">
        <f>IF($I314="","",IF($J314="O","3","")&amp;IF($K314="O","4","")&amp;IF($L314="O","6","")&amp;IF($M314="O","7","")&amp;IF($N314="O","8","")&amp;IF($O314="O","?","")&amp;IF(OR($J314="O",$K314="O",$L314="O",$M314="O",$N314="O",$O314="O"),"-","")&amp;$I314)</f>
        <v/>
      </c>
      <c r="Q314" s="110">
        <f>HYPERLINK("#'마스터_품목'!A465","→ 마스터 R465")</f>
        <v/>
      </c>
      <c r="R314" s="111" t="n">
        <v>465</v>
      </c>
      <c r="S314" s="111" t="inlineStr">
        <is>
          <t>마스터_품목</t>
        </is>
      </c>
    </row>
    <row r="315" ht="48" customHeight="1">
      <c r="A315" s="22" t="inlineStr">
        <is>
          <t>조립</t>
        </is>
      </c>
      <c r="B315" s="22" t="inlineStr">
        <is>
          <t>보드</t>
        </is>
      </c>
      <c r="C315" s="23" t="inlineStr">
        <is>
          <t>COCOON</t>
        </is>
      </c>
      <c r="D315" s="23" t="inlineStr">
        <is>
          <t>CRADLE BD</t>
        </is>
      </c>
      <c r="E315" s="23" t="inlineStr">
        <is>
          <t>CRADLE BD
[COCOON]</t>
        </is>
      </c>
      <c r="F315" s="24" t="inlineStr">
        <is>
          <t>O</t>
        </is>
      </c>
      <c r="G315" s="25" t="n"/>
      <c r="H315" s="26" t="n"/>
      <c r="I315" s="27">
        <f>IFERROR(IF(OR($F315="O",$G315="O",$H315="O"),CHOOSE(MATCH($A315,{"튜브","고압","진공","튜닝","조립","출하"},0),"T","H","V","N","A","P")&amp;IF($F315="O","R",IF($G315="O","A",IF($H315="O","F",""))),""),"")</f>
        <v/>
      </c>
      <c r="J315" s="15" t="n"/>
      <c r="K315" s="16" t="n"/>
      <c r="L315" s="17" t="n"/>
      <c r="M315" s="18" t="inlineStr">
        <is>
          <t>O</t>
        </is>
      </c>
      <c r="N315" s="19" t="n"/>
      <c r="O315" s="20" t="n"/>
      <c r="P315" s="21">
        <f>IF($I315="","",IF($J315="O","3","")&amp;IF($K315="O","4","")&amp;IF($L315="O","6","")&amp;IF($M315="O","7","")&amp;IF($N315="O","8","")&amp;IF($O315="O","?","")&amp;IF(OR($J315="O",$K315="O",$L315="O",$M315="O",$N315="O",$O315="O"),"-","")&amp;$I315)</f>
        <v/>
      </c>
      <c r="Q315" s="110">
        <f>HYPERLINK("#'마스터_품목'!A466","→ 마스터 R466")</f>
        <v/>
      </c>
      <c r="R315" s="111" t="n">
        <v>466</v>
      </c>
      <c r="S315" s="111" t="inlineStr">
        <is>
          <t>마스터_품목</t>
        </is>
      </c>
    </row>
    <row r="316" ht="48" customHeight="1">
      <c r="A316" s="22" t="inlineStr">
        <is>
          <t>조립</t>
        </is>
      </c>
      <c r="B316" s="22" t="inlineStr">
        <is>
          <t>보드</t>
        </is>
      </c>
      <c r="C316" s="23" t="inlineStr">
        <is>
          <t>COCOON</t>
        </is>
      </c>
      <c r="D316" s="23" t="inlineStr">
        <is>
          <t>TOUCH BD (Atmega128)_FFC케이블 케넥트 수정 (신형)</t>
        </is>
      </c>
      <c r="E316" s="23" t="n"/>
      <c r="F316" s="24" t="inlineStr">
        <is>
          <t>O</t>
        </is>
      </c>
      <c r="G316" s="25" t="n"/>
      <c r="H316" s="26" t="n"/>
      <c r="I316" s="27">
        <f>IFERROR(IF(OR($F316="O",$G316="O",$H316="O"),CHOOSE(MATCH($A316,{"튜브","고압","진공","튜닝","조립","출하"},0),"T","H","V","N","A","P")&amp;IF($F316="O","R",IF($G316="O","A",IF($H316="O","F",""))),""),"")</f>
        <v/>
      </c>
      <c r="J316" s="15" t="n"/>
      <c r="K316" s="16" t="n"/>
      <c r="L316" s="17" t="n"/>
      <c r="M316" s="18" t="inlineStr">
        <is>
          <t>O</t>
        </is>
      </c>
      <c r="N316" s="19" t="n"/>
      <c r="O316" s="20" t="n"/>
      <c r="P316" s="21">
        <f>IF($I316="","",IF($J316="O","3","")&amp;IF($K316="O","4","")&amp;IF($L316="O","6","")&amp;IF($M316="O","7","")&amp;IF($N316="O","8","")&amp;IF($O316="O","?","")&amp;IF(OR($J316="O",$K316="O",$L316="O",$M316="O",$N316="O",$O316="O"),"-","")&amp;$I316)</f>
        <v/>
      </c>
      <c r="Q316" s="110">
        <f>HYPERLINK("#'마스터_품목'!A467","→ 마스터 R467")</f>
        <v/>
      </c>
      <c r="R316" s="111" t="n">
        <v>467</v>
      </c>
      <c r="S316" s="111" t="inlineStr">
        <is>
          <t>마스터_품목</t>
        </is>
      </c>
    </row>
    <row r="317" ht="48" customHeight="1">
      <c r="A317" s="22" t="inlineStr">
        <is>
          <t>조립</t>
        </is>
      </c>
      <c r="B317" s="22" t="inlineStr">
        <is>
          <t>보드</t>
        </is>
      </c>
      <c r="C317" s="23" t="inlineStr">
        <is>
          <t>COCOON</t>
        </is>
      </c>
      <c r="D317" s="23" t="inlineStr">
        <is>
          <t>OP BD (Atmega128)_FFC케이블 케넥트 수정 (신형)</t>
        </is>
      </c>
      <c r="E317" s="23" t="n"/>
      <c r="F317" s="24" t="inlineStr">
        <is>
          <t>O</t>
        </is>
      </c>
      <c r="G317" s="25" t="n"/>
      <c r="H317" s="26" t="n"/>
      <c r="I317" s="27">
        <f>IFERROR(IF(OR($F317="O",$G317="O",$H317="O"),CHOOSE(MATCH($A317,{"튜브","고압","진공","튜닝","조립","출하"},0),"T","H","V","N","A","P")&amp;IF($F317="O","R",IF($G317="O","A",IF($H317="O","F",""))),""),"")</f>
        <v/>
      </c>
      <c r="J317" s="15" t="n"/>
      <c r="K317" s="16" t="n"/>
      <c r="L317" s="17" t="n"/>
      <c r="M317" s="18" t="inlineStr">
        <is>
          <t>O</t>
        </is>
      </c>
      <c r="N317" s="19" t="n"/>
      <c r="O317" s="20" t="n"/>
      <c r="P317" s="21">
        <f>IF($I317="","",IF($J317="O","3","")&amp;IF($K317="O","4","")&amp;IF($L317="O","6","")&amp;IF($M317="O","7","")&amp;IF($N317="O","8","")&amp;IF($O317="O","?","")&amp;IF(OR($J317="O",$K317="O",$L317="O",$M317="O",$N317="O",$O317="O"),"-","")&amp;$I317)</f>
        <v/>
      </c>
      <c r="Q317" s="110">
        <f>HYPERLINK("#'마스터_품목'!A468","→ 마스터 R468")</f>
        <v/>
      </c>
      <c r="R317" s="111" t="n">
        <v>468</v>
      </c>
      <c r="S317" s="111" t="inlineStr">
        <is>
          <t>마스터_품목</t>
        </is>
      </c>
    </row>
    <row r="318" ht="48" customHeight="1">
      <c r="A318" s="22" t="inlineStr">
        <is>
          <t>조립</t>
        </is>
      </c>
      <c r="B318" s="22" t="inlineStr">
        <is>
          <t>보드</t>
        </is>
      </c>
      <c r="C318" s="23" t="inlineStr">
        <is>
          <t>COCOON</t>
        </is>
      </c>
      <c r="D318" s="23" t="inlineStr">
        <is>
          <t>OP BD+TOUCH BD_ Ass'y
  (Atmega128)_FFC케이블 케넥트 수정 (신형)</t>
        </is>
      </c>
      <c r="E318" s="23" t="n"/>
      <c r="F318" s="24" t="n"/>
      <c r="G318" s="25" t="inlineStr">
        <is>
          <t>O</t>
        </is>
      </c>
      <c r="H318" s="26" t="n"/>
      <c r="I318" s="27">
        <f>IFERROR(IF(OR($F318="O",$G318="O",$H318="O"),CHOOSE(MATCH($A318,{"튜브","고압","진공","튜닝","조립","출하"},0),"T","H","V","N","A","P")&amp;IF($F318="O","R",IF($G318="O","A",IF($H318="O","F",""))),""),"")</f>
        <v/>
      </c>
      <c r="J318" s="15" t="n"/>
      <c r="K318" s="16" t="n"/>
      <c r="L318" s="17" t="n"/>
      <c r="M318" s="18" t="inlineStr">
        <is>
          <t>O</t>
        </is>
      </c>
      <c r="N318" s="19" t="n"/>
      <c r="O318" s="20" t="n"/>
      <c r="P318" s="21">
        <f>IF($I318="","",IF($J318="O","3","")&amp;IF($K318="O","4","")&amp;IF($L318="O","6","")&amp;IF($M318="O","7","")&amp;IF($N318="O","8","")&amp;IF($O318="O","?","")&amp;IF(OR($J318="O",$K318="O",$L318="O",$M318="O",$N318="O",$O318="O"),"-","")&amp;$I318)</f>
        <v/>
      </c>
      <c r="Q318" s="110">
        <f>HYPERLINK("#'마스터_품목'!A469","→ 마스터 R469")</f>
        <v/>
      </c>
      <c r="R318" s="111" t="n">
        <v>469</v>
      </c>
      <c r="S318" s="111" t="inlineStr">
        <is>
          <t>마스터_품목</t>
        </is>
      </c>
    </row>
    <row r="319" ht="48" customHeight="1">
      <c r="A319" s="22" t="inlineStr">
        <is>
          <t>조립</t>
        </is>
      </c>
      <c r="B319" s="22" t="inlineStr">
        <is>
          <t>ASS'Y</t>
        </is>
      </c>
      <c r="C319" s="23" t="inlineStr">
        <is>
          <t>COCOON 
메탈 실버 유광</t>
        </is>
      </c>
      <c r="D319" s="23" t="inlineStr">
        <is>
          <t>TOP BODY ASS'Y</t>
        </is>
      </c>
      <c r="E319" s="23" t="n"/>
      <c r="F319" s="24" t="n"/>
      <c r="G319" s="25" t="inlineStr">
        <is>
          <t>O</t>
        </is>
      </c>
      <c r="H319" s="26" t="n"/>
      <c r="I319" s="27">
        <f>IFERROR(IF(OR($F319="O",$G319="O",$H319="O"),CHOOSE(MATCH($A319,{"튜브","고압","진공","튜닝","조립","출하"},0),"T","H","V","N","A","P")&amp;IF($F319="O","R",IF($G319="O","A",IF($H319="O","F",""))),""),"")</f>
        <v/>
      </c>
      <c r="J319" s="15" t="n"/>
      <c r="K319" s="16" t="n"/>
      <c r="L319" s="17" t="n"/>
      <c r="M319" s="18" t="inlineStr">
        <is>
          <t>O</t>
        </is>
      </c>
      <c r="N319" s="19" t="n"/>
      <c r="O319" s="20" t="n"/>
      <c r="P319" s="21">
        <f>IF($I319="","",IF($J319="O","3","")&amp;IF($K319="O","4","")&amp;IF($L319="O","6","")&amp;IF($M319="O","7","")&amp;IF($N319="O","8","")&amp;IF($O319="O","?","")&amp;IF(OR($J319="O",$K319="O",$L319="O",$M319="O",$N319="O",$O319="O"),"-","")&amp;$I319)</f>
        <v/>
      </c>
      <c r="Q319" s="110">
        <f>HYPERLINK("#'마스터_품목'!A470","→ 마스터 R470")</f>
        <v/>
      </c>
      <c r="R319" s="111" t="n">
        <v>470</v>
      </c>
      <c r="S319" s="111" t="inlineStr">
        <is>
          <t>마스터_품목</t>
        </is>
      </c>
    </row>
    <row r="320" ht="48" customHeight="1">
      <c r="A320" s="22" t="inlineStr">
        <is>
          <t>조립</t>
        </is>
      </c>
      <c r="B320" s="22" t="inlineStr">
        <is>
          <t>ASS'Y</t>
        </is>
      </c>
      <c r="C320" s="23" t="inlineStr">
        <is>
          <t>COCOON 
메탈 실버 유광</t>
        </is>
      </c>
      <c r="D320" s="23" t="inlineStr">
        <is>
          <t>TOP BODY ASS'Y (cocoon 로고 없는것)</t>
        </is>
      </c>
      <c r="E320" s="23" t="n"/>
      <c r="F320" s="24" t="inlineStr">
        <is>
          <t xml:space="preserve">  </t>
        </is>
      </c>
      <c r="G320" s="25" t="inlineStr">
        <is>
          <t>O</t>
        </is>
      </c>
      <c r="H320" s="26" t="n"/>
      <c r="I320" s="27">
        <f>IFERROR(IF(OR($F320="O",$G320="O",$H320="O"),CHOOSE(MATCH($A320,{"튜브","고압","진공","튜닝","조립","출하"},0),"T","H","V","N","A","P")&amp;IF($F320="O","R",IF($G320="O","A",IF($H320="O","F",""))),""),"")</f>
        <v/>
      </c>
      <c r="J320" s="15" t="n"/>
      <c r="K320" s="16" t="n"/>
      <c r="L320" s="17" t="n"/>
      <c r="M320" s="18" t="inlineStr">
        <is>
          <t>O</t>
        </is>
      </c>
      <c r="N320" s="19" t="n"/>
      <c r="O320" s="20" t="n"/>
      <c r="P320" s="21">
        <f>IF($I320="","",IF($J320="O","3","")&amp;IF($K320="O","4","")&amp;IF($L320="O","6","")&amp;IF($M320="O","7","")&amp;IF($N320="O","8","")&amp;IF($O320="O","?","")&amp;IF(OR($J320="O",$K320="O",$L320="O",$M320="O",$N320="O",$O320="O"),"-","")&amp;$I320)</f>
        <v/>
      </c>
      <c r="Q320" s="110">
        <f>HYPERLINK("#'마스터_품목'!A471","→ 마스터 R471")</f>
        <v/>
      </c>
      <c r="R320" s="111" t="n">
        <v>471</v>
      </c>
      <c r="S320" s="111" t="inlineStr">
        <is>
          <t>마스터_품목</t>
        </is>
      </c>
    </row>
    <row r="321" ht="48" customHeight="1">
      <c r="A321" s="22" t="inlineStr">
        <is>
          <t>조립</t>
        </is>
      </c>
      <c r="B321" s="22" t="inlineStr">
        <is>
          <t>ASS'Y</t>
        </is>
      </c>
      <c r="C321" s="23" t="inlineStr">
        <is>
          <t>COCOON
화이트 케어스트림</t>
        </is>
      </c>
      <c r="D321" s="23" t="inlineStr">
        <is>
          <t>TOP BODY ASS'Y</t>
        </is>
      </c>
      <c r="E321" s="23" t="n"/>
      <c r="F321" s="24" t="n"/>
      <c r="G321" s="25" t="inlineStr">
        <is>
          <t>O</t>
        </is>
      </c>
      <c r="H321" s="26" t="n"/>
      <c r="I321" s="27">
        <f>IFERROR(IF(OR($F321="O",$G321="O",$H321="O"),CHOOSE(MATCH($A321,{"튜브","고압","진공","튜닝","조립","출하"},0),"T","H","V","N","A","P")&amp;IF($F321="O","R",IF($G321="O","A",IF($H321="O","F",""))),""),"")</f>
        <v/>
      </c>
      <c r="J321" s="15" t="n"/>
      <c r="K321" s="16" t="n"/>
      <c r="L321" s="17" t="n"/>
      <c r="M321" s="18" t="inlineStr">
        <is>
          <t>O</t>
        </is>
      </c>
      <c r="N321" s="19" t="n"/>
      <c r="O321" s="20" t="n"/>
      <c r="P321" s="21">
        <f>IF($I321="","",IF($J321="O","3","")&amp;IF($K321="O","4","")&amp;IF($L321="O","6","")&amp;IF($M321="O","7","")&amp;IF($N321="O","8","")&amp;IF($O321="O","?","")&amp;IF(OR($J321="O",$K321="O",$L321="O",$M321="O",$N321="O",$O321="O"),"-","")&amp;$I321)</f>
        <v/>
      </c>
      <c r="Q321" s="110">
        <f>HYPERLINK("#'마스터_품목'!A472","→ 마스터 R472")</f>
        <v/>
      </c>
      <c r="R321" s="111" t="n">
        <v>472</v>
      </c>
      <c r="S321" s="111" t="inlineStr">
        <is>
          <t>마스터_품목</t>
        </is>
      </c>
    </row>
    <row r="322" ht="48" customHeight="1">
      <c r="A322" s="22" t="inlineStr">
        <is>
          <t>조립</t>
        </is>
      </c>
      <c r="B322" s="22" t="inlineStr">
        <is>
          <t>ASS'Y</t>
        </is>
      </c>
      <c r="C322" s="23" t="inlineStr">
        <is>
          <t>COCOON 
블랙 유광</t>
        </is>
      </c>
      <c r="D322" s="23" t="inlineStr">
        <is>
          <t>BOTTOM BODY ASS'Y</t>
        </is>
      </c>
      <c r="E322" s="23" t="n"/>
      <c r="F322" s="24" t="n"/>
      <c r="G322" s="25" t="inlineStr">
        <is>
          <t>O</t>
        </is>
      </c>
      <c r="H322" s="26" t="n"/>
      <c r="I322" s="27">
        <f>IFERROR(IF(OR($F322="O",$G322="O",$H322="O"),CHOOSE(MATCH($A322,{"튜브","고압","진공","튜닝","조립","출하"},0),"T","H","V","N","A","P")&amp;IF($F322="O","R",IF($G322="O","A",IF($H322="O","F",""))),""),"")</f>
        <v/>
      </c>
      <c r="J322" s="15" t="n"/>
      <c r="K322" s="16" t="n"/>
      <c r="L322" s="17" t="n"/>
      <c r="M322" s="18" t="inlineStr">
        <is>
          <t>O</t>
        </is>
      </c>
      <c r="N322" s="19" t="n"/>
      <c r="O322" s="20" t="n"/>
      <c r="P322" s="21">
        <f>IF($I322="","",IF($J322="O","3","")&amp;IF($K322="O","4","")&amp;IF($L322="O","6","")&amp;IF($M322="O","7","")&amp;IF($N322="O","8","")&amp;IF($O322="O","?","")&amp;IF(OR($J322="O",$K322="O",$L322="O",$M322="O",$N322="O",$O322="O"),"-","")&amp;$I322)</f>
        <v/>
      </c>
      <c r="Q322" s="110">
        <f>HYPERLINK("#'마스터_품목'!A473","→ 마스터 R473")</f>
        <v/>
      </c>
      <c r="R322" s="111" t="n">
        <v>473</v>
      </c>
      <c r="S322" s="111" t="inlineStr">
        <is>
          <t>마스터_품목</t>
        </is>
      </c>
    </row>
    <row r="323" ht="48" customHeight="1">
      <c r="A323" s="22" t="inlineStr">
        <is>
          <t>조립</t>
        </is>
      </c>
      <c r="B323" s="22" t="inlineStr">
        <is>
          <t>ASS'Y</t>
        </is>
      </c>
      <c r="C323" s="23" t="inlineStr">
        <is>
          <t>COCOON
화이트 케어스트림</t>
        </is>
      </c>
      <c r="D323" s="23" t="inlineStr">
        <is>
          <t>BOTTOM BODY ASS'Y</t>
        </is>
      </c>
      <c r="E323" s="23" t="n"/>
      <c r="F323" s="24" t="n"/>
      <c r="G323" s="25" t="inlineStr">
        <is>
          <t>O</t>
        </is>
      </c>
      <c r="H323" s="26" t="n"/>
      <c r="I323" s="27">
        <f>IFERROR(IF(OR($F323="O",$G323="O",$H323="O"),CHOOSE(MATCH($A323,{"튜브","고압","진공","튜닝","조립","출하"},0),"T","H","V","N","A","P")&amp;IF($F323="O","R",IF($G323="O","A",IF($H323="O","F",""))),""),"")</f>
        <v/>
      </c>
      <c r="J323" s="15" t="n"/>
      <c r="K323" s="16" t="n"/>
      <c r="L323" s="17" t="n"/>
      <c r="M323" s="18" t="inlineStr">
        <is>
          <t>O</t>
        </is>
      </c>
      <c r="N323" s="19" t="n"/>
      <c r="O323" s="20" t="n"/>
      <c r="P323" s="21">
        <f>IF($I323="","",IF($J323="O","3","")&amp;IF($K323="O","4","")&amp;IF($L323="O","6","")&amp;IF($M323="O","7","")&amp;IF($N323="O","8","")&amp;IF($O323="O","?","")&amp;IF(OR($J323="O",$K323="O",$L323="O",$M323="O",$N323="O",$O323="O"),"-","")&amp;$I323)</f>
        <v/>
      </c>
      <c r="Q323" s="110">
        <f>HYPERLINK("#'마스터_품목'!A474","→ 마스터 R474")</f>
        <v/>
      </c>
      <c r="R323" s="111" t="n">
        <v>474</v>
      </c>
      <c r="S323" s="111" t="inlineStr">
        <is>
          <t>마스터_품목</t>
        </is>
      </c>
    </row>
    <row r="324" ht="48" customHeight="1">
      <c r="A324" s="22" t="inlineStr">
        <is>
          <t>조립</t>
        </is>
      </c>
      <c r="B324" s="22" t="inlineStr">
        <is>
          <t>ASS'Y</t>
        </is>
      </c>
      <c r="C324" s="23" t="inlineStr">
        <is>
          <t>COCOON</t>
        </is>
      </c>
      <c r="D324" s="23" t="inlineStr">
        <is>
          <t>에이밍 TOP BODY ASS'Y</t>
        </is>
      </c>
      <c r="E324" s="23" t="n"/>
      <c r="F324" s="24" t="n"/>
      <c r="G324" s="25" t="inlineStr">
        <is>
          <t>O</t>
        </is>
      </c>
      <c r="H324" s="26" t="n"/>
      <c r="I324" s="27">
        <f>IFERROR(IF(OR($F324="O",$G324="O",$H324="O"),CHOOSE(MATCH($A324,{"튜브","고압","진공","튜닝","조립","출하"},0),"T","H","V","N","A","P")&amp;IF($F324="O","R",IF($G324="O","A",IF($H324="O","F",""))),""),"")</f>
        <v/>
      </c>
      <c r="J324" s="15" t="n"/>
      <c r="K324" s="16" t="n"/>
      <c r="L324" s="17" t="n"/>
      <c r="M324" s="18" t="inlineStr">
        <is>
          <t>O</t>
        </is>
      </c>
      <c r="N324" s="19" t="n"/>
      <c r="O324" s="20" t="n"/>
      <c r="P324" s="21">
        <f>IF($I324="","",IF($J324="O","3","")&amp;IF($K324="O","4","")&amp;IF($L324="O","6","")&amp;IF($M324="O","7","")&amp;IF($N324="O","8","")&amp;IF($O324="O","?","")&amp;IF(OR($J324="O",$K324="O",$L324="O",$M324="O",$N324="O",$O324="O"),"-","")&amp;$I324)</f>
        <v/>
      </c>
      <c r="Q324" s="110">
        <f>HYPERLINK("#'마스터_품목'!A475","→ 마스터 R475")</f>
        <v/>
      </c>
      <c r="R324" s="111" t="n">
        <v>475</v>
      </c>
      <c r="S324" s="111" t="inlineStr">
        <is>
          <t>마스터_품목</t>
        </is>
      </c>
    </row>
    <row r="325" ht="48" customHeight="1">
      <c r="A325" s="22" t="inlineStr">
        <is>
          <t>조립</t>
        </is>
      </c>
      <c r="B325" s="22" t="inlineStr">
        <is>
          <t>ASS'Y</t>
        </is>
      </c>
      <c r="C325" s="23" t="inlineStr">
        <is>
          <t>COCOON 
메탈 실버 유광</t>
        </is>
      </c>
      <c r="D325" s="23" t="inlineStr">
        <is>
          <t>HANDLE ASS'Y</t>
        </is>
      </c>
      <c r="E325" s="23" t="n"/>
      <c r="F325" s="24" t="n"/>
      <c r="G325" s="25" t="inlineStr">
        <is>
          <t>O</t>
        </is>
      </c>
      <c r="H325" s="26" t="n"/>
      <c r="I325" s="27">
        <f>IFERROR(IF(OR($F325="O",$G325="O",$H325="O"),CHOOSE(MATCH($A325,{"튜브","고압","진공","튜닝","조립","출하"},0),"T","H","V","N","A","P")&amp;IF($F325="O","R",IF($G325="O","A",IF($H325="O","F",""))),""),"")</f>
        <v/>
      </c>
      <c r="J325" s="15" t="n"/>
      <c r="K325" s="16" t="n"/>
      <c r="L325" s="17" t="n"/>
      <c r="M325" s="18" t="inlineStr">
        <is>
          <t>O</t>
        </is>
      </c>
      <c r="N325" s="19" t="n"/>
      <c r="O325" s="20" t="n"/>
      <c r="P325" s="21">
        <f>IF($I325="","",IF($J325="O","3","")&amp;IF($K325="O","4","")&amp;IF($L325="O","6","")&amp;IF($M325="O","7","")&amp;IF($N325="O","8","")&amp;IF($O325="O","?","")&amp;IF(OR($J325="O",$K325="O",$L325="O",$M325="O",$N325="O",$O325="O"),"-","")&amp;$I325)</f>
        <v/>
      </c>
      <c r="Q325" s="110">
        <f>HYPERLINK("#'마스터_품목'!A476","→ 마스터 R476")</f>
        <v/>
      </c>
      <c r="R325" s="111" t="n">
        <v>476</v>
      </c>
      <c r="S325" s="111" t="inlineStr">
        <is>
          <t>마스터_품목</t>
        </is>
      </c>
    </row>
    <row r="326" ht="48" customHeight="1">
      <c r="A326" s="22" t="inlineStr">
        <is>
          <t>조립</t>
        </is>
      </c>
      <c r="B326" s="22" t="inlineStr">
        <is>
          <t>ASS'Y</t>
        </is>
      </c>
      <c r="C326" s="23" t="inlineStr">
        <is>
          <t>COCOON 
메탈 실버 유광</t>
        </is>
      </c>
      <c r="D326" s="23" t="inlineStr">
        <is>
          <t>HANDLE ASS'Y
(리모콘 적용 + BAT BOTTOM + 배터리 없는것)</t>
        </is>
      </c>
      <c r="E326" s="23" t="n"/>
      <c r="F326" s="24" t="n"/>
      <c r="G326" s="25" t="inlineStr">
        <is>
          <t>O</t>
        </is>
      </c>
      <c r="H326" s="26" t="n"/>
      <c r="I326" s="27">
        <f>IFERROR(IF(OR($F326="O",$G326="O",$H326="O"),CHOOSE(MATCH($A326,{"튜브","고압","진공","튜닝","조립","출하"},0),"T","H","V","N","A","P")&amp;IF($F326="O","R",IF($G326="O","A",IF($H326="O","F",""))),""),"")</f>
        <v/>
      </c>
      <c r="J326" s="15" t="n"/>
      <c r="K326" s="16" t="n"/>
      <c r="L326" s="17" t="n"/>
      <c r="M326" s="18" t="inlineStr">
        <is>
          <t>O</t>
        </is>
      </c>
      <c r="N326" s="19" t="n"/>
      <c r="O326" s="20" t="n"/>
      <c r="P326" s="21">
        <f>IF($I326="","",IF($J326="O","3","")&amp;IF($K326="O","4","")&amp;IF($L326="O","6","")&amp;IF($M326="O","7","")&amp;IF($N326="O","8","")&amp;IF($O326="O","?","")&amp;IF(OR($J326="O",$K326="O",$L326="O",$M326="O",$N326="O",$O326="O"),"-","")&amp;$I326)</f>
        <v/>
      </c>
      <c r="Q326" s="110">
        <f>HYPERLINK("#'마스터_품목'!A477","→ 마스터 R477")</f>
        <v/>
      </c>
      <c r="R326" s="111" t="n">
        <v>477</v>
      </c>
      <c r="S326" s="111" t="inlineStr">
        <is>
          <t>마스터_품목</t>
        </is>
      </c>
    </row>
    <row r="327" ht="48" customHeight="1">
      <c r="A327" s="22" t="inlineStr">
        <is>
          <t>조립</t>
        </is>
      </c>
      <c r="B327" s="22" t="inlineStr">
        <is>
          <t>ASS'Y</t>
        </is>
      </c>
      <c r="C327" s="23" t="inlineStr">
        <is>
          <t>COCOON
화이트 케어스트림</t>
        </is>
      </c>
      <c r="D327" s="23" t="inlineStr">
        <is>
          <t>HANDLE ASS'Y</t>
        </is>
      </c>
      <c r="E327" s="23" t="n"/>
      <c r="F327" s="24" t="n"/>
      <c r="G327" s="25" t="inlineStr">
        <is>
          <t>O</t>
        </is>
      </c>
      <c r="H327" s="26" t="n"/>
      <c r="I327" s="27">
        <f>IFERROR(IF(OR($F327="O",$G327="O",$H327="O"),CHOOSE(MATCH($A327,{"튜브","고압","진공","튜닝","조립","출하"},0),"T","H","V","N","A","P")&amp;IF($F327="O","R",IF($G327="O","A",IF($H327="O","F",""))),""),"")</f>
        <v/>
      </c>
      <c r="J327" s="15" t="n"/>
      <c r="K327" s="16" t="n"/>
      <c r="L327" s="17" t="n"/>
      <c r="M327" s="18" t="inlineStr">
        <is>
          <t>O</t>
        </is>
      </c>
      <c r="N327" s="19" t="n"/>
      <c r="O327" s="20" t="n"/>
      <c r="P327" s="21">
        <f>IF($I327="","",IF($J327="O","3","")&amp;IF($K327="O","4","")&amp;IF($L327="O","6","")&amp;IF($M327="O","7","")&amp;IF($N327="O","8","")&amp;IF($O327="O","?","")&amp;IF(OR($J327="O",$K327="O",$L327="O",$M327="O",$N327="O",$O327="O"),"-","")&amp;$I327)</f>
        <v/>
      </c>
      <c r="Q327" s="110">
        <f>HYPERLINK("#'마스터_품목'!A478","→ 마스터 R478")</f>
        <v/>
      </c>
      <c r="R327" s="111" t="n">
        <v>478</v>
      </c>
      <c r="S327" s="111" t="inlineStr">
        <is>
          <t>마스터_품목</t>
        </is>
      </c>
    </row>
    <row r="328" ht="48" customHeight="1">
      <c r="A328" s="22" t="inlineStr">
        <is>
          <t>조립</t>
        </is>
      </c>
      <c r="B328" s="22" t="inlineStr">
        <is>
          <t>ASS'Y</t>
        </is>
      </c>
      <c r="C328" s="23" t="inlineStr">
        <is>
          <t>COCOON 
블랙 유광</t>
        </is>
      </c>
      <c r="D328" s="23" t="inlineStr">
        <is>
          <t>CRADLE ASS'Y</t>
        </is>
      </c>
      <c r="E328" s="23" t="n"/>
      <c r="F328" s="24" t="n"/>
      <c r="G328" s="25" t="inlineStr">
        <is>
          <t>O</t>
        </is>
      </c>
      <c r="H328" s="26" t="n"/>
      <c r="I328" s="27">
        <f>IFERROR(IF(OR($F328="O",$G328="O",$H328="O"),CHOOSE(MATCH($A328,{"튜브","고압","진공","튜닝","조립","출하"},0),"T","H","V","N","A","P")&amp;IF($F328="O","R",IF($G328="O","A",IF($H328="O","F",""))),""),"")</f>
        <v/>
      </c>
      <c r="J328" s="15" t="n"/>
      <c r="K328" s="16" t="n"/>
      <c r="L328" s="17" t="n"/>
      <c r="M328" s="18" t="inlineStr">
        <is>
          <t>O</t>
        </is>
      </c>
      <c r="N328" s="19" t="n"/>
      <c r="O328" s="20" t="n"/>
      <c r="P328" s="21">
        <f>IF($I328="","",IF($J328="O","3","")&amp;IF($K328="O","4","")&amp;IF($L328="O","6","")&amp;IF($M328="O","7","")&amp;IF($N328="O","8","")&amp;IF($O328="O","?","")&amp;IF(OR($J328="O",$K328="O",$L328="O",$M328="O",$N328="O",$O328="O"),"-","")&amp;$I328)</f>
        <v/>
      </c>
      <c r="Q328" s="110">
        <f>HYPERLINK("#'마스터_품목'!A479","→ 마스터 R479")</f>
        <v/>
      </c>
      <c r="R328" s="111" t="n">
        <v>479</v>
      </c>
      <c r="S328" s="111" t="inlineStr">
        <is>
          <t>마스터_품목</t>
        </is>
      </c>
    </row>
    <row r="329" ht="48" customHeight="1">
      <c r="A329" s="22" t="inlineStr">
        <is>
          <t>조립</t>
        </is>
      </c>
      <c r="B329" s="22" t="inlineStr">
        <is>
          <t>ASS'Y</t>
        </is>
      </c>
      <c r="C329" s="23" t="inlineStr">
        <is>
          <t>COCOON
화이트 케어스트림</t>
        </is>
      </c>
      <c r="D329" s="23" t="inlineStr">
        <is>
          <t>CRADLE ASS'Y</t>
        </is>
      </c>
      <c r="E329" s="23" t="n"/>
      <c r="F329" s="24" t="n"/>
      <c r="G329" s="25" t="inlineStr">
        <is>
          <t>O</t>
        </is>
      </c>
      <c r="H329" s="26" t="n"/>
      <c r="I329" s="27">
        <f>IFERROR(IF(OR($F329="O",$G329="O",$H329="O"),CHOOSE(MATCH($A329,{"튜브","고압","진공","튜닝","조립","출하"},0),"T","H","V","N","A","P")&amp;IF($F329="O","R",IF($G329="O","A",IF($H329="O","F",""))),""),"")</f>
        <v/>
      </c>
      <c r="J329" s="15" t="n"/>
      <c r="K329" s="16" t="n"/>
      <c r="L329" s="17" t="n"/>
      <c r="M329" s="18" t="inlineStr">
        <is>
          <t>O</t>
        </is>
      </c>
      <c r="N329" s="19" t="n"/>
      <c r="O329" s="20" t="n"/>
      <c r="P329" s="21">
        <f>IF($I329="","",IF($J329="O","3","")&amp;IF($K329="O","4","")&amp;IF($L329="O","6","")&amp;IF($M329="O","7","")&amp;IF($N329="O","8","")&amp;IF($O329="O","?","")&amp;IF(OR($J329="O",$K329="O",$L329="O",$M329="O",$N329="O",$O329="O"),"-","")&amp;$I329)</f>
        <v/>
      </c>
      <c r="Q329" s="110">
        <f>HYPERLINK("#'마스터_품목'!A480","→ 마스터 R480")</f>
        <v/>
      </c>
      <c r="R329" s="111" t="n">
        <v>480</v>
      </c>
      <c r="S329" s="111" t="inlineStr">
        <is>
          <t>마스터_품목</t>
        </is>
      </c>
    </row>
    <row r="330" ht="48" customHeight="1">
      <c r="A330" s="22" t="inlineStr">
        <is>
          <t>조립</t>
        </is>
      </c>
      <c r="B330" s="22" t="inlineStr">
        <is>
          <t>에이밍</t>
        </is>
      </c>
      <c r="C330" s="23" t="inlineStr">
        <is>
          <t>COCOON</t>
        </is>
      </c>
      <c r="D330" s="23" t="inlineStr">
        <is>
          <t>코쿤 에이밍 십자 아크릴 (사각 모양)</t>
        </is>
      </c>
      <c r="E330" s="23" t="inlineStr">
        <is>
          <t>에이밍 십자 아크릴 (사각 모양) (투명 아크릴 + 인쇄)
[COCOON]</t>
        </is>
      </c>
      <c r="F330" s="24" t="inlineStr">
        <is>
          <t>O</t>
        </is>
      </c>
      <c r="G330" s="25" t="n"/>
      <c r="H330" s="26" t="n"/>
      <c r="I330" s="27">
        <f>IFERROR(IF(OR($F330="O",$G330="O",$H330="O"),CHOOSE(MATCH($A330,{"튜브","고압","진공","튜닝","조립","출하"},0),"T","H","V","N","A","P")&amp;IF($F330="O","R",IF($G330="O","A",IF($H330="O","F",""))),""),"")</f>
        <v/>
      </c>
      <c r="J330" s="15" t="n"/>
      <c r="K330" s="16" t="n"/>
      <c r="L330" s="17" t="n"/>
      <c r="M330" s="18" t="inlineStr">
        <is>
          <t>O</t>
        </is>
      </c>
      <c r="N330" s="19" t="inlineStr">
        <is>
          <t>O</t>
        </is>
      </c>
      <c r="O330" s="20" t="n"/>
      <c r="P330" s="21">
        <f>IF($I330="","",IF($J330="O","3","")&amp;IF($K330="O","4","")&amp;IF($L330="O","6","")&amp;IF($M330="O","7","")&amp;IF($N330="O","8","")&amp;IF($O330="O","?","")&amp;IF(OR($J330="O",$K330="O",$L330="O",$M330="O",$N330="O",$O330="O"),"-","")&amp;$I330)</f>
        <v/>
      </c>
      <c r="Q330" s="110">
        <f>HYPERLINK("#'마스터_품목'!A481","→ 마스터 R481")</f>
        <v/>
      </c>
      <c r="R330" s="111" t="n">
        <v>481</v>
      </c>
      <c r="S330" s="111" t="inlineStr">
        <is>
          <t>마스터_품목</t>
        </is>
      </c>
    </row>
    <row r="331" ht="48" customHeight="1">
      <c r="A331" s="22" t="inlineStr">
        <is>
          <t>조립</t>
        </is>
      </c>
      <c r="B331" s="22" t="inlineStr">
        <is>
          <t>에이밍</t>
        </is>
      </c>
      <c r="C331" s="23" t="inlineStr">
        <is>
          <t>COCOON</t>
        </is>
      </c>
      <c r="D331" s="23" t="inlineStr">
        <is>
          <t>원형 십자 아크릴 1 (테두리 두껍게 있는 것) 2.0T - 영국용</t>
        </is>
      </c>
      <c r="E331" s="23" t="inlineStr">
        <is>
          <t>에이밍 원형 십자 아크릴 (테두리 O) 2.0T (투명 아크릴 + 인쇄 2T - 영국용)
[COCOON]</t>
        </is>
      </c>
      <c r="F331" s="24" t="inlineStr">
        <is>
          <t>O</t>
        </is>
      </c>
      <c r="G331" s="25" t="n"/>
      <c r="H331" s="26" t="n"/>
      <c r="I331" s="27">
        <f>IFERROR(IF(OR($F331="O",$G331="O",$H331="O"),CHOOSE(MATCH($A331,{"튜브","고압","진공","튜닝","조립","출하"},0),"T","H","V","N","A","P")&amp;IF($F331="O","R",IF($G331="O","A",IF($H331="O","F",""))),""),"")</f>
        <v/>
      </c>
      <c r="J331" s="15" t="n"/>
      <c r="K331" s="16" t="n"/>
      <c r="L331" s="17" t="n"/>
      <c r="M331" s="18" t="inlineStr">
        <is>
          <t>O</t>
        </is>
      </c>
      <c r="N331" s="19" t="inlineStr">
        <is>
          <t>O</t>
        </is>
      </c>
      <c r="O331" s="20" t="n"/>
      <c r="P331" s="21">
        <f>IF($I331="","",IF($J331="O","3","")&amp;IF($K331="O","4","")&amp;IF($L331="O","6","")&amp;IF($M331="O","7","")&amp;IF($N331="O","8","")&amp;IF($O331="O","?","")&amp;IF(OR($J331="O",$K331="O",$L331="O",$M331="O",$N331="O",$O331="O"),"-","")&amp;$I331)</f>
        <v/>
      </c>
      <c r="Q331" s="110">
        <f>HYPERLINK("#'마스터_품목'!A482","→ 마스터 R482")</f>
        <v/>
      </c>
      <c r="R331" s="111" t="n">
        <v>482</v>
      </c>
      <c r="S331" s="111" t="inlineStr">
        <is>
          <t>마스터_품목</t>
        </is>
      </c>
    </row>
    <row r="332" ht="48" customHeight="1">
      <c r="A332" s="22" t="inlineStr">
        <is>
          <t>조립</t>
        </is>
      </c>
      <c r="B332" s="22" t="inlineStr">
        <is>
          <t>에이밍</t>
        </is>
      </c>
      <c r="C332" s="23" t="inlineStr">
        <is>
          <t>COCOON</t>
        </is>
      </c>
      <c r="D332" s="23" t="inlineStr">
        <is>
          <t>원형 십자 아크릴 1 (테두리 얇게 있는 것) 2.0T</t>
        </is>
      </c>
      <c r="E332" s="23" t="inlineStr">
        <is>
          <t>에이밍 원형 십자 아크릴 (테두리 O) 2.0T (투명 아크릴 + 인쇄 2T - 얇은 테두리)
[COCOON]</t>
        </is>
      </c>
      <c r="F332" s="24" t="inlineStr">
        <is>
          <t>O</t>
        </is>
      </c>
      <c r="G332" s="25" t="n"/>
      <c r="H332" s="26" t="n"/>
      <c r="I332" s="27">
        <f>IFERROR(IF(OR($F332="O",$G332="O",$H332="O"),CHOOSE(MATCH($A332,{"튜브","고압","진공","튜닝","조립","출하"},0),"T","H","V","N","A","P")&amp;IF($F332="O","R",IF($G332="O","A",IF($H332="O","F",""))),""),"")</f>
        <v/>
      </c>
      <c r="J332" s="15" t="n"/>
      <c r="K332" s="16" t="n"/>
      <c r="L332" s="17" t="n"/>
      <c r="M332" s="18" t="inlineStr">
        <is>
          <t>O</t>
        </is>
      </c>
      <c r="N332" s="19" t="inlineStr">
        <is>
          <t>O</t>
        </is>
      </c>
      <c r="O332" s="20" t="n"/>
      <c r="P332" s="21">
        <f>IF($I332="","",IF($J332="O","3","")&amp;IF($K332="O","4","")&amp;IF($L332="O","6","")&amp;IF($M332="O","7","")&amp;IF($N332="O","8","")&amp;IF($O332="O","?","")&amp;IF(OR($J332="O",$K332="O",$L332="O",$M332="O",$N332="O",$O332="O"),"-","")&amp;$I332)</f>
        <v/>
      </c>
      <c r="Q332" s="110">
        <f>HYPERLINK("#'마스터_품목'!A483","→ 마스터 R483")</f>
        <v/>
      </c>
      <c r="R332" s="111" t="n">
        <v>483</v>
      </c>
      <c r="S332" s="111" t="inlineStr">
        <is>
          <t>마스터_품목</t>
        </is>
      </c>
    </row>
    <row r="333" ht="48" customHeight="1">
      <c r="A333" s="22" t="inlineStr">
        <is>
          <t>조립</t>
        </is>
      </c>
      <c r="B333" s="22" t="inlineStr">
        <is>
          <t>에이밍</t>
        </is>
      </c>
      <c r="C333" s="23" t="inlineStr">
        <is>
          <t>COCOON</t>
        </is>
      </c>
      <c r="D333" s="23" t="inlineStr">
        <is>
          <t>원형 십자 아크릴 2 (테두리 없는 것) 2.0T - 사파리용</t>
        </is>
      </c>
      <c r="E333" s="23" t="inlineStr">
        <is>
          <t>에이밍 원형 십자 아크릴 (테두리 X) 2.0T (투명 아크릴 + 인쇄 2T -사파리용)
[COCOON]</t>
        </is>
      </c>
      <c r="F333" s="24" t="inlineStr">
        <is>
          <t>O</t>
        </is>
      </c>
      <c r="G333" s="25" t="n"/>
      <c r="H333" s="26" t="n"/>
      <c r="I333" s="27">
        <f>IFERROR(IF(OR($F333="O",$G333="O",$H333="O"),CHOOSE(MATCH($A333,{"튜브","고압","진공","튜닝","조립","출하"},0),"T","H","V","N","A","P")&amp;IF($F333="O","R",IF($G333="O","A",IF($H333="O","F",""))),""),"")</f>
        <v/>
      </c>
      <c r="J333" s="15" t="n"/>
      <c r="K333" s="16" t="n"/>
      <c r="L333" s="17" t="n"/>
      <c r="M333" s="18" t="inlineStr">
        <is>
          <t>O</t>
        </is>
      </c>
      <c r="N333" s="19" t="inlineStr">
        <is>
          <t>O</t>
        </is>
      </c>
      <c r="O333" s="20" t="n"/>
      <c r="P333" s="21">
        <f>IF($I333="","",IF($J333="O","3","")&amp;IF($K333="O","4","")&amp;IF($L333="O","6","")&amp;IF($M333="O","7","")&amp;IF($N333="O","8","")&amp;IF($O333="O","?","")&amp;IF(OR($J333="O",$K333="O",$L333="O",$M333="O",$N333="O",$O333="O"),"-","")&amp;$I333)</f>
        <v/>
      </c>
      <c r="Q333" s="110">
        <f>HYPERLINK("#'마스터_품목'!A484","→ 마스터 R484")</f>
        <v/>
      </c>
      <c r="R333" s="111" t="n">
        <v>484</v>
      </c>
      <c r="S333" s="111" t="inlineStr">
        <is>
          <t>마스터_품목</t>
        </is>
      </c>
    </row>
    <row r="334" ht="48" customHeight="1">
      <c r="A334" s="22" t="inlineStr">
        <is>
          <t>조립</t>
        </is>
      </c>
      <c r="B334" s="22" t="inlineStr">
        <is>
          <t>에이밍</t>
        </is>
      </c>
      <c r="C334" s="23" t="inlineStr">
        <is>
          <t>COCOON
블랙 유광</t>
        </is>
      </c>
      <c r="D334" s="23" t="inlineStr">
        <is>
          <t>사각 앞사출</t>
        </is>
      </c>
      <c r="E334" s="23" t="inlineStr">
        <is>
          <t>에이밍 앞 사출 (블랙 유광)
[COCOON]</t>
        </is>
      </c>
      <c r="F334" s="24" t="inlineStr">
        <is>
          <t>O</t>
        </is>
      </c>
      <c r="G334" s="25" t="n"/>
      <c r="H334" s="26" t="n"/>
      <c r="I334" s="27">
        <f>IFERROR(IF(OR($F334="O",$G334="O",$H334="O"),CHOOSE(MATCH($A334,{"튜브","고압","진공","튜닝","조립","출하"},0),"T","H","V","N","A","P")&amp;IF($F334="O","R",IF($G334="O","A",IF($H334="O","F",""))),""),"")</f>
        <v/>
      </c>
      <c r="J334" s="15" t="n"/>
      <c r="K334" s="16" t="n"/>
      <c r="L334" s="17" t="n"/>
      <c r="M334" s="18" t="inlineStr">
        <is>
          <t>O</t>
        </is>
      </c>
      <c r="N334" s="19" t="n"/>
      <c r="O334" s="20" t="n"/>
      <c r="P334" s="21">
        <f>IF($I334="","",IF($J334="O","3","")&amp;IF($K334="O","4","")&amp;IF($L334="O","6","")&amp;IF($M334="O","7","")&amp;IF($N334="O","8","")&amp;IF($O334="O","?","")&amp;IF(OR($J334="O",$K334="O",$L334="O",$M334="O",$N334="O",$O334="O"),"-","")&amp;$I334)</f>
        <v/>
      </c>
      <c r="Q334" s="110">
        <f>HYPERLINK("#'마스터_품목'!A485","→ 마스터 R485")</f>
        <v/>
      </c>
      <c r="R334" s="111" t="n">
        <v>485</v>
      </c>
      <c r="S334" s="111" t="inlineStr">
        <is>
          <t>마스터_품목</t>
        </is>
      </c>
    </row>
    <row r="335" ht="48" customHeight="1">
      <c r="A335" s="22" t="inlineStr">
        <is>
          <t>조립</t>
        </is>
      </c>
      <c r="B335" s="22" t="inlineStr">
        <is>
          <t>에이밍</t>
        </is>
      </c>
      <c r="C335" s="23" t="inlineStr">
        <is>
          <t>COCOON</t>
        </is>
      </c>
      <c r="D335" s="23" t="inlineStr">
        <is>
          <t>에이밍 라이트 은경</t>
        </is>
      </c>
      <c r="E335" s="23" t="inlineStr">
        <is>
          <t>에이밍 아크릴 은경 (아크릴)
[COCOON]</t>
        </is>
      </c>
      <c r="F335" s="24" t="inlineStr">
        <is>
          <t>O</t>
        </is>
      </c>
      <c r="G335" s="25" t="n"/>
      <c r="H335" s="26" t="n"/>
      <c r="I335" s="27">
        <f>IFERROR(IF(OR($F335="O",$G335="O",$H335="O"),CHOOSE(MATCH($A335,{"튜브","고압","진공","튜닝","조립","출하"},0),"T","H","V","N","A","P")&amp;IF($F335="O","R",IF($G335="O","A",IF($H335="O","F",""))),""),"")</f>
        <v/>
      </c>
      <c r="J335" s="15" t="n"/>
      <c r="K335" s="16" t="n"/>
      <c r="L335" s="17" t="n"/>
      <c r="M335" s="18" t="inlineStr">
        <is>
          <t>O</t>
        </is>
      </c>
      <c r="N335" s="19" t="n"/>
      <c r="O335" s="20" t="n"/>
      <c r="P335" s="21">
        <f>IF($I335="","",IF($J335="O","3","")&amp;IF($K335="O","4","")&amp;IF($L335="O","6","")&amp;IF($M335="O","7","")&amp;IF($N335="O","8","")&amp;IF($O335="O","?","")&amp;IF(OR($J335="O",$K335="O",$L335="O",$M335="O",$N335="O",$O335="O"),"-","")&amp;$I335)</f>
        <v/>
      </c>
      <c r="Q335" s="110">
        <f>HYPERLINK("#'마스터_품목'!A486","→ 마스터 R486")</f>
        <v/>
      </c>
      <c r="R335" s="111" t="n">
        <v>486</v>
      </c>
      <c r="S335" s="111" t="inlineStr">
        <is>
          <t>마스터_품목</t>
        </is>
      </c>
    </row>
    <row r="336" ht="48" customHeight="1">
      <c r="A336" s="22" t="inlineStr">
        <is>
          <t>조립</t>
        </is>
      </c>
      <c r="B336" s="22" t="inlineStr">
        <is>
          <t>에이밍</t>
        </is>
      </c>
      <c r="C336" s="23" t="inlineStr">
        <is>
          <t>COCOON
블랙</t>
        </is>
      </c>
      <c r="D336" s="23" t="inlineStr">
        <is>
          <t>LED BODY A (블랙_원형)</t>
        </is>
      </c>
      <c r="E336" s="23" t="inlineStr">
        <is>
          <t>에이밍 LED BODY 신형 A
[COCOON]</t>
        </is>
      </c>
      <c r="F336" s="24" t="inlineStr">
        <is>
          <t>O</t>
        </is>
      </c>
      <c r="G336" s="25" t="n"/>
      <c r="H336" s="26" t="n"/>
      <c r="I336" s="27">
        <f>IFERROR(IF(OR($F336="O",$G336="O",$H336="O"),CHOOSE(MATCH($A336,{"튜브","고압","진공","튜닝","조립","출하"},0),"T","H","V","N","A","P")&amp;IF($F336="O","R",IF($G336="O","A",IF($H336="O","F",""))),""),"")</f>
        <v/>
      </c>
      <c r="J336" s="15" t="n"/>
      <c r="K336" s="16" t="n"/>
      <c r="L336" s="17" t="n"/>
      <c r="M336" s="18" t="inlineStr">
        <is>
          <t>O</t>
        </is>
      </c>
      <c r="N336" s="19" t="n"/>
      <c r="O336" s="20" t="n"/>
      <c r="P336" s="21">
        <f>IF($I336="","",IF($J336="O","3","")&amp;IF($K336="O","4","")&amp;IF($L336="O","6","")&amp;IF($M336="O","7","")&amp;IF($N336="O","8","")&amp;IF($O336="O","?","")&amp;IF(OR($J336="O",$K336="O",$L336="O",$M336="O",$N336="O",$O336="O"),"-","")&amp;$I336)</f>
        <v/>
      </c>
      <c r="Q336" s="110">
        <f>HYPERLINK("#'마스터_품목'!A487","→ 마스터 R487")</f>
        <v/>
      </c>
      <c r="R336" s="111" t="n">
        <v>487</v>
      </c>
      <c r="S336" s="111" t="inlineStr">
        <is>
          <t>마스터_품목</t>
        </is>
      </c>
    </row>
    <row r="337" ht="48" customHeight="1">
      <c r="A337" s="22" t="inlineStr">
        <is>
          <t>조립</t>
        </is>
      </c>
      <c r="B337" s="22" t="inlineStr">
        <is>
          <t>에이밍</t>
        </is>
      </c>
      <c r="C337" s="23" t="inlineStr">
        <is>
          <t>COCOON
블랙</t>
        </is>
      </c>
      <c r="D337" s="23" t="inlineStr">
        <is>
          <t>LED BODY B (블랙_사각형)</t>
        </is>
      </c>
      <c r="E337" s="23" t="inlineStr">
        <is>
          <t>에이밍 LED BODY 신형 B
[COCOON]</t>
        </is>
      </c>
      <c r="F337" s="24" t="inlineStr">
        <is>
          <t>O</t>
        </is>
      </c>
      <c r="G337" s="25" t="n"/>
      <c r="H337" s="26" t="n"/>
      <c r="I337" s="27">
        <f>IFERROR(IF(OR($F337="O",$G337="O",$H337="O"),CHOOSE(MATCH($A337,{"튜브","고압","진공","튜닝","조립","출하"},0),"T","H","V","N","A","P")&amp;IF($F337="O","R",IF($G337="O","A",IF($H337="O","F",""))),""),"")</f>
        <v/>
      </c>
      <c r="J337" s="15" t="n"/>
      <c r="K337" s="16" t="n"/>
      <c r="L337" s="17" t="n"/>
      <c r="M337" s="18" t="inlineStr">
        <is>
          <t>O</t>
        </is>
      </c>
      <c r="N337" s="19" t="n"/>
      <c r="O337" s="20" t="n"/>
      <c r="P337" s="21">
        <f>IF($I337="","",IF($J337="O","3","")&amp;IF($K337="O","4","")&amp;IF($L337="O","6","")&amp;IF($M337="O","7","")&amp;IF($N337="O","8","")&amp;IF($O337="O","?","")&amp;IF(OR($J337="O",$K337="O",$L337="O",$M337="O",$N337="O",$O337="O"),"-","")&amp;$I337)</f>
        <v/>
      </c>
      <c r="Q337" s="110">
        <f>HYPERLINK("#'마스터_품목'!A488","→ 마스터 R488")</f>
        <v/>
      </c>
      <c r="R337" s="111" t="n">
        <v>488</v>
      </c>
      <c r="S337" s="111" t="inlineStr">
        <is>
          <t>마스터_품목</t>
        </is>
      </c>
    </row>
    <row r="338" ht="48" customHeight="1">
      <c r="A338" s="22" t="inlineStr">
        <is>
          <t>조립</t>
        </is>
      </c>
      <c r="B338" s="22" t="inlineStr">
        <is>
          <t>에이밍</t>
        </is>
      </c>
      <c r="C338" s="23" t="inlineStr">
        <is>
          <t>COCOON</t>
        </is>
      </c>
      <c r="D338" s="23" t="inlineStr">
        <is>
          <t>에이밍 은경 + LED BD ASS'Y</t>
        </is>
      </c>
      <c r="E338" s="23" t="n"/>
      <c r="F338" s="24" t="n"/>
      <c r="G338" s="25" t="inlineStr">
        <is>
          <t>O</t>
        </is>
      </c>
      <c r="H338" s="26" t="n"/>
      <c r="I338" s="27">
        <f>IFERROR(IF(OR($F338="O",$G338="O",$H338="O"),CHOOSE(MATCH($A338,{"튜브","고압","진공","튜닝","조립","출하"},0),"T","H","V","N","A","P")&amp;IF($F338="O","R",IF($G338="O","A",IF($H338="O","F",""))),""),"")</f>
        <v/>
      </c>
      <c r="J338" s="15" t="n"/>
      <c r="K338" s="16" t="n"/>
      <c r="L338" s="17" t="n"/>
      <c r="M338" s="18" t="inlineStr">
        <is>
          <t>O</t>
        </is>
      </c>
      <c r="N338" s="19" t="n"/>
      <c r="O338" s="20" t="n"/>
      <c r="P338" s="21">
        <f>IF($I338="","",IF($J338="O","3","")&amp;IF($K338="O","4","")&amp;IF($L338="O","6","")&amp;IF($M338="O","7","")&amp;IF($N338="O","8","")&amp;IF($O338="O","?","")&amp;IF(OR($J338="O",$K338="O",$L338="O",$M338="O",$N338="O",$O338="O"),"-","")&amp;$I338)</f>
        <v/>
      </c>
      <c r="Q338" s="110">
        <f>HYPERLINK("#'마스터_품목'!A489","→ 마스터 R489")</f>
        <v/>
      </c>
      <c r="R338" s="111" t="n">
        <v>489</v>
      </c>
      <c r="S338" s="111" t="inlineStr">
        <is>
          <t>마스터_품목</t>
        </is>
      </c>
    </row>
    <row r="339" ht="48" customHeight="1">
      <c r="A339" s="22" t="inlineStr">
        <is>
          <t>조립</t>
        </is>
      </c>
      <c r="B339" s="22" t="inlineStr">
        <is>
          <t>에이밍</t>
        </is>
      </c>
      <c r="C339" s="23" t="inlineStr">
        <is>
          <t>COCOON</t>
        </is>
      </c>
      <c r="D339" s="23" t="inlineStr">
        <is>
          <t>에이밍 젠더 (가공품)</t>
        </is>
      </c>
      <c r="E339" s="23" t="inlineStr">
        <is>
          <t>에이밍 방사구 젠더
[COCOON]</t>
        </is>
      </c>
      <c r="F339" s="24" t="inlineStr">
        <is>
          <t>O</t>
        </is>
      </c>
      <c r="G339" s="25" t="n"/>
      <c r="H339" s="26" t="n"/>
      <c r="I339" s="27">
        <f>IFERROR(IF(OR($F339="O",$G339="O",$H339="O"),CHOOSE(MATCH($A339,{"튜브","고압","진공","튜닝","조립","출하"},0),"T","H","V","N","A","P")&amp;IF($F339="O","R",IF($G339="O","A",IF($H339="O","F",""))),""),"")</f>
        <v/>
      </c>
      <c r="J339" s="15" t="n"/>
      <c r="K339" s="16" t="n"/>
      <c r="L339" s="17" t="n"/>
      <c r="M339" s="18" t="inlineStr">
        <is>
          <t>O</t>
        </is>
      </c>
      <c r="N339" s="19" t="n"/>
      <c r="O339" s="20" t="n"/>
      <c r="P339" s="21">
        <f>IF($I339="","",IF($J339="O","3","")&amp;IF($K339="O","4","")&amp;IF($L339="O","6","")&amp;IF($M339="O","7","")&amp;IF($N339="O","8","")&amp;IF($O339="O","?","")&amp;IF(OR($J339="O",$K339="O",$L339="O",$M339="O",$N339="O",$O339="O"),"-","")&amp;$I339)</f>
        <v/>
      </c>
      <c r="Q339" s="110">
        <f>HYPERLINK("#'마스터_품목'!A490","→ 마스터 R490")</f>
        <v/>
      </c>
      <c r="R339" s="111" t="n">
        <v>490</v>
      </c>
      <c r="S339" s="111" t="inlineStr">
        <is>
          <t>마스터_품목</t>
        </is>
      </c>
    </row>
    <row r="340" ht="48" customHeight="1">
      <c r="A340" s="22" t="inlineStr">
        <is>
          <t>조립</t>
        </is>
      </c>
      <c r="B340" s="22" t="inlineStr">
        <is>
          <t>에이밍</t>
        </is>
      </c>
      <c r="C340" s="23" t="inlineStr">
        <is>
          <t>COCOON</t>
        </is>
      </c>
      <c r="D340" s="23" t="inlineStr">
        <is>
          <t>POWER SWITCH BD (에이밍용 V3.0.0)</t>
        </is>
      </c>
      <c r="E340" s="23" t="inlineStr">
        <is>
          <t>POWER SWITCH BD (Ver 3.0.0)
[COCOON]</t>
        </is>
      </c>
      <c r="F340" s="24" t="inlineStr">
        <is>
          <t>O</t>
        </is>
      </c>
      <c r="G340" s="25" t="n"/>
      <c r="H340" s="26" t="n"/>
      <c r="I340" s="27">
        <f>IFERROR(IF(OR($F340="O",$G340="O",$H340="O"),CHOOSE(MATCH($A340,{"튜브","고압","진공","튜닝","조립","출하"},0),"T","H","V","N","A","P")&amp;IF($F340="O","R",IF($G340="O","A",IF($H340="O","F",""))),""),"")</f>
        <v/>
      </c>
      <c r="J340" s="15" t="n"/>
      <c r="K340" s="16" t="n"/>
      <c r="L340" s="17" t="n"/>
      <c r="M340" s="18" t="inlineStr">
        <is>
          <t>O</t>
        </is>
      </c>
      <c r="N340" s="19" t="n"/>
      <c r="O340" s="20" t="n"/>
      <c r="P340" s="21">
        <f>IF($I340="","",IF($J340="O","3","")&amp;IF($K340="O","4","")&amp;IF($L340="O","6","")&amp;IF($M340="O","7","")&amp;IF($N340="O","8","")&amp;IF($O340="O","?","")&amp;IF(OR($J340="O",$K340="O",$L340="O",$M340="O",$N340="O",$O340="O"),"-","")&amp;$I340)</f>
        <v/>
      </c>
      <c r="Q340" s="110">
        <f>HYPERLINK("#'마스터_품목'!A491","→ 마스터 R491")</f>
        <v/>
      </c>
      <c r="R340" s="111" t="n">
        <v>491</v>
      </c>
      <c r="S340" s="111" t="inlineStr">
        <is>
          <t>마스터_품목</t>
        </is>
      </c>
    </row>
    <row r="341" ht="48" customHeight="1">
      <c r="A341" s="22" t="inlineStr">
        <is>
          <t>조립</t>
        </is>
      </c>
      <c r="B341" s="22" t="inlineStr">
        <is>
          <t>에이밍</t>
        </is>
      </c>
      <c r="C341" s="23" t="inlineStr">
        <is>
          <t>COCOON</t>
        </is>
      </c>
      <c r="D341" s="23" t="inlineStr">
        <is>
          <t>CTR+Power BD 2핀 (코쿤 에이밍라이트용 하네스 1번 ) YHM025-02R 210mm</t>
        </is>
      </c>
      <c r="E341" s="23" t="inlineStr">
        <is>
          <t>에이밍 하네스 1번 (YHM025-02R 210mm, CTR + POWER BD 2핀)
[COCOON]</t>
        </is>
      </c>
      <c r="F341" s="24" t="inlineStr">
        <is>
          <t>O</t>
        </is>
      </c>
      <c r="G341" s="25" t="n"/>
      <c r="H341" s="26" t="n"/>
      <c r="I341" s="27">
        <f>IFERROR(IF(OR($F341="O",$G341="O",$H341="O"),CHOOSE(MATCH($A341,{"튜브","고압","진공","튜닝","조립","출하"},0),"T","H","V","N","A","P")&amp;IF($F341="O","R",IF($G341="O","A",IF($H341="O","F",""))),""),"")</f>
        <v/>
      </c>
      <c r="J341" s="15" t="n"/>
      <c r="K341" s="16" t="n"/>
      <c r="L341" s="17" t="n"/>
      <c r="M341" s="18" t="inlineStr">
        <is>
          <t>O</t>
        </is>
      </c>
      <c r="N341" s="19" t="n"/>
      <c r="O341" s="20" t="n"/>
      <c r="P341" s="21">
        <f>IF($I341="","",IF($J341="O","3","")&amp;IF($K341="O","4","")&amp;IF($L341="O","6","")&amp;IF($M341="O","7","")&amp;IF($N341="O","8","")&amp;IF($O341="O","?","")&amp;IF(OR($J341="O",$K341="O",$L341="O",$M341="O",$N341="O",$O341="O"),"-","")&amp;$I341)</f>
        <v/>
      </c>
      <c r="Q341" s="110">
        <f>HYPERLINK("#'마스터_품목'!A492","→ 마스터 R492")</f>
        <v/>
      </c>
      <c r="R341" s="111" t="n">
        <v>492</v>
      </c>
      <c r="S341" s="111" t="inlineStr">
        <is>
          <t>마스터_품목</t>
        </is>
      </c>
    </row>
    <row r="342" ht="48" customHeight="1">
      <c r="A342" s="22" t="inlineStr">
        <is>
          <t>조립</t>
        </is>
      </c>
      <c r="B342" s="22" t="inlineStr">
        <is>
          <t>에이밍</t>
        </is>
      </c>
      <c r="C342" s="23" t="inlineStr">
        <is>
          <t>COCOON</t>
        </is>
      </c>
      <c r="D342" s="23" t="inlineStr">
        <is>
          <t>LED BD 2핀 (코쿤 에이밍라이트용 하네스 2번)  YHM025-02R 180mm</t>
        </is>
      </c>
      <c r="E342" s="23" t="inlineStr">
        <is>
          <t>에이밍 하네스 2번 (YHM025-02R 180mm, LED BD 2핀, 19+83(사출결합))
[COCOON]</t>
        </is>
      </c>
      <c r="F342" s="24" t="inlineStr">
        <is>
          <t>O</t>
        </is>
      </c>
      <c r="G342" s="25" t="n"/>
      <c r="H342" s="26" t="n"/>
      <c r="I342" s="27">
        <f>IFERROR(IF(OR($F342="O",$G342="O",$H342="O"),CHOOSE(MATCH($A342,{"튜브","고압","진공","튜닝","조립","출하"},0),"T","H","V","N","A","P")&amp;IF($F342="O","R",IF($G342="O","A",IF($H342="O","F",""))),""),"")</f>
        <v/>
      </c>
      <c r="J342" s="15" t="n"/>
      <c r="K342" s="16" t="n"/>
      <c r="L342" s="17" t="n"/>
      <c r="M342" s="18" t="inlineStr">
        <is>
          <t>O</t>
        </is>
      </c>
      <c r="N342" s="19" t="n"/>
      <c r="O342" s="20" t="n"/>
      <c r="P342" s="21">
        <f>IF($I342="","",IF($J342="O","3","")&amp;IF($K342="O","4","")&amp;IF($L342="O","6","")&amp;IF($M342="O","7","")&amp;IF($N342="O","8","")&amp;IF($O342="O","?","")&amp;IF(OR($J342="O",$K342="O",$L342="O",$M342="O",$N342="O",$O342="O"),"-","")&amp;$I342)</f>
        <v/>
      </c>
      <c r="Q342" s="110">
        <f>HYPERLINK("#'마스터_품목'!A493","→ 마스터 R493")</f>
        <v/>
      </c>
      <c r="R342" s="111" t="n">
        <v>493</v>
      </c>
      <c r="S342" s="111" t="inlineStr">
        <is>
          <t>마스터_품목</t>
        </is>
      </c>
    </row>
    <row r="343" ht="48" customHeight="1">
      <c r="A343" s="22" t="inlineStr">
        <is>
          <t>조립</t>
        </is>
      </c>
      <c r="B343" s="22" t="inlineStr">
        <is>
          <t>에이밍</t>
        </is>
      </c>
      <c r="C343" s="23" t="inlineStr">
        <is>
          <t>COCOON</t>
        </is>
      </c>
      <c r="D343" s="23" t="inlineStr">
        <is>
          <t>락커스위치 2핀 ( YHM025-02R 100mm - Black 하네스 3번)</t>
        </is>
      </c>
      <c r="E343" s="23" t="n"/>
      <c r="F343" s="24" t="inlineStr">
        <is>
          <t>O</t>
        </is>
      </c>
      <c r="G343" s="25" t="n"/>
      <c r="H343" s="26" t="n"/>
      <c r="I343" s="27">
        <f>IFERROR(IF(OR($F343="O",$G343="O",$H343="O"),CHOOSE(MATCH($A343,{"튜브","고압","진공","튜닝","조립","출하"},0),"T","H","V","N","A","P")&amp;IF($F343="O","R",IF($G343="O","A",IF($H343="O","F",""))),""),"")</f>
        <v/>
      </c>
      <c r="J343" s="15" t="n"/>
      <c r="K343" s="16" t="n"/>
      <c r="L343" s="17" t="n"/>
      <c r="M343" s="18" t="inlineStr">
        <is>
          <t>O</t>
        </is>
      </c>
      <c r="N343" s="19" t="n"/>
      <c r="O343" s="20" t="n"/>
      <c r="P343" s="21">
        <f>IF($I343="","",IF($J343="O","3","")&amp;IF($K343="O","4","")&amp;IF($L343="O","6","")&amp;IF($M343="O","7","")&amp;IF($N343="O","8","")&amp;IF($O343="O","?","")&amp;IF(OR($J343="O",$K343="O",$L343="O",$M343="O",$N343="O",$O343="O"),"-","")&amp;$I343)</f>
        <v/>
      </c>
      <c r="Q343" s="110">
        <f>HYPERLINK("#'마스터_품목'!A494","→ 마스터 R494")</f>
        <v/>
      </c>
      <c r="R343" s="111" t="n">
        <v>494</v>
      </c>
      <c r="S343" s="111" t="inlineStr">
        <is>
          <t>마스터_품목</t>
        </is>
      </c>
    </row>
    <row r="344" ht="48" customHeight="1">
      <c r="A344" s="22" t="inlineStr">
        <is>
          <t>조립</t>
        </is>
      </c>
      <c r="B344" s="22" t="inlineStr">
        <is>
          <t>에이밍</t>
        </is>
      </c>
      <c r="C344" s="23" t="inlineStr">
        <is>
          <t>COCOON</t>
        </is>
      </c>
      <c r="D344" s="23" t="inlineStr">
        <is>
          <t>COCOON 18cm Cone Ass'y (검정 부직포)</t>
        </is>
      </c>
      <c r="E344" s="23" t="n"/>
      <c r="F344" s="24" t="n"/>
      <c r="G344" s="25" t="inlineStr">
        <is>
          <t>O</t>
        </is>
      </c>
      <c r="H344" s="26" t="n"/>
      <c r="I344" s="27">
        <f>IFERROR(IF(OR($F344="O",$G344="O",$H344="O"),CHOOSE(MATCH($A344,{"튜브","고압","진공","튜닝","조립","출하"},0),"T","H","V","N","A","P")&amp;IF($F344="O","R",IF($G344="O","A",IF($H344="O","F",""))),""),"")</f>
        <v/>
      </c>
      <c r="J344" s="15" t="n"/>
      <c r="K344" s="16" t="n"/>
      <c r="L344" s="17" t="n"/>
      <c r="M344" s="18" t="inlineStr">
        <is>
          <t>O</t>
        </is>
      </c>
      <c r="N344" s="19" t="n"/>
      <c r="O344" s="20" t="n"/>
      <c r="P344" s="21">
        <f>IF($I344="","",IF($J344="O","3","")&amp;IF($K344="O","4","")&amp;IF($L344="O","6","")&amp;IF($M344="O","7","")&amp;IF($N344="O","8","")&amp;IF($O344="O","?","")&amp;IF(OR($J344="O",$K344="O",$L344="O",$M344="O",$N344="O",$O344="O"),"-","")&amp;$I344)</f>
        <v/>
      </c>
      <c r="Q344" s="110">
        <f>HYPERLINK("#'마스터_품목'!A495","→ 마스터 R495")</f>
        <v/>
      </c>
      <c r="R344" s="111" t="n">
        <v>495</v>
      </c>
      <c r="S344" s="111" t="inlineStr">
        <is>
          <t>마스터_품목</t>
        </is>
      </c>
    </row>
    <row r="345" ht="48" customHeight="1">
      <c r="A345" s="22" t="inlineStr">
        <is>
          <t>조립</t>
        </is>
      </c>
      <c r="B345" s="22" t="inlineStr">
        <is>
          <t>에이밍</t>
        </is>
      </c>
      <c r="C345" s="23" t="inlineStr">
        <is>
          <t>COCOON</t>
        </is>
      </c>
      <c r="D345" s="23" t="inlineStr">
        <is>
          <t>COCOON 20cm Cone Ass'y (검정 부직포)</t>
        </is>
      </c>
      <c r="E345" s="23" t="n"/>
      <c r="F345" s="24" t="n"/>
      <c r="G345" s="25" t="inlineStr">
        <is>
          <t>O</t>
        </is>
      </c>
      <c r="H345" s="26" t="n"/>
      <c r="I345" s="27">
        <f>IFERROR(IF(OR($F345="O",$G345="O",$H345="O"),CHOOSE(MATCH($A345,{"튜브","고압","진공","튜닝","조립","출하"},0),"T","H","V","N","A","P")&amp;IF($F345="O","R",IF($G345="O","A",IF($H345="O","F",""))),""),"")</f>
        <v/>
      </c>
      <c r="J345" s="15" t="n"/>
      <c r="K345" s="16" t="n"/>
      <c r="L345" s="17" t="n"/>
      <c r="M345" s="18" t="inlineStr">
        <is>
          <t>O</t>
        </is>
      </c>
      <c r="N345" s="19" t="n"/>
      <c r="O345" s="20" t="n"/>
      <c r="P345" s="21">
        <f>IF($I345="","",IF($J345="O","3","")&amp;IF($K345="O","4","")&amp;IF($L345="O","6","")&amp;IF($M345="O","7","")&amp;IF($N345="O","8","")&amp;IF($O345="O","?","")&amp;IF(OR($J345="O",$K345="O",$L345="O",$M345="O",$N345="O",$O345="O"),"-","")&amp;$I345)</f>
        <v/>
      </c>
      <c r="Q345" s="110">
        <f>HYPERLINK("#'마스터_품목'!A496","→ 마스터 R496")</f>
        <v/>
      </c>
      <c r="R345" s="111" t="n">
        <v>496</v>
      </c>
      <c r="S345" s="111" t="inlineStr">
        <is>
          <t>마스터_품목</t>
        </is>
      </c>
    </row>
    <row r="346" ht="48" customHeight="1">
      <c r="A346" s="22" t="inlineStr">
        <is>
          <t>조립</t>
        </is>
      </c>
      <c r="B346" s="22" t="inlineStr">
        <is>
          <t>에이밍</t>
        </is>
      </c>
      <c r="C346" s="23" t="inlineStr">
        <is>
          <t>COCOON
White</t>
        </is>
      </c>
      <c r="D346" s="23" t="inlineStr">
        <is>
          <t>락커스위치 2핀 ( YHM025-02R 100mm - White 하네스 3번)</t>
        </is>
      </c>
      <c r="E346" s="23" t="n"/>
      <c r="F346" s="24" t="inlineStr">
        <is>
          <t>O</t>
        </is>
      </c>
      <c r="G346" s="25" t="n"/>
      <c r="H346" s="26" t="n"/>
      <c r="I346" s="27">
        <f>IFERROR(IF(OR($F346="O",$G346="O",$H346="O"),CHOOSE(MATCH($A346,{"튜브","고압","진공","튜닝","조립","출하"},0),"T","H","V","N","A","P")&amp;IF($F346="O","R",IF($G346="O","A",IF($H346="O","F",""))),""),"")</f>
        <v/>
      </c>
      <c r="J346" s="15" t="n"/>
      <c r="K346" s="16" t="n"/>
      <c r="L346" s="17" t="n"/>
      <c r="M346" s="18" t="inlineStr">
        <is>
          <t>O</t>
        </is>
      </c>
      <c r="N346" s="19" t="n"/>
      <c r="O346" s="20" t="n"/>
      <c r="P346" s="21">
        <f>IF($I346="","",IF($J346="O","3","")&amp;IF($K346="O","4","")&amp;IF($L346="O","6","")&amp;IF($M346="O","7","")&amp;IF($N346="O","8","")&amp;IF($O346="O","?","")&amp;IF(OR($J346="O",$K346="O",$L346="O",$M346="O",$N346="O",$O346="O"),"-","")&amp;$I346)</f>
        <v/>
      </c>
      <c r="Q346" s="110">
        <f>HYPERLINK("#'마스터_품목'!A497","→ 마스터 R497")</f>
        <v/>
      </c>
      <c r="R346" s="111" t="n">
        <v>497</v>
      </c>
      <c r="S346" s="111" t="inlineStr">
        <is>
          <t>마스터_품목</t>
        </is>
      </c>
    </row>
    <row r="347" ht="48" customHeight="1">
      <c r="A347" s="22" t="inlineStr">
        <is>
          <t>조립</t>
        </is>
      </c>
      <c r="B347" s="22" t="inlineStr">
        <is>
          <t>에이밍</t>
        </is>
      </c>
      <c r="C347" s="23" t="inlineStr">
        <is>
          <t>COCOON
블랙 무광</t>
        </is>
      </c>
      <c r="D347" s="23" t="inlineStr">
        <is>
          <t>BAT BOTTOM</t>
        </is>
      </c>
      <c r="E347" s="23" t="inlineStr">
        <is>
          <t>BAT BOTTOM (ABS 난연 블랙 + 블랙 무광)
[COCOON]</t>
        </is>
      </c>
      <c r="F347" s="24" t="inlineStr">
        <is>
          <t>O</t>
        </is>
      </c>
      <c r="G347" s="25" t="n"/>
      <c r="H347" s="26" t="n"/>
      <c r="I347" s="27">
        <f>IFERROR(IF(OR($F347="O",$G347="O",$H347="O"),CHOOSE(MATCH($A347,{"튜브","고압","진공","튜닝","조립","출하"},0),"T","H","V","N","A","P")&amp;IF($F347="O","R",IF($G347="O","A",IF($H347="O","F",""))),""),"")</f>
        <v/>
      </c>
      <c r="J347" s="15" t="n"/>
      <c r="K347" s="16" t="n"/>
      <c r="L347" s="17" t="n"/>
      <c r="M347" s="18" t="inlineStr">
        <is>
          <t>O</t>
        </is>
      </c>
      <c r="N347" s="19" t="n"/>
      <c r="O347" s="20" t="n"/>
      <c r="P347" s="21">
        <f>IF($I347="","",IF($J347="O","3","")&amp;IF($K347="O","4","")&amp;IF($L347="O","6","")&amp;IF($M347="O","7","")&amp;IF($N347="O","8","")&amp;IF($O347="O","?","")&amp;IF(OR($J347="O",$K347="O",$L347="O",$M347="O",$N347="O",$O347="O"),"-","")&amp;$I347)</f>
        <v/>
      </c>
      <c r="Q347" s="110">
        <f>HYPERLINK("#'마스터_품목'!A498","→ 마스터 R498")</f>
        <v/>
      </c>
      <c r="R347" s="111" t="n">
        <v>498</v>
      </c>
      <c r="S347" s="111" t="inlineStr">
        <is>
          <t>마스터_품목</t>
        </is>
      </c>
    </row>
    <row r="348" ht="48" customHeight="1">
      <c r="A348" s="22" t="inlineStr">
        <is>
          <t>조립</t>
        </is>
      </c>
      <c r="B348" s="22" t="inlineStr">
        <is>
          <t>에이밍</t>
        </is>
      </c>
      <c r="C348" s="23" t="inlineStr">
        <is>
          <t>COCOON
블랙 무광</t>
        </is>
      </c>
      <c r="D348" s="23" t="inlineStr">
        <is>
          <t>FRONT_L</t>
        </is>
      </c>
      <c r="E348" s="23" t="inlineStr">
        <is>
          <t>FRONT_L (20cm) (ABS 난연 블랙 + 블랙 무광)
[COCOON]</t>
        </is>
      </c>
      <c r="F348" s="24" t="inlineStr">
        <is>
          <t>O</t>
        </is>
      </c>
      <c r="G348" s="25" t="n"/>
      <c r="H348" s="26" t="n"/>
      <c r="I348" s="27">
        <f>IFERROR(IF(OR($F348="O",$G348="O",$H348="O"),CHOOSE(MATCH($A348,{"튜브","고압","진공","튜닝","조립","출하"},0),"T","H","V","N","A","P")&amp;IF($F348="O","R",IF($G348="O","A",IF($H348="O","F",""))),""),"")</f>
        <v/>
      </c>
      <c r="J348" s="15" t="n"/>
      <c r="K348" s="16" t="n"/>
      <c r="L348" s="17" t="n"/>
      <c r="M348" s="18" t="inlineStr">
        <is>
          <t>O</t>
        </is>
      </c>
      <c r="N348" s="19" t="n"/>
      <c r="O348" s="20" t="n"/>
      <c r="P348" s="21">
        <f>IF($I348="","",IF($J348="O","3","")&amp;IF($K348="O","4","")&amp;IF($L348="O","6","")&amp;IF($M348="O","7","")&amp;IF($N348="O","8","")&amp;IF($O348="O","?","")&amp;IF(OR($J348="O",$K348="O",$L348="O",$M348="O",$N348="O",$O348="O"),"-","")&amp;$I348)</f>
        <v/>
      </c>
      <c r="Q348" s="110">
        <f>HYPERLINK("#'마스터_품목'!A499","→ 마스터 R499")</f>
        <v/>
      </c>
      <c r="R348" s="111" t="n">
        <v>499</v>
      </c>
      <c r="S348" s="111" t="inlineStr">
        <is>
          <t>마스터_품목</t>
        </is>
      </c>
    </row>
    <row r="349" ht="48" customHeight="1">
      <c r="A349" s="22" t="inlineStr">
        <is>
          <t>조립</t>
        </is>
      </c>
      <c r="B349" s="22" t="inlineStr">
        <is>
          <t>에이밍</t>
        </is>
      </c>
      <c r="C349" s="23" t="inlineStr">
        <is>
          <t>COCOON
블랙 무광</t>
        </is>
      </c>
      <c r="D349" s="23" t="inlineStr">
        <is>
          <t>FRONT_CAP</t>
        </is>
      </c>
      <c r="E349" s="23" t="inlineStr">
        <is>
          <t>FRONT_CAP (ABS 난연 블랙 + 블랙 무광)
[COCOON]</t>
        </is>
      </c>
      <c r="F349" s="24" t="inlineStr">
        <is>
          <t>O</t>
        </is>
      </c>
      <c r="G349" s="25" t="n"/>
      <c r="H349" s="26" t="n"/>
      <c r="I349" s="27">
        <f>IFERROR(IF(OR($F349="O",$G349="O",$H349="O"),CHOOSE(MATCH($A349,{"튜브","고압","진공","튜닝","조립","출하"},0),"T","H","V","N","A","P")&amp;IF($F349="O","R",IF($G349="O","A",IF($H349="O","F",""))),""),"")</f>
        <v/>
      </c>
      <c r="J349" s="15" t="n"/>
      <c r="K349" s="16" t="n"/>
      <c r="L349" s="17" t="n"/>
      <c r="M349" s="18" t="inlineStr">
        <is>
          <t>O</t>
        </is>
      </c>
      <c r="N349" s="19" t="n"/>
      <c r="O349" s="20" t="n"/>
      <c r="P349" s="21">
        <f>IF($I349="","",IF($J349="O","3","")&amp;IF($K349="O","4","")&amp;IF($L349="O","6","")&amp;IF($M349="O","7","")&amp;IF($N349="O","8","")&amp;IF($O349="O","?","")&amp;IF(OR($J349="O",$K349="O",$L349="O",$M349="O",$N349="O",$O349="O"),"-","")&amp;$I349)</f>
        <v/>
      </c>
      <c r="Q349" s="110">
        <f>HYPERLINK("#'마스터_품목'!A500","→ 마스터 R500")</f>
        <v/>
      </c>
      <c r="R349" s="111" t="n">
        <v>500</v>
      </c>
      <c r="S349" s="111" t="inlineStr">
        <is>
          <t>마스터_품목</t>
        </is>
      </c>
    </row>
    <row r="350" ht="48" customHeight="1">
      <c r="A350" s="22" t="inlineStr">
        <is>
          <t>조립</t>
        </is>
      </c>
      <c r="B350" s="22" t="inlineStr">
        <is>
          <t>에이밍</t>
        </is>
      </c>
      <c r="C350" s="23" t="inlineStr">
        <is>
          <t>COCOON
블랙 무광</t>
        </is>
      </c>
      <c r="D350" s="23" t="inlineStr">
        <is>
          <t>사각 앞사출</t>
        </is>
      </c>
      <c r="E350" s="23" t="inlineStr">
        <is>
          <t>에이밍 앞 사출 (블랙 무광)
[COCOON]</t>
        </is>
      </c>
      <c r="F350" s="24" t="inlineStr">
        <is>
          <t>O</t>
        </is>
      </c>
      <c r="G350" s="25" t="n"/>
      <c r="H350" s="26" t="n"/>
      <c r="I350" s="27">
        <f>IFERROR(IF(OR($F350="O",$G350="O",$H350="O"),CHOOSE(MATCH($A350,{"튜브","고압","진공","튜닝","조립","출하"},0),"T","H","V","N","A","P")&amp;IF($F350="O","R",IF($G350="O","A",IF($H350="O","F",""))),""),"")</f>
        <v/>
      </c>
      <c r="J350" s="15" t="n"/>
      <c r="K350" s="16" t="n"/>
      <c r="L350" s="17" t="n"/>
      <c r="M350" s="18" t="inlineStr">
        <is>
          <t>O</t>
        </is>
      </c>
      <c r="N350" s="19" t="inlineStr">
        <is>
          <t>O</t>
        </is>
      </c>
      <c r="O350" s="20" t="n"/>
      <c r="P350" s="21">
        <f>IF($I350="","",IF($J350="O","3","")&amp;IF($K350="O","4","")&amp;IF($L350="O","6","")&amp;IF($M350="O","7","")&amp;IF($N350="O","8","")&amp;IF($O350="O","?","")&amp;IF(OR($J350="O",$K350="O",$L350="O",$M350="O",$N350="O",$O350="O"),"-","")&amp;$I350)</f>
        <v/>
      </c>
      <c r="Q350" s="110">
        <f>HYPERLINK("#'마스터_품목'!A501","→ 마스터 R501")</f>
        <v/>
      </c>
      <c r="R350" s="111" t="n">
        <v>501</v>
      </c>
      <c r="S350" s="111" t="inlineStr">
        <is>
          <t>마스터_품목</t>
        </is>
      </c>
    </row>
    <row r="351" ht="48" customHeight="1">
      <c r="A351" s="22" t="inlineStr">
        <is>
          <t>조립</t>
        </is>
      </c>
      <c r="B351" s="22" t="inlineStr">
        <is>
          <t>에이밍</t>
        </is>
      </c>
      <c r="C351" s="23" t="inlineStr">
        <is>
          <t>COCOON
블랙 유광</t>
        </is>
      </c>
      <c r="D351" s="23" t="inlineStr">
        <is>
          <t>사각 앞사출 ASS'Y (앞사출+십자아크릴+납)</t>
        </is>
      </c>
      <c r="E351" s="23" t="n"/>
      <c r="F351" s="24" t="n"/>
      <c r="G351" s="25" t="inlineStr">
        <is>
          <t>O</t>
        </is>
      </c>
      <c r="H351" s="26" t="n"/>
      <c r="I351" s="27">
        <f>IFERROR(IF(OR($F351="O",$G351="O",$H351="O"),CHOOSE(MATCH($A351,{"튜브","고압","진공","튜닝","조립","출하"},0),"T","H","V","N","A","P")&amp;IF($F351="O","R",IF($G351="O","A",IF($H351="O","F",""))),""),"")</f>
        <v/>
      </c>
      <c r="J351" s="15" t="n"/>
      <c r="K351" s="16" t="n"/>
      <c r="L351" s="17" t="n"/>
      <c r="M351" s="18" t="inlineStr">
        <is>
          <t>O</t>
        </is>
      </c>
      <c r="N351" s="19" t="n"/>
      <c r="O351" s="20" t="n"/>
      <c r="P351" s="21">
        <f>IF($I351="","",IF($J351="O","3","")&amp;IF($K351="O","4","")&amp;IF($L351="O","6","")&amp;IF($M351="O","7","")&amp;IF($N351="O","8","")&amp;IF($O351="O","?","")&amp;IF(OR($J351="O",$K351="O",$L351="O",$M351="O",$N351="O",$O351="O"),"-","")&amp;$I351)</f>
        <v/>
      </c>
      <c r="Q351" s="110">
        <f>HYPERLINK("#'마스터_품목'!A502","→ 마스터 R502")</f>
        <v/>
      </c>
      <c r="R351" s="111" t="n">
        <v>502</v>
      </c>
      <c r="S351" s="111" t="inlineStr">
        <is>
          <t>마스터_품목</t>
        </is>
      </c>
    </row>
    <row r="352" ht="48" customHeight="1">
      <c r="A352" s="22" t="inlineStr">
        <is>
          <t>조립</t>
        </is>
      </c>
      <c r="B352" s="22" t="inlineStr">
        <is>
          <t>에이밍</t>
        </is>
      </c>
      <c r="C352" s="23" t="inlineStr">
        <is>
          <t>COCOON
블랙 무광</t>
        </is>
      </c>
      <c r="D352" s="23" t="inlineStr">
        <is>
          <t>사각 앞사출 ASS'Y (앞사출+십자아크릴+납)</t>
        </is>
      </c>
      <c r="E352" s="23" t="n"/>
      <c r="F352" s="24" t="n"/>
      <c r="G352" s="25" t="inlineStr">
        <is>
          <t>O</t>
        </is>
      </c>
      <c r="H352" s="26" t="n"/>
      <c r="I352" s="27">
        <f>IFERROR(IF(OR($F352="O",$G352="O",$H352="O"),CHOOSE(MATCH($A352,{"튜브","고압","진공","튜닝","조립","출하"},0),"T","H","V","N","A","P")&amp;IF($F352="O","R",IF($G352="O","A",IF($H352="O","F",""))),""),"")</f>
        <v/>
      </c>
      <c r="J352" s="15" t="n"/>
      <c r="K352" s="16" t="n"/>
      <c r="L352" s="17" t="n"/>
      <c r="M352" s="18" t="inlineStr">
        <is>
          <t>O</t>
        </is>
      </c>
      <c r="N352" s="19" t="inlineStr">
        <is>
          <t>O</t>
        </is>
      </c>
      <c r="O352" s="20" t="n"/>
      <c r="P352" s="21">
        <f>IF($I352="","",IF($J352="O","3","")&amp;IF($K352="O","4","")&amp;IF($L352="O","6","")&amp;IF($M352="O","7","")&amp;IF($N352="O","8","")&amp;IF($O352="O","?","")&amp;IF(OR($J352="O",$K352="O",$L352="O",$M352="O",$N352="O",$O352="O"),"-","")&amp;$I352)</f>
        <v/>
      </c>
      <c r="Q352" s="110">
        <f>HYPERLINK("#'마스터_품목'!A503","→ 마스터 R503")</f>
        <v/>
      </c>
      <c r="R352" s="111" t="n">
        <v>503</v>
      </c>
      <c r="S352" s="111" t="inlineStr">
        <is>
          <t>마스터_품목</t>
        </is>
      </c>
    </row>
    <row r="353" ht="48" customHeight="1">
      <c r="A353" s="22" t="inlineStr">
        <is>
          <t>조립</t>
        </is>
      </c>
      <c r="B353" s="22" t="inlineStr">
        <is>
          <t>화이트 사출 아세이</t>
        </is>
      </c>
      <c r="C353" s="23" t="inlineStr">
        <is>
          <t>COCOON 
화이트 유광</t>
        </is>
      </c>
      <c r="D353" s="23" t="inlineStr">
        <is>
          <t>TOP BODY ASS'Y (에이밍)</t>
        </is>
      </c>
      <c r="E353" s="23" t="n"/>
      <c r="F353" s="24" t="n"/>
      <c r="G353" s="25" t="inlineStr">
        <is>
          <t>O</t>
        </is>
      </c>
      <c r="H353" s="26" t="n"/>
      <c r="I353" s="27">
        <f>IFERROR(IF(OR($F353="O",$G353="O",$H353="O"),CHOOSE(MATCH($A353,{"튜브","고압","진공","튜닝","조립","출하"},0),"T","H","V","N","A","P")&amp;IF($F353="O","R",IF($G353="O","A",IF($H353="O","F",""))),""),"")</f>
        <v/>
      </c>
      <c r="J353" s="15" t="n"/>
      <c r="K353" s="16" t="n"/>
      <c r="L353" s="17" t="n"/>
      <c r="M353" s="18" t="inlineStr">
        <is>
          <t>O</t>
        </is>
      </c>
      <c r="N353" s="19" t="n"/>
      <c r="O353" s="20" t="n"/>
      <c r="P353" s="21">
        <f>IF($I353="","",IF($J353="O","3","")&amp;IF($K353="O","4","")&amp;IF($L353="O","6","")&amp;IF($M353="O","7","")&amp;IF($N353="O","8","")&amp;IF($O353="O","?","")&amp;IF(OR($J353="O",$K353="O",$L353="O",$M353="O",$N353="O",$O353="O"),"-","")&amp;$I353)</f>
        <v/>
      </c>
      <c r="Q353" s="110">
        <f>HYPERLINK("#'마스터_품목'!A504","→ 마스터 R504")</f>
        <v/>
      </c>
      <c r="R353" s="111" t="n">
        <v>504</v>
      </c>
      <c r="S353" s="111" t="inlineStr">
        <is>
          <t>마스터_품목</t>
        </is>
      </c>
    </row>
    <row r="354" ht="48" customHeight="1">
      <c r="A354" s="22" t="inlineStr">
        <is>
          <t>조립</t>
        </is>
      </c>
      <c r="B354" s="22" t="inlineStr">
        <is>
          <t>화이트 사출 아세이</t>
        </is>
      </c>
      <c r="C354" s="23" t="inlineStr">
        <is>
          <t>COCOON 
블랙 무광</t>
        </is>
      </c>
      <c r="D354" s="23" t="inlineStr">
        <is>
          <t>BOTTOM BODY ASS'Y</t>
        </is>
      </c>
      <c r="E354" s="23" t="n"/>
      <c r="F354" s="24" t="n"/>
      <c r="G354" s="25" t="inlineStr">
        <is>
          <t>O</t>
        </is>
      </c>
      <c r="H354" s="26" t="n"/>
      <c r="I354" s="27">
        <f>IFERROR(IF(OR($F354="O",$G354="O",$H354="O"),CHOOSE(MATCH($A354,{"튜브","고압","진공","튜닝","조립","출하"},0),"T","H","V","N","A","P")&amp;IF($F354="O","R",IF($G354="O","A",IF($H354="O","F",""))),""),"")</f>
        <v/>
      </c>
      <c r="J354" s="15" t="n"/>
      <c r="K354" s="16" t="n"/>
      <c r="L354" s="17" t="n"/>
      <c r="M354" s="18" t="inlineStr">
        <is>
          <t>O</t>
        </is>
      </c>
      <c r="N354" s="19" t="n"/>
      <c r="O354" s="20" t="n"/>
      <c r="P354" s="21">
        <f>IF($I354="","",IF($J354="O","3","")&amp;IF($K354="O","4","")&amp;IF($L354="O","6","")&amp;IF($M354="O","7","")&amp;IF($N354="O","8","")&amp;IF($O354="O","?","")&amp;IF(OR($J354="O",$K354="O",$L354="O",$M354="O",$N354="O",$O354="O"),"-","")&amp;$I354)</f>
        <v/>
      </c>
      <c r="Q354" s="110">
        <f>HYPERLINK("#'마스터_품목'!A505","→ 마스터 R505")</f>
        <v/>
      </c>
      <c r="R354" s="111" t="n">
        <v>505</v>
      </c>
      <c r="S354" s="111" t="inlineStr">
        <is>
          <t>마스터_품목</t>
        </is>
      </c>
    </row>
    <row r="355" ht="48" customHeight="1">
      <c r="A355" s="22" t="inlineStr">
        <is>
          <t>조립</t>
        </is>
      </c>
      <c r="B355" s="22" t="inlineStr">
        <is>
          <t>화이트 사출 아세이</t>
        </is>
      </c>
      <c r="C355" s="23" t="inlineStr">
        <is>
          <t>COCOON 
화이트 유광</t>
        </is>
      </c>
      <c r="D355" s="23" t="inlineStr">
        <is>
          <t>HANDLE ASS'Y
(리모콘 적용 + BAT BOTTOM + 배터리 없는것)</t>
        </is>
      </c>
      <c r="E355" s="23" t="n"/>
      <c r="F355" s="24" t="n"/>
      <c r="G355" s="25" t="inlineStr">
        <is>
          <t>O</t>
        </is>
      </c>
      <c r="H355" s="26" t="n"/>
      <c r="I355" s="27">
        <f>IFERROR(IF(OR($F355="O",$G355="O",$H355="O"),CHOOSE(MATCH($A355,{"튜브","고압","진공","튜닝","조립","출하"},0),"T","H","V","N","A","P")&amp;IF($F355="O","R",IF($G355="O","A",IF($H355="O","F",""))),""),"")</f>
        <v/>
      </c>
      <c r="J355" s="15" t="n"/>
      <c r="K355" s="16" t="n"/>
      <c r="L355" s="17" t="n"/>
      <c r="M355" s="18" t="inlineStr">
        <is>
          <t>O</t>
        </is>
      </c>
      <c r="N355" s="19" t="n"/>
      <c r="O355" s="20" t="n"/>
      <c r="P355" s="21">
        <f>IF($I355="","",IF($J355="O","3","")&amp;IF($K355="O","4","")&amp;IF($L355="O","6","")&amp;IF($M355="O","7","")&amp;IF($N355="O","8","")&amp;IF($O355="O","?","")&amp;IF(OR($J355="O",$K355="O",$L355="O",$M355="O",$N355="O",$O355="O"),"-","")&amp;$I355)</f>
        <v/>
      </c>
      <c r="Q355" s="110">
        <f>HYPERLINK("#'마스터_품목'!A506","→ 마스터 R506")</f>
        <v/>
      </c>
      <c r="R355" s="111" t="n">
        <v>506</v>
      </c>
      <c r="S355" s="111" t="inlineStr">
        <is>
          <t>마스터_품목</t>
        </is>
      </c>
    </row>
    <row r="356" ht="48" customHeight="1">
      <c r="A356" s="22" t="inlineStr">
        <is>
          <t>조립</t>
        </is>
      </c>
      <c r="B356" s="22" t="inlineStr">
        <is>
          <t>화이트 사출 아세이</t>
        </is>
      </c>
      <c r="C356" s="23" t="inlineStr">
        <is>
          <t>COCOON 
화이트 유광</t>
        </is>
      </c>
      <c r="D356" s="23" t="inlineStr">
        <is>
          <t>CRADLE ASS'Y (프레임 X)</t>
        </is>
      </c>
      <c r="E356" s="23" t="n"/>
      <c r="F356" s="24" t="n"/>
      <c r="G356" s="25" t="inlineStr">
        <is>
          <t>O</t>
        </is>
      </c>
      <c r="H356" s="26" t="n"/>
      <c r="I356" s="27">
        <f>IFERROR(IF(OR($F356="O",$G356="O",$H356="O"),CHOOSE(MATCH($A356,{"튜브","고압","진공","튜닝","조립","출하"},0),"T","H","V","N","A","P")&amp;IF($F356="O","R",IF($G356="O","A",IF($H356="O","F",""))),""),"")</f>
        <v/>
      </c>
      <c r="J356" s="15" t="n"/>
      <c r="K356" s="16" t="n"/>
      <c r="L356" s="17" t="n"/>
      <c r="M356" s="18" t="inlineStr">
        <is>
          <t>O</t>
        </is>
      </c>
      <c r="N356" s="19" t="n"/>
      <c r="O356" s="20" t="n"/>
      <c r="P356" s="21">
        <f>IF($I356="","",IF($J356="O","3","")&amp;IF($K356="O","4","")&amp;IF($L356="O","6","")&amp;IF($M356="O","7","")&amp;IF($N356="O","8","")&amp;IF($O356="O","?","")&amp;IF(OR($J356="O",$K356="O",$L356="O",$M356="O",$N356="O",$O356="O"),"-","")&amp;$I356)</f>
        <v/>
      </c>
      <c r="Q356" s="110">
        <f>HYPERLINK("#'마스터_품목'!A507","→ 마스터 R507")</f>
        <v/>
      </c>
      <c r="R356" s="111" t="n">
        <v>507</v>
      </c>
      <c r="S356" s="111" t="inlineStr">
        <is>
          <t>마스터_품목</t>
        </is>
      </c>
    </row>
    <row r="357" ht="48" customHeight="1">
      <c r="A357" s="29" t="inlineStr">
        <is>
          <t>출하</t>
        </is>
      </c>
      <c r="B357" s="22" t="inlineStr">
        <is>
          <t>배터리</t>
        </is>
      </c>
      <c r="C357" s="23" t="inlineStr">
        <is>
          <t>공용</t>
        </is>
      </c>
      <c r="D357" s="23" t="inlineStr">
        <is>
          <t>배터리 [PF435060HP]_DX3000,ADX4000W공용</t>
        </is>
      </c>
      <c r="E357" s="23" t="inlineStr">
        <is>
          <t>기본 배터리 (PF435060HP)
[DX3000, ADX4000W]</t>
        </is>
      </c>
      <c r="F357" s="24" t="inlineStr">
        <is>
          <t>O</t>
        </is>
      </c>
      <c r="G357" s="25" t="n"/>
      <c r="H357" s="26" t="n"/>
      <c r="I357" s="27">
        <f>IFERROR(IF(OR($F357="O",$G357="O",$H357="O"),CHOOSE(MATCH($A357,{"튜브","고압","진공","튜닝","조립","출하"},0),"T","H","V","N","A","P")&amp;IF($F357="O","R",IF($G357="O","A",IF($H357="O","F",""))),""),"")</f>
        <v/>
      </c>
      <c r="J357" s="15" t="inlineStr">
        <is>
          <t>O</t>
        </is>
      </c>
      <c r="K357" s="16" t="inlineStr">
        <is>
          <t>O</t>
        </is>
      </c>
      <c r="L357" s="17" t="n"/>
      <c r="M357" s="18" t="n"/>
      <c r="N357" s="19" t="inlineStr">
        <is>
          <t>O</t>
        </is>
      </c>
      <c r="O357" s="20" t="n"/>
      <c r="P357" s="21">
        <f>IF($I357="","",IF($J357="O","3","")&amp;IF($K357="O","4","")&amp;IF($L357="O","6","")&amp;IF($M357="O","7","")&amp;IF($N357="O","8","")&amp;IF($O357="O","?","")&amp;IF(OR($J357="O",$K357="O",$L357="O",$M357="O",$N357="O",$O357="O"),"-","")&amp;$I357)</f>
        <v/>
      </c>
      <c r="Q357" s="110">
        <f>HYPERLINK("#'마스터_품목'!A584","→ 마스터 R584")</f>
        <v/>
      </c>
      <c r="R357" s="111" t="n">
        <v>584</v>
      </c>
      <c r="S357" s="111" t="inlineStr">
        <is>
          <t>마스터_품목</t>
        </is>
      </c>
    </row>
    <row r="358" ht="48" customHeight="1">
      <c r="A358" s="29" t="inlineStr">
        <is>
          <t>출하</t>
        </is>
      </c>
      <c r="B358" s="22" t="inlineStr">
        <is>
          <t>배터리</t>
        </is>
      </c>
      <c r="C358" s="23" t="inlineStr">
        <is>
          <t>ADX6000 공용</t>
        </is>
      </c>
      <c r="D358" s="23" t="inlineStr">
        <is>
          <t>배터리_ 21.0V (5셀)</t>
        </is>
      </c>
      <c r="E358" s="23" t="inlineStr">
        <is>
          <t>기본 배터리 (LIP1902A 18.5V 5S 50C 2100mAh)
[ADX6000]</t>
        </is>
      </c>
      <c r="F358" s="24" t="inlineStr">
        <is>
          <t>O</t>
        </is>
      </c>
      <c r="G358" s="25" t="n"/>
      <c r="H358" s="26" t="n"/>
      <c r="I358" s="27">
        <f>IFERROR(IF(OR($F358="O",$G358="O",$H358="O"),CHOOSE(MATCH($A358,{"튜브","고압","진공","튜닝","조립","출하"},0),"T","H","V","N","A","P")&amp;IF($F358="O","R",IF($G358="O","A",IF($H358="O","F",""))),""),"")</f>
        <v/>
      </c>
      <c r="J358" s="15" t="n"/>
      <c r="K358" s="16" t="n"/>
      <c r="L358" s="17" t="inlineStr">
        <is>
          <t>O</t>
        </is>
      </c>
      <c r="M358" s="18" t="n"/>
      <c r="N358" s="19" t="n"/>
      <c r="O358" s="20" t="n"/>
      <c r="P358" s="21">
        <f>IF($I358="","",IF($J358="O","3","")&amp;IF($K358="O","4","")&amp;IF($L358="O","6","")&amp;IF($M358="O","7","")&amp;IF($N358="O","8","")&amp;IF($O358="O","?","")&amp;IF(OR($J358="O",$K358="O",$L358="O",$M358="O",$N358="O",$O358="O"),"-","")&amp;$I358)</f>
        <v/>
      </c>
      <c r="Q358" s="110">
        <f>HYPERLINK("#'마스터_품목'!A585","→ 마스터 R585")</f>
        <v/>
      </c>
      <c r="R358" s="111" t="n">
        <v>585</v>
      </c>
      <c r="S358" s="111" t="inlineStr">
        <is>
          <t>마스터_품목</t>
        </is>
      </c>
    </row>
    <row r="359" ht="48" customHeight="1">
      <c r="A359" s="29" t="inlineStr">
        <is>
          <t>출하</t>
        </is>
      </c>
      <c r="B359" s="22" t="inlineStr">
        <is>
          <t>배터리</t>
        </is>
      </c>
      <c r="C359" s="23" t="inlineStr">
        <is>
          <t>공용</t>
        </is>
      </c>
      <c r="D359" s="23" t="inlineStr">
        <is>
          <t>소형 외부배터리 [PF435060HP]</t>
        </is>
      </c>
      <c r="E359" s="23" t="inlineStr">
        <is>
          <t>소형 외부배터리 (PF435060HP)
[DX3000]</t>
        </is>
      </c>
      <c r="F359" s="24" t="inlineStr">
        <is>
          <t>O</t>
        </is>
      </c>
      <c r="G359" s="25" t="n"/>
      <c r="H359" s="26" t="n"/>
      <c r="I359" s="27">
        <f>IFERROR(IF(OR($F359="O",$G359="O",$H359="O"),CHOOSE(MATCH($A359,{"튜브","고압","진공","튜닝","조립","출하"},0),"T","H","V","N","A","P")&amp;IF($F359="O","R",IF($G359="O","A",IF($H359="O","F",""))),""),"")</f>
        <v/>
      </c>
      <c r="J359" s="15" t="inlineStr">
        <is>
          <t>O</t>
        </is>
      </c>
      <c r="K359" s="16" t="n"/>
      <c r="L359" s="17" t="n"/>
      <c r="M359" s="18" t="inlineStr">
        <is>
          <t>O</t>
        </is>
      </c>
      <c r="N359" s="19" t="n"/>
      <c r="O359" s="20" t="n"/>
      <c r="P359" s="21">
        <f>IF($I359="","",IF($J359="O","3","")&amp;IF($K359="O","4","")&amp;IF($L359="O","6","")&amp;IF($M359="O","7","")&amp;IF($N359="O","8","")&amp;IF($O359="O","?","")&amp;IF(OR($J359="O",$K359="O",$L359="O",$M359="O",$N359="O",$O359="O"),"-","")&amp;$I359)</f>
        <v/>
      </c>
      <c r="Q359" s="110">
        <f>HYPERLINK("#'마스터_품목'!A586","→ 마스터 R586")</f>
        <v/>
      </c>
      <c r="R359" s="111" t="n">
        <v>586</v>
      </c>
      <c r="S359" s="111" t="inlineStr">
        <is>
          <t>마스터_품목</t>
        </is>
      </c>
    </row>
    <row r="360" ht="48" customHeight="1">
      <c r="A360" s="29" t="inlineStr">
        <is>
          <t>출하</t>
        </is>
      </c>
      <c r="B360" s="22" t="inlineStr">
        <is>
          <t>충전기</t>
        </is>
      </c>
      <c r="C360" s="23" t="inlineStr">
        <is>
          <t>공용</t>
        </is>
      </c>
      <c r="D360" s="23" t="inlineStr">
        <is>
          <t>2구 충전기 [JBL910A1602K00]-220V</t>
        </is>
      </c>
      <c r="E360" s="23" t="inlineStr">
        <is>
          <t>2구 충전기 (BPL910S16N01, 220V)
[공용]</t>
        </is>
      </c>
      <c r="F360" s="24" t="inlineStr">
        <is>
          <t>O</t>
        </is>
      </c>
      <c r="G360" s="25" t="n"/>
      <c r="H360" s="26" t="n"/>
      <c r="I360" s="27">
        <f>IFERROR(IF(OR($F360="O",$G360="O",$H360="O"),CHOOSE(MATCH($A360,{"튜브","고압","진공","튜닝","조립","출하"},0),"T","H","V","N","A","P")&amp;IF($F360="O","R",IF($G360="O","A",IF($H360="O","F",""))),""),"")</f>
        <v/>
      </c>
      <c r="J360" s="15" t="inlineStr">
        <is>
          <t>O</t>
        </is>
      </c>
      <c r="K360" s="16" t="inlineStr">
        <is>
          <t>O</t>
        </is>
      </c>
      <c r="L360" s="17" t="inlineStr">
        <is>
          <t>O</t>
        </is>
      </c>
      <c r="M360" s="18" t="inlineStr">
        <is>
          <t>O</t>
        </is>
      </c>
      <c r="N360" s="19" t="inlineStr">
        <is>
          <t>O</t>
        </is>
      </c>
      <c r="O360" s="20" t="n"/>
      <c r="P360" s="21">
        <f>IF($I360="","",IF($J360="O","3","")&amp;IF($K360="O","4","")&amp;IF($L360="O","6","")&amp;IF($M360="O","7","")&amp;IF($N360="O","8","")&amp;IF($O360="O","?","")&amp;IF(OR($J360="O",$K360="O",$L360="O",$M360="O",$N360="O",$O360="O"),"-","")&amp;$I360)</f>
        <v/>
      </c>
      <c r="Q360" s="110">
        <f>HYPERLINK("#'마스터_품목'!A587","→ 마스터 R587")</f>
        <v/>
      </c>
      <c r="R360" s="111" t="n">
        <v>587</v>
      </c>
      <c r="S360" s="111" t="inlineStr">
        <is>
          <t>마스터_품목</t>
        </is>
      </c>
    </row>
    <row r="361" ht="48" customHeight="1">
      <c r="A361" s="29" t="inlineStr">
        <is>
          <t>출하</t>
        </is>
      </c>
      <c r="B361" s="22" t="inlineStr">
        <is>
          <t>충전기</t>
        </is>
      </c>
      <c r="C361" s="23" t="inlineStr">
        <is>
          <t>공용</t>
        </is>
      </c>
      <c r="D361" s="23" t="inlineStr">
        <is>
          <t>3구 충전기 [미국,호주 공용]</t>
        </is>
      </c>
      <c r="E361" s="23" t="inlineStr">
        <is>
          <t>3구 충전기 (BPL910S16F01, (미국, 호주 공용))
[공용]</t>
        </is>
      </c>
      <c r="F361" s="24" t="inlineStr">
        <is>
          <t>O</t>
        </is>
      </c>
      <c r="G361" s="25" t="n"/>
      <c r="H361" s="26" t="n"/>
      <c r="I361" s="27">
        <f>IFERROR(IF(OR($F361="O",$G361="O",$H361="O"),CHOOSE(MATCH($A361,{"튜브","고압","진공","튜닝","조립","출하"},0),"T","H","V","N","A","P")&amp;IF($F361="O","R",IF($G361="O","A",IF($H361="O","F",""))),""),"")</f>
        <v/>
      </c>
      <c r="J361" s="15" t="inlineStr">
        <is>
          <t>O</t>
        </is>
      </c>
      <c r="K361" s="16" t="inlineStr">
        <is>
          <t>O</t>
        </is>
      </c>
      <c r="L361" s="17" t="inlineStr">
        <is>
          <t>O</t>
        </is>
      </c>
      <c r="M361" s="18" t="inlineStr">
        <is>
          <t>O</t>
        </is>
      </c>
      <c r="N361" s="19" t="inlineStr">
        <is>
          <t>O</t>
        </is>
      </c>
      <c r="O361" s="20" t="n"/>
      <c r="P361" s="21">
        <f>IF($I361="","",IF($J361="O","3","")&amp;IF($K361="O","4","")&amp;IF($L361="O","6","")&amp;IF($M361="O","7","")&amp;IF($N361="O","8","")&amp;IF($O361="O","?","")&amp;IF(OR($J361="O",$K361="O",$L361="O",$M361="O",$N361="O",$O361="O"),"-","")&amp;$I361)</f>
        <v/>
      </c>
      <c r="Q361" s="110">
        <f>HYPERLINK("#'마스터_품목'!A588","→ 마스터 R588")</f>
        <v/>
      </c>
      <c r="R361" s="111" t="n">
        <v>588</v>
      </c>
      <c r="S361" s="111" t="inlineStr">
        <is>
          <t>마스터_품목</t>
        </is>
      </c>
    </row>
    <row r="362" ht="48" customHeight="1">
      <c r="A362" s="29" t="inlineStr">
        <is>
          <t>출하</t>
        </is>
      </c>
      <c r="B362" s="22" t="inlineStr">
        <is>
          <t>충전기</t>
        </is>
      </c>
      <c r="C362" s="23" t="inlineStr">
        <is>
          <t>ADX6000 공용</t>
        </is>
      </c>
      <c r="D362" s="23" t="inlineStr">
        <is>
          <t>20V 2A 충전기</t>
        </is>
      </c>
      <c r="E362" s="23" t="inlineStr">
        <is>
          <t>20.7V 1.7A 충전기 (5S 어댑터)
[ADX6000]</t>
        </is>
      </c>
      <c r="F362" s="24" t="inlineStr">
        <is>
          <t>O</t>
        </is>
      </c>
      <c r="G362" s="25" t="n"/>
      <c r="H362" s="26" t="n"/>
      <c r="I362" s="27">
        <f>IFERROR(IF(OR($F362="O",$G362="O",$H362="O"),CHOOSE(MATCH($A362,{"튜브","고압","진공","튜닝","조립","출하"},0),"T","H","V","N","A","P")&amp;IF($F362="O","R",IF($G362="O","A",IF($H362="O","F",""))),""),"")</f>
        <v/>
      </c>
      <c r="J362" s="15" t="n"/>
      <c r="K362" s="16" t="n"/>
      <c r="L362" s="17" t="inlineStr">
        <is>
          <t>O</t>
        </is>
      </c>
      <c r="M362" s="18" t="n"/>
      <c r="N362" s="19" t="n"/>
      <c r="O362" s="20" t="n"/>
      <c r="P362" s="21">
        <f>IF($I362="","",IF($J362="O","3","")&amp;IF($K362="O","4","")&amp;IF($L362="O","6","")&amp;IF($M362="O","7","")&amp;IF($N362="O","8","")&amp;IF($O362="O","?","")&amp;IF(OR($J362="O",$K362="O",$L362="O",$M362="O",$N362="O",$O362="O"),"-","")&amp;$I362)</f>
        <v/>
      </c>
      <c r="Q362" s="110">
        <f>HYPERLINK("#'마스터_품목'!A589","→ 마스터 R589")</f>
        <v/>
      </c>
      <c r="R362" s="111" t="n">
        <v>589</v>
      </c>
      <c r="S362" s="111" t="inlineStr">
        <is>
          <t>마스터_품목</t>
        </is>
      </c>
    </row>
    <row r="363" ht="48" customHeight="1">
      <c r="A363" s="29" t="inlineStr">
        <is>
          <t>출하</t>
        </is>
      </c>
      <c r="B363" s="22" t="inlineStr">
        <is>
          <t>AC코드</t>
        </is>
      </c>
      <c r="C363" s="23" t="inlineStr">
        <is>
          <t>공용</t>
        </is>
      </c>
      <c r="D363" s="23" t="inlineStr">
        <is>
          <t>2구 AC코드 _ C 타입 [ 220V ]</t>
        </is>
      </c>
      <c r="E363" s="23" t="inlineStr">
        <is>
          <t>2구 AC코드 C타입 (220V)
[공용]</t>
        </is>
      </c>
      <c r="F363" s="24" t="inlineStr">
        <is>
          <t>O</t>
        </is>
      </c>
      <c r="G363" s="25" t="n"/>
      <c r="H363" s="26" t="n"/>
      <c r="I363" s="27">
        <f>IFERROR(IF(OR($F363="O",$G363="O",$H363="O"),CHOOSE(MATCH($A363,{"튜브","고압","진공","튜닝","조립","출하"},0),"T","H","V","N","A","P")&amp;IF($F363="O","R",IF($G363="O","A",IF($H363="O","F",""))),""),"")</f>
        <v/>
      </c>
      <c r="J363" s="15" t="inlineStr">
        <is>
          <t>O</t>
        </is>
      </c>
      <c r="K363" s="16" t="inlineStr">
        <is>
          <t>O</t>
        </is>
      </c>
      <c r="L363" s="17" t="inlineStr">
        <is>
          <t>O</t>
        </is>
      </c>
      <c r="M363" s="18" t="inlineStr">
        <is>
          <t>O</t>
        </is>
      </c>
      <c r="N363" s="19" t="inlineStr">
        <is>
          <t>O</t>
        </is>
      </c>
      <c r="O363" s="20" t="n"/>
      <c r="P363" s="21">
        <f>IF($I363="","",IF($J363="O","3","")&amp;IF($K363="O","4","")&amp;IF($L363="O","6","")&amp;IF($M363="O","7","")&amp;IF($N363="O","8","")&amp;IF($O363="O","?","")&amp;IF(OR($J363="O",$K363="O",$L363="O",$M363="O",$N363="O",$O363="O"),"-","")&amp;$I363)</f>
        <v/>
      </c>
      <c r="Q363" s="110">
        <f>HYPERLINK("#'마스터_품목'!A590","→ 마스터 R590")</f>
        <v/>
      </c>
      <c r="R363" s="111" t="n">
        <v>590</v>
      </c>
      <c r="S363" s="111" t="inlineStr">
        <is>
          <t>마스터_품목</t>
        </is>
      </c>
    </row>
    <row r="364" ht="27" customHeight="1">
      <c r="A364" s="29" t="inlineStr">
        <is>
          <t>출하</t>
        </is>
      </c>
      <c r="B364" s="22" t="inlineStr">
        <is>
          <t>AC코드</t>
        </is>
      </c>
      <c r="C364" s="23" t="inlineStr">
        <is>
          <t>공용</t>
        </is>
      </c>
      <c r="D364" s="23" t="inlineStr">
        <is>
          <t>2구 AC코드 _ A 타입 [ 110V ]-일본향</t>
        </is>
      </c>
      <c r="E364" s="23" t="inlineStr">
        <is>
          <t>2구 AC코드 A타입 (일본용, 110V)
[공용]</t>
        </is>
      </c>
      <c r="F364" s="24" t="inlineStr">
        <is>
          <t>O</t>
        </is>
      </c>
      <c r="G364" s="25" t="n"/>
      <c r="H364" s="26" t="n"/>
      <c r="I364" s="27">
        <f>IFERROR(IF(OR($F364="O",$G364="O",$H364="O"),CHOOSE(MATCH($A364,{"튜브","고압","진공","튜닝","조립","출하"},0),"T","H","V","N","A","P")&amp;IF($F364="O","R",IF($G364="O","A",IF($H364="O","F",""))),""),"")</f>
        <v/>
      </c>
      <c r="J364" s="15" t="inlineStr">
        <is>
          <t>O</t>
        </is>
      </c>
      <c r="K364" s="16" t="inlineStr">
        <is>
          <t>O</t>
        </is>
      </c>
      <c r="L364" s="17" t="inlineStr">
        <is>
          <t>O</t>
        </is>
      </c>
      <c r="M364" s="18" t="inlineStr">
        <is>
          <t>O</t>
        </is>
      </c>
      <c r="N364" s="19" t="inlineStr">
        <is>
          <t>O</t>
        </is>
      </c>
      <c r="O364" s="20" t="n"/>
      <c r="P364" s="21">
        <f>IF($I364="","",IF($J364="O","3","")&amp;IF($K364="O","4","")&amp;IF($L364="O","6","")&amp;IF($M364="O","7","")&amp;IF($N364="O","8","")&amp;IF($O364="O","?","")&amp;IF(OR($J364="O",$K364="O",$L364="O",$M364="O",$N364="O",$O364="O"),"-","")&amp;$I364)</f>
        <v/>
      </c>
      <c r="Q364" s="110">
        <f>HYPERLINK("#'마스터_품목'!A591","→ 마스터 R591")</f>
        <v/>
      </c>
      <c r="R364" s="111" t="n">
        <v>591</v>
      </c>
      <c r="S364" s="111" t="inlineStr">
        <is>
          <t>마스터_품목</t>
        </is>
      </c>
    </row>
    <row r="365" ht="48" customHeight="1">
      <c r="A365" s="29" t="inlineStr">
        <is>
          <t>출하</t>
        </is>
      </c>
      <c r="B365" s="22" t="inlineStr">
        <is>
          <t>AC코드</t>
        </is>
      </c>
      <c r="C365" s="23" t="inlineStr">
        <is>
          <t>공용</t>
        </is>
      </c>
      <c r="D365" s="23" t="inlineStr">
        <is>
          <t>3구 접지 AC 코드_ B 타입 [ 미국용 ]</t>
        </is>
      </c>
      <c r="E365" s="23" t="inlineStr">
        <is>
          <t>3구 접지 AC코드 B타입 (미국용)
[공용]</t>
        </is>
      </c>
      <c r="F365" s="24" t="inlineStr">
        <is>
          <t>O</t>
        </is>
      </c>
      <c r="G365" s="25" t="n"/>
      <c r="H365" s="26" t="n"/>
      <c r="I365" s="27">
        <f>IFERROR(IF(OR($F365="O",$G365="O",$H365="O"),CHOOSE(MATCH($A365,{"튜브","고압","진공","튜닝","조립","출하"},0),"T","H","V","N","A","P")&amp;IF($F365="O","R",IF($G365="O","A",IF($H365="O","F",""))),""),"")</f>
        <v/>
      </c>
      <c r="J365" s="15" t="inlineStr">
        <is>
          <t>O</t>
        </is>
      </c>
      <c r="K365" s="16" t="inlineStr">
        <is>
          <t>O</t>
        </is>
      </c>
      <c r="L365" s="17" t="inlineStr">
        <is>
          <t>O</t>
        </is>
      </c>
      <c r="M365" s="18" t="inlineStr">
        <is>
          <t>O</t>
        </is>
      </c>
      <c r="N365" s="19" t="inlineStr">
        <is>
          <t>O</t>
        </is>
      </c>
      <c r="O365" s="20" t="n"/>
      <c r="P365" s="21">
        <f>IF($I365="","",IF($J365="O","3","")&amp;IF($K365="O","4","")&amp;IF($L365="O","6","")&amp;IF($M365="O","7","")&amp;IF($N365="O","8","")&amp;IF($O365="O","?","")&amp;IF(OR($J365="O",$K365="O",$L365="O",$M365="O",$N365="O",$O365="O"),"-","")&amp;$I365)</f>
        <v/>
      </c>
      <c r="Q365" s="110">
        <f>HYPERLINK("#'마스터_품목'!A592","→ 마스터 R592")</f>
        <v/>
      </c>
      <c r="R365" s="111" t="n">
        <v>592</v>
      </c>
      <c r="S365" s="111" t="inlineStr">
        <is>
          <t>마스터_품목</t>
        </is>
      </c>
    </row>
    <row r="366" ht="48" customHeight="1">
      <c r="A366" s="29" t="inlineStr">
        <is>
          <t>출하</t>
        </is>
      </c>
      <c r="B366" s="22" t="inlineStr">
        <is>
          <t>AC코드</t>
        </is>
      </c>
      <c r="C366" s="23" t="inlineStr">
        <is>
          <t>공용</t>
        </is>
      </c>
      <c r="D366" s="23" t="inlineStr">
        <is>
          <t>3구 접지 AC 코드_ I 타입 [ 호주,중국 공용 ]</t>
        </is>
      </c>
      <c r="E366" s="23" t="inlineStr">
        <is>
          <t>3구 접지 AC코드 I타입 (호주, 중국 공용)
[공용]</t>
        </is>
      </c>
      <c r="F366" s="24" t="inlineStr">
        <is>
          <t>O</t>
        </is>
      </c>
      <c r="G366" s="25" t="n"/>
      <c r="H366" s="26" t="n"/>
      <c r="I366" s="27">
        <f>IFERROR(IF(OR($F366="O",$G366="O",$H366="O"),CHOOSE(MATCH($A366,{"튜브","고압","진공","튜닝","조립","출하"},0),"T","H","V","N","A","P")&amp;IF($F366="O","R",IF($G366="O","A",IF($H366="O","F",""))),""),"")</f>
        <v/>
      </c>
      <c r="J366" s="15" t="inlineStr">
        <is>
          <t>O</t>
        </is>
      </c>
      <c r="K366" s="16" t="inlineStr">
        <is>
          <t>O</t>
        </is>
      </c>
      <c r="L366" s="17" t="inlineStr">
        <is>
          <t>O</t>
        </is>
      </c>
      <c r="M366" s="18" t="inlineStr">
        <is>
          <t>O</t>
        </is>
      </c>
      <c r="N366" s="19" t="inlineStr">
        <is>
          <t>O</t>
        </is>
      </c>
      <c r="O366" s="20" t="n"/>
      <c r="P366" s="21">
        <f>IF($I366="","",IF($J366="O","3","")&amp;IF($K366="O","4","")&amp;IF($L366="O","6","")&amp;IF($M366="O","7","")&amp;IF($N366="O","8","")&amp;IF($O366="O","?","")&amp;IF(OR($J366="O",$K366="O",$L366="O",$M366="O",$N366="O",$O366="O"),"-","")&amp;$I366)</f>
        <v/>
      </c>
      <c r="Q366" s="110">
        <f>HYPERLINK("#'마스터_품목'!A593","→ 마스터 R593")</f>
        <v/>
      </c>
      <c r="R366" s="111" t="n">
        <v>593</v>
      </c>
      <c r="S366" s="111" t="inlineStr">
        <is>
          <t>마스터_품목</t>
        </is>
      </c>
    </row>
    <row r="367" ht="48" customHeight="1">
      <c r="A367" s="29" t="inlineStr">
        <is>
          <t>출하</t>
        </is>
      </c>
      <c r="B367" s="22" t="inlineStr">
        <is>
          <t>AC코드</t>
        </is>
      </c>
      <c r="C367" s="23" t="inlineStr">
        <is>
          <t>공용</t>
        </is>
      </c>
      <c r="D367" s="23" t="inlineStr">
        <is>
          <t>3구 접지 AC 코드_ G 타입 [ 영국용 ]</t>
        </is>
      </c>
      <c r="E367" s="23" t="inlineStr">
        <is>
          <t>3구 접지 AC코드 G타입 (영국용)
[공용]</t>
        </is>
      </c>
      <c r="F367" s="24" t="inlineStr">
        <is>
          <t>O</t>
        </is>
      </c>
      <c r="G367" s="25" t="n"/>
      <c r="H367" s="26" t="n"/>
      <c r="I367" s="27">
        <f>IFERROR(IF(OR($F367="O",$G367="O",$H367="O"),CHOOSE(MATCH($A367,{"튜브","고압","진공","튜닝","조립","출하"},0),"T","H","V","N","A","P")&amp;IF($F367="O","R",IF($G367="O","A",IF($H367="O","F",""))),""),"")</f>
        <v/>
      </c>
      <c r="J367" s="15" t="inlineStr">
        <is>
          <t>O</t>
        </is>
      </c>
      <c r="K367" s="16" t="inlineStr">
        <is>
          <t>O</t>
        </is>
      </c>
      <c r="L367" s="17" t="inlineStr">
        <is>
          <t>O</t>
        </is>
      </c>
      <c r="M367" s="18" t="inlineStr">
        <is>
          <t>O</t>
        </is>
      </c>
      <c r="N367" s="19" t="inlineStr">
        <is>
          <t>O</t>
        </is>
      </c>
      <c r="O367" s="20" t="n"/>
      <c r="P367" s="21">
        <f>IF($I367="","",IF($J367="O","3","")&amp;IF($K367="O","4","")&amp;IF($L367="O","6","")&amp;IF($M367="O","7","")&amp;IF($N367="O","8","")&amp;IF($O367="O","?","")&amp;IF(OR($J367="O",$K367="O",$L367="O",$M367="O",$N367="O",$O367="O"),"-","")&amp;$I367)</f>
        <v/>
      </c>
      <c r="Q367" s="110">
        <f>HYPERLINK("#'마스터_품목'!A594","→ 마스터 R594")</f>
        <v/>
      </c>
      <c r="R367" s="111" t="n">
        <v>594</v>
      </c>
      <c r="S367" s="111" t="inlineStr">
        <is>
          <t>마스터_품목</t>
        </is>
      </c>
    </row>
    <row r="368" ht="48" customHeight="1">
      <c r="A368" s="29" t="inlineStr">
        <is>
          <t>출하</t>
        </is>
      </c>
      <c r="B368" s="22" t="inlineStr">
        <is>
          <t>AC코드</t>
        </is>
      </c>
      <c r="C368" s="23" t="inlineStr">
        <is>
          <t>공용</t>
        </is>
      </c>
      <c r="D368" s="23" t="inlineStr">
        <is>
          <t>3구 접지 AC 코드_ F 타입 [ 220V 유럽용 ]</t>
        </is>
      </c>
      <c r="E368" s="23" t="inlineStr">
        <is>
          <t>3구 접지 AC 코드 (유럽용, 220V)
[공용]</t>
        </is>
      </c>
      <c r="F368" s="24" t="inlineStr">
        <is>
          <t>O</t>
        </is>
      </c>
      <c r="G368" s="25" t="n"/>
      <c r="H368" s="26" t="n"/>
      <c r="I368" s="27">
        <f>IFERROR(IF(OR($F368="O",$G368="O",$H368="O"),CHOOSE(MATCH($A368,{"튜브","고압","진공","튜닝","조립","출하"},0),"T","H","V","N","A","P")&amp;IF($F368="O","R",IF($G368="O","A",IF($H368="O","F",""))),""),"")</f>
        <v/>
      </c>
      <c r="J368" s="15" t="inlineStr">
        <is>
          <t>O</t>
        </is>
      </c>
      <c r="K368" s="16" t="inlineStr">
        <is>
          <t>O</t>
        </is>
      </c>
      <c r="L368" s="17" t="inlineStr">
        <is>
          <t>O</t>
        </is>
      </c>
      <c r="M368" s="18" t="inlineStr">
        <is>
          <t>O</t>
        </is>
      </c>
      <c r="N368" s="19" t="inlineStr">
        <is>
          <t>O</t>
        </is>
      </c>
      <c r="O368" s="20" t="n"/>
      <c r="P368" s="21">
        <f>IF($I368="","",IF($J368="O","3","")&amp;IF($K368="O","4","")&amp;IF($L368="O","6","")&amp;IF($M368="O","7","")&amp;IF($N368="O","8","")&amp;IF($O368="O","?","")&amp;IF(OR($J368="O",$K368="O",$L368="O",$M368="O",$N368="O",$O368="O"),"-","")&amp;$I368)</f>
        <v/>
      </c>
      <c r="Q368" s="110">
        <f>HYPERLINK("#'마스터_품목'!A595","→ 마스터 R595")</f>
        <v/>
      </c>
      <c r="R368" s="111" t="n">
        <v>595</v>
      </c>
      <c r="S368" s="111" t="inlineStr">
        <is>
          <t>마스터_품목</t>
        </is>
      </c>
    </row>
    <row r="369" ht="48" customHeight="1">
      <c r="A369" s="29" t="inlineStr">
        <is>
          <t>출하</t>
        </is>
      </c>
      <c r="B369" s="22" t="inlineStr">
        <is>
          <t>AC코드</t>
        </is>
      </c>
      <c r="C369" s="23" t="inlineStr">
        <is>
          <t>공용</t>
        </is>
      </c>
      <c r="D369" s="23" t="inlineStr">
        <is>
          <t>3구 접지 AC코드 _ A 타입 [ 110V ]</t>
        </is>
      </c>
      <c r="E369" s="23" t="inlineStr">
        <is>
          <t>3구 접지 AC 코드 A타입 (일본용, 110V)
[공용]</t>
        </is>
      </c>
      <c r="F369" s="24" t="inlineStr">
        <is>
          <t>O</t>
        </is>
      </c>
      <c r="G369" s="25" t="n"/>
      <c r="H369" s="26" t="n"/>
      <c r="I369" s="27">
        <f>IFERROR(IF(OR($F369="O",$G369="O",$H369="O"),CHOOSE(MATCH($A369,{"튜브","고압","진공","튜닝","조립","출하"},0),"T","H","V","N","A","P")&amp;IF($F369="O","R",IF($G369="O","A",IF($H369="O","F",""))),""),"")</f>
        <v/>
      </c>
      <c r="J369" s="15" t="inlineStr">
        <is>
          <t>O</t>
        </is>
      </c>
      <c r="K369" s="16" t="inlineStr">
        <is>
          <t>O</t>
        </is>
      </c>
      <c r="L369" s="17" t="inlineStr">
        <is>
          <t>O</t>
        </is>
      </c>
      <c r="M369" s="18" t="inlineStr">
        <is>
          <t>O</t>
        </is>
      </c>
      <c r="N369" s="19" t="inlineStr">
        <is>
          <t>O</t>
        </is>
      </c>
      <c r="O369" s="20" t="n"/>
      <c r="P369" s="21">
        <f>IF($I369="","",IF($J369="O","3","")&amp;IF($K369="O","4","")&amp;IF($L369="O","6","")&amp;IF($M369="O","7","")&amp;IF($N369="O","8","")&amp;IF($O369="O","?","")&amp;IF(OR($J369="O",$K369="O",$L369="O",$M369="O",$N369="O",$O369="O"),"-","")&amp;$I369)</f>
        <v/>
      </c>
      <c r="Q369" s="110">
        <f>HYPERLINK("#'마스터_품목'!A596","→ 마스터 R596")</f>
        <v/>
      </c>
      <c r="R369" s="111" t="n">
        <v>596</v>
      </c>
      <c r="S369" s="111" t="inlineStr">
        <is>
          <t>마스터_품목</t>
        </is>
      </c>
    </row>
    <row r="370" ht="48" customHeight="1">
      <c r="A370" s="29" t="inlineStr">
        <is>
          <t>출하</t>
        </is>
      </c>
      <c r="B370" s="22" t="inlineStr">
        <is>
          <t>거치대</t>
        </is>
      </c>
      <c r="C370" s="23" t="inlineStr">
        <is>
          <t>DX3000
ADX4000W
공용</t>
        </is>
      </c>
      <c r="D370" s="23" t="inlineStr">
        <is>
          <t>거치대 [ D-910 ]</t>
        </is>
      </c>
      <c r="E370" s="23" t="inlineStr">
        <is>
          <t>거치대 (D-910)
[DX3000, ADX4000W]</t>
        </is>
      </c>
      <c r="F370" s="24" t="inlineStr">
        <is>
          <t>O</t>
        </is>
      </c>
      <c r="G370" s="25" t="n"/>
      <c r="H370" s="26" t="n"/>
      <c r="I370" s="27">
        <f>IFERROR(IF(OR($F370="O",$G370="O",$H370="O"),CHOOSE(MATCH($A370,{"튜브","고압","진공","튜닝","조립","출하"},0),"T","H","V","N","A","P")&amp;IF($F370="O","R",IF($G370="O","A",IF($H370="O","F",""))),""),"")</f>
        <v/>
      </c>
      <c r="J370" s="15" t="inlineStr">
        <is>
          <t>O</t>
        </is>
      </c>
      <c r="K370" s="16" t="inlineStr">
        <is>
          <t>O</t>
        </is>
      </c>
      <c r="L370" s="17" t="n"/>
      <c r="M370" s="18" t="n"/>
      <c r="N370" s="19" t="inlineStr">
        <is>
          <t>O</t>
        </is>
      </c>
      <c r="O370" s="20" t="n"/>
      <c r="P370" s="21">
        <f>IF($I370="","",IF($J370="O","3","")&amp;IF($K370="O","4","")&amp;IF($L370="O","6","")&amp;IF($M370="O","7","")&amp;IF($N370="O","8","")&amp;IF($O370="O","?","")&amp;IF(OR($J370="O",$K370="O",$L370="O",$M370="O",$N370="O",$O370="O"),"-","")&amp;$I370)</f>
        <v/>
      </c>
      <c r="Q370" s="110">
        <f>HYPERLINK("#'마스터_품목'!A597","→ 마스터 R597")</f>
        <v/>
      </c>
      <c r="R370" s="111" t="n">
        <v>597</v>
      </c>
      <c r="S370" s="111" t="inlineStr">
        <is>
          <t>마스터_품목</t>
        </is>
      </c>
    </row>
    <row r="371" ht="48" customHeight="1">
      <c r="A371" s="29" t="inlineStr">
        <is>
          <t>출하</t>
        </is>
      </c>
      <c r="B371" s="22" t="inlineStr">
        <is>
          <t>연 아크릴</t>
        </is>
      </c>
      <c r="C371" s="23" t="inlineStr">
        <is>
          <t>COCOON</t>
        </is>
      </c>
      <c r="D371" s="23" t="inlineStr">
        <is>
          <t>연아크릴 [65∮] - 8T</t>
        </is>
      </c>
      <c r="E371" s="23" t="inlineStr">
        <is>
          <t>연아크릴 쉴드 8T (153 * ∮65 * 8T)
[공용] (선일쉴드텍)</t>
        </is>
      </c>
      <c r="F371" s="24" t="inlineStr">
        <is>
          <t>O</t>
        </is>
      </c>
      <c r="G371" s="25" t="n"/>
      <c r="H371" s="26" t="n"/>
      <c r="I371" s="27">
        <f>IFERROR(IF(OR($F371="O",$G371="O",$H371="O"),CHOOSE(MATCH($A371,{"튜브","고압","진공","튜닝","조립","출하"},0),"T","H","V","N","A","P")&amp;IF($F371="O","R",IF($G371="O","A",IF($H371="O","F",""))),""),"")</f>
        <v/>
      </c>
      <c r="J371" s="15" t="n"/>
      <c r="K371" s="16" t="n"/>
      <c r="L371" s="17" t="n"/>
      <c r="M371" s="18" t="inlineStr">
        <is>
          <t>O</t>
        </is>
      </c>
      <c r="N371" s="19" t="inlineStr">
        <is>
          <t>O</t>
        </is>
      </c>
      <c r="O371" s="20" t="n"/>
      <c r="P371" s="21">
        <f>IF($I371="","",IF($J371="O","3","")&amp;IF($K371="O","4","")&amp;IF($L371="O","6","")&amp;IF($M371="O","7","")&amp;IF($N371="O","8","")&amp;IF($O371="O","?","")&amp;IF(OR($J371="O",$K371="O",$L371="O",$M371="O",$N371="O",$O371="O"),"-","")&amp;$I371)</f>
        <v/>
      </c>
      <c r="Q371" s="110">
        <f>HYPERLINK("#'마스터_품목'!A598","→ 마스터 R598")</f>
        <v/>
      </c>
      <c r="R371" s="111" t="n">
        <v>598</v>
      </c>
      <c r="S371" s="111" t="inlineStr">
        <is>
          <t>마스터_품목</t>
        </is>
      </c>
    </row>
    <row r="372" ht="48" customHeight="1">
      <c r="A372" s="29" t="inlineStr">
        <is>
          <t>출하</t>
        </is>
      </c>
      <c r="B372" s="22" t="inlineStr">
        <is>
          <t>연 아크릴</t>
        </is>
      </c>
      <c r="C372" s="23" t="inlineStr">
        <is>
          <t>DX3000
ADX4000W</t>
        </is>
      </c>
      <c r="D372" s="23" t="inlineStr">
        <is>
          <t>연아크릴 [60∮] - 12T</t>
        </is>
      </c>
      <c r="E372" s="23" t="inlineStr">
        <is>
          <t>연아크릴 쉴드 12T (153 * ∮60 * 12T)
[공용] (선일쉴드텍)</t>
        </is>
      </c>
      <c r="F372" s="24" t="inlineStr">
        <is>
          <t>O</t>
        </is>
      </c>
      <c r="G372" s="25" t="n"/>
      <c r="H372" s="26" t="n"/>
      <c r="I372" s="27">
        <f>IFERROR(IF(OR($F372="O",$G372="O",$H372="O"),CHOOSE(MATCH($A372,{"튜브","고압","진공","튜닝","조립","출하"},0),"T","H","V","N","A","P")&amp;IF($F372="O","R",IF($G372="O","A",IF($H372="O","F",""))),""),"")</f>
        <v/>
      </c>
      <c r="J372" s="15" t="inlineStr">
        <is>
          <t>O</t>
        </is>
      </c>
      <c r="K372" s="16" t="inlineStr">
        <is>
          <t>O</t>
        </is>
      </c>
      <c r="L372" s="17" t="n"/>
      <c r="M372" s="18" t="n"/>
      <c r="N372" s="19" t="n"/>
      <c r="O372" s="20" t="n"/>
      <c r="P372" s="21">
        <f>IF($I372="","",IF($J372="O","3","")&amp;IF($K372="O","4","")&amp;IF($L372="O","6","")&amp;IF($M372="O","7","")&amp;IF($N372="O","8","")&amp;IF($O372="O","?","")&amp;IF(OR($J372="O",$K372="O",$L372="O",$M372="O",$N372="O",$O372="O"),"-","")&amp;$I372)</f>
        <v/>
      </c>
      <c r="Q372" s="110">
        <f>HYPERLINK("#'마스터_품목'!A599","→ 마스터 R599")</f>
        <v/>
      </c>
      <c r="R372" s="111" t="n">
        <v>599</v>
      </c>
      <c r="S372" s="111" t="inlineStr">
        <is>
          <t>마스터_품목</t>
        </is>
      </c>
    </row>
    <row r="373" ht="48" customHeight="1">
      <c r="A373" s="29" t="inlineStr">
        <is>
          <t>출하</t>
        </is>
      </c>
      <c r="B373" s="22" t="inlineStr">
        <is>
          <t>연 아크릴</t>
        </is>
      </c>
      <c r="C373" s="23" t="inlineStr">
        <is>
          <t>공용</t>
        </is>
      </c>
      <c r="D373" s="23" t="inlineStr">
        <is>
          <t>연아크릴 [65∮] - 12T</t>
        </is>
      </c>
      <c r="E373" s="23" t="inlineStr">
        <is>
          <t>연아크릴 쉴드 12T (153 * ∮65 * 12T)
[공용] (중국)</t>
        </is>
      </c>
      <c r="F373" s="24" t="inlineStr">
        <is>
          <t>O</t>
        </is>
      </c>
      <c r="G373" s="25" t="n"/>
      <c r="H373" s="26" t="n"/>
      <c r="I373" s="27">
        <f>IFERROR(IF(OR($F373="O",$G373="O",$H373="O"),CHOOSE(MATCH($A373,{"튜브","고압","진공","튜닝","조립","출하"},0),"T","H","V","N","A","P")&amp;IF($F373="O","R",IF($G373="O","A",IF($H373="O","F",""))),""),"")</f>
        <v/>
      </c>
      <c r="J373" s="15" t="inlineStr">
        <is>
          <t>O</t>
        </is>
      </c>
      <c r="K373" s="16" t="inlineStr">
        <is>
          <t>O</t>
        </is>
      </c>
      <c r="L373" s="17" t="n"/>
      <c r="M373" s="18" t="inlineStr">
        <is>
          <t>O</t>
        </is>
      </c>
      <c r="N373" s="19" t="inlineStr">
        <is>
          <t>O</t>
        </is>
      </c>
      <c r="O373" s="20" t="n"/>
      <c r="P373" s="21">
        <f>IF($I373="","",IF($J373="O","3","")&amp;IF($K373="O","4","")&amp;IF($L373="O","6","")&amp;IF($M373="O","7","")&amp;IF($N373="O","8","")&amp;IF($O373="O","?","")&amp;IF(OR($J373="O",$K373="O",$L373="O",$M373="O",$N373="O",$O373="O"),"-","")&amp;$I373)</f>
        <v/>
      </c>
      <c r="Q373" s="110">
        <f>HYPERLINK("#'마스터_품목'!A600","→ 마스터 R600")</f>
        <v/>
      </c>
      <c r="R373" s="111" t="n">
        <v>600</v>
      </c>
      <c r="S373" s="111" t="inlineStr">
        <is>
          <t>마스터_품목</t>
        </is>
      </c>
    </row>
    <row r="374" ht="48" customHeight="1">
      <c r="A374" s="29" t="inlineStr">
        <is>
          <t>출하</t>
        </is>
      </c>
      <c r="B374" s="22" t="inlineStr">
        <is>
          <t>연 아크릴</t>
        </is>
      </c>
      <c r="C374" s="23" t="inlineStr">
        <is>
          <t>공용</t>
        </is>
      </c>
      <c r="D374" s="23" t="inlineStr">
        <is>
          <t>연아크릴 [65∮] - 12T (선일 쉴드텍 - 일본만 사용)</t>
        </is>
      </c>
      <c r="E374" s="23" t="inlineStr">
        <is>
          <t>연아크릴 쉴드 12T (153 * ∮65 * 12T)
[공용] (선일쉴드텍)</t>
        </is>
      </c>
      <c r="F374" s="24" t="inlineStr">
        <is>
          <t>O</t>
        </is>
      </c>
      <c r="G374" s="25" t="n"/>
      <c r="H374" s="26" t="n"/>
      <c r="I374" s="27">
        <f>IFERROR(IF(OR($F374="O",$G374="O",$H374="O"),CHOOSE(MATCH($A374,{"튜브","고압","진공","튜닝","조립","출하"},0),"T","H","V","N","A","P")&amp;IF($F374="O","R",IF($G374="O","A",IF($H374="O","F",""))),""),"")</f>
        <v/>
      </c>
      <c r="J374" s="15" t="inlineStr">
        <is>
          <t>O</t>
        </is>
      </c>
      <c r="K374" s="16" t="inlineStr">
        <is>
          <t>O</t>
        </is>
      </c>
      <c r="L374" s="17" t="n"/>
      <c r="M374" s="18" t="inlineStr">
        <is>
          <t>O</t>
        </is>
      </c>
      <c r="N374" s="19" t="inlineStr">
        <is>
          <t>O</t>
        </is>
      </c>
      <c r="O374" s="20" t="n"/>
      <c r="P374" s="21">
        <f>IF($I374="","",IF($J374="O","3","")&amp;IF($K374="O","4","")&amp;IF($L374="O","6","")&amp;IF($M374="O","7","")&amp;IF($N374="O","8","")&amp;IF($O374="O","?","")&amp;IF(OR($J374="O",$K374="O",$L374="O",$M374="O",$N374="O",$O374="O"),"-","")&amp;$I374)</f>
        <v/>
      </c>
      <c r="Q374" s="110">
        <f>HYPERLINK("#'마스터_품목'!A601","→ 마스터 R601")</f>
        <v/>
      </c>
      <c r="R374" s="111" t="n">
        <v>601</v>
      </c>
      <c r="S374" s="111" t="inlineStr">
        <is>
          <t>마스터_품목</t>
        </is>
      </c>
    </row>
    <row r="375" ht="48" customHeight="1">
      <c r="A375" s="29" t="inlineStr">
        <is>
          <t>출하</t>
        </is>
      </c>
      <c r="B375" s="22" t="inlineStr">
        <is>
          <t>연 아크릴</t>
        </is>
      </c>
      <c r="C375" s="23" t="inlineStr">
        <is>
          <t>공용</t>
        </is>
      </c>
      <c r="D375" s="23" t="inlineStr">
        <is>
          <t>연아크릴 [65∮] - 12T (8T 대용)</t>
        </is>
      </c>
      <c r="E375" s="23" t="n"/>
      <c r="F375" s="24" t="inlineStr">
        <is>
          <t>O</t>
        </is>
      </c>
      <c r="G375" s="25" t="n"/>
      <c r="H375" s="26" t="n"/>
      <c r="I375" s="27">
        <f>IFERROR(IF(OR($F375="O",$G375="O",$H375="O"),CHOOSE(MATCH($A375,{"튜브","고압","진공","튜닝","조립","출하"},0),"T","H","V","N","A","P")&amp;IF($F375="O","R",IF($G375="O","A",IF($H375="O","F",""))),""),"")</f>
        <v/>
      </c>
      <c r="J375" s="15" t="n"/>
      <c r="K375" s="16" t="n"/>
      <c r="L375" s="17" t="n"/>
      <c r="M375" s="18" t="inlineStr">
        <is>
          <t>O</t>
        </is>
      </c>
      <c r="N375" s="19" t="inlineStr">
        <is>
          <t>O</t>
        </is>
      </c>
      <c r="O375" s="20" t="n"/>
      <c r="P375" s="21">
        <f>IF($I375="","",IF($J375="O","3","")&amp;IF($K375="O","4","")&amp;IF($L375="O","6","")&amp;IF($M375="O","7","")&amp;IF($N375="O","8","")&amp;IF($O375="O","?","")&amp;IF(OR($J375="O",$K375="O",$L375="O",$M375="O",$N375="O",$O375="O"),"-","")&amp;$I375)</f>
        <v/>
      </c>
      <c r="Q375" s="110">
        <f>HYPERLINK("#'마스터_품목'!A602","→ 마스터 R602")</f>
        <v/>
      </c>
      <c r="R375" s="111" t="n">
        <v>602</v>
      </c>
      <c r="S375" s="111" t="inlineStr">
        <is>
          <t>마스터_품목</t>
        </is>
      </c>
    </row>
    <row r="376" ht="48" customHeight="1">
      <c r="A376" s="29" t="inlineStr">
        <is>
          <t>출하</t>
        </is>
      </c>
      <c r="B376" s="22" t="inlineStr">
        <is>
          <t>연 아크릴</t>
        </is>
      </c>
      <c r="C376" s="23" t="inlineStr">
        <is>
          <t>ADX6000 공용</t>
        </is>
      </c>
      <c r="D376" s="23" t="inlineStr">
        <is>
          <t>ADX6000_연아크릴 [직사각형 215*195mm] - 8T
_하단 가공된 것</t>
        </is>
      </c>
      <c r="E376" s="23" t="inlineStr">
        <is>
          <t>사각 연아크릴 쉴드 (직사각형, 215 * 199mm 8T)
[ADX6000] (선일쉴드텍)</t>
        </is>
      </c>
      <c r="F376" s="24" t="inlineStr">
        <is>
          <t>O</t>
        </is>
      </c>
      <c r="G376" s="25" t="n"/>
      <c r="H376" s="26" t="n"/>
      <c r="I376" s="27">
        <f>IFERROR(IF(OR($F376="O",$G376="O",$H376="O"),CHOOSE(MATCH($A376,{"튜브","고압","진공","튜닝","조립","출하"},0),"T","H","V","N","A","P")&amp;IF($F376="O","R",IF($G376="O","A",IF($H376="O","F",""))),""),"")</f>
        <v/>
      </c>
      <c r="J376" s="15" t="n"/>
      <c r="K376" s="16" t="n"/>
      <c r="L376" s="17" t="inlineStr">
        <is>
          <t>O</t>
        </is>
      </c>
      <c r="M376" s="18" t="n"/>
      <c r="N376" s="19" t="n"/>
      <c r="O376" s="20" t="n"/>
      <c r="P376" s="21">
        <f>IF($I376="","",IF($J376="O","3","")&amp;IF($K376="O","4","")&amp;IF($L376="O","6","")&amp;IF($M376="O","7","")&amp;IF($N376="O","8","")&amp;IF($O376="O","?","")&amp;IF(OR($J376="O",$K376="O",$L376="O",$M376="O",$N376="O",$O376="O"),"-","")&amp;$I376)</f>
        <v/>
      </c>
      <c r="Q376" s="110">
        <f>HYPERLINK("#'마스터_품목'!A603","→ 마스터 R603")</f>
        <v/>
      </c>
      <c r="R376" s="111" t="n">
        <v>603</v>
      </c>
      <c r="S376" s="111" t="inlineStr">
        <is>
          <t>마스터_품목</t>
        </is>
      </c>
    </row>
    <row r="377" ht="48" customHeight="1">
      <c r="A377" s="29" t="inlineStr">
        <is>
          <t>출하</t>
        </is>
      </c>
      <c r="B377" s="22" t="inlineStr">
        <is>
          <t>연 아크릴</t>
        </is>
      </c>
      <c r="C377" s="23" t="inlineStr">
        <is>
          <t>ADX6000 공용</t>
        </is>
      </c>
      <c r="D377" s="23" t="inlineStr">
        <is>
          <t>ADX6000_연아크릴 [직사각형 215*195mm] - 8T</t>
        </is>
      </c>
      <c r="E377" s="23" t="n"/>
      <c r="F377" s="24" t="inlineStr">
        <is>
          <t>O</t>
        </is>
      </c>
      <c r="G377" s="25" t="n"/>
      <c r="H377" s="26" t="n"/>
      <c r="I377" s="27">
        <f>IFERROR(IF(OR($F377="O",$G377="O",$H377="O"),CHOOSE(MATCH($A377,{"튜브","고압","진공","튜닝","조립","출하"},0),"T","H","V","N","A","P")&amp;IF($F377="O","R",IF($G377="O","A",IF($H377="O","F",""))),""),"")</f>
        <v/>
      </c>
      <c r="J377" s="15" t="n"/>
      <c r="K377" s="16" t="n"/>
      <c r="L377" s="17" t="inlineStr">
        <is>
          <t>O</t>
        </is>
      </c>
      <c r="M377" s="18" t="n"/>
      <c r="N377" s="19" t="n"/>
      <c r="O377" s="20" t="n"/>
      <c r="P377" s="21">
        <f>IF($I377="","",IF($J377="O","3","")&amp;IF($K377="O","4","")&amp;IF($L377="O","6","")&amp;IF($M377="O","7","")&amp;IF($N377="O","8","")&amp;IF($O377="O","?","")&amp;IF(OR($J377="O",$K377="O",$L377="O",$M377="O",$N377="O",$O377="O"),"-","")&amp;$I377)</f>
        <v/>
      </c>
      <c r="Q377" s="110">
        <f>HYPERLINK("#'마스터_품목'!A604","→ 마스터 R604")</f>
        <v/>
      </c>
      <c r="R377" s="111" t="n">
        <v>604</v>
      </c>
      <c r="S377" s="111" t="inlineStr">
        <is>
          <t>마스터_품목</t>
        </is>
      </c>
    </row>
    <row r="378" ht="48" customHeight="1">
      <c r="A378" s="29" t="inlineStr">
        <is>
          <t>출하</t>
        </is>
      </c>
      <c r="B378" s="22" t="inlineStr">
        <is>
          <t>실리콘</t>
        </is>
      </c>
      <c r="C378" s="23" t="inlineStr">
        <is>
          <t>공용</t>
        </is>
      </c>
      <c r="D378" s="23" t="inlineStr">
        <is>
          <t>실드 오링[60∮] _ AN-036</t>
        </is>
      </c>
      <c r="E378" s="23" t="inlineStr">
        <is>
          <t>쉴드 오링 (AN-036, 60∮)
[공용]</t>
        </is>
      </c>
      <c r="F378" s="24" t="inlineStr">
        <is>
          <t>O</t>
        </is>
      </c>
      <c r="G378" s="25" t="n"/>
      <c r="H378" s="26" t="n"/>
      <c r="I378" s="27">
        <f>IFERROR(IF(OR($F378="O",$G378="O",$H378="O"),CHOOSE(MATCH($A378,{"튜브","고압","진공","튜닝","조립","출하"},0),"T","H","V","N","A","P")&amp;IF($F378="O","R",IF($G378="O","A",IF($H378="O","F",""))),""),"")</f>
        <v/>
      </c>
      <c r="J378" s="15" t="inlineStr">
        <is>
          <t>O</t>
        </is>
      </c>
      <c r="K378" s="16" t="inlineStr">
        <is>
          <t>O</t>
        </is>
      </c>
      <c r="L378" s="17" t="n"/>
      <c r="M378" s="18" t="inlineStr">
        <is>
          <t>O</t>
        </is>
      </c>
      <c r="N378" s="19" t="inlineStr">
        <is>
          <t>O</t>
        </is>
      </c>
      <c r="O378" s="20" t="n"/>
      <c r="P378" s="21">
        <f>IF($I378="","",IF($J378="O","3","")&amp;IF($K378="O","4","")&amp;IF($L378="O","6","")&amp;IF($M378="O","7","")&amp;IF($N378="O","8","")&amp;IF($O378="O","?","")&amp;IF(OR($J378="O",$K378="O",$L378="O",$M378="O",$N378="O",$O378="O"),"-","")&amp;$I378)</f>
        <v/>
      </c>
      <c r="Q378" s="110">
        <f>HYPERLINK("#'마스터_품목'!A605","→ 마스터 R605")</f>
        <v/>
      </c>
      <c r="R378" s="111" t="n">
        <v>605</v>
      </c>
      <c r="S378" s="111" t="inlineStr">
        <is>
          <t>마스터_품목</t>
        </is>
      </c>
    </row>
    <row r="379" ht="48" customHeight="1">
      <c r="A379" s="29" t="inlineStr">
        <is>
          <t>출하</t>
        </is>
      </c>
      <c r="B379" s="22" t="inlineStr">
        <is>
          <t>실리콘</t>
        </is>
      </c>
      <c r="C379" s="23" t="inlineStr">
        <is>
          <t>공용</t>
        </is>
      </c>
      <c r="D379" s="23" t="inlineStr">
        <is>
          <t>실드 오링[60∮] _ AN-2.5     에이밍 사용</t>
        </is>
      </c>
      <c r="E379" s="23" t="n"/>
      <c r="F379" s="24" t="inlineStr">
        <is>
          <t>O</t>
        </is>
      </c>
      <c r="G379" s="25" t="n"/>
      <c r="H379" s="26" t="n"/>
      <c r="I379" s="27">
        <f>IFERROR(IF(OR($F379="O",$G379="O",$H379="O"),CHOOSE(MATCH($A379,{"튜브","고압","진공","튜닝","조립","출하"},0),"T","H","V","N","A","P")&amp;IF($F379="O","R",IF($G379="O","A",IF($H379="O","F",""))),""),"")</f>
        <v/>
      </c>
      <c r="J379" s="15" t="n"/>
      <c r="K379" s="16" t="n"/>
      <c r="L379" s="17" t="n"/>
      <c r="M379" s="18" t="inlineStr">
        <is>
          <t>O</t>
        </is>
      </c>
      <c r="N379" s="19" t="inlineStr">
        <is>
          <t>O</t>
        </is>
      </c>
      <c r="O379" s="20" t="n"/>
      <c r="P379" s="21">
        <f>IF($I379="","",IF($J379="O","3","")&amp;IF($K379="O","4","")&amp;IF($L379="O","6","")&amp;IF($M379="O","7","")&amp;IF($N379="O","8","")&amp;IF($O379="O","?","")&amp;IF(OR($J379="O",$K379="O",$L379="O",$M379="O",$N379="O",$O379="O"),"-","")&amp;$I379)</f>
        <v/>
      </c>
      <c r="Q379" s="110">
        <f>HYPERLINK("#'마스터_품목'!A606","→ 마스터 R606")</f>
        <v/>
      </c>
      <c r="R379" s="111" t="n">
        <v>606</v>
      </c>
      <c r="S379" s="111" t="inlineStr">
        <is>
          <t>마스터_품목</t>
        </is>
      </c>
    </row>
    <row r="380" ht="48" customHeight="1">
      <c r="A380" s="29" t="inlineStr">
        <is>
          <t>출하</t>
        </is>
      </c>
      <c r="B380" s="22" t="inlineStr">
        <is>
          <t>실리콘</t>
        </is>
      </c>
      <c r="C380" s="23" t="inlineStr">
        <is>
          <t>DX3000</t>
        </is>
      </c>
      <c r="D380" s="23" t="inlineStr">
        <is>
          <t>DX3000용 연아크릴 실리콘 오링 3030</t>
        </is>
      </c>
      <c r="E380" s="23" t="inlineStr">
        <is>
          <t>연아크릴 실리콘 오링
[DX3000]</t>
        </is>
      </c>
      <c r="F380" s="24" t="inlineStr">
        <is>
          <t>O</t>
        </is>
      </c>
      <c r="G380" s="25" t="n"/>
      <c r="H380" s="26" t="n"/>
      <c r="I380" s="27">
        <f>IFERROR(IF(OR($F380="O",$G380="O",$H380="O"),CHOOSE(MATCH($A380,{"튜브","고압","진공","튜닝","조립","출하"},0),"T","H","V","N","A","P")&amp;IF($F380="O","R",IF($G380="O","A",IF($H380="O","F",""))),""),"")</f>
        <v/>
      </c>
      <c r="J380" s="15" t="inlineStr">
        <is>
          <t>O</t>
        </is>
      </c>
      <c r="K380" s="16" t="n"/>
      <c r="L380" s="17" t="n"/>
      <c r="M380" s="18" t="n"/>
      <c r="N380" s="19" t="n"/>
      <c r="O380" s="20" t="n"/>
      <c r="P380" s="21">
        <f>IF($I380="","",IF($J380="O","3","")&amp;IF($K380="O","4","")&amp;IF($L380="O","6","")&amp;IF($M380="O","7","")&amp;IF($N380="O","8","")&amp;IF($O380="O","?","")&amp;IF(OR($J380="O",$K380="O",$L380="O",$M380="O",$N380="O",$O380="O"),"-","")&amp;$I380)</f>
        <v/>
      </c>
      <c r="Q380" s="110">
        <f>HYPERLINK("#'마스터_품목'!A607","→ 마스터 R607")</f>
        <v/>
      </c>
      <c r="R380" s="111" t="n">
        <v>607</v>
      </c>
      <c r="S380" s="111" t="inlineStr">
        <is>
          <t>마스터_품목</t>
        </is>
      </c>
    </row>
    <row r="381" ht="48" customHeight="1">
      <c r="A381" s="29" t="inlineStr">
        <is>
          <t>출하</t>
        </is>
      </c>
      <c r="B381" s="22" t="inlineStr">
        <is>
          <t>실리콘</t>
        </is>
      </c>
      <c r="C381" s="23" t="inlineStr">
        <is>
          <t>ADX4000W</t>
        </is>
      </c>
      <c r="D381" s="23" t="inlineStr">
        <is>
          <t>ADX4000용 연아크릴 실리콘 오링 4040</t>
        </is>
      </c>
      <c r="E381" s="23" t="inlineStr">
        <is>
          <t>연아크릴 실리콘 오링
[ADX4000W]</t>
        </is>
      </c>
      <c r="F381" s="24" t="inlineStr">
        <is>
          <t>O</t>
        </is>
      </c>
      <c r="G381" s="25" t="n"/>
      <c r="H381" s="26" t="n"/>
      <c r="I381" s="27">
        <f>IFERROR(IF(OR($F381="O",$G381="O",$H381="O"),CHOOSE(MATCH($A381,{"튜브","고압","진공","튜닝","조립","출하"},0),"T","H","V","N","A","P")&amp;IF($F381="O","R",IF($G381="O","A",IF($H381="O","F",""))),""),"")</f>
        <v/>
      </c>
      <c r="J381" s="15" t="n"/>
      <c r="K381" s="16" t="inlineStr">
        <is>
          <t>O</t>
        </is>
      </c>
      <c r="L381" s="17" t="n"/>
      <c r="M381" s="18" t="n"/>
      <c r="N381" s="19" t="n"/>
      <c r="O381" s="20" t="n"/>
      <c r="P381" s="21">
        <f>IF($I381="","",IF($J381="O","3","")&amp;IF($K381="O","4","")&amp;IF($L381="O","6","")&amp;IF($M381="O","7","")&amp;IF($N381="O","8","")&amp;IF($O381="O","?","")&amp;IF(OR($J381="O",$K381="O",$L381="O",$M381="O",$N381="O",$O381="O"),"-","")&amp;$I381)</f>
        <v/>
      </c>
      <c r="Q381" s="110">
        <f>HYPERLINK("#'마스터_품목'!A608","→ 마스터 R608")</f>
        <v/>
      </c>
      <c r="R381" s="111" t="n">
        <v>608</v>
      </c>
      <c r="S381" s="111" t="inlineStr">
        <is>
          <t>마스터_품목</t>
        </is>
      </c>
    </row>
    <row r="382" ht="48" customHeight="1">
      <c r="A382" s="29" t="inlineStr">
        <is>
          <t>출하</t>
        </is>
      </c>
      <c r="B382" s="22" t="inlineStr">
        <is>
          <t>실리콘</t>
        </is>
      </c>
      <c r="C382" s="23" t="inlineStr">
        <is>
          <t>ADX6000 공용</t>
        </is>
      </c>
      <c r="D382" s="23" t="inlineStr">
        <is>
          <t>ADX6000_연아크릴 실리콘 오링</t>
        </is>
      </c>
      <c r="E382" s="23" t="inlineStr">
        <is>
          <t>연아크릴 실리콘 오링
[ADX6000]</t>
        </is>
      </c>
      <c r="F382" s="24" t="inlineStr">
        <is>
          <t>O</t>
        </is>
      </c>
      <c r="G382" s="25" t="n"/>
      <c r="H382" s="26" t="n"/>
      <c r="I382" s="27">
        <f>IFERROR(IF(OR($F382="O",$G382="O",$H382="O"),CHOOSE(MATCH($A382,{"튜브","고압","진공","튜닝","조립","출하"},0),"T","H","V","N","A","P")&amp;IF($F382="O","R",IF($G382="O","A",IF($H382="O","F",""))),""),"")</f>
        <v/>
      </c>
      <c r="J382" s="15" t="n"/>
      <c r="K382" s="16" t="n"/>
      <c r="L382" s="17" t="inlineStr">
        <is>
          <t>O</t>
        </is>
      </c>
      <c r="M382" s="18" t="n"/>
      <c r="N382" s="19" t="n"/>
      <c r="O382" s="20" t="n"/>
      <c r="P382" s="21">
        <f>IF($I382="","",IF($J382="O","3","")&amp;IF($K382="O","4","")&amp;IF($L382="O","6","")&amp;IF($M382="O","7","")&amp;IF($N382="O","8","")&amp;IF($O382="O","?","")&amp;IF(OR($J382="O",$K382="O",$L382="O",$M382="O",$N382="O",$O382="O"),"-","")&amp;$I382)</f>
        <v/>
      </c>
      <c r="Q382" s="110">
        <f>HYPERLINK("#'마스터_품목'!A609","→ 마스터 R609")</f>
        <v/>
      </c>
      <c r="R382" s="111" t="n">
        <v>609</v>
      </c>
      <c r="S382" s="111" t="inlineStr">
        <is>
          <t>마스터_품목</t>
        </is>
      </c>
    </row>
    <row r="383" ht="48" customHeight="1">
      <c r="A383" s="29" t="inlineStr">
        <is>
          <t>출하</t>
        </is>
      </c>
      <c r="B383" s="22" t="inlineStr">
        <is>
          <t>실리콘</t>
        </is>
      </c>
      <c r="C383" s="23" t="inlineStr">
        <is>
          <t>공용</t>
        </is>
      </c>
      <c r="D383" s="23" t="inlineStr">
        <is>
          <t>SCREW CAP</t>
        </is>
      </c>
      <c r="E383" s="23" t="inlineStr">
        <is>
          <t>SCREW CAP (RUBBER)
[공용]</t>
        </is>
      </c>
      <c r="F383" s="24" t="inlineStr">
        <is>
          <t>O</t>
        </is>
      </c>
      <c r="G383" s="25" t="n"/>
      <c r="H383" s="26" t="n"/>
      <c r="I383" s="27">
        <f>IFERROR(IF(OR($F383="O",$G383="O",$H383="O"),CHOOSE(MATCH($A383,{"튜브","고압","진공","튜닝","조립","출하"},0),"T","H","V","N","A","P")&amp;IF($F383="O","R",IF($G383="O","A",IF($H383="O","F",""))),""),"")</f>
        <v/>
      </c>
      <c r="J383" s="15" t="inlineStr">
        <is>
          <t>O</t>
        </is>
      </c>
      <c r="K383" s="16" t="inlineStr">
        <is>
          <t>O</t>
        </is>
      </c>
      <c r="L383" s="17" t="n"/>
      <c r="M383" s="18" t="n"/>
      <c r="N383" s="19" t="n"/>
      <c r="O383" s="20" t="n"/>
      <c r="P383" s="21">
        <f>IF($I383="","",IF($J383="O","3","")&amp;IF($K383="O","4","")&amp;IF($L383="O","6","")&amp;IF($M383="O","7","")&amp;IF($N383="O","8","")&amp;IF($O383="O","?","")&amp;IF(OR($J383="O",$K383="O",$L383="O",$M383="O",$N383="O",$O383="O"),"-","")&amp;$I383)</f>
        <v/>
      </c>
      <c r="Q383" s="110">
        <f>HYPERLINK("#'마스터_품목'!A610","→ 마스터 R610")</f>
        <v/>
      </c>
      <c r="R383" s="111" t="n">
        <v>610</v>
      </c>
      <c r="S383" s="111" t="inlineStr">
        <is>
          <t>마스터_품목</t>
        </is>
      </c>
    </row>
    <row r="384" ht="48" customHeight="1">
      <c r="A384" s="29" t="inlineStr">
        <is>
          <t>출하</t>
        </is>
      </c>
      <c r="B384" s="22" t="inlineStr">
        <is>
          <t>실리콘</t>
        </is>
      </c>
      <c r="C384" s="23" t="inlineStr">
        <is>
          <t>공용</t>
        </is>
      </c>
      <c r="D384" s="23" t="inlineStr">
        <is>
          <t>FOOT RUBBER</t>
        </is>
      </c>
      <c r="E384" s="23" t="n"/>
      <c r="F384" s="24" t="inlineStr">
        <is>
          <t>O</t>
        </is>
      </c>
      <c r="G384" s="25" t="n"/>
      <c r="H384" s="26" t="n"/>
      <c r="I384" s="27">
        <f>IFERROR(IF(OR($F384="O",$G384="O",$H384="O"),CHOOSE(MATCH($A384,{"튜브","고압","진공","튜닝","조립","출하"},0),"T","H","V","N","A","P")&amp;IF($F384="O","R",IF($G384="O","A",IF($H384="O","F",""))),""),"")</f>
        <v/>
      </c>
      <c r="J384" s="15" t="inlineStr">
        <is>
          <t>O</t>
        </is>
      </c>
      <c r="K384" s="16" t="inlineStr">
        <is>
          <t>O</t>
        </is>
      </c>
      <c r="L384" s="17" t="n"/>
      <c r="M384" s="18" t="n"/>
      <c r="N384" s="19" t="n"/>
      <c r="O384" s="20" t="n"/>
      <c r="P384" s="21">
        <f>IF($I384="","",IF($J384="O","3","")&amp;IF($K384="O","4","")&amp;IF($L384="O","6","")&amp;IF($M384="O","7","")&amp;IF($N384="O","8","")&amp;IF($O384="O","?","")&amp;IF(OR($J384="O",$K384="O",$L384="O",$M384="O",$N384="O",$O384="O"),"-","")&amp;$I384)</f>
        <v/>
      </c>
      <c r="Q384" s="110">
        <f>HYPERLINK("#'마스터_품목'!A611","→ 마스터 R611")</f>
        <v/>
      </c>
      <c r="R384" s="111" t="n">
        <v>611</v>
      </c>
      <c r="S384" s="111" t="inlineStr">
        <is>
          <t>마스터_품목</t>
        </is>
      </c>
    </row>
    <row r="385" ht="48" customHeight="1">
      <c r="A385" s="29" t="inlineStr">
        <is>
          <t>출하</t>
        </is>
      </c>
      <c r="B385" s="22" t="inlineStr">
        <is>
          <t>실리콘</t>
        </is>
      </c>
      <c r="C385" s="23" t="inlineStr">
        <is>
          <t>DX3000</t>
        </is>
      </c>
      <c r="D385" s="23" t="inlineStr">
        <is>
          <t>실리콘 켑</t>
        </is>
      </c>
      <c r="E385" s="23" t="inlineStr">
        <is>
          <t>실리콘 캡 (LSR 투명 실리콘)
[DX3000]</t>
        </is>
      </c>
      <c r="F385" s="24" t="inlineStr">
        <is>
          <t>O</t>
        </is>
      </c>
      <c r="G385" s="25" t="n"/>
      <c r="H385" s="26" t="n"/>
      <c r="I385" s="27">
        <f>IFERROR(IF(OR($F385="O",$G385="O",$H385="O"),CHOOSE(MATCH($A385,{"튜브","고압","진공","튜닝","조립","출하"},0),"T","H","V","N","A","P")&amp;IF($F385="O","R",IF($G385="O","A",IF($H385="O","F",""))),""),"")</f>
        <v/>
      </c>
      <c r="J385" s="15" t="inlineStr">
        <is>
          <t>O</t>
        </is>
      </c>
      <c r="K385" s="16" t="n"/>
      <c r="L385" s="17" t="n"/>
      <c r="M385" s="18" t="n"/>
      <c r="N385" s="19" t="n"/>
      <c r="O385" s="20" t="n"/>
      <c r="P385" s="21">
        <f>IF($I385="","",IF($J385="O","3","")&amp;IF($K385="O","4","")&amp;IF($L385="O","6","")&amp;IF($M385="O","7","")&amp;IF($N385="O","8","")&amp;IF($O385="O","?","")&amp;IF(OR($J385="O",$K385="O",$L385="O",$M385="O",$N385="O",$O385="O"),"-","")&amp;$I385)</f>
        <v/>
      </c>
      <c r="Q385" s="110">
        <f>HYPERLINK("#'마스터_품목'!A612","→ 마스터 R612")</f>
        <v/>
      </c>
      <c r="R385" s="111" t="n">
        <v>612</v>
      </c>
      <c r="S385" s="111" t="inlineStr">
        <is>
          <t>마스터_품목</t>
        </is>
      </c>
    </row>
    <row r="386" ht="48" customHeight="1">
      <c r="A386" s="29" t="inlineStr">
        <is>
          <t>출하</t>
        </is>
      </c>
      <c r="B386" s="22" t="inlineStr">
        <is>
          <t>네임 플레이트</t>
        </is>
      </c>
      <c r="C386" s="23" t="inlineStr">
        <is>
          <t>DX3000</t>
        </is>
      </c>
      <c r="D386" s="23" t="inlineStr">
        <is>
          <t>DX3000 NAME PLATE</t>
        </is>
      </c>
      <c r="E386" s="23" t="inlineStr">
        <is>
          <t>NAME PLATE
[DX3000]</t>
        </is>
      </c>
      <c r="F386" s="24" t="inlineStr">
        <is>
          <t>O</t>
        </is>
      </c>
      <c r="G386" s="25" t="n"/>
      <c r="H386" s="26" t="n"/>
      <c r="I386" s="27">
        <f>IFERROR(IF(OR($F386="O",$G386="O",$H386="O"),CHOOSE(MATCH($A386,{"튜브","고압","진공","튜닝","조립","출하"},0),"T","H","V","N","A","P")&amp;IF($F386="O","R",IF($G386="O","A",IF($H386="O","F",""))),""),"")</f>
        <v/>
      </c>
      <c r="J386" s="15" t="inlineStr">
        <is>
          <t>O</t>
        </is>
      </c>
      <c r="K386" s="16" t="n"/>
      <c r="L386" s="17" t="n"/>
      <c r="M386" s="18" t="n"/>
      <c r="N386" s="19" t="n"/>
      <c r="O386" s="20" t="n"/>
      <c r="P386" s="21">
        <f>IF($I386="","",IF($J386="O","3","")&amp;IF($K386="O","4","")&amp;IF($L386="O","6","")&amp;IF($M386="O","7","")&amp;IF($N386="O","8","")&amp;IF($O386="O","?","")&amp;IF(OR($J386="O",$K386="O",$L386="O",$M386="O",$N386="O",$O386="O"),"-","")&amp;$I386)</f>
        <v/>
      </c>
      <c r="Q386" s="110">
        <f>HYPERLINK("#'마스터_품목'!A613","→ 마스터 R613")</f>
        <v/>
      </c>
      <c r="R386" s="111" t="n">
        <v>613</v>
      </c>
      <c r="S386" s="111" t="inlineStr">
        <is>
          <t>마스터_품목</t>
        </is>
      </c>
    </row>
    <row r="387" ht="48" customHeight="1">
      <c r="A387" s="29" t="inlineStr">
        <is>
          <t>출하</t>
        </is>
      </c>
      <c r="B387" s="22" t="inlineStr">
        <is>
          <t>네임 플레이트</t>
        </is>
      </c>
      <c r="C387" s="23" t="inlineStr">
        <is>
          <t>DX3000</t>
        </is>
      </c>
      <c r="D387" s="23" t="inlineStr">
        <is>
          <t>iRay D3 NAME PLATE</t>
        </is>
      </c>
      <c r="E387" s="23" t="inlineStr">
        <is>
          <t>IRay D3 NAME PLATE
[DX3000]</t>
        </is>
      </c>
      <c r="F387" s="24" t="inlineStr">
        <is>
          <t>O</t>
        </is>
      </c>
      <c r="G387" s="25" t="n"/>
      <c r="H387" s="26" t="n"/>
      <c r="I387" s="27">
        <f>IFERROR(IF(OR($F387="O",$G387="O",$H387="O"),CHOOSE(MATCH($A387,{"튜브","고압","진공","튜닝","조립","출하"},0),"T","H","V","N","A","P")&amp;IF($F387="O","R",IF($G387="O","A",IF($H387="O","F",""))),""),"")</f>
        <v/>
      </c>
      <c r="J387" s="15" t="inlineStr">
        <is>
          <t>O</t>
        </is>
      </c>
      <c r="K387" s="16" t="n"/>
      <c r="L387" s="17" t="n"/>
      <c r="M387" s="18" t="n"/>
      <c r="N387" s="19" t="n"/>
      <c r="O387" s="20" t="n"/>
      <c r="P387" s="21">
        <f>IF($I387="","",IF($J387="O","3","")&amp;IF($K387="O","4","")&amp;IF($L387="O","6","")&amp;IF($M387="O","7","")&amp;IF($N387="O","8","")&amp;IF($O387="O","?","")&amp;IF(OR($J387="O",$K387="O",$L387="O",$M387="O",$N387="O",$O387="O"),"-","")&amp;$I387)</f>
        <v/>
      </c>
      <c r="Q387" s="110">
        <f>HYPERLINK("#'마스터_품목'!A614","→ 마스터 R614")</f>
        <v/>
      </c>
      <c r="R387" s="111" t="n">
        <v>614</v>
      </c>
      <c r="S387" s="111" t="inlineStr">
        <is>
          <t>마스터_품목</t>
        </is>
      </c>
    </row>
    <row r="388" ht="48" customHeight="1">
      <c r="A388" s="29" t="inlineStr">
        <is>
          <t>출하</t>
        </is>
      </c>
      <c r="B388" s="22" t="inlineStr">
        <is>
          <t>네임 플레이트</t>
        </is>
      </c>
      <c r="C388" s="23" t="inlineStr">
        <is>
          <t>DX3000</t>
        </is>
      </c>
      <c r="D388" s="23" t="inlineStr">
        <is>
          <t>우루과이 네임 플레이트</t>
        </is>
      </c>
      <c r="E388" s="23" t="inlineStr">
        <is>
          <t>우루과이 NAME PLATE
[DX3000]</t>
        </is>
      </c>
      <c r="F388" s="24" t="inlineStr">
        <is>
          <t>O</t>
        </is>
      </c>
      <c r="G388" s="25" t="n"/>
      <c r="H388" s="26" t="n"/>
      <c r="I388" s="27">
        <f>IFERROR(IF(OR($F388="O",$G388="O",$H388="O"),CHOOSE(MATCH($A388,{"튜브","고압","진공","튜닝","조립","출하"},0),"T","H","V","N","A","P")&amp;IF($F388="O","R",IF($G388="O","A",IF($H388="O","F",""))),""),"")</f>
        <v/>
      </c>
      <c r="J388" s="15" t="inlineStr">
        <is>
          <t>O</t>
        </is>
      </c>
      <c r="K388" s="16" t="n"/>
      <c r="L388" s="17" t="n"/>
      <c r="M388" s="18" t="n"/>
      <c r="N388" s="19" t="n"/>
      <c r="O388" s="20" t="n"/>
      <c r="P388" s="21">
        <f>IF($I388="","",IF($J388="O","3","")&amp;IF($K388="O","4","")&amp;IF($L388="O","6","")&amp;IF($M388="O","7","")&amp;IF($N388="O","8","")&amp;IF($O388="O","?","")&amp;IF(OR($J388="O",$K388="O",$L388="O",$M388="O",$N388="O",$O388="O"),"-","")&amp;$I388)</f>
        <v/>
      </c>
      <c r="Q388" s="110">
        <f>HYPERLINK("#'마스터_품목'!A615","→ 마스터 R615")</f>
        <v/>
      </c>
      <c r="R388" s="111" t="n">
        <v>615</v>
      </c>
      <c r="S388" s="111" t="inlineStr">
        <is>
          <t>마스터_품목</t>
        </is>
      </c>
    </row>
    <row r="389" ht="48" customHeight="1">
      <c r="A389" s="29" t="inlineStr">
        <is>
          <t>출하</t>
        </is>
      </c>
      <c r="B389" s="22" t="inlineStr">
        <is>
          <t>네임 플레이트</t>
        </is>
      </c>
      <c r="C389" s="23" t="inlineStr">
        <is>
          <t>ADX4000W</t>
        </is>
      </c>
      <c r="D389" s="23" t="inlineStr">
        <is>
          <t>ADX4000 NAME PLATE</t>
        </is>
      </c>
      <c r="E389" s="23" t="inlineStr">
        <is>
          <t>NAME PLATE
[ADX4000W]</t>
        </is>
      </c>
      <c r="F389" s="24" t="inlineStr">
        <is>
          <t>O</t>
        </is>
      </c>
      <c r="G389" s="25" t="n"/>
      <c r="H389" s="26" t="n"/>
      <c r="I389" s="27">
        <f>IFERROR(IF(OR($F389="O",$G389="O",$H389="O"),CHOOSE(MATCH($A389,{"튜브","고압","진공","튜닝","조립","출하"},0),"T","H","V","N","A","P")&amp;IF($F389="O","R",IF($G389="O","A",IF($H389="O","F",""))),""),"")</f>
        <v/>
      </c>
      <c r="J389" s="15" t="n"/>
      <c r="K389" s="16" t="inlineStr">
        <is>
          <t>O</t>
        </is>
      </c>
      <c r="L389" s="17" t="n"/>
      <c r="M389" s="18" t="n"/>
      <c r="N389" s="19" t="n"/>
      <c r="O389" s="20" t="n"/>
      <c r="P389" s="21">
        <f>IF($I389="","",IF($J389="O","3","")&amp;IF($K389="O","4","")&amp;IF($L389="O","6","")&amp;IF($M389="O","7","")&amp;IF($N389="O","8","")&amp;IF($O389="O","?","")&amp;IF(OR($J389="O",$K389="O",$L389="O",$M389="O",$N389="O",$O389="O"),"-","")&amp;$I389)</f>
        <v/>
      </c>
      <c r="Q389" s="110">
        <f>HYPERLINK("#'마스터_품목'!A616","→ 마스터 R616")</f>
        <v/>
      </c>
      <c r="R389" s="111" t="n">
        <v>616</v>
      </c>
      <c r="S389" s="111" t="inlineStr">
        <is>
          <t>마스터_품목</t>
        </is>
      </c>
    </row>
    <row r="390" ht="48" customHeight="1">
      <c r="A390" s="29" t="inlineStr">
        <is>
          <t>출하</t>
        </is>
      </c>
      <c r="B390" s="22" t="inlineStr">
        <is>
          <t>포장 자재</t>
        </is>
      </c>
      <c r="C390" s="23" t="inlineStr">
        <is>
          <t>공용</t>
        </is>
      </c>
      <c r="D390" s="23" t="inlineStr">
        <is>
          <t>알루미늄 필터 [1.5T * Φ63] (일본 동물용)</t>
        </is>
      </c>
      <c r="E390" s="23" t="inlineStr">
        <is>
          <t>알루미늄 필터 (1.5T * Φ63 일본 동물용)
[DX3000]</t>
        </is>
      </c>
      <c r="F390" s="24" t="inlineStr">
        <is>
          <t>O</t>
        </is>
      </c>
      <c r="G390" s="25" t="n"/>
      <c r="H390" s="26" t="n"/>
      <c r="I390" s="27">
        <f>IFERROR(IF(OR($F390="O",$G390="O",$H390="O"),CHOOSE(MATCH($A390,{"튜브","고압","진공","튜닝","조립","출하"},0),"T","H","V","N","A","P")&amp;IF($F390="O","R",IF($G390="O","A",IF($H390="O","F",""))),""),"")</f>
        <v/>
      </c>
      <c r="J390" s="15" t="inlineStr">
        <is>
          <t>O</t>
        </is>
      </c>
      <c r="K390" s="16" t="n"/>
      <c r="L390" s="17" t="n"/>
      <c r="M390" s="18" t="n"/>
      <c r="N390" s="19" t="n"/>
      <c r="O390" s="20" t="n"/>
      <c r="P390" s="21">
        <f>IF($I390="","",IF($J390="O","3","")&amp;IF($K390="O","4","")&amp;IF($L390="O","6","")&amp;IF($M390="O","7","")&amp;IF($N390="O","8","")&amp;IF($O390="O","?","")&amp;IF(OR($J390="O",$K390="O",$L390="O",$M390="O",$N390="O",$O390="O"),"-","")&amp;$I390)</f>
        <v/>
      </c>
      <c r="Q390" s="110">
        <f>HYPERLINK("#'마스터_품목'!A617","→ 마스터 R617")</f>
        <v/>
      </c>
      <c r="R390" s="111" t="n">
        <v>617</v>
      </c>
      <c r="S390" s="111" t="inlineStr">
        <is>
          <t>마스터_품목</t>
        </is>
      </c>
    </row>
    <row r="391" ht="48" customHeight="1">
      <c r="A391" s="29" t="inlineStr">
        <is>
          <t>출하</t>
        </is>
      </c>
      <c r="B391" s="22" t="inlineStr">
        <is>
          <t>포장 자재</t>
        </is>
      </c>
      <c r="C391" s="23" t="inlineStr">
        <is>
          <t>ADX4000W
ADX6000</t>
        </is>
      </c>
      <c r="D391" s="23" t="inlineStr">
        <is>
          <t>OS라이센서 라벨</t>
        </is>
      </c>
      <c r="E391" s="23" t="inlineStr">
        <is>
          <t>OS라이센서 라벨 (Windows Embedded Standard 7 "E")
[ADX4000W]</t>
        </is>
      </c>
      <c r="F391" s="24" t="inlineStr">
        <is>
          <t>O</t>
        </is>
      </c>
      <c r="G391" s="25" t="n"/>
      <c r="H391" s="26" t="n"/>
      <c r="I391" s="27">
        <f>IFERROR(IF(OR($F391="O",$G391="O",$H391="O"),CHOOSE(MATCH($A391,{"튜브","고압","진공","튜닝","조립","출하"},0),"T","H","V","N","A","P")&amp;IF($F391="O","R",IF($G391="O","A",IF($H391="O","F",""))),""),"")</f>
        <v/>
      </c>
      <c r="J391" s="15" t="n"/>
      <c r="K391" s="16" t="inlineStr">
        <is>
          <t>O</t>
        </is>
      </c>
      <c r="L391" s="17" t="n"/>
      <c r="M391" s="18" t="n"/>
      <c r="N391" s="19" t="n"/>
      <c r="O391" s="20" t="n"/>
      <c r="P391" s="21">
        <f>IF($I391="","",IF($J391="O","3","")&amp;IF($K391="O","4","")&amp;IF($L391="O","6","")&amp;IF($M391="O","7","")&amp;IF($N391="O","8","")&amp;IF($O391="O","?","")&amp;IF(OR($J391="O",$K391="O",$L391="O",$M391="O",$N391="O",$O391="O"),"-","")&amp;$I391)</f>
        <v/>
      </c>
      <c r="Q391" s="110">
        <f>HYPERLINK("#'마스터_품목'!A618","→ 마스터 R618")</f>
        <v/>
      </c>
      <c r="R391" s="111" t="n">
        <v>618</v>
      </c>
      <c r="S391" s="111" t="inlineStr">
        <is>
          <t>마스터_품목</t>
        </is>
      </c>
    </row>
    <row r="392" ht="48" customHeight="1">
      <c r="A392" s="29" t="inlineStr">
        <is>
          <t>출하</t>
        </is>
      </c>
      <c r="B392" s="22" t="inlineStr">
        <is>
          <t>포장 자재</t>
        </is>
      </c>
      <c r="C392" s="23" t="inlineStr">
        <is>
          <t>ADX4000W
ADX6000</t>
        </is>
      </c>
      <c r="D392" s="23" t="inlineStr">
        <is>
          <t>터치 팬</t>
        </is>
      </c>
      <c r="E392" s="23" t="n"/>
      <c r="F392" s="24" t="inlineStr">
        <is>
          <t>O</t>
        </is>
      </c>
      <c r="G392" s="25" t="n"/>
      <c r="H392" s="26" t="n"/>
      <c r="I392" s="27">
        <f>IFERROR(IF(OR($F392="O",$G392="O",$H392="O"),CHOOSE(MATCH($A392,{"튜브","고압","진공","튜닝","조립","출하"},0),"T","H","V","N","A","P")&amp;IF($F392="O","R",IF($G392="O","A",IF($H392="O","F",""))),""),"")</f>
        <v/>
      </c>
      <c r="J392" s="15" t="n"/>
      <c r="K392" s="16" t="inlineStr">
        <is>
          <t>O</t>
        </is>
      </c>
      <c r="L392" s="17" t="n"/>
      <c r="M392" s="18" t="n"/>
      <c r="N392" s="19" t="n"/>
      <c r="O392" s="20" t="n"/>
      <c r="P392" s="21">
        <f>IF($I392="","",IF($J392="O","3","")&amp;IF($K392="O","4","")&amp;IF($L392="O","6","")&amp;IF($M392="O","7","")&amp;IF($N392="O","8","")&amp;IF($O392="O","?","")&amp;IF(OR($J392="O",$K392="O",$L392="O",$M392="O",$N392="O",$O392="O"),"-","")&amp;$I392)</f>
        <v/>
      </c>
      <c r="Q392" s="110">
        <f>HYPERLINK("#'마스터_품목'!A619","→ 마스터 R619")</f>
        <v/>
      </c>
      <c r="R392" s="111" t="n">
        <v>619</v>
      </c>
      <c r="S392" s="111" t="inlineStr">
        <is>
          <t>마스터_품목</t>
        </is>
      </c>
    </row>
    <row r="393" ht="48" customHeight="1">
      <c r="A393" s="29" t="inlineStr">
        <is>
          <t>출하</t>
        </is>
      </c>
      <c r="B393" s="22" t="inlineStr">
        <is>
          <t>포장 자재</t>
        </is>
      </c>
      <c r="C393" s="23" t="inlineStr">
        <is>
          <t>DX3000
COCOON</t>
        </is>
      </c>
      <c r="D393" s="23" t="inlineStr">
        <is>
          <t>넥스트랩(포켓)</t>
        </is>
      </c>
      <c r="E393" s="23" t="inlineStr">
        <is>
          <t>넥스트 랩 (포켓)
[공용]</t>
        </is>
      </c>
      <c r="F393" s="24" t="inlineStr">
        <is>
          <t>O</t>
        </is>
      </c>
      <c r="G393" s="25" t="n"/>
      <c r="H393" s="26" t="n"/>
      <c r="I393" s="27">
        <f>IFERROR(IF(OR($F393="O",$G393="O",$H393="O"),CHOOSE(MATCH($A393,{"튜브","고압","진공","튜닝","조립","출하"},0),"T","H","V","N","A","P")&amp;IF($F393="O","R",IF($G393="O","A",IF($H393="O","F",""))),""),"")</f>
        <v/>
      </c>
      <c r="J393" s="15" t="inlineStr">
        <is>
          <t>O</t>
        </is>
      </c>
      <c r="K393" s="16" t="n"/>
      <c r="L393" s="17" t="n"/>
      <c r="M393" s="18" t="inlineStr">
        <is>
          <t>O</t>
        </is>
      </c>
      <c r="N393" s="19" t="n"/>
      <c r="O393" s="20" t="n"/>
      <c r="P393" s="21">
        <f>IF($I393="","",IF($J393="O","3","")&amp;IF($K393="O","4","")&amp;IF($L393="O","6","")&amp;IF($M393="O","7","")&amp;IF($N393="O","8","")&amp;IF($O393="O","?","")&amp;IF(OR($J393="O",$K393="O",$L393="O",$M393="O",$N393="O",$O393="O"),"-","")&amp;$I393)</f>
        <v/>
      </c>
      <c r="Q393" s="110">
        <f>HYPERLINK("#'마스터_품목'!A620","→ 마스터 R620")</f>
        <v/>
      </c>
      <c r="R393" s="111" t="n">
        <v>620</v>
      </c>
      <c r="S393" s="111" t="inlineStr">
        <is>
          <t>마스터_품목</t>
        </is>
      </c>
    </row>
    <row r="394" ht="48" customHeight="1">
      <c r="A394" s="29" t="inlineStr">
        <is>
          <t>출하</t>
        </is>
      </c>
      <c r="B394" s="22" t="inlineStr">
        <is>
          <t>포장 자재</t>
        </is>
      </c>
      <c r="C394" s="23" t="inlineStr">
        <is>
          <t>공용</t>
        </is>
      </c>
      <c r="D394" s="23" t="inlineStr">
        <is>
          <t>실리카겔 [부직포 20g]</t>
        </is>
      </c>
      <c r="E394" s="23" t="n"/>
      <c r="F394" s="24" t="inlineStr">
        <is>
          <t>O</t>
        </is>
      </c>
      <c r="G394" s="25" t="n"/>
      <c r="H394" s="26" t="n"/>
      <c r="I394" s="27">
        <f>IFERROR(IF(OR($F394="O",$G394="O",$H394="O"),CHOOSE(MATCH($A394,{"튜브","고압","진공","튜닝","조립","출하"},0),"T","H","V","N","A","P")&amp;IF($F394="O","R",IF($G394="O","A",IF($H394="O","F",""))),""),"")</f>
        <v/>
      </c>
      <c r="J394" s="15" t="inlineStr">
        <is>
          <t>O</t>
        </is>
      </c>
      <c r="K394" s="16" t="inlineStr">
        <is>
          <t>O</t>
        </is>
      </c>
      <c r="L394" s="17" t="inlineStr">
        <is>
          <t>O</t>
        </is>
      </c>
      <c r="M394" s="18" t="inlineStr">
        <is>
          <t>O</t>
        </is>
      </c>
      <c r="N394" s="19" t="inlineStr">
        <is>
          <t>O</t>
        </is>
      </c>
      <c r="O394" s="20" t="n"/>
      <c r="P394" s="21">
        <f>IF($I394="","",IF($J394="O","3","")&amp;IF($K394="O","4","")&amp;IF($L394="O","6","")&amp;IF($M394="O","7","")&amp;IF($N394="O","8","")&amp;IF($O394="O","?","")&amp;IF(OR($J394="O",$K394="O",$L394="O",$M394="O",$N394="O",$O394="O"),"-","")&amp;$I394)</f>
        <v/>
      </c>
      <c r="Q394" s="110">
        <f>HYPERLINK("#'마스터_품목'!A621","→ 마스터 R621")</f>
        <v/>
      </c>
      <c r="R394" s="111" t="n">
        <v>621</v>
      </c>
      <c r="S394" s="111" t="inlineStr">
        <is>
          <t>마스터_품목</t>
        </is>
      </c>
    </row>
    <row r="395" ht="48" customHeight="1">
      <c r="A395" s="29" t="inlineStr">
        <is>
          <t>출하</t>
        </is>
      </c>
      <c r="B395" s="22" t="inlineStr">
        <is>
          <t>포장 자재</t>
        </is>
      </c>
      <c r="C395" s="23" t="inlineStr">
        <is>
          <t>공용</t>
        </is>
      </c>
      <c r="D395" s="23" t="inlineStr">
        <is>
          <t>가방끈(일본에 적용)</t>
        </is>
      </c>
      <c r="E395" s="23" t="inlineStr">
        <is>
          <t>가방끈 (일본용)
[DX3000]</t>
        </is>
      </c>
      <c r="F395" s="24" t="inlineStr">
        <is>
          <t>O</t>
        </is>
      </c>
      <c r="G395" s="25" t="n"/>
      <c r="H395" s="26" t="n"/>
      <c r="I395" s="27">
        <f>IFERROR(IF(OR($F395="O",$G395="O",$H395="O"),CHOOSE(MATCH($A395,{"튜브","고압","진공","튜닝","조립","출하"},0),"T","H","V","N","A","P")&amp;IF($F395="O","R",IF($G395="O","A",IF($H395="O","F",""))),""),"")</f>
        <v/>
      </c>
      <c r="J395" s="15" t="inlineStr">
        <is>
          <t>O</t>
        </is>
      </c>
      <c r="K395" s="16" t="inlineStr">
        <is>
          <t>O</t>
        </is>
      </c>
      <c r="L395" s="17" t="inlineStr">
        <is>
          <t>O</t>
        </is>
      </c>
      <c r="M395" s="18" t="n"/>
      <c r="N395" s="19" t="n"/>
      <c r="O395" s="20" t="n"/>
      <c r="P395" s="21">
        <f>IF($I395="","",IF($J395="O","3","")&amp;IF($K395="O","4","")&amp;IF($L395="O","6","")&amp;IF($M395="O","7","")&amp;IF($N395="O","8","")&amp;IF($O395="O","?","")&amp;IF(OR($J395="O",$K395="O",$L395="O",$M395="O",$N395="O",$O395="O"),"-","")&amp;$I395)</f>
        <v/>
      </c>
      <c r="Q395" s="110">
        <f>HYPERLINK("#'마스터_품목'!A622","→ 마스터 R622")</f>
        <v/>
      </c>
      <c r="R395" s="111" t="n">
        <v>622</v>
      </c>
      <c r="S395" s="111" t="inlineStr">
        <is>
          <t>마스터_품목</t>
        </is>
      </c>
    </row>
    <row r="396" ht="48" customHeight="1">
      <c r="A396" s="29" t="inlineStr">
        <is>
          <t>출하</t>
        </is>
      </c>
      <c r="B396" s="22" t="inlineStr">
        <is>
          <t>포장 자재</t>
        </is>
      </c>
      <c r="C396" s="23" t="inlineStr">
        <is>
          <t>공용</t>
        </is>
      </c>
      <c r="D396" s="23" t="inlineStr">
        <is>
          <t>제품 스트랩 (호주에 적용)</t>
        </is>
      </c>
      <c r="E396" s="23" t="inlineStr">
        <is>
          <t>제품 어깨끈 (구형)
[DX3000]</t>
        </is>
      </c>
      <c r="F396" s="24" t="inlineStr">
        <is>
          <t>O</t>
        </is>
      </c>
      <c r="G396" s="25" t="n"/>
      <c r="H396" s="26" t="n"/>
      <c r="I396" s="27">
        <f>IFERROR(IF(OR($F396="O",$G396="O",$H396="O"),CHOOSE(MATCH($A396,{"튜브","고압","진공","튜닝","조립","출하"},0),"T","H","V","N","A","P")&amp;IF($F396="O","R",IF($G396="O","A",IF($H396="O","F",""))),""),"")</f>
        <v/>
      </c>
      <c r="J396" s="15" t="inlineStr">
        <is>
          <t>O</t>
        </is>
      </c>
      <c r="K396" s="16" t="n"/>
      <c r="L396" s="17" t="n"/>
      <c r="M396" s="18" t="n"/>
      <c r="N396" s="19" t="n"/>
      <c r="O396" s="20" t="n"/>
      <c r="P396" s="21">
        <f>IF($I396="","",IF($J396="O","3","")&amp;IF($K396="O","4","")&amp;IF($L396="O","6","")&amp;IF($M396="O","7","")&amp;IF($N396="O","8","")&amp;IF($O396="O","?","")&amp;IF(OR($J396="O",$K396="O",$L396="O",$M396="O",$N396="O",$O396="O"),"-","")&amp;$I396)</f>
        <v/>
      </c>
      <c r="Q396" s="110">
        <f>HYPERLINK("#'마스터_품목'!A623","→ 마스터 R623")</f>
        <v/>
      </c>
      <c r="R396" s="111" t="n">
        <v>623</v>
      </c>
      <c r="S396" s="111" t="inlineStr">
        <is>
          <t>마스터_품목</t>
        </is>
      </c>
    </row>
    <row r="397" ht="48" customHeight="1">
      <c r="A397" s="29" t="inlineStr">
        <is>
          <t>출하</t>
        </is>
      </c>
      <c r="B397" s="22" t="inlineStr">
        <is>
          <t>포장 자재</t>
        </is>
      </c>
      <c r="C397" s="23" t="inlineStr">
        <is>
          <t>공용</t>
        </is>
      </c>
      <c r="D397" s="23" t="inlineStr">
        <is>
          <t>USB2.0 CABLE [PMM369-0200]-3M</t>
        </is>
      </c>
      <c r="E397" s="23" t="inlineStr">
        <is>
          <t>USB 2.0 CABLE (U-30136, 3m)
[ADX4000W]</t>
        </is>
      </c>
      <c r="F397" s="24" t="inlineStr">
        <is>
          <t>O</t>
        </is>
      </c>
      <c r="G397" s="25" t="n"/>
      <c r="H397" s="26" t="n"/>
      <c r="I397" s="27">
        <f>IFERROR(IF(OR($F397="O",$G397="O",$H397="O"),CHOOSE(MATCH($A397,{"튜브","고압","진공","튜닝","조립","출하"},0),"T","H","V","N","A","P")&amp;IF($F397="O","R",IF($G397="O","A",IF($H397="O","F",""))),""),"")</f>
        <v/>
      </c>
      <c r="J397" s="15" t="n"/>
      <c r="K397" s="16" t="inlineStr">
        <is>
          <t>O</t>
        </is>
      </c>
      <c r="L397" s="17" t="n"/>
      <c r="M397" s="18" t="n"/>
      <c r="N397" s="19" t="n"/>
      <c r="O397" s="20" t="n"/>
      <c r="P397" s="21">
        <f>IF($I397="","",IF($J397="O","3","")&amp;IF($K397="O","4","")&amp;IF($L397="O","6","")&amp;IF($M397="O","7","")&amp;IF($N397="O","8","")&amp;IF($O397="O","?","")&amp;IF(OR($J397="O",$K397="O",$L397="O",$M397="O",$N397="O",$O397="O"),"-","")&amp;$I397)</f>
        <v/>
      </c>
      <c r="Q397" s="110">
        <f>HYPERLINK("#'마스터_품목'!A624","→ 마스터 R624")</f>
        <v/>
      </c>
      <c r="R397" s="111" t="n">
        <v>624</v>
      </c>
      <c r="S397" s="111" t="inlineStr">
        <is>
          <t>마스터_품목</t>
        </is>
      </c>
    </row>
    <row r="398" ht="48" customHeight="1">
      <c r="A398" s="29" t="inlineStr">
        <is>
          <t>출하</t>
        </is>
      </c>
      <c r="B398" s="22" t="inlineStr">
        <is>
          <t>포장 자재</t>
        </is>
      </c>
      <c r="C398" s="23" t="inlineStr">
        <is>
          <t>공용</t>
        </is>
      </c>
      <c r="D398" s="23" t="inlineStr">
        <is>
          <t>변환 젠더 _ 외부배터리 충전용(공용)</t>
        </is>
      </c>
      <c r="E398" s="23" t="inlineStr">
        <is>
          <t>외부배터리 충전용 잭
[공용]</t>
        </is>
      </c>
      <c r="F398" s="24" t="inlineStr">
        <is>
          <t>O</t>
        </is>
      </c>
      <c r="G398" s="25" t="n"/>
      <c r="H398" s="26" t="n"/>
      <c r="I398" s="27">
        <f>IFERROR(IF(OR($F398="O",$G398="O",$H398="O"),CHOOSE(MATCH($A398,{"튜브","고압","진공","튜닝","조립","출하"},0),"T","H","V","N","A","P")&amp;IF($F398="O","R",IF($G398="O","A",IF($H398="O","F",""))),""),"")</f>
        <v/>
      </c>
      <c r="J398" s="15" t="inlineStr">
        <is>
          <t>O</t>
        </is>
      </c>
      <c r="K398" s="16" t="n"/>
      <c r="L398" s="17" t="n"/>
      <c r="M398" s="18" t="inlineStr">
        <is>
          <t>O</t>
        </is>
      </c>
      <c r="N398" s="19" t="n"/>
      <c r="O398" s="20" t="n"/>
      <c r="P398" s="21">
        <f>IF($I398="","",IF($J398="O","3","")&amp;IF($K398="O","4","")&amp;IF($L398="O","6","")&amp;IF($M398="O","7","")&amp;IF($N398="O","8","")&amp;IF($O398="O","?","")&amp;IF(OR($J398="O",$K398="O",$L398="O",$M398="O",$N398="O",$O398="O"),"-","")&amp;$I398)</f>
        <v/>
      </c>
      <c r="Q398" s="110">
        <f>HYPERLINK("#'마스터_품목'!A625","→ 마스터 R625")</f>
        <v/>
      </c>
      <c r="R398" s="111" t="n">
        <v>625</v>
      </c>
      <c r="S398" s="111" t="inlineStr">
        <is>
          <t>마스터_품목</t>
        </is>
      </c>
    </row>
    <row r="399" ht="48" customHeight="1">
      <c r="A399" s="29" t="inlineStr">
        <is>
          <t>출하</t>
        </is>
      </c>
      <c r="B399" s="22" t="inlineStr">
        <is>
          <t>포장 자재</t>
        </is>
      </c>
      <c r="C399" s="23" t="inlineStr">
        <is>
          <t>공용</t>
        </is>
      </c>
      <c r="D399" s="23" t="inlineStr">
        <is>
          <t>REMOTE CONTROL [RW20]- 3M</t>
        </is>
      </c>
      <c r="E399" s="23" t="inlineStr">
        <is>
          <t>REMOTE CONTROL (RW20, 3m + 샘플 1EA)
[공용]</t>
        </is>
      </c>
      <c r="F399" s="24" t="inlineStr">
        <is>
          <t>O</t>
        </is>
      </c>
      <c r="G399" s="25" t="n"/>
      <c r="H399" s="26" t="n"/>
      <c r="I399" s="27">
        <f>IFERROR(IF(OR($F399="O",$G399="O",$H399="O"),CHOOSE(MATCH($A399,{"튜브","고압","진공","튜닝","조립","출하"},0),"T","H","V","N","A","P")&amp;IF($F399="O","R",IF($G399="O","A",IF($H399="O","F",""))),""),"")</f>
        <v/>
      </c>
      <c r="J399" s="15" t="inlineStr">
        <is>
          <t>O</t>
        </is>
      </c>
      <c r="K399" s="16" t="inlineStr">
        <is>
          <t>O</t>
        </is>
      </c>
      <c r="L399" s="17" t="inlineStr">
        <is>
          <t>O</t>
        </is>
      </c>
      <c r="M399" s="18" t="inlineStr">
        <is>
          <t>O</t>
        </is>
      </c>
      <c r="N399" s="19" t="inlineStr">
        <is>
          <t>O</t>
        </is>
      </c>
      <c r="O399" s="20" t="n"/>
      <c r="P399" s="21">
        <f>IF($I399="","",IF($J399="O","3","")&amp;IF($K399="O","4","")&amp;IF($L399="O","6","")&amp;IF($M399="O","7","")&amp;IF($N399="O","8","")&amp;IF($O399="O","?","")&amp;IF(OR($J399="O",$K399="O",$L399="O",$M399="O",$N399="O",$O399="O"),"-","")&amp;$I399)</f>
        <v/>
      </c>
      <c r="Q399" s="110">
        <f>HYPERLINK("#'마스터_품목'!A626","→ 마스터 R626")</f>
        <v/>
      </c>
      <c r="R399" s="111" t="n">
        <v>626</v>
      </c>
      <c r="S399" s="111" t="inlineStr">
        <is>
          <t>마스터_품목</t>
        </is>
      </c>
    </row>
    <row r="400" ht="48" customHeight="1">
      <c r="A400" s="29" t="inlineStr">
        <is>
          <t>출하</t>
        </is>
      </c>
      <c r="B400" s="22" t="inlineStr">
        <is>
          <t>포장 자재</t>
        </is>
      </c>
      <c r="C400" s="23" t="inlineStr">
        <is>
          <t>ADX6000 공용</t>
        </is>
      </c>
      <c r="D400" s="23" t="inlineStr">
        <is>
          <t>ADX6000 name plate</t>
        </is>
      </c>
      <c r="E400" s="23" t="inlineStr">
        <is>
          <t>ADX6000 NAME PLATE
[ADX6000]</t>
        </is>
      </c>
      <c r="F400" s="24" t="inlineStr">
        <is>
          <t>O</t>
        </is>
      </c>
      <c r="G400" s="25" t="n"/>
      <c r="H400" s="26" t="n"/>
      <c r="I400" s="27">
        <f>IFERROR(IF(OR($F400="O",$G400="O",$H400="O"),CHOOSE(MATCH($A400,{"튜브","고압","진공","튜닝","조립","출하"},0),"T","H","V","N","A","P")&amp;IF($F400="O","R",IF($G400="O","A",IF($H400="O","F",""))),""),"")</f>
        <v/>
      </c>
      <c r="J400" s="15" t="n"/>
      <c r="K400" s="16" t="n"/>
      <c r="L400" s="17" t="inlineStr">
        <is>
          <t>O</t>
        </is>
      </c>
      <c r="M400" s="18" t="n"/>
      <c r="N400" s="19" t="n"/>
      <c r="O400" s="20" t="n"/>
      <c r="P400" s="21">
        <f>IF($I400="","",IF($J400="O","3","")&amp;IF($K400="O","4","")&amp;IF($L400="O","6","")&amp;IF($M400="O","7","")&amp;IF($N400="O","8","")&amp;IF($O400="O","?","")&amp;IF(OR($J400="O",$K400="O",$L400="O",$M400="O",$N400="O",$O400="O"),"-","")&amp;$I400)</f>
        <v/>
      </c>
      <c r="Q400" s="110">
        <f>HYPERLINK("#'마스터_품목'!A627","→ 마스터 R627")</f>
        <v/>
      </c>
      <c r="R400" s="111" t="n">
        <v>627</v>
      </c>
      <c r="S400" s="111" t="inlineStr">
        <is>
          <t>마스터_품목</t>
        </is>
      </c>
    </row>
    <row r="401" ht="48" customHeight="1">
      <c r="A401" s="29" t="inlineStr">
        <is>
          <t>출하</t>
        </is>
      </c>
      <c r="B401" s="22" t="inlineStr">
        <is>
          <t>포장 자재</t>
        </is>
      </c>
      <c r="C401" s="23" t="inlineStr">
        <is>
          <t>ADX6000 공용</t>
        </is>
      </c>
      <c r="D401" s="23" t="inlineStr">
        <is>
          <t>IRay A6 name plate</t>
        </is>
      </c>
      <c r="E401" s="23" t="inlineStr">
        <is>
          <t>IRay A6 NAME PLATE
[ADX6000]</t>
        </is>
      </c>
      <c r="F401" s="24" t="inlineStr">
        <is>
          <t>O</t>
        </is>
      </c>
      <c r="G401" s="25" t="n"/>
      <c r="H401" s="26" t="n"/>
      <c r="I401" s="27">
        <f>IFERROR(IF(OR($F401="O",$G401="O",$H401="O"),CHOOSE(MATCH($A401,{"튜브","고압","진공","튜닝","조립","출하"},0),"T","H","V","N","A","P")&amp;IF($F401="O","R",IF($G401="O","A",IF($H401="O","F",""))),""),"")</f>
        <v/>
      </c>
      <c r="J401" s="15" t="n"/>
      <c r="K401" s="16" t="n"/>
      <c r="L401" s="17" t="inlineStr">
        <is>
          <t>O</t>
        </is>
      </c>
      <c r="M401" s="18" t="n"/>
      <c r="N401" s="19" t="n"/>
      <c r="O401" s="20" t="n"/>
      <c r="P401" s="21">
        <f>IF($I401="","",IF($J401="O","3","")&amp;IF($K401="O","4","")&amp;IF($L401="O","6","")&amp;IF($M401="O","7","")&amp;IF($N401="O","8","")&amp;IF($O401="O","?","")&amp;IF(OR($J401="O",$K401="O",$L401="O",$M401="O",$N401="O",$O401="O"),"-","")&amp;$I401)</f>
        <v/>
      </c>
      <c r="Q401" s="110">
        <f>HYPERLINK("#'마스터_품목'!A628","→ 마스터 R628")</f>
        <v/>
      </c>
      <c r="R401" s="111" t="n">
        <v>628</v>
      </c>
      <c r="S401" s="111" t="inlineStr">
        <is>
          <t>마스터_품목</t>
        </is>
      </c>
    </row>
    <row r="402" ht="48" customHeight="1">
      <c r="A402" s="29" t="inlineStr">
        <is>
          <t>출하</t>
        </is>
      </c>
      <c r="B402" s="22" t="inlineStr">
        <is>
          <t>포장 자재</t>
        </is>
      </c>
      <c r="C402" s="23" t="inlineStr">
        <is>
          <t>ADX6000 공용</t>
        </is>
      </c>
      <c r="D402" s="23" t="inlineStr">
        <is>
          <t>사각 줄자 (White)</t>
        </is>
      </c>
      <c r="E402" s="23" t="n"/>
      <c r="F402" s="24" t="inlineStr">
        <is>
          <t>O</t>
        </is>
      </c>
      <c r="G402" s="25" t="n"/>
      <c r="H402" s="26" t="n"/>
      <c r="I402" s="27">
        <f>IFERROR(IF(OR($F402="O",$G402="O",$H402="O"),CHOOSE(MATCH($A402,{"튜브","고압","진공","튜닝","조립","출하"},0),"T","H","V","N","A","P")&amp;IF($F402="O","R",IF($G402="O","A",IF($H402="O","F",""))),""),"")</f>
        <v/>
      </c>
      <c r="J402" s="15" t="n"/>
      <c r="K402" s="16" t="n"/>
      <c r="L402" s="17" t="inlineStr">
        <is>
          <t>O</t>
        </is>
      </c>
      <c r="M402" s="18" t="n"/>
      <c r="N402" s="19" t="n"/>
      <c r="O402" s="20" t="n"/>
      <c r="P402" s="21">
        <f>IF($I402="","",IF($J402="O","3","")&amp;IF($K402="O","4","")&amp;IF($L402="O","6","")&amp;IF($M402="O","7","")&amp;IF($N402="O","8","")&amp;IF($O402="O","?","")&amp;IF(OR($J402="O",$K402="O",$L402="O",$M402="O",$N402="O",$O402="O"),"-","")&amp;$I402)</f>
        <v/>
      </c>
      <c r="Q402" s="110">
        <f>HYPERLINK("#'마스터_품목'!A629","→ 마스터 R629")</f>
        <v/>
      </c>
      <c r="R402" s="111" t="n">
        <v>629</v>
      </c>
      <c r="S402" s="111" t="inlineStr">
        <is>
          <t>마스터_품목</t>
        </is>
      </c>
    </row>
    <row r="403" ht="48" customHeight="1">
      <c r="A403" s="29" t="inlineStr">
        <is>
          <t>출하</t>
        </is>
      </c>
      <c r="B403" s="22" t="inlineStr">
        <is>
          <t>포장 자재</t>
        </is>
      </c>
      <c r="C403" s="23" t="inlineStr">
        <is>
          <t>ADX6000 공용</t>
        </is>
      </c>
      <c r="D403" s="23" t="inlineStr">
        <is>
          <t>사각 줄자 가이드</t>
        </is>
      </c>
      <c r="E403" s="23" t="inlineStr">
        <is>
          <t>사각 줄자 가이드
[ADX6000S]</t>
        </is>
      </c>
      <c r="F403" s="24" t="inlineStr">
        <is>
          <t>O</t>
        </is>
      </c>
      <c r="G403" s="25" t="n"/>
      <c r="H403" s="26" t="n"/>
      <c r="I403" s="27">
        <f>IFERROR(IF(OR($F403="O",$G403="O",$H403="O"),CHOOSE(MATCH($A403,{"튜브","고압","진공","튜닝","조립","출하"},0),"T","H","V","N","A","P")&amp;IF($F403="O","R",IF($G403="O","A",IF($H403="O","F",""))),""),"")</f>
        <v/>
      </c>
      <c r="J403" s="15" t="n"/>
      <c r="K403" s="16" t="n"/>
      <c r="L403" s="17" t="inlineStr">
        <is>
          <t>O</t>
        </is>
      </c>
      <c r="M403" s="18" t="n"/>
      <c r="N403" s="19" t="n"/>
      <c r="O403" s="20" t="n"/>
      <c r="P403" s="21">
        <f>IF($I403="","",IF($J403="O","3","")&amp;IF($K403="O","4","")&amp;IF($L403="O","6","")&amp;IF($M403="O","7","")&amp;IF($N403="O","8","")&amp;IF($O403="O","?","")&amp;IF(OR($J403="O",$K403="O",$L403="O",$M403="O",$N403="O",$O403="O"),"-","")&amp;$I403)</f>
        <v/>
      </c>
      <c r="Q403" s="110">
        <f>HYPERLINK("#'마스터_품목'!A630","→ 마스터 R630")</f>
        <v/>
      </c>
      <c r="R403" s="111" t="n">
        <v>630</v>
      </c>
      <c r="S403" s="111" t="inlineStr">
        <is>
          <t>마스터_품목</t>
        </is>
      </c>
    </row>
    <row r="404" ht="48" customHeight="1">
      <c r="A404" s="29" t="inlineStr">
        <is>
          <t>출하</t>
        </is>
      </c>
      <c r="B404" s="22" t="inlineStr">
        <is>
          <t>포장 자재</t>
        </is>
      </c>
      <c r="C404" s="23" t="inlineStr">
        <is>
          <t>ADX6000</t>
        </is>
      </c>
      <c r="D404" s="23" t="inlineStr">
        <is>
          <t>PC Link Cable</t>
        </is>
      </c>
      <c r="E404" s="23" t="inlineStr">
        <is>
          <t>PC Link Cable
[ADX6000]</t>
        </is>
      </c>
      <c r="F404" s="24" t="inlineStr">
        <is>
          <t>O</t>
        </is>
      </c>
      <c r="G404" s="25" t="n"/>
      <c r="H404" s="26" t="n"/>
      <c r="I404" s="27">
        <f>IFERROR(IF(OR($F404="O",$G404="O",$H404="O"),CHOOSE(MATCH($A404,{"튜브","고압","진공","튜닝","조립","출하"},0),"T","H","V","N","A","P")&amp;IF($F404="O","R",IF($G404="O","A",IF($H404="O","F",""))),""),"")</f>
        <v/>
      </c>
      <c r="J404" s="15" t="n"/>
      <c r="K404" s="16" t="n"/>
      <c r="L404" s="17" t="inlineStr">
        <is>
          <t>O</t>
        </is>
      </c>
      <c r="M404" s="18" t="n"/>
      <c r="N404" s="19" t="n"/>
      <c r="O404" s="20" t="n"/>
      <c r="P404" s="21">
        <f>IF($I404="","",IF($J404="O","3","")&amp;IF($K404="O","4","")&amp;IF($L404="O","6","")&amp;IF($M404="O","7","")&amp;IF($N404="O","8","")&amp;IF($O404="O","?","")&amp;IF(OR($J404="O",$K404="O",$L404="O",$M404="O",$N404="O",$O404="O"),"-","")&amp;$I404)</f>
        <v/>
      </c>
      <c r="Q404" s="110">
        <f>HYPERLINK("#'마스터_품목'!A631","→ 마스터 R631")</f>
        <v/>
      </c>
      <c r="R404" s="111" t="n">
        <v>631</v>
      </c>
      <c r="S404" s="111" t="inlineStr">
        <is>
          <t>마스터_품목</t>
        </is>
      </c>
    </row>
    <row r="405" ht="48" customHeight="1">
      <c r="A405" s="29" t="inlineStr">
        <is>
          <t>출하</t>
        </is>
      </c>
      <c r="B405" s="22" t="inlineStr">
        <is>
          <t>포장 자재</t>
        </is>
      </c>
      <c r="C405" s="23" t="inlineStr">
        <is>
          <t>ADX6000 공용</t>
        </is>
      </c>
      <c r="D405" s="23" t="inlineStr">
        <is>
          <t>스킨가드(밸크로)</t>
        </is>
      </c>
      <c r="E405" s="23" t="n"/>
      <c r="F405" s="24" t="inlineStr">
        <is>
          <t>O</t>
        </is>
      </c>
      <c r="G405" s="25" t="n"/>
      <c r="H405" s="26" t="n"/>
      <c r="I405" s="27">
        <f>IFERROR(IF(OR($F405="O",$G405="O",$H405="O"),CHOOSE(MATCH($A405,{"튜브","고압","진공","튜닝","조립","출하"},0),"T","H","V","N","A","P")&amp;IF($F405="O","R",IF($G405="O","A",IF($H405="O","F",""))),""),"")</f>
        <v/>
      </c>
      <c r="J405" s="15" t="n"/>
      <c r="K405" s="16" t="n"/>
      <c r="L405" s="17" t="inlineStr">
        <is>
          <t>O</t>
        </is>
      </c>
      <c r="M405" s="18" t="n"/>
      <c r="N405" s="19" t="n"/>
      <c r="O405" s="20" t="n"/>
      <c r="P405" s="21">
        <f>IF($I405="","",IF($J405="O","3","")&amp;IF($K405="O","4","")&amp;IF($L405="O","6","")&amp;IF($M405="O","7","")&amp;IF($N405="O","8","")&amp;IF($O405="O","?","")&amp;IF(OR($J405="O",$K405="O",$L405="O",$M405="O",$N405="O",$O405="O"),"-","")&amp;$I405)</f>
        <v/>
      </c>
      <c r="Q405" s="110">
        <f>HYPERLINK("#'마스터_품목'!A632","→ 마스터 R632")</f>
        <v/>
      </c>
      <c r="R405" s="111" t="n">
        <v>632</v>
      </c>
      <c r="S405" s="111" t="inlineStr">
        <is>
          <t>마스터_품목</t>
        </is>
      </c>
    </row>
    <row r="406" ht="48" customHeight="1">
      <c r="A406" s="29" t="inlineStr">
        <is>
          <t>출하</t>
        </is>
      </c>
      <c r="B406" s="22" t="inlineStr">
        <is>
          <t>포장 자재</t>
        </is>
      </c>
      <c r="C406" s="23" t="inlineStr">
        <is>
          <t>ADX6000 공용</t>
        </is>
      </c>
      <c r="D406" s="23" t="inlineStr">
        <is>
          <t>전자 각도기</t>
        </is>
      </c>
      <c r="E406" s="23" t="inlineStr">
        <is>
          <t>전자 각도기
[ADX6000S]</t>
        </is>
      </c>
      <c r="F406" s="24" t="inlineStr">
        <is>
          <t>O</t>
        </is>
      </c>
      <c r="G406" s="25" t="n"/>
      <c r="H406" s="26" t="n"/>
      <c r="I406" s="27">
        <f>IFERROR(IF(OR($F406="O",$G406="O",$H406="O"),CHOOSE(MATCH($A406,{"튜브","고압","진공","튜닝","조립","출하"},0),"T","H","V","N","A","P")&amp;IF($F406="O","R",IF($G406="O","A",IF($H406="O","F",""))),""),"")</f>
        <v/>
      </c>
      <c r="J406" s="15" t="n"/>
      <c r="K406" s="16" t="n"/>
      <c r="L406" s="17" t="inlineStr">
        <is>
          <t>O</t>
        </is>
      </c>
      <c r="M406" s="18" t="n"/>
      <c r="N406" s="19" t="n"/>
      <c r="O406" s="20" t="n"/>
      <c r="P406" s="21">
        <f>IF($I406="","",IF($J406="O","3","")&amp;IF($K406="O","4","")&amp;IF($L406="O","6","")&amp;IF($M406="O","7","")&amp;IF($N406="O","8","")&amp;IF($O406="O","?","")&amp;IF(OR($J406="O",$K406="O",$L406="O",$M406="O",$N406="O",$O406="O"),"-","")&amp;$I406)</f>
        <v/>
      </c>
      <c r="Q406" s="110">
        <f>HYPERLINK("#'마스터_품목'!A633","→ 마스터 R633")</f>
        <v/>
      </c>
      <c r="R406" s="111" t="n">
        <v>633</v>
      </c>
      <c r="S406" s="111" t="inlineStr">
        <is>
          <t>마스터_품목</t>
        </is>
      </c>
    </row>
    <row r="407" ht="48" customHeight="1">
      <c r="A407" s="29" t="inlineStr">
        <is>
          <t>출하</t>
        </is>
      </c>
      <c r="B407" s="22" t="inlineStr">
        <is>
          <t>포장 자재</t>
        </is>
      </c>
      <c r="C407" s="23" t="inlineStr">
        <is>
          <t>ADX6000 공용</t>
        </is>
      </c>
      <c r="D407" s="23" t="inlineStr">
        <is>
          <t>각도기 거치대</t>
        </is>
      </c>
      <c r="E407" s="23" t="inlineStr">
        <is>
          <t>각도기 거치대
[ADX6000]</t>
        </is>
      </c>
      <c r="F407" s="24" t="inlineStr">
        <is>
          <t>O</t>
        </is>
      </c>
      <c r="G407" s="25" t="n"/>
      <c r="H407" s="26" t="n"/>
      <c r="I407" s="27">
        <f>IFERROR(IF(OR($F407="O",$G407="O",$H407="O"),CHOOSE(MATCH($A407,{"튜브","고압","진공","튜닝","조립","출하"},0),"T","H","V","N","A","P")&amp;IF($F407="O","R",IF($G407="O","A",IF($H407="O","F",""))),""),"")</f>
        <v/>
      </c>
      <c r="J407" s="15" t="n"/>
      <c r="K407" s="16" t="n"/>
      <c r="L407" s="17" t="inlineStr">
        <is>
          <t>O</t>
        </is>
      </c>
      <c r="M407" s="18" t="n"/>
      <c r="N407" s="19" t="n"/>
      <c r="O407" s="20" t="n"/>
      <c r="P407" s="21">
        <f>IF($I407="","",IF($J407="O","3","")&amp;IF($K407="O","4","")&amp;IF($L407="O","6","")&amp;IF($M407="O","7","")&amp;IF($N407="O","8","")&amp;IF($O407="O","?","")&amp;IF(OR($J407="O",$K407="O",$L407="O",$M407="O",$N407="O",$O407="O"),"-","")&amp;$I407)</f>
        <v/>
      </c>
      <c r="Q407" s="110">
        <f>HYPERLINK("#'마스터_품목'!A634","→ 마스터 R634")</f>
        <v/>
      </c>
      <c r="R407" s="111" t="n">
        <v>634</v>
      </c>
      <c r="S407" s="111" t="inlineStr">
        <is>
          <t>마스터_품목</t>
        </is>
      </c>
    </row>
    <row r="408" ht="48" customHeight="1">
      <c r="A408" s="29" t="inlineStr">
        <is>
          <t>출하</t>
        </is>
      </c>
      <c r="B408" s="22" t="inlineStr">
        <is>
          <t>포장 자재</t>
        </is>
      </c>
      <c r="C408" s="23" t="inlineStr">
        <is>
          <t>ADX6000 공용</t>
        </is>
      </c>
      <c r="D408" s="23" t="inlineStr">
        <is>
          <t>각도기 내부 철판</t>
        </is>
      </c>
      <c r="E408" s="23" t="inlineStr">
        <is>
          <t>각도기 내부 철판
[ADX6000]</t>
        </is>
      </c>
      <c r="F408" s="24" t="inlineStr">
        <is>
          <t>O</t>
        </is>
      </c>
      <c r="G408" s="25" t="n"/>
      <c r="H408" s="26" t="n"/>
      <c r="I408" s="27">
        <f>IFERROR(IF(OR($F408="O",$G408="O",$H408="O"),CHOOSE(MATCH($A408,{"튜브","고압","진공","튜닝","조립","출하"},0),"T","H","V","N","A","P")&amp;IF($F408="O","R",IF($G408="O","A",IF($H408="O","F",""))),""),"")</f>
        <v/>
      </c>
      <c r="J408" s="15" t="n"/>
      <c r="K408" s="16" t="n"/>
      <c r="L408" s="17" t="inlineStr">
        <is>
          <t>O</t>
        </is>
      </c>
      <c r="M408" s="18" t="n"/>
      <c r="N408" s="19" t="n"/>
      <c r="O408" s="20" t="n"/>
      <c r="P408" s="21">
        <f>IF($I408="","",IF($J408="O","3","")&amp;IF($K408="O","4","")&amp;IF($L408="O","6","")&amp;IF($M408="O","7","")&amp;IF($N408="O","8","")&amp;IF($O408="O","?","")&amp;IF(OR($J408="O",$K408="O",$L408="O",$M408="O",$N408="O",$O408="O"),"-","")&amp;$I408)</f>
        <v/>
      </c>
      <c r="Q408" s="110">
        <f>HYPERLINK("#'마스터_품목'!A635","→ 마스터 R635")</f>
        <v/>
      </c>
      <c r="R408" s="111" t="n">
        <v>635</v>
      </c>
      <c r="S408" s="111" t="inlineStr">
        <is>
          <t>마스터_품목</t>
        </is>
      </c>
    </row>
    <row r="409" ht="48" customHeight="1">
      <c r="A409" s="29" t="inlineStr">
        <is>
          <t>출하</t>
        </is>
      </c>
      <c r="B409" s="22" t="inlineStr">
        <is>
          <t>박스</t>
        </is>
      </c>
      <c r="C409" s="23" t="inlineStr">
        <is>
          <t>공용</t>
        </is>
      </c>
      <c r="D409" s="23" t="inlineStr">
        <is>
          <t>i cam 구강 카메라 박스</t>
        </is>
      </c>
      <c r="E409" s="23" t="inlineStr">
        <is>
          <t>Rex 구강 카메라 박스
[공용]</t>
        </is>
      </c>
      <c r="F409" s="24" t="inlineStr">
        <is>
          <t>O</t>
        </is>
      </c>
      <c r="G409" s="25" t="n"/>
      <c r="H409" s="26" t="n"/>
      <c r="I409" s="27">
        <f>IFERROR(IF(OR($F409="O",$G409="O",$H409="O"),CHOOSE(MATCH($A409,{"튜브","고압","진공","튜닝","조립","출하"},0),"T","H","V","N","A","P")&amp;IF($F409="O","R",IF($G409="O","A",IF($H409="O","F",""))),""),"")</f>
        <v/>
      </c>
      <c r="J409" s="15" t="inlineStr">
        <is>
          <t>O</t>
        </is>
      </c>
      <c r="K409" s="16" t="inlineStr">
        <is>
          <t>O</t>
        </is>
      </c>
      <c r="L409" s="17" t="inlineStr">
        <is>
          <t>O</t>
        </is>
      </c>
      <c r="M409" s="18" t="inlineStr">
        <is>
          <t>O</t>
        </is>
      </c>
      <c r="N409" s="19" t="inlineStr">
        <is>
          <t>O</t>
        </is>
      </c>
      <c r="O409" s="20" t="n"/>
      <c r="P409" s="21">
        <f>IF($I409="","",IF($J409="O","3","")&amp;IF($K409="O","4","")&amp;IF($L409="O","6","")&amp;IF($M409="O","7","")&amp;IF($N409="O","8","")&amp;IF($O409="O","?","")&amp;IF(OR($J409="O",$K409="O",$L409="O",$M409="O",$N409="O",$O409="O"),"-","")&amp;$I409)</f>
        <v/>
      </c>
      <c r="Q409" s="110">
        <f>HYPERLINK("#'마스터_품목'!A636","→ 마스터 R636")</f>
        <v/>
      </c>
      <c r="R409" s="111" t="n">
        <v>636</v>
      </c>
      <c r="S409" s="111" t="inlineStr">
        <is>
          <t>마스터_품목</t>
        </is>
      </c>
    </row>
    <row r="410" ht="48" customHeight="1">
      <c r="A410" s="29" t="inlineStr">
        <is>
          <t>출하</t>
        </is>
      </c>
      <c r="B410" s="22" t="inlineStr">
        <is>
          <t>박스</t>
        </is>
      </c>
      <c r="C410" s="23" t="inlineStr">
        <is>
          <t>공용</t>
        </is>
      </c>
      <c r="D410" s="23" t="inlineStr">
        <is>
          <t>REX2 센서박스</t>
        </is>
      </c>
      <c r="E410" s="23" t="inlineStr">
        <is>
          <t>Rex2 센서 박스
[공용]</t>
        </is>
      </c>
      <c r="F410" s="24" t="inlineStr">
        <is>
          <t>O</t>
        </is>
      </c>
      <c r="G410" s="25" t="n"/>
      <c r="H410" s="26" t="n"/>
      <c r="I410" s="27">
        <f>IFERROR(IF(OR($F410="O",$G410="O",$H410="O"),CHOOSE(MATCH($A410,{"튜브","고압","진공","튜닝","조립","출하"},0),"T","H","V","N","A","P")&amp;IF($F410="O","R",IF($G410="O","A",IF($H410="O","F",""))),""),"")</f>
        <v/>
      </c>
      <c r="J410" s="15" t="inlineStr">
        <is>
          <t>O</t>
        </is>
      </c>
      <c r="K410" s="16" t="inlineStr">
        <is>
          <t>O</t>
        </is>
      </c>
      <c r="L410" s="17" t="inlineStr">
        <is>
          <t>O</t>
        </is>
      </c>
      <c r="M410" s="18" t="inlineStr">
        <is>
          <t>O</t>
        </is>
      </c>
      <c r="N410" s="19" t="inlineStr">
        <is>
          <t>O</t>
        </is>
      </c>
      <c r="O410" s="20" t="n"/>
      <c r="P410" s="21">
        <f>IF($I410="","",IF($J410="O","3","")&amp;IF($K410="O","4","")&amp;IF($L410="O","6","")&amp;IF($M410="O","7","")&amp;IF($N410="O","8","")&amp;IF($O410="O","?","")&amp;IF(OR($J410="O",$K410="O",$L410="O",$M410="O",$N410="O",$O410="O"),"-","")&amp;$I410)</f>
        <v/>
      </c>
      <c r="Q410" s="110">
        <f>HYPERLINK("#'마스터_품목'!A637","→ 마스터 R637")</f>
        <v/>
      </c>
      <c r="R410" s="111" t="n">
        <v>637</v>
      </c>
      <c r="S410" s="111" t="inlineStr">
        <is>
          <t>마스터_품목</t>
        </is>
      </c>
    </row>
    <row r="411" ht="48" customHeight="1">
      <c r="A411" s="29" t="inlineStr">
        <is>
          <t>출하</t>
        </is>
      </c>
      <c r="B411" s="22" t="inlineStr">
        <is>
          <t>센서</t>
        </is>
      </c>
      <c r="C411" s="23" t="inlineStr">
        <is>
          <t>공용</t>
        </is>
      </c>
      <c r="D411" s="23" t="inlineStr">
        <is>
          <t>i cam 구강 카메라</t>
        </is>
      </c>
      <c r="E411" s="23" t="inlineStr">
        <is>
          <t>구강 카메라
[공용]</t>
        </is>
      </c>
      <c r="F411" s="24" t="inlineStr">
        <is>
          <t>O</t>
        </is>
      </c>
      <c r="G411" s="25" t="n"/>
      <c r="H411" s="26" t="n"/>
      <c r="I411" s="27">
        <f>IFERROR(IF(OR($F411="O",$G411="O",$H411="O"),CHOOSE(MATCH($A411,{"튜브","고압","진공","튜닝","조립","출하"},0),"T","H","V","N","A","P")&amp;IF($F411="O","R",IF($G411="O","A",IF($H411="O","F",""))),""),"")</f>
        <v/>
      </c>
      <c r="J411" s="15" t="inlineStr">
        <is>
          <t>O</t>
        </is>
      </c>
      <c r="K411" s="16" t="inlineStr">
        <is>
          <t>O</t>
        </is>
      </c>
      <c r="L411" s="17" t="inlineStr">
        <is>
          <t>O</t>
        </is>
      </c>
      <c r="M411" s="18" t="inlineStr">
        <is>
          <t>O</t>
        </is>
      </c>
      <c r="N411" s="19" t="inlineStr">
        <is>
          <t>O</t>
        </is>
      </c>
      <c r="O411" s="20" t="n"/>
      <c r="P411" s="21">
        <f>IF($I411="","",IF($J411="O","3","")&amp;IF($K411="O","4","")&amp;IF($L411="O","6","")&amp;IF($M411="O","7","")&amp;IF($N411="O","8","")&amp;IF($O411="O","?","")&amp;IF(OR($J411="O",$K411="O",$L411="O",$M411="O",$N411="O",$O411="O"),"-","")&amp;$I411)</f>
        <v/>
      </c>
      <c r="Q411" s="110">
        <f>HYPERLINK("#'마스터_품목'!A638","→ 마스터 R638")</f>
        <v/>
      </c>
      <c r="R411" s="111" t="n">
        <v>638</v>
      </c>
      <c r="S411" s="111" t="inlineStr">
        <is>
          <t>마스터_품목</t>
        </is>
      </c>
    </row>
    <row r="412" ht="48" customHeight="1">
      <c r="A412" s="29" t="inlineStr">
        <is>
          <t>출하</t>
        </is>
      </c>
      <c r="B412" s="22" t="inlineStr">
        <is>
          <t>센서</t>
        </is>
      </c>
      <c r="C412" s="23" t="inlineStr">
        <is>
          <t>공용</t>
        </is>
      </c>
      <c r="D412" s="23" t="inlineStr">
        <is>
          <t>330N DRTECH 센서</t>
        </is>
      </c>
      <c r="E412" s="23" t="inlineStr">
        <is>
          <t>330N DRTECH 센서
[공용]</t>
        </is>
      </c>
      <c r="F412" s="24" t="inlineStr">
        <is>
          <t>O</t>
        </is>
      </c>
      <c r="G412" s="25" t="n"/>
      <c r="H412" s="26" t="n"/>
      <c r="I412" s="27">
        <f>IFERROR(IF(OR($F412="O",$G412="O",$H412="O"),CHOOSE(MATCH($A412,{"튜브","고압","진공","튜닝","조립","출하"},0),"T","H","V","N","A","P")&amp;IF($F412="O","R",IF($G412="O","A",IF($H412="O","F",""))),""),"")</f>
        <v/>
      </c>
      <c r="J412" s="15" t="inlineStr">
        <is>
          <t>O</t>
        </is>
      </c>
      <c r="K412" s="16" t="inlineStr">
        <is>
          <t>O</t>
        </is>
      </c>
      <c r="L412" s="17" t="inlineStr">
        <is>
          <t>O</t>
        </is>
      </c>
      <c r="M412" s="18" t="inlineStr">
        <is>
          <t>O</t>
        </is>
      </c>
      <c r="N412" s="19" t="inlineStr">
        <is>
          <t>O</t>
        </is>
      </c>
      <c r="O412" s="20" t="n"/>
      <c r="P412" s="21">
        <f>IF($I412="","",IF($J412="O","3","")&amp;IF($K412="O","4","")&amp;IF($L412="O","6","")&amp;IF($M412="O","7","")&amp;IF($N412="O","8","")&amp;IF($O412="O","?","")&amp;IF(OR($J412="O",$K412="O",$L412="O",$M412="O",$N412="O",$O412="O"),"-","")&amp;$I412)</f>
        <v/>
      </c>
      <c r="Q412" s="110">
        <f>HYPERLINK("#'마스터_품목'!A639","→ 마스터 R639")</f>
        <v/>
      </c>
      <c r="R412" s="111" t="n">
        <v>639</v>
      </c>
      <c r="S412" s="111" t="inlineStr">
        <is>
          <t>마스터_품목</t>
        </is>
      </c>
    </row>
    <row r="413" ht="48" customHeight="1">
      <c r="A413" s="29" t="inlineStr">
        <is>
          <t>출하</t>
        </is>
      </c>
      <c r="B413" s="22" t="inlineStr">
        <is>
          <t>센서</t>
        </is>
      </c>
      <c r="C413" s="23" t="inlineStr">
        <is>
          <t>공용</t>
        </is>
      </c>
      <c r="D413" s="23" t="inlineStr">
        <is>
          <t>Rex2 Elite [XVS2530] Size 1.5</t>
        </is>
      </c>
      <c r="E413" s="23" t="n"/>
      <c r="F413" s="24" t="inlineStr">
        <is>
          <t>O</t>
        </is>
      </c>
      <c r="G413" s="25" t="n"/>
      <c r="H413" s="26" t="n"/>
      <c r="I413" s="27">
        <f>IFERROR(IF(OR($F413="O",$G413="O",$H413="O"),CHOOSE(MATCH($A413,{"튜브","고압","진공","튜닝","조립","출하"},0),"T","H","V","N","A","P")&amp;IF($F413="O","R",IF($G413="O","A",IF($H413="O","F",""))),""),"")</f>
        <v/>
      </c>
      <c r="J413" s="15" t="inlineStr">
        <is>
          <t>O</t>
        </is>
      </c>
      <c r="K413" s="16" t="inlineStr">
        <is>
          <t>O</t>
        </is>
      </c>
      <c r="L413" s="17" t="inlineStr">
        <is>
          <t>O</t>
        </is>
      </c>
      <c r="M413" s="18" t="inlineStr">
        <is>
          <t>O</t>
        </is>
      </c>
      <c r="N413" s="19" t="inlineStr">
        <is>
          <t>O</t>
        </is>
      </c>
      <c r="O413" s="20" t="n"/>
      <c r="P413" s="21">
        <f>IF($I413="","",IF($J413="O","3","")&amp;IF($K413="O","4","")&amp;IF($L413="O","6","")&amp;IF($M413="O","7","")&amp;IF($N413="O","8","")&amp;IF($O413="O","?","")&amp;IF(OR($J413="O",$K413="O",$L413="O",$M413="O",$N413="O",$O413="O"),"-","")&amp;$I413)</f>
        <v/>
      </c>
      <c r="Q413" s="110">
        <f>HYPERLINK("#'마스터_품목'!A640","→ 마스터 R640")</f>
        <v/>
      </c>
      <c r="R413" s="111" t="n">
        <v>640</v>
      </c>
      <c r="S413" s="111" t="inlineStr">
        <is>
          <t>마스터_품목</t>
        </is>
      </c>
    </row>
    <row r="414" ht="48" customHeight="1">
      <c r="A414" s="29" t="inlineStr">
        <is>
          <t>출하</t>
        </is>
      </c>
      <c r="B414" s="22" t="inlineStr">
        <is>
          <t>센서</t>
        </is>
      </c>
      <c r="C414" s="23" t="inlineStr">
        <is>
          <t>공용</t>
        </is>
      </c>
      <c r="D414" s="23" t="inlineStr">
        <is>
          <t>Rex2 Elite [iRay] Size 2.0</t>
        </is>
      </c>
      <c r="E414" s="23" t="n"/>
      <c r="F414" s="24" t="inlineStr">
        <is>
          <t>O</t>
        </is>
      </c>
      <c r="G414" s="25" t="n"/>
      <c r="H414" s="26" t="n"/>
      <c r="I414" s="27">
        <f>IFERROR(IF(OR($F414="O",$G414="O",$H414="O"),CHOOSE(MATCH($A414,{"튜브","고압","진공","튜닝","조립","출하"},0),"T","H","V","N","A","P")&amp;IF($F414="O","R",IF($G414="O","A",IF($H414="O","F",""))),""),"")</f>
        <v/>
      </c>
      <c r="J414" s="15" t="inlineStr">
        <is>
          <t>O</t>
        </is>
      </c>
      <c r="K414" s="16" t="inlineStr">
        <is>
          <t>O</t>
        </is>
      </c>
      <c r="L414" s="17" t="inlineStr">
        <is>
          <t>O</t>
        </is>
      </c>
      <c r="M414" s="18" t="inlineStr">
        <is>
          <t>O</t>
        </is>
      </c>
      <c r="N414" s="19" t="inlineStr">
        <is>
          <t>O</t>
        </is>
      </c>
      <c r="O414" s="20" t="n"/>
      <c r="P414" s="21">
        <f>IF($I414="","",IF($J414="O","3","")&amp;IF($K414="O","4","")&amp;IF($L414="O","6","")&amp;IF($M414="O","7","")&amp;IF($N414="O","8","")&amp;IF($O414="O","?","")&amp;IF(OR($J414="O",$K414="O",$L414="O",$M414="O",$N414="O",$O414="O"),"-","")&amp;$I414)</f>
        <v/>
      </c>
      <c r="Q414" s="110">
        <f>HYPERLINK("#'마스터_품목'!A641","→ 마스터 R641")</f>
        <v/>
      </c>
      <c r="R414" s="111" t="n">
        <v>641</v>
      </c>
      <c r="S414" s="111" t="inlineStr">
        <is>
          <t>마스터_품목</t>
        </is>
      </c>
    </row>
    <row r="415" ht="48" customHeight="1">
      <c r="A415" s="29" t="inlineStr">
        <is>
          <t>출하</t>
        </is>
      </c>
      <c r="B415" s="22" t="inlineStr">
        <is>
          <t>센서</t>
        </is>
      </c>
      <c r="C415" s="23" t="inlineStr">
        <is>
          <t>공용</t>
        </is>
      </c>
      <c r="D415" s="23" t="inlineStr">
        <is>
          <t>HDI 2000 [Rex2 Premium/1.5]</t>
        </is>
      </c>
      <c r="E415" s="23" t="inlineStr">
        <is>
          <t>HDI 2000 [Rex2 Premium/1.5]
[공용]</t>
        </is>
      </c>
      <c r="F415" s="24" t="inlineStr">
        <is>
          <t>O</t>
        </is>
      </c>
      <c r="G415" s="25" t="n"/>
      <c r="H415" s="26" t="n"/>
      <c r="I415" s="27">
        <f>IFERROR(IF(OR($F415="O",$G415="O",$H415="O"),CHOOSE(MATCH($A415,{"튜브","고압","진공","튜닝","조립","출하"},0),"T","H","V","N","A","P")&amp;IF($F415="O","R",IF($G415="O","A",IF($H415="O","F",""))),""),"")</f>
        <v/>
      </c>
      <c r="J415" s="15" t="inlineStr">
        <is>
          <t>O</t>
        </is>
      </c>
      <c r="K415" s="16" t="inlineStr">
        <is>
          <t>O</t>
        </is>
      </c>
      <c r="L415" s="17" t="inlineStr">
        <is>
          <t>O</t>
        </is>
      </c>
      <c r="M415" s="18" t="inlineStr">
        <is>
          <t>O</t>
        </is>
      </c>
      <c r="N415" s="19" t="inlineStr">
        <is>
          <t>O</t>
        </is>
      </c>
      <c r="O415" s="20" t="n"/>
      <c r="P415" s="21">
        <f>IF($I415="","",IF($J415="O","3","")&amp;IF($K415="O","4","")&amp;IF($L415="O","6","")&amp;IF($M415="O","7","")&amp;IF($N415="O","8","")&amp;IF($O415="O","?","")&amp;IF(OR($J415="O",$K415="O",$L415="O",$M415="O",$N415="O",$O415="O"),"-","")&amp;$I415)</f>
        <v/>
      </c>
      <c r="Q415" s="110">
        <f>HYPERLINK("#'마스터_품목'!A642","→ 마스터 R642")</f>
        <v/>
      </c>
      <c r="R415" s="111" t="n">
        <v>642</v>
      </c>
      <c r="S415" s="111" t="inlineStr">
        <is>
          <t>마스터_품목</t>
        </is>
      </c>
    </row>
    <row r="416" ht="48" customHeight="1">
      <c r="A416" s="29" t="inlineStr">
        <is>
          <t>출하</t>
        </is>
      </c>
      <c r="B416" s="22" t="inlineStr">
        <is>
          <t>센서</t>
        </is>
      </c>
      <c r="C416" s="23" t="inlineStr">
        <is>
          <t>공용</t>
        </is>
      </c>
      <c r="D416" s="23" t="inlineStr">
        <is>
          <t>HDI 2000 [Rex2 Premium/2.0]</t>
        </is>
      </c>
      <c r="E416" s="23" t="inlineStr">
        <is>
          <t>HDI 2000 [Rex2 Premium/2.0]
[공용]</t>
        </is>
      </c>
      <c r="F416" s="24" t="inlineStr">
        <is>
          <t>O</t>
        </is>
      </c>
      <c r="G416" s="25" t="n"/>
      <c r="H416" s="26" t="n"/>
      <c r="I416" s="27">
        <f>IFERROR(IF(OR($F416="O",$G416="O",$H416="O"),CHOOSE(MATCH($A416,{"튜브","고압","진공","튜닝","조립","출하"},0),"T","H","V","N","A","P")&amp;IF($F416="O","R",IF($G416="O","A",IF($H416="O","F",""))),""),"")</f>
        <v/>
      </c>
      <c r="J416" s="15" t="inlineStr">
        <is>
          <t>O</t>
        </is>
      </c>
      <c r="K416" s="16" t="inlineStr">
        <is>
          <t>O</t>
        </is>
      </c>
      <c r="L416" s="17" t="inlineStr">
        <is>
          <t>O</t>
        </is>
      </c>
      <c r="M416" s="18" t="inlineStr">
        <is>
          <t>O</t>
        </is>
      </c>
      <c r="N416" s="19" t="inlineStr">
        <is>
          <t>O</t>
        </is>
      </c>
      <c r="O416" s="20" t="n"/>
      <c r="P416" s="21">
        <f>IF($I416="","",IF($J416="O","3","")&amp;IF($K416="O","4","")&amp;IF($L416="O","6","")&amp;IF($M416="O","7","")&amp;IF($N416="O","8","")&amp;IF($O416="O","?","")&amp;IF(OR($J416="O",$K416="O",$L416="O",$M416="O",$N416="O",$O416="O"),"-","")&amp;$I416)</f>
        <v/>
      </c>
      <c r="Q416" s="110">
        <f>HYPERLINK("#'마스터_품목'!A643","→ 마스터 R643")</f>
        <v/>
      </c>
      <c r="R416" s="111" t="n">
        <v>643</v>
      </c>
      <c r="S416" s="111" t="inlineStr">
        <is>
          <t>마스터_품목</t>
        </is>
      </c>
    </row>
    <row r="417" ht="48" customHeight="1">
      <c r="A417" s="29" t="inlineStr">
        <is>
          <t>출하</t>
        </is>
      </c>
      <c r="B417" s="22" t="inlineStr">
        <is>
          <t>센서</t>
        </is>
      </c>
      <c r="C417" s="23" t="inlineStr">
        <is>
          <t>공용</t>
        </is>
      </c>
      <c r="D417" s="23" t="inlineStr">
        <is>
          <t>HDI-S [Rex2 Premium/1.0]</t>
        </is>
      </c>
      <c r="E417" s="23" t="inlineStr">
        <is>
          <t>HDI-S [Rex2 Premium/1.0]
[공용]</t>
        </is>
      </c>
      <c r="F417" s="24" t="inlineStr">
        <is>
          <t>O</t>
        </is>
      </c>
      <c r="G417" s="25" t="n"/>
      <c r="H417" s="26" t="n"/>
      <c r="I417" s="27">
        <f>IFERROR(IF(OR($F417="O",$G417="O",$H417="O"),CHOOSE(MATCH($A417,{"튜브","고압","진공","튜닝","조립","출하"},0),"T","H","V","N","A","P")&amp;IF($F417="O","R",IF($G417="O","A",IF($H417="O","F",""))),""),"")</f>
        <v/>
      </c>
      <c r="J417" s="15" t="inlineStr">
        <is>
          <t>O</t>
        </is>
      </c>
      <c r="K417" s="16" t="inlineStr">
        <is>
          <t>O</t>
        </is>
      </c>
      <c r="L417" s="17" t="inlineStr">
        <is>
          <t>O</t>
        </is>
      </c>
      <c r="M417" s="18" t="inlineStr">
        <is>
          <t>O</t>
        </is>
      </c>
      <c r="N417" s="19" t="inlineStr">
        <is>
          <t>O</t>
        </is>
      </c>
      <c r="O417" s="20" t="n"/>
      <c r="P417" s="21">
        <f>IF($I417="","",IF($J417="O","3","")&amp;IF($K417="O","4","")&amp;IF($L417="O","6","")&amp;IF($M417="O","7","")&amp;IF($N417="O","8","")&amp;IF($O417="O","?","")&amp;IF(OR($J417="O",$K417="O",$L417="O",$M417="O",$N417="O",$O417="O"),"-","")&amp;$I417)</f>
        <v/>
      </c>
      <c r="Q417" s="110">
        <f>HYPERLINK("#'마스터_품목'!A644","→ 마스터 R644")</f>
        <v/>
      </c>
      <c r="R417" s="111" t="n">
        <v>644</v>
      </c>
      <c r="S417" s="111" t="inlineStr">
        <is>
          <t>마스터_품목</t>
        </is>
      </c>
    </row>
    <row r="418" ht="48" customHeight="1">
      <c r="A418" s="29" t="inlineStr">
        <is>
          <t>출하</t>
        </is>
      </c>
      <c r="B418" s="22" t="inlineStr">
        <is>
          <t>센서</t>
        </is>
      </c>
      <c r="C418" s="23" t="inlineStr">
        <is>
          <t>공용</t>
        </is>
      </c>
      <c r="D418" s="23" t="inlineStr">
        <is>
          <t>HDI-S [Rex2 Premium/1.5]</t>
        </is>
      </c>
      <c r="E418" s="23" t="inlineStr">
        <is>
          <t>HDI-S [Rex2 Premium/1.5]
[공용]</t>
        </is>
      </c>
      <c r="F418" s="24" t="inlineStr">
        <is>
          <t>O</t>
        </is>
      </c>
      <c r="G418" s="25" t="n"/>
      <c r="H418" s="26" t="n"/>
      <c r="I418" s="27">
        <f>IFERROR(IF(OR($F418="O",$G418="O",$H418="O"),CHOOSE(MATCH($A418,{"튜브","고압","진공","튜닝","조립","출하"},0),"T","H","V","N","A","P")&amp;IF($F418="O","R",IF($G418="O","A",IF($H418="O","F",""))),""),"")</f>
        <v/>
      </c>
      <c r="J418" s="15" t="inlineStr">
        <is>
          <t>O</t>
        </is>
      </c>
      <c r="K418" s="16" t="inlineStr">
        <is>
          <t>O</t>
        </is>
      </c>
      <c r="L418" s="17" t="inlineStr">
        <is>
          <t>O</t>
        </is>
      </c>
      <c r="M418" s="18" t="inlineStr">
        <is>
          <t>O</t>
        </is>
      </c>
      <c r="N418" s="19" t="inlineStr">
        <is>
          <t>O</t>
        </is>
      </c>
      <c r="O418" s="20" t="n"/>
      <c r="P418" s="21">
        <f>IF($I418="","",IF($J418="O","3","")&amp;IF($K418="O","4","")&amp;IF($L418="O","6","")&amp;IF($M418="O","7","")&amp;IF($N418="O","8","")&amp;IF($O418="O","?","")&amp;IF(OR($J418="O",$K418="O",$L418="O",$M418="O",$N418="O",$O418="O"),"-","")&amp;$I418)</f>
        <v/>
      </c>
      <c r="Q418" s="110">
        <f>HYPERLINK("#'마스터_품목'!A645","→ 마스터 R645")</f>
        <v/>
      </c>
      <c r="R418" s="111" t="n">
        <v>645</v>
      </c>
      <c r="S418" s="111" t="inlineStr">
        <is>
          <t>마스터_품목</t>
        </is>
      </c>
    </row>
    <row r="419" ht="48" customHeight="1">
      <c r="A419" s="29" t="inlineStr">
        <is>
          <t>출하</t>
        </is>
      </c>
      <c r="B419" s="22" t="inlineStr">
        <is>
          <t>센서</t>
        </is>
      </c>
      <c r="C419" s="23" t="inlineStr">
        <is>
          <t>공용</t>
        </is>
      </c>
      <c r="D419" s="23" t="inlineStr">
        <is>
          <t>HDI-S [Rex2 Premium/2.0]</t>
        </is>
      </c>
      <c r="E419" s="23" t="inlineStr">
        <is>
          <t>HDI-S [Rex2 Premium/2.0]
[공용]</t>
        </is>
      </c>
      <c r="F419" s="24" t="inlineStr">
        <is>
          <t>O</t>
        </is>
      </c>
      <c r="G419" s="25" t="n"/>
      <c r="H419" s="26" t="n"/>
      <c r="I419" s="27">
        <f>IFERROR(IF(OR($F419="O",$G419="O",$H419="O"),CHOOSE(MATCH($A419,{"튜브","고압","진공","튜닝","조립","출하"},0),"T","H","V","N","A","P")&amp;IF($F419="O","R",IF($G419="O","A",IF($H419="O","F",""))),""),"")</f>
        <v/>
      </c>
      <c r="J419" s="15" t="inlineStr">
        <is>
          <t>O</t>
        </is>
      </c>
      <c r="K419" s="16" t="inlineStr">
        <is>
          <t>O</t>
        </is>
      </c>
      <c r="L419" s="17" t="inlineStr">
        <is>
          <t>O</t>
        </is>
      </c>
      <c r="M419" s="18" t="inlineStr">
        <is>
          <t>O</t>
        </is>
      </c>
      <c r="N419" s="19" t="inlineStr">
        <is>
          <t>O</t>
        </is>
      </c>
      <c r="O419" s="20" t="n"/>
      <c r="P419" s="21">
        <f>IF($I419="","",IF($J419="O","3","")&amp;IF($K419="O","4","")&amp;IF($L419="O","6","")&amp;IF($M419="O","7","")&amp;IF($N419="O","8","")&amp;IF($O419="O","?","")&amp;IF(OR($J419="O",$K419="O",$L419="O",$M419="O",$N419="O",$O419="O"),"-","")&amp;$I419)</f>
        <v/>
      </c>
      <c r="Q419" s="110">
        <f>HYPERLINK("#'마스터_품목'!A646","→ 마스터 R646")</f>
        <v/>
      </c>
      <c r="R419" s="111" t="n">
        <v>646</v>
      </c>
      <c r="S419" s="111" t="inlineStr">
        <is>
          <t>마스터_품목</t>
        </is>
      </c>
    </row>
    <row r="420" ht="48" customHeight="1">
      <c r="A420" s="29" t="inlineStr">
        <is>
          <t>출하</t>
        </is>
      </c>
      <c r="B420" s="22" t="inlineStr">
        <is>
          <t>센서</t>
        </is>
      </c>
      <c r="C420" s="23" t="inlineStr">
        <is>
          <t>공용</t>
        </is>
      </c>
      <c r="D420" s="23" t="inlineStr">
        <is>
          <t>CMOS 센서-EV71JU215A-C-00B1(#1)</t>
        </is>
      </c>
      <c r="E420" s="23" t="inlineStr">
        <is>
          <t>CMOS 센서 (#1) (EV71JU215A-C-00B1)
[공용]</t>
        </is>
      </c>
      <c r="F420" s="24" t="inlineStr">
        <is>
          <t>O</t>
        </is>
      </c>
      <c r="G420" s="25" t="n"/>
      <c r="H420" s="26" t="n"/>
      <c r="I420" s="27">
        <f>IFERROR(IF(OR($F420="O",$G420="O",$H420="O"),CHOOSE(MATCH($A420,{"튜브","고압","진공","튜닝","조립","출하"},0),"T","H","V","N","A","P")&amp;IF($F420="O","R",IF($G420="O","A",IF($H420="O","F",""))),""),"")</f>
        <v/>
      </c>
      <c r="J420" s="15" t="n"/>
      <c r="K420" s="16" t="inlineStr">
        <is>
          <t>O</t>
        </is>
      </c>
      <c r="L420" s="17" t="n"/>
      <c r="M420" s="18" t="n"/>
      <c r="N420" s="19" t="n"/>
      <c r="O420" s="20" t="n"/>
      <c r="P420" s="21">
        <f>IF($I420="","",IF($J420="O","3","")&amp;IF($K420="O","4","")&amp;IF($L420="O","6","")&amp;IF($M420="O","7","")&amp;IF($N420="O","8","")&amp;IF($O420="O","?","")&amp;IF(OR($J420="O",$K420="O",$L420="O",$M420="O",$N420="O",$O420="O"),"-","")&amp;$I420)</f>
        <v/>
      </c>
      <c r="Q420" s="110">
        <f>HYPERLINK("#'마스터_품목'!A647","→ 마스터 R647")</f>
        <v/>
      </c>
      <c r="R420" s="111" t="n">
        <v>647</v>
      </c>
      <c r="S420" s="111" t="inlineStr">
        <is>
          <t>마스터_품목</t>
        </is>
      </c>
    </row>
    <row r="421" ht="48" customHeight="1">
      <c r="A421" s="29" t="inlineStr">
        <is>
          <t>출하</t>
        </is>
      </c>
      <c r="B421" s="22" t="inlineStr">
        <is>
          <t>센서</t>
        </is>
      </c>
      <c r="C421" s="23" t="inlineStr">
        <is>
          <t>공용</t>
        </is>
      </c>
      <c r="D421" s="23" t="inlineStr">
        <is>
          <t>CMOS 센서-EV71JU213A-C-00B1(#2)</t>
        </is>
      </c>
      <c r="E421" s="23" t="inlineStr">
        <is>
          <t>CMOS 센서 (#2) (EV71JU213A-C-00B1)
[공용]</t>
        </is>
      </c>
      <c r="F421" s="24" t="inlineStr">
        <is>
          <t>O</t>
        </is>
      </c>
      <c r="G421" s="25" t="n"/>
      <c r="H421" s="26" t="n"/>
      <c r="I421" s="27">
        <f>IFERROR(IF(OR($F421="O",$G421="O",$H421="O"),CHOOSE(MATCH($A421,{"튜브","고압","진공","튜닝","조립","출하"},0),"T","H","V","N","A","P")&amp;IF($F421="O","R",IF($G421="O","A",IF($H421="O","F",""))),""),"")</f>
        <v/>
      </c>
      <c r="J421" s="15" t="n"/>
      <c r="K421" s="16" t="inlineStr">
        <is>
          <t>O</t>
        </is>
      </c>
      <c r="L421" s="17" t="n"/>
      <c r="M421" s="18" t="n"/>
      <c r="N421" s="19" t="n"/>
      <c r="O421" s="20" t="n"/>
      <c r="P421" s="21">
        <f>IF($I421="","",IF($J421="O","3","")&amp;IF($K421="O","4","")&amp;IF($L421="O","6","")&amp;IF($M421="O","7","")&amp;IF($N421="O","8","")&amp;IF($O421="O","?","")&amp;IF(OR($J421="O",$K421="O",$L421="O",$M421="O",$N421="O",$O421="O"),"-","")&amp;$I421)</f>
        <v/>
      </c>
      <c r="Q421" s="110">
        <f>HYPERLINK("#'마스터_품목'!A648","→ 마스터 R648")</f>
        <v/>
      </c>
      <c r="R421" s="111" t="n">
        <v>648</v>
      </c>
      <c r="S421" s="111" t="inlineStr">
        <is>
          <t>마스터_품목</t>
        </is>
      </c>
    </row>
    <row r="422" ht="48" customHeight="1">
      <c r="A422" s="29" t="inlineStr">
        <is>
          <t>출하</t>
        </is>
      </c>
      <c r="B422" s="22" t="inlineStr">
        <is>
          <t>센서</t>
        </is>
      </c>
      <c r="C422" s="23" t="inlineStr">
        <is>
          <t>공용</t>
        </is>
      </c>
      <c r="D422" s="23" t="inlineStr">
        <is>
          <t>PIXXGEN_ PIXX1717W (Size 17"x17")</t>
        </is>
      </c>
      <c r="E422" s="23" t="n"/>
      <c r="F422" s="24" t="inlineStr">
        <is>
          <t>O</t>
        </is>
      </c>
      <c r="G422" s="25" t="n"/>
      <c r="H422" s="26" t="n"/>
      <c r="I422" s="27">
        <f>IFERROR(IF(OR($F422="O",$G422="O",$H422="O"),CHOOSE(MATCH($A422,{"튜브","고압","진공","튜닝","조립","출하"},0),"T","H","V","N","A","P")&amp;IF($F422="O","R",IF($G422="O","A",IF($H422="O","F",""))),""),"")</f>
        <v/>
      </c>
      <c r="J422" s="15" t="n"/>
      <c r="K422" s="16" t="n"/>
      <c r="L422" s="17" t="inlineStr">
        <is>
          <t>O</t>
        </is>
      </c>
      <c r="M422" s="18" t="n"/>
      <c r="N422" s="19" t="n"/>
      <c r="O422" s="20" t="n"/>
      <c r="P422" s="21">
        <f>IF($I422="","",IF($J422="O","3","")&amp;IF($K422="O","4","")&amp;IF($L422="O","6","")&amp;IF($M422="O","7","")&amp;IF($N422="O","8","")&amp;IF($O422="O","?","")&amp;IF(OR($J422="O",$K422="O",$L422="O",$M422="O",$N422="O",$O422="O"),"-","")&amp;$I422)</f>
        <v/>
      </c>
      <c r="Q422" s="110">
        <f>HYPERLINK("#'마스터_품목'!A649","→ 마스터 R649")</f>
        <v/>
      </c>
      <c r="R422" s="111" t="n">
        <v>649</v>
      </c>
      <c r="S422" s="111" t="inlineStr">
        <is>
          <t>마스터_품목</t>
        </is>
      </c>
    </row>
    <row r="423" ht="48" customHeight="1">
      <c r="A423" s="29" t="inlineStr">
        <is>
          <t>출하</t>
        </is>
      </c>
      <c r="B423" s="22" t="inlineStr">
        <is>
          <t>센서</t>
        </is>
      </c>
      <c r="C423" s="23" t="inlineStr">
        <is>
          <t>공용</t>
        </is>
      </c>
      <c r="D423" s="23" t="inlineStr">
        <is>
          <t>CareRay_ CareView1800Cwe (Size 17"x17")</t>
        </is>
      </c>
      <c r="E423" s="23" t="n"/>
      <c r="F423" s="24" t="inlineStr">
        <is>
          <t>O</t>
        </is>
      </c>
      <c r="G423" s="25" t="n"/>
      <c r="H423" s="26" t="n"/>
      <c r="I423" s="27">
        <f>IFERROR(IF(OR($F423="O",$G423="O",$H423="O"),CHOOSE(MATCH($A423,{"튜브","고압","진공","튜닝","조립","출하"},0),"T","H","V","N","A","P")&amp;IF($F423="O","R",IF($G423="O","A",IF($H423="O","F",""))),""),"")</f>
        <v/>
      </c>
      <c r="J423" s="15" t="n"/>
      <c r="K423" s="16" t="n"/>
      <c r="L423" s="17" t="inlineStr">
        <is>
          <t>O</t>
        </is>
      </c>
      <c r="M423" s="18" t="n"/>
      <c r="N423" s="19" t="n"/>
      <c r="O423" s="20" t="n"/>
      <c r="P423" s="21">
        <f>IF($I423="","",IF($J423="O","3","")&amp;IF($K423="O","4","")&amp;IF($L423="O","6","")&amp;IF($M423="O","7","")&amp;IF($N423="O","8","")&amp;IF($O423="O","?","")&amp;IF(OR($J423="O",$K423="O",$L423="O",$M423="O",$N423="O",$O423="O"),"-","")&amp;$I423)</f>
        <v/>
      </c>
      <c r="Q423" s="110">
        <f>HYPERLINK("#'마스터_품목'!A650","→ 마스터 R650")</f>
        <v/>
      </c>
      <c r="R423" s="111" t="n">
        <v>650</v>
      </c>
      <c r="S423" s="111" t="inlineStr">
        <is>
          <t>마스터_품목</t>
        </is>
      </c>
    </row>
    <row r="424" ht="48" customHeight="1">
      <c r="A424" s="66" t="inlineStr">
        <is>
          <t>출하</t>
        </is>
      </c>
      <c r="B424" s="66" t="inlineStr">
        <is>
          <t>가방</t>
        </is>
      </c>
      <c r="C424" s="63" t="inlineStr">
        <is>
          <t>DX3000 ADX4000W</t>
        </is>
      </c>
      <c r="D424" s="63" t="inlineStr">
        <is>
          <t>DX3000, ADX4000W 가방 [로고 O]</t>
        </is>
      </c>
      <c r="E424" s="63" t="inlineStr">
        <is>
          <t>DX3000, ADX4000W 가방 [로고 O]</t>
        </is>
      </c>
      <c r="F424" s="67" t="inlineStr">
        <is>
          <t>O</t>
        </is>
      </c>
      <c r="G424" s="68" t="n"/>
      <c r="H424" s="69" t="n"/>
      <c r="I424" s="70">
        <f>IFERROR(IF(OR($F424="O",$G424="O",$H424="O"),CHOOSE(MATCH($A424,{"튜브","고압","진공","튜닝","조립","출하"},0),"T","H","V","N","A","P")&amp;IF($F424="O","R",IF($G424="O","A",IF($H424="O","F",""))),""),"")</f>
        <v/>
      </c>
      <c r="J424" s="71" t="inlineStr">
        <is>
          <t>O</t>
        </is>
      </c>
      <c r="K424" s="72" t="inlineStr">
        <is>
          <t>O</t>
        </is>
      </c>
      <c r="L424" s="73" t="n"/>
      <c r="M424" s="74" t="n"/>
      <c r="N424" s="75" t="n"/>
      <c r="O424" s="76" t="n"/>
      <c r="P424" s="77">
        <f>IF($I424="","",IF($J424="O","3","")&amp;IF($K424="O","4","")&amp;IF($L424="O","6","")&amp;IF($M424="O","7","")&amp;IF($N424="O","8","")&amp;IF($O424="O","?","")&amp;IF(OR($J424="O",$K424="O",$L424="O",$M424="O",$N424="O",$O424="O"),"-","")&amp;$I424)</f>
        <v/>
      </c>
      <c r="Q424" s="110">
        <f>HYPERLINK("#'마스터_품목'!A651","→ 마스터 R651")</f>
        <v/>
      </c>
      <c r="R424" s="111" t="n">
        <v>651</v>
      </c>
      <c r="S424" s="111" t="inlineStr">
        <is>
          <t>마스터_품목</t>
        </is>
      </c>
    </row>
    <row r="425" ht="48" customHeight="1">
      <c r="A425" s="66" t="inlineStr">
        <is>
          <t>출하</t>
        </is>
      </c>
      <c r="B425" s="66" t="inlineStr">
        <is>
          <t>가방</t>
        </is>
      </c>
      <c r="C425" s="63" t="inlineStr">
        <is>
          <t>DX3000 ADX4000W</t>
        </is>
      </c>
      <c r="D425" s="63" t="inlineStr">
        <is>
          <t>DX3000, ADX4000W 가방 [로고 X]</t>
        </is>
      </c>
      <c r="E425" s="63" t="inlineStr">
        <is>
          <t>DX3000, ADX4000W 가방 [로고 X]</t>
        </is>
      </c>
      <c r="F425" s="67" t="inlineStr">
        <is>
          <t>O</t>
        </is>
      </c>
      <c r="G425" s="68" t="n"/>
      <c r="H425" s="69" t="n"/>
      <c r="I425" s="70">
        <f>IFERROR(IF(OR($F425="O",$G425="O",$H425="O"),CHOOSE(MATCH($A425,{"튜브","고압","진공","튜닝","조립","출하"},0),"T","H","V","N","A","P")&amp;IF($F425="O","R",IF($G425="O","A",IF($H425="O","F",""))),""),"")</f>
        <v/>
      </c>
      <c r="J425" s="71" t="inlineStr">
        <is>
          <t>O</t>
        </is>
      </c>
      <c r="K425" s="72" t="inlineStr">
        <is>
          <t>O</t>
        </is>
      </c>
      <c r="L425" s="73" t="n"/>
      <c r="M425" s="74" t="n"/>
      <c r="N425" s="75" t="n"/>
      <c r="O425" s="76" t="n"/>
      <c r="P425" s="77">
        <f>IF($I425="","",IF($J425="O","3","")&amp;IF($K425="O","4","")&amp;IF($L425="O","6","")&amp;IF($M425="O","7","")&amp;IF($N425="O","8","")&amp;IF($O425="O","?","")&amp;IF(OR($J425="O",$K425="O",$L425="O",$M425="O",$N425="O",$O425="O"),"-","")&amp;$I425)</f>
        <v/>
      </c>
      <c r="Q425" s="110">
        <f>HYPERLINK("#'마스터_품목'!A652","→ 마스터 R652")</f>
        <v/>
      </c>
      <c r="R425" s="111" t="n">
        <v>652</v>
      </c>
      <c r="S425" s="111" t="inlineStr">
        <is>
          <t>마스터_품목</t>
        </is>
      </c>
    </row>
    <row r="426" ht="48" customHeight="1">
      <c r="A426" s="66" t="inlineStr">
        <is>
          <t>출하</t>
        </is>
      </c>
      <c r="B426" s="66" t="inlineStr">
        <is>
          <t>가방</t>
        </is>
      </c>
      <c r="C426" s="63" t="inlineStr">
        <is>
          <t>COCOON ADX6000</t>
        </is>
      </c>
      <c r="D426" s="63" t="inlineStr">
        <is>
          <t>COCOON, ADX6000FB 가방 [로고 O]</t>
        </is>
      </c>
      <c r="E426" s="63" t="inlineStr">
        <is>
          <t>COCOON, ADX6000FB 가방 [로고 O]</t>
        </is>
      </c>
      <c r="F426" s="67" t="inlineStr">
        <is>
          <t>O</t>
        </is>
      </c>
      <c r="G426" s="68" t="n"/>
      <c r="H426" s="69" t="n"/>
      <c r="I426" s="70">
        <f>IFERROR(IF(OR($F426="O",$G426="O",$H426="O"),CHOOSE(MATCH($A426,{"튜브","고압","진공","튜닝","조립","출하"},0),"T","H","V","N","A","P")&amp;IF($F426="O","R",IF($G426="O","A",IF($H426="O","F",""))),""),"")</f>
        <v/>
      </c>
      <c r="J426" s="71" t="n"/>
      <c r="K426" s="72" t="n"/>
      <c r="L426" s="73" t="inlineStr">
        <is>
          <t>O</t>
        </is>
      </c>
      <c r="M426" s="74" t="inlineStr">
        <is>
          <t>O</t>
        </is>
      </c>
      <c r="N426" s="75" t="n"/>
      <c r="O426" s="76" t="n"/>
      <c r="P426" s="77">
        <f>IF($I426="","",IF($J426="O","3","")&amp;IF($K426="O","4","")&amp;IF($L426="O","6","")&amp;IF($M426="O","7","")&amp;IF($N426="O","8","")&amp;IF($O426="O","?","")&amp;IF(OR($J426="O",$K426="O",$L426="O",$M426="O",$N426="O",$O426="O"),"-","")&amp;$I426)</f>
        <v/>
      </c>
      <c r="Q426" s="110">
        <f>HYPERLINK("#'마스터_품목'!A653","→ 마스터 R653")</f>
        <v/>
      </c>
      <c r="R426" s="111" t="n">
        <v>653</v>
      </c>
      <c r="S426" s="111" t="inlineStr">
        <is>
          <t>마스터_품목</t>
        </is>
      </c>
    </row>
    <row r="427" ht="48" customHeight="1">
      <c r="A427" s="66" t="inlineStr">
        <is>
          <t>출하</t>
        </is>
      </c>
      <c r="B427" s="66" t="inlineStr">
        <is>
          <t>가방</t>
        </is>
      </c>
      <c r="C427" s="63" t="inlineStr">
        <is>
          <t>COCOON ADX6000</t>
        </is>
      </c>
      <c r="D427" s="63" t="inlineStr">
        <is>
          <t>COCOON, ADX6000FB 가방 [로고 X]</t>
        </is>
      </c>
      <c r="E427" s="63" t="inlineStr">
        <is>
          <t>COCOON, ADX6000FB 가방 [로고 X]</t>
        </is>
      </c>
      <c r="F427" s="67" t="inlineStr">
        <is>
          <t>O</t>
        </is>
      </c>
      <c r="G427" s="68" t="n"/>
      <c r="H427" s="69" t="n"/>
      <c r="I427" s="70">
        <f>IFERROR(IF(OR($F427="O",$G427="O",$H427="O"),CHOOSE(MATCH($A427,{"튜브","고압","진공","튜닝","조립","출하"},0),"T","H","V","N","A","P")&amp;IF($F427="O","R",IF($G427="O","A",IF($H427="O","F",""))),""),"")</f>
        <v/>
      </c>
      <c r="J427" s="71" t="n"/>
      <c r="K427" s="72" t="n"/>
      <c r="L427" s="73" t="inlineStr">
        <is>
          <t>O</t>
        </is>
      </c>
      <c r="M427" s="74" t="inlineStr">
        <is>
          <t>O</t>
        </is>
      </c>
      <c r="N427" s="75" t="n"/>
      <c r="O427" s="76" t="n"/>
      <c r="P427" s="77">
        <f>IF($I427="","",IF($J427="O","3","")&amp;IF($K427="O","4","")&amp;IF($L427="O","6","")&amp;IF($M427="O","7","")&amp;IF($N427="O","8","")&amp;IF($O427="O","?","")&amp;IF(OR($J427="O",$K427="O",$L427="O",$M427="O",$N427="O",$O427="O"),"-","")&amp;$I427)</f>
        <v/>
      </c>
      <c r="Q427" s="110">
        <f>HYPERLINK("#'마스터_품목'!A654","→ 마스터 R654")</f>
        <v/>
      </c>
      <c r="R427" s="111" t="n">
        <v>654</v>
      </c>
      <c r="S427" s="111" t="inlineStr">
        <is>
          <t>마스터_품목</t>
        </is>
      </c>
    </row>
    <row r="428" ht="48" customHeight="1">
      <c r="A428" s="66" t="inlineStr">
        <is>
          <t>출하</t>
        </is>
      </c>
      <c r="B428" s="66" t="inlineStr">
        <is>
          <t>가방</t>
        </is>
      </c>
      <c r="C428" s="63" t="inlineStr">
        <is>
          <t>COCOON 케어스트림</t>
        </is>
      </c>
      <c r="D428" s="63" t="inlineStr">
        <is>
          <t>COCOON 가방 [케어스트림 로고]</t>
        </is>
      </c>
      <c r="E428" s="63" t="inlineStr">
        <is>
          <t>COCOON 가방 [케어스트림 로고]</t>
        </is>
      </c>
      <c r="F428" s="67" t="inlineStr">
        <is>
          <t>O</t>
        </is>
      </c>
      <c r="G428" s="68" t="n"/>
      <c r="H428" s="69" t="n"/>
      <c r="I428" s="70">
        <f>IFERROR(IF(OR($F428="O",$G428="O",$H428="O"),CHOOSE(MATCH($A428,{"튜브","고압","진공","튜닝","조립","출하"},0),"T","H","V","N","A","P")&amp;IF($F428="O","R",IF($G428="O","A",IF($H428="O","F",""))),""),"")</f>
        <v/>
      </c>
      <c r="J428" s="71" t="n"/>
      <c r="K428" s="72" t="n"/>
      <c r="L428" s="73" t="n"/>
      <c r="M428" s="74" t="inlineStr">
        <is>
          <t>O</t>
        </is>
      </c>
      <c r="N428" s="75" t="n"/>
      <c r="O428" s="76" t="n"/>
      <c r="P428" s="77">
        <f>IF($I428="","",IF($J428="O","3","")&amp;IF($K428="O","4","")&amp;IF($L428="O","6","")&amp;IF($M428="O","7","")&amp;IF($N428="O","8","")&amp;IF($O428="O","?","")&amp;IF(OR($J428="O",$K428="O",$L428="O",$M428="O",$N428="O",$O428="O"),"-","")&amp;$I428)</f>
        <v/>
      </c>
      <c r="Q428" s="110">
        <f>HYPERLINK("#'마스터_품목'!A655","→ 마스터 R655")</f>
        <v/>
      </c>
      <c r="R428" s="111" t="n">
        <v>655</v>
      </c>
      <c r="S428" s="111" t="inlineStr">
        <is>
          <t>마스터_품목</t>
        </is>
      </c>
    </row>
    <row r="429" ht="48" customHeight="1">
      <c r="A429" s="29" t="inlineStr">
        <is>
          <t>출하</t>
        </is>
      </c>
      <c r="B429" s="22" t="inlineStr">
        <is>
          <t>가방</t>
        </is>
      </c>
      <c r="C429" s="23" t="inlineStr">
        <is>
          <t>공용</t>
        </is>
      </c>
      <c r="D429" s="23" t="inlineStr">
        <is>
          <t>디텍터 가방</t>
        </is>
      </c>
      <c r="E429" s="23" t="n"/>
      <c r="F429" s="24" t="inlineStr">
        <is>
          <t>O</t>
        </is>
      </c>
      <c r="G429" s="25" t="n"/>
      <c r="H429" s="26" t="n"/>
      <c r="I429" s="27">
        <f>IFERROR(IF(OR($F429="O",$G429="O",$H429="O"),CHOOSE(MATCH($A429,{"튜브","고압","진공","튜닝","조립","출하"},0),"T","H","V","N","A","P")&amp;IF($F429="O","R",IF($G429="O","A",IF($H429="O","F",""))),""),"")</f>
        <v/>
      </c>
      <c r="J429" s="15" t="inlineStr">
        <is>
          <t>O</t>
        </is>
      </c>
      <c r="K429" s="16" t="inlineStr">
        <is>
          <t>O</t>
        </is>
      </c>
      <c r="L429" s="17" t="inlineStr">
        <is>
          <t>O</t>
        </is>
      </c>
      <c r="M429" s="18" t="inlineStr">
        <is>
          <t>O</t>
        </is>
      </c>
      <c r="N429" s="19" t="inlineStr">
        <is>
          <t>O</t>
        </is>
      </c>
      <c r="O429" s="20" t="n"/>
      <c r="P429" s="21">
        <f>IF($I429="","",IF($J429="O","3","")&amp;IF($K429="O","4","")&amp;IF($L429="O","6","")&amp;IF($M429="O","7","")&amp;IF($N429="O","8","")&amp;IF($O429="O","?","")&amp;IF(OR($J429="O",$K429="O",$L429="O",$M429="O",$N429="O",$O429="O"),"-","")&amp;$I429)</f>
        <v/>
      </c>
      <c r="Q429" s="110">
        <f>HYPERLINK("#'마스터_품목'!A656","→ 마스터 R656")</f>
        <v/>
      </c>
      <c r="R429" s="111" t="n">
        <v>656</v>
      </c>
      <c r="S429" s="111" t="inlineStr">
        <is>
          <t>마스터_품목</t>
        </is>
      </c>
    </row>
    <row r="430" ht="48" customHeight="1">
      <c r="A430" s="66" t="inlineStr">
        <is>
          <t>출하</t>
        </is>
      </c>
      <c r="B430" s="66" t="inlineStr">
        <is>
          <t>내부 폼</t>
        </is>
      </c>
      <c r="C430" s="63" t="inlineStr">
        <is>
          <t>DX3000</t>
        </is>
      </c>
      <c r="D430" s="63" t="inlineStr">
        <is>
          <t>DX3000 _ [15cm cone용] 내부 FOAM (상판 ,하판,계란판)</t>
        </is>
      </c>
      <c r="E430" s="63" t="inlineStr">
        <is>
          <t>가방 내부 폼 (15cm cone)
[DX3000]</t>
        </is>
      </c>
      <c r="F430" s="67" t="inlineStr">
        <is>
          <t>O</t>
        </is>
      </c>
      <c r="G430" s="68" t="n"/>
      <c r="H430" s="69" t="n"/>
      <c r="I430" s="70">
        <f>IFERROR(IF(OR($F430="O",$G430="O",$H430="O"),CHOOSE(MATCH($A430,{"튜브","고압","진공","튜닝","조립","출하"},0),"T","H","V","N","A","P")&amp;IF($F430="O","R",IF($G430="O","A",IF($H430="O","F",""))),""),"")</f>
        <v/>
      </c>
      <c r="J430" s="71" t="inlineStr">
        <is>
          <t>O</t>
        </is>
      </c>
      <c r="K430" s="72" t="n"/>
      <c r="L430" s="73" t="n"/>
      <c r="M430" s="74" t="n"/>
      <c r="N430" s="75" t="n"/>
      <c r="O430" s="76" t="n"/>
      <c r="P430" s="77">
        <f>IF($I430="","",IF($J430="O","3","")&amp;IF($K430="O","4","")&amp;IF($L430="O","6","")&amp;IF($M430="O","7","")&amp;IF($N430="O","8","")&amp;IF($O430="O","?","")&amp;IF(OR($J430="O",$K430="O",$L430="O",$M430="O",$N430="O",$O430="O"),"-","")&amp;$I430)</f>
        <v/>
      </c>
      <c r="Q430" s="110">
        <f>HYPERLINK("#'마스터_품목'!A657","→ 마스터 R657")</f>
        <v/>
      </c>
      <c r="R430" s="111" t="n">
        <v>657</v>
      </c>
      <c r="S430" s="111" t="inlineStr">
        <is>
          <t>마스터_품목</t>
        </is>
      </c>
    </row>
    <row r="431" ht="48" customHeight="1">
      <c r="A431" s="66" t="inlineStr">
        <is>
          <t>출하</t>
        </is>
      </c>
      <c r="B431" s="66" t="inlineStr">
        <is>
          <t>내부 폼</t>
        </is>
      </c>
      <c r="C431" s="63" t="inlineStr">
        <is>
          <t>DX3000</t>
        </is>
      </c>
      <c r="D431" s="63" t="inlineStr">
        <is>
          <t>DX3000 _ [20cm cone용] 내부 FOAM (상판 ,하판,계란판)</t>
        </is>
      </c>
      <c r="E431" s="63" t="inlineStr">
        <is>
          <t>가방 내부 폼 (20cm cone용, 20 * 80)
[DX3000]</t>
        </is>
      </c>
      <c r="F431" s="67" t="inlineStr">
        <is>
          <t>O</t>
        </is>
      </c>
      <c r="G431" s="68" t="n"/>
      <c r="H431" s="69" t="n"/>
      <c r="I431" s="70">
        <f>IFERROR(IF(OR($F431="O",$G431="O",$H431="O"),CHOOSE(MATCH($A431,{"튜브","고압","진공","튜닝","조립","출하"},0),"T","H","V","N","A","P")&amp;IF($F431="O","R",IF($G431="O","A",IF($H431="O","F",""))),""),"")</f>
        <v/>
      </c>
      <c r="J431" s="71" t="inlineStr">
        <is>
          <t>O</t>
        </is>
      </c>
      <c r="K431" s="72" t="n"/>
      <c r="L431" s="73" t="n"/>
      <c r="M431" s="74" t="n"/>
      <c r="N431" s="75" t="n"/>
      <c r="O431" s="76" t="n"/>
      <c r="P431" s="77">
        <f>IF($I431="","",IF($J431="O","3","")&amp;IF($K431="O","4","")&amp;IF($L431="O","6","")&amp;IF($M431="O","7","")&amp;IF($N431="O","8","")&amp;IF($O431="O","?","")&amp;IF(OR($J431="O",$K431="O",$L431="O",$M431="O",$N431="O",$O431="O"),"-","")&amp;$I431)</f>
        <v/>
      </c>
      <c r="Q431" s="110">
        <f>HYPERLINK("#'마스터_품목'!A658","→ 마스터 R658")</f>
        <v/>
      </c>
      <c r="R431" s="111" t="n">
        <v>658</v>
      </c>
      <c r="S431" s="111" t="inlineStr">
        <is>
          <t>마스터_품목</t>
        </is>
      </c>
    </row>
    <row r="432" ht="48" customFormat="1" customHeight="1" s="64">
      <c r="A432" s="66" t="inlineStr">
        <is>
          <t>출하</t>
        </is>
      </c>
      <c r="B432" s="66" t="inlineStr">
        <is>
          <t>내부 폼</t>
        </is>
      </c>
      <c r="C432" s="63" t="inlineStr">
        <is>
          <t>ADX4000W</t>
        </is>
      </c>
      <c r="D432" s="63" t="inlineStr">
        <is>
          <t>ADX4000W _ [15cm cone용] 내부 FOAM (상판 ,하판,계란판)</t>
        </is>
      </c>
      <c r="E432" s="63" t="inlineStr">
        <is>
          <t>가방 내부 폼 (15cm cone)
[ADX4000W]</t>
        </is>
      </c>
      <c r="F432" s="67" t="inlineStr">
        <is>
          <t>O</t>
        </is>
      </c>
      <c r="G432" s="68" t="n"/>
      <c r="H432" s="69" t="n"/>
      <c r="I432" s="70">
        <f>IFERROR(IF(OR($F432="O",$G432="O",$H432="O"),CHOOSE(MATCH($A432,{"튜브","고압","진공","튜닝","조립","출하"},0),"T","H","V","N","A","P")&amp;IF($F432="O","R",IF($G432="O","A",IF($H432="O","F",""))),""),"")</f>
        <v/>
      </c>
      <c r="J432" s="71" t="n"/>
      <c r="K432" s="72" t="inlineStr">
        <is>
          <t>O</t>
        </is>
      </c>
      <c r="L432" s="73" t="n"/>
      <c r="M432" s="74" t="n"/>
      <c r="N432" s="75" t="n"/>
      <c r="O432" s="76" t="n"/>
      <c r="P432" s="77">
        <f>IF($I432="","",IF($J432="O","3","")&amp;IF($K432="O","4","")&amp;IF($L432="O","6","")&amp;IF($M432="O","7","")&amp;IF($N432="O","8","")&amp;IF($O432="O","?","")&amp;IF(OR($J432="O",$K432="O",$L432="O",$M432="O",$N432="O",$O432="O"),"-","")&amp;$I432)</f>
        <v/>
      </c>
      <c r="Q432" s="110">
        <f>HYPERLINK("#'마스터_품목'!A659","→ 마스터 R659")</f>
        <v/>
      </c>
      <c r="R432" s="111" t="n">
        <v>659</v>
      </c>
      <c r="S432" s="111" t="inlineStr">
        <is>
          <t>마스터_품목</t>
        </is>
      </c>
    </row>
    <row r="433" ht="48" customFormat="1" customHeight="1" s="64">
      <c r="A433" s="66" t="inlineStr">
        <is>
          <t>출하</t>
        </is>
      </c>
      <c r="B433" s="66" t="inlineStr">
        <is>
          <t>내부 폼</t>
        </is>
      </c>
      <c r="C433" s="63" t="inlineStr">
        <is>
          <t>ADX4000W</t>
        </is>
      </c>
      <c r="D433" s="63" t="inlineStr">
        <is>
          <t>ADX4000W _ [20cm cone용] 내부 FOAM (상판 ,하판,계란판)</t>
        </is>
      </c>
      <c r="E433" s="63" t="inlineStr">
        <is>
          <t>가방 내부 폼 (20cm cone용, 40 * 60)
[ADX4000W]</t>
        </is>
      </c>
      <c r="F433" s="67" t="inlineStr">
        <is>
          <t>O</t>
        </is>
      </c>
      <c r="G433" s="68" t="n"/>
      <c r="H433" s="69" t="n"/>
      <c r="I433" s="70">
        <f>IFERROR(IF(OR($F433="O",$G433="O",$H433="O"),CHOOSE(MATCH($A433,{"튜브","고압","진공","튜닝","조립","출하"},0),"T","H","V","N","A","P")&amp;IF($F433="O","R",IF($G433="O","A",IF($H433="O","F",""))),""),"")</f>
        <v/>
      </c>
      <c r="J433" s="71" t="n"/>
      <c r="K433" s="72" t="inlineStr">
        <is>
          <t>O</t>
        </is>
      </c>
      <c r="L433" s="73" t="n"/>
      <c r="M433" s="74" t="n"/>
      <c r="N433" s="75" t="n"/>
      <c r="O433" s="76" t="n"/>
      <c r="P433" s="77">
        <f>IF($I433="","",IF($J433="O","3","")&amp;IF($K433="O","4","")&amp;IF($L433="O","6","")&amp;IF($M433="O","7","")&amp;IF($N433="O","8","")&amp;IF($O433="O","?","")&amp;IF(OR($J433="O",$K433="O",$L433="O",$M433="O",$N433="O",$O433="O"),"-","")&amp;$I433)</f>
        <v/>
      </c>
      <c r="Q433" s="110">
        <f>HYPERLINK("#'마스터_품목'!A660","→ 마스터 R660")</f>
        <v/>
      </c>
      <c r="R433" s="111" t="n">
        <v>660</v>
      </c>
      <c r="S433" s="111" t="inlineStr">
        <is>
          <t>마스터_품목</t>
        </is>
      </c>
    </row>
    <row r="434" ht="48" customFormat="1" customHeight="1" s="64">
      <c r="A434" s="66" t="inlineStr">
        <is>
          <t>출하</t>
        </is>
      </c>
      <c r="B434" s="66" t="inlineStr">
        <is>
          <t>내부 폼</t>
        </is>
      </c>
      <c r="C434" s="63" t="inlineStr">
        <is>
          <t>COCOON</t>
        </is>
      </c>
      <c r="D434" s="63" t="inlineStr">
        <is>
          <t>가방 내부 폼 상판 (18cm)</t>
        </is>
      </c>
      <c r="E434" s="63" t="inlineStr">
        <is>
          <t>가방 내부 폼 상판 (18cm)
[COCOON]</t>
        </is>
      </c>
      <c r="F434" s="67" t="inlineStr">
        <is>
          <t>O</t>
        </is>
      </c>
      <c r="G434" s="68" t="n"/>
      <c r="H434" s="69" t="n"/>
      <c r="I434" s="70">
        <f>IFERROR(IF(OR($F434="O",$G434="O",$H434="O"),CHOOSE(MATCH($A434,{"튜브","고압","진공","튜닝","조립","출하"},0),"T","H","V","N","A","P")&amp;IF($F434="O","R",IF($G434="O","A",IF($H434="O","F",""))),""),"")</f>
        <v/>
      </c>
      <c r="J434" s="71" t="n"/>
      <c r="K434" s="72" t="n"/>
      <c r="L434" s="73" t="n"/>
      <c r="M434" s="74" t="inlineStr">
        <is>
          <t>O</t>
        </is>
      </c>
      <c r="N434" s="75" t="n"/>
      <c r="O434" s="76" t="n"/>
      <c r="P434" s="77">
        <f>IF($I434="","",IF($J434="O","3","")&amp;IF($K434="O","4","")&amp;IF($L434="O","6","")&amp;IF($M434="O","7","")&amp;IF($N434="O","8","")&amp;IF($O434="O","?","")&amp;IF(OR($J434="O",$K434="O",$L434="O",$M434="O",$N434="O",$O434="O"),"-","")&amp;$I434)</f>
        <v/>
      </c>
      <c r="Q434" s="110">
        <f>HYPERLINK("#'마스터_품목'!A661","→ 마스터 R661")</f>
        <v/>
      </c>
      <c r="R434" s="111" t="n">
        <v>661</v>
      </c>
      <c r="S434" s="111" t="inlineStr">
        <is>
          <t>마스터_품목</t>
        </is>
      </c>
    </row>
    <row r="435" ht="48" customFormat="1" customHeight="1" s="64">
      <c r="A435" s="66" t="inlineStr">
        <is>
          <t>출하</t>
        </is>
      </c>
      <c r="B435" s="66" t="inlineStr">
        <is>
          <t>내부 폼</t>
        </is>
      </c>
      <c r="C435" s="63" t="inlineStr">
        <is>
          <t>COCOON</t>
        </is>
      </c>
      <c r="D435" s="63" t="inlineStr">
        <is>
          <t>가방 내부 폼 하판 (18cm)</t>
        </is>
      </c>
      <c r="E435" s="63" t="inlineStr">
        <is>
          <t>가방 내부 폼 하판 (18cm)
[COCOON]</t>
        </is>
      </c>
      <c r="F435" s="67" t="inlineStr">
        <is>
          <t>O</t>
        </is>
      </c>
      <c r="G435" s="68" t="n"/>
      <c r="H435" s="69" t="n"/>
      <c r="I435" s="70">
        <f>IFERROR(IF(OR($F435="O",$G435="O",$H435="O"),CHOOSE(MATCH($A435,{"튜브","고압","진공","튜닝","조립","출하"},0),"T","H","V","N","A","P")&amp;IF($F435="O","R",IF($G435="O","A",IF($H435="O","F",""))),""),"")</f>
        <v/>
      </c>
      <c r="J435" s="71" t="n"/>
      <c r="K435" s="72" t="n"/>
      <c r="L435" s="73" t="n"/>
      <c r="M435" s="74" t="inlineStr">
        <is>
          <t>O</t>
        </is>
      </c>
      <c r="N435" s="75" t="n"/>
      <c r="O435" s="76" t="n"/>
      <c r="P435" s="77">
        <f>IF($I435="","",IF($J435="O","3","")&amp;IF($K435="O","4","")&amp;IF($L435="O","6","")&amp;IF($M435="O","7","")&amp;IF($N435="O","8","")&amp;IF($O435="O","?","")&amp;IF(OR($J435="O",$K435="O",$L435="O",$M435="O",$N435="O",$O435="O"),"-","")&amp;$I435)</f>
        <v/>
      </c>
      <c r="Q435" s="110">
        <f>HYPERLINK("#'마스터_품목'!A662","→ 마스터 R662")</f>
        <v/>
      </c>
      <c r="R435" s="111" t="n">
        <v>662</v>
      </c>
      <c r="S435" s="111" t="inlineStr">
        <is>
          <t>마스터_품목</t>
        </is>
      </c>
    </row>
    <row r="436" ht="48" customFormat="1" customHeight="1" s="64">
      <c r="A436" s="66" t="inlineStr">
        <is>
          <t>출하</t>
        </is>
      </c>
      <c r="B436" s="66" t="inlineStr">
        <is>
          <t>내부 폼</t>
        </is>
      </c>
      <c r="C436" s="63" t="inlineStr">
        <is>
          <t>COCOON</t>
        </is>
      </c>
      <c r="D436" s="63" t="inlineStr">
        <is>
          <t>가방 내부 폼 상판 (20cm)</t>
        </is>
      </c>
      <c r="E436" s="63" t="inlineStr">
        <is>
          <t>가방 내부 폼 상판 (20cm)
[COCOON]</t>
        </is>
      </c>
      <c r="F436" s="67" t="inlineStr">
        <is>
          <t>O</t>
        </is>
      </c>
      <c r="G436" s="68" t="n"/>
      <c r="H436" s="69" t="n"/>
      <c r="I436" s="70">
        <f>IFERROR(IF(OR($F436="O",$G436="O",$H436="O"),CHOOSE(MATCH($A436,{"튜브","고압","진공","튜닝","조립","출하"},0),"T","H","V","N","A","P")&amp;IF($F436="O","R",IF($G436="O","A",IF($H436="O","F",""))),""),"")</f>
        <v/>
      </c>
      <c r="J436" s="71" t="n"/>
      <c r="K436" s="72" t="n"/>
      <c r="L436" s="73" t="n"/>
      <c r="M436" s="74" t="inlineStr">
        <is>
          <t>O</t>
        </is>
      </c>
      <c r="N436" s="75" t="n"/>
      <c r="O436" s="76" t="n"/>
      <c r="P436" s="77">
        <f>IF($I436="","",IF($J436="O","3","")&amp;IF($K436="O","4","")&amp;IF($L436="O","6","")&amp;IF($M436="O","7","")&amp;IF($N436="O","8","")&amp;IF($O436="O","?","")&amp;IF(OR($J436="O",$K436="O",$L436="O",$M436="O",$N436="O",$O436="O"),"-","")&amp;$I436)</f>
        <v/>
      </c>
      <c r="Q436" s="110">
        <f>HYPERLINK("#'마스터_품목'!A663","→ 마스터 R663")</f>
        <v/>
      </c>
      <c r="R436" s="111" t="n">
        <v>663</v>
      </c>
      <c r="S436" s="111" t="inlineStr">
        <is>
          <t>마스터_품목</t>
        </is>
      </c>
    </row>
    <row r="437" ht="48" customHeight="1">
      <c r="A437" s="66" t="inlineStr">
        <is>
          <t>출하</t>
        </is>
      </c>
      <c r="B437" s="66" t="inlineStr">
        <is>
          <t>내부 폼</t>
        </is>
      </c>
      <c r="C437" s="63" t="inlineStr">
        <is>
          <t>COCOON</t>
        </is>
      </c>
      <c r="D437" s="63" t="inlineStr">
        <is>
          <t>가방 내부 폼 하판 (20cm)</t>
        </is>
      </c>
      <c r="E437" s="63" t="inlineStr">
        <is>
          <t>가방 내부 폼 하판 (20cm)
[COCOON]</t>
        </is>
      </c>
      <c r="F437" s="67" t="inlineStr">
        <is>
          <t>O</t>
        </is>
      </c>
      <c r="G437" s="68" t="n"/>
      <c r="H437" s="69" t="n"/>
      <c r="I437" s="70">
        <f>IFERROR(IF(OR($F437="O",$G437="O",$H437="O"),CHOOSE(MATCH($A437,{"튜브","고압","진공","튜닝","조립","출하"},0),"T","H","V","N","A","P")&amp;IF($F437="O","R",IF($G437="O","A",IF($H437="O","F",""))),""),"")</f>
        <v/>
      </c>
      <c r="J437" s="71" t="n"/>
      <c r="K437" s="72" t="n"/>
      <c r="L437" s="73" t="n"/>
      <c r="M437" s="74" t="inlineStr">
        <is>
          <t>O</t>
        </is>
      </c>
      <c r="N437" s="75" t="n"/>
      <c r="O437" s="76" t="n"/>
      <c r="P437" s="77">
        <f>IF($I437="","",IF($J437="O","3","")&amp;IF($K437="O","4","")&amp;IF($L437="O","6","")&amp;IF($M437="O","7","")&amp;IF($N437="O","8","")&amp;IF($O437="O","?","")&amp;IF(OR($J437="O",$K437="O",$L437="O",$M437="O",$N437="O",$O437="O"),"-","")&amp;$I437)</f>
        <v/>
      </c>
      <c r="Q437" s="110">
        <f>HYPERLINK("#'마스터_품목'!A664","→ 마스터 R664")</f>
        <v/>
      </c>
      <c r="R437" s="111" t="n">
        <v>664</v>
      </c>
      <c r="S437" s="111" t="inlineStr">
        <is>
          <t>마스터_품목</t>
        </is>
      </c>
    </row>
    <row r="438" ht="48" customFormat="1" customHeight="1" s="64">
      <c r="A438" s="66" t="inlineStr">
        <is>
          <t>출하</t>
        </is>
      </c>
      <c r="B438" s="66" t="inlineStr">
        <is>
          <t>내부 폼</t>
        </is>
      </c>
      <c r="C438" s="63" t="inlineStr">
        <is>
          <t>ADX6000FB</t>
        </is>
      </c>
      <c r="D438" s="63" t="inlineStr">
        <is>
          <t>가방 내부 폼 상판 (신형)</t>
        </is>
      </c>
      <c r="E438" s="63" t="inlineStr">
        <is>
          <t>가방 내부 폼 상판 (신형)
[ADX6000FB]</t>
        </is>
      </c>
      <c r="F438" s="67" t="inlineStr">
        <is>
          <t>O</t>
        </is>
      </c>
      <c r="G438" s="68" t="n"/>
      <c r="H438" s="69" t="n"/>
      <c r="I438" s="70">
        <f>IFERROR(IF(OR($F438="O",$G438="O",$H438="O"),CHOOSE(MATCH($A438,{"튜브","고압","진공","튜닝","조립","출하"},0),"T","H","V","N","A","P")&amp;IF($F438="O","R",IF($G438="O","A",IF($H438="O","F",""))),""),"")</f>
        <v/>
      </c>
      <c r="J438" s="71" t="n"/>
      <c r="K438" s="72" t="n"/>
      <c r="L438" s="73" t="inlineStr">
        <is>
          <t>O</t>
        </is>
      </c>
      <c r="M438" s="74" t="n"/>
      <c r="N438" s="75" t="n"/>
      <c r="O438" s="76" t="n"/>
      <c r="P438" s="77">
        <f>IF($I438="","",IF($J438="O","3","")&amp;IF($K438="O","4","")&amp;IF($L438="O","6","")&amp;IF($M438="O","7","")&amp;IF($N438="O","8","")&amp;IF($O438="O","?","")&amp;IF(OR($J438="O",$K438="O",$L438="O",$M438="O",$N438="O",$O438="O"),"-","")&amp;$I438)</f>
        <v/>
      </c>
      <c r="Q438" s="110">
        <f>HYPERLINK("#'마스터_품목'!A665","→ 마스터 R665")</f>
        <v/>
      </c>
      <c r="R438" s="111" t="n">
        <v>665</v>
      </c>
      <c r="S438" s="111" t="inlineStr">
        <is>
          <t>마스터_품목</t>
        </is>
      </c>
    </row>
    <row r="439" ht="48" customFormat="1" customHeight="1" s="64">
      <c r="A439" s="66" t="inlineStr">
        <is>
          <t>출하</t>
        </is>
      </c>
      <c r="B439" s="66" t="inlineStr">
        <is>
          <t>내부 폼</t>
        </is>
      </c>
      <c r="C439" s="63" t="inlineStr">
        <is>
          <t>ADX6000FB</t>
        </is>
      </c>
      <c r="D439" s="63" t="inlineStr">
        <is>
          <t>가방 내부 폼 중간판 (신형)</t>
        </is>
      </c>
      <c r="E439" s="63" t="inlineStr">
        <is>
          <t>가방 내부 폼 중간판 (신형)
[ADX6000FB]</t>
        </is>
      </c>
      <c r="F439" s="67" t="inlineStr">
        <is>
          <t>O</t>
        </is>
      </c>
      <c r="G439" s="68" t="n"/>
      <c r="H439" s="69" t="n"/>
      <c r="I439" s="70">
        <f>IFERROR(IF(OR($F439="O",$G439="O",$H439="O"),CHOOSE(MATCH($A439,{"튜브","고압","진공","튜닝","조립","출하"},0),"T","H","V","N","A","P")&amp;IF($F439="O","R",IF($G439="O","A",IF($H439="O","F",""))),""),"")</f>
        <v/>
      </c>
      <c r="J439" s="71" t="n"/>
      <c r="K439" s="72" t="n"/>
      <c r="L439" s="73" t="inlineStr">
        <is>
          <t>O</t>
        </is>
      </c>
      <c r="M439" s="74" t="n"/>
      <c r="N439" s="75" t="n"/>
      <c r="O439" s="76" t="n"/>
      <c r="P439" s="77">
        <f>IF($I439="","",IF($J439="O","3","")&amp;IF($K439="O","4","")&amp;IF($L439="O","6","")&amp;IF($M439="O","7","")&amp;IF($N439="O","8","")&amp;IF($O439="O","?","")&amp;IF(OR($J439="O",$K439="O",$L439="O",$M439="O",$N439="O",$O439="O"),"-","")&amp;$I439)</f>
        <v/>
      </c>
      <c r="Q439" s="110">
        <f>HYPERLINK("#'마스터_품목'!A666","→ 마스터 R666")</f>
        <v/>
      </c>
      <c r="R439" s="111" t="n">
        <v>666</v>
      </c>
      <c r="S439" s="111" t="inlineStr">
        <is>
          <t>마스터_품목</t>
        </is>
      </c>
    </row>
    <row r="440" ht="48" customFormat="1" customHeight="1" s="64">
      <c r="A440" s="66" t="inlineStr">
        <is>
          <t>출하</t>
        </is>
      </c>
      <c r="B440" s="66" t="inlineStr">
        <is>
          <t>내부 폼</t>
        </is>
      </c>
      <c r="C440" s="63" t="inlineStr">
        <is>
          <t>ADX6000FB</t>
        </is>
      </c>
      <c r="D440" s="63" t="inlineStr">
        <is>
          <t>가방 내부 폼 하판 (신형)</t>
        </is>
      </c>
      <c r="E440" s="63" t="inlineStr">
        <is>
          <t>가방 내부 폼 하판 (신형)
[ADX6000FB]</t>
        </is>
      </c>
      <c r="F440" s="67" t="inlineStr">
        <is>
          <t>O</t>
        </is>
      </c>
      <c r="G440" s="68" t="n"/>
      <c r="H440" s="69" t="n"/>
      <c r="I440" s="70">
        <f>IFERROR(IF(OR($F440="O",$G440="O",$H440="O"),CHOOSE(MATCH($A440,{"튜브","고압","진공","튜닝","조립","출하"},0),"T","H","V","N","A","P")&amp;IF($F440="O","R",IF($G440="O","A",IF($H440="O","F",""))),""),"")</f>
        <v/>
      </c>
      <c r="J440" s="71" t="n"/>
      <c r="K440" s="72" t="n"/>
      <c r="L440" s="73" t="inlineStr">
        <is>
          <t>O</t>
        </is>
      </c>
      <c r="M440" s="74" t="n"/>
      <c r="N440" s="75" t="n"/>
      <c r="O440" s="76" t="n"/>
      <c r="P440" s="77">
        <f>IF($I440="","",IF($J440="O","3","")&amp;IF($K440="O","4","")&amp;IF($L440="O","6","")&amp;IF($M440="O","7","")&amp;IF($N440="O","8","")&amp;IF($O440="O","?","")&amp;IF(OR($J440="O",$K440="O",$L440="O",$M440="O",$N440="O",$O440="O"),"-","")&amp;$I440)</f>
        <v/>
      </c>
      <c r="Q440" s="110">
        <f>HYPERLINK("#'마스터_품목'!A667","→ 마스터 R667")</f>
        <v/>
      </c>
      <c r="R440" s="111" t="n">
        <v>667</v>
      </c>
      <c r="S440" s="111" t="inlineStr">
        <is>
          <t>마스터_품목</t>
        </is>
      </c>
    </row>
    <row r="441" ht="48" customFormat="1" customHeight="1" s="64">
      <c r="A441" s="29" t="inlineStr">
        <is>
          <t>출하</t>
        </is>
      </c>
      <c r="B441" s="22" t="inlineStr">
        <is>
          <t>내부 폼</t>
        </is>
      </c>
      <c r="C441" s="23" t="inlineStr">
        <is>
          <t>SOLO</t>
        </is>
      </c>
      <c r="D441" s="23" t="inlineStr">
        <is>
          <t>SOLO _ [18cm cone용] 내부 FOAM (상판, 하판)
Forensic용 손잡이 분리형</t>
        </is>
      </c>
      <c r="E441" s="23" t="n"/>
      <c r="F441" s="24" t="inlineStr">
        <is>
          <t>O</t>
        </is>
      </c>
      <c r="G441" s="25" t="n"/>
      <c r="H441" s="26" t="n"/>
      <c r="I441" s="27">
        <f>IFERROR(IF(OR($F441="O",$G441="O",$H441="O"),CHOOSE(MATCH($A441,{"튜브","고압","진공","튜닝","조립","출하"},0),"T","H","V","N","A","P")&amp;IF($F441="O","R",IF($G441="O","A",IF($H441="O","F",""))),""),"")</f>
        <v/>
      </c>
      <c r="J441" s="15" t="n"/>
      <c r="K441" s="16" t="n"/>
      <c r="L441" s="17" t="n"/>
      <c r="M441" s="18" t="n"/>
      <c r="N441" s="19" t="inlineStr">
        <is>
          <t>O</t>
        </is>
      </c>
      <c r="O441" s="20" t="n"/>
      <c r="P441" s="21">
        <f>IF($I441="","",IF($J441="O","3","")&amp;IF($K441="O","4","")&amp;IF($L441="O","6","")&amp;IF($M441="O","7","")&amp;IF($N441="O","8","")&amp;IF($O441="O","?","")&amp;IF(OR($J441="O",$K441="O",$L441="O",$M441="O",$N441="O",$O441="O"),"-","")&amp;$I441)</f>
        <v/>
      </c>
      <c r="Q441" s="110">
        <f>HYPERLINK("#'마스터_품목'!A668","→ 마스터 R668")</f>
        <v/>
      </c>
      <c r="R441" s="111" t="n">
        <v>668</v>
      </c>
      <c r="S441" s="111" t="inlineStr">
        <is>
          <t>마스터_품목</t>
        </is>
      </c>
    </row>
    <row r="442" ht="48" customFormat="1" customHeight="1" s="64">
      <c r="A442" s="29" t="inlineStr">
        <is>
          <t>출하</t>
        </is>
      </c>
      <c r="B442" s="22" t="inlineStr">
        <is>
          <t>내부 폼</t>
        </is>
      </c>
      <c r="C442" s="23" t="inlineStr">
        <is>
          <t>SOLO</t>
        </is>
      </c>
      <c r="D442" s="23" t="inlineStr">
        <is>
          <t>SOLO _ 제품 박스 Forensic용 [530*300*190]</t>
        </is>
      </c>
      <c r="E442" s="23" t="n"/>
      <c r="F442" s="24" t="inlineStr">
        <is>
          <t>O</t>
        </is>
      </c>
      <c r="G442" s="25" t="n"/>
      <c r="H442" s="26" t="n"/>
      <c r="I442" s="27">
        <f>IFERROR(IF(OR($F442="O",$G442="O",$H442="O"),CHOOSE(MATCH($A442,{"튜브","고압","진공","튜닝","조립","출하"},0),"T","H","V","N","A","P")&amp;IF($F442="O","R",IF($G442="O","A",IF($H442="O","F",""))),""),"")</f>
        <v/>
      </c>
      <c r="J442" s="15" t="n"/>
      <c r="K442" s="16" t="n"/>
      <c r="L442" s="17" t="n"/>
      <c r="M442" s="18" t="n"/>
      <c r="N442" s="19" t="inlineStr">
        <is>
          <t>O</t>
        </is>
      </c>
      <c r="O442" s="20" t="n"/>
      <c r="P442" s="21">
        <f>IF($I442="","",IF($J442="O","3","")&amp;IF($K442="O","4","")&amp;IF($L442="O","6","")&amp;IF($M442="O","7","")&amp;IF($N442="O","8","")&amp;IF($O442="O","?","")&amp;IF(OR($J442="O",$K442="O",$L442="O",$M442="O",$N442="O",$O442="O"),"-","")&amp;$I442)</f>
        <v/>
      </c>
      <c r="Q442" s="110">
        <f>HYPERLINK("#'마스터_품목'!A669","→ 마스터 R669")</f>
        <v/>
      </c>
      <c r="R442" s="111" t="n">
        <v>669</v>
      </c>
      <c r="S442" s="111" t="inlineStr">
        <is>
          <t>마스터_품목</t>
        </is>
      </c>
    </row>
    <row r="443" ht="48" customFormat="1" customHeight="1" s="64">
      <c r="A443" s="29" t="inlineStr">
        <is>
          <t>출하</t>
        </is>
      </c>
      <c r="B443" s="22" t="inlineStr">
        <is>
          <t>내부 폼</t>
        </is>
      </c>
      <c r="C443" s="23" t="inlineStr">
        <is>
          <t>SOLO</t>
        </is>
      </c>
      <c r="D443" s="23" t="inlineStr">
        <is>
          <t>SOLO _ 카톤 박스 Forensic용 [550*400*330]</t>
        </is>
      </c>
      <c r="E443" s="23" t="n"/>
      <c r="F443" s="24" t="inlineStr">
        <is>
          <t>O</t>
        </is>
      </c>
      <c r="G443" s="25" t="n"/>
      <c r="H443" s="26" t="n"/>
      <c r="I443" s="27">
        <f>IFERROR(IF(OR($F443="O",$G443="O",$H443="O"),CHOOSE(MATCH($A443,{"튜브","고압","진공","튜닝","조립","출하"},0),"T","H","V","N","A","P")&amp;IF($F443="O","R",IF($G443="O","A",IF($H443="O","F",""))),""),"")</f>
        <v/>
      </c>
      <c r="J443" s="15" t="n"/>
      <c r="K443" s="16" t="n"/>
      <c r="L443" s="17" t="n"/>
      <c r="M443" s="18" t="n"/>
      <c r="N443" s="19" t="inlineStr">
        <is>
          <t>O</t>
        </is>
      </c>
      <c r="O443" s="20" t="n"/>
      <c r="P443" s="21">
        <f>IF($I443="","",IF($J443="O","3","")&amp;IF($K443="O","4","")&amp;IF($L443="O","6","")&amp;IF($M443="O","7","")&amp;IF($N443="O","8","")&amp;IF($O443="O","?","")&amp;IF(OR($J443="O",$K443="O",$L443="O",$M443="O",$N443="O",$O443="O"),"-","")&amp;$I443)</f>
        <v/>
      </c>
      <c r="Q443" s="110">
        <f>HYPERLINK("#'마스터_품목'!A670","→ 마스터 R670")</f>
        <v/>
      </c>
      <c r="R443" s="111" t="n">
        <v>670</v>
      </c>
      <c r="S443" s="111" t="inlineStr">
        <is>
          <t>마스터_품목</t>
        </is>
      </c>
    </row>
    <row r="444" ht="48" customFormat="1" customHeight="1" s="64">
      <c r="A444" s="29" t="inlineStr">
        <is>
          <t>출하</t>
        </is>
      </c>
      <c r="B444" s="22" t="inlineStr">
        <is>
          <t>내부 폼</t>
        </is>
      </c>
      <c r="C444" s="23" t="inlineStr">
        <is>
          <t>SOLO</t>
        </is>
      </c>
      <c r="D444" s="23" t="inlineStr">
        <is>
          <t>SOLO _ [20cm cone용] 내부 FOAM (상판, 하판)
손잡이 체결형</t>
        </is>
      </c>
      <c r="E444" s="23" t="inlineStr">
        <is>
          <t>내부폼 (가교 PAD) SET
[SOLO]</t>
        </is>
      </c>
      <c r="F444" s="24" t="inlineStr">
        <is>
          <t>O</t>
        </is>
      </c>
      <c r="G444" s="25" t="n"/>
      <c r="H444" s="26" t="n"/>
      <c r="I444" s="27">
        <f>IFERROR(IF(OR($F444="O",$G444="O",$H444="O"),CHOOSE(MATCH($A444,{"튜브","고압","진공","튜닝","조립","출하"},0),"T","H","V","N","A","P")&amp;IF($F444="O","R",IF($G444="O","A",IF($H444="O","F",""))),""),"")</f>
        <v/>
      </c>
      <c r="J444" s="15" t="n"/>
      <c r="K444" s="16" t="n"/>
      <c r="L444" s="17" t="n"/>
      <c r="M444" s="18" t="n"/>
      <c r="N444" s="19" t="inlineStr">
        <is>
          <t>O</t>
        </is>
      </c>
      <c r="O444" s="20" t="n"/>
      <c r="P444" s="21">
        <f>IF($I444="","",IF($J444="O","3","")&amp;IF($K444="O","4","")&amp;IF($L444="O","6","")&amp;IF($M444="O","7","")&amp;IF($N444="O","8","")&amp;IF($O444="O","?","")&amp;IF(OR($J444="O",$K444="O",$L444="O",$M444="O",$N444="O",$O444="O"),"-","")&amp;$I444)</f>
        <v/>
      </c>
      <c r="Q444" s="110">
        <f>HYPERLINK("#'마스터_품목'!A671","→ 마스터 R671")</f>
        <v/>
      </c>
      <c r="R444" s="111" t="n">
        <v>671</v>
      </c>
      <c r="S444" s="111" t="inlineStr">
        <is>
          <t>마스터_품목</t>
        </is>
      </c>
    </row>
    <row r="445" ht="48" customFormat="1" customHeight="1" s="64">
      <c r="A445" s="29" t="inlineStr">
        <is>
          <t>출하</t>
        </is>
      </c>
      <c r="B445" s="22" t="inlineStr">
        <is>
          <t>내부 폼</t>
        </is>
      </c>
      <c r="C445" s="23" t="inlineStr">
        <is>
          <t>SOLO</t>
        </is>
      </c>
      <c r="D445" s="23" t="inlineStr">
        <is>
          <t>SOLO _ 제품 박스 [420*400*180]</t>
        </is>
      </c>
      <c r="E445" s="23" t="inlineStr">
        <is>
          <t>제품박스(I/N BOX) (KLB.K.KLB (B) 410 * 390 *180)
[SOLO]</t>
        </is>
      </c>
      <c r="F445" s="24" t="inlineStr">
        <is>
          <t>O</t>
        </is>
      </c>
      <c r="G445" s="25" t="n"/>
      <c r="H445" s="26" t="n"/>
      <c r="I445" s="27">
        <f>IFERROR(IF(OR($F445="O",$G445="O",$H445="O"),CHOOSE(MATCH($A445,{"튜브","고압","진공","튜닝","조립","출하"},0),"T","H","V","N","A","P")&amp;IF($F445="O","R",IF($G445="O","A",IF($H445="O","F",""))),""),"")</f>
        <v/>
      </c>
      <c r="J445" s="15" t="n"/>
      <c r="K445" s="16" t="n"/>
      <c r="L445" s="17" t="n"/>
      <c r="M445" s="18" t="n"/>
      <c r="N445" s="19" t="inlineStr">
        <is>
          <t>O</t>
        </is>
      </c>
      <c r="O445" s="20" t="n"/>
      <c r="P445" s="21">
        <f>IF($I445="","",IF($J445="O","3","")&amp;IF($K445="O","4","")&amp;IF($L445="O","6","")&amp;IF($M445="O","7","")&amp;IF($N445="O","8","")&amp;IF($O445="O","?","")&amp;IF(OR($J445="O",$K445="O",$L445="O",$M445="O",$N445="O",$O445="O"),"-","")&amp;$I445)</f>
        <v/>
      </c>
      <c r="Q445" s="110">
        <f>HYPERLINK("#'마스터_품목'!A672","→ 마스터 R672")</f>
        <v/>
      </c>
      <c r="R445" s="111" t="n">
        <v>672</v>
      </c>
      <c r="S445" s="111" t="inlineStr">
        <is>
          <t>마스터_품목</t>
        </is>
      </c>
    </row>
    <row r="446" ht="48" customFormat="1" customHeight="1" s="64">
      <c r="A446" s="29" t="inlineStr">
        <is>
          <t>출하</t>
        </is>
      </c>
      <c r="B446" s="22" t="inlineStr">
        <is>
          <t>내부 폼</t>
        </is>
      </c>
      <c r="C446" s="23" t="inlineStr">
        <is>
          <t>SOLO</t>
        </is>
      </c>
      <c r="D446" s="23" t="inlineStr">
        <is>
          <t>SOLO _ 카톤 박스 [440*390*420]</t>
        </is>
      </c>
      <c r="E446" s="23" t="inlineStr">
        <is>
          <t>카톤박스(C/T BOX) (KLB.4K (BA/W) 430 * 380 * 420)
[SOLO]</t>
        </is>
      </c>
      <c r="F446" s="24" t="inlineStr">
        <is>
          <t>O</t>
        </is>
      </c>
      <c r="G446" s="25" t="n"/>
      <c r="H446" s="26" t="n"/>
      <c r="I446" s="27">
        <f>IFERROR(IF(OR($F446="O",$G446="O",$H446="O"),CHOOSE(MATCH($A446,{"튜브","고압","진공","튜닝","조립","출하"},0),"T","H","V","N","A","P")&amp;IF($F446="O","R",IF($G446="O","A",IF($H446="O","F",""))),""),"")</f>
        <v/>
      </c>
      <c r="J446" s="15" t="n"/>
      <c r="K446" s="16" t="n"/>
      <c r="L446" s="17" t="n"/>
      <c r="M446" s="18" t="n"/>
      <c r="N446" s="19" t="inlineStr">
        <is>
          <t>O</t>
        </is>
      </c>
      <c r="O446" s="20" t="n"/>
      <c r="P446" s="21">
        <f>IF($I446="","",IF($J446="O","3","")&amp;IF($K446="O","4","")&amp;IF($L446="O","6","")&amp;IF($M446="O","7","")&amp;IF($N446="O","8","")&amp;IF($O446="O","?","")&amp;IF(OR($J446="O",$K446="O",$L446="O",$M446="O",$N446="O",$O446="O"),"-","")&amp;$I446)</f>
        <v/>
      </c>
      <c r="Q446" s="110">
        <f>HYPERLINK("#'마스터_품목'!A673","→ 마스터 R673")</f>
        <v/>
      </c>
      <c r="R446" s="111" t="n">
        <v>673</v>
      </c>
      <c r="S446" s="111" t="inlineStr">
        <is>
          <t>마스터_품목</t>
        </is>
      </c>
    </row>
    <row r="447" ht="48" customFormat="1" customHeight="1" s="64">
      <c r="A447" s="29" t="inlineStr">
        <is>
          <t>출하</t>
        </is>
      </c>
      <c r="B447" s="22" t="inlineStr">
        <is>
          <t>제품 박스</t>
        </is>
      </c>
      <c r="C447" s="23" t="inlineStr">
        <is>
          <t>DX3000
ADX4000W</t>
        </is>
      </c>
      <c r="D447" s="23" t="inlineStr">
        <is>
          <t>DX3000,ADX4000W _ 제품 박스 [450*240*360] 공용</t>
        </is>
      </c>
      <c r="E447" s="23" t="inlineStr">
        <is>
          <t>영문 박스 (450 * 240 * 360)
[DX3000, ADX4000W]</t>
        </is>
      </c>
      <c r="F447" s="24" t="inlineStr">
        <is>
          <t>O</t>
        </is>
      </c>
      <c r="G447" s="25" t="n"/>
      <c r="H447" s="26" t="n"/>
      <c r="I447" s="27">
        <f>IFERROR(IF(OR($F447="O",$G447="O",$H447="O"),CHOOSE(MATCH($A447,{"튜브","고압","진공","튜닝","조립","출하"},0),"T","H","V","N","A","P")&amp;IF($F447="O","R",IF($G447="O","A",IF($H447="O","F",""))),""),"")</f>
        <v/>
      </c>
      <c r="J447" s="15" t="inlineStr">
        <is>
          <t>O</t>
        </is>
      </c>
      <c r="K447" s="16" t="inlineStr">
        <is>
          <t>O</t>
        </is>
      </c>
      <c r="L447" s="17" t="n"/>
      <c r="M447" s="18" t="n"/>
      <c r="N447" s="19" t="n"/>
      <c r="O447" s="20" t="n"/>
      <c r="P447" s="21">
        <f>IF($I447="","",IF($J447="O","3","")&amp;IF($K447="O","4","")&amp;IF($L447="O","6","")&amp;IF($M447="O","7","")&amp;IF($N447="O","8","")&amp;IF($O447="O","?","")&amp;IF(OR($J447="O",$K447="O",$L447="O",$M447="O",$N447="O",$O447="O"),"-","")&amp;$I447)</f>
        <v/>
      </c>
      <c r="Q447" s="110">
        <f>HYPERLINK("#'마스터_품목'!A674","→ 마스터 R674")</f>
        <v/>
      </c>
      <c r="R447" s="111" t="n">
        <v>674</v>
      </c>
      <c r="S447" s="111" t="inlineStr">
        <is>
          <t>마스터_품목</t>
        </is>
      </c>
    </row>
    <row r="448" ht="48" customFormat="1" customHeight="1" s="64">
      <c r="A448" s="29" t="inlineStr">
        <is>
          <t>출하</t>
        </is>
      </c>
      <c r="B448" s="22" t="inlineStr">
        <is>
          <t>제품 박스</t>
        </is>
      </c>
      <c r="C448" s="23" t="inlineStr">
        <is>
          <t>COCOON</t>
        </is>
      </c>
      <c r="D448" s="23" t="inlineStr">
        <is>
          <t>COCOON _ 제품 박스 [450*240*490]</t>
        </is>
      </c>
      <c r="E448" s="23" t="inlineStr">
        <is>
          <t>영문 박스 (450 * 240 * 490)
[COCOON]</t>
        </is>
      </c>
      <c r="F448" s="24" t="inlineStr">
        <is>
          <t>O</t>
        </is>
      </c>
      <c r="G448" s="25" t="n"/>
      <c r="H448" s="26" t="n"/>
      <c r="I448" s="27">
        <f>IFERROR(IF(OR($F448="O",$G448="O",$H448="O"),CHOOSE(MATCH($A448,{"튜브","고압","진공","튜닝","조립","출하"},0),"T","H","V","N","A","P")&amp;IF($F448="O","R",IF($G448="O","A",IF($H448="O","F",""))),""),"")</f>
        <v/>
      </c>
      <c r="J448" s="15" t="n"/>
      <c r="K448" s="16" t="n"/>
      <c r="L448" s="17" t="n"/>
      <c r="M448" s="18" t="inlineStr">
        <is>
          <t>O</t>
        </is>
      </c>
      <c r="N448" s="19" t="n"/>
      <c r="O448" s="20" t="n"/>
      <c r="P448" s="21">
        <f>IF($I448="","",IF($J448="O","3","")&amp;IF($K448="O","4","")&amp;IF($L448="O","6","")&amp;IF($M448="O","7","")&amp;IF($N448="O","8","")&amp;IF($O448="O","?","")&amp;IF(OR($J448="O",$K448="O",$L448="O",$M448="O",$N448="O",$O448="O"),"-","")&amp;$I448)</f>
        <v/>
      </c>
      <c r="Q448" s="110">
        <f>HYPERLINK("#'마스터_품목'!A675","→ 마스터 R675")</f>
        <v/>
      </c>
      <c r="R448" s="111" t="n">
        <v>675</v>
      </c>
      <c r="S448" s="111" t="inlineStr">
        <is>
          <t>마스터_품목</t>
        </is>
      </c>
    </row>
    <row r="449" ht="48" customHeight="1">
      <c r="A449" s="29" t="inlineStr">
        <is>
          <t>출하</t>
        </is>
      </c>
      <c r="B449" s="22" t="inlineStr">
        <is>
          <t>제품 박스</t>
        </is>
      </c>
      <c r="C449" s="23" t="inlineStr">
        <is>
          <t>ADX6000 공용</t>
        </is>
      </c>
      <c r="D449" s="23" t="inlineStr">
        <is>
          <t>ADX6000s _ 제품 박스 [450*240*490]</t>
        </is>
      </c>
      <c r="E449" s="23" t="inlineStr">
        <is>
          <t>제품 박스
[ADX6000S]</t>
        </is>
      </c>
      <c r="F449" s="24" t="inlineStr">
        <is>
          <t>O</t>
        </is>
      </c>
      <c r="G449" s="25" t="n"/>
      <c r="H449" s="26" t="n"/>
      <c r="I449" s="27">
        <f>IFERROR(IF(OR($F449="O",$G449="O",$H449="O"),CHOOSE(MATCH($A449,{"튜브","고압","진공","튜닝","조립","출하"},0),"T","H","V","N","A","P")&amp;IF($F449="O","R",IF($G449="O","A",IF($H449="O","F",""))),""),"")</f>
        <v/>
      </c>
      <c r="J449" s="15" t="n"/>
      <c r="K449" s="16" t="n"/>
      <c r="L449" s="17" t="inlineStr">
        <is>
          <t>O</t>
        </is>
      </c>
      <c r="M449" s="18" t="n"/>
      <c r="N449" s="19" t="n"/>
      <c r="O449" s="20" t="n"/>
      <c r="P449" s="21">
        <f>IF($I449="","",IF($J449="O","3","")&amp;IF($K449="O","4","")&amp;IF($L449="O","6","")&amp;IF($M449="O","7","")&amp;IF($N449="O","8","")&amp;IF($O449="O","?","")&amp;IF(OR($J449="O",$K449="O",$L449="O",$M449="O",$N449="O",$O449="O"),"-","")&amp;$I449)</f>
        <v/>
      </c>
      <c r="Q449" s="110">
        <f>HYPERLINK("#'마스터_품목'!A676","→ 마스터 R676")</f>
        <v/>
      </c>
      <c r="R449" s="111" t="n">
        <v>676</v>
      </c>
      <c r="S449" s="111" t="inlineStr">
        <is>
          <t>마스터_품목</t>
        </is>
      </c>
    </row>
    <row r="450" ht="48" customHeight="1">
      <c r="A450" s="29" t="inlineStr">
        <is>
          <t>출하</t>
        </is>
      </c>
      <c r="B450" s="22" t="inlineStr">
        <is>
          <t>제품 박스</t>
        </is>
      </c>
      <c r="C450" s="23" t="inlineStr">
        <is>
          <t>DX3000
ADX4000W</t>
        </is>
      </c>
      <c r="D450" s="23" t="inlineStr">
        <is>
          <t>DX3000,ADX4000W _ 카톤 박스 [490*460*370]</t>
        </is>
      </c>
      <c r="E450" s="23" t="inlineStr">
        <is>
          <t>카톤 박스 (495 * 472 * 380)
[DX3000, ADX4000W]</t>
        </is>
      </c>
      <c r="F450" s="24" t="inlineStr">
        <is>
          <t>O</t>
        </is>
      </c>
      <c r="G450" s="25" t="n"/>
      <c r="H450" s="26" t="n"/>
      <c r="I450" s="27">
        <f>IFERROR(IF(OR($F450="O",$G450="O",$H450="O"),CHOOSE(MATCH($A450,{"튜브","고압","진공","튜닝","조립","출하"},0),"T","H","V","N","A","P")&amp;IF($F450="O","R",IF($G450="O","A",IF($H450="O","F",""))),""),"")</f>
        <v/>
      </c>
      <c r="J450" s="15" t="inlineStr">
        <is>
          <t>O</t>
        </is>
      </c>
      <c r="K450" s="16" t="inlineStr">
        <is>
          <t>O</t>
        </is>
      </c>
      <c r="L450" s="17" t="n"/>
      <c r="M450" s="18" t="n"/>
      <c r="N450" s="19" t="n"/>
      <c r="O450" s="20" t="n"/>
      <c r="P450" s="21">
        <f>IF($I450="","",IF($J450="O","3","")&amp;IF($K450="O","4","")&amp;IF($L450="O","6","")&amp;IF($M450="O","7","")&amp;IF($N450="O","8","")&amp;IF($O450="O","?","")&amp;IF(OR($J450="O",$K450="O",$L450="O",$M450="O",$N450="O",$O450="O"),"-","")&amp;$I450)</f>
        <v/>
      </c>
      <c r="Q450" s="110">
        <f>HYPERLINK("#'마스터_품목'!A677","→ 마스터 R677")</f>
        <v/>
      </c>
      <c r="R450" s="111" t="n">
        <v>677</v>
      </c>
      <c r="S450" s="111" t="inlineStr">
        <is>
          <t>마스터_품목</t>
        </is>
      </c>
    </row>
    <row r="451" ht="48" customHeight="1">
      <c r="A451" s="29" t="inlineStr">
        <is>
          <t>출하</t>
        </is>
      </c>
      <c r="B451" s="22" t="inlineStr">
        <is>
          <t>제품 박스</t>
        </is>
      </c>
      <c r="C451" s="23" t="inlineStr">
        <is>
          <t>COCOON</t>
        </is>
      </c>
      <c r="D451" s="23" t="inlineStr">
        <is>
          <t>COCOON _ 카톤 박스 [500*460*520]</t>
        </is>
      </c>
      <c r="E451" s="23" t="inlineStr">
        <is>
          <t>카톤 박스 (500 * 460 * 520)
[COCOON]</t>
        </is>
      </c>
      <c r="F451" s="24" t="inlineStr">
        <is>
          <t>O</t>
        </is>
      </c>
      <c r="G451" s="25" t="n"/>
      <c r="H451" s="26" t="n"/>
      <c r="I451" s="27">
        <f>IFERROR(IF(OR($F451="O",$G451="O",$H451="O"),CHOOSE(MATCH($A451,{"튜브","고압","진공","튜닝","조립","출하"},0),"T","H","V","N","A","P")&amp;IF($F451="O","R",IF($G451="O","A",IF($H451="O","F",""))),""),"")</f>
        <v/>
      </c>
      <c r="J451" s="15" t="n"/>
      <c r="K451" s="16" t="n"/>
      <c r="L451" s="17" t="n"/>
      <c r="M451" s="18" t="inlineStr">
        <is>
          <t>O</t>
        </is>
      </c>
      <c r="N451" s="19" t="n"/>
      <c r="O451" s="20" t="n"/>
      <c r="P451" s="21">
        <f>IF($I451="","",IF($J451="O","3","")&amp;IF($K451="O","4","")&amp;IF($L451="O","6","")&amp;IF($M451="O","7","")&amp;IF($N451="O","8","")&amp;IF($O451="O","?","")&amp;IF(OR($J451="O",$K451="O",$L451="O",$M451="O",$N451="O",$O451="O"),"-","")&amp;$I451)</f>
        <v/>
      </c>
      <c r="Q451" s="110">
        <f>HYPERLINK("#'마스터_품목'!A678","→ 마스터 R678")</f>
        <v/>
      </c>
      <c r="R451" s="111" t="n">
        <v>678</v>
      </c>
      <c r="S451" s="111" t="inlineStr">
        <is>
          <t>마스터_품목</t>
        </is>
      </c>
    </row>
    <row r="452" ht="48" customHeight="1">
      <c r="A452" s="29" t="inlineStr">
        <is>
          <t>출하</t>
        </is>
      </c>
      <c r="B452" s="22" t="inlineStr">
        <is>
          <t>제품 박스</t>
        </is>
      </c>
      <c r="C452" s="23" t="inlineStr">
        <is>
          <t>ADX6000 공용</t>
        </is>
      </c>
      <c r="D452" s="23" t="inlineStr">
        <is>
          <t>ADX6000s _ 카톤 박스 [500*460*520]</t>
        </is>
      </c>
      <c r="E452" s="23" t="inlineStr">
        <is>
          <t>카톤 박스
[ADX6000S]</t>
        </is>
      </c>
      <c r="F452" s="24" t="inlineStr">
        <is>
          <t>O</t>
        </is>
      </c>
      <c r="G452" s="25" t="n"/>
      <c r="H452" s="26" t="n"/>
      <c r="I452" s="27">
        <f>IFERROR(IF(OR($F452="O",$G452="O",$H452="O"),CHOOSE(MATCH($A452,{"튜브","고압","진공","튜닝","조립","출하"},0),"T","H","V","N","A","P")&amp;IF($F452="O","R",IF($G452="O","A",IF($H452="O","F",""))),""),"")</f>
        <v/>
      </c>
      <c r="J452" s="15" t="n"/>
      <c r="K452" s="16" t="n"/>
      <c r="L452" s="17" t="inlineStr">
        <is>
          <t>O</t>
        </is>
      </c>
      <c r="M452" s="18" t="n"/>
      <c r="N452" s="19" t="n"/>
      <c r="O452" s="20" t="n"/>
      <c r="P452" s="21">
        <f>IF($I452="","",IF($J452="O","3","")&amp;IF($K452="O","4","")&amp;IF($L452="O","6","")&amp;IF($M452="O","7","")&amp;IF($N452="O","8","")&amp;IF($O452="O","?","")&amp;IF(OR($J452="O",$K452="O",$L452="O",$M452="O",$N452="O",$O452="O"),"-","")&amp;$I452)</f>
        <v/>
      </c>
      <c r="Q452" s="110">
        <f>HYPERLINK("#'마스터_품목'!A679","→ 마스터 R679")</f>
        <v/>
      </c>
      <c r="R452" s="111" t="n">
        <v>679</v>
      </c>
      <c r="S452" s="111" t="inlineStr">
        <is>
          <t>마스터_품목</t>
        </is>
      </c>
    </row>
    <row r="453" ht="48" customHeight="1">
      <c r="A453" s="29" t="inlineStr">
        <is>
          <t>출하</t>
        </is>
      </c>
      <c r="B453" s="22" t="inlineStr">
        <is>
          <t>제품 박스</t>
        </is>
      </c>
      <c r="C453" s="23" t="inlineStr">
        <is>
          <t>DX3000</t>
        </is>
      </c>
      <c r="D453" s="23" t="inlineStr">
        <is>
          <t>저가 제품 박스(小)</t>
        </is>
      </c>
      <c r="E453" s="23" t="inlineStr">
        <is>
          <t>저가 제품 박스 (小)
[공용]</t>
        </is>
      </c>
      <c r="F453" s="24" t="inlineStr">
        <is>
          <t>O</t>
        </is>
      </c>
      <c r="G453" s="25" t="n"/>
      <c r="H453" s="26" t="n"/>
      <c r="I453" s="27">
        <f>IFERROR(IF(OR($F453="O",$G453="O",$H453="O"),CHOOSE(MATCH($A453,{"튜브","고압","진공","튜닝","조립","출하"},0),"T","H","V","N","A","P")&amp;IF($F453="O","R",IF($G453="O","A",IF($H453="O","F",""))),""),"")</f>
        <v/>
      </c>
      <c r="J453" s="15" t="inlineStr">
        <is>
          <t>O</t>
        </is>
      </c>
      <c r="K453" s="16" t="n"/>
      <c r="L453" s="17" t="n"/>
      <c r="M453" s="18" t="n"/>
      <c r="N453" s="19" t="n"/>
      <c r="O453" s="20" t="n"/>
      <c r="P453" s="21">
        <f>IF($I453="","",IF($J453="O","3","")&amp;IF($K453="O","4","")&amp;IF($L453="O","6","")&amp;IF($M453="O","7","")&amp;IF($N453="O","8","")&amp;IF($O453="O","?","")&amp;IF(OR($J453="O",$K453="O",$L453="O",$M453="O",$N453="O",$O453="O"),"-","")&amp;$I453)</f>
        <v/>
      </c>
      <c r="Q453" s="110">
        <f>HYPERLINK("#'마스터_품목'!A680","→ 마스터 R680")</f>
        <v/>
      </c>
      <c r="R453" s="111" t="n">
        <v>680</v>
      </c>
      <c r="S453" s="111" t="inlineStr">
        <is>
          <t>마스터_품목</t>
        </is>
      </c>
    </row>
    <row r="454" ht="48" customHeight="1">
      <c r="A454" s="29" t="inlineStr">
        <is>
          <t>출하</t>
        </is>
      </c>
      <c r="B454" s="22" t="inlineStr">
        <is>
          <t>에어셀</t>
        </is>
      </c>
      <c r="C454" s="23" t="inlineStr">
        <is>
          <t>에어셀</t>
        </is>
      </c>
      <c r="D454" s="23" t="inlineStr">
        <is>
          <t>저가 박스 에어셀_Main (JD010411-01)</t>
        </is>
      </c>
      <c r="E454" s="23" t="inlineStr">
        <is>
          <t>저가 박스 에어셀 Main (JD010411-01)
[공용]</t>
        </is>
      </c>
      <c r="F454" s="24" t="inlineStr">
        <is>
          <t>O</t>
        </is>
      </c>
      <c r="G454" s="25" t="n"/>
      <c r="H454" s="26" t="n"/>
      <c r="I454" s="27">
        <f>IFERROR(IF(OR($F454="O",$G454="O",$H454="O"),CHOOSE(MATCH($A454,{"튜브","고압","진공","튜닝","조립","출하"},0),"T","H","V","N","A","P")&amp;IF($F454="O","R",IF($G454="O","A",IF($H454="O","F",""))),""),"")</f>
        <v/>
      </c>
      <c r="J454" s="15" t="inlineStr">
        <is>
          <t>O</t>
        </is>
      </c>
      <c r="K454" s="16" t="n"/>
      <c r="L454" s="17" t="n"/>
      <c r="M454" s="18" t="n"/>
      <c r="N454" s="19" t="n"/>
      <c r="O454" s="20" t="n"/>
      <c r="P454" s="21">
        <f>IF($I454="","",IF($J454="O","3","")&amp;IF($K454="O","4","")&amp;IF($L454="O","6","")&amp;IF($M454="O","7","")&amp;IF($N454="O","8","")&amp;IF($O454="O","?","")&amp;IF(OR($J454="O",$K454="O",$L454="O",$M454="O",$N454="O",$O454="O"),"-","")&amp;$I454)</f>
        <v/>
      </c>
      <c r="Q454" s="110">
        <f>HYPERLINK("#'마스터_품목'!A681","→ 마스터 R681")</f>
        <v/>
      </c>
      <c r="R454" s="111" t="n">
        <v>681</v>
      </c>
      <c r="S454" s="111" t="inlineStr">
        <is>
          <t>마스터_품목</t>
        </is>
      </c>
    </row>
    <row r="455" ht="48" customHeight="1">
      <c r="A455" s="29" t="inlineStr">
        <is>
          <t>출하</t>
        </is>
      </c>
      <c r="B455" s="22" t="inlineStr">
        <is>
          <t>에어셀</t>
        </is>
      </c>
      <c r="C455" s="23" t="inlineStr">
        <is>
          <t>에어셀</t>
        </is>
      </c>
      <c r="D455" s="23" t="inlineStr">
        <is>
          <t>저가 박스 에어셀_ACC (JD010412-01)</t>
        </is>
      </c>
      <c r="E455" s="23" t="n"/>
      <c r="F455" s="24" t="inlineStr">
        <is>
          <t>O</t>
        </is>
      </c>
      <c r="G455" s="25" t="n"/>
      <c r="H455" s="26" t="n"/>
      <c r="I455" s="27">
        <f>IFERROR(IF(OR($F455="O",$G455="O",$H455="O"),CHOOSE(MATCH($A455,{"튜브","고압","진공","튜닝","조립","출하"},0),"T","H","V","N","A","P")&amp;IF($F455="O","R",IF($G455="O","A",IF($H455="O","F",""))),""),"")</f>
        <v/>
      </c>
      <c r="J455" s="15" t="inlineStr">
        <is>
          <t>O</t>
        </is>
      </c>
      <c r="K455" s="16" t="n"/>
      <c r="L455" s="17" t="n"/>
      <c r="M455" s="18" t="n"/>
      <c r="N455" s="19" t="n"/>
      <c r="O455" s="20" t="n"/>
      <c r="P455" s="21">
        <f>IF($I455="","",IF($J455="O","3","")&amp;IF($K455="O","4","")&amp;IF($L455="O","6","")&amp;IF($M455="O","7","")&amp;IF($N455="O","8","")&amp;IF($O455="O","?","")&amp;IF(OR($J455="O",$K455="O",$L455="O",$M455="O",$N455="O",$O455="O"),"-","")&amp;$I455)</f>
        <v/>
      </c>
      <c r="Q455" s="110">
        <f>HYPERLINK("#'마스터_품목'!A682","→ 마스터 R682")</f>
        <v/>
      </c>
      <c r="R455" s="111" t="n">
        <v>682</v>
      </c>
      <c r="S455" s="111" t="inlineStr">
        <is>
          <t>마스터_품목</t>
        </is>
      </c>
    </row>
    <row r="456" ht="48" customHeight="1">
      <c r="A456" s="29" t="inlineStr">
        <is>
          <t>출하</t>
        </is>
      </c>
      <c r="B456" s="22" t="inlineStr">
        <is>
          <t>에어셀</t>
        </is>
      </c>
      <c r="C456" s="23" t="inlineStr">
        <is>
          <t>에어셀</t>
        </is>
      </c>
      <c r="D456" s="23" t="inlineStr">
        <is>
          <t>DX3000 에어셀_TOP (JD010211-02)</t>
        </is>
      </c>
      <c r="E456" s="23" t="n"/>
      <c r="F456" s="24" t="inlineStr">
        <is>
          <t>O</t>
        </is>
      </c>
      <c r="G456" s="25" t="n"/>
      <c r="H456" s="26" t="n"/>
      <c r="I456" s="27">
        <f>IFERROR(IF(OR($F456="O",$G456="O",$H456="O"),CHOOSE(MATCH($A456,{"튜브","고압","진공","튜닝","조립","출하"},0),"T","H","V","N","A","P")&amp;IF($F456="O","R",IF($G456="O","A",IF($H456="O","F",""))),""),"")</f>
        <v/>
      </c>
      <c r="J456" s="15" t="inlineStr">
        <is>
          <t>O</t>
        </is>
      </c>
      <c r="K456" s="16" t="inlineStr">
        <is>
          <t>O</t>
        </is>
      </c>
      <c r="L456" s="17" t="n"/>
      <c r="M456" s="18" t="n"/>
      <c r="N456" s="19" t="n"/>
      <c r="O456" s="20" t="n"/>
      <c r="P456" s="21">
        <f>IF($I456="","",IF($J456="O","3","")&amp;IF($K456="O","4","")&amp;IF($L456="O","6","")&amp;IF($M456="O","7","")&amp;IF($N456="O","8","")&amp;IF($O456="O","?","")&amp;IF(OR($J456="O",$K456="O",$L456="O",$M456="O",$N456="O",$O456="O"),"-","")&amp;$I456)</f>
        <v/>
      </c>
      <c r="Q456" s="110">
        <f>HYPERLINK("#'마스터_품목'!A683","→ 마스터 R683")</f>
        <v/>
      </c>
      <c r="R456" s="111" t="n">
        <v>683</v>
      </c>
      <c r="S456" s="111" t="inlineStr">
        <is>
          <t>마스터_품목</t>
        </is>
      </c>
    </row>
    <row r="457" ht="48" customHeight="1">
      <c r="A457" s="29" t="inlineStr">
        <is>
          <t>출하</t>
        </is>
      </c>
      <c r="B457" s="22" t="inlineStr">
        <is>
          <t>에어셀</t>
        </is>
      </c>
      <c r="C457" s="23" t="inlineStr">
        <is>
          <t>에어셀</t>
        </is>
      </c>
      <c r="D457" s="23" t="inlineStr">
        <is>
          <t>DX3000 에어셀_BOTTOM (JD010212-02)</t>
        </is>
      </c>
      <c r="E457" s="23" t="n"/>
      <c r="F457" s="24" t="inlineStr">
        <is>
          <t>O</t>
        </is>
      </c>
      <c r="G457" s="25" t="n"/>
      <c r="H457" s="26" t="n"/>
      <c r="I457" s="27">
        <f>IFERROR(IF(OR($F457="O",$G457="O",$H457="O"),CHOOSE(MATCH($A457,{"튜브","고압","진공","튜닝","조립","출하"},0),"T","H","V","N","A","P")&amp;IF($F457="O","R",IF($G457="O","A",IF($H457="O","F",""))),""),"")</f>
        <v/>
      </c>
      <c r="J457" s="15" t="inlineStr">
        <is>
          <t>O</t>
        </is>
      </c>
      <c r="K457" s="16" t="inlineStr">
        <is>
          <t>O</t>
        </is>
      </c>
      <c r="L457" s="17" t="n"/>
      <c r="M457" s="18" t="n"/>
      <c r="N457" s="19" t="n"/>
      <c r="O457" s="20" t="n"/>
      <c r="P457" s="21">
        <f>IF($I457="","",IF($J457="O","3","")&amp;IF($K457="O","4","")&amp;IF($L457="O","6","")&amp;IF($M457="O","7","")&amp;IF($N457="O","8","")&amp;IF($O457="O","?","")&amp;IF(OR($J457="O",$K457="O",$L457="O",$M457="O",$N457="O",$O457="O"),"-","")&amp;$I457)</f>
        <v/>
      </c>
      <c r="Q457" s="110">
        <f>HYPERLINK("#'마스터_품목'!A684","→ 마스터 R684")</f>
        <v/>
      </c>
      <c r="R457" s="111" t="n">
        <v>684</v>
      </c>
      <c r="S457" s="111" t="inlineStr">
        <is>
          <t>마스터_품목</t>
        </is>
      </c>
    </row>
    <row r="458" ht="48" customHeight="1">
      <c r="A458" s="29" t="inlineStr">
        <is>
          <t>출하</t>
        </is>
      </c>
      <c r="B458" s="22" t="inlineStr">
        <is>
          <t>에어셀</t>
        </is>
      </c>
      <c r="C458" s="23" t="inlineStr">
        <is>
          <t>에어셀</t>
        </is>
      </c>
      <c r="D458" s="23" t="inlineStr">
        <is>
          <t>COCOON 에어셀_TOP (JD010311-01)</t>
        </is>
      </c>
      <c r="E458" s="23" t="n"/>
      <c r="F458" s="24" t="inlineStr">
        <is>
          <t>O</t>
        </is>
      </c>
      <c r="G458" s="25" t="n"/>
      <c r="H458" s="26" t="n"/>
      <c r="I458" s="27">
        <f>IFERROR(IF(OR($F458="O",$G458="O",$H458="O"),CHOOSE(MATCH($A458,{"튜브","고압","진공","튜닝","조립","출하"},0),"T","H","V","N","A","P")&amp;IF($F458="O","R",IF($G458="O","A",IF($H458="O","F",""))),""),"")</f>
        <v/>
      </c>
      <c r="J458" s="15" t="n"/>
      <c r="K458" s="16" t="n"/>
      <c r="L458" s="17" t="inlineStr">
        <is>
          <t>O</t>
        </is>
      </c>
      <c r="M458" s="18" t="inlineStr">
        <is>
          <t>O</t>
        </is>
      </c>
      <c r="N458" s="19" t="n"/>
      <c r="O458" s="20" t="n"/>
      <c r="P458" s="21">
        <f>IF($I458="","",IF($J458="O","3","")&amp;IF($K458="O","4","")&amp;IF($L458="O","6","")&amp;IF($M458="O","7","")&amp;IF($N458="O","8","")&amp;IF($O458="O","?","")&amp;IF(OR($J458="O",$K458="O",$L458="O",$M458="O",$N458="O",$O458="O"),"-","")&amp;$I458)</f>
        <v/>
      </c>
      <c r="Q458" s="110">
        <f>HYPERLINK("#'마스터_품목'!A685","→ 마스터 R685")</f>
        <v/>
      </c>
      <c r="R458" s="111" t="n">
        <v>685</v>
      </c>
      <c r="S458" s="111" t="inlineStr">
        <is>
          <t>마스터_품목</t>
        </is>
      </c>
    </row>
    <row r="459" ht="48" customHeight="1">
      <c r="A459" s="29" t="inlineStr">
        <is>
          <t>출하</t>
        </is>
      </c>
      <c r="B459" s="22" t="inlineStr">
        <is>
          <t>에어셀</t>
        </is>
      </c>
      <c r="C459" s="23" t="inlineStr">
        <is>
          <t>에어셀</t>
        </is>
      </c>
      <c r="D459" s="23" t="inlineStr">
        <is>
          <t>COCOON 에어셀_BOTTOM (JD010312-01)</t>
        </is>
      </c>
      <c r="E459" s="23" t="n"/>
      <c r="F459" s="24" t="inlineStr">
        <is>
          <t>O</t>
        </is>
      </c>
      <c r="G459" s="25" t="n"/>
      <c r="H459" s="26" t="n"/>
      <c r="I459" s="27">
        <f>IFERROR(IF(OR($F459="O",$G459="O",$H459="O"),CHOOSE(MATCH($A459,{"튜브","고압","진공","튜닝","조립","출하"},0),"T","H","V","N","A","P")&amp;IF($F459="O","R",IF($G459="O","A",IF($H459="O","F",""))),""),"")</f>
        <v/>
      </c>
      <c r="J459" s="15" t="n"/>
      <c r="K459" s="16" t="n"/>
      <c r="L459" s="17" t="inlineStr">
        <is>
          <t>O</t>
        </is>
      </c>
      <c r="M459" s="18" t="inlineStr">
        <is>
          <t>O</t>
        </is>
      </c>
      <c r="N459" s="19" t="n"/>
      <c r="O459" s="20" t="n"/>
      <c r="P459" s="21">
        <f>IF($I459="","",IF($J459="O","3","")&amp;IF($K459="O","4","")&amp;IF($L459="O","6","")&amp;IF($M459="O","7","")&amp;IF($N459="O","8","")&amp;IF($O459="O","?","")&amp;IF(OR($J459="O",$K459="O",$L459="O",$M459="O",$N459="O",$O459="O"),"-","")&amp;$I459)</f>
        <v/>
      </c>
      <c r="Q459" s="110">
        <f>HYPERLINK("#'마스터_품목'!A686","→ 마스터 R686")</f>
        <v/>
      </c>
      <c r="R459" s="111" t="n">
        <v>686</v>
      </c>
      <c r="S459" s="111" t="inlineStr">
        <is>
          <t>마스터_품목</t>
        </is>
      </c>
    </row>
    <row r="460" ht="48" customHeight="1">
      <c r="A460" s="29" t="inlineStr">
        <is>
          <t>출하</t>
        </is>
      </c>
      <c r="B460" s="22" t="inlineStr">
        <is>
          <t>에어셀</t>
        </is>
      </c>
      <c r="C460" s="23" t="inlineStr">
        <is>
          <t>에어셀</t>
        </is>
      </c>
      <c r="D460" s="23" t="inlineStr">
        <is>
          <t>DX3000M 저가형 에어셀</t>
        </is>
      </c>
      <c r="E460" s="23" t="n"/>
      <c r="F460" s="24" t="inlineStr">
        <is>
          <t>O</t>
        </is>
      </c>
      <c r="G460" s="25" t="n"/>
      <c r="H460" s="26" t="n"/>
      <c r="I460" s="27">
        <f>IFERROR(IF(OR($F460="O",$G460="O",$H460="O"),CHOOSE(MATCH($A460,{"튜브","고압","진공","튜닝","조립","출하"},0),"T","H","V","N","A","P")&amp;IF($F460="O","R",IF($G460="O","A",IF($H460="O","F",""))),""),"")</f>
        <v/>
      </c>
      <c r="J460" s="15" t="inlineStr">
        <is>
          <t>O</t>
        </is>
      </c>
      <c r="K460" s="16" t="n"/>
      <c r="L460" s="17" t="n"/>
      <c r="M460" s="18" t="n"/>
      <c r="N460" s="19" t="n"/>
      <c r="O460" s="20" t="n"/>
      <c r="P460" s="21">
        <f>IF($I460="","",IF($J460="O","3","")&amp;IF($K460="O","4","")&amp;IF($L460="O","6","")&amp;IF($M460="O","7","")&amp;IF($N460="O","8","")&amp;IF($O460="O","?","")&amp;IF(OR($J460="O",$K460="O",$L460="O",$M460="O",$N460="O",$O460="O"),"-","")&amp;$I460)</f>
        <v/>
      </c>
      <c r="Q460" s="110">
        <f>HYPERLINK("#'마스터_품목'!A687","→ 마스터 R687")</f>
        <v/>
      </c>
      <c r="R460" s="111" t="n">
        <v>687</v>
      </c>
      <c r="S460" s="111" t="inlineStr">
        <is>
          <t>마스터_품목</t>
        </is>
      </c>
    </row>
    <row r="461" ht="48" customHeight="1">
      <c r="A461" s="22" t="inlineStr">
        <is>
          <t>조립</t>
        </is>
      </c>
      <c r="B461" s="22" t="inlineStr">
        <is>
          <t>사출_ 샌딩</t>
        </is>
      </c>
      <c r="C461" s="23" t="inlineStr">
        <is>
          <t>SOLO</t>
        </is>
      </c>
      <c r="D461" s="23" t="inlineStr">
        <is>
          <t>Top_body _ 블랙 샌딩</t>
        </is>
      </c>
      <c r="E461" s="23" t="inlineStr">
        <is>
          <t>TOP Body (ABS 블랙 샌딩)
[SOLO]</t>
        </is>
      </c>
      <c r="F461" s="24" t="inlineStr">
        <is>
          <t>O</t>
        </is>
      </c>
      <c r="G461" s="25" t="n"/>
      <c r="H461" s="26" t="n"/>
      <c r="I461" s="27">
        <f>IFERROR(IF(OR($F461="O",$G461="O",$H461="O"),CHOOSE(MATCH($A461,{"튜브","고압","진공","튜닝","조립","출하"},0),"T","H","V","N","A","P")&amp;IF($F461="O","R",IF($G461="O","A",IF($H461="O","F",""))),""),"")</f>
        <v/>
      </c>
      <c r="J461" s="15" t="n"/>
      <c r="K461" s="16" t="n"/>
      <c r="L461" s="17" t="n"/>
      <c r="M461" s="18" t="n"/>
      <c r="N461" s="19" t="inlineStr">
        <is>
          <t>O</t>
        </is>
      </c>
      <c r="O461" s="20" t="n"/>
      <c r="P461" s="21">
        <f>IF($I461="","",IF($J461="O","3","")&amp;IF($K461="O","4","")&amp;IF($L461="O","6","")&amp;IF($M461="O","7","")&amp;IF($N461="O","8","")&amp;IF($O461="O","?","")&amp;IF(OR($J461="O",$K461="O",$L461="O",$M461="O",$N461="O",$O461="O"),"-","")&amp;$I461)</f>
        <v/>
      </c>
      <c r="Q461" s="110">
        <f>HYPERLINK("#'마스터_품목'!A508","→ 마스터 R508")</f>
        <v/>
      </c>
      <c r="R461" s="111" t="n">
        <v>508</v>
      </c>
      <c r="S461" s="111" t="inlineStr">
        <is>
          <t>마스터_품목</t>
        </is>
      </c>
    </row>
    <row r="462" ht="48" customHeight="1">
      <c r="A462" s="22" t="inlineStr">
        <is>
          <t>조립</t>
        </is>
      </c>
      <c r="B462" s="22" t="inlineStr">
        <is>
          <t>사출_ 샌딩</t>
        </is>
      </c>
      <c r="C462" s="23" t="inlineStr">
        <is>
          <t>SOLO</t>
        </is>
      </c>
      <c r="D462" s="23" t="inlineStr">
        <is>
          <t>Bottom Body _ 블랙 샌딩</t>
        </is>
      </c>
      <c r="E462" s="23" t="inlineStr">
        <is>
          <t>Bottom Body (ABS 블랙 샌딩)
[SOLO]</t>
        </is>
      </c>
      <c r="F462" s="24" t="inlineStr">
        <is>
          <t>O</t>
        </is>
      </c>
      <c r="G462" s="25" t="n"/>
      <c r="H462" s="26" t="n"/>
      <c r="I462" s="27">
        <f>IFERROR(IF(OR($F462="O",$G462="O",$H462="O"),CHOOSE(MATCH($A462,{"튜브","고압","진공","튜닝","조립","출하"},0),"T","H","V","N","A","P")&amp;IF($F462="O","R",IF($G462="O","A",IF($H462="O","F",""))),""),"")</f>
        <v/>
      </c>
      <c r="J462" s="15" t="n"/>
      <c r="K462" s="16" t="n"/>
      <c r="L462" s="17" t="n"/>
      <c r="M462" s="18" t="n"/>
      <c r="N462" s="19" t="inlineStr">
        <is>
          <t>O</t>
        </is>
      </c>
      <c r="O462" s="20" t="n"/>
      <c r="P462" s="21">
        <f>IF($I462="","",IF($J462="O","3","")&amp;IF($K462="O","4","")&amp;IF($L462="O","6","")&amp;IF($M462="O","7","")&amp;IF($N462="O","8","")&amp;IF($O462="O","?","")&amp;IF(OR($J462="O",$K462="O",$L462="O",$M462="O",$N462="O",$O462="O"),"-","")&amp;$I462)</f>
        <v/>
      </c>
      <c r="Q462" s="110">
        <f>HYPERLINK("#'마스터_품목'!A509","→ 마스터 R509")</f>
        <v/>
      </c>
      <c r="R462" s="111" t="n">
        <v>509</v>
      </c>
      <c r="S462" s="111" t="inlineStr">
        <is>
          <t>마스터_품목</t>
        </is>
      </c>
    </row>
    <row r="463" ht="48" customHeight="1">
      <c r="A463" s="22" t="inlineStr">
        <is>
          <t>조립</t>
        </is>
      </c>
      <c r="B463" s="22" t="inlineStr">
        <is>
          <t>사출_ 샌딩</t>
        </is>
      </c>
      <c r="C463" s="23" t="inlineStr">
        <is>
          <t>SOLO</t>
        </is>
      </c>
      <c r="D463" s="23" t="inlineStr">
        <is>
          <t>Hand_Body _ 블랙 샌딩</t>
        </is>
      </c>
      <c r="E463" s="23" t="inlineStr">
        <is>
          <t>Hand_Body (ABS 블랙 샌딩)
[SOLO]</t>
        </is>
      </c>
      <c r="F463" s="24" t="inlineStr">
        <is>
          <t>O</t>
        </is>
      </c>
      <c r="G463" s="25" t="n"/>
      <c r="H463" s="26" t="n"/>
      <c r="I463" s="27">
        <f>IFERROR(IF(OR($F463="O",$G463="O",$H463="O"),CHOOSE(MATCH($A463,{"튜브","고압","진공","튜닝","조립","출하"},0),"T","H","V","N","A","P")&amp;IF($F463="O","R",IF($G463="O","A",IF($H463="O","F",""))),""),"")</f>
        <v/>
      </c>
      <c r="J463" s="15" t="n"/>
      <c r="K463" s="16" t="n"/>
      <c r="L463" s="17" t="n"/>
      <c r="M463" s="18" t="n"/>
      <c r="N463" s="19" t="inlineStr">
        <is>
          <t>O</t>
        </is>
      </c>
      <c r="O463" s="20" t="n"/>
      <c r="P463" s="21">
        <f>IF($I463="","",IF($J463="O","3","")&amp;IF($K463="O","4","")&amp;IF($L463="O","6","")&amp;IF($M463="O","7","")&amp;IF($N463="O","8","")&amp;IF($O463="O","?","")&amp;IF(OR($J463="O",$K463="O",$L463="O",$M463="O",$N463="O",$O463="O"),"-","")&amp;$I463)</f>
        <v/>
      </c>
      <c r="Q463" s="110">
        <f>HYPERLINK("#'마스터_품목'!A510","→ 마스터 R510")</f>
        <v/>
      </c>
      <c r="R463" s="111" t="n">
        <v>510</v>
      </c>
      <c r="S463" s="111" t="inlineStr">
        <is>
          <t>마스터_품목</t>
        </is>
      </c>
    </row>
    <row r="464" ht="48" customHeight="1">
      <c r="A464" s="22" t="inlineStr">
        <is>
          <t>조립</t>
        </is>
      </c>
      <c r="B464" s="22" t="inlineStr">
        <is>
          <t>사출_ 샌딩</t>
        </is>
      </c>
      <c r="C464" s="23" t="inlineStr">
        <is>
          <t>SOLO</t>
        </is>
      </c>
      <c r="D464" s="23" t="inlineStr">
        <is>
          <t>Bat_Bottom _ 블랙 샌딩</t>
        </is>
      </c>
      <c r="E464" s="23" t="inlineStr">
        <is>
          <t>Bat_Bottom (ABS 블랙 샌딩)
[SOLO]</t>
        </is>
      </c>
      <c r="F464" s="24" t="inlineStr">
        <is>
          <t>O</t>
        </is>
      </c>
      <c r="G464" s="25" t="n"/>
      <c r="H464" s="26" t="n"/>
      <c r="I464" s="27">
        <f>IFERROR(IF(OR($F464="O",$G464="O",$H464="O"),CHOOSE(MATCH($A464,{"튜브","고압","진공","튜닝","조립","출하"},0),"T","H","V","N","A","P")&amp;IF($F464="O","R",IF($G464="O","A",IF($H464="O","F",""))),""),"")</f>
        <v/>
      </c>
      <c r="J464" s="15" t="n"/>
      <c r="K464" s="16" t="n"/>
      <c r="L464" s="17" t="n"/>
      <c r="M464" s="18" t="n"/>
      <c r="N464" s="19" t="inlineStr">
        <is>
          <t>O</t>
        </is>
      </c>
      <c r="O464" s="20" t="n"/>
      <c r="P464" s="21">
        <f>IF($I464="","",IF($J464="O","3","")&amp;IF($K464="O","4","")&amp;IF($L464="O","6","")&amp;IF($M464="O","7","")&amp;IF($N464="O","8","")&amp;IF($O464="O","?","")&amp;IF(OR($J464="O",$K464="O",$L464="O",$M464="O",$N464="O",$O464="O"),"-","")&amp;$I464)</f>
        <v/>
      </c>
      <c r="Q464" s="110">
        <f>HYPERLINK("#'마스터_품목'!A511","→ 마스터 R511")</f>
        <v/>
      </c>
      <c r="R464" s="111" t="n">
        <v>511</v>
      </c>
      <c r="S464" s="111" t="inlineStr">
        <is>
          <t>마스터_품목</t>
        </is>
      </c>
    </row>
    <row r="465" ht="48" customHeight="1">
      <c r="A465" s="22" t="inlineStr">
        <is>
          <t>조립</t>
        </is>
      </c>
      <c r="B465" s="22" t="inlineStr">
        <is>
          <t>사출_ 샌딩</t>
        </is>
      </c>
      <c r="C465" s="23" t="inlineStr">
        <is>
          <t>SOLO</t>
        </is>
      </c>
      <c r="D465" s="23" t="inlineStr">
        <is>
          <t>Bat_Bottom_Cover _ 블랙 샌딩</t>
        </is>
      </c>
      <c r="E465" s="23" t="inlineStr">
        <is>
          <t>Bat_Bottom_Cover (ABS 블랙 샌딩)
[SOLO]</t>
        </is>
      </c>
      <c r="F465" s="24" t="inlineStr">
        <is>
          <t>O</t>
        </is>
      </c>
      <c r="G465" s="25" t="n"/>
      <c r="H465" s="26" t="n"/>
      <c r="I465" s="27">
        <f>IFERROR(IF(OR($F465="O",$G465="O",$H465="O"),CHOOSE(MATCH($A465,{"튜브","고압","진공","튜닝","조립","출하"},0),"T","H","V","N","A","P")&amp;IF($F465="O","R",IF($G465="O","A",IF($H465="O","F",""))),""),"")</f>
        <v/>
      </c>
      <c r="J465" s="15" t="n"/>
      <c r="K465" s="16" t="n"/>
      <c r="L465" s="17" t="n"/>
      <c r="M465" s="18" t="n"/>
      <c r="N465" s="19" t="inlineStr">
        <is>
          <t>O</t>
        </is>
      </c>
      <c r="O465" s="20" t="n"/>
      <c r="P465" s="21">
        <f>IF($I465="","",IF($J465="O","3","")&amp;IF($K465="O","4","")&amp;IF($L465="O","6","")&amp;IF($M465="O","7","")&amp;IF($N465="O","8","")&amp;IF($O465="O","?","")&amp;IF(OR($J465="O",$K465="O",$L465="O",$M465="O",$N465="O",$O465="O"),"-","")&amp;$I465)</f>
        <v/>
      </c>
      <c r="Q465" s="110">
        <f>HYPERLINK("#'마스터_품목'!A512","→ 마스터 R512")</f>
        <v/>
      </c>
      <c r="R465" s="111" t="n">
        <v>512</v>
      </c>
      <c r="S465" s="111" t="inlineStr">
        <is>
          <t>마스터_품목</t>
        </is>
      </c>
    </row>
    <row r="466" ht="48" customHeight="1">
      <c r="A466" s="22" t="inlineStr">
        <is>
          <t>조립</t>
        </is>
      </c>
      <c r="B466" s="22" t="inlineStr">
        <is>
          <t>사출_ 샌딩</t>
        </is>
      </c>
      <c r="C466" s="23" t="inlineStr">
        <is>
          <t>SOLO</t>
        </is>
      </c>
      <c r="D466" s="23" t="inlineStr">
        <is>
          <t>Power Button _ 블랙 샌딩</t>
        </is>
      </c>
      <c r="E466" s="23" t="inlineStr">
        <is>
          <t>Power Button (ABS 블랙 샌딩)
[SOLO]</t>
        </is>
      </c>
      <c r="F466" s="24" t="inlineStr">
        <is>
          <t>O</t>
        </is>
      </c>
      <c r="G466" s="25" t="n"/>
      <c r="H466" s="26" t="n"/>
      <c r="I466" s="27">
        <f>IFERROR(IF(OR($F466="O",$G466="O",$H466="O"),CHOOSE(MATCH($A466,{"튜브","고압","진공","튜닝","조립","출하"},0),"T","H","V","N","A","P")&amp;IF($F466="O","R",IF($G466="O","A",IF($H466="O","F",""))),""),"")</f>
        <v/>
      </c>
      <c r="J466" s="15" t="n"/>
      <c r="K466" s="16" t="n"/>
      <c r="L466" s="17" t="n"/>
      <c r="M466" s="18" t="n"/>
      <c r="N466" s="19" t="inlineStr">
        <is>
          <t>O</t>
        </is>
      </c>
      <c r="O466" s="20" t="n"/>
      <c r="P466" s="21">
        <f>IF($I466="","",IF($J466="O","3","")&amp;IF($K466="O","4","")&amp;IF($L466="O","6","")&amp;IF($M466="O","7","")&amp;IF($N466="O","8","")&amp;IF($O466="O","?","")&amp;IF(OR($J466="O",$K466="O",$L466="O",$M466="O",$N466="O",$O466="O"),"-","")&amp;$I466)</f>
        <v/>
      </c>
      <c r="Q466" s="110">
        <f>HYPERLINK("#'마스터_품목'!A513","→ 마스터 R513")</f>
        <v/>
      </c>
      <c r="R466" s="111" t="n">
        <v>513</v>
      </c>
      <c r="S466" s="111" t="inlineStr">
        <is>
          <t>마스터_품목</t>
        </is>
      </c>
    </row>
    <row r="467" ht="48" customHeight="1">
      <c r="A467" s="22" t="inlineStr">
        <is>
          <t>조립</t>
        </is>
      </c>
      <c r="B467" s="22" t="inlineStr">
        <is>
          <t>사출_ 샌딩</t>
        </is>
      </c>
      <c r="C467" s="23" t="inlineStr">
        <is>
          <t>SOLO</t>
        </is>
      </c>
      <c r="D467" s="23" t="inlineStr">
        <is>
          <t>Lock Knob _ 블랙 샌딩</t>
        </is>
      </c>
      <c r="E467" s="23" t="inlineStr">
        <is>
          <t>Lock Knob (ABS 블랙 샌딩)
[SOLO]</t>
        </is>
      </c>
      <c r="F467" s="24" t="inlineStr">
        <is>
          <t>O</t>
        </is>
      </c>
      <c r="G467" s="25" t="n"/>
      <c r="H467" s="26" t="n"/>
      <c r="I467" s="27">
        <f>IFERROR(IF(OR($F467="O",$G467="O",$H467="O"),CHOOSE(MATCH($A467,{"튜브","고압","진공","튜닝","조립","출하"},0),"T","H","V","N","A","P")&amp;IF($F467="O","R",IF($G467="O","A",IF($H467="O","F",""))),""),"")</f>
        <v/>
      </c>
      <c r="J467" s="15" t="n"/>
      <c r="K467" s="16" t="n"/>
      <c r="L467" s="17" t="n"/>
      <c r="M467" s="18" t="n"/>
      <c r="N467" s="19" t="inlineStr">
        <is>
          <t>O</t>
        </is>
      </c>
      <c r="O467" s="20" t="n"/>
      <c r="P467" s="21">
        <f>IF($I467="","",IF($J467="O","3","")&amp;IF($K467="O","4","")&amp;IF($L467="O","6","")&amp;IF($M467="O","7","")&amp;IF($N467="O","8","")&amp;IF($O467="O","?","")&amp;IF(OR($J467="O",$K467="O",$L467="O",$M467="O",$N467="O",$O467="O"),"-","")&amp;$I467)</f>
        <v/>
      </c>
      <c r="Q467" s="110">
        <f>HYPERLINK("#'마스터_품목'!A514","→ 마스터 R514")</f>
        <v/>
      </c>
      <c r="R467" s="111" t="n">
        <v>514</v>
      </c>
      <c r="S467" s="111" t="inlineStr">
        <is>
          <t>마스터_품목</t>
        </is>
      </c>
    </row>
    <row r="468" ht="48" customHeight="1">
      <c r="A468" s="22" t="inlineStr">
        <is>
          <t>조립</t>
        </is>
      </c>
      <c r="B468" s="22" t="inlineStr">
        <is>
          <t>사출_ 도색</t>
        </is>
      </c>
      <c r="C468" s="23" t="inlineStr">
        <is>
          <t>SOLO</t>
        </is>
      </c>
      <c r="D468" s="23" t="inlineStr">
        <is>
          <t>Front_CAP _ 메탈릭 다크 그레이 도색</t>
        </is>
      </c>
      <c r="E468" s="23" t="inlineStr">
        <is>
          <t>Front_CAP (ABS 메탈릭 다크그레이)
[SOLO]</t>
        </is>
      </c>
      <c r="F468" s="24" t="inlineStr">
        <is>
          <t>O</t>
        </is>
      </c>
      <c r="G468" s="25" t="n"/>
      <c r="H468" s="26" t="n"/>
      <c r="I468" s="27">
        <f>IFERROR(IF(OR($F468="O",$G468="O",$H468="O"),CHOOSE(MATCH($A468,{"튜브","고압","진공","튜닝","조립","출하"},0),"T","H","V","N","A","P")&amp;IF($F468="O","R",IF($G468="O","A",IF($H468="O","F",""))),""),"")</f>
        <v/>
      </c>
      <c r="J468" s="15" t="n"/>
      <c r="K468" s="16" t="n"/>
      <c r="L468" s="17" t="n"/>
      <c r="M468" s="18" t="n"/>
      <c r="N468" s="19" t="inlineStr">
        <is>
          <t>O</t>
        </is>
      </c>
      <c r="O468" s="20" t="n"/>
      <c r="P468" s="21">
        <f>IF($I468="","",IF($J468="O","3","")&amp;IF($K468="O","4","")&amp;IF($L468="O","6","")&amp;IF($M468="O","7","")&amp;IF($N468="O","8","")&amp;IF($O468="O","?","")&amp;IF(OR($J468="O",$K468="O",$L468="O",$M468="O",$N468="O",$O468="O"),"-","")&amp;$I468)</f>
        <v/>
      </c>
      <c r="Q468" s="110">
        <f>HYPERLINK("#'마스터_품목'!A515","→ 마스터 R515")</f>
        <v/>
      </c>
      <c r="R468" s="111" t="n">
        <v>515</v>
      </c>
      <c r="S468" s="111" t="inlineStr">
        <is>
          <t>마스터_품목</t>
        </is>
      </c>
    </row>
    <row r="469" ht="48" customHeight="1">
      <c r="A469" s="22" t="inlineStr">
        <is>
          <t>조립</t>
        </is>
      </c>
      <c r="B469" s="22" t="inlineStr">
        <is>
          <t>사출_ 도색</t>
        </is>
      </c>
      <c r="C469" s="23" t="inlineStr">
        <is>
          <t>SOLO</t>
        </is>
      </c>
      <c r="D469" s="23" t="inlineStr">
        <is>
          <t>연장 Cone  _ 메탈릭 다크 그레이 도색</t>
        </is>
      </c>
      <c r="E469" s="23" t="inlineStr">
        <is>
          <t>연장 Cone (ABS 메탈릭 다크그레이)
[SOLO]</t>
        </is>
      </c>
      <c r="F469" s="24" t="inlineStr">
        <is>
          <t>O</t>
        </is>
      </c>
      <c r="G469" s="25" t="n"/>
      <c r="H469" s="26" t="n"/>
      <c r="I469" s="27">
        <f>IFERROR(IF(OR($F469="O",$G469="O",$H469="O"),CHOOSE(MATCH($A469,{"튜브","고압","진공","튜닝","조립","출하"},0),"T","H","V","N","A","P")&amp;IF($F469="O","R",IF($G469="O","A",IF($H469="O","F",""))),""),"")</f>
        <v/>
      </c>
      <c r="J469" s="15" t="n"/>
      <c r="K469" s="16" t="n"/>
      <c r="L469" s="17" t="n"/>
      <c r="M469" s="18" t="n"/>
      <c r="N469" s="19" t="inlineStr">
        <is>
          <t>O</t>
        </is>
      </c>
      <c r="O469" s="20" t="n"/>
      <c r="P469" s="21">
        <f>IF($I469="","",IF($J469="O","3","")&amp;IF($K469="O","4","")&amp;IF($L469="O","6","")&amp;IF($M469="O","7","")&amp;IF($N469="O","8","")&amp;IF($O469="O","?","")&amp;IF(OR($J469="O",$K469="O",$L469="O",$M469="O",$N469="O",$O469="O"),"-","")&amp;$I469)</f>
        <v/>
      </c>
      <c r="Q469" s="110">
        <f>HYPERLINK("#'마스터_품목'!A516","→ 마스터 R516")</f>
        <v/>
      </c>
      <c r="R469" s="111" t="n">
        <v>516</v>
      </c>
      <c r="S469" s="111" t="inlineStr">
        <is>
          <t>마스터_품목</t>
        </is>
      </c>
    </row>
    <row r="470" ht="48" customHeight="1">
      <c r="A470" s="22" t="inlineStr">
        <is>
          <t>조립</t>
        </is>
      </c>
      <c r="B470" s="22" t="inlineStr">
        <is>
          <t>사출_ 도색</t>
        </is>
      </c>
      <c r="C470" s="23" t="inlineStr">
        <is>
          <t>SOLO</t>
        </is>
      </c>
      <c r="D470" s="23" t="inlineStr">
        <is>
          <t>Main_Cone _ 메탈릭 다크 그레이 도색</t>
        </is>
      </c>
      <c r="E470" s="23" t="inlineStr">
        <is>
          <t>Main_Cone (ABS 메탈릭 다크그레이)
[SOLO]</t>
        </is>
      </c>
      <c r="F470" s="24" t="inlineStr">
        <is>
          <t>O</t>
        </is>
      </c>
      <c r="G470" s="25" t="n"/>
      <c r="H470" s="26" t="n"/>
      <c r="I470" s="27">
        <f>IFERROR(IF(OR($F470="O",$G470="O",$H470="O"),CHOOSE(MATCH($A470,{"튜브","고압","진공","튜닝","조립","출하"},0),"T","H","V","N","A","P")&amp;IF($F470="O","R",IF($G470="O","A",IF($H470="O","F",""))),""),"")</f>
        <v/>
      </c>
      <c r="J470" s="15" t="n"/>
      <c r="K470" s="16" t="n"/>
      <c r="L470" s="17" t="n"/>
      <c r="M470" s="18" t="n"/>
      <c r="N470" s="19" t="inlineStr">
        <is>
          <t>O</t>
        </is>
      </c>
      <c r="O470" s="20" t="n"/>
      <c r="P470" s="21">
        <f>IF($I470="","",IF($J470="O","3","")&amp;IF($K470="O","4","")&amp;IF($L470="O","6","")&amp;IF($M470="O","7","")&amp;IF($N470="O","8","")&amp;IF($O470="O","?","")&amp;IF(OR($J470="O",$K470="O",$L470="O",$M470="O",$N470="O",$O470="O"),"-","")&amp;$I470)</f>
        <v/>
      </c>
      <c r="Q470" s="110">
        <f>HYPERLINK("#'마스터_품목'!A517","→ 마스터 R517")</f>
        <v/>
      </c>
      <c r="R470" s="111" t="n">
        <v>517</v>
      </c>
      <c r="S470" s="111" t="inlineStr">
        <is>
          <t>마스터_품목</t>
        </is>
      </c>
    </row>
    <row r="471" ht="48" customHeight="1">
      <c r="A471" s="22" t="inlineStr">
        <is>
          <t>조립</t>
        </is>
      </c>
      <c r="B471" s="22" t="inlineStr">
        <is>
          <t>사출_ 도색</t>
        </is>
      </c>
      <c r="C471" s="23" t="inlineStr">
        <is>
          <t>SOLO</t>
        </is>
      </c>
      <c r="D471" s="23" t="inlineStr">
        <is>
          <t>45cm_Cone _ 메탈릭 다크 그레이 도색</t>
        </is>
      </c>
      <c r="E471" s="23" t="n"/>
      <c r="F471" s="24" t="inlineStr">
        <is>
          <t>O</t>
        </is>
      </c>
      <c r="G471" s="25" t="n"/>
      <c r="H471" s="26" t="n"/>
      <c r="I471" s="27">
        <f>IFERROR(IF(OR($F471="O",$G471="O",$H471="O"),CHOOSE(MATCH($A471,{"튜브","고압","진공","튜닝","조립","출하"},0),"T","H","V","N","A","P")&amp;IF($F471="O","R",IF($G471="O","A",IF($H471="O","F",""))),""),"")</f>
        <v/>
      </c>
      <c r="J471" s="15" t="n"/>
      <c r="K471" s="16" t="n"/>
      <c r="L471" s="17" t="n"/>
      <c r="M471" s="18" t="n"/>
      <c r="N471" s="19" t="inlineStr">
        <is>
          <t>O</t>
        </is>
      </c>
      <c r="O471" s="20" t="n"/>
      <c r="P471" s="21">
        <f>IF($I471="","",IF($J471="O","3","")&amp;IF($K471="O","4","")&amp;IF($L471="O","6","")&amp;IF($M471="O","7","")&amp;IF($N471="O","8","")&amp;IF($O471="O","?","")&amp;IF(OR($J471="O",$K471="O",$L471="O",$M471="O",$N471="O",$O471="O"),"-","")&amp;$I471)</f>
        <v/>
      </c>
      <c r="Q471" s="110">
        <f>HYPERLINK("#'마스터_품목'!A518","→ 마스터 R518")</f>
        <v/>
      </c>
      <c r="R471" s="111" t="n">
        <v>518</v>
      </c>
      <c r="S471" s="111" t="inlineStr">
        <is>
          <t>마스터_품목</t>
        </is>
      </c>
    </row>
    <row r="472" ht="48" customHeight="1">
      <c r="A472" s="22" t="inlineStr">
        <is>
          <t>조립</t>
        </is>
      </c>
      <c r="B472" s="22" t="inlineStr">
        <is>
          <t>사출_ 도색</t>
        </is>
      </c>
      <c r="C472" s="23" t="inlineStr">
        <is>
          <t>SOLO</t>
        </is>
      </c>
      <c r="D472" s="23" t="inlineStr">
        <is>
          <t>Short_Button _ 메탈릭 다크 그레이 도색</t>
        </is>
      </c>
      <c r="E472" s="23" t="inlineStr">
        <is>
          <t>Shot_Button (ABS 메탈릭 다크그레이)
[SOLO]</t>
        </is>
      </c>
      <c r="F472" s="24" t="inlineStr">
        <is>
          <t>O</t>
        </is>
      </c>
      <c r="G472" s="25" t="n"/>
      <c r="H472" s="26" t="n"/>
      <c r="I472" s="27">
        <f>IFERROR(IF(OR($F472="O",$G472="O",$H472="O"),CHOOSE(MATCH($A472,{"튜브","고압","진공","튜닝","조립","출하"},0),"T","H","V","N","A","P")&amp;IF($F472="O","R",IF($G472="O","A",IF($H472="O","F",""))),""),"")</f>
        <v/>
      </c>
      <c r="J472" s="15" t="n"/>
      <c r="K472" s="16" t="n"/>
      <c r="L472" s="17" t="n"/>
      <c r="M472" s="18" t="n"/>
      <c r="N472" s="19" t="inlineStr">
        <is>
          <t>O</t>
        </is>
      </c>
      <c r="O472" s="20" t="n"/>
      <c r="P472" s="21">
        <f>IF($I472="","",IF($J472="O","3","")&amp;IF($K472="O","4","")&amp;IF($L472="O","6","")&amp;IF($M472="O","7","")&amp;IF($N472="O","8","")&amp;IF($O472="O","?","")&amp;IF(OR($J472="O",$K472="O",$L472="O",$M472="O",$N472="O",$O472="O"),"-","")&amp;$I472)</f>
        <v/>
      </c>
      <c r="Q472" s="110">
        <f>HYPERLINK("#'마스터_품목'!A519","→ 마스터 R519")</f>
        <v/>
      </c>
      <c r="R472" s="111" t="n">
        <v>519</v>
      </c>
      <c r="S472" s="111" t="inlineStr">
        <is>
          <t>마스터_품목</t>
        </is>
      </c>
    </row>
    <row r="473" ht="48" customHeight="1">
      <c r="A473" s="22" t="inlineStr">
        <is>
          <t>조립</t>
        </is>
      </c>
      <c r="B473" s="22" t="inlineStr">
        <is>
          <t>사출_ 도색</t>
        </is>
      </c>
      <c r="C473" s="23" t="inlineStr">
        <is>
          <t>SOLO</t>
        </is>
      </c>
      <c r="D473" s="23" t="inlineStr">
        <is>
          <t>Slide Switch _ SKY BLUE 무광 도색</t>
        </is>
      </c>
      <c r="E473" s="23" t="inlineStr">
        <is>
          <t>Slide Switch (ABS 블루(PANTTON 660C) 무광)
[SOLO]</t>
        </is>
      </c>
      <c r="F473" s="24" t="inlineStr">
        <is>
          <t>O</t>
        </is>
      </c>
      <c r="G473" s="25" t="n"/>
      <c r="H473" s="26" t="n"/>
      <c r="I473" s="27">
        <f>IFERROR(IF(OR($F473="O",$G473="O",$H473="O"),CHOOSE(MATCH($A473,{"튜브","고압","진공","튜닝","조립","출하"},0),"T","H","V","N","A","P")&amp;IF($F473="O","R",IF($G473="O","A",IF($H473="O","F",""))),""),"")</f>
        <v/>
      </c>
      <c r="J473" s="15" t="n"/>
      <c r="K473" s="16" t="n"/>
      <c r="L473" s="17" t="n"/>
      <c r="M473" s="18" t="n"/>
      <c r="N473" s="19" t="inlineStr">
        <is>
          <t>O</t>
        </is>
      </c>
      <c r="O473" s="20" t="n"/>
      <c r="P473" s="21">
        <f>IF($I473="","",IF($J473="O","3","")&amp;IF($K473="O","4","")&amp;IF($L473="O","6","")&amp;IF($M473="O","7","")&amp;IF($N473="O","8","")&amp;IF($O473="O","?","")&amp;IF(OR($J473="O",$K473="O",$L473="O",$M473="O",$N473="O",$O473="O"),"-","")&amp;$I473)</f>
        <v/>
      </c>
      <c r="Q473" s="110">
        <f>HYPERLINK("#'마스터_품목'!A520","→ 마스터 R520")</f>
        <v/>
      </c>
      <c r="R473" s="111" t="n">
        <v>520</v>
      </c>
      <c r="S473" s="111" t="inlineStr">
        <is>
          <t>마스터_품목</t>
        </is>
      </c>
    </row>
    <row r="474" ht="48" customHeight="1">
      <c r="A474" s="22" t="inlineStr">
        <is>
          <t>조립</t>
        </is>
      </c>
      <c r="B474" s="22" t="inlineStr">
        <is>
          <t>사출_ 도색</t>
        </is>
      </c>
      <c r="C474" s="23" t="inlineStr">
        <is>
          <t>SOLO</t>
        </is>
      </c>
      <c r="D474" s="23" t="inlineStr">
        <is>
          <t>Slide Switch Cap _ 레드무광 도색</t>
        </is>
      </c>
      <c r="E474" s="23" t="inlineStr">
        <is>
          <t>Slide Switch Cap (ABS 레드 무광)
[SOLO]</t>
        </is>
      </c>
      <c r="F474" s="24" t="inlineStr">
        <is>
          <t>O</t>
        </is>
      </c>
      <c r="G474" s="25" t="n"/>
      <c r="H474" s="26" t="n"/>
      <c r="I474" s="27">
        <f>IFERROR(IF(OR($F474="O",$G474="O",$H474="O"),CHOOSE(MATCH($A474,{"튜브","고압","진공","튜닝","조립","출하"},0),"T","H","V","N","A","P")&amp;IF($F474="O","R",IF($G474="O","A",IF($H474="O","F",""))),""),"")</f>
        <v/>
      </c>
      <c r="J474" s="15" t="n"/>
      <c r="K474" s="16" t="n"/>
      <c r="L474" s="17" t="n"/>
      <c r="M474" s="18" t="n"/>
      <c r="N474" s="19" t="inlineStr">
        <is>
          <t>O</t>
        </is>
      </c>
      <c r="O474" s="20" t="n"/>
      <c r="P474" s="21">
        <f>IF($I474="","",IF($J474="O","3","")&amp;IF($K474="O","4","")&amp;IF($L474="O","6","")&amp;IF($M474="O","7","")&amp;IF($N474="O","8","")&amp;IF($O474="O","?","")&amp;IF(OR($J474="O",$K474="O",$L474="O",$M474="O",$N474="O",$O474="O"),"-","")&amp;$I474)</f>
        <v/>
      </c>
      <c r="Q474" s="110">
        <f>HYPERLINK("#'마스터_품목'!A521","→ 마스터 R521")</f>
        <v/>
      </c>
      <c r="R474" s="111" t="n">
        <v>521</v>
      </c>
      <c r="S474" s="111" t="inlineStr">
        <is>
          <t>마스터_품목</t>
        </is>
      </c>
    </row>
    <row r="475" ht="48" customHeight="1">
      <c r="A475" s="22" t="inlineStr">
        <is>
          <t>조립</t>
        </is>
      </c>
      <c r="B475" s="22" t="inlineStr">
        <is>
          <t>사출</t>
        </is>
      </c>
      <c r="C475" s="23" t="inlineStr">
        <is>
          <t>SOLO</t>
        </is>
      </c>
      <c r="D475" s="23" t="inlineStr">
        <is>
          <t>Lock Inner _ 블랙</t>
        </is>
      </c>
      <c r="E475" s="23" t="inlineStr">
        <is>
          <t>Lock Inner (ABS 블랙)
[SOLO]</t>
        </is>
      </c>
      <c r="F475" s="24" t="inlineStr">
        <is>
          <t>O</t>
        </is>
      </c>
      <c r="G475" s="25" t="n"/>
      <c r="H475" s="26" t="n"/>
      <c r="I475" s="27">
        <f>IFERROR(IF(OR($F475="O",$G475="O",$H475="O"),CHOOSE(MATCH($A475,{"튜브","고압","진공","튜닝","조립","출하"},0),"T","H","V","N","A","P")&amp;IF($F475="O","R",IF($G475="O","A",IF($H475="O","F",""))),""),"")</f>
        <v/>
      </c>
      <c r="J475" s="15" t="n"/>
      <c r="K475" s="16" t="n"/>
      <c r="L475" s="17" t="n"/>
      <c r="M475" s="18" t="n"/>
      <c r="N475" s="19" t="inlineStr">
        <is>
          <t>O</t>
        </is>
      </c>
      <c r="O475" s="20" t="n"/>
      <c r="P475" s="21">
        <f>IF($I475="","",IF($J475="O","3","")&amp;IF($K475="O","4","")&amp;IF($L475="O","6","")&amp;IF($M475="O","7","")&amp;IF($N475="O","8","")&amp;IF($O475="O","?","")&amp;IF(OR($J475="O",$K475="O",$L475="O",$M475="O",$N475="O",$O475="O"),"-","")&amp;$I475)</f>
        <v/>
      </c>
      <c r="Q475" s="110">
        <f>HYPERLINK("#'마스터_품목'!A522","→ 마스터 R522")</f>
        <v/>
      </c>
      <c r="R475" s="111" t="n">
        <v>522</v>
      </c>
      <c r="S475" s="111" t="inlineStr">
        <is>
          <t>마스터_품목</t>
        </is>
      </c>
    </row>
    <row r="476" ht="48" customHeight="1">
      <c r="A476" s="22" t="inlineStr">
        <is>
          <t>조립</t>
        </is>
      </c>
      <c r="B476" s="22" t="inlineStr">
        <is>
          <t>사출</t>
        </is>
      </c>
      <c r="C476" s="23" t="inlineStr">
        <is>
          <t>SOLO</t>
        </is>
      </c>
      <c r="D476" s="23" t="inlineStr">
        <is>
          <t>Hand_Topr Cover_ 블랙</t>
        </is>
      </c>
      <c r="E476" s="23" t="inlineStr">
        <is>
          <t>Hand Top Cover (ABS 블랙)
[SOLO]</t>
        </is>
      </c>
      <c r="F476" s="24" t="inlineStr">
        <is>
          <t>O</t>
        </is>
      </c>
      <c r="G476" s="25" t="n"/>
      <c r="H476" s="26" t="n"/>
      <c r="I476" s="27">
        <f>IFERROR(IF(OR($F476="O",$G476="O",$H476="O"),CHOOSE(MATCH($A476,{"튜브","고압","진공","튜닝","조립","출하"},0),"T","H","V","N","A","P")&amp;IF($F476="O","R",IF($G476="O","A",IF($H476="O","F",""))),""),"")</f>
        <v/>
      </c>
      <c r="J476" s="15" t="n"/>
      <c r="K476" s="16" t="n"/>
      <c r="L476" s="17" t="n"/>
      <c r="M476" s="18" t="n"/>
      <c r="N476" s="19" t="inlineStr">
        <is>
          <t>O</t>
        </is>
      </c>
      <c r="O476" s="20" t="n"/>
      <c r="P476" s="21">
        <f>IF($I476="","",IF($J476="O","3","")&amp;IF($K476="O","4","")&amp;IF($L476="O","6","")&amp;IF($M476="O","7","")&amp;IF($N476="O","8","")&amp;IF($O476="O","?","")&amp;IF(OR($J476="O",$K476="O",$L476="O",$M476="O",$N476="O",$O476="O"),"-","")&amp;$I476)</f>
        <v/>
      </c>
      <c r="Q476" s="110">
        <f>HYPERLINK("#'마스터_품목'!A523","→ 마스터 R523")</f>
        <v/>
      </c>
      <c r="R476" s="111" t="n">
        <v>523</v>
      </c>
      <c r="S476" s="111" t="inlineStr">
        <is>
          <t>마스터_품목</t>
        </is>
      </c>
    </row>
    <row r="477" ht="48" customHeight="1">
      <c r="A477" s="22" t="inlineStr">
        <is>
          <t>조립</t>
        </is>
      </c>
      <c r="B477" s="22" t="inlineStr">
        <is>
          <t>사출</t>
        </is>
      </c>
      <c r="C477" s="23" t="inlineStr">
        <is>
          <t>SOLO</t>
        </is>
      </c>
      <c r="D477" s="23" t="inlineStr">
        <is>
          <t>Short PCB Guider _ 블랙</t>
        </is>
      </c>
      <c r="E477" s="23" t="inlineStr">
        <is>
          <t>Shot_PCB_Guide
[SOLO]</t>
        </is>
      </c>
      <c r="F477" s="24" t="inlineStr">
        <is>
          <t>O</t>
        </is>
      </c>
      <c r="G477" s="25" t="n"/>
      <c r="H477" s="26" t="n"/>
      <c r="I477" s="27">
        <f>IFERROR(IF(OR($F477="O",$G477="O",$H477="O"),CHOOSE(MATCH($A477,{"튜브","고압","진공","튜닝","조립","출하"},0),"T","H","V","N","A","P")&amp;IF($F477="O","R",IF($G477="O","A",IF($H477="O","F",""))),""),"")</f>
        <v/>
      </c>
      <c r="J477" s="15" t="n"/>
      <c r="K477" s="16" t="n"/>
      <c r="L477" s="17" t="n"/>
      <c r="M477" s="18" t="n"/>
      <c r="N477" s="19" t="inlineStr">
        <is>
          <t>O</t>
        </is>
      </c>
      <c r="O477" s="20" t="n"/>
      <c r="P477" s="21">
        <f>IF($I477="","",IF($J477="O","3","")&amp;IF($K477="O","4","")&amp;IF($L477="O","6","")&amp;IF($M477="O","7","")&amp;IF($N477="O","8","")&amp;IF($O477="O","?","")&amp;IF(OR($J477="O",$K477="O",$L477="O",$M477="O",$N477="O",$O477="O"),"-","")&amp;$I477)</f>
        <v/>
      </c>
      <c r="Q477" s="110">
        <f>HYPERLINK("#'마스터_품목'!A524","→ 마스터 R524")</f>
        <v/>
      </c>
      <c r="R477" s="111" t="n">
        <v>524</v>
      </c>
      <c r="S477" s="111" t="inlineStr">
        <is>
          <t>마스터_품목</t>
        </is>
      </c>
    </row>
    <row r="478" ht="48" customHeight="1">
      <c r="A478" s="22" t="inlineStr">
        <is>
          <t>조립</t>
        </is>
      </c>
      <c r="B478" s="22" t="inlineStr">
        <is>
          <t>사출</t>
        </is>
      </c>
      <c r="C478" s="23" t="inlineStr">
        <is>
          <t>SOLO</t>
        </is>
      </c>
      <c r="D478" s="23" t="inlineStr">
        <is>
          <t>발생부 Guide _ 블랙</t>
        </is>
      </c>
      <c r="E478" s="23" t="inlineStr">
        <is>
          <t>발생부_Guide (ABS 블랙)
[SOLO]</t>
        </is>
      </c>
      <c r="F478" s="24" t="inlineStr">
        <is>
          <t>O</t>
        </is>
      </c>
      <c r="G478" s="25" t="n"/>
      <c r="H478" s="26" t="n"/>
      <c r="I478" s="27">
        <f>IFERROR(IF(OR($F478="O",$G478="O",$H478="O"),CHOOSE(MATCH($A478,{"튜브","고압","진공","튜닝","조립","출하"},0),"T","H","V","N","A","P")&amp;IF($F478="O","R",IF($G478="O","A",IF($H478="O","F",""))),""),"")</f>
        <v/>
      </c>
      <c r="J478" s="15" t="n"/>
      <c r="K478" s="16" t="n"/>
      <c r="L478" s="17" t="n"/>
      <c r="M478" s="18" t="n"/>
      <c r="N478" s="19" t="inlineStr">
        <is>
          <t>O</t>
        </is>
      </c>
      <c r="O478" s="20" t="n"/>
      <c r="P478" s="21">
        <f>IF($I478="","",IF($J478="O","3","")&amp;IF($K478="O","4","")&amp;IF($L478="O","6","")&amp;IF($M478="O","7","")&amp;IF($N478="O","8","")&amp;IF($O478="O","?","")&amp;IF(OR($J478="O",$K478="O",$L478="O",$M478="O",$N478="O",$O478="O"),"-","")&amp;$I478)</f>
        <v/>
      </c>
      <c r="Q478" s="110">
        <f>HYPERLINK("#'마스터_품목'!A525","→ 마스터 R525")</f>
        <v/>
      </c>
      <c r="R478" s="111" t="n">
        <v>525</v>
      </c>
      <c r="S478" s="111" t="inlineStr">
        <is>
          <t>마스터_품목</t>
        </is>
      </c>
    </row>
    <row r="479" ht="48" customHeight="1">
      <c r="A479" s="22" t="inlineStr">
        <is>
          <t>조립</t>
        </is>
      </c>
      <c r="B479" s="22" t="inlineStr">
        <is>
          <t>사출</t>
        </is>
      </c>
      <c r="C479" s="23" t="inlineStr">
        <is>
          <t>SOLO</t>
        </is>
      </c>
      <c r="D479" s="23" t="inlineStr">
        <is>
          <t>LCD 가이드 _ 블랙</t>
        </is>
      </c>
      <c r="E479" s="23" t="inlineStr">
        <is>
          <t>LCD GUIDE (ABS 블랙)
[SOLO]</t>
        </is>
      </c>
      <c r="F479" s="24" t="inlineStr">
        <is>
          <t>O</t>
        </is>
      </c>
      <c r="G479" s="25" t="n"/>
      <c r="H479" s="26" t="n"/>
      <c r="I479" s="27">
        <f>IFERROR(IF(OR($F479="O",$G479="O",$H479="O"),CHOOSE(MATCH($A479,{"튜브","고압","진공","튜닝","조립","출하"},0),"T","H","V","N","A","P")&amp;IF($F479="O","R",IF($G479="O","A",IF($H479="O","F",""))),""),"")</f>
        <v/>
      </c>
      <c r="J479" s="15" t="n"/>
      <c r="K479" s="16" t="n"/>
      <c r="L479" s="17" t="n"/>
      <c r="M479" s="18" t="n"/>
      <c r="N479" s="19" t="inlineStr">
        <is>
          <t>O</t>
        </is>
      </c>
      <c r="O479" s="20" t="n"/>
      <c r="P479" s="21">
        <f>IF($I479="","",IF($J479="O","3","")&amp;IF($K479="O","4","")&amp;IF($L479="O","6","")&amp;IF($M479="O","7","")&amp;IF($N479="O","8","")&amp;IF($O479="O","?","")&amp;IF(OR($J479="O",$K479="O",$L479="O",$M479="O",$N479="O",$O479="O"),"-","")&amp;$I479)</f>
        <v/>
      </c>
      <c r="Q479" s="110">
        <f>HYPERLINK("#'마스터_품목'!A526","→ 마스터 R526")</f>
        <v/>
      </c>
      <c r="R479" s="111" t="n">
        <v>526</v>
      </c>
      <c r="S479" s="111" t="inlineStr">
        <is>
          <t>마스터_품목</t>
        </is>
      </c>
    </row>
    <row r="480" ht="48" customHeight="1">
      <c r="A480" s="22" t="inlineStr">
        <is>
          <t>조립</t>
        </is>
      </c>
      <c r="B480" s="22" t="inlineStr">
        <is>
          <t>SOLO-
확산 아크릴</t>
        </is>
      </c>
      <c r="C480" s="23" t="inlineStr">
        <is>
          <t>SOLO</t>
        </is>
      </c>
      <c r="D480" s="23" t="inlineStr">
        <is>
          <t>Aiming_Light _LED 확산 아크릴</t>
        </is>
      </c>
      <c r="E480" s="23" t="inlineStr">
        <is>
          <t>Aiming_Light_LED_아크릴 (확산 아크릴/ 화이트)
[SOLO]</t>
        </is>
      </c>
      <c r="F480" s="24" t="inlineStr">
        <is>
          <t>O</t>
        </is>
      </c>
      <c r="G480" s="25" t="n"/>
      <c r="H480" s="26" t="n"/>
      <c r="I480" s="27">
        <f>IFERROR(IF(OR($F480="O",$G480="O",$H480="O"),CHOOSE(MATCH($A480,{"튜브","고압","진공","튜닝","조립","출하"},0),"T","H","V","N","A","P")&amp;IF($F480="O","R",IF($G480="O","A",IF($H480="O","F",""))),""),"")</f>
        <v/>
      </c>
      <c r="J480" s="15" t="n"/>
      <c r="K480" s="16" t="n"/>
      <c r="L480" s="17" t="n"/>
      <c r="M480" s="18" t="n"/>
      <c r="N480" s="19" t="inlineStr">
        <is>
          <t>O</t>
        </is>
      </c>
      <c r="O480" s="20" t="n"/>
      <c r="P480" s="21">
        <f>IF($I480="","",IF($J480="O","3","")&amp;IF($K480="O","4","")&amp;IF($L480="O","6","")&amp;IF($M480="O","7","")&amp;IF($N480="O","8","")&amp;IF($O480="O","?","")&amp;IF(OR($J480="O",$K480="O",$L480="O",$M480="O",$N480="O",$O480="O"),"-","")&amp;$I480)</f>
        <v/>
      </c>
      <c r="Q480" s="110">
        <f>HYPERLINK("#'마스터_품목'!A527","→ 마스터 R527")</f>
        <v/>
      </c>
      <c r="R480" s="111" t="n">
        <v>527</v>
      </c>
      <c r="S480" s="111" t="inlineStr">
        <is>
          <t>마스터_품목</t>
        </is>
      </c>
    </row>
    <row r="481" ht="48" customHeight="1">
      <c r="A481" s="22" t="inlineStr">
        <is>
          <t>조립</t>
        </is>
      </c>
      <c r="B481" s="22" t="inlineStr">
        <is>
          <t>SOLO-
확산 아크릴</t>
        </is>
      </c>
      <c r="C481" s="23" t="inlineStr">
        <is>
          <t>SOLO</t>
        </is>
      </c>
      <c r="D481" s="23" t="inlineStr">
        <is>
          <t>BAT_LED 확산 아크릴</t>
        </is>
      </c>
      <c r="E481" s="23" t="inlineStr">
        <is>
          <t>BAT_LED_확산_아크릴 (확산 아크릴/ 화이트)
[SOLO]</t>
        </is>
      </c>
      <c r="F481" s="24" t="inlineStr">
        <is>
          <t>O</t>
        </is>
      </c>
      <c r="G481" s="25" t="n"/>
      <c r="H481" s="26" t="n"/>
      <c r="I481" s="27">
        <f>IFERROR(IF(OR($F481="O",$G481="O",$H481="O"),CHOOSE(MATCH($A481,{"튜브","고압","진공","튜닝","조립","출하"},0),"T","H","V","N","A","P")&amp;IF($F481="O","R",IF($G481="O","A",IF($H481="O","F",""))),""),"")</f>
        <v/>
      </c>
      <c r="J481" s="15" t="n"/>
      <c r="K481" s="16" t="n"/>
      <c r="L481" s="17" t="n"/>
      <c r="M481" s="18" t="n"/>
      <c r="N481" s="19" t="inlineStr">
        <is>
          <t>O</t>
        </is>
      </c>
      <c r="O481" s="20" t="n"/>
      <c r="P481" s="21">
        <f>IF($I481="","",IF($J481="O","3","")&amp;IF($K481="O","4","")&amp;IF($L481="O","6","")&amp;IF($M481="O","7","")&amp;IF($N481="O","8","")&amp;IF($O481="O","?","")&amp;IF(OR($J481="O",$K481="O",$L481="O",$M481="O",$N481="O",$O481="O"),"-","")&amp;$I481)</f>
        <v/>
      </c>
      <c r="Q481" s="110">
        <f>HYPERLINK("#'마스터_품목'!A528","→ 마스터 R528")</f>
        <v/>
      </c>
      <c r="R481" s="111" t="n">
        <v>528</v>
      </c>
      <c r="S481" s="111" t="inlineStr">
        <is>
          <t>마스터_품목</t>
        </is>
      </c>
    </row>
    <row r="482" ht="48" customHeight="1">
      <c r="A482" s="22" t="inlineStr">
        <is>
          <t>조립</t>
        </is>
      </c>
      <c r="B482" s="22" t="inlineStr">
        <is>
          <t>SOLO-
확산 아크릴</t>
        </is>
      </c>
      <c r="C482" s="23" t="inlineStr">
        <is>
          <t>SOLO</t>
        </is>
      </c>
      <c r="D482" s="23" t="inlineStr">
        <is>
          <t>LCD_LED 확산 아크릴</t>
        </is>
      </c>
      <c r="E482" s="23" t="inlineStr">
        <is>
          <t>LCD_LED_확산_아크릴 (확산 아크릴/ 화이트)
[SOLO]</t>
        </is>
      </c>
      <c r="F482" s="24" t="inlineStr">
        <is>
          <t>O</t>
        </is>
      </c>
      <c r="G482" s="25" t="n"/>
      <c r="H482" s="26" t="n"/>
      <c r="I482" s="27">
        <f>IFERROR(IF(OR($F482="O",$G482="O",$H482="O"),CHOOSE(MATCH($A482,{"튜브","고압","진공","튜닝","조립","출하"},0),"T","H","V","N","A","P")&amp;IF($F482="O","R",IF($G482="O","A",IF($H482="O","F",""))),""),"")</f>
        <v/>
      </c>
      <c r="J482" s="15" t="n"/>
      <c r="K482" s="16" t="n"/>
      <c r="L482" s="17" t="n"/>
      <c r="M482" s="18" t="n"/>
      <c r="N482" s="19" t="inlineStr">
        <is>
          <t>O</t>
        </is>
      </c>
      <c r="O482" s="20" t="n"/>
      <c r="P482" s="21">
        <f>IF($I482="","",IF($J482="O","3","")&amp;IF($K482="O","4","")&amp;IF($L482="O","6","")&amp;IF($M482="O","7","")&amp;IF($N482="O","8","")&amp;IF($O482="O","?","")&amp;IF(OR($J482="O",$K482="O",$L482="O",$M482="O",$N482="O",$O482="O"),"-","")&amp;$I482)</f>
        <v/>
      </c>
      <c r="Q482" s="110">
        <f>HYPERLINK("#'마스터_품목'!A529","→ 마스터 R529")</f>
        <v/>
      </c>
      <c r="R482" s="111" t="n">
        <v>529</v>
      </c>
      <c r="S482" s="111" t="inlineStr">
        <is>
          <t>마스터_품목</t>
        </is>
      </c>
    </row>
    <row r="483" ht="48" customHeight="1">
      <c r="A483" s="22" t="inlineStr">
        <is>
          <t>조립</t>
        </is>
      </c>
      <c r="B483" s="22" t="inlineStr">
        <is>
          <t>SOLO-
확산 아크릴</t>
        </is>
      </c>
      <c r="C483" s="23" t="inlineStr">
        <is>
          <t>SOLO</t>
        </is>
      </c>
      <c r="D483" s="23" t="inlineStr">
        <is>
          <t>LCD_창 (PC / 투명 )</t>
        </is>
      </c>
      <c r="E483" s="23" t="inlineStr">
        <is>
          <t>LCD_Window (PC / 투명 + (구형 26))
[SOLO]</t>
        </is>
      </c>
      <c r="F483" s="24" t="inlineStr">
        <is>
          <t>O</t>
        </is>
      </c>
      <c r="G483" s="25" t="n"/>
      <c r="H483" s="26" t="n"/>
      <c r="I483" s="27">
        <f>IFERROR(IF(OR($F483="O",$G483="O",$H483="O"),CHOOSE(MATCH($A483,{"튜브","고압","진공","튜닝","조립","출하"},0),"T","H","V","N","A","P")&amp;IF($F483="O","R",IF($G483="O","A",IF($H483="O","F",""))),""),"")</f>
        <v/>
      </c>
      <c r="J483" s="15" t="n"/>
      <c r="K483" s="16" t="n"/>
      <c r="L483" s="17" t="n"/>
      <c r="M483" s="18" t="n"/>
      <c r="N483" s="19" t="inlineStr">
        <is>
          <t>O</t>
        </is>
      </c>
      <c r="O483" s="20" t="n"/>
      <c r="P483" s="21">
        <f>IF($I483="","",IF($J483="O","3","")&amp;IF($K483="O","4","")&amp;IF($L483="O","6","")&amp;IF($M483="O","7","")&amp;IF($N483="O","8","")&amp;IF($O483="O","?","")&amp;IF(OR($J483="O",$K483="O",$L483="O",$M483="O",$N483="O",$O483="O"),"-","")&amp;$I483)</f>
        <v/>
      </c>
      <c r="Q483" s="110">
        <f>HYPERLINK("#'마스터_품목'!A530","→ 마스터 R530")</f>
        <v/>
      </c>
      <c r="R483" s="111" t="n">
        <v>530</v>
      </c>
      <c r="S483" s="111" t="inlineStr">
        <is>
          <t>마스터_품목</t>
        </is>
      </c>
    </row>
    <row r="484" ht="48" customHeight="1">
      <c r="A484" s="22" t="inlineStr">
        <is>
          <t>조립</t>
        </is>
      </c>
      <c r="B484" s="22" t="inlineStr">
        <is>
          <t>SOLO-
확산 아크릴</t>
        </is>
      </c>
      <c r="C484" s="23" t="inlineStr">
        <is>
          <t>SOLO</t>
        </is>
      </c>
      <c r="D484" s="23" t="inlineStr">
        <is>
          <t>광센서_유색_창 (PC/스모그/퍼플)</t>
        </is>
      </c>
      <c r="E484" s="23" t="inlineStr">
        <is>
          <t>광센서_유색_창 (PC/스모그/퍼플)
[SOLO]</t>
        </is>
      </c>
      <c r="F484" s="24" t="inlineStr">
        <is>
          <t>O</t>
        </is>
      </c>
      <c r="G484" s="25" t="n"/>
      <c r="H484" s="26" t="n"/>
      <c r="I484" s="27">
        <f>IFERROR(IF(OR($F484="O",$G484="O",$H484="O"),CHOOSE(MATCH($A484,{"튜브","고압","진공","튜닝","조립","출하"},0),"T","H","V","N","A","P")&amp;IF($F484="O","R",IF($G484="O","A",IF($H484="O","F",""))),""),"")</f>
        <v/>
      </c>
      <c r="J484" s="15" t="n"/>
      <c r="K484" s="16" t="n"/>
      <c r="L484" s="17" t="n"/>
      <c r="M484" s="18" t="n"/>
      <c r="N484" s="19" t="inlineStr">
        <is>
          <t>O</t>
        </is>
      </c>
      <c r="O484" s="20" t="n"/>
      <c r="P484" s="21">
        <f>IF($I484="","",IF($J484="O","3","")&amp;IF($K484="O","4","")&amp;IF($L484="O","6","")&amp;IF($M484="O","7","")&amp;IF($N484="O","8","")&amp;IF($O484="O","?","")&amp;IF(OR($J484="O",$K484="O",$L484="O",$M484="O",$N484="O",$O484="O"),"-","")&amp;$I484)</f>
        <v/>
      </c>
      <c r="Q484" s="110">
        <f>HYPERLINK("#'마스터_품목'!A531","→ 마스터 R531")</f>
        <v/>
      </c>
      <c r="R484" s="111" t="n">
        <v>531</v>
      </c>
      <c r="S484" s="111" t="inlineStr">
        <is>
          <t>마스터_품목</t>
        </is>
      </c>
    </row>
    <row r="485" ht="48" customHeight="1">
      <c r="A485" s="22" t="inlineStr">
        <is>
          <t>조립</t>
        </is>
      </c>
      <c r="B485" s="22" t="inlineStr">
        <is>
          <t>알루미늄</t>
        </is>
      </c>
      <c r="C485" s="23" t="inlineStr">
        <is>
          <t>SOLO</t>
        </is>
      </c>
      <c r="D485" s="23" t="inlineStr">
        <is>
          <t>마운트 ( 알루미늄_1/4 PT 탭 x 12mm)</t>
        </is>
      </c>
      <c r="E485" s="23" t="inlineStr">
        <is>
          <t>마운트 (삼각대 고정홀)
[SOLO]</t>
        </is>
      </c>
      <c r="F485" s="24" t="inlineStr">
        <is>
          <t>O</t>
        </is>
      </c>
      <c r="G485" s="25" t="n"/>
      <c r="H485" s="26" t="n"/>
      <c r="I485" s="27">
        <f>IFERROR(IF(OR($F485="O",$G485="O",$H485="O"),CHOOSE(MATCH($A485,{"튜브","고압","진공","튜닝","조립","출하"},0),"T","H","V","N","A","P")&amp;IF($F485="O","R",IF($G485="O","A",IF($H485="O","F",""))),""),"")</f>
        <v/>
      </c>
      <c r="J485" s="15" t="n"/>
      <c r="K485" s="16" t="n"/>
      <c r="L485" s="17" t="n"/>
      <c r="M485" s="18" t="n"/>
      <c r="N485" s="19" t="inlineStr">
        <is>
          <t>O</t>
        </is>
      </c>
      <c r="O485" s="20" t="n"/>
      <c r="P485" s="21">
        <f>IF($I485="","",IF($J485="O","3","")&amp;IF($K485="O","4","")&amp;IF($L485="O","6","")&amp;IF($M485="O","7","")&amp;IF($N485="O","8","")&amp;IF($O485="O","?","")&amp;IF(OR($J485="O",$K485="O",$L485="O",$M485="O",$N485="O",$O485="O"),"-","")&amp;$I485)</f>
        <v/>
      </c>
      <c r="Q485" s="110">
        <f>HYPERLINK("#'마스터_품목'!A532","→ 마스터 R532")</f>
        <v/>
      </c>
      <c r="R485" s="111" t="n">
        <v>532</v>
      </c>
      <c r="S485" s="111" t="inlineStr">
        <is>
          <t>마스터_품목</t>
        </is>
      </c>
    </row>
    <row r="486" ht="48" customHeight="1">
      <c r="A486" s="22" t="inlineStr">
        <is>
          <t>조립</t>
        </is>
      </c>
      <c r="B486" s="22" t="inlineStr">
        <is>
          <t>경첩</t>
        </is>
      </c>
      <c r="C486" s="23" t="inlineStr">
        <is>
          <t>SOLO</t>
        </is>
      </c>
      <c r="D486" s="23" t="inlineStr">
        <is>
          <t>Bat_경첩 ( 2Ø, 26.2mm )</t>
        </is>
      </c>
      <c r="E486" s="23" t="n"/>
      <c r="F486" s="24" t="inlineStr">
        <is>
          <t>O</t>
        </is>
      </c>
      <c r="G486" s="25" t="n"/>
      <c r="H486" s="26" t="n"/>
      <c r="I486" s="27">
        <f>IFERROR(IF(OR($F486="O",$G486="O",$H486="O"),CHOOSE(MATCH($A486,{"튜브","고압","진공","튜닝","조립","출하"},0),"T","H","V","N","A","P")&amp;IF($F486="O","R",IF($G486="O","A",IF($H486="O","F",""))),""),"")</f>
        <v/>
      </c>
      <c r="J486" s="15" t="n"/>
      <c r="K486" s="16" t="n"/>
      <c r="L486" s="17" t="n"/>
      <c r="M486" s="18" t="n"/>
      <c r="N486" s="19" t="inlineStr">
        <is>
          <t>O</t>
        </is>
      </c>
      <c r="O486" s="20" t="n"/>
      <c r="P486" s="21">
        <f>IF($I486="","",IF($J486="O","3","")&amp;IF($K486="O","4","")&amp;IF($L486="O","6","")&amp;IF($M486="O","7","")&amp;IF($N486="O","8","")&amp;IF($O486="O","?","")&amp;IF(OR($J486="O",$K486="O",$L486="O",$M486="O",$N486="O",$O486="O"),"-","")&amp;$I486)</f>
        <v/>
      </c>
      <c r="Q486" s="110">
        <f>HYPERLINK("#'마스터_품목'!A533","→ 마스터 R533")</f>
        <v/>
      </c>
      <c r="R486" s="111" t="n">
        <v>533</v>
      </c>
      <c r="S486" s="111" t="inlineStr">
        <is>
          <t>마스터_품목</t>
        </is>
      </c>
    </row>
    <row r="487" ht="48" customHeight="1">
      <c r="A487" s="22" t="inlineStr">
        <is>
          <t>조립</t>
        </is>
      </c>
      <c r="B487" s="22" t="inlineStr">
        <is>
          <t>실리콘</t>
        </is>
      </c>
      <c r="C487" s="23" t="inlineStr">
        <is>
          <t>SOLO</t>
        </is>
      </c>
      <c r="D487" s="23" t="inlineStr">
        <is>
          <t>Bat_Rubber (실리콘/ 양면테잎 적용)</t>
        </is>
      </c>
      <c r="E487" s="23" t="inlineStr">
        <is>
          <t>BAT BOTTOM RUBBER (RUBBER (1T, 마운트 홀))
[SOLO]</t>
        </is>
      </c>
      <c r="F487" s="24" t="inlineStr">
        <is>
          <t>O</t>
        </is>
      </c>
      <c r="G487" s="25" t="n"/>
      <c r="H487" s="26" t="n"/>
      <c r="I487" s="27">
        <f>IFERROR(IF(OR($F487="O",$G487="O",$H487="O"),CHOOSE(MATCH($A487,{"튜브","고압","진공","튜닝","조립","출하"},0),"T","H","V","N","A","P")&amp;IF($F487="O","R",IF($G487="O","A",IF($H487="O","F",""))),""),"")</f>
        <v/>
      </c>
      <c r="J487" s="15" t="n"/>
      <c r="K487" s="16" t="n"/>
      <c r="L487" s="17" t="n"/>
      <c r="M487" s="18" t="n"/>
      <c r="N487" s="19" t="inlineStr">
        <is>
          <t>O</t>
        </is>
      </c>
      <c r="O487" s="20" t="n"/>
      <c r="P487" s="21">
        <f>IF($I487="","",IF($J487="O","3","")&amp;IF($K487="O","4","")&amp;IF($L487="O","6","")&amp;IF($M487="O","7","")&amp;IF($N487="O","8","")&amp;IF($O487="O","?","")&amp;IF(OR($J487="O",$K487="O",$L487="O",$M487="O",$N487="O",$O487="O"),"-","")&amp;$I487)</f>
        <v/>
      </c>
      <c r="Q487" s="110">
        <f>HYPERLINK("#'마스터_품목'!A534","→ 마스터 R534")</f>
        <v/>
      </c>
      <c r="R487" s="111" t="n">
        <v>534</v>
      </c>
      <c r="S487" s="111" t="inlineStr">
        <is>
          <t>마스터_품목</t>
        </is>
      </c>
    </row>
    <row r="488" ht="48" customHeight="1">
      <c r="A488" s="22" t="inlineStr">
        <is>
          <t>조립</t>
        </is>
      </c>
      <c r="B488" s="22" t="inlineStr">
        <is>
          <t>가스켓</t>
        </is>
      </c>
      <c r="C488" s="23" t="inlineStr">
        <is>
          <t>SOLO</t>
        </is>
      </c>
      <c r="D488" s="23" t="inlineStr">
        <is>
          <t>LCD 터치 가스켓 ( 8x8x7mm)</t>
        </is>
      </c>
      <c r="E488" s="23" t="inlineStr">
        <is>
          <t>LCD 터치가스켓 (8X8X7)
[SOLO]</t>
        </is>
      </c>
      <c r="F488" s="24" t="inlineStr">
        <is>
          <t>O</t>
        </is>
      </c>
      <c r="G488" s="25" t="n"/>
      <c r="H488" s="26" t="n"/>
      <c r="I488" s="27">
        <f>IFERROR(IF(OR($F488="O",$G488="O",$H488="O"),CHOOSE(MATCH($A488,{"튜브","고압","진공","튜닝","조립","출하"},0),"T","H","V","N","A","P")&amp;IF($F488="O","R",IF($G488="O","A",IF($H488="O","F",""))),""),"")</f>
        <v/>
      </c>
      <c r="J488" s="15" t="n"/>
      <c r="K488" s="16" t="n"/>
      <c r="L488" s="17" t="n"/>
      <c r="M488" s="18" t="n"/>
      <c r="N488" s="19" t="inlineStr">
        <is>
          <t>O</t>
        </is>
      </c>
      <c r="O488" s="20" t="n"/>
      <c r="P488" s="21">
        <f>IF($I488="","",IF($J488="O","3","")&amp;IF($K488="O","4","")&amp;IF($L488="O","6","")&amp;IF($M488="O","7","")&amp;IF($N488="O","8","")&amp;IF($O488="O","?","")&amp;IF(OR($J488="O",$K488="O",$L488="O",$M488="O",$N488="O",$O488="O"),"-","")&amp;$I488)</f>
        <v/>
      </c>
      <c r="Q488" s="110">
        <f>HYPERLINK("#'마스터_품목'!A535","→ 마스터 R535")</f>
        <v/>
      </c>
      <c r="R488" s="111" t="n">
        <v>535</v>
      </c>
      <c r="S488" s="111" t="inlineStr">
        <is>
          <t>마스터_품목</t>
        </is>
      </c>
    </row>
    <row r="489" ht="48" customHeight="1">
      <c r="A489" s="22" t="inlineStr">
        <is>
          <t>조립</t>
        </is>
      </c>
      <c r="B489" s="22" t="inlineStr">
        <is>
          <t>황동</t>
        </is>
      </c>
      <c r="C489" s="23" t="inlineStr">
        <is>
          <t>SOLO</t>
        </is>
      </c>
      <c r="D489" s="23" t="inlineStr">
        <is>
          <t>배터리_단자대</t>
        </is>
      </c>
      <c r="E489" s="23" t="n"/>
      <c r="F489" s="24" t="inlineStr">
        <is>
          <t>O</t>
        </is>
      </c>
      <c r="G489" s="25" t="n"/>
      <c r="H489" s="26" t="n"/>
      <c r="I489" s="27">
        <f>IFERROR(IF(OR($F489="O",$G489="O",$H489="O"),CHOOSE(MATCH($A489,{"튜브","고압","진공","튜닝","조립","출하"},0),"T","H","V","N","A","P")&amp;IF($F489="O","R",IF($G489="O","A",IF($H489="O","F",""))),""),"")</f>
        <v/>
      </c>
      <c r="J489" s="15" t="n"/>
      <c r="K489" s="16" t="n"/>
      <c r="L489" s="17" t="n"/>
      <c r="M489" s="18" t="n"/>
      <c r="N489" s="19" t="inlineStr">
        <is>
          <t>O</t>
        </is>
      </c>
      <c r="O489" s="20" t="n"/>
      <c r="P489" s="21">
        <f>IF($I489="","",IF($J489="O","3","")&amp;IF($K489="O","4","")&amp;IF($L489="O","6","")&amp;IF($M489="O","7","")&amp;IF($N489="O","8","")&amp;IF($O489="O","?","")&amp;IF(OR($J489="O",$K489="O",$L489="O",$M489="O",$N489="O",$O489="O"),"-","")&amp;$I489)</f>
        <v/>
      </c>
      <c r="Q489" s="110">
        <f>HYPERLINK("#'마스터_품목'!A536","→ 마스터 R536")</f>
        <v/>
      </c>
      <c r="R489" s="111" t="n">
        <v>536</v>
      </c>
      <c r="S489" s="111" t="inlineStr">
        <is>
          <t>마스터_품목</t>
        </is>
      </c>
    </row>
    <row r="490" ht="48" customHeight="1">
      <c r="A490" s="22" t="inlineStr">
        <is>
          <t>조립</t>
        </is>
      </c>
      <c r="B490" s="22" t="inlineStr">
        <is>
          <t>은경</t>
        </is>
      </c>
      <c r="C490" s="23" t="inlineStr">
        <is>
          <t>SOLO</t>
        </is>
      </c>
      <c r="D490" s="23" t="inlineStr">
        <is>
          <t>에이밍 라이트 은경</t>
        </is>
      </c>
      <c r="E490" s="23" t="n"/>
      <c r="F490" s="24" t="inlineStr">
        <is>
          <t>O</t>
        </is>
      </c>
      <c r="G490" s="25" t="n"/>
      <c r="H490" s="26" t="n"/>
      <c r="I490" s="27">
        <f>IFERROR(IF(OR($F490="O",$G490="O",$H490="O"),CHOOSE(MATCH($A490,{"튜브","고압","진공","튜닝","조립","출하"},0),"T","H","V","N","A","P")&amp;IF($F490="O","R",IF($G490="O","A",IF($H490="O","F",""))),""),"")</f>
        <v/>
      </c>
      <c r="J490" s="15" t="n"/>
      <c r="K490" s="16" t="n"/>
      <c r="L490" s="17" t="n"/>
      <c r="M490" s="18" t="n"/>
      <c r="N490" s="19" t="inlineStr">
        <is>
          <t>O</t>
        </is>
      </c>
      <c r="O490" s="20" t="n"/>
      <c r="P490" s="21">
        <f>IF($I490="","",IF($J490="O","3","")&amp;IF($K490="O","4","")&amp;IF($L490="O","6","")&amp;IF($M490="O","7","")&amp;IF($N490="O","8","")&amp;IF($O490="O","?","")&amp;IF(OR($J490="O",$K490="O",$L490="O",$M490="O",$N490="O",$O490="O"),"-","")&amp;$I490)</f>
        <v/>
      </c>
      <c r="Q490" s="110">
        <f>HYPERLINK("#'마스터_품목'!A537","→ 마스터 R537")</f>
        <v/>
      </c>
      <c r="R490" s="111" t="n">
        <v>537</v>
      </c>
      <c r="S490" s="111" t="inlineStr">
        <is>
          <t>마스터_품목</t>
        </is>
      </c>
    </row>
    <row r="491" ht="48" customHeight="1">
      <c r="A491" s="22" t="inlineStr">
        <is>
          <t>조립</t>
        </is>
      </c>
      <c r="B491" s="22" t="inlineStr">
        <is>
          <t>알루미늄</t>
        </is>
      </c>
      <c r="C491" s="23" t="inlineStr">
        <is>
          <t>SOLO</t>
        </is>
      </c>
      <c r="D491" s="23" t="inlineStr">
        <is>
          <t>LED PCB 방열 가이드 _ 블랙</t>
        </is>
      </c>
      <c r="E491" s="23" t="n"/>
      <c r="F491" s="24" t="inlineStr">
        <is>
          <t>O</t>
        </is>
      </c>
      <c r="G491" s="25" t="n"/>
      <c r="H491" s="26" t="n"/>
      <c r="I491" s="27">
        <f>IFERROR(IF(OR($F491="O",$G491="O",$H491="O"),CHOOSE(MATCH($A491,{"튜브","고압","진공","튜닝","조립","출하"},0),"T","H","V","N","A","P")&amp;IF($F491="O","R",IF($G491="O","A",IF($H491="O","F",""))),""),"")</f>
        <v/>
      </c>
      <c r="J491" s="15" t="n"/>
      <c r="K491" s="16" t="n"/>
      <c r="L491" s="17" t="n"/>
      <c r="M491" s="18" t="n"/>
      <c r="N491" s="19" t="inlineStr">
        <is>
          <t>O</t>
        </is>
      </c>
      <c r="O491" s="20" t="n"/>
      <c r="P491" s="21">
        <f>IF($I491="","",IF($J491="O","3","")&amp;IF($K491="O","4","")&amp;IF($L491="O","6","")&amp;IF($M491="O","7","")&amp;IF($N491="O","8","")&amp;IF($O491="O","?","")&amp;IF(OR($J491="O",$K491="O",$L491="O",$M491="O",$N491="O",$O491="O"),"-","")&amp;$I491)</f>
        <v/>
      </c>
      <c r="Q491" s="110">
        <f>HYPERLINK("#'마스터_품목'!A538","→ 마스터 R538")</f>
        <v/>
      </c>
      <c r="R491" s="111" t="n">
        <v>538</v>
      </c>
      <c r="S491" s="111" t="inlineStr">
        <is>
          <t>마스터_품목</t>
        </is>
      </c>
    </row>
    <row r="492" ht="48" customHeight="1">
      <c r="A492" s="22" t="inlineStr">
        <is>
          <t>조립</t>
        </is>
      </c>
      <c r="B492" s="22" t="inlineStr">
        <is>
          <t>사출</t>
        </is>
      </c>
      <c r="C492" s="23" t="inlineStr">
        <is>
          <t>SOLO</t>
        </is>
      </c>
      <c r="D492" s="23" t="inlineStr">
        <is>
          <t>에이밍  BODY뭉치 _ 블랙</t>
        </is>
      </c>
      <c r="E492" s="23" t="n"/>
      <c r="F492" s="24" t="inlineStr">
        <is>
          <t>O</t>
        </is>
      </c>
      <c r="G492" s="25" t="n"/>
      <c r="H492" s="26" t="n"/>
      <c r="I492" s="27">
        <f>IFERROR(IF(OR($F492="O",$G492="O",$H492="O"),CHOOSE(MATCH($A492,{"튜브","고압","진공","튜닝","조립","출하"},0),"T","H","V","N","A","P")&amp;IF($F492="O","R",IF($G492="O","A",IF($H492="O","F",""))),""),"")</f>
        <v/>
      </c>
      <c r="J492" s="15" t="n"/>
      <c r="K492" s="16" t="n"/>
      <c r="L492" s="17" t="n"/>
      <c r="M492" s="18" t="n"/>
      <c r="N492" s="19" t="inlineStr">
        <is>
          <t>O</t>
        </is>
      </c>
      <c r="O492" s="20" t="n"/>
      <c r="P492" s="21">
        <f>IF($I492="","",IF($J492="O","3","")&amp;IF($K492="O","4","")&amp;IF($L492="O","6","")&amp;IF($M492="O","7","")&amp;IF($N492="O","8","")&amp;IF($O492="O","?","")&amp;IF(OR($J492="O",$K492="O",$L492="O",$M492="O",$N492="O",$O492="O"),"-","")&amp;$I492)</f>
        <v/>
      </c>
      <c r="Q492" s="110">
        <f>HYPERLINK("#'마스터_품목'!A539","→ 마스터 R539")</f>
        <v/>
      </c>
      <c r="R492" s="111" t="n">
        <v>539</v>
      </c>
      <c r="S492" s="111" t="inlineStr">
        <is>
          <t>마스터_품목</t>
        </is>
      </c>
    </row>
    <row r="493" ht="48" customHeight="1">
      <c r="A493" s="22" t="inlineStr">
        <is>
          <t>조립</t>
        </is>
      </c>
      <c r="B493" s="22" t="inlineStr">
        <is>
          <t>PCB BD</t>
        </is>
      </c>
      <c r="C493" s="23" t="inlineStr">
        <is>
          <t>SOLO</t>
        </is>
      </c>
      <c r="D493" s="23" t="inlineStr">
        <is>
          <t>에이밍 라이트 PCB 보드</t>
        </is>
      </c>
      <c r="E493" s="23" t="n"/>
      <c r="F493" s="24" t="inlineStr">
        <is>
          <t>O</t>
        </is>
      </c>
      <c r="G493" s="25" t="n"/>
      <c r="H493" s="26" t="n"/>
      <c r="I493" s="27">
        <f>IFERROR(IF(OR($F493="O",$G493="O",$H493="O"),CHOOSE(MATCH($A493,{"튜브","고압","진공","튜닝","조립","출하"},0),"T","H","V","N","A","P")&amp;IF($F493="O","R",IF($G493="O","A",IF($H493="O","F",""))),""),"")</f>
        <v/>
      </c>
      <c r="J493" s="15" t="n"/>
      <c r="K493" s="16" t="n"/>
      <c r="L493" s="17" t="n"/>
      <c r="M493" s="18" t="n"/>
      <c r="N493" s="19" t="inlineStr">
        <is>
          <t>O</t>
        </is>
      </c>
      <c r="O493" s="20" t="n"/>
      <c r="P493" s="21">
        <f>IF($I493="","",IF($J493="O","3","")&amp;IF($K493="O","4","")&amp;IF($L493="O","6","")&amp;IF($M493="O","7","")&amp;IF($N493="O","8","")&amp;IF($O493="O","?","")&amp;IF(OR($J493="O",$K493="O",$L493="O",$M493="O",$N493="O",$O493="O"),"-","")&amp;$I493)</f>
        <v/>
      </c>
      <c r="Q493" s="110">
        <f>HYPERLINK("#'마스터_품목'!A540","→ 마스터 R540")</f>
        <v/>
      </c>
      <c r="R493" s="111" t="n">
        <v>540</v>
      </c>
      <c r="S493" s="111" t="inlineStr">
        <is>
          <t>마스터_품목</t>
        </is>
      </c>
    </row>
    <row r="494" ht="48" customHeight="1">
      <c r="A494" s="22" t="inlineStr">
        <is>
          <t>조립</t>
        </is>
      </c>
      <c r="B494" s="22" t="inlineStr">
        <is>
          <t>PCB BD</t>
        </is>
      </c>
      <c r="C494" s="23" t="inlineStr">
        <is>
          <t>SOLO</t>
        </is>
      </c>
      <c r="D494" s="23" t="inlineStr">
        <is>
          <t>POWER_BD</t>
        </is>
      </c>
      <c r="E494" s="23" t="inlineStr">
        <is>
          <t>POWER_BD
[SOLO]</t>
        </is>
      </c>
      <c r="F494" s="24" t="inlineStr">
        <is>
          <t>O</t>
        </is>
      </c>
      <c r="G494" s="25" t="n"/>
      <c r="H494" s="26" t="n"/>
      <c r="I494" s="27">
        <f>IFERROR(IF(OR($F494="O",$G494="O",$H494="O"),CHOOSE(MATCH($A494,{"튜브","고압","진공","튜닝","조립","출하"},0),"T","H","V","N","A","P")&amp;IF($F494="O","R",IF($G494="O","A",IF($H494="O","F",""))),""),"")</f>
        <v/>
      </c>
      <c r="J494" s="15" t="n"/>
      <c r="K494" s="16" t="n"/>
      <c r="L494" s="17" t="n"/>
      <c r="M494" s="18" t="n"/>
      <c r="N494" s="19" t="inlineStr">
        <is>
          <t>O</t>
        </is>
      </c>
      <c r="O494" s="20" t="n"/>
      <c r="P494" s="21">
        <f>IF($I494="","",IF($J494="O","3","")&amp;IF($K494="O","4","")&amp;IF($L494="O","6","")&amp;IF($M494="O","7","")&amp;IF($N494="O","8","")&amp;IF($O494="O","?","")&amp;IF(OR($J494="O",$K494="O",$L494="O",$M494="O",$N494="O",$O494="O"),"-","")&amp;$I494)</f>
        <v/>
      </c>
      <c r="Q494" s="110">
        <f>HYPERLINK("#'마스터_품목'!A541","→ 마스터 R541")</f>
        <v/>
      </c>
      <c r="R494" s="111" t="n">
        <v>541</v>
      </c>
      <c r="S494" s="111" t="inlineStr">
        <is>
          <t>마스터_품목</t>
        </is>
      </c>
    </row>
    <row r="495" ht="48" customHeight="1">
      <c r="A495" s="22" t="inlineStr">
        <is>
          <t>조립</t>
        </is>
      </c>
      <c r="B495" s="22" t="inlineStr">
        <is>
          <t>PCB BD</t>
        </is>
      </c>
      <c r="C495" s="23" t="inlineStr">
        <is>
          <t>SOLO</t>
        </is>
      </c>
      <c r="D495" s="23" t="inlineStr">
        <is>
          <t>OP_BD</t>
        </is>
      </c>
      <c r="E495" s="23" t="inlineStr">
        <is>
          <t>OP_BD
[SOLO]</t>
        </is>
      </c>
      <c r="F495" s="24" t="inlineStr">
        <is>
          <t>O</t>
        </is>
      </c>
      <c r="G495" s="25" t="n"/>
      <c r="H495" s="26" t="n"/>
      <c r="I495" s="27">
        <f>IFERROR(IF(OR($F495="O",$G495="O",$H495="O"),CHOOSE(MATCH($A495,{"튜브","고압","진공","튜닝","조립","출하"},0),"T","H","V","N","A","P")&amp;IF($F495="O","R",IF($G495="O","A",IF($H495="O","F",""))),""),"")</f>
        <v/>
      </c>
      <c r="J495" s="15" t="n"/>
      <c r="K495" s="16" t="n"/>
      <c r="L495" s="17" t="n"/>
      <c r="M495" s="18" t="n"/>
      <c r="N495" s="19" t="inlineStr">
        <is>
          <t>O</t>
        </is>
      </c>
      <c r="O495" s="20" t="n"/>
      <c r="P495" s="21">
        <f>IF($I495="","",IF($J495="O","3","")&amp;IF($K495="O","4","")&amp;IF($L495="O","6","")&amp;IF($M495="O","7","")&amp;IF($N495="O","8","")&amp;IF($O495="O","?","")&amp;IF(OR($J495="O",$K495="O",$L495="O",$M495="O",$N495="O",$O495="O"),"-","")&amp;$I495)</f>
        <v/>
      </c>
      <c r="Q495" s="110">
        <f>HYPERLINK("#'마스터_품목'!A542","→ 마스터 R542")</f>
        <v/>
      </c>
      <c r="R495" s="111" t="n">
        <v>542</v>
      </c>
      <c r="S495" s="111" t="inlineStr">
        <is>
          <t>마스터_품목</t>
        </is>
      </c>
    </row>
    <row r="496" ht="48" customHeight="1">
      <c r="A496" s="22" t="inlineStr">
        <is>
          <t>조립</t>
        </is>
      </c>
      <c r="B496" s="22" t="inlineStr">
        <is>
          <t>PCB BD</t>
        </is>
      </c>
      <c r="C496" s="23" t="inlineStr">
        <is>
          <t>SOLO</t>
        </is>
      </c>
      <c r="D496" s="23" t="inlineStr">
        <is>
          <t>CTR _BD</t>
        </is>
      </c>
      <c r="E496" s="23" t="inlineStr">
        <is>
          <t>CTR _BD
[SOLO]</t>
        </is>
      </c>
      <c r="F496" s="24" t="inlineStr">
        <is>
          <t>O</t>
        </is>
      </c>
      <c r="G496" s="25" t="n"/>
      <c r="H496" s="26" t="n"/>
      <c r="I496" s="27">
        <f>IFERROR(IF(OR($F496="O",$G496="O",$H496="O"),CHOOSE(MATCH($A496,{"튜브","고압","진공","튜닝","조립","출하"},0),"T","H","V","N","A","P")&amp;IF($F496="O","R",IF($G496="O","A",IF($H496="O","F",""))),""),"")</f>
        <v/>
      </c>
      <c r="J496" s="15" t="n"/>
      <c r="K496" s="16" t="n"/>
      <c r="L496" s="17" t="n"/>
      <c r="M496" s="18" t="n"/>
      <c r="N496" s="19" t="inlineStr">
        <is>
          <t>O</t>
        </is>
      </c>
      <c r="O496" s="20" t="n"/>
      <c r="P496" s="21">
        <f>IF($I496="","",IF($J496="O","3","")&amp;IF($K496="O","4","")&amp;IF($L496="O","6","")&amp;IF($M496="O","7","")&amp;IF($N496="O","8","")&amp;IF($O496="O","?","")&amp;IF(OR($J496="O",$K496="O",$L496="O",$M496="O",$N496="O",$O496="O"),"-","")&amp;$I496)</f>
        <v/>
      </c>
      <c r="Q496" s="110">
        <f>HYPERLINK("#'마스터_품목'!A543","→ 마스터 R543")</f>
        <v/>
      </c>
      <c r="R496" s="111" t="n">
        <v>543</v>
      </c>
      <c r="S496" s="111" t="inlineStr">
        <is>
          <t>마스터_품목</t>
        </is>
      </c>
    </row>
    <row r="497" ht="48" customHeight="1">
      <c r="A497" s="22" t="inlineStr">
        <is>
          <t>조립</t>
        </is>
      </c>
      <c r="B497" s="22" t="inlineStr">
        <is>
          <t>PCB BD</t>
        </is>
      </c>
      <c r="C497" s="23" t="inlineStr">
        <is>
          <t>SOLO</t>
        </is>
      </c>
      <c r="D497" s="23" t="inlineStr">
        <is>
          <t>MAIN_BD</t>
        </is>
      </c>
      <c r="E497" s="23" t="inlineStr">
        <is>
          <t>MAIN_BD
[SOLO]</t>
        </is>
      </c>
      <c r="F497" s="24" t="inlineStr">
        <is>
          <t>O</t>
        </is>
      </c>
      <c r="G497" s="25" t="n"/>
      <c r="H497" s="26" t="n"/>
      <c r="I497" s="27">
        <f>IFERROR(IF(OR($F497="O",$G497="O",$H497="O"),CHOOSE(MATCH($A497,{"튜브","고압","진공","튜닝","조립","출하"},0),"T","H","V","N","A","P")&amp;IF($F497="O","R",IF($G497="O","A",IF($H497="O","F",""))),""),"")</f>
        <v/>
      </c>
      <c r="J497" s="15" t="n"/>
      <c r="K497" s="16" t="n"/>
      <c r="L497" s="17" t="n"/>
      <c r="M497" s="18" t="n"/>
      <c r="N497" s="19" t="inlineStr">
        <is>
          <t>O</t>
        </is>
      </c>
      <c r="O497" s="20" t="n"/>
      <c r="P497" s="21">
        <f>IF($I497="","",IF($J497="O","3","")&amp;IF($K497="O","4","")&amp;IF($L497="O","6","")&amp;IF($M497="O","7","")&amp;IF($N497="O","8","")&amp;IF($O497="O","?","")&amp;IF(OR($J497="O",$K497="O",$L497="O",$M497="O",$N497="O",$O497="O"),"-","")&amp;$I497)</f>
        <v/>
      </c>
      <c r="Q497" s="110">
        <f>HYPERLINK("#'마스터_품목'!A544","→ 마스터 R544")</f>
        <v/>
      </c>
      <c r="R497" s="111" t="n">
        <v>544</v>
      </c>
      <c r="S497" s="111" t="inlineStr">
        <is>
          <t>마스터_품목</t>
        </is>
      </c>
    </row>
    <row r="498" ht="48" customHeight="1">
      <c r="A498" s="22" t="inlineStr">
        <is>
          <t>조립</t>
        </is>
      </c>
      <c r="B498" s="22" t="inlineStr">
        <is>
          <t>PCB BD</t>
        </is>
      </c>
      <c r="C498" s="23" t="inlineStr">
        <is>
          <t>SOLO</t>
        </is>
      </c>
      <c r="D498" s="23" t="inlineStr">
        <is>
          <t>리모콘_BD</t>
        </is>
      </c>
      <c r="E498" s="23" t="inlineStr">
        <is>
          <t>리모콘_BD
[SOLO]</t>
        </is>
      </c>
      <c r="F498" s="24" t="inlineStr">
        <is>
          <t>O</t>
        </is>
      </c>
      <c r="G498" s="25" t="n"/>
      <c r="H498" s="26" t="n"/>
      <c r="I498" s="27">
        <f>IFERROR(IF(OR($F498="O",$G498="O",$H498="O"),CHOOSE(MATCH($A498,{"튜브","고압","진공","튜닝","조립","출하"},0),"T","H","V","N","A","P")&amp;IF($F498="O","R",IF($G498="O","A",IF($H498="O","F",""))),""),"")</f>
        <v/>
      </c>
      <c r="J498" s="15" t="n"/>
      <c r="K498" s="16" t="n"/>
      <c r="L498" s="17" t="n"/>
      <c r="M498" s="18" t="n"/>
      <c r="N498" s="19" t="inlineStr">
        <is>
          <t>O</t>
        </is>
      </c>
      <c r="O498" s="20" t="n"/>
      <c r="P498" s="21">
        <f>IF($I498="","",IF($J498="O","3","")&amp;IF($K498="O","4","")&amp;IF($L498="O","6","")&amp;IF($M498="O","7","")&amp;IF($N498="O","8","")&amp;IF($O498="O","?","")&amp;IF(OR($J498="O",$K498="O",$L498="O",$M498="O",$N498="O",$O498="O"),"-","")&amp;$I498)</f>
        <v/>
      </c>
      <c r="Q498" s="110">
        <f>HYPERLINK("#'마스터_품목'!A545","→ 마스터 R545")</f>
        <v/>
      </c>
      <c r="R498" s="111" t="n">
        <v>545</v>
      </c>
      <c r="S498" s="111" t="inlineStr">
        <is>
          <t>마스터_품목</t>
        </is>
      </c>
    </row>
    <row r="499" ht="48" customHeight="1">
      <c r="A499" s="22" t="inlineStr">
        <is>
          <t>조립</t>
        </is>
      </c>
      <c r="B499" s="22" t="inlineStr">
        <is>
          <t>PCB BD</t>
        </is>
      </c>
      <c r="C499" s="23" t="inlineStr">
        <is>
          <t>SOLO</t>
        </is>
      </c>
      <c r="D499" s="23" t="inlineStr">
        <is>
          <t>EXP_BD</t>
        </is>
      </c>
      <c r="E499" s="23" t="inlineStr">
        <is>
          <t>EXP_BD
[SOLO]</t>
        </is>
      </c>
      <c r="F499" s="24" t="inlineStr">
        <is>
          <t>O</t>
        </is>
      </c>
      <c r="G499" s="25" t="n"/>
      <c r="H499" s="26" t="n"/>
      <c r="I499" s="27">
        <f>IFERROR(IF(OR($F499="O",$G499="O",$H499="O"),CHOOSE(MATCH($A499,{"튜브","고압","진공","튜닝","조립","출하"},0),"T","H","V","N","A","P")&amp;IF($F499="O","R",IF($G499="O","A",IF($H499="O","F",""))),""),"")</f>
        <v/>
      </c>
      <c r="J499" s="15" t="n"/>
      <c r="K499" s="16" t="n"/>
      <c r="L499" s="17" t="n"/>
      <c r="M499" s="18" t="n"/>
      <c r="N499" s="19" t="inlineStr">
        <is>
          <t>O</t>
        </is>
      </c>
      <c r="O499" s="20" t="n"/>
      <c r="P499" s="21">
        <f>IF($I499="","",IF($J499="O","3","")&amp;IF($K499="O","4","")&amp;IF($L499="O","6","")&amp;IF($M499="O","7","")&amp;IF($N499="O","8","")&amp;IF($O499="O","?","")&amp;IF(OR($J499="O",$K499="O",$L499="O",$M499="O",$N499="O",$O499="O"),"-","")&amp;$I499)</f>
        <v/>
      </c>
      <c r="Q499" s="110">
        <f>HYPERLINK("#'마스터_품목'!A546","→ 마스터 R546")</f>
        <v/>
      </c>
      <c r="R499" s="111" t="n">
        <v>546</v>
      </c>
      <c r="S499" s="111" t="inlineStr">
        <is>
          <t>마스터_품목</t>
        </is>
      </c>
    </row>
    <row r="500" ht="48" customHeight="1">
      <c r="A500" s="22" t="inlineStr">
        <is>
          <t>조립</t>
        </is>
      </c>
      <c r="B500" s="22" t="inlineStr">
        <is>
          <t>PCB BD</t>
        </is>
      </c>
      <c r="C500" s="23" t="inlineStr">
        <is>
          <t>SOLO</t>
        </is>
      </c>
      <c r="D500" s="23" t="inlineStr">
        <is>
          <t>BATCON_BD</t>
        </is>
      </c>
      <c r="E500" s="23" t="inlineStr">
        <is>
          <t>BATCON_BD
[SOLO]</t>
        </is>
      </c>
      <c r="F500" s="24" t="inlineStr">
        <is>
          <t>O</t>
        </is>
      </c>
      <c r="G500" s="25" t="n"/>
      <c r="H500" s="26" t="n"/>
      <c r="I500" s="27">
        <f>IFERROR(IF(OR($F500="O",$G500="O",$H500="O"),CHOOSE(MATCH($A500,{"튜브","고압","진공","튜닝","조립","출하"},0),"T","H","V","N","A","P")&amp;IF($F500="O","R",IF($G500="O","A",IF($H500="O","F",""))),""),"")</f>
        <v/>
      </c>
      <c r="J500" s="15" t="n"/>
      <c r="K500" s="16" t="n"/>
      <c r="L500" s="17" t="n"/>
      <c r="M500" s="18" t="n"/>
      <c r="N500" s="19" t="inlineStr">
        <is>
          <t>O</t>
        </is>
      </c>
      <c r="O500" s="20" t="n"/>
      <c r="P500" s="21">
        <f>IF($I500="","",IF($J500="O","3","")&amp;IF($K500="O","4","")&amp;IF($L500="O","6","")&amp;IF($M500="O","7","")&amp;IF($N500="O","8","")&amp;IF($O500="O","?","")&amp;IF(OR($J500="O",$K500="O",$L500="O",$M500="O",$N500="O",$O500="O"),"-","")&amp;$I500)</f>
        <v/>
      </c>
      <c r="Q500" s="110">
        <f>HYPERLINK("#'마스터_품목'!A547","→ 마스터 R547")</f>
        <v/>
      </c>
      <c r="R500" s="111" t="n">
        <v>547</v>
      </c>
      <c r="S500" s="111" t="inlineStr">
        <is>
          <t>마스터_품목</t>
        </is>
      </c>
    </row>
    <row r="501" ht="48" customHeight="1">
      <c r="A501" s="22" t="inlineStr">
        <is>
          <t>조립</t>
        </is>
      </c>
      <c r="B501" s="22" t="inlineStr">
        <is>
          <t>하네스</t>
        </is>
      </c>
      <c r="C501" s="23" t="inlineStr">
        <is>
          <t>SOLO</t>
        </is>
      </c>
      <c r="D501" s="23" t="inlineStr">
        <is>
          <t>Harness-01 - COCOON과 공용
( BATCON BD+EXP BD 연결 _16AWG 실리콘 / 150mm)</t>
        </is>
      </c>
      <c r="E501" s="23" t="inlineStr">
        <is>
          <t>SOLO 하네스 2번 (12505HS-03 Battery-Handle bridge 3핀)
[SOLO]</t>
        </is>
      </c>
      <c r="F501" s="24" t="inlineStr">
        <is>
          <t>O</t>
        </is>
      </c>
      <c r="G501" s="25" t="n"/>
      <c r="H501" s="26" t="n"/>
      <c r="I501" s="27">
        <f>IFERROR(IF(OR($F501="O",$G501="O",$H501="O"),CHOOSE(MATCH($A501,{"튜브","고압","진공","튜닝","조립","출하"},0),"T","H","V","N","A","P")&amp;IF($F501="O","R",IF($G501="O","A",IF($H501="O","F",""))),""),"")</f>
        <v/>
      </c>
      <c r="J501" s="15" t="n"/>
      <c r="K501" s="16" t="n"/>
      <c r="L501" s="17" t="n"/>
      <c r="M501" s="18" t="n"/>
      <c r="N501" s="19" t="inlineStr">
        <is>
          <t>O</t>
        </is>
      </c>
      <c r="O501" s="20" t="n"/>
      <c r="P501" s="21">
        <f>IF($I501="","",IF($J501="O","3","")&amp;IF($K501="O","4","")&amp;IF($L501="O","6","")&amp;IF($M501="O","7","")&amp;IF($N501="O","8","")&amp;IF($O501="O","?","")&amp;IF(OR($J501="O",$K501="O",$L501="O",$M501="O",$N501="O",$O501="O"),"-","")&amp;$I501)</f>
        <v/>
      </c>
      <c r="Q501" s="110">
        <f>HYPERLINK("#'마스터_품목'!A548","→ 마스터 R548")</f>
        <v/>
      </c>
      <c r="R501" s="111" t="n">
        <v>548</v>
      </c>
      <c r="S501" s="111" t="inlineStr">
        <is>
          <t>마스터_품목</t>
        </is>
      </c>
    </row>
    <row r="502" ht="48" customHeight="1">
      <c r="A502" s="22" t="inlineStr">
        <is>
          <t>조립</t>
        </is>
      </c>
      <c r="B502" s="22" t="inlineStr">
        <is>
          <t>하네스</t>
        </is>
      </c>
      <c r="C502" s="23" t="inlineStr">
        <is>
          <t>SOLO</t>
        </is>
      </c>
      <c r="D502" s="23" t="inlineStr">
        <is>
          <t>Harness-02 
( BATCON BD + EXP BD 연결 _26AWG / 190mm )</t>
        </is>
      </c>
      <c r="E502" s="23" t="inlineStr">
        <is>
          <t>SOLO 하네스 4번 (BATCON+EXP _ 190mm(Red1EA, White 2EA)-3핀)
[SOLO]</t>
        </is>
      </c>
      <c r="F502" s="24" t="inlineStr">
        <is>
          <t>O</t>
        </is>
      </c>
      <c r="G502" s="25" t="n"/>
      <c r="H502" s="26" t="n"/>
      <c r="I502" s="27">
        <f>IFERROR(IF(OR($F502="O",$G502="O",$H502="O"),CHOOSE(MATCH($A502,{"튜브","고압","진공","튜닝","조립","출하"},0),"T","H","V","N","A","P")&amp;IF($F502="O","R",IF($G502="O","A",IF($H502="O","F",""))),""),"")</f>
        <v/>
      </c>
      <c r="J502" s="15" t="n"/>
      <c r="K502" s="16" t="n"/>
      <c r="L502" s="17" t="n"/>
      <c r="M502" s="18" t="n"/>
      <c r="N502" s="19" t="inlineStr">
        <is>
          <t>O</t>
        </is>
      </c>
      <c r="O502" s="20" t="n"/>
      <c r="P502" s="21">
        <f>IF($I502="","",IF($J502="O","3","")&amp;IF($K502="O","4","")&amp;IF($L502="O","6","")&amp;IF($M502="O","7","")&amp;IF($N502="O","8","")&amp;IF($O502="O","?","")&amp;IF(OR($J502="O",$K502="O",$L502="O",$M502="O",$N502="O",$O502="O"),"-","")&amp;$I502)</f>
        <v/>
      </c>
      <c r="Q502" s="110">
        <f>HYPERLINK("#'마스터_품목'!A549","→ 마스터 R549")</f>
        <v/>
      </c>
      <c r="R502" s="111" t="n">
        <v>549</v>
      </c>
      <c r="S502" s="111" t="inlineStr">
        <is>
          <t>마스터_품목</t>
        </is>
      </c>
    </row>
    <row r="503" ht="48" customHeight="1">
      <c r="A503" s="22" t="inlineStr">
        <is>
          <t>조립</t>
        </is>
      </c>
      <c r="B503" s="22" t="inlineStr">
        <is>
          <t>하네스</t>
        </is>
      </c>
      <c r="C503" s="23" t="inlineStr">
        <is>
          <t>SOLO</t>
        </is>
      </c>
      <c r="D503" s="23" t="inlineStr">
        <is>
          <t>Harness-03 
( OP BD+POWER BD 연결_26AWG / 125mm(6번 제외) )</t>
        </is>
      </c>
      <c r="E503" s="23" t="inlineStr">
        <is>
          <t>SOLO 하네스 1번 (12505HS-12 (PowerBD - OP 12핀))
[SOLO]</t>
        </is>
      </c>
      <c r="F503" s="24" t="inlineStr">
        <is>
          <t>O</t>
        </is>
      </c>
      <c r="G503" s="25" t="n"/>
      <c r="H503" s="26" t="n"/>
      <c r="I503" s="27">
        <f>IFERROR(IF(OR($F503="O",$G503="O",$H503="O"),CHOOSE(MATCH($A503,{"튜브","고압","진공","튜닝","조립","출하"},0),"T","H","V","N","A","P")&amp;IF($F503="O","R",IF($G503="O","A",IF($H503="O","F",""))),""),"")</f>
        <v/>
      </c>
      <c r="J503" s="15" t="n"/>
      <c r="K503" s="16" t="n"/>
      <c r="L503" s="17" t="n"/>
      <c r="M503" s="18" t="n"/>
      <c r="N503" s="19" t="inlineStr">
        <is>
          <t>O</t>
        </is>
      </c>
      <c r="O503" s="20" t="n"/>
      <c r="P503" s="21">
        <f>IF($I503="","",IF($J503="O","3","")&amp;IF($K503="O","4","")&amp;IF($L503="O","6","")&amp;IF($M503="O","7","")&amp;IF($N503="O","8","")&amp;IF($O503="O","?","")&amp;IF(OR($J503="O",$K503="O",$L503="O",$M503="O",$N503="O",$O503="O"),"-","")&amp;$I503)</f>
        <v/>
      </c>
      <c r="Q503" s="110">
        <f>HYPERLINK("#'마스터_품목'!A550","→ 마스터 R550")</f>
        <v/>
      </c>
      <c r="R503" s="111" t="n">
        <v>550</v>
      </c>
      <c r="S503" s="111" t="inlineStr">
        <is>
          <t>마스터_품목</t>
        </is>
      </c>
    </row>
    <row r="504" ht="48" customHeight="1">
      <c r="A504" s="22" t="inlineStr">
        <is>
          <t>조립</t>
        </is>
      </c>
      <c r="B504" s="22" t="inlineStr">
        <is>
          <t>하네스</t>
        </is>
      </c>
      <c r="C504" s="23" t="inlineStr">
        <is>
          <t>SOLO</t>
        </is>
      </c>
      <c r="D504" s="23" t="inlineStr">
        <is>
          <t>Harness-04 
( OP BD + CTR BD 연결 _0.5mm FFC / 100mm )</t>
        </is>
      </c>
      <c r="E504" s="23" t="inlineStr">
        <is>
          <t>SOLO 하네스 3번 (0.5 * 40 * 100 * B (FFC 40핀))
[SOLO]</t>
        </is>
      </c>
      <c r="F504" s="24" t="inlineStr">
        <is>
          <t>O</t>
        </is>
      </c>
      <c r="G504" s="25" t="n"/>
      <c r="H504" s="26" t="n"/>
      <c r="I504" s="27">
        <f>IFERROR(IF(OR($F504="O",$G504="O",$H504="O"),CHOOSE(MATCH($A504,{"튜브","고압","진공","튜닝","조립","출하"},0),"T","H","V","N","A","P")&amp;IF($F504="O","R",IF($G504="O","A",IF($H504="O","F",""))),""),"")</f>
        <v/>
      </c>
      <c r="J504" s="15" t="n"/>
      <c r="K504" s="16" t="n"/>
      <c r="L504" s="17" t="n"/>
      <c r="M504" s="18" t="n"/>
      <c r="N504" s="19" t="inlineStr">
        <is>
          <t>O</t>
        </is>
      </c>
      <c r="O504" s="20" t="n"/>
      <c r="P504" s="21">
        <f>IF($I504="","",IF($J504="O","3","")&amp;IF($K504="O","4","")&amp;IF($L504="O","6","")&amp;IF($M504="O","7","")&amp;IF($N504="O","8","")&amp;IF($O504="O","?","")&amp;IF(OR($J504="O",$K504="O",$L504="O",$M504="O",$N504="O",$O504="O"),"-","")&amp;$I504)</f>
        <v/>
      </c>
      <c r="Q504" s="110">
        <f>HYPERLINK("#'마스터_품목'!A551","→ 마스터 R551")</f>
        <v/>
      </c>
      <c r="R504" s="111" t="n">
        <v>551</v>
      </c>
      <c r="S504" s="111" t="inlineStr">
        <is>
          <t>마스터_품목</t>
        </is>
      </c>
    </row>
    <row r="505" ht="48" customHeight="1">
      <c r="A505" s="22" t="inlineStr">
        <is>
          <t>조립</t>
        </is>
      </c>
      <c r="B505" s="22" t="inlineStr">
        <is>
          <t>하네스</t>
        </is>
      </c>
      <c r="C505" s="23" t="inlineStr">
        <is>
          <t>SOLO</t>
        </is>
      </c>
      <c r="D505" s="23" t="inlineStr">
        <is>
          <t>Harness-05 
( Main PCB + 리모콘 BD 연결 3핀 )</t>
        </is>
      </c>
      <c r="E505" s="23" t="n"/>
      <c r="F505" s="24" t="inlineStr">
        <is>
          <t>O</t>
        </is>
      </c>
      <c r="G505" s="25" t="n"/>
      <c r="H505" s="26" t="n"/>
      <c r="I505" s="27">
        <f>IFERROR(IF(OR($F505="O",$G505="O",$H505="O"),CHOOSE(MATCH($A505,{"튜브","고압","진공","튜닝","조립","출하"},0),"T","H","V","N","A","P")&amp;IF($F505="O","R",IF($G505="O","A",IF($H505="O","F",""))),""),"")</f>
        <v/>
      </c>
      <c r="J505" s="15" t="n"/>
      <c r="K505" s="16" t="n"/>
      <c r="L505" s="17" t="n"/>
      <c r="M505" s="18" t="n"/>
      <c r="N505" s="19" t="inlineStr">
        <is>
          <t>O</t>
        </is>
      </c>
      <c r="O505" s="20" t="n"/>
      <c r="P505" s="21">
        <f>IF($I505="","",IF($J505="O","3","")&amp;IF($K505="O","4","")&amp;IF($L505="O","6","")&amp;IF($M505="O","7","")&amp;IF($N505="O","8","")&amp;IF($O505="O","?","")&amp;IF(OR($J505="O",$K505="O",$L505="O",$M505="O",$N505="O",$O505="O"),"-","")&amp;$I505)</f>
        <v/>
      </c>
      <c r="Q505" s="110">
        <f>HYPERLINK("#'마스터_품목'!A552","→ 마스터 R552")</f>
        <v/>
      </c>
      <c r="R505" s="111" t="n">
        <v>552</v>
      </c>
      <c r="S505" s="111" t="inlineStr">
        <is>
          <t>마스터_품목</t>
        </is>
      </c>
    </row>
    <row r="506" ht="48" customHeight="1">
      <c r="A506" s="22" t="inlineStr">
        <is>
          <t>조립</t>
        </is>
      </c>
      <c r="B506" s="22" t="inlineStr">
        <is>
          <t>SOLO ASS'Y</t>
        </is>
      </c>
      <c r="C506" s="23" t="inlineStr">
        <is>
          <t>SOLO</t>
        </is>
      </c>
      <c r="D506" s="23" t="inlineStr">
        <is>
          <t>SOLO _ TOP BODY ASS'Y</t>
        </is>
      </c>
      <c r="E506" s="23" t="n"/>
      <c r="F506" s="24" t="n"/>
      <c r="G506" s="25" t="inlineStr">
        <is>
          <t>O</t>
        </is>
      </c>
      <c r="H506" s="26" t="n"/>
      <c r="I506" s="27">
        <f>IFERROR(IF(OR($F506="O",$G506="O",$H506="O"),CHOOSE(MATCH($A506,{"튜브","고압","진공","튜닝","조립","출하"},0),"T","H","V","N","A","P")&amp;IF($F506="O","R",IF($G506="O","A",IF($H506="O","F",""))),""),"")</f>
        <v/>
      </c>
      <c r="J506" s="15" t="n"/>
      <c r="K506" s="16" t="n"/>
      <c r="L506" s="17" t="n"/>
      <c r="M506" s="18" t="n"/>
      <c r="N506" s="19" t="inlineStr">
        <is>
          <t>O</t>
        </is>
      </c>
      <c r="O506" s="20" t="n"/>
      <c r="P506" s="21">
        <f>IF($I506="","",IF($J506="O","3","")&amp;IF($K506="O","4","")&amp;IF($L506="O","6","")&amp;IF($M506="O","7","")&amp;IF($N506="O","8","")&amp;IF($O506="O","?","")&amp;IF(OR($J506="O",$K506="O",$L506="O",$M506="O",$N506="O",$O506="O"),"-","")&amp;$I506)</f>
        <v/>
      </c>
      <c r="Q506" s="110">
        <f>HYPERLINK("#'마스터_품목'!A553","→ 마스터 R553")</f>
        <v/>
      </c>
      <c r="R506" s="111" t="n">
        <v>553</v>
      </c>
      <c r="S506" s="111" t="inlineStr">
        <is>
          <t>마스터_품목</t>
        </is>
      </c>
    </row>
    <row r="507" ht="48" customHeight="1">
      <c r="A507" s="22" t="inlineStr">
        <is>
          <t>조립</t>
        </is>
      </c>
      <c r="B507" s="22" t="inlineStr">
        <is>
          <t>SOLO ASS'Y</t>
        </is>
      </c>
      <c r="C507" s="23" t="inlineStr">
        <is>
          <t>SOLO</t>
        </is>
      </c>
      <c r="D507" s="23" t="inlineStr">
        <is>
          <t>SOLO _  BOTTOM BODY ASS'Y</t>
        </is>
      </c>
      <c r="E507" s="23" t="n"/>
      <c r="F507" s="24" t="n"/>
      <c r="G507" s="25" t="inlineStr">
        <is>
          <t>O</t>
        </is>
      </c>
      <c r="H507" s="26" t="n"/>
      <c r="I507" s="27">
        <f>IFERROR(IF(OR($F507="O",$G507="O",$H507="O"),CHOOSE(MATCH($A507,{"튜브","고압","진공","튜닝","조립","출하"},0),"T","H","V","N","A","P")&amp;IF($F507="O","R",IF($G507="O","A",IF($H507="O","F",""))),""),"")</f>
        <v/>
      </c>
      <c r="J507" s="15" t="n"/>
      <c r="K507" s="16" t="n"/>
      <c r="L507" s="17" t="n"/>
      <c r="M507" s="18" t="n"/>
      <c r="N507" s="19" t="inlineStr">
        <is>
          <t>O</t>
        </is>
      </c>
      <c r="O507" s="20" t="n"/>
      <c r="P507" s="21">
        <f>IF($I507="","",IF($J507="O","3","")&amp;IF($K507="O","4","")&amp;IF($L507="O","6","")&amp;IF($M507="O","7","")&amp;IF($N507="O","8","")&amp;IF($O507="O","?","")&amp;IF(OR($J507="O",$K507="O",$L507="O",$M507="O",$N507="O",$O507="O"),"-","")&amp;$I507)</f>
        <v/>
      </c>
      <c r="Q507" s="110">
        <f>HYPERLINK("#'마스터_품목'!A554","→ 마스터 R554")</f>
        <v/>
      </c>
      <c r="R507" s="111" t="n">
        <v>554</v>
      </c>
      <c r="S507" s="111" t="inlineStr">
        <is>
          <t>마스터_품목</t>
        </is>
      </c>
    </row>
    <row r="508" ht="48" customHeight="1">
      <c r="A508" s="22" t="inlineStr">
        <is>
          <t>조립</t>
        </is>
      </c>
      <c r="B508" s="22" t="inlineStr">
        <is>
          <t>SOLO ASS'Y</t>
        </is>
      </c>
      <c r="C508" s="23" t="inlineStr">
        <is>
          <t>SOLO</t>
        </is>
      </c>
      <c r="D508" s="23" t="inlineStr">
        <is>
          <t>SOLO _  OP BD  Ass'y</t>
        </is>
      </c>
      <c r="E508" s="23" t="n"/>
      <c r="F508" s="24" t="n"/>
      <c r="G508" s="25" t="inlineStr">
        <is>
          <t>O</t>
        </is>
      </c>
      <c r="H508" s="26" t="n"/>
      <c r="I508" s="27">
        <f>IFERROR(IF(OR($F508="O",$G508="O",$H508="O"),CHOOSE(MATCH($A508,{"튜브","고압","진공","튜닝","조립","출하"},0),"T","H","V","N","A","P")&amp;IF($F508="O","R",IF($G508="O","A",IF($H508="O","F",""))),""),"")</f>
        <v/>
      </c>
      <c r="J508" s="15" t="n"/>
      <c r="K508" s="16" t="n"/>
      <c r="L508" s="17" t="n"/>
      <c r="M508" s="18" t="n"/>
      <c r="N508" s="19" t="inlineStr">
        <is>
          <t>O</t>
        </is>
      </c>
      <c r="O508" s="20" t="n"/>
      <c r="P508" s="21">
        <f>IF($I508="","",IF($J508="O","3","")&amp;IF($K508="O","4","")&amp;IF($L508="O","6","")&amp;IF($M508="O","7","")&amp;IF($N508="O","8","")&amp;IF($O508="O","?","")&amp;IF(OR($J508="O",$K508="O",$L508="O",$M508="O",$N508="O",$O508="O"),"-","")&amp;$I508)</f>
        <v/>
      </c>
      <c r="Q508" s="110">
        <f>HYPERLINK("#'마스터_품목'!A555","→ 마스터 R555")</f>
        <v/>
      </c>
      <c r="R508" s="111" t="n">
        <v>555</v>
      </c>
      <c r="S508" s="111" t="inlineStr">
        <is>
          <t>마스터_품목</t>
        </is>
      </c>
    </row>
    <row r="509" ht="48" customHeight="1">
      <c r="A509" s="22" t="inlineStr">
        <is>
          <t>조립</t>
        </is>
      </c>
      <c r="B509" s="22" t="inlineStr">
        <is>
          <t>SOLO ASS'Y</t>
        </is>
      </c>
      <c r="C509" s="23" t="inlineStr">
        <is>
          <t>SOLO</t>
        </is>
      </c>
      <c r="D509" s="23" t="inlineStr">
        <is>
          <t>SOLO _  HANDLE ASS'Y</t>
        </is>
      </c>
      <c r="E509" s="23" t="n"/>
      <c r="F509" s="24" t="n"/>
      <c r="G509" s="25" t="inlineStr">
        <is>
          <t>O</t>
        </is>
      </c>
      <c r="H509" s="26" t="n"/>
      <c r="I509" s="27">
        <f>IFERROR(IF(OR($F509="O",$G509="O",$H509="O"),CHOOSE(MATCH($A509,{"튜브","고압","진공","튜닝","조립","출하"},0),"T","H","V","N","A","P")&amp;IF($F509="O","R",IF($G509="O","A",IF($H509="O","F",""))),""),"")</f>
        <v/>
      </c>
      <c r="J509" s="15" t="n"/>
      <c r="K509" s="16" t="n"/>
      <c r="L509" s="17" t="n"/>
      <c r="M509" s="18" t="n"/>
      <c r="N509" s="19" t="inlineStr">
        <is>
          <t>O</t>
        </is>
      </c>
      <c r="O509" s="20" t="n"/>
      <c r="P509" s="21">
        <f>IF($I509="","",IF($J509="O","3","")&amp;IF($K509="O","4","")&amp;IF($L509="O","6","")&amp;IF($M509="O","7","")&amp;IF($N509="O","8","")&amp;IF($O509="O","?","")&amp;IF(OR($J509="O",$K509="O",$L509="O",$M509="O",$N509="O",$O509="O"),"-","")&amp;$I509)</f>
        <v/>
      </c>
      <c r="Q509" s="110">
        <f>HYPERLINK("#'마스터_품목'!A556","→ 마스터 R556")</f>
        <v/>
      </c>
      <c r="R509" s="111" t="n">
        <v>556</v>
      </c>
      <c r="S509" s="111" t="inlineStr">
        <is>
          <t>마스터_품목</t>
        </is>
      </c>
    </row>
    <row r="510" ht="48" customHeight="1">
      <c r="A510" s="22" t="inlineStr">
        <is>
          <t>조립</t>
        </is>
      </c>
      <c r="B510" s="22" t="inlineStr">
        <is>
          <t>SOLO ASS'Y</t>
        </is>
      </c>
      <c r="C510" s="23" t="inlineStr">
        <is>
          <t>SOLO</t>
        </is>
      </c>
      <c r="D510" s="23" t="inlineStr">
        <is>
          <t>SOLO _ 18cm Cone Ass'y</t>
        </is>
      </c>
      <c r="E510" s="23" t="n"/>
      <c r="F510" s="24" t="n"/>
      <c r="G510" s="25" t="inlineStr">
        <is>
          <t>O</t>
        </is>
      </c>
      <c r="H510" s="26" t="n"/>
      <c r="I510" s="27">
        <f>IFERROR(IF(OR($F510="O",$G510="O",$H510="O"),CHOOSE(MATCH($A510,{"튜브","고압","진공","튜닝","조립","출하"},0),"T","H","V","N","A","P")&amp;IF($F510="O","R",IF($G510="O","A",IF($H510="O","F",""))),""),"")</f>
        <v/>
      </c>
      <c r="J510" s="15" t="n"/>
      <c r="K510" s="16" t="n"/>
      <c r="L510" s="17" t="n"/>
      <c r="M510" s="18" t="n"/>
      <c r="N510" s="19" t="inlineStr">
        <is>
          <t>O</t>
        </is>
      </c>
      <c r="O510" s="20" t="n"/>
      <c r="P510" s="21">
        <f>IF($I510="","",IF($J510="O","3","")&amp;IF($K510="O","4","")&amp;IF($L510="O","6","")&amp;IF($M510="O","7","")&amp;IF($N510="O","8","")&amp;IF($O510="O","?","")&amp;IF(OR($J510="O",$K510="O",$L510="O",$M510="O",$N510="O",$O510="O"),"-","")&amp;$I510)</f>
        <v/>
      </c>
      <c r="Q510" s="110">
        <f>HYPERLINK("#'마스터_품목'!A557","→ 마스터 R557")</f>
        <v/>
      </c>
      <c r="R510" s="111" t="n">
        <v>557</v>
      </c>
      <c r="S510" s="111" t="inlineStr">
        <is>
          <t>마스터_품목</t>
        </is>
      </c>
    </row>
    <row r="511" ht="48" customHeight="1">
      <c r="A511" s="22" t="inlineStr">
        <is>
          <t>조립</t>
        </is>
      </c>
      <c r="B511" s="22" t="inlineStr">
        <is>
          <t>SOLO ASS'Y</t>
        </is>
      </c>
      <c r="C511" s="23" t="inlineStr">
        <is>
          <t>SOLO</t>
        </is>
      </c>
      <c r="D511" s="23" t="inlineStr">
        <is>
          <t>SOLO _ 20cm Cone Ass'y</t>
        </is>
      </c>
      <c r="E511" s="23" t="n"/>
      <c r="F511" s="24" t="n"/>
      <c r="G511" s="25" t="inlineStr">
        <is>
          <t>O</t>
        </is>
      </c>
      <c r="H511" s="26" t="n"/>
      <c r="I511" s="27">
        <f>IFERROR(IF(OR($F511="O",$G511="O",$H511="O"),CHOOSE(MATCH($A511,{"튜브","고압","진공","튜닝","조립","출하"},0),"T","H","V","N","A","P")&amp;IF($F511="O","R",IF($G511="O","A",IF($H511="O","F",""))),""),"")</f>
        <v/>
      </c>
      <c r="J511" s="15" t="n"/>
      <c r="K511" s="16" t="n"/>
      <c r="L511" s="17" t="n"/>
      <c r="M511" s="18" t="n"/>
      <c r="N511" s="19" t="inlineStr">
        <is>
          <t>O</t>
        </is>
      </c>
      <c r="O511" s="20" t="n"/>
      <c r="P511" s="21">
        <f>IF($I511="","",IF($J511="O","3","")&amp;IF($K511="O","4","")&amp;IF($L511="O","6","")&amp;IF($M511="O","7","")&amp;IF($N511="O","8","")&amp;IF($O511="O","?","")&amp;IF(OR($J511="O",$K511="O",$L511="O",$M511="O",$N511="O",$O511="O"),"-","")&amp;$I511)</f>
        <v/>
      </c>
      <c r="Q511" s="110">
        <f>HYPERLINK("#'마스터_품목'!A558","→ 마스터 R558")</f>
        <v/>
      </c>
      <c r="R511" s="111" t="n">
        <v>558</v>
      </c>
      <c r="S511" s="111" t="inlineStr">
        <is>
          <t>마스터_품목</t>
        </is>
      </c>
    </row>
    <row r="512" ht="48" customHeight="1">
      <c r="A512" s="22" t="inlineStr">
        <is>
          <t>조립</t>
        </is>
      </c>
      <c r="B512" s="22" t="inlineStr">
        <is>
          <t>SOLO ASS'Y</t>
        </is>
      </c>
      <c r="C512" s="23" t="inlineStr">
        <is>
          <t>SOLO</t>
        </is>
      </c>
      <c r="D512" s="23" t="inlineStr">
        <is>
          <t>SOLO _  에이밍 라이트 ASS'Y</t>
        </is>
      </c>
      <c r="E512" s="23" t="n"/>
      <c r="F512" s="24" t="n"/>
      <c r="G512" s="25" t="inlineStr">
        <is>
          <t>O</t>
        </is>
      </c>
      <c r="H512" s="26" t="n"/>
      <c r="I512" s="27">
        <f>IFERROR(IF(OR($F512="O",$G512="O",$H512="O"),CHOOSE(MATCH($A512,{"튜브","고압","진공","튜닝","조립","출하"},0),"T","H","V","N","A","P")&amp;IF($F512="O","R",IF($G512="O","A",IF($H512="O","F",""))),""),"")</f>
        <v/>
      </c>
      <c r="J512" s="15" t="n"/>
      <c r="K512" s="16" t="n"/>
      <c r="L512" s="17" t="n"/>
      <c r="M512" s="18" t="n"/>
      <c r="N512" s="19" t="inlineStr">
        <is>
          <t>O</t>
        </is>
      </c>
      <c r="O512" s="20" t="n"/>
      <c r="P512" s="21">
        <f>IF($I512="","",IF($J512="O","3","")&amp;IF($K512="O","4","")&amp;IF($L512="O","6","")&amp;IF($M512="O","7","")&amp;IF($N512="O","8","")&amp;IF($O512="O","?","")&amp;IF(OR($J512="O",$K512="O",$L512="O",$M512="O",$N512="O",$O512="O"),"-","")&amp;$I512)</f>
        <v/>
      </c>
      <c r="Q512" s="110">
        <f>HYPERLINK("#'마스터_품목'!A559","→ 마스터 R559")</f>
        <v/>
      </c>
      <c r="R512" s="111" t="n">
        <v>559</v>
      </c>
      <c r="S512" s="111" t="inlineStr">
        <is>
          <t>마스터_품목</t>
        </is>
      </c>
    </row>
    <row r="513" ht="48" customHeight="1"/>
    <row r="514" ht="48" customHeight="1"/>
    <row r="515" ht="48" customHeight="1"/>
    <row r="516" ht="48" customHeight="1"/>
    <row r="517" ht="48" customHeight="1"/>
    <row r="518" ht="48" customHeight="1"/>
    <row r="519" ht="48" customHeight="1"/>
    <row r="520" ht="48" customHeight="1"/>
    <row r="521" ht="48" customHeight="1"/>
    <row r="522" ht="48" customHeight="1"/>
    <row r="523" ht="48" customHeight="1"/>
    <row r="524" ht="48" customHeight="1"/>
    <row r="525" ht="48" customHeight="1"/>
    <row r="526" ht="48" customHeight="1"/>
    <row r="527" ht="48" customHeight="1"/>
    <row r="528" ht="48" customHeight="1"/>
    <row r="529" ht="48" customHeight="1"/>
    <row r="530" ht="48" customHeight="1"/>
    <row r="531" ht="48" customHeight="1"/>
    <row r="532" ht="48" customHeight="1"/>
    <row r="533" ht="48" customHeight="1"/>
    <row r="534" ht="48" customHeight="1"/>
    <row r="535" ht="48" customHeight="1"/>
    <row r="536" ht="48" customHeight="1"/>
    <row r="537" ht="48" customHeight="1"/>
    <row r="538" ht="48" customHeight="1"/>
    <row r="539" ht="48" customHeight="1"/>
    <row r="540" ht="48" customHeight="1"/>
    <row r="541" ht="48" customHeight="1"/>
    <row r="542" ht="48" customHeight="1"/>
    <row r="543" ht="48" customHeight="1"/>
    <row r="544" ht="48" customHeight="1"/>
    <row r="545" ht="48" customHeight="1"/>
    <row r="546" ht="48" customHeight="1"/>
    <row r="547" ht="48" customHeight="1"/>
    <row r="548" ht="48" customHeight="1"/>
    <row r="549" ht="48" customHeight="1"/>
    <row r="550" ht="48" customHeight="1"/>
    <row r="551" ht="48" customHeight="1"/>
    <row r="552" ht="48" customHeight="1"/>
  </sheetData>
  <autoFilter ref="A1:S512"/>
  <conditionalFormatting sqref="A2:A520">
    <cfRule type="cellIs" priority="5" operator="equal" dxfId="11">
      <formula>"조립"</formula>
    </cfRule>
    <cfRule type="cellIs" priority="6" operator="equal" dxfId="10">
      <formula>"출하"</formula>
    </cfRule>
  </conditionalFormatting>
  <conditionalFormatting sqref="E2:E431 E449:E551">
    <cfRule type="notContainsBlanks" priority="12" dxfId="8"/>
  </conditionalFormatting>
  <conditionalFormatting sqref="E437:E441">
    <cfRule type="notContainsBlanks" priority="4" dxfId="8"/>
  </conditionalFormatting>
  <conditionalFormatting sqref="I2:I551">
    <cfRule type="expression" priority="2" dxfId="7">
      <formula>RIGHT($I2,1)="R"</formula>
    </cfRule>
    <cfRule type="expression" priority="3" dxfId="6">
      <formula>RIGHT($I2,1)="A"</formula>
    </cfRule>
    <cfRule type="expression" priority="9" dxfId="5">
      <formula>RIGHT($I2,1)="F"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0"/>
  <sheetViews>
    <sheetView topLeftCell="A1" zoomScale="70" zoomScaleNormal="70" workbookViewId="0">
      <pane ySplit="1" topLeftCell="A2" activePane="bottomLeft" state="frozen"/>
      <selection activeCell="A1" sqref="A1"/>
    </sheetView>
  </sheetViews>
  <sheetFormatPr baseColWidth="8" defaultRowHeight="16.5"/>
  <cols>
    <col width="8" customWidth="1" min="1" max="1"/>
    <col width="14" customWidth="1" min="2" max="2"/>
    <col width="22" customWidth="1" min="3" max="3"/>
    <col width="52" customWidth="1" min="4" max="5"/>
    <col outlineLevel="2" width="9" customWidth="1" min="6" max="6"/>
    <col outlineLevel="2" width="13" customWidth="1" min="7" max="8"/>
    <col outlineLevel="2" width="9" customWidth="1" min="9" max="9"/>
    <col outlineLevel="1" width="16" bestFit="1" customWidth="1" min="10" max="10"/>
    <col outlineLevel="1" width="13.75" bestFit="1" customWidth="1" min="11" max="11"/>
    <col outlineLevel="1" width="13" customWidth="1" min="12" max="14"/>
    <col outlineLevel="1" collapsed="1" width="13" customWidth="1" min="15" max="15"/>
    <col width="14" customWidth="1" min="16" max="16"/>
    <col width="16" customWidth="1" min="17" max="17"/>
    <col width="9" customWidth="1" min="18" max="18"/>
    <col width="14" customWidth="1" min="19" max="19"/>
  </cols>
  <sheetData>
    <row r="1" ht="36" customHeight="1">
      <c r="A1" s="2" t="inlineStr">
        <is>
          <t>부서</t>
        </is>
      </c>
      <c r="B1" s="2" t="inlineStr">
        <is>
          <t>분류</t>
        </is>
      </c>
      <c r="C1" s="2" t="inlineStr">
        <is>
          <t>모델</t>
        </is>
      </c>
      <c r="D1" s="2" t="inlineStr">
        <is>
          <t>품목</t>
        </is>
      </c>
      <c r="E1" s="3" t="inlineStr">
        <is>
          <t>▼ 창고 품명 (창고파일에서 복사→붙여넣기)</t>
        </is>
      </c>
      <c r="F1" s="4" t="inlineStr">
        <is>
          <t>원자재</t>
        </is>
      </c>
      <c r="G1" s="5" t="inlineStr">
        <is>
          <t>반제품</t>
        </is>
      </c>
      <c r="H1" s="6" t="inlineStr">
        <is>
          <t>완제품</t>
        </is>
      </c>
      <c r="I1" s="7" t="inlineStr">
        <is>
          <t>코드</t>
        </is>
      </c>
      <c r="J1" s="8" t="inlineStr">
        <is>
          <t>3
(DX3000)</t>
        </is>
      </c>
      <c r="K1" s="9" t="inlineStr">
        <is>
          <t>4
(ADX4000W)</t>
        </is>
      </c>
      <c r="L1" s="10" t="inlineStr">
        <is>
          <t>6
(ADX6000FB)</t>
        </is>
      </c>
      <c r="M1" s="11" t="inlineStr">
        <is>
          <t>7
(COCOON)</t>
        </is>
      </c>
      <c r="N1" s="12" t="inlineStr">
        <is>
          <t>8
(SOLO)</t>
        </is>
      </c>
      <c r="O1" s="13" t="inlineStr">
        <is>
          <t>?
(신제품)</t>
        </is>
      </c>
      <c r="P1" s="14" t="inlineStr">
        <is>
          <t>ERP 코드
{모델}-{공정}</t>
        </is>
      </c>
      <c r="Q1" s="108" t="inlineStr">
        <is>
          <t>바로가기
(마스터로)</t>
        </is>
      </c>
      <c r="R1" s="109" t="inlineStr">
        <is>
          <t>마스터행</t>
        </is>
      </c>
      <c r="S1" s="109" t="inlineStr">
        <is>
          <t>마스터시트</t>
        </is>
      </c>
    </row>
    <row r="2" ht="48" customHeight="1">
      <c r="A2" s="36" t="inlineStr">
        <is>
          <t>조립</t>
        </is>
      </c>
      <c r="B2" s="36" t="inlineStr">
        <is>
          <t>완제품 본체</t>
        </is>
      </c>
      <c r="C2" s="37" t="inlineStr">
        <is>
          <t>DX3000</t>
        </is>
      </c>
      <c r="D2" s="37" t="inlineStr">
        <is>
          <t>60kV 2mA / 10cm 기본 (Black)</t>
        </is>
      </c>
      <c r="E2" s="1" t="n"/>
      <c r="F2" s="38" t="n"/>
      <c r="G2" s="39" t="n"/>
      <c r="H2" s="40" t="inlineStr">
        <is>
          <t>O</t>
        </is>
      </c>
      <c r="I2" s="41">
        <f>IFERROR(IF(OR($F2="O",$G2="O",$H2="O"),CHOOSE(MATCH($A2,{"튜브","고압","진공","튜닝","조립","출하"},0),"T","H","V","N","A","P")&amp;IF($F2="O","R",IF($G2="O","A",IF($H2="O","F",""))),""),"")</f>
        <v/>
      </c>
      <c r="J2" s="38" t="inlineStr">
        <is>
          <t>O</t>
        </is>
      </c>
      <c r="K2" s="39" t="n"/>
      <c r="L2" s="42" t="n"/>
      <c r="M2" s="40" t="n"/>
      <c r="N2" s="43" t="n"/>
      <c r="O2" s="44" t="n"/>
      <c r="P2" s="41">
        <f>IF($I2="","",IF($J2="O","3","")&amp;IF($K2="O","4","")&amp;IF($L2="O","6","")&amp;IF($M2="O","7","")&amp;IF($N2="O","8","")&amp;IF($O2="O","?","")&amp;IF(OR($J2="O",$K2="O",$L2="O",$M2="O",$N2="O",$O2="O"),"-","")&amp;$I2)</f>
        <v/>
      </c>
      <c r="Q2" s="110">
        <f>HYPERLINK("#'마스터_품목'!A695","→ 마스터 R695")</f>
        <v/>
      </c>
      <c r="R2" s="111" t="n">
        <v>695</v>
      </c>
      <c r="S2" s="111" t="inlineStr">
        <is>
          <t>마스터_품목</t>
        </is>
      </c>
    </row>
    <row r="3" ht="48" customHeight="1">
      <c r="A3" s="36" t="inlineStr">
        <is>
          <t>조립</t>
        </is>
      </c>
      <c r="B3" s="36" t="inlineStr">
        <is>
          <t>완제품 본체</t>
        </is>
      </c>
      <c r="C3" s="37" t="inlineStr">
        <is>
          <t>DX3000</t>
        </is>
      </c>
      <c r="D3" s="37" t="inlineStr">
        <is>
          <t>60kV 2mA (White)</t>
        </is>
      </c>
      <c r="E3" s="45" t="n"/>
      <c r="F3" s="38" t="n"/>
      <c r="G3" s="39" t="n"/>
      <c r="H3" s="40" t="inlineStr">
        <is>
          <t>O</t>
        </is>
      </c>
      <c r="I3" s="41">
        <f>IFERROR(IF(OR($F3="O",$G3="O",$H3="O"),CHOOSE(MATCH($A3,{"튜브","고압","진공","튜닝","조립","출하"},0),"T","H","V","N","A","P")&amp;IF($F3="O","R",IF($G3="O","A",IF($H3="O","F",""))),""),"")</f>
        <v/>
      </c>
      <c r="J3" s="38" t="inlineStr">
        <is>
          <t>O</t>
        </is>
      </c>
      <c r="K3" s="39" t="n"/>
      <c r="L3" s="42" t="n"/>
      <c r="M3" s="40" t="n"/>
      <c r="N3" s="43" t="n"/>
      <c r="O3" s="44" t="n"/>
      <c r="P3" s="41">
        <f>IF($I3="","",IF($J3="O","3","")&amp;IF($K3="O","4","")&amp;IF($L3="O","6","")&amp;IF($M3="O","7","")&amp;IF($N3="O","8","")&amp;IF($O3="O","?","")&amp;IF(OR($J3="O",$K3="O",$L3="O",$M3="O",$N3="O",$O3="O"),"-","")&amp;$I3)</f>
        <v/>
      </c>
      <c r="Q3" s="110">
        <f>HYPERLINK("#'마스터_품목'!A696","→ 마스터 R696")</f>
        <v/>
      </c>
      <c r="R3" s="111" t="n">
        <v>696</v>
      </c>
      <c r="S3" s="111" t="inlineStr">
        <is>
          <t>마스터_품목</t>
        </is>
      </c>
    </row>
    <row r="4" ht="48" customHeight="1">
      <c r="A4" s="36" t="inlineStr">
        <is>
          <t>조립</t>
        </is>
      </c>
      <c r="B4" s="36" t="inlineStr">
        <is>
          <t>완제품 본체</t>
        </is>
      </c>
      <c r="C4" s="37" t="inlineStr">
        <is>
          <t>DX3000</t>
        </is>
      </c>
      <c r="D4" s="37" t="inlineStr">
        <is>
          <t>60kV 2mA / 15cm (일본) (White 양손잡이)</t>
        </is>
      </c>
      <c r="E4" s="23" t="n"/>
      <c r="F4" s="38" t="n"/>
      <c r="G4" s="39" t="n"/>
      <c r="H4" s="40" t="inlineStr">
        <is>
          <t>O</t>
        </is>
      </c>
      <c r="I4" s="41">
        <f>IFERROR(IF(OR($F4="O",$G4="O",$H4="O"),CHOOSE(MATCH($A4,{"튜브","고압","진공","튜닝","조립","출하"},0),"T","H","V","N","A","P")&amp;IF($F4="O","R",IF($G4="O","A",IF($H4="O","F",""))),""),"")</f>
        <v/>
      </c>
      <c r="J4" s="38" t="inlineStr">
        <is>
          <t>O</t>
        </is>
      </c>
      <c r="K4" s="39" t="n"/>
      <c r="L4" s="42" t="n"/>
      <c r="M4" s="40" t="n"/>
      <c r="N4" s="43" t="n"/>
      <c r="O4" s="44" t="n"/>
      <c r="P4" s="41">
        <f>IF($I4="","",IF($J4="O","3","")&amp;IF($K4="O","4","")&amp;IF($L4="O","6","")&amp;IF($M4="O","7","")&amp;IF($N4="O","8","")&amp;IF($O4="O","?","")&amp;IF(OR($J4="O",$K4="O",$L4="O",$M4="O",$N4="O",$O4="O"),"-","")&amp;$I4)</f>
        <v/>
      </c>
      <c r="Q4" s="110">
        <f>HYPERLINK("#'마스터_품목'!A697","→ 마스터 R697")</f>
        <v/>
      </c>
      <c r="R4" s="111" t="n">
        <v>697</v>
      </c>
      <c r="S4" s="111" t="inlineStr">
        <is>
          <t>마스터_품목</t>
        </is>
      </c>
    </row>
    <row r="5" ht="48" customHeight="1">
      <c r="A5" s="36" t="inlineStr">
        <is>
          <t>조립</t>
        </is>
      </c>
      <c r="B5" s="36" t="inlineStr">
        <is>
          <t>완제품 본체</t>
        </is>
      </c>
      <c r="C5" s="37" t="inlineStr">
        <is>
          <t>DX3000</t>
        </is>
      </c>
      <c r="D5" s="37" t="inlineStr">
        <is>
          <t>60kV 2mA / 15cm (일본 동물용) (White 양손잡이)</t>
        </is>
      </c>
      <c r="E5" s="23" t="n"/>
      <c r="F5" s="38" t="n"/>
      <c r="G5" s="39" t="n"/>
      <c r="H5" s="40" t="inlineStr">
        <is>
          <t>O</t>
        </is>
      </c>
      <c r="I5" s="41">
        <f>IFERROR(IF(OR($F5="O",$G5="O",$H5="O"),CHOOSE(MATCH($A5,{"튜브","고압","진공","튜닝","조립","출하"},0),"T","H","V","N","A","P")&amp;IF($F5="O","R",IF($G5="O","A",IF($H5="O","F",""))),""),"")</f>
        <v/>
      </c>
      <c r="J5" s="38" t="inlineStr">
        <is>
          <t>O</t>
        </is>
      </c>
      <c r="K5" s="39" t="n"/>
      <c r="L5" s="42" t="n"/>
      <c r="M5" s="40" t="n"/>
      <c r="N5" s="43" t="n"/>
      <c r="O5" s="44" t="n"/>
      <c r="P5" s="41">
        <f>IF($I5="","",IF($J5="O","3","")&amp;IF($K5="O","4","")&amp;IF($L5="O","6","")&amp;IF($M5="O","7","")&amp;IF($N5="O","8","")&amp;IF($O5="O","?","")&amp;IF(OR($J5="O",$K5="O",$L5="O",$M5="O",$N5="O",$O5="O"),"-","")&amp;$I5)</f>
        <v/>
      </c>
      <c r="Q5" s="110">
        <f>HYPERLINK("#'마스터_품목'!A698","→ 마스터 R698")</f>
        <v/>
      </c>
      <c r="R5" s="111" t="n">
        <v>698</v>
      </c>
      <c r="S5" s="111" t="inlineStr">
        <is>
          <t>마스터_품목</t>
        </is>
      </c>
    </row>
    <row r="6" ht="48" customHeight="1">
      <c r="A6" s="36" t="inlineStr">
        <is>
          <t>조립</t>
        </is>
      </c>
      <c r="B6" s="36" t="inlineStr">
        <is>
          <t>완제품 본체</t>
        </is>
      </c>
      <c r="C6" s="37" t="inlineStr">
        <is>
          <t>DX3000</t>
        </is>
      </c>
      <c r="D6" s="89" t="inlineStr">
        <is>
          <t>60kV 2mA / 20cm 기본 (White)</t>
        </is>
      </c>
      <c r="E6" s="23" t="n"/>
      <c r="F6" s="38" t="n"/>
      <c r="G6" s="39" t="n"/>
      <c r="H6" s="40" t="inlineStr">
        <is>
          <t>O</t>
        </is>
      </c>
      <c r="I6" s="41">
        <f>IFERROR(IF(OR($F6="O",$G6="O",$H6="O"),CHOOSE(MATCH($A6,{"튜브","고압","진공","튜닝","조립","출하"},0),"T","H","V","N","A","P")&amp;IF($F6="O","R",IF($G6="O","A",IF($H6="O","F",""))),""),"")</f>
        <v/>
      </c>
      <c r="J6" s="38" t="inlineStr">
        <is>
          <t>O</t>
        </is>
      </c>
      <c r="K6" s="39" t="n"/>
      <c r="L6" s="42" t="n"/>
      <c r="M6" s="40" t="n"/>
      <c r="N6" s="43" t="n"/>
      <c r="O6" s="44" t="n"/>
      <c r="P6" s="41">
        <f>IF($I6="","",IF($J6="O","3","")&amp;IF($K6="O","4","")&amp;IF($L6="O","6","")&amp;IF($M6="O","7","")&amp;IF($N6="O","8","")&amp;IF($O6="O","?","")&amp;IF(OR($J6="O",$K6="O",$L6="O",$M6="O",$N6="O",$O6="O"),"-","")&amp;$I6)</f>
        <v/>
      </c>
      <c r="Q6" s="110">
        <f>HYPERLINK("#'마스터_품목'!A699","→ 마스터 R699")</f>
        <v/>
      </c>
      <c r="R6" s="111" t="n">
        <v>699</v>
      </c>
      <c r="S6" s="111" t="inlineStr">
        <is>
          <t>마스터_품목</t>
        </is>
      </c>
    </row>
    <row r="7" ht="48" customHeight="1">
      <c r="A7" s="36" t="inlineStr">
        <is>
          <t>조립</t>
        </is>
      </c>
      <c r="B7" s="36" t="inlineStr">
        <is>
          <t>완제품 본체</t>
        </is>
      </c>
      <c r="C7" s="37" t="inlineStr">
        <is>
          <t>DX3000</t>
        </is>
      </c>
      <c r="D7" s="37" t="inlineStr">
        <is>
          <t>60kV 2mA / 10cm (인도 네시아) (White 양손잡이)</t>
        </is>
      </c>
      <c r="E7" s="23" t="n"/>
      <c r="F7" s="38" t="n"/>
      <c r="G7" s="39" t="n"/>
      <c r="H7" s="40" t="inlineStr">
        <is>
          <t>O</t>
        </is>
      </c>
      <c r="I7" s="41">
        <f>IFERROR(IF(OR($F7="O",$G7="O",$H7="O"),CHOOSE(MATCH($A7,{"튜브","고압","진공","튜닝","조립","출하"},0),"T","H","V","N","A","P")&amp;IF($F7="O","R",IF($G7="O","A",IF($H7="O","F",""))),""),"")</f>
        <v/>
      </c>
      <c r="J7" s="38" t="inlineStr">
        <is>
          <t>O</t>
        </is>
      </c>
      <c r="K7" s="39" t="n"/>
      <c r="L7" s="42" t="n"/>
      <c r="M7" s="40" t="n"/>
      <c r="N7" s="43" t="n"/>
      <c r="O7" s="44" t="n"/>
      <c r="P7" s="41">
        <f>IF($I7="","",IF($J7="O","3","")&amp;IF($K7="O","4","")&amp;IF($L7="O","6","")&amp;IF($M7="O","7","")&amp;IF($N7="O","8","")&amp;IF($O7="O","?","")&amp;IF(OR($J7="O",$K7="O",$L7="O",$M7="O",$N7="O",$O7="O"),"-","")&amp;$I7)</f>
        <v/>
      </c>
      <c r="Q7" s="110">
        <f>HYPERLINK("#'마스터_품목'!A700","→ 마스터 R700")</f>
        <v/>
      </c>
      <c r="R7" s="111" t="n">
        <v>700</v>
      </c>
      <c r="S7" s="111" t="inlineStr">
        <is>
          <t>마스터_품목</t>
        </is>
      </c>
    </row>
    <row r="8" ht="48" customHeight="1">
      <c r="A8" s="36" t="inlineStr">
        <is>
          <t>조립</t>
        </is>
      </c>
      <c r="B8" s="36" t="inlineStr">
        <is>
          <t>완제품 본체</t>
        </is>
      </c>
      <c r="C8" s="37" t="inlineStr">
        <is>
          <t>DX3000</t>
        </is>
      </c>
      <c r="D8" s="37" t="inlineStr">
        <is>
          <t>60kV 2mA / 10cm (이미지 웍스) (Black 양손잡이)</t>
        </is>
      </c>
      <c r="E8" s="23" t="n"/>
      <c r="F8" s="38" t="n"/>
      <c r="G8" s="39" t="n"/>
      <c r="H8" s="40" t="inlineStr">
        <is>
          <t>O</t>
        </is>
      </c>
      <c r="I8" s="41">
        <f>IFERROR(IF(OR($F8="O",$G8="O",$H8="O"),CHOOSE(MATCH($A8,{"튜브","고압","진공","튜닝","조립","출하"},0),"T","H","V","N","A","P")&amp;IF($F8="O","R",IF($G8="O","A",IF($H8="O","F",""))),""),"")</f>
        <v/>
      </c>
      <c r="J8" s="38" t="inlineStr">
        <is>
          <t>O</t>
        </is>
      </c>
      <c r="K8" s="39" t="n"/>
      <c r="L8" s="42" t="n"/>
      <c r="M8" s="40" t="n"/>
      <c r="N8" s="43" t="n"/>
      <c r="O8" s="44" t="n"/>
      <c r="P8" s="41">
        <f>IF($I8="","",IF($J8="O","3","")&amp;IF($K8="O","4","")&amp;IF($L8="O","6","")&amp;IF($M8="O","7","")&amp;IF($N8="O","8","")&amp;IF($O8="O","?","")&amp;IF(OR($J8="O",$K8="O",$L8="O",$M8="O",$N8="O",$O8="O"),"-","")&amp;$I8)</f>
        <v/>
      </c>
      <c r="Q8" s="110">
        <f>HYPERLINK("#'마스터_품목'!A701","→ 마스터 R701")</f>
        <v/>
      </c>
      <c r="R8" s="111" t="n">
        <v>701</v>
      </c>
      <c r="S8" s="111" t="inlineStr">
        <is>
          <t>마스터_품목</t>
        </is>
      </c>
    </row>
    <row r="9" ht="48" customHeight="1">
      <c r="A9" s="36" t="inlineStr">
        <is>
          <t>조립</t>
        </is>
      </c>
      <c r="B9" s="36" t="inlineStr">
        <is>
          <t>완제품 본체</t>
        </is>
      </c>
      <c r="C9" s="37" t="inlineStr">
        <is>
          <t>DX3000</t>
        </is>
      </c>
      <c r="D9" s="37" t="inlineStr">
        <is>
          <t>60kV 2mA / 10cm (우루과이 &amp; 푸에르토 리코) (Black)</t>
        </is>
      </c>
      <c r="E9" s="23" t="n"/>
      <c r="F9" s="38" t="n"/>
      <c r="G9" s="39" t="n"/>
      <c r="H9" s="40" t="inlineStr">
        <is>
          <t>O</t>
        </is>
      </c>
      <c r="I9" s="41">
        <f>IFERROR(IF(OR($F9="O",$G9="O",$H9="O"),CHOOSE(MATCH($A9,{"튜브","고압","진공","튜닝","조립","출하"},0),"T","H","V","N","A","P")&amp;IF($F9="O","R",IF($G9="O","A",IF($H9="O","F",""))),""),"")</f>
        <v/>
      </c>
      <c r="J9" s="38" t="inlineStr">
        <is>
          <t>O</t>
        </is>
      </c>
      <c r="K9" s="39" t="n"/>
      <c r="L9" s="42" t="n"/>
      <c r="M9" s="40" t="n"/>
      <c r="N9" s="43" t="n"/>
      <c r="O9" s="44" t="n"/>
      <c r="P9" s="41">
        <f>IF($I9="","",IF($J9="O","3","")&amp;IF($K9="O","4","")&amp;IF($L9="O","6","")&amp;IF($M9="O","7","")&amp;IF($N9="O","8","")&amp;IF($O9="O","?","")&amp;IF(OR($J9="O",$K9="O",$L9="O",$M9="O",$N9="O",$O9="O"),"-","")&amp;$I9)</f>
        <v/>
      </c>
      <c r="Q9" s="110">
        <f>HYPERLINK("#'마스터_품목'!A702","→ 마스터 R702")</f>
        <v/>
      </c>
      <c r="R9" s="111" t="n">
        <v>702</v>
      </c>
      <c r="S9" s="111" t="inlineStr">
        <is>
          <t>마스터_품목</t>
        </is>
      </c>
    </row>
    <row r="10" ht="48" customHeight="1">
      <c r="A10" s="36" t="inlineStr">
        <is>
          <t>조립</t>
        </is>
      </c>
      <c r="B10" s="36" t="inlineStr">
        <is>
          <t>완제품 본체</t>
        </is>
      </c>
      <c r="C10" s="37" t="inlineStr">
        <is>
          <t>DX3000</t>
        </is>
      </c>
      <c r="D10" s="37" t="inlineStr">
        <is>
          <t>60kV 2mA / 20cm (우루과이 용) (Black)</t>
        </is>
      </c>
      <c r="E10" s="23" t="n"/>
      <c r="F10" s="38" t="n"/>
      <c r="G10" s="39" t="n"/>
      <c r="H10" s="40" t="inlineStr">
        <is>
          <t>O</t>
        </is>
      </c>
      <c r="I10" s="41">
        <f>IFERROR(IF(OR($F10="O",$G10="O",$H10="O"),CHOOSE(MATCH($A10,{"튜브","고압","진공","튜닝","조립","출하"},0),"T","H","V","N","A","P")&amp;IF($F10="O","R",IF($G10="O","A",IF($H10="O","F",""))),""),"")</f>
        <v/>
      </c>
      <c r="J10" s="38" t="inlineStr">
        <is>
          <t>O</t>
        </is>
      </c>
      <c r="K10" s="39" t="n"/>
      <c r="L10" s="42" t="n"/>
      <c r="M10" s="40" t="n"/>
      <c r="N10" s="43" t="n"/>
      <c r="O10" s="44" t="n"/>
      <c r="P10" s="41">
        <f>IF($I10="","",IF($J10="O","3","")&amp;IF($K10="O","4","")&amp;IF($L10="O","6","")&amp;IF($M10="O","7","")&amp;IF($N10="O","8","")&amp;IF($O10="O","?","")&amp;IF(OR($J10="O",$K10="O",$L10="O",$M10="O",$N10="O",$O10="O"),"-","")&amp;$I10)</f>
        <v/>
      </c>
      <c r="Q10" s="110">
        <f>HYPERLINK("#'마스터_품목'!A703","→ 마스터 R703")</f>
        <v/>
      </c>
      <c r="R10" s="111" t="n">
        <v>703</v>
      </c>
      <c r="S10" s="111" t="inlineStr">
        <is>
          <t>마스터_품목</t>
        </is>
      </c>
    </row>
    <row r="11" ht="48" customHeight="1">
      <c r="A11" s="36" t="inlineStr">
        <is>
          <t>조립</t>
        </is>
      </c>
      <c r="B11" s="36" t="inlineStr">
        <is>
          <t>완제품 본체</t>
        </is>
      </c>
      <c r="C11" s="37" t="inlineStr">
        <is>
          <t>DX3000</t>
        </is>
      </c>
      <c r="D11" s="37" t="inlineStr">
        <is>
          <t>60kV 2mA / 20cm (사파리 덴탈 용) (White)</t>
        </is>
      </c>
      <c r="E11" s="23" t="n"/>
      <c r="F11" s="38" t="n"/>
      <c r="G11" s="39" t="n"/>
      <c r="H11" s="40" t="inlineStr">
        <is>
          <t>O</t>
        </is>
      </c>
      <c r="I11" s="41">
        <f>IFERROR(IF(OR($F11="O",$G11="O",$H11="O"),CHOOSE(MATCH($A11,{"튜브","고압","진공","튜닝","조립","출하"},0),"T","H","V","N","A","P")&amp;IF($F11="O","R",IF($G11="O","A",IF($H11="O","F",""))),""),"")</f>
        <v/>
      </c>
      <c r="J11" s="38" t="inlineStr">
        <is>
          <t>O</t>
        </is>
      </c>
      <c r="K11" s="39" t="n"/>
      <c r="L11" s="42" t="n"/>
      <c r="M11" s="40" t="n"/>
      <c r="N11" s="43" t="n"/>
      <c r="O11" s="44" t="n"/>
      <c r="P11" s="41">
        <f>IF($I11="","",IF($J11="O","3","")&amp;IF($K11="O","4","")&amp;IF($L11="O","6","")&amp;IF($M11="O","7","")&amp;IF($N11="O","8","")&amp;IF($O11="O","?","")&amp;IF(OR($J11="O",$K11="O",$L11="O",$M11="O",$N11="O",$O11="O"),"-","")&amp;$I11)</f>
        <v/>
      </c>
      <c r="Q11" s="110">
        <f>HYPERLINK("#'마스터_품목'!A704","→ 마스터 R704")</f>
        <v/>
      </c>
      <c r="R11" s="111" t="n">
        <v>704</v>
      </c>
      <c r="S11" s="111" t="inlineStr">
        <is>
          <t>마스터_품목</t>
        </is>
      </c>
    </row>
    <row r="12" ht="48" customHeight="1">
      <c r="A12" s="36" t="inlineStr">
        <is>
          <t>조립</t>
        </is>
      </c>
      <c r="B12" s="36" t="inlineStr">
        <is>
          <t>완제품 본체</t>
        </is>
      </c>
      <c r="C12" s="37" t="inlineStr">
        <is>
          <t>DX3000</t>
        </is>
      </c>
      <c r="D12" s="37" t="inlineStr">
        <is>
          <t>65kV 1.7mA / 20cm 기본 (지사 용) (White 양손잡이)</t>
        </is>
      </c>
      <c r="E12" s="23" t="n"/>
      <c r="F12" s="38" t="n"/>
      <c r="G12" s="39" t="n"/>
      <c r="H12" s="40" t="inlineStr">
        <is>
          <t>O</t>
        </is>
      </c>
      <c r="I12" s="41">
        <f>IFERROR(IF(OR($F12="O",$G12="O",$H12="O"),CHOOSE(MATCH($A12,{"튜브","고압","진공","튜닝","조립","출하"},0),"T","H","V","N","A","P")&amp;IF($F12="O","R",IF($G12="O","A",IF($H12="O","F",""))),""),"")</f>
        <v/>
      </c>
      <c r="J12" s="38" t="inlineStr">
        <is>
          <t>O</t>
        </is>
      </c>
      <c r="K12" s="39" t="n"/>
      <c r="L12" s="42" t="n"/>
      <c r="M12" s="40" t="n"/>
      <c r="N12" s="43" t="n"/>
      <c r="O12" s="44" t="n"/>
      <c r="P12" s="41">
        <f>IF($I12="","",IF($J12="O","3","")&amp;IF($K12="O","4","")&amp;IF($L12="O","6","")&amp;IF($M12="O","7","")&amp;IF($N12="O","8","")&amp;IF($O12="O","?","")&amp;IF(OR($J12="O",$K12="O",$L12="O",$M12="O",$N12="O",$O12="O"),"-","")&amp;$I12)</f>
        <v/>
      </c>
      <c r="Q12" s="110">
        <f>HYPERLINK("#'마스터_품목'!A705","→ 마스터 R705")</f>
        <v/>
      </c>
      <c r="R12" s="111" t="n">
        <v>705</v>
      </c>
      <c r="S12" s="111" t="inlineStr">
        <is>
          <t>마스터_품목</t>
        </is>
      </c>
    </row>
    <row r="13" ht="48" customHeight="1">
      <c r="A13" s="36" t="inlineStr">
        <is>
          <t>조립</t>
        </is>
      </c>
      <c r="B13" s="36" t="inlineStr">
        <is>
          <t>완제품 본체</t>
        </is>
      </c>
      <c r="C13" s="37" t="inlineStr">
        <is>
          <t>DX3000</t>
        </is>
      </c>
      <c r="D13" s="37" t="inlineStr">
        <is>
          <t>65kV 1.7mA / 20cm (MaxRay) (White 양손잡이)</t>
        </is>
      </c>
      <c r="E13" s="23" t="n"/>
      <c r="F13" s="38" t="n"/>
      <c r="G13" s="39" t="n"/>
      <c r="H13" s="40" t="inlineStr">
        <is>
          <t>O</t>
        </is>
      </c>
      <c r="I13" s="41">
        <f>IFERROR(IF(OR($F13="O",$G13="O",$H13="O"),CHOOSE(MATCH($A13,{"튜브","고압","진공","튜닝","조립","출하"},0),"T","H","V","N","A","P")&amp;IF($F13="O","R",IF($G13="O","A",IF($H13="O","F",""))),""),"")</f>
        <v/>
      </c>
      <c r="J13" s="38" t="inlineStr">
        <is>
          <t>O</t>
        </is>
      </c>
      <c r="K13" s="39" t="n"/>
      <c r="L13" s="42" t="n"/>
      <c r="M13" s="40" t="n"/>
      <c r="N13" s="43" t="n"/>
      <c r="O13" s="44" t="n"/>
      <c r="P13" s="41">
        <f>IF($I13="","",IF($J13="O","3","")&amp;IF($K13="O","4","")&amp;IF($L13="O","6","")&amp;IF($M13="O","7","")&amp;IF($N13="O","8","")&amp;IF($O13="O","?","")&amp;IF(OR($J13="O",$K13="O",$L13="O",$M13="O",$N13="O",$O13="O"),"-","")&amp;$I13)</f>
        <v/>
      </c>
      <c r="Q13" s="110">
        <f>HYPERLINK("#'마스터_품목'!A706","→ 마스터 R706")</f>
        <v/>
      </c>
      <c r="R13" s="111" t="n">
        <v>706</v>
      </c>
      <c r="S13" s="111" t="inlineStr">
        <is>
          <t>마스터_품목</t>
        </is>
      </c>
    </row>
    <row r="14" ht="48" customHeight="1">
      <c r="A14" s="36" t="inlineStr">
        <is>
          <t>조립</t>
        </is>
      </c>
      <c r="B14" s="36" t="inlineStr">
        <is>
          <t>완제품 본체</t>
        </is>
      </c>
      <c r="C14" s="37" t="inlineStr">
        <is>
          <t>DX3000</t>
        </is>
      </c>
      <c r="D14" s="37" t="inlineStr">
        <is>
          <t>65kV 1.7mA (Black 양손잡이)</t>
        </is>
      </c>
      <c r="E14" s="23" t="n"/>
      <c r="F14" s="38" t="n"/>
      <c r="G14" s="39" t="n"/>
      <c r="H14" s="40" t="inlineStr">
        <is>
          <t>O</t>
        </is>
      </c>
      <c r="I14" s="41">
        <f>IFERROR(IF(OR($F14="O",$G14="O",$H14="O"),CHOOSE(MATCH($A14,{"튜브","고압","진공","튜닝","조립","출하"},0),"T","H","V","N","A","P")&amp;IF($F14="O","R",IF($G14="O","A",IF($H14="O","F",""))),""),"")</f>
        <v/>
      </c>
      <c r="J14" s="38" t="inlineStr">
        <is>
          <t>O</t>
        </is>
      </c>
      <c r="K14" s="39" t="n"/>
      <c r="L14" s="42" t="n"/>
      <c r="M14" s="40" t="n"/>
      <c r="N14" s="43" t="n"/>
      <c r="O14" s="44" t="n"/>
      <c r="P14" s="41">
        <f>IF($I14="","",IF($J14="O","3","")&amp;IF($K14="O","4","")&amp;IF($L14="O","6","")&amp;IF($M14="O","7","")&amp;IF($N14="O","8","")&amp;IF($O14="O","?","")&amp;IF(OR($J14="O",$K14="O",$L14="O",$M14="O",$N14="O",$O14="O"),"-","")&amp;$I14)</f>
        <v/>
      </c>
      <c r="Q14" s="110">
        <f>HYPERLINK("#'마스터_품목'!A707","→ 마스터 R707")</f>
        <v/>
      </c>
      <c r="R14" s="111" t="n">
        <v>707</v>
      </c>
      <c r="S14" s="111" t="inlineStr">
        <is>
          <t>마스터_품목</t>
        </is>
      </c>
    </row>
    <row r="15" ht="48" customHeight="1">
      <c r="A15" s="36" t="inlineStr">
        <is>
          <t>조립</t>
        </is>
      </c>
      <c r="B15" s="36" t="inlineStr">
        <is>
          <t>완제품 본체</t>
        </is>
      </c>
      <c r="C15" s="37" t="inlineStr">
        <is>
          <t>DX3000</t>
        </is>
      </c>
      <c r="D15" s="37" t="inlineStr">
        <is>
          <t>65kV 1.7mA / 10cm _USA(medicatech 동물용) (White,Black 양손잡이)</t>
        </is>
      </c>
      <c r="E15" s="23" t="n"/>
      <c r="F15" s="38" t="n"/>
      <c r="G15" s="39" t="n"/>
      <c r="H15" s="40" t="inlineStr">
        <is>
          <t>O</t>
        </is>
      </c>
      <c r="I15" s="41">
        <f>IFERROR(IF(OR($F15="O",$G15="O",$H15="O"),CHOOSE(MATCH($A15,{"튜브","고압","진공","튜닝","조립","출하"},0),"T","H","V","N","A","P")&amp;IF($F15="O","R",IF($G15="O","A",IF($H15="O","F",""))),""),"")</f>
        <v/>
      </c>
      <c r="J15" s="38" t="inlineStr">
        <is>
          <t>O</t>
        </is>
      </c>
      <c r="K15" s="39" t="n"/>
      <c r="L15" s="42" t="n"/>
      <c r="M15" s="40" t="n"/>
      <c r="N15" s="43" t="n"/>
      <c r="O15" s="44" t="n"/>
      <c r="P15" s="41">
        <f>IF($I15="","",IF($J15="O","3","")&amp;IF($K15="O","4","")&amp;IF($L15="O","6","")&amp;IF($M15="O","7","")&amp;IF($N15="O","8","")&amp;IF($O15="O","?","")&amp;IF(OR($J15="O",$K15="O",$L15="O",$M15="O",$N15="O",$O15="O"),"-","")&amp;$I15)</f>
        <v/>
      </c>
      <c r="Q15" s="110">
        <f>HYPERLINK("#'마스터_품목'!A708","→ 마스터 R708")</f>
        <v/>
      </c>
      <c r="R15" s="111" t="n">
        <v>708</v>
      </c>
      <c r="S15" s="111" t="inlineStr">
        <is>
          <t>마스터_품목</t>
        </is>
      </c>
    </row>
    <row r="16" ht="48" customHeight="1">
      <c r="A16" s="36" t="inlineStr">
        <is>
          <t>조립</t>
        </is>
      </c>
      <c r="B16" s="36" t="inlineStr">
        <is>
          <t>완제품 본체</t>
        </is>
      </c>
      <c r="C16" s="37" t="inlineStr">
        <is>
          <t>DX3000</t>
        </is>
      </c>
      <c r="D16" s="37" t="inlineStr">
        <is>
          <t>65kV 1.7mA / 10cm _CBI용 (동물용) (Black 양손잡이)</t>
        </is>
      </c>
      <c r="E16" s="23" t="n"/>
      <c r="F16" s="38" t="n"/>
      <c r="G16" s="39" t="n"/>
      <c r="H16" s="40" t="inlineStr">
        <is>
          <t>O</t>
        </is>
      </c>
      <c r="I16" s="41">
        <f>IFERROR(IF(OR($F16="O",$G16="O",$H16="O"),CHOOSE(MATCH($A16,{"튜브","고압","진공","튜닝","조립","출하"},0),"T","H","V","N","A","P")&amp;IF($F16="O","R",IF($G16="O","A",IF($H16="O","F",""))),""),"")</f>
        <v/>
      </c>
      <c r="J16" s="38" t="inlineStr">
        <is>
          <t>O</t>
        </is>
      </c>
      <c r="K16" s="39" t="n"/>
      <c r="L16" s="42" t="n"/>
      <c r="M16" s="40" t="n"/>
      <c r="N16" s="43" t="n"/>
      <c r="O16" s="44" t="n"/>
      <c r="P16" s="41">
        <f>IF($I16="","",IF($J16="O","3","")&amp;IF($K16="O","4","")&amp;IF($L16="O","6","")&amp;IF($M16="O","7","")&amp;IF($N16="O","8","")&amp;IF($O16="O","?","")&amp;IF(OR($J16="O",$K16="O",$L16="O",$M16="O",$N16="O",$O16="O"),"-","")&amp;$I16)</f>
        <v/>
      </c>
      <c r="Q16" s="110">
        <f>HYPERLINK("#'마스터_품목'!A709","→ 마스터 R709")</f>
        <v/>
      </c>
      <c r="R16" s="111" t="n">
        <v>709</v>
      </c>
      <c r="S16" s="111" t="inlineStr">
        <is>
          <t>마스터_품목</t>
        </is>
      </c>
    </row>
    <row r="17" ht="48" customHeight="1">
      <c r="A17" s="36" t="inlineStr">
        <is>
          <t>조립</t>
        </is>
      </c>
      <c r="B17" s="36" t="inlineStr">
        <is>
          <t>완제품 본체</t>
        </is>
      </c>
      <c r="C17" s="37" t="inlineStr">
        <is>
          <t>DX3000M</t>
        </is>
      </c>
      <c r="D17" s="37" t="inlineStr">
        <is>
          <t>70KV 3mA TFT용 / 원형_컬리메이터 적용 _ 메디컬 용 (Black)</t>
        </is>
      </c>
      <c r="E17" s="23" t="n"/>
      <c r="F17" s="38" t="n"/>
      <c r="G17" s="39" t="n"/>
      <c r="H17" s="40" t="inlineStr">
        <is>
          <t>O</t>
        </is>
      </c>
      <c r="I17" s="41">
        <f>IFERROR(IF(OR($F17="O",$G17="O",$H17="O"),CHOOSE(MATCH($A17,{"튜브","고압","진공","튜닝","조립","출하"},0),"T","H","V","N","A","P")&amp;IF($F17="O","R",IF($G17="O","A",IF($H17="O","F",""))),""),"")</f>
        <v/>
      </c>
      <c r="J17" s="38" t="inlineStr">
        <is>
          <t>O</t>
        </is>
      </c>
      <c r="K17" s="39" t="n"/>
      <c r="L17" s="42" t="n"/>
      <c r="M17" s="40" t="n"/>
      <c r="N17" s="43" t="n"/>
      <c r="O17" s="44" t="n"/>
      <c r="P17" s="41">
        <f>IF($I17="","",IF($J17="O","3","")&amp;IF($K17="O","4","")&amp;IF($L17="O","6","")&amp;IF($M17="O","7","")&amp;IF($N17="O","8","")&amp;IF($O17="O","?","")&amp;IF(OR($J17="O",$K17="O",$L17="O",$M17="O",$N17="O",$O17="O"),"-","")&amp;$I17)</f>
        <v/>
      </c>
      <c r="Q17" s="110">
        <f>HYPERLINK("#'마스터_품목'!A710","→ 마스터 R710")</f>
        <v/>
      </c>
      <c r="R17" s="111" t="n">
        <v>710</v>
      </c>
      <c r="S17" s="111" t="inlineStr">
        <is>
          <t>마스터_품목</t>
        </is>
      </c>
    </row>
    <row r="18" ht="48" customHeight="1">
      <c r="A18" s="36" t="inlineStr">
        <is>
          <t>조립</t>
        </is>
      </c>
      <c r="B18" s="36" t="inlineStr">
        <is>
          <t>완제품 본체</t>
        </is>
      </c>
      <c r="C18" s="37" t="inlineStr">
        <is>
          <t>DX3000M</t>
        </is>
      </c>
      <c r="D18" s="37" t="inlineStr">
        <is>
          <t>70KV 3mA TFT용 / 사각_컬리메이터 적용 _ 메디컬 용 (Black)</t>
        </is>
      </c>
      <c r="E18" s="23" t="n"/>
      <c r="F18" s="38" t="n"/>
      <c r="G18" s="39" t="n"/>
      <c r="H18" s="40" t="inlineStr">
        <is>
          <t>O</t>
        </is>
      </c>
      <c r="I18" s="41">
        <f>IFERROR(IF(OR($F18="O",$G18="O",$H18="O"),CHOOSE(MATCH($A18,{"튜브","고압","진공","튜닝","조립","출하"},0),"T","H","V","N","A","P")&amp;IF($F18="O","R",IF($G18="O","A",IF($H18="O","F",""))),""),"")</f>
        <v/>
      </c>
      <c r="J18" s="38" t="inlineStr">
        <is>
          <t>O</t>
        </is>
      </c>
      <c r="K18" s="39" t="n"/>
      <c r="L18" s="42" t="n"/>
      <c r="M18" s="40" t="n"/>
      <c r="N18" s="43" t="n"/>
      <c r="O18" s="44" t="n"/>
      <c r="P18" s="41">
        <f>IF($I18="","",IF($J18="O","3","")&amp;IF($K18="O","4","")&amp;IF($L18="O","6","")&amp;IF($M18="O","7","")&amp;IF($N18="O","8","")&amp;IF($O18="O","?","")&amp;IF(OR($J18="O",$K18="O",$L18="O",$M18="O",$N18="O",$O18="O"),"-","")&amp;$I18)</f>
        <v/>
      </c>
      <c r="Q18" s="110">
        <f>HYPERLINK("#'마스터_품목'!A711","→ 마스터 R711")</f>
        <v/>
      </c>
      <c r="R18" s="111" t="n">
        <v>711</v>
      </c>
      <c r="S18" s="111" t="inlineStr">
        <is>
          <t>마스터_품목</t>
        </is>
      </c>
    </row>
    <row r="19" ht="48" customHeight="1">
      <c r="A19" s="36" t="inlineStr">
        <is>
          <t>조립</t>
        </is>
      </c>
      <c r="B19" s="36" t="inlineStr">
        <is>
          <t>완제품 본체</t>
        </is>
      </c>
      <c r="C19" s="37" t="inlineStr">
        <is>
          <t>DX3000M</t>
        </is>
      </c>
      <c r="D19" s="37" t="inlineStr">
        <is>
          <t>60KV 2mA TFT용 / 컬리메이터 적용 _ 동물 용 (Black)</t>
        </is>
      </c>
      <c r="E19" s="23" t="n"/>
      <c r="F19" s="38" t="n"/>
      <c r="G19" s="39" t="n"/>
      <c r="H19" s="40" t="inlineStr">
        <is>
          <t>O</t>
        </is>
      </c>
      <c r="I19" s="41">
        <f>IFERROR(IF(OR($F19="O",$G19="O",$H19="O"),CHOOSE(MATCH($A19,{"튜브","고압","진공","튜닝","조립","출하"},0),"T","H","V","N","A","P")&amp;IF($F19="O","R",IF($G19="O","A",IF($H19="O","F",""))),""),"")</f>
        <v/>
      </c>
      <c r="J19" s="38" t="inlineStr">
        <is>
          <t>O</t>
        </is>
      </c>
      <c r="K19" s="39" t="n"/>
      <c r="L19" s="42" t="n"/>
      <c r="M19" s="40" t="n"/>
      <c r="N19" s="43" t="n"/>
      <c r="O19" s="44" t="n"/>
      <c r="P19" s="41">
        <f>IF($I19="","",IF($J19="O","3","")&amp;IF($K19="O","4","")&amp;IF($L19="O","6","")&amp;IF($M19="O","7","")&amp;IF($N19="O","8","")&amp;IF($O19="O","?","")&amp;IF(OR($J19="O",$K19="O",$L19="O",$M19="O",$N19="O",$O19="O"),"-","")&amp;$I19)</f>
        <v/>
      </c>
      <c r="Q19" s="110">
        <f>HYPERLINK("#'마스터_품목'!A712","→ 마스터 R712")</f>
        <v/>
      </c>
      <c r="R19" s="111" t="n">
        <v>712</v>
      </c>
      <c r="S19" s="111" t="inlineStr">
        <is>
          <t>마스터_품목</t>
        </is>
      </c>
    </row>
    <row r="20" ht="48" customHeight="1">
      <c r="A20" s="36" t="inlineStr">
        <is>
          <t>조립</t>
        </is>
      </c>
      <c r="B20" s="36" t="inlineStr">
        <is>
          <t>완제품 본체</t>
        </is>
      </c>
      <c r="C20" s="37" t="inlineStr">
        <is>
          <t>DX3000M</t>
        </is>
      </c>
      <c r="D20" s="37" t="inlineStr">
        <is>
          <t>60KV 2mA TFT용 / 10cm 기본 (White)</t>
        </is>
      </c>
      <c r="E20" s="23" t="n"/>
      <c r="F20" s="38" t="n"/>
      <c r="G20" s="39" t="n"/>
      <c r="H20" s="40" t="inlineStr">
        <is>
          <t>O</t>
        </is>
      </c>
      <c r="I20" s="41">
        <f>IFERROR(IF(OR($F20="O",$G20="O",$H20="O"),CHOOSE(MATCH($A20,{"튜브","고압","진공","튜닝","조립","출하"},0),"T","H","V","N","A","P")&amp;IF($F20="O","R",IF($G20="O","A",IF($H20="O","F",""))),""),"")</f>
        <v/>
      </c>
      <c r="J20" s="38" t="inlineStr">
        <is>
          <t>O</t>
        </is>
      </c>
      <c r="K20" s="39" t="n"/>
      <c r="L20" s="42" t="n"/>
      <c r="M20" s="40" t="n"/>
      <c r="N20" s="43" t="n"/>
      <c r="O20" s="44" t="n"/>
      <c r="P20" s="41">
        <f>IF($I20="","",IF($J20="O","3","")&amp;IF($K20="O","4","")&amp;IF($L20="O","6","")&amp;IF($M20="O","7","")&amp;IF($N20="O","8","")&amp;IF($O20="O","?","")&amp;IF(OR($J20="O",$K20="O",$L20="O",$M20="O",$N20="O",$O20="O"),"-","")&amp;$I20)</f>
        <v/>
      </c>
      <c r="Q20" s="110">
        <f>HYPERLINK("#'마스터_품목'!A713","→ 마스터 R713")</f>
        <v/>
      </c>
      <c r="R20" s="111" t="n">
        <v>713</v>
      </c>
      <c r="S20" s="111" t="inlineStr">
        <is>
          <t>마스터_품목</t>
        </is>
      </c>
    </row>
    <row r="21" ht="48" customHeight="1">
      <c r="A21" s="36" t="inlineStr">
        <is>
          <t>조립</t>
        </is>
      </c>
      <c r="B21" s="36" t="inlineStr">
        <is>
          <t>완제품 본체</t>
        </is>
      </c>
      <c r="C21" s="37" t="inlineStr">
        <is>
          <t>ADX4000W</t>
        </is>
      </c>
      <c r="D21" s="37" t="inlineStr">
        <is>
          <t>60kV 2mA / 기본 (White)</t>
        </is>
      </c>
      <c r="E21" s="23" t="n"/>
      <c r="F21" s="38" t="n"/>
      <c r="G21" s="39" t="n"/>
      <c r="H21" s="40" t="inlineStr">
        <is>
          <t>O</t>
        </is>
      </c>
      <c r="I21" s="41">
        <f>IFERROR(IF(OR($F21="O",$G21="O",$H21="O"),CHOOSE(MATCH($A21,{"튜브","고압","진공","튜닝","조립","출하"},0),"T","H","V","N","A","P")&amp;IF($F21="O","R",IF($G21="O","A",IF($H21="O","F",""))),""),"")</f>
        <v/>
      </c>
      <c r="J21" s="38" t="n"/>
      <c r="K21" s="39" t="inlineStr">
        <is>
          <t>O</t>
        </is>
      </c>
      <c r="L21" s="42" t="n"/>
      <c r="M21" s="40" t="n"/>
      <c r="N21" s="43" t="n"/>
      <c r="O21" s="44" t="n"/>
      <c r="P21" s="41">
        <f>IF($I21="","",IF($J21="O","3","")&amp;IF($K21="O","4","")&amp;IF($L21="O","6","")&amp;IF($M21="O","7","")&amp;IF($N21="O","8","")&amp;IF($O21="O","?","")&amp;IF(OR($J21="O",$K21="O",$L21="O",$M21="O",$N21="O",$O21="O"),"-","")&amp;$I21)</f>
        <v/>
      </c>
      <c r="Q21" s="110">
        <f>HYPERLINK("#'마스터_품목'!A714","→ 마스터 R714")</f>
        <v/>
      </c>
      <c r="R21" s="111" t="n">
        <v>714</v>
      </c>
      <c r="S21" s="111" t="inlineStr">
        <is>
          <t>마스터_품목</t>
        </is>
      </c>
    </row>
    <row r="22" ht="48" customHeight="1">
      <c r="A22" s="36" t="inlineStr">
        <is>
          <t>조립</t>
        </is>
      </c>
      <c r="B22" s="36" t="inlineStr">
        <is>
          <t>완제품 본체</t>
        </is>
      </c>
      <c r="C22" s="37" t="inlineStr">
        <is>
          <t>ADX4000W</t>
        </is>
      </c>
      <c r="D22" s="37" t="inlineStr">
        <is>
          <t>60kV 2mA / 15cm (white)</t>
        </is>
      </c>
      <c r="E22" s="23" t="n"/>
      <c r="F22" s="38" t="n"/>
      <c r="G22" s="39" t="n"/>
      <c r="H22" s="40" t="inlineStr">
        <is>
          <t>O</t>
        </is>
      </c>
      <c r="I22" s="41">
        <f>IFERROR(IF(OR($F22="O",$G22="O",$H22="O"),CHOOSE(MATCH($A22,{"튜브","고압","진공","튜닝","조립","출하"},0),"T","H","V","N","A","P")&amp;IF($F22="O","R",IF($G22="O","A",IF($H22="O","F",""))),""),"")</f>
        <v/>
      </c>
      <c r="J22" s="38" t="n"/>
      <c r="K22" s="39" t="inlineStr">
        <is>
          <t>O</t>
        </is>
      </c>
      <c r="L22" s="42" t="n"/>
      <c r="M22" s="40" t="n"/>
      <c r="N22" s="43" t="n"/>
      <c r="O22" s="44" t="n"/>
      <c r="P22" s="41">
        <f>IF($I22="","",IF($J22="O","3","")&amp;IF($K22="O","4","")&amp;IF($L22="O","6","")&amp;IF($M22="O","7","")&amp;IF($N22="O","8","")&amp;IF($O22="O","?","")&amp;IF(OR($J22="O",$K22="O",$L22="O",$M22="O",$N22="O",$O22="O"),"-","")&amp;$I22)</f>
        <v/>
      </c>
      <c r="Q22" s="110">
        <f>HYPERLINK("#'마스터_품목'!A715","→ 마스터 R715")</f>
        <v/>
      </c>
      <c r="R22" s="111" t="n">
        <v>715</v>
      </c>
      <c r="S22" s="111" t="inlineStr">
        <is>
          <t>마스터_품목</t>
        </is>
      </c>
    </row>
    <row r="23" ht="48" customHeight="1">
      <c r="A23" s="36" t="inlineStr">
        <is>
          <t>조립</t>
        </is>
      </c>
      <c r="B23" s="36" t="inlineStr">
        <is>
          <t>완제품 본체</t>
        </is>
      </c>
      <c r="C23" s="37" t="inlineStr">
        <is>
          <t>ADX4000W</t>
        </is>
      </c>
      <c r="D23" s="37" t="inlineStr">
        <is>
          <t>60kV 2mA / 20cm (white)</t>
        </is>
      </c>
      <c r="E23" s="23" t="n"/>
      <c r="F23" s="38" t="n"/>
      <c r="G23" s="39" t="n"/>
      <c r="H23" s="40" t="inlineStr">
        <is>
          <t>O</t>
        </is>
      </c>
      <c r="I23" s="41">
        <f>IFERROR(IF(OR($F23="O",$G23="O",$H23="O"),CHOOSE(MATCH($A23,{"튜브","고압","진공","튜닝","조립","출하"},0),"T","H","V","N","A","P")&amp;IF($F23="O","R",IF($G23="O","A",IF($H23="O","F",""))),""),"")</f>
        <v/>
      </c>
      <c r="J23" s="38" t="n"/>
      <c r="K23" s="39" t="inlineStr">
        <is>
          <t>O</t>
        </is>
      </c>
      <c r="L23" s="42" t="n"/>
      <c r="M23" s="40" t="n"/>
      <c r="N23" s="43" t="n"/>
      <c r="O23" s="44" t="n"/>
      <c r="P23" s="41">
        <f>IF($I23="","",IF($J23="O","3","")&amp;IF($K23="O","4","")&amp;IF($L23="O","6","")&amp;IF($M23="O","7","")&amp;IF($N23="O","8","")&amp;IF($O23="O","?","")&amp;IF(OR($J23="O",$K23="O",$L23="O",$M23="O",$N23="O",$O23="O"),"-","")&amp;$I23)</f>
        <v/>
      </c>
      <c r="Q23" s="110">
        <f>HYPERLINK("#'마스터_품목'!A716","→ 마스터 R716")</f>
        <v/>
      </c>
      <c r="R23" s="111" t="n">
        <v>716</v>
      </c>
      <c r="S23" s="111" t="inlineStr">
        <is>
          <t>마스터_품목</t>
        </is>
      </c>
    </row>
    <row r="24" ht="48" customHeight="1">
      <c r="A24" s="36" t="inlineStr">
        <is>
          <t>조립</t>
        </is>
      </c>
      <c r="B24" s="36" t="inlineStr">
        <is>
          <t>완제품 본체</t>
        </is>
      </c>
      <c r="C24" s="37" t="inlineStr">
        <is>
          <t>ADX4000W</t>
        </is>
      </c>
      <c r="D24" s="37" t="inlineStr">
        <is>
          <t>60kV 2mA / 20cm (사파리 덴탈용) (white)</t>
        </is>
      </c>
      <c r="E24" s="23" t="n"/>
      <c r="F24" s="38" t="n"/>
      <c r="G24" s="39" t="n"/>
      <c r="H24" s="40" t="inlineStr">
        <is>
          <t>O</t>
        </is>
      </c>
      <c r="I24" s="41">
        <f>IFERROR(IF(OR($F24="O",$G24="O",$H24="O"),CHOOSE(MATCH($A24,{"튜브","고압","진공","튜닝","조립","출하"},0),"T","H","V","N","A","P")&amp;IF($F24="O","R",IF($G24="O","A",IF($H24="O","F",""))),""),"")</f>
        <v/>
      </c>
      <c r="J24" s="38" t="n"/>
      <c r="K24" s="39" t="inlineStr">
        <is>
          <t>O</t>
        </is>
      </c>
      <c r="L24" s="42" t="n"/>
      <c r="M24" s="40" t="n"/>
      <c r="N24" s="43" t="n"/>
      <c r="O24" s="44" t="n"/>
      <c r="P24" s="41">
        <f>IF($I24="","",IF($J24="O","3","")&amp;IF($K24="O","4","")&amp;IF($L24="O","6","")&amp;IF($M24="O","7","")&amp;IF($N24="O","8","")&amp;IF($O24="O","?","")&amp;IF(OR($J24="O",$K24="O",$L24="O",$M24="O",$N24="O",$O24="O"),"-","")&amp;$I24)</f>
        <v/>
      </c>
      <c r="Q24" s="110">
        <f>HYPERLINK("#'마스터_품목'!A717","→ 마스터 R717")</f>
        <v/>
      </c>
      <c r="R24" s="111" t="n">
        <v>717</v>
      </c>
      <c r="S24" s="111" t="inlineStr">
        <is>
          <t>마스터_품목</t>
        </is>
      </c>
    </row>
    <row r="25" ht="48" customHeight="1">
      <c r="A25" s="36" t="inlineStr">
        <is>
          <t>조립</t>
        </is>
      </c>
      <c r="B25" s="36" t="inlineStr">
        <is>
          <t>완제품 본체</t>
        </is>
      </c>
      <c r="C25" s="37" t="inlineStr">
        <is>
          <t>ADX6000</t>
        </is>
      </c>
      <c r="D25" s="37" t="inlineStr">
        <is>
          <t>ADX6000 / 탈착용[80kv,5mA] (white)</t>
        </is>
      </c>
      <c r="E25" s="23" t="n"/>
      <c r="F25" s="38" t="n"/>
      <c r="G25" s="39" t="n"/>
      <c r="H25" s="40" t="inlineStr">
        <is>
          <t>O</t>
        </is>
      </c>
      <c r="I25" s="41">
        <f>IFERROR(IF(OR($F25="O",$G25="O",$H25="O"),CHOOSE(MATCH($A25,{"튜브","고압","진공","튜닝","조립","출하"},0),"T","H","V","N","A","P")&amp;IF($F25="O","R",IF($G25="O","A",IF($H25="O","F",""))),""),"")</f>
        <v/>
      </c>
      <c r="J25" s="38" t="n"/>
      <c r="K25" s="39" t="n"/>
      <c r="L25" s="42" t="inlineStr">
        <is>
          <t>O</t>
        </is>
      </c>
      <c r="M25" s="40" t="n"/>
      <c r="N25" s="43" t="n"/>
      <c r="O25" s="44" t="n"/>
      <c r="P25" s="41">
        <f>IF($I25="","",IF($J25="O","3","")&amp;IF($K25="O","4","")&amp;IF($L25="O","6","")&amp;IF($M25="O","7","")&amp;IF($N25="O","8","")&amp;IF($O25="O","?","")&amp;IF(OR($J25="O",$K25="O",$L25="O",$M25="O",$N25="O",$O25="O"),"-","")&amp;$I25)</f>
        <v/>
      </c>
      <c r="Q25" s="110">
        <f>HYPERLINK("#'마스터_품목'!A718","→ 마스터 R718")</f>
        <v/>
      </c>
      <c r="R25" s="111" t="n">
        <v>718</v>
      </c>
      <c r="S25" s="111" t="inlineStr">
        <is>
          <t>마스터_품목</t>
        </is>
      </c>
    </row>
    <row r="26" ht="48" customHeight="1">
      <c r="A26" s="36" t="inlineStr">
        <is>
          <t>조립</t>
        </is>
      </c>
      <c r="B26" s="36" t="inlineStr">
        <is>
          <t>완제품 본체</t>
        </is>
      </c>
      <c r="C26" s="37" t="inlineStr">
        <is>
          <t>ADX6000</t>
        </is>
      </c>
      <c r="D26" s="37" t="inlineStr">
        <is>
          <t>ADX6000S / 탈착용[80kv,5mA] (white)</t>
        </is>
      </c>
      <c r="E26" s="23" t="n"/>
      <c r="F26" s="38" t="n"/>
      <c r="G26" s="39" t="n"/>
      <c r="H26" s="40" t="inlineStr">
        <is>
          <t>O</t>
        </is>
      </c>
      <c r="I26" s="41">
        <f>IFERROR(IF(OR($F26="O",$G26="O",$H26="O"),CHOOSE(MATCH($A26,{"튜브","고압","진공","튜닝","조립","출하"},0),"T","H","V","N","A","P")&amp;IF($F26="O","R",IF($G26="O","A",IF($H26="O","F",""))),""),"")</f>
        <v/>
      </c>
      <c r="J26" s="38" t="n"/>
      <c r="K26" s="39" t="n"/>
      <c r="L26" s="42" t="inlineStr">
        <is>
          <t>O</t>
        </is>
      </c>
      <c r="M26" s="40" t="n"/>
      <c r="N26" s="43" t="n"/>
      <c r="O26" s="44" t="n"/>
      <c r="P26" s="41">
        <f>IF($I26="","",IF($J26="O","3","")&amp;IF($K26="O","4","")&amp;IF($L26="O","6","")&amp;IF($M26="O","7","")&amp;IF($N26="O","8","")&amp;IF($O26="O","?","")&amp;IF(OR($J26="O",$K26="O",$L26="O",$M26="O",$N26="O",$O26="O"),"-","")&amp;$I26)</f>
        <v/>
      </c>
      <c r="Q26" s="110">
        <f>HYPERLINK("#'마스터_품목'!A719","→ 마스터 R719")</f>
        <v/>
      </c>
      <c r="R26" s="111" t="n">
        <v>719</v>
      </c>
      <c r="S26" s="111" t="inlineStr">
        <is>
          <t>마스터_품목</t>
        </is>
      </c>
    </row>
    <row r="27" ht="48" customHeight="1">
      <c r="A27" s="36" t="inlineStr">
        <is>
          <t>조립</t>
        </is>
      </c>
      <c r="B27" s="36" t="inlineStr">
        <is>
          <t>완제품 본체</t>
        </is>
      </c>
      <c r="C27" s="37" t="inlineStr">
        <is>
          <t>ADX6000</t>
        </is>
      </c>
      <c r="D27" s="37" t="inlineStr">
        <is>
          <t>ADX6000FB / 탈착용[80kv,5mA] (white)</t>
        </is>
      </c>
      <c r="E27" s="23" t="n"/>
      <c r="F27" s="38" t="n"/>
      <c r="G27" s="39" t="n"/>
      <c r="H27" s="40" t="inlineStr">
        <is>
          <t>O</t>
        </is>
      </c>
      <c r="I27" s="41">
        <f>IFERROR(IF(OR($F27="O",$G27="O",$H27="O"),CHOOSE(MATCH($A27,{"튜브","고압","진공","튜닝","조립","출하"},0),"T","H","V","N","A","P")&amp;IF($F27="O","R",IF($G27="O","A",IF($H27="O","F",""))),""),"")</f>
        <v/>
      </c>
      <c r="J27" s="38" t="n"/>
      <c r="K27" s="39" t="n"/>
      <c r="L27" s="42" t="inlineStr">
        <is>
          <t>O</t>
        </is>
      </c>
      <c r="M27" s="40" t="n"/>
      <c r="N27" s="43" t="n"/>
      <c r="O27" s="44" t="n"/>
      <c r="P27" s="41">
        <f>IF($I27="","",IF($J27="O","3","")&amp;IF($K27="O","4","")&amp;IF($L27="O","6","")&amp;IF($M27="O","7","")&amp;IF($N27="O","8","")&amp;IF($O27="O","?","")&amp;IF(OR($J27="O",$K27="O",$L27="O",$M27="O",$N27="O",$O27="O"),"-","")&amp;$I27)</f>
        <v/>
      </c>
      <c r="Q27" s="110">
        <f>HYPERLINK("#'마스터_품목'!A720","→ 마스터 R720")</f>
        <v/>
      </c>
      <c r="R27" s="111" t="n">
        <v>720</v>
      </c>
      <c r="S27" s="111" t="inlineStr">
        <is>
          <t>마스터_품목</t>
        </is>
      </c>
    </row>
    <row r="28" ht="48" customHeight="1">
      <c r="A28" s="36" t="inlineStr">
        <is>
          <t>조립</t>
        </is>
      </c>
      <c r="B28" s="36" t="inlineStr">
        <is>
          <t>완제품 본체</t>
        </is>
      </c>
      <c r="C28" s="37" t="inlineStr">
        <is>
          <t>COCOON</t>
        </is>
      </c>
      <c r="D28" s="37" t="inlineStr">
        <is>
          <t>DX-7017 / 18cm 기본 덴탈 용 (gray)</t>
        </is>
      </c>
      <c r="E28" s="23" t="n"/>
      <c r="F28" s="38" t="n"/>
      <c r="G28" s="39" t="n"/>
      <c r="H28" s="40" t="inlineStr">
        <is>
          <t>O</t>
        </is>
      </c>
      <c r="I28" s="41">
        <f>IFERROR(IF(OR($F28="O",$G28="O",$H28="O"),CHOOSE(MATCH($A28,{"튜브","고압","진공","튜닝","조립","출하"},0),"T","H","V","N","A","P")&amp;IF($F28="O","R",IF($G28="O","A",IF($H28="O","F",""))),""),"")</f>
        <v/>
      </c>
      <c r="J28" s="38" t="n"/>
      <c r="K28" s="39" t="n"/>
      <c r="L28" s="42" t="n"/>
      <c r="M28" s="40" t="inlineStr">
        <is>
          <t>O</t>
        </is>
      </c>
      <c r="N28" s="43" t="n"/>
      <c r="O28" s="44" t="n"/>
      <c r="P28" s="41">
        <f>IF($I28="","",IF($J28="O","3","")&amp;IF($K28="O","4","")&amp;IF($L28="O","6","")&amp;IF($M28="O","7","")&amp;IF($N28="O","8","")&amp;IF($O28="O","?","")&amp;IF(OR($J28="O",$K28="O",$L28="O",$M28="O",$N28="O",$O28="O"),"-","")&amp;$I28)</f>
        <v/>
      </c>
      <c r="Q28" s="110">
        <f>HYPERLINK("#'마스터_품목'!A721","→ 마스터 R721")</f>
        <v/>
      </c>
      <c r="R28" s="111" t="n">
        <v>721</v>
      </c>
      <c r="S28" s="111" t="inlineStr">
        <is>
          <t>마스터_품목</t>
        </is>
      </c>
    </row>
    <row r="29" ht="48" customHeight="1">
      <c r="A29" s="36" t="inlineStr">
        <is>
          <t>조립</t>
        </is>
      </c>
      <c r="B29" s="36" t="inlineStr">
        <is>
          <t>완제품 본체</t>
        </is>
      </c>
      <c r="C29" s="37" t="inlineStr">
        <is>
          <t>COCOON</t>
        </is>
      </c>
      <c r="D29" s="37" t="inlineStr">
        <is>
          <t>DX-7017 / 20cm 기본 덴탈 용 (gray)</t>
        </is>
      </c>
      <c r="E29" s="23" t="n"/>
      <c r="F29" s="38" t="n"/>
      <c r="G29" s="39" t="n"/>
      <c r="H29" s="40" t="inlineStr">
        <is>
          <t>O</t>
        </is>
      </c>
      <c r="I29" s="41">
        <f>IFERROR(IF(OR($F29="O",$G29="O",$H29="O"),CHOOSE(MATCH($A29,{"튜브","고압","진공","튜닝","조립","출하"},0),"T","H","V","N","A","P")&amp;IF($F29="O","R",IF($G29="O","A",IF($H29="O","F",""))),""),"")</f>
        <v/>
      </c>
      <c r="J29" s="38" t="n"/>
      <c r="K29" s="39" t="n"/>
      <c r="L29" s="42" t="n"/>
      <c r="M29" s="40" t="inlineStr">
        <is>
          <t>O</t>
        </is>
      </c>
      <c r="N29" s="43" t="n"/>
      <c r="O29" s="44" t="n"/>
      <c r="P29" s="41">
        <f>IF($I29="","",IF($J29="O","3","")&amp;IF($K29="O","4","")&amp;IF($L29="O","6","")&amp;IF($M29="O","7","")&amp;IF($N29="O","8","")&amp;IF($O29="O","?","")&amp;IF(OR($J29="O",$K29="O",$L29="O",$M29="O",$N29="O",$O29="O"),"-","")&amp;$I29)</f>
        <v/>
      </c>
      <c r="Q29" s="110">
        <f>HYPERLINK("#'마스터_품목'!A722","→ 마스터 R722")</f>
        <v/>
      </c>
      <c r="R29" s="111" t="n">
        <v>722</v>
      </c>
      <c r="S29" s="111" t="inlineStr">
        <is>
          <t>마스터_품목</t>
        </is>
      </c>
    </row>
    <row r="30" ht="48" customHeight="1">
      <c r="A30" s="36" t="inlineStr">
        <is>
          <t>조립</t>
        </is>
      </c>
      <c r="B30" s="36" t="inlineStr">
        <is>
          <t>완제품 본체</t>
        </is>
      </c>
      <c r="C30" s="37" t="inlineStr">
        <is>
          <t>COCOON</t>
        </is>
      </c>
      <c r="D30" s="37" t="inlineStr">
        <is>
          <t>DX-7020 / 18cm 기본 덴탈 용 (덱스코윈 로고) (gray)</t>
        </is>
      </c>
      <c r="E30" s="23" t="n"/>
      <c r="F30" s="38" t="n"/>
      <c r="G30" s="39" t="n"/>
      <c r="H30" s="40" t="inlineStr">
        <is>
          <t>O</t>
        </is>
      </c>
      <c r="I30" s="41">
        <f>IFERROR(IF(OR($F30="O",$G30="O",$H30="O"),CHOOSE(MATCH($A30,{"튜브","고압","진공","튜닝","조립","출하"},0),"T","H","V","N","A","P")&amp;IF($F30="O","R",IF($G30="O","A",IF($H30="O","F",""))),""),"")</f>
        <v/>
      </c>
      <c r="J30" s="38" t="n"/>
      <c r="K30" s="39" t="n"/>
      <c r="L30" s="42" t="n"/>
      <c r="M30" s="40" t="inlineStr">
        <is>
          <t>O</t>
        </is>
      </c>
      <c r="N30" s="43" t="n"/>
      <c r="O30" s="44" t="n"/>
      <c r="P30" s="41">
        <f>IF($I30="","",IF($J30="O","3","")&amp;IF($K30="O","4","")&amp;IF($L30="O","6","")&amp;IF($M30="O","7","")&amp;IF($N30="O","8","")&amp;IF($O30="O","?","")&amp;IF(OR($J30="O",$K30="O",$L30="O",$M30="O",$N30="O",$O30="O"),"-","")&amp;$I30)</f>
        <v/>
      </c>
      <c r="Q30" s="110">
        <f>HYPERLINK("#'마스터_품목'!A723","→ 마스터 R723")</f>
        <v/>
      </c>
      <c r="R30" s="111" t="n">
        <v>723</v>
      </c>
      <c r="S30" s="111" t="inlineStr">
        <is>
          <t>마스터_품목</t>
        </is>
      </c>
    </row>
    <row r="31" ht="48" customHeight="1">
      <c r="A31" s="36" t="inlineStr">
        <is>
          <t>조립</t>
        </is>
      </c>
      <c r="B31" s="36" t="inlineStr">
        <is>
          <t>완제품 본체</t>
        </is>
      </c>
      <c r="C31" s="37" t="inlineStr">
        <is>
          <t>COCOON</t>
        </is>
      </c>
      <c r="D31" s="37" t="inlineStr">
        <is>
          <t>DX-7020 / 18cm Aming Light 트리거 식 _ 덴탈 용 (gray)</t>
        </is>
      </c>
      <c r="E31" s="23" t="n"/>
      <c r="F31" s="38" t="n"/>
      <c r="G31" s="39" t="n"/>
      <c r="H31" s="40" t="inlineStr">
        <is>
          <t>O</t>
        </is>
      </c>
      <c r="I31" s="41">
        <f>IFERROR(IF(OR($F31="O",$G31="O",$H31="O"),CHOOSE(MATCH($A31,{"튜브","고압","진공","튜닝","조립","출하"},0),"T","H","V","N","A","P")&amp;IF($F31="O","R",IF($G31="O","A",IF($H31="O","F",""))),""),"")</f>
        <v/>
      </c>
      <c r="J31" s="38" t="n"/>
      <c r="K31" s="39" t="n"/>
      <c r="L31" s="42" t="n"/>
      <c r="M31" s="40" t="inlineStr">
        <is>
          <t>O</t>
        </is>
      </c>
      <c r="N31" s="43" t="n"/>
      <c r="O31" s="44" t="n"/>
      <c r="P31" s="41">
        <f>IF($I31="","",IF($J31="O","3","")&amp;IF($K31="O","4","")&amp;IF($L31="O","6","")&amp;IF($M31="O","7","")&amp;IF($N31="O","8","")&amp;IF($O31="O","?","")&amp;IF(OR($J31="O",$K31="O",$L31="O",$M31="O",$N31="O",$O31="O"),"-","")&amp;$I31)</f>
        <v/>
      </c>
      <c r="Q31" s="110">
        <f>HYPERLINK("#'마스터_품목'!A724","→ 마스터 R724")</f>
        <v/>
      </c>
      <c r="R31" s="111" t="n">
        <v>724</v>
      </c>
      <c r="S31" s="111" t="inlineStr">
        <is>
          <t>마스터_품목</t>
        </is>
      </c>
    </row>
    <row r="32" ht="48" customHeight="1">
      <c r="A32" s="36" t="inlineStr">
        <is>
          <t>조립</t>
        </is>
      </c>
      <c r="B32" s="36" t="inlineStr">
        <is>
          <t>완제품 본체</t>
        </is>
      </c>
      <c r="C32" s="37" t="inlineStr">
        <is>
          <t>COCOON</t>
        </is>
      </c>
      <c r="D32" s="37" t="inlineStr">
        <is>
          <t>DX-7020 / 18cm Aming Light 트리거 식 _ 덴탈 (댄티맥스) (gray)</t>
        </is>
      </c>
      <c r="E32" s="23" t="n"/>
      <c r="F32" s="38" t="n"/>
      <c r="G32" s="39" t="n"/>
      <c r="H32" s="40" t="inlineStr">
        <is>
          <t>O</t>
        </is>
      </c>
      <c r="I32" s="41">
        <f>IFERROR(IF(OR($F32="O",$G32="O",$H32="O"),CHOOSE(MATCH($A32,{"튜브","고압","진공","튜닝","조립","출하"},0),"T","H","V","N","A","P")&amp;IF($F32="O","R",IF($G32="O","A",IF($H32="O","F",""))),""),"")</f>
        <v/>
      </c>
      <c r="J32" s="38" t="n"/>
      <c r="K32" s="39" t="n"/>
      <c r="L32" s="42" t="n"/>
      <c r="M32" s="40" t="inlineStr">
        <is>
          <t>O</t>
        </is>
      </c>
      <c r="N32" s="43" t="n"/>
      <c r="O32" s="44" t="n"/>
      <c r="P32" s="41">
        <f>IF($I32="","",IF($J32="O","3","")&amp;IF($K32="O","4","")&amp;IF($L32="O","6","")&amp;IF($M32="O","7","")&amp;IF($N32="O","8","")&amp;IF($O32="O","?","")&amp;IF(OR($J32="O",$K32="O",$L32="O",$M32="O",$N32="O",$O32="O"),"-","")&amp;$I32)</f>
        <v/>
      </c>
      <c r="Q32" s="110">
        <f>HYPERLINK("#'마스터_품목'!A725","→ 마스터 R725")</f>
        <v/>
      </c>
      <c r="R32" s="111" t="n">
        <v>725</v>
      </c>
      <c r="S32" s="111" t="inlineStr">
        <is>
          <t>마스터_품목</t>
        </is>
      </c>
    </row>
    <row r="33" ht="48" customHeight="1">
      <c r="A33" s="36" t="inlineStr">
        <is>
          <t>조립</t>
        </is>
      </c>
      <c r="B33" s="36" t="inlineStr">
        <is>
          <t>완제품 본체</t>
        </is>
      </c>
      <c r="C33" s="37" t="inlineStr">
        <is>
          <t>COCOON</t>
        </is>
      </c>
      <c r="D33" s="37" t="inlineStr">
        <is>
          <t>DX-7020 / 18cm Aming Light 트리거 식 _ 동물 용 (CBi 용) (gray)</t>
        </is>
      </c>
      <c r="E33" s="23" t="n"/>
      <c r="F33" s="38" t="n"/>
      <c r="G33" s="39" t="n"/>
      <c r="H33" s="40" t="inlineStr">
        <is>
          <t>O</t>
        </is>
      </c>
      <c r="I33" s="41">
        <f>IFERROR(IF(OR($F33="O",$G33="O",$H33="O"),CHOOSE(MATCH($A33,{"튜브","고압","진공","튜닝","조립","출하"},0),"T","H","V","N","A","P")&amp;IF($F33="O","R",IF($G33="O","A",IF($H33="O","F",""))),""),"")</f>
        <v/>
      </c>
      <c r="J33" s="38" t="n"/>
      <c r="K33" s="39" t="n"/>
      <c r="L33" s="42" t="n"/>
      <c r="M33" s="40" t="inlineStr">
        <is>
          <t>O</t>
        </is>
      </c>
      <c r="N33" s="43" t="n"/>
      <c r="O33" s="44" t="n"/>
      <c r="P33" s="41">
        <f>IF($I33="","",IF($J33="O","3","")&amp;IF($K33="O","4","")&amp;IF($L33="O","6","")&amp;IF($M33="O","7","")&amp;IF($N33="O","8","")&amp;IF($O33="O","?","")&amp;IF(OR($J33="O",$K33="O",$L33="O",$M33="O",$N33="O",$O33="O"),"-","")&amp;$I33)</f>
        <v/>
      </c>
      <c r="Q33" s="110">
        <f>HYPERLINK("#'마스터_품목'!A726","→ 마스터 R726")</f>
        <v/>
      </c>
      <c r="R33" s="111" t="n">
        <v>726</v>
      </c>
      <c r="S33" s="111" t="inlineStr">
        <is>
          <t>마스터_품목</t>
        </is>
      </c>
    </row>
    <row r="34" ht="48" customHeight="1">
      <c r="A34" s="36" t="inlineStr">
        <is>
          <t>조립</t>
        </is>
      </c>
      <c r="B34" s="36" t="inlineStr">
        <is>
          <t>완제품 본체</t>
        </is>
      </c>
      <c r="C34" s="37" t="inlineStr">
        <is>
          <t>COCOON</t>
        </is>
      </c>
      <c r="D34" s="37" t="inlineStr">
        <is>
          <t>DX-7020 / 18cm Aming Light 스위치식 _동뭉 용 (미국지사) (gray)</t>
        </is>
      </c>
      <c r="E34" s="23" t="n"/>
      <c r="F34" s="38" t="n"/>
      <c r="G34" s="39" t="n"/>
      <c r="H34" s="40" t="inlineStr">
        <is>
          <t>O</t>
        </is>
      </c>
      <c r="I34" s="41">
        <f>IFERROR(IF(OR($F34="O",$G34="O",$H34="O"),CHOOSE(MATCH($A34,{"튜브","고압","진공","튜닝","조립","출하"},0),"T","H","V","N","A","P")&amp;IF($F34="O","R",IF($G34="O","A",IF($H34="O","F",""))),""),"")</f>
        <v/>
      </c>
      <c r="J34" s="38" t="n"/>
      <c r="K34" s="39" t="n"/>
      <c r="L34" s="42" t="n"/>
      <c r="M34" s="40" t="inlineStr">
        <is>
          <t>O</t>
        </is>
      </c>
      <c r="N34" s="43" t="n"/>
      <c r="O34" s="44" t="n"/>
      <c r="P34" s="41">
        <f>IF($I34="","",IF($J34="O","3","")&amp;IF($K34="O","4","")&amp;IF($L34="O","6","")&amp;IF($M34="O","7","")&amp;IF($N34="O","8","")&amp;IF($O34="O","?","")&amp;IF(OR($J34="O",$K34="O",$L34="O",$M34="O",$N34="O",$O34="O"),"-","")&amp;$I34)</f>
        <v/>
      </c>
      <c r="Q34" s="110">
        <f>HYPERLINK("#'마스터_품목'!A727","→ 마스터 R727")</f>
        <v/>
      </c>
      <c r="R34" s="111" t="n">
        <v>727</v>
      </c>
      <c r="S34" s="111" t="inlineStr">
        <is>
          <t>마스터_품목</t>
        </is>
      </c>
    </row>
    <row r="35" ht="48" customHeight="1">
      <c r="A35" s="36" t="inlineStr">
        <is>
          <t>조립</t>
        </is>
      </c>
      <c r="B35" s="36" t="inlineStr">
        <is>
          <t>완제품 본체</t>
        </is>
      </c>
      <c r="C35" s="37" t="inlineStr">
        <is>
          <t>COCOON</t>
        </is>
      </c>
      <c r="D35" s="37" t="inlineStr">
        <is>
          <t>DX-7020 / 20cm 기본 덴탈 용 (덱스코윈 로고) (gray)</t>
        </is>
      </c>
      <c r="E35" s="23" t="n"/>
      <c r="F35" s="38" t="n"/>
      <c r="G35" s="39" t="n"/>
      <c r="H35" s="40" t="inlineStr">
        <is>
          <t>O</t>
        </is>
      </c>
      <c r="I35" s="41">
        <f>IFERROR(IF(OR($F35="O",$G35="O",$H35="O"),CHOOSE(MATCH($A35,{"튜브","고압","진공","튜닝","조립","출하"},0),"T","H","V","N","A","P")&amp;IF($F35="O","R",IF($G35="O","A",IF($H35="O","F",""))),""),"")</f>
        <v/>
      </c>
      <c r="J35" s="38" t="n"/>
      <c r="K35" s="39" t="n"/>
      <c r="L35" s="42" t="n"/>
      <c r="M35" s="40" t="inlineStr">
        <is>
          <t>O</t>
        </is>
      </c>
      <c r="N35" s="43" t="n"/>
      <c r="O35" s="44" t="n"/>
      <c r="P35" s="41">
        <f>IF($I35="","",IF($J35="O","3","")&amp;IF($K35="O","4","")&amp;IF($L35="O","6","")&amp;IF($M35="O","7","")&amp;IF($N35="O","8","")&amp;IF($O35="O","?","")&amp;IF(OR($J35="O",$K35="O",$L35="O",$M35="O",$N35="O",$O35="O"),"-","")&amp;$I35)</f>
        <v/>
      </c>
      <c r="Q35" s="110">
        <f>HYPERLINK("#'마스터_품목'!A728","→ 마스터 R728")</f>
        <v/>
      </c>
      <c r="R35" s="111" t="n">
        <v>728</v>
      </c>
      <c r="S35" s="111" t="inlineStr">
        <is>
          <t>마스터_품목</t>
        </is>
      </c>
    </row>
    <row r="36" ht="48" customHeight="1">
      <c r="A36" s="36" t="inlineStr">
        <is>
          <t>조립</t>
        </is>
      </c>
      <c r="B36" s="36" t="inlineStr">
        <is>
          <t>완제품 본체</t>
        </is>
      </c>
      <c r="C36" s="37" t="inlineStr">
        <is>
          <t>COCOON</t>
        </is>
      </c>
      <c r="D36" s="37" t="inlineStr">
        <is>
          <t>DX-7020 / 20cm 기본 덴탈 용_ 페루 (스페인어 음성 적용) (gray)</t>
        </is>
      </c>
      <c r="E36" s="23" t="n"/>
      <c r="F36" s="38" t="n"/>
      <c r="G36" s="39" t="n"/>
      <c r="H36" s="40" t="inlineStr">
        <is>
          <t>O</t>
        </is>
      </c>
      <c r="I36" s="41">
        <f>IFERROR(IF(OR($F36="O",$G36="O",$H36="O"),CHOOSE(MATCH($A36,{"튜브","고압","진공","튜닝","조립","출하"},0),"T","H","V","N","A","P")&amp;IF($F36="O","R",IF($G36="O","A",IF($H36="O","F",""))),""),"")</f>
        <v/>
      </c>
      <c r="J36" s="38" t="n"/>
      <c r="K36" s="39" t="n"/>
      <c r="L36" s="42" t="n"/>
      <c r="M36" s="40" t="inlineStr">
        <is>
          <t>O</t>
        </is>
      </c>
      <c r="N36" s="43" t="n"/>
      <c r="O36" s="44" t="n"/>
      <c r="P36" s="41">
        <f>IF($I36="","",IF($J36="O","3","")&amp;IF($K36="O","4","")&amp;IF($L36="O","6","")&amp;IF($M36="O","7","")&amp;IF($N36="O","8","")&amp;IF($O36="O","?","")&amp;IF(OR($J36="O",$K36="O",$L36="O",$M36="O",$N36="O",$O36="O"),"-","")&amp;$I36)</f>
        <v/>
      </c>
      <c r="Q36" s="110">
        <f>HYPERLINK("#'마스터_품목'!A729","→ 마스터 R729")</f>
        <v/>
      </c>
      <c r="R36" s="111" t="n">
        <v>729</v>
      </c>
      <c r="S36" s="111" t="inlineStr">
        <is>
          <t>마스터_품목</t>
        </is>
      </c>
    </row>
    <row r="37" ht="48" customHeight="1">
      <c r="A37" s="36" t="inlineStr">
        <is>
          <t>조립</t>
        </is>
      </c>
      <c r="B37" s="36" t="inlineStr">
        <is>
          <t>완제품 본체</t>
        </is>
      </c>
      <c r="C37" s="37" t="inlineStr">
        <is>
          <t>COCOON</t>
        </is>
      </c>
      <c r="D37" s="37" t="inlineStr">
        <is>
          <t>DX-7020 / 20cm 기본 덴탈 _사파리 덴탈 (케나다용 덴티맥스) (gray)</t>
        </is>
      </c>
      <c r="E37" s="23" t="n"/>
      <c r="F37" s="38" t="n"/>
      <c r="G37" s="39" t="n"/>
      <c r="H37" s="40" t="inlineStr">
        <is>
          <t>O</t>
        </is>
      </c>
      <c r="I37" s="41">
        <f>IFERROR(IF(OR($F37="O",$G37="O",$H37="O"),CHOOSE(MATCH($A37,{"튜브","고압","진공","튜닝","조립","출하"},0),"T","H","V","N","A","P")&amp;IF($F37="O","R",IF($G37="O","A",IF($H37="O","F",""))),""),"")</f>
        <v/>
      </c>
      <c r="J37" s="38" t="n"/>
      <c r="K37" s="39" t="n"/>
      <c r="L37" s="42" t="n"/>
      <c r="M37" s="40" t="inlineStr">
        <is>
          <t>O</t>
        </is>
      </c>
      <c r="N37" s="43" t="n"/>
      <c r="O37" s="44" t="n"/>
      <c r="P37" s="41">
        <f>IF($I37="","",IF($J37="O","3","")&amp;IF($K37="O","4","")&amp;IF($L37="O","6","")&amp;IF($M37="O","7","")&amp;IF($N37="O","8","")&amp;IF($O37="O","?","")&amp;IF(OR($J37="O",$K37="O",$L37="O",$M37="O",$N37="O",$O37="O"),"-","")&amp;$I37)</f>
        <v/>
      </c>
      <c r="Q37" s="110">
        <f>HYPERLINK("#'마스터_품목'!A730","→ 마스터 R730")</f>
        <v/>
      </c>
      <c r="R37" s="111" t="n">
        <v>730</v>
      </c>
      <c r="S37" s="111" t="inlineStr">
        <is>
          <t>마스터_품목</t>
        </is>
      </c>
    </row>
    <row r="38" ht="48" customHeight="1">
      <c r="A38" s="36" t="inlineStr">
        <is>
          <t>조립</t>
        </is>
      </c>
      <c r="B38" s="36" t="inlineStr">
        <is>
          <t>완제품 본체</t>
        </is>
      </c>
      <c r="C38" s="37" t="inlineStr">
        <is>
          <t>COCOON</t>
        </is>
      </c>
      <c r="D38" s="37" t="inlineStr">
        <is>
          <t>DX-7020 / 20cm Aming Light 스위치식_덴탈용 (사파리덴탈 용) (white)</t>
        </is>
      </c>
      <c r="E38" s="23" t="n"/>
      <c r="F38" s="38" t="n"/>
      <c r="G38" s="39" t="n"/>
      <c r="H38" s="40" t="inlineStr">
        <is>
          <t>O</t>
        </is>
      </c>
      <c r="I38" s="41">
        <f>IFERROR(IF(OR($F38="O",$G38="O",$H38="O"),CHOOSE(MATCH($A38,{"튜브","고압","진공","튜닝","조립","출하"},0),"T","H","V","N","A","P")&amp;IF($F38="O","R",IF($G38="O","A",IF($H38="O","F",""))),""),"")</f>
        <v/>
      </c>
      <c r="J38" s="38" t="n"/>
      <c r="K38" s="39" t="n"/>
      <c r="L38" s="42" t="n"/>
      <c r="M38" s="40" t="inlineStr">
        <is>
          <t>O</t>
        </is>
      </c>
      <c r="N38" s="43" t="n"/>
      <c r="O38" s="44" t="n"/>
      <c r="P38" s="41">
        <f>IF($I38="","",IF($J38="O","3","")&amp;IF($K38="O","4","")&amp;IF($L38="O","6","")&amp;IF($M38="O","7","")&amp;IF($N38="O","8","")&amp;IF($O38="O","?","")&amp;IF(OR($J38="O",$K38="O",$L38="O",$M38="O",$N38="O",$O38="O"),"-","")&amp;$I38)</f>
        <v/>
      </c>
      <c r="Q38" s="110">
        <f>HYPERLINK("#'마스터_품목'!A731","→ 마스터 R731")</f>
        <v/>
      </c>
      <c r="R38" s="111" t="n">
        <v>731</v>
      </c>
      <c r="S38" s="111" t="inlineStr">
        <is>
          <t>마스터_품목</t>
        </is>
      </c>
    </row>
    <row r="39" ht="48" customHeight="1">
      <c r="A39" s="36" t="inlineStr">
        <is>
          <t>조립</t>
        </is>
      </c>
      <c r="B39" s="36" t="inlineStr">
        <is>
          <t>완제품 본체</t>
        </is>
      </c>
      <c r="C39" s="37" t="inlineStr">
        <is>
          <t>COCOON</t>
        </is>
      </c>
      <c r="D39" s="37" t="inlineStr">
        <is>
          <t>DX-7020 / 20cm Aming Light 트리거 식 _ 동물 용 (gray)</t>
        </is>
      </c>
      <c r="E39" s="23" t="n"/>
      <c r="F39" s="38" t="n"/>
      <c r="G39" s="39" t="n"/>
      <c r="H39" s="40" t="inlineStr">
        <is>
          <t>O</t>
        </is>
      </c>
      <c r="I39" s="41">
        <f>IFERROR(IF(OR($F39="O",$G39="O",$H39="O"),CHOOSE(MATCH($A39,{"튜브","고압","진공","튜닝","조립","출하"},0),"T","H","V","N","A","P")&amp;IF($F39="O","R",IF($G39="O","A",IF($H39="O","F",""))),""),"")</f>
        <v/>
      </c>
      <c r="J39" s="38" t="n"/>
      <c r="K39" s="39" t="n"/>
      <c r="L39" s="42" t="n"/>
      <c r="M39" s="40" t="inlineStr">
        <is>
          <t>O</t>
        </is>
      </c>
      <c r="N39" s="43" t="n"/>
      <c r="O39" s="44" t="n"/>
      <c r="P39" s="41">
        <f>IF($I39="","",IF($J39="O","3","")&amp;IF($K39="O","4","")&amp;IF($L39="O","6","")&amp;IF($M39="O","7","")&amp;IF($N39="O","8","")&amp;IF($O39="O","?","")&amp;IF(OR($J39="O",$K39="O",$L39="O",$M39="O",$N39="O",$O39="O"),"-","")&amp;$I39)</f>
        <v/>
      </c>
      <c r="Q39" s="110">
        <f>HYPERLINK("#'마스터_품목'!A732","→ 마스터 R732")</f>
        <v/>
      </c>
      <c r="R39" s="111" t="n">
        <v>732</v>
      </c>
      <c r="S39" s="111" t="inlineStr">
        <is>
          <t>마스터_품목</t>
        </is>
      </c>
    </row>
    <row r="40" ht="48" customHeight="1">
      <c r="A40" s="36" t="inlineStr">
        <is>
          <t>조립</t>
        </is>
      </c>
      <c r="B40" s="36" t="inlineStr">
        <is>
          <t>완제품 본체</t>
        </is>
      </c>
      <c r="C40" s="37" t="inlineStr">
        <is>
          <t>COCOON</t>
        </is>
      </c>
      <c r="D40" s="37" t="inlineStr">
        <is>
          <t>DX-7020 / 20cm Aming Light 트리거 식 _ 덴탈 용 (영국용) (gray)</t>
        </is>
      </c>
      <c r="E40" s="23" t="n"/>
      <c r="F40" s="38" t="n"/>
      <c r="G40" s="39" t="n"/>
      <c r="H40" s="40" t="inlineStr">
        <is>
          <t>O</t>
        </is>
      </c>
      <c r="I40" s="41">
        <f>IFERROR(IF(OR($F40="O",$G40="O",$H40="O"),CHOOSE(MATCH($A40,{"튜브","고압","진공","튜닝","조립","출하"},0),"T","H","V","N","A","P")&amp;IF($F40="O","R",IF($G40="O","A",IF($H40="O","F",""))),""),"")</f>
        <v/>
      </c>
      <c r="J40" s="38" t="n"/>
      <c r="K40" s="39" t="n"/>
      <c r="L40" s="42" t="n"/>
      <c r="M40" s="40" t="inlineStr">
        <is>
          <t>O</t>
        </is>
      </c>
      <c r="N40" s="43" t="n"/>
      <c r="O40" s="44" t="n"/>
      <c r="P40" s="41">
        <f>IF($I40="","",IF($J40="O","3","")&amp;IF($K40="O","4","")&amp;IF($L40="O","6","")&amp;IF($M40="O","7","")&amp;IF($N40="O","8","")&amp;IF($O40="O","?","")&amp;IF(OR($J40="O",$K40="O",$L40="O",$M40="O",$N40="O",$O40="O"),"-","")&amp;$I40)</f>
        <v/>
      </c>
      <c r="Q40" s="110">
        <f>HYPERLINK("#'마스터_품목'!A733","→ 마스터 R733")</f>
        <v/>
      </c>
      <c r="R40" s="111" t="n">
        <v>733</v>
      </c>
      <c r="S40" s="111" t="inlineStr">
        <is>
          <t>마스터_품목</t>
        </is>
      </c>
    </row>
    <row r="41" ht="48" customHeight="1">
      <c r="A41" s="36" t="inlineStr">
        <is>
          <t>조립</t>
        </is>
      </c>
      <c r="B41" s="36" t="inlineStr">
        <is>
          <t>완제품 본체</t>
        </is>
      </c>
      <c r="C41" s="37" t="inlineStr">
        <is>
          <t>COCOON</t>
        </is>
      </c>
      <c r="D41" s="37" t="inlineStr">
        <is>
          <t>DX-7020 / 18cm Aming Light 트리거 식 _ Carestream</t>
        </is>
      </c>
      <c r="E41" s="23" t="n"/>
      <c r="F41" s="38" t="n"/>
      <c r="G41" s="39" t="n"/>
      <c r="H41" s="40" t="inlineStr">
        <is>
          <t>O</t>
        </is>
      </c>
      <c r="I41" s="41">
        <f>IFERROR(IF(OR($F41="O",$G41="O",$H41="O"),CHOOSE(MATCH($A41,{"튜브","고압","진공","튜닝","조립","출하"},0),"T","H","V","N","A","P")&amp;IF($F41="O","R",IF($G41="O","A",IF($H41="O","F",""))),""),"")</f>
        <v/>
      </c>
      <c r="J41" s="38" t="n"/>
      <c r="K41" s="39" t="n"/>
      <c r="L41" s="42" t="n"/>
      <c r="M41" s="40" t="inlineStr">
        <is>
          <t>O</t>
        </is>
      </c>
      <c r="N41" s="43" t="n"/>
      <c r="O41" s="44" t="n"/>
      <c r="P41" s="41">
        <f>IF($I41="","",IF($J41="O","3","")&amp;IF($K41="O","4","")&amp;IF($L41="O","6","")&amp;IF($M41="O","7","")&amp;IF($N41="O","8","")&amp;IF($O41="O","?","")&amp;IF(OR($J41="O",$K41="O",$L41="O",$M41="O",$N41="O",$O41="O"),"-","")&amp;$I41)</f>
        <v/>
      </c>
      <c r="Q41" s="110">
        <f>HYPERLINK("#'마스터_품목'!A734","→ 마스터 R734")</f>
        <v/>
      </c>
      <c r="R41" s="111" t="n">
        <v>734</v>
      </c>
      <c r="S41" s="111" t="inlineStr">
        <is>
          <t>마스터_품목</t>
        </is>
      </c>
    </row>
    <row r="42" ht="48" customHeight="1">
      <c r="A42" s="36" t="inlineStr">
        <is>
          <t>조립</t>
        </is>
      </c>
      <c r="B42" s="36" t="inlineStr">
        <is>
          <t>완제품 본체</t>
        </is>
      </c>
      <c r="C42" s="37" t="inlineStr">
        <is>
          <t>SOLO</t>
        </is>
      </c>
      <c r="D42" s="37" t="inlineStr">
        <is>
          <t>DX-7020s / 18cm 덴탈_Aming Light_트리거식 (Black)</t>
        </is>
      </c>
      <c r="E42" s="23" t="n"/>
      <c r="F42" s="38" t="n"/>
      <c r="G42" s="39" t="n"/>
      <c r="H42" s="40" t="inlineStr">
        <is>
          <t>O</t>
        </is>
      </c>
      <c r="I42" s="41">
        <f>IFERROR(IF(OR($F42="O",$G42="O",$H42="O"),CHOOSE(MATCH($A42,{"튜브","고압","진공","튜닝","조립","출하"},0),"T","H","V","N","A","P")&amp;IF($F42="O","R",IF($G42="O","A",IF($H42="O","F",""))),""),"")</f>
        <v/>
      </c>
      <c r="J42" s="38" t="n"/>
      <c r="K42" s="39" t="n"/>
      <c r="L42" s="42" t="n"/>
      <c r="M42" s="40" t="n"/>
      <c r="N42" s="43" t="inlineStr">
        <is>
          <t>O</t>
        </is>
      </c>
      <c r="O42" s="44" t="n"/>
      <c r="P42" s="41">
        <f>IF($I42="","",IF($J42="O","3","")&amp;IF($K42="O","4","")&amp;IF($L42="O","6","")&amp;IF($M42="O","7","")&amp;IF($N42="O","8","")&amp;IF($O42="O","?","")&amp;IF(OR($J42="O",$K42="O",$L42="O",$M42="O",$N42="O",$O42="O"),"-","")&amp;$I42)</f>
        <v/>
      </c>
      <c r="Q42" s="110">
        <f>HYPERLINK("#'마스터_품목'!A735","→ 마스터 R735")</f>
        <v/>
      </c>
      <c r="R42" s="111" t="n">
        <v>735</v>
      </c>
      <c r="S42" s="111" t="inlineStr">
        <is>
          <t>마스터_품목</t>
        </is>
      </c>
    </row>
    <row r="43" ht="48" customHeight="1">
      <c r="A43" s="36" t="inlineStr">
        <is>
          <t>조립</t>
        </is>
      </c>
      <c r="B43" s="36" t="inlineStr">
        <is>
          <t>완제품 본체</t>
        </is>
      </c>
      <c r="C43" s="37" t="inlineStr">
        <is>
          <t>SOLO</t>
        </is>
      </c>
      <c r="D43" s="37" t="inlineStr">
        <is>
          <t>DX-7020s / 20cm 덴탈_Aming Light_트리거식 (Black)</t>
        </is>
      </c>
      <c r="E43" s="23" t="n"/>
      <c r="F43" s="38" t="n"/>
      <c r="G43" s="39" t="n"/>
      <c r="H43" s="40" t="inlineStr">
        <is>
          <t>O</t>
        </is>
      </c>
      <c r="I43" s="41">
        <f>IFERROR(IF(OR($F43="O",$G43="O",$H43="O"),CHOOSE(MATCH($A43,{"튜브","고압","진공","튜닝","조립","출하"},0),"T","H","V","N","A","P")&amp;IF($F43="O","R",IF($G43="O","A",IF($H43="O","F",""))),""),"")</f>
        <v/>
      </c>
      <c r="J43" s="38" t="n"/>
      <c r="K43" s="39" t="n"/>
      <c r="L43" s="42" t="n"/>
      <c r="M43" s="40" t="n"/>
      <c r="N43" s="43" t="inlineStr">
        <is>
          <t>O</t>
        </is>
      </c>
      <c r="O43" s="44" t="n"/>
      <c r="P43" s="41">
        <f>IF($I43="","",IF($J43="O","3","")&amp;IF($K43="O","4","")&amp;IF($L43="O","6","")&amp;IF($M43="O","7","")&amp;IF($N43="O","8","")&amp;IF($O43="O","?","")&amp;IF(OR($J43="O",$K43="O",$L43="O",$M43="O",$N43="O",$O43="O"),"-","")&amp;$I43)</f>
        <v/>
      </c>
      <c r="Q43" s="110">
        <f>HYPERLINK("#'마스터_품목'!A736","→ 마스터 R736")</f>
        <v/>
      </c>
      <c r="R43" s="111" t="n">
        <v>736</v>
      </c>
      <c r="S43" s="111" t="inlineStr">
        <is>
          <t>마스터_품목</t>
        </is>
      </c>
    </row>
    <row r="44">
      <c r="E44" s="23" t="n"/>
    </row>
    <row r="45">
      <c r="E45" s="23" t="n"/>
    </row>
    <row r="46">
      <c r="E46" s="23" t="n"/>
    </row>
    <row r="47">
      <c r="E47" s="23" t="n"/>
    </row>
    <row r="48">
      <c r="E48" s="23" t="n"/>
    </row>
    <row r="49">
      <c r="E49" s="23" t="n"/>
    </row>
    <row r="50">
      <c r="E50" s="23" t="n"/>
    </row>
    <row r="51">
      <c r="E51" s="23" t="n"/>
    </row>
    <row r="52">
      <c r="E52" s="23" t="n"/>
    </row>
    <row r="53">
      <c r="E53" s="23" t="n"/>
    </row>
    <row r="54">
      <c r="E54" s="23" t="n"/>
    </row>
    <row r="55">
      <c r="E55" s="23" t="n"/>
    </row>
    <row r="56">
      <c r="E56" s="23" t="n"/>
    </row>
    <row r="57">
      <c r="E57" s="23" t="n"/>
    </row>
    <row r="58">
      <c r="E58" s="23" t="n"/>
    </row>
    <row r="59">
      <c r="E59" s="23" t="n"/>
    </row>
    <row r="60">
      <c r="E60" s="23" t="n"/>
    </row>
    <row r="61">
      <c r="E61" s="23" t="n"/>
    </row>
    <row r="62">
      <c r="E62" s="23" t="n"/>
    </row>
    <row r="63">
      <c r="E63" s="23" t="n"/>
    </row>
    <row r="64">
      <c r="E64" s="23" t="n"/>
    </row>
    <row r="65">
      <c r="E65" s="23" t="n"/>
    </row>
    <row r="66">
      <c r="E66" s="23" t="n"/>
    </row>
    <row r="67">
      <c r="E67" s="23" t="n"/>
    </row>
    <row r="68">
      <c r="E68" s="23" t="n"/>
    </row>
    <row r="69">
      <c r="E69" s="23" t="n"/>
    </row>
    <row r="70">
      <c r="E70" s="23" t="n"/>
    </row>
    <row r="71">
      <c r="E71" s="23" t="n"/>
    </row>
    <row r="72">
      <c r="E72" s="23" t="n"/>
    </row>
    <row r="73">
      <c r="E73" s="23" t="n"/>
    </row>
    <row r="74">
      <c r="E74" s="23" t="n"/>
    </row>
    <row r="75">
      <c r="E75" s="23" t="n"/>
    </row>
    <row r="76">
      <c r="E76" s="23" t="n"/>
    </row>
    <row r="77">
      <c r="E77" s="23" t="n"/>
    </row>
    <row r="78">
      <c r="E78" s="23" t="n"/>
    </row>
    <row r="79">
      <c r="E79" s="23" t="n"/>
    </row>
    <row r="80">
      <c r="E80" s="23" t="n"/>
    </row>
    <row r="81">
      <c r="E81" s="23" t="n"/>
    </row>
    <row r="82">
      <c r="E82" s="23" t="n"/>
    </row>
    <row r="83">
      <c r="E83" s="23" t="n"/>
    </row>
    <row r="84">
      <c r="E84" s="23" t="n"/>
    </row>
    <row r="85">
      <c r="E85" s="23" t="n"/>
    </row>
    <row r="86">
      <c r="E86" s="23" t="n"/>
    </row>
    <row r="87">
      <c r="E87" s="23" t="n"/>
    </row>
    <row r="88">
      <c r="E88" s="23" t="n"/>
    </row>
    <row r="89">
      <c r="E89" s="23" t="n"/>
    </row>
    <row r="90">
      <c r="E90" s="23" t="n"/>
    </row>
    <row r="91">
      <c r="E91" s="23" t="n"/>
    </row>
    <row r="92">
      <c r="E92" s="23" t="n"/>
    </row>
    <row r="93">
      <c r="E93" s="23" t="n"/>
    </row>
    <row r="94">
      <c r="E94" s="23" t="n"/>
    </row>
    <row r="95">
      <c r="E95" s="23" t="n"/>
    </row>
    <row r="96">
      <c r="E96" s="23" t="n"/>
    </row>
    <row r="97">
      <c r="E97" s="23" t="n"/>
    </row>
    <row r="98">
      <c r="E98" s="23" t="n"/>
    </row>
    <row r="99">
      <c r="E99" s="23" t="n"/>
    </row>
    <row r="100">
      <c r="E100" s="23" t="n"/>
    </row>
    <row r="101">
      <c r="E101" s="23" t="n"/>
    </row>
    <row r="102">
      <c r="E102" s="23" t="n"/>
    </row>
    <row r="103">
      <c r="E103" s="23" t="n"/>
    </row>
    <row r="104">
      <c r="E104" s="23" t="n"/>
    </row>
    <row r="105">
      <c r="E105" s="23" t="n"/>
    </row>
    <row r="106">
      <c r="E106" s="23" t="n"/>
    </row>
    <row r="107">
      <c r="E107" s="23" t="n"/>
    </row>
    <row r="108">
      <c r="E108" s="23" t="n"/>
    </row>
    <row r="109">
      <c r="E109" s="23" t="n"/>
    </row>
    <row r="110">
      <c r="E110" s="23" t="n"/>
    </row>
    <row r="111">
      <c r="E111" s="23" t="n"/>
    </row>
    <row r="112">
      <c r="E112" s="23" t="n"/>
    </row>
    <row r="113">
      <c r="E113" s="23" t="n"/>
    </row>
    <row r="114">
      <c r="E114" s="23" t="n"/>
    </row>
    <row r="115">
      <c r="E115" s="23" t="n"/>
    </row>
    <row r="116">
      <c r="E116" s="23" t="n"/>
    </row>
    <row r="117">
      <c r="E117" s="23" t="n"/>
    </row>
    <row r="118">
      <c r="E118" s="23" t="n"/>
    </row>
    <row r="119">
      <c r="E119" s="23" t="n"/>
    </row>
    <row r="120">
      <c r="E120" s="23" t="n"/>
    </row>
    <row r="121">
      <c r="E121" s="23" t="n"/>
    </row>
    <row r="122">
      <c r="E122" s="23" t="n"/>
    </row>
    <row r="123">
      <c r="E123" s="23" t="n"/>
    </row>
    <row r="124">
      <c r="E124" s="23" t="n"/>
    </row>
    <row r="125">
      <c r="E125" s="23" t="n"/>
    </row>
    <row r="126">
      <c r="E126" s="23" t="n"/>
    </row>
    <row r="127">
      <c r="E127" s="23" t="n"/>
    </row>
    <row r="128">
      <c r="E128" s="23" t="n"/>
    </row>
    <row r="129">
      <c r="E129" s="23" t="n"/>
    </row>
    <row r="130">
      <c r="E130" s="23" t="n"/>
    </row>
    <row r="131">
      <c r="E131" s="23" t="n"/>
    </row>
    <row r="132">
      <c r="E132" s="23" t="n"/>
    </row>
    <row r="133">
      <c r="E133" s="23" t="n"/>
    </row>
    <row r="134">
      <c r="E134" s="23" t="n"/>
    </row>
    <row r="135">
      <c r="E135" s="23" t="n"/>
    </row>
    <row r="136">
      <c r="E136" s="23" t="n"/>
    </row>
    <row r="137">
      <c r="E137" s="23" t="n"/>
    </row>
    <row r="138">
      <c r="E138" s="23" t="n"/>
    </row>
    <row r="139">
      <c r="E139" s="23" t="n"/>
    </row>
    <row r="140">
      <c r="E140" s="23" t="n"/>
    </row>
    <row r="141">
      <c r="E141" s="23" t="n"/>
    </row>
    <row r="142">
      <c r="E142" s="23" t="n"/>
    </row>
    <row r="143">
      <c r="E143" s="23" t="n"/>
    </row>
    <row r="144">
      <c r="E144" s="23" t="n"/>
    </row>
    <row r="145">
      <c r="E145" s="23" t="n"/>
    </row>
    <row r="146">
      <c r="E146" s="23" t="n"/>
    </row>
    <row r="147">
      <c r="E147" s="23" t="n"/>
    </row>
    <row r="148">
      <c r="E148" s="23" t="n"/>
    </row>
    <row r="149">
      <c r="E149" s="23" t="n"/>
    </row>
    <row r="150">
      <c r="E150" s="23" t="n"/>
    </row>
    <row r="151">
      <c r="E151" s="23" t="n"/>
    </row>
    <row r="152">
      <c r="E152" s="23" t="n"/>
    </row>
    <row r="153">
      <c r="E153" s="23" t="n"/>
    </row>
    <row r="154">
      <c r="E154" s="23" t="n"/>
    </row>
    <row r="155">
      <c r="E155" s="23" t="n"/>
    </row>
    <row r="156">
      <c r="E156" s="23" t="n"/>
    </row>
    <row r="157">
      <c r="E157" s="23" t="n"/>
    </row>
    <row r="158">
      <c r="E158" s="23" t="n"/>
    </row>
    <row r="159">
      <c r="E159" s="23" t="n"/>
    </row>
    <row r="160">
      <c r="E160" s="23" t="n"/>
    </row>
    <row r="161">
      <c r="E161" s="23" t="n"/>
    </row>
    <row r="162">
      <c r="E162" s="23" t="n"/>
    </row>
    <row r="163">
      <c r="E163" s="23" t="n"/>
    </row>
    <row r="164">
      <c r="E164" s="23" t="n"/>
    </row>
    <row r="165">
      <c r="E165" s="1" t="n"/>
    </row>
    <row r="166">
      <c r="E166" s="23" t="n"/>
    </row>
    <row r="167">
      <c r="E167" s="23" t="n"/>
    </row>
    <row r="168">
      <c r="E168" s="23" t="n"/>
    </row>
    <row r="169">
      <c r="E169" s="23" t="n"/>
    </row>
    <row r="170">
      <c r="E170" s="23" t="n"/>
    </row>
    <row r="171">
      <c r="E171" s="23" t="n"/>
    </row>
    <row r="172">
      <c r="E172" s="23" t="n"/>
    </row>
    <row r="173">
      <c r="E173" s="23" t="n"/>
    </row>
    <row r="174">
      <c r="E174" s="23" t="n"/>
    </row>
    <row r="175">
      <c r="E175" s="23" t="n"/>
    </row>
    <row r="176">
      <c r="E176" s="23" t="n"/>
    </row>
    <row r="177">
      <c r="E177" s="23" t="n"/>
    </row>
    <row r="178">
      <c r="E178" s="23" t="n"/>
    </row>
    <row r="179">
      <c r="E179" s="23" t="n"/>
    </row>
    <row r="180">
      <c r="E180" s="23" t="n"/>
    </row>
    <row r="181">
      <c r="E181" s="23" t="n"/>
    </row>
    <row r="182">
      <c r="E182" s="23" t="n"/>
    </row>
    <row r="183">
      <c r="E183" s="23" t="n"/>
    </row>
    <row r="184">
      <c r="E184" s="23" t="n"/>
    </row>
    <row r="185">
      <c r="E185" s="23" t="n"/>
    </row>
    <row r="186">
      <c r="E186" s="23" t="n"/>
    </row>
    <row r="187">
      <c r="E187" s="23" t="n"/>
    </row>
    <row r="188">
      <c r="E188" s="23" t="n"/>
    </row>
    <row r="189">
      <c r="E189" s="23" t="n"/>
    </row>
    <row r="190">
      <c r="E190" s="23" t="n"/>
    </row>
    <row r="191">
      <c r="E191" s="23" t="n"/>
    </row>
    <row r="192">
      <c r="E192" s="1" t="n"/>
    </row>
    <row r="193">
      <c r="E193" s="23" t="n"/>
    </row>
    <row r="194">
      <c r="E194" s="23" t="n"/>
    </row>
    <row r="195">
      <c r="E195" s="23" t="n"/>
    </row>
    <row r="196">
      <c r="E196" s="23" t="n"/>
    </row>
    <row r="197">
      <c r="E197" s="23" t="n"/>
    </row>
    <row r="198">
      <c r="E198" s="23" t="n"/>
    </row>
    <row r="199">
      <c r="E199" s="23" t="n"/>
    </row>
    <row r="200">
      <c r="E200" s="23" t="n"/>
    </row>
    <row r="201">
      <c r="E201" s="23" t="n"/>
    </row>
    <row r="202">
      <c r="E202" s="23" t="n"/>
    </row>
    <row r="203">
      <c r="E203" s="23" t="n"/>
    </row>
    <row r="204">
      <c r="E204" s="23" t="n"/>
    </row>
    <row r="205">
      <c r="E205" s="23" t="n"/>
    </row>
    <row r="206">
      <c r="E206" s="23" t="n"/>
    </row>
    <row r="207">
      <c r="E207" s="23" t="n"/>
    </row>
    <row r="208">
      <c r="E208" s="23" t="n"/>
    </row>
    <row r="209">
      <c r="E209" s="23" t="n"/>
    </row>
    <row r="210">
      <c r="E210" s="23" t="n"/>
    </row>
    <row r="211">
      <c r="E211" s="23" t="n"/>
    </row>
    <row r="212">
      <c r="E212" s="23" t="n"/>
    </row>
    <row r="213">
      <c r="E213" s="23" t="n"/>
    </row>
    <row r="214">
      <c r="E214" s="23" t="n"/>
    </row>
    <row r="215">
      <c r="E215" s="23" t="n"/>
    </row>
    <row r="216">
      <c r="E216" s="23" t="n"/>
    </row>
    <row r="217">
      <c r="E217" s="23" t="n"/>
    </row>
    <row r="218">
      <c r="E218" s="23" t="n"/>
    </row>
    <row r="219">
      <c r="E219" s="23" t="n"/>
    </row>
    <row r="220">
      <c r="E220" s="23" t="n"/>
    </row>
    <row r="221">
      <c r="E221" s="23" t="n"/>
    </row>
    <row r="222">
      <c r="E222" s="23" t="n"/>
    </row>
    <row r="223">
      <c r="E223" s="23" t="n"/>
    </row>
    <row r="224">
      <c r="E224" s="23" t="n"/>
    </row>
    <row r="225">
      <c r="E225" s="23" t="n"/>
    </row>
    <row r="226">
      <c r="E226" s="23" t="n"/>
    </row>
    <row r="227">
      <c r="E227" s="23" t="n"/>
    </row>
    <row r="228">
      <c r="E228" s="23" t="n"/>
    </row>
    <row r="229">
      <c r="E229" s="23" t="n"/>
    </row>
    <row r="230">
      <c r="E230" s="23" t="n"/>
    </row>
    <row r="231">
      <c r="E231" s="23" t="n"/>
    </row>
    <row r="232">
      <c r="E232" s="23" t="n"/>
    </row>
    <row r="233">
      <c r="E233" s="23" t="n"/>
    </row>
    <row r="234">
      <c r="E234" s="23" t="n"/>
    </row>
    <row r="235">
      <c r="E235" s="23" t="n"/>
    </row>
    <row r="236">
      <c r="E236" s="23" t="n"/>
    </row>
    <row r="237">
      <c r="E237" s="23" t="n"/>
    </row>
    <row r="238">
      <c r="E238" s="23" t="n"/>
    </row>
    <row r="239">
      <c r="E239" s="23" t="n"/>
    </row>
    <row r="240">
      <c r="E240" s="23" t="n"/>
    </row>
    <row r="241">
      <c r="E241" s="23" t="n"/>
    </row>
    <row r="242">
      <c r="E242" s="23" t="n"/>
    </row>
    <row r="243">
      <c r="E243" s="23" t="n"/>
    </row>
    <row r="244">
      <c r="E244" s="23" t="n"/>
    </row>
    <row r="245">
      <c r="E245" s="23" t="n"/>
    </row>
    <row r="246">
      <c r="E246" s="23" t="n"/>
    </row>
    <row r="247">
      <c r="E247" s="23" t="n"/>
    </row>
    <row r="248">
      <c r="E248" s="23" t="n"/>
    </row>
    <row r="249">
      <c r="E249" s="23" t="n"/>
    </row>
    <row r="250">
      <c r="E250" s="23" t="n"/>
    </row>
    <row r="251">
      <c r="E251" s="23" t="n"/>
    </row>
    <row r="252">
      <c r="E252" s="23" t="n"/>
    </row>
    <row r="253">
      <c r="E253" s="23" t="n"/>
    </row>
    <row r="254">
      <c r="E254" s="23" t="n"/>
    </row>
    <row r="255">
      <c r="E255" s="23" t="n"/>
    </row>
    <row r="256">
      <c r="E256" s="23" t="n"/>
    </row>
    <row r="257">
      <c r="E257" s="23" t="n"/>
    </row>
    <row r="258">
      <c r="E258" s="23" t="n"/>
    </row>
    <row r="259">
      <c r="E259" s="23" t="n"/>
    </row>
    <row r="260">
      <c r="E260" s="23" t="n"/>
    </row>
    <row r="261">
      <c r="E261" s="23" t="n"/>
    </row>
    <row r="262">
      <c r="E262" s="23" t="n"/>
    </row>
    <row r="263">
      <c r="E263" s="23" t="n"/>
    </row>
    <row r="264">
      <c r="E264" s="23" t="n"/>
    </row>
    <row r="265">
      <c r="E265" s="23" t="n"/>
    </row>
    <row r="266">
      <c r="E266" s="23" t="n"/>
    </row>
    <row r="267">
      <c r="E267" s="23" t="n"/>
    </row>
    <row r="268">
      <c r="E268" s="23" t="n"/>
    </row>
    <row r="269">
      <c r="E269" s="23" t="n"/>
    </row>
    <row r="270">
      <c r="E270" s="23" t="n"/>
    </row>
    <row r="271">
      <c r="E271" s="23" t="n"/>
    </row>
    <row r="272">
      <c r="E272" s="23" t="n"/>
    </row>
    <row r="273">
      <c r="E273" s="23" t="n"/>
    </row>
    <row r="274">
      <c r="E274" s="23" t="n"/>
    </row>
    <row r="275">
      <c r="E275" s="23" t="n"/>
    </row>
    <row r="276">
      <c r="E276" s="23" t="n"/>
    </row>
    <row r="277">
      <c r="E277" s="23" t="n"/>
    </row>
    <row r="278">
      <c r="E278" s="23" t="n"/>
    </row>
    <row r="279">
      <c r="E279" s="23" t="n"/>
    </row>
    <row r="280">
      <c r="E280" s="23" t="n"/>
    </row>
    <row r="281">
      <c r="E281" s="23" t="n"/>
    </row>
    <row r="282">
      <c r="E282" s="23" t="n"/>
    </row>
    <row r="283">
      <c r="E283" s="23" t="n"/>
    </row>
    <row r="284">
      <c r="E284" s="23" t="n"/>
    </row>
    <row r="285">
      <c r="E285" s="23" t="n"/>
    </row>
    <row r="286">
      <c r="E286" s="23" t="n"/>
    </row>
    <row r="287">
      <c r="E287" s="23" t="n"/>
    </row>
    <row r="288">
      <c r="E288" s="23" t="n"/>
    </row>
    <row r="289">
      <c r="E289" s="23" t="n"/>
    </row>
    <row r="290">
      <c r="E290" s="23" t="n"/>
    </row>
    <row r="291">
      <c r="E291" s="23" t="n"/>
    </row>
    <row r="292">
      <c r="E292" s="23" t="n"/>
    </row>
    <row r="293">
      <c r="E293" s="23" t="n"/>
    </row>
    <row r="294">
      <c r="E294" s="23" t="n"/>
    </row>
    <row r="295">
      <c r="E295" s="23" t="n"/>
    </row>
    <row r="296">
      <c r="E296" s="23" t="n"/>
    </row>
    <row r="297">
      <c r="E297" s="23" t="n"/>
    </row>
    <row r="298">
      <c r="E298" s="23" t="n"/>
    </row>
    <row r="299">
      <c r="E299" s="23" t="n"/>
    </row>
    <row r="300">
      <c r="E300" s="23" t="n"/>
    </row>
    <row r="301">
      <c r="E301" s="23" t="n"/>
    </row>
    <row r="302">
      <c r="E302" s="23" t="n"/>
    </row>
    <row r="303">
      <c r="E303" s="23" t="n"/>
    </row>
    <row r="304">
      <c r="E304" s="23" t="n"/>
    </row>
    <row r="305">
      <c r="E305" s="23" t="n"/>
    </row>
    <row r="306">
      <c r="E306" s="23" t="n"/>
    </row>
    <row r="307">
      <c r="E307" s="23" t="n"/>
    </row>
    <row r="308">
      <c r="E308" s="23" t="n"/>
    </row>
    <row r="309">
      <c r="E309" s="23" t="n"/>
    </row>
    <row r="310">
      <c r="E310" s="23" t="n"/>
    </row>
    <row r="311">
      <c r="E311" s="23" t="n"/>
    </row>
    <row r="312">
      <c r="E312" s="23" t="n"/>
    </row>
    <row r="313">
      <c r="E313" s="23" t="n"/>
    </row>
    <row r="314">
      <c r="E314" s="23" t="n"/>
    </row>
    <row r="315">
      <c r="E315" s="23" t="n"/>
    </row>
    <row r="316">
      <c r="E316" s="23" t="n"/>
    </row>
    <row r="317">
      <c r="E317" s="23" t="n"/>
    </row>
    <row r="318">
      <c r="E318" s="23" t="n"/>
    </row>
    <row r="319">
      <c r="E319" s="23" t="n"/>
    </row>
    <row r="320">
      <c r="E320" s="23" t="n"/>
    </row>
    <row r="321">
      <c r="E321" s="23" t="n"/>
    </row>
    <row r="322">
      <c r="E322" s="23" t="n"/>
    </row>
    <row r="323">
      <c r="E323" s="23" t="n"/>
    </row>
    <row r="324">
      <c r="E324" s="23" t="n"/>
    </row>
    <row r="325">
      <c r="E325" s="23" t="n"/>
    </row>
    <row r="326">
      <c r="E326" s="23" t="n"/>
    </row>
    <row r="327">
      <c r="E327" s="23" t="n"/>
    </row>
    <row r="328">
      <c r="E328" s="23" t="n"/>
    </row>
    <row r="329">
      <c r="E329" s="23" t="n"/>
    </row>
    <row r="330">
      <c r="E330" s="23" t="n"/>
    </row>
    <row r="331">
      <c r="E331" s="23" t="n"/>
    </row>
    <row r="332">
      <c r="E332" s="23" t="n"/>
    </row>
    <row r="333">
      <c r="E333" s="23" t="n"/>
    </row>
    <row r="334">
      <c r="E334" s="23" t="n"/>
    </row>
    <row r="335">
      <c r="E335" s="23" t="n"/>
    </row>
    <row r="336">
      <c r="E336" s="23" t="n"/>
    </row>
    <row r="337">
      <c r="E337" s="23" t="n"/>
    </row>
    <row r="338">
      <c r="E338" s="23" t="n"/>
    </row>
    <row r="339">
      <c r="E339" s="23" t="n"/>
    </row>
    <row r="340">
      <c r="E340" s="23" t="n"/>
    </row>
    <row r="341">
      <c r="E341" s="23" t="n"/>
    </row>
    <row r="342">
      <c r="E342" s="23" t="n"/>
    </row>
    <row r="343">
      <c r="E343" s="23" t="n"/>
    </row>
    <row r="344">
      <c r="E344" s="23" t="n"/>
    </row>
    <row r="345">
      <c r="E345" s="23" t="n"/>
    </row>
    <row r="346">
      <c r="E346" s="23" t="n"/>
    </row>
    <row r="347">
      <c r="E347" s="23" t="n"/>
    </row>
    <row r="348">
      <c r="E348" s="23" t="n"/>
    </row>
    <row r="349">
      <c r="E349" s="23" t="n"/>
    </row>
    <row r="350">
      <c r="E350" s="23" t="n"/>
    </row>
    <row r="351">
      <c r="E351" s="23" t="n"/>
    </row>
    <row r="352">
      <c r="E352" s="23" t="n"/>
    </row>
    <row r="353">
      <c r="E353" s="23" t="n"/>
    </row>
    <row r="354">
      <c r="E354" s="23" t="n"/>
    </row>
    <row r="355">
      <c r="E355" s="23" t="n"/>
    </row>
    <row r="356">
      <c r="E356" s="23" t="n"/>
    </row>
    <row r="357">
      <c r="E357" s="23" t="n"/>
    </row>
    <row r="358">
      <c r="E358" s="23" t="n"/>
    </row>
    <row r="359">
      <c r="E359" s="23" t="n"/>
    </row>
    <row r="360">
      <c r="E360" s="23" t="n"/>
    </row>
    <row r="361">
      <c r="E361" s="23" t="n"/>
    </row>
    <row r="362">
      <c r="E362" s="23" t="n"/>
    </row>
    <row r="363">
      <c r="E363" s="23" t="n"/>
    </row>
    <row r="364">
      <c r="E364" s="23" t="n"/>
    </row>
    <row r="365">
      <c r="E365" s="23" t="n"/>
    </row>
    <row r="366">
      <c r="E366" s="23" t="n"/>
    </row>
    <row r="367">
      <c r="E367" s="23" t="n"/>
    </row>
    <row r="368">
      <c r="E368" s="23" t="n"/>
    </row>
    <row r="369">
      <c r="E369" s="23" t="n"/>
    </row>
    <row r="370">
      <c r="E370" s="23" t="n"/>
    </row>
    <row r="371">
      <c r="E371" s="23" t="n"/>
    </row>
    <row r="372">
      <c r="E372" s="23" t="n"/>
    </row>
    <row r="373">
      <c r="E373" s="23" t="n"/>
    </row>
    <row r="374">
      <c r="E374" s="23" t="n"/>
    </row>
    <row r="375">
      <c r="E375" s="23" t="n"/>
    </row>
    <row r="376">
      <c r="E376" s="23" t="n"/>
    </row>
    <row r="377">
      <c r="E377" s="23" t="n"/>
    </row>
    <row r="378">
      <c r="E378" s="23" t="n"/>
    </row>
    <row r="379">
      <c r="E379" s="23" t="n"/>
    </row>
    <row r="380">
      <c r="E380" s="23" t="n"/>
    </row>
    <row r="381">
      <c r="E381" s="23" t="n"/>
    </row>
    <row r="382">
      <c r="E382" s="23" t="n"/>
    </row>
    <row r="383">
      <c r="E383" s="23" t="n"/>
    </row>
    <row r="384">
      <c r="E384" s="23" t="n"/>
    </row>
    <row r="385">
      <c r="E385" s="23" t="n"/>
    </row>
    <row r="386">
      <c r="E386" s="23" t="n"/>
    </row>
    <row r="387">
      <c r="E387" s="23" t="n"/>
    </row>
    <row r="388">
      <c r="E388" s="23" t="n"/>
    </row>
    <row r="389">
      <c r="E389" s="23" t="n"/>
    </row>
    <row r="390">
      <c r="E390" s="23" t="n"/>
    </row>
    <row r="391">
      <c r="E391" s="23" t="n"/>
    </row>
    <row r="392">
      <c r="E392" s="23" t="n"/>
    </row>
    <row r="393">
      <c r="E393" s="23" t="n"/>
    </row>
    <row r="394">
      <c r="E394" s="23" t="n"/>
    </row>
    <row r="395">
      <c r="E395" s="23" t="n"/>
    </row>
    <row r="396">
      <c r="E396" s="23" t="n"/>
    </row>
    <row r="397">
      <c r="E397" s="23" t="n"/>
    </row>
    <row r="398">
      <c r="E398" s="23" t="n"/>
    </row>
    <row r="399">
      <c r="E399" s="23" t="n"/>
    </row>
    <row r="400">
      <c r="E400" s="23" t="n"/>
    </row>
    <row r="401">
      <c r="E401" s="23" t="n"/>
    </row>
    <row r="402">
      <c r="E402" s="23" t="n"/>
    </row>
    <row r="403">
      <c r="E403" s="23" t="n"/>
    </row>
    <row r="404">
      <c r="E404" s="23" t="n"/>
    </row>
    <row r="405">
      <c r="E405" s="23" t="n"/>
    </row>
    <row r="406">
      <c r="E406" s="23" t="n"/>
    </row>
    <row r="407">
      <c r="E407" s="23" t="n"/>
    </row>
    <row r="408">
      <c r="E408" s="23" t="n"/>
    </row>
    <row r="409">
      <c r="E409" s="23" t="n"/>
    </row>
    <row r="410">
      <c r="E410" s="23" t="n"/>
    </row>
    <row r="411">
      <c r="E411" s="23" t="n"/>
    </row>
    <row r="412">
      <c r="E412" s="23" t="n"/>
    </row>
    <row r="413">
      <c r="E413" s="23" t="n"/>
    </row>
    <row r="414">
      <c r="E414" s="23" t="n"/>
    </row>
    <row r="415">
      <c r="E415" s="23" t="n"/>
    </row>
    <row r="416">
      <c r="E416" s="23" t="n"/>
    </row>
    <row r="417">
      <c r="E417" s="23" t="n"/>
    </row>
    <row r="418">
      <c r="E418" s="23" t="n"/>
    </row>
    <row r="419">
      <c r="E419" s="23" t="n"/>
    </row>
    <row r="420">
      <c r="E420" s="23" t="n"/>
    </row>
    <row r="421">
      <c r="E421" s="23" t="n"/>
    </row>
    <row r="422">
      <c r="E422" s="23" t="n"/>
    </row>
    <row r="423">
      <c r="E423" s="23" t="n"/>
    </row>
    <row r="424">
      <c r="E424" s="23" t="n"/>
    </row>
    <row r="425">
      <c r="E425" s="23" t="n"/>
    </row>
    <row r="426">
      <c r="E426" s="23" t="n"/>
    </row>
    <row r="427">
      <c r="E427" s="23" t="n"/>
    </row>
    <row r="428">
      <c r="E428" s="23" t="n"/>
    </row>
    <row r="429">
      <c r="E429" s="23" t="n"/>
    </row>
    <row r="430">
      <c r="E430" s="23" t="n"/>
    </row>
    <row r="431">
      <c r="E431" s="23" t="n"/>
    </row>
    <row r="432">
      <c r="E432" s="63" t="n"/>
    </row>
    <row r="433">
      <c r="E433" s="63" t="n"/>
    </row>
    <row r="434">
      <c r="E434" s="63" t="n"/>
    </row>
    <row r="435">
      <c r="E435" s="63" t="n"/>
    </row>
    <row r="436">
      <c r="E436" s="63" t="n"/>
    </row>
    <row r="437">
      <c r="E437" s="23" t="n"/>
    </row>
    <row r="438">
      <c r="E438" s="63" t="n"/>
    </row>
    <row r="439">
      <c r="E439" s="63" t="n"/>
    </row>
    <row r="440">
      <c r="E440" s="63" t="n"/>
    </row>
    <row r="441">
      <c r="E441" s="63" t="n"/>
    </row>
    <row r="442">
      <c r="E442" s="63" t="n"/>
    </row>
    <row r="443">
      <c r="E443" s="63" t="n"/>
    </row>
    <row r="444">
      <c r="E444" s="63" t="n"/>
    </row>
    <row r="445">
      <c r="E445" s="63" t="n"/>
    </row>
    <row r="446">
      <c r="E446" s="63" t="n"/>
    </row>
    <row r="447">
      <c r="E447" s="63" t="n"/>
    </row>
    <row r="448">
      <c r="E448" s="63" t="n"/>
    </row>
    <row r="449">
      <c r="E449" s="23" t="n"/>
    </row>
    <row r="450">
      <c r="E450" s="23" t="n"/>
    </row>
    <row r="451">
      <c r="E451" s="23" t="n"/>
    </row>
    <row r="452">
      <c r="E452" s="23" t="n"/>
    </row>
    <row r="453">
      <c r="E453" s="23" t="n"/>
    </row>
    <row r="454">
      <c r="E454" s="23" t="n"/>
    </row>
    <row r="455">
      <c r="E455" s="23" t="n"/>
    </row>
    <row r="456">
      <c r="E456" s="23" t="n"/>
    </row>
    <row r="457">
      <c r="E457" s="23" t="n"/>
    </row>
    <row r="458">
      <c r="E458" s="23" t="n"/>
    </row>
    <row r="459">
      <c r="E459" s="23" t="n"/>
    </row>
    <row r="460">
      <c r="E460" s="23" t="n"/>
    </row>
    <row r="461">
      <c r="E461" s="23" t="n"/>
    </row>
    <row r="462">
      <c r="E462" s="23" t="n"/>
    </row>
    <row r="463">
      <c r="E463" s="23" t="n"/>
    </row>
    <row r="464">
      <c r="E464" s="23" t="n"/>
    </row>
    <row r="465">
      <c r="E465" s="23" t="n"/>
    </row>
    <row r="466">
      <c r="E466" s="23" t="n"/>
    </row>
    <row r="467">
      <c r="E467" s="23" t="n"/>
    </row>
    <row r="468">
      <c r="E468" s="23" t="n"/>
    </row>
    <row r="469">
      <c r="E469" s="23" t="n"/>
    </row>
    <row r="470">
      <c r="E470" s="23" t="n"/>
    </row>
    <row r="471">
      <c r="E471" s="23" t="n"/>
    </row>
    <row r="472">
      <c r="E472" s="23" t="n"/>
    </row>
    <row r="473">
      <c r="E473" s="23" t="n"/>
    </row>
    <row r="474">
      <c r="E474" s="23" t="n"/>
    </row>
    <row r="475">
      <c r="E475" s="23" t="n"/>
    </row>
    <row r="476">
      <c r="E476" s="23" t="n"/>
    </row>
    <row r="477">
      <c r="E477" s="23" t="n"/>
    </row>
    <row r="478">
      <c r="E478" s="23" t="n"/>
    </row>
    <row r="479">
      <c r="E479" s="23" t="n"/>
    </row>
    <row r="480">
      <c r="E480" s="23" t="n"/>
    </row>
    <row r="481">
      <c r="E481" s="23" t="n"/>
    </row>
    <row r="482">
      <c r="E482" s="23" t="n"/>
    </row>
    <row r="483">
      <c r="E483" s="23" t="n"/>
    </row>
    <row r="484">
      <c r="E484" s="23" t="n"/>
    </row>
    <row r="485">
      <c r="E485" s="23" t="n"/>
    </row>
    <row r="486">
      <c r="E486" s="23" t="n"/>
    </row>
    <row r="487">
      <c r="E487" s="23" t="n"/>
    </row>
    <row r="488">
      <c r="E488" s="23" t="n"/>
    </row>
    <row r="489">
      <c r="E489" s="23" t="n"/>
    </row>
    <row r="490">
      <c r="E490" s="23" t="n"/>
    </row>
    <row r="491">
      <c r="E491" s="23" t="n"/>
    </row>
    <row r="492">
      <c r="E492" s="23" t="n"/>
    </row>
    <row r="493">
      <c r="E493" s="23" t="n"/>
    </row>
    <row r="494">
      <c r="E494" s="23" t="n"/>
    </row>
    <row r="495">
      <c r="E495" s="23" t="n"/>
    </row>
    <row r="496">
      <c r="E496" s="23" t="n"/>
    </row>
    <row r="497">
      <c r="E497" s="23" t="n"/>
    </row>
    <row r="498">
      <c r="E498" s="23" t="n"/>
    </row>
    <row r="499">
      <c r="E499" s="23" t="n"/>
    </row>
    <row r="500">
      <c r="E500" s="23" t="n"/>
    </row>
    <row r="501">
      <c r="E501" s="23" t="n"/>
    </row>
    <row r="502">
      <c r="E502" s="23" t="n"/>
    </row>
    <row r="503">
      <c r="E503" s="23" t="n"/>
    </row>
    <row r="504">
      <c r="E504" s="23" t="n"/>
    </row>
    <row r="505">
      <c r="E505" s="23" t="n"/>
    </row>
    <row r="506">
      <c r="E506" s="23" t="n"/>
    </row>
    <row r="507">
      <c r="E507" s="23" t="n"/>
    </row>
    <row r="508">
      <c r="E508" s="23" t="n"/>
    </row>
    <row r="509">
      <c r="E509" s="23" t="n"/>
    </row>
    <row r="510">
      <c r="E510" s="23" t="n"/>
    </row>
    <row r="511">
      <c r="E511" s="23" t="n"/>
    </row>
    <row r="512">
      <c r="E512" s="23" t="n"/>
    </row>
    <row r="513">
      <c r="E513" s="23" t="n"/>
    </row>
    <row r="514">
      <c r="E514" s="23" t="n"/>
    </row>
    <row r="515">
      <c r="E515" s="23" t="n"/>
    </row>
    <row r="516">
      <c r="E516" s="23" t="n"/>
    </row>
    <row r="517">
      <c r="E517" s="23" t="n"/>
    </row>
    <row r="518">
      <c r="E518" s="23" t="n"/>
    </row>
    <row r="519">
      <c r="E519" s="23" t="n"/>
    </row>
    <row r="520">
      <c r="E520" s="23" t="n"/>
    </row>
  </sheetData>
  <autoFilter ref="A1:S520"/>
  <conditionalFormatting sqref="A2:A43">
    <cfRule type="cellIs" priority="7" operator="equal" dxfId="11">
      <formula>"조립"</formula>
    </cfRule>
    <cfRule type="cellIs" priority="8" operator="equal" dxfId="10">
      <formula>"출하"</formula>
    </cfRule>
  </conditionalFormatting>
  <conditionalFormatting sqref="E2:E431 E449:E551">
    <cfRule type="notContainsBlanks" priority="2" dxfId="8"/>
  </conditionalFormatting>
  <conditionalFormatting sqref="E437:E441">
    <cfRule type="notContainsBlanks" priority="1" dxfId="8"/>
  </conditionalFormatting>
  <conditionalFormatting sqref="I2:I43">
    <cfRule type="expression" priority="4" dxfId="7">
      <formula>RIGHT($I2,1)="R"</formula>
    </cfRule>
    <cfRule type="expression" priority="5" dxfId="6">
      <formula>RIGHT($I2,1)="A"</formula>
    </cfRule>
    <cfRule type="expression" priority="6" dxfId="5">
      <formula>RIGHT($I2,1)="F"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95"/>
  <sheetViews>
    <sheetView topLeftCell="A1" zoomScale="70" zoomScaleNormal="70" workbookViewId="0">
      <pane ySplit="1" topLeftCell="A155" activePane="bottomLeft" state="frozen"/>
      <selection activeCell="A1" sqref="A1"/>
    </sheetView>
  </sheetViews>
  <sheetFormatPr baseColWidth="8" defaultRowHeight="16.5"/>
  <cols>
    <col width="8" customWidth="1" min="1" max="1"/>
    <col width="14" customWidth="1" min="2" max="2"/>
    <col width="22" customWidth="1" min="3" max="3"/>
    <col width="52" customWidth="1" min="4" max="5"/>
    <col outlineLevel="2" width="9" customWidth="1" min="6" max="6"/>
    <col outlineLevel="2" width="13" customWidth="1" min="7" max="8"/>
    <col outlineLevel="2" width="9" customWidth="1" min="9" max="9"/>
    <col outlineLevel="1" width="16" customWidth="1" min="10" max="10"/>
    <col outlineLevel="1" width="13.75" customWidth="1" min="11" max="11"/>
    <col outlineLevel="1" width="13" customWidth="1" min="12" max="14"/>
    <col outlineLevel="1" collapsed="1" width="13" customWidth="1" min="15" max="15"/>
    <col outlineLevel="1" width="14" customWidth="1" min="16" max="16"/>
    <col width="18" customWidth="1" min="17" max="17"/>
    <col width="16" customWidth="1" min="18" max="18"/>
    <col width="9" customWidth="1" min="19" max="19"/>
    <col width="14" customWidth="1" min="20" max="20"/>
  </cols>
  <sheetData>
    <row r="1" ht="36" customHeight="1">
      <c r="A1" s="2" t="inlineStr">
        <is>
          <t>부서</t>
        </is>
      </c>
      <c r="B1" s="2" t="inlineStr">
        <is>
          <t>분류</t>
        </is>
      </c>
      <c r="C1" s="2" t="inlineStr">
        <is>
          <t>모델</t>
        </is>
      </c>
      <c r="D1" s="2" t="inlineStr">
        <is>
          <t>품목</t>
        </is>
      </c>
      <c r="E1" s="3" t="inlineStr">
        <is>
          <t>▼ 생산부 품명 (매칭)</t>
        </is>
      </c>
      <c r="F1" s="4" t="inlineStr">
        <is>
          <t>원자재</t>
        </is>
      </c>
      <c r="G1" s="5" t="inlineStr">
        <is>
          <t>반제품</t>
        </is>
      </c>
      <c r="H1" s="6" t="inlineStr">
        <is>
          <t>완제품</t>
        </is>
      </c>
      <c r="I1" s="7" t="inlineStr">
        <is>
          <t>코드</t>
        </is>
      </c>
      <c r="J1" s="8" t="inlineStr">
        <is>
          <t>3
(DX3000)</t>
        </is>
      </c>
      <c r="K1" s="9" t="inlineStr">
        <is>
          <t>4
(ADX4000W)</t>
        </is>
      </c>
      <c r="L1" s="10" t="inlineStr">
        <is>
          <t>6
(ADX6000FB)</t>
        </is>
      </c>
      <c r="M1" s="11" t="inlineStr">
        <is>
          <t>7
(COCOON)</t>
        </is>
      </c>
      <c r="N1" s="12" t="inlineStr">
        <is>
          <t>8
(SOLO)</t>
        </is>
      </c>
      <c r="O1" s="13" t="inlineStr">
        <is>
          <t>?
(신제품)</t>
        </is>
      </c>
      <c r="P1" s="14" t="inlineStr">
        <is>
          <t>ERP 코드
{모델}-{공정}</t>
        </is>
      </c>
      <c r="Q1" s="101" t="inlineStr">
        <is>
          <t>공급처</t>
        </is>
      </c>
      <c r="R1" s="108" t="inlineStr">
        <is>
          <t>바로가기
(마스터로)</t>
        </is>
      </c>
      <c r="S1" s="109" t="inlineStr">
        <is>
          <t>마스터행</t>
        </is>
      </c>
      <c r="T1" s="109" t="inlineStr">
        <is>
          <t>마스터시트</t>
        </is>
      </c>
    </row>
    <row r="2" ht="48" customHeight="1">
      <c r="A2" s="87" t="inlineStr">
        <is>
          <t>창고</t>
        </is>
      </c>
      <c r="B2" s="87" t="inlineStr">
        <is>
          <t>BOARD</t>
        </is>
      </c>
      <c r="C2" s="88" t="inlineStr">
        <is>
          <t>ADX4000W</t>
        </is>
      </c>
      <c r="D2" s="88" t="inlineStr">
        <is>
          <t>튜브 고정 보드 케소드 (필라멘트)
[ADX4000W]</t>
        </is>
      </c>
      <c r="E2" s="88" t="inlineStr">
        <is>
          <t>튜브 고정 보드 케소드 (필라멘트)</t>
        </is>
      </c>
      <c r="F2" s="90" t="inlineStr">
        <is>
          <t>O</t>
        </is>
      </c>
      <c r="G2" s="91" t="n"/>
      <c r="H2" s="92" t="n"/>
      <c r="I2" s="93" t="inlineStr">
        <is>
          <t>HR</t>
        </is>
      </c>
      <c r="J2" s="94" t="n"/>
      <c r="K2" s="95" t="inlineStr">
        <is>
          <t>O</t>
        </is>
      </c>
      <c r="L2" s="96" t="n"/>
      <c r="M2" s="97" t="n"/>
      <c r="N2" s="98" t="n"/>
      <c r="O2" s="99" t="n"/>
      <c r="P2" s="100" t="inlineStr">
        <is>
          <t>4-HR</t>
        </is>
      </c>
      <c r="Q2" s="115" t="inlineStr">
        <is>
          <t>한샘디지텍</t>
        </is>
      </c>
      <c r="R2" s="110">
        <f>HYPERLINK("#'마스터_품목'!A58","→ 마스터 R58")</f>
        <v/>
      </c>
      <c r="S2" s="111" t="n">
        <v>58</v>
      </c>
      <c r="T2" s="111" t="inlineStr">
        <is>
          <t>마스터_품목</t>
        </is>
      </c>
    </row>
    <row r="3" ht="48" customHeight="1">
      <c r="A3" s="87" t="inlineStr">
        <is>
          <t>창고</t>
        </is>
      </c>
      <c r="B3" s="87" t="inlineStr">
        <is>
          <t>황동</t>
        </is>
      </c>
      <c r="C3" s="88" t="inlineStr">
        <is>
          <t>ADX4000W</t>
        </is>
      </c>
      <c r="D3" s="88" t="inlineStr">
        <is>
          <t>신주 케이스 (0.6T)
[ADX4000W]</t>
        </is>
      </c>
      <c r="E3" s="88" t="inlineStr">
        <is>
          <t>신주케이스</t>
        </is>
      </c>
      <c r="F3" s="90" t="inlineStr">
        <is>
          <t>O</t>
        </is>
      </c>
      <c r="G3" s="91" t="n"/>
      <c r="H3" s="92" t="n"/>
      <c r="I3" s="93" t="inlineStr">
        <is>
          <t>VR</t>
        </is>
      </c>
      <c r="J3" s="94" t="n"/>
      <c r="K3" s="95" t="inlineStr">
        <is>
          <t>O</t>
        </is>
      </c>
      <c r="L3" s="96" t="n"/>
      <c r="M3" s="97" t="n"/>
      <c r="N3" s="98" t="n"/>
      <c r="O3" s="99" t="n"/>
      <c r="P3" s="100" t="inlineStr">
        <is>
          <t>4-VR</t>
        </is>
      </c>
      <c r="Q3" s="115" t="inlineStr">
        <is>
          <t>해진정밀</t>
        </is>
      </c>
      <c r="R3" s="110">
        <f>HYPERLINK("#'마스터_품목'!A123","→ 마스터 R123")</f>
        <v/>
      </c>
      <c r="S3" s="111" t="n">
        <v>123</v>
      </c>
      <c r="T3" s="111" t="inlineStr">
        <is>
          <t>마스터_품목</t>
        </is>
      </c>
    </row>
    <row r="4" ht="48" customHeight="1">
      <c r="A4" s="87" t="inlineStr">
        <is>
          <t>창고</t>
        </is>
      </c>
      <c r="B4" s="87" t="inlineStr">
        <is>
          <t>PCB</t>
        </is>
      </c>
      <c r="C4" s="88" t="inlineStr">
        <is>
          <t>ADX4000W</t>
        </is>
      </c>
      <c r="D4" s="88" t="inlineStr">
        <is>
          <t>4.8" LCD BD
[ADX4000W]</t>
        </is>
      </c>
      <c r="E4" s="88" t="inlineStr">
        <is>
          <t>4.8" LCD BD</t>
        </is>
      </c>
      <c r="F4" s="90" t="inlineStr">
        <is>
          <t>O</t>
        </is>
      </c>
      <c r="G4" s="91" t="n"/>
      <c r="H4" s="92" t="n"/>
      <c r="I4" s="93" t="inlineStr">
        <is>
          <t>AR</t>
        </is>
      </c>
      <c r="J4" s="94" t="n"/>
      <c r="K4" s="95" t="inlineStr">
        <is>
          <t>O</t>
        </is>
      </c>
      <c r="L4" s="96" t="n"/>
      <c r="M4" s="97" t="n"/>
      <c r="N4" s="98" t="n"/>
      <c r="O4" s="99" t="n"/>
      <c r="P4" s="100" t="inlineStr">
        <is>
          <t>4-AR</t>
        </is>
      </c>
      <c r="Q4" s="115" t="inlineStr">
        <is>
          <t>HLP</t>
        </is>
      </c>
      <c r="R4" s="110">
        <f>HYPERLINK("#'마스터_품목'!A278","→ 마스터 R278")</f>
        <v/>
      </c>
      <c r="S4" s="111" t="n">
        <v>278</v>
      </c>
      <c r="T4" s="111" t="inlineStr">
        <is>
          <t>마스터_품목</t>
        </is>
      </c>
    </row>
    <row r="5" ht="48" customHeight="1">
      <c r="A5" s="87" t="inlineStr">
        <is>
          <t>창고</t>
        </is>
      </c>
      <c r="B5" s="87" t="inlineStr">
        <is>
          <t>PCB</t>
        </is>
      </c>
      <c r="C5" s="88" t="inlineStr">
        <is>
          <t>ADX4000W</t>
        </is>
      </c>
      <c r="D5" s="88" t="inlineStr">
        <is>
          <t>POWER BD
[ADX4000W]</t>
        </is>
      </c>
      <c r="E5" s="88" t="inlineStr">
        <is>
          <t>POWER BD</t>
        </is>
      </c>
      <c r="F5" s="90" t="inlineStr">
        <is>
          <t>O</t>
        </is>
      </c>
      <c r="G5" s="91" t="n"/>
      <c r="H5" s="92" t="n"/>
      <c r="I5" s="93" t="inlineStr">
        <is>
          <t>AR</t>
        </is>
      </c>
      <c r="J5" s="94" t="n"/>
      <c r="K5" s="95" t="inlineStr">
        <is>
          <t>O</t>
        </is>
      </c>
      <c r="L5" s="96" t="n"/>
      <c r="M5" s="97" t="n"/>
      <c r="N5" s="98" t="n"/>
      <c r="O5" s="99" t="n"/>
      <c r="P5" s="100" t="inlineStr">
        <is>
          <t>4-AR</t>
        </is>
      </c>
      <c r="Q5" s="115" t="inlineStr">
        <is>
          <t>HLP</t>
        </is>
      </c>
      <c r="R5" s="110">
        <f>HYPERLINK("#'마스터_품목'!A279","→ 마스터 R279")</f>
        <v/>
      </c>
      <c r="S5" s="111" t="n">
        <v>279</v>
      </c>
      <c r="T5" s="111" t="inlineStr">
        <is>
          <t>마스터_품목</t>
        </is>
      </c>
    </row>
    <row r="6" ht="48" customHeight="1">
      <c r="A6" s="87" t="inlineStr">
        <is>
          <t>창고</t>
        </is>
      </c>
      <c r="B6" s="87" t="inlineStr">
        <is>
          <t>PCB</t>
        </is>
      </c>
      <c r="C6" s="88" t="inlineStr">
        <is>
          <t>ADX4000W</t>
        </is>
      </c>
      <c r="D6" s="88" t="inlineStr">
        <is>
          <t>EX B/D
[ADX4000W]</t>
        </is>
      </c>
      <c r="E6" s="88" t="inlineStr">
        <is>
          <t>EX B/D</t>
        </is>
      </c>
      <c r="F6" s="90" t="inlineStr">
        <is>
          <t>O</t>
        </is>
      </c>
      <c r="G6" s="91" t="n"/>
      <c r="H6" s="92" t="n"/>
      <c r="I6" s="93" t="inlineStr">
        <is>
          <t>AR</t>
        </is>
      </c>
      <c r="J6" s="94" t="n"/>
      <c r="K6" s="95" t="inlineStr">
        <is>
          <t>O</t>
        </is>
      </c>
      <c r="L6" s="96" t="n"/>
      <c r="M6" s="97" t="n"/>
      <c r="N6" s="98" t="n"/>
      <c r="O6" s="99" t="n"/>
      <c r="P6" s="100" t="inlineStr">
        <is>
          <t>4-AR</t>
        </is>
      </c>
      <c r="Q6" s="115" t="inlineStr">
        <is>
          <t>HLP</t>
        </is>
      </c>
      <c r="R6" s="110">
        <f>HYPERLINK("#'마스터_품목'!A281","→ 마스터 R281")</f>
        <v/>
      </c>
      <c r="S6" s="111" t="n">
        <v>281</v>
      </c>
      <c r="T6" s="111" t="inlineStr">
        <is>
          <t>마스터_품목</t>
        </is>
      </c>
    </row>
    <row r="7" ht="48" customHeight="1">
      <c r="A7" s="87" t="inlineStr">
        <is>
          <t>창고</t>
        </is>
      </c>
      <c r="B7" s="87" t="inlineStr">
        <is>
          <t>PCB</t>
        </is>
      </c>
      <c r="C7" s="88" t="inlineStr">
        <is>
          <t>ADX4000W</t>
        </is>
      </c>
      <c r="D7" s="88" t="inlineStr">
        <is>
          <t>NAVI BD
[ADX4000W]</t>
        </is>
      </c>
      <c r="E7" s="88" t="inlineStr">
        <is>
          <t>NAVI BD</t>
        </is>
      </c>
      <c r="F7" s="90" t="inlineStr">
        <is>
          <t>O</t>
        </is>
      </c>
      <c r="G7" s="91" t="n"/>
      <c r="H7" s="92" t="n"/>
      <c r="I7" s="93" t="inlineStr">
        <is>
          <t>AR</t>
        </is>
      </c>
      <c r="J7" s="94" t="n"/>
      <c r="K7" s="95" t="inlineStr">
        <is>
          <t>O</t>
        </is>
      </c>
      <c r="L7" s="96" t="n"/>
      <c r="M7" s="97" t="n"/>
      <c r="N7" s="98" t="n"/>
      <c r="O7" s="99" t="n"/>
      <c r="P7" s="100" t="inlineStr">
        <is>
          <t>4-AR</t>
        </is>
      </c>
      <c r="Q7" s="115" t="inlineStr">
        <is>
          <t>HLP</t>
        </is>
      </c>
      <c r="R7" s="110">
        <f>HYPERLINK("#'마스터_품목'!A280","→ 마스터 R280")</f>
        <v/>
      </c>
      <c r="S7" s="111" t="n">
        <v>280</v>
      </c>
      <c r="T7" s="111" t="inlineStr">
        <is>
          <t>마스터_품목</t>
        </is>
      </c>
    </row>
    <row r="8" ht="48" customHeight="1">
      <c r="A8" s="87" t="inlineStr">
        <is>
          <t>창고</t>
        </is>
      </c>
      <c r="B8" s="87" t="inlineStr">
        <is>
          <t>PCB</t>
        </is>
      </c>
      <c r="C8" s="88" t="inlineStr">
        <is>
          <t>ADX4000W</t>
        </is>
      </c>
      <c r="D8" s="88" t="inlineStr">
        <is>
          <t>NAVI BD 사파리
[ADX4000W]</t>
        </is>
      </c>
      <c r="E8" s="88" t="inlineStr">
        <is>
          <t>NAVI BD _ 사파리용</t>
        </is>
      </c>
      <c r="F8" s="90" t="inlineStr">
        <is>
          <t>O</t>
        </is>
      </c>
      <c r="G8" s="91" t="n"/>
      <c r="H8" s="92" t="n"/>
      <c r="I8" s="93" t="inlineStr">
        <is>
          <t>AR</t>
        </is>
      </c>
      <c r="J8" s="94" t="n"/>
      <c r="K8" s="95" t="inlineStr">
        <is>
          <t>O</t>
        </is>
      </c>
      <c r="L8" s="96" t="n"/>
      <c r="M8" s="97" t="n"/>
      <c r="N8" s="98" t="n"/>
      <c r="O8" s="99" t="n"/>
      <c r="P8" s="100" t="inlineStr">
        <is>
          <t>4-AR</t>
        </is>
      </c>
      <c r="Q8" s="115" t="inlineStr">
        <is>
          <t>HLP</t>
        </is>
      </c>
      <c r="R8" s="110">
        <f>HYPERLINK("#'마스터_품목'!A277","→ 마스터 R277")</f>
        <v/>
      </c>
      <c r="S8" s="111" t="n">
        <v>277</v>
      </c>
      <c r="T8" s="111" t="inlineStr">
        <is>
          <t>마스터_품목</t>
        </is>
      </c>
    </row>
    <row r="9" ht="48" customHeight="1">
      <c r="A9" s="87" t="inlineStr">
        <is>
          <t>창고</t>
        </is>
      </c>
      <c r="B9" s="87" t="inlineStr">
        <is>
          <t>PCB</t>
        </is>
      </c>
      <c r="C9" s="88" t="inlineStr">
        <is>
          <t>ADX4000W</t>
        </is>
      </c>
      <c r="D9" s="88" t="inlineStr">
        <is>
          <t>Carrier BD (구형 KONTRON)
[ADX4000W]</t>
        </is>
      </c>
      <c r="E9" s="88" t="inlineStr">
        <is>
          <t>Carrier BD _ KONTRON</t>
        </is>
      </c>
      <c r="F9" s="90" t="inlineStr">
        <is>
          <t>O</t>
        </is>
      </c>
      <c r="G9" s="91" t="n"/>
      <c r="H9" s="92" t="n"/>
      <c r="I9" s="93" t="inlineStr">
        <is>
          <t>AR</t>
        </is>
      </c>
      <c r="J9" s="94" t="n"/>
      <c r="K9" s="95" t="inlineStr">
        <is>
          <t>O</t>
        </is>
      </c>
      <c r="L9" s="96" t="n"/>
      <c r="M9" s="97" t="n"/>
      <c r="N9" s="98" t="n"/>
      <c r="O9" s="99" t="n"/>
      <c r="P9" s="100" t="inlineStr">
        <is>
          <t>4-AR</t>
        </is>
      </c>
      <c r="Q9" s="115" t="inlineStr">
        <is>
          <t>비씨엠테크</t>
        </is>
      </c>
      <c r="R9" s="110">
        <f>HYPERLINK("#'마스터_품목'!A282","→ 마스터 R282")</f>
        <v/>
      </c>
      <c r="S9" s="111" t="n">
        <v>282</v>
      </c>
      <c r="T9" s="111" t="inlineStr">
        <is>
          <t>마스터_품목</t>
        </is>
      </c>
    </row>
    <row r="10" ht="48" customHeight="1">
      <c r="A10" s="87" t="inlineStr">
        <is>
          <t>창고</t>
        </is>
      </c>
      <c r="B10" s="87" t="inlineStr">
        <is>
          <t>PCB</t>
        </is>
      </c>
      <c r="C10" s="88" t="inlineStr">
        <is>
          <t>ADX4000W</t>
        </is>
      </c>
      <c r="D10" s="88" t="inlineStr">
        <is>
          <t>Carrier BD (신형 DFI)
[ADX4000W]</t>
        </is>
      </c>
      <c r="E10" s="88" t="inlineStr">
        <is>
          <t>Carrier BD _ DFI</t>
        </is>
      </c>
      <c r="F10" s="90" t="inlineStr">
        <is>
          <t>O</t>
        </is>
      </c>
      <c r="G10" s="91" t="n"/>
      <c r="H10" s="92" t="n"/>
      <c r="I10" s="93" t="inlineStr">
        <is>
          <t>AR</t>
        </is>
      </c>
      <c r="J10" s="94" t="n"/>
      <c r="K10" s="95" t="inlineStr">
        <is>
          <t>O</t>
        </is>
      </c>
      <c r="L10" s="96" t="n"/>
      <c r="M10" s="97" t="n"/>
      <c r="N10" s="98" t="n"/>
      <c r="O10" s="99" t="n"/>
      <c r="P10" s="100" t="inlineStr">
        <is>
          <t>4-AR</t>
        </is>
      </c>
      <c r="Q10" s="115" t="inlineStr">
        <is>
          <t>한컴MDS</t>
        </is>
      </c>
      <c r="R10" s="110">
        <f>HYPERLINK("#'마스터_품목'!A284","→ 마스터 R284")</f>
        <v/>
      </c>
      <c r="S10" s="111" t="n">
        <v>284</v>
      </c>
      <c r="T10" s="111" t="inlineStr">
        <is>
          <t>마스터_품목</t>
        </is>
      </c>
    </row>
    <row r="11" ht="48" customHeight="1">
      <c r="A11" s="87" t="inlineStr">
        <is>
          <t>창고</t>
        </is>
      </c>
      <c r="B11" s="87" t="inlineStr">
        <is>
          <t>PCB</t>
        </is>
      </c>
      <c r="C11" s="88" t="inlineStr">
        <is>
          <t>ADX4000W</t>
        </is>
      </c>
      <c r="D11" s="88" t="inlineStr">
        <is>
          <t>Module BD (구형 KONTRON)
[ADX4000W]</t>
        </is>
      </c>
      <c r="E11" s="88" t="inlineStr">
        <is>
          <t>Module BD _ KONTRON</t>
        </is>
      </c>
      <c r="F11" s="90" t="inlineStr">
        <is>
          <t>O</t>
        </is>
      </c>
      <c r="G11" s="91" t="n"/>
      <c r="H11" s="92" t="n"/>
      <c r="I11" s="93" t="inlineStr">
        <is>
          <t>AR</t>
        </is>
      </c>
      <c r="J11" s="94" t="n"/>
      <c r="K11" s="95" t="inlineStr">
        <is>
          <t>O</t>
        </is>
      </c>
      <c r="L11" s="96" t="inlineStr">
        <is>
          <t>O</t>
        </is>
      </c>
      <c r="M11" s="97" t="n"/>
      <c r="N11" s="98" t="n"/>
      <c r="O11" s="99" t="n"/>
      <c r="P11" s="100" t="inlineStr">
        <is>
          <t>46-AR</t>
        </is>
      </c>
      <c r="Q11" s="115" t="inlineStr">
        <is>
          <t>KONTRON</t>
        </is>
      </c>
      <c r="R11" s="110">
        <f>HYPERLINK("#'마스터_품목'!A283","→ 마스터 R283")</f>
        <v/>
      </c>
      <c r="S11" s="111" t="n">
        <v>283</v>
      </c>
      <c r="T11" s="111" t="inlineStr">
        <is>
          <t>마스터_품목</t>
        </is>
      </c>
    </row>
    <row r="12" ht="48" customHeight="1">
      <c r="A12" s="87" t="inlineStr">
        <is>
          <t>창고</t>
        </is>
      </c>
      <c r="B12" s="87" t="inlineStr">
        <is>
          <t>PCB</t>
        </is>
      </c>
      <c r="C12" s="88" t="inlineStr">
        <is>
          <t>ADX4000W</t>
        </is>
      </c>
      <c r="D12" s="88" t="inlineStr">
        <is>
          <t>Module BD (신형 DFI)
[ADX4000W]</t>
        </is>
      </c>
      <c r="E12" s="88" t="inlineStr">
        <is>
          <t>Module BD _ DFI</t>
        </is>
      </c>
      <c r="F12" s="90" t="inlineStr">
        <is>
          <t>O</t>
        </is>
      </c>
      <c r="G12" s="91" t="n"/>
      <c r="H12" s="92" t="n"/>
      <c r="I12" s="93" t="inlineStr">
        <is>
          <t>AR</t>
        </is>
      </c>
      <c r="J12" s="94" t="n"/>
      <c r="K12" s="95" t="inlineStr">
        <is>
          <t>O</t>
        </is>
      </c>
      <c r="L12" s="96" t="inlineStr">
        <is>
          <t>O</t>
        </is>
      </c>
      <c r="M12" s="97" t="n"/>
      <c r="N12" s="98" t="n"/>
      <c r="O12" s="99" t="n"/>
      <c r="P12" s="100" t="inlineStr">
        <is>
          <t>46-AR</t>
        </is>
      </c>
      <c r="Q12" s="115" t="inlineStr">
        <is>
          <t>한컴MDS</t>
        </is>
      </c>
      <c r="R12" s="110">
        <f>HYPERLINK("#'마스터_품목'!A285","→ 마스터 R285")</f>
        <v/>
      </c>
      <c r="S12" s="111" t="n">
        <v>285</v>
      </c>
      <c r="T12" s="111" t="inlineStr">
        <is>
          <t>마스터_품목</t>
        </is>
      </c>
    </row>
    <row r="13" ht="48" customHeight="1">
      <c r="A13" s="87" t="inlineStr">
        <is>
          <t>창고</t>
        </is>
      </c>
      <c r="B13" s="87" t="inlineStr">
        <is>
          <t>PCB</t>
        </is>
      </c>
      <c r="C13" s="88" t="inlineStr">
        <is>
          <t>ADX4000W</t>
        </is>
      </c>
      <c r="D13" s="88" t="inlineStr">
        <is>
          <t>USB 메모리 BD (구형 KONTRON)
[ADX4000W]</t>
        </is>
      </c>
      <c r="E13" s="88" t="inlineStr">
        <is>
          <t>USB 메모리 BD _ KONTRON</t>
        </is>
      </c>
      <c r="F13" s="90" t="inlineStr">
        <is>
          <t>O</t>
        </is>
      </c>
      <c r="G13" s="91" t="n"/>
      <c r="H13" s="92" t="n"/>
      <c r="I13" s="93" t="inlineStr">
        <is>
          <t>AR</t>
        </is>
      </c>
      <c r="J13" s="94" t="n"/>
      <c r="K13" s="95" t="inlineStr">
        <is>
          <t>O</t>
        </is>
      </c>
      <c r="L13" s="96" t="n"/>
      <c r="M13" s="97" t="n"/>
      <c r="N13" s="98" t="n"/>
      <c r="O13" s="99" t="n"/>
      <c r="P13" s="100" t="inlineStr">
        <is>
          <t>4-AR</t>
        </is>
      </c>
      <c r="Q13" s="115" t="inlineStr">
        <is>
          <t>HLP</t>
        </is>
      </c>
      <c r="R13" s="110">
        <f>HYPERLINK("#'마스터_품목'!A286","→ 마스터 R286")</f>
        <v/>
      </c>
      <c r="S13" s="111" t="n">
        <v>286</v>
      </c>
      <c r="T13" s="111" t="inlineStr">
        <is>
          <t>마스터_품목</t>
        </is>
      </c>
    </row>
    <row r="14" ht="48" customHeight="1">
      <c r="A14" s="87" t="inlineStr">
        <is>
          <t>창고</t>
        </is>
      </c>
      <c r="B14" s="87" t="inlineStr">
        <is>
          <t>PCB</t>
        </is>
      </c>
      <c r="C14" s="88" t="inlineStr">
        <is>
          <t>ADX4000W</t>
        </is>
      </c>
      <c r="D14" s="88" t="inlineStr">
        <is>
          <t>USB 메모리 BD (신형 DFI)
[ADX4000W]</t>
        </is>
      </c>
      <c r="E14" s="88" t="inlineStr">
        <is>
          <t>USB 메모리 BD _ DFI</t>
        </is>
      </c>
      <c r="F14" s="90" t="inlineStr">
        <is>
          <t>O</t>
        </is>
      </c>
      <c r="G14" s="91" t="n"/>
      <c r="H14" s="92" t="n"/>
      <c r="I14" s="93" t="inlineStr">
        <is>
          <t>AR</t>
        </is>
      </c>
      <c r="J14" s="94" t="n"/>
      <c r="K14" s="95" t="inlineStr">
        <is>
          <t>O</t>
        </is>
      </c>
      <c r="L14" s="96" t="n"/>
      <c r="M14" s="97" t="n"/>
      <c r="N14" s="98" t="n"/>
      <c r="O14" s="99" t="n"/>
      <c r="P14" s="100" t="inlineStr">
        <is>
          <t>4-AR</t>
        </is>
      </c>
      <c r="Q14" s="115" t="inlineStr">
        <is>
          <t>HLP</t>
        </is>
      </c>
      <c r="R14" s="110">
        <f>HYPERLINK("#'마스터_품목'!A287","→ 마스터 R287")</f>
        <v/>
      </c>
      <c r="S14" s="111" t="n">
        <v>287</v>
      </c>
      <c r="T14" s="111" t="inlineStr">
        <is>
          <t>마스터_품목</t>
        </is>
      </c>
    </row>
    <row r="15" ht="48" customHeight="1">
      <c r="A15" s="87" t="inlineStr">
        <is>
          <t>창고</t>
        </is>
      </c>
      <c r="B15" s="87" t="inlineStr">
        <is>
          <t>PANEL</t>
        </is>
      </c>
      <c r="C15" s="88" t="inlineStr">
        <is>
          <t>ADX4000W</t>
        </is>
      </c>
      <c r="D15" s="88" t="inlineStr">
        <is>
          <t>5" LCD (LQ050W1LA0A)
[ADX4000W]</t>
        </is>
      </c>
      <c r="E15" s="88" t="inlineStr">
        <is>
          <t>5" LCD 판넬 (SHARF)</t>
        </is>
      </c>
      <c r="F15" s="90" t="inlineStr">
        <is>
          <t>O</t>
        </is>
      </c>
      <c r="G15" s="91" t="n"/>
      <c r="H15" s="92" t="n"/>
      <c r="I15" s="93" t="inlineStr">
        <is>
          <t>AR</t>
        </is>
      </c>
      <c r="J15" s="94" t="n"/>
      <c r="K15" s="95" t="inlineStr">
        <is>
          <t>O</t>
        </is>
      </c>
      <c r="L15" s="96" t="n"/>
      <c r="M15" s="97" t="n"/>
      <c r="N15" s="98" t="n"/>
      <c r="O15" s="99" t="n"/>
      <c r="P15" s="100" t="inlineStr">
        <is>
          <t>4-AR</t>
        </is>
      </c>
      <c r="Q15" s="115" t="inlineStr">
        <is>
          <t>홍콩</t>
        </is>
      </c>
      <c r="R15" s="110">
        <f>HYPERLINK("#'마스터_품목'!A265","→ 마스터 R265")</f>
        <v/>
      </c>
      <c r="S15" s="111" t="n">
        <v>265</v>
      </c>
      <c r="T15" s="111" t="inlineStr">
        <is>
          <t>마스터_품목</t>
        </is>
      </c>
    </row>
    <row r="16" ht="48" customHeight="1">
      <c r="A16" s="87" t="inlineStr">
        <is>
          <t>창고</t>
        </is>
      </c>
      <c r="B16" s="87" t="inlineStr">
        <is>
          <t>PANEL</t>
        </is>
      </c>
      <c r="C16" s="88" t="inlineStr">
        <is>
          <t>ADX4000W</t>
        </is>
      </c>
      <c r="D16" s="88" t="inlineStr">
        <is>
          <t>4.8" LCD (LMS480J-C01(LTS480WS-C01))
[ADX4000W]</t>
        </is>
      </c>
      <c r="E16" s="88" t="inlineStr">
        <is>
          <t>4.8" LCD 판넬 (SAMSUNG)</t>
        </is>
      </c>
      <c r="F16" s="90" t="inlineStr">
        <is>
          <t>O</t>
        </is>
      </c>
      <c r="G16" s="91" t="n"/>
      <c r="H16" s="92" t="n"/>
      <c r="I16" s="93" t="inlineStr">
        <is>
          <t>AR</t>
        </is>
      </c>
      <c r="J16" s="94" t="n"/>
      <c r="K16" s="95" t="inlineStr">
        <is>
          <t>O</t>
        </is>
      </c>
      <c r="L16" s="96" t="inlineStr">
        <is>
          <t>O</t>
        </is>
      </c>
      <c r="M16" s="97" t="n"/>
      <c r="N16" s="98" t="n"/>
      <c r="O16" s="99" t="n"/>
      <c r="P16" s="100" t="inlineStr">
        <is>
          <t>46-AR</t>
        </is>
      </c>
      <c r="Q16" s="115" t="inlineStr">
        <is>
          <t>HLP</t>
        </is>
      </c>
      <c r="R16" s="110">
        <f>HYPERLINK("#'마스터_품목'!A266","→ 마스터 R266")</f>
        <v/>
      </c>
      <c r="S16" s="111" t="n">
        <v>266</v>
      </c>
      <c r="T16" s="111" t="inlineStr">
        <is>
          <t>마스터_품목</t>
        </is>
      </c>
    </row>
    <row r="17" ht="48" customHeight="1">
      <c r="A17" s="87" t="inlineStr">
        <is>
          <t>창고</t>
        </is>
      </c>
      <c r="B17" s="87" t="inlineStr">
        <is>
          <t>CABLE</t>
        </is>
      </c>
      <c r="C17" s="88" t="inlineStr">
        <is>
          <t>ADX4000W</t>
        </is>
      </c>
      <c r="D17" s="88" t="inlineStr">
        <is>
          <t>Embedded PC 전원 (2핀) (케리어+CTR B/D 연결)
[ADX4000W]</t>
        </is>
      </c>
      <c r="E17" s="88" t="inlineStr">
        <is>
          <t>Embedded PC 전원 -2핀 (케리어+CTR B/D 연결)</t>
        </is>
      </c>
      <c r="F17" s="90" t="inlineStr">
        <is>
          <t>O</t>
        </is>
      </c>
      <c r="G17" s="91" t="n"/>
      <c r="H17" s="92" t="n"/>
      <c r="I17" s="93" t="inlineStr">
        <is>
          <t>AR</t>
        </is>
      </c>
      <c r="J17" s="94" t="n"/>
      <c r="K17" s="95" t="inlineStr">
        <is>
          <t>O</t>
        </is>
      </c>
      <c r="L17" s="96" t="n"/>
      <c r="M17" s="97" t="n"/>
      <c r="N17" s="98" t="n"/>
      <c r="O17" s="99" t="n"/>
      <c r="P17" s="100" t="inlineStr">
        <is>
          <t>4-AR</t>
        </is>
      </c>
      <c r="Q17" s="115" t="inlineStr">
        <is>
          <t>HLP</t>
        </is>
      </c>
      <c r="R17" s="110">
        <f>HYPERLINK("#'마스터_품목'!A295","→ 마스터 R295")</f>
        <v/>
      </c>
      <c r="S17" s="111" t="n">
        <v>295</v>
      </c>
      <c r="T17" s="111" t="inlineStr">
        <is>
          <t>마스터_품목</t>
        </is>
      </c>
    </row>
    <row r="18" ht="48" customHeight="1">
      <c r="A18" s="87" t="inlineStr">
        <is>
          <t>창고</t>
        </is>
      </c>
      <c r="B18" s="87" t="inlineStr">
        <is>
          <t>CABLE</t>
        </is>
      </c>
      <c r="C18" s="88" t="inlineStr">
        <is>
          <t>ADX4000W</t>
        </is>
      </c>
      <c r="D18" s="88" t="inlineStr">
        <is>
          <t>리모콘 및 관전류 (4핀)
[ADX4000W]</t>
        </is>
      </c>
      <c r="E18" s="88" t="inlineStr">
        <is>
          <t>리모콘 및 관전류 -4핀</t>
        </is>
      </c>
      <c r="F18" s="90" t="inlineStr">
        <is>
          <t>O</t>
        </is>
      </c>
      <c r="G18" s="91" t="n"/>
      <c r="H18" s="92" t="n"/>
      <c r="I18" s="93" t="inlineStr">
        <is>
          <t>AR</t>
        </is>
      </c>
      <c r="J18" s="94" t="n"/>
      <c r="K18" s="95" t="inlineStr">
        <is>
          <t>O</t>
        </is>
      </c>
      <c r="L18" s="96" t="n"/>
      <c r="M18" s="97" t="n"/>
      <c r="N18" s="98" t="n"/>
      <c r="O18" s="99" t="n"/>
      <c r="P18" s="100" t="inlineStr">
        <is>
          <t>4-AR</t>
        </is>
      </c>
      <c r="Q18" s="115" t="inlineStr">
        <is>
          <t>HLP</t>
        </is>
      </c>
      <c r="R18" s="110">
        <f>HYPERLINK("#'마스터_품목'!A293","→ 마스터 R293")</f>
        <v/>
      </c>
      <c r="S18" s="111" t="n">
        <v>293</v>
      </c>
      <c r="T18" s="111" t="inlineStr">
        <is>
          <t>마스터_품목</t>
        </is>
      </c>
    </row>
    <row r="19" ht="48" customHeight="1">
      <c r="A19" s="87" t="inlineStr">
        <is>
          <t>창고</t>
        </is>
      </c>
      <c r="B19" s="87" t="inlineStr">
        <is>
          <t>CABLE</t>
        </is>
      </c>
      <c r="C19" s="88" t="inlineStr">
        <is>
          <t>ADX4000W</t>
        </is>
      </c>
      <c r="D19" s="88" t="inlineStr">
        <is>
          <t>USB Wire (4핀)
[ADX4000W]</t>
        </is>
      </c>
      <c r="E19" s="88" t="inlineStr">
        <is>
          <t>USB Wire -4핀 하네스</t>
        </is>
      </c>
      <c r="F19" s="90" t="inlineStr">
        <is>
          <t>O</t>
        </is>
      </c>
      <c r="G19" s="91" t="n"/>
      <c r="H19" s="92" t="n"/>
      <c r="I19" s="93" t="inlineStr">
        <is>
          <t>AR</t>
        </is>
      </c>
      <c r="J19" s="94" t="n"/>
      <c r="K19" s="95" t="inlineStr">
        <is>
          <t>O</t>
        </is>
      </c>
      <c r="L19" s="96" t="n"/>
      <c r="M19" s="97" t="n"/>
      <c r="N19" s="98" t="n"/>
      <c r="O19" s="99" t="n"/>
      <c r="P19" s="100" t="inlineStr">
        <is>
          <t>4-AR</t>
        </is>
      </c>
      <c r="Q19" s="115" t="inlineStr">
        <is>
          <t>HLP</t>
        </is>
      </c>
      <c r="R19" s="110">
        <f>HYPERLINK("#'마스터_품목'!A298","→ 마스터 R298")</f>
        <v/>
      </c>
      <c r="S19" s="111" t="n">
        <v>298</v>
      </c>
      <c r="T19" s="111" t="inlineStr">
        <is>
          <t>마스터_품목</t>
        </is>
      </c>
    </row>
    <row r="20" ht="48" customHeight="1">
      <c r="A20" s="87" t="inlineStr">
        <is>
          <t>창고</t>
        </is>
      </c>
      <c r="B20" s="87" t="inlineStr">
        <is>
          <t>X-ray Tube</t>
        </is>
      </c>
      <c r="C20" s="88" t="inlineStr">
        <is>
          <t>DX3000, ADX4000W</t>
        </is>
      </c>
      <c r="D20" s="88" t="inlineStr">
        <is>
          <t>TUBE (60KV D-081B)
[DX3000, ADX4000W]</t>
        </is>
      </c>
      <c r="E20" s="88" t="inlineStr">
        <is>
          <t>캐논튜브 [ D-081B ] _ 60KV</t>
        </is>
      </c>
      <c r="F20" s="90" t="inlineStr">
        <is>
          <t>O</t>
        </is>
      </c>
      <c r="G20" s="91" t="n"/>
      <c r="H20" s="92" t="n"/>
      <c r="I20" s="93" t="inlineStr">
        <is>
          <t>HR</t>
        </is>
      </c>
      <c r="J20" s="94" t="inlineStr">
        <is>
          <t>O</t>
        </is>
      </c>
      <c r="K20" s="95" t="inlineStr">
        <is>
          <t>O</t>
        </is>
      </c>
      <c r="L20" s="96" t="n"/>
      <c r="M20" s="97" t="n"/>
      <c r="N20" s="98" t="n"/>
      <c r="O20" s="99" t="n"/>
      <c r="P20" s="100" t="inlineStr">
        <is>
          <t>34-HR</t>
        </is>
      </c>
      <c r="Q20" s="102" t="inlineStr">
        <is>
          <t>신광포토레이</t>
        </is>
      </c>
      <c r="R20" s="110">
        <f>HYPERLINK("#'마스터_품목'!A21","→ 마스터 R21")</f>
        <v/>
      </c>
      <c r="S20" s="111" t="n">
        <v>21</v>
      </c>
      <c r="T20" s="111" t="inlineStr">
        <is>
          <t>마스터_품목</t>
        </is>
      </c>
    </row>
    <row r="21" ht="48" customHeight="1">
      <c r="A21" s="87" t="inlineStr">
        <is>
          <t>창고</t>
        </is>
      </c>
      <c r="B21" s="87" t="inlineStr">
        <is>
          <t>CABLE</t>
        </is>
      </c>
      <c r="C21" s="88" t="inlineStr">
        <is>
          <t>ADX4000W</t>
        </is>
      </c>
      <c r="D21" s="88" t="inlineStr">
        <is>
          <t>NAVIGATION KEY (6핀)
[ADX4000W]</t>
        </is>
      </c>
      <c r="E21" s="88" t="inlineStr">
        <is>
          <t>NAVIGATION KEY -6핀</t>
        </is>
      </c>
      <c r="F21" s="90" t="inlineStr">
        <is>
          <t>O</t>
        </is>
      </c>
      <c r="G21" s="91" t="n"/>
      <c r="H21" s="92" t="n"/>
      <c r="I21" s="93" t="inlineStr">
        <is>
          <t>AR</t>
        </is>
      </c>
      <c r="J21" s="94" t="n"/>
      <c r="K21" s="95" t="inlineStr">
        <is>
          <t>O</t>
        </is>
      </c>
      <c r="L21" s="96" t="n"/>
      <c r="M21" s="97" t="n"/>
      <c r="N21" s="98" t="n"/>
      <c r="O21" s="99" t="n"/>
      <c r="P21" s="100" t="inlineStr">
        <is>
          <t>4-AR</t>
        </is>
      </c>
      <c r="Q21" s="102" t="inlineStr">
        <is>
          <t>HLP</t>
        </is>
      </c>
      <c r="R21" s="110">
        <f>HYPERLINK("#'마스터_품목'!A292","→ 마스터 R292")</f>
        <v/>
      </c>
      <c r="S21" s="111" t="n">
        <v>292</v>
      </c>
      <c r="T21" s="111" t="inlineStr">
        <is>
          <t>마스터_품목</t>
        </is>
      </c>
    </row>
    <row r="22" ht="48" customHeight="1">
      <c r="A22" s="87" t="inlineStr">
        <is>
          <t>창고</t>
        </is>
      </c>
      <c r="B22" s="87" t="inlineStr">
        <is>
          <t>X-ray Tube</t>
        </is>
      </c>
      <c r="C22" s="88" t="inlineStr">
        <is>
          <t>SOLO</t>
        </is>
      </c>
      <c r="D22" s="88" t="inlineStr">
        <is>
          <t>TUBE (70KV DXDR-070)
[SOLO]</t>
        </is>
      </c>
      <c r="E22" s="88" t="inlineStr">
        <is>
          <t>세라믹튜브 [DXDR-070] _ 70KV</t>
        </is>
      </c>
      <c r="F22" s="90" t="inlineStr">
        <is>
          <t>O</t>
        </is>
      </c>
      <c r="G22" s="91" t="n"/>
      <c r="H22" s="92" t="n"/>
      <c r="I22" s="93" t="inlineStr">
        <is>
          <t>HR</t>
        </is>
      </c>
      <c r="J22" s="94" t="inlineStr">
        <is>
          <t>O</t>
        </is>
      </c>
      <c r="K22" s="95" t="inlineStr">
        <is>
          <t>O</t>
        </is>
      </c>
      <c r="L22" s="96" t="inlineStr">
        <is>
          <t>O</t>
        </is>
      </c>
      <c r="M22" s="97" t="n"/>
      <c r="N22" s="98" t="inlineStr">
        <is>
          <t>O</t>
        </is>
      </c>
      <c r="O22" s="99" t="n"/>
      <c r="P22" s="100" t="inlineStr">
        <is>
          <t>3468-HR</t>
        </is>
      </c>
      <c r="R22" s="110">
        <f>HYPERLINK("#'마스터_품목'!A24","→ 마스터 R24")</f>
        <v/>
      </c>
      <c r="S22" s="111" t="n">
        <v>24</v>
      </c>
      <c r="T22" s="111" t="inlineStr">
        <is>
          <t>마스터_품목</t>
        </is>
      </c>
    </row>
    <row r="23" ht="48" customHeight="1">
      <c r="A23" s="87" t="inlineStr">
        <is>
          <t>창고</t>
        </is>
      </c>
      <c r="B23" s="87" t="inlineStr">
        <is>
          <t>X-ray Tube</t>
        </is>
      </c>
      <c r="C23" s="88" t="inlineStr">
        <is>
          <t>ADX6000</t>
        </is>
      </c>
      <c r="D23" s="88" t="inlineStr">
        <is>
          <t>TUBE (80KV D-0813)
[ADX6000]</t>
        </is>
      </c>
      <c r="E23" s="88" t="inlineStr">
        <is>
          <t>캐논튜브 [ D-0813 ] _ 80KV</t>
        </is>
      </c>
      <c r="F23" s="90" t="inlineStr">
        <is>
          <t>O</t>
        </is>
      </c>
      <c r="G23" s="91" t="n"/>
      <c r="H23" s="92" t="n"/>
      <c r="I23" s="93" t="inlineStr">
        <is>
          <t>HR</t>
        </is>
      </c>
      <c r="J23" s="94" t="n"/>
      <c r="K23" s="95" t="n"/>
      <c r="L23" s="96" t="inlineStr">
        <is>
          <t>O</t>
        </is>
      </c>
      <c r="M23" s="97" t="n"/>
      <c r="N23" s="98" t="n"/>
      <c r="O23" s="99" t="n"/>
      <c r="P23" s="100" t="inlineStr">
        <is>
          <t>6-HR</t>
        </is>
      </c>
      <c r="Q23" s="102" t="inlineStr">
        <is>
          <t>신광포토레이</t>
        </is>
      </c>
      <c r="R23" s="110">
        <f>HYPERLINK("#'마스터_품목'!A23","→ 마스터 R23")</f>
        <v/>
      </c>
      <c r="S23" s="111" t="n">
        <v>23</v>
      </c>
      <c r="T23" s="111" t="inlineStr">
        <is>
          <t>마스터_품목</t>
        </is>
      </c>
    </row>
    <row r="24" ht="48" customHeight="1">
      <c r="A24" s="87" t="inlineStr">
        <is>
          <t>창고</t>
        </is>
      </c>
      <c r="B24" s="87" t="inlineStr">
        <is>
          <t>CABLE</t>
        </is>
      </c>
      <c r="C24" s="88" t="inlineStr">
        <is>
          <t>ADX4000W</t>
        </is>
      </c>
      <c r="D24" s="88" t="inlineStr">
        <is>
          <t>RS422 통신 및 PC 전원 on/off (7핀)
[ADX4000W]</t>
        </is>
      </c>
      <c r="E24" s="88" t="inlineStr">
        <is>
          <t>RS422 통신 및 PC 전원 on/off -7핀</t>
        </is>
      </c>
      <c r="F24" s="90" t="inlineStr">
        <is>
          <t>O</t>
        </is>
      </c>
      <c r="G24" s="91" t="n"/>
      <c r="H24" s="92" t="n"/>
      <c r="I24" s="93" t="inlineStr">
        <is>
          <t>AR</t>
        </is>
      </c>
      <c r="J24" s="94" t="n"/>
      <c r="K24" s="95" t="inlineStr">
        <is>
          <t>O</t>
        </is>
      </c>
      <c r="L24" s="96" t="n"/>
      <c r="M24" s="97" t="n"/>
      <c r="N24" s="98" t="n"/>
      <c r="O24" s="99" t="n"/>
      <c r="P24" s="100" t="inlineStr">
        <is>
          <t>4-AR</t>
        </is>
      </c>
      <c r="Q24" s="102" t="inlineStr">
        <is>
          <t>HLP</t>
        </is>
      </c>
      <c r="R24" s="110">
        <f>HYPERLINK("#'마스터_품목'!A294","→ 마스터 R294")</f>
        <v/>
      </c>
      <c r="S24" s="111" t="n">
        <v>294</v>
      </c>
      <c r="T24" s="111" t="inlineStr">
        <is>
          <t>마스터_품목</t>
        </is>
      </c>
    </row>
    <row r="25" ht="48" customHeight="1">
      <c r="A25" s="87" t="inlineStr">
        <is>
          <t>창고</t>
        </is>
      </c>
      <c r="B25" s="87" t="inlineStr">
        <is>
          <t>CABLE</t>
        </is>
      </c>
      <c r="C25" s="88" t="inlineStr">
        <is>
          <t>ADX4000W</t>
        </is>
      </c>
      <c r="D25" s="88" t="inlineStr">
        <is>
          <t>전원 및 EXP Wire (8핀)
[ADX4000W]</t>
        </is>
      </c>
      <c r="E25" s="88" t="inlineStr">
        <is>
          <t>전원 및 EXP Wire -8핀</t>
        </is>
      </c>
      <c r="F25" s="90" t="inlineStr">
        <is>
          <t>O</t>
        </is>
      </c>
      <c r="G25" s="91" t="n"/>
      <c r="H25" s="92" t="n"/>
      <c r="I25" s="93" t="inlineStr">
        <is>
          <t>AR</t>
        </is>
      </c>
      <c r="J25" s="94" t="n"/>
      <c r="K25" s="95" t="inlineStr">
        <is>
          <t>O</t>
        </is>
      </c>
      <c r="L25" s="96" t="n"/>
      <c r="M25" s="97" t="n"/>
      <c r="N25" s="98" t="n"/>
      <c r="O25" s="99" t="n"/>
      <c r="P25" s="100" t="inlineStr">
        <is>
          <t>4-AR</t>
        </is>
      </c>
      <c r="Q25" s="115" t="inlineStr">
        <is>
          <t>HLP</t>
        </is>
      </c>
      <c r="R25" s="110">
        <f>HYPERLINK("#'마스터_품목'!A291","→ 마스터 R291")</f>
        <v/>
      </c>
      <c r="S25" s="111" t="n">
        <v>291</v>
      </c>
      <c r="T25" s="111" t="inlineStr">
        <is>
          <t>마스터_품목</t>
        </is>
      </c>
    </row>
    <row r="26" ht="48" customHeight="1">
      <c r="A26" s="87" t="inlineStr">
        <is>
          <t>창고</t>
        </is>
      </c>
      <c r="B26" s="87" t="inlineStr">
        <is>
          <t>베이클라이트</t>
        </is>
      </c>
      <c r="C26" s="88" t="inlineStr">
        <is>
          <t>DX3000, ADX4000W ADX6000</t>
        </is>
      </c>
      <c r="D26" s="88" t="inlineStr">
        <is>
          <t>튜브 하우징 파이프 (베이클라이트)
[DX3000, ADX4000W ADX6000]</t>
        </is>
      </c>
      <c r="E26" s="88" t="inlineStr">
        <is>
          <t>베이클라이트 하우징 파이프</t>
        </is>
      </c>
      <c r="F26" s="90" t="inlineStr">
        <is>
          <t>O</t>
        </is>
      </c>
      <c r="G26" s="91" t="n"/>
      <c r="H26" s="92" t="n"/>
      <c r="I26" s="93" t="inlineStr">
        <is>
          <t>HR</t>
        </is>
      </c>
      <c r="J26" s="94" t="inlineStr">
        <is>
          <t>O</t>
        </is>
      </c>
      <c r="K26" s="95" t="inlineStr">
        <is>
          <t>O</t>
        </is>
      </c>
      <c r="L26" s="96" t="inlineStr">
        <is>
          <t>O</t>
        </is>
      </c>
      <c r="M26" s="97" t="n"/>
      <c r="N26" s="98" t="n"/>
      <c r="O26" s="99" t="n"/>
      <c r="P26" s="100" t="inlineStr">
        <is>
          <t>346-HR</t>
        </is>
      </c>
      <c r="Q26" s="102" t="inlineStr">
        <is>
          <t>용봉화학</t>
        </is>
      </c>
      <c r="R26" s="110">
        <f>HYPERLINK("#'마스터_품목'!A86","→ 마스터 R86")</f>
        <v/>
      </c>
      <c r="S26" s="111" t="n">
        <v>86</v>
      </c>
      <c r="T26" s="111" t="inlineStr">
        <is>
          <t>마스터_품목</t>
        </is>
      </c>
    </row>
    <row r="27" ht="48" customHeight="1">
      <c r="A27" s="87" t="inlineStr">
        <is>
          <t>창고</t>
        </is>
      </c>
      <c r="B27" s="87" t="inlineStr">
        <is>
          <t>CABLE</t>
        </is>
      </c>
      <c r="C27" s="88" t="inlineStr">
        <is>
          <t>ADX4000W</t>
        </is>
      </c>
      <c r="D27" s="88" t="inlineStr">
        <is>
          <t>LCD Wire (LVDS) (30핀)
[ADX4000W]</t>
        </is>
      </c>
      <c r="E27" s="88" t="inlineStr">
        <is>
          <t>LCD Wire (LVDS) -30핀</t>
        </is>
      </c>
      <c r="F27" s="90" t="inlineStr">
        <is>
          <t>O</t>
        </is>
      </c>
      <c r="G27" s="91" t="n"/>
      <c r="H27" s="92" t="n"/>
      <c r="I27" s="93" t="inlineStr">
        <is>
          <t>AR</t>
        </is>
      </c>
      <c r="J27" s="94" t="n"/>
      <c r="K27" s="95" t="inlineStr">
        <is>
          <t>O</t>
        </is>
      </c>
      <c r="L27" s="96" t="inlineStr">
        <is>
          <t>O</t>
        </is>
      </c>
      <c r="M27" s="97" t="n"/>
      <c r="N27" s="98" t="n"/>
      <c r="O27" s="99" t="n"/>
      <c r="P27" s="100" t="inlineStr">
        <is>
          <t>46-AR</t>
        </is>
      </c>
      <c r="Q27" s="102" t="inlineStr">
        <is>
          <t>HLP</t>
        </is>
      </c>
      <c r="R27" s="110">
        <f>HYPERLINK("#'마스터_품목'!A290","→ 마스터 R290")</f>
        <v/>
      </c>
      <c r="S27" s="111" t="n">
        <v>290</v>
      </c>
      <c r="T27" s="111" t="inlineStr">
        <is>
          <t>마스터_품목</t>
        </is>
      </c>
    </row>
    <row r="28" ht="48" customHeight="1">
      <c r="A28" s="87" t="inlineStr">
        <is>
          <t>창고</t>
        </is>
      </c>
      <c r="B28" s="87" t="inlineStr">
        <is>
          <t>ABS 난연</t>
        </is>
      </c>
      <c r="C28" s="88" t="inlineStr">
        <is>
          <t>ADX4000W</t>
        </is>
      </c>
      <c r="D28" s="88" t="inlineStr">
        <is>
          <t>LCD TOP (ABS 난연 화이트)
[ADX4000W]</t>
        </is>
      </c>
      <c r="E28" s="88" t="inlineStr">
        <is>
          <t>LCD TOP COVER</t>
        </is>
      </c>
      <c r="F28" s="90" t="inlineStr">
        <is>
          <t>O</t>
        </is>
      </c>
      <c r="G28" s="91" t="n"/>
      <c r="H28" s="92" t="n"/>
      <c r="I28" s="93" t="inlineStr">
        <is>
          <t>AR</t>
        </is>
      </c>
      <c r="J28" s="94" t="n"/>
      <c r="K28" s="95" t="inlineStr">
        <is>
          <t>O</t>
        </is>
      </c>
      <c r="L28" s="96" t="n"/>
      <c r="M28" s="97" t="n"/>
      <c r="N28" s="98" t="n"/>
      <c r="O28" s="99" t="n"/>
      <c r="P28" s="100" t="inlineStr">
        <is>
          <t>4-AR</t>
        </is>
      </c>
      <c r="Q28" s="102" t="inlineStr">
        <is>
          <t>천우</t>
        </is>
      </c>
      <c r="R28" s="110">
        <f>HYPERLINK("#'마스터_품목'!A243","→ 마스터 R243")</f>
        <v/>
      </c>
      <c r="S28" s="111" t="n">
        <v>243</v>
      </c>
      <c r="T28" s="111" t="inlineStr">
        <is>
          <t>마스터_품목</t>
        </is>
      </c>
    </row>
    <row r="29" ht="48" customHeight="1">
      <c r="A29" s="87" t="inlineStr">
        <is>
          <t>창고</t>
        </is>
      </c>
      <c r="B29" s="87" t="inlineStr">
        <is>
          <t>램프</t>
        </is>
      </c>
      <c r="C29" s="88" t="inlineStr">
        <is>
          <t>DX3000, ADX4000W COCOON</t>
        </is>
      </c>
      <c r="D29" s="88" t="inlineStr">
        <is>
          <t>네온램프 (NEON-5T.5*13 red)
[DX3000, ADX4000W COCOON]</t>
        </is>
      </c>
      <c r="E29" s="88" t="inlineStr">
        <is>
          <t>네온램프(NEON-5T)</t>
        </is>
      </c>
      <c r="F29" s="90" t="inlineStr">
        <is>
          <t>O</t>
        </is>
      </c>
      <c r="G29" s="91" t="n"/>
      <c r="H29" s="92" t="n"/>
      <c r="I29" s="93" t="inlineStr">
        <is>
          <t>HR</t>
        </is>
      </c>
      <c r="J29" s="94" t="inlineStr">
        <is>
          <t>O</t>
        </is>
      </c>
      <c r="K29" s="95" t="inlineStr">
        <is>
          <t>O</t>
        </is>
      </c>
      <c r="L29" s="96" t="n"/>
      <c r="M29" s="97" t="inlineStr">
        <is>
          <t>O</t>
        </is>
      </c>
      <c r="N29" s="98" t="n"/>
      <c r="O29" s="99" t="n"/>
      <c r="P29" s="100" t="inlineStr">
        <is>
          <t>347-HR</t>
        </is>
      </c>
      <c r="Q29" s="102" t="inlineStr">
        <is>
          <t>HLP</t>
        </is>
      </c>
      <c r="R29" s="110">
        <f>HYPERLINK("#'마스터_품목'!A28","→ 마스터 R28")</f>
        <v/>
      </c>
      <c r="S29" s="111" t="n">
        <v>28</v>
      </c>
      <c r="T29" s="111" t="inlineStr">
        <is>
          <t>마스터_품목</t>
        </is>
      </c>
    </row>
    <row r="30" ht="48" customHeight="1">
      <c r="A30" s="87" t="inlineStr">
        <is>
          <t>창고</t>
        </is>
      </c>
      <c r="B30" s="87" t="inlineStr">
        <is>
          <t>다이오드</t>
        </is>
      </c>
      <c r="C30" s="88" t="inlineStr">
        <is>
          <t>DX3000, ADX4000W</t>
        </is>
      </c>
      <c r="D30" s="88" t="inlineStr">
        <is>
          <t>고압 다이오드 (2CL77 (20KV, 5mA))
[DX3000, ADX4000W]</t>
        </is>
      </c>
      <c r="E30" s="88" t="inlineStr">
        <is>
          <t>고압다이오드 2CL77 [20KV, 5mA]</t>
        </is>
      </c>
      <c r="F30" s="90" t="inlineStr">
        <is>
          <t>O</t>
        </is>
      </c>
      <c r="G30" s="91" t="n"/>
      <c r="H30" s="92" t="n"/>
      <c r="I30" s="93" t="inlineStr">
        <is>
          <t>HR</t>
        </is>
      </c>
      <c r="J30" s="94" t="inlineStr">
        <is>
          <t>O</t>
        </is>
      </c>
      <c r="K30" s="95" t="inlineStr">
        <is>
          <t>O</t>
        </is>
      </c>
      <c r="L30" s="96" t="n"/>
      <c r="M30" s="97" t="n"/>
      <c r="N30" s="98" t="n"/>
      <c r="O30" s="99" t="n"/>
      <c r="P30" s="100" t="inlineStr">
        <is>
          <t>34-HR</t>
        </is>
      </c>
      <c r="Q30" s="102" t="inlineStr">
        <is>
          <t>비지티</t>
        </is>
      </c>
      <c r="R30" s="110">
        <f>HYPERLINK("#'마스터_품목'!A27","→ 마스터 R27")</f>
        <v/>
      </c>
      <c r="S30" s="111" t="n">
        <v>27</v>
      </c>
      <c r="T30" s="111" t="inlineStr">
        <is>
          <t>마스터_품목</t>
        </is>
      </c>
    </row>
    <row r="31" ht="48" customHeight="1">
      <c r="A31" s="87" t="inlineStr">
        <is>
          <t>창고</t>
        </is>
      </c>
      <c r="B31" s="87" t="inlineStr">
        <is>
          <t>다이오드</t>
        </is>
      </c>
      <c r="C31" s="88" t="inlineStr">
        <is>
          <t>DX3000, ADX4000W ADX6000</t>
        </is>
      </c>
      <c r="D31" s="88" t="inlineStr">
        <is>
          <t>고압 다이오드 (DL1500)
[DX3000, ADX4000W ADX6000]</t>
        </is>
      </c>
      <c r="E31" s="88" t="inlineStr">
        <is>
          <t>DL1500(다이오드)</t>
        </is>
      </c>
      <c r="F31" s="90" t="inlineStr">
        <is>
          <t>O</t>
        </is>
      </c>
      <c r="G31" s="91" t="n"/>
      <c r="H31" s="92" t="n"/>
      <c r="I31" s="93" t="inlineStr">
        <is>
          <t>HR</t>
        </is>
      </c>
      <c r="J31" s="94" t="inlineStr">
        <is>
          <t>O</t>
        </is>
      </c>
      <c r="K31" s="95" t="inlineStr">
        <is>
          <t>O</t>
        </is>
      </c>
      <c r="L31" s="96" t="inlineStr">
        <is>
          <t>O</t>
        </is>
      </c>
      <c r="M31" s="97" t="n"/>
      <c r="N31" s="98" t="n"/>
      <c r="O31" s="99" t="n"/>
      <c r="P31" s="100" t="inlineStr">
        <is>
          <t>346-HR</t>
        </is>
      </c>
      <c r="Q31" s="102" t="inlineStr">
        <is>
          <t>비지티</t>
        </is>
      </c>
      <c r="R31" s="110">
        <f>HYPERLINK("#'마스터_품목'!A36","→ 마스터 R36")</f>
        <v/>
      </c>
      <c r="S31" s="111" t="n">
        <v>36</v>
      </c>
      <c r="T31" s="111" t="inlineStr">
        <is>
          <t>마스터_품목</t>
        </is>
      </c>
    </row>
    <row r="32" ht="48" customHeight="1">
      <c r="A32" s="87" t="inlineStr">
        <is>
          <t>창고</t>
        </is>
      </c>
      <c r="B32" s="87" t="inlineStr">
        <is>
          <t>ABS 난연</t>
        </is>
      </c>
      <c r="C32" s="88" t="inlineStr">
        <is>
          <t>ADX4000W</t>
        </is>
      </c>
      <c r="D32" s="88" t="inlineStr">
        <is>
          <t>LCD BOTTOM (ABS 난연 화이트)
[ADX4000W]</t>
        </is>
      </c>
      <c r="E32" s="88" t="inlineStr">
        <is>
          <t>LCD BOTTOM COVER</t>
        </is>
      </c>
      <c r="F32" s="90" t="inlineStr">
        <is>
          <t>O</t>
        </is>
      </c>
      <c r="G32" s="91" t="n"/>
      <c r="H32" s="92" t="n"/>
      <c r="I32" s="93" t="inlineStr">
        <is>
          <t>AR</t>
        </is>
      </c>
      <c r="J32" s="94" t="n"/>
      <c r="K32" s="95" t="inlineStr">
        <is>
          <t>O</t>
        </is>
      </c>
      <c r="L32" s="96" t="n"/>
      <c r="M32" s="97" t="n"/>
      <c r="N32" s="98" t="n"/>
      <c r="O32" s="99" t="n"/>
      <c r="P32" s="100" t="inlineStr">
        <is>
          <t>4-AR</t>
        </is>
      </c>
      <c r="Q32" s="102" t="inlineStr">
        <is>
          <t>천우</t>
        </is>
      </c>
      <c r="R32" s="110">
        <f>HYPERLINK("#'마스터_품목'!A244","→ 마스터 R244")</f>
        <v/>
      </c>
      <c r="S32" s="111" t="n">
        <v>244</v>
      </c>
      <c r="T32" s="111" t="inlineStr">
        <is>
          <t>마스터_품목</t>
        </is>
      </c>
    </row>
    <row r="33" ht="48" customHeight="1">
      <c r="A33" s="87" t="inlineStr">
        <is>
          <t>창고</t>
        </is>
      </c>
      <c r="B33" s="87" t="inlineStr">
        <is>
          <t>저항</t>
        </is>
      </c>
      <c r="C33" s="88" t="inlineStr">
        <is>
          <t>DX3000, ADX4000W</t>
        </is>
      </c>
      <c r="D33" s="88" t="inlineStr">
        <is>
          <t>15㏀ 고압용 저항 (15㏀±1％, DIP-1/4W)
[DX3000, ADX4000W]</t>
        </is>
      </c>
      <c r="E33" s="88" t="inlineStr">
        <is>
          <t>고압용 (15㏀±1％, DIP) - 1/4W</t>
        </is>
      </c>
      <c r="F33" s="90" t="inlineStr">
        <is>
          <t>O</t>
        </is>
      </c>
      <c r="G33" s="91" t="n"/>
      <c r="H33" s="92" t="n"/>
      <c r="I33" s="93" t="inlineStr">
        <is>
          <t>HR</t>
        </is>
      </c>
      <c r="J33" s="94" t="inlineStr">
        <is>
          <t>O</t>
        </is>
      </c>
      <c r="K33" s="95" t="inlineStr">
        <is>
          <t>O</t>
        </is>
      </c>
      <c r="L33" s="96" t="inlineStr">
        <is>
          <t>O</t>
        </is>
      </c>
      <c r="M33" s="97" t="n"/>
      <c r="N33" s="98" t="n"/>
      <c r="O33" s="99" t="n"/>
      <c r="P33" s="100" t="inlineStr">
        <is>
          <t>346-HR</t>
        </is>
      </c>
      <c r="Q33" s="102" t="inlineStr">
        <is>
          <t>HLP</t>
        </is>
      </c>
      <c r="R33" s="110">
        <f>HYPERLINK("#'마스터_품목'!A31","→ 마스터 R31")</f>
        <v/>
      </c>
      <c r="S33" s="111" t="n">
        <v>31</v>
      </c>
      <c r="T33" s="111" t="inlineStr">
        <is>
          <t>마스터_품목</t>
        </is>
      </c>
    </row>
    <row r="34" ht="48" customHeight="1">
      <c r="A34" s="87" t="inlineStr">
        <is>
          <t>창고</t>
        </is>
      </c>
      <c r="B34" s="87" t="inlineStr">
        <is>
          <t>저항</t>
        </is>
      </c>
      <c r="C34" s="88" t="inlineStr">
        <is>
          <t>DX3000, ADX4000W ADX6000</t>
        </is>
      </c>
      <c r="D34" s="88" t="inlineStr">
        <is>
          <t>30㏀ 고압용 저항 (30㏀±1％, DIP-1/4W)
[DX3000, ADX4000W ADX6000]</t>
        </is>
      </c>
      <c r="E34" s="88" t="inlineStr">
        <is>
          <t>고압용 (30㏀)</t>
        </is>
      </c>
      <c r="F34" s="90" t="inlineStr">
        <is>
          <t>O</t>
        </is>
      </c>
      <c r="G34" s="91" t="n"/>
      <c r="H34" s="92" t="n"/>
      <c r="I34" s="93" t="inlineStr">
        <is>
          <t>HR</t>
        </is>
      </c>
      <c r="J34" s="94" t="inlineStr">
        <is>
          <t>O</t>
        </is>
      </c>
      <c r="K34" s="95" t="inlineStr">
        <is>
          <t>O</t>
        </is>
      </c>
      <c r="L34" s="96" t="n"/>
      <c r="M34" s="97" t="n"/>
      <c r="N34" s="98" t="n"/>
      <c r="O34" s="99" t="n"/>
      <c r="P34" s="100" t="inlineStr">
        <is>
          <t>34-HR</t>
        </is>
      </c>
      <c r="Q34" s="102" t="inlineStr">
        <is>
          <t>HLP</t>
        </is>
      </c>
      <c r="R34" s="110">
        <f>HYPERLINK("#'마스터_품목'!A30","→ 마스터 R30")</f>
        <v/>
      </c>
      <c r="S34" s="111" t="n">
        <v>30</v>
      </c>
      <c r="T34" s="111" t="inlineStr">
        <is>
          <t>마스터_품목</t>
        </is>
      </c>
    </row>
    <row r="35" ht="48" customHeight="1">
      <c r="A35" s="87" t="inlineStr">
        <is>
          <t>창고</t>
        </is>
      </c>
      <c r="B35" s="87" t="inlineStr">
        <is>
          <t>ABS 난연</t>
        </is>
      </c>
      <c r="C35" s="88" t="inlineStr">
        <is>
          <t>ADX4000W</t>
        </is>
      </c>
      <c r="D35" s="88" t="inlineStr">
        <is>
          <t>LCD GUIDE (ABS 난연 화이트)
[ADX4000W]</t>
        </is>
      </c>
      <c r="E35" s="88" t="inlineStr">
        <is>
          <t>LCD GUIDE</t>
        </is>
      </c>
      <c r="F35" s="90" t="inlineStr">
        <is>
          <t>O</t>
        </is>
      </c>
      <c r="G35" s="91" t="n"/>
      <c r="H35" s="92" t="n"/>
      <c r="I35" s="93" t="inlineStr">
        <is>
          <t>AR</t>
        </is>
      </c>
      <c r="J35" s="94" t="n"/>
      <c r="K35" s="95" t="inlineStr">
        <is>
          <t>O</t>
        </is>
      </c>
      <c r="L35" s="96" t="n"/>
      <c r="M35" s="97" t="n"/>
      <c r="N35" s="98" t="n"/>
      <c r="O35" s="99" t="n"/>
      <c r="P35" s="100" t="inlineStr">
        <is>
          <t>4-AR</t>
        </is>
      </c>
      <c r="Q35" s="102" t="inlineStr">
        <is>
          <t>천우</t>
        </is>
      </c>
      <c r="R35" s="110">
        <f>HYPERLINK("#'마스터_품목'!A254","→ 마스터 R254")</f>
        <v/>
      </c>
      <c r="S35" s="111" t="n">
        <v>254</v>
      </c>
      <c r="T35" s="111" t="inlineStr">
        <is>
          <t>마스터_품목</t>
        </is>
      </c>
    </row>
    <row r="36" ht="48" customHeight="1">
      <c r="A36" s="87" t="inlineStr">
        <is>
          <t>창고</t>
        </is>
      </c>
      <c r="B36" s="87" t="inlineStr">
        <is>
          <t>저항</t>
        </is>
      </c>
      <c r="C36" s="88" t="inlineStr">
        <is>
          <t>DX3000, ADX4000W</t>
        </is>
      </c>
      <c r="D36" s="88" t="inlineStr">
        <is>
          <t>1.7W,10kV 시멘트저항 짧은 것 (RK92-11XD 307J (1.7W,10kV,±5%,300ppm,Flat))
[DX3000, ADX4000W]</t>
        </is>
      </c>
      <c r="E36" s="88" t="inlineStr">
        <is>
          <t>RK92-11XD307J (시멘트 저항)</t>
        </is>
      </c>
      <c r="F36" s="90" t="inlineStr">
        <is>
          <t>O</t>
        </is>
      </c>
      <c r="G36" s="91" t="n"/>
      <c r="H36" s="92" t="n"/>
      <c r="I36" s="93" t="inlineStr">
        <is>
          <t>HR</t>
        </is>
      </c>
      <c r="J36" s="94" t="inlineStr">
        <is>
          <t>O</t>
        </is>
      </c>
      <c r="K36" s="95" t="inlineStr">
        <is>
          <t>O</t>
        </is>
      </c>
      <c r="L36" s="96" t="inlineStr">
        <is>
          <t>O</t>
        </is>
      </c>
      <c r="M36" s="97" t="n"/>
      <c r="N36" s="98" t="n"/>
      <c r="O36" s="99" t="n"/>
      <c r="P36" s="100" t="inlineStr">
        <is>
          <t>346-HR</t>
        </is>
      </c>
      <c r="Q36" s="102" t="inlineStr">
        <is>
          <t>비지티</t>
        </is>
      </c>
      <c r="R36" s="110">
        <f>HYPERLINK("#'마스터_품목'!A29","→ 마스터 R29")</f>
        <v/>
      </c>
      <c r="S36" s="111" t="n">
        <v>29</v>
      </c>
      <c r="T36" s="111" t="inlineStr">
        <is>
          <t>마스터_품목</t>
        </is>
      </c>
    </row>
    <row r="37" ht="48" customHeight="1">
      <c r="A37" s="87" t="inlineStr">
        <is>
          <t>창고</t>
        </is>
      </c>
      <c r="B37" s="87" t="inlineStr">
        <is>
          <t>ABS 난연</t>
        </is>
      </c>
      <c r="C37" s="88" t="inlineStr">
        <is>
          <t>ADX4000W</t>
        </is>
      </c>
      <c r="D37" s="88" t="inlineStr">
        <is>
          <t>TOP (ABS 난연 화이트)
[ADX4000W]</t>
        </is>
      </c>
      <c r="E37" s="88" t="inlineStr">
        <is>
          <t>TOP BODY</t>
        </is>
      </c>
      <c r="F37" s="90" t="inlineStr">
        <is>
          <t>O</t>
        </is>
      </c>
      <c r="G37" s="91" t="n"/>
      <c r="H37" s="92" t="n"/>
      <c r="I37" s="93" t="inlineStr">
        <is>
          <t>AR</t>
        </is>
      </c>
      <c r="J37" s="94" t="n"/>
      <c r="K37" s="95" t="inlineStr">
        <is>
          <t>O</t>
        </is>
      </c>
      <c r="L37" s="96" t="n"/>
      <c r="M37" s="97" t="n"/>
      <c r="N37" s="98" t="n"/>
      <c r="O37" s="99" t="n"/>
      <c r="P37" s="100" t="inlineStr">
        <is>
          <t>4-AR</t>
        </is>
      </c>
      <c r="Q37" s="102" t="inlineStr">
        <is>
          <t>천우</t>
        </is>
      </c>
      <c r="R37" s="110">
        <f>HYPERLINK("#'마스터_품목'!A245","→ 마스터 R245")</f>
        <v/>
      </c>
      <c r="S37" s="111" t="n">
        <v>245</v>
      </c>
      <c r="T37" s="111" t="inlineStr">
        <is>
          <t>마스터_품목</t>
        </is>
      </c>
    </row>
    <row r="38" ht="48" customHeight="1">
      <c r="A38" s="87" t="inlineStr">
        <is>
          <t>창고</t>
        </is>
      </c>
      <c r="B38" s="87" t="inlineStr">
        <is>
          <t>저항</t>
        </is>
      </c>
      <c r="C38" s="88" t="inlineStr">
        <is>
          <t>DX3000, ADX4000W ADX6000</t>
        </is>
      </c>
      <c r="D38" s="88" t="inlineStr">
        <is>
          <t>47k Surge 저항 (HPC-2C 47k/Surge)
[DX3000, ADX4000W ADX6000]</t>
        </is>
      </c>
      <c r="E38" s="88" t="inlineStr">
        <is>
          <t>HPC-2C 47k/Surge</t>
        </is>
      </c>
      <c r="F38" s="90" t="inlineStr">
        <is>
          <t>O</t>
        </is>
      </c>
      <c r="G38" s="91" t="n"/>
      <c r="H38" s="92" t="n"/>
      <c r="I38" s="93" t="inlineStr">
        <is>
          <t>HR</t>
        </is>
      </c>
      <c r="J38" s="94" t="inlineStr">
        <is>
          <t>O</t>
        </is>
      </c>
      <c r="K38" s="95" t="inlineStr">
        <is>
          <t>O</t>
        </is>
      </c>
      <c r="L38" s="96" t="inlineStr">
        <is>
          <t>O</t>
        </is>
      </c>
      <c r="M38" s="97" t="inlineStr">
        <is>
          <t>O</t>
        </is>
      </c>
      <c r="N38" s="98" t="n"/>
      <c r="O38" s="99" t="n"/>
      <c r="P38" s="100" t="inlineStr">
        <is>
          <t>3467-HR</t>
        </is>
      </c>
      <c r="Q38" s="102" t="inlineStr">
        <is>
          <t>비지티</t>
        </is>
      </c>
      <c r="R38" s="110">
        <f>HYPERLINK("#'마스터_품목'!A37","→ 마스터 R37")</f>
        <v/>
      </c>
      <c r="S38" s="111" t="n">
        <v>37</v>
      </c>
      <c r="T38" s="111" t="inlineStr">
        <is>
          <t>마스터_품목</t>
        </is>
      </c>
    </row>
    <row r="39" ht="48" customHeight="1">
      <c r="A39" s="87" t="inlineStr">
        <is>
          <t>창고</t>
        </is>
      </c>
      <c r="B39" s="87" t="inlineStr">
        <is>
          <t>세라믹</t>
        </is>
      </c>
      <c r="C39" s="88" t="inlineStr">
        <is>
          <t>DX3000, ADX4000W ADX6000</t>
        </is>
      </c>
      <c r="D39" s="88" t="inlineStr">
        <is>
          <t>100nF 칩세라믹 콘덴서 (3216B 100nF)
[DX3000, ADX4000W ADX6000]</t>
        </is>
      </c>
      <c r="E39" s="88" t="inlineStr">
        <is>
          <t>3216 B 100nF</t>
        </is>
      </c>
      <c r="F39" s="90" t="inlineStr">
        <is>
          <t>O</t>
        </is>
      </c>
      <c r="G39" s="91" t="n"/>
      <c r="H39" s="92" t="n"/>
      <c r="I39" s="93" t="inlineStr">
        <is>
          <t>HR</t>
        </is>
      </c>
      <c r="J39" s="94" t="inlineStr">
        <is>
          <t>O</t>
        </is>
      </c>
      <c r="K39" s="95" t="inlineStr">
        <is>
          <t>O</t>
        </is>
      </c>
      <c r="L39" s="96" t="inlineStr">
        <is>
          <t>O</t>
        </is>
      </c>
      <c r="M39" s="97" t="n"/>
      <c r="N39" s="98" t="n"/>
      <c r="O39" s="99" t="n"/>
      <c r="P39" s="100" t="inlineStr">
        <is>
          <t>346-HR</t>
        </is>
      </c>
      <c r="Q39" s="102" t="inlineStr">
        <is>
          <t>HLP</t>
        </is>
      </c>
      <c r="R39" s="110">
        <f>HYPERLINK("#'마스터_품목'!A35","→ 마스터 R35")</f>
        <v/>
      </c>
      <c r="S39" s="111" t="n">
        <v>35</v>
      </c>
      <c r="T39" s="111" t="inlineStr">
        <is>
          <t>마스터_품목</t>
        </is>
      </c>
    </row>
    <row r="40" ht="48" customHeight="1">
      <c r="A40" s="87" t="inlineStr">
        <is>
          <t>창고</t>
        </is>
      </c>
      <c r="B40" s="87" t="inlineStr">
        <is>
          <t>세라믹</t>
        </is>
      </c>
      <c r="C40" s="88" t="inlineStr">
        <is>
          <t>DX3000, ADX4000W ADX6000</t>
        </is>
      </c>
      <c r="D40" s="88" t="inlineStr">
        <is>
          <t>103Z 고압용 세라믹 콘덴서 (50V F103Z)
[DX3000, ADX4000W ADX6000]</t>
        </is>
      </c>
      <c r="E40" s="88" t="inlineStr">
        <is>
          <t>고압용(세라믹103)</t>
        </is>
      </c>
      <c r="F40" s="90" t="inlineStr">
        <is>
          <t>O</t>
        </is>
      </c>
      <c r="G40" s="91" t="n"/>
      <c r="H40" s="92" t="n"/>
      <c r="I40" s="93" t="inlineStr">
        <is>
          <t>HR</t>
        </is>
      </c>
      <c r="J40" s="94" t="inlineStr">
        <is>
          <t>O</t>
        </is>
      </c>
      <c r="K40" s="95" t="inlineStr">
        <is>
          <t>O</t>
        </is>
      </c>
      <c r="L40" s="96" t="inlineStr">
        <is>
          <t>O</t>
        </is>
      </c>
      <c r="M40" s="97" t="n"/>
      <c r="N40" s="98" t="n"/>
      <c r="O40" s="99" t="n"/>
      <c r="P40" s="100" t="inlineStr">
        <is>
          <t>346-HR</t>
        </is>
      </c>
      <c r="Q40" s="102" t="inlineStr">
        <is>
          <t>HLP</t>
        </is>
      </c>
      <c r="R40" s="110">
        <f>HYPERLINK("#'마스터_품목'!A33","→ 마스터 R33")</f>
        <v/>
      </c>
      <c r="S40" s="111" t="n">
        <v>33</v>
      </c>
      <c r="T40" s="111" t="inlineStr">
        <is>
          <t>마스터_품목</t>
        </is>
      </c>
    </row>
    <row r="41" ht="48" customHeight="1">
      <c r="A41" s="87" t="inlineStr">
        <is>
          <t>창고</t>
        </is>
      </c>
      <c r="B41" s="87" t="inlineStr">
        <is>
          <t>세라믹</t>
        </is>
      </c>
      <c r="C41" s="88" t="inlineStr">
        <is>
          <t>DX3000, ADX4000W</t>
        </is>
      </c>
      <c r="D41" s="88" t="inlineStr">
        <is>
          <t>세라믹 큰 콘덴서 (DHR4E4C102K2FB)
[DX3000, ADX4000W]</t>
        </is>
      </c>
      <c r="E41" s="88" t="inlineStr">
        <is>
          <t>DHR4E4C102K2FB 큰 콘덴서</t>
        </is>
      </c>
      <c r="F41" s="90" t="inlineStr">
        <is>
          <t>O</t>
        </is>
      </c>
      <c r="G41" s="91" t="n"/>
      <c r="H41" s="92" t="n"/>
      <c r="I41" s="93" t="inlineStr">
        <is>
          <t>HR</t>
        </is>
      </c>
      <c r="J41" s="94" t="inlineStr">
        <is>
          <t>O</t>
        </is>
      </c>
      <c r="K41" s="95" t="inlineStr">
        <is>
          <t>O</t>
        </is>
      </c>
      <c r="L41" s="96" t="n"/>
      <c r="M41" s="97" t="n"/>
      <c r="N41" s="98" t="n"/>
      <c r="O41" s="99" t="n"/>
      <c r="P41" s="100" t="inlineStr">
        <is>
          <t>34-HR</t>
        </is>
      </c>
      <c r="Q41" s="102" t="inlineStr">
        <is>
          <t>비지티, HLP</t>
        </is>
      </c>
      <c r="R41" s="110">
        <f>HYPERLINK("#'마스터_품목'!A34","→ 마스터 R34")</f>
        <v/>
      </c>
      <c r="S41" s="111" t="n">
        <v>34</v>
      </c>
      <c r="T41" s="111" t="inlineStr">
        <is>
          <t>마스터_품목</t>
        </is>
      </c>
    </row>
    <row r="42" ht="48" customHeight="1">
      <c r="A42" s="87" t="inlineStr">
        <is>
          <t>창고</t>
        </is>
      </c>
      <c r="B42" s="87" t="inlineStr">
        <is>
          <t>ABS 난연</t>
        </is>
      </c>
      <c r="C42" s="88" t="inlineStr">
        <is>
          <t>ADX4000W</t>
        </is>
      </c>
      <c r="D42" s="88" t="inlineStr">
        <is>
          <t>BOTTOM (ABS 난연 화이트)
[ADX4000W]</t>
        </is>
      </c>
      <c r="E42" s="88" t="inlineStr">
        <is>
          <t>BOTTOM BODY</t>
        </is>
      </c>
      <c r="F42" s="90" t="inlineStr">
        <is>
          <t>O</t>
        </is>
      </c>
      <c r="G42" s="91" t="n"/>
      <c r="H42" s="92" t="n"/>
      <c r="I42" s="93" t="inlineStr">
        <is>
          <t>AR</t>
        </is>
      </c>
      <c r="J42" s="94" t="n"/>
      <c r="K42" s="95" t="inlineStr">
        <is>
          <t>O</t>
        </is>
      </c>
      <c r="L42" s="96" t="n"/>
      <c r="M42" s="97" t="n"/>
      <c r="N42" s="98" t="n"/>
      <c r="O42" s="99" t="n"/>
      <c r="P42" s="100" t="inlineStr">
        <is>
          <t>4-AR</t>
        </is>
      </c>
      <c r="Q42" s="102" t="inlineStr">
        <is>
          <t>천우</t>
        </is>
      </c>
      <c r="R42" s="110">
        <f>HYPERLINK("#'마스터_품목'!A246","→ 마스터 R246")</f>
        <v/>
      </c>
      <c r="S42" s="111" t="n">
        <v>246</v>
      </c>
      <c r="T42" s="111" t="inlineStr">
        <is>
          <t>마스터_품목</t>
        </is>
      </c>
    </row>
    <row r="43" ht="48" customHeight="1">
      <c r="A43" s="87" t="inlineStr">
        <is>
          <t>창고</t>
        </is>
      </c>
      <c r="B43" s="87" t="inlineStr">
        <is>
          <t>ABS 난연</t>
        </is>
      </c>
      <c r="C43" s="88" t="inlineStr">
        <is>
          <t>ADX4000W</t>
        </is>
      </c>
      <c r="D43" s="88" t="inlineStr">
        <is>
          <t>BATTERY COVER (ABS 난연 화이트 + 진한 회색)
[ADX4000W]</t>
        </is>
      </c>
      <c r="E43" s="88" t="inlineStr">
        <is>
          <t>BATTERY COVER</t>
        </is>
      </c>
      <c r="F43" s="90" t="inlineStr">
        <is>
          <t>O</t>
        </is>
      </c>
      <c r="G43" s="91" t="n"/>
      <c r="H43" s="92" t="n"/>
      <c r="I43" s="93" t="inlineStr">
        <is>
          <t>AR</t>
        </is>
      </c>
      <c r="J43" s="94" t="n"/>
      <c r="K43" s="95" t="inlineStr">
        <is>
          <t>O</t>
        </is>
      </c>
      <c r="L43" s="96" t="n"/>
      <c r="M43" s="97" t="n"/>
      <c r="N43" s="98" t="n"/>
      <c r="O43" s="99" t="n"/>
      <c r="P43" s="100" t="inlineStr">
        <is>
          <t>4-AR</t>
        </is>
      </c>
      <c r="Q43" s="102" t="inlineStr">
        <is>
          <t>천우</t>
        </is>
      </c>
      <c r="R43" s="110">
        <f>HYPERLINK("#'마스터_품목'!A261","→ 마스터 R261")</f>
        <v/>
      </c>
      <c r="S43" s="111" t="n">
        <v>261</v>
      </c>
      <c r="T43" s="111" t="inlineStr">
        <is>
          <t>마스터_품목</t>
        </is>
      </c>
    </row>
    <row r="44" ht="48" customHeight="1">
      <c r="A44" s="87" t="inlineStr">
        <is>
          <t>창고</t>
        </is>
      </c>
      <c r="B44" s="87" t="inlineStr">
        <is>
          <t>ABS 난연</t>
        </is>
      </c>
      <c r="C44" s="88" t="inlineStr">
        <is>
          <t>ADX4000W</t>
        </is>
      </c>
      <c r="D44" s="88" t="inlineStr">
        <is>
          <t>USB COVER (ABS 난연 화이트 + 진한 회색)
[ADX4000W]</t>
        </is>
      </c>
      <c r="E44" s="88" t="inlineStr">
        <is>
          <t>USB COVER</t>
        </is>
      </c>
      <c r="F44" s="90" t="inlineStr">
        <is>
          <t>O</t>
        </is>
      </c>
      <c r="G44" s="91" t="n"/>
      <c r="H44" s="92" t="n"/>
      <c r="I44" s="93" t="inlineStr">
        <is>
          <t>AR</t>
        </is>
      </c>
      <c r="J44" s="94" t="n"/>
      <c r="K44" s="95" t="inlineStr">
        <is>
          <t>O</t>
        </is>
      </c>
      <c r="L44" s="96" t="n"/>
      <c r="M44" s="97" t="n"/>
      <c r="N44" s="98" t="n"/>
      <c r="O44" s="99" t="n"/>
      <c r="P44" s="100" t="inlineStr">
        <is>
          <t>4-AR</t>
        </is>
      </c>
      <c r="Q44" s="102" t="inlineStr">
        <is>
          <t>천우</t>
        </is>
      </c>
      <c r="R44" s="110">
        <f>HYPERLINK("#'마스터_품목'!A262","→ 마스터 R262")</f>
        <v/>
      </c>
      <c r="S44" s="111" t="n">
        <v>262</v>
      </c>
      <c r="T44" s="111" t="inlineStr">
        <is>
          <t>마스터_품목</t>
        </is>
      </c>
    </row>
    <row r="45" ht="48" customHeight="1">
      <c r="A45" s="87" t="inlineStr">
        <is>
          <t>창고</t>
        </is>
      </c>
      <c r="B45" s="87" t="inlineStr">
        <is>
          <t>트랜스</t>
        </is>
      </c>
      <c r="C45" s="88" t="inlineStr">
        <is>
          <t>DX3000, ADX4000W</t>
        </is>
      </c>
      <c r="D45" s="88" t="inlineStr">
        <is>
          <t>트랜스포머 (60kV)
[DX3000, ADX4000W]</t>
        </is>
      </c>
      <c r="E45" s="88" t="inlineStr">
        <is>
          <t>트랜스포머</t>
        </is>
      </c>
      <c r="F45" s="90" t="inlineStr">
        <is>
          <t>O</t>
        </is>
      </c>
      <c r="G45" s="91" t="n"/>
      <c r="H45" s="92" t="n"/>
      <c r="I45" s="93" t="inlineStr">
        <is>
          <t>HR</t>
        </is>
      </c>
      <c r="J45" s="94" t="inlineStr">
        <is>
          <t>O</t>
        </is>
      </c>
      <c r="K45" s="95" t="inlineStr">
        <is>
          <t>O</t>
        </is>
      </c>
      <c r="L45" s="96" t="n"/>
      <c r="M45" s="97" t="n"/>
      <c r="N45" s="98" t="n"/>
      <c r="O45" s="99" t="n"/>
      <c r="P45" s="100" t="inlineStr">
        <is>
          <t>34-HR</t>
        </is>
      </c>
      <c r="Q45" s="102" t="inlineStr">
        <is>
          <t>미래메디칼</t>
        </is>
      </c>
      <c r="R45" s="110">
        <f>HYPERLINK("#'마스터_품목'!A52","→ 마스터 R52")</f>
        <v/>
      </c>
      <c r="S45" s="111" t="n">
        <v>52</v>
      </c>
      <c r="T45" s="111" t="inlineStr">
        <is>
          <t>마스터_품목</t>
        </is>
      </c>
    </row>
    <row r="46" ht="48" customHeight="1">
      <c r="A46" s="87" t="inlineStr">
        <is>
          <t>창고</t>
        </is>
      </c>
      <c r="B46" s="87" t="inlineStr">
        <is>
          <t>ABS 난연</t>
        </is>
      </c>
      <c r="C46" s="88" t="inlineStr">
        <is>
          <t>ADX4000W</t>
        </is>
      </c>
      <c r="D46" s="88" t="inlineStr">
        <is>
          <t>POWER LED GUIDE (확산 아크릴)
[ADX4000W]</t>
        </is>
      </c>
      <c r="E46" s="88" t="inlineStr">
        <is>
          <t>POWER LED GUIDE</t>
        </is>
      </c>
      <c r="F46" s="90" t="inlineStr">
        <is>
          <t>O</t>
        </is>
      </c>
      <c r="G46" s="91" t="n"/>
      <c r="H46" s="92" t="n"/>
      <c r="I46" s="93" t="inlineStr">
        <is>
          <t>AR</t>
        </is>
      </c>
      <c r="J46" s="94" t="n"/>
      <c r="K46" s="95" t="inlineStr">
        <is>
          <t>O</t>
        </is>
      </c>
      <c r="L46" s="96" t="n"/>
      <c r="M46" s="97" t="n"/>
      <c r="N46" s="98" t="n"/>
      <c r="O46" s="99" t="n"/>
      <c r="P46" s="100" t="inlineStr">
        <is>
          <t>4-AR</t>
        </is>
      </c>
      <c r="Q46" s="102" t="inlineStr">
        <is>
          <t>천우</t>
        </is>
      </c>
      <c r="R46" s="110">
        <f>HYPERLINK("#'마스터_품목'!A248","→ 마스터 R248")</f>
        <v/>
      </c>
      <c r="S46" s="111" t="n">
        <v>248</v>
      </c>
      <c r="T46" s="111" t="inlineStr">
        <is>
          <t>마스터_품목</t>
        </is>
      </c>
    </row>
    <row r="47" ht="48" customHeight="1">
      <c r="A47" s="87" t="inlineStr">
        <is>
          <t>창고</t>
        </is>
      </c>
      <c r="B47" s="87" t="inlineStr">
        <is>
          <t>ABS 난연</t>
        </is>
      </c>
      <c r="C47" s="88" t="inlineStr">
        <is>
          <t>ADX4000W</t>
        </is>
      </c>
      <c r="D47" s="88" t="inlineStr">
        <is>
          <t>EX LED GUIDE (확산 아크릴)
[ADX4000W]</t>
        </is>
      </c>
      <c r="E47" s="88" t="inlineStr">
        <is>
          <t>EX LED GUIDE</t>
        </is>
      </c>
      <c r="F47" s="90" t="inlineStr">
        <is>
          <t>O</t>
        </is>
      </c>
      <c r="G47" s="91" t="n"/>
      <c r="H47" s="92" t="n"/>
      <c r="I47" s="93" t="inlineStr">
        <is>
          <t>AR</t>
        </is>
      </c>
      <c r="J47" s="94" t="n"/>
      <c r="K47" s="95" t="inlineStr">
        <is>
          <t>O</t>
        </is>
      </c>
      <c r="L47" s="96" t="n"/>
      <c r="M47" s="97" t="n"/>
      <c r="N47" s="98" t="n"/>
      <c r="O47" s="99" t="n"/>
      <c r="P47" s="100" t="inlineStr">
        <is>
          <t>4-AR</t>
        </is>
      </c>
      <c r="Q47" s="102" t="inlineStr">
        <is>
          <t>천우</t>
        </is>
      </c>
      <c r="R47" s="110">
        <f>HYPERLINK("#'마스터_품목'!A252","→ 마스터 R252")</f>
        <v/>
      </c>
      <c r="S47" s="111" t="n">
        <v>252</v>
      </c>
      <c r="T47" s="111" t="inlineStr">
        <is>
          <t>마스터_품목</t>
        </is>
      </c>
    </row>
    <row r="48" ht="48" customHeight="1">
      <c r="A48" s="87" t="inlineStr">
        <is>
          <t>창고</t>
        </is>
      </c>
      <c r="B48" s="87" t="inlineStr">
        <is>
          <t>CORE</t>
        </is>
      </c>
      <c r="C48" s="88" t="inlineStr">
        <is>
          <t>DX3000, ADX4000W ADX6000</t>
        </is>
      </c>
      <c r="D48" s="88" t="inlineStr">
        <is>
          <t>T 코어 (히터트랜스용) (T31 X 8 X 19E)
[DX3000, ADX4000W ADX6000]</t>
        </is>
      </c>
      <c r="E48" s="88" t="inlineStr">
        <is>
          <t>T 코어 (히터트랜스용)</t>
        </is>
      </c>
      <c r="F48" s="90" t="inlineStr">
        <is>
          <t>O</t>
        </is>
      </c>
      <c r="G48" s="91" t="n"/>
      <c r="H48" s="92" t="n"/>
      <c r="I48" s="93" t="inlineStr">
        <is>
          <t>HR</t>
        </is>
      </c>
      <c r="J48" s="94" t="inlineStr">
        <is>
          <t>O</t>
        </is>
      </c>
      <c r="K48" s="95" t="inlineStr">
        <is>
          <t>O</t>
        </is>
      </c>
      <c r="L48" s="96" t="n"/>
      <c r="M48" s="97" t="n"/>
      <c r="N48" s="98" t="n"/>
      <c r="O48" s="99" t="n"/>
      <c r="P48" s="100" t="inlineStr">
        <is>
          <t>34-HR</t>
        </is>
      </c>
      <c r="Q48" s="102" t="inlineStr">
        <is>
          <t>대영파츠넷</t>
        </is>
      </c>
      <c r="R48" s="110">
        <f>HYPERLINK("#'마스터_품목'!A46","→ 마스터 R46")</f>
        <v/>
      </c>
      <c r="S48" s="111" t="n">
        <v>46</v>
      </c>
      <c r="T48" s="111" t="inlineStr">
        <is>
          <t>마스터_품목</t>
        </is>
      </c>
    </row>
    <row r="49" ht="48" customHeight="1">
      <c r="A49" s="87" t="inlineStr">
        <is>
          <t>창고</t>
        </is>
      </c>
      <c r="B49" s="87" t="inlineStr">
        <is>
          <t>ABS 난연</t>
        </is>
      </c>
      <c r="C49" s="88" t="inlineStr">
        <is>
          <t>ADX4000W</t>
        </is>
      </c>
      <c r="D49" s="88" t="inlineStr">
        <is>
          <t>GUIDE (ABS 난연 화이트 + 진한 회색)
[ADX4000W]</t>
        </is>
      </c>
      <c r="E49" s="88" t="inlineStr">
        <is>
          <t>데코 가이드</t>
        </is>
      </c>
      <c r="F49" s="90" t="inlineStr">
        <is>
          <t>O</t>
        </is>
      </c>
      <c r="G49" s="91" t="n"/>
      <c r="H49" s="92" t="n"/>
      <c r="I49" s="93" t="inlineStr">
        <is>
          <t>AR</t>
        </is>
      </c>
      <c r="J49" s="94" t="n"/>
      <c r="K49" s="95" t="inlineStr">
        <is>
          <t>O</t>
        </is>
      </c>
      <c r="L49" s="96" t="n"/>
      <c r="M49" s="97" t="n"/>
      <c r="N49" s="98" t="n"/>
      <c r="O49" s="99" t="n"/>
      <c r="P49" s="100" t="inlineStr">
        <is>
          <t>4-AR</t>
        </is>
      </c>
      <c r="Q49" s="102" t="inlineStr">
        <is>
          <t>천우</t>
        </is>
      </c>
      <c r="R49" s="110">
        <f>HYPERLINK("#'마스터_품목'!A256","→ 마스터 R256")</f>
        <v/>
      </c>
      <c r="S49" s="111" t="n">
        <v>256</v>
      </c>
      <c r="T49" s="111" t="inlineStr">
        <is>
          <t>마스터_품목</t>
        </is>
      </c>
    </row>
    <row r="50" ht="48" customHeight="1">
      <c r="A50" s="87" t="inlineStr">
        <is>
          <t>창고</t>
        </is>
      </c>
      <c r="B50" s="87" t="inlineStr">
        <is>
          <t>ABS 난연</t>
        </is>
      </c>
      <c r="C50" s="88" t="inlineStr">
        <is>
          <t>ADX4000W</t>
        </is>
      </c>
      <c r="D50" s="88" t="inlineStr">
        <is>
          <t>HINGE GUIDE (ABS 난연 화이트)
[ADX4000W]</t>
        </is>
      </c>
      <c r="E50" s="88" t="inlineStr">
        <is>
          <t>HINGE GUIDE</t>
        </is>
      </c>
      <c r="F50" s="90" t="inlineStr">
        <is>
          <t>O</t>
        </is>
      </c>
      <c r="G50" s="91" t="n"/>
      <c r="H50" s="92" t="n"/>
      <c r="I50" s="93" t="inlineStr">
        <is>
          <t>AR</t>
        </is>
      </c>
      <c r="J50" s="94" t="n"/>
      <c r="K50" s="95" t="inlineStr">
        <is>
          <t>O</t>
        </is>
      </c>
      <c r="L50" s="96" t="n"/>
      <c r="M50" s="97" t="n"/>
      <c r="N50" s="98" t="n"/>
      <c r="O50" s="99" t="n"/>
      <c r="P50" s="100" t="inlineStr">
        <is>
          <t>4-AR</t>
        </is>
      </c>
      <c r="Q50" s="102" t="inlineStr">
        <is>
          <t>천우</t>
        </is>
      </c>
      <c r="R50" s="110">
        <f>HYPERLINK("#'마스터_품목'!A255","→ 마스터 R255")</f>
        <v/>
      </c>
      <c r="S50" s="111" t="n">
        <v>255</v>
      </c>
      <c r="T50" s="111" t="inlineStr">
        <is>
          <t>마스터_품목</t>
        </is>
      </c>
    </row>
    <row r="51" ht="48" customHeight="1">
      <c r="A51" s="87" t="inlineStr">
        <is>
          <t>창고</t>
        </is>
      </c>
      <c r="B51" s="87" t="inlineStr">
        <is>
          <t>CABLE</t>
        </is>
      </c>
      <c r="C51" s="88" t="inlineStr">
        <is>
          <t>DX3000, ADX4000W ADX6000</t>
        </is>
      </c>
      <c r="D51" s="88" t="inlineStr">
        <is>
          <t>TIW 권선 (히터트랜스용 선) ((외경)0.7mm (내경)0.5mm, 4000m)
[DX3000, ADX4000W ADX6000]</t>
        </is>
      </c>
      <c r="E51" s="88" t="inlineStr">
        <is>
          <t>TIW (외경)0.7mm(내경)0.5 5000m(히터트랜스용 선)</t>
        </is>
      </c>
      <c r="F51" s="90" t="inlineStr">
        <is>
          <t>O</t>
        </is>
      </c>
      <c r="G51" s="91" t="n"/>
      <c r="H51" s="92" t="n"/>
      <c r="I51" s="93" t="inlineStr">
        <is>
          <t>HR</t>
        </is>
      </c>
      <c r="J51" s="94" t="inlineStr">
        <is>
          <t>O</t>
        </is>
      </c>
      <c r="K51" s="95" t="inlineStr">
        <is>
          <t>O</t>
        </is>
      </c>
      <c r="L51" s="96" t="inlineStr">
        <is>
          <t>O</t>
        </is>
      </c>
      <c r="M51" s="97" t="n"/>
      <c r="N51" s="98" t="n"/>
      <c r="O51" s="99" t="n"/>
      <c r="P51" s="100" t="inlineStr">
        <is>
          <t>346-HR</t>
        </is>
      </c>
      <c r="Q51" s="102" t="inlineStr">
        <is>
          <t>승리케이블</t>
        </is>
      </c>
      <c r="R51" s="110">
        <f>HYPERLINK("#'마스터_품목'!A43","→ 마스터 R43")</f>
        <v/>
      </c>
      <c r="S51" s="111" t="n">
        <v>43</v>
      </c>
      <c r="T51" s="111" t="inlineStr">
        <is>
          <t>마스터_품목</t>
        </is>
      </c>
    </row>
    <row r="52" ht="48" customHeight="1">
      <c r="A52" s="87" t="inlineStr">
        <is>
          <t>창고</t>
        </is>
      </c>
      <c r="B52" s="87" t="inlineStr">
        <is>
          <t>CABLE</t>
        </is>
      </c>
      <c r="C52" s="88" t="inlineStr">
        <is>
          <t>DX3000, ADX4000W ADX6000</t>
        </is>
      </c>
      <c r="D52" s="88" t="inlineStr">
        <is>
          <t>히터트랜스용 고압선(적색) (40KVDC 22AWG)
[DX3000, ADX4000W ADX6000]</t>
        </is>
      </c>
      <c r="E52" s="88" t="inlineStr">
        <is>
          <t>40KVDC 22AWG (히터트랜스용 붉은 고압선)</t>
        </is>
      </c>
      <c r="F52" s="90" t="inlineStr">
        <is>
          <t>O</t>
        </is>
      </c>
      <c r="G52" s="91" t="n"/>
      <c r="H52" s="92" t="n"/>
      <c r="I52" s="93" t="inlineStr">
        <is>
          <t>HR</t>
        </is>
      </c>
      <c r="J52" s="94" t="inlineStr">
        <is>
          <t>O</t>
        </is>
      </c>
      <c r="K52" s="95" t="inlineStr">
        <is>
          <t>O</t>
        </is>
      </c>
      <c r="L52" s="96" t="inlineStr">
        <is>
          <t>O</t>
        </is>
      </c>
      <c r="M52" s="97" t="n"/>
      <c r="N52" s="98" t="n"/>
      <c r="O52" s="99" t="n"/>
      <c r="P52" s="100" t="inlineStr">
        <is>
          <t>346-HR</t>
        </is>
      </c>
      <c r="Q52" s="102" t="inlineStr">
        <is>
          <t>HLP</t>
        </is>
      </c>
      <c r="R52" s="110">
        <f>HYPERLINK("#'마스터_품목'!A44","→ 마스터 R44")</f>
        <v/>
      </c>
      <c r="S52" s="111" t="n">
        <v>44</v>
      </c>
      <c r="T52" s="111" t="inlineStr">
        <is>
          <t>마스터_품목</t>
        </is>
      </c>
    </row>
    <row r="53" ht="48" customHeight="1">
      <c r="A53" s="87" t="inlineStr">
        <is>
          <t>창고</t>
        </is>
      </c>
      <c r="B53" s="87" t="inlineStr">
        <is>
          <t>ABS 난연</t>
        </is>
      </c>
      <c r="C53" s="88" t="inlineStr">
        <is>
          <t>ADX4000W</t>
        </is>
      </c>
      <c r="D53" s="88" t="inlineStr">
        <is>
          <t>POWER BUTTON (ABS 난연 화이트 + 밝은 회색)
[ADX4000W]</t>
        </is>
      </c>
      <c r="E53" s="88" t="inlineStr">
        <is>
          <t>POWER BUTTON</t>
        </is>
      </c>
      <c r="F53" s="90" t="inlineStr">
        <is>
          <t>O</t>
        </is>
      </c>
      <c r="G53" s="91" t="n"/>
      <c r="H53" s="92" t="n"/>
      <c r="I53" s="93" t="inlineStr">
        <is>
          <t>AR</t>
        </is>
      </c>
      <c r="J53" s="94" t="n"/>
      <c r="K53" s="95" t="inlineStr">
        <is>
          <t>O</t>
        </is>
      </c>
      <c r="L53" s="96" t="n"/>
      <c r="M53" s="97" t="n"/>
      <c r="N53" s="98" t="n"/>
      <c r="O53" s="99" t="n"/>
      <c r="P53" s="100" t="inlineStr">
        <is>
          <t>4-AR</t>
        </is>
      </c>
      <c r="Q53" s="102" t="inlineStr">
        <is>
          <t>천우</t>
        </is>
      </c>
      <c r="R53" s="110">
        <f>HYPERLINK("#'마스터_품목'!A247","→ 마스터 R247")</f>
        <v/>
      </c>
      <c r="S53" s="111" t="n">
        <v>247</v>
      </c>
      <c r="T53" s="111" t="inlineStr">
        <is>
          <t>마스터_품목</t>
        </is>
      </c>
    </row>
    <row r="54" ht="48" customHeight="1">
      <c r="A54" s="87" t="inlineStr">
        <is>
          <t>창고</t>
        </is>
      </c>
      <c r="B54" s="87" t="inlineStr">
        <is>
          <t>BOARD</t>
        </is>
      </c>
      <c r="C54" s="88" t="inlineStr">
        <is>
          <t>DX3000, ADX4000W</t>
        </is>
      </c>
      <c r="D54" s="88" t="inlineStr">
        <is>
          <t>고압베어 B/D
[DX3000, ADX4000W]</t>
        </is>
      </c>
      <c r="E54" s="88" t="inlineStr">
        <is>
          <t>고압베어 B/D (Ver. 2.5)</t>
        </is>
      </c>
      <c r="F54" s="90" t="inlineStr">
        <is>
          <t>O</t>
        </is>
      </c>
      <c r="G54" s="91" t="n"/>
      <c r="H54" s="92" t="n"/>
      <c r="I54" s="93" t="inlineStr">
        <is>
          <t>HR</t>
        </is>
      </c>
      <c r="J54" s="94" t="inlineStr">
        <is>
          <t>O</t>
        </is>
      </c>
      <c r="K54" s="95" t="inlineStr">
        <is>
          <t>O</t>
        </is>
      </c>
      <c r="L54" s="96" t="n"/>
      <c r="M54" s="97" t="n"/>
      <c r="N54" s="98" t="n"/>
      <c r="O54" s="99" t="n"/>
      <c r="P54" s="100" t="inlineStr">
        <is>
          <t>34-HR</t>
        </is>
      </c>
      <c r="Q54" s="102" t="inlineStr">
        <is>
          <t>한샘디지텍</t>
        </is>
      </c>
      <c r="R54" s="110">
        <f>HYPERLINK("#'마스터_품목'!A62","→ 마스터 R62")</f>
        <v/>
      </c>
      <c r="S54" s="111" t="n">
        <v>62</v>
      </c>
      <c r="T54" s="111" t="inlineStr">
        <is>
          <t>마스터_품목</t>
        </is>
      </c>
    </row>
    <row r="55" ht="48" customHeight="1">
      <c r="A55" s="87" t="inlineStr">
        <is>
          <t>창고</t>
        </is>
      </c>
      <c r="B55" s="87" t="inlineStr">
        <is>
          <t>BOARD</t>
        </is>
      </c>
      <c r="C55" s="88" t="inlineStr">
        <is>
          <t>DX3000</t>
        </is>
      </c>
      <c r="D55" s="88" t="inlineStr">
        <is>
          <t>고압베어 B/D - TFT (70kV, 3mA)
[DX3000]</t>
        </is>
      </c>
      <c r="E55" s="88" t="inlineStr">
        <is>
          <t>고압베어B/D (신형) (Ver. 1.0.1)</t>
        </is>
      </c>
      <c r="F55" s="90" t="inlineStr">
        <is>
          <t>O</t>
        </is>
      </c>
      <c r="G55" s="91" t="n"/>
      <c r="H55" s="92" t="n"/>
      <c r="I55" s="93" t="inlineStr">
        <is>
          <t>HR</t>
        </is>
      </c>
      <c r="J55" s="94" t="inlineStr">
        <is>
          <t>O</t>
        </is>
      </c>
      <c r="K55" s="95" t="n"/>
      <c r="L55" s="96" t="n"/>
      <c r="M55" s="97" t="n"/>
      <c r="N55" s="98" t="n"/>
      <c r="O55" s="99" t="n"/>
      <c r="P55" s="100" t="inlineStr">
        <is>
          <t>3-HR</t>
        </is>
      </c>
      <c r="Q55" s="102" t="inlineStr">
        <is>
          <t>HLP</t>
        </is>
      </c>
      <c r="R55" s="110">
        <f>HYPERLINK("#'마스터_품목'!A63","→ 마스터 R63")</f>
        <v/>
      </c>
      <c r="S55" s="111" t="n">
        <v>63</v>
      </c>
      <c r="T55" s="111" t="inlineStr">
        <is>
          <t>마스터_품목</t>
        </is>
      </c>
    </row>
    <row r="56" ht="48" customHeight="1">
      <c r="A56" s="87" t="inlineStr">
        <is>
          <t>창고</t>
        </is>
      </c>
      <c r="B56" s="87" t="inlineStr">
        <is>
          <t>ABS 난연</t>
        </is>
      </c>
      <c r="C56" s="88" t="inlineStr">
        <is>
          <t>ADX4000W</t>
        </is>
      </c>
      <c r="D56" s="88" t="inlineStr">
        <is>
          <t>EXPOSE BUTTON (ABS 난연 화이트 + 밝은 회색)
[ADX4000W]</t>
        </is>
      </c>
      <c r="E56" s="88" t="inlineStr">
        <is>
          <t>EXPOSE BUTTON</t>
        </is>
      </c>
      <c r="F56" s="90" t="inlineStr">
        <is>
          <t>O</t>
        </is>
      </c>
      <c r="G56" s="91" t="n"/>
      <c r="H56" s="92" t="n"/>
      <c r="I56" s="93" t="inlineStr">
        <is>
          <t>AR</t>
        </is>
      </c>
      <c r="J56" s="94" t="n"/>
      <c r="K56" s="95" t="inlineStr">
        <is>
          <t>O</t>
        </is>
      </c>
      <c r="L56" s="96" t="n"/>
      <c r="M56" s="97" t="n"/>
      <c r="N56" s="98" t="n"/>
      <c r="O56" s="99" t="n"/>
      <c r="P56" s="100" t="inlineStr">
        <is>
          <t>4-AR</t>
        </is>
      </c>
      <c r="Q56" s="102" t="inlineStr">
        <is>
          <t>천우</t>
        </is>
      </c>
      <c r="R56" s="110">
        <f>HYPERLINK("#'마스터_품목'!A251","→ 마스터 R251")</f>
        <v/>
      </c>
      <c r="S56" s="111" t="n">
        <v>251</v>
      </c>
      <c r="T56" s="111" t="inlineStr">
        <is>
          <t>마스터_품목</t>
        </is>
      </c>
    </row>
    <row r="57" ht="48" customHeight="1">
      <c r="A57" s="87" t="inlineStr">
        <is>
          <t>창고</t>
        </is>
      </c>
      <c r="B57" s="87" t="inlineStr">
        <is>
          <t>ABS 난연</t>
        </is>
      </c>
      <c r="C57" s="88" t="inlineStr">
        <is>
          <t>ADX4000W</t>
        </is>
      </c>
      <c r="D57" s="88" t="inlineStr">
        <is>
          <t>NAVI BUTTON (가운데) (ABS 난연 화이트 + 밝은 회색)
[ADX4000W]</t>
        </is>
      </c>
      <c r="E57" s="88" t="inlineStr">
        <is>
          <t>NAVI BUTTON (가운데)</t>
        </is>
      </c>
      <c r="F57" s="90" t="inlineStr">
        <is>
          <t>O</t>
        </is>
      </c>
      <c r="G57" s="91" t="n"/>
      <c r="H57" s="92" t="n"/>
      <c r="I57" s="93" t="inlineStr">
        <is>
          <t>AR</t>
        </is>
      </c>
      <c r="J57" s="94" t="n"/>
      <c r="K57" s="95" t="inlineStr">
        <is>
          <t>O</t>
        </is>
      </c>
      <c r="L57" s="96" t="n"/>
      <c r="M57" s="97" t="n"/>
      <c r="N57" s="98" t="n"/>
      <c r="O57" s="99" t="n"/>
      <c r="P57" s="100" t="inlineStr">
        <is>
          <t>4-AR</t>
        </is>
      </c>
      <c r="Q57" s="102" t="inlineStr">
        <is>
          <t>천우</t>
        </is>
      </c>
      <c r="R57" s="110">
        <f>HYPERLINK("#'마스터_품목'!A249","→ 마스터 R249")</f>
        <v/>
      </c>
      <c r="S57" s="111" t="n">
        <v>249</v>
      </c>
      <c r="T57" s="111" t="inlineStr">
        <is>
          <t>마스터_품목</t>
        </is>
      </c>
    </row>
    <row r="58" ht="48" customHeight="1">
      <c r="A58" s="87" t="inlineStr">
        <is>
          <t>창고</t>
        </is>
      </c>
      <c r="B58" s="87" t="inlineStr">
        <is>
          <t>ABS 난연</t>
        </is>
      </c>
      <c r="C58" s="88" t="inlineStr">
        <is>
          <t>ADX4000W</t>
        </is>
      </c>
      <c r="D58" s="88" t="inlineStr">
        <is>
          <t>NAVI KEY (방향) (ABS 난연 화이트 + 밝은 회색)
[ADX4000W]</t>
        </is>
      </c>
      <c r="E58" s="88" t="inlineStr">
        <is>
          <t>NAVI KEY (방향)</t>
        </is>
      </c>
      <c r="F58" s="90" t="inlineStr">
        <is>
          <t>O</t>
        </is>
      </c>
      <c r="G58" s="91" t="n"/>
      <c r="H58" s="92" t="n"/>
      <c r="I58" s="93" t="inlineStr">
        <is>
          <t>AR</t>
        </is>
      </c>
      <c r="J58" s="94" t="n"/>
      <c r="K58" s="95" t="inlineStr">
        <is>
          <t>O</t>
        </is>
      </c>
      <c r="L58" s="96" t="n"/>
      <c r="M58" s="97" t="n"/>
      <c r="N58" s="98" t="n"/>
      <c r="O58" s="99" t="n"/>
      <c r="P58" s="100" t="inlineStr">
        <is>
          <t>4-AR</t>
        </is>
      </c>
      <c r="Q58" s="102" t="inlineStr">
        <is>
          <t>천우</t>
        </is>
      </c>
      <c r="R58" s="110">
        <f>HYPERLINK("#'마스터_품목'!A250","→ 마스터 R250")</f>
        <v/>
      </c>
      <c r="S58" s="111" t="n">
        <v>250</v>
      </c>
      <c r="T58" s="111" t="inlineStr">
        <is>
          <t>마스터_품목</t>
        </is>
      </c>
    </row>
    <row r="59" ht="48" customHeight="1">
      <c r="A59" s="87" t="inlineStr">
        <is>
          <t>창고</t>
        </is>
      </c>
      <c r="B59" s="87" t="inlineStr">
        <is>
          <t>ABS 난연</t>
        </is>
      </c>
      <c r="C59" s="88" t="inlineStr">
        <is>
          <t>ADX4000W</t>
        </is>
      </c>
      <c r="D59" s="88" t="inlineStr">
        <is>
          <t>NAVI KEY 사파리 (방향) (ABS 난연 반투명)
[ADX4000W]</t>
        </is>
      </c>
      <c r="E59" s="88" t="inlineStr">
        <is>
          <t>NAVI KEY(방향) _ 사파리용</t>
        </is>
      </c>
      <c r="F59" s="90" t="inlineStr">
        <is>
          <t>O</t>
        </is>
      </c>
      <c r="G59" s="91" t="n"/>
      <c r="H59" s="92" t="n"/>
      <c r="I59" s="93" t="inlineStr">
        <is>
          <t>AR</t>
        </is>
      </c>
      <c r="J59" s="94" t="n"/>
      <c r="K59" s="95" t="inlineStr">
        <is>
          <t>O</t>
        </is>
      </c>
      <c r="L59" s="96" t="n"/>
      <c r="M59" s="97" t="n"/>
      <c r="N59" s="98" t="n"/>
      <c r="O59" s="99" t="n"/>
      <c r="P59" s="100" t="inlineStr">
        <is>
          <t>4-AR</t>
        </is>
      </c>
      <c r="Q59" s="102" t="inlineStr">
        <is>
          <t>천우</t>
        </is>
      </c>
      <c r="R59" s="110">
        <f>HYPERLINK("#'마스터_품목'!A264","→ 마스터 R264")</f>
        <v/>
      </c>
      <c r="S59" s="111" t="n">
        <v>264</v>
      </c>
      <c r="T59" s="111" t="inlineStr">
        <is>
          <t>마스터_품목</t>
        </is>
      </c>
    </row>
    <row r="60" ht="48" customHeight="1">
      <c r="A60" s="87" t="inlineStr">
        <is>
          <t>창고</t>
        </is>
      </c>
      <c r="B60" s="87" t="inlineStr">
        <is>
          <t>ABS 난연</t>
        </is>
      </c>
      <c r="C60" s="88" t="inlineStr">
        <is>
          <t>ADX4000W</t>
        </is>
      </c>
      <c r="D60" s="88" t="inlineStr">
        <is>
          <t>FRONT CONE 일체형 (ABS 난연 화이트 + 진한 회색)
[ADX4000W]</t>
        </is>
      </c>
      <c r="E60" s="88" t="inlineStr">
        <is>
          <t>FRONT CONE 일체형</t>
        </is>
      </c>
      <c r="F60" s="90" t="inlineStr">
        <is>
          <t>O</t>
        </is>
      </c>
      <c r="G60" s="91" t="n"/>
      <c r="H60" s="92" t="n"/>
      <c r="I60" s="93" t="inlineStr">
        <is>
          <t>AR</t>
        </is>
      </c>
      <c r="J60" s="94" t="n"/>
      <c r="K60" s="95" t="inlineStr">
        <is>
          <t>O</t>
        </is>
      </c>
      <c r="L60" s="96" t="n"/>
      <c r="M60" s="97" t="n"/>
      <c r="N60" s="98" t="n"/>
      <c r="O60" s="99" t="n"/>
      <c r="P60" s="100" t="inlineStr">
        <is>
          <t>4-AR</t>
        </is>
      </c>
      <c r="Q60" s="102" t="inlineStr">
        <is>
          <t>천우</t>
        </is>
      </c>
      <c r="R60" s="110">
        <f>HYPERLINK("#'마스터_품목'!A257","→ 마스터 R257")</f>
        <v/>
      </c>
      <c r="S60" s="111" t="n">
        <v>257</v>
      </c>
      <c r="T60" s="111" t="inlineStr">
        <is>
          <t>마스터_품목</t>
        </is>
      </c>
    </row>
    <row r="61" ht="48" customHeight="1">
      <c r="A61" s="87" t="inlineStr">
        <is>
          <t>창고</t>
        </is>
      </c>
      <c r="B61" s="87" t="inlineStr">
        <is>
          <t>BOARD</t>
        </is>
      </c>
      <c r="C61" s="88" t="inlineStr">
        <is>
          <t>DX3000, ADX4000W</t>
        </is>
      </c>
      <c r="D61" s="88" t="inlineStr">
        <is>
          <t>튜브 고정 보드 에노드 (나사)
[DX3000, ADX4000W]</t>
        </is>
      </c>
      <c r="E61" s="88" t="inlineStr">
        <is>
          <t>튜브 고정 보드 에노드 (나사)</t>
        </is>
      </c>
      <c r="F61" s="90" t="inlineStr">
        <is>
          <t>O</t>
        </is>
      </c>
      <c r="G61" s="91" t="n"/>
      <c r="H61" s="92" t="n"/>
      <c r="I61" s="93" t="inlineStr">
        <is>
          <t>HR</t>
        </is>
      </c>
      <c r="J61" s="94" t="inlineStr">
        <is>
          <t>O</t>
        </is>
      </c>
      <c r="K61" s="95" t="inlineStr">
        <is>
          <t>O</t>
        </is>
      </c>
      <c r="L61" s="96" t="n"/>
      <c r="M61" s="97" t="n"/>
      <c r="N61" s="98" t="n"/>
      <c r="O61" s="99" t="n"/>
      <c r="P61" s="100" t="inlineStr">
        <is>
          <t>34-HR</t>
        </is>
      </c>
      <c r="Q61" s="102" t="inlineStr">
        <is>
          <t>한샘디지텍</t>
        </is>
      </c>
      <c r="R61" s="110">
        <f>HYPERLINK("#'마스터_품목'!A56","→ 마스터 R56")</f>
        <v/>
      </c>
      <c r="S61" s="111" t="n">
        <v>56</v>
      </c>
      <c r="T61" s="111" t="inlineStr">
        <is>
          <t>마스터_품목</t>
        </is>
      </c>
    </row>
    <row r="62" ht="48" customHeight="1">
      <c r="A62" s="87" t="inlineStr">
        <is>
          <t>창고</t>
        </is>
      </c>
      <c r="B62" s="87" t="inlineStr">
        <is>
          <t>BOARD</t>
        </is>
      </c>
      <c r="C62" s="88" t="inlineStr">
        <is>
          <t>DX3000</t>
        </is>
      </c>
      <c r="D62" s="88" t="inlineStr">
        <is>
          <t>튜브 고정 보드 케소드 (필라멘트)
[DX3000]</t>
        </is>
      </c>
      <c r="E62" s="88" t="inlineStr">
        <is>
          <t>튜브 고정 보드 케소드 (필라멘트)</t>
        </is>
      </c>
      <c r="F62" s="90" t="inlineStr">
        <is>
          <t>O</t>
        </is>
      </c>
      <c r="G62" s="91" t="n"/>
      <c r="H62" s="92" t="n"/>
      <c r="I62" s="93" t="inlineStr">
        <is>
          <t>HR</t>
        </is>
      </c>
      <c r="J62" s="94" t="inlineStr">
        <is>
          <t>O</t>
        </is>
      </c>
      <c r="K62" s="95" t="n"/>
      <c r="L62" s="96" t="n"/>
      <c r="M62" s="97" t="n"/>
      <c r="N62" s="98" t="n"/>
      <c r="O62" s="99" t="n"/>
      <c r="P62" s="100" t="inlineStr">
        <is>
          <t>3-HR</t>
        </is>
      </c>
      <c r="Q62" s="102" t="inlineStr">
        <is>
          <t>한샘디지텍</t>
        </is>
      </c>
      <c r="R62" s="110">
        <f>HYPERLINK("#'마스터_품목'!A57","→ 마스터 R57")</f>
        <v/>
      </c>
      <c r="S62" s="111" t="n">
        <v>57</v>
      </c>
      <c r="T62" s="111" t="inlineStr">
        <is>
          <t>마스터_품목</t>
        </is>
      </c>
    </row>
    <row r="63" ht="48" customHeight="1">
      <c r="A63" s="87" t="inlineStr">
        <is>
          <t>창고</t>
        </is>
      </c>
      <c r="B63" s="87" t="inlineStr">
        <is>
          <t>ABS 난연</t>
        </is>
      </c>
      <c r="C63" s="88" t="inlineStr">
        <is>
          <t>ADX4000W</t>
        </is>
      </c>
      <c r="D63" s="88" t="inlineStr">
        <is>
          <t>FRONT CONE 체결형 (ABS 난연 화이트 + 진한 회색)
[ADX4000W]</t>
        </is>
      </c>
      <c r="E63" s="88" t="inlineStr">
        <is>
          <t>FRONT CONE 체결형</t>
        </is>
      </c>
      <c r="F63" s="90" t="inlineStr">
        <is>
          <t>O</t>
        </is>
      </c>
      <c r="G63" s="91" t="n"/>
      <c r="H63" s="92" t="n"/>
      <c r="I63" s="93" t="inlineStr">
        <is>
          <t>AR</t>
        </is>
      </c>
      <c r="J63" s="94" t="n"/>
      <c r="K63" s="95" t="inlineStr">
        <is>
          <t>O</t>
        </is>
      </c>
      <c r="L63" s="96" t="n"/>
      <c r="M63" s="97" t="n"/>
      <c r="N63" s="98" t="n"/>
      <c r="O63" s="99" t="n"/>
      <c r="P63" s="100" t="inlineStr">
        <is>
          <t>4-AR</t>
        </is>
      </c>
      <c r="Q63" s="102" t="inlineStr">
        <is>
          <t>천우</t>
        </is>
      </c>
      <c r="R63" s="110">
        <f>HYPERLINK("#'마스터_품목'!A258","→ 마스터 R258")</f>
        <v/>
      </c>
      <c r="S63" s="111" t="n">
        <v>258</v>
      </c>
      <c r="T63" s="111" t="inlineStr">
        <is>
          <t>마스터_품목</t>
        </is>
      </c>
    </row>
    <row r="64" ht="48" customHeight="1">
      <c r="A64" s="87" t="inlineStr">
        <is>
          <t>창고</t>
        </is>
      </c>
      <c r="B64" s="87" t="inlineStr">
        <is>
          <t>ABS 난연</t>
        </is>
      </c>
      <c r="C64" s="88" t="inlineStr">
        <is>
          <t>ADX4000W</t>
        </is>
      </c>
      <c r="D64" s="88" t="inlineStr">
        <is>
          <t>20cm CONE (ABS 난연 화이트 + 진한 회색)
[ADX4000W]</t>
        </is>
      </c>
      <c r="E64" s="88" t="inlineStr">
        <is>
          <t>20cm CONE</t>
        </is>
      </c>
      <c r="F64" s="90" t="inlineStr">
        <is>
          <t>O</t>
        </is>
      </c>
      <c r="G64" s="91" t="n"/>
      <c r="H64" s="92" t="n"/>
      <c r="I64" s="93" t="inlineStr">
        <is>
          <t>AR</t>
        </is>
      </c>
      <c r="J64" s="94" t="n"/>
      <c r="K64" s="95" t="inlineStr">
        <is>
          <t>O</t>
        </is>
      </c>
      <c r="L64" s="96" t="n"/>
      <c r="M64" s="97" t="n"/>
      <c r="N64" s="98" t="n"/>
      <c r="O64" s="99" t="n"/>
      <c r="P64" s="100" t="inlineStr">
        <is>
          <t>4-AR</t>
        </is>
      </c>
      <c r="Q64" s="102" t="inlineStr">
        <is>
          <t>천우</t>
        </is>
      </c>
      <c r="R64" s="110">
        <f>HYPERLINK("#'마스터_품목'!A259","→ 마스터 R259")</f>
        <v/>
      </c>
      <c r="S64" s="111" t="n">
        <v>259</v>
      </c>
      <c r="T64" s="111" t="inlineStr">
        <is>
          <t>마스터_품목</t>
        </is>
      </c>
    </row>
    <row r="65" ht="48" customHeight="1">
      <c r="A65" s="87" t="inlineStr">
        <is>
          <t>창고</t>
        </is>
      </c>
      <c r="B65" s="87" t="inlineStr">
        <is>
          <t>ABS 난연</t>
        </is>
      </c>
      <c r="C65" s="88" t="inlineStr">
        <is>
          <t>ADX4000W</t>
        </is>
      </c>
      <c r="D65" s="88" t="inlineStr">
        <is>
          <t>15cm CONE (ABS 난연 화이트 + 진한 회색)
[ADX4000W]</t>
        </is>
      </c>
      <c r="E65" s="88" t="inlineStr">
        <is>
          <t>15cm CONE</t>
        </is>
      </c>
      <c r="F65" s="90" t="inlineStr">
        <is>
          <t>O</t>
        </is>
      </c>
      <c r="G65" s="91" t="n"/>
      <c r="H65" s="92" t="n"/>
      <c r="I65" s="93" t="inlineStr">
        <is>
          <t>AR</t>
        </is>
      </c>
      <c r="J65" s="94" t="n"/>
      <c r="K65" s="95" t="inlineStr">
        <is>
          <t>O</t>
        </is>
      </c>
      <c r="L65" s="96" t="n"/>
      <c r="M65" s="97" t="n"/>
      <c r="N65" s="98" t="n"/>
      <c r="O65" s="99" t="n"/>
      <c r="P65" s="100" t="inlineStr">
        <is>
          <t>4-AR</t>
        </is>
      </c>
      <c r="Q65" s="102" t="inlineStr">
        <is>
          <t>천우</t>
        </is>
      </c>
      <c r="R65" s="110">
        <f>HYPERLINK("#'마스터_품목'!A260","→ 마스터 R260")</f>
        <v/>
      </c>
      <c r="S65" s="111" t="n">
        <v>260</v>
      </c>
      <c r="T65" s="111" t="inlineStr">
        <is>
          <t>마스터_품목</t>
        </is>
      </c>
    </row>
    <row r="66" ht="48" customHeight="1">
      <c r="A66" s="87" t="inlineStr">
        <is>
          <t>창고</t>
        </is>
      </c>
      <c r="B66" s="87" t="inlineStr">
        <is>
          <t>AL</t>
        </is>
      </c>
      <c r="C66" s="88" t="inlineStr">
        <is>
          <t>ADX4000W</t>
        </is>
      </c>
      <c r="D66" s="88" t="inlineStr">
        <is>
          <t>히팅 싱크 구형 (일본 사용)
[ADX4000W]</t>
        </is>
      </c>
      <c r="E66" s="88" t="inlineStr">
        <is>
          <t>히팅 싱크 구형 (일본 사용)</t>
        </is>
      </c>
      <c r="F66" s="90" t="inlineStr">
        <is>
          <t>O</t>
        </is>
      </c>
      <c r="G66" s="91" t="n"/>
      <c r="H66" s="92" t="n"/>
      <c r="I66" s="93" t="inlineStr">
        <is>
          <t>AR</t>
        </is>
      </c>
      <c r="J66" s="94" t="n"/>
      <c r="K66" s="95" t="inlineStr">
        <is>
          <t>O</t>
        </is>
      </c>
      <c r="L66" s="96" t="inlineStr">
        <is>
          <t>O</t>
        </is>
      </c>
      <c r="M66" s="97" t="n"/>
      <c r="N66" s="98" t="n"/>
      <c r="O66" s="99" t="n"/>
      <c r="P66" s="100" t="inlineStr">
        <is>
          <t>46-AR</t>
        </is>
      </c>
      <c r="Q66" s="102" t="inlineStr">
        <is>
          <t>다우정밀</t>
        </is>
      </c>
      <c r="R66" s="110">
        <f>HYPERLINK("#'마스터_품목'!A270","→ 마스터 R270")</f>
        <v/>
      </c>
      <c r="S66" s="111" t="n">
        <v>270</v>
      </c>
      <c r="T66" s="111" t="inlineStr">
        <is>
          <t>마스터_품목</t>
        </is>
      </c>
    </row>
    <row r="67" ht="48" customHeight="1">
      <c r="A67" s="87" t="inlineStr">
        <is>
          <t>창고</t>
        </is>
      </c>
      <c r="B67" s="87" t="inlineStr">
        <is>
          <t>베이클라이트</t>
        </is>
      </c>
      <c r="C67" s="88" t="inlineStr">
        <is>
          <t>DX3000, ADX4000W ADX6000</t>
        </is>
      </c>
      <c r="D67" s="88" t="inlineStr">
        <is>
          <t>베이클라이트 케이스 (베이클라이트)
[DX3000, ADX4000W ADX6000]</t>
        </is>
      </c>
      <c r="E67" s="88" t="inlineStr">
        <is>
          <t>베크라이트케이스</t>
        </is>
      </c>
      <c r="F67" s="90" t="inlineStr">
        <is>
          <t>O</t>
        </is>
      </c>
      <c r="G67" s="91" t="n"/>
      <c r="H67" s="92" t="n"/>
      <c r="I67" s="93" t="inlineStr">
        <is>
          <t>VR</t>
        </is>
      </c>
      <c r="J67" s="94" t="inlineStr">
        <is>
          <t>O</t>
        </is>
      </c>
      <c r="K67" s="95" t="inlineStr">
        <is>
          <t>O</t>
        </is>
      </c>
      <c r="L67" s="96" t="n"/>
      <c r="M67" s="97" t="n"/>
      <c r="N67" s="98" t="n"/>
      <c r="O67" s="99" t="n"/>
      <c r="P67" s="100" t="inlineStr">
        <is>
          <t>34-VR</t>
        </is>
      </c>
      <c r="Q67" s="102" t="inlineStr">
        <is>
          <t>용봉화학</t>
        </is>
      </c>
      <c r="R67" s="110">
        <f>HYPERLINK("#'마스터_품목'!A109","→ 마스터 R109")</f>
        <v/>
      </c>
      <c r="S67" s="111" t="n">
        <v>109</v>
      </c>
      <c r="T67" s="111" t="inlineStr">
        <is>
          <t>마스터_품목</t>
        </is>
      </c>
    </row>
    <row r="68" ht="48" customHeight="1">
      <c r="A68" s="87" t="inlineStr">
        <is>
          <t>창고</t>
        </is>
      </c>
      <c r="B68" s="87" t="inlineStr">
        <is>
          <t>AL</t>
        </is>
      </c>
      <c r="C68" s="88" t="inlineStr">
        <is>
          <t>ADX4000W</t>
        </is>
      </c>
      <c r="D68" s="88" t="inlineStr">
        <is>
          <t>히팅 싱크 신형
[ADX4000W]</t>
        </is>
      </c>
      <c r="E68" s="88" t="inlineStr">
        <is>
          <t>히팅 싱크 신형</t>
        </is>
      </c>
      <c r="F68" s="90" t="inlineStr">
        <is>
          <t>O</t>
        </is>
      </c>
      <c r="G68" s="91" t="n"/>
      <c r="H68" s="92" t="n"/>
      <c r="I68" s="93" t="inlineStr">
        <is>
          <t>AR</t>
        </is>
      </c>
      <c r="J68" s="94" t="n"/>
      <c r="K68" s="95" t="inlineStr">
        <is>
          <t>O</t>
        </is>
      </c>
      <c r="L68" s="96" t="inlineStr">
        <is>
          <t>O</t>
        </is>
      </c>
      <c r="M68" s="97" t="n"/>
      <c r="N68" s="98" t="n"/>
      <c r="O68" s="99" t="n"/>
      <c r="P68" s="100" t="inlineStr">
        <is>
          <t>46-AR</t>
        </is>
      </c>
      <c r="Q68" s="102" t="inlineStr">
        <is>
          <t>다우정밀</t>
        </is>
      </c>
      <c r="R68" s="110">
        <f>HYPERLINK("#'마스터_품목'!A273","→ 마스터 R273")</f>
        <v/>
      </c>
      <c r="S68" s="111" t="n">
        <v>273</v>
      </c>
      <c r="T68" s="111" t="inlineStr">
        <is>
          <t>마스터_품목</t>
        </is>
      </c>
    </row>
    <row r="69" ht="48" customHeight="1">
      <c r="A69" s="87" t="inlineStr">
        <is>
          <t>창고</t>
        </is>
      </c>
      <c r="B69" s="87" t="inlineStr">
        <is>
          <t>쿨링팬</t>
        </is>
      </c>
      <c r="C69" s="88" t="inlineStr">
        <is>
          <t>ADX4000W</t>
        </is>
      </c>
      <c r="D69" s="88" t="inlineStr">
        <is>
          <t>방열 팬 구형 (일본 사용) (1204KL-01W-B10 5V 0.1A)
[ADX4000W]</t>
        </is>
      </c>
      <c r="E69" s="88" t="inlineStr">
        <is>
          <t>방열 팬 구형 (일본 사용) [1204KL-01W-B10 5V 0.1A]</t>
        </is>
      </c>
      <c r="F69" s="90" t="inlineStr">
        <is>
          <t>O</t>
        </is>
      </c>
      <c r="G69" s="91" t="n"/>
      <c r="H69" s="92" t="n"/>
      <c r="I69" s="93" t="inlineStr">
        <is>
          <t>AR</t>
        </is>
      </c>
      <c r="J69" s="94" t="n"/>
      <c r="K69" s="95" t="inlineStr">
        <is>
          <t>O</t>
        </is>
      </c>
      <c r="L69" s="96" t="inlineStr">
        <is>
          <t>O</t>
        </is>
      </c>
      <c r="M69" s="97" t="n"/>
      <c r="N69" s="98" t="n"/>
      <c r="O69" s="99" t="n"/>
      <c r="P69" s="100" t="inlineStr">
        <is>
          <t>46-AR</t>
        </is>
      </c>
      <c r="Q69" s="102" t="inlineStr">
        <is>
          <t>직구</t>
        </is>
      </c>
      <c r="R69" s="110">
        <f>HYPERLINK("#'마스터_품목'!A271","→ 마스터 R271")</f>
        <v/>
      </c>
      <c r="S69" s="111" t="n">
        <v>271</v>
      </c>
      <c r="T69" s="111" t="inlineStr">
        <is>
          <t>마스터_품목</t>
        </is>
      </c>
    </row>
    <row r="70" ht="48" customHeight="1">
      <c r="A70" s="87" t="inlineStr">
        <is>
          <t>창고</t>
        </is>
      </c>
      <c r="B70" s="87" t="inlineStr">
        <is>
          <t>쿨링팬</t>
        </is>
      </c>
      <c r="C70" s="88" t="inlineStr">
        <is>
          <t>ADX4000W</t>
        </is>
      </c>
      <c r="D70" s="88" t="inlineStr">
        <is>
          <t>방열 팬 신형 (HBD0401005SEM 5V 0.15A)
[ADX4000W]</t>
        </is>
      </c>
      <c r="E70" s="88" t="inlineStr">
        <is>
          <t>방열 팬 신형 [HBD0401005SEM 5V 0.15A]</t>
        </is>
      </c>
      <c r="F70" s="90" t="inlineStr">
        <is>
          <t>O</t>
        </is>
      </c>
      <c r="G70" s="91" t="n"/>
      <c r="H70" s="92" t="n"/>
      <c r="I70" s="93" t="inlineStr">
        <is>
          <t>AR</t>
        </is>
      </c>
      <c r="J70" s="94" t="n"/>
      <c r="K70" s="95" t="inlineStr">
        <is>
          <t>O</t>
        </is>
      </c>
      <c r="L70" s="96" t="inlineStr">
        <is>
          <t>O</t>
        </is>
      </c>
      <c r="M70" s="97" t="n"/>
      <c r="N70" s="98" t="n"/>
      <c r="O70" s="99" t="n"/>
      <c r="P70" s="100" t="inlineStr">
        <is>
          <t>46-AR</t>
        </is>
      </c>
      <c r="Q70" s="102" t="inlineStr">
        <is>
          <t>직구</t>
        </is>
      </c>
      <c r="R70" s="110">
        <f>HYPERLINK("#'마스터_품목'!A274","→ 마스터 R274")</f>
        <v/>
      </c>
      <c r="S70" s="111" t="n">
        <v>274</v>
      </c>
      <c r="T70" s="111" t="inlineStr">
        <is>
          <t>마스터_품목</t>
        </is>
      </c>
    </row>
    <row r="71" ht="48" customHeight="1">
      <c r="A71" s="87" t="inlineStr">
        <is>
          <t>창고</t>
        </is>
      </c>
      <c r="B71" s="87" t="inlineStr">
        <is>
          <t>황동</t>
        </is>
      </c>
      <c r="C71" s="88" t="inlineStr">
        <is>
          <t>DX3000</t>
        </is>
      </c>
      <c r="D71" s="88" t="inlineStr">
        <is>
          <t>신주 케이스 (0.6T)
[DX3000]</t>
        </is>
      </c>
      <c r="E71" s="88" t="inlineStr">
        <is>
          <t>신주케이스</t>
        </is>
      </c>
      <c r="F71" s="90" t="inlineStr">
        <is>
          <t>O</t>
        </is>
      </c>
      <c r="G71" s="91" t="n"/>
      <c r="H71" s="92" t="n"/>
      <c r="I71" s="93" t="inlineStr">
        <is>
          <t>VR</t>
        </is>
      </c>
      <c r="J71" s="94" t="inlineStr">
        <is>
          <t>O</t>
        </is>
      </c>
      <c r="K71" s="95" t="n"/>
      <c r="L71" s="96" t="n"/>
      <c r="M71" s="97" t="n"/>
      <c r="N71" s="98" t="n"/>
      <c r="O71" s="99" t="n"/>
      <c r="P71" s="100" t="inlineStr">
        <is>
          <t>3-VR</t>
        </is>
      </c>
      <c r="Q71" s="102" t="inlineStr">
        <is>
          <t>해진정밀</t>
        </is>
      </c>
      <c r="R71" s="110">
        <f>HYPERLINK("#'마스터_품목'!A121","→ 마스터 R121")</f>
        <v/>
      </c>
      <c r="S71" s="111" t="n">
        <v>121</v>
      </c>
      <c r="T71" s="111" t="inlineStr">
        <is>
          <t>마스터_품목</t>
        </is>
      </c>
    </row>
    <row r="72" ht="48" customHeight="1">
      <c r="A72" s="87" t="inlineStr">
        <is>
          <t>창고</t>
        </is>
      </c>
      <c r="B72" s="87" t="inlineStr">
        <is>
          <t>써멀패드</t>
        </is>
      </c>
      <c r="C72" s="88" t="inlineStr">
        <is>
          <t>ADX4000W</t>
        </is>
      </c>
      <c r="D72" s="88" t="inlineStr">
        <is>
          <t>히팅 패드
[ADX4000W]</t>
        </is>
      </c>
      <c r="E72" s="88" t="inlineStr">
        <is>
          <t>히팅 패드</t>
        </is>
      </c>
      <c r="F72" s="90" t="inlineStr">
        <is>
          <t>O</t>
        </is>
      </c>
      <c r="G72" s="91" t="n"/>
      <c r="H72" s="92" t="n"/>
      <c r="I72" s="93" t="inlineStr">
        <is>
          <t>AR</t>
        </is>
      </c>
      <c r="J72" s="94" t="n"/>
      <c r="K72" s="95" t="inlineStr">
        <is>
          <t>O</t>
        </is>
      </c>
      <c r="L72" s="96" t="inlineStr">
        <is>
          <t>O</t>
        </is>
      </c>
      <c r="M72" s="97" t="n"/>
      <c r="N72" s="98" t="n"/>
      <c r="O72" s="99" t="n"/>
      <c r="P72" s="100" t="inlineStr">
        <is>
          <t>46-AR</t>
        </is>
      </c>
      <c r="Q72" s="102" t="inlineStr">
        <is>
          <t>직구</t>
        </is>
      </c>
      <c r="R72" s="110">
        <f>HYPERLINK("#'마스터_품목'!A272","→ 마스터 R272")</f>
        <v/>
      </c>
      <c r="S72" s="111" t="n">
        <v>272</v>
      </c>
      <c r="T72" s="111" t="inlineStr">
        <is>
          <t>마스터_품목</t>
        </is>
      </c>
    </row>
    <row r="73" ht="48" customHeight="1">
      <c r="A73" s="87" t="inlineStr">
        <is>
          <t>창고</t>
        </is>
      </c>
      <c r="B73" s="87" t="inlineStr">
        <is>
          <t>페라이트</t>
        </is>
      </c>
      <c r="C73" s="88" t="inlineStr">
        <is>
          <t>ADX4000W</t>
        </is>
      </c>
      <c r="D73" s="88" t="inlineStr">
        <is>
          <t>큰 페라이트 (ZCAT-1730-0730)
[ADX4000W]</t>
        </is>
      </c>
      <c r="E73" s="88" t="inlineStr">
        <is>
          <t>큰 페라이트 CAT-1730-0730</t>
        </is>
      </c>
      <c r="F73" s="90" t="inlineStr">
        <is>
          <t>O</t>
        </is>
      </c>
      <c r="G73" s="91" t="n"/>
      <c r="H73" s="92" t="n"/>
      <c r="I73" s="93" t="inlineStr">
        <is>
          <t>AR</t>
        </is>
      </c>
      <c r="J73" s="94" t="n"/>
      <c r="K73" s="95" t="inlineStr">
        <is>
          <t>O</t>
        </is>
      </c>
      <c r="L73" s="96" t="n"/>
      <c r="M73" s="97" t="n"/>
      <c r="N73" s="98" t="n"/>
      <c r="O73" s="99" t="n"/>
      <c r="P73" s="100" t="inlineStr">
        <is>
          <t>4-AR</t>
        </is>
      </c>
      <c r="Q73" s="102" t="inlineStr">
        <is>
          <t>HLP</t>
        </is>
      </c>
      <c r="R73" s="110">
        <f>HYPERLINK("#'마스터_품목'!A288","→ 마스터 R288")</f>
        <v/>
      </c>
      <c r="S73" s="111" t="n">
        <v>288</v>
      </c>
      <c r="T73" s="111" t="inlineStr">
        <is>
          <t>마스터_품목</t>
        </is>
      </c>
    </row>
    <row r="74" ht="48" customHeight="1">
      <c r="A74" s="87" t="inlineStr">
        <is>
          <t>창고</t>
        </is>
      </c>
      <c r="B74" s="87" t="inlineStr">
        <is>
          <t>페라이트</t>
        </is>
      </c>
      <c r="C74" s="88" t="inlineStr">
        <is>
          <t>ADX4000W</t>
        </is>
      </c>
      <c r="D74" s="88" t="inlineStr">
        <is>
          <t>작은 페라이트 (ZCAT-1325-0530)
[ADX4000W]</t>
        </is>
      </c>
      <c r="E74" s="88" t="inlineStr">
        <is>
          <t>작은 페라이트 ZCAT-1325-0530</t>
        </is>
      </c>
      <c r="F74" s="90" t="inlineStr">
        <is>
          <t>O</t>
        </is>
      </c>
      <c r="G74" s="91" t="n"/>
      <c r="H74" s="92" t="n"/>
      <c r="I74" s="93" t="inlineStr">
        <is>
          <t>AR</t>
        </is>
      </c>
      <c r="J74" s="94" t="n"/>
      <c r="K74" s="95" t="inlineStr">
        <is>
          <t>O</t>
        </is>
      </c>
      <c r="L74" s="96" t="inlineStr">
        <is>
          <t>O</t>
        </is>
      </c>
      <c r="M74" s="97" t="n"/>
      <c r="N74" s="98" t="n"/>
      <c r="O74" s="99" t="n"/>
      <c r="P74" s="100" t="inlineStr">
        <is>
          <t>46-AR</t>
        </is>
      </c>
      <c r="Q74" s="102" t="inlineStr">
        <is>
          <t>HLP</t>
        </is>
      </c>
      <c r="R74" s="110">
        <f>HYPERLINK("#'마스터_품목'!A289","→ 마스터 R289")</f>
        <v/>
      </c>
      <c r="S74" s="111" t="n">
        <v>289</v>
      </c>
      <c r="T74" s="111" t="inlineStr">
        <is>
          <t>마스터_품목</t>
        </is>
      </c>
    </row>
    <row r="75" ht="48" customHeight="1">
      <c r="A75" s="87" t="inlineStr">
        <is>
          <t>창고</t>
        </is>
      </c>
      <c r="B75" s="87" t="inlineStr">
        <is>
          <t>동글</t>
        </is>
      </c>
      <c r="C75" s="88" t="inlineStr">
        <is>
          <t>ADX4000W</t>
        </is>
      </c>
      <c r="D75" s="88" t="inlineStr">
        <is>
          <t>TP-LINK (WAN1000M)-동글
[ADX4000W]</t>
        </is>
      </c>
      <c r="E75" s="88" t="inlineStr">
        <is>
          <t>TP-LINK (WAN1000M)-동글</t>
        </is>
      </c>
      <c r="F75" s="90" t="inlineStr">
        <is>
          <t>O</t>
        </is>
      </c>
      <c r="G75" s="91" t="n"/>
      <c r="H75" s="92" t="n"/>
      <c r="I75" s="93" t="inlineStr">
        <is>
          <t>AR</t>
        </is>
      </c>
      <c r="J75" s="94" t="n"/>
      <c r="K75" s="95" t="inlineStr">
        <is>
          <t>O</t>
        </is>
      </c>
      <c r="L75" s="96" t="inlineStr">
        <is>
          <t>O</t>
        </is>
      </c>
      <c r="M75" s="97" t="n"/>
      <c r="N75" s="98" t="n"/>
      <c r="O75" s="99" t="n"/>
      <c r="P75" s="100" t="inlineStr">
        <is>
          <t>46-AR</t>
        </is>
      </c>
      <c r="Q75" s="102" t="inlineStr">
        <is>
          <t>직구</t>
        </is>
      </c>
      <c r="R75" s="110">
        <f>HYPERLINK("#'마스터_품목'!A268","→ 마스터 R268")</f>
        <v/>
      </c>
      <c r="S75" s="111" t="n">
        <v>268</v>
      </c>
      <c r="T75" s="111" t="inlineStr">
        <is>
          <t>마스터_품목</t>
        </is>
      </c>
    </row>
    <row r="76" ht="48" customHeight="1">
      <c r="A76" s="87" t="inlineStr">
        <is>
          <t>창고</t>
        </is>
      </c>
      <c r="B76" s="87" t="inlineStr">
        <is>
          <t>황동</t>
        </is>
      </c>
      <c r="C76" s="88" t="inlineStr">
        <is>
          <t>DX3000, ADX4000W ADX6000</t>
        </is>
      </c>
      <c r="D76" s="88" t="inlineStr">
        <is>
          <t>신주 케이스 뚜껑 (0.6T)
[DX3000, ADX4000W ADX6000]</t>
        </is>
      </c>
      <c r="E76" s="88" t="inlineStr">
        <is>
          <t>신주케이스 뚜껑</t>
        </is>
      </c>
      <c r="F76" s="90" t="inlineStr">
        <is>
          <t>O</t>
        </is>
      </c>
      <c r="G76" s="91" t="n"/>
      <c r="H76" s="92" t="n"/>
      <c r="I76" s="93" t="inlineStr">
        <is>
          <t>VR</t>
        </is>
      </c>
      <c r="J76" s="94" t="inlineStr">
        <is>
          <t>O</t>
        </is>
      </c>
      <c r="K76" s="95" t="inlineStr">
        <is>
          <t>O</t>
        </is>
      </c>
      <c r="L76" s="96" t="inlineStr">
        <is>
          <t>O</t>
        </is>
      </c>
      <c r="M76" s="97" t="n"/>
      <c r="N76" s="98" t="n"/>
      <c r="O76" s="99" t="n"/>
      <c r="P76" s="100" t="inlineStr">
        <is>
          <t>346-VR</t>
        </is>
      </c>
      <c r="Q76" s="102" t="inlineStr">
        <is>
          <t>해진정밀</t>
        </is>
      </c>
      <c r="R76" s="110">
        <f>HYPERLINK("#'마스터_품목'!A122","→ 마스터 R122")</f>
        <v/>
      </c>
      <c r="S76" s="111" t="n">
        <v>122</v>
      </c>
      <c r="T76" s="111" t="inlineStr">
        <is>
          <t>마스터_품목</t>
        </is>
      </c>
    </row>
    <row r="77" ht="48" customHeight="1">
      <c r="A77" s="87" t="inlineStr">
        <is>
          <t>창고</t>
        </is>
      </c>
      <c r="B77" s="87" t="inlineStr">
        <is>
          <t>동글</t>
        </is>
      </c>
      <c r="C77" s="88" t="inlineStr">
        <is>
          <t>ADX4000W</t>
        </is>
      </c>
      <c r="D77" s="88" t="inlineStr">
        <is>
          <t>ip TIME 무선 랜카드 [N100UM]
[ADX4000W]</t>
        </is>
      </c>
      <c r="E77" s="88" t="inlineStr">
        <is>
          <t>ip TIME 무선 랜카드 [N100UM]</t>
        </is>
      </c>
      <c r="F77" s="90" t="inlineStr">
        <is>
          <t>O</t>
        </is>
      </c>
      <c r="G77" s="91" t="n"/>
      <c r="H77" s="92" t="n"/>
      <c r="I77" s="93" t="inlineStr">
        <is>
          <t>AR</t>
        </is>
      </c>
      <c r="J77" s="94" t="n"/>
      <c r="K77" s="95" t="inlineStr">
        <is>
          <t>O</t>
        </is>
      </c>
      <c r="L77" s="96" t="inlineStr">
        <is>
          <t>O</t>
        </is>
      </c>
      <c r="M77" s="97" t="n"/>
      <c r="N77" s="98" t="n"/>
      <c r="O77" s="99" t="n"/>
      <c r="P77" s="100" t="inlineStr">
        <is>
          <t>46-AR</t>
        </is>
      </c>
      <c r="Q77" s="102" t="inlineStr">
        <is>
          <t>직구</t>
        </is>
      </c>
      <c r="R77" s="110">
        <f>HYPERLINK("#'마스터_품목'!A269","→ 마스터 R269")</f>
        <v/>
      </c>
      <c r="S77" s="111" t="n">
        <v>269</v>
      </c>
      <c r="T77" s="111" t="inlineStr">
        <is>
          <t>마스터_품목</t>
        </is>
      </c>
    </row>
    <row r="78" ht="48" customHeight="1">
      <c r="A78" s="87" t="inlineStr">
        <is>
          <t>창고</t>
        </is>
      </c>
      <c r="B78" s="87" t="inlineStr">
        <is>
          <t>동글</t>
        </is>
      </c>
      <c r="C78" s="88" t="inlineStr">
        <is>
          <t>ADX4000W</t>
        </is>
      </c>
      <c r="D78" s="88" t="inlineStr">
        <is>
          <t>ELECOM WIFI (10DR) (WDC-150SU2M)
[ADX4000W]</t>
        </is>
      </c>
      <c r="E78" s="88" t="inlineStr">
        <is>
          <t>ELECOM WIFI (10DR) [WDC-150SU2M]</t>
        </is>
      </c>
      <c r="F78" s="90" t="inlineStr">
        <is>
          <t>O</t>
        </is>
      </c>
      <c r="G78" s="91" t="n"/>
      <c r="H78" s="92" t="n"/>
      <c r="I78" s="93" t="inlineStr">
        <is>
          <t>AR</t>
        </is>
      </c>
      <c r="J78" s="94" t="n"/>
      <c r="K78" s="95" t="inlineStr">
        <is>
          <t>O</t>
        </is>
      </c>
      <c r="L78" s="96" t="inlineStr">
        <is>
          <t>O</t>
        </is>
      </c>
      <c r="M78" s="97" t="n"/>
      <c r="N78" s="98" t="n"/>
      <c r="O78" s="99" t="n"/>
      <c r="P78" s="100" t="inlineStr">
        <is>
          <t>46-AR</t>
        </is>
      </c>
      <c r="Q78" s="102" t="inlineStr">
        <is>
          <t>일본 지사</t>
        </is>
      </c>
      <c r="R78" s="110">
        <f>HYPERLINK("#'마스터_품목'!A275","→ 마스터 R275")</f>
        <v/>
      </c>
      <c r="S78" s="111" t="n">
        <v>275</v>
      </c>
      <c r="T78" s="111" t="inlineStr">
        <is>
          <t>마스터_품목</t>
        </is>
      </c>
    </row>
    <row r="79" ht="48" customHeight="1">
      <c r="A79" s="87" t="inlineStr">
        <is>
          <t>창고</t>
        </is>
      </c>
      <c r="B79" s="87" t="inlineStr">
        <is>
          <t>USB</t>
        </is>
      </c>
      <c r="C79" s="88" t="inlineStr">
        <is>
          <t>ADX4000W</t>
        </is>
      </c>
      <c r="D79" s="88" t="inlineStr">
        <is>
          <t>USB 메모리 (16GB)
[ADX4000W]</t>
        </is>
      </c>
      <c r="E79" s="88" t="inlineStr">
        <is>
          <t>16GB USB 메모리</t>
        </is>
      </c>
      <c r="F79" s="90" t="inlineStr">
        <is>
          <t>O</t>
        </is>
      </c>
      <c r="G79" s="91" t="n"/>
      <c r="H79" s="92" t="n"/>
      <c r="I79" s="93" t="inlineStr">
        <is>
          <t>AR</t>
        </is>
      </c>
      <c r="J79" s="94" t="n"/>
      <c r="K79" s="95" t="inlineStr">
        <is>
          <t>O</t>
        </is>
      </c>
      <c r="L79" s="96" t="inlineStr">
        <is>
          <t>O</t>
        </is>
      </c>
      <c r="M79" s="97" t="n"/>
      <c r="N79" s="98" t="n"/>
      <c r="O79" s="99" t="n"/>
      <c r="P79" s="100" t="inlineStr">
        <is>
          <t>46-AR</t>
        </is>
      </c>
      <c r="Q79" s="102" t="inlineStr">
        <is>
          <t>직구</t>
        </is>
      </c>
      <c r="R79" s="110">
        <f>HYPERLINK("#'마스터_품목'!A267","→ 마스터 R267")</f>
        <v/>
      </c>
      <c r="S79" s="111" t="n">
        <v>267</v>
      </c>
      <c r="T79" s="111" t="inlineStr">
        <is>
          <t>마스터_품목</t>
        </is>
      </c>
    </row>
    <row r="80" ht="48" customHeight="1">
      <c r="A80" s="87" t="inlineStr">
        <is>
          <t>창고</t>
        </is>
      </c>
      <c r="B80" s="87" t="inlineStr">
        <is>
          <t>황동</t>
        </is>
      </c>
      <c r="C80" s="88" t="inlineStr">
        <is>
          <t>공용</t>
        </is>
      </c>
      <c r="D80" s="88" t="inlineStr">
        <is>
          <t>방사구 (외경 탭 추가)
[공용]</t>
        </is>
      </c>
      <c r="E80" s="88" t="inlineStr">
        <is>
          <t>방사구 (외부탭)</t>
        </is>
      </c>
      <c r="F80" s="90" t="inlineStr">
        <is>
          <t>O</t>
        </is>
      </c>
      <c r="G80" s="91" t="n"/>
      <c r="H80" s="92" t="n"/>
      <c r="I80" s="93" t="inlineStr">
        <is>
          <t>VR</t>
        </is>
      </c>
      <c r="J80" s="94" t="inlineStr">
        <is>
          <t>O</t>
        </is>
      </c>
      <c r="K80" s="95" t="inlineStr">
        <is>
          <t>O</t>
        </is>
      </c>
      <c r="L80" s="96" t="inlineStr">
        <is>
          <t>O</t>
        </is>
      </c>
      <c r="M80" s="97" t="inlineStr">
        <is>
          <t>O</t>
        </is>
      </c>
      <c r="N80" s="98" t="inlineStr">
        <is>
          <t>O</t>
        </is>
      </c>
      <c r="O80" s="99" t="inlineStr">
        <is>
          <t>O</t>
        </is>
      </c>
      <c r="P80" s="100" t="inlineStr">
        <is>
          <t>34678?-VR</t>
        </is>
      </c>
      <c r="Q80" s="102" t="inlineStr">
        <is>
          <t>해진정밀</t>
        </is>
      </c>
      <c r="R80" s="110">
        <f>HYPERLINK("#'마스터_품목'!A130","→ 마스터 R130")</f>
        <v/>
      </c>
      <c r="S80" s="111" t="n">
        <v>130</v>
      </c>
      <c r="T80" s="111" t="inlineStr">
        <is>
          <t>마스터_품목</t>
        </is>
      </c>
    </row>
    <row r="81" ht="48" customHeight="1">
      <c r="A81" s="87" t="inlineStr">
        <is>
          <t>창고</t>
        </is>
      </c>
      <c r="B81" s="87" t="inlineStr">
        <is>
          <t>황동</t>
        </is>
      </c>
      <c r="C81" s="88" t="inlineStr">
        <is>
          <t>공용</t>
        </is>
      </c>
      <c r="D81" s="88" t="inlineStr">
        <is>
          <t>방사구 너트
[공용]</t>
        </is>
      </c>
      <c r="E81" s="88" t="inlineStr">
        <is>
          <t>방사구 너트</t>
        </is>
      </c>
      <c r="F81" s="90" t="inlineStr">
        <is>
          <t>O</t>
        </is>
      </c>
      <c r="G81" s="91" t="n"/>
      <c r="H81" s="92" t="n"/>
      <c r="I81" s="93" t="inlineStr">
        <is>
          <t>VR</t>
        </is>
      </c>
      <c r="J81" s="94" t="inlineStr">
        <is>
          <t>O</t>
        </is>
      </c>
      <c r="K81" s="95" t="inlineStr">
        <is>
          <t>O</t>
        </is>
      </c>
      <c r="L81" s="96" t="inlineStr">
        <is>
          <t>O</t>
        </is>
      </c>
      <c r="M81" s="97" t="inlineStr">
        <is>
          <t>O</t>
        </is>
      </c>
      <c r="N81" s="98" t="inlineStr">
        <is>
          <t>O</t>
        </is>
      </c>
      <c r="O81" s="99" t="inlineStr">
        <is>
          <t>O</t>
        </is>
      </c>
      <c r="P81" s="100" t="inlineStr">
        <is>
          <t>34678?-VR</t>
        </is>
      </c>
      <c r="Q81" s="102" t="inlineStr">
        <is>
          <t>해진정밀</t>
        </is>
      </c>
      <c r="R81" s="110">
        <f>HYPERLINK("#'마스터_품목'!A131","→ 마스터 R131")</f>
        <v/>
      </c>
      <c r="S81" s="111" t="n">
        <v>131</v>
      </c>
      <c r="T81" s="111" t="inlineStr">
        <is>
          <t>마스터_품목</t>
        </is>
      </c>
    </row>
    <row r="82" ht="48" customHeight="1">
      <c r="A82" s="87" t="inlineStr">
        <is>
          <t>창고</t>
        </is>
      </c>
      <c r="B82" s="87" t="inlineStr">
        <is>
          <t>AL</t>
        </is>
      </c>
      <c r="C82" s="88" t="inlineStr">
        <is>
          <t>DX3000, ADX4000W ADX6000</t>
        </is>
      </c>
      <c r="D82" s="88" t="inlineStr">
        <is>
          <t>알루미늄 필터 (0.8T * Φ24)
[DX3000, ADX4000W ADX6000]</t>
        </is>
      </c>
      <c r="E82" s="88" t="inlineStr">
        <is>
          <t>0.8T 알루미늄 필터</t>
        </is>
      </c>
      <c r="F82" s="90" t="inlineStr">
        <is>
          <t>O</t>
        </is>
      </c>
      <c r="G82" s="91" t="n"/>
      <c r="H82" s="92" t="n"/>
      <c r="I82" s="93" t="inlineStr">
        <is>
          <t>VR</t>
        </is>
      </c>
      <c r="J82" s="94" t="inlineStr">
        <is>
          <t>O</t>
        </is>
      </c>
      <c r="K82" s="95" t="inlineStr">
        <is>
          <t>O</t>
        </is>
      </c>
      <c r="L82" s="96" t="n"/>
      <c r="M82" s="97" t="inlineStr">
        <is>
          <t>O</t>
        </is>
      </c>
      <c r="N82" s="98" t="inlineStr">
        <is>
          <t>O</t>
        </is>
      </c>
      <c r="O82" s="99" t="n"/>
      <c r="P82" s="100" t="inlineStr">
        <is>
          <t>3478-VR</t>
        </is>
      </c>
      <c r="Q82" s="102" t="inlineStr">
        <is>
          <t>광전레이저</t>
        </is>
      </c>
      <c r="R82" s="110">
        <f>HYPERLINK("#'마스터_품목'!A93","→ 마스터 R93")</f>
        <v/>
      </c>
      <c r="S82" s="111" t="n">
        <v>93</v>
      </c>
      <c r="T82" s="111" t="inlineStr">
        <is>
          <t>마스터_품목</t>
        </is>
      </c>
    </row>
    <row r="83" ht="48" customHeight="1">
      <c r="A83" s="87" t="inlineStr">
        <is>
          <t>창고</t>
        </is>
      </c>
      <c r="B83" s="87" t="inlineStr">
        <is>
          <t>AL</t>
        </is>
      </c>
      <c r="C83" s="88" t="inlineStr">
        <is>
          <t>COCOON</t>
        </is>
      </c>
      <c r="D83" s="88" t="inlineStr">
        <is>
          <t>알루미늄 필터 (1.2T * Φ24)
[COCOON]</t>
        </is>
      </c>
      <c r="E83" s="88" t="inlineStr">
        <is>
          <t>1.2T 알루미늄 필터</t>
        </is>
      </c>
      <c r="F83" s="90" t="inlineStr">
        <is>
          <t>O</t>
        </is>
      </c>
      <c r="G83" s="91" t="n"/>
      <c r="H83" s="92" t="n"/>
      <c r="I83" s="93" t="inlineStr">
        <is>
          <t>VR</t>
        </is>
      </c>
      <c r="J83" s="94" t="inlineStr">
        <is>
          <t>O</t>
        </is>
      </c>
      <c r="K83" s="95" t="n"/>
      <c r="L83" s="96" t="n"/>
      <c r="M83" s="97" t="inlineStr">
        <is>
          <t>O</t>
        </is>
      </c>
      <c r="N83" s="98" t="n"/>
      <c r="O83" s="99" t="n"/>
      <c r="P83" s="100" t="inlineStr">
        <is>
          <t>37-VR</t>
        </is>
      </c>
      <c r="Q83" s="102" t="inlineStr">
        <is>
          <t>광전레이저</t>
        </is>
      </c>
      <c r="R83" s="110">
        <f>HYPERLINK("#'마스터_품목'!A92","→ 마스터 R92")</f>
        <v/>
      </c>
      <c r="S83" s="111" t="n">
        <v>92</v>
      </c>
      <c r="T83" s="111" t="inlineStr">
        <is>
          <t>마스터_품목</t>
        </is>
      </c>
    </row>
    <row r="84" ht="48" customHeight="1">
      <c r="A84" s="87" t="inlineStr">
        <is>
          <t>창고</t>
        </is>
      </c>
      <c r="B84" s="87" t="inlineStr">
        <is>
          <t>실리콘</t>
        </is>
      </c>
      <c r="C84" s="88" t="inlineStr">
        <is>
          <t>ADX4000W</t>
        </is>
      </c>
      <c r="D84" s="88" t="inlineStr">
        <is>
          <t>HAND GUIDE (ABS 난연 화이트)
[ADX4000W]</t>
        </is>
      </c>
      <c r="E84" s="88" t="inlineStr">
        <is>
          <t>HAND GUIDE</t>
        </is>
      </c>
      <c r="F84" s="90" t="inlineStr">
        <is>
          <t>O</t>
        </is>
      </c>
      <c r="G84" s="91" t="n"/>
      <c r="H84" s="92" t="n"/>
      <c r="I84" s="93" t="inlineStr">
        <is>
          <t>AR</t>
        </is>
      </c>
      <c r="J84" s="94" t="n"/>
      <c r="K84" s="95" t="inlineStr">
        <is>
          <t>O</t>
        </is>
      </c>
      <c r="L84" s="96" t="n"/>
      <c r="M84" s="97" t="n"/>
      <c r="N84" s="98" t="n"/>
      <c r="O84" s="99" t="n"/>
      <c r="P84" s="100" t="inlineStr">
        <is>
          <t>4-AR</t>
        </is>
      </c>
      <c r="Q84" s="102" t="inlineStr">
        <is>
          <t>천우</t>
        </is>
      </c>
      <c r="R84" s="110">
        <f>HYPERLINK("#'마스터_품목'!A253","→ 마스터 R253")</f>
        <v/>
      </c>
      <c r="S84" s="111" t="n">
        <v>253</v>
      </c>
      <c r="T84" s="111" t="inlineStr">
        <is>
          <t>마스터_품목</t>
        </is>
      </c>
    </row>
    <row r="85" ht="48" customHeight="1">
      <c r="A85" s="87" t="inlineStr">
        <is>
          <t>창고</t>
        </is>
      </c>
      <c r="B85" s="87" t="inlineStr">
        <is>
          <t>오링</t>
        </is>
      </c>
      <c r="C85" s="88" t="inlineStr">
        <is>
          <t>공용</t>
        </is>
      </c>
      <c r="D85" s="88" t="inlineStr">
        <is>
          <t>방사구 오링 (2*18)
[공용]</t>
        </is>
      </c>
      <c r="E85" s="88" t="inlineStr">
        <is>
          <t>오링 (2*18)</t>
        </is>
      </c>
      <c r="F85" s="90" t="inlineStr">
        <is>
          <t>O</t>
        </is>
      </c>
      <c r="G85" s="91" t="n"/>
      <c r="H85" s="92" t="n"/>
      <c r="I85" s="93" t="inlineStr">
        <is>
          <t>VR</t>
        </is>
      </c>
      <c r="J85" s="94" t="inlineStr">
        <is>
          <t>O</t>
        </is>
      </c>
      <c r="K85" s="95" t="inlineStr">
        <is>
          <t>O</t>
        </is>
      </c>
      <c r="L85" s="96" t="inlineStr">
        <is>
          <t>O</t>
        </is>
      </c>
      <c r="M85" s="97" t="inlineStr">
        <is>
          <t>O</t>
        </is>
      </c>
      <c r="N85" s="98" t="inlineStr">
        <is>
          <t>O</t>
        </is>
      </c>
      <c r="O85" s="99" t="inlineStr">
        <is>
          <t>O</t>
        </is>
      </c>
      <c r="P85" s="100" t="inlineStr">
        <is>
          <t>34678?-VR</t>
        </is>
      </c>
      <c r="R85" s="110">
        <f>HYPERLINK("#'마스터_품목'!A94","→ 마스터 R94")</f>
        <v/>
      </c>
      <c r="S85" s="111" t="n">
        <v>94</v>
      </c>
      <c r="T85" s="111" t="inlineStr">
        <is>
          <t>마스터_품목</t>
        </is>
      </c>
    </row>
    <row r="86" ht="48" customHeight="1">
      <c r="A86" s="87" t="inlineStr">
        <is>
          <t>창고</t>
        </is>
      </c>
      <c r="B86" s="87" t="inlineStr">
        <is>
          <t>BOARD</t>
        </is>
      </c>
      <c r="C86" s="88" t="inlineStr">
        <is>
          <t>DX3000, ADX4000W</t>
        </is>
      </c>
      <c r="D86" s="88" t="inlineStr">
        <is>
          <t>3 PIN 커넥터
[DX3000, ADX4000W]</t>
        </is>
      </c>
      <c r="E86" s="88" t="inlineStr">
        <is>
          <t>3 PIN (봉 단위)</t>
        </is>
      </c>
      <c r="F86" s="90" t="inlineStr">
        <is>
          <t>O</t>
        </is>
      </c>
      <c r="G86" s="91" t="n"/>
      <c r="H86" s="92" t="n"/>
      <c r="I86" s="93" t="inlineStr">
        <is>
          <t>VR</t>
        </is>
      </c>
      <c r="J86" s="94" t="inlineStr">
        <is>
          <t>O</t>
        </is>
      </c>
      <c r="K86" s="95" t="inlineStr">
        <is>
          <t>O</t>
        </is>
      </c>
      <c r="L86" s="96" t="n"/>
      <c r="M86" s="97" t="n"/>
      <c r="N86" s="98" t="n"/>
      <c r="O86" s="99" t="n"/>
      <c r="P86" s="100" t="inlineStr">
        <is>
          <t>34-VR</t>
        </is>
      </c>
      <c r="R86" s="110">
        <f>HYPERLINK("#'마스터_품목'!A116","→ 마스터 R116")</f>
        <v/>
      </c>
      <c r="S86" s="111" t="n">
        <v>116</v>
      </c>
      <c r="T86" s="111" t="inlineStr">
        <is>
          <t>마스터_품목</t>
        </is>
      </c>
    </row>
    <row r="87" ht="48" customHeight="1">
      <c r="A87" s="87" t="inlineStr">
        <is>
          <t>창고</t>
        </is>
      </c>
      <c r="B87" s="87" t="inlineStr">
        <is>
          <t>BOARD</t>
        </is>
      </c>
      <c r="C87" s="88" t="inlineStr">
        <is>
          <t>DX3000,ADX4000W COCOON,ADX6000</t>
        </is>
      </c>
      <c r="D87" s="88" t="inlineStr">
        <is>
          <t>4 PIN 커넥터
[DX3000,ADX4000W COCOON,ADX6000]</t>
        </is>
      </c>
      <c r="E87" s="88" t="inlineStr">
        <is>
          <t>4 PIN (봉 단위)</t>
        </is>
      </c>
      <c r="F87" s="90" t="inlineStr">
        <is>
          <t>O</t>
        </is>
      </c>
      <c r="G87" s="91" t="n"/>
      <c r="H87" s="92" t="n"/>
      <c r="I87" s="93" t="inlineStr">
        <is>
          <t>VR</t>
        </is>
      </c>
      <c r="J87" s="94" t="inlineStr">
        <is>
          <t>O</t>
        </is>
      </c>
      <c r="K87" s="95" t="inlineStr">
        <is>
          <t>O</t>
        </is>
      </c>
      <c r="L87" s="96" t="n"/>
      <c r="M87" s="97" t="inlineStr">
        <is>
          <t>O</t>
        </is>
      </c>
      <c r="N87" s="98" t="n"/>
      <c r="O87" s="99" t="n"/>
      <c r="P87" s="100" t="inlineStr">
        <is>
          <t>347-VR</t>
        </is>
      </c>
      <c r="R87" s="110">
        <f>HYPERLINK("#'마스터_품목'!A117","→ 마스터 R117")</f>
        <v/>
      </c>
      <c r="S87" s="111" t="n">
        <v>117</v>
      </c>
      <c r="T87" s="111" t="inlineStr">
        <is>
          <t>마스터_품목</t>
        </is>
      </c>
    </row>
    <row r="88" ht="48" customHeight="1">
      <c r="A88" s="87" t="inlineStr">
        <is>
          <t>창고</t>
        </is>
      </c>
      <c r="B88" s="87" t="inlineStr">
        <is>
          <t>BOARD</t>
        </is>
      </c>
      <c r="C88" s="88" t="inlineStr">
        <is>
          <t>DX3000, ADX4000W</t>
        </is>
      </c>
      <c r="D88" s="88" t="inlineStr">
        <is>
          <t>7핀 B/D
[DX3000, ADX4000W]</t>
        </is>
      </c>
      <c r="E88" s="88" t="inlineStr">
        <is>
          <t>7핀 BD [190*88*1.6T*2L]</t>
        </is>
      </c>
      <c r="F88" s="90" t="inlineStr">
        <is>
          <t>O</t>
        </is>
      </c>
      <c r="G88" s="91" t="n"/>
      <c r="H88" s="92" t="n"/>
      <c r="I88" s="93" t="inlineStr">
        <is>
          <t>VR</t>
        </is>
      </c>
      <c r="J88" s="94" t="inlineStr">
        <is>
          <t>O</t>
        </is>
      </c>
      <c r="K88" s="95" t="inlineStr">
        <is>
          <t>O</t>
        </is>
      </c>
      <c r="L88" s="96" t="n"/>
      <c r="M88" s="97" t="n"/>
      <c r="N88" s="98" t="n"/>
      <c r="O88" s="99" t="n"/>
      <c r="P88" s="100" t="inlineStr">
        <is>
          <t>34-VR</t>
        </is>
      </c>
      <c r="Q88" s="102" t="inlineStr">
        <is>
          <t>한샘디지텍</t>
        </is>
      </c>
      <c r="R88" s="110">
        <f>HYPERLINK("#'마스터_품목'!A95","→ 마스터 R95")</f>
        <v/>
      </c>
      <c r="S88" s="111" t="n">
        <v>95</v>
      </c>
      <c r="T88" s="111" t="inlineStr">
        <is>
          <t>마스터_품목</t>
        </is>
      </c>
    </row>
    <row r="89" ht="48" customHeight="1">
      <c r="A89" s="87" t="inlineStr">
        <is>
          <t>창고</t>
        </is>
      </c>
      <c r="B89" s="87" t="inlineStr">
        <is>
          <t>BOARD</t>
        </is>
      </c>
      <c r="C89" s="88" t="inlineStr">
        <is>
          <t>DX3000</t>
        </is>
      </c>
      <c r="D89" s="88" t="inlineStr">
        <is>
          <t>9핀 B/D - TFT
[DX3000]</t>
        </is>
      </c>
      <c r="E89" s="88" t="inlineStr">
        <is>
          <t>9핀 BD</t>
        </is>
      </c>
      <c r="F89" s="90" t="inlineStr">
        <is>
          <t>O</t>
        </is>
      </c>
      <c r="G89" s="91" t="n"/>
      <c r="H89" s="92" t="n"/>
      <c r="I89" s="93" t="inlineStr">
        <is>
          <t>VR</t>
        </is>
      </c>
      <c r="J89" s="94" t="inlineStr">
        <is>
          <t>O</t>
        </is>
      </c>
      <c r="K89" s="95" t="n"/>
      <c r="L89" s="96" t="n"/>
      <c r="M89" s="97" t="n"/>
      <c r="N89" s="98" t="n"/>
      <c r="O89" s="99" t="n"/>
      <c r="P89" s="100" t="inlineStr">
        <is>
          <t>3-VR</t>
        </is>
      </c>
      <c r="Q89" s="102" t="inlineStr">
        <is>
          <t>HLP</t>
        </is>
      </c>
      <c r="R89" s="110">
        <f>HYPERLINK("#'마스터_품목'!A99","→ 마스터 R99")</f>
        <v/>
      </c>
      <c r="S89" s="111" t="n">
        <v>99</v>
      </c>
      <c r="T89" s="111" t="inlineStr">
        <is>
          <t>마스터_품목</t>
        </is>
      </c>
    </row>
    <row r="90" ht="48" customHeight="1">
      <c r="A90" s="87" t="inlineStr">
        <is>
          <t>창고</t>
        </is>
      </c>
      <c r="B90" s="87" t="inlineStr">
        <is>
          <t>인조가죽</t>
        </is>
      </c>
      <c r="C90" s="88" t="inlineStr">
        <is>
          <t>ADX4000W</t>
        </is>
      </c>
      <c r="D90" s="88" t="inlineStr">
        <is>
          <t>HAND STRAP -손잡이(터치펜) (인조 가죽, AL(Cr도금), SUS Φ2.0)
[ADX4000W]</t>
        </is>
      </c>
      <c r="E90" s="88" t="inlineStr">
        <is>
          <t>HAND STRAP [AL(Cr도금), SUS Φ2.0]-손잡이(터치펜)</t>
        </is>
      </c>
      <c r="F90" s="90" t="inlineStr">
        <is>
          <t>O</t>
        </is>
      </c>
      <c r="G90" s="91" t="n"/>
      <c r="H90" s="92" t="n"/>
      <c r="I90" s="93" t="inlineStr">
        <is>
          <t>AR</t>
        </is>
      </c>
      <c r="J90" s="94" t="n"/>
      <c r="K90" s="95" t="inlineStr">
        <is>
          <t>O</t>
        </is>
      </c>
      <c r="L90" s="96" t="n"/>
      <c r="M90" s="97" t="n"/>
      <c r="N90" s="98" t="n"/>
      <c r="O90" s="99" t="n"/>
      <c r="P90" s="100" t="inlineStr">
        <is>
          <t>4-AR</t>
        </is>
      </c>
      <c r="Q90" s="102" t="inlineStr">
        <is>
          <t>굿모닝코리아유통</t>
        </is>
      </c>
      <c r="R90" s="110">
        <f>HYPERLINK("#'마스터_품목'!A263","→ 마스터 R263")</f>
        <v/>
      </c>
      <c r="S90" s="111" t="n">
        <v>263</v>
      </c>
      <c r="T90" s="111" t="inlineStr">
        <is>
          <t>마스터_품목</t>
        </is>
      </c>
    </row>
    <row r="91" ht="48" customHeight="1">
      <c r="A91" s="87" t="inlineStr">
        <is>
          <t>창고</t>
        </is>
      </c>
      <c r="B91" s="87" t="inlineStr">
        <is>
          <t>CABLE</t>
        </is>
      </c>
      <c r="C91" s="88" t="inlineStr">
        <is>
          <t>ADX4000W, ADX6000</t>
        </is>
      </c>
      <c r="D91" s="88" t="inlineStr">
        <is>
          <t>스피커 2핀 (12505HS-02+SORDER 200mm)
[ADX4000W, ADX6000]</t>
        </is>
      </c>
      <c r="E91" s="88" t="inlineStr">
        <is>
          <t>12505HS-02+SORDER 200mm 스피커 2핀 (하네스 4-1번)</t>
        </is>
      </c>
      <c r="F91" s="90" t="inlineStr">
        <is>
          <t>O</t>
        </is>
      </c>
      <c r="G91" s="91" t="n"/>
      <c r="H91" s="92" t="n"/>
      <c r="I91" s="93" t="inlineStr">
        <is>
          <t>AR</t>
        </is>
      </c>
      <c r="J91" s="94" t="n"/>
      <c r="K91" s="95" t="inlineStr">
        <is>
          <t>O</t>
        </is>
      </c>
      <c r="L91" s="96" t="inlineStr">
        <is>
          <t>O</t>
        </is>
      </c>
      <c r="M91" s="97" t="n"/>
      <c r="N91" s="98" t="n"/>
      <c r="O91" s="99" t="n"/>
      <c r="P91" s="100" t="inlineStr">
        <is>
          <t>46-AR</t>
        </is>
      </c>
      <c r="Q91" s="102" t="inlineStr">
        <is>
          <t>HLP</t>
        </is>
      </c>
      <c r="R91" s="110">
        <f>HYPERLINK("#'마스터_품목'!A296","→ 마스터 R296")</f>
        <v/>
      </c>
      <c r="S91" s="111" t="n">
        <v>296</v>
      </c>
      <c r="T91" s="111" t="inlineStr">
        <is>
          <t>마스터_품목</t>
        </is>
      </c>
    </row>
    <row r="92" ht="48" customHeight="1">
      <c r="A92" s="87" t="inlineStr">
        <is>
          <t>창고</t>
        </is>
      </c>
      <c r="B92" s="87" t="inlineStr">
        <is>
          <t>PCB</t>
        </is>
      </c>
      <c r="C92" s="88" t="inlineStr">
        <is>
          <t>DX3000</t>
        </is>
      </c>
      <c r="D92" s="88" t="inlineStr">
        <is>
          <t>CTR B/D (유럽용)
[DX3000]</t>
        </is>
      </c>
      <c r="E92" s="88" t="inlineStr">
        <is>
          <t>DC3D (유럽용)</t>
        </is>
      </c>
      <c r="F92" s="90" t="inlineStr">
        <is>
          <t>O</t>
        </is>
      </c>
      <c r="G92" s="91" t="n"/>
      <c r="H92" s="92" t="n"/>
      <c r="I92" s="93" t="inlineStr">
        <is>
          <t>VR</t>
        </is>
      </c>
      <c r="J92" s="94" t="inlineStr">
        <is>
          <t>O</t>
        </is>
      </c>
      <c r="K92" s="95" t="n"/>
      <c r="L92" s="96" t="n"/>
      <c r="M92" s="97" t="n"/>
      <c r="N92" s="98" t="n"/>
      <c r="O92" s="99" t="n"/>
      <c r="P92" s="100" t="inlineStr">
        <is>
          <t>3-VR</t>
        </is>
      </c>
      <c r="Q92" s="102" t="inlineStr">
        <is>
          <t>HLP</t>
        </is>
      </c>
      <c r="R92" s="110">
        <f>HYPERLINK("#'마스터_품목'!A103","→ 마스터 R103")</f>
        <v/>
      </c>
      <c r="S92" s="111" t="n">
        <v>103</v>
      </c>
      <c r="T92" s="111" t="inlineStr">
        <is>
          <t>마스터_품목</t>
        </is>
      </c>
    </row>
    <row r="93" ht="48" customHeight="1">
      <c r="A93" s="87" t="inlineStr">
        <is>
          <t>창고</t>
        </is>
      </c>
      <c r="B93" s="87" t="inlineStr">
        <is>
          <t>PCB</t>
        </is>
      </c>
      <c r="C93" s="88" t="inlineStr">
        <is>
          <t>DX3000</t>
        </is>
      </c>
      <c r="D93" s="88" t="inlineStr">
        <is>
          <t>CTR B/D (미국용)
[DX3000]</t>
        </is>
      </c>
      <c r="E93" s="88" t="inlineStr">
        <is>
          <t>D3CL (미국용)</t>
        </is>
      </c>
      <c r="F93" s="90" t="inlineStr">
        <is>
          <t>O</t>
        </is>
      </c>
      <c r="G93" s="91" t="n"/>
      <c r="H93" s="92" t="n"/>
      <c r="I93" s="93" t="inlineStr">
        <is>
          <t>VR</t>
        </is>
      </c>
      <c r="J93" s="94" t="inlineStr">
        <is>
          <t>O</t>
        </is>
      </c>
      <c r="K93" s="95" t="n"/>
      <c r="L93" s="96" t="n"/>
      <c r="M93" s="97" t="n"/>
      <c r="N93" s="98" t="n"/>
      <c r="O93" s="99" t="n"/>
      <c r="P93" s="100" t="inlineStr">
        <is>
          <t>3-VR</t>
        </is>
      </c>
      <c r="Q93" s="102" t="inlineStr">
        <is>
          <t>HLP</t>
        </is>
      </c>
      <c r="R93" s="110">
        <f>HYPERLINK("#'마스터_품목'!A104","→ 마스터 R104")</f>
        <v/>
      </c>
      <c r="S93" s="111" t="n">
        <v>104</v>
      </c>
      <c r="T93" s="111" t="inlineStr">
        <is>
          <t>마스터_품목</t>
        </is>
      </c>
    </row>
    <row r="94" ht="48" customHeight="1">
      <c r="A94" s="87" t="inlineStr">
        <is>
          <t>창고</t>
        </is>
      </c>
      <c r="B94" s="87" t="inlineStr">
        <is>
          <t>PCB</t>
        </is>
      </c>
      <c r="C94" s="88" t="inlineStr">
        <is>
          <t>DX3000</t>
        </is>
      </c>
      <c r="D94" s="88" t="inlineStr">
        <is>
          <t>CTR B/D (TFT용) (V3.1.1)
[DX3000]</t>
        </is>
      </c>
      <c r="E94" s="88" t="inlineStr">
        <is>
          <t>D3CT (TFT용)</t>
        </is>
      </c>
      <c r="F94" s="90" t="inlineStr">
        <is>
          <t>O</t>
        </is>
      </c>
      <c r="G94" s="91" t="n"/>
      <c r="H94" s="92" t="n"/>
      <c r="I94" s="93" t="inlineStr">
        <is>
          <t>VR</t>
        </is>
      </c>
      <c r="J94" s="94" t="inlineStr">
        <is>
          <t>O</t>
        </is>
      </c>
      <c r="K94" s="95" t="n"/>
      <c r="L94" s="96" t="n"/>
      <c r="M94" s="97" t="n"/>
      <c r="N94" s="98" t="n"/>
      <c r="O94" s="99" t="n"/>
      <c r="P94" s="100" t="inlineStr">
        <is>
          <t>3-VR</t>
        </is>
      </c>
      <c r="Q94" s="102" t="inlineStr">
        <is>
          <t>HLP</t>
        </is>
      </c>
      <c r="R94" s="110">
        <f>HYPERLINK("#'마스터_품목'!A102","→ 마스터 R102")</f>
        <v/>
      </c>
      <c r="S94" s="111" t="n">
        <v>102</v>
      </c>
      <c r="T94" s="111" t="inlineStr">
        <is>
          <t>마스터_품목</t>
        </is>
      </c>
    </row>
    <row r="95" ht="48" customHeight="1">
      <c r="A95" s="87" t="inlineStr">
        <is>
          <t>창고</t>
        </is>
      </c>
      <c r="B95" s="87" t="inlineStr">
        <is>
          <t>PCB</t>
        </is>
      </c>
      <c r="C95" s="88" t="inlineStr">
        <is>
          <t>DX3000</t>
        </is>
      </c>
      <c r="D95" s="88" t="inlineStr">
        <is>
          <t>LCD B/D (듀얼 슬라이드)
[DX3000]</t>
        </is>
      </c>
      <c r="E95" s="88" t="inlineStr">
        <is>
          <t>LCD BD</t>
        </is>
      </c>
      <c r="F95" s="90" t="inlineStr">
        <is>
          <t>O</t>
        </is>
      </c>
      <c r="G95" s="91" t="n"/>
      <c r="H95" s="92" t="n"/>
      <c r="I95" s="93" t="inlineStr">
        <is>
          <t>AR</t>
        </is>
      </c>
      <c r="J95" s="94" t="inlineStr">
        <is>
          <t>O</t>
        </is>
      </c>
      <c r="K95" s="95" t="n"/>
      <c r="L95" s="96" t="n"/>
      <c r="M95" s="97" t="n"/>
      <c r="N95" s="98" t="n"/>
      <c r="O95" s="99" t="n"/>
      <c r="P95" s="100" t="inlineStr">
        <is>
          <t>3-AR</t>
        </is>
      </c>
      <c r="Q95" s="102" t="inlineStr">
        <is>
          <t>HLP</t>
        </is>
      </c>
      <c r="R95" s="110">
        <f>HYPERLINK("#'마스터_품목'!A212","→ 마스터 R212")</f>
        <v/>
      </c>
      <c r="S95" s="111" t="n">
        <v>212</v>
      </c>
      <c r="T95" s="111" t="inlineStr">
        <is>
          <t>마스터_품목</t>
        </is>
      </c>
    </row>
    <row r="96" ht="48" customHeight="1">
      <c r="A96" s="87" t="inlineStr">
        <is>
          <t>창고</t>
        </is>
      </c>
      <c r="B96" s="87" t="inlineStr">
        <is>
          <t>PCB</t>
        </is>
      </c>
      <c r="C96" s="88" t="inlineStr">
        <is>
          <t>DX3000</t>
        </is>
      </c>
      <c r="D96" s="88" t="inlineStr">
        <is>
          <t>TFT LCD B/D (듀얼 슬라이드) (V3.0.1)
[DX3000]</t>
        </is>
      </c>
      <c r="E96" s="88" t="inlineStr">
        <is>
          <t>TFT LCD BD</t>
        </is>
      </c>
      <c r="F96" s="90" t="inlineStr">
        <is>
          <t>O</t>
        </is>
      </c>
      <c r="G96" s="91" t="n"/>
      <c r="H96" s="92" t="n"/>
      <c r="I96" s="93" t="inlineStr">
        <is>
          <t>AR</t>
        </is>
      </c>
      <c r="J96" s="94" t="inlineStr">
        <is>
          <t>O</t>
        </is>
      </c>
      <c r="K96" s="95" t="n"/>
      <c r="L96" s="96" t="n"/>
      <c r="M96" s="97" t="n"/>
      <c r="N96" s="98" t="n"/>
      <c r="O96" s="99" t="n"/>
      <c r="P96" s="100" t="inlineStr">
        <is>
          <t>3-AR</t>
        </is>
      </c>
      <c r="Q96" s="102" t="inlineStr">
        <is>
          <t>HLP</t>
        </is>
      </c>
      <c r="R96" s="110">
        <f>HYPERLINK("#'마스터_품목'!A214","→ 마스터 R214")</f>
        <v/>
      </c>
      <c r="S96" s="111" t="n">
        <v>214</v>
      </c>
      <c r="T96" s="111" t="inlineStr">
        <is>
          <t>마스터_품목</t>
        </is>
      </c>
    </row>
    <row r="97" ht="48" customHeight="1">
      <c r="A97" s="87" t="inlineStr">
        <is>
          <t>창고</t>
        </is>
      </c>
      <c r="B97" s="87" t="inlineStr">
        <is>
          <t>PCB</t>
        </is>
      </c>
      <c r="C97" s="88" t="inlineStr">
        <is>
          <t>DX3000</t>
        </is>
      </c>
      <c r="D97" s="88" t="inlineStr">
        <is>
          <t>LCD B/D (사파리) -원버턴타입
[DX3000]</t>
        </is>
      </c>
      <c r="E97" s="88" t="inlineStr">
        <is>
          <t>LCD BD (사파리) -원버턴타입</t>
        </is>
      </c>
      <c r="F97" s="90" t="inlineStr">
        <is>
          <t>O</t>
        </is>
      </c>
      <c r="G97" s="91" t="n"/>
      <c r="H97" s="92" t="n"/>
      <c r="I97" s="93" t="inlineStr">
        <is>
          <t>AR</t>
        </is>
      </c>
      <c r="J97" s="94" t="inlineStr">
        <is>
          <t>O</t>
        </is>
      </c>
      <c r="K97" s="95" t="n"/>
      <c r="L97" s="96" t="n"/>
      <c r="M97" s="97" t="n"/>
      <c r="N97" s="98" t="n"/>
      <c r="O97" s="99" t="n"/>
      <c r="P97" s="100" t="inlineStr">
        <is>
          <t>3-AR</t>
        </is>
      </c>
      <c r="Q97" s="102" t="inlineStr">
        <is>
          <t>HLP</t>
        </is>
      </c>
      <c r="R97" s="110">
        <f>HYPERLINK("#'마스터_품목'!A213","→ 마스터 R213")</f>
        <v/>
      </c>
      <c r="S97" s="111" t="n">
        <v>213</v>
      </c>
      <c r="T97" s="111" t="inlineStr">
        <is>
          <t>마스터_품목</t>
        </is>
      </c>
    </row>
    <row r="98" ht="48" customHeight="1">
      <c r="A98" s="87" t="inlineStr">
        <is>
          <t>창고</t>
        </is>
      </c>
      <c r="B98" s="87" t="inlineStr">
        <is>
          <t>CABLE</t>
        </is>
      </c>
      <c r="C98" s="88" t="inlineStr">
        <is>
          <t>ADX4000W</t>
        </is>
      </c>
      <c r="D98" s="88" t="inlineStr">
        <is>
          <t>USB 2.0 CABLE (U-30136, 3m)
[ADX4000W]</t>
        </is>
      </c>
      <c r="E98" s="88" t="inlineStr">
        <is>
          <t>USB2.0 CABLE [PMM369-0200]-3M</t>
        </is>
      </c>
      <c r="F98" s="90" t="inlineStr">
        <is>
          <t>O</t>
        </is>
      </c>
      <c r="G98" s="91" t="n"/>
      <c r="H98" s="92" t="n"/>
      <c r="I98" s="93" t="inlineStr">
        <is>
          <t>PR</t>
        </is>
      </c>
      <c r="J98" s="94" t="n"/>
      <c r="K98" s="95" t="inlineStr">
        <is>
          <t>O</t>
        </is>
      </c>
      <c r="L98" s="96" t="n"/>
      <c r="M98" s="97" t="n"/>
      <c r="N98" s="98" t="n"/>
      <c r="O98" s="99" t="n"/>
      <c r="P98" s="100" t="inlineStr">
        <is>
          <t>4-PR</t>
        </is>
      </c>
      <c r="Q98" s="102" t="inlineStr">
        <is>
          <t>유그린</t>
        </is>
      </c>
      <c r="R98" s="110">
        <f>HYPERLINK("#'마스터_품목'!A624","→ 마스터 R624")</f>
        <v/>
      </c>
      <c r="S98" s="111" t="n">
        <v>624</v>
      </c>
      <c r="T98" s="111" t="inlineStr">
        <is>
          <t>마스터_품목</t>
        </is>
      </c>
    </row>
    <row r="99" ht="48" customHeight="1">
      <c r="A99" s="87" t="inlineStr">
        <is>
          <t>창고</t>
        </is>
      </c>
      <c r="B99" s="87" t="inlineStr">
        <is>
          <t>PCB</t>
        </is>
      </c>
      <c r="C99" s="88" t="inlineStr">
        <is>
          <t>DX3000</t>
        </is>
      </c>
      <c r="D99" s="88" t="inlineStr">
        <is>
          <t>EX B/D (듀얼) (좌)
[DX3000]</t>
        </is>
      </c>
      <c r="E99" s="88" t="inlineStr">
        <is>
          <t>EX BD (듀얼) - 왼쪽</t>
        </is>
      </c>
      <c r="F99" s="90" t="inlineStr">
        <is>
          <t>O</t>
        </is>
      </c>
      <c r="G99" s="91" t="n"/>
      <c r="H99" s="92" t="n"/>
      <c r="I99" s="93" t="inlineStr">
        <is>
          <t>AR</t>
        </is>
      </c>
      <c r="J99" s="94" t="inlineStr">
        <is>
          <t>O</t>
        </is>
      </c>
      <c r="K99" s="95" t="n"/>
      <c r="L99" s="96" t="n"/>
      <c r="M99" s="97" t="n"/>
      <c r="N99" s="98" t="n"/>
      <c r="O99" s="99" t="n"/>
      <c r="P99" s="100" t="inlineStr">
        <is>
          <t>3-AR</t>
        </is>
      </c>
      <c r="Q99" s="102" t="inlineStr">
        <is>
          <t>HLP</t>
        </is>
      </c>
      <c r="R99" s="110">
        <f>HYPERLINK("#'마스터_품목'!A209","→ 마스터 R209")</f>
        <v/>
      </c>
      <c r="S99" s="111" t="n">
        <v>209</v>
      </c>
      <c r="T99" s="111" t="inlineStr">
        <is>
          <t>마스터_품목</t>
        </is>
      </c>
    </row>
    <row r="100" ht="48" customHeight="1">
      <c r="A100" s="87" t="inlineStr">
        <is>
          <t>창고</t>
        </is>
      </c>
      <c r="B100" s="87" t="inlineStr">
        <is>
          <t>PCB</t>
        </is>
      </c>
      <c r="C100" s="88" t="inlineStr">
        <is>
          <t>DX3000</t>
        </is>
      </c>
      <c r="D100" s="88" t="inlineStr">
        <is>
          <t>EX B/D (듀얼) (우)
[DX3000]</t>
        </is>
      </c>
      <c r="E100" s="88" t="inlineStr">
        <is>
          <t>EX BD (듀얼) - 오른쪽</t>
        </is>
      </c>
      <c r="F100" s="90" t="inlineStr">
        <is>
          <t>O</t>
        </is>
      </c>
      <c r="G100" s="91" t="n"/>
      <c r="H100" s="92" t="n"/>
      <c r="I100" s="93" t="inlineStr">
        <is>
          <t>AR</t>
        </is>
      </c>
      <c r="J100" s="94" t="inlineStr">
        <is>
          <t>O</t>
        </is>
      </c>
      <c r="K100" s="95" t="n"/>
      <c r="L100" s="96" t="n"/>
      <c r="M100" s="97" t="n"/>
      <c r="N100" s="98" t="n"/>
      <c r="O100" s="99" t="n"/>
      <c r="P100" s="100" t="inlineStr">
        <is>
          <t>3-AR</t>
        </is>
      </c>
      <c r="Q100" s="102" t="inlineStr">
        <is>
          <t>HLP</t>
        </is>
      </c>
      <c r="R100" s="110">
        <f>HYPERLINK("#'마스터_품목'!A210","→ 마스터 R210")</f>
        <v/>
      </c>
      <c r="S100" s="111" t="n">
        <v>210</v>
      </c>
      <c r="T100" s="111" t="inlineStr">
        <is>
          <t>마스터_품목</t>
        </is>
      </c>
    </row>
    <row r="101" ht="48" customHeight="1">
      <c r="A101" s="87" t="inlineStr">
        <is>
          <t>창고</t>
        </is>
      </c>
      <c r="B101" s="87" t="inlineStr">
        <is>
          <t>PCB</t>
        </is>
      </c>
      <c r="C101" s="88" t="inlineStr">
        <is>
          <t>DX3000</t>
        </is>
      </c>
      <c r="D101" s="88" t="inlineStr">
        <is>
          <t>EX B/D 사파리 (원버턴)
[DX3000]</t>
        </is>
      </c>
      <c r="E101" s="88" t="inlineStr">
        <is>
          <t>EX BD (원버턴) - 사파리</t>
        </is>
      </c>
      <c r="F101" s="90" t="inlineStr">
        <is>
          <t>O</t>
        </is>
      </c>
      <c r="G101" s="91" t="n"/>
      <c r="H101" s="92" t="n"/>
      <c r="I101" s="93" t="inlineStr">
        <is>
          <t>AR</t>
        </is>
      </c>
      <c r="J101" s="94" t="inlineStr">
        <is>
          <t>O</t>
        </is>
      </c>
      <c r="K101" s="95" t="n"/>
      <c r="L101" s="96" t="n"/>
      <c r="M101" s="97" t="n"/>
      <c r="N101" s="98" t="n"/>
      <c r="O101" s="99" t="n"/>
      <c r="P101" s="100" t="inlineStr">
        <is>
          <t>3-AR</t>
        </is>
      </c>
      <c r="Q101" s="102" t="inlineStr">
        <is>
          <t>HLP</t>
        </is>
      </c>
      <c r="R101" s="110">
        <f>HYPERLINK("#'마스터_품목'!A211","→ 마스터 R211")</f>
        <v/>
      </c>
      <c r="S101" s="111" t="n">
        <v>211</v>
      </c>
      <c r="T101" s="111" t="inlineStr">
        <is>
          <t>마스터_품목</t>
        </is>
      </c>
    </row>
    <row r="102" ht="48" customHeight="1">
      <c r="A102" s="87" t="inlineStr">
        <is>
          <t>창고</t>
        </is>
      </c>
      <c r="B102" s="87" t="inlineStr">
        <is>
          <t>PU FOAM</t>
        </is>
      </c>
      <c r="C102" s="88" t="inlineStr">
        <is>
          <t>ADX4000W</t>
        </is>
      </c>
      <c r="D102" s="88" t="inlineStr">
        <is>
          <t>가방 내부 폼 (15cm cone)
[ADX4000W]</t>
        </is>
      </c>
      <c r="E102" s="88" t="inlineStr">
        <is>
          <t>ADX4000W _ [15cm cone용] 내부 FOAM (상판 ,하판,계란판)</t>
        </is>
      </c>
      <c r="F102" s="90" t="inlineStr">
        <is>
          <t>O</t>
        </is>
      </c>
      <c r="G102" s="91" t="n"/>
      <c r="H102" s="92" t="n"/>
      <c r="I102" s="93" t="inlineStr">
        <is>
          <t>PR</t>
        </is>
      </c>
      <c r="J102" s="94" t="n"/>
      <c r="K102" s="95" t="inlineStr">
        <is>
          <t>O</t>
        </is>
      </c>
      <c r="L102" s="96" t="n"/>
      <c r="M102" s="97" t="n"/>
      <c r="N102" s="98" t="n"/>
      <c r="O102" s="99" t="n"/>
      <c r="P102" s="100" t="inlineStr">
        <is>
          <t>4-PR</t>
        </is>
      </c>
      <c r="Q102" s="102" t="inlineStr">
        <is>
          <t>굿모닝코리아유통</t>
        </is>
      </c>
      <c r="R102" s="110">
        <f>HYPERLINK("#'마스터_품목'!A659","→ 마스터 R659")</f>
        <v/>
      </c>
      <c r="S102" s="111" t="n">
        <v>659</v>
      </c>
      <c r="T102" s="111" t="inlineStr">
        <is>
          <t>마스터_품목</t>
        </is>
      </c>
    </row>
    <row r="103" ht="48" customHeight="1">
      <c r="A103" s="87" t="inlineStr">
        <is>
          <t>창고</t>
        </is>
      </c>
      <c r="B103" s="87" t="inlineStr">
        <is>
          <t>PCB</t>
        </is>
      </c>
      <c r="C103" s="88" t="inlineStr">
        <is>
          <t>DX3000</t>
        </is>
      </c>
      <c r="D103" s="88" t="inlineStr">
        <is>
          <t>AIM LED 쪽 보드 (V3.0.1)
[DX3000]</t>
        </is>
      </c>
      <c r="E103" s="88" t="inlineStr">
        <is>
          <t>LED DRIVE BD V3.0.1 (TFT CTR BD용)</t>
        </is>
      </c>
      <c r="F103" s="90" t="inlineStr">
        <is>
          <t>O</t>
        </is>
      </c>
      <c r="G103" s="91" t="n"/>
      <c r="H103" s="92" t="n"/>
      <c r="I103" s="93" t="inlineStr">
        <is>
          <t>AR</t>
        </is>
      </c>
      <c r="J103" s="94" t="inlineStr">
        <is>
          <t>O</t>
        </is>
      </c>
      <c r="K103" s="95" t="n"/>
      <c r="L103" s="96" t="n"/>
      <c r="M103" s="97" t="n"/>
      <c r="N103" s="98" t="n"/>
      <c r="O103" s="99" t="n"/>
      <c r="P103" s="100" t="inlineStr">
        <is>
          <t>3-AR</t>
        </is>
      </c>
      <c r="Q103" s="102" t="inlineStr">
        <is>
          <t>HLP</t>
        </is>
      </c>
      <c r="R103" s="110">
        <f>HYPERLINK("#'마스터_품목'!A215","→ 마스터 R215")</f>
        <v/>
      </c>
      <c r="S103" s="111" t="n">
        <v>215</v>
      </c>
      <c r="T103" s="111" t="inlineStr">
        <is>
          <t>마스터_품목</t>
        </is>
      </c>
    </row>
    <row r="104" ht="48" customHeight="1">
      <c r="A104" s="87" t="inlineStr">
        <is>
          <t>창고</t>
        </is>
      </c>
      <c r="B104" s="87" t="inlineStr">
        <is>
          <t>PANEL</t>
        </is>
      </c>
      <c r="C104" s="88" t="inlineStr">
        <is>
          <t>DX3000</t>
        </is>
      </c>
      <c r="D104" s="88" t="inlineStr">
        <is>
          <t>LCD PANEL (2.35"LCD)
[DX3000]</t>
        </is>
      </c>
      <c r="E104" s="88" t="inlineStr">
        <is>
          <t>2.35" LCD 판넬</t>
        </is>
      </c>
      <c r="F104" s="90" t="inlineStr">
        <is>
          <t>O</t>
        </is>
      </c>
      <c r="G104" s="91" t="n"/>
      <c r="H104" s="92" t="n"/>
      <c r="I104" s="93" t="inlineStr">
        <is>
          <t>AR</t>
        </is>
      </c>
      <c r="J104" s="94" t="inlineStr">
        <is>
          <t>O</t>
        </is>
      </c>
      <c r="K104" s="95" t="n"/>
      <c r="L104" s="96" t="n"/>
      <c r="M104" s="97" t="n"/>
      <c r="N104" s="98" t="n"/>
      <c r="O104" s="99" t="n"/>
      <c r="P104" s="100" t="inlineStr">
        <is>
          <t>3-AR</t>
        </is>
      </c>
      <c r="Q104" s="102" t="inlineStr">
        <is>
          <t>HLP</t>
        </is>
      </c>
      <c r="R104" s="110">
        <f>HYPERLINK("#'마스터_품목'!A178","→ 마스터 R178")</f>
        <v/>
      </c>
      <c r="S104" s="111" t="n">
        <v>178</v>
      </c>
      <c r="T104" s="111" t="inlineStr">
        <is>
          <t>마스터_품목</t>
        </is>
      </c>
    </row>
    <row r="105" ht="48" customHeight="1">
      <c r="A105" s="87" t="inlineStr">
        <is>
          <t>창고</t>
        </is>
      </c>
      <c r="B105" s="87" t="inlineStr">
        <is>
          <t>PANEL</t>
        </is>
      </c>
      <c r="C105" s="88" t="inlineStr">
        <is>
          <t>DX3000, SOLO</t>
        </is>
      </c>
      <c r="D105" s="88" t="inlineStr">
        <is>
          <t>TFT LCD PANEL (2.4"LCD - CT1715N241A)
[DX3000, SOLO]</t>
        </is>
      </c>
      <c r="E105" s="88" t="inlineStr">
        <is>
          <t>2.4" TFT LCD 판넬</t>
        </is>
      </c>
      <c r="F105" s="90" t="inlineStr">
        <is>
          <t>O</t>
        </is>
      </c>
      <c r="G105" s="91" t="n"/>
      <c r="H105" s="92" t="n"/>
      <c r="I105" s="93" t="inlineStr">
        <is>
          <t>AR</t>
        </is>
      </c>
      <c r="J105" s="94" t="inlineStr">
        <is>
          <t>O</t>
        </is>
      </c>
      <c r="K105" s="95" t="n"/>
      <c r="L105" s="96" t="n"/>
      <c r="M105" s="97" t="n"/>
      <c r="N105" s="98" t="inlineStr">
        <is>
          <t>O</t>
        </is>
      </c>
      <c r="O105" s="99" t="n"/>
      <c r="P105" s="100" t="inlineStr">
        <is>
          <t>38-AR</t>
        </is>
      </c>
      <c r="Q105" s="102" t="inlineStr">
        <is>
          <t>클리어디스플레이</t>
        </is>
      </c>
      <c r="R105" s="110">
        <f>HYPERLINK("#'마스터_품목'!A179","→ 마스터 R179")</f>
        <v/>
      </c>
      <c r="S105" s="111" t="n">
        <v>179</v>
      </c>
      <c r="T105" s="111" t="inlineStr">
        <is>
          <t>마스터_품목</t>
        </is>
      </c>
    </row>
    <row r="106" ht="48" customHeight="1">
      <c r="A106" s="87" t="inlineStr">
        <is>
          <t>창고</t>
        </is>
      </c>
      <c r="B106" s="87" t="inlineStr">
        <is>
          <t>CABLE</t>
        </is>
      </c>
      <c r="C106" s="88" t="inlineStr">
        <is>
          <t>DX3000</t>
        </is>
      </c>
      <c r="D106" s="88" t="inlineStr">
        <is>
          <t>하네스 1번 (FFC 20핀)
[DX3000]</t>
        </is>
      </c>
      <c r="E106" s="88" t="inlineStr">
        <is>
          <t>FFC 20핀 - 하네스1</t>
        </is>
      </c>
      <c r="F106" s="90" t="inlineStr">
        <is>
          <t>O</t>
        </is>
      </c>
      <c r="G106" s="91" t="n"/>
      <c r="H106" s="92" t="n"/>
      <c r="I106" s="93" t="inlineStr">
        <is>
          <t>AR</t>
        </is>
      </c>
      <c r="J106" s="94" t="inlineStr">
        <is>
          <t>O</t>
        </is>
      </c>
      <c r="K106" s="95" t="n"/>
      <c r="L106" s="96" t="n"/>
      <c r="M106" s="97" t="n"/>
      <c r="N106" s="98" t="n"/>
      <c r="O106" s="99" t="n"/>
      <c r="P106" s="100" t="inlineStr">
        <is>
          <t>3-AR</t>
        </is>
      </c>
      <c r="Q106" s="102" t="inlineStr">
        <is>
          <t>HLP</t>
        </is>
      </c>
      <c r="R106" s="110">
        <f>HYPERLINK("#'마스터_품목'!A207","→ 마스터 R207")</f>
        <v/>
      </c>
      <c r="S106" s="111" t="n">
        <v>207</v>
      </c>
      <c r="T106" s="111" t="inlineStr">
        <is>
          <t>마스터_품목</t>
        </is>
      </c>
    </row>
    <row r="107" ht="48" customHeight="1">
      <c r="A107" s="87" t="inlineStr">
        <is>
          <t>창고</t>
        </is>
      </c>
      <c r="B107" s="87" t="inlineStr">
        <is>
          <t>PU FOAM</t>
        </is>
      </c>
      <c r="C107" s="88" t="inlineStr">
        <is>
          <t>ADX4000W</t>
        </is>
      </c>
      <c r="D107" s="88" t="inlineStr">
        <is>
          <t>가방 내부 폼 (20cm cone용, 40 * 60)
[ADX4000W]</t>
        </is>
      </c>
      <c r="E107" s="88" t="inlineStr">
        <is>
          <t>ADX4000W _ [20cm cone용] 내부 FOAM (상판 ,하판,계란판)</t>
        </is>
      </c>
      <c r="F107" s="90" t="inlineStr">
        <is>
          <t>O</t>
        </is>
      </c>
      <c r="G107" s="91" t="n"/>
      <c r="H107" s="92" t="n"/>
      <c r="I107" s="93" t="inlineStr">
        <is>
          <t>PR</t>
        </is>
      </c>
      <c r="J107" s="94" t="n"/>
      <c r="K107" s="95" t="inlineStr">
        <is>
          <t>O</t>
        </is>
      </c>
      <c r="L107" s="96" t="n"/>
      <c r="M107" s="97" t="n"/>
      <c r="N107" s="98" t="n"/>
      <c r="O107" s="99" t="n"/>
      <c r="P107" s="100" t="inlineStr">
        <is>
          <t>4-PR</t>
        </is>
      </c>
      <c r="Q107" s="102" t="inlineStr">
        <is>
          <t>굿모닝코리아유통</t>
        </is>
      </c>
      <c r="R107" s="110">
        <f>HYPERLINK("#'마스터_품목'!A660","→ 마스터 R660")</f>
        <v/>
      </c>
      <c r="S107" s="111" t="n">
        <v>660</v>
      </c>
      <c r="T107" s="111" t="inlineStr">
        <is>
          <t>마스터_품목</t>
        </is>
      </c>
    </row>
    <row r="108" ht="48" customHeight="1">
      <c r="A108" s="87" t="inlineStr">
        <is>
          <t>창고</t>
        </is>
      </c>
      <c r="B108" s="87" t="inlineStr">
        <is>
          <t>CABLE</t>
        </is>
      </c>
      <c r="C108" s="88" t="inlineStr">
        <is>
          <t>DX3000</t>
        </is>
      </c>
      <c r="D108" s="88" t="inlineStr">
        <is>
          <t>하네스 5번 (EXP KEY 4핀 케이블)
[DX3000]</t>
        </is>
      </c>
      <c r="E108" s="88" t="inlineStr">
        <is>
          <t>EXP KEY 4핀 케이블 - 하네스5 (개당 2개씩)</t>
        </is>
      </c>
      <c r="F108" s="90" t="inlineStr">
        <is>
          <t>O</t>
        </is>
      </c>
      <c r="G108" s="91" t="n"/>
      <c r="H108" s="92" t="n"/>
      <c r="I108" s="93" t="inlineStr">
        <is>
          <t>AR</t>
        </is>
      </c>
      <c r="J108" s="94" t="inlineStr">
        <is>
          <t>O</t>
        </is>
      </c>
      <c r="K108" s="95" t="n"/>
      <c r="L108" s="96" t="n"/>
      <c r="M108" s="97" t="n"/>
      <c r="N108" s="98" t="n"/>
      <c r="O108" s="99" t="n"/>
      <c r="P108" s="100" t="inlineStr">
        <is>
          <t>3-AR</t>
        </is>
      </c>
      <c r="Q108" s="102" t="inlineStr">
        <is>
          <t>HLP</t>
        </is>
      </c>
      <c r="R108" s="110">
        <f>HYPERLINK("#'마스터_품목'!A208","→ 마스터 R208")</f>
        <v/>
      </c>
      <c r="S108" s="111" t="n">
        <v>208</v>
      </c>
      <c r="T108" s="111" t="inlineStr">
        <is>
          <t>마스터_품목</t>
        </is>
      </c>
    </row>
    <row r="109" ht="48" customHeight="1">
      <c r="A109" s="87" t="inlineStr">
        <is>
          <t>창고</t>
        </is>
      </c>
      <c r="B109" s="87" t="inlineStr">
        <is>
          <t>오링</t>
        </is>
      </c>
      <c r="C109" s="88" t="inlineStr">
        <is>
          <t>ADX4000W</t>
        </is>
      </c>
      <c r="D109" s="88" t="inlineStr">
        <is>
          <t>연아크릴 실리콘 오링
[ADX4000W]</t>
        </is>
      </c>
      <c r="E109" s="88" t="inlineStr">
        <is>
          <t>ADX4000용 연아크릴 실리콘 오링 4040</t>
        </is>
      </c>
      <c r="F109" s="90" t="inlineStr">
        <is>
          <t>O</t>
        </is>
      </c>
      <c r="G109" s="91" t="n"/>
      <c r="H109" s="92" t="n"/>
      <c r="I109" s="93" t="inlineStr">
        <is>
          <t>PR</t>
        </is>
      </c>
      <c r="J109" s="94" t="n"/>
      <c r="K109" s="95" t="inlineStr">
        <is>
          <t>O</t>
        </is>
      </c>
      <c r="L109" s="96" t="n"/>
      <c r="M109" s="97" t="n"/>
      <c r="N109" s="98" t="n"/>
      <c r="O109" s="99" t="n"/>
      <c r="P109" s="100" t="inlineStr">
        <is>
          <t>4-PR</t>
        </is>
      </c>
      <c r="Q109" s="102" t="inlineStr">
        <is>
          <t>직구</t>
        </is>
      </c>
      <c r="R109" s="110">
        <f>HYPERLINK("#'마스터_품목'!A608","→ 마스터 R608")</f>
        <v/>
      </c>
      <c r="S109" s="111" t="n">
        <v>608</v>
      </c>
      <c r="T109" s="111" t="inlineStr">
        <is>
          <t>마스터_품목</t>
        </is>
      </c>
    </row>
    <row r="110" ht="48" customHeight="1">
      <c r="A110" s="87" t="inlineStr">
        <is>
          <t>창고</t>
        </is>
      </c>
      <c r="B110" s="87" t="inlineStr">
        <is>
          <t>CABLE</t>
        </is>
      </c>
      <c r="C110" s="88" t="inlineStr">
        <is>
          <t>DX3000</t>
        </is>
      </c>
      <c r="D110" s="88" t="inlineStr">
        <is>
          <t>하네스 8번 (CJ4003 잭 (관전류 짹 + 2핀케이블))
[DX3000]</t>
        </is>
      </c>
      <c r="E110" s="88" t="inlineStr">
        <is>
          <t>CJ4003 JACK (관전류 짹 + 2핀케이블) - 하네스8</t>
        </is>
      </c>
      <c r="F110" s="90" t="inlineStr">
        <is>
          <t>O</t>
        </is>
      </c>
      <c r="G110" s="91" t="n"/>
      <c r="H110" s="92" t="n"/>
      <c r="I110" s="93" t="inlineStr">
        <is>
          <t>AR</t>
        </is>
      </c>
      <c r="J110" s="94" t="inlineStr">
        <is>
          <t>O</t>
        </is>
      </c>
      <c r="K110" s="95" t="n"/>
      <c r="L110" s="96" t="n"/>
      <c r="M110" s="97" t="n"/>
      <c r="N110" s="98" t="n"/>
      <c r="O110" s="99" t="n"/>
      <c r="P110" s="100" t="inlineStr">
        <is>
          <t>3-AR</t>
        </is>
      </c>
      <c r="Q110" s="102" t="inlineStr">
        <is>
          <t>HLP</t>
        </is>
      </c>
      <c r="R110" s="110">
        <f>HYPERLINK("#'마스터_품목'!A206","→ 마스터 R206")</f>
        <v/>
      </c>
      <c r="S110" s="111" t="n">
        <v>206</v>
      </c>
      <c r="T110" s="111" t="inlineStr">
        <is>
          <t>마스터_품목</t>
        </is>
      </c>
    </row>
    <row r="111" ht="48" customHeight="1">
      <c r="A111" s="87" t="inlineStr">
        <is>
          <t>창고</t>
        </is>
      </c>
      <c r="B111" s="87" t="inlineStr">
        <is>
          <t>ABS 난연</t>
        </is>
      </c>
      <c r="C111" s="88" t="inlineStr">
        <is>
          <t>DX3000</t>
        </is>
      </c>
      <c r="D111" s="88" t="inlineStr">
        <is>
          <t>LCD GUIDE (ABS 난연 화이트)
[DX3000]</t>
        </is>
      </c>
      <c r="E111" s="88" t="inlineStr">
        <is>
          <t>LCD GUIDE</t>
        </is>
      </c>
      <c r="F111" s="90" t="inlineStr">
        <is>
          <t>O</t>
        </is>
      </c>
      <c r="G111" s="91" t="n"/>
      <c r="H111" s="92" t="n"/>
      <c r="I111" s="93" t="inlineStr">
        <is>
          <t>AR</t>
        </is>
      </c>
      <c r="J111" s="94" t="inlineStr">
        <is>
          <t>O</t>
        </is>
      </c>
      <c r="K111" s="95" t="n"/>
      <c r="L111" s="96" t="n"/>
      <c r="M111" s="97" t="n"/>
      <c r="N111" s="98" t="n"/>
      <c r="O111" s="99" t="n"/>
      <c r="P111" s="100" t="inlineStr">
        <is>
          <t>3-AR</t>
        </is>
      </c>
      <c r="Q111" s="102" t="inlineStr">
        <is>
          <t>천우</t>
        </is>
      </c>
      <c r="R111" s="110">
        <f>HYPERLINK("#'마스터_품목'!A180","→ 마스터 R180")</f>
        <v/>
      </c>
      <c r="S111" s="111" t="n">
        <v>180</v>
      </c>
      <c r="T111" s="111" t="inlineStr">
        <is>
          <t>마스터_품목</t>
        </is>
      </c>
    </row>
    <row r="112" ht="48" customHeight="1">
      <c r="A112" s="87" t="inlineStr">
        <is>
          <t>창고</t>
        </is>
      </c>
      <c r="B112" s="87" t="inlineStr">
        <is>
          <t>AL 스티커</t>
        </is>
      </c>
      <c r="C112" s="88" t="inlineStr">
        <is>
          <t>ADX4000W</t>
        </is>
      </c>
      <c r="D112" s="88" t="inlineStr">
        <is>
          <t>NAME PLATE
[ADX4000W]</t>
        </is>
      </c>
      <c r="E112" s="88" t="inlineStr">
        <is>
          <t>ADX4000 NAME PLATE</t>
        </is>
      </c>
      <c r="F112" s="90" t="inlineStr">
        <is>
          <t>O</t>
        </is>
      </c>
      <c r="G112" s="91" t="n"/>
      <c r="H112" s="92" t="n"/>
      <c r="I112" s="93" t="inlineStr">
        <is>
          <t>PR</t>
        </is>
      </c>
      <c r="J112" s="94" t="n"/>
      <c r="K112" s="95" t="inlineStr">
        <is>
          <t>O</t>
        </is>
      </c>
      <c r="L112" s="96" t="n"/>
      <c r="M112" s="97" t="n"/>
      <c r="N112" s="98" t="n"/>
      <c r="O112" s="99" t="n"/>
      <c r="P112" s="100" t="inlineStr">
        <is>
          <t>4-PR</t>
        </is>
      </c>
      <c r="Q112" s="102" t="inlineStr">
        <is>
          <t>에덴상공사</t>
        </is>
      </c>
      <c r="R112" s="110">
        <f>HYPERLINK("#'마스터_품목'!A616","→ 마스터 R616")</f>
        <v/>
      </c>
      <c r="S112" s="111" t="n">
        <v>616</v>
      </c>
      <c r="T112" s="111" t="inlineStr">
        <is>
          <t>마스터_품목</t>
        </is>
      </c>
    </row>
    <row r="113" ht="48" customHeight="1">
      <c r="A113" s="87" t="inlineStr">
        <is>
          <t>창고</t>
        </is>
      </c>
      <c r="B113" s="87" t="inlineStr">
        <is>
          <t>ABS 난연</t>
        </is>
      </c>
      <c r="C113" s="88" t="inlineStr">
        <is>
          <t>DX3000</t>
        </is>
      </c>
      <c r="D113" s="88" t="inlineStr">
        <is>
          <t>FRONT COVER (듀얼 슬라이드) (ABS 난연 블랙)
[DX3000]</t>
        </is>
      </c>
      <c r="E113" s="88" t="inlineStr">
        <is>
          <t>FRONT COVER (듀얼 슬라이드)</t>
        </is>
      </c>
      <c r="F113" s="90" t="inlineStr">
        <is>
          <t>O</t>
        </is>
      </c>
      <c r="G113" s="91" t="n"/>
      <c r="H113" s="92" t="n"/>
      <c r="I113" s="93" t="inlineStr">
        <is>
          <t>AR</t>
        </is>
      </c>
      <c r="J113" s="94" t="inlineStr">
        <is>
          <t>O</t>
        </is>
      </c>
      <c r="K113" s="95" t="n"/>
      <c r="L113" s="96" t="n"/>
      <c r="M113" s="97" t="n"/>
      <c r="N113" s="98" t="n"/>
      <c r="O113" s="99" t="n"/>
      <c r="P113" s="100" t="inlineStr">
        <is>
          <t>3-AR</t>
        </is>
      </c>
      <c r="Q113" s="102" t="inlineStr">
        <is>
          <t>천우</t>
        </is>
      </c>
      <c r="R113" s="110">
        <f>HYPERLINK("#'마스터_품목'!A184","→ 마스터 R184")</f>
        <v/>
      </c>
      <c r="S113" s="111" t="n">
        <v>184</v>
      </c>
      <c r="T113" s="111" t="inlineStr">
        <is>
          <t>마스터_품목</t>
        </is>
      </c>
    </row>
    <row r="114" ht="48" customHeight="1">
      <c r="A114" s="87" t="inlineStr">
        <is>
          <t>창고</t>
        </is>
      </c>
      <c r="B114" s="87" t="inlineStr">
        <is>
          <t>제품 거치대</t>
        </is>
      </c>
      <c r="C114" s="88" t="inlineStr">
        <is>
          <t>ADX4000W</t>
        </is>
      </c>
      <c r="D114" s="88" t="inlineStr">
        <is>
          <t>스탠드홀드 (은색)
[ADX4000W]</t>
        </is>
      </c>
      <c r="E114" s="88" t="inlineStr">
        <is>
          <t>스탠드 홀드 (메탈)</t>
        </is>
      </c>
      <c r="F114" s="90" t="inlineStr">
        <is>
          <t>O</t>
        </is>
      </c>
      <c r="G114" s="91" t="n"/>
      <c r="H114" s="92" t="n"/>
      <c r="I114" s="93" t="inlineStr">
        <is>
          <t>PR</t>
        </is>
      </c>
      <c r="J114" s="94" t="n"/>
      <c r="K114" s="95" t="inlineStr">
        <is>
          <t>O</t>
        </is>
      </c>
      <c r="L114" s="96" t="n"/>
      <c r="M114" s="97" t="n"/>
      <c r="N114" s="98" t="n"/>
      <c r="O114" s="99" t="n"/>
      <c r="P114" s="100" t="inlineStr">
        <is>
          <t>4-PR</t>
        </is>
      </c>
      <c r="Q114" s="102" t="inlineStr">
        <is>
          <t>제이케이시스템</t>
        </is>
      </c>
      <c r="R114" s="110">
        <f>HYPERLINK("#'마스터_품목'!A582","→ 마스터 R582")</f>
        <v/>
      </c>
      <c r="S114" s="111" t="n">
        <v>582</v>
      </c>
      <c r="T114" s="111" t="inlineStr">
        <is>
          <t>마스터_품목</t>
        </is>
      </c>
    </row>
    <row r="115" ht="48" customHeight="1">
      <c r="A115" s="87" t="inlineStr">
        <is>
          <t>창고</t>
        </is>
      </c>
      <c r="B115" s="87" t="inlineStr">
        <is>
          <t>ABS 난연</t>
        </is>
      </c>
      <c r="C115" s="88" t="inlineStr">
        <is>
          <t>DX3000</t>
        </is>
      </c>
      <c r="D115" s="88" t="inlineStr">
        <is>
          <t>FRONT COVER (듀얼 슬라이드) (ABS 난연 화이트)
[DX3000]</t>
        </is>
      </c>
      <c r="E115" s="88" t="inlineStr">
        <is>
          <t>FRONT COVER (듀얼 슬라이드)</t>
        </is>
      </c>
      <c r="F115" s="90" t="inlineStr">
        <is>
          <t>O</t>
        </is>
      </c>
      <c r="G115" s="91" t="n"/>
      <c r="H115" s="92" t="n"/>
      <c r="I115" s="93" t="inlineStr">
        <is>
          <t>AR</t>
        </is>
      </c>
      <c r="J115" s="94" t="inlineStr">
        <is>
          <t>O</t>
        </is>
      </c>
      <c r="K115" s="95" t="n"/>
      <c r="L115" s="96" t="n"/>
      <c r="M115" s="97" t="n"/>
      <c r="N115" s="98" t="n"/>
      <c r="O115" s="99" t="n"/>
      <c r="P115" s="100" t="inlineStr">
        <is>
          <t>3-AR</t>
        </is>
      </c>
      <c r="Q115" s="102" t="inlineStr">
        <is>
          <t>천우</t>
        </is>
      </c>
      <c r="R115" s="110">
        <f>HYPERLINK("#'마스터_품목'!A185","→ 마스터 R185")</f>
        <v/>
      </c>
      <c r="S115" s="111" t="n">
        <v>185</v>
      </c>
      <c r="T115" s="111" t="inlineStr">
        <is>
          <t>마스터_품목</t>
        </is>
      </c>
    </row>
    <row r="116" ht="48" customHeight="1">
      <c r="A116" s="87" t="inlineStr">
        <is>
          <t>창고</t>
        </is>
      </c>
      <c r="B116" s="87" t="inlineStr">
        <is>
          <t>ABS 난연</t>
        </is>
      </c>
      <c r="C116" s="88" t="inlineStr">
        <is>
          <t>DX3000</t>
        </is>
      </c>
      <c r="D116" s="88" t="inlineStr">
        <is>
          <t>REAR COVER (ABS 난연 블랙)
[DX3000]</t>
        </is>
      </c>
      <c r="E116" s="88" t="inlineStr">
        <is>
          <t>REAR COVER</t>
        </is>
      </c>
      <c r="F116" s="90" t="inlineStr">
        <is>
          <t>O</t>
        </is>
      </c>
      <c r="G116" s="91" t="n"/>
      <c r="H116" s="92" t="n"/>
      <c r="I116" s="93" t="inlineStr">
        <is>
          <t>AR</t>
        </is>
      </c>
      <c r="J116" s="94" t="inlineStr">
        <is>
          <t>O</t>
        </is>
      </c>
      <c r="K116" s="95" t="n"/>
      <c r="L116" s="96" t="n"/>
      <c r="M116" s="97" t="n"/>
      <c r="N116" s="98" t="n"/>
      <c r="O116" s="99" t="n"/>
      <c r="P116" s="100" t="inlineStr">
        <is>
          <t>3-AR</t>
        </is>
      </c>
      <c r="Q116" s="102" t="inlineStr">
        <is>
          <t>천우</t>
        </is>
      </c>
      <c r="R116" s="110">
        <f>HYPERLINK("#'마스터_품목'!A186","→ 마스터 R186")</f>
        <v/>
      </c>
      <c r="S116" s="111" t="n">
        <v>186</v>
      </c>
      <c r="T116" s="111" t="inlineStr">
        <is>
          <t>마스터_품목</t>
        </is>
      </c>
    </row>
    <row r="117" ht="48" customHeight="1">
      <c r="A117" s="87" t="inlineStr">
        <is>
          <t>창고</t>
        </is>
      </c>
      <c r="B117" s="87" t="inlineStr">
        <is>
          <t>ABS 난연</t>
        </is>
      </c>
      <c r="C117" s="88" t="inlineStr">
        <is>
          <t>DX3000</t>
        </is>
      </c>
      <c r="D117" s="88" t="inlineStr">
        <is>
          <t>REAR COVER (ABS 난연 화이트)
[DX3000]</t>
        </is>
      </c>
      <c r="E117" s="88" t="inlineStr">
        <is>
          <t>REAR COVER</t>
        </is>
      </c>
      <c r="F117" s="90" t="inlineStr">
        <is>
          <t>O</t>
        </is>
      </c>
      <c r="G117" s="91" t="n"/>
      <c r="H117" s="92" t="n"/>
      <c r="I117" s="93" t="inlineStr">
        <is>
          <t>AR</t>
        </is>
      </c>
      <c r="J117" s="94" t="inlineStr">
        <is>
          <t>O</t>
        </is>
      </c>
      <c r="K117" s="95" t="n"/>
      <c r="L117" s="96" t="n"/>
      <c r="M117" s="97" t="n"/>
      <c r="N117" s="98" t="n"/>
      <c r="O117" s="99" t="n"/>
      <c r="P117" s="100" t="inlineStr">
        <is>
          <t>3-AR</t>
        </is>
      </c>
      <c r="Q117" s="102" t="inlineStr">
        <is>
          <t>천우</t>
        </is>
      </c>
      <c r="R117" s="110">
        <f>HYPERLINK("#'마스터_품목'!A187","→ 마스터 R187")</f>
        <v/>
      </c>
      <c r="S117" s="111" t="n">
        <v>187</v>
      </c>
      <c r="T117" s="111" t="inlineStr">
        <is>
          <t>마스터_품목</t>
        </is>
      </c>
    </row>
    <row r="118" ht="48" customHeight="1">
      <c r="A118" s="87" t="inlineStr">
        <is>
          <t>창고</t>
        </is>
      </c>
      <c r="B118" s="87" t="inlineStr">
        <is>
          <t>ABS 난연</t>
        </is>
      </c>
      <c r="C118" s="88" t="inlineStr">
        <is>
          <t>DX3000</t>
        </is>
      </c>
      <c r="D118" s="88" t="inlineStr">
        <is>
          <t>BATTERY COVER (ABS 난연 블랙 + 블랙)
[DX3000]</t>
        </is>
      </c>
      <c r="E118" s="88" t="inlineStr">
        <is>
          <t>배터리커버</t>
        </is>
      </c>
      <c r="F118" s="90" t="inlineStr">
        <is>
          <t>O</t>
        </is>
      </c>
      <c r="G118" s="91" t="n"/>
      <c r="H118" s="92" t="n"/>
      <c r="I118" s="93" t="inlineStr">
        <is>
          <t>AR</t>
        </is>
      </c>
      <c r="J118" s="94" t="inlineStr">
        <is>
          <t>O</t>
        </is>
      </c>
      <c r="K118" s="95" t="n"/>
      <c r="L118" s="96" t="n"/>
      <c r="M118" s="97" t="n"/>
      <c r="N118" s="98" t="n"/>
      <c r="O118" s="99" t="n"/>
      <c r="P118" s="100" t="inlineStr">
        <is>
          <t>3-AR</t>
        </is>
      </c>
      <c r="Q118" s="102" t="inlineStr">
        <is>
          <t>천우</t>
        </is>
      </c>
      <c r="R118" s="110">
        <f>HYPERLINK("#'마스터_품목'!A203","→ 마스터 R203")</f>
        <v/>
      </c>
      <c r="S118" s="111" t="n">
        <v>203</v>
      </c>
      <c r="T118" s="111" t="inlineStr">
        <is>
          <t>마스터_품목</t>
        </is>
      </c>
    </row>
    <row r="119" ht="48" customHeight="1">
      <c r="A119" s="87" t="inlineStr">
        <is>
          <t>창고</t>
        </is>
      </c>
      <c r="B119" s="87" t="inlineStr">
        <is>
          <t>ABS 난연</t>
        </is>
      </c>
      <c r="C119" s="88" t="inlineStr">
        <is>
          <t>DX3000</t>
        </is>
      </c>
      <c r="D119" s="88" t="inlineStr">
        <is>
          <t>BATTERY COVER (ABS 난연 화이트 + 진한 회색)
[DX3000]</t>
        </is>
      </c>
      <c r="E119" s="88" t="inlineStr">
        <is>
          <t>배터리커버</t>
        </is>
      </c>
      <c r="F119" s="90" t="inlineStr">
        <is>
          <t>O</t>
        </is>
      </c>
      <c r="G119" s="91" t="n"/>
      <c r="H119" s="92" t="n"/>
      <c r="I119" s="93" t="inlineStr">
        <is>
          <t>AR</t>
        </is>
      </c>
      <c r="J119" s="94" t="inlineStr">
        <is>
          <t>O</t>
        </is>
      </c>
      <c r="K119" s="95" t="n"/>
      <c r="L119" s="96" t="n"/>
      <c r="M119" s="97" t="n"/>
      <c r="N119" s="98" t="n"/>
      <c r="O119" s="99" t="n"/>
      <c r="P119" s="100" t="inlineStr">
        <is>
          <t>3-AR</t>
        </is>
      </c>
      <c r="Q119" s="102" t="inlineStr">
        <is>
          <t>천우</t>
        </is>
      </c>
      <c r="R119" s="110">
        <f>HYPERLINK("#'마스터_품목'!A202","→ 마스터 R202")</f>
        <v/>
      </c>
      <c r="S119" s="111" t="n">
        <v>202</v>
      </c>
      <c r="T119" s="111" t="inlineStr">
        <is>
          <t>마스터_품목</t>
        </is>
      </c>
    </row>
    <row r="120" ht="48" customHeight="1">
      <c r="A120" s="87" t="inlineStr">
        <is>
          <t>창고</t>
        </is>
      </c>
      <c r="B120" s="87" t="inlineStr">
        <is>
          <t>ABS 난연</t>
        </is>
      </c>
      <c r="C120" s="88" t="inlineStr">
        <is>
          <t>DX3000</t>
        </is>
      </c>
      <c r="D120" s="88" t="inlineStr">
        <is>
          <t>POWER BUTTON (ABS 난연 화이트 + 밝은 회색)
[DX3000]</t>
        </is>
      </c>
      <c r="E120" s="88" t="inlineStr">
        <is>
          <t>POWER BUTTON</t>
        </is>
      </c>
      <c r="F120" s="90" t="inlineStr">
        <is>
          <t>O</t>
        </is>
      </c>
      <c r="G120" s="91" t="n"/>
      <c r="H120" s="92" t="n"/>
      <c r="I120" s="93" t="inlineStr">
        <is>
          <t>AR</t>
        </is>
      </c>
      <c r="J120" s="94" t="inlineStr">
        <is>
          <t>O</t>
        </is>
      </c>
      <c r="K120" s="95" t="n"/>
      <c r="L120" s="96" t="n"/>
      <c r="M120" s="97" t="n"/>
      <c r="N120" s="98" t="n"/>
      <c r="O120" s="99" t="n"/>
      <c r="P120" s="100" t="inlineStr">
        <is>
          <t>3-AR</t>
        </is>
      </c>
      <c r="Q120" s="102" t="inlineStr">
        <is>
          <t>천우</t>
        </is>
      </c>
      <c r="R120" s="110">
        <f>HYPERLINK("#'마스터_품목'!A183","→ 마스터 R183")</f>
        <v/>
      </c>
      <c r="S120" s="111" t="n">
        <v>183</v>
      </c>
      <c r="T120" s="111" t="inlineStr">
        <is>
          <t>마스터_품목</t>
        </is>
      </c>
    </row>
    <row r="121" ht="48" customHeight="1">
      <c r="A121" s="87" t="inlineStr">
        <is>
          <t>창고</t>
        </is>
      </c>
      <c r="B121" s="87" t="inlineStr">
        <is>
          <t>ABS 난연</t>
        </is>
      </c>
      <c r="C121" s="88" t="inlineStr">
        <is>
          <t>DX3000</t>
        </is>
      </c>
      <c r="D121" s="88" t="inlineStr">
        <is>
          <t>EX BUTTON (ABS 난연 화이트 + 밝은 회색)
[DX3000]</t>
        </is>
      </c>
      <c r="E121" s="88" t="inlineStr">
        <is>
          <t>EX BUTTON (개당 두개씩)</t>
        </is>
      </c>
      <c r="F121" s="90" t="inlineStr">
        <is>
          <t>O</t>
        </is>
      </c>
      <c r="G121" s="91" t="n"/>
      <c r="H121" s="92" t="n"/>
      <c r="I121" s="93" t="inlineStr">
        <is>
          <t>AR</t>
        </is>
      </c>
      <c r="J121" s="94" t="inlineStr">
        <is>
          <t>O</t>
        </is>
      </c>
      <c r="K121" s="95" t="n"/>
      <c r="L121" s="96" t="n"/>
      <c r="M121" s="97" t="n"/>
      <c r="N121" s="98" t="n"/>
      <c r="O121" s="99" t="n"/>
      <c r="P121" s="100" t="inlineStr">
        <is>
          <t>3-AR</t>
        </is>
      </c>
      <c r="Q121" s="102" t="inlineStr">
        <is>
          <t>천우</t>
        </is>
      </c>
      <c r="R121" s="110">
        <f>HYPERLINK("#'마스터_품목'!A191","→ 마스터 R191")</f>
        <v/>
      </c>
      <c r="S121" s="111" t="n">
        <v>191</v>
      </c>
      <c r="T121" s="111" t="inlineStr">
        <is>
          <t>마스터_품목</t>
        </is>
      </c>
    </row>
    <row r="122" ht="48" customHeight="1">
      <c r="A122" s="87" t="inlineStr">
        <is>
          <t>창고</t>
        </is>
      </c>
      <c r="B122" s="87" t="inlineStr">
        <is>
          <t>ABS 난연</t>
        </is>
      </c>
      <c r="C122" s="88" t="inlineStr">
        <is>
          <t>DX3000</t>
        </is>
      </c>
      <c r="D122" s="88" t="inlineStr">
        <is>
          <t>NAVI KEY (ABS 난연 화이트 + 밝은 회색)
[DX3000]</t>
        </is>
      </c>
      <c r="E122" s="88" t="inlineStr">
        <is>
          <t>NAVI KEY</t>
        </is>
      </c>
      <c r="F122" s="90" t="inlineStr">
        <is>
          <t>O</t>
        </is>
      </c>
      <c r="G122" s="91" t="n"/>
      <c r="H122" s="92" t="n"/>
      <c r="I122" s="93" t="inlineStr">
        <is>
          <t>AR</t>
        </is>
      </c>
      <c r="J122" s="94" t="inlineStr">
        <is>
          <t>O</t>
        </is>
      </c>
      <c r="K122" s="95" t="n"/>
      <c r="L122" s="96" t="n"/>
      <c r="M122" s="97" t="n"/>
      <c r="N122" s="98" t="n"/>
      <c r="O122" s="99" t="n"/>
      <c r="P122" s="100" t="inlineStr">
        <is>
          <t>3-AR</t>
        </is>
      </c>
      <c r="Q122" s="102" t="inlineStr">
        <is>
          <t>천우</t>
        </is>
      </c>
      <c r="R122" s="110">
        <f>HYPERLINK("#'마스터_품목'!A181","→ 마스터 R181")</f>
        <v/>
      </c>
      <c r="S122" s="111" t="n">
        <v>181</v>
      </c>
      <c r="T122" s="111" t="inlineStr">
        <is>
          <t>마스터_품목</t>
        </is>
      </c>
    </row>
    <row r="123" ht="48" customHeight="1">
      <c r="A123" s="87" t="inlineStr">
        <is>
          <t>창고</t>
        </is>
      </c>
      <c r="B123" s="87" t="inlineStr">
        <is>
          <t>ABS 난연</t>
        </is>
      </c>
      <c r="C123" s="88" t="inlineStr">
        <is>
          <t>DX3000</t>
        </is>
      </c>
      <c r="D123" s="88" t="inlineStr">
        <is>
          <t>DECO GUIDE (ABS 난연 화이트 + 진한 회색)
[DX3000]</t>
        </is>
      </c>
      <c r="E123" s="88" t="inlineStr">
        <is>
          <t>데코가이드</t>
        </is>
      </c>
      <c r="F123" s="90" t="inlineStr">
        <is>
          <t>O</t>
        </is>
      </c>
      <c r="G123" s="91" t="n"/>
      <c r="H123" s="92" t="n"/>
      <c r="I123" s="93" t="inlineStr">
        <is>
          <t>AR</t>
        </is>
      </c>
      <c r="J123" s="94" t="inlineStr">
        <is>
          <t>O</t>
        </is>
      </c>
      <c r="K123" s="95" t="n"/>
      <c r="L123" s="96" t="n"/>
      <c r="M123" s="97" t="n"/>
      <c r="N123" s="98" t="n"/>
      <c r="O123" s="99" t="n"/>
      <c r="P123" s="100" t="inlineStr">
        <is>
          <t>3-AR</t>
        </is>
      </c>
      <c r="Q123" s="102" t="inlineStr">
        <is>
          <t>천우</t>
        </is>
      </c>
      <c r="R123" s="110">
        <f>HYPERLINK("#'마스터_품목'!A204","→ 마스터 R204")</f>
        <v/>
      </c>
      <c r="S123" s="111" t="n">
        <v>204</v>
      </c>
      <c r="T123" s="111" t="inlineStr">
        <is>
          <t>마스터_품목</t>
        </is>
      </c>
    </row>
    <row r="124" ht="48" customHeight="1">
      <c r="A124" s="87" t="inlineStr">
        <is>
          <t>창고</t>
        </is>
      </c>
      <c r="B124" s="87" t="inlineStr">
        <is>
          <t>ABS 난연</t>
        </is>
      </c>
      <c r="C124" s="88" t="inlineStr">
        <is>
          <t>DX3000</t>
        </is>
      </c>
      <c r="D124" s="88" t="inlineStr">
        <is>
          <t>20cm CONE (ABS 난연 블랙 + 블랙 무광)
[DX3000]</t>
        </is>
      </c>
      <c r="E124" s="88" t="inlineStr">
        <is>
          <t>20cm CONE</t>
        </is>
      </c>
      <c r="F124" s="90" t="inlineStr">
        <is>
          <t>O</t>
        </is>
      </c>
      <c r="G124" s="91" t="n"/>
      <c r="H124" s="92" t="n"/>
      <c r="I124" s="93" t="inlineStr">
        <is>
          <t>AR</t>
        </is>
      </c>
      <c r="J124" s="94" t="inlineStr">
        <is>
          <t>O</t>
        </is>
      </c>
      <c r="K124" s="95" t="n"/>
      <c r="L124" s="96" t="n"/>
      <c r="M124" s="97" t="n"/>
      <c r="N124" s="98" t="n"/>
      <c r="O124" s="99" t="n"/>
      <c r="P124" s="100" t="inlineStr">
        <is>
          <t>3-AR</t>
        </is>
      </c>
      <c r="Q124" s="102" t="inlineStr">
        <is>
          <t>천우</t>
        </is>
      </c>
      <c r="R124" s="110">
        <f>HYPERLINK("#'마스터_품목'!A195","→ 마스터 R195")</f>
        <v/>
      </c>
      <c r="S124" s="111" t="n">
        <v>195</v>
      </c>
      <c r="T124" s="111" t="inlineStr">
        <is>
          <t>마스터_품목</t>
        </is>
      </c>
    </row>
    <row r="125" ht="48" customHeight="1">
      <c r="A125" s="87" t="inlineStr">
        <is>
          <t>창고</t>
        </is>
      </c>
      <c r="B125" s="87" t="inlineStr">
        <is>
          <t>ABS 난연</t>
        </is>
      </c>
      <c r="C125" s="88" t="inlineStr">
        <is>
          <t>DX3000</t>
        </is>
      </c>
      <c r="D125" s="88" t="inlineStr">
        <is>
          <t>20cm CONE (ABS 난연 화이트)
[DX3000]</t>
        </is>
      </c>
      <c r="E125" s="88" t="inlineStr">
        <is>
          <t>20cm CONE</t>
        </is>
      </c>
      <c r="F125" s="90" t="inlineStr">
        <is>
          <t>O</t>
        </is>
      </c>
      <c r="G125" s="91" t="n"/>
      <c r="H125" s="92" t="n"/>
      <c r="I125" s="93" t="inlineStr">
        <is>
          <t>AR</t>
        </is>
      </c>
      <c r="J125" s="94" t="inlineStr">
        <is>
          <t>O</t>
        </is>
      </c>
      <c r="K125" s="95" t="n"/>
      <c r="L125" s="96" t="n"/>
      <c r="M125" s="97" t="n"/>
      <c r="N125" s="98" t="n"/>
      <c r="O125" s="99" t="n"/>
      <c r="P125" s="100" t="inlineStr">
        <is>
          <t>3-AR</t>
        </is>
      </c>
      <c r="Q125" s="102" t="inlineStr">
        <is>
          <t>천우</t>
        </is>
      </c>
      <c r="R125" s="110">
        <f>HYPERLINK("#'마스터_품목'!A194","→ 마스터 R194")</f>
        <v/>
      </c>
      <c r="S125" s="111" t="n">
        <v>194</v>
      </c>
      <c r="T125" s="111" t="inlineStr">
        <is>
          <t>마스터_품목</t>
        </is>
      </c>
    </row>
    <row r="126" ht="48" customHeight="1">
      <c r="A126" s="87" t="inlineStr">
        <is>
          <t>창고</t>
        </is>
      </c>
      <c r="B126" s="87" t="inlineStr">
        <is>
          <t>ABS 난연</t>
        </is>
      </c>
      <c r="C126" s="88" t="inlineStr">
        <is>
          <t>DX3000</t>
        </is>
      </c>
      <c r="D126" s="88" t="inlineStr">
        <is>
          <t>15cm CONE (ABS 난연 화이트)
[DX3000]</t>
        </is>
      </c>
      <c r="E126" s="88" t="inlineStr">
        <is>
          <t>15cm CONE</t>
        </is>
      </c>
      <c r="F126" s="90" t="inlineStr">
        <is>
          <t>O</t>
        </is>
      </c>
      <c r="G126" s="91" t="n"/>
      <c r="H126" s="92" t="n"/>
      <c r="I126" s="93" t="inlineStr">
        <is>
          <t>AR</t>
        </is>
      </c>
      <c r="J126" s="94" t="inlineStr">
        <is>
          <t>O</t>
        </is>
      </c>
      <c r="K126" s="95" t="n"/>
      <c r="L126" s="96" t="n"/>
      <c r="M126" s="97" t="n"/>
      <c r="N126" s="98" t="n"/>
      <c r="O126" s="99" t="n"/>
      <c r="P126" s="100" t="inlineStr">
        <is>
          <t>3-AR</t>
        </is>
      </c>
      <c r="Q126" s="102" t="inlineStr">
        <is>
          <t>천우</t>
        </is>
      </c>
      <c r="R126" s="110">
        <f>HYPERLINK("#'마스터_품목'!A196","→ 마스터 R196")</f>
        <v/>
      </c>
      <c r="S126" s="111" t="n">
        <v>196</v>
      </c>
      <c r="T126" s="111" t="inlineStr">
        <is>
          <t>마스터_품목</t>
        </is>
      </c>
    </row>
    <row r="127" ht="48" customHeight="1">
      <c r="A127" s="87" t="inlineStr">
        <is>
          <t>창고</t>
        </is>
      </c>
      <c r="B127" s="87" t="inlineStr">
        <is>
          <t>ABS 난연</t>
        </is>
      </c>
      <c r="C127" s="88" t="inlineStr">
        <is>
          <t>DX3000</t>
        </is>
      </c>
      <c r="D127" s="88" t="inlineStr">
        <is>
          <t>X-CAP (기본) (ABS 화이트 + 진한 회색)
[DX3000]</t>
        </is>
      </c>
      <c r="E127" s="88" t="inlineStr">
        <is>
          <t>X-CAP (기본)</t>
        </is>
      </c>
      <c r="F127" s="90" t="inlineStr">
        <is>
          <t>O</t>
        </is>
      </c>
      <c r="G127" s="91" t="n"/>
      <c r="H127" s="92" t="n"/>
      <c r="I127" s="93" t="inlineStr">
        <is>
          <t>AR</t>
        </is>
      </c>
      <c r="J127" s="94" t="inlineStr">
        <is>
          <t>O</t>
        </is>
      </c>
      <c r="K127" s="95" t="n"/>
      <c r="L127" s="96" t="n"/>
      <c r="M127" s="97" t="n"/>
      <c r="N127" s="98" t="n"/>
      <c r="O127" s="99" t="n"/>
      <c r="P127" s="100" t="inlineStr">
        <is>
          <t>3-AR</t>
        </is>
      </c>
      <c r="Q127" s="102" t="inlineStr">
        <is>
          <t>천우</t>
        </is>
      </c>
      <c r="R127" s="110">
        <f>HYPERLINK("#'마스터_품목'!A197","→ 마스터 R197")</f>
        <v/>
      </c>
      <c r="S127" s="111" t="n">
        <v>197</v>
      </c>
      <c r="T127" s="111" t="inlineStr">
        <is>
          <t>마스터_품목</t>
        </is>
      </c>
    </row>
    <row r="128" ht="48" customHeight="1">
      <c r="A128" s="87" t="inlineStr">
        <is>
          <t>창고</t>
        </is>
      </c>
      <c r="B128" s="87" t="inlineStr">
        <is>
          <t>ABS 난연</t>
        </is>
      </c>
      <c r="C128" s="88" t="inlineStr">
        <is>
          <t>DX3000</t>
        </is>
      </c>
      <c r="D128" s="88" t="inlineStr">
        <is>
          <t>X-CAP 체결형 (신형) (ABS 난연 화이트 + 진한 회색)
[DX3000]</t>
        </is>
      </c>
      <c r="E128" s="88" t="inlineStr">
        <is>
          <t>X-CAP 체결형 (신형)</t>
        </is>
      </c>
      <c r="F128" s="90" t="inlineStr">
        <is>
          <t>O</t>
        </is>
      </c>
      <c r="G128" s="91" t="n"/>
      <c r="H128" s="92" t="n"/>
      <c r="I128" s="93" t="inlineStr">
        <is>
          <t>AR</t>
        </is>
      </c>
      <c r="J128" s="94" t="inlineStr">
        <is>
          <t>O</t>
        </is>
      </c>
      <c r="K128" s="95" t="inlineStr">
        <is>
          <t>O</t>
        </is>
      </c>
      <c r="L128" s="96" t="n"/>
      <c r="M128" s="97" t="n"/>
      <c r="N128" s="98" t="n"/>
      <c r="O128" s="99" t="n"/>
      <c r="P128" s="100" t="inlineStr">
        <is>
          <t>34-AR</t>
        </is>
      </c>
      <c r="Q128" s="102" t="inlineStr">
        <is>
          <t>천우</t>
        </is>
      </c>
      <c r="R128" s="110">
        <f>HYPERLINK("#'마스터_품목'!A198","→ 마스터 R198")</f>
        <v/>
      </c>
      <c r="S128" s="111" t="n">
        <v>198</v>
      </c>
      <c r="T128" s="111" t="inlineStr">
        <is>
          <t>마스터_품목</t>
        </is>
      </c>
    </row>
    <row r="129" ht="48" customHeight="1">
      <c r="A129" s="87" t="inlineStr">
        <is>
          <t>창고</t>
        </is>
      </c>
      <c r="B129" s="87" t="inlineStr">
        <is>
          <t>제품 거치대</t>
        </is>
      </c>
      <c r="C129" s="88" t="inlineStr">
        <is>
          <t>ADX4000W</t>
        </is>
      </c>
      <c r="D129" s="88" t="inlineStr">
        <is>
          <t>스탠드홀드(신형) (흰색)
[ADX4000W]</t>
        </is>
      </c>
      <c r="E129" s="88" t="inlineStr">
        <is>
          <t>스탠드 홀드 브라켓 (흰색)</t>
        </is>
      </c>
      <c r="F129" s="90" t="inlineStr">
        <is>
          <t>O</t>
        </is>
      </c>
      <c r="G129" s="91" t="n"/>
      <c r="H129" s="92" t="n"/>
      <c r="I129" s="93" t="inlineStr">
        <is>
          <t>PR</t>
        </is>
      </c>
      <c r="J129" s="94" t="n"/>
      <c r="K129" s="95" t="inlineStr">
        <is>
          <t>O</t>
        </is>
      </c>
      <c r="L129" s="96" t="n"/>
      <c r="M129" s="97" t="n"/>
      <c r="N129" s="98" t="n"/>
      <c r="O129" s="99" t="n"/>
      <c r="P129" s="100" t="inlineStr">
        <is>
          <t>4-PR</t>
        </is>
      </c>
      <c r="Q129" s="102" t="inlineStr">
        <is>
          <t>제이케이시스템</t>
        </is>
      </c>
      <c r="R129" s="110">
        <f>HYPERLINK("#'마스터_품목'!A583","→ 마스터 R583")</f>
        <v/>
      </c>
      <c r="S129" s="111" t="n">
        <v>583</v>
      </c>
      <c r="T129" s="111" t="inlineStr">
        <is>
          <t>마스터_품목</t>
        </is>
      </c>
    </row>
    <row r="130" ht="48" customHeight="1">
      <c r="A130" s="87" t="inlineStr">
        <is>
          <t>창고</t>
        </is>
      </c>
      <c r="B130" s="87" t="inlineStr">
        <is>
          <t>라벨</t>
        </is>
      </c>
      <c r="C130" s="88" t="inlineStr">
        <is>
          <t>ADX4000W</t>
        </is>
      </c>
      <c r="D130" s="88" t="inlineStr">
        <is>
          <t>OS라이센서 라벨 (Windows Embedded Standard 7 "E")
[ADX4000W]</t>
        </is>
      </c>
      <c r="E130" s="88" t="inlineStr">
        <is>
          <t>OS라이센서 라벨</t>
        </is>
      </c>
      <c r="F130" s="90" t="inlineStr">
        <is>
          <t>O</t>
        </is>
      </c>
      <c r="G130" s="91" t="n"/>
      <c r="H130" s="92" t="n"/>
      <c r="I130" s="93" t="inlineStr">
        <is>
          <t>PR</t>
        </is>
      </c>
      <c r="J130" s="94" t="n"/>
      <c r="K130" s="95" t="inlineStr">
        <is>
          <t>O</t>
        </is>
      </c>
      <c r="L130" s="96" t="n"/>
      <c r="M130" s="97" t="n"/>
      <c r="N130" s="98" t="n"/>
      <c r="O130" s="99" t="n"/>
      <c r="P130" s="100" t="inlineStr">
        <is>
          <t>4-PR</t>
        </is>
      </c>
      <c r="Q130" s="102" t="inlineStr">
        <is>
          <t>한컴MDS</t>
        </is>
      </c>
      <c r="R130" s="110">
        <f>HYPERLINK("#'마스터_품목'!A618","→ 마스터 R618")</f>
        <v/>
      </c>
      <c r="S130" s="111" t="n">
        <v>618</v>
      </c>
      <c r="T130" s="111" t="inlineStr">
        <is>
          <t>마스터_품목</t>
        </is>
      </c>
    </row>
    <row r="131" ht="48" customHeight="1">
      <c r="A131" s="87" t="inlineStr">
        <is>
          <t>창고</t>
        </is>
      </c>
      <c r="B131" s="87" t="inlineStr">
        <is>
          <t>전극</t>
        </is>
      </c>
      <c r="C131" s="88" t="inlineStr">
        <is>
          <t>DXDR-070</t>
        </is>
      </c>
      <c r="D131" s="88" t="inlineStr">
        <is>
          <t>전극(70kV) (순철 도금)
[DXDR-070]</t>
        </is>
      </c>
      <c r="E131" s="88" t="inlineStr">
        <is>
          <t>전극(70kV)</t>
        </is>
      </c>
      <c r="F131" s="90" t="inlineStr">
        <is>
          <t>O</t>
        </is>
      </c>
      <c r="G131" s="91" t="n"/>
      <c r="H131" s="92" t="n"/>
      <c r="I131" s="93" t="inlineStr">
        <is>
          <t>TR</t>
        </is>
      </c>
      <c r="J131" s="94" t="n"/>
      <c r="K131" s="95" t="n"/>
      <c r="L131" s="96" t="n"/>
      <c r="M131" s="97" t="inlineStr">
        <is>
          <t>O</t>
        </is>
      </c>
      <c r="N131" s="98" t="n"/>
      <c r="O131" s="99" t="n"/>
      <c r="P131" s="100" t="inlineStr">
        <is>
          <t>7-TR</t>
        </is>
      </c>
      <c r="Q131" s="116" t="n"/>
      <c r="R131" s="110">
        <f>HYPERLINK("#'마스터_품목'!A2","→ 마스터 R2")</f>
        <v/>
      </c>
      <c r="S131" s="111" t="n">
        <v>2</v>
      </c>
      <c r="T131" s="111" t="inlineStr">
        <is>
          <t>마스터_품목</t>
        </is>
      </c>
    </row>
    <row r="132" ht="48" customHeight="1">
      <c r="A132" s="87" t="inlineStr">
        <is>
          <t>창고</t>
        </is>
      </c>
      <c r="B132" s="87" t="inlineStr">
        <is>
          <t>ABS 난연</t>
        </is>
      </c>
      <c r="C132" s="88" t="inlineStr">
        <is>
          <t>DX3000</t>
        </is>
      </c>
      <c r="D132" s="88" t="inlineStr">
        <is>
          <t>메디컬용 컬리메타 (ABS 난연 블랙)
[DX3000]</t>
        </is>
      </c>
      <c r="E132" s="88" t="inlineStr">
        <is>
          <t>메디컬용 콘 가이드</t>
        </is>
      </c>
      <c r="F132" s="90" t="inlineStr">
        <is>
          <t>O</t>
        </is>
      </c>
      <c r="G132" s="91" t="n"/>
      <c r="H132" s="92" t="n"/>
      <c r="I132" s="93" t="inlineStr">
        <is>
          <t>AR</t>
        </is>
      </c>
      <c r="J132" s="94" t="inlineStr">
        <is>
          <t>O</t>
        </is>
      </c>
      <c r="K132" s="95" t="n"/>
      <c r="L132" s="96" t="n"/>
      <c r="M132" s="97" t="n"/>
      <c r="N132" s="98" t="n"/>
      <c r="O132" s="99" t="n"/>
      <c r="P132" s="100" t="inlineStr">
        <is>
          <t>3-AR</t>
        </is>
      </c>
      <c r="Q132" s="102" t="inlineStr">
        <is>
          <t>금오몰드</t>
        </is>
      </c>
      <c r="R132" s="110">
        <f>HYPERLINK("#'마스터_품목'!A232","→ 마스터 R232")</f>
        <v/>
      </c>
      <c r="S132" s="111" t="n">
        <v>232</v>
      </c>
      <c r="T132" s="111" t="inlineStr">
        <is>
          <t>마스터_품목</t>
        </is>
      </c>
    </row>
    <row r="133" ht="48" customHeight="1">
      <c r="A133" s="87" t="inlineStr">
        <is>
          <t>창고</t>
        </is>
      </c>
      <c r="B133" s="87" t="inlineStr">
        <is>
          <t>ABS 난연</t>
        </is>
      </c>
      <c r="C133" s="88" t="inlineStr">
        <is>
          <t>DX3000</t>
        </is>
      </c>
      <c r="D133" s="88" t="inlineStr">
        <is>
          <t>메디컬용 컬리메타 CAP (ABS 난연 블랙 + 블랙 무광)
[DX3000]</t>
        </is>
      </c>
      <c r="E133" s="88" t="inlineStr">
        <is>
          <t>메디컬용 FRONT</t>
        </is>
      </c>
      <c r="F133" s="90" t="inlineStr">
        <is>
          <t>O</t>
        </is>
      </c>
      <c r="G133" s="91" t="n"/>
      <c r="H133" s="92" t="n"/>
      <c r="I133" s="93" t="inlineStr">
        <is>
          <t>AR</t>
        </is>
      </c>
      <c r="J133" s="94" t="inlineStr">
        <is>
          <t>O</t>
        </is>
      </c>
      <c r="K133" s="95" t="n"/>
      <c r="L133" s="96" t="n"/>
      <c r="M133" s="97" t="n"/>
      <c r="N133" s="98" t="n"/>
      <c r="O133" s="99" t="n"/>
      <c r="P133" s="100" t="inlineStr">
        <is>
          <t>3-AR</t>
        </is>
      </c>
      <c r="Q133" s="102" t="inlineStr">
        <is>
          <t>금오몰드</t>
        </is>
      </c>
      <c r="R133" s="110">
        <f>HYPERLINK("#'마스터_품목'!A233","→ 마스터 R233")</f>
        <v/>
      </c>
      <c r="S133" s="111" t="n">
        <v>233</v>
      </c>
      <c r="T133" s="111" t="inlineStr">
        <is>
          <t>마스터_품목</t>
        </is>
      </c>
    </row>
    <row r="134" ht="48" customHeight="1">
      <c r="A134" s="87" t="inlineStr">
        <is>
          <t>창고</t>
        </is>
      </c>
      <c r="B134" s="87" t="inlineStr">
        <is>
          <t>아크릴</t>
        </is>
      </c>
      <c r="C134" s="88" t="inlineStr">
        <is>
          <t>DX3000</t>
        </is>
      </c>
      <c r="D134" s="88" t="inlineStr">
        <is>
          <t>LCD WINDOW (투명 아크릴)
[DX3000]</t>
        </is>
      </c>
      <c r="E134" s="88" t="inlineStr">
        <is>
          <t>LCD 윈도우</t>
        </is>
      </c>
      <c r="F134" s="90" t="inlineStr">
        <is>
          <t>O</t>
        </is>
      </c>
      <c r="G134" s="91" t="n"/>
      <c r="H134" s="92" t="n"/>
      <c r="I134" s="93" t="inlineStr">
        <is>
          <t>AR</t>
        </is>
      </c>
      <c r="J134" s="94" t="inlineStr">
        <is>
          <t>O</t>
        </is>
      </c>
      <c r="K134" s="95" t="n"/>
      <c r="L134" s="96" t="n"/>
      <c r="M134" s="97" t="n"/>
      <c r="N134" s="98" t="n"/>
      <c r="O134" s="99" t="n"/>
      <c r="P134" s="100" t="inlineStr">
        <is>
          <t>3-AR</t>
        </is>
      </c>
      <c r="Q134" s="102" t="inlineStr">
        <is>
          <t>천우</t>
        </is>
      </c>
      <c r="R134" s="110">
        <f>HYPERLINK("#'마스터_품목'!A201","→ 마스터 R201")</f>
        <v/>
      </c>
      <c r="S134" s="111" t="n">
        <v>201</v>
      </c>
      <c r="T134" s="111" t="inlineStr">
        <is>
          <t>마스터_품목</t>
        </is>
      </c>
    </row>
    <row r="135" ht="48" customHeight="1">
      <c r="A135" s="87" t="inlineStr">
        <is>
          <t>창고</t>
        </is>
      </c>
      <c r="B135" s="87" t="inlineStr">
        <is>
          <t>아크릴</t>
        </is>
      </c>
      <c r="C135" s="88" t="inlineStr">
        <is>
          <t>DX3000</t>
        </is>
      </c>
      <c r="D135" s="88" t="inlineStr">
        <is>
          <t>LCD LED (확산 아크릴)
[DX3000]</t>
        </is>
      </c>
      <c r="E135" s="88" t="inlineStr">
        <is>
          <t>LCD LED</t>
        </is>
      </c>
      <c r="F135" s="90" t="inlineStr">
        <is>
          <t>O</t>
        </is>
      </c>
      <c r="G135" s="91" t="n"/>
      <c r="H135" s="92" t="n"/>
      <c r="I135" s="93" t="inlineStr">
        <is>
          <t>AR</t>
        </is>
      </c>
      <c r="J135" s="94" t="inlineStr">
        <is>
          <t>O</t>
        </is>
      </c>
      <c r="K135" s="95" t="n"/>
      <c r="L135" s="96" t="n"/>
      <c r="M135" s="97" t="n"/>
      <c r="N135" s="98" t="n"/>
      <c r="O135" s="99" t="n"/>
      <c r="P135" s="100" t="inlineStr">
        <is>
          <t>3-AR</t>
        </is>
      </c>
      <c r="Q135" s="102" t="inlineStr">
        <is>
          <t>천우</t>
        </is>
      </c>
      <c r="R135" s="110">
        <f>HYPERLINK("#'마스터_품목'!A188","→ 마스터 R188")</f>
        <v/>
      </c>
      <c r="S135" s="111" t="n">
        <v>188</v>
      </c>
      <c r="T135" s="111" t="inlineStr">
        <is>
          <t>마스터_품목</t>
        </is>
      </c>
    </row>
    <row r="136" ht="48" customHeight="1">
      <c r="A136" s="87" t="inlineStr">
        <is>
          <t>창고</t>
        </is>
      </c>
      <c r="B136" s="87" t="inlineStr">
        <is>
          <t>아크릴</t>
        </is>
      </c>
      <c r="C136" s="88" t="inlineStr">
        <is>
          <t>DX3000</t>
        </is>
      </c>
      <c r="D136" s="88" t="inlineStr">
        <is>
          <t>POWER LED (확산 아크릴)
[DX3000]</t>
        </is>
      </c>
      <c r="E136" s="88" t="inlineStr">
        <is>
          <t>POWER LED</t>
        </is>
      </c>
      <c r="F136" s="90" t="inlineStr">
        <is>
          <t>O</t>
        </is>
      </c>
      <c r="G136" s="91" t="n"/>
      <c r="H136" s="92" t="n"/>
      <c r="I136" s="93" t="inlineStr">
        <is>
          <t>AR</t>
        </is>
      </c>
      <c r="J136" s="94" t="inlineStr">
        <is>
          <t>O</t>
        </is>
      </c>
      <c r="K136" s="95" t="n"/>
      <c r="L136" s="96" t="n"/>
      <c r="M136" s="97" t="n"/>
      <c r="N136" s="98" t="n"/>
      <c r="O136" s="99" t="n"/>
      <c r="P136" s="100" t="inlineStr">
        <is>
          <t>3-AR</t>
        </is>
      </c>
      <c r="Q136" s="102" t="inlineStr">
        <is>
          <t>천우</t>
        </is>
      </c>
      <c r="R136" s="110">
        <f>HYPERLINK("#'마스터_품목'!A182","→ 마스터 R182")</f>
        <v/>
      </c>
      <c r="S136" s="111" t="n">
        <v>182</v>
      </c>
      <c r="T136" s="111" t="inlineStr">
        <is>
          <t>마스터_품목</t>
        </is>
      </c>
    </row>
    <row r="137" ht="48" customHeight="1">
      <c r="A137" s="87" t="inlineStr">
        <is>
          <t>창고</t>
        </is>
      </c>
      <c r="B137" s="87" t="inlineStr">
        <is>
          <t>아크릴</t>
        </is>
      </c>
      <c r="C137" s="88" t="inlineStr">
        <is>
          <t>DX3000</t>
        </is>
      </c>
      <c r="D137" s="88" t="inlineStr">
        <is>
          <t>EX LED (좌) (확산 아크릴)
[DX3000]</t>
        </is>
      </c>
      <c r="E137" s="88" t="inlineStr">
        <is>
          <t>EX LED (왼쪽)</t>
        </is>
      </c>
      <c r="F137" s="90" t="inlineStr">
        <is>
          <t>O</t>
        </is>
      </c>
      <c r="G137" s="91" t="n"/>
      <c r="H137" s="92" t="n"/>
      <c r="I137" s="93" t="inlineStr">
        <is>
          <t>AR</t>
        </is>
      </c>
      <c r="J137" s="94" t="inlineStr">
        <is>
          <t>O</t>
        </is>
      </c>
      <c r="K137" s="95" t="n"/>
      <c r="L137" s="96" t="n"/>
      <c r="M137" s="97" t="n"/>
      <c r="N137" s="98" t="n"/>
      <c r="O137" s="99" t="n"/>
      <c r="P137" s="100" t="inlineStr">
        <is>
          <t>3-AR</t>
        </is>
      </c>
      <c r="Q137" s="102" t="inlineStr">
        <is>
          <t>천우</t>
        </is>
      </c>
      <c r="R137" s="110">
        <f>HYPERLINK("#'마스터_품목'!A189","→ 마스터 R189")</f>
        <v/>
      </c>
      <c r="S137" s="111" t="n">
        <v>189</v>
      </c>
      <c r="T137" s="111" t="inlineStr">
        <is>
          <t>마스터_품목</t>
        </is>
      </c>
    </row>
    <row r="138" ht="48" customHeight="1">
      <c r="A138" s="87" t="inlineStr">
        <is>
          <t>창고</t>
        </is>
      </c>
      <c r="B138" s="87" t="inlineStr">
        <is>
          <t>아크릴</t>
        </is>
      </c>
      <c r="C138" s="88" t="inlineStr">
        <is>
          <t>DX3000</t>
        </is>
      </c>
      <c r="D138" s="88" t="inlineStr">
        <is>
          <t>EX LED (우) (확산 아크릴)
[DX3000]</t>
        </is>
      </c>
      <c r="E138" s="88" t="inlineStr">
        <is>
          <t>EX LED (오른쪽)</t>
        </is>
      </c>
      <c r="F138" s="90" t="inlineStr">
        <is>
          <t>O</t>
        </is>
      </c>
      <c r="G138" s="91" t="n"/>
      <c r="H138" s="92" t="n"/>
      <c r="I138" s="93" t="inlineStr">
        <is>
          <t>AR</t>
        </is>
      </c>
      <c r="J138" s="94" t="inlineStr">
        <is>
          <t>O</t>
        </is>
      </c>
      <c r="K138" s="95" t="n"/>
      <c r="L138" s="96" t="n"/>
      <c r="M138" s="97" t="n"/>
      <c r="N138" s="98" t="n"/>
      <c r="O138" s="99" t="n"/>
      <c r="P138" s="100" t="inlineStr">
        <is>
          <t>3-AR</t>
        </is>
      </c>
      <c r="Q138" s="102" t="inlineStr">
        <is>
          <t>천우</t>
        </is>
      </c>
      <c r="R138" s="110">
        <f>HYPERLINK("#'마스터_품목'!A190","→ 마스터 R190")</f>
        <v/>
      </c>
      <c r="S138" s="111" t="n">
        <v>190</v>
      </c>
      <c r="T138" s="111" t="inlineStr">
        <is>
          <t>마스터_품목</t>
        </is>
      </c>
    </row>
    <row r="139" ht="48" customHeight="1">
      <c r="A139" s="87" t="inlineStr">
        <is>
          <t>창고</t>
        </is>
      </c>
      <c r="B139" s="87" t="inlineStr">
        <is>
          <t>아크릴</t>
        </is>
      </c>
      <c r="C139" s="88" t="inlineStr">
        <is>
          <t>DX3000</t>
        </is>
      </c>
      <c r="D139" s="88" t="inlineStr">
        <is>
          <t>메디컬용 십자아크릴 (66*66)
[DX3000]</t>
        </is>
      </c>
      <c r="E139" s="88" t="inlineStr">
        <is>
          <t>아크릴 투명 십자 Panel (66 x 66 mm)</t>
        </is>
      </c>
      <c r="F139" s="90" t="inlineStr">
        <is>
          <t>O</t>
        </is>
      </c>
      <c r="G139" s="91" t="n"/>
      <c r="H139" s="92" t="n"/>
      <c r="I139" s="93" t="inlineStr">
        <is>
          <t>AR</t>
        </is>
      </c>
      <c r="J139" s="94" t="inlineStr">
        <is>
          <t>O</t>
        </is>
      </c>
      <c r="K139" s="95" t="n"/>
      <c r="L139" s="96" t="n"/>
      <c r="M139" s="97" t="n"/>
      <c r="N139" s="98" t="n"/>
      <c r="O139" s="99" t="n"/>
      <c r="P139" s="100" t="inlineStr">
        <is>
          <t>3-AR</t>
        </is>
      </c>
      <c r="R139" s="110">
        <f>HYPERLINK("#'마스터_품목'!A234","→ 마스터 R234")</f>
        <v/>
      </c>
      <c r="S139" s="111" t="n">
        <v>234</v>
      </c>
      <c r="T139" s="111" t="inlineStr">
        <is>
          <t>마스터_품목</t>
        </is>
      </c>
    </row>
    <row r="140" ht="48" customHeight="1">
      <c r="A140" s="87" t="inlineStr">
        <is>
          <t>창고</t>
        </is>
      </c>
      <c r="B140" s="87" t="inlineStr">
        <is>
          <t>AL</t>
        </is>
      </c>
      <c r="C140" s="88" t="inlineStr">
        <is>
          <t>DX3000</t>
        </is>
      </c>
      <c r="D140" s="88" t="inlineStr">
        <is>
          <t>알루미늄 필터 (0.8T * Φ63)
[DX3000]</t>
        </is>
      </c>
      <c r="E140" s="88" t="inlineStr">
        <is>
          <t>알루미늄 필터 [0.8T * Φ63]</t>
        </is>
      </c>
      <c r="F140" s="90" t="inlineStr">
        <is>
          <t>O</t>
        </is>
      </c>
      <c r="G140" s="91" t="n"/>
      <c r="H140" s="92" t="n"/>
      <c r="I140" s="93" t="inlineStr">
        <is>
          <t>AR</t>
        </is>
      </c>
      <c r="J140" s="94" t="inlineStr">
        <is>
          <t>O</t>
        </is>
      </c>
      <c r="K140" s="95" t="inlineStr">
        <is>
          <t>O</t>
        </is>
      </c>
      <c r="L140" s="96" t="n"/>
      <c r="M140" s="97" t="n"/>
      <c r="N140" s="98" t="n"/>
      <c r="O140" s="99" t="n"/>
      <c r="P140" s="100" t="inlineStr">
        <is>
          <t>34-AR</t>
        </is>
      </c>
      <c r="Q140" s="102" t="inlineStr">
        <is>
          <t>광전레이저</t>
        </is>
      </c>
      <c r="R140" s="110">
        <f>HYPERLINK("#'마스터_품목'!A205","→ 마스터 R205")</f>
        <v/>
      </c>
      <c r="S140" s="111" t="n">
        <v>205</v>
      </c>
      <c r="T140" s="111" t="inlineStr">
        <is>
          <t>마스터_품목</t>
        </is>
      </c>
    </row>
    <row r="141" ht="48" customHeight="1">
      <c r="A141" s="87" t="inlineStr">
        <is>
          <t>창고</t>
        </is>
      </c>
      <c r="B141" s="87" t="inlineStr">
        <is>
          <t>AL</t>
        </is>
      </c>
      <c r="C141" s="88" t="inlineStr">
        <is>
          <t>DX3000</t>
        </is>
      </c>
      <c r="D141" s="88" t="inlineStr">
        <is>
          <t>알루미늄 필터 (1.5T * Φ63 일본 동물용)
[DX3000]</t>
        </is>
      </c>
      <c r="E141" s="88" t="inlineStr">
        <is>
          <t>알루미늄 필터 [1.5T * Φ63] (일본 동물용)</t>
        </is>
      </c>
      <c r="F141" s="90" t="inlineStr">
        <is>
          <t>O</t>
        </is>
      </c>
      <c r="G141" s="91" t="n"/>
      <c r="H141" s="92" t="n"/>
      <c r="I141" s="93" t="inlineStr">
        <is>
          <t>PR</t>
        </is>
      </c>
      <c r="J141" s="94" t="inlineStr">
        <is>
          <t>O</t>
        </is>
      </c>
      <c r="K141" s="95" t="n"/>
      <c r="L141" s="96" t="n"/>
      <c r="M141" s="97" t="n"/>
      <c r="N141" s="98" t="n"/>
      <c r="O141" s="99" t="n"/>
      <c r="P141" s="100" t="inlineStr">
        <is>
          <t>3-PR</t>
        </is>
      </c>
      <c r="Q141" s="102" t="inlineStr">
        <is>
          <t>광전레이저</t>
        </is>
      </c>
      <c r="R141" s="110">
        <f>HYPERLINK("#'마스터_품목'!A617","→ 마스터 R617")</f>
        <v/>
      </c>
      <c r="S141" s="111" t="n">
        <v>617</v>
      </c>
      <c r="T141" s="111" t="inlineStr">
        <is>
          <t>마스터_품목</t>
        </is>
      </c>
    </row>
    <row r="142" ht="48" customHeight="1">
      <c r="A142" s="87" t="inlineStr">
        <is>
          <t>창고</t>
        </is>
      </c>
      <c r="B142" s="87" t="inlineStr">
        <is>
          <t>인조가죽</t>
        </is>
      </c>
      <c r="C142" s="88" t="inlineStr">
        <is>
          <t>DX3000</t>
        </is>
      </c>
      <c r="D142" s="88" t="inlineStr">
        <is>
          <t>HAND STRAP 손잡이 (인조 가죽)
[DX3000]</t>
        </is>
      </c>
      <c r="E142" s="88" t="inlineStr">
        <is>
          <t>HAND STRAP</t>
        </is>
      </c>
      <c r="F142" s="90" t="inlineStr">
        <is>
          <t>O</t>
        </is>
      </c>
      <c r="G142" s="91" t="n"/>
      <c r="H142" s="92" t="n"/>
      <c r="I142" s="93" t="inlineStr">
        <is>
          <t>AR</t>
        </is>
      </c>
      <c r="J142" s="94" t="inlineStr">
        <is>
          <t>O</t>
        </is>
      </c>
      <c r="K142" s="95" t="n"/>
      <c r="L142" s="96" t="n"/>
      <c r="M142" s="97" t="n"/>
      <c r="N142" s="98" t="n"/>
      <c r="O142" s="99" t="n"/>
      <c r="P142" s="100" t="inlineStr">
        <is>
          <t>3-AR</t>
        </is>
      </c>
      <c r="Q142" s="102" t="inlineStr">
        <is>
          <t>굿모닝코리아유통</t>
        </is>
      </c>
      <c r="R142" s="110">
        <f>HYPERLINK("#'마스터_품목'!A192","→ 마스터 R192")</f>
        <v/>
      </c>
      <c r="S142" s="111" t="n">
        <v>192</v>
      </c>
      <c r="T142" s="111" t="inlineStr">
        <is>
          <t>마스터_품목</t>
        </is>
      </c>
    </row>
    <row r="143" ht="48" customHeight="1">
      <c r="A143" s="87" t="inlineStr">
        <is>
          <t>창고</t>
        </is>
      </c>
      <c r="B143" s="87" t="inlineStr">
        <is>
          <t>인조가죽</t>
        </is>
      </c>
      <c r="C143" s="88" t="inlineStr">
        <is>
          <t>DX3000</t>
        </is>
      </c>
      <c r="D143" s="88" t="inlineStr">
        <is>
          <t>HAND STRAP 손잡이 (로고 없음) (인조 가죽)
[DX3000]</t>
        </is>
      </c>
      <c r="E143" s="88" t="inlineStr">
        <is>
          <t>HAND STRAP_로고없음_사파리,이미지웍스용</t>
        </is>
      </c>
      <c r="F143" s="90" t="inlineStr">
        <is>
          <t>O</t>
        </is>
      </c>
      <c r="G143" s="91" t="n"/>
      <c r="H143" s="92" t="n"/>
      <c r="I143" s="93" t="inlineStr">
        <is>
          <t>AR</t>
        </is>
      </c>
      <c r="J143" s="94" t="inlineStr">
        <is>
          <t>O</t>
        </is>
      </c>
      <c r="K143" s="95" t="n"/>
      <c r="L143" s="96" t="n"/>
      <c r="M143" s="97" t="n"/>
      <c r="N143" s="98" t="n"/>
      <c r="O143" s="99" t="n"/>
      <c r="P143" s="100" t="inlineStr">
        <is>
          <t>3-AR</t>
        </is>
      </c>
      <c r="Q143" s="102" t="inlineStr">
        <is>
          <t>굿모닝코리아유통</t>
        </is>
      </c>
      <c r="R143" s="110">
        <f>HYPERLINK("#'마스터_품목'!A193","→ 마스터 R193")</f>
        <v/>
      </c>
      <c r="S143" s="111" t="n">
        <v>193</v>
      </c>
      <c r="T143" s="111" t="inlineStr">
        <is>
          <t>마스터_품목</t>
        </is>
      </c>
    </row>
    <row r="144" ht="48" customHeight="1">
      <c r="A144" s="87" t="inlineStr">
        <is>
          <t>창고</t>
        </is>
      </c>
      <c r="B144" s="87" t="inlineStr">
        <is>
          <t>STEEL</t>
        </is>
      </c>
      <c r="C144" s="88" t="inlineStr">
        <is>
          <t>DX3000, ADX4000W</t>
        </is>
      </c>
      <c r="D144" s="88" t="inlineStr">
        <is>
          <t>고리 1 (니켈 도금)
[DX3000, ADX4000W]</t>
        </is>
      </c>
      <c r="E144" s="88" t="inlineStr">
        <is>
          <t>가죽손잡이 고리1_ [AL(Cr도금), SUS Φ2.0]</t>
        </is>
      </c>
      <c r="F144" s="90" t="inlineStr">
        <is>
          <t>O</t>
        </is>
      </c>
      <c r="G144" s="91" t="n"/>
      <c r="H144" s="92" t="n"/>
      <c r="I144" s="93" t="inlineStr">
        <is>
          <t>AR</t>
        </is>
      </c>
      <c r="J144" s="94" t="inlineStr">
        <is>
          <t>O</t>
        </is>
      </c>
      <c r="K144" s="95" t="inlineStr">
        <is>
          <t>O</t>
        </is>
      </c>
      <c r="L144" s="96" t="n"/>
      <c r="M144" s="97" t="n"/>
      <c r="N144" s="98" t="n"/>
      <c r="O144" s="99" t="n"/>
      <c r="P144" s="100" t="inlineStr">
        <is>
          <t>34-AR</t>
        </is>
      </c>
      <c r="Q144" s="102" t="inlineStr">
        <is>
          <t>굿모닝코리아유통</t>
        </is>
      </c>
      <c r="R144" s="110">
        <f>HYPERLINK("#'마스터_품목'!A199","→ 마스터 R199")</f>
        <v/>
      </c>
      <c r="S144" s="111" t="n">
        <v>199</v>
      </c>
      <c r="T144" s="111" t="inlineStr">
        <is>
          <t>마스터_품목</t>
        </is>
      </c>
    </row>
    <row r="145" ht="48" customHeight="1">
      <c r="A145" s="87" t="inlineStr">
        <is>
          <t>창고</t>
        </is>
      </c>
      <c r="B145" s="87" t="inlineStr">
        <is>
          <t>STEEL</t>
        </is>
      </c>
      <c r="C145" s="88" t="inlineStr">
        <is>
          <t>DX3000</t>
        </is>
      </c>
      <c r="D145" s="88" t="inlineStr">
        <is>
          <t>고리 2 (니켈 도금)
[DX3000]</t>
        </is>
      </c>
      <c r="E145" s="88" t="inlineStr">
        <is>
          <t>가죽손잡이 고리2_ [AL(Cr도금), SUS Φ2.0 ]</t>
        </is>
      </c>
      <c r="F145" s="90" t="inlineStr">
        <is>
          <t>O</t>
        </is>
      </c>
      <c r="G145" s="91" t="n"/>
      <c r="H145" s="92" t="n"/>
      <c r="I145" s="93" t="inlineStr">
        <is>
          <t>AR</t>
        </is>
      </c>
      <c r="J145" s="94" t="inlineStr">
        <is>
          <t>O</t>
        </is>
      </c>
      <c r="K145" s="95" t="n"/>
      <c r="L145" s="96" t="n"/>
      <c r="M145" s="97" t="n"/>
      <c r="N145" s="98" t="n"/>
      <c r="O145" s="99" t="n"/>
      <c r="P145" s="100" t="inlineStr">
        <is>
          <t>3-AR</t>
        </is>
      </c>
      <c r="Q145" s="102" t="inlineStr">
        <is>
          <t>굿모닝코리아유통</t>
        </is>
      </c>
      <c r="R145" s="110">
        <f>HYPERLINK("#'마스터_품목'!A200","→ 마스터 R200")</f>
        <v/>
      </c>
      <c r="S145" s="111" t="n">
        <v>200</v>
      </c>
      <c r="T145" s="111" t="inlineStr">
        <is>
          <t>마스터_품목</t>
        </is>
      </c>
    </row>
    <row r="146" ht="48" customHeight="1">
      <c r="A146" s="87" t="inlineStr">
        <is>
          <t>창고</t>
        </is>
      </c>
      <c r="B146" s="87" t="inlineStr">
        <is>
          <t>필라멘트</t>
        </is>
      </c>
      <c r="C146" s="88" t="inlineStr">
        <is>
          <t>DXDR-070</t>
        </is>
      </c>
      <c r="D146" s="88" t="inlineStr">
        <is>
          <t>텅스텐 필라멘트
[DXDR-070]</t>
        </is>
      </c>
      <c r="E146" s="88" t="inlineStr">
        <is>
          <t>텅스텐 필라멘트</t>
        </is>
      </c>
      <c r="F146" s="90" t="inlineStr">
        <is>
          <t>O</t>
        </is>
      </c>
      <c r="G146" s="91" t="n"/>
      <c r="H146" s="92" t="n"/>
      <c r="I146" s="93" t="inlineStr">
        <is>
          <t>TR</t>
        </is>
      </c>
      <c r="J146" s="94" t="n"/>
      <c r="K146" s="95" t="n"/>
      <c r="L146" s="96" t="n"/>
      <c r="M146" s="97" t="inlineStr">
        <is>
          <t>O</t>
        </is>
      </c>
      <c r="N146" s="98" t="n"/>
      <c r="O146" s="99" t="n"/>
      <c r="P146" s="100" t="inlineStr">
        <is>
          <t>7-TR</t>
        </is>
      </c>
      <c r="Q146" s="116" t="n"/>
      <c r="R146" s="110">
        <f>HYPERLINK("#'마스터_품목'!A3","→ 마스터 R3")</f>
        <v/>
      </c>
      <c r="S146" s="111" t="n">
        <v>3</v>
      </c>
      <c r="T146" s="111" t="inlineStr">
        <is>
          <t>마스터_품목</t>
        </is>
      </c>
    </row>
    <row r="147" ht="48" customHeight="1">
      <c r="A147" s="87" t="inlineStr">
        <is>
          <t>창고</t>
        </is>
      </c>
      <c r="B147" s="87" t="inlineStr">
        <is>
          <t>게터</t>
        </is>
      </c>
      <c r="C147" s="88" t="inlineStr">
        <is>
          <t>DXDR-070,DXDR-100</t>
        </is>
      </c>
      <c r="D147" s="88" t="inlineStr">
        <is>
          <t>게터
[DXDR-070,DXDR-100]</t>
        </is>
      </c>
      <c r="E147" s="88" t="inlineStr">
        <is>
          <t>게터</t>
        </is>
      </c>
      <c r="F147" s="90" t="inlineStr">
        <is>
          <t>O</t>
        </is>
      </c>
      <c r="G147" s="91" t="n"/>
      <c r="H147" s="92" t="n"/>
      <c r="I147" s="93" t="inlineStr">
        <is>
          <t>TR</t>
        </is>
      </c>
      <c r="J147" s="94" t="n"/>
      <c r="K147" s="95" t="n"/>
      <c r="L147" s="96" t="n"/>
      <c r="M147" s="97" t="inlineStr">
        <is>
          <t>O</t>
        </is>
      </c>
      <c r="N147" s="98" t="n"/>
      <c r="O147" s="99" t="n"/>
      <c r="P147" s="100" t="inlineStr">
        <is>
          <t>7-TR</t>
        </is>
      </c>
      <c r="Q147" s="116" t="n"/>
      <c r="R147" s="110">
        <f>HYPERLINK("#'마스터_품목'!A4","→ 마스터 R4")</f>
        <v/>
      </c>
      <c r="S147" s="111" t="n">
        <v>4</v>
      </c>
      <c r="T147" s="111" t="inlineStr">
        <is>
          <t>마스터_품목</t>
        </is>
      </c>
    </row>
    <row r="148" ht="48" customHeight="1">
      <c r="A148" s="87" t="inlineStr">
        <is>
          <t>창고</t>
        </is>
      </c>
      <c r="B148" s="87" t="inlineStr">
        <is>
          <t>코바</t>
        </is>
      </c>
      <c r="C148" s="88" t="inlineStr">
        <is>
          <t>DXDR-070</t>
        </is>
      </c>
      <c r="D148" s="88" t="inlineStr">
        <is>
          <t>에노드
[DXDR-070]</t>
        </is>
      </c>
      <c r="E148" s="88" t="inlineStr">
        <is>
          <t>애노드 (70kV)</t>
        </is>
      </c>
      <c r="F148" s="90" t="inlineStr">
        <is>
          <t>O</t>
        </is>
      </c>
      <c r="G148" s="91" t="n"/>
      <c r="H148" s="92" t="n"/>
      <c r="I148" s="93" t="inlineStr">
        <is>
          <t>TR</t>
        </is>
      </c>
      <c r="J148" s="94" t="n"/>
      <c r="K148" s="95" t="n"/>
      <c r="L148" s="96" t="n"/>
      <c r="M148" s="97" t="inlineStr">
        <is>
          <t>O</t>
        </is>
      </c>
      <c r="N148" s="98" t="n"/>
      <c r="O148" s="99" t="n"/>
      <c r="P148" s="100" t="inlineStr">
        <is>
          <t>7-TR</t>
        </is>
      </c>
      <c r="Q148" s="116" t="n"/>
      <c r="R148" s="110">
        <f>HYPERLINK("#'마스터_품목'!A6","→ 마스터 R6")</f>
        <v/>
      </c>
      <c r="S148" s="111" t="n">
        <v>6</v>
      </c>
      <c r="T148" s="111" t="inlineStr">
        <is>
          <t>마스터_품목</t>
        </is>
      </c>
    </row>
    <row r="149" ht="48" customHeight="1">
      <c r="A149" s="87" t="inlineStr">
        <is>
          <t>창고</t>
        </is>
      </c>
      <c r="B149" s="87" t="inlineStr">
        <is>
          <t>코바</t>
        </is>
      </c>
      <c r="C149" s="88" t="inlineStr">
        <is>
          <t>DXDR-070</t>
        </is>
      </c>
      <c r="D149" s="88" t="inlineStr">
        <is>
          <t>포커서
[DXDR-070]</t>
        </is>
      </c>
      <c r="E149" s="88" t="inlineStr">
        <is>
          <t>포커서 (70kV)</t>
        </is>
      </c>
      <c r="F149" s="90" t="inlineStr">
        <is>
          <t>O</t>
        </is>
      </c>
      <c r="G149" s="91" t="n"/>
      <c r="H149" s="92" t="n"/>
      <c r="I149" s="93" t="inlineStr">
        <is>
          <t>TR</t>
        </is>
      </c>
      <c r="J149" s="94" t="n"/>
      <c r="K149" s="95" t="n"/>
      <c r="L149" s="96" t="n"/>
      <c r="M149" s="97" t="inlineStr">
        <is>
          <t>O</t>
        </is>
      </c>
      <c r="N149" s="98" t="n"/>
      <c r="O149" s="99" t="n"/>
      <c r="P149" s="100" t="inlineStr">
        <is>
          <t>7-TR</t>
        </is>
      </c>
      <c r="Q149" s="116" t="n"/>
      <c r="R149" s="110">
        <f>HYPERLINK("#'마스터_품목'!A7","→ 마스터 R7")</f>
        <v/>
      </c>
      <c r="S149" s="111" t="n">
        <v>7</v>
      </c>
      <c r="T149" s="111" t="inlineStr">
        <is>
          <t>마스터_품목</t>
        </is>
      </c>
    </row>
    <row r="150" ht="48" customHeight="1">
      <c r="A150" s="87" t="inlineStr">
        <is>
          <t>창고</t>
        </is>
      </c>
      <c r="B150" s="87" t="inlineStr">
        <is>
          <t>세라믹</t>
        </is>
      </c>
      <c r="C150" s="88" t="inlineStr">
        <is>
          <t>DXDR-070</t>
        </is>
      </c>
      <c r="D150" s="88" t="inlineStr">
        <is>
          <t>세라믹 바디
[DXDR-070]</t>
        </is>
      </c>
      <c r="E150" s="88" t="inlineStr">
        <is>
          <t>세라믹 바디 (70kV)</t>
        </is>
      </c>
      <c r="F150" s="90" t="inlineStr">
        <is>
          <t>O</t>
        </is>
      </c>
      <c r="G150" s="91" t="n"/>
      <c r="H150" s="92" t="n"/>
      <c r="I150" s="93" t="inlineStr">
        <is>
          <t>TR</t>
        </is>
      </c>
      <c r="J150" s="94" t="n"/>
      <c r="K150" s="95" t="n"/>
      <c r="L150" s="96" t="n"/>
      <c r="M150" s="97" t="inlineStr">
        <is>
          <t>O</t>
        </is>
      </c>
      <c r="N150" s="98" t="n"/>
      <c r="O150" s="99" t="n"/>
      <c r="P150" s="100" t="inlineStr">
        <is>
          <t>7-TR</t>
        </is>
      </c>
      <c r="Q150" s="116" t="n"/>
      <c r="R150" s="110">
        <f>HYPERLINK("#'마스터_품목'!A8","→ 마스터 R8")</f>
        <v/>
      </c>
      <c r="S150" s="111" t="n">
        <v>8</v>
      </c>
      <c r="T150" s="111" t="inlineStr">
        <is>
          <t>마스터_품목</t>
        </is>
      </c>
    </row>
    <row r="151" ht="48" customHeight="1">
      <c r="A151" s="87" t="inlineStr">
        <is>
          <t>창고</t>
        </is>
      </c>
      <c r="B151" s="87" t="inlineStr">
        <is>
          <t>세라믹</t>
        </is>
      </c>
      <c r="C151" s="88" t="inlineStr">
        <is>
          <t>DXDR-070</t>
        </is>
      </c>
      <c r="D151" s="88" t="inlineStr">
        <is>
          <t>세라믹 스템
[DXDR-070]</t>
        </is>
      </c>
      <c r="E151" s="88" t="inlineStr">
        <is>
          <t>세라믹 스템 (70kV)</t>
        </is>
      </c>
      <c r="F151" s="90" t="inlineStr">
        <is>
          <t>O</t>
        </is>
      </c>
      <c r="G151" s="91" t="n"/>
      <c r="H151" s="92" t="n"/>
      <c r="I151" s="93" t="inlineStr">
        <is>
          <t>TR</t>
        </is>
      </c>
      <c r="J151" s="94" t="n"/>
      <c r="K151" s="95" t="n"/>
      <c r="L151" s="96" t="n"/>
      <c r="M151" s="97" t="inlineStr">
        <is>
          <t>O</t>
        </is>
      </c>
      <c r="N151" s="98" t="n"/>
      <c r="O151" s="99" t="n"/>
      <c r="P151" s="100" t="inlineStr">
        <is>
          <t>7-TR</t>
        </is>
      </c>
      <c r="Q151" s="116" t="n"/>
      <c r="R151" s="110">
        <f>HYPERLINK("#'마스터_품목'!A9","→ 마스터 R9")</f>
        <v/>
      </c>
      <c r="S151" s="111" t="n">
        <v>9</v>
      </c>
      <c r="T151" s="111" t="inlineStr">
        <is>
          <t>마스터_품목</t>
        </is>
      </c>
    </row>
    <row r="152" ht="48" customHeight="1">
      <c r="A152" s="87" t="inlineStr">
        <is>
          <t>창고</t>
        </is>
      </c>
      <c r="B152" s="87" t="inlineStr">
        <is>
          <t>필러</t>
        </is>
      </c>
      <c r="C152" s="88" t="inlineStr">
        <is>
          <t>DXDR-070</t>
        </is>
      </c>
      <c r="D152" s="88" t="inlineStr">
        <is>
          <t>필러
[DXDR-070]</t>
        </is>
      </c>
      <c r="E152" s="88" t="inlineStr">
        <is>
          <t>필러 (70kV)</t>
        </is>
      </c>
      <c r="F152" s="90" t="inlineStr">
        <is>
          <t>O</t>
        </is>
      </c>
      <c r="G152" s="91" t="n"/>
      <c r="H152" s="92" t="n"/>
      <c r="I152" s="93" t="inlineStr">
        <is>
          <t>TR</t>
        </is>
      </c>
      <c r="J152" s="94" t="n"/>
      <c r="K152" s="95" t="n"/>
      <c r="L152" s="96" t="n"/>
      <c r="M152" s="97" t="inlineStr">
        <is>
          <t>O</t>
        </is>
      </c>
      <c r="N152" s="98" t="n"/>
      <c r="O152" s="99" t="n"/>
      <c r="P152" s="100" t="inlineStr">
        <is>
          <t>7-TR</t>
        </is>
      </c>
      <c r="Q152" s="116" t="n"/>
      <c r="R152" s="110">
        <f>HYPERLINK("#'마스터_품목'!A10","→ 마스터 R10")</f>
        <v/>
      </c>
      <c r="S152" s="111" t="n">
        <v>10</v>
      </c>
      <c r="T152" s="111" t="inlineStr">
        <is>
          <t>마스터_품목</t>
        </is>
      </c>
    </row>
    <row r="153" ht="48" customHeight="1">
      <c r="A153" s="87" t="inlineStr">
        <is>
          <t>창고</t>
        </is>
      </c>
      <c r="B153" s="87" t="inlineStr">
        <is>
          <t>필러</t>
        </is>
      </c>
      <c r="C153" s="88" t="inlineStr">
        <is>
          <t>DXDR-070</t>
        </is>
      </c>
      <c r="D153" s="88" t="inlineStr">
        <is>
          <t>전극 필러
[DXDR-070]</t>
        </is>
      </c>
      <c r="E153" s="88" t="inlineStr">
        <is>
          <t>전극 필러 (70kV)</t>
        </is>
      </c>
      <c r="F153" s="90" t="inlineStr">
        <is>
          <t>O</t>
        </is>
      </c>
      <c r="G153" s="91" t="n"/>
      <c r="H153" s="92" t="n"/>
      <c r="I153" s="93" t="inlineStr">
        <is>
          <t>TR</t>
        </is>
      </c>
      <c r="J153" s="94" t="n"/>
      <c r="K153" s="95" t="n"/>
      <c r="L153" s="96" t="n"/>
      <c r="M153" s="97" t="inlineStr">
        <is>
          <t>O</t>
        </is>
      </c>
      <c r="N153" s="98" t="n"/>
      <c r="O153" s="99" t="n"/>
      <c r="P153" s="100" t="inlineStr">
        <is>
          <t>7-TR</t>
        </is>
      </c>
      <c r="Q153" s="116" t="n"/>
      <c r="R153" s="110">
        <f>HYPERLINK("#'마스터_품목'!A11","→ 마스터 R11")</f>
        <v/>
      </c>
      <c r="S153" s="111" t="n">
        <v>11</v>
      </c>
      <c r="T153" s="111" t="inlineStr">
        <is>
          <t>마스터_품목</t>
        </is>
      </c>
    </row>
    <row r="154" ht="48" customHeight="1">
      <c r="A154" s="87" t="inlineStr">
        <is>
          <t>창고</t>
        </is>
      </c>
      <c r="B154" s="87" t="inlineStr">
        <is>
          <t>전극</t>
        </is>
      </c>
      <c r="C154" s="88" t="inlineStr">
        <is>
          <t>DXDR-100</t>
        </is>
      </c>
      <c r="D154" s="88" t="inlineStr">
        <is>
          <t>전극(100kV) (순철 도금)
[DXDR-100]</t>
        </is>
      </c>
      <c r="E154" s="88" t="inlineStr">
        <is>
          <t>전극(100kV)</t>
        </is>
      </c>
      <c r="F154" s="90" t="inlineStr">
        <is>
          <t>O</t>
        </is>
      </c>
      <c r="G154" s="91" t="n"/>
      <c r="H154" s="92" t="n"/>
      <c r="I154" s="93" t="inlineStr">
        <is>
          <t>TR</t>
        </is>
      </c>
      <c r="J154" s="94" t="n"/>
      <c r="K154" s="95" t="n"/>
      <c r="L154" s="96" t="n"/>
      <c r="M154" s="97" t="inlineStr">
        <is>
          <t>O</t>
        </is>
      </c>
      <c r="N154" s="98" t="n"/>
      <c r="O154" s="99" t="n"/>
      <c r="P154" s="100" t="inlineStr">
        <is>
          <t>7-TR</t>
        </is>
      </c>
      <c r="Q154" s="116" t="n"/>
      <c r="R154" s="110">
        <f>HYPERLINK("#'마스터_품목'!A5","→ 마스터 R5")</f>
        <v/>
      </c>
      <c r="S154" s="111" t="n">
        <v>5</v>
      </c>
      <c r="T154" s="111" t="inlineStr">
        <is>
          <t>마스터_품목</t>
        </is>
      </c>
    </row>
    <row r="155" ht="48" customHeight="1">
      <c r="A155" s="126" t="inlineStr">
        <is>
          <t>튜브</t>
        </is>
      </c>
      <c r="B155" s="87" t="inlineStr">
        <is>
          <t>필라멘트</t>
        </is>
      </c>
      <c r="C155" s="88" t="inlineStr">
        <is>
          <t>DXDR-100</t>
        </is>
      </c>
      <c r="D155" s="88" t="inlineStr">
        <is>
          <t>텅스텐 필라멘트
[DXDR-100]</t>
        </is>
      </c>
      <c r="E155" s="88" t="n"/>
      <c r="F155" s="90" t="inlineStr">
        <is>
          <t>O</t>
        </is>
      </c>
      <c r="G155" s="91" t="n"/>
      <c r="H155" s="92" t="n"/>
      <c r="I155" s="93">
        <f>IFERROR(IF(OR($F155="O",$G155="O",$H155="O"),CHOOSE(MATCH($A155,{"튜브","고압","진공","튜닝","조립","출하"},0),"T","H","V","N","A","P")&amp;IF($F155="O","R",IF($G155="O","A",IF($H155="O","F",""))),""),"")</f>
        <v/>
      </c>
      <c r="J155" s="94" t="n"/>
      <c r="K155" s="95" t="n"/>
      <c r="L155" s="96" t="n"/>
      <c r="M155" s="97" t="n"/>
      <c r="N155" s="98" t="n"/>
      <c r="O155" s="120" t="inlineStr">
        <is>
          <t>O</t>
        </is>
      </c>
      <c r="P155" s="100">
        <f>IF($I155="","",IF($J155="O","3","")&amp;IF($K155="O","4","")&amp;IF($L155="O","6","")&amp;IF($M155="O","7","")&amp;IF($N155="O","8","")&amp;IF($O155="O","?","")&amp;IF(OR($J155="O",$K155="O",$L155="O",$M155="O",$N155="O",$O155="O"),"-","")&amp;$I155)</f>
        <v/>
      </c>
      <c r="Q155" s="116" t="n"/>
      <c r="R155" s="110">
        <f>HYPERLINK("#'마스터_품목'!A737","→ 마스터 R737")</f>
        <v/>
      </c>
      <c r="S155" s="111" t="n">
        <v>737</v>
      </c>
      <c r="T155" s="111" t="inlineStr">
        <is>
          <t>마스터_품목</t>
        </is>
      </c>
    </row>
    <row r="156" ht="48" customHeight="1">
      <c r="A156" s="87" t="inlineStr">
        <is>
          <t>창고</t>
        </is>
      </c>
      <c r="B156" s="87" t="inlineStr">
        <is>
          <t>코바</t>
        </is>
      </c>
      <c r="C156" s="88" t="inlineStr">
        <is>
          <t>DXDR-100</t>
        </is>
      </c>
      <c r="D156" s="88" t="inlineStr">
        <is>
          <t>에노드
[DXDR-100]</t>
        </is>
      </c>
      <c r="E156" s="88" t="inlineStr">
        <is>
          <t>애노드 (100kV)</t>
        </is>
      </c>
      <c r="F156" s="90" t="inlineStr">
        <is>
          <t>O</t>
        </is>
      </c>
      <c r="G156" s="91" t="n"/>
      <c r="H156" s="92" t="n"/>
      <c r="I156" s="93" t="inlineStr">
        <is>
          <t>TR</t>
        </is>
      </c>
      <c r="J156" s="94" t="n"/>
      <c r="K156" s="95" t="n"/>
      <c r="L156" s="96" t="n"/>
      <c r="M156" s="97" t="n"/>
      <c r="N156" s="98" t="n"/>
      <c r="O156" s="99" t="inlineStr">
        <is>
          <t>O</t>
        </is>
      </c>
      <c r="P156" s="100" t="inlineStr">
        <is>
          <t>?-TR</t>
        </is>
      </c>
      <c r="Q156" s="116" t="n"/>
      <c r="R156" s="110">
        <f>HYPERLINK("#'마스터_품목'!A12","→ 마스터 R12")</f>
        <v/>
      </c>
      <c r="S156" s="111" t="n">
        <v>12</v>
      </c>
      <c r="T156" s="111" t="inlineStr">
        <is>
          <t>마스터_품목</t>
        </is>
      </c>
    </row>
    <row r="157" ht="48" customHeight="1">
      <c r="A157" s="87" t="inlineStr">
        <is>
          <t>창고</t>
        </is>
      </c>
      <c r="B157" s="87" t="inlineStr">
        <is>
          <t>코바</t>
        </is>
      </c>
      <c r="C157" s="88" t="inlineStr">
        <is>
          <t>DXDR-100</t>
        </is>
      </c>
      <c r="D157" s="88" t="inlineStr">
        <is>
          <t>에노드 링
[DXDR-100]</t>
        </is>
      </c>
      <c r="E157" s="88" t="inlineStr">
        <is>
          <t>에노드 링</t>
        </is>
      </c>
      <c r="F157" s="90" t="inlineStr">
        <is>
          <t>O</t>
        </is>
      </c>
      <c r="G157" s="91" t="n"/>
      <c r="H157" s="92" t="n"/>
      <c r="I157" s="93" t="inlineStr">
        <is>
          <t>TR</t>
        </is>
      </c>
      <c r="J157" s="94" t="n"/>
      <c r="K157" s="95" t="n"/>
      <c r="L157" s="96" t="n"/>
      <c r="M157" s="97" t="n"/>
      <c r="N157" s="98" t="n"/>
      <c r="O157" s="99" t="inlineStr">
        <is>
          <t>O</t>
        </is>
      </c>
      <c r="P157" s="100" t="inlineStr">
        <is>
          <t>?-TR</t>
        </is>
      </c>
      <c r="Q157" s="116" t="n"/>
      <c r="R157" s="110">
        <f>HYPERLINK("#'마스터_품목'!A13","→ 마스터 R13")</f>
        <v/>
      </c>
      <c r="S157" s="111" t="n">
        <v>13</v>
      </c>
      <c r="T157" s="111" t="inlineStr">
        <is>
          <t>마스터_품목</t>
        </is>
      </c>
    </row>
    <row r="158" ht="48" customHeight="1">
      <c r="A158" s="87" t="inlineStr">
        <is>
          <t>창고</t>
        </is>
      </c>
      <c r="B158" s="87" t="inlineStr">
        <is>
          <t>코바</t>
        </is>
      </c>
      <c r="C158" s="88" t="inlineStr">
        <is>
          <t>DXDR-100</t>
        </is>
      </c>
      <c r="D158" s="88" t="inlineStr">
        <is>
          <t>포커서
[DXDR-100]</t>
        </is>
      </c>
      <c r="E158" s="88" t="inlineStr">
        <is>
          <t>포커서 (100kV)</t>
        </is>
      </c>
      <c r="F158" s="90" t="inlineStr">
        <is>
          <t>O</t>
        </is>
      </c>
      <c r="G158" s="91" t="n"/>
      <c r="H158" s="92" t="n"/>
      <c r="I158" s="93" t="inlineStr">
        <is>
          <t>TR</t>
        </is>
      </c>
      <c r="J158" s="94" t="n"/>
      <c r="K158" s="95" t="n"/>
      <c r="L158" s="96" t="n"/>
      <c r="M158" s="97" t="n"/>
      <c r="N158" s="98" t="n"/>
      <c r="O158" s="99" t="inlineStr">
        <is>
          <t>O</t>
        </is>
      </c>
      <c r="P158" s="100" t="inlineStr">
        <is>
          <t>?-TR</t>
        </is>
      </c>
      <c r="Q158" s="116" t="n"/>
      <c r="R158" s="110">
        <f>HYPERLINK("#'마스터_품목'!A14","→ 마스터 R14")</f>
        <v/>
      </c>
      <c r="S158" s="111" t="n">
        <v>14</v>
      </c>
      <c r="T158" s="111" t="inlineStr">
        <is>
          <t>마스터_품목</t>
        </is>
      </c>
    </row>
    <row r="159" ht="48" customHeight="1">
      <c r="A159" s="87" t="inlineStr">
        <is>
          <t>창고</t>
        </is>
      </c>
      <c r="B159" s="87" t="inlineStr">
        <is>
          <t>세라믹</t>
        </is>
      </c>
      <c r="C159" s="88" t="inlineStr">
        <is>
          <t>DXDR-100</t>
        </is>
      </c>
      <c r="D159" s="88" t="inlineStr">
        <is>
          <t>세라믹 바디
[DXDR-100]</t>
        </is>
      </c>
      <c r="E159" s="88" t="inlineStr">
        <is>
          <t>세라믹 바디 (100kV)</t>
        </is>
      </c>
      <c r="F159" s="90" t="inlineStr">
        <is>
          <t>O</t>
        </is>
      </c>
      <c r="G159" s="91" t="n"/>
      <c r="H159" s="92" t="n"/>
      <c r="I159" s="93" t="inlineStr">
        <is>
          <t>TR</t>
        </is>
      </c>
      <c r="J159" s="94" t="n"/>
      <c r="K159" s="95" t="n"/>
      <c r="L159" s="96" t="n"/>
      <c r="M159" s="97" t="n"/>
      <c r="N159" s="98" t="n"/>
      <c r="O159" s="99" t="inlineStr">
        <is>
          <t>O</t>
        </is>
      </c>
      <c r="P159" s="100" t="inlineStr">
        <is>
          <t>?-TR</t>
        </is>
      </c>
      <c r="Q159" s="116" t="n"/>
      <c r="R159" s="110">
        <f>HYPERLINK("#'마스터_품목'!A15","→ 마스터 R15")</f>
        <v/>
      </c>
      <c r="S159" s="111" t="n">
        <v>15</v>
      </c>
      <c r="T159" s="111" t="inlineStr">
        <is>
          <t>마스터_품목</t>
        </is>
      </c>
    </row>
    <row r="160" ht="48" customHeight="1">
      <c r="A160" s="87" t="inlineStr">
        <is>
          <t>창고</t>
        </is>
      </c>
      <c r="B160" s="87" t="inlineStr">
        <is>
          <t>세라믹</t>
        </is>
      </c>
      <c r="C160" s="88" t="inlineStr">
        <is>
          <t>DXDR-100</t>
        </is>
      </c>
      <c r="D160" s="88" t="inlineStr">
        <is>
          <t>세라믹 슬리브
[DXDR-100]</t>
        </is>
      </c>
      <c r="E160" s="88" t="inlineStr">
        <is>
          <t>세라믹 슬리브</t>
        </is>
      </c>
      <c r="F160" s="90" t="inlineStr">
        <is>
          <t>O</t>
        </is>
      </c>
      <c r="G160" s="91" t="n"/>
      <c r="H160" s="92" t="n"/>
      <c r="I160" s="93" t="inlineStr">
        <is>
          <t>TR</t>
        </is>
      </c>
      <c r="J160" s="94" t="n"/>
      <c r="K160" s="95" t="n"/>
      <c r="L160" s="96" t="n"/>
      <c r="M160" s="97" t="n"/>
      <c r="N160" s="98" t="n"/>
      <c r="O160" s="99" t="inlineStr">
        <is>
          <t>O</t>
        </is>
      </c>
      <c r="P160" s="100" t="inlineStr">
        <is>
          <t>?-TR</t>
        </is>
      </c>
      <c r="Q160" s="116" t="n"/>
      <c r="R160" s="110">
        <f>HYPERLINK("#'마스터_품목'!A16","→ 마스터 R16")</f>
        <v/>
      </c>
      <c r="S160" s="111" t="n">
        <v>16</v>
      </c>
      <c r="T160" s="111" t="inlineStr">
        <is>
          <t>마스터_품목</t>
        </is>
      </c>
    </row>
    <row r="161" ht="48" customHeight="1">
      <c r="A161" s="87" t="inlineStr">
        <is>
          <t>창고</t>
        </is>
      </c>
      <c r="B161" s="87" t="inlineStr">
        <is>
          <t>필러</t>
        </is>
      </c>
      <c r="C161" s="88" t="inlineStr">
        <is>
          <t>DXDR-100</t>
        </is>
      </c>
      <c r="D161" s="88" t="inlineStr">
        <is>
          <t>필러
[DXDR-100]</t>
        </is>
      </c>
      <c r="E161" s="88" t="inlineStr">
        <is>
          <t>필러 (100kV)</t>
        </is>
      </c>
      <c r="F161" s="90" t="inlineStr">
        <is>
          <t>O</t>
        </is>
      </c>
      <c r="G161" s="91" t="n"/>
      <c r="H161" s="92" t="n"/>
      <c r="I161" s="93" t="inlineStr">
        <is>
          <t>TR</t>
        </is>
      </c>
      <c r="J161" s="94" t="n"/>
      <c r="K161" s="95" t="n"/>
      <c r="L161" s="96" t="n"/>
      <c r="M161" s="97" t="n"/>
      <c r="N161" s="98" t="n"/>
      <c r="O161" s="99" t="inlineStr">
        <is>
          <t>O</t>
        </is>
      </c>
      <c r="P161" s="100" t="inlineStr">
        <is>
          <t>?-TR</t>
        </is>
      </c>
      <c r="Q161" s="116" t="n"/>
      <c r="R161" s="110">
        <f>HYPERLINK("#'마스터_품목'!A17","→ 마스터 R17")</f>
        <v/>
      </c>
      <c r="S161" s="111" t="n">
        <v>17</v>
      </c>
      <c r="T161" s="111" t="inlineStr">
        <is>
          <t>마스터_품목</t>
        </is>
      </c>
    </row>
    <row r="162" ht="48" customHeight="1">
      <c r="A162" s="87" t="inlineStr">
        <is>
          <t>창고</t>
        </is>
      </c>
      <c r="B162" s="87" t="inlineStr">
        <is>
          <t>필러</t>
        </is>
      </c>
      <c r="C162" s="88" t="inlineStr">
        <is>
          <t>DXDR-100</t>
        </is>
      </c>
      <c r="D162" s="88" t="inlineStr">
        <is>
          <t>전극 필러
[DXDR-100]</t>
        </is>
      </c>
      <c r="E162" s="88" t="inlineStr">
        <is>
          <t>전극 필러 (100kV)</t>
        </is>
      </c>
      <c r="F162" s="90" t="inlineStr">
        <is>
          <t>O</t>
        </is>
      </c>
      <c r="G162" s="91" t="n"/>
      <c r="H162" s="92" t="n"/>
      <c r="I162" s="93" t="inlineStr">
        <is>
          <t>TR</t>
        </is>
      </c>
      <c r="J162" s="94" t="n"/>
      <c r="K162" s="95" t="n"/>
      <c r="L162" s="96" t="n"/>
      <c r="M162" s="97" t="n"/>
      <c r="N162" s="98" t="n"/>
      <c r="O162" s="99" t="inlineStr">
        <is>
          <t>O</t>
        </is>
      </c>
      <c r="P162" s="100" t="inlineStr">
        <is>
          <t>?-TR</t>
        </is>
      </c>
      <c r="Q162" s="116" t="n"/>
      <c r="R162" s="110">
        <f>HYPERLINK("#'마스터_품목'!A18","→ 마스터 R18")</f>
        <v/>
      </c>
      <c r="S162" s="111" t="n">
        <v>18</v>
      </c>
      <c r="T162" s="111" t="inlineStr">
        <is>
          <t>마스터_품목</t>
        </is>
      </c>
    </row>
    <row r="163" ht="48" customHeight="1">
      <c r="A163" s="87" t="inlineStr">
        <is>
          <t>창고</t>
        </is>
      </c>
      <c r="B163" s="87" t="inlineStr">
        <is>
          <t>X-ray Tube</t>
        </is>
      </c>
      <c r="C163" s="88" t="inlineStr">
        <is>
          <t>COCOON</t>
        </is>
      </c>
      <c r="D163" s="88" t="inlineStr">
        <is>
          <t>TUBE (70KV D-041)
[COCOON]</t>
        </is>
      </c>
      <c r="E163" s="88" t="inlineStr">
        <is>
          <t>캐논튜브 [ D-041 ] _ 70KV</t>
        </is>
      </c>
      <c r="F163" s="90" t="inlineStr">
        <is>
          <t>O</t>
        </is>
      </c>
      <c r="G163" s="91" t="n"/>
      <c r="H163" s="92" t="n"/>
      <c r="I163" s="93" t="inlineStr">
        <is>
          <t>HR</t>
        </is>
      </c>
      <c r="J163" s="94" t="n"/>
      <c r="K163" s="95" t="n"/>
      <c r="L163" s="96" t="n"/>
      <c r="M163" s="97" t="inlineStr">
        <is>
          <t>O</t>
        </is>
      </c>
      <c r="N163" s="98" t="inlineStr">
        <is>
          <t>O</t>
        </is>
      </c>
      <c r="O163" s="99" t="n"/>
      <c r="P163" s="100" t="inlineStr">
        <is>
          <t>78-HR</t>
        </is>
      </c>
      <c r="Q163" s="102" t="inlineStr">
        <is>
          <t>신광포토레이</t>
        </is>
      </c>
      <c r="R163" s="110">
        <f>HYPERLINK("#'마스터_품목'!A22","→ 마스터 R22")</f>
        <v/>
      </c>
      <c r="S163" s="111" t="n">
        <v>22</v>
      </c>
      <c r="T163" s="111" t="inlineStr">
        <is>
          <t>마스터_품목</t>
        </is>
      </c>
    </row>
    <row r="164" ht="48" customHeight="1">
      <c r="A164" s="87" t="inlineStr">
        <is>
          <t>창고</t>
        </is>
      </c>
      <c r="B164" s="87" t="inlineStr">
        <is>
          <t>X-ray Tube</t>
        </is>
      </c>
      <c r="C164" s="88" t="inlineStr">
        <is>
          <t>ADX6000</t>
        </is>
      </c>
      <c r="D164" s="88" t="inlineStr">
        <is>
          <t>TUBE (90kV OX / 70-1.0)
[ADX6000]</t>
        </is>
      </c>
      <c r="E164" s="88" t="inlineStr">
        <is>
          <t>CEI튜브 [OX-70] _ 90KV</t>
        </is>
      </c>
      <c r="F164" s="90" t="inlineStr">
        <is>
          <t>O</t>
        </is>
      </c>
      <c r="G164" s="91" t="n"/>
      <c r="H164" s="92" t="n"/>
      <c r="I164" s="93" t="inlineStr">
        <is>
          <t>HR</t>
        </is>
      </c>
      <c r="J164" s="94" t="n"/>
      <c r="K164" s="95" t="n"/>
      <c r="L164" s="96" t="inlineStr">
        <is>
          <t>O</t>
        </is>
      </c>
      <c r="M164" s="97" t="n"/>
      <c r="N164" s="98" t="n"/>
      <c r="O164" s="99" t="n"/>
      <c r="P164" s="100" t="inlineStr">
        <is>
          <t>6-HR</t>
        </is>
      </c>
      <c r="Q164" s="102" t="inlineStr">
        <is>
          <t>CEI</t>
        </is>
      </c>
      <c r="R164" s="110">
        <f>HYPERLINK("#'마스터_품목'!A26","→ 마스터 R26")</f>
        <v/>
      </c>
      <c r="S164" s="111" t="n">
        <v>26</v>
      </c>
      <c r="T164" s="111" t="inlineStr">
        <is>
          <t>마스터_품목</t>
        </is>
      </c>
    </row>
    <row r="165" ht="48" customHeight="1">
      <c r="A165" s="87" t="inlineStr">
        <is>
          <t>창고</t>
        </is>
      </c>
      <c r="B165" s="87" t="inlineStr">
        <is>
          <t>X-ray Tube</t>
        </is>
      </c>
      <c r="C165" s="88" t="inlineStr">
        <is>
          <t>100kV</t>
        </is>
      </c>
      <c r="D165" s="88" t="inlineStr">
        <is>
          <t>TUBE (100Kv DXDR-100)
[100kV]</t>
        </is>
      </c>
      <c r="E165" s="88" t="inlineStr">
        <is>
          <t>세라믹튜브 [DXDR-100] _ 100KV</t>
        </is>
      </c>
      <c r="F165" s="90" t="inlineStr">
        <is>
          <t>O</t>
        </is>
      </c>
      <c r="G165" s="91" t="n"/>
      <c r="H165" s="92" t="n"/>
      <c r="I165" s="93" t="inlineStr">
        <is>
          <t>HR</t>
        </is>
      </c>
      <c r="J165" s="94" t="n"/>
      <c r="K165" s="95" t="n"/>
      <c r="L165" s="96" t="inlineStr">
        <is>
          <t>O</t>
        </is>
      </c>
      <c r="M165" s="97" t="n"/>
      <c r="N165" s="98" t="n"/>
      <c r="O165" s="99" t="n"/>
      <c r="P165" s="100" t="inlineStr">
        <is>
          <t>6-HR</t>
        </is>
      </c>
      <c r="Q165" s="116" t="n"/>
      <c r="R165" s="110">
        <f>HYPERLINK("#'마스터_품목'!A25","→ 마스터 R25")</f>
        <v/>
      </c>
      <c r="S165" s="111" t="n">
        <v>25</v>
      </c>
      <c r="T165" s="111" t="inlineStr">
        <is>
          <t>마스터_품목</t>
        </is>
      </c>
    </row>
    <row r="166" ht="48" customHeight="1">
      <c r="A166" s="87" t="inlineStr">
        <is>
          <t>창고</t>
        </is>
      </c>
      <c r="B166" s="87" t="inlineStr">
        <is>
          <t>HDPE</t>
        </is>
      </c>
      <c r="C166" s="88" t="inlineStr">
        <is>
          <t>COCOON</t>
        </is>
      </c>
      <c r="D166" s="88" t="inlineStr">
        <is>
          <t>튜브 하우징 파이프 (HDPE)
[COCOON]</t>
        </is>
      </c>
      <c r="E166" s="88" t="inlineStr">
        <is>
          <t>70KV 튜브 하우징용 파이프</t>
        </is>
      </c>
      <c r="F166" s="90" t="inlineStr">
        <is>
          <t>O</t>
        </is>
      </c>
      <c r="G166" s="91" t="n"/>
      <c r="H166" s="92" t="n"/>
      <c r="I166" s="93" t="inlineStr">
        <is>
          <t>HR</t>
        </is>
      </c>
      <c r="J166" s="94" t="n"/>
      <c r="K166" s="95" t="n"/>
      <c r="L166" s="96" t="n"/>
      <c r="M166" s="97" t="inlineStr">
        <is>
          <t>O</t>
        </is>
      </c>
      <c r="N166" s="98" t="inlineStr">
        <is>
          <t>O</t>
        </is>
      </c>
      <c r="O166" s="99" t="n"/>
      <c r="P166" s="100" t="inlineStr">
        <is>
          <t>78-HR</t>
        </is>
      </c>
      <c r="Q166" s="102" t="inlineStr">
        <is>
          <t>용봉화학</t>
        </is>
      </c>
      <c r="R166" s="110">
        <f>HYPERLINK("#'마스터_품목'!A87","→ 마스터 R87")</f>
        <v/>
      </c>
      <c r="S166" s="111" t="n">
        <v>87</v>
      </c>
      <c r="T166" s="111" t="inlineStr">
        <is>
          <t>마스터_품목</t>
        </is>
      </c>
    </row>
    <row r="167" ht="48" customHeight="1">
      <c r="A167" s="87" t="inlineStr">
        <is>
          <t>창고</t>
        </is>
      </c>
      <c r="B167" s="87" t="inlineStr">
        <is>
          <t>HDPE</t>
        </is>
      </c>
      <c r="C167" s="88" t="inlineStr">
        <is>
          <t>SOLO</t>
        </is>
      </c>
      <c r="D167" s="88" t="inlineStr">
        <is>
          <t>튜브 하우징 파이프 (HDPE)
[SOLO]</t>
        </is>
      </c>
      <c r="E167" s="88" t="inlineStr">
        <is>
          <t>D-041 하우징용 파이프</t>
        </is>
      </c>
      <c r="F167" s="90" t="inlineStr">
        <is>
          <t>O</t>
        </is>
      </c>
      <c r="G167" s="91" t="n"/>
      <c r="H167" s="92" t="n"/>
      <c r="I167" s="93" t="inlineStr">
        <is>
          <t>HR</t>
        </is>
      </c>
      <c r="J167" s="94" t="n"/>
      <c r="K167" s="95" t="n"/>
      <c r="L167" s="96" t="n"/>
      <c r="M167" s="97" t="n"/>
      <c r="N167" s="98" t="inlineStr">
        <is>
          <t>O</t>
        </is>
      </c>
      <c r="O167" s="99" t="n"/>
      <c r="P167" s="100" t="inlineStr">
        <is>
          <t>8-HR</t>
        </is>
      </c>
      <c r="Q167" s="102" t="inlineStr">
        <is>
          <t>용봉화학</t>
        </is>
      </c>
      <c r="R167" s="110">
        <f>HYPERLINK("#'마스터_품목'!A89","→ 마스터 R89")</f>
        <v/>
      </c>
      <c r="S167" s="111" t="n">
        <v>89</v>
      </c>
      <c r="T167" s="111" t="inlineStr">
        <is>
          <t>마스터_품목</t>
        </is>
      </c>
    </row>
    <row r="168" ht="48" customHeight="1">
      <c r="A168" s="87" t="inlineStr">
        <is>
          <t>창고</t>
        </is>
      </c>
      <c r="B168" s="87" t="inlineStr">
        <is>
          <t>다이오드</t>
        </is>
      </c>
      <c r="C168" s="88" t="inlineStr">
        <is>
          <t>COCOON</t>
        </is>
      </c>
      <c r="D168" s="88" t="inlineStr">
        <is>
          <t>고압 다이오드 (DD1800)
[COCOON]</t>
        </is>
      </c>
      <c r="E168" s="88" t="inlineStr">
        <is>
          <t>DD1800 (신규 다이오드)</t>
        </is>
      </c>
      <c r="F168" s="90" t="inlineStr">
        <is>
          <t>O</t>
        </is>
      </c>
      <c r="G168" s="91" t="n"/>
      <c r="H168" s="92" t="n"/>
      <c r="I168" s="93" t="inlineStr">
        <is>
          <t>HR</t>
        </is>
      </c>
      <c r="J168" s="94" t="n"/>
      <c r="K168" s="95" t="n"/>
      <c r="L168" s="96" t="n"/>
      <c r="M168" s="97" t="inlineStr">
        <is>
          <t>O</t>
        </is>
      </c>
      <c r="N168" s="98" t="n"/>
      <c r="O168" s="99" t="n"/>
      <c r="P168" s="100" t="inlineStr">
        <is>
          <t>7-HR</t>
        </is>
      </c>
      <c r="Q168" s="102" t="inlineStr">
        <is>
          <t>비지티</t>
        </is>
      </c>
      <c r="R168" s="110">
        <f>HYPERLINK("#'마스터_품목'!A42","→ 마스터 R42")</f>
        <v/>
      </c>
      <c r="S168" s="111" t="n">
        <v>42</v>
      </c>
      <c r="T168" s="111" t="inlineStr">
        <is>
          <t>마스터_품목</t>
        </is>
      </c>
    </row>
    <row r="169" ht="48" customHeight="1">
      <c r="A169" s="87" t="inlineStr">
        <is>
          <t>창고</t>
        </is>
      </c>
      <c r="B169" s="87" t="inlineStr">
        <is>
          <t>저항</t>
        </is>
      </c>
      <c r="C169" s="88" t="inlineStr">
        <is>
          <t>ADX6000</t>
        </is>
      </c>
      <c r="D169" s="88" t="inlineStr">
        <is>
          <t>500Ω 고압용 저항 (500Ω±1％, DIP-1/4W)
[ADX6000]</t>
        </is>
      </c>
      <c r="E169" s="88" t="inlineStr">
        <is>
          <t>고압용 (500Ω±1％, DIP) - 1/4W</t>
        </is>
      </c>
      <c r="F169" s="90" t="inlineStr">
        <is>
          <t>O</t>
        </is>
      </c>
      <c r="G169" s="91" t="n"/>
      <c r="H169" s="92" t="n"/>
      <c r="I169" s="93" t="inlineStr">
        <is>
          <t>HR</t>
        </is>
      </c>
      <c r="J169" s="94" t="n"/>
      <c r="K169" s="95" t="n"/>
      <c r="L169" s="96" t="inlineStr">
        <is>
          <t>O</t>
        </is>
      </c>
      <c r="M169" s="97" t="n"/>
      <c r="N169" s="98" t="n"/>
      <c r="O169" s="99" t="n"/>
      <c r="P169" s="100" t="inlineStr">
        <is>
          <t>6-HR</t>
        </is>
      </c>
      <c r="Q169" s="102" t="inlineStr">
        <is>
          <t>HLP</t>
        </is>
      </c>
      <c r="R169" s="110">
        <f>HYPERLINK("#'마스터_품목'!A32","→ 마스터 R32")</f>
        <v/>
      </c>
      <c r="S169" s="111" t="n">
        <v>32</v>
      </c>
      <c r="T169" s="111" t="inlineStr">
        <is>
          <t>마스터_품목</t>
        </is>
      </c>
    </row>
    <row r="170" ht="48" customHeight="1">
      <c r="A170" s="87" t="inlineStr">
        <is>
          <t>창고</t>
        </is>
      </c>
      <c r="B170" s="87" t="inlineStr">
        <is>
          <t>저항</t>
        </is>
      </c>
      <c r="C170" s="88" t="inlineStr">
        <is>
          <t>COCOON</t>
        </is>
      </c>
      <c r="D170" s="88" t="inlineStr">
        <is>
          <t>2.7W,15kV 시멘트저항 긴 것 (RK92-18XD 307J (2.7W,15kV,±5%,300ppm,Flat))
[COCOON]</t>
        </is>
      </c>
      <c r="E170" s="88" t="inlineStr">
        <is>
          <t>RK92-18XD 307J 시멘트저항 긴 것</t>
        </is>
      </c>
      <c r="F170" s="90" t="inlineStr">
        <is>
          <t>O</t>
        </is>
      </c>
      <c r="G170" s="91" t="n"/>
      <c r="H170" s="92" t="n"/>
      <c r="I170" s="93" t="inlineStr">
        <is>
          <t>HR</t>
        </is>
      </c>
      <c r="J170" s="94" t="n"/>
      <c r="K170" s="95" t="n"/>
      <c r="L170" s="96" t="n"/>
      <c r="M170" s="97" t="inlineStr">
        <is>
          <t>O</t>
        </is>
      </c>
      <c r="N170" s="98" t="n"/>
      <c r="O170" s="99" t="n"/>
      <c r="P170" s="100" t="inlineStr">
        <is>
          <t>7-HR</t>
        </is>
      </c>
      <c r="Q170" s="102" t="inlineStr">
        <is>
          <t>비지티</t>
        </is>
      </c>
      <c r="R170" s="110">
        <f>HYPERLINK("#'마스터_품목'!A38","→ 마스터 R38")</f>
        <v/>
      </c>
      <c r="S170" s="111" t="n">
        <v>38</v>
      </c>
      <c r="T170" s="111" t="inlineStr">
        <is>
          <t>마스터_품목</t>
        </is>
      </c>
    </row>
    <row r="171" ht="48" customHeight="1">
      <c r="A171" s="87" t="inlineStr">
        <is>
          <t>창고</t>
        </is>
      </c>
      <c r="B171" s="87" t="inlineStr">
        <is>
          <t>세라믹</t>
        </is>
      </c>
      <c r="C171" s="88" t="inlineStr">
        <is>
          <t>COCOON, ADX6000</t>
        </is>
      </c>
      <c r="D171" s="88" t="inlineStr">
        <is>
          <t>세라믹 작은 콘덴서 Murata (680pF DHR4E4C681K2BB)
[COCOON, ADX6000]</t>
        </is>
      </c>
      <c r="E171" s="88" t="inlineStr">
        <is>
          <t>680pF DHR4E4C681K2BB 무라타 작은 콘덴서</t>
        </is>
      </c>
      <c r="F171" s="90" t="inlineStr">
        <is>
          <t>O</t>
        </is>
      </c>
      <c r="G171" s="91" t="n"/>
      <c r="H171" s="92" t="n"/>
      <c r="I171" s="93" t="inlineStr">
        <is>
          <t>HR</t>
        </is>
      </c>
      <c r="J171" s="94" t="n"/>
      <c r="K171" s="95" t="n"/>
      <c r="L171" s="96" t="inlineStr">
        <is>
          <t>O</t>
        </is>
      </c>
      <c r="M171" s="97" t="inlineStr">
        <is>
          <t>O</t>
        </is>
      </c>
      <c r="N171" s="98" t="n"/>
      <c r="O171" s="99" t="n"/>
      <c r="P171" s="100" t="inlineStr">
        <is>
          <t>67-HR</t>
        </is>
      </c>
      <c r="Q171" s="102" t="inlineStr">
        <is>
          <t>비지티, HLP</t>
        </is>
      </c>
      <c r="R171" s="110">
        <f>HYPERLINK("#'마스터_품목'!A39","→ 마스터 R39")</f>
        <v/>
      </c>
      <c r="S171" s="111" t="n">
        <v>39</v>
      </c>
      <c r="T171" s="111" t="inlineStr">
        <is>
          <t>마스터_품목</t>
        </is>
      </c>
    </row>
    <row r="172" ht="48" customHeight="1">
      <c r="A172" s="126" t="inlineStr">
        <is>
          <t>고압</t>
        </is>
      </c>
      <c r="B172" s="87" t="inlineStr">
        <is>
          <t>세라믹</t>
        </is>
      </c>
      <c r="C172" s="88" t="inlineStr">
        <is>
          <t>COCOON, ADX6000</t>
        </is>
      </c>
      <c r="D172" s="88" t="inlineStr">
        <is>
          <t>세라믹 작은 콘덴서 Vishay (HVCC203Y6P681MCAX)
[COCOON, ADX6000]</t>
        </is>
      </c>
      <c r="E172" s="88" t="n"/>
      <c r="F172" s="90" t="inlineStr">
        <is>
          <t>O</t>
        </is>
      </c>
      <c r="G172" s="91" t="n"/>
      <c r="H172" s="92" t="n"/>
      <c r="I172" s="93">
        <f>IFERROR(IF(OR($F172="O",$G172="O",$H172="O"),CHOOSE(MATCH($A172,{"튜브","고압","진공","튜닝","조립","출하"},0),"T","H","V","N","A","P")&amp;IF($F172="O","R",IF($G172="O","A",IF($H172="O","F",""))),""),"")</f>
        <v/>
      </c>
      <c r="J172" s="94" t="n"/>
      <c r="K172" s="95" t="n"/>
      <c r="L172" s="121" t="inlineStr">
        <is>
          <t>O</t>
        </is>
      </c>
      <c r="M172" s="122" t="inlineStr">
        <is>
          <t>O</t>
        </is>
      </c>
      <c r="N172" s="98" t="n"/>
      <c r="O172" s="99" t="n"/>
      <c r="P172" s="100">
        <f>IF($I172="","",IF($J172="O","3","")&amp;IF($K172="O","4","")&amp;IF($L172="O","6","")&amp;IF($M172="O","7","")&amp;IF($N172="O","8","")&amp;IF($O172="O","?","")&amp;IF(OR($J172="O",$K172="O",$L172="O",$M172="O",$N172="O",$O172="O"),"-","")&amp;$I172)</f>
        <v/>
      </c>
      <c r="Q172" s="102" t="inlineStr">
        <is>
          <t>HLP</t>
        </is>
      </c>
      <c r="R172" s="110">
        <f>HYPERLINK("#'마스터_품목'!A738","→ 마스터 R738")</f>
        <v/>
      </c>
      <c r="S172" s="111" t="n">
        <v>738</v>
      </c>
      <c r="T172" s="111" t="inlineStr">
        <is>
          <t>마스터_품목</t>
        </is>
      </c>
    </row>
    <row r="173" ht="48" customHeight="1">
      <c r="A173" s="87" t="inlineStr">
        <is>
          <t>창고</t>
        </is>
      </c>
      <c r="B173" s="87" t="inlineStr">
        <is>
          <t>센서</t>
        </is>
      </c>
      <c r="C173" s="88" t="inlineStr">
        <is>
          <t>COCOON</t>
        </is>
      </c>
      <c r="D173" s="88" t="inlineStr">
        <is>
          <t>온도센서 (LNTK103FW)
[COCOON]</t>
        </is>
      </c>
      <c r="E173" s="88" t="inlineStr">
        <is>
          <t>LNTK103FW 온도센서</t>
        </is>
      </c>
      <c r="F173" s="90" t="inlineStr">
        <is>
          <t>O</t>
        </is>
      </c>
      <c r="G173" s="91" t="n"/>
      <c r="H173" s="92" t="n"/>
      <c r="I173" s="93" t="inlineStr">
        <is>
          <t>HR</t>
        </is>
      </c>
      <c r="J173" s="94" t="n"/>
      <c r="K173" s="95" t="n"/>
      <c r="L173" s="96" t="n"/>
      <c r="M173" s="97" t="inlineStr">
        <is>
          <t>O</t>
        </is>
      </c>
      <c r="N173" s="98" t="n"/>
      <c r="O173" s="99" t="n"/>
      <c r="P173" s="100" t="inlineStr">
        <is>
          <t>7-HR</t>
        </is>
      </c>
      <c r="Q173" s="102" t="inlineStr">
        <is>
          <t>HLP</t>
        </is>
      </c>
      <c r="R173" s="110">
        <f>HYPERLINK("#'마스터_품목'!A40","→ 마스터 R40")</f>
        <v/>
      </c>
      <c r="S173" s="111" t="n">
        <v>40</v>
      </c>
      <c r="T173" s="111" t="inlineStr">
        <is>
          <t>마스터_품목</t>
        </is>
      </c>
    </row>
    <row r="174" ht="48" customHeight="1">
      <c r="A174" s="87" t="inlineStr">
        <is>
          <t>창고</t>
        </is>
      </c>
      <c r="B174" s="87" t="inlineStr">
        <is>
          <t>트랜스</t>
        </is>
      </c>
      <c r="C174" s="88" t="inlineStr">
        <is>
          <t>COCOON</t>
        </is>
      </c>
      <c r="D174" s="88" t="inlineStr">
        <is>
          <t>트랜스포머 (70kV)
[COCOON]</t>
        </is>
      </c>
      <c r="E174" s="88" t="inlineStr">
        <is>
          <t>트랜스포머</t>
        </is>
      </c>
      <c r="F174" s="90" t="inlineStr">
        <is>
          <t>O</t>
        </is>
      </c>
      <c r="G174" s="91" t="n"/>
      <c r="H174" s="92" t="n"/>
      <c r="I174" s="93" t="inlineStr">
        <is>
          <t>HR</t>
        </is>
      </c>
      <c r="J174" s="94" t="n"/>
      <c r="K174" s="95" t="n"/>
      <c r="L174" s="96" t="n"/>
      <c r="M174" s="97" t="inlineStr">
        <is>
          <t>O</t>
        </is>
      </c>
      <c r="N174" s="98" t="n"/>
      <c r="O174" s="99" t="n"/>
      <c r="P174" s="100" t="inlineStr">
        <is>
          <t>7-HR</t>
        </is>
      </c>
      <c r="Q174" s="102" t="inlineStr">
        <is>
          <t>미래메디칼</t>
        </is>
      </c>
      <c r="R174" s="110">
        <f>HYPERLINK("#'마스터_품목'!A53","→ 마스터 R53")</f>
        <v/>
      </c>
      <c r="S174" s="111" t="n">
        <v>53</v>
      </c>
      <c r="T174" s="111" t="inlineStr">
        <is>
          <t>마스터_품목</t>
        </is>
      </c>
    </row>
    <row r="175" ht="48" customHeight="1">
      <c r="A175" s="87" t="inlineStr">
        <is>
          <t>창고</t>
        </is>
      </c>
      <c r="B175" s="87" t="inlineStr">
        <is>
          <t>트랜스</t>
        </is>
      </c>
      <c r="C175" s="88" t="inlineStr">
        <is>
          <t>ADX6000</t>
        </is>
      </c>
      <c r="D175" s="88" t="inlineStr">
        <is>
          <t>트랜스포머 (800턴) (80kV)
[ADX6000]</t>
        </is>
      </c>
      <c r="E175" s="88" t="inlineStr">
        <is>
          <t>트랜스포머</t>
        </is>
      </c>
      <c r="F175" s="90" t="inlineStr">
        <is>
          <t>O</t>
        </is>
      </c>
      <c r="G175" s="91" t="n"/>
      <c r="H175" s="92" t="n"/>
      <c r="I175" s="93" t="inlineStr">
        <is>
          <t>HR</t>
        </is>
      </c>
      <c r="J175" s="94" t="n"/>
      <c r="K175" s="95" t="n"/>
      <c r="L175" s="96" t="inlineStr">
        <is>
          <t>O</t>
        </is>
      </c>
      <c r="M175" s="97" t="n"/>
      <c r="N175" s="98" t="n"/>
      <c r="O175" s="99" t="n"/>
      <c r="P175" s="100" t="inlineStr">
        <is>
          <t>6-HR</t>
        </is>
      </c>
      <c r="Q175" s="102" t="inlineStr">
        <is>
          <t>미래메디칼</t>
        </is>
      </c>
      <c r="R175" s="110">
        <f>HYPERLINK("#'마스터_품목'!A55","→ 마스터 R55")</f>
        <v/>
      </c>
      <c r="S175" s="111" t="n">
        <v>55</v>
      </c>
      <c r="T175" s="111" t="inlineStr">
        <is>
          <t>마스터_품목</t>
        </is>
      </c>
    </row>
    <row r="176" ht="48" customHeight="1">
      <c r="A176" s="87" t="inlineStr">
        <is>
          <t>창고</t>
        </is>
      </c>
      <c r="B176" s="87" t="inlineStr">
        <is>
          <t>CORE</t>
        </is>
      </c>
      <c r="C176" s="88" t="inlineStr">
        <is>
          <t>SOLO</t>
        </is>
      </c>
      <c r="D176" s="88" t="inlineStr">
        <is>
          <t>T 코어 (히터트랜스용) (TR22-14-6.5)
[SOLO]</t>
        </is>
      </c>
      <c r="E176" s="88" t="inlineStr">
        <is>
          <t>T 코어 (히터트랜스용)</t>
        </is>
      </c>
      <c r="F176" s="90" t="inlineStr">
        <is>
          <t>O</t>
        </is>
      </c>
      <c r="G176" s="91" t="n"/>
      <c r="H176" s="92" t="n"/>
      <c r="I176" s="93" t="inlineStr">
        <is>
          <t>HR</t>
        </is>
      </c>
      <c r="J176" s="94" t="n"/>
      <c r="K176" s="95" t="n"/>
      <c r="L176" s="96" t="n"/>
      <c r="M176" s="97" t="n"/>
      <c r="N176" s="98" t="inlineStr">
        <is>
          <t>O</t>
        </is>
      </c>
      <c r="O176" s="99" t="n"/>
      <c r="P176" s="100" t="inlineStr">
        <is>
          <t>8-HR</t>
        </is>
      </c>
      <c r="Q176" s="102" t="inlineStr">
        <is>
          <t>DCT,HLP</t>
        </is>
      </c>
      <c r="R176" s="110">
        <f>HYPERLINK("#'마스터_품목'!A47","→ 마스터 R47")</f>
        <v/>
      </c>
      <c r="S176" s="111" t="n">
        <v>47</v>
      </c>
      <c r="T176" s="111" t="inlineStr">
        <is>
          <t>마스터_품목</t>
        </is>
      </c>
    </row>
    <row r="177" ht="48" customHeight="1">
      <c r="A177" s="87" t="inlineStr">
        <is>
          <t>창고</t>
        </is>
      </c>
      <c r="B177" s="87" t="inlineStr">
        <is>
          <t>CORE</t>
        </is>
      </c>
      <c r="C177" s="88" t="inlineStr">
        <is>
          <t>ADX6000</t>
        </is>
      </c>
      <c r="D177" s="88" t="inlineStr">
        <is>
          <t>센더스트 코어 (CS234060)
[ADX6000]</t>
        </is>
      </c>
      <c r="E177" s="88" t="inlineStr">
        <is>
          <t>센더스트 코어 CS234060</t>
        </is>
      </c>
      <c r="F177" s="90" t="inlineStr">
        <is>
          <t>O</t>
        </is>
      </c>
      <c r="G177" s="91" t="n"/>
      <c r="H177" s="92" t="n"/>
      <c r="I177" s="93" t="inlineStr">
        <is>
          <t>HR</t>
        </is>
      </c>
      <c r="J177" s="94" t="n"/>
      <c r="K177" s="95" t="n"/>
      <c r="L177" s="96" t="inlineStr">
        <is>
          <t>O</t>
        </is>
      </c>
      <c r="M177" s="97" t="n"/>
      <c r="N177" s="98" t="n"/>
      <c r="O177" s="99" t="n"/>
      <c r="P177" s="100" t="inlineStr">
        <is>
          <t>6-HR</t>
        </is>
      </c>
      <c r="Q177" s="102" t="inlineStr">
        <is>
          <t>도일코리아</t>
        </is>
      </c>
      <c r="R177" s="110">
        <f>HYPERLINK("#'마스터_품목'!A45","→ 마스터 R45")</f>
        <v/>
      </c>
      <c r="S177" s="111" t="n">
        <v>45</v>
      </c>
      <c r="T177" s="111" t="inlineStr">
        <is>
          <t>마스터_품목</t>
        </is>
      </c>
    </row>
    <row r="178" ht="48" customHeight="1">
      <c r="A178" s="126" t="inlineStr">
        <is>
          <t>고압</t>
        </is>
      </c>
      <c r="B178" s="87" t="inlineStr">
        <is>
          <t>CABLE</t>
        </is>
      </c>
      <c r="C178" s="88" t="inlineStr">
        <is>
          <t>SOLO</t>
        </is>
      </c>
      <c r="D178" s="88" t="inlineStr">
        <is>
          <t>히터트랜스용 고압선(흰색) (DSI HV CABLE 2178)
[SOLO]</t>
        </is>
      </c>
      <c r="E178" s="88" t="n"/>
      <c r="F178" s="90" t="inlineStr">
        <is>
          <t>O</t>
        </is>
      </c>
      <c r="G178" s="91" t="n"/>
      <c r="H178" s="92" t="n"/>
      <c r="I178" s="93">
        <f>IFERROR(IF(OR($F178="O",$G178="O",$H178="O"),CHOOSE(MATCH($A178,{"튜브","고압","진공","튜닝","조립","출하"},0),"T","H","V","N","A","P")&amp;IF($F178="O","R",IF($G178="O","A",IF($H178="O","F",""))),""),"")</f>
        <v/>
      </c>
      <c r="J178" s="94" t="n"/>
      <c r="K178" s="95" t="n"/>
      <c r="L178" s="96" t="n"/>
      <c r="M178" s="97" t="n"/>
      <c r="N178" s="123" t="inlineStr">
        <is>
          <t>O</t>
        </is>
      </c>
      <c r="O178" s="99" t="n"/>
      <c r="P178" s="100">
        <f>IF($I178="","",IF($J178="O","3","")&amp;IF($K178="O","4","")&amp;IF($L178="O","6","")&amp;IF($M178="O","7","")&amp;IF($N178="O","8","")&amp;IF($O178="O","?","")&amp;IF(OR($J178="O",$K178="O",$L178="O",$M178="O",$N178="O",$O178="O"),"-","")&amp;$I178)</f>
        <v/>
      </c>
      <c r="Q178" s="102" t="inlineStr">
        <is>
          <t>BGT</t>
        </is>
      </c>
      <c r="R178" s="110">
        <f>HYPERLINK("#'마스터_품목'!A739","→ 마스터 R739")</f>
        <v/>
      </c>
      <c r="S178" s="111" t="n">
        <v>739</v>
      </c>
      <c r="T178" s="111" t="inlineStr">
        <is>
          <t>마스터_품목</t>
        </is>
      </c>
    </row>
    <row r="179" ht="48" customHeight="1">
      <c r="A179" s="87" t="inlineStr">
        <is>
          <t>창고</t>
        </is>
      </c>
      <c r="B179" s="87" t="inlineStr">
        <is>
          <t>BOARD</t>
        </is>
      </c>
      <c r="C179" s="88" t="inlineStr">
        <is>
          <t>COCOON</t>
        </is>
      </c>
      <c r="D179" s="88" t="inlineStr">
        <is>
          <t>고압베어 B/D (구형)
[COCOON]</t>
        </is>
      </c>
      <c r="E179" s="88" t="inlineStr">
        <is>
          <t>고압베어B/D</t>
        </is>
      </c>
      <c r="F179" s="90" t="inlineStr">
        <is>
          <t>O</t>
        </is>
      </c>
      <c r="G179" s="91" t="n"/>
      <c r="H179" s="92" t="n"/>
      <c r="I179" s="93" t="inlineStr">
        <is>
          <t>HR</t>
        </is>
      </c>
      <c r="J179" s="94" t="n"/>
      <c r="K179" s="95" t="n"/>
      <c r="L179" s="96" t="n"/>
      <c r="M179" s="97" t="inlineStr">
        <is>
          <t>O</t>
        </is>
      </c>
      <c r="N179" s="98" t="n"/>
      <c r="O179" s="99" t="n"/>
      <c r="P179" s="100" t="inlineStr">
        <is>
          <t>7-HR</t>
        </is>
      </c>
      <c r="Q179" s="102" t="inlineStr">
        <is>
          <t>한샘디지텍</t>
        </is>
      </c>
      <c r="R179" s="110">
        <f>HYPERLINK("#'마스터_품목'!A64","→ 마스터 R64")</f>
        <v/>
      </c>
      <c r="S179" s="111" t="n">
        <v>64</v>
      </c>
      <c r="T179" s="111" t="inlineStr">
        <is>
          <t>마스터_품목</t>
        </is>
      </c>
    </row>
    <row r="180" ht="48" customHeight="1">
      <c r="A180" s="87" t="inlineStr">
        <is>
          <t>창고</t>
        </is>
      </c>
      <c r="B180" s="87" t="inlineStr">
        <is>
          <t>BOARD</t>
        </is>
      </c>
      <c r="C180" s="88" t="inlineStr">
        <is>
          <t>COCOON</t>
        </is>
      </c>
      <c r="D180" s="88" t="inlineStr">
        <is>
          <t>고압베어 B/D (신형)
[COCOON]</t>
        </is>
      </c>
      <c r="E180" s="88" t="inlineStr">
        <is>
          <t>고압베어B/D (신형) (Ver. 2.12)</t>
        </is>
      </c>
      <c r="F180" s="90" t="inlineStr">
        <is>
          <t>O</t>
        </is>
      </c>
      <c r="G180" s="91" t="n"/>
      <c r="H180" s="92" t="n"/>
      <c r="I180" s="93" t="inlineStr">
        <is>
          <t>HR</t>
        </is>
      </c>
      <c r="J180" s="94" t="n"/>
      <c r="K180" s="95" t="n"/>
      <c r="L180" s="96" t="n"/>
      <c r="M180" s="97" t="inlineStr">
        <is>
          <t>O</t>
        </is>
      </c>
      <c r="N180" s="98" t="n"/>
      <c r="O180" s="99" t="n"/>
      <c r="P180" s="100" t="inlineStr">
        <is>
          <t>7-HR</t>
        </is>
      </c>
      <c r="Q180" s="102" t="inlineStr">
        <is>
          <t>한샘디지텍</t>
        </is>
      </c>
      <c r="R180" s="110">
        <f>HYPERLINK("#'마스터_품목'!A66","→ 마스터 R66")</f>
        <v/>
      </c>
      <c r="S180" s="111" t="n">
        <v>66</v>
      </c>
      <c r="T180" s="111" t="inlineStr">
        <is>
          <t>마스터_품목</t>
        </is>
      </c>
    </row>
    <row r="181" ht="48" customHeight="1">
      <c r="A181" s="87" t="inlineStr">
        <is>
          <t>창고</t>
        </is>
      </c>
      <c r="B181" s="87" t="inlineStr">
        <is>
          <t>BOARD</t>
        </is>
      </c>
      <c r="C181" s="88" t="inlineStr">
        <is>
          <t>SOLO</t>
        </is>
      </c>
      <c r="D181" s="88" t="inlineStr">
        <is>
          <t>고압베어 B/D
[SOLO]</t>
        </is>
      </c>
      <c r="E181" s="88" t="inlineStr">
        <is>
          <t>고압베어B/D (4개 1세트)</t>
        </is>
      </c>
      <c r="F181" s="90" t="inlineStr">
        <is>
          <t>O</t>
        </is>
      </c>
      <c r="G181" s="91" t="n"/>
      <c r="H181" s="92" t="n"/>
      <c r="I181" s="93" t="inlineStr">
        <is>
          <t>HR</t>
        </is>
      </c>
      <c r="J181" s="94" t="n"/>
      <c r="K181" s="95" t="n"/>
      <c r="L181" s="96" t="n"/>
      <c r="M181" s="97" t="n"/>
      <c r="N181" s="98" t="inlineStr">
        <is>
          <t>O</t>
        </is>
      </c>
      <c r="O181" s="99" t="n"/>
      <c r="P181" s="100" t="inlineStr">
        <is>
          <t>8-HR</t>
        </is>
      </c>
      <c r="Q181" s="102" t="inlineStr">
        <is>
          <t>HLP</t>
        </is>
      </c>
      <c r="R181" s="110">
        <f>HYPERLINK("#'마스터_품목'!A65","→ 마스터 R65")</f>
        <v/>
      </c>
      <c r="S181" s="111" t="n">
        <v>65</v>
      </c>
      <c r="T181" s="111" t="inlineStr">
        <is>
          <t>마스터_품목</t>
        </is>
      </c>
    </row>
    <row r="182" ht="48" customHeight="1">
      <c r="A182" s="87" t="inlineStr">
        <is>
          <t>창고</t>
        </is>
      </c>
      <c r="B182" s="87" t="inlineStr">
        <is>
          <t>BOARD</t>
        </is>
      </c>
      <c r="C182" s="88" t="inlineStr">
        <is>
          <t>ADX6000</t>
        </is>
      </c>
      <c r="D182" s="88" t="inlineStr">
        <is>
          <t>고압베어 B/D (구형)
[ADX6000]</t>
        </is>
      </c>
      <c r="E182" s="88" t="inlineStr">
        <is>
          <t>ADX6000 고압 베어보드</t>
        </is>
      </c>
      <c r="F182" s="90" t="inlineStr">
        <is>
          <t>O</t>
        </is>
      </c>
      <c r="G182" s="91" t="n"/>
      <c r="H182" s="92" t="n"/>
      <c r="I182" s="93" t="inlineStr">
        <is>
          <t>HR</t>
        </is>
      </c>
      <c r="J182" s="94" t="n"/>
      <c r="K182" s="95" t="n"/>
      <c r="L182" s="96" t="inlineStr">
        <is>
          <t>O</t>
        </is>
      </c>
      <c r="M182" s="97" t="n"/>
      <c r="N182" s="98" t="n"/>
      <c r="O182" s="99" t="n"/>
      <c r="P182" s="100" t="inlineStr">
        <is>
          <t>6-HR</t>
        </is>
      </c>
      <c r="Q182" s="102" t="inlineStr">
        <is>
          <t>한샘디지텍</t>
        </is>
      </c>
      <c r="R182" s="110">
        <f>HYPERLINK("#'마스터_품목'!A60","→ 마스터 R60")</f>
        <v/>
      </c>
      <c r="S182" s="111" t="n">
        <v>60</v>
      </c>
      <c r="T182" s="111" t="inlineStr">
        <is>
          <t>마스터_품목</t>
        </is>
      </c>
    </row>
    <row r="183" ht="48" customHeight="1">
      <c r="A183" s="87" t="inlineStr">
        <is>
          <t>창고</t>
        </is>
      </c>
      <c r="B183" s="87" t="inlineStr">
        <is>
          <t>BOARD</t>
        </is>
      </c>
      <c r="C183" s="88" t="inlineStr">
        <is>
          <t>ADX6000</t>
        </is>
      </c>
      <c r="D183" s="88" t="inlineStr">
        <is>
          <t>고압베어 B/D (신형)
[ADX6000]</t>
        </is>
      </c>
      <c r="E183" s="88" t="inlineStr">
        <is>
          <t>ADX6000 신형 고압 베어보드</t>
        </is>
      </c>
      <c r="F183" s="90" t="inlineStr">
        <is>
          <t>O</t>
        </is>
      </c>
      <c r="G183" s="91" t="n"/>
      <c r="H183" s="92" t="n"/>
      <c r="I183" s="93" t="inlineStr">
        <is>
          <t>HR</t>
        </is>
      </c>
      <c r="J183" s="94" t="n"/>
      <c r="K183" s="95" t="n"/>
      <c r="L183" s="96" t="inlineStr">
        <is>
          <t>O</t>
        </is>
      </c>
      <c r="M183" s="97" t="n"/>
      <c r="N183" s="98" t="n"/>
      <c r="O183" s="99" t="n"/>
      <c r="P183" s="100" t="inlineStr">
        <is>
          <t>6-HR</t>
        </is>
      </c>
      <c r="Q183" s="102" t="inlineStr">
        <is>
          <t>한샘디지텍</t>
        </is>
      </c>
      <c r="R183" s="110">
        <f>HYPERLINK("#'마스터_품목'!A61","→ 마스터 R61")</f>
        <v/>
      </c>
      <c r="S183" s="111" t="n">
        <v>61</v>
      </c>
      <c r="T183" s="111" t="inlineStr">
        <is>
          <t>마스터_품목</t>
        </is>
      </c>
    </row>
    <row r="184" ht="48" customHeight="1">
      <c r="A184" s="87" t="inlineStr">
        <is>
          <t>창고</t>
        </is>
      </c>
      <c r="B184" s="87" t="inlineStr">
        <is>
          <t>BOARD</t>
        </is>
      </c>
      <c r="C184" s="88" t="inlineStr">
        <is>
          <t>COCOON</t>
        </is>
      </c>
      <c r="D184" s="88" t="inlineStr">
        <is>
          <t>튜브 고정 보드 에노드 (나사)
[COCOON]</t>
        </is>
      </c>
      <c r="E184" s="88" t="inlineStr">
        <is>
          <t>에노드 튜브 고정 보드(나사)</t>
        </is>
      </c>
      <c r="F184" s="90" t="inlineStr">
        <is>
          <t>O</t>
        </is>
      </c>
      <c r="G184" s="91" t="n"/>
      <c r="H184" s="92" t="n"/>
      <c r="I184" s="93" t="inlineStr">
        <is>
          <t>HR</t>
        </is>
      </c>
      <c r="J184" s="94" t="n"/>
      <c r="K184" s="95" t="n"/>
      <c r="L184" s="96" t="n"/>
      <c r="M184" s="97" t="inlineStr">
        <is>
          <t>O</t>
        </is>
      </c>
      <c r="N184" s="98" t="n"/>
      <c r="O184" s="99" t="n"/>
      <c r="P184" s="100" t="inlineStr">
        <is>
          <t>7-HR</t>
        </is>
      </c>
      <c r="Q184" s="102" t="inlineStr">
        <is>
          <t>한샘디지텍</t>
        </is>
      </c>
      <c r="R184" s="110">
        <f>HYPERLINK("#'마스터_품목'!A59","→ 마스터 R59")</f>
        <v/>
      </c>
      <c r="S184" s="111" t="n">
        <v>59</v>
      </c>
      <c r="T184" s="111" t="inlineStr">
        <is>
          <t>마스터_품목</t>
        </is>
      </c>
    </row>
    <row r="185" ht="48" customHeight="1">
      <c r="A185" s="87" t="inlineStr">
        <is>
          <t>창고</t>
        </is>
      </c>
      <c r="B185" s="87" t="inlineStr">
        <is>
          <t>BOARD</t>
        </is>
      </c>
      <c r="C185" s="88" t="inlineStr">
        <is>
          <t>ADX6000</t>
        </is>
      </c>
      <c r="D185" s="88" t="inlineStr">
        <is>
          <t>튜브 고정 보드 에노드 (나사)
[ADX6000]</t>
        </is>
      </c>
      <c r="E185" s="88" t="inlineStr">
        <is>
          <t>튜브 고정 보드 에노드 (나사)</t>
        </is>
      </c>
      <c r="F185" s="90" t="inlineStr">
        <is>
          <t>O</t>
        </is>
      </c>
      <c r="G185" s="91" t="n"/>
      <c r="H185" s="92" t="n"/>
      <c r="I185" s="93" t="inlineStr">
        <is>
          <t>HR</t>
        </is>
      </c>
      <c r="J185" s="94" t="n"/>
      <c r="K185" s="95" t="n"/>
      <c r="L185" s="96" t="inlineStr">
        <is>
          <t>O</t>
        </is>
      </c>
      <c r="M185" s="97" t="n"/>
      <c r="N185" s="98" t="n"/>
      <c r="O185" s="99" t="n"/>
      <c r="P185" s="100" t="inlineStr">
        <is>
          <t>6-HR</t>
        </is>
      </c>
      <c r="Q185" s="102" t="inlineStr">
        <is>
          <t>한샘디지텍</t>
        </is>
      </c>
      <c r="R185" s="110">
        <f>HYPERLINK("#'마스터_품목'!A69","→ 마스터 R69")</f>
        <v/>
      </c>
      <c r="S185" s="111" t="n">
        <v>69</v>
      </c>
      <c r="T185" s="111" t="inlineStr">
        <is>
          <t>마스터_품목</t>
        </is>
      </c>
    </row>
    <row r="186" ht="48" customHeight="1">
      <c r="A186" s="87" t="inlineStr">
        <is>
          <t>창고</t>
        </is>
      </c>
      <c r="B186" s="87" t="inlineStr">
        <is>
          <t>BOARD</t>
        </is>
      </c>
      <c r="C186" s="88" t="inlineStr">
        <is>
          <t>ADX6000</t>
        </is>
      </c>
      <c r="D186" s="88" t="inlineStr">
        <is>
          <t>튜브 고정 보드 케소드 (필라멘트)
[ADX6000]</t>
        </is>
      </c>
      <c r="E186" s="88" t="inlineStr">
        <is>
          <t>튜브 고정 보드 케소드 (필라멘트)</t>
        </is>
      </c>
      <c r="F186" s="90" t="inlineStr">
        <is>
          <t>O</t>
        </is>
      </c>
      <c r="G186" s="91" t="n"/>
      <c r="H186" s="92" t="n"/>
      <c r="I186" s="93" t="inlineStr">
        <is>
          <t>HR</t>
        </is>
      </c>
      <c r="J186" s="94" t="n"/>
      <c r="K186" s="95" t="n"/>
      <c r="L186" s="96" t="inlineStr">
        <is>
          <t>O</t>
        </is>
      </c>
      <c r="M186" s="97" t="n"/>
      <c r="N186" s="98" t="n"/>
      <c r="O186" s="99" t="n"/>
      <c r="P186" s="100" t="inlineStr">
        <is>
          <t>6-HR</t>
        </is>
      </c>
      <c r="Q186" s="102" t="inlineStr">
        <is>
          <t>한샘디지텍</t>
        </is>
      </c>
      <c r="R186" s="110">
        <f>HYPERLINK("#'마스터_품목'!A70","→ 마스터 R70")</f>
        <v/>
      </c>
      <c r="S186" s="111" t="n">
        <v>70</v>
      </c>
      <c r="T186" s="111" t="inlineStr">
        <is>
          <t>마스터_품목</t>
        </is>
      </c>
    </row>
    <row r="187" ht="48" customHeight="1">
      <c r="A187" s="87" t="inlineStr">
        <is>
          <t>창고</t>
        </is>
      </c>
      <c r="B187" s="87" t="inlineStr">
        <is>
          <t>HDPE</t>
        </is>
      </c>
      <c r="C187" s="88" t="inlineStr">
        <is>
          <t>COCOON</t>
        </is>
      </c>
      <c r="D187" s="88" t="inlineStr">
        <is>
          <t>NC 케이스 (HDPE)
[COCOON]</t>
        </is>
      </c>
      <c r="E187" s="88" t="inlineStr">
        <is>
          <t>(nc)케이스</t>
        </is>
      </c>
      <c r="F187" s="90" t="inlineStr">
        <is>
          <t>O</t>
        </is>
      </c>
      <c r="G187" s="91" t="n"/>
      <c r="H187" s="92" t="n"/>
      <c r="I187" s="93" t="inlineStr">
        <is>
          <t>VR</t>
        </is>
      </c>
      <c r="J187" s="94" t="n"/>
      <c r="K187" s="95" t="n"/>
      <c r="L187" s="96" t="n"/>
      <c r="M187" s="97" t="inlineStr">
        <is>
          <t>O</t>
        </is>
      </c>
      <c r="N187" s="98" t="n"/>
      <c r="O187" s="99" t="n"/>
      <c r="P187" s="100" t="inlineStr">
        <is>
          <t>7-VR</t>
        </is>
      </c>
      <c r="Q187" s="102" t="inlineStr">
        <is>
          <t>용봉화학</t>
        </is>
      </c>
      <c r="R187" s="110">
        <f>HYPERLINK("#'마스터_품목'!A110","→ 마스터 R110")</f>
        <v/>
      </c>
      <c r="S187" s="111" t="n">
        <v>110</v>
      </c>
      <c r="T187" s="111" t="inlineStr">
        <is>
          <t>마스터_품목</t>
        </is>
      </c>
    </row>
    <row r="188" ht="48" customHeight="1">
      <c r="A188" s="87" t="inlineStr">
        <is>
          <t>창고</t>
        </is>
      </c>
      <c r="B188" s="87" t="inlineStr">
        <is>
          <t>HDPE</t>
        </is>
      </c>
      <c r="C188" s="88" t="inlineStr">
        <is>
          <t>SOLO</t>
        </is>
      </c>
      <c r="D188" s="88" t="inlineStr">
        <is>
          <t>NC 케이스 (HDPE)
[SOLO]</t>
        </is>
      </c>
      <c r="E188" s="88" t="inlineStr">
        <is>
          <t>(nc)케이스</t>
        </is>
      </c>
      <c r="F188" s="90" t="inlineStr">
        <is>
          <t>O</t>
        </is>
      </c>
      <c r="G188" s="91" t="n"/>
      <c r="H188" s="92" t="n"/>
      <c r="I188" s="93" t="inlineStr">
        <is>
          <t>VR</t>
        </is>
      </c>
      <c r="J188" s="94" t="n"/>
      <c r="K188" s="95" t="n"/>
      <c r="L188" s="96" t="n"/>
      <c r="M188" s="97" t="n"/>
      <c r="N188" s="98" t="inlineStr">
        <is>
          <t>O</t>
        </is>
      </c>
      <c r="O188" s="99" t="n"/>
      <c r="P188" s="100" t="inlineStr">
        <is>
          <t>8-VR</t>
        </is>
      </c>
      <c r="Q188" s="102" t="inlineStr">
        <is>
          <t>용봉화학</t>
        </is>
      </c>
      <c r="R188" s="110">
        <f>HYPERLINK("#'마스터_품목'!A113","→ 마스터 R113")</f>
        <v/>
      </c>
      <c r="S188" s="111" t="n">
        <v>113</v>
      </c>
      <c r="T188" s="111" t="inlineStr">
        <is>
          <t>마스터_품목</t>
        </is>
      </c>
    </row>
    <row r="189" ht="48" customHeight="1">
      <c r="A189" s="87" t="inlineStr">
        <is>
          <t>창고</t>
        </is>
      </c>
      <c r="B189" s="87" t="inlineStr">
        <is>
          <t>HDPE</t>
        </is>
      </c>
      <c r="C189" s="88" t="inlineStr">
        <is>
          <t>COCOON</t>
        </is>
      </c>
      <c r="D189" s="88" t="inlineStr">
        <is>
          <t>PE케이스 거치대 (HDPE)
[COCOON]</t>
        </is>
      </c>
      <c r="E189" s="88" t="inlineStr">
        <is>
          <t>PE케이스거치대</t>
        </is>
      </c>
      <c r="F189" s="90" t="inlineStr">
        <is>
          <t>O</t>
        </is>
      </c>
      <c r="G189" s="91" t="n"/>
      <c r="H189" s="92" t="n"/>
      <c r="I189" s="93" t="inlineStr">
        <is>
          <t>VR</t>
        </is>
      </c>
      <c r="J189" s="94" t="n"/>
      <c r="K189" s="95" t="n"/>
      <c r="L189" s="96" t="n"/>
      <c r="M189" s="97" t="inlineStr">
        <is>
          <t>O</t>
        </is>
      </c>
      <c r="N189" s="98" t="n"/>
      <c r="O189" s="99" t="n"/>
      <c r="P189" s="100" t="inlineStr">
        <is>
          <t>7-VR</t>
        </is>
      </c>
      <c r="Q189" s="102" t="inlineStr">
        <is>
          <t>용봉화학</t>
        </is>
      </c>
      <c r="R189" s="110">
        <f>HYPERLINK("#'마스터_품목'!A111","→ 마스터 R111")</f>
        <v/>
      </c>
      <c r="S189" s="111" t="n">
        <v>111</v>
      </c>
      <c r="T189" s="111" t="inlineStr">
        <is>
          <t>마스터_품목</t>
        </is>
      </c>
    </row>
    <row r="190" ht="48" customHeight="1">
      <c r="A190" s="87" t="inlineStr">
        <is>
          <t>창고</t>
        </is>
      </c>
      <c r="B190" s="87" t="inlineStr">
        <is>
          <t>황동</t>
        </is>
      </c>
      <c r="C190" s="88" t="inlineStr">
        <is>
          <t>COCOON</t>
        </is>
      </c>
      <c r="D190" s="88" t="inlineStr">
        <is>
          <t>신주 케이스 (0.6T)
[COCOON]</t>
        </is>
      </c>
      <c r="E190" s="88" t="inlineStr">
        <is>
          <t>신주케이스</t>
        </is>
      </c>
      <c r="F190" s="90" t="inlineStr">
        <is>
          <t>O</t>
        </is>
      </c>
      <c r="G190" s="91" t="n"/>
      <c r="H190" s="92" t="n"/>
      <c r="I190" s="93" t="inlineStr">
        <is>
          <t>VR</t>
        </is>
      </c>
      <c r="J190" s="94" t="n"/>
      <c r="K190" s="95" t="n"/>
      <c r="L190" s="96" t="n"/>
      <c r="M190" s="97" t="inlineStr">
        <is>
          <t>O</t>
        </is>
      </c>
      <c r="N190" s="98" t="n"/>
      <c r="O190" s="99" t="n"/>
      <c r="P190" s="100" t="inlineStr">
        <is>
          <t>7-VR</t>
        </is>
      </c>
      <c r="Q190" s="102" t="inlineStr">
        <is>
          <t>디지아이</t>
        </is>
      </c>
      <c r="R190" s="110">
        <f>HYPERLINK("#'마스터_품목'!A124","→ 마스터 R124")</f>
        <v/>
      </c>
      <c r="S190" s="111" t="n">
        <v>124</v>
      </c>
      <c r="T190" s="111" t="inlineStr">
        <is>
          <t>마스터_품목</t>
        </is>
      </c>
    </row>
    <row r="191" ht="48" customHeight="1">
      <c r="A191" s="87" t="inlineStr">
        <is>
          <t>창고</t>
        </is>
      </c>
      <c r="B191" s="87" t="inlineStr">
        <is>
          <t>황동</t>
        </is>
      </c>
      <c r="C191" s="88" t="inlineStr">
        <is>
          <t>SOLO</t>
        </is>
      </c>
      <c r="D191" s="88" t="inlineStr">
        <is>
          <t>신주 케이스 (0.6T)
[SOLO]</t>
        </is>
      </c>
      <c r="E191" s="88" t="inlineStr">
        <is>
          <t>신주케이스</t>
        </is>
      </c>
      <c r="F191" s="90" t="inlineStr">
        <is>
          <t>O</t>
        </is>
      </c>
      <c r="G191" s="91" t="n"/>
      <c r="H191" s="92" t="n"/>
      <c r="I191" s="93" t="inlineStr">
        <is>
          <t>VR</t>
        </is>
      </c>
      <c r="J191" s="94" t="n"/>
      <c r="K191" s="95" t="n"/>
      <c r="L191" s="96" t="n"/>
      <c r="M191" s="97" t="n"/>
      <c r="N191" s="98" t="inlineStr">
        <is>
          <t>O</t>
        </is>
      </c>
      <c r="O191" s="99" t="n"/>
      <c r="P191" s="100" t="inlineStr">
        <is>
          <t>8-VR</t>
        </is>
      </c>
      <c r="Q191" s="102" t="inlineStr">
        <is>
          <t>디지아이</t>
        </is>
      </c>
      <c r="R191" s="110">
        <f>HYPERLINK("#'마스터_품목'!A128","→ 마스터 R128")</f>
        <v/>
      </c>
      <c r="S191" s="111" t="n">
        <v>128</v>
      </c>
      <c r="T191" s="111" t="inlineStr">
        <is>
          <t>마스터_품목</t>
        </is>
      </c>
    </row>
    <row r="192" ht="48" customHeight="1">
      <c r="A192" s="87" t="inlineStr">
        <is>
          <t>창고</t>
        </is>
      </c>
      <c r="B192" s="87" t="inlineStr">
        <is>
          <t>황동</t>
        </is>
      </c>
      <c r="C192" s="88" t="inlineStr">
        <is>
          <t>ADX6000</t>
        </is>
      </c>
      <c r="D192" s="88" t="inlineStr">
        <is>
          <t>신주 케이스 (0.6T + 193 (커팅전))
[ADX6000]</t>
        </is>
      </c>
      <c r="E192" s="88" t="inlineStr">
        <is>
          <t>신주케이스</t>
        </is>
      </c>
      <c r="F192" s="90" t="inlineStr">
        <is>
          <t>O</t>
        </is>
      </c>
      <c r="G192" s="91" t="n"/>
      <c r="H192" s="92" t="n"/>
      <c r="I192" s="93" t="inlineStr">
        <is>
          <t>VR</t>
        </is>
      </c>
      <c r="J192" s="94" t="n"/>
      <c r="K192" s="95" t="n"/>
      <c r="L192" s="96" t="inlineStr">
        <is>
          <t>O</t>
        </is>
      </c>
      <c r="M192" s="97" t="n"/>
      <c r="N192" s="98" t="n"/>
      <c r="O192" s="99" t="n"/>
      <c r="P192" s="100" t="inlineStr">
        <is>
          <t>6-VR</t>
        </is>
      </c>
      <c r="Q192" s="102" t="inlineStr">
        <is>
          <t>해진정밀</t>
        </is>
      </c>
      <c r="R192" s="110">
        <f>HYPERLINK("#'마스터_품목'!A125","→ 마스터 R125")</f>
        <v/>
      </c>
      <c r="S192" s="111" t="n">
        <v>125</v>
      </c>
      <c r="T192" s="111" t="inlineStr">
        <is>
          <t>마스터_품목</t>
        </is>
      </c>
    </row>
    <row r="193" ht="48" customHeight="1">
      <c r="A193" s="87" t="inlineStr">
        <is>
          <t>창고</t>
        </is>
      </c>
      <c r="B193" s="87" t="inlineStr">
        <is>
          <t>황동</t>
        </is>
      </c>
      <c r="C193" s="88" t="inlineStr">
        <is>
          <t>COCOON</t>
        </is>
      </c>
      <c r="D193" s="88" t="inlineStr">
        <is>
          <t>신주 케이스 뚜껑 (0.6T)
[COCOON]</t>
        </is>
      </c>
      <c r="E193" s="88" t="inlineStr">
        <is>
          <t>신주케이스 뚜껑</t>
        </is>
      </c>
      <c r="F193" s="90" t="inlineStr">
        <is>
          <t>O</t>
        </is>
      </c>
      <c r="G193" s="91" t="n"/>
      <c r="H193" s="92" t="n"/>
      <c r="I193" s="93" t="inlineStr">
        <is>
          <t>VR</t>
        </is>
      </c>
      <c r="J193" s="94" t="n"/>
      <c r="K193" s="95" t="n"/>
      <c r="L193" s="96" t="n"/>
      <c r="M193" s="97" t="inlineStr">
        <is>
          <t>O</t>
        </is>
      </c>
      <c r="N193" s="98" t="n"/>
      <c r="O193" s="99" t="n"/>
      <c r="P193" s="100" t="inlineStr">
        <is>
          <t>7-VR</t>
        </is>
      </c>
      <c r="Q193" s="102" t="inlineStr">
        <is>
          <t>디지아이</t>
        </is>
      </c>
      <c r="R193" s="110">
        <f>HYPERLINK("#'마스터_품목'!A115","→ 마스터 R115")</f>
        <v/>
      </c>
      <c r="S193" s="111" t="n">
        <v>115</v>
      </c>
      <c r="T193" s="111" t="inlineStr">
        <is>
          <t>마스터_품목</t>
        </is>
      </c>
    </row>
    <row r="194" ht="48" customHeight="1">
      <c r="A194" s="87" t="inlineStr">
        <is>
          <t>창고</t>
        </is>
      </c>
      <c r="B194" s="87" t="inlineStr">
        <is>
          <t>황동</t>
        </is>
      </c>
      <c r="C194" s="88" t="inlineStr">
        <is>
          <t>SOLO</t>
        </is>
      </c>
      <c r="D194" s="88" t="inlineStr">
        <is>
          <t>신주 케이스 뚜껑 (0.6T)
[SOLO]</t>
        </is>
      </c>
      <c r="E194" s="88" t="inlineStr">
        <is>
          <t>신주케이스 뚜껑</t>
        </is>
      </c>
      <c r="F194" s="90" t="inlineStr">
        <is>
          <t>O</t>
        </is>
      </c>
      <c r="G194" s="91" t="n"/>
      <c r="H194" s="92" t="n"/>
      <c r="I194" s="93" t="inlineStr">
        <is>
          <t>VR</t>
        </is>
      </c>
      <c r="J194" s="94" t="n"/>
      <c r="K194" s="95" t="n"/>
      <c r="L194" s="96" t="n"/>
      <c r="M194" s="97" t="n"/>
      <c r="N194" s="98" t="inlineStr">
        <is>
          <t>O</t>
        </is>
      </c>
      <c r="O194" s="99" t="n"/>
      <c r="P194" s="100" t="inlineStr">
        <is>
          <t>8-VR</t>
        </is>
      </c>
      <c r="Q194" s="115" t="inlineStr">
        <is>
          <t>디지아이</t>
        </is>
      </c>
      <c r="R194" s="110">
        <f>HYPERLINK("#'마스터_품목'!A114","→ 마스터 R114")</f>
        <v/>
      </c>
      <c r="S194" s="111" t="n">
        <v>114</v>
      </c>
      <c r="T194" s="111" t="inlineStr">
        <is>
          <t>마스터_품목</t>
        </is>
      </c>
    </row>
    <row r="195" ht="48" customHeight="1">
      <c r="A195" s="126" t="inlineStr">
        <is>
          <t>진공</t>
        </is>
      </c>
      <c r="B195" s="87" t="inlineStr">
        <is>
          <t>황동</t>
        </is>
      </c>
      <c r="C195" s="88" t="inlineStr">
        <is>
          <t>공용</t>
        </is>
      </c>
      <c r="D195" s="88" t="inlineStr">
        <is>
          <t>방사구
[공용]</t>
        </is>
      </c>
      <c r="E195" s="88" t="inlineStr">
        <is>
          <t>방사구</t>
        </is>
      </c>
      <c r="F195" s="90" t="inlineStr">
        <is>
          <t>O</t>
        </is>
      </c>
      <c r="G195" s="91" t="n"/>
      <c r="H195" s="92" t="n"/>
      <c r="I195" s="93">
        <f>IFERROR(IF(OR($F195="O",$G195="O",$H195="O"),CHOOSE(MATCH($A195,{"튜브","고압","진공","튜닝","조립","출하"},0),"T","H","V","N","A","P")&amp;IF($F195="O","R",IF($G195="O","A",IF($H195="O","F",""))),""),"")</f>
        <v/>
      </c>
      <c r="J195" s="124" t="n"/>
      <c r="K195" s="125" t="n"/>
      <c r="L195" s="121" t="n"/>
      <c r="M195" s="122" t="n"/>
      <c r="N195" s="123" t="n"/>
      <c r="O195" s="99" t="n"/>
      <c r="P195" s="100">
        <f>IF($I195="","",IF($J195="O","3","")&amp;IF($K195="O","4","")&amp;IF($L195="O","6","")&amp;IF($M195="O","7","")&amp;IF($N195="O","8","")&amp;IF($O195="O","?","")&amp;IF(OR($J195="O",$K195="O",$L195="O",$M195="O",$N195="O",$O195="O"),"-","")&amp;$I195)</f>
        <v/>
      </c>
      <c r="Q195" s="115" t="inlineStr">
        <is>
          <t>해진정밀</t>
        </is>
      </c>
      <c r="R195" s="110">
        <f>HYPERLINK("#'마스터_품목'!A129","→ 마스터 R129")</f>
        <v/>
      </c>
      <c r="S195" s="111" t="n">
        <v>129</v>
      </c>
      <c r="T195" s="111" t="inlineStr">
        <is>
          <t>마스터_품목</t>
        </is>
      </c>
    </row>
    <row r="196" ht="48" customHeight="1">
      <c r="A196" s="87" t="inlineStr">
        <is>
          <t>창고</t>
        </is>
      </c>
      <c r="B196" s="87" t="inlineStr">
        <is>
          <t>AL</t>
        </is>
      </c>
      <c r="C196" s="88" t="inlineStr">
        <is>
          <t>ADX6000</t>
        </is>
      </c>
      <c r="D196" s="88" t="inlineStr">
        <is>
          <t>알루미늄 필터 (2T * Φ24)
[ADX6000]</t>
        </is>
      </c>
      <c r="E196" s="88" t="inlineStr">
        <is>
          <t>2T 알루미늄 필터</t>
        </is>
      </c>
      <c r="F196" s="90" t="inlineStr">
        <is>
          <t>O</t>
        </is>
      </c>
      <c r="G196" s="91" t="n"/>
      <c r="H196" s="92" t="n"/>
      <c r="I196" s="93" t="inlineStr">
        <is>
          <t>VR</t>
        </is>
      </c>
      <c r="J196" s="94" t="n"/>
      <c r="K196" s="95" t="n"/>
      <c r="L196" s="96" t="inlineStr">
        <is>
          <t>O</t>
        </is>
      </c>
      <c r="M196" s="97" t="n"/>
      <c r="N196" s="98" t="n"/>
      <c r="O196" s="99" t="inlineStr">
        <is>
          <t>O</t>
        </is>
      </c>
      <c r="P196" s="100" t="inlineStr">
        <is>
          <t>6?-VR</t>
        </is>
      </c>
      <c r="Q196" s="115" t="inlineStr">
        <is>
          <t>광전레이저</t>
        </is>
      </c>
      <c r="R196" s="110">
        <f>HYPERLINK("#'마스터_품목'!A91","→ 마스터 R91")</f>
        <v/>
      </c>
      <c r="S196" s="111" t="n">
        <v>91</v>
      </c>
      <c r="T196" s="111" t="inlineStr">
        <is>
          <t>마스터_품목</t>
        </is>
      </c>
    </row>
    <row r="197" ht="48" customHeight="1">
      <c r="A197" s="87" t="inlineStr">
        <is>
          <t>창고</t>
        </is>
      </c>
      <c r="B197" s="87" t="inlineStr">
        <is>
          <t>BOARD</t>
        </is>
      </c>
      <c r="C197" s="88" t="inlineStr">
        <is>
          <t>SOLO</t>
        </is>
      </c>
      <c r="D197" s="88" t="inlineStr">
        <is>
          <t>9핀 B/D
[SOLO]</t>
        </is>
      </c>
      <c r="E197" s="88" t="inlineStr">
        <is>
          <t>9핀 BD</t>
        </is>
      </c>
      <c r="F197" s="90" t="inlineStr">
        <is>
          <t>O</t>
        </is>
      </c>
      <c r="G197" s="91" t="n"/>
      <c r="H197" s="92" t="n"/>
      <c r="I197" s="93" t="inlineStr">
        <is>
          <t>VR</t>
        </is>
      </c>
      <c r="J197" s="94" t="n"/>
      <c r="K197" s="95" t="n"/>
      <c r="L197" s="96" t="n"/>
      <c r="M197" s="97" t="n"/>
      <c r="N197" s="98" t="inlineStr">
        <is>
          <t>O</t>
        </is>
      </c>
      <c r="O197" s="99" t="n"/>
      <c r="P197" s="100" t="inlineStr">
        <is>
          <t>8-VR</t>
        </is>
      </c>
      <c r="Q197" s="115" t="inlineStr">
        <is>
          <t>한샘디지텍</t>
        </is>
      </c>
      <c r="R197" s="110">
        <f>HYPERLINK("#'마스터_품목'!A100","→ 마스터 R100")</f>
        <v/>
      </c>
      <c r="S197" s="111" t="n">
        <v>100</v>
      </c>
      <c r="T197" s="111" t="inlineStr">
        <is>
          <t>마스터_품목</t>
        </is>
      </c>
    </row>
    <row r="198" ht="48" customHeight="1">
      <c r="A198" s="87" t="inlineStr">
        <is>
          <t>창고</t>
        </is>
      </c>
      <c r="B198" s="87" t="inlineStr">
        <is>
          <t>BOARD</t>
        </is>
      </c>
      <c r="C198" s="88" t="inlineStr">
        <is>
          <t>ADX6000</t>
        </is>
      </c>
      <c r="D198" s="88" t="inlineStr">
        <is>
          <t>10핀 B/D
[ADX6000]</t>
        </is>
      </c>
      <c r="E198" s="88" t="inlineStr">
        <is>
          <t>10핀 BD</t>
        </is>
      </c>
      <c r="F198" s="90" t="inlineStr">
        <is>
          <t>O</t>
        </is>
      </c>
      <c r="G198" s="91" t="n"/>
      <c r="H198" s="92" t="n"/>
      <c r="I198" s="93" t="inlineStr">
        <is>
          <t>VR</t>
        </is>
      </c>
      <c r="J198" s="94" t="n"/>
      <c r="K198" s="95" t="n"/>
      <c r="L198" s="96" t="inlineStr">
        <is>
          <t>O</t>
        </is>
      </c>
      <c r="M198" s="97" t="n"/>
      <c r="N198" s="98" t="n"/>
      <c r="O198" s="99" t="n"/>
      <c r="P198" s="100" t="inlineStr">
        <is>
          <t>6-VR</t>
        </is>
      </c>
      <c r="Q198" s="115" t="inlineStr">
        <is>
          <t>한샘디지텍</t>
        </is>
      </c>
      <c r="R198" s="110">
        <f>HYPERLINK("#'마스터_품목'!A97","→ 마스터 R97")</f>
        <v/>
      </c>
      <c r="S198" s="111" t="n">
        <v>97</v>
      </c>
      <c r="T198" s="111" t="inlineStr">
        <is>
          <t>마스터_품목</t>
        </is>
      </c>
    </row>
    <row r="199" ht="48" customHeight="1">
      <c r="A199" s="87" t="inlineStr">
        <is>
          <t>창고</t>
        </is>
      </c>
      <c r="B199" s="87" t="inlineStr">
        <is>
          <t>AL</t>
        </is>
      </c>
      <c r="C199" s="88" t="inlineStr">
        <is>
          <t>COCOON</t>
        </is>
      </c>
      <c r="D199" s="88" t="inlineStr">
        <is>
          <t>알루미늄 필터 (0.5T * Φ63 코쿤 기본)
[COCOON]</t>
        </is>
      </c>
      <c r="E199" s="88" t="inlineStr">
        <is>
          <t>알루미늄 필터 [ 0.5T * Φ63 ]</t>
        </is>
      </c>
      <c r="F199" s="90" t="inlineStr">
        <is>
          <t>O</t>
        </is>
      </c>
      <c r="G199" s="91" t="n"/>
      <c r="H199" s="92" t="n"/>
      <c r="I199" s="93" t="inlineStr">
        <is>
          <t>AR</t>
        </is>
      </c>
      <c r="J199" s="94" t="inlineStr">
        <is>
          <t>O</t>
        </is>
      </c>
      <c r="K199" s="95" t="n"/>
      <c r="L199" s="96" t="n"/>
      <c r="M199" s="97" t="inlineStr">
        <is>
          <t>O</t>
        </is>
      </c>
      <c r="N199" s="98" t="n"/>
      <c r="O199" s="99" t="n"/>
      <c r="P199" s="100" t="inlineStr">
        <is>
          <t>37-AR</t>
        </is>
      </c>
      <c r="Q199" s="102" t="inlineStr">
        <is>
          <t>광전레이저</t>
        </is>
      </c>
      <c r="R199" s="110">
        <f>HYPERLINK("#'마스터_품목'!A455","→ 마스터 R455")</f>
        <v/>
      </c>
      <c r="S199" s="111" t="n">
        <v>455</v>
      </c>
      <c r="T199" s="111" t="inlineStr">
        <is>
          <t>마스터_품목</t>
        </is>
      </c>
    </row>
    <row r="200" ht="48" customHeight="1">
      <c r="A200" s="126" t="inlineStr">
        <is>
          <t>조립</t>
        </is>
      </c>
      <c r="B200" s="87" t="inlineStr">
        <is>
          <t>PCB</t>
        </is>
      </c>
      <c r="C200" s="88" t="inlineStr">
        <is>
          <t>DX3000</t>
        </is>
      </c>
      <c r="D200" s="88" t="inlineStr">
        <is>
          <t>OLED B/D (듀얼)
[DX3000]</t>
        </is>
      </c>
      <c r="E200" s="88" t="n"/>
      <c r="F200" s="90" t="inlineStr">
        <is>
          <t>O</t>
        </is>
      </c>
      <c r="G200" s="91" t="n"/>
      <c r="H200" s="92" t="n"/>
      <c r="I200" s="93">
        <f>IFERROR(IF(OR($F200="O",$G200="O",$H200="O"),CHOOSE(MATCH($A200,{"튜브","고압","진공","튜닝","조립","출하"},0),"T","H","V","N","A","P")&amp;IF($F200="O","R",IF($G200="O","A",IF($H200="O","F",""))),""),"")</f>
        <v/>
      </c>
      <c r="J200" s="124" t="inlineStr">
        <is>
          <t>O</t>
        </is>
      </c>
      <c r="K200" s="95" t="n"/>
      <c r="L200" s="96" t="n"/>
      <c r="M200" s="97" t="n"/>
      <c r="N200" s="98" t="n"/>
      <c r="O200" s="99" t="n"/>
      <c r="P200" s="100">
        <f>IF($I200="","",IF($J200="O","3","")&amp;IF($K200="O","4","")&amp;IF($L200="O","6","")&amp;IF($M200="O","7","")&amp;IF($N200="O","8","")&amp;IF($O200="O","?","")&amp;IF(OR($J200="O",$K200="O",$L200="O",$M200="O",$N200="O",$O200="O"),"-","")&amp;$I200)</f>
        <v/>
      </c>
      <c r="Q200" s="102" t="inlineStr">
        <is>
          <t>HLP</t>
        </is>
      </c>
      <c r="R200" s="110">
        <f>HYPERLINK("#'마스터_품목'!A740","→ 마스터 R740")</f>
        <v/>
      </c>
      <c r="S200" s="111" t="n">
        <v>740</v>
      </c>
      <c r="T200" s="111" t="inlineStr">
        <is>
          <t>마스터_품목</t>
        </is>
      </c>
    </row>
    <row r="201" ht="48" customHeight="1">
      <c r="A201" s="126" t="inlineStr">
        <is>
          <t>조립</t>
        </is>
      </c>
      <c r="B201" s="87" t="inlineStr">
        <is>
          <t>PCB</t>
        </is>
      </c>
      <c r="C201" s="88" t="inlineStr">
        <is>
          <t>DX3000</t>
        </is>
      </c>
      <c r="D201" s="88" t="inlineStr">
        <is>
          <t>RELAY 쪽 보드
[DX3000]</t>
        </is>
      </c>
      <c r="E201" s="88" t="n"/>
      <c r="F201" s="90" t="inlineStr">
        <is>
          <t>O</t>
        </is>
      </c>
      <c r="G201" s="91" t="n"/>
      <c r="H201" s="92" t="n"/>
      <c r="I201" s="93">
        <f>IFERROR(IF(OR($F201="O",$G201="O",$H201="O"),CHOOSE(MATCH($A201,{"튜브","고압","진공","튜닝","조립","출하"},0),"T","H","V","N","A","P")&amp;IF($F201="O","R",IF($G201="O","A",IF($H201="O","F",""))),""),"")</f>
        <v/>
      </c>
      <c r="J201" s="124" t="inlineStr">
        <is>
          <t>O</t>
        </is>
      </c>
      <c r="K201" s="95" t="n"/>
      <c r="L201" s="96" t="n"/>
      <c r="M201" s="97" t="n"/>
      <c r="N201" s="98" t="n"/>
      <c r="O201" s="99" t="n"/>
      <c r="P201" s="100">
        <f>IF($I201="","",IF($J201="O","3","")&amp;IF($K201="O","4","")&amp;IF($L201="O","6","")&amp;IF($M201="O","7","")&amp;IF($N201="O","8","")&amp;IF($O201="O","?","")&amp;IF(OR($J201="O",$K201="O",$L201="O",$M201="O",$N201="O",$O201="O"),"-","")&amp;$I201)</f>
        <v/>
      </c>
      <c r="Q201" s="102" t="inlineStr">
        <is>
          <t>HLP</t>
        </is>
      </c>
      <c r="R201" s="110">
        <f>HYPERLINK("#'마스터_품목'!A741","→ 마스터 R741")</f>
        <v/>
      </c>
      <c r="S201" s="111" t="n">
        <v>741</v>
      </c>
      <c r="T201" s="111" t="inlineStr">
        <is>
          <t>마스터_품목</t>
        </is>
      </c>
    </row>
    <row r="202" ht="48" customHeight="1">
      <c r="A202" s="126" t="inlineStr">
        <is>
          <t>조립</t>
        </is>
      </c>
      <c r="B202" s="87" t="inlineStr">
        <is>
          <t>CABLE</t>
        </is>
      </c>
      <c r="C202" s="88" t="inlineStr">
        <is>
          <t>DX3000</t>
        </is>
      </c>
      <c r="D202" s="88" t="inlineStr">
        <is>
          <t>하네스 4번 (후면 전원 Wire - DC 잭)
[DX3000]</t>
        </is>
      </c>
      <c r="E202" s="88" t="n"/>
      <c r="F202" s="90" t="inlineStr">
        <is>
          <t>O</t>
        </is>
      </c>
      <c r="G202" s="91" t="n"/>
      <c r="H202" s="92" t="n"/>
      <c r="I202" s="93">
        <f>IFERROR(IF(OR($F202="O",$G202="O",$H202="O"),CHOOSE(MATCH($A202,{"튜브","고압","진공","튜닝","조립","출하"},0),"T","H","V","N","A","P")&amp;IF($F202="O","R",IF($G202="O","A",IF($H202="O","F",""))),""),"")</f>
        <v/>
      </c>
      <c r="J202" s="124" t="inlineStr">
        <is>
          <t>O</t>
        </is>
      </c>
      <c r="K202" s="95" t="n"/>
      <c r="L202" s="96" t="n"/>
      <c r="M202" s="97" t="n"/>
      <c r="N202" s="98" t="n"/>
      <c r="O202" s="99" t="n"/>
      <c r="P202" s="100">
        <f>IF($I202="","",IF($J202="O","3","")&amp;IF($K202="O","4","")&amp;IF($L202="O","6","")&amp;IF($M202="O","7","")&amp;IF($N202="O","8","")&amp;IF($O202="O","?","")&amp;IF(OR($J202="O",$K202="O",$L202="O",$M202="O",$N202="O",$O202="O"),"-","")&amp;$I202)</f>
        <v/>
      </c>
      <c r="Q202" s="102" t="inlineStr">
        <is>
          <t>HLP</t>
        </is>
      </c>
      <c r="R202" s="110">
        <f>HYPERLINK("#'마스터_품목'!A742","→ 마스터 R742")</f>
        <v/>
      </c>
      <c r="S202" s="111" t="n">
        <v>742</v>
      </c>
      <c r="T202" s="111" t="inlineStr">
        <is>
          <t>마스터_품목</t>
        </is>
      </c>
    </row>
    <row r="203" ht="48" customHeight="1">
      <c r="A203" s="126" t="inlineStr">
        <is>
          <t>조립</t>
        </is>
      </c>
      <c r="B203" s="87" t="inlineStr">
        <is>
          <t>CABLE</t>
        </is>
      </c>
      <c r="C203" s="88" t="inlineStr">
        <is>
          <t>DX3000</t>
        </is>
      </c>
      <c r="D203" s="88" t="inlineStr">
        <is>
          <t>하네스 7번 (마그네틱보드 연결 4핀)
[DX3000]</t>
        </is>
      </c>
      <c r="E203" s="88" t="n"/>
      <c r="F203" s="90" t="inlineStr">
        <is>
          <t>O</t>
        </is>
      </c>
      <c r="G203" s="91" t="n"/>
      <c r="H203" s="92" t="n"/>
      <c r="I203" s="93">
        <f>IFERROR(IF(OR($F203="O",$G203="O",$H203="O"),CHOOSE(MATCH($A203,{"튜브","고압","진공","튜닝","조립","출하"},0),"T","H","V","N","A","P")&amp;IF($F203="O","R",IF($G203="O","A",IF($H203="O","F",""))),""),"")</f>
        <v/>
      </c>
      <c r="J203" s="124" t="inlineStr">
        <is>
          <t>O</t>
        </is>
      </c>
      <c r="K203" s="95" t="n"/>
      <c r="L203" s="96" t="n"/>
      <c r="M203" s="97" t="n"/>
      <c r="N203" s="98" t="n"/>
      <c r="O203" s="99" t="n"/>
      <c r="P203" s="100">
        <f>IF($I203="","",IF($J203="O","3","")&amp;IF($K203="O","4","")&amp;IF($L203="O","6","")&amp;IF($M203="O","7","")&amp;IF($N203="O","8","")&amp;IF($O203="O","?","")&amp;IF(OR($J203="O",$K203="O",$L203="O",$M203="O",$N203="O",$O203="O"),"-","")&amp;$I203)</f>
        <v/>
      </c>
      <c r="Q203" s="102" t="inlineStr">
        <is>
          <t>HLP</t>
        </is>
      </c>
      <c r="R203" s="110">
        <f>HYPERLINK("#'마스터_품목'!A743","→ 마스터 R743")</f>
        <v/>
      </c>
      <c r="S203" s="111" t="n">
        <v>743</v>
      </c>
      <c r="T203" s="111" t="inlineStr">
        <is>
          <t>마스터_품목</t>
        </is>
      </c>
    </row>
    <row r="204" ht="48" customHeight="1">
      <c r="A204" s="126" t="inlineStr">
        <is>
          <t>조립</t>
        </is>
      </c>
      <c r="B204" s="87" t="inlineStr">
        <is>
          <t>ABS 난연</t>
        </is>
      </c>
      <c r="C204" s="88" t="inlineStr">
        <is>
          <t>DX3000</t>
        </is>
      </c>
      <c r="D204" s="88" t="inlineStr">
        <is>
          <t>LCD GUIDE (사파리)
[DX3000]</t>
        </is>
      </c>
      <c r="E204" s="88" t="n"/>
      <c r="F204" s="90" t="inlineStr">
        <is>
          <t>O</t>
        </is>
      </c>
      <c r="G204" s="91" t="n"/>
      <c r="H204" s="92" t="n"/>
      <c r="I204" s="93">
        <f>IFERROR(IF(OR($F204="O",$G204="O",$H204="O"),CHOOSE(MATCH($A204,{"튜브","고압","진공","튜닝","조립","출하"},0),"T","H","V","N","A","P")&amp;IF($F204="O","R",IF($G204="O","A",IF($H204="O","F",""))),""),"")</f>
        <v/>
      </c>
      <c r="J204" s="124" t="inlineStr">
        <is>
          <t>O</t>
        </is>
      </c>
      <c r="K204" s="95" t="n"/>
      <c r="L204" s="96" t="n"/>
      <c r="M204" s="97" t="n"/>
      <c r="N204" s="98" t="n"/>
      <c r="O204" s="99" t="n"/>
      <c r="P204" s="100">
        <f>IF($I204="","",IF($J204="O","3","")&amp;IF($K204="O","4","")&amp;IF($L204="O","6","")&amp;IF($M204="O","7","")&amp;IF($N204="O","8","")&amp;IF($O204="O","?","")&amp;IF(OR($J204="O",$K204="O",$L204="O",$M204="O",$N204="O",$O204="O"),"-","")&amp;$I204)</f>
        <v/>
      </c>
      <c r="Q204" s="102" t="inlineStr">
        <is>
          <t>HLP</t>
        </is>
      </c>
      <c r="R204" s="110">
        <f>HYPERLINK("#'마스터_품목'!A744","→ 마스터 R744")</f>
        <v/>
      </c>
      <c r="S204" s="111" t="n">
        <v>744</v>
      </c>
      <c r="T204" s="111" t="inlineStr">
        <is>
          <t>마스터_품목</t>
        </is>
      </c>
    </row>
    <row r="205" ht="48" customHeight="1">
      <c r="A205" s="126" t="inlineStr">
        <is>
          <t>조립</t>
        </is>
      </c>
      <c r="B205" s="87" t="inlineStr">
        <is>
          <t>ABS 난연</t>
        </is>
      </c>
      <c r="C205" s="88" t="inlineStr">
        <is>
          <t>DX3000</t>
        </is>
      </c>
      <c r="D205" s="88" t="inlineStr">
        <is>
          <t>FRONT COVER (듀얼 슬라이드) (ABS 난연 블랙 (홀작업 완료))
[DX3000]</t>
        </is>
      </c>
      <c r="E205" s="88" t="n"/>
      <c r="F205" s="90" t="inlineStr">
        <is>
          <t>O</t>
        </is>
      </c>
      <c r="G205" s="91" t="n"/>
      <c r="H205" s="92" t="n"/>
      <c r="I205" s="93">
        <f>IFERROR(IF(OR($F205="O",$G205="O",$H205="O"),CHOOSE(MATCH($A205,{"튜브","고압","진공","튜닝","조립","출하"},0),"T","H","V","N","A","P")&amp;IF($F205="O","R",IF($G205="O","A",IF($H205="O","F",""))),""),"")</f>
        <v/>
      </c>
      <c r="J205" s="124" t="inlineStr">
        <is>
          <t>O</t>
        </is>
      </c>
      <c r="K205" s="95" t="n"/>
      <c r="L205" s="96" t="n"/>
      <c r="M205" s="97" t="n"/>
      <c r="N205" s="98" t="n"/>
      <c r="O205" s="99" t="n"/>
      <c r="P205" s="100">
        <f>IF($I205="","",IF($J205="O","3","")&amp;IF($K205="O","4","")&amp;IF($L205="O","6","")&amp;IF($M205="O","7","")&amp;IF($N205="O","8","")&amp;IF($O205="O","?","")&amp;IF(OR($J205="O",$K205="O",$L205="O",$M205="O",$N205="O",$O205="O"),"-","")&amp;$I205)</f>
        <v/>
      </c>
      <c r="Q205" s="102" t="inlineStr">
        <is>
          <t>천우</t>
        </is>
      </c>
      <c r="R205" s="110">
        <f>HYPERLINK("#'마스터_품목'!A745","→ 마스터 R745")</f>
        <v/>
      </c>
      <c r="S205" s="111" t="n">
        <v>745</v>
      </c>
      <c r="T205" s="111" t="inlineStr">
        <is>
          <t>마스터_품목</t>
        </is>
      </c>
    </row>
    <row r="206" ht="48" customHeight="1">
      <c r="A206" s="126" t="inlineStr">
        <is>
          <t>조립</t>
        </is>
      </c>
      <c r="B206" s="87" t="inlineStr">
        <is>
          <t>ABS 난연</t>
        </is>
      </c>
      <c r="C206" s="88" t="inlineStr">
        <is>
          <t>DX3000</t>
        </is>
      </c>
      <c r="D206" s="88" t="inlineStr">
        <is>
          <t>X-CAP 체결형 (구형, 일본용) (ABS 난연 화이트 + 진한 회색)
[DX3000]</t>
        </is>
      </c>
      <c r="E206" s="88" t="n"/>
      <c r="F206" s="90" t="inlineStr">
        <is>
          <t>O</t>
        </is>
      </c>
      <c r="G206" s="91" t="n"/>
      <c r="H206" s="92" t="n"/>
      <c r="I206" s="93">
        <f>IFERROR(IF(OR($F206="O",$G206="O",$H206="O"),CHOOSE(MATCH($A206,{"튜브","고압","진공","튜닝","조립","출하"},0),"T","H","V","N","A","P")&amp;IF($F206="O","R",IF($G206="O","A",IF($H206="O","F",""))),""),"")</f>
        <v/>
      </c>
      <c r="J206" s="124" t="inlineStr">
        <is>
          <t>O</t>
        </is>
      </c>
      <c r="K206" s="125" t="inlineStr">
        <is>
          <t>O</t>
        </is>
      </c>
      <c r="L206" s="96" t="n"/>
      <c r="M206" s="97" t="n"/>
      <c r="N206" s="98" t="n"/>
      <c r="O206" s="99" t="n"/>
      <c r="P206" s="100">
        <f>IF($I206="","",IF($J206="O","3","")&amp;IF($K206="O","4","")&amp;IF($L206="O","6","")&amp;IF($M206="O","7","")&amp;IF($N206="O","8","")&amp;IF($O206="O","?","")&amp;IF(OR($J206="O",$K206="O",$L206="O",$M206="O",$N206="O",$O206="O"),"-","")&amp;$I206)</f>
        <v/>
      </c>
      <c r="Q206" s="102" t="inlineStr">
        <is>
          <t>천우</t>
        </is>
      </c>
      <c r="R206" s="110">
        <f>HYPERLINK("#'마스터_품목'!A746","→ 마스터 R746")</f>
        <v/>
      </c>
      <c r="S206" s="111" t="n">
        <v>746</v>
      </c>
      <c r="T206" s="111" t="inlineStr">
        <is>
          <t>마스터_품목</t>
        </is>
      </c>
    </row>
    <row r="207" ht="48" customHeight="1">
      <c r="A207" s="126" t="inlineStr">
        <is>
          <t>조립</t>
        </is>
      </c>
      <c r="B207" s="87" t="inlineStr">
        <is>
          <t>ABS 난연</t>
        </is>
      </c>
      <c r="C207" s="88" t="inlineStr">
        <is>
          <t>DX3000</t>
        </is>
      </c>
      <c r="D207" s="88" t="inlineStr">
        <is>
          <t>X-CAP 체결형 스프레이 X (구형, 일본용) (ABS 난연 화이트)
[DX3000]</t>
        </is>
      </c>
      <c r="E207" s="88" t="n"/>
      <c r="F207" s="90" t="inlineStr">
        <is>
          <t>O</t>
        </is>
      </c>
      <c r="G207" s="91" t="n"/>
      <c r="H207" s="92" t="n"/>
      <c r="I207" s="93">
        <f>IFERROR(IF(OR($F207="O",$G207="O",$H207="O"),CHOOSE(MATCH($A207,{"튜브","고압","진공","튜닝","조립","출하"},0),"T","H","V","N","A","P")&amp;IF($F207="O","R",IF($G207="O","A",IF($H207="O","F",""))),""),"")</f>
        <v/>
      </c>
      <c r="J207" s="124" t="inlineStr">
        <is>
          <t>O</t>
        </is>
      </c>
      <c r="K207" s="125" t="inlineStr">
        <is>
          <t>O</t>
        </is>
      </c>
      <c r="L207" s="96" t="n"/>
      <c r="M207" s="97" t="n"/>
      <c r="N207" s="98" t="n"/>
      <c r="O207" s="99" t="n"/>
      <c r="P207" s="100">
        <f>IF($I207="","",IF($J207="O","3","")&amp;IF($K207="O","4","")&amp;IF($L207="O","6","")&amp;IF($M207="O","7","")&amp;IF($N207="O","8","")&amp;IF($O207="O","?","")&amp;IF(OR($J207="O",$K207="O",$L207="O",$M207="O",$N207="O",$O207="O"),"-","")&amp;$I207)</f>
        <v/>
      </c>
      <c r="Q207" s="102" t="inlineStr">
        <is>
          <t>천우</t>
        </is>
      </c>
      <c r="R207" s="110">
        <f>HYPERLINK("#'마스터_품목'!A747","→ 마스터 R747")</f>
        <v/>
      </c>
      <c r="S207" s="111" t="n">
        <v>747</v>
      </c>
      <c r="T207" s="111" t="inlineStr">
        <is>
          <t>마스터_품목</t>
        </is>
      </c>
    </row>
    <row r="208" ht="48" customHeight="1">
      <c r="A208" s="126" t="inlineStr">
        <is>
          <t>조립</t>
        </is>
      </c>
      <c r="B208" s="87" t="inlineStr">
        <is>
          <t>ABS 난연</t>
        </is>
      </c>
      <c r="C208" s="88" t="inlineStr">
        <is>
          <t>DX3000</t>
        </is>
      </c>
      <c r="D208" s="88" t="inlineStr">
        <is>
          <t>CONE 젠더 (ABS 난연 블랙 + 블랙 무광)
[DX3000]</t>
        </is>
      </c>
      <c r="E208" s="88" t="n"/>
      <c r="F208" s="90" t="inlineStr">
        <is>
          <t>O</t>
        </is>
      </c>
      <c r="G208" s="91" t="n"/>
      <c r="H208" s="92" t="n"/>
      <c r="I208" s="93">
        <f>IFERROR(IF(OR($F208="O",$G208="O",$H208="O"),CHOOSE(MATCH($A208,{"튜브","고압","진공","튜닝","조립","출하"},0),"T","H","V","N","A","P")&amp;IF($F208="O","R",IF($G208="O","A",IF($H208="O","F",""))),""),"")</f>
        <v/>
      </c>
      <c r="J208" s="124" t="inlineStr">
        <is>
          <t>O</t>
        </is>
      </c>
      <c r="K208" s="95" t="n"/>
      <c r="L208" s="96" t="n"/>
      <c r="M208" s="97" t="n"/>
      <c r="N208" s="98" t="n"/>
      <c r="O208" s="99" t="n"/>
      <c r="P208" s="100">
        <f>IF($I208="","",IF($J208="O","3","")&amp;IF($K208="O","4","")&amp;IF($L208="O","6","")&amp;IF($M208="O","7","")&amp;IF($N208="O","8","")&amp;IF($O208="O","?","")&amp;IF(OR($J208="O",$K208="O",$L208="O",$M208="O",$N208="O",$O208="O"),"-","")&amp;$I208)</f>
        <v/>
      </c>
      <c r="Q208" s="102" t="inlineStr">
        <is>
          <t>천우</t>
        </is>
      </c>
      <c r="R208" s="110">
        <f>HYPERLINK("#'마스터_품목'!A748","→ 마스터 R748")</f>
        <v/>
      </c>
      <c r="S208" s="111" t="n">
        <v>748</v>
      </c>
      <c r="T208" s="111" t="inlineStr">
        <is>
          <t>마스터_품목</t>
        </is>
      </c>
    </row>
    <row r="209" ht="48" customHeight="1">
      <c r="A209" s="87" t="inlineStr">
        <is>
          <t>창고</t>
        </is>
      </c>
      <c r="B209" s="87" t="inlineStr">
        <is>
          <t>PCB</t>
        </is>
      </c>
      <c r="C209" s="88" t="inlineStr">
        <is>
          <t>COCOON</t>
        </is>
      </c>
      <c r="D209" s="88" t="inlineStr">
        <is>
          <t>CTR B/D
[COCOON]</t>
        </is>
      </c>
      <c r="E209" s="88" t="inlineStr">
        <is>
          <t>COCB</t>
        </is>
      </c>
      <c r="F209" s="90" t="inlineStr">
        <is>
          <t>O</t>
        </is>
      </c>
      <c r="G209" s="91" t="n"/>
      <c r="H209" s="92" t="n"/>
      <c r="I209" s="93" t="inlineStr">
        <is>
          <t>NR</t>
        </is>
      </c>
      <c r="J209" s="94" t="n"/>
      <c r="K209" s="95" t="n"/>
      <c r="L209" s="96" t="n"/>
      <c r="M209" s="97" t="inlineStr">
        <is>
          <t>O</t>
        </is>
      </c>
      <c r="N209" s="98" t="n"/>
      <c r="O209" s="99" t="n"/>
      <c r="P209" s="100" t="inlineStr">
        <is>
          <t>7-NR</t>
        </is>
      </c>
      <c r="Q209" s="102" t="inlineStr">
        <is>
          <t>HLP</t>
        </is>
      </c>
      <c r="R209" s="110">
        <f>HYPERLINK("#'마스터_품목'!A160","→ 마스터 R160")</f>
        <v/>
      </c>
      <c r="S209" s="111" t="n">
        <v>160</v>
      </c>
      <c r="T209" s="111" t="inlineStr">
        <is>
          <t>마스터_품목</t>
        </is>
      </c>
    </row>
    <row r="210" ht="48" customHeight="1">
      <c r="A210" s="126" t="inlineStr">
        <is>
          <t>진공</t>
        </is>
      </c>
      <c r="B210" s="87" t="inlineStr">
        <is>
          <t>PCB</t>
        </is>
      </c>
      <c r="C210" s="88" t="inlineStr">
        <is>
          <t>COCOON</t>
        </is>
      </c>
      <c r="D210" s="88" t="inlineStr">
        <is>
          <t>FET B/D (+ 56 (교체전))
[COCOON]</t>
        </is>
      </c>
      <c r="E210" s="88" t="n"/>
      <c r="F210" s="90" t="inlineStr">
        <is>
          <t>O</t>
        </is>
      </c>
      <c r="G210" s="91" t="n"/>
      <c r="H210" s="92" t="n"/>
      <c r="I210" s="93">
        <f>IFERROR(IF(OR($F210="O",$G210="O",$H210="O"),CHOOSE(MATCH($A210,{"튜브","고압","진공","튜닝","조립","출하"},0),"T","H","V","N","A","P")&amp;IF($F210="O","R",IF($G210="O","A",IF($H210="O","F",""))),""),"")</f>
        <v/>
      </c>
      <c r="J210" s="94" t="n"/>
      <c r="K210" s="95" t="n"/>
      <c r="L210" s="96" t="n"/>
      <c r="M210" s="122" t="inlineStr">
        <is>
          <t>O</t>
        </is>
      </c>
      <c r="N210" s="98" t="n"/>
      <c r="O210" s="99" t="n"/>
      <c r="P210" s="100">
        <f>IF($I210="","",IF($J210="O","3","")&amp;IF($K210="O","4","")&amp;IF($L210="O","6","")&amp;IF($M210="O","7","")&amp;IF($N210="O","8","")&amp;IF($O210="O","?","")&amp;IF(OR($J210="O",$K210="O",$L210="O",$M210="O",$N210="O",$O210="O"),"-","")&amp;$I210)</f>
        <v/>
      </c>
      <c r="Q210" s="102" t="inlineStr">
        <is>
          <t>HLP</t>
        </is>
      </c>
      <c r="R210" s="110">
        <f>HYPERLINK("#'마스터_품목'!A749","→ 마스터 R749")</f>
        <v/>
      </c>
      <c r="S210" s="111" t="n">
        <v>749</v>
      </c>
      <c r="T210" s="111" t="inlineStr">
        <is>
          <t>마스터_품목</t>
        </is>
      </c>
    </row>
    <row r="211" ht="48" customHeight="1">
      <c r="A211" s="87" t="inlineStr">
        <is>
          <t>창고</t>
        </is>
      </c>
      <c r="B211" s="87" t="inlineStr">
        <is>
          <t>PCB</t>
        </is>
      </c>
      <c r="C211" s="88" t="inlineStr">
        <is>
          <t>COCOON</t>
        </is>
      </c>
      <c r="D211" s="88" t="inlineStr">
        <is>
          <t>POWER SWITCH BD
[COCOON]</t>
        </is>
      </c>
      <c r="E211" s="88" t="inlineStr">
        <is>
          <t>POWER SWITCH BD</t>
        </is>
      </c>
      <c r="F211" s="90" t="inlineStr">
        <is>
          <t>O</t>
        </is>
      </c>
      <c r="G211" s="91" t="n"/>
      <c r="H211" s="92" t="n"/>
      <c r="I211" s="93" t="inlineStr">
        <is>
          <t>AR</t>
        </is>
      </c>
      <c r="J211" s="94" t="n"/>
      <c r="K211" s="95" t="n"/>
      <c r="L211" s="96" t="n"/>
      <c r="M211" s="97" t="inlineStr">
        <is>
          <t>O</t>
        </is>
      </c>
      <c r="N211" s="98" t="n"/>
      <c r="O211" s="99" t="n"/>
      <c r="P211" s="100" t="inlineStr">
        <is>
          <t>7-AR</t>
        </is>
      </c>
      <c r="Q211" s="102" t="inlineStr">
        <is>
          <t>HLP</t>
        </is>
      </c>
      <c r="R211" s="110">
        <f>HYPERLINK("#'마스터_품목'!A463","→ 마스터 R463")</f>
        <v/>
      </c>
      <c r="S211" s="111" t="n">
        <v>463</v>
      </c>
      <c r="T211" s="111" t="inlineStr">
        <is>
          <t>마스터_품목</t>
        </is>
      </c>
    </row>
    <row r="212" ht="48" customHeight="1">
      <c r="A212" s="87" t="inlineStr">
        <is>
          <t>창고</t>
        </is>
      </c>
      <c r="B212" s="87" t="inlineStr">
        <is>
          <t>PCB</t>
        </is>
      </c>
      <c r="C212" s="88" t="inlineStr">
        <is>
          <t>COCOON</t>
        </is>
      </c>
      <c r="D212" s="88" t="inlineStr">
        <is>
          <t>POWER SWITCH BD (Ver 3.0.0)
[COCOON]</t>
        </is>
      </c>
      <c r="E212" s="88" t="inlineStr">
        <is>
          <t>POWER SWITCH BD (에이밍용 V3.0.0)</t>
        </is>
      </c>
      <c r="F212" s="90" t="inlineStr">
        <is>
          <t>O</t>
        </is>
      </c>
      <c r="G212" s="91" t="n"/>
      <c r="H212" s="92" t="n"/>
      <c r="I212" s="93" t="inlineStr">
        <is>
          <t>AR</t>
        </is>
      </c>
      <c r="J212" s="94" t="n"/>
      <c r="K212" s="95" t="n"/>
      <c r="L212" s="96" t="n"/>
      <c r="M212" s="97" t="inlineStr">
        <is>
          <t>O</t>
        </is>
      </c>
      <c r="N212" s="98" t="n"/>
      <c r="O212" s="99" t="n"/>
      <c r="P212" s="100" t="inlineStr">
        <is>
          <t>7-AR</t>
        </is>
      </c>
      <c r="Q212" s="102" t="inlineStr">
        <is>
          <t>HLP</t>
        </is>
      </c>
      <c r="R212" s="110">
        <f>HYPERLINK("#'마스터_품목'!A491","→ 마스터 R491")</f>
        <v/>
      </c>
      <c r="S212" s="111" t="n">
        <v>491</v>
      </c>
      <c r="T212" s="111" t="inlineStr">
        <is>
          <t>마스터_품목</t>
        </is>
      </c>
    </row>
    <row r="213" ht="48" customHeight="1">
      <c r="A213" s="87" t="inlineStr">
        <is>
          <t>창고</t>
        </is>
      </c>
      <c r="B213" s="87" t="inlineStr">
        <is>
          <t>PCB</t>
        </is>
      </c>
      <c r="C213" s="88" t="inlineStr">
        <is>
          <t>COCOON</t>
        </is>
      </c>
      <c r="D213" s="88" t="inlineStr">
        <is>
          <t>HANDLE CONNECTOR BD 신형 (신주 2핀)
[COCOON]</t>
        </is>
      </c>
      <c r="E213" s="88" t="inlineStr">
        <is>
          <t>CONNECTOR BD (신주 2핀)</t>
        </is>
      </c>
      <c r="F213" s="90" t="inlineStr">
        <is>
          <t>O</t>
        </is>
      </c>
      <c r="G213" s="91" t="n"/>
      <c r="H213" s="92" t="n"/>
      <c r="I213" s="93" t="inlineStr">
        <is>
          <t>AR</t>
        </is>
      </c>
      <c r="J213" s="94" t="n"/>
      <c r="K213" s="95" t="n"/>
      <c r="L213" s="96" t="n"/>
      <c r="M213" s="97" t="inlineStr">
        <is>
          <t>O</t>
        </is>
      </c>
      <c r="N213" s="98" t="n"/>
      <c r="O213" s="99" t="n"/>
      <c r="P213" s="100" t="inlineStr">
        <is>
          <t>7-AR</t>
        </is>
      </c>
      <c r="Q213" s="102" t="inlineStr">
        <is>
          <t>HLP</t>
        </is>
      </c>
      <c r="R213" s="110">
        <f>HYPERLINK("#'마스터_품목'!A464","→ 마스터 R464")</f>
        <v/>
      </c>
      <c r="S213" s="111" t="n">
        <v>464</v>
      </c>
      <c r="T213" s="111" t="inlineStr">
        <is>
          <t>마스터_품목</t>
        </is>
      </c>
    </row>
    <row r="214" ht="48" customHeight="1">
      <c r="A214" s="87" t="inlineStr">
        <is>
          <t>창고</t>
        </is>
      </c>
      <c r="B214" s="87" t="inlineStr">
        <is>
          <t>PCB</t>
        </is>
      </c>
      <c r="C214" s="88" t="inlineStr">
        <is>
          <t>COCOON</t>
        </is>
      </c>
      <c r="D214" s="88" t="inlineStr">
        <is>
          <t>BATTERY BRIDGE BD
[COCOON]</t>
        </is>
      </c>
      <c r="E214" s="88" t="inlineStr">
        <is>
          <t>BATTERY BRIDGE BD</t>
        </is>
      </c>
      <c r="F214" s="90" t="inlineStr">
        <is>
          <t>O</t>
        </is>
      </c>
      <c r="G214" s="91" t="n"/>
      <c r="H214" s="92" t="n"/>
      <c r="I214" s="93" t="inlineStr">
        <is>
          <t>AR</t>
        </is>
      </c>
      <c r="J214" s="94" t="n"/>
      <c r="K214" s="95" t="n"/>
      <c r="L214" s="96" t="n"/>
      <c r="M214" s="97" t="inlineStr">
        <is>
          <t>O</t>
        </is>
      </c>
      <c r="N214" s="98" t="n"/>
      <c r="O214" s="99" t="n"/>
      <c r="P214" s="100" t="inlineStr">
        <is>
          <t>7-AR</t>
        </is>
      </c>
      <c r="Q214" s="102" t="inlineStr">
        <is>
          <t>HLP</t>
        </is>
      </c>
      <c r="R214" s="110">
        <f>HYPERLINK("#'마스터_품목'!A465","→ 마스터 R465")</f>
        <v/>
      </c>
      <c r="S214" s="111" t="n">
        <v>465</v>
      </c>
      <c r="T214" s="111" t="inlineStr">
        <is>
          <t>마스터_품목</t>
        </is>
      </c>
    </row>
    <row r="215" ht="48" customHeight="1">
      <c r="A215" s="87" t="inlineStr">
        <is>
          <t>창고</t>
        </is>
      </c>
      <c r="B215" s="87" t="inlineStr">
        <is>
          <t>PCB</t>
        </is>
      </c>
      <c r="C215" s="88" t="inlineStr">
        <is>
          <t>COCOON</t>
        </is>
      </c>
      <c r="D215" s="88" t="inlineStr">
        <is>
          <t>CRADLE BD
[COCOON]</t>
        </is>
      </c>
      <c r="E215" s="88" t="inlineStr">
        <is>
          <t>CRADLE BD</t>
        </is>
      </c>
      <c r="F215" s="90" t="inlineStr">
        <is>
          <t>O</t>
        </is>
      </c>
      <c r="G215" s="91" t="n"/>
      <c r="H215" s="92" t="n"/>
      <c r="I215" s="93" t="inlineStr">
        <is>
          <t>AR</t>
        </is>
      </c>
      <c r="J215" s="94" t="n"/>
      <c r="K215" s="95" t="n"/>
      <c r="L215" s="96" t="n"/>
      <c r="M215" s="97" t="inlineStr">
        <is>
          <t>O</t>
        </is>
      </c>
      <c r="N215" s="98" t="n"/>
      <c r="O215" s="99" t="n"/>
      <c r="P215" s="100" t="inlineStr">
        <is>
          <t>7-AR</t>
        </is>
      </c>
      <c r="Q215" s="102" t="inlineStr">
        <is>
          <t>HLP</t>
        </is>
      </c>
      <c r="R215" s="110">
        <f>HYPERLINK("#'마스터_품목'!A466","→ 마스터 R466")</f>
        <v/>
      </c>
      <c r="S215" s="111" t="n">
        <v>466</v>
      </c>
      <c r="T215" s="111" t="inlineStr">
        <is>
          <t>마스터_품목</t>
        </is>
      </c>
    </row>
    <row r="216" ht="48" customHeight="1">
      <c r="A216" s="126" t="inlineStr">
        <is>
          <t>조립</t>
        </is>
      </c>
      <c r="B216" s="87" t="inlineStr">
        <is>
          <t>PCB</t>
        </is>
      </c>
      <c r="C216" s="88" t="inlineStr">
        <is>
          <t>COCOON</t>
        </is>
      </c>
      <c r="D216" s="88" t="inlineStr">
        <is>
          <t>OP &amp; TOUCH BD
[COCOON]</t>
        </is>
      </c>
      <c r="E216" s="88" t="n"/>
      <c r="F216" s="90" t="inlineStr">
        <is>
          <t>O</t>
        </is>
      </c>
      <c r="G216" s="91" t="n"/>
      <c r="H216" s="92" t="n"/>
      <c r="I216" s="93">
        <f>IFERROR(IF(OR($F216="O",$G216="O",$H216="O"),CHOOSE(MATCH($A216,{"튜브","고압","진공","튜닝","조립","출하"},0),"T","H","V","N","A","P")&amp;IF($F216="O","R",IF($G216="O","A",IF($H216="O","F",""))),""),"")</f>
        <v/>
      </c>
      <c r="J216" s="94" t="n"/>
      <c r="K216" s="95" t="n"/>
      <c r="L216" s="96" t="n"/>
      <c r="M216" s="122" t="inlineStr">
        <is>
          <t>O</t>
        </is>
      </c>
      <c r="N216" s="98" t="n"/>
      <c r="O216" s="99" t="n"/>
      <c r="P216" s="100">
        <f>IF($I216="","",IF($J216="O","3","")&amp;IF($K216="O","4","")&amp;IF($L216="O","6","")&amp;IF($M216="O","7","")&amp;IF($N216="O","8","")&amp;IF($O216="O","?","")&amp;IF(OR($J216="O",$K216="O",$L216="O",$M216="O",$N216="O",$O216="O"),"-","")&amp;$I216)</f>
        <v/>
      </c>
      <c r="Q216" s="102" t="inlineStr">
        <is>
          <t>HLP</t>
        </is>
      </c>
      <c r="R216" s="110">
        <f>HYPERLINK("#'마스터_품목'!A750","→ 마스터 R750")</f>
        <v/>
      </c>
      <c r="S216" s="111" t="n">
        <v>750</v>
      </c>
      <c r="T216" s="111" t="inlineStr">
        <is>
          <t>마스터_품목</t>
        </is>
      </c>
    </row>
    <row r="217" ht="48" customHeight="1">
      <c r="A217" s="87" t="inlineStr">
        <is>
          <t>창고</t>
        </is>
      </c>
      <c r="B217" s="87" t="inlineStr">
        <is>
          <t>CABLE</t>
        </is>
      </c>
      <c r="C217" s="88" t="inlineStr">
        <is>
          <t>COCOON</t>
        </is>
      </c>
      <c r="D217" s="88" t="inlineStr">
        <is>
          <t>하네스 1번 (TX30(FEMALE)+YH396-02 100mm CTR BD 외부단자 2핀)
[COCOON]</t>
        </is>
      </c>
      <c r="E217" s="88" t="inlineStr">
        <is>
          <t>CTR BD 외부단자 2핀 (TX30(FEMALE)+YH396-02100mm (하네스 1번)</t>
        </is>
      </c>
      <c r="F217" s="90" t="inlineStr">
        <is>
          <t>O</t>
        </is>
      </c>
      <c r="G217" s="91" t="n"/>
      <c r="H217" s="92" t="n"/>
      <c r="I217" s="93" t="inlineStr">
        <is>
          <t>AR</t>
        </is>
      </c>
      <c r="J217" s="94" t="n"/>
      <c r="K217" s="95" t="n"/>
      <c r="L217" s="96" t="n"/>
      <c r="M217" s="97" t="inlineStr">
        <is>
          <t>O</t>
        </is>
      </c>
      <c r="N217" s="98" t="n"/>
      <c r="O217" s="99" t="n"/>
      <c r="P217" s="100" t="inlineStr">
        <is>
          <t>7-AR</t>
        </is>
      </c>
      <c r="Q217" s="102" t="inlineStr">
        <is>
          <t>HLP</t>
        </is>
      </c>
      <c r="R217" s="110">
        <f>HYPERLINK("#'마스터_품목'!A456","→ 마스터 R456")</f>
        <v/>
      </c>
      <c r="S217" s="111" t="n">
        <v>456</v>
      </c>
      <c r="T217" s="111" t="inlineStr">
        <is>
          <t>마스터_품목</t>
        </is>
      </c>
    </row>
    <row r="218" ht="48" customHeight="1">
      <c r="A218" s="87" t="inlineStr">
        <is>
          <t>창고</t>
        </is>
      </c>
      <c r="B218" s="87" t="inlineStr">
        <is>
          <t>CABLE</t>
        </is>
      </c>
      <c r="C218" s="88" t="inlineStr">
        <is>
          <t>COCOON</t>
        </is>
      </c>
      <c r="D218" s="88" t="inlineStr">
        <is>
          <t>하네스 2번 (TX30(MALE)+DC022(2.5) 80mm 전원 외부단자 2핀)
[COCOON]</t>
        </is>
      </c>
      <c r="E218" s="88" t="inlineStr">
        <is>
          <t>TX30(MALE)+DC022(2.5) 80mm 전원 외부단자 2핀 (하네스 2번)</t>
        </is>
      </c>
      <c r="F218" s="90" t="inlineStr">
        <is>
          <t>O</t>
        </is>
      </c>
      <c r="G218" s="91" t="n"/>
      <c r="H218" s="92" t="n"/>
      <c r="I218" s="93" t="inlineStr">
        <is>
          <t>AR</t>
        </is>
      </c>
      <c r="J218" s="94" t="n"/>
      <c r="K218" s="95" t="n"/>
      <c r="L218" s="96" t="n"/>
      <c r="M218" s="97" t="inlineStr">
        <is>
          <t>O</t>
        </is>
      </c>
      <c r="N218" s="98" t="n"/>
      <c r="O218" s="99" t="n"/>
      <c r="P218" s="100" t="inlineStr">
        <is>
          <t>7-AR</t>
        </is>
      </c>
      <c r="Q218" s="102" t="inlineStr">
        <is>
          <t>HLP</t>
        </is>
      </c>
      <c r="R218" s="110">
        <f>HYPERLINK("#'마스터_품목'!A457","→ 마스터 R457")</f>
        <v/>
      </c>
      <c r="S218" s="111" t="n">
        <v>457</v>
      </c>
      <c r="T218" s="111" t="inlineStr">
        <is>
          <t>마스터_품목</t>
        </is>
      </c>
    </row>
    <row r="219" ht="48" customHeight="1">
      <c r="A219" s="87" t="inlineStr">
        <is>
          <t>창고</t>
        </is>
      </c>
      <c r="B219" s="87" t="inlineStr">
        <is>
          <t>CABLE</t>
        </is>
      </c>
      <c r="C219" s="88" t="inlineStr">
        <is>
          <t>COCOON</t>
        </is>
      </c>
      <c r="D219" s="88" t="inlineStr">
        <is>
          <t>하네스 3번 (FFC CABLE 1mm*30P*200*B CTR BD*OP BD (다른방향))
[COCOON]</t>
        </is>
      </c>
      <c r="E219" s="88" t="inlineStr">
        <is>
          <t>30핀 FFC CABLE (하네스 3번)</t>
        </is>
      </c>
      <c r="F219" s="90" t="inlineStr">
        <is>
          <t>O</t>
        </is>
      </c>
      <c r="G219" s="91" t="n"/>
      <c r="H219" s="92" t="n"/>
      <c r="I219" s="93" t="inlineStr">
        <is>
          <t>AR</t>
        </is>
      </c>
      <c r="J219" s="94" t="n"/>
      <c r="K219" s="95" t="n"/>
      <c r="L219" s="96" t="n"/>
      <c r="M219" s="97" t="inlineStr">
        <is>
          <t>O</t>
        </is>
      </c>
      <c r="N219" s="98" t="n"/>
      <c r="O219" s="99" t="n"/>
      <c r="P219" s="100" t="inlineStr">
        <is>
          <t>7-AR</t>
        </is>
      </c>
      <c r="Q219" s="102" t="inlineStr">
        <is>
          <t>HLP</t>
        </is>
      </c>
      <c r="R219" s="110">
        <f>HYPERLINK("#'마스터_품목'!A458","→ 마스터 R458")</f>
        <v/>
      </c>
      <c r="S219" s="111" t="n">
        <v>458</v>
      </c>
      <c r="T219" s="111" t="inlineStr">
        <is>
          <t>마스터_품목</t>
        </is>
      </c>
    </row>
    <row r="220" ht="48" customHeight="1">
      <c r="A220" s="87" t="inlineStr">
        <is>
          <t>창고</t>
        </is>
      </c>
      <c r="B220" s="87" t="inlineStr">
        <is>
          <t>CABLE</t>
        </is>
      </c>
      <c r="C220" s="88" t="inlineStr">
        <is>
          <t>COCOON</t>
        </is>
      </c>
      <c r="D220" s="88" t="inlineStr">
        <is>
          <t>하네스 4번 (12505HS-02+SORDER 50mm - OP BD 2.20 전용 스피커 2핀)
[COCOON]</t>
        </is>
      </c>
      <c r="E220" s="88" t="inlineStr">
        <is>
          <t>12505HS-02+SORDER 50mm 스피커 2핀 (하네스 4번)</t>
        </is>
      </c>
      <c r="F220" s="90" t="inlineStr">
        <is>
          <t>O</t>
        </is>
      </c>
      <c r="G220" s="91" t="n"/>
      <c r="H220" s="92" t="n"/>
      <c r="I220" s="93" t="inlineStr">
        <is>
          <t>AR</t>
        </is>
      </c>
      <c r="J220" s="94" t="n"/>
      <c r="K220" s="95" t="n"/>
      <c r="L220" s="96" t="n"/>
      <c r="M220" s="97" t="inlineStr">
        <is>
          <t>O</t>
        </is>
      </c>
      <c r="N220" s="98" t="n"/>
      <c r="O220" s="99" t="n"/>
      <c r="P220" s="100" t="inlineStr">
        <is>
          <t>7-AR</t>
        </is>
      </c>
      <c r="Q220" s="102" t="inlineStr">
        <is>
          <t>HLP</t>
        </is>
      </c>
      <c r="R220" s="110">
        <f>HYPERLINK("#'마스터_품목'!A459","→ 마스터 R459")</f>
        <v/>
      </c>
      <c r="S220" s="111" t="n">
        <v>459</v>
      </c>
      <c r="T220" s="111" t="inlineStr">
        <is>
          <t>마스터_품목</t>
        </is>
      </c>
    </row>
    <row r="221" ht="48" customHeight="1">
      <c r="A221" s="87" t="inlineStr">
        <is>
          <t>창고</t>
        </is>
      </c>
      <c r="B221" s="87" t="inlineStr">
        <is>
          <t>CABLE</t>
        </is>
      </c>
      <c r="C221" s="88" t="inlineStr">
        <is>
          <t>COCOON</t>
        </is>
      </c>
      <c r="D221" s="88" t="inlineStr">
        <is>
          <t>하네스 5번 (YH396-04*2EA 150mm BATTERY BRIDGE BD 4핀)
[COCOON]</t>
        </is>
      </c>
      <c r="E221" s="88" t="inlineStr">
        <is>
          <t>BATTERY BRIDGE BD 4핀 (YH396-04*2EA 150mm (하네스 5번)</t>
        </is>
      </c>
      <c r="F221" s="90" t="inlineStr">
        <is>
          <t>O</t>
        </is>
      </c>
      <c r="G221" s="91" t="n"/>
      <c r="H221" s="92" t="n"/>
      <c r="I221" s="93" t="inlineStr">
        <is>
          <t>AR</t>
        </is>
      </c>
      <c r="J221" s="94" t="n"/>
      <c r="K221" s="95" t="n"/>
      <c r="L221" s="96" t="n"/>
      <c r="M221" s="97" t="inlineStr">
        <is>
          <t>O</t>
        </is>
      </c>
      <c r="N221" s="98" t="n"/>
      <c r="O221" s="99" t="n"/>
      <c r="P221" s="100" t="inlineStr">
        <is>
          <t>7-AR</t>
        </is>
      </c>
      <c r="Q221" s="102" t="inlineStr">
        <is>
          <t>HLP</t>
        </is>
      </c>
      <c r="R221" s="110">
        <f>HYPERLINK("#'마스터_품목'!A460","→ 마스터 R460")</f>
        <v/>
      </c>
      <c r="S221" s="111" t="n">
        <v>460</v>
      </c>
      <c r="T221" s="111" t="inlineStr">
        <is>
          <t>마스터_품목</t>
        </is>
      </c>
    </row>
    <row r="222" ht="48" customHeight="1">
      <c r="A222" s="87" t="inlineStr">
        <is>
          <t>창고</t>
        </is>
      </c>
      <c r="B222" s="87" t="inlineStr">
        <is>
          <t>CABLE</t>
        </is>
      </c>
      <c r="C222" s="88" t="inlineStr">
        <is>
          <t>COCOON</t>
        </is>
      </c>
      <c r="D222" s="88" t="inlineStr">
        <is>
          <t>하네스 7번 (12505HS-05 125mm POWER SWITCH BD 5핀)
[COCOON]</t>
        </is>
      </c>
      <c r="E222" s="88" t="inlineStr">
        <is>
          <t>12505HS-05 125mm POWER SWITCH BD 5핀 (하네스 7번)</t>
        </is>
      </c>
      <c r="F222" s="90" t="inlineStr">
        <is>
          <t>O</t>
        </is>
      </c>
      <c r="G222" s="91" t="n"/>
      <c r="H222" s="92" t="n"/>
      <c r="I222" s="93" t="inlineStr">
        <is>
          <t>AR</t>
        </is>
      </c>
      <c r="J222" s="94" t="n"/>
      <c r="K222" s="95" t="n"/>
      <c r="L222" s="96" t="n"/>
      <c r="M222" s="97" t="inlineStr">
        <is>
          <t>O</t>
        </is>
      </c>
      <c r="N222" s="98" t="n"/>
      <c r="O222" s="99" t="n"/>
      <c r="P222" s="100" t="inlineStr">
        <is>
          <t>7-AR</t>
        </is>
      </c>
      <c r="Q222" s="102" t="inlineStr">
        <is>
          <t>HLP</t>
        </is>
      </c>
      <c r="R222" s="110">
        <f>HYPERLINK("#'마스터_품목'!A461","→ 마스터 R461")</f>
        <v/>
      </c>
      <c r="S222" s="111" t="n">
        <v>461</v>
      </c>
      <c r="T222" s="111" t="inlineStr">
        <is>
          <t>마스터_품목</t>
        </is>
      </c>
    </row>
    <row r="223" ht="48" customHeight="1">
      <c r="A223" s="87" t="inlineStr">
        <is>
          <t>창고</t>
        </is>
      </c>
      <c r="B223" s="87" t="inlineStr">
        <is>
          <t>CABLE</t>
        </is>
      </c>
      <c r="C223" s="88" t="inlineStr">
        <is>
          <t>COCOON</t>
        </is>
      </c>
      <c r="D223" s="88" t="inlineStr">
        <is>
          <t>하네스 11번 (YH396-02+SORDER 80mm CRADLE 신주 연결 2핀)
[COCOON]</t>
        </is>
      </c>
      <c r="E223" s="88" t="inlineStr">
        <is>
          <t>YH396-02+SORDER 80mm CRADLE 신주 연결 2핀 (하네스 11번)</t>
        </is>
      </c>
      <c r="F223" s="90" t="inlineStr">
        <is>
          <t>O</t>
        </is>
      </c>
      <c r="G223" s="91" t="n"/>
      <c r="H223" s="92" t="n"/>
      <c r="I223" s="93" t="inlineStr">
        <is>
          <t>AR</t>
        </is>
      </c>
      <c r="J223" s="94" t="n"/>
      <c r="K223" s="95" t="n"/>
      <c r="L223" s="96" t="n"/>
      <c r="M223" s="97" t="inlineStr">
        <is>
          <t>O</t>
        </is>
      </c>
      <c r="N223" s="98" t="n"/>
      <c r="O223" s="99" t="n"/>
      <c r="P223" s="100" t="inlineStr">
        <is>
          <t>7-AR</t>
        </is>
      </c>
      <c r="Q223" s="102" t="inlineStr">
        <is>
          <t>HLP</t>
        </is>
      </c>
      <c r="R223" s="110">
        <f>HYPERLINK("#'마스터_품목'!A462","→ 마스터 R462")</f>
        <v/>
      </c>
      <c r="S223" s="111" t="n">
        <v>462</v>
      </c>
      <c r="T223" s="111" t="inlineStr">
        <is>
          <t>마스터_품목</t>
        </is>
      </c>
    </row>
    <row r="224" ht="48" customHeight="1">
      <c r="A224" s="87" t="inlineStr">
        <is>
          <t>창고</t>
        </is>
      </c>
      <c r="B224" s="87" t="inlineStr">
        <is>
          <t>CABLE</t>
        </is>
      </c>
      <c r="C224" s="88" t="inlineStr">
        <is>
          <t>COCOON</t>
        </is>
      </c>
      <c r="D224" s="88" t="inlineStr">
        <is>
          <t>에이밍 하네스 1번 (YHM025-02R 210mm, CTR + POWER BD 2핀)
[COCOON]</t>
        </is>
      </c>
      <c r="E224" s="88" t="inlineStr">
        <is>
          <t>CTR+Power BD 2핀 (코쿤 에이밍라이트용 하네스 1번 ) YHM025-02R 210mm</t>
        </is>
      </c>
      <c r="F224" s="90" t="inlineStr">
        <is>
          <t>O</t>
        </is>
      </c>
      <c r="G224" s="91" t="n"/>
      <c r="H224" s="92" t="n"/>
      <c r="I224" s="93" t="inlineStr">
        <is>
          <t>AR</t>
        </is>
      </c>
      <c r="J224" s="94" t="n"/>
      <c r="K224" s="95" t="n"/>
      <c r="L224" s="96" t="n"/>
      <c r="M224" s="97" t="inlineStr">
        <is>
          <t>O</t>
        </is>
      </c>
      <c r="N224" s="98" t="n"/>
      <c r="O224" s="99" t="n"/>
      <c r="P224" s="100" t="inlineStr">
        <is>
          <t>7-AR</t>
        </is>
      </c>
      <c r="Q224" s="102" t="inlineStr">
        <is>
          <t>HLP</t>
        </is>
      </c>
      <c r="R224" s="110">
        <f>HYPERLINK("#'마스터_품목'!A492","→ 마스터 R492")</f>
        <v/>
      </c>
      <c r="S224" s="111" t="n">
        <v>492</v>
      </c>
      <c r="T224" s="111" t="inlineStr">
        <is>
          <t>마스터_품목</t>
        </is>
      </c>
    </row>
    <row r="225" ht="48" customHeight="1">
      <c r="A225" s="87" t="inlineStr">
        <is>
          <t>창고</t>
        </is>
      </c>
      <c r="B225" s="87" t="inlineStr">
        <is>
          <t>CABLE</t>
        </is>
      </c>
      <c r="C225" s="88" t="inlineStr">
        <is>
          <t>COCOON</t>
        </is>
      </c>
      <c r="D225" s="88" t="inlineStr">
        <is>
          <t>에이밍 하네스 2번 (YHM025-02R 180mm, LED BD 2핀, 19+83(사출결합))
[COCOON]</t>
        </is>
      </c>
      <c r="E225" s="88" t="inlineStr">
        <is>
          <t>LED BD 2핀 (코쿤 에이밍라이트용 하네스 2번) YHM025-02R 180mm</t>
        </is>
      </c>
      <c r="F225" s="90" t="inlineStr">
        <is>
          <t>O</t>
        </is>
      </c>
      <c r="G225" s="91" t="n"/>
      <c r="H225" s="92" t="n"/>
      <c r="I225" s="93" t="inlineStr">
        <is>
          <t>AR</t>
        </is>
      </c>
      <c r="J225" s="94" t="n"/>
      <c r="K225" s="95" t="n"/>
      <c r="L225" s="96" t="n"/>
      <c r="M225" s="97" t="inlineStr">
        <is>
          <t>O</t>
        </is>
      </c>
      <c r="N225" s="98" t="n"/>
      <c r="O225" s="99" t="n"/>
      <c r="P225" s="100" t="inlineStr">
        <is>
          <t>7-AR</t>
        </is>
      </c>
      <c r="Q225" s="102" t="inlineStr">
        <is>
          <t>HLP</t>
        </is>
      </c>
      <c r="R225" s="110">
        <f>HYPERLINK("#'마스터_품목'!A493","→ 마스터 R493")</f>
        <v/>
      </c>
      <c r="S225" s="111" t="n">
        <v>493</v>
      </c>
      <c r="T225" s="111" t="inlineStr">
        <is>
          <t>마스터_품목</t>
        </is>
      </c>
    </row>
    <row r="226" ht="48" customHeight="1">
      <c r="A226" s="87" t="inlineStr">
        <is>
          <t>창고</t>
        </is>
      </c>
      <c r="B226" s="87" t="inlineStr">
        <is>
          <t>PANEL</t>
        </is>
      </c>
      <c r="C226" s="88" t="inlineStr">
        <is>
          <t>COCOON</t>
        </is>
      </c>
      <c r="D226" s="88" t="inlineStr">
        <is>
          <t>OLED PANEL (UG-5664ASWEF01)
[COCOON]</t>
        </is>
      </c>
      <c r="E226" s="88" t="inlineStr">
        <is>
          <t>OLED PANEL</t>
        </is>
      </c>
      <c r="F226" s="90" t="inlineStr">
        <is>
          <t>O</t>
        </is>
      </c>
      <c r="G226" s="91" t="n"/>
      <c r="H226" s="92" t="n"/>
      <c r="I226" s="93" t="inlineStr">
        <is>
          <t>AR</t>
        </is>
      </c>
      <c r="J226" s="94" t="n"/>
      <c r="K226" s="95" t="n"/>
      <c r="L226" s="96" t="n"/>
      <c r="M226" s="97" t="inlineStr">
        <is>
          <t>O</t>
        </is>
      </c>
      <c r="N226" s="98" t="n"/>
      <c r="O226" s="99" t="n"/>
      <c r="P226" s="100" t="inlineStr">
        <is>
          <t>7-AR</t>
        </is>
      </c>
      <c r="Q226" s="102" t="inlineStr">
        <is>
          <t>HLP</t>
        </is>
      </c>
      <c r="R226" s="110">
        <f>HYPERLINK("#'마스터_품목'!A410","→ 마스터 R410")</f>
        <v/>
      </c>
      <c r="S226" s="111" t="n">
        <v>410</v>
      </c>
      <c r="T226" s="111" t="inlineStr">
        <is>
          <t>마스터_품목</t>
        </is>
      </c>
    </row>
    <row r="227" ht="48" customHeight="1">
      <c r="A227" s="87" t="inlineStr">
        <is>
          <t>창고</t>
        </is>
      </c>
      <c r="B227" s="87" t="inlineStr">
        <is>
          <t>ABS 난연</t>
        </is>
      </c>
      <c r="C227" s="88" t="inlineStr">
        <is>
          <t>COCOON</t>
        </is>
      </c>
      <c r="D227" s="88" t="inlineStr">
        <is>
          <t>TOP BODY (메탈 실버 유광)
[COCOON]</t>
        </is>
      </c>
      <c r="E227" s="88" t="inlineStr">
        <is>
          <t>TOP BODY 사출</t>
        </is>
      </c>
      <c r="F227" s="90" t="inlineStr">
        <is>
          <t>O</t>
        </is>
      </c>
      <c r="G227" s="91" t="n"/>
      <c r="H227" s="92" t="n"/>
      <c r="I227" s="93" t="inlineStr">
        <is>
          <t>AR</t>
        </is>
      </c>
      <c r="J227" s="94" t="n"/>
      <c r="K227" s="95" t="n"/>
      <c r="L227" s="96" t="n"/>
      <c r="M227" s="97" t="inlineStr">
        <is>
          <t>O</t>
        </is>
      </c>
      <c r="N227" s="98" t="n"/>
      <c r="O227" s="99" t="n"/>
      <c r="P227" s="100" t="inlineStr">
        <is>
          <t>7-AR</t>
        </is>
      </c>
      <c r="Q227" s="102" t="inlineStr">
        <is>
          <t>천우</t>
        </is>
      </c>
      <c r="R227" s="110">
        <f>HYPERLINK("#'마스터_품목'!A412","→ 마스터 R412")</f>
        <v/>
      </c>
      <c r="S227" s="111" t="n">
        <v>412</v>
      </c>
      <c r="T227" s="111" t="inlineStr">
        <is>
          <t>마스터_품목</t>
        </is>
      </c>
    </row>
    <row r="228" ht="48" customHeight="1">
      <c r="A228" s="87" t="inlineStr">
        <is>
          <t>창고</t>
        </is>
      </c>
      <c r="B228" s="87" t="inlineStr">
        <is>
          <t>ABS 난연</t>
        </is>
      </c>
      <c r="C228" s="88" t="inlineStr">
        <is>
          <t>COCOON</t>
        </is>
      </c>
      <c r="D228" s="88" t="inlineStr">
        <is>
          <t>BOTTOM BODY (블랙 유광)
[COCOON]</t>
        </is>
      </c>
      <c r="E228" s="88" t="inlineStr">
        <is>
          <t>BOTTOM BODY 사출</t>
        </is>
      </c>
      <c r="F228" s="90" t="inlineStr">
        <is>
          <t>O</t>
        </is>
      </c>
      <c r="G228" s="91" t="n"/>
      <c r="H228" s="92" t="n"/>
      <c r="I228" s="93" t="inlineStr">
        <is>
          <t>AR</t>
        </is>
      </c>
      <c r="J228" s="94" t="n"/>
      <c r="K228" s="95" t="n"/>
      <c r="L228" s="96" t="n"/>
      <c r="M228" s="97" t="inlineStr">
        <is>
          <t>O</t>
        </is>
      </c>
      <c r="N228" s="98" t="n"/>
      <c r="O228" s="99" t="n"/>
      <c r="P228" s="100" t="inlineStr">
        <is>
          <t>7-AR</t>
        </is>
      </c>
      <c r="Q228" s="102" t="inlineStr">
        <is>
          <t>천우</t>
        </is>
      </c>
      <c r="R228" s="110">
        <f>HYPERLINK("#'마스터_품목'!A414","→ 마스터 R414")</f>
        <v/>
      </c>
      <c r="S228" s="111" t="n">
        <v>414</v>
      </c>
      <c r="T228" s="111" t="inlineStr">
        <is>
          <t>마스터_품목</t>
        </is>
      </c>
    </row>
    <row r="229" ht="48" customHeight="1">
      <c r="A229" s="87" t="inlineStr">
        <is>
          <t>창고</t>
        </is>
      </c>
      <c r="B229" s="87" t="inlineStr">
        <is>
          <t>ABS 난연</t>
        </is>
      </c>
      <c r="C229" s="88" t="inlineStr">
        <is>
          <t>COCOON</t>
        </is>
      </c>
      <c r="D229" s="88" t="inlineStr">
        <is>
          <t>OLED GUIDE (ABS 난연 화이트)
[COCOON]</t>
        </is>
      </c>
      <c r="E229" s="88" t="inlineStr">
        <is>
          <t>OLED GUIDE 사출</t>
        </is>
      </c>
      <c r="F229" s="90" t="inlineStr">
        <is>
          <t>O</t>
        </is>
      </c>
      <c r="G229" s="91" t="n"/>
      <c r="H229" s="92" t="n"/>
      <c r="I229" s="93" t="inlineStr">
        <is>
          <t>AR</t>
        </is>
      </c>
      <c r="J229" s="94" t="n"/>
      <c r="K229" s="95" t="n"/>
      <c r="L229" s="96" t="n"/>
      <c r="M229" s="97" t="inlineStr">
        <is>
          <t>O</t>
        </is>
      </c>
      <c r="N229" s="98" t="n"/>
      <c r="O229" s="99" t="n"/>
      <c r="P229" s="100" t="inlineStr">
        <is>
          <t>7-AR</t>
        </is>
      </c>
      <c r="Q229" s="102" t="inlineStr">
        <is>
          <t>천우</t>
        </is>
      </c>
      <c r="R229" s="110">
        <f>HYPERLINK("#'마스터_품목'!A411","→ 마스터 R411")</f>
        <v/>
      </c>
      <c r="S229" s="111" t="n">
        <v>411</v>
      </c>
      <c r="T229" s="111" t="inlineStr">
        <is>
          <t>마스터_품목</t>
        </is>
      </c>
    </row>
    <row r="230" ht="48" customHeight="1">
      <c r="A230" s="87" t="inlineStr">
        <is>
          <t>창고</t>
        </is>
      </c>
      <c r="B230" s="87" t="inlineStr">
        <is>
          <t>ABS 난연</t>
        </is>
      </c>
      <c r="C230" s="88" t="inlineStr">
        <is>
          <t>COCOON</t>
        </is>
      </c>
      <c r="D230" s="88" t="inlineStr">
        <is>
          <t>POWER BUTTON (메탈 실버 유광)
[COCOON]</t>
        </is>
      </c>
      <c r="E230" s="88" t="inlineStr">
        <is>
          <t>POWER BUTTON 사출</t>
        </is>
      </c>
      <c r="F230" s="90" t="inlineStr">
        <is>
          <t>O</t>
        </is>
      </c>
      <c r="G230" s="91" t="n"/>
      <c r="H230" s="92" t="n"/>
      <c r="I230" s="93" t="inlineStr">
        <is>
          <t>AR</t>
        </is>
      </c>
      <c r="J230" s="94" t="n"/>
      <c r="K230" s="95" t="n"/>
      <c r="L230" s="96" t="n"/>
      <c r="M230" s="97" t="inlineStr">
        <is>
          <t>O</t>
        </is>
      </c>
      <c r="N230" s="98" t="n"/>
      <c r="O230" s="99" t="n"/>
      <c r="P230" s="100" t="inlineStr">
        <is>
          <t>7-AR</t>
        </is>
      </c>
      <c r="Q230" s="102" t="inlineStr">
        <is>
          <t>천우</t>
        </is>
      </c>
      <c r="R230" s="110">
        <f>HYPERLINK("#'마스터_품목'!A415","→ 마스터 R415")</f>
        <v/>
      </c>
      <c r="S230" s="111" t="n">
        <v>415</v>
      </c>
      <c r="T230" s="111" t="inlineStr">
        <is>
          <t>마스터_품목</t>
        </is>
      </c>
    </row>
    <row r="231" ht="48" customHeight="1">
      <c r="A231" s="87" t="inlineStr">
        <is>
          <t>창고</t>
        </is>
      </c>
      <c r="B231" s="87" t="inlineStr">
        <is>
          <t>ABS 난연</t>
        </is>
      </c>
      <c r="C231" s="88" t="inlineStr">
        <is>
          <t>COCOON</t>
        </is>
      </c>
      <c r="D231" s="88" t="inlineStr">
        <is>
          <t>BUTTON INDICATOR (ABS 난연 화이트)
[COCOON]</t>
        </is>
      </c>
      <c r="E231" s="88" t="inlineStr">
        <is>
          <t>BUTTON INDICATOR</t>
        </is>
      </c>
      <c r="F231" s="90" t="inlineStr">
        <is>
          <t>O</t>
        </is>
      </c>
      <c r="G231" s="91" t="n"/>
      <c r="H231" s="92" t="n"/>
      <c r="I231" s="93" t="inlineStr">
        <is>
          <t>AR</t>
        </is>
      </c>
      <c r="J231" s="94" t="n"/>
      <c r="K231" s="95" t="n"/>
      <c r="L231" s="96" t="n"/>
      <c r="M231" s="97" t="inlineStr">
        <is>
          <t>O</t>
        </is>
      </c>
      <c r="N231" s="98" t="n"/>
      <c r="O231" s="99" t="n"/>
      <c r="P231" s="100" t="inlineStr">
        <is>
          <t>7-AR</t>
        </is>
      </c>
      <c r="Q231" s="102" t="inlineStr">
        <is>
          <t>천우</t>
        </is>
      </c>
      <c r="R231" s="110">
        <f>HYPERLINK("#'마스터_품목'!A416","→ 마스터 R416")</f>
        <v/>
      </c>
      <c r="S231" s="111" t="n">
        <v>416</v>
      </c>
      <c r="T231" s="111" t="inlineStr">
        <is>
          <t>마스터_품목</t>
        </is>
      </c>
    </row>
    <row r="232" ht="48" customHeight="1">
      <c r="A232" s="87" t="inlineStr">
        <is>
          <t>창고</t>
        </is>
      </c>
      <c r="B232" s="87" t="inlineStr">
        <is>
          <t>ABS 난연</t>
        </is>
      </c>
      <c r="C232" s="88" t="inlineStr">
        <is>
          <t>COCOON</t>
        </is>
      </c>
      <c r="D232" s="88" t="inlineStr">
        <is>
          <t>TOUCH DUMMY (확산 아크릴)
[COCOON]</t>
        </is>
      </c>
      <c r="E232" s="88" t="inlineStr">
        <is>
          <t>TOUCH DUMMY</t>
        </is>
      </c>
      <c r="F232" s="90" t="inlineStr">
        <is>
          <t>O</t>
        </is>
      </c>
      <c r="G232" s="91" t="n"/>
      <c r="H232" s="92" t="n"/>
      <c r="I232" s="93" t="inlineStr">
        <is>
          <t>AR</t>
        </is>
      </c>
      <c r="J232" s="94" t="n"/>
      <c r="K232" s="95" t="n"/>
      <c r="L232" s="96" t="n"/>
      <c r="M232" s="97" t="inlineStr">
        <is>
          <t>O</t>
        </is>
      </c>
      <c r="N232" s="98" t="n"/>
      <c r="O232" s="99" t="n"/>
      <c r="P232" s="100" t="inlineStr">
        <is>
          <t>7-AR</t>
        </is>
      </c>
      <c r="Q232" s="102" t="inlineStr">
        <is>
          <t>천우</t>
        </is>
      </c>
      <c r="R232" s="110">
        <f>HYPERLINK("#'마스터_품목'!A417","→ 마스터 R417")</f>
        <v/>
      </c>
      <c r="S232" s="111" t="n">
        <v>417</v>
      </c>
      <c r="T232" s="111" t="inlineStr">
        <is>
          <t>마스터_품목</t>
        </is>
      </c>
    </row>
    <row r="233" ht="48" customHeight="1">
      <c r="A233" s="87" t="inlineStr">
        <is>
          <t>창고</t>
        </is>
      </c>
      <c r="B233" s="87" t="inlineStr">
        <is>
          <t>ABS 난연</t>
        </is>
      </c>
      <c r="C233" s="88" t="inlineStr">
        <is>
          <t>COCOON</t>
        </is>
      </c>
      <c r="D233" s="88" t="inlineStr">
        <is>
          <t>LOCK KNOB (메탈 실버 유광)
[COCOON]</t>
        </is>
      </c>
      <c r="E233" s="88" t="inlineStr">
        <is>
          <t>LOCK KNOB</t>
        </is>
      </c>
      <c r="F233" s="90" t="inlineStr">
        <is>
          <t>O</t>
        </is>
      </c>
      <c r="G233" s="91" t="n"/>
      <c r="H233" s="92" t="n"/>
      <c r="I233" s="93" t="inlineStr">
        <is>
          <t>AR</t>
        </is>
      </c>
      <c r="J233" s="94" t="n"/>
      <c r="K233" s="95" t="n"/>
      <c r="L233" s="96" t="n"/>
      <c r="M233" s="97" t="inlineStr">
        <is>
          <t>O</t>
        </is>
      </c>
      <c r="N233" s="98" t="n"/>
      <c r="O233" s="99" t="n"/>
      <c r="P233" s="100" t="inlineStr">
        <is>
          <t>7-AR</t>
        </is>
      </c>
      <c r="Q233" s="102" t="inlineStr">
        <is>
          <t>천우</t>
        </is>
      </c>
      <c r="R233" s="110">
        <f>HYPERLINK("#'마스터_품목'!A419","→ 마스터 R419")</f>
        <v/>
      </c>
      <c r="S233" s="111" t="n">
        <v>419</v>
      </c>
      <c r="T233" s="111" t="inlineStr">
        <is>
          <t>마스터_품목</t>
        </is>
      </c>
    </row>
    <row r="234" ht="48" customHeight="1">
      <c r="A234" s="87" t="inlineStr">
        <is>
          <t>창고</t>
        </is>
      </c>
      <c r="B234" s="87" t="inlineStr">
        <is>
          <t>ABS 난연</t>
        </is>
      </c>
      <c r="C234" s="88" t="inlineStr">
        <is>
          <t>COCOON</t>
        </is>
      </c>
      <c r="D234" s="88" t="inlineStr">
        <is>
          <t>LOCK INNER (메탈 실버)
[COCOON]</t>
        </is>
      </c>
      <c r="E234" s="88" t="inlineStr">
        <is>
          <t>LOCK INNER</t>
        </is>
      </c>
      <c r="F234" s="90" t="inlineStr">
        <is>
          <t>O</t>
        </is>
      </c>
      <c r="G234" s="91" t="n"/>
      <c r="H234" s="92" t="n"/>
      <c r="I234" s="93" t="inlineStr">
        <is>
          <t>AR</t>
        </is>
      </c>
      <c r="J234" s="94" t="n"/>
      <c r="K234" s="95" t="n"/>
      <c r="L234" s="96" t="n"/>
      <c r="M234" s="97" t="inlineStr">
        <is>
          <t>O</t>
        </is>
      </c>
      <c r="N234" s="98" t="n"/>
      <c r="O234" s="99" t="n"/>
      <c r="P234" s="100" t="inlineStr">
        <is>
          <t>7-AR</t>
        </is>
      </c>
      <c r="Q234" s="102" t="inlineStr">
        <is>
          <t>천우</t>
        </is>
      </c>
      <c r="R234" s="110">
        <f>HYPERLINK("#'마스터_품목'!A420","→ 마스터 R420")</f>
        <v/>
      </c>
      <c r="S234" s="111" t="n">
        <v>420</v>
      </c>
      <c r="T234" s="111" t="inlineStr">
        <is>
          <t>마스터_품목</t>
        </is>
      </c>
    </row>
    <row r="235" ht="48" customHeight="1">
      <c r="A235" s="87" t="inlineStr">
        <is>
          <t>창고</t>
        </is>
      </c>
      <c r="B235" s="87" t="inlineStr">
        <is>
          <t>ABS 난연</t>
        </is>
      </c>
      <c r="C235" s="88" t="inlineStr">
        <is>
          <t>COCOON</t>
        </is>
      </c>
      <c r="D235" s="88" t="inlineStr">
        <is>
          <t>FRONT_S (18cm) (블랙 유광)
[COCOON]</t>
        </is>
      </c>
      <c r="E235" s="88" t="inlineStr">
        <is>
          <t>FRONT_S (18cm)</t>
        </is>
      </c>
      <c r="F235" s="90" t="inlineStr">
        <is>
          <t>O</t>
        </is>
      </c>
      <c r="G235" s="91" t="n"/>
      <c r="H235" s="92" t="n"/>
      <c r="I235" s="93" t="inlineStr">
        <is>
          <t>AR</t>
        </is>
      </c>
      <c r="J235" s="94" t="n"/>
      <c r="K235" s="95" t="n"/>
      <c r="L235" s="96" t="n"/>
      <c r="M235" s="97" t="inlineStr">
        <is>
          <t>O</t>
        </is>
      </c>
      <c r="N235" s="98" t="n"/>
      <c r="O235" s="99" t="n"/>
      <c r="P235" s="100" t="inlineStr">
        <is>
          <t>7-AR</t>
        </is>
      </c>
      <c r="Q235" s="102" t="inlineStr">
        <is>
          <t>천우</t>
        </is>
      </c>
      <c r="R235" s="110">
        <f>HYPERLINK("#'마스터_품목'!A447","→ 마스터 R447")</f>
        <v/>
      </c>
      <c r="S235" s="111" t="n">
        <v>447</v>
      </c>
      <c r="T235" s="111" t="inlineStr">
        <is>
          <t>마스터_품목</t>
        </is>
      </c>
    </row>
    <row r="236" ht="48" customHeight="1">
      <c r="A236" s="87" t="inlineStr">
        <is>
          <t>창고</t>
        </is>
      </c>
      <c r="B236" s="87" t="inlineStr">
        <is>
          <t>ABS 난연</t>
        </is>
      </c>
      <c r="C236" s="88" t="inlineStr">
        <is>
          <t>COCOON</t>
        </is>
      </c>
      <c r="D236" s="88" t="inlineStr">
        <is>
          <t>FRONT_L (20cm) (ABS 난연 블랙 + 블랙 유광)
[COCOON]</t>
        </is>
      </c>
      <c r="E236" s="88" t="inlineStr">
        <is>
          <t>FRONT_L (20cm)</t>
        </is>
      </c>
      <c r="F236" s="90" t="inlineStr">
        <is>
          <t>O</t>
        </is>
      </c>
      <c r="G236" s="91" t="n"/>
      <c r="H236" s="92" t="n"/>
      <c r="I236" s="93" t="inlineStr">
        <is>
          <t>AR</t>
        </is>
      </c>
      <c r="J236" s="94" t="n"/>
      <c r="K236" s="95" t="n"/>
      <c r="L236" s="96" t="n"/>
      <c r="M236" s="97" t="inlineStr">
        <is>
          <t>O</t>
        </is>
      </c>
      <c r="N236" s="98" t="n"/>
      <c r="O236" s="99" t="n"/>
      <c r="P236" s="100" t="inlineStr">
        <is>
          <t>7-AR</t>
        </is>
      </c>
      <c r="Q236" s="102" t="inlineStr">
        <is>
          <t>천우</t>
        </is>
      </c>
      <c r="R236" s="110">
        <f>HYPERLINK("#'마스터_품목'!A450","→ 마스터 R450")</f>
        <v/>
      </c>
      <c r="S236" s="111" t="n">
        <v>450</v>
      </c>
      <c r="T236" s="111" t="inlineStr">
        <is>
          <t>마스터_품목</t>
        </is>
      </c>
    </row>
    <row r="237" ht="48" customHeight="1">
      <c r="A237" s="87" t="inlineStr">
        <is>
          <t>창고</t>
        </is>
      </c>
      <c r="B237" s="87" t="inlineStr">
        <is>
          <t>ABS 난연</t>
        </is>
      </c>
      <c r="C237" s="88" t="inlineStr">
        <is>
          <t>COCOON</t>
        </is>
      </c>
      <c r="D237" s="88" t="inlineStr">
        <is>
          <t>FRONT_CAP (블랙 유광)
[COCOON]</t>
        </is>
      </c>
      <c r="E237" s="88" t="inlineStr">
        <is>
          <t>FRONT_CAP</t>
        </is>
      </c>
      <c r="F237" s="90" t="inlineStr">
        <is>
          <t>O</t>
        </is>
      </c>
      <c r="G237" s="91" t="n"/>
      <c r="H237" s="92" t="n"/>
      <c r="I237" s="93" t="inlineStr">
        <is>
          <t>AR</t>
        </is>
      </c>
      <c r="J237" s="94" t="n"/>
      <c r="K237" s="95" t="n"/>
      <c r="L237" s="96" t="n"/>
      <c r="M237" s="97" t="inlineStr">
        <is>
          <t>O</t>
        </is>
      </c>
      <c r="N237" s="98" t="n"/>
      <c r="O237" s="99" t="n"/>
      <c r="P237" s="100" t="inlineStr">
        <is>
          <t>7-AR</t>
        </is>
      </c>
      <c r="Q237" s="102" t="inlineStr">
        <is>
          <t>천우</t>
        </is>
      </c>
      <c r="R237" s="110">
        <f>HYPERLINK("#'마스터_품목'!A451","→ 마스터 R451")</f>
        <v/>
      </c>
      <c r="S237" s="111" t="n">
        <v>451</v>
      </c>
      <c r="T237" s="111" t="inlineStr">
        <is>
          <t>마스터_품목</t>
        </is>
      </c>
    </row>
    <row r="238" ht="48" customHeight="1">
      <c r="A238" s="87" t="inlineStr">
        <is>
          <t>창고</t>
        </is>
      </c>
      <c r="B238" s="87" t="inlineStr">
        <is>
          <t>ABS 난연</t>
        </is>
      </c>
      <c r="C238" s="88" t="inlineStr">
        <is>
          <t>COCOON</t>
        </is>
      </c>
      <c r="D238" s="88" t="inlineStr">
        <is>
          <t>에이밍 앞 사출 (블랙 유광)
[COCOON]</t>
        </is>
      </c>
      <c r="E238" s="88" t="inlineStr">
        <is>
          <t>사각 앞사출</t>
        </is>
      </c>
      <c r="F238" s="90" t="inlineStr">
        <is>
          <t>O</t>
        </is>
      </c>
      <c r="G238" s="91" t="n"/>
      <c r="H238" s="92" t="n"/>
      <c r="I238" s="93" t="inlineStr">
        <is>
          <t>AR</t>
        </is>
      </c>
      <c r="J238" s="94" t="n"/>
      <c r="K238" s="95" t="n"/>
      <c r="L238" s="96" t="n"/>
      <c r="M238" s="97" t="inlineStr">
        <is>
          <t>O</t>
        </is>
      </c>
      <c r="N238" s="98" t="n"/>
      <c r="O238" s="99" t="n"/>
      <c r="P238" s="100" t="inlineStr">
        <is>
          <t>7-AR</t>
        </is>
      </c>
      <c r="Q238" s="102" t="inlineStr">
        <is>
          <t>천우</t>
        </is>
      </c>
      <c r="R238" s="110">
        <f>HYPERLINK("#'마스터_품목'!A485","→ 마스터 R485")</f>
        <v/>
      </c>
      <c r="S238" s="111" t="n">
        <v>485</v>
      </c>
      <c r="T238" s="111" t="inlineStr">
        <is>
          <t>마스터_품목</t>
        </is>
      </c>
    </row>
    <row r="239" ht="48" customHeight="1">
      <c r="A239" s="87" t="inlineStr">
        <is>
          <t>창고</t>
        </is>
      </c>
      <c r="B239" s="87" t="inlineStr">
        <is>
          <t>ABS 난연</t>
        </is>
      </c>
      <c r="C239" s="88" t="inlineStr">
        <is>
          <t>COCOON</t>
        </is>
      </c>
      <c r="D239" s="88" t="inlineStr">
        <is>
          <t>CONE GUIDE_S (18cm) (ABS 난연 화이트)
[COCOON]</t>
        </is>
      </c>
      <c r="E239" s="88" t="inlineStr">
        <is>
          <t>CONE GUIDE_S (18cm)</t>
        </is>
      </c>
      <c r="F239" s="90" t="inlineStr">
        <is>
          <t>O</t>
        </is>
      </c>
      <c r="G239" s="91" t="n"/>
      <c r="H239" s="92" t="n"/>
      <c r="I239" s="93" t="inlineStr">
        <is>
          <t>AR</t>
        </is>
      </c>
      <c r="J239" s="94" t="n"/>
      <c r="K239" s="95" t="n"/>
      <c r="L239" s="96" t="n"/>
      <c r="M239" s="97" t="inlineStr">
        <is>
          <t>O</t>
        </is>
      </c>
      <c r="N239" s="98" t="n"/>
      <c r="O239" s="99" t="n"/>
      <c r="P239" s="100" t="inlineStr">
        <is>
          <t>7-AR</t>
        </is>
      </c>
      <c r="Q239" s="102" t="inlineStr">
        <is>
          <t>천우</t>
        </is>
      </c>
      <c r="R239" s="110">
        <f>HYPERLINK("#'마스터_품목'!A448","→ 마스터 R448")</f>
        <v/>
      </c>
      <c r="S239" s="111" t="n">
        <v>448</v>
      </c>
      <c r="T239" s="111" t="inlineStr">
        <is>
          <t>마스터_품목</t>
        </is>
      </c>
    </row>
    <row r="240" ht="48" customHeight="1">
      <c r="A240" s="87" t="inlineStr">
        <is>
          <t>창고</t>
        </is>
      </c>
      <c r="B240" s="87" t="inlineStr">
        <is>
          <t>ABS 난연</t>
        </is>
      </c>
      <c r="C240" s="88" t="inlineStr">
        <is>
          <t>COCOON</t>
        </is>
      </c>
      <c r="D240" s="88" t="inlineStr">
        <is>
          <t>CONE GUIDE_L (20cm) (ABS 난연 화이트)
[COCOON]</t>
        </is>
      </c>
      <c r="E240" s="88" t="inlineStr">
        <is>
          <t>CONE GUIDE_L (20cm)</t>
        </is>
      </c>
      <c r="F240" s="90" t="inlineStr">
        <is>
          <t>O</t>
        </is>
      </c>
      <c r="G240" s="91" t="n"/>
      <c r="H240" s="92" t="n"/>
      <c r="I240" s="93" t="inlineStr">
        <is>
          <t>AR</t>
        </is>
      </c>
      <c r="J240" s="94" t="n"/>
      <c r="K240" s="95" t="n"/>
      <c r="L240" s="96" t="n"/>
      <c r="M240" s="97" t="inlineStr">
        <is>
          <t>O</t>
        </is>
      </c>
      <c r="N240" s="98" t="n"/>
      <c r="O240" s="99" t="n"/>
      <c r="P240" s="100" t="inlineStr">
        <is>
          <t>7-AR</t>
        </is>
      </c>
      <c r="Q240" s="102" t="inlineStr">
        <is>
          <t>천우</t>
        </is>
      </c>
      <c r="R240" s="110">
        <f>HYPERLINK("#'마스터_품목'!A449","→ 마스터 R449")</f>
        <v/>
      </c>
      <c r="S240" s="111" t="n">
        <v>449</v>
      </c>
      <c r="T240" s="111" t="inlineStr">
        <is>
          <t>마스터_품목</t>
        </is>
      </c>
    </row>
    <row r="241" ht="48" customHeight="1">
      <c r="A241" s="87" t="inlineStr">
        <is>
          <t>창고</t>
        </is>
      </c>
      <c r="B241" s="87" t="inlineStr">
        <is>
          <t>ABS 난연</t>
        </is>
      </c>
      <c r="C241" s="88" t="inlineStr">
        <is>
          <t>COCOON</t>
        </is>
      </c>
      <c r="D241" s="88" t="inlineStr">
        <is>
          <t>HAND BODY (메탈 실버 유광)
[COCOON]</t>
        </is>
      </c>
      <c r="E241" s="88" t="inlineStr">
        <is>
          <t>HAND BODY 사출</t>
        </is>
      </c>
      <c r="F241" s="90" t="inlineStr">
        <is>
          <t>O</t>
        </is>
      </c>
      <c r="G241" s="91" t="n"/>
      <c r="H241" s="92" t="n"/>
      <c r="I241" s="93" t="inlineStr">
        <is>
          <t>AR</t>
        </is>
      </c>
      <c r="J241" s="94" t="n"/>
      <c r="K241" s="95" t="n"/>
      <c r="L241" s="96" t="n"/>
      <c r="M241" s="97" t="inlineStr">
        <is>
          <t>O</t>
        </is>
      </c>
      <c r="N241" s="98" t="n"/>
      <c r="O241" s="99" t="n"/>
      <c r="P241" s="100" t="inlineStr">
        <is>
          <t>7-AR</t>
        </is>
      </c>
      <c r="Q241" s="102" t="inlineStr">
        <is>
          <t>천우</t>
        </is>
      </c>
      <c r="R241" s="110">
        <f>HYPERLINK("#'마스터_품목'!A421","→ 마스터 R421")</f>
        <v/>
      </c>
      <c r="S241" s="111" t="n">
        <v>421</v>
      </c>
      <c r="T241" s="111" t="inlineStr">
        <is>
          <t>마스터_품목</t>
        </is>
      </c>
    </row>
    <row r="242" ht="48" customHeight="1">
      <c r="A242" s="87" t="inlineStr">
        <is>
          <t>창고</t>
        </is>
      </c>
      <c r="B242" s="87" t="inlineStr">
        <is>
          <t>ABS 난연</t>
        </is>
      </c>
      <c r="C242" s="88" t="inlineStr">
        <is>
          <t>COCOON</t>
        </is>
      </c>
      <c r="D242" s="88" t="inlineStr">
        <is>
          <t>HAND TOP COVER (메탈 실버)
[COCOON]</t>
        </is>
      </c>
      <c r="E242" s="88" t="inlineStr">
        <is>
          <t>HAND TOP COVER 사출</t>
        </is>
      </c>
      <c r="F242" s="90" t="inlineStr">
        <is>
          <t>O</t>
        </is>
      </c>
      <c r="G242" s="91" t="n"/>
      <c r="H242" s="92" t="n"/>
      <c r="I242" s="93" t="inlineStr">
        <is>
          <t>AR</t>
        </is>
      </c>
      <c r="J242" s="94" t="n"/>
      <c r="K242" s="95" t="n"/>
      <c r="L242" s="96" t="n"/>
      <c r="M242" s="97" t="inlineStr">
        <is>
          <t>O</t>
        </is>
      </c>
      <c r="N242" s="98" t="n"/>
      <c r="O242" s="99" t="n"/>
      <c r="P242" s="100" t="inlineStr">
        <is>
          <t>7-AR</t>
        </is>
      </c>
      <c r="Q242" s="102" t="inlineStr">
        <is>
          <t>천우</t>
        </is>
      </c>
      <c r="R242" s="110">
        <f>HYPERLINK("#'마스터_품목'!A422","→ 마스터 R422")</f>
        <v/>
      </c>
      <c r="S242" s="111" t="n">
        <v>422</v>
      </c>
      <c r="T242" s="111" t="inlineStr">
        <is>
          <t>마스터_품목</t>
        </is>
      </c>
    </row>
    <row r="243" ht="48" customHeight="1">
      <c r="A243" s="87" t="inlineStr">
        <is>
          <t>창고</t>
        </is>
      </c>
      <c r="B243" s="87" t="inlineStr">
        <is>
          <t>ABS 난연</t>
        </is>
      </c>
      <c r="C243" s="88" t="inlineStr">
        <is>
          <t>COCOON</t>
        </is>
      </c>
      <c r="D243" s="88" t="inlineStr">
        <is>
          <t>BAT BOTTOM (블랙 유광)
[COCOON]</t>
        </is>
      </c>
      <c r="E243" s="88" t="inlineStr">
        <is>
          <t>BAT BOTTOM</t>
        </is>
      </c>
      <c r="F243" s="90" t="inlineStr">
        <is>
          <t>O</t>
        </is>
      </c>
      <c r="G243" s="91" t="n"/>
      <c r="H243" s="92" t="n"/>
      <c r="I243" s="93" t="inlineStr">
        <is>
          <t>AR</t>
        </is>
      </c>
      <c r="J243" s="94" t="n"/>
      <c r="K243" s="95" t="n"/>
      <c r="L243" s="96" t="n"/>
      <c r="M243" s="97" t="inlineStr">
        <is>
          <t>O</t>
        </is>
      </c>
      <c r="N243" s="98" t="n"/>
      <c r="O243" s="99" t="n"/>
      <c r="P243" s="100" t="inlineStr">
        <is>
          <t>7-AR</t>
        </is>
      </c>
      <c r="Q243" s="102" t="inlineStr">
        <is>
          <t>천우</t>
        </is>
      </c>
      <c r="R243" s="110">
        <f>HYPERLINK("#'마스터_품목'!A427","→ 마스터 R427")</f>
        <v/>
      </c>
      <c r="S243" s="111" t="n">
        <v>427</v>
      </c>
      <c r="T243" s="111" t="inlineStr">
        <is>
          <t>마스터_품목</t>
        </is>
      </c>
    </row>
    <row r="244" ht="48" customHeight="1">
      <c r="A244" s="87" t="inlineStr">
        <is>
          <t>창고</t>
        </is>
      </c>
      <c r="B244" s="87" t="inlineStr">
        <is>
          <t>ABS 난연</t>
        </is>
      </c>
      <c r="C244" s="88" t="inlineStr">
        <is>
          <t>COCOON</t>
        </is>
      </c>
      <c r="D244" s="88" t="inlineStr">
        <is>
          <t>CRADLE BODY BUTTON X (ABS 난연 블랙 + 블랙 유광)
[COCOON]</t>
        </is>
      </c>
      <c r="E244" s="88" t="inlineStr">
        <is>
          <t>CRADLE BODY 사출</t>
        </is>
      </c>
      <c r="F244" s="90" t="inlineStr">
        <is>
          <t>O</t>
        </is>
      </c>
      <c r="G244" s="91" t="n"/>
      <c r="H244" s="92" t="n"/>
      <c r="I244" s="93" t="inlineStr">
        <is>
          <t>AR</t>
        </is>
      </c>
      <c r="J244" s="94" t="n"/>
      <c r="K244" s="95" t="n"/>
      <c r="L244" s="96" t="n"/>
      <c r="M244" s="97" t="inlineStr">
        <is>
          <t>O</t>
        </is>
      </c>
      <c r="N244" s="98" t="n"/>
      <c r="O244" s="99" t="n"/>
      <c r="P244" s="100" t="inlineStr">
        <is>
          <t>7-AR</t>
        </is>
      </c>
      <c r="Q244" s="102" t="inlineStr">
        <is>
          <t>천우</t>
        </is>
      </c>
      <c r="R244" s="110">
        <f>HYPERLINK("#'마스터_품목'!A431","→ 마스터 R431")</f>
        <v/>
      </c>
      <c r="S244" s="111" t="n">
        <v>431</v>
      </c>
      <c r="T244" s="111" t="inlineStr">
        <is>
          <t>마스터_품목</t>
        </is>
      </c>
    </row>
    <row r="245" ht="48" customHeight="1">
      <c r="A245" s="87" t="inlineStr">
        <is>
          <t>창고</t>
        </is>
      </c>
      <c r="B245" s="87" t="inlineStr">
        <is>
          <t>ABS 난연</t>
        </is>
      </c>
      <c r="C245" s="88" t="inlineStr">
        <is>
          <t>COCOON</t>
        </is>
      </c>
      <c r="D245" s="88" t="inlineStr">
        <is>
          <t>CRADLE BOTTOM (블랙 유광)
[COCOON]</t>
        </is>
      </c>
      <c r="E245" s="88" t="inlineStr">
        <is>
          <t>CRADLE BOTTOM 사출</t>
        </is>
      </c>
      <c r="F245" s="90" t="inlineStr">
        <is>
          <t>O</t>
        </is>
      </c>
      <c r="G245" s="91" t="n"/>
      <c r="H245" s="92" t="n"/>
      <c r="I245" s="93" t="inlineStr">
        <is>
          <t>AR</t>
        </is>
      </c>
      <c r="J245" s="94" t="n"/>
      <c r="K245" s="95" t="n"/>
      <c r="L245" s="96" t="n"/>
      <c r="M245" s="97" t="inlineStr">
        <is>
          <t>O</t>
        </is>
      </c>
      <c r="N245" s="98" t="n"/>
      <c r="O245" s="99" t="n"/>
      <c r="P245" s="100" t="inlineStr">
        <is>
          <t>7-AR</t>
        </is>
      </c>
      <c r="Q245" s="102" t="inlineStr">
        <is>
          <t>천우</t>
        </is>
      </c>
      <c r="R245" s="110">
        <f>HYPERLINK("#'마스터_품목'!A432","→ 마스터 R432")</f>
        <v/>
      </c>
      <c r="S245" s="111" t="n">
        <v>432</v>
      </c>
      <c r="T245" s="111" t="inlineStr">
        <is>
          <t>마스터_품목</t>
        </is>
      </c>
    </row>
    <row r="246" ht="48" customHeight="1">
      <c r="A246" s="87" t="inlineStr">
        <is>
          <t>창고</t>
        </is>
      </c>
      <c r="B246" s="87" t="inlineStr">
        <is>
          <t>도금용 ABS</t>
        </is>
      </c>
      <c r="C246" s="88" t="inlineStr">
        <is>
          <t>COCOON</t>
        </is>
      </c>
      <c r="D246" s="88" t="inlineStr">
        <is>
          <t>CRADLE FRAME (도금용 사출 + 크롬 도금)
[COCOON]</t>
        </is>
      </c>
      <c r="E246" s="88" t="inlineStr">
        <is>
          <t>CRADLE FRAME</t>
        </is>
      </c>
      <c r="F246" s="90" t="inlineStr">
        <is>
          <t>O</t>
        </is>
      </c>
      <c r="G246" s="91" t="n"/>
      <c r="H246" s="92" t="n"/>
      <c r="I246" s="93" t="inlineStr">
        <is>
          <t>AR</t>
        </is>
      </c>
      <c r="J246" s="94" t="n"/>
      <c r="K246" s="95" t="n"/>
      <c r="L246" s="96" t="n"/>
      <c r="M246" s="97" t="inlineStr">
        <is>
          <t>O</t>
        </is>
      </c>
      <c r="N246" s="98" t="n"/>
      <c r="O246" s="99" t="n"/>
      <c r="P246" s="100" t="inlineStr">
        <is>
          <t>7-AR</t>
        </is>
      </c>
      <c r="Q246" s="102" t="inlineStr">
        <is>
          <t>천우</t>
        </is>
      </c>
      <c r="R246" s="110">
        <f>HYPERLINK("#'마스터_품목'!A433","→ 마스터 R433")</f>
        <v/>
      </c>
      <c r="S246" s="111" t="n">
        <v>433</v>
      </c>
      <c r="T246" s="111" t="inlineStr">
        <is>
          <t>마스터_품목</t>
        </is>
      </c>
    </row>
    <row r="247" ht="48" customHeight="1">
      <c r="A247" s="87" t="inlineStr">
        <is>
          <t>창고</t>
        </is>
      </c>
      <c r="B247" s="87" t="inlineStr">
        <is>
          <t>ABS 난연</t>
        </is>
      </c>
      <c r="C247" s="88" t="inlineStr">
        <is>
          <t>COCOON</t>
        </is>
      </c>
      <c r="D247" s="88" t="inlineStr">
        <is>
          <t>SHOT BUTTON (ABS 난연 화이트 + 오렌지 유광)
[COCOON]</t>
        </is>
      </c>
      <c r="E247" s="88" t="inlineStr">
        <is>
          <t>SHOT BUTTON 사출</t>
        </is>
      </c>
      <c r="F247" s="90" t="inlineStr">
        <is>
          <t>O</t>
        </is>
      </c>
      <c r="G247" s="91" t="n"/>
      <c r="H247" s="92" t="n"/>
      <c r="I247" s="93" t="inlineStr">
        <is>
          <t>AR</t>
        </is>
      </c>
      <c r="J247" s="94" t="n"/>
      <c r="K247" s="95" t="n"/>
      <c r="L247" s="96" t="n"/>
      <c r="M247" s="97" t="inlineStr">
        <is>
          <t>O</t>
        </is>
      </c>
      <c r="N247" s="98" t="n"/>
      <c r="O247" s="99" t="n"/>
      <c r="P247" s="100" t="inlineStr">
        <is>
          <t>7-AR</t>
        </is>
      </c>
      <c r="Q247" s="115" t="inlineStr">
        <is>
          <t>천우</t>
        </is>
      </c>
      <c r="R247" s="110">
        <f>HYPERLINK("#'마스터_품목'!A423","→ 마스터 R423")</f>
        <v/>
      </c>
      <c r="S247" s="111" t="n">
        <v>423</v>
      </c>
      <c r="T247" s="111" t="inlineStr">
        <is>
          <t>마스터_품목</t>
        </is>
      </c>
    </row>
    <row r="248" ht="48" customHeight="1">
      <c r="A248" s="87" t="inlineStr">
        <is>
          <t>창고</t>
        </is>
      </c>
      <c r="B248" s="87" t="inlineStr">
        <is>
          <t>ABS 난연</t>
        </is>
      </c>
      <c r="C248" s="88" t="inlineStr">
        <is>
          <t>COCOON</t>
        </is>
      </c>
      <c r="D248" s="88" t="inlineStr">
        <is>
          <t>SHOT PCB GUIDE (ABS 난연 화이트)
[COCOON]</t>
        </is>
      </c>
      <c r="E248" s="88" t="inlineStr">
        <is>
          <t>SHOT PCB GUIDE 사출</t>
        </is>
      </c>
      <c r="F248" s="90" t="inlineStr">
        <is>
          <t>O</t>
        </is>
      </c>
      <c r="G248" s="91" t="n"/>
      <c r="H248" s="92" t="n"/>
      <c r="I248" s="93" t="inlineStr">
        <is>
          <t>AR</t>
        </is>
      </c>
      <c r="J248" s="94" t="n"/>
      <c r="K248" s="95" t="n"/>
      <c r="L248" s="96" t="n"/>
      <c r="M248" s="97" t="inlineStr">
        <is>
          <t>O</t>
        </is>
      </c>
      <c r="N248" s="98" t="n"/>
      <c r="O248" s="99" t="n"/>
      <c r="P248" s="100" t="inlineStr">
        <is>
          <t>7-AR</t>
        </is>
      </c>
      <c r="Q248" s="115" t="inlineStr">
        <is>
          <t>천우</t>
        </is>
      </c>
      <c r="R248" s="110">
        <f>HYPERLINK("#'마스터_품목'!A424","→ 마스터 R424")</f>
        <v/>
      </c>
      <c r="S248" s="111" t="n">
        <v>424</v>
      </c>
      <c r="T248" s="111" t="inlineStr">
        <is>
          <t>마스터_품목</t>
        </is>
      </c>
    </row>
    <row r="249" ht="48" customHeight="1">
      <c r="A249" s="87" t="inlineStr">
        <is>
          <t>창고</t>
        </is>
      </c>
      <c r="B249" s="87" t="inlineStr">
        <is>
          <t>ABS 난연</t>
        </is>
      </c>
      <c r="C249" s="88" t="inlineStr">
        <is>
          <t>COCOON</t>
        </is>
      </c>
      <c r="D249" s="88" t="inlineStr">
        <is>
          <t>SLIDE SWITCH (ABS 난연 화이트 + 레드 유광)
[COCOON]</t>
        </is>
      </c>
      <c r="E249" s="88" t="inlineStr">
        <is>
          <t>SLIDE SWITCH 사출</t>
        </is>
      </c>
      <c r="F249" s="90" t="inlineStr">
        <is>
          <t>O</t>
        </is>
      </c>
      <c r="G249" s="91" t="n"/>
      <c r="H249" s="92" t="n"/>
      <c r="I249" s="93" t="inlineStr">
        <is>
          <t>AR</t>
        </is>
      </c>
      <c r="J249" s="94" t="n"/>
      <c r="K249" s="95" t="n"/>
      <c r="L249" s="96" t="n"/>
      <c r="M249" s="97" t="inlineStr">
        <is>
          <t>O</t>
        </is>
      </c>
      <c r="N249" s="98" t="n"/>
      <c r="O249" s="99" t="n"/>
      <c r="P249" s="100" t="inlineStr">
        <is>
          <t>7-AR</t>
        </is>
      </c>
      <c r="Q249" s="102" t="inlineStr">
        <is>
          <t>천우</t>
        </is>
      </c>
      <c r="R249" s="110">
        <f>HYPERLINK("#'마스터_품목'!A425","→ 마스터 R425")</f>
        <v/>
      </c>
      <c r="S249" s="111" t="n">
        <v>425</v>
      </c>
      <c r="T249" s="111" t="inlineStr">
        <is>
          <t>마스터_품목</t>
        </is>
      </c>
    </row>
    <row r="250" ht="48" customHeight="1">
      <c r="A250" s="87" t="inlineStr">
        <is>
          <t>창고</t>
        </is>
      </c>
      <c r="B250" s="87" t="inlineStr">
        <is>
          <t>ABS 난연</t>
        </is>
      </c>
      <c r="C250" s="88" t="inlineStr">
        <is>
          <t>DX3000, ADX6000,SOLO</t>
        </is>
      </c>
      <c r="D250" s="88" t="inlineStr">
        <is>
          <t>에이밍 바디 뭉치 (ø33*19.3)
[DX3000, ADX6000,SOLO]</t>
        </is>
      </c>
      <c r="E250" s="88" t="inlineStr">
        <is>
          <t>에이밍 원형 LED GUIDE</t>
        </is>
      </c>
      <c r="F250" s="90" t="inlineStr">
        <is>
          <t>O</t>
        </is>
      </c>
      <c r="G250" s="91" t="n"/>
      <c r="H250" s="92" t="n"/>
      <c r="I250" s="93" t="inlineStr">
        <is>
          <t>AR</t>
        </is>
      </c>
      <c r="J250" s="94" t="inlineStr">
        <is>
          <t>O</t>
        </is>
      </c>
      <c r="K250" s="95" t="n"/>
      <c r="L250" s="96" t="inlineStr">
        <is>
          <t>O</t>
        </is>
      </c>
      <c r="M250" s="97" t="n"/>
      <c r="N250" s="98" t="inlineStr">
        <is>
          <t>O</t>
        </is>
      </c>
      <c r="O250" s="99" t="n"/>
      <c r="P250" s="100" t="inlineStr">
        <is>
          <t>368-AR</t>
        </is>
      </c>
      <c r="Q250" s="102" t="inlineStr">
        <is>
          <t>오비스코리아</t>
        </is>
      </c>
      <c r="R250" s="110">
        <f>HYPERLINK("#'마스터_품목'!A238","→ 마스터 R238")</f>
        <v/>
      </c>
      <c r="S250" s="111" t="n">
        <v>238</v>
      </c>
      <c r="T250" s="111" t="inlineStr">
        <is>
          <t>마스터_품목</t>
        </is>
      </c>
    </row>
    <row r="251" ht="48" customHeight="1">
      <c r="A251" s="87" t="inlineStr">
        <is>
          <t>창고</t>
        </is>
      </c>
      <c r="B251" s="87" t="inlineStr">
        <is>
          <t>아크릴</t>
        </is>
      </c>
      <c r="C251" s="88" t="inlineStr">
        <is>
          <t>DX3000, ADX6000,SOLO</t>
        </is>
      </c>
      <c r="D251" s="88" t="inlineStr">
        <is>
          <t>아크릴 은경 (아크릴 40파이)
[DX3000, ADX6000,SOLO]</t>
        </is>
      </c>
      <c r="E251" s="88" t="inlineStr">
        <is>
          <t>아크릴 은경 40∮</t>
        </is>
      </c>
      <c r="F251" s="90" t="inlineStr">
        <is>
          <t>O</t>
        </is>
      </c>
      <c r="G251" s="91" t="n"/>
      <c r="H251" s="92" t="n"/>
      <c r="I251" s="93" t="inlineStr">
        <is>
          <t>AR</t>
        </is>
      </c>
      <c r="J251" s="94" t="inlineStr">
        <is>
          <t>O</t>
        </is>
      </c>
      <c r="K251" s="95" t="n"/>
      <c r="L251" s="96" t="inlineStr">
        <is>
          <t>O</t>
        </is>
      </c>
      <c r="M251" s="97" t="n"/>
      <c r="N251" s="98" t="inlineStr">
        <is>
          <t>O</t>
        </is>
      </c>
      <c r="O251" s="99" t="n"/>
      <c r="P251" s="100" t="inlineStr">
        <is>
          <t>368-AR</t>
        </is>
      </c>
      <c r="Q251" s="102" t="inlineStr">
        <is>
          <t>명동아크릴</t>
        </is>
      </c>
      <c r="R251" s="110">
        <f>HYPERLINK("#'마스터_품목'!A235","→ 마스터 R235")</f>
        <v/>
      </c>
      <c r="S251" s="111" t="n">
        <v>235</v>
      </c>
      <c r="T251" s="111" t="inlineStr">
        <is>
          <t>마스터_품목</t>
        </is>
      </c>
    </row>
    <row r="252" ht="48" customHeight="1">
      <c r="A252" s="87" t="inlineStr">
        <is>
          <t>창고</t>
        </is>
      </c>
      <c r="B252" s="87" t="inlineStr">
        <is>
          <t>PCB</t>
        </is>
      </c>
      <c r="C252" s="88" t="inlineStr">
        <is>
          <t>DX3000, ADX6000,SOLO</t>
        </is>
      </c>
      <c r="D252" s="88" t="inlineStr">
        <is>
          <t>에이밍 LED 보드 (LED PCB)
[DX3000, ADX6000,SOLO]</t>
        </is>
      </c>
      <c r="E252" s="88" t="inlineStr">
        <is>
          <t>에이밍 LED BD</t>
        </is>
      </c>
      <c r="F252" s="90" t="inlineStr">
        <is>
          <t>O</t>
        </is>
      </c>
      <c r="G252" s="91" t="n"/>
      <c r="H252" s="92" t="n"/>
      <c r="I252" s="93" t="inlineStr">
        <is>
          <t>AR</t>
        </is>
      </c>
      <c r="J252" s="94" t="inlineStr">
        <is>
          <t>O</t>
        </is>
      </c>
      <c r="K252" s="95" t="n"/>
      <c r="L252" s="96" t="inlineStr">
        <is>
          <t>O</t>
        </is>
      </c>
      <c r="M252" s="97" t="n"/>
      <c r="N252" s="98" t="inlineStr">
        <is>
          <t>O</t>
        </is>
      </c>
      <c r="O252" s="99" t="n"/>
      <c r="P252" s="100" t="inlineStr">
        <is>
          <t>368-AR</t>
        </is>
      </c>
      <c r="Q252" s="102" t="inlineStr">
        <is>
          <t>HLP</t>
        </is>
      </c>
      <c r="R252" s="110">
        <f>HYPERLINK("#'마스터_품목'!A237","→ 마스터 R237")</f>
        <v/>
      </c>
      <c r="S252" s="111" t="n">
        <v>237</v>
      </c>
      <c r="T252" s="111" t="inlineStr">
        <is>
          <t>마스터_품목</t>
        </is>
      </c>
    </row>
    <row r="253" ht="48" customHeight="1">
      <c r="A253" s="87" t="inlineStr">
        <is>
          <t>창고</t>
        </is>
      </c>
      <c r="B253" s="87" t="inlineStr">
        <is>
          <t>AL</t>
        </is>
      </c>
      <c r="C253" s="88" t="inlineStr">
        <is>
          <t>DX3000, ADX6000,SOLO</t>
        </is>
      </c>
      <c r="D253" s="88" t="inlineStr">
        <is>
          <t>LED PCB 방열 가이드 (흑색 다이캐스팅)
[DX3000, ADX6000,SOLO]</t>
        </is>
      </c>
      <c r="E253" s="88" t="inlineStr">
        <is>
          <t>에이밍 알루미늄 플레이트</t>
        </is>
      </c>
      <c r="F253" s="90" t="inlineStr">
        <is>
          <t>O</t>
        </is>
      </c>
      <c r="G253" s="91" t="n"/>
      <c r="H253" s="92" t="n"/>
      <c r="I253" s="93" t="inlineStr">
        <is>
          <t>AR</t>
        </is>
      </c>
      <c r="J253" s="94" t="inlineStr">
        <is>
          <t>O</t>
        </is>
      </c>
      <c r="K253" s="95" t="n"/>
      <c r="L253" s="96" t="inlineStr">
        <is>
          <t>O</t>
        </is>
      </c>
      <c r="M253" s="97" t="n"/>
      <c r="N253" s="98" t="inlineStr">
        <is>
          <t>O</t>
        </is>
      </c>
      <c r="O253" s="99" t="n"/>
      <c r="P253" s="100" t="inlineStr">
        <is>
          <t>368-AR</t>
        </is>
      </c>
      <c r="Q253" s="102" t="inlineStr">
        <is>
          <t>㈜쿠가</t>
        </is>
      </c>
      <c r="R253" s="110">
        <f>HYPERLINK("#'마스터_품목'!A236","→ 마스터 R236")</f>
        <v/>
      </c>
      <c r="S253" s="111" t="n">
        <v>236</v>
      </c>
      <c r="T253" s="111" t="inlineStr">
        <is>
          <t>마스터_품목</t>
        </is>
      </c>
    </row>
    <row r="254" ht="48" customHeight="1">
      <c r="A254" s="87" t="inlineStr">
        <is>
          <t>창고</t>
        </is>
      </c>
      <c r="B254" s="87" t="inlineStr">
        <is>
          <t>ABS 난연</t>
        </is>
      </c>
      <c r="C254" s="88" t="inlineStr">
        <is>
          <t>COCOON</t>
        </is>
      </c>
      <c r="D254" s="88" t="inlineStr">
        <is>
          <t>SLIDE CAP (ABS 난연 화이트 + 레드 유광)
[COCOON]</t>
        </is>
      </c>
      <c r="E254" s="88" t="inlineStr">
        <is>
          <t>SLIDE CAP</t>
        </is>
      </c>
      <c r="F254" s="90" t="inlineStr">
        <is>
          <t>O</t>
        </is>
      </c>
      <c r="G254" s="91" t="n"/>
      <c r="H254" s="92" t="n"/>
      <c r="I254" s="93" t="inlineStr">
        <is>
          <t>AR</t>
        </is>
      </c>
      <c r="J254" s="94" t="n"/>
      <c r="K254" s="95" t="n"/>
      <c r="L254" s="96" t="n"/>
      <c r="M254" s="97" t="inlineStr">
        <is>
          <t>O</t>
        </is>
      </c>
      <c r="N254" s="98" t="n"/>
      <c r="O254" s="99" t="n"/>
      <c r="P254" s="100" t="inlineStr">
        <is>
          <t>7-AR</t>
        </is>
      </c>
      <c r="Q254" s="102" t="inlineStr">
        <is>
          <t>천우</t>
        </is>
      </c>
      <c r="R254" s="110">
        <f>HYPERLINK("#'마스터_품목'!A426","→ 마스터 R426")</f>
        <v/>
      </c>
      <c r="S254" s="111" t="n">
        <v>426</v>
      </c>
      <c r="T254" s="111" t="inlineStr">
        <is>
          <t>마스터_품목</t>
        </is>
      </c>
    </row>
    <row r="255" ht="48" customHeight="1">
      <c r="A255" s="87" t="inlineStr">
        <is>
          <t>창고</t>
        </is>
      </c>
      <c r="B255" s="87" t="inlineStr">
        <is>
          <t>ABS 난연</t>
        </is>
      </c>
      <c r="C255" s="88" t="inlineStr">
        <is>
          <t>COCOON</t>
        </is>
      </c>
      <c r="D255" s="88" t="inlineStr">
        <is>
          <t>GER GUIDE (ABS 난연 화이트)
[COCOON]</t>
        </is>
      </c>
      <c r="E255" s="88" t="inlineStr">
        <is>
          <t>GER GUIDE</t>
        </is>
      </c>
      <c r="F255" s="90" t="inlineStr">
        <is>
          <t>O</t>
        </is>
      </c>
      <c r="G255" s="91" t="n"/>
      <c r="H255" s="92" t="n"/>
      <c r="I255" s="93" t="inlineStr">
        <is>
          <t>AR</t>
        </is>
      </c>
      <c r="J255" s="94" t="n"/>
      <c r="K255" s="95" t="n"/>
      <c r="L255" s="96" t="n"/>
      <c r="M255" s="97" t="inlineStr">
        <is>
          <t>O</t>
        </is>
      </c>
      <c r="N255" s="98" t="n"/>
      <c r="O255" s="99" t="n"/>
      <c r="P255" s="100" t="inlineStr">
        <is>
          <t>7-AR</t>
        </is>
      </c>
      <c r="Q255" s="102" t="inlineStr">
        <is>
          <t>천우</t>
        </is>
      </c>
      <c r="R255" s="110">
        <f>HYPERLINK("#'마스터_품목'!A446","→ 마스터 R446")</f>
        <v/>
      </c>
      <c r="S255" s="111" t="n">
        <v>446</v>
      </c>
      <c r="T255" s="111" t="inlineStr">
        <is>
          <t>마스터_품목</t>
        </is>
      </c>
    </row>
    <row r="256" ht="48" customHeight="1">
      <c r="A256" s="87" t="inlineStr">
        <is>
          <t>창고</t>
        </is>
      </c>
      <c r="B256" s="87" t="inlineStr">
        <is>
          <t>ABS 난연</t>
        </is>
      </c>
      <c r="C256" s="88" t="inlineStr">
        <is>
          <t>COCOON</t>
        </is>
      </c>
      <c r="D256" s="88" t="inlineStr">
        <is>
          <t>에이밍 LED BODY 신형 A
[COCOON]</t>
        </is>
      </c>
      <c r="E256" s="88" t="inlineStr">
        <is>
          <t>LED BODY A (블랙_원형)</t>
        </is>
      </c>
      <c r="F256" s="90" t="inlineStr">
        <is>
          <t>O</t>
        </is>
      </c>
      <c r="G256" s="91" t="n"/>
      <c r="H256" s="92" t="n"/>
      <c r="I256" s="93" t="inlineStr">
        <is>
          <t>AR</t>
        </is>
      </c>
      <c r="J256" s="94" t="n"/>
      <c r="K256" s="95" t="n"/>
      <c r="L256" s="96" t="n"/>
      <c r="M256" s="97" t="inlineStr">
        <is>
          <t>O</t>
        </is>
      </c>
      <c r="N256" s="98" t="n"/>
      <c r="O256" s="99" t="n"/>
      <c r="P256" s="100" t="inlineStr">
        <is>
          <t>7-AR</t>
        </is>
      </c>
      <c r="Q256" s="102" t="inlineStr">
        <is>
          <t>오비스코리아</t>
        </is>
      </c>
      <c r="R256" s="110">
        <f>HYPERLINK("#'마스터_품목'!A487","→ 마스터 R487")</f>
        <v/>
      </c>
      <c r="S256" s="111" t="n">
        <v>487</v>
      </c>
      <c r="T256" s="111" t="inlineStr">
        <is>
          <t>마스터_품목</t>
        </is>
      </c>
    </row>
    <row r="257" ht="48" customHeight="1">
      <c r="A257" s="87" t="inlineStr">
        <is>
          <t>창고</t>
        </is>
      </c>
      <c r="B257" s="87" t="inlineStr">
        <is>
          <t>ABS 난연</t>
        </is>
      </c>
      <c r="C257" s="88" t="inlineStr">
        <is>
          <t>COCOON</t>
        </is>
      </c>
      <c r="D257" s="88" t="inlineStr">
        <is>
          <t>에이밍 LED BODY 신형 B
[COCOON]</t>
        </is>
      </c>
      <c r="E257" s="88" t="inlineStr">
        <is>
          <t>LED BODY B (블랙_사각형)</t>
        </is>
      </c>
      <c r="F257" s="90" t="inlineStr">
        <is>
          <t>O</t>
        </is>
      </c>
      <c r="G257" s="91" t="n"/>
      <c r="H257" s="92" t="n"/>
      <c r="I257" s="93" t="inlineStr">
        <is>
          <t>AR</t>
        </is>
      </c>
      <c r="J257" s="94" t="n"/>
      <c r="K257" s="95" t="n"/>
      <c r="L257" s="96" t="n"/>
      <c r="M257" s="97" t="inlineStr">
        <is>
          <t>O</t>
        </is>
      </c>
      <c r="N257" s="98" t="n"/>
      <c r="O257" s="99" t="n"/>
      <c r="P257" s="100" t="inlineStr">
        <is>
          <t>7-AR</t>
        </is>
      </c>
      <c r="Q257" s="102" t="inlineStr">
        <is>
          <t>오비스코리아</t>
        </is>
      </c>
      <c r="R257" s="110">
        <f>HYPERLINK("#'마스터_품목'!A488","→ 마스터 R488")</f>
        <v/>
      </c>
      <c r="S257" s="111" t="n">
        <v>488</v>
      </c>
      <c r="T257" s="111" t="inlineStr">
        <is>
          <t>마스터_품목</t>
        </is>
      </c>
    </row>
    <row r="258" ht="48" customHeight="1">
      <c r="A258" s="87" t="inlineStr">
        <is>
          <t>창고</t>
        </is>
      </c>
      <c r="B258" s="87" t="inlineStr">
        <is>
          <t>ABS 난연</t>
        </is>
      </c>
      <c r="C258" s="88" t="inlineStr">
        <is>
          <t>COCOON</t>
        </is>
      </c>
      <c r="D258" s="88" t="inlineStr">
        <is>
          <t>에이밍 방사구 젠더
[COCOON]</t>
        </is>
      </c>
      <c r="E258" s="88" t="inlineStr">
        <is>
          <t>에이밍 젠더 (가공품)</t>
        </is>
      </c>
      <c r="F258" s="90" t="inlineStr">
        <is>
          <t>O</t>
        </is>
      </c>
      <c r="G258" s="91" t="n"/>
      <c r="H258" s="92" t="n"/>
      <c r="I258" s="93" t="inlineStr">
        <is>
          <t>AR</t>
        </is>
      </c>
      <c r="J258" s="94" t="n"/>
      <c r="K258" s="95" t="n"/>
      <c r="L258" s="96" t="n"/>
      <c r="M258" s="97" t="inlineStr">
        <is>
          <t>O</t>
        </is>
      </c>
      <c r="N258" s="98" t="n"/>
      <c r="O258" s="99" t="n"/>
      <c r="P258" s="100" t="inlineStr">
        <is>
          <t>7-AR</t>
        </is>
      </c>
      <c r="Q258" s="102" t="inlineStr">
        <is>
          <t>다우정밀</t>
        </is>
      </c>
      <c r="R258" s="110">
        <f>HYPERLINK("#'마스터_품목'!A490","→ 마스터 R490")</f>
        <v/>
      </c>
      <c r="S258" s="111" t="n">
        <v>490</v>
      </c>
      <c r="T258" s="111" t="inlineStr">
        <is>
          <t>마스터_품목</t>
        </is>
      </c>
    </row>
    <row r="259" ht="48" customHeight="1">
      <c r="A259" s="87" t="inlineStr">
        <is>
          <t>창고</t>
        </is>
      </c>
      <c r="B259" s="87" t="inlineStr">
        <is>
          <t>아크릴</t>
        </is>
      </c>
      <c r="C259" s="88" t="inlineStr">
        <is>
          <t>COCOON</t>
        </is>
      </c>
      <c r="D259" s="88" t="inlineStr">
        <is>
          <t>WINDOW (투명 아크릴 + 실크 인쇄 로고O)
[COCOON]</t>
        </is>
      </c>
      <c r="E259" s="88" t="inlineStr">
        <is>
          <t>WINDOW</t>
        </is>
      </c>
      <c r="F259" s="90" t="inlineStr">
        <is>
          <t>O</t>
        </is>
      </c>
      <c r="G259" s="91" t="n"/>
      <c r="H259" s="92" t="n"/>
      <c r="I259" s="93" t="inlineStr">
        <is>
          <t>AR</t>
        </is>
      </c>
      <c r="J259" s="94" t="n"/>
      <c r="K259" s="95" t="n"/>
      <c r="L259" s="96" t="n"/>
      <c r="M259" s="97" t="inlineStr">
        <is>
          <t>O</t>
        </is>
      </c>
      <c r="N259" s="98" t="n"/>
      <c r="O259" s="99" t="n"/>
      <c r="P259" s="100" t="inlineStr">
        <is>
          <t>7-AR</t>
        </is>
      </c>
      <c r="Q259" s="102" t="inlineStr">
        <is>
          <t>우민테크</t>
        </is>
      </c>
      <c r="R259" s="110">
        <f>HYPERLINK("#'마스터_품목'!A452","→ 마스터 R452")</f>
        <v/>
      </c>
      <c r="S259" s="111" t="n">
        <v>452</v>
      </c>
      <c r="T259" s="111" t="inlineStr">
        <is>
          <t>마스터_품목</t>
        </is>
      </c>
    </row>
    <row r="260" ht="48" customHeight="1">
      <c r="A260" s="87" t="inlineStr">
        <is>
          <t>창고</t>
        </is>
      </c>
      <c r="B260" s="87" t="inlineStr">
        <is>
          <t>아크릴</t>
        </is>
      </c>
      <c r="C260" s="88" t="inlineStr">
        <is>
          <t>COCOON</t>
        </is>
      </c>
      <c r="D260" s="88" t="inlineStr">
        <is>
          <t>WINDOW (투명 아크릴 + 실크 인쇄 로고X)
[COCOON]</t>
        </is>
      </c>
      <c r="E260" s="88" t="inlineStr">
        <is>
          <t>WINDOW (cocoon로고 없음)</t>
        </is>
      </c>
      <c r="F260" s="90" t="inlineStr">
        <is>
          <t>O</t>
        </is>
      </c>
      <c r="G260" s="91" t="n"/>
      <c r="H260" s="92" t="n"/>
      <c r="I260" s="93" t="inlineStr">
        <is>
          <t>AR</t>
        </is>
      </c>
      <c r="J260" s="94" t="n"/>
      <c r="K260" s="95" t="n"/>
      <c r="L260" s="96" t="n"/>
      <c r="M260" s="97" t="inlineStr">
        <is>
          <t>O</t>
        </is>
      </c>
      <c r="N260" s="98" t="n"/>
      <c r="O260" s="99" t="n"/>
      <c r="P260" s="100" t="inlineStr">
        <is>
          <t>7-AR</t>
        </is>
      </c>
      <c r="Q260" s="102" t="inlineStr">
        <is>
          <t>우민테크</t>
        </is>
      </c>
      <c r="R260" s="110">
        <f>HYPERLINK("#'마스터_품목'!A453","→ 마스터 R453")</f>
        <v/>
      </c>
      <c r="S260" s="111" t="n">
        <v>453</v>
      </c>
      <c r="T260" s="111" t="inlineStr">
        <is>
          <t>마스터_품목</t>
        </is>
      </c>
    </row>
    <row r="261" ht="48" customHeight="1">
      <c r="A261" s="87" t="inlineStr">
        <is>
          <t>창고</t>
        </is>
      </c>
      <c r="B261" s="87" t="inlineStr">
        <is>
          <t>아크릴</t>
        </is>
      </c>
      <c r="C261" s="88" t="inlineStr">
        <is>
          <t>COCOON</t>
        </is>
      </c>
      <c r="D261" s="88" t="inlineStr">
        <is>
          <t>에이밍 아크릴 은경 (아크릴)
[COCOON]</t>
        </is>
      </c>
      <c r="E261" s="88" t="inlineStr">
        <is>
          <t>에이밍 라이트 은경</t>
        </is>
      </c>
      <c r="F261" s="90" t="inlineStr">
        <is>
          <t>O</t>
        </is>
      </c>
      <c r="G261" s="91" t="n"/>
      <c r="H261" s="92" t="n"/>
      <c r="I261" s="93" t="inlineStr">
        <is>
          <t>AR</t>
        </is>
      </c>
      <c r="J261" s="94" t="n"/>
      <c r="K261" s="95" t="n"/>
      <c r="L261" s="96" t="n"/>
      <c r="M261" s="97" t="inlineStr">
        <is>
          <t>O</t>
        </is>
      </c>
      <c r="N261" s="98" t="n"/>
      <c r="O261" s="99" t="n"/>
      <c r="P261" s="100" t="inlineStr">
        <is>
          <t>7-AR</t>
        </is>
      </c>
      <c r="Q261" s="116" t="n"/>
      <c r="R261" s="110">
        <f>HYPERLINK("#'마스터_품목'!A486","→ 마스터 R486")</f>
        <v/>
      </c>
      <c r="S261" s="111" t="n">
        <v>486</v>
      </c>
      <c r="T261" s="111" t="inlineStr">
        <is>
          <t>마스터_품목</t>
        </is>
      </c>
    </row>
    <row r="262" ht="48" customHeight="1">
      <c r="A262" s="87" t="inlineStr">
        <is>
          <t>창고</t>
        </is>
      </c>
      <c r="B262" s="87" t="inlineStr">
        <is>
          <t>아크릴</t>
        </is>
      </c>
      <c r="C262" s="88" t="inlineStr">
        <is>
          <t>COCOON</t>
        </is>
      </c>
      <c r="D262" s="88" t="inlineStr">
        <is>
          <t>에이밍 십자 아크릴 (사각 모양) (투명 아크릴 + 인쇄)
[COCOON]</t>
        </is>
      </c>
      <c r="E262" s="88" t="inlineStr">
        <is>
          <t>코쿤 에이밍 십자 아크릴 (사각 모양)</t>
        </is>
      </c>
      <c r="F262" s="90" t="inlineStr">
        <is>
          <t>O</t>
        </is>
      </c>
      <c r="G262" s="91" t="n"/>
      <c r="H262" s="92" t="n"/>
      <c r="I262" s="93" t="inlineStr">
        <is>
          <t>AR</t>
        </is>
      </c>
      <c r="J262" s="94" t="n"/>
      <c r="K262" s="95" t="n"/>
      <c r="L262" s="96" t="n"/>
      <c r="M262" s="97" t="inlineStr">
        <is>
          <t>O</t>
        </is>
      </c>
      <c r="N262" s="98" t="inlineStr">
        <is>
          <t>O</t>
        </is>
      </c>
      <c r="O262" s="99" t="n"/>
      <c r="P262" s="100" t="inlineStr">
        <is>
          <t>78-AR</t>
        </is>
      </c>
      <c r="Q262" s="116" t="n"/>
      <c r="R262" s="110">
        <f>HYPERLINK("#'마스터_품목'!A481","→ 마스터 R481")</f>
        <v/>
      </c>
      <c r="S262" s="111" t="n">
        <v>481</v>
      </c>
      <c r="T262" s="111" t="inlineStr">
        <is>
          <t>마스터_품목</t>
        </is>
      </c>
    </row>
    <row r="263" ht="48" customHeight="1">
      <c r="A263" s="87" t="inlineStr">
        <is>
          <t>창고</t>
        </is>
      </c>
      <c r="B263" s="87" t="inlineStr">
        <is>
          <t>아크릴</t>
        </is>
      </c>
      <c r="C263" s="88" t="inlineStr">
        <is>
          <t>COCOON</t>
        </is>
      </c>
      <c r="D263" s="88" t="inlineStr">
        <is>
          <t>에이밍 원형 십자 아크릴 (테두리 O) 2.0T (투명 아크릴 + 인쇄 2T - 영국용)
[COCOON]</t>
        </is>
      </c>
      <c r="E263" s="88" t="inlineStr">
        <is>
          <t>원형 십자 아크릴 1 (테두리 두껍게 있는 것) 2.0T - 영국용</t>
        </is>
      </c>
      <c r="F263" s="90" t="inlineStr">
        <is>
          <t>O</t>
        </is>
      </c>
      <c r="G263" s="91" t="n"/>
      <c r="H263" s="92" t="n"/>
      <c r="I263" s="93" t="inlineStr">
        <is>
          <t>AR</t>
        </is>
      </c>
      <c r="J263" s="94" t="n"/>
      <c r="K263" s="95" t="n"/>
      <c r="L263" s="96" t="n"/>
      <c r="M263" s="97" t="inlineStr">
        <is>
          <t>O</t>
        </is>
      </c>
      <c r="N263" s="98" t="inlineStr">
        <is>
          <t>O</t>
        </is>
      </c>
      <c r="O263" s="99" t="n"/>
      <c r="P263" s="100" t="inlineStr">
        <is>
          <t>78-AR</t>
        </is>
      </c>
      <c r="Q263" s="116" t="n"/>
      <c r="R263" s="110">
        <f>HYPERLINK("#'마스터_품목'!A482","→ 마스터 R482")</f>
        <v/>
      </c>
      <c r="S263" s="111" t="n">
        <v>482</v>
      </c>
      <c r="T263" s="111" t="inlineStr">
        <is>
          <t>마스터_품목</t>
        </is>
      </c>
    </row>
    <row r="264" ht="48" customHeight="1">
      <c r="A264" s="87" t="inlineStr">
        <is>
          <t>창고</t>
        </is>
      </c>
      <c r="B264" s="87" t="inlineStr">
        <is>
          <t>아크릴</t>
        </is>
      </c>
      <c r="C264" s="88" t="inlineStr">
        <is>
          <t>COCOON</t>
        </is>
      </c>
      <c r="D264" s="88" t="inlineStr">
        <is>
          <t>에이밍 원형 십자 아크릴 (테두리 O) 2.0T (투명 아크릴 + 인쇄 2T - 얇은 테두리)
[COCOON]</t>
        </is>
      </c>
      <c r="E264" s="88" t="inlineStr">
        <is>
          <t>원형 십자 아크릴 1 (테두리 얇게 있는 것) 2.0T</t>
        </is>
      </c>
      <c r="F264" s="90" t="inlineStr">
        <is>
          <t>O</t>
        </is>
      </c>
      <c r="G264" s="91" t="n"/>
      <c r="H264" s="92" t="n"/>
      <c r="I264" s="93" t="inlineStr">
        <is>
          <t>AR</t>
        </is>
      </c>
      <c r="J264" s="94" t="n"/>
      <c r="K264" s="95" t="n"/>
      <c r="L264" s="96" t="n"/>
      <c r="M264" s="97" t="inlineStr">
        <is>
          <t>O</t>
        </is>
      </c>
      <c r="N264" s="98" t="inlineStr">
        <is>
          <t>O</t>
        </is>
      </c>
      <c r="O264" s="99" t="n"/>
      <c r="P264" s="100" t="inlineStr">
        <is>
          <t>78-AR</t>
        </is>
      </c>
      <c r="Q264" s="116" t="n"/>
      <c r="R264" s="110">
        <f>HYPERLINK("#'마스터_품목'!A483","→ 마스터 R483")</f>
        <v/>
      </c>
      <c r="S264" s="111" t="n">
        <v>483</v>
      </c>
      <c r="T264" s="111" t="inlineStr">
        <is>
          <t>마스터_품목</t>
        </is>
      </c>
    </row>
    <row r="265" ht="48" customHeight="1">
      <c r="A265" s="87" t="inlineStr">
        <is>
          <t>창고</t>
        </is>
      </c>
      <c r="B265" s="87" t="inlineStr">
        <is>
          <t>아크릴</t>
        </is>
      </c>
      <c r="C265" s="88" t="inlineStr">
        <is>
          <t>COCOON</t>
        </is>
      </c>
      <c r="D265" s="88" t="inlineStr">
        <is>
          <t>에이밍 원형 십자 아크릴 (테두리 X) 2.0T (투명 아크릴 + 인쇄 2T -사파리용)
[COCOON]</t>
        </is>
      </c>
      <c r="E265" s="88" t="inlineStr">
        <is>
          <t>원형 십자 아크릴 2 (테두리 없는 것) 2.0T - 사파리용</t>
        </is>
      </c>
      <c r="F265" s="90" t="inlineStr">
        <is>
          <t>O</t>
        </is>
      </c>
      <c r="G265" s="91" t="n"/>
      <c r="H265" s="92" t="n"/>
      <c r="I265" s="93" t="inlineStr">
        <is>
          <t>AR</t>
        </is>
      </c>
      <c r="J265" s="94" t="n"/>
      <c r="K265" s="95" t="n"/>
      <c r="L265" s="96" t="n"/>
      <c r="M265" s="97" t="inlineStr">
        <is>
          <t>O</t>
        </is>
      </c>
      <c r="N265" s="98" t="inlineStr">
        <is>
          <t>O</t>
        </is>
      </c>
      <c r="O265" s="99" t="n"/>
      <c r="P265" s="100" t="inlineStr">
        <is>
          <t>78-AR</t>
        </is>
      </c>
      <c r="Q265" s="116" t="n"/>
      <c r="R265" s="110">
        <f>HYPERLINK("#'마스터_품목'!A484","→ 마스터 R484")</f>
        <v/>
      </c>
      <c r="S265" s="111" t="n">
        <v>484</v>
      </c>
      <c r="T265" s="111" t="inlineStr">
        <is>
          <t>마스터_품목</t>
        </is>
      </c>
    </row>
    <row r="266" ht="48" customHeight="1">
      <c r="A266" s="87" t="inlineStr">
        <is>
          <t>창고</t>
        </is>
      </c>
      <c r="B266" s="87" t="inlineStr">
        <is>
          <t>RUBBER</t>
        </is>
      </c>
      <c r="C266" s="88" t="inlineStr">
        <is>
          <t>COCOON</t>
        </is>
      </c>
      <c r="D266" s="88" t="inlineStr">
        <is>
          <t>BAT BOTTOM RUBBER (RUBBER)
[COCOON]</t>
        </is>
      </c>
      <c r="E266" s="88" t="inlineStr">
        <is>
          <t>BAT BOTTOM RUBBER</t>
        </is>
      </c>
      <c r="F266" s="90" t="inlineStr">
        <is>
          <t>O</t>
        </is>
      </c>
      <c r="G266" s="91" t="n"/>
      <c r="H266" s="92" t="n"/>
      <c r="I266" s="93" t="inlineStr">
        <is>
          <t>AR</t>
        </is>
      </c>
      <c r="J266" s="94" t="n"/>
      <c r="K266" s="95" t="n"/>
      <c r="L266" s="96" t="n"/>
      <c r="M266" s="97" t="inlineStr">
        <is>
          <t>O</t>
        </is>
      </c>
      <c r="N266" s="98" t="n"/>
      <c r="O266" s="99" t="n"/>
      <c r="P266" s="100" t="inlineStr">
        <is>
          <t>7-AR</t>
        </is>
      </c>
      <c r="Q266" s="102" t="inlineStr">
        <is>
          <t>남경화학</t>
        </is>
      </c>
      <c r="R266" s="110">
        <f>HYPERLINK("#'마스터_품목'!A429","→ 마스터 R429")</f>
        <v/>
      </c>
      <c r="S266" s="111" t="n">
        <v>429</v>
      </c>
      <c r="T266" s="111" t="inlineStr">
        <is>
          <t>마스터_품목</t>
        </is>
      </c>
    </row>
    <row r="267" ht="48" customHeight="1">
      <c r="A267" s="87" t="inlineStr">
        <is>
          <t>창고</t>
        </is>
      </c>
      <c r="B267" s="87" t="inlineStr">
        <is>
          <t>RUBBER</t>
        </is>
      </c>
      <c r="C267" s="88" t="inlineStr">
        <is>
          <t>COCOON</t>
        </is>
      </c>
      <c r="D267" s="88" t="inlineStr">
        <is>
          <t>CRADLE FOOT RUBBER (RUBBER)
[COCOON]</t>
        </is>
      </c>
      <c r="E267" s="88" t="inlineStr">
        <is>
          <t>CRADLE FOOT RUBBER</t>
        </is>
      </c>
      <c r="F267" s="90" t="inlineStr">
        <is>
          <t>O</t>
        </is>
      </c>
      <c r="G267" s="91" t="n"/>
      <c r="H267" s="92" t="n"/>
      <c r="I267" s="93" t="inlineStr">
        <is>
          <t>AR</t>
        </is>
      </c>
      <c r="J267" s="94" t="n"/>
      <c r="K267" s="95" t="n"/>
      <c r="L267" s="96" t="n"/>
      <c r="M267" s="97" t="inlineStr">
        <is>
          <t>O</t>
        </is>
      </c>
      <c r="N267" s="98" t="n"/>
      <c r="O267" s="99" t="n"/>
      <c r="P267" s="100" t="inlineStr">
        <is>
          <t>7-AR</t>
        </is>
      </c>
      <c r="Q267" s="102" t="inlineStr">
        <is>
          <t>남경화학</t>
        </is>
      </c>
      <c r="R267" s="110">
        <f>HYPERLINK("#'마스터_품목'!A436","→ 마스터 R436")</f>
        <v/>
      </c>
      <c r="S267" s="111" t="n">
        <v>436</v>
      </c>
      <c r="T267" s="111" t="inlineStr">
        <is>
          <t>마스터_품목</t>
        </is>
      </c>
    </row>
    <row r="268" ht="48" customHeight="1">
      <c r="A268" s="87" t="inlineStr">
        <is>
          <t>창고</t>
        </is>
      </c>
      <c r="B268" s="87" t="inlineStr">
        <is>
          <t>신주</t>
        </is>
      </c>
      <c r="C268" s="88" t="inlineStr">
        <is>
          <t>COCOON</t>
        </is>
      </c>
      <c r="D268" s="88" t="inlineStr">
        <is>
          <t>CRADLE 신주 핀 (신주 가공 + 니켈 도금)
[COCOON]</t>
        </is>
      </c>
      <c r="E268" s="88" t="inlineStr">
        <is>
          <t>신주 핀</t>
        </is>
      </c>
      <c r="F268" s="90" t="inlineStr">
        <is>
          <t>O</t>
        </is>
      </c>
      <c r="G268" s="91" t="n"/>
      <c r="H268" s="92" t="n"/>
      <c r="I268" s="93" t="inlineStr">
        <is>
          <t>AR</t>
        </is>
      </c>
      <c r="J268" s="94" t="n"/>
      <c r="K268" s="95" t="n"/>
      <c r="L268" s="96" t="n"/>
      <c r="M268" s="97" t="inlineStr">
        <is>
          <t>O</t>
        </is>
      </c>
      <c r="N268" s="98" t="n"/>
      <c r="O268" s="99" t="n"/>
      <c r="P268" s="100" t="inlineStr">
        <is>
          <t>7-AR</t>
        </is>
      </c>
      <c r="Q268" s="102" t="inlineStr">
        <is>
          <t>다우정밀</t>
        </is>
      </c>
      <c r="R268" s="110">
        <f>HYPERLINK("#'마스터_품목'!A434","→ 마스터 R434")</f>
        <v/>
      </c>
      <c r="S268" s="111" t="n">
        <v>434</v>
      </c>
      <c r="T268" s="111" t="inlineStr">
        <is>
          <t>마스터_품목</t>
        </is>
      </c>
    </row>
    <row r="269" ht="48" customHeight="1">
      <c r="A269" s="87" t="inlineStr">
        <is>
          <t>창고</t>
        </is>
      </c>
      <c r="B269" s="87" t="inlineStr">
        <is>
          <t>스프링</t>
        </is>
      </c>
      <c r="C269" s="88" t="inlineStr">
        <is>
          <t>COCOON</t>
        </is>
      </c>
      <c r="D269" s="88" t="inlineStr">
        <is>
          <t>EXP BUTTON 스프링 (스프링)
[COCOON]</t>
        </is>
      </c>
      <c r="E269" s="88" t="inlineStr">
        <is>
          <t>EXP BUTTON 스프링</t>
        </is>
      </c>
      <c r="F269" s="90" t="inlineStr">
        <is>
          <t>O</t>
        </is>
      </c>
      <c r="G269" s="91" t="n"/>
      <c r="H269" s="92" t="n"/>
      <c r="I269" s="93" t="inlineStr">
        <is>
          <t>AR</t>
        </is>
      </c>
      <c r="J269" s="94" t="n"/>
      <c r="K269" s="95" t="n"/>
      <c r="L269" s="96" t="n"/>
      <c r="M269" s="97" t="inlineStr">
        <is>
          <t>O</t>
        </is>
      </c>
      <c r="N269" s="98" t="n"/>
      <c r="O269" s="99" t="n"/>
      <c r="P269" s="100" t="inlineStr">
        <is>
          <t>7-AR</t>
        </is>
      </c>
      <c r="Q269" s="102" t="inlineStr">
        <is>
          <t>금호스프링</t>
        </is>
      </c>
      <c r="R269" s="110">
        <f>HYPERLINK("#'마스터_품목'!A428","→ 마스터 R428")</f>
        <v/>
      </c>
      <c r="S269" s="111" t="n">
        <v>428</v>
      </c>
      <c r="T269" s="111" t="inlineStr">
        <is>
          <t>마스터_품목</t>
        </is>
      </c>
    </row>
    <row r="270" ht="48" customHeight="1">
      <c r="A270" s="87" t="inlineStr">
        <is>
          <t>창고</t>
        </is>
      </c>
      <c r="B270" s="87" t="inlineStr">
        <is>
          <t>스프링</t>
        </is>
      </c>
      <c r="C270" s="88" t="inlineStr">
        <is>
          <t>COCOON</t>
        </is>
      </c>
      <c r="D270" s="88" t="inlineStr">
        <is>
          <t>CRADLE 충전단자 스프링 (스프링)
[COCOON]</t>
        </is>
      </c>
      <c r="E270" s="88" t="inlineStr">
        <is>
          <t>크래들 충전단자 스프링</t>
        </is>
      </c>
      <c r="F270" s="90" t="inlineStr">
        <is>
          <t>O</t>
        </is>
      </c>
      <c r="G270" s="91" t="n"/>
      <c r="H270" s="92" t="n"/>
      <c r="I270" s="93" t="inlineStr">
        <is>
          <t>AR</t>
        </is>
      </c>
      <c r="J270" s="94" t="n"/>
      <c r="K270" s="95" t="n"/>
      <c r="L270" s="96" t="n"/>
      <c r="M270" s="97" t="inlineStr">
        <is>
          <t>O</t>
        </is>
      </c>
      <c r="N270" s="98" t="n"/>
      <c r="O270" s="99" t="n"/>
      <c r="P270" s="100" t="inlineStr">
        <is>
          <t>7-AR</t>
        </is>
      </c>
      <c r="Q270" s="102" t="inlineStr">
        <is>
          <t>금호스프링</t>
        </is>
      </c>
      <c r="R270" s="110">
        <f>HYPERLINK("#'마스터_품목'!A435","→ 마스터 R435")</f>
        <v/>
      </c>
      <c r="S270" s="111" t="n">
        <v>435</v>
      </c>
      <c r="T270" s="111" t="inlineStr">
        <is>
          <t>마스터_품목</t>
        </is>
      </c>
    </row>
    <row r="271" ht="48" customHeight="1">
      <c r="A271" s="87" t="inlineStr">
        <is>
          <t>창고</t>
        </is>
      </c>
      <c r="B271" s="87" t="inlineStr">
        <is>
          <t>STEEL</t>
        </is>
      </c>
      <c r="C271" s="88" t="inlineStr">
        <is>
          <t>COCOON</t>
        </is>
      </c>
      <c r="D271" s="88" t="inlineStr">
        <is>
          <t>고리 (니켈 도금 D링)
[COCOON]</t>
        </is>
      </c>
      <c r="E271" s="88" t="inlineStr">
        <is>
          <t>D링 고리</t>
        </is>
      </c>
      <c r="F271" s="90" t="inlineStr">
        <is>
          <t>O</t>
        </is>
      </c>
      <c r="G271" s="91" t="n"/>
      <c r="H271" s="92" t="n"/>
      <c r="I271" s="93" t="inlineStr">
        <is>
          <t>AR</t>
        </is>
      </c>
      <c r="J271" s="94" t="n"/>
      <c r="K271" s="95" t="n"/>
      <c r="L271" s="96" t="n"/>
      <c r="M271" s="97" t="inlineStr">
        <is>
          <t>O</t>
        </is>
      </c>
      <c r="N271" s="98" t="n"/>
      <c r="O271" s="99" t="n"/>
      <c r="P271" s="100" t="inlineStr">
        <is>
          <t>7-AR</t>
        </is>
      </c>
      <c r="Q271" s="102" t="inlineStr">
        <is>
          <t>굿모닝코리아유통</t>
        </is>
      </c>
      <c r="R271" s="110">
        <f>HYPERLINK("#'마스터_품목'!A418","→ 마스터 R418")</f>
        <v/>
      </c>
      <c r="S271" s="111" t="n">
        <v>418</v>
      </c>
      <c r="T271" s="111" t="inlineStr">
        <is>
          <t>마스터_품목</t>
        </is>
      </c>
    </row>
    <row r="272" ht="48" customHeight="1">
      <c r="A272" s="87" t="inlineStr">
        <is>
          <t>창고</t>
        </is>
      </c>
      <c r="B272" s="87" t="inlineStr">
        <is>
          <t>자석</t>
        </is>
      </c>
      <c r="C272" s="88" t="inlineStr">
        <is>
          <t>COCOON</t>
        </is>
      </c>
      <c r="D272" s="88" t="inlineStr">
        <is>
          <t>자석 (네오디움 마그넷)
[COCOON]</t>
        </is>
      </c>
      <c r="E272" s="88" t="inlineStr">
        <is>
          <t>자석 (네오디움 마그넷)</t>
        </is>
      </c>
      <c r="F272" s="90" t="inlineStr">
        <is>
          <t>O</t>
        </is>
      </c>
      <c r="G272" s="91" t="n"/>
      <c r="H272" s="92" t="n"/>
      <c r="I272" s="93" t="inlineStr">
        <is>
          <t>AR</t>
        </is>
      </c>
      <c r="J272" s="94" t="n"/>
      <c r="K272" s="95" t="n"/>
      <c r="L272" s="96" t="inlineStr">
        <is>
          <t>O</t>
        </is>
      </c>
      <c r="M272" s="97" t="inlineStr">
        <is>
          <t>O</t>
        </is>
      </c>
      <c r="N272" s="98" t="n"/>
      <c r="O272" s="99" t="n"/>
      <c r="P272" s="100" t="inlineStr">
        <is>
          <t>67-AR</t>
        </is>
      </c>
      <c r="Q272" s="102" t="inlineStr">
        <is>
          <t>일성마그네트</t>
        </is>
      </c>
      <c r="R272" s="110">
        <f>HYPERLINK("#'마스터_품목'!A454","→ 마스터 R454")</f>
        <v/>
      </c>
      <c r="S272" s="111" t="n">
        <v>454</v>
      </c>
      <c r="T272" s="111" t="inlineStr">
        <is>
          <t>마스터_품목</t>
        </is>
      </c>
    </row>
    <row r="273" ht="48" customHeight="1">
      <c r="A273" s="126" t="inlineStr">
        <is>
          <t>조립</t>
        </is>
      </c>
      <c r="B273" s="87" t="inlineStr">
        <is>
          <t>ABS 난연</t>
        </is>
      </c>
      <c r="C273" s="88" t="inlineStr">
        <is>
          <t>COCOON</t>
        </is>
      </c>
      <c r="D273" s="88" t="inlineStr">
        <is>
          <t>FRONT_S (18cm) (ABS 난연 블랙 + 블랙 무광)
[COCOON]</t>
        </is>
      </c>
      <c r="E273" s="88" t="n"/>
      <c r="F273" s="90" t="inlineStr">
        <is>
          <t>O</t>
        </is>
      </c>
      <c r="G273" s="91" t="n"/>
      <c r="H273" s="92" t="n"/>
      <c r="I273" s="93">
        <f>IFERROR(IF(OR($F273="O",$G273="O",$H273="O"),CHOOSE(MATCH($A273,{"튜브","고압","진공","튜닝","조립","출하"},0),"T","H","V","N","A","P")&amp;IF($F273="O","R",IF($G273="O","A",IF($H273="O","F",""))),""),"")</f>
        <v/>
      </c>
      <c r="J273" s="94" t="n"/>
      <c r="K273" s="95" t="n"/>
      <c r="L273" s="96" t="n"/>
      <c r="M273" s="122" t="inlineStr">
        <is>
          <t>O</t>
        </is>
      </c>
      <c r="N273" s="98" t="n"/>
      <c r="O273" s="99" t="n"/>
      <c r="P273" s="100">
        <f>IF($I273="","",IF($J273="O","3","")&amp;IF($K273="O","4","")&amp;IF($L273="O","6","")&amp;IF($M273="O","7","")&amp;IF($N273="O","8","")&amp;IF($O273="O","?","")&amp;IF(OR($J273="O",$K273="O",$L273="O",$M273="O",$N273="O",$O273="O"),"-","")&amp;$I273)</f>
        <v/>
      </c>
      <c r="Q273" s="102" t="inlineStr">
        <is>
          <t>천우</t>
        </is>
      </c>
      <c r="R273" s="110">
        <f>HYPERLINK("#'마스터_품목'!A751","→ 마스터 R751")</f>
        <v/>
      </c>
      <c r="S273" s="111" t="n">
        <v>751</v>
      </c>
      <c r="T273" s="111" t="inlineStr">
        <is>
          <t>마스터_품목</t>
        </is>
      </c>
    </row>
    <row r="274" ht="48" customHeight="1">
      <c r="A274" s="87" t="inlineStr">
        <is>
          <t>창고</t>
        </is>
      </c>
      <c r="B274" s="87" t="inlineStr">
        <is>
          <t>ABS 난연</t>
        </is>
      </c>
      <c r="C274" s="88" t="inlineStr">
        <is>
          <t>COCOON</t>
        </is>
      </c>
      <c r="D274" s="88" t="inlineStr">
        <is>
          <t>FRONT_L (20cm) (ABS 난연 블랙 + 블랙 무광)
[COCOON]</t>
        </is>
      </c>
      <c r="E274" s="88" t="inlineStr">
        <is>
          <t>FRONT_L</t>
        </is>
      </c>
      <c r="F274" s="90" t="inlineStr">
        <is>
          <t>O</t>
        </is>
      </c>
      <c r="G274" s="91" t="n"/>
      <c r="H274" s="92" t="n"/>
      <c r="I274" s="93" t="inlineStr">
        <is>
          <t>AR</t>
        </is>
      </c>
      <c r="J274" s="94" t="n"/>
      <c r="K274" s="95" t="n"/>
      <c r="L274" s="96" t="n"/>
      <c r="M274" s="97" t="inlineStr">
        <is>
          <t>O</t>
        </is>
      </c>
      <c r="N274" s="98" t="n"/>
      <c r="O274" s="99" t="n"/>
      <c r="P274" s="100" t="inlineStr">
        <is>
          <t>7-AR</t>
        </is>
      </c>
      <c r="Q274" s="102" t="inlineStr">
        <is>
          <t>천우</t>
        </is>
      </c>
      <c r="R274" s="110">
        <f>HYPERLINK("#'마스터_품목'!A499","→ 마스터 R499")</f>
        <v/>
      </c>
      <c r="S274" s="111" t="n">
        <v>499</v>
      </c>
      <c r="T274" s="111" t="inlineStr">
        <is>
          <t>마스터_품목</t>
        </is>
      </c>
    </row>
    <row r="275" ht="48" customHeight="1">
      <c r="A275" s="87" t="inlineStr">
        <is>
          <t>창고</t>
        </is>
      </c>
      <c r="B275" s="87" t="inlineStr">
        <is>
          <t>ABS 난연</t>
        </is>
      </c>
      <c r="C275" s="88" t="inlineStr">
        <is>
          <t>COCOON</t>
        </is>
      </c>
      <c r="D275" s="88" t="inlineStr">
        <is>
          <t>FRONT_CAP (ABS 난연 블랙 + 블랙 무광)
[COCOON]</t>
        </is>
      </c>
      <c r="E275" s="88" t="inlineStr">
        <is>
          <t>FRONT_CAP</t>
        </is>
      </c>
      <c r="F275" s="90" t="inlineStr">
        <is>
          <t>O</t>
        </is>
      </c>
      <c r="G275" s="91" t="n"/>
      <c r="H275" s="92" t="n"/>
      <c r="I275" s="93" t="inlineStr">
        <is>
          <t>AR</t>
        </is>
      </c>
      <c r="J275" s="94" t="n"/>
      <c r="K275" s="95" t="n"/>
      <c r="L275" s="96" t="n"/>
      <c r="M275" s="97" t="inlineStr">
        <is>
          <t>O</t>
        </is>
      </c>
      <c r="N275" s="98" t="n"/>
      <c r="O275" s="99" t="n"/>
      <c r="P275" s="100" t="inlineStr">
        <is>
          <t>7-AR</t>
        </is>
      </c>
      <c r="Q275" s="102" t="inlineStr">
        <is>
          <t>천우</t>
        </is>
      </c>
      <c r="R275" s="110">
        <f>HYPERLINK("#'마스터_품목'!A500","→ 마스터 R500")</f>
        <v/>
      </c>
      <c r="S275" s="111" t="n">
        <v>500</v>
      </c>
      <c r="T275" s="111" t="inlineStr">
        <is>
          <t>마스터_품목</t>
        </is>
      </c>
    </row>
    <row r="276" ht="48" customHeight="1">
      <c r="A276" s="87" t="inlineStr">
        <is>
          <t>창고</t>
        </is>
      </c>
      <c r="B276" s="87" t="inlineStr">
        <is>
          <t>ABS 난연</t>
        </is>
      </c>
      <c r="C276" s="88" t="inlineStr">
        <is>
          <t>COCOON</t>
        </is>
      </c>
      <c r="D276" s="88" t="inlineStr">
        <is>
          <t>에이밍 앞 사출 (블랙 무광)
[COCOON]</t>
        </is>
      </c>
      <c r="E276" s="88" t="inlineStr">
        <is>
          <t>사각 앞사출</t>
        </is>
      </c>
      <c r="F276" s="90" t="inlineStr">
        <is>
          <t>O</t>
        </is>
      </c>
      <c r="G276" s="91" t="n"/>
      <c r="H276" s="92" t="n"/>
      <c r="I276" s="93" t="inlineStr">
        <is>
          <t>AR</t>
        </is>
      </c>
      <c r="J276" s="94" t="n"/>
      <c r="K276" s="95" t="n"/>
      <c r="L276" s="96" t="n"/>
      <c r="M276" s="97" t="inlineStr">
        <is>
          <t>O</t>
        </is>
      </c>
      <c r="N276" s="98" t="inlineStr">
        <is>
          <t>O</t>
        </is>
      </c>
      <c r="O276" s="99" t="n"/>
      <c r="P276" s="100" t="inlineStr">
        <is>
          <t>78-AR</t>
        </is>
      </c>
      <c r="Q276" s="102" t="inlineStr">
        <is>
          <t>천우</t>
        </is>
      </c>
      <c r="R276" s="110">
        <f>HYPERLINK("#'마스터_품목'!A501","→ 마스터 R501")</f>
        <v/>
      </c>
      <c r="S276" s="111" t="n">
        <v>501</v>
      </c>
      <c r="T276" s="111" t="inlineStr">
        <is>
          <t>마스터_품목</t>
        </is>
      </c>
    </row>
    <row r="277" ht="48" customHeight="1">
      <c r="A277" s="87" t="inlineStr">
        <is>
          <t>창고</t>
        </is>
      </c>
      <c r="B277" s="87" t="inlineStr">
        <is>
          <t>ABS 난연</t>
        </is>
      </c>
      <c r="C277" s="88" t="inlineStr">
        <is>
          <t>COCOON</t>
        </is>
      </c>
      <c r="D277" s="88" t="inlineStr">
        <is>
          <t>BAT BOTTOM (ABS 난연 블랙 + 블랙 무광)
[COCOON]</t>
        </is>
      </c>
      <c r="E277" s="88" t="inlineStr">
        <is>
          <t>BAT BOTTOM</t>
        </is>
      </c>
      <c r="F277" s="90" t="inlineStr">
        <is>
          <t>O</t>
        </is>
      </c>
      <c r="G277" s="91" t="n"/>
      <c r="H277" s="92" t="n"/>
      <c r="I277" s="93" t="inlineStr">
        <is>
          <t>AR</t>
        </is>
      </c>
      <c r="J277" s="94" t="n"/>
      <c r="K277" s="95" t="n"/>
      <c r="L277" s="96" t="n"/>
      <c r="M277" s="97" t="inlineStr">
        <is>
          <t>O</t>
        </is>
      </c>
      <c r="N277" s="98" t="n"/>
      <c r="O277" s="99" t="n"/>
      <c r="P277" s="100" t="inlineStr">
        <is>
          <t>7-AR</t>
        </is>
      </c>
      <c r="Q277" s="102" t="inlineStr">
        <is>
          <t>천우</t>
        </is>
      </c>
      <c r="R277" s="110">
        <f>HYPERLINK("#'마스터_품목'!A498","→ 마스터 R498")</f>
        <v/>
      </c>
      <c r="S277" s="111" t="n">
        <v>498</v>
      </c>
      <c r="T277" s="111" t="inlineStr">
        <is>
          <t>마스터_품목</t>
        </is>
      </c>
    </row>
    <row r="278" ht="48" customHeight="1">
      <c r="A278" s="87" t="inlineStr">
        <is>
          <t>창고</t>
        </is>
      </c>
      <c r="B278" s="87" t="inlineStr">
        <is>
          <t>PCB</t>
        </is>
      </c>
      <c r="C278" s="88" t="inlineStr">
        <is>
          <t>SOLO</t>
        </is>
      </c>
      <c r="D278" s="88" t="inlineStr">
        <is>
          <t>CTR _BD
[SOLO]</t>
        </is>
      </c>
      <c r="E278" s="88" t="inlineStr">
        <is>
          <t>CTR _BD</t>
        </is>
      </c>
      <c r="F278" s="90" t="inlineStr">
        <is>
          <t>O</t>
        </is>
      </c>
      <c r="G278" s="91" t="n"/>
      <c r="H278" s="92" t="n"/>
      <c r="I278" s="93" t="inlineStr">
        <is>
          <t>AR</t>
        </is>
      </c>
      <c r="J278" s="94" t="n"/>
      <c r="K278" s="95" t="n"/>
      <c r="L278" s="96" t="n"/>
      <c r="M278" s="97" t="n"/>
      <c r="N278" s="98" t="inlineStr">
        <is>
          <t>O</t>
        </is>
      </c>
      <c r="O278" s="99" t="n"/>
      <c r="P278" s="100" t="inlineStr">
        <is>
          <t>8-AR</t>
        </is>
      </c>
      <c r="Q278" s="102" t="inlineStr">
        <is>
          <t>HLP</t>
        </is>
      </c>
      <c r="R278" s="110">
        <f>HYPERLINK("#'마스터_품목'!A543","→ 마스터 R543")</f>
        <v/>
      </c>
      <c r="S278" s="111" t="n">
        <v>543</v>
      </c>
      <c r="T278" s="111" t="inlineStr">
        <is>
          <t>마스터_품목</t>
        </is>
      </c>
    </row>
    <row r="279" ht="48" customHeight="1">
      <c r="A279" s="87" t="inlineStr">
        <is>
          <t>창고</t>
        </is>
      </c>
      <c r="B279" s="87" t="inlineStr">
        <is>
          <t>PCB</t>
        </is>
      </c>
      <c r="C279" s="88" t="inlineStr">
        <is>
          <t>SOLO</t>
        </is>
      </c>
      <c r="D279" s="88" t="inlineStr">
        <is>
          <t>OP_BD
[SOLO]</t>
        </is>
      </c>
      <c r="E279" s="88" t="inlineStr">
        <is>
          <t>OP_BD</t>
        </is>
      </c>
      <c r="F279" s="90" t="inlineStr">
        <is>
          <t>O</t>
        </is>
      </c>
      <c r="G279" s="91" t="n"/>
      <c r="H279" s="92" t="n"/>
      <c r="I279" s="93" t="inlineStr">
        <is>
          <t>AR</t>
        </is>
      </c>
      <c r="J279" s="94" t="n"/>
      <c r="K279" s="95" t="n"/>
      <c r="L279" s="96" t="n"/>
      <c r="M279" s="97" t="n"/>
      <c r="N279" s="98" t="inlineStr">
        <is>
          <t>O</t>
        </is>
      </c>
      <c r="O279" s="99" t="n"/>
      <c r="P279" s="100" t="inlineStr">
        <is>
          <t>8-AR</t>
        </is>
      </c>
      <c r="Q279" s="102" t="inlineStr">
        <is>
          <t>HLP</t>
        </is>
      </c>
      <c r="R279" s="110">
        <f>HYPERLINK("#'마스터_품목'!A542","→ 마스터 R542")</f>
        <v/>
      </c>
      <c r="S279" s="111" t="n">
        <v>542</v>
      </c>
      <c r="T279" s="111" t="inlineStr">
        <is>
          <t>마스터_품목</t>
        </is>
      </c>
    </row>
    <row r="280" ht="48" customHeight="1">
      <c r="A280" s="87" t="inlineStr">
        <is>
          <t>창고</t>
        </is>
      </c>
      <c r="B280" s="87" t="inlineStr">
        <is>
          <t>PCB</t>
        </is>
      </c>
      <c r="C280" s="88" t="inlineStr">
        <is>
          <t>SOLO</t>
        </is>
      </c>
      <c r="D280" s="88" t="inlineStr">
        <is>
          <t>POWER_BD
[SOLO]</t>
        </is>
      </c>
      <c r="E280" s="88" t="inlineStr">
        <is>
          <t>POWER_BD</t>
        </is>
      </c>
      <c r="F280" s="90" t="inlineStr">
        <is>
          <t>O</t>
        </is>
      </c>
      <c r="G280" s="91" t="n"/>
      <c r="H280" s="92" t="n"/>
      <c r="I280" s="93" t="inlineStr">
        <is>
          <t>AR</t>
        </is>
      </c>
      <c r="J280" s="94" t="n"/>
      <c r="K280" s="95" t="n"/>
      <c r="L280" s="96" t="n"/>
      <c r="M280" s="97" t="n"/>
      <c r="N280" s="98" t="inlineStr">
        <is>
          <t>O</t>
        </is>
      </c>
      <c r="O280" s="99" t="n"/>
      <c r="P280" s="100" t="inlineStr">
        <is>
          <t>8-AR</t>
        </is>
      </c>
      <c r="Q280" s="102" t="inlineStr">
        <is>
          <t>HLP</t>
        </is>
      </c>
      <c r="R280" s="110">
        <f>HYPERLINK("#'마스터_품목'!A541","→ 마스터 R541")</f>
        <v/>
      </c>
      <c r="S280" s="111" t="n">
        <v>541</v>
      </c>
      <c r="T280" s="111" t="inlineStr">
        <is>
          <t>마스터_품목</t>
        </is>
      </c>
    </row>
    <row r="281" ht="48" customHeight="1">
      <c r="A281" s="87" t="inlineStr">
        <is>
          <t>창고</t>
        </is>
      </c>
      <c r="B281" s="87" t="inlineStr">
        <is>
          <t>PCB</t>
        </is>
      </c>
      <c r="C281" s="88" t="inlineStr">
        <is>
          <t>SOLO</t>
        </is>
      </c>
      <c r="D281" s="88" t="inlineStr">
        <is>
          <t>MAIN_BD
[SOLO]</t>
        </is>
      </c>
      <c r="E281" s="88" t="inlineStr">
        <is>
          <t>MAIN_BD</t>
        </is>
      </c>
      <c r="F281" s="90" t="inlineStr">
        <is>
          <t>O</t>
        </is>
      </c>
      <c r="G281" s="91" t="n"/>
      <c r="H281" s="92" t="n"/>
      <c r="I281" s="93" t="inlineStr">
        <is>
          <t>AR</t>
        </is>
      </c>
      <c r="J281" s="94" t="n"/>
      <c r="K281" s="95" t="n"/>
      <c r="L281" s="96" t="n"/>
      <c r="M281" s="97" t="n"/>
      <c r="N281" s="98" t="inlineStr">
        <is>
          <t>O</t>
        </is>
      </c>
      <c r="O281" s="99" t="n"/>
      <c r="P281" s="100" t="inlineStr">
        <is>
          <t>8-AR</t>
        </is>
      </c>
      <c r="Q281" s="102" t="inlineStr">
        <is>
          <t>HLP</t>
        </is>
      </c>
      <c r="R281" s="110">
        <f>HYPERLINK("#'마스터_품목'!A544","→ 마스터 R544")</f>
        <v/>
      </c>
      <c r="S281" s="111" t="n">
        <v>544</v>
      </c>
      <c r="T281" s="111" t="inlineStr">
        <is>
          <t>마스터_품목</t>
        </is>
      </c>
    </row>
    <row r="282" ht="48" customHeight="1">
      <c r="A282" s="87" t="inlineStr">
        <is>
          <t>창고</t>
        </is>
      </c>
      <c r="B282" s="87" t="inlineStr">
        <is>
          <t>PCB</t>
        </is>
      </c>
      <c r="C282" s="88" t="inlineStr">
        <is>
          <t>SOLO</t>
        </is>
      </c>
      <c r="D282" s="88" t="inlineStr">
        <is>
          <t>리모콘_BD
[SOLO]</t>
        </is>
      </c>
      <c r="E282" s="88" t="inlineStr">
        <is>
          <t>리모콘_BD</t>
        </is>
      </c>
      <c r="F282" s="90" t="inlineStr">
        <is>
          <t>O</t>
        </is>
      </c>
      <c r="G282" s="91" t="n"/>
      <c r="H282" s="92" t="n"/>
      <c r="I282" s="93" t="inlineStr">
        <is>
          <t>AR</t>
        </is>
      </c>
      <c r="J282" s="94" t="n"/>
      <c r="K282" s="95" t="n"/>
      <c r="L282" s="96" t="n"/>
      <c r="M282" s="97" t="n"/>
      <c r="N282" s="98" t="inlineStr">
        <is>
          <t>O</t>
        </is>
      </c>
      <c r="O282" s="99" t="n"/>
      <c r="P282" s="100" t="inlineStr">
        <is>
          <t>8-AR</t>
        </is>
      </c>
      <c r="Q282" s="102" t="inlineStr">
        <is>
          <t>HLP</t>
        </is>
      </c>
      <c r="R282" s="110">
        <f>HYPERLINK("#'마스터_품목'!A545","→ 마스터 R545")</f>
        <v/>
      </c>
      <c r="S282" s="111" t="n">
        <v>545</v>
      </c>
      <c r="T282" s="111" t="inlineStr">
        <is>
          <t>마스터_품목</t>
        </is>
      </c>
    </row>
    <row r="283" ht="48" customHeight="1">
      <c r="A283" s="87" t="inlineStr">
        <is>
          <t>창고</t>
        </is>
      </c>
      <c r="B283" s="87" t="inlineStr">
        <is>
          <t>PCB</t>
        </is>
      </c>
      <c r="C283" s="88" t="inlineStr">
        <is>
          <t>SOLO</t>
        </is>
      </c>
      <c r="D283" s="88" t="inlineStr">
        <is>
          <t>EXP_BD
[SOLO]</t>
        </is>
      </c>
      <c r="E283" s="88" t="inlineStr">
        <is>
          <t>EXP_BD</t>
        </is>
      </c>
      <c r="F283" s="90" t="inlineStr">
        <is>
          <t>O</t>
        </is>
      </c>
      <c r="G283" s="91" t="n"/>
      <c r="H283" s="92" t="n"/>
      <c r="I283" s="93" t="inlineStr">
        <is>
          <t>AR</t>
        </is>
      </c>
      <c r="J283" s="94" t="n"/>
      <c r="K283" s="95" t="n"/>
      <c r="L283" s="96" t="n"/>
      <c r="M283" s="97" t="n"/>
      <c r="N283" s="98" t="inlineStr">
        <is>
          <t>O</t>
        </is>
      </c>
      <c r="O283" s="99" t="n"/>
      <c r="P283" s="100" t="inlineStr">
        <is>
          <t>8-AR</t>
        </is>
      </c>
      <c r="Q283" s="102" t="inlineStr">
        <is>
          <t>HLP</t>
        </is>
      </c>
      <c r="R283" s="110">
        <f>HYPERLINK("#'마스터_품목'!A546","→ 마스터 R546")</f>
        <v/>
      </c>
      <c r="S283" s="111" t="n">
        <v>546</v>
      </c>
      <c r="T283" s="111" t="inlineStr">
        <is>
          <t>마스터_품목</t>
        </is>
      </c>
    </row>
    <row r="284" ht="48" customHeight="1">
      <c r="A284" s="87" t="inlineStr">
        <is>
          <t>창고</t>
        </is>
      </c>
      <c r="B284" s="87" t="inlineStr">
        <is>
          <t>PCB</t>
        </is>
      </c>
      <c r="C284" s="88" t="inlineStr">
        <is>
          <t>SOLO</t>
        </is>
      </c>
      <c r="D284" s="88" t="inlineStr">
        <is>
          <t>BATCON_BD
[SOLO]</t>
        </is>
      </c>
      <c r="E284" s="88" t="inlineStr">
        <is>
          <t>BATCON_BD</t>
        </is>
      </c>
      <c r="F284" s="90" t="inlineStr">
        <is>
          <t>O</t>
        </is>
      </c>
      <c r="G284" s="91" t="n"/>
      <c r="H284" s="92" t="n"/>
      <c r="I284" s="93" t="inlineStr">
        <is>
          <t>AR</t>
        </is>
      </c>
      <c r="J284" s="94" t="n"/>
      <c r="K284" s="95" t="n"/>
      <c r="L284" s="96" t="n"/>
      <c r="M284" s="97" t="n"/>
      <c r="N284" s="98" t="inlineStr">
        <is>
          <t>O</t>
        </is>
      </c>
      <c r="O284" s="99" t="n"/>
      <c r="P284" s="100" t="inlineStr">
        <is>
          <t>8-AR</t>
        </is>
      </c>
      <c r="Q284" s="102" t="inlineStr">
        <is>
          <t>HLP</t>
        </is>
      </c>
      <c r="R284" s="110">
        <f>HYPERLINK("#'마스터_품목'!A547","→ 마스터 R547")</f>
        <v/>
      </c>
      <c r="S284" s="111" t="n">
        <v>547</v>
      </c>
      <c r="T284" s="111" t="inlineStr">
        <is>
          <t>마스터_품목</t>
        </is>
      </c>
    </row>
    <row r="285" ht="48" customHeight="1">
      <c r="A285" s="87" t="inlineStr">
        <is>
          <t>창고</t>
        </is>
      </c>
      <c r="B285" s="87" t="inlineStr">
        <is>
          <t>CABLE</t>
        </is>
      </c>
      <c r="C285" s="88" t="inlineStr">
        <is>
          <t>SOLO</t>
        </is>
      </c>
      <c r="D285" s="88" t="inlineStr">
        <is>
          <t>SOLO 하네스 1번 (12505HS-12 (PowerBD - OP 12핀))
[SOLO]</t>
        </is>
      </c>
      <c r="E285" s="88" t="inlineStr">
        <is>
          <t>Harness-03 ( OP BD+POWER BD 연결_26AWG / 125mm(6번 제외) )</t>
        </is>
      </c>
      <c r="F285" s="90" t="inlineStr">
        <is>
          <t>O</t>
        </is>
      </c>
      <c r="G285" s="91" t="n"/>
      <c r="H285" s="92" t="n"/>
      <c r="I285" s="93" t="inlineStr">
        <is>
          <t>AR</t>
        </is>
      </c>
      <c r="J285" s="94" t="n"/>
      <c r="K285" s="95" t="n"/>
      <c r="L285" s="96" t="n"/>
      <c r="M285" s="97" t="n"/>
      <c r="N285" s="98" t="inlineStr">
        <is>
          <t>O</t>
        </is>
      </c>
      <c r="O285" s="99" t="n"/>
      <c r="P285" s="100" t="inlineStr">
        <is>
          <t>8-AR</t>
        </is>
      </c>
      <c r="Q285" s="102" t="inlineStr">
        <is>
          <t>HLP</t>
        </is>
      </c>
      <c r="R285" s="110">
        <f>HYPERLINK("#'마스터_품목'!A550","→ 마스터 R550")</f>
        <v/>
      </c>
      <c r="S285" s="111" t="n">
        <v>550</v>
      </c>
      <c r="T285" s="111" t="inlineStr">
        <is>
          <t>마스터_품목</t>
        </is>
      </c>
    </row>
    <row r="286" ht="48" customHeight="1">
      <c r="A286" s="87" t="inlineStr">
        <is>
          <t>창고</t>
        </is>
      </c>
      <c r="B286" s="87" t="inlineStr">
        <is>
          <t>CABLE</t>
        </is>
      </c>
      <c r="C286" s="88" t="inlineStr">
        <is>
          <t>SOLO</t>
        </is>
      </c>
      <c r="D286" s="88" t="inlineStr">
        <is>
          <t>SOLO 하네스 2번 (12505HS-03 Battery-Handle bridge 3핀)
[SOLO]</t>
        </is>
      </c>
      <c r="E286" s="88" t="inlineStr">
        <is>
          <t>Harness-01 - COCOON과 공용 ( BATCON BD+EXP BD 연결 _16AWG 실리콘 / 150mm)</t>
        </is>
      </c>
      <c r="F286" s="90" t="inlineStr">
        <is>
          <t>O</t>
        </is>
      </c>
      <c r="G286" s="91" t="n"/>
      <c r="H286" s="92" t="n"/>
      <c r="I286" s="93" t="inlineStr">
        <is>
          <t>AR</t>
        </is>
      </c>
      <c r="J286" s="94" t="n"/>
      <c r="K286" s="95" t="n"/>
      <c r="L286" s="96" t="n"/>
      <c r="M286" s="97" t="n"/>
      <c r="N286" s="98" t="inlineStr">
        <is>
          <t>O</t>
        </is>
      </c>
      <c r="O286" s="99" t="n"/>
      <c r="P286" s="100" t="inlineStr">
        <is>
          <t>8-AR</t>
        </is>
      </c>
      <c r="Q286" s="102" t="inlineStr">
        <is>
          <t>HLP</t>
        </is>
      </c>
      <c r="R286" s="110">
        <f>HYPERLINK("#'마스터_품목'!A548","→ 마스터 R548")</f>
        <v/>
      </c>
      <c r="S286" s="111" t="n">
        <v>548</v>
      </c>
      <c r="T286" s="111" t="inlineStr">
        <is>
          <t>마스터_품목</t>
        </is>
      </c>
    </row>
    <row r="287" ht="48" customHeight="1">
      <c r="A287" s="87" t="inlineStr">
        <is>
          <t>창고</t>
        </is>
      </c>
      <c r="B287" s="87" t="inlineStr">
        <is>
          <t>CABLE</t>
        </is>
      </c>
      <c r="C287" s="88" t="inlineStr">
        <is>
          <t>SOLO</t>
        </is>
      </c>
      <c r="D287" s="88" t="inlineStr">
        <is>
          <t>SOLO 하네스 3번 (0.5 * 40 * 100 * B (FFC 40핀))
[SOLO]</t>
        </is>
      </c>
      <c r="E287" s="88" t="inlineStr">
        <is>
          <t>Harness-04 ( OP BD + CTR BD 연결 _0.5mm FFC / 100mm )</t>
        </is>
      </c>
      <c r="F287" s="90" t="inlineStr">
        <is>
          <t>O</t>
        </is>
      </c>
      <c r="G287" s="91" t="n"/>
      <c r="H287" s="92" t="n"/>
      <c r="I287" s="93" t="inlineStr">
        <is>
          <t>AR</t>
        </is>
      </c>
      <c r="J287" s="94" t="n"/>
      <c r="K287" s="95" t="n"/>
      <c r="L287" s="96" t="n"/>
      <c r="M287" s="97" t="n"/>
      <c r="N287" s="98" t="inlineStr">
        <is>
          <t>O</t>
        </is>
      </c>
      <c r="O287" s="99" t="n"/>
      <c r="P287" s="100" t="inlineStr">
        <is>
          <t>8-AR</t>
        </is>
      </c>
      <c r="Q287" s="102" t="inlineStr">
        <is>
          <t>HLP</t>
        </is>
      </c>
      <c r="R287" s="110">
        <f>HYPERLINK("#'마스터_품목'!A551","→ 마스터 R551")</f>
        <v/>
      </c>
      <c r="S287" s="111" t="n">
        <v>551</v>
      </c>
      <c r="T287" s="111" t="inlineStr">
        <is>
          <t>마스터_품목</t>
        </is>
      </c>
    </row>
    <row r="288" ht="48" customHeight="1">
      <c r="A288" s="87" t="inlineStr">
        <is>
          <t>창고</t>
        </is>
      </c>
      <c r="B288" s="87" t="inlineStr">
        <is>
          <t>CABLE</t>
        </is>
      </c>
      <c r="C288" s="88" t="inlineStr">
        <is>
          <t>SOLO</t>
        </is>
      </c>
      <c r="D288" s="88" t="inlineStr">
        <is>
          <t>SOLO 하네스 4번 (BATCON+EXP _ 190mm(Red1EA, White 2EA)-3핀)
[SOLO]</t>
        </is>
      </c>
      <c r="E288" s="88" t="inlineStr">
        <is>
          <t>Harness-02 ( BATCON BD + EXP BD 연결 _26AWG / 190mm )</t>
        </is>
      </c>
      <c r="F288" s="90" t="inlineStr">
        <is>
          <t>O</t>
        </is>
      </c>
      <c r="G288" s="91" t="n"/>
      <c r="H288" s="92" t="n"/>
      <c r="I288" s="93" t="inlineStr">
        <is>
          <t>AR</t>
        </is>
      </c>
      <c r="J288" s="94" t="n"/>
      <c r="K288" s="95" t="n"/>
      <c r="L288" s="96" t="n"/>
      <c r="M288" s="97" t="n"/>
      <c r="N288" s="98" t="inlineStr">
        <is>
          <t>O</t>
        </is>
      </c>
      <c r="O288" s="99" t="n"/>
      <c r="P288" s="100" t="inlineStr">
        <is>
          <t>8-AR</t>
        </is>
      </c>
      <c r="Q288" s="102" t="inlineStr">
        <is>
          <t>HLP</t>
        </is>
      </c>
      <c r="R288" s="110">
        <f>HYPERLINK("#'마스터_품목'!A549","→ 마스터 R549")</f>
        <v/>
      </c>
      <c r="S288" s="111" t="n">
        <v>549</v>
      </c>
      <c r="T288" s="111" t="inlineStr">
        <is>
          <t>마스터_품목</t>
        </is>
      </c>
    </row>
    <row r="289" ht="48" customHeight="1">
      <c r="A289" s="87" t="inlineStr">
        <is>
          <t>창고</t>
        </is>
      </c>
      <c r="B289" s="87" t="inlineStr">
        <is>
          <t>ABS 난연</t>
        </is>
      </c>
      <c r="C289" s="88" t="inlineStr">
        <is>
          <t>SOLO</t>
        </is>
      </c>
      <c r="D289" s="88" t="inlineStr">
        <is>
          <t>TOP Body (ABS 블랙 샌딩)
[SOLO]</t>
        </is>
      </c>
      <c r="E289" s="88" t="inlineStr">
        <is>
          <t>Top_body _ 블랙 샌딩</t>
        </is>
      </c>
      <c r="F289" s="90" t="inlineStr">
        <is>
          <t>O</t>
        </is>
      </c>
      <c r="G289" s="91" t="n"/>
      <c r="H289" s="92" t="n"/>
      <c r="I289" s="93" t="inlineStr">
        <is>
          <t>AR</t>
        </is>
      </c>
      <c r="J289" s="94" t="n"/>
      <c r="K289" s="95" t="n"/>
      <c r="L289" s="96" t="n"/>
      <c r="M289" s="97" t="n"/>
      <c r="N289" s="98" t="inlineStr">
        <is>
          <t>O</t>
        </is>
      </c>
      <c r="O289" s="99" t="n"/>
      <c r="P289" s="100" t="inlineStr">
        <is>
          <t>8-AR</t>
        </is>
      </c>
      <c r="Q289" s="102" t="inlineStr">
        <is>
          <t>천우</t>
        </is>
      </c>
      <c r="R289" s="110">
        <f>HYPERLINK("#'마스터_품목'!A508","→ 마스터 R508")</f>
        <v/>
      </c>
      <c r="S289" s="111" t="n">
        <v>508</v>
      </c>
      <c r="T289" s="111" t="inlineStr">
        <is>
          <t>마스터_품목</t>
        </is>
      </c>
    </row>
    <row r="290" ht="48" customHeight="1">
      <c r="A290" s="87" t="inlineStr">
        <is>
          <t>창고</t>
        </is>
      </c>
      <c r="B290" s="87" t="inlineStr">
        <is>
          <t>ABS 난연</t>
        </is>
      </c>
      <c r="C290" s="88" t="inlineStr">
        <is>
          <t>SOLO</t>
        </is>
      </c>
      <c r="D290" s="88" t="inlineStr">
        <is>
          <t>Bottom Body (ABS 블랙 샌딩)
[SOLO]</t>
        </is>
      </c>
      <c r="E290" s="88" t="inlineStr">
        <is>
          <t>Bottom Body _ 블랙 샌딩</t>
        </is>
      </c>
      <c r="F290" s="90" t="inlineStr">
        <is>
          <t>O</t>
        </is>
      </c>
      <c r="G290" s="91" t="n"/>
      <c r="H290" s="92" t="n"/>
      <c r="I290" s="93" t="inlineStr">
        <is>
          <t>AR</t>
        </is>
      </c>
      <c r="J290" s="94" t="n"/>
      <c r="K290" s="95" t="n"/>
      <c r="L290" s="96" t="n"/>
      <c r="M290" s="97" t="n"/>
      <c r="N290" s="98" t="inlineStr">
        <is>
          <t>O</t>
        </is>
      </c>
      <c r="O290" s="99" t="n"/>
      <c r="P290" s="100" t="inlineStr">
        <is>
          <t>8-AR</t>
        </is>
      </c>
      <c r="Q290" s="102" t="inlineStr">
        <is>
          <t>천우</t>
        </is>
      </c>
      <c r="R290" s="110">
        <f>HYPERLINK("#'마스터_품목'!A509","→ 마스터 R509")</f>
        <v/>
      </c>
      <c r="S290" s="111" t="n">
        <v>509</v>
      </c>
      <c r="T290" s="111" t="inlineStr">
        <is>
          <t>마스터_품목</t>
        </is>
      </c>
    </row>
    <row r="291" ht="48" customHeight="1">
      <c r="A291" s="87" t="inlineStr">
        <is>
          <t>창고</t>
        </is>
      </c>
      <c r="B291" s="87" t="inlineStr">
        <is>
          <t>ABS 난연</t>
        </is>
      </c>
      <c r="C291" s="88" t="inlineStr">
        <is>
          <t>SOLO</t>
        </is>
      </c>
      <c r="D291" s="88" t="inlineStr">
        <is>
          <t>Main_Cone (ABS 메탈릭 다크그레이)
[SOLO]</t>
        </is>
      </c>
      <c r="E291" s="88" t="inlineStr">
        <is>
          <t>Main_Cone _ 메탈릭 다크 그레이 도색</t>
        </is>
      </c>
      <c r="F291" s="90" t="inlineStr">
        <is>
          <t>O</t>
        </is>
      </c>
      <c r="G291" s="91" t="n"/>
      <c r="H291" s="92" t="n"/>
      <c r="I291" s="93" t="inlineStr">
        <is>
          <t>AR</t>
        </is>
      </c>
      <c r="J291" s="94" t="n"/>
      <c r="K291" s="95" t="n"/>
      <c r="L291" s="96" t="n"/>
      <c r="M291" s="97" t="n"/>
      <c r="N291" s="98" t="inlineStr">
        <is>
          <t>O</t>
        </is>
      </c>
      <c r="O291" s="99" t="n"/>
      <c r="P291" s="100" t="inlineStr">
        <is>
          <t>8-AR</t>
        </is>
      </c>
      <c r="Q291" s="102" t="inlineStr">
        <is>
          <t>천우</t>
        </is>
      </c>
      <c r="R291" s="110">
        <f>HYPERLINK("#'마스터_품목'!A517","→ 마스터 R517")</f>
        <v/>
      </c>
      <c r="S291" s="111" t="n">
        <v>517</v>
      </c>
      <c r="T291" s="111" t="inlineStr">
        <is>
          <t>마스터_품목</t>
        </is>
      </c>
    </row>
    <row r="292" ht="48" customHeight="1">
      <c r="A292" s="87" t="inlineStr">
        <is>
          <t>창고</t>
        </is>
      </c>
      <c r="B292" s="87" t="inlineStr">
        <is>
          <t>ABS 난연</t>
        </is>
      </c>
      <c r="C292" s="88" t="inlineStr">
        <is>
          <t>SOLO</t>
        </is>
      </c>
      <c r="D292" s="88" t="inlineStr">
        <is>
          <t>Hand_Body (ABS 블랙 샌딩)
[SOLO]</t>
        </is>
      </c>
      <c r="E292" s="88" t="inlineStr">
        <is>
          <t>Hand_Body _ 블랙 샌딩</t>
        </is>
      </c>
      <c r="F292" s="90" t="inlineStr">
        <is>
          <t>O</t>
        </is>
      </c>
      <c r="G292" s="91" t="n"/>
      <c r="H292" s="92" t="n"/>
      <c r="I292" s="93" t="inlineStr">
        <is>
          <t>AR</t>
        </is>
      </c>
      <c r="J292" s="94" t="n"/>
      <c r="K292" s="95" t="n"/>
      <c r="L292" s="96" t="n"/>
      <c r="M292" s="97" t="n"/>
      <c r="N292" s="98" t="inlineStr">
        <is>
          <t>O</t>
        </is>
      </c>
      <c r="O292" s="99" t="n"/>
      <c r="P292" s="100" t="inlineStr">
        <is>
          <t>8-AR</t>
        </is>
      </c>
      <c r="Q292" s="102" t="inlineStr">
        <is>
          <t>천우</t>
        </is>
      </c>
      <c r="R292" s="110">
        <f>HYPERLINK("#'마스터_품목'!A510","→ 마스터 R510")</f>
        <v/>
      </c>
      <c r="S292" s="111" t="n">
        <v>510</v>
      </c>
      <c r="T292" s="111" t="inlineStr">
        <is>
          <t>마스터_품목</t>
        </is>
      </c>
    </row>
    <row r="293" ht="48" customHeight="1">
      <c r="A293" s="87" t="inlineStr">
        <is>
          <t>창고</t>
        </is>
      </c>
      <c r="B293" s="87" t="inlineStr">
        <is>
          <t>ABS 난연</t>
        </is>
      </c>
      <c r="C293" s="88" t="inlineStr">
        <is>
          <t>SOLO</t>
        </is>
      </c>
      <c r="D293" s="88" t="inlineStr">
        <is>
          <t>Bat_Bottom (ABS 블랙 샌딩)
[SOLO]</t>
        </is>
      </c>
      <c r="E293" s="88" t="inlineStr">
        <is>
          <t>Bat_Bottom _ 블랙 샌딩</t>
        </is>
      </c>
      <c r="F293" s="90" t="inlineStr">
        <is>
          <t>O</t>
        </is>
      </c>
      <c r="G293" s="91" t="n"/>
      <c r="H293" s="92" t="n"/>
      <c r="I293" s="93" t="inlineStr">
        <is>
          <t>AR</t>
        </is>
      </c>
      <c r="J293" s="94" t="n"/>
      <c r="K293" s="95" t="n"/>
      <c r="L293" s="96" t="n"/>
      <c r="M293" s="97" t="n"/>
      <c r="N293" s="98" t="inlineStr">
        <is>
          <t>O</t>
        </is>
      </c>
      <c r="O293" s="99" t="n"/>
      <c r="P293" s="100" t="inlineStr">
        <is>
          <t>8-AR</t>
        </is>
      </c>
      <c r="Q293" s="102" t="inlineStr">
        <is>
          <t>천우</t>
        </is>
      </c>
      <c r="R293" s="110">
        <f>HYPERLINK("#'마스터_품목'!A511","→ 마스터 R511")</f>
        <v/>
      </c>
      <c r="S293" s="111" t="n">
        <v>511</v>
      </c>
      <c r="T293" s="111" t="inlineStr">
        <is>
          <t>마스터_품목</t>
        </is>
      </c>
    </row>
    <row r="294" ht="48" customHeight="1">
      <c r="A294" s="87" t="inlineStr">
        <is>
          <t>창고</t>
        </is>
      </c>
      <c r="B294" s="87" t="inlineStr">
        <is>
          <t>ABS 난연</t>
        </is>
      </c>
      <c r="C294" s="88" t="inlineStr">
        <is>
          <t>SOLO</t>
        </is>
      </c>
      <c r="D294" s="88" t="inlineStr">
        <is>
          <t>Power Button (ABS 블랙 샌딩)
[SOLO]</t>
        </is>
      </c>
      <c r="E294" s="88" t="inlineStr">
        <is>
          <t>Power Button _ 블랙 샌딩</t>
        </is>
      </c>
      <c r="F294" s="90" t="inlineStr">
        <is>
          <t>O</t>
        </is>
      </c>
      <c r="G294" s="91" t="n"/>
      <c r="H294" s="92" t="n"/>
      <c r="I294" s="93" t="inlineStr">
        <is>
          <t>AR</t>
        </is>
      </c>
      <c r="J294" s="94" t="n"/>
      <c r="K294" s="95" t="n"/>
      <c r="L294" s="96" t="n"/>
      <c r="M294" s="97" t="n"/>
      <c r="N294" s="98" t="inlineStr">
        <is>
          <t>O</t>
        </is>
      </c>
      <c r="O294" s="99" t="n"/>
      <c r="P294" s="100" t="inlineStr">
        <is>
          <t>8-AR</t>
        </is>
      </c>
      <c r="Q294" s="102" t="inlineStr">
        <is>
          <t>천우</t>
        </is>
      </c>
      <c r="R294" s="110">
        <f>HYPERLINK("#'마스터_품목'!A513","→ 마스터 R513")</f>
        <v/>
      </c>
      <c r="S294" s="111" t="n">
        <v>513</v>
      </c>
      <c r="T294" s="111" t="inlineStr">
        <is>
          <t>마스터_품목</t>
        </is>
      </c>
    </row>
    <row r="295" ht="48" customHeight="1">
      <c r="A295" s="126" t="inlineStr">
        <is>
          <t>조립</t>
        </is>
      </c>
      <c r="B295" s="87" t="inlineStr">
        <is>
          <t>ABS 난연</t>
        </is>
      </c>
      <c r="C295" s="88" t="inlineStr">
        <is>
          <t>SOLO</t>
        </is>
      </c>
      <c r="D295" s="88" t="inlineStr">
        <is>
          <t>Button Indicator (ABS 블랙)
[SOLO]</t>
        </is>
      </c>
      <c r="E295" s="88" t="n"/>
      <c r="F295" s="90" t="inlineStr">
        <is>
          <t>O</t>
        </is>
      </c>
      <c r="G295" s="91" t="n"/>
      <c r="H295" s="92" t="n"/>
      <c r="I295" s="93">
        <f>IFERROR(IF(OR($F295="O",$G295="O",$H295="O"),CHOOSE(MATCH($A295,{"튜브","고압","진공","튜닝","조립","출하"},0),"T","H","V","N","A","P")&amp;IF($F295="O","R",IF($G295="O","A",IF($H295="O","F",""))),""),"")</f>
        <v/>
      </c>
      <c r="J295" s="94" t="n"/>
      <c r="K295" s="95" t="n"/>
      <c r="L295" s="96" t="n"/>
      <c r="M295" s="97" t="n"/>
      <c r="N295" s="123" t="inlineStr">
        <is>
          <t>O</t>
        </is>
      </c>
      <c r="O295" s="99" t="n"/>
      <c r="P295" s="100">
        <f>IF($I295="","",IF($J295="O","3","")&amp;IF($K295="O","4","")&amp;IF($L295="O","6","")&amp;IF($M295="O","7","")&amp;IF($N295="O","8","")&amp;IF($O295="O","?","")&amp;IF(OR($J295="O",$K295="O",$L295="O",$M295="O",$N295="O",$O295="O"),"-","")&amp;$I295)</f>
        <v/>
      </c>
      <c r="Q295" s="102" t="inlineStr">
        <is>
          <t>천우</t>
        </is>
      </c>
      <c r="R295" s="110">
        <f>HYPERLINK("#'마스터_품목'!A752","→ 마스터 R752")</f>
        <v/>
      </c>
      <c r="S295" s="111" t="n">
        <v>752</v>
      </c>
      <c r="T295" s="111" t="inlineStr">
        <is>
          <t>마스터_품목</t>
        </is>
      </c>
    </row>
    <row r="296" ht="48" customHeight="1">
      <c r="A296" s="87" t="inlineStr">
        <is>
          <t>창고</t>
        </is>
      </c>
      <c r="B296" s="87" t="inlineStr">
        <is>
          <t>ABS 난연</t>
        </is>
      </c>
      <c r="C296" s="88" t="inlineStr">
        <is>
          <t>SOLO</t>
        </is>
      </c>
      <c r="D296" s="88" t="inlineStr">
        <is>
          <t>LCD GUIDE (ABS 블랙)
[SOLO]</t>
        </is>
      </c>
      <c r="E296" s="88" t="inlineStr">
        <is>
          <t>LCD 가이드 _ 블랙</t>
        </is>
      </c>
      <c r="F296" s="90" t="inlineStr">
        <is>
          <t>O</t>
        </is>
      </c>
      <c r="G296" s="91" t="n"/>
      <c r="H296" s="92" t="n"/>
      <c r="I296" s="93" t="inlineStr">
        <is>
          <t>AR</t>
        </is>
      </c>
      <c r="J296" s="94" t="n"/>
      <c r="K296" s="95" t="n"/>
      <c r="L296" s="96" t="n"/>
      <c r="M296" s="97" t="n"/>
      <c r="N296" s="98" t="inlineStr">
        <is>
          <t>O</t>
        </is>
      </c>
      <c r="O296" s="99" t="n"/>
      <c r="P296" s="100" t="inlineStr">
        <is>
          <t>8-AR</t>
        </is>
      </c>
      <c r="Q296" s="102" t="inlineStr">
        <is>
          <t>월드씨앤피</t>
        </is>
      </c>
      <c r="R296" s="110">
        <f>HYPERLINK("#'마스터_품목'!A526","→ 마스터 R526")</f>
        <v/>
      </c>
      <c r="S296" s="111" t="n">
        <v>526</v>
      </c>
      <c r="T296" s="111" t="inlineStr">
        <is>
          <t>마스터_품목</t>
        </is>
      </c>
    </row>
    <row r="297" ht="48" customHeight="1">
      <c r="A297" s="87" t="inlineStr">
        <is>
          <t>창고</t>
        </is>
      </c>
      <c r="B297" s="87" t="inlineStr">
        <is>
          <t>ABS 난연</t>
        </is>
      </c>
      <c r="C297" s="88" t="inlineStr">
        <is>
          <t>SOLO</t>
        </is>
      </c>
      <c r="D297" s="88" t="inlineStr">
        <is>
          <t>발생부_Guide (ABS 블랙)
[SOLO]</t>
        </is>
      </c>
      <c r="E297" s="88" t="inlineStr">
        <is>
          <t>발생부 Guide _ 블랙</t>
        </is>
      </c>
      <c r="F297" s="90" t="inlineStr">
        <is>
          <t>O</t>
        </is>
      </c>
      <c r="G297" s="91" t="n"/>
      <c r="H297" s="92" t="n"/>
      <c r="I297" s="93" t="inlineStr">
        <is>
          <t>AR</t>
        </is>
      </c>
      <c r="J297" s="94" t="n"/>
      <c r="K297" s="95" t="n"/>
      <c r="L297" s="96" t="n"/>
      <c r="M297" s="97" t="n"/>
      <c r="N297" s="98" t="inlineStr">
        <is>
          <t>O</t>
        </is>
      </c>
      <c r="O297" s="99" t="n"/>
      <c r="P297" s="100" t="inlineStr">
        <is>
          <t>8-AR</t>
        </is>
      </c>
      <c r="Q297" s="102" t="inlineStr">
        <is>
          <t>천우</t>
        </is>
      </c>
      <c r="R297" s="110">
        <f>HYPERLINK("#'마스터_품목'!A525","→ 마스터 R525")</f>
        <v/>
      </c>
      <c r="S297" s="111" t="n">
        <v>525</v>
      </c>
      <c r="T297" s="111" t="inlineStr">
        <is>
          <t>마스터_품목</t>
        </is>
      </c>
    </row>
    <row r="298" ht="48" customHeight="1">
      <c r="A298" s="87" t="inlineStr">
        <is>
          <t>창고</t>
        </is>
      </c>
      <c r="B298" s="87" t="inlineStr">
        <is>
          <t>ABS 난연</t>
        </is>
      </c>
      <c r="C298" s="88" t="inlineStr">
        <is>
          <t>SOLO</t>
        </is>
      </c>
      <c r="D298" s="88" t="inlineStr">
        <is>
          <t>Lock Inner (ABS 블랙)
[SOLO]</t>
        </is>
      </c>
      <c r="E298" s="88" t="inlineStr">
        <is>
          <t>Lock Inner _ 블랙</t>
        </is>
      </c>
      <c r="F298" s="90" t="inlineStr">
        <is>
          <t>O</t>
        </is>
      </c>
      <c r="G298" s="91" t="n"/>
      <c r="H298" s="92" t="n"/>
      <c r="I298" s="93" t="inlineStr">
        <is>
          <t>AR</t>
        </is>
      </c>
      <c r="J298" s="94" t="n"/>
      <c r="K298" s="95" t="n"/>
      <c r="L298" s="96" t="n"/>
      <c r="M298" s="97" t="n"/>
      <c r="N298" s="98" t="inlineStr">
        <is>
          <t>O</t>
        </is>
      </c>
      <c r="O298" s="99" t="n"/>
      <c r="P298" s="100" t="inlineStr">
        <is>
          <t>8-AR</t>
        </is>
      </c>
      <c r="Q298" s="102" t="inlineStr">
        <is>
          <t>천우</t>
        </is>
      </c>
      <c r="R298" s="110">
        <f>HYPERLINK("#'마스터_품목'!A522","→ 마스터 R522")</f>
        <v/>
      </c>
      <c r="S298" s="111" t="n">
        <v>522</v>
      </c>
      <c r="T298" s="111" t="inlineStr">
        <is>
          <t>마스터_품목</t>
        </is>
      </c>
    </row>
    <row r="299" ht="48" customHeight="1">
      <c r="A299" s="87" t="inlineStr">
        <is>
          <t>창고</t>
        </is>
      </c>
      <c r="B299" s="87" t="inlineStr">
        <is>
          <t>ABS 난연</t>
        </is>
      </c>
      <c r="C299" s="88" t="inlineStr">
        <is>
          <t>SOLO</t>
        </is>
      </c>
      <c r="D299" s="88" t="inlineStr">
        <is>
          <t>Lock Knob (ABS 블랙 샌딩)
[SOLO]</t>
        </is>
      </c>
      <c r="E299" s="88" t="inlineStr">
        <is>
          <t>Lock Knob _ 블랙 샌딩</t>
        </is>
      </c>
      <c r="F299" s="90" t="inlineStr">
        <is>
          <t>O</t>
        </is>
      </c>
      <c r="G299" s="91" t="n"/>
      <c r="H299" s="92" t="n"/>
      <c r="I299" s="93" t="inlineStr">
        <is>
          <t>AR</t>
        </is>
      </c>
      <c r="J299" s="94" t="n"/>
      <c r="K299" s="95" t="n"/>
      <c r="L299" s="96" t="n"/>
      <c r="M299" s="97" t="n"/>
      <c r="N299" s="98" t="inlineStr">
        <is>
          <t>O</t>
        </is>
      </c>
      <c r="O299" s="99" t="n"/>
      <c r="P299" s="100" t="inlineStr">
        <is>
          <t>8-AR</t>
        </is>
      </c>
      <c r="Q299" s="102" t="inlineStr">
        <is>
          <t>천우</t>
        </is>
      </c>
      <c r="R299" s="110">
        <f>HYPERLINK("#'마스터_품목'!A514","→ 마스터 R514")</f>
        <v/>
      </c>
      <c r="S299" s="111" t="n">
        <v>514</v>
      </c>
      <c r="T299" s="111" t="inlineStr">
        <is>
          <t>마스터_품목</t>
        </is>
      </c>
    </row>
    <row r="300" ht="48" customHeight="1">
      <c r="A300" s="87" t="inlineStr">
        <is>
          <t>창고</t>
        </is>
      </c>
      <c r="B300" s="87" t="inlineStr">
        <is>
          <t>ABS 난연</t>
        </is>
      </c>
      <c r="C300" s="88" t="inlineStr">
        <is>
          <t>SOLO</t>
        </is>
      </c>
      <c r="D300" s="88" t="inlineStr">
        <is>
          <t>Front_CAP (ABS 메탈릭 다크그레이)
[SOLO]</t>
        </is>
      </c>
      <c r="E300" s="88" t="inlineStr">
        <is>
          <t>Front_CAP _ 메탈릭 다크 그레이 도색</t>
        </is>
      </c>
      <c r="F300" s="90" t="inlineStr">
        <is>
          <t>O</t>
        </is>
      </c>
      <c r="G300" s="91" t="n"/>
      <c r="H300" s="92" t="n"/>
      <c r="I300" s="93" t="inlineStr">
        <is>
          <t>AR</t>
        </is>
      </c>
      <c r="J300" s="94" t="n"/>
      <c r="K300" s="95" t="n"/>
      <c r="L300" s="96" t="n"/>
      <c r="M300" s="97" t="n"/>
      <c r="N300" s="98" t="inlineStr">
        <is>
          <t>O</t>
        </is>
      </c>
      <c r="O300" s="99" t="n"/>
      <c r="P300" s="100" t="inlineStr">
        <is>
          <t>8-AR</t>
        </is>
      </c>
      <c r="Q300" s="102" t="inlineStr">
        <is>
          <t>천우</t>
        </is>
      </c>
      <c r="R300" s="110">
        <f>HYPERLINK("#'마스터_품목'!A515","→ 마스터 R515")</f>
        <v/>
      </c>
      <c r="S300" s="111" t="n">
        <v>515</v>
      </c>
      <c r="T300" s="111" t="inlineStr">
        <is>
          <t>마스터_품목</t>
        </is>
      </c>
    </row>
    <row r="301" ht="48" customHeight="1">
      <c r="A301" s="87" t="inlineStr">
        <is>
          <t>창고</t>
        </is>
      </c>
      <c r="B301" s="87" t="inlineStr">
        <is>
          <t>ABS 난연</t>
        </is>
      </c>
      <c r="C301" s="88" t="inlineStr">
        <is>
          <t>SOLO</t>
        </is>
      </c>
      <c r="D301" s="88" t="inlineStr">
        <is>
          <t>연장 Cone (ABS 메탈릭 다크그레이)
[SOLO]</t>
        </is>
      </c>
      <c r="E301" s="88" t="inlineStr">
        <is>
          <t>연장 Cone _ 메탈릭 다크 그레이 도색</t>
        </is>
      </c>
      <c r="F301" s="90" t="inlineStr">
        <is>
          <t>O</t>
        </is>
      </c>
      <c r="G301" s="91" t="n"/>
      <c r="H301" s="92" t="n"/>
      <c r="I301" s="93" t="inlineStr">
        <is>
          <t>AR</t>
        </is>
      </c>
      <c r="J301" s="94" t="n"/>
      <c r="K301" s="95" t="n"/>
      <c r="L301" s="96" t="n"/>
      <c r="M301" s="97" t="n"/>
      <c r="N301" s="98" t="inlineStr">
        <is>
          <t>O</t>
        </is>
      </c>
      <c r="O301" s="99" t="n"/>
      <c r="P301" s="100" t="inlineStr">
        <is>
          <t>8-AR</t>
        </is>
      </c>
      <c r="Q301" s="102" t="inlineStr">
        <is>
          <t>천우</t>
        </is>
      </c>
      <c r="R301" s="110">
        <f>HYPERLINK("#'마스터_품목'!A516","→ 마스터 R516")</f>
        <v/>
      </c>
      <c r="S301" s="111" t="n">
        <v>516</v>
      </c>
      <c r="T301" s="111" t="inlineStr">
        <is>
          <t>마스터_품목</t>
        </is>
      </c>
    </row>
    <row r="302" ht="48" customHeight="1">
      <c r="A302" s="87" t="inlineStr">
        <is>
          <t>창고</t>
        </is>
      </c>
      <c r="B302" s="87" t="inlineStr">
        <is>
          <t>ABS 난연</t>
        </is>
      </c>
      <c r="C302" s="88" t="inlineStr">
        <is>
          <t>SOLO</t>
        </is>
      </c>
      <c r="D302" s="88" t="inlineStr">
        <is>
          <t>Hand Top Cover (ABS 블랙)
[SOLO]</t>
        </is>
      </c>
      <c r="E302" s="88" t="inlineStr">
        <is>
          <t>Hand_Topr Cover_ 블랙</t>
        </is>
      </c>
      <c r="F302" s="90" t="inlineStr">
        <is>
          <t>O</t>
        </is>
      </c>
      <c r="G302" s="91" t="n"/>
      <c r="H302" s="92" t="n"/>
      <c r="I302" s="93" t="inlineStr">
        <is>
          <t>AR</t>
        </is>
      </c>
      <c r="J302" s="94" t="n"/>
      <c r="K302" s="95" t="n"/>
      <c r="L302" s="96" t="n"/>
      <c r="M302" s="97" t="n"/>
      <c r="N302" s="98" t="inlineStr">
        <is>
          <t>O</t>
        </is>
      </c>
      <c r="O302" s="99" t="n"/>
      <c r="P302" s="100" t="inlineStr">
        <is>
          <t>8-AR</t>
        </is>
      </c>
      <c r="Q302" s="102" t="inlineStr">
        <is>
          <t>천우</t>
        </is>
      </c>
      <c r="R302" s="110">
        <f>HYPERLINK("#'마스터_품목'!A523","→ 마스터 R523")</f>
        <v/>
      </c>
      <c r="S302" s="111" t="n">
        <v>523</v>
      </c>
      <c r="T302" s="111" t="inlineStr">
        <is>
          <t>마스터_품목</t>
        </is>
      </c>
    </row>
    <row r="303" ht="48" customHeight="1">
      <c r="A303" s="87" t="inlineStr">
        <is>
          <t>창고</t>
        </is>
      </c>
      <c r="B303" s="87" t="inlineStr">
        <is>
          <t>ABS 난연</t>
        </is>
      </c>
      <c r="C303" s="88" t="inlineStr">
        <is>
          <t>SOLO</t>
        </is>
      </c>
      <c r="D303" s="88" t="inlineStr">
        <is>
          <t>Slide Switch (ABS 블루(PANTTON 660C) 무광)
[SOLO]</t>
        </is>
      </c>
      <c r="E303" s="88" t="inlineStr">
        <is>
          <t>Slide Switch _ SKY BLUE 무광 도색</t>
        </is>
      </c>
      <c r="F303" s="90" t="inlineStr">
        <is>
          <t>O</t>
        </is>
      </c>
      <c r="G303" s="91" t="n"/>
      <c r="H303" s="92" t="n"/>
      <c r="I303" s="93" t="inlineStr">
        <is>
          <t>AR</t>
        </is>
      </c>
      <c r="J303" s="94" t="n"/>
      <c r="K303" s="95" t="n"/>
      <c r="L303" s="96" t="n"/>
      <c r="M303" s="97" t="n"/>
      <c r="N303" s="98" t="inlineStr">
        <is>
          <t>O</t>
        </is>
      </c>
      <c r="O303" s="99" t="n"/>
      <c r="P303" s="100" t="inlineStr">
        <is>
          <t>8-AR</t>
        </is>
      </c>
      <c r="Q303" s="102" t="inlineStr">
        <is>
          <t>천우</t>
        </is>
      </c>
      <c r="R303" s="110">
        <f>HYPERLINK("#'마스터_품목'!A520","→ 마스터 R520")</f>
        <v/>
      </c>
      <c r="S303" s="111" t="n">
        <v>520</v>
      </c>
      <c r="T303" s="111" t="inlineStr">
        <is>
          <t>마스터_품목</t>
        </is>
      </c>
    </row>
    <row r="304" ht="48" customHeight="1">
      <c r="A304" s="87" t="inlineStr">
        <is>
          <t>창고</t>
        </is>
      </c>
      <c r="B304" s="87" t="inlineStr">
        <is>
          <t>ABS 난연</t>
        </is>
      </c>
      <c r="C304" s="88" t="inlineStr">
        <is>
          <t>SOLO</t>
        </is>
      </c>
      <c r="D304" s="88" t="inlineStr">
        <is>
          <t>Slide Switch Cap (ABS 레드 무광)
[SOLO]</t>
        </is>
      </c>
      <c r="E304" s="88" t="inlineStr">
        <is>
          <t>Slide Switch Cap _ 레드무광 도색</t>
        </is>
      </c>
      <c r="F304" s="90" t="inlineStr">
        <is>
          <t>O</t>
        </is>
      </c>
      <c r="G304" s="91" t="n"/>
      <c r="H304" s="92" t="n"/>
      <c r="I304" s="93" t="inlineStr">
        <is>
          <t>AR</t>
        </is>
      </c>
      <c r="J304" s="94" t="n"/>
      <c r="K304" s="95" t="n"/>
      <c r="L304" s="96" t="n"/>
      <c r="M304" s="97" t="n"/>
      <c r="N304" s="98" t="inlineStr">
        <is>
          <t>O</t>
        </is>
      </c>
      <c r="O304" s="99" t="n"/>
      <c r="P304" s="100" t="inlineStr">
        <is>
          <t>8-AR</t>
        </is>
      </c>
      <c r="Q304" s="102" t="inlineStr">
        <is>
          <t>천우</t>
        </is>
      </c>
      <c r="R304" s="110">
        <f>HYPERLINK("#'마스터_품목'!A521","→ 마스터 R521")</f>
        <v/>
      </c>
      <c r="S304" s="111" t="n">
        <v>521</v>
      </c>
      <c r="T304" s="111" t="inlineStr">
        <is>
          <t>마스터_품목</t>
        </is>
      </c>
    </row>
    <row r="305" ht="48" customHeight="1">
      <c r="A305" s="87" t="inlineStr">
        <is>
          <t>창고</t>
        </is>
      </c>
      <c r="B305" s="87" t="inlineStr">
        <is>
          <t>ABS 난연</t>
        </is>
      </c>
      <c r="C305" s="88" t="inlineStr">
        <is>
          <t>SOLO</t>
        </is>
      </c>
      <c r="D305" s="88" t="inlineStr">
        <is>
          <t>Shot_Button (ABS 메탈릭 다크그레이)
[SOLO]</t>
        </is>
      </c>
      <c r="E305" s="88" t="inlineStr">
        <is>
          <t>Short_Button _ 메탈릭 다크 그레이 도색</t>
        </is>
      </c>
      <c r="F305" s="90" t="inlineStr">
        <is>
          <t>O</t>
        </is>
      </c>
      <c r="G305" s="91" t="n"/>
      <c r="H305" s="92" t="n"/>
      <c r="I305" s="93" t="inlineStr">
        <is>
          <t>AR</t>
        </is>
      </c>
      <c r="J305" s="94" t="n"/>
      <c r="K305" s="95" t="n"/>
      <c r="L305" s="96" t="n"/>
      <c r="M305" s="97" t="n"/>
      <c r="N305" s="98" t="inlineStr">
        <is>
          <t>O</t>
        </is>
      </c>
      <c r="O305" s="99" t="n"/>
      <c r="P305" s="100" t="inlineStr">
        <is>
          <t>8-AR</t>
        </is>
      </c>
      <c r="Q305" s="102" t="inlineStr">
        <is>
          <t>천우</t>
        </is>
      </c>
      <c r="R305" s="110">
        <f>HYPERLINK("#'마스터_품목'!A519","→ 마스터 R519")</f>
        <v/>
      </c>
      <c r="S305" s="111" t="n">
        <v>519</v>
      </c>
      <c r="T305" s="111" t="inlineStr">
        <is>
          <t>마스터_품목</t>
        </is>
      </c>
    </row>
    <row r="306" ht="48" customHeight="1">
      <c r="A306" s="87" t="inlineStr">
        <is>
          <t>창고</t>
        </is>
      </c>
      <c r="B306" s="87" t="inlineStr">
        <is>
          <t>ABS 난연</t>
        </is>
      </c>
      <c r="C306" s="88" t="inlineStr">
        <is>
          <t>SOLO</t>
        </is>
      </c>
      <c r="D306" s="88" t="inlineStr">
        <is>
          <t>Shot_PCB_Guide
[SOLO]</t>
        </is>
      </c>
      <c r="E306" s="88" t="inlineStr">
        <is>
          <t>Short PCB Guider _ 블랙</t>
        </is>
      </c>
      <c r="F306" s="90" t="inlineStr">
        <is>
          <t>O</t>
        </is>
      </c>
      <c r="G306" s="91" t="n"/>
      <c r="H306" s="92" t="n"/>
      <c r="I306" s="93" t="inlineStr">
        <is>
          <t>AR</t>
        </is>
      </c>
      <c r="J306" s="94" t="n"/>
      <c r="K306" s="95" t="n"/>
      <c r="L306" s="96" t="n"/>
      <c r="M306" s="97" t="n"/>
      <c r="N306" s="98" t="inlineStr">
        <is>
          <t>O</t>
        </is>
      </c>
      <c r="O306" s="99" t="n"/>
      <c r="P306" s="100" t="inlineStr">
        <is>
          <t>8-AR</t>
        </is>
      </c>
      <c r="Q306" s="102" t="inlineStr">
        <is>
          <t>천우</t>
        </is>
      </c>
      <c r="R306" s="110">
        <f>HYPERLINK("#'마스터_품목'!A524","→ 마스터 R524")</f>
        <v/>
      </c>
      <c r="S306" s="111" t="n">
        <v>524</v>
      </c>
      <c r="T306" s="111" t="inlineStr">
        <is>
          <t>마스터_품목</t>
        </is>
      </c>
    </row>
    <row r="307" ht="48" customHeight="1">
      <c r="A307" s="87" t="inlineStr">
        <is>
          <t>창고</t>
        </is>
      </c>
      <c r="B307" s="87" t="inlineStr">
        <is>
          <t>ABS 난연</t>
        </is>
      </c>
      <c r="C307" s="88" t="inlineStr">
        <is>
          <t>SOLO</t>
        </is>
      </c>
      <c r="D307" s="88" t="inlineStr">
        <is>
          <t>Bat_Bottom_Cover (ABS 블랙 샌딩)
[SOLO]</t>
        </is>
      </c>
      <c r="E307" s="88" t="inlineStr">
        <is>
          <t>Bat_Bottom_Cover _ 블랙 샌딩</t>
        </is>
      </c>
      <c r="F307" s="90" t="inlineStr">
        <is>
          <t>O</t>
        </is>
      </c>
      <c r="G307" s="91" t="n"/>
      <c r="H307" s="92" t="n"/>
      <c r="I307" s="93" t="inlineStr">
        <is>
          <t>AR</t>
        </is>
      </c>
      <c r="J307" s="94" t="n"/>
      <c r="K307" s="95" t="n"/>
      <c r="L307" s="96" t="n"/>
      <c r="M307" s="97" t="n"/>
      <c r="N307" s="98" t="inlineStr">
        <is>
          <t>O</t>
        </is>
      </c>
      <c r="O307" s="99" t="n"/>
      <c r="P307" s="100" t="inlineStr">
        <is>
          <t>8-AR</t>
        </is>
      </c>
      <c r="Q307" s="102" t="inlineStr">
        <is>
          <t>천우</t>
        </is>
      </c>
      <c r="R307" s="110">
        <f>HYPERLINK("#'마스터_품목'!A512","→ 마스터 R512")</f>
        <v/>
      </c>
      <c r="S307" s="111" t="n">
        <v>512</v>
      </c>
      <c r="T307" s="111" t="inlineStr">
        <is>
          <t>마스터_품목</t>
        </is>
      </c>
    </row>
    <row r="308" ht="48" customHeight="1">
      <c r="A308" s="87" t="inlineStr">
        <is>
          <t>창고</t>
        </is>
      </c>
      <c r="B308" s="87" t="inlineStr">
        <is>
          <t>아크릴</t>
        </is>
      </c>
      <c r="C308" s="88" t="inlineStr">
        <is>
          <t>SOLO</t>
        </is>
      </c>
      <c r="D308" s="88" t="inlineStr">
        <is>
          <t>Aiming_Light_LED_아크릴 (확산 아크릴/ 화이트)
[SOLO]</t>
        </is>
      </c>
      <c r="E308" s="88" t="inlineStr">
        <is>
          <t>Aiming_Light _LED 확산 아크릴</t>
        </is>
      </c>
      <c r="F308" s="90" t="inlineStr">
        <is>
          <t>O</t>
        </is>
      </c>
      <c r="G308" s="91" t="n"/>
      <c r="H308" s="92" t="n"/>
      <c r="I308" s="93" t="inlineStr">
        <is>
          <t>AR</t>
        </is>
      </c>
      <c r="J308" s="94" t="n"/>
      <c r="K308" s="95" t="n"/>
      <c r="L308" s="96" t="n"/>
      <c r="M308" s="97" t="n"/>
      <c r="N308" s="98" t="inlineStr">
        <is>
          <t>O</t>
        </is>
      </c>
      <c r="O308" s="99" t="n"/>
      <c r="P308" s="100" t="inlineStr">
        <is>
          <t>8-AR</t>
        </is>
      </c>
      <c r="Q308" s="102" t="inlineStr">
        <is>
          <t>천우</t>
        </is>
      </c>
      <c r="R308" s="110">
        <f>HYPERLINK("#'마스터_품목'!A527","→ 마스터 R527")</f>
        <v/>
      </c>
      <c r="S308" s="111" t="n">
        <v>527</v>
      </c>
      <c r="T308" s="111" t="inlineStr">
        <is>
          <t>마스터_품목</t>
        </is>
      </c>
    </row>
    <row r="309" ht="48" customHeight="1">
      <c r="A309" s="87" t="inlineStr">
        <is>
          <t>창고</t>
        </is>
      </c>
      <c r="B309" s="87" t="inlineStr">
        <is>
          <t>아크릴</t>
        </is>
      </c>
      <c r="C309" s="88" t="inlineStr">
        <is>
          <t>SOLO</t>
        </is>
      </c>
      <c r="D309" s="88" t="inlineStr">
        <is>
          <t>LCD_Window (PC / 투명 + (구형 26))
[SOLO]</t>
        </is>
      </c>
      <c r="E309" s="88" t="inlineStr">
        <is>
          <t>LCD_창 (PC / 투명 )</t>
        </is>
      </c>
      <c r="F309" s="90" t="inlineStr">
        <is>
          <t>O</t>
        </is>
      </c>
      <c r="G309" s="91" t="n"/>
      <c r="H309" s="92" t="n"/>
      <c r="I309" s="93" t="inlineStr">
        <is>
          <t>AR</t>
        </is>
      </c>
      <c r="J309" s="94" t="n"/>
      <c r="K309" s="95" t="n"/>
      <c r="L309" s="96" t="n"/>
      <c r="M309" s="97" t="n"/>
      <c r="N309" s="98" t="inlineStr">
        <is>
          <t>O</t>
        </is>
      </c>
      <c r="O309" s="99" t="n"/>
      <c r="P309" s="100" t="inlineStr">
        <is>
          <t>8-AR</t>
        </is>
      </c>
      <c r="Q309" s="102" t="inlineStr">
        <is>
          <t>천우</t>
        </is>
      </c>
      <c r="R309" s="110">
        <f>HYPERLINK("#'마스터_품목'!A530","→ 마스터 R530")</f>
        <v/>
      </c>
      <c r="S309" s="111" t="n">
        <v>530</v>
      </c>
      <c r="T309" s="111" t="inlineStr">
        <is>
          <t>마스터_품목</t>
        </is>
      </c>
    </row>
    <row r="310" ht="48" customHeight="1">
      <c r="A310" s="87" t="inlineStr">
        <is>
          <t>창고</t>
        </is>
      </c>
      <c r="B310" s="87" t="inlineStr">
        <is>
          <t>아크릴</t>
        </is>
      </c>
      <c r="C310" s="88" t="inlineStr">
        <is>
          <t>SOLO</t>
        </is>
      </c>
      <c r="D310" s="88" t="inlineStr">
        <is>
          <t>LCD_LED_확산_아크릴 (확산 아크릴/ 화이트)
[SOLO]</t>
        </is>
      </c>
      <c r="E310" s="88" t="inlineStr">
        <is>
          <t>LCD_LED 확산 아크릴</t>
        </is>
      </c>
      <c r="F310" s="90" t="inlineStr">
        <is>
          <t>O</t>
        </is>
      </c>
      <c r="G310" s="91" t="n"/>
      <c r="H310" s="92" t="n"/>
      <c r="I310" s="93" t="inlineStr">
        <is>
          <t>AR</t>
        </is>
      </c>
      <c r="J310" s="94" t="n"/>
      <c r="K310" s="95" t="n"/>
      <c r="L310" s="96" t="n"/>
      <c r="M310" s="97" t="n"/>
      <c r="N310" s="98" t="inlineStr">
        <is>
          <t>O</t>
        </is>
      </c>
      <c r="O310" s="99" t="n"/>
      <c r="P310" s="100" t="inlineStr">
        <is>
          <t>8-AR</t>
        </is>
      </c>
      <c r="Q310" s="102" t="inlineStr">
        <is>
          <t>천우</t>
        </is>
      </c>
      <c r="R310" s="110">
        <f>HYPERLINK("#'마스터_품목'!A529","→ 마스터 R529")</f>
        <v/>
      </c>
      <c r="S310" s="111" t="n">
        <v>529</v>
      </c>
      <c r="T310" s="111" t="inlineStr">
        <is>
          <t>마스터_품목</t>
        </is>
      </c>
    </row>
    <row r="311" ht="48" customHeight="1">
      <c r="A311" s="87" t="inlineStr">
        <is>
          <t>창고</t>
        </is>
      </c>
      <c r="B311" s="87" t="inlineStr">
        <is>
          <t>아크릴</t>
        </is>
      </c>
      <c r="C311" s="88" t="inlineStr">
        <is>
          <t>SOLO</t>
        </is>
      </c>
      <c r="D311" s="88" t="inlineStr">
        <is>
          <t>광센서_유색_창 (PC/스모그/퍼플)
[SOLO]</t>
        </is>
      </c>
      <c r="E311" s="88" t="inlineStr">
        <is>
          <t>광센서_유색_창 (PC/스모그/퍼플)</t>
        </is>
      </c>
      <c r="F311" s="90" t="inlineStr">
        <is>
          <t>O</t>
        </is>
      </c>
      <c r="G311" s="91" t="n"/>
      <c r="H311" s="92" t="n"/>
      <c r="I311" s="93" t="inlineStr">
        <is>
          <t>AR</t>
        </is>
      </c>
      <c r="J311" s="94" t="n"/>
      <c r="K311" s="95" t="n"/>
      <c r="L311" s="96" t="n"/>
      <c r="M311" s="97" t="n"/>
      <c r="N311" s="98" t="inlineStr">
        <is>
          <t>O</t>
        </is>
      </c>
      <c r="O311" s="99" t="n"/>
      <c r="P311" s="100" t="inlineStr">
        <is>
          <t>8-AR</t>
        </is>
      </c>
      <c r="Q311" s="102" t="inlineStr">
        <is>
          <t>천우</t>
        </is>
      </c>
      <c r="R311" s="110">
        <f>HYPERLINK("#'마스터_품목'!A531","→ 마스터 R531")</f>
        <v/>
      </c>
      <c r="S311" s="111" t="n">
        <v>531</v>
      </c>
      <c r="T311" s="111" t="inlineStr">
        <is>
          <t>마스터_품목</t>
        </is>
      </c>
    </row>
    <row r="312" ht="48" customHeight="1">
      <c r="A312" s="87" t="inlineStr">
        <is>
          <t>창고</t>
        </is>
      </c>
      <c r="B312" s="87" t="inlineStr">
        <is>
          <t>아크릴</t>
        </is>
      </c>
      <c r="C312" s="88" t="inlineStr">
        <is>
          <t>SOLO</t>
        </is>
      </c>
      <c r="D312" s="88" t="inlineStr">
        <is>
          <t>BAT_LED_확산_아크릴 (확산 아크릴/ 화이트)
[SOLO]</t>
        </is>
      </c>
      <c r="E312" s="88" t="inlineStr">
        <is>
          <t>BAT_LED 확산 아크릴</t>
        </is>
      </c>
      <c r="F312" s="90" t="inlineStr">
        <is>
          <t>O</t>
        </is>
      </c>
      <c r="G312" s="91" t="n"/>
      <c r="H312" s="92" t="n"/>
      <c r="I312" s="93" t="inlineStr">
        <is>
          <t>AR</t>
        </is>
      </c>
      <c r="J312" s="94" t="n"/>
      <c r="K312" s="95" t="n"/>
      <c r="L312" s="96" t="n"/>
      <c r="M312" s="97" t="n"/>
      <c r="N312" s="98" t="inlineStr">
        <is>
          <t>O</t>
        </is>
      </c>
      <c r="O312" s="99" t="n"/>
      <c r="P312" s="100" t="inlineStr">
        <is>
          <t>8-AR</t>
        </is>
      </c>
      <c r="Q312" s="102" t="inlineStr">
        <is>
          <t>천우</t>
        </is>
      </c>
      <c r="R312" s="110">
        <f>HYPERLINK("#'마스터_품목'!A528","→ 마스터 R528")</f>
        <v/>
      </c>
      <c r="S312" s="111" t="n">
        <v>528</v>
      </c>
      <c r="T312" s="111" t="inlineStr">
        <is>
          <t>마스터_품목</t>
        </is>
      </c>
    </row>
    <row r="313" ht="48" customHeight="1">
      <c r="A313" s="87" t="inlineStr">
        <is>
          <t>창고</t>
        </is>
      </c>
      <c r="B313" s="87" t="inlineStr">
        <is>
          <t>가스켓</t>
        </is>
      </c>
      <c r="C313" s="88" t="inlineStr">
        <is>
          <t>SOLO</t>
        </is>
      </c>
      <c r="D313" s="88" t="inlineStr">
        <is>
          <t>LCD 터치가스켓 (8X8X7)
[SOLO]</t>
        </is>
      </c>
      <c r="E313" s="88" t="inlineStr">
        <is>
          <t>LCD 터치 가스켓 ( 8x8x7mm)</t>
        </is>
      </c>
      <c r="F313" s="90" t="inlineStr">
        <is>
          <t>O</t>
        </is>
      </c>
      <c r="G313" s="91" t="n"/>
      <c r="H313" s="92" t="n"/>
      <c r="I313" s="93" t="inlineStr">
        <is>
          <t>AR</t>
        </is>
      </c>
      <c r="J313" s="94" t="n"/>
      <c r="K313" s="95" t="n"/>
      <c r="L313" s="96" t="n"/>
      <c r="M313" s="97" t="n"/>
      <c r="N313" s="98" t="inlineStr">
        <is>
          <t>O</t>
        </is>
      </c>
      <c r="O313" s="99" t="n"/>
      <c r="P313" s="100" t="inlineStr">
        <is>
          <t>8-AR</t>
        </is>
      </c>
      <c r="Q313" s="116" t="n"/>
      <c r="R313" s="110">
        <f>HYPERLINK("#'마스터_품목'!A535","→ 마스터 R535")</f>
        <v/>
      </c>
      <c r="S313" s="111" t="n">
        <v>535</v>
      </c>
      <c r="T313" s="111" t="inlineStr">
        <is>
          <t>마스터_품목</t>
        </is>
      </c>
    </row>
    <row r="314" ht="48" customHeight="1">
      <c r="A314" s="87" t="inlineStr">
        <is>
          <t>창고</t>
        </is>
      </c>
      <c r="B314" s="87" t="inlineStr">
        <is>
          <t>AL</t>
        </is>
      </c>
      <c r="C314" s="88" t="inlineStr">
        <is>
          <t>SOLO</t>
        </is>
      </c>
      <c r="D314" s="88" t="inlineStr">
        <is>
          <t>마운트 (삼각대 고정홀)
[SOLO]</t>
        </is>
      </c>
      <c r="E314" s="88" t="inlineStr">
        <is>
          <t>마운트 ( 알루미늄_1/4 PT 탭 x 12mm)</t>
        </is>
      </c>
      <c r="F314" s="90" t="inlineStr">
        <is>
          <t>O</t>
        </is>
      </c>
      <c r="G314" s="91" t="n"/>
      <c r="H314" s="92" t="n"/>
      <c r="I314" s="93" t="inlineStr">
        <is>
          <t>AR</t>
        </is>
      </c>
      <c r="J314" s="94" t="n"/>
      <c r="K314" s="95" t="n"/>
      <c r="L314" s="96" t="n"/>
      <c r="M314" s="97" t="n"/>
      <c r="N314" s="98" t="inlineStr">
        <is>
          <t>O</t>
        </is>
      </c>
      <c r="O314" s="99" t="n"/>
      <c r="P314" s="100" t="inlineStr">
        <is>
          <t>8-AR</t>
        </is>
      </c>
      <c r="Q314" s="116" t="n"/>
      <c r="R314" s="110">
        <f>HYPERLINK("#'마스터_품목'!A532","→ 마스터 R532")</f>
        <v/>
      </c>
      <c r="S314" s="111" t="n">
        <v>532</v>
      </c>
      <c r="T314" s="111" t="inlineStr">
        <is>
          <t>마스터_품목</t>
        </is>
      </c>
    </row>
    <row r="315" ht="48" customHeight="1">
      <c r="A315" s="87" t="inlineStr">
        <is>
          <t>창고</t>
        </is>
      </c>
      <c r="B315" s="87" t="inlineStr">
        <is>
          <t>RUBBER</t>
        </is>
      </c>
      <c r="C315" s="88" t="inlineStr">
        <is>
          <t>SOLO</t>
        </is>
      </c>
      <c r="D315" s="88" t="inlineStr">
        <is>
          <t>BAT BOTTOM RUBBER (RUBBER (1T, 마운트 홀))
[SOLO]</t>
        </is>
      </c>
      <c r="E315" s="88" t="inlineStr">
        <is>
          <t>Bat_Rubber (실리콘/ 양면테잎 적용)</t>
        </is>
      </c>
      <c r="F315" s="90" t="inlineStr">
        <is>
          <t>O</t>
        </is>
      </c>
      <c r="G315" s="91" t="n"/>
      <c r="H315" s="92" t="n"/>
      <c r="I315" s="93" t="inlineStr">
        <is>
          <t>AR</t>
        </is>
      </c>
      <c r="J315" s="94" t="n"/>
      <c r="K315" s="95" t="n"/>
      <c r="L315" s="96" t="n"/>
      <c r="M315" s="97" t="n"/>
      <c r="N315" s="98" t="inlineStr">
        <is>
          <t>O</t>
        </is>
      </c>
      <c r="O315" s="99" t="n"/>
      <c r="P315" s="100" t="inlineStr">
        <is>
          <t>8-AR</t>
        </is>
      </c>
      <c r="Q315" s="102" t="inlineStr">
        <is>
          <t>남경화학</t>
        </is>
      </c>
      <c r="R315" s="110">
        <f>HYPERLINK("#'마스터_품목'!A534","→ 마스터 R534")</f>
        <v/>
      </c>
      <c r="S315" s="111" t="n">
        <v>534</v>
      </c>
      <c r="T315" s="111" t="inlineStr">
        <is>
          <t>마스터_품목</t>
        </is>
      </c>
    </row>
    <row r="316" ht="48" customHeight="1">
      <c r="A316" s="126" t="inlineStr">
        <is>
          <t>조립</t>
        </is>
      </c>
      <c r="B316" s="87" t="inlineStr">
        <is>
          <t>ABS 난연</t>
        </is>
      </c>
      <c r="C316" s="88" t="inlineStr">
        <is>
          <t>ADX4000W</t>
        </is>
      </c>
      <c r="D316" s="88" t="inlineStr">
        <is>
          <t>GUIDE 스프레이 X (ABS 난연 화이트)
[ADX4000W]</t>
        </is>
      </c>
      <c r="E316" s="88" t="n"/>
      <c r="F316" s="90" t="inlineStr">
        <is>
          <t>O</t>
        </is>
      </c>
      <c r="G316" s="91" t="n"/>
      <c r="H316" s="92" t="n"/>
      <c r="I316" s="93">
        <f>IFERROR(IF(OR($F316="O",$G316="O",$H316="O"),CHOOSE(MATCH($A316,{"튜브","고압","진공","튜닝","조립","출하"},0),"T","H","V","N","A","P")&amp;IF($F316="O","R",IF($G316="O","A",IF($H316="O","F",""))),""),"")</f>
        <v/>
      </c>
      <c r="J316" s="94" t="n"/>
      <c r="K316" s="125" t="inlineStr">
        <is>
          <t>O</t>
        </is>
      </c>
      <c r="L316" s="96" t="n"/>
      <c r="M316" s="97" t="n"/>
      <c r="N316" s="98" t="n"/>
      <c r="O316" s="99" t="n"/>
      <c r="P316" s="100">
        <f>IF($I316="","",IF($J316="O","3","")&amp;IF($K316="O","4","")&amp;IF($L316="O","6","")&amp;IF($M316="O","7","")&amp;IF($N316="O","8","")&amp;IF($O316="O","?","")&amp;IF(OR($J316="O",$K316="O",$L316="O",$M316="O",$N316="O",$O316="O"),"-","")&amp;$I316)</f>
        <v/>
      </c>
      <c r="Q316" s="102" t="inlineStr">
        <is>
          <t>천우</t>
        </is>
      </c>
      <c r="R316" s="110">
        <f>HYPERLINK("#'마스터_품목'!A753","→ 마스터 R753")</f>
        <v/>
      </c>
      <c r="S316" s="111" t="n">
        <v>753</v>
      </c>
      <c r="T316" s="111" t="inlineStr">
        <is>
          <t>마스터_품목</t>
        </is>
      </c>
    </row>
    <row r="317" ht="48" customHeight="1">
      <c r="A317" s="126" t="inlineStr">
        <is>
          <t>조립</t>
        </is>
      </c>
      <c r="B317" s="87" t="inlineStr">
        <is>
          <t>ABS 난연</t>
        </is>
      </c>
      <c r="C317" s="88" t="inlineStr">
        <is>
          <t>ADX4000W</t>
        </is>
      </c>
      <c r="D317" s="88" t="inlineStr">
        <is>
          <t>POWER BUTTON 스프레이 X (ABS 난연 화이트)
[ADX4000W]</t>
        </is>
      </c>
      <c r="E317" s="88" t="n"/>
      <c r="F317" s="90" t="inlineStr">
        <is>
          <t>O</t>
        </is>
      </c>
      <c r="G317" s="91" t="n"/>
      <c r="H317" s="92" t="n"/>
      <c r="I317" s="93">
        <f>IFERROR(IF(OR($F317="O",$G317="O",$H317="O"),CHOOSE(MATCH($A317,{"튜브","고압","진공","튜닝","조립","출하"},0),"T","H","V","N","A","P")&amp;IF($F317="O","R",IF($G317="O","A",IF($H317="O","F",""))),""),"")</f>
        <v/>
      </c>
      <c r="J317" s="94" t="n"/>
      <c r="K317" s="125" t="inlineStr">
        <is>
          <t>O</t>
        </is>
      </c>
      <c r="L317" s="96" t="n"/>
      <c r="M317" s="97" t="n"/>
      <c r="N317" s="98" t="n"/>
      <c r="O317" s="99" t="n"/>
      <c r="P317" s="100">
        <f>IF($I317="","",IF($J317="O","3","")&amp;IF($K317="O","4","")&amp;IF($L317="O","6","")&amp;IF($M317="O","7","")&amp;IF($N317="O","8","")&amp;IF($O317="O","?","")&amp;IF(OR($J317="O",$K317="O",$L317="O",$M317="O",$N317="O",$O317="O"),"-","")&amp;$I317)</f>
        <v/>
      </c>
      <c r="Q317" s="102" t="inlineStr">
        <is>
          <t>천우</t>
        </is>
      </c>
      <c r="R317" s="118">
        <f>HYPERLINK("#'마스터_품목'!A754","→ 마스터 R754")</f>
        <v/>
      </c>
      <c r="S317" s="119" t="n">
        <v>754</v>
      </c>
      <c r="T317" s="119" t="inlineStr">
        <is>
          <t>마스터_품목</t>
        </is>
      </c>
    </row>
    <row r="318" ht="48" customHeight="1">
      <c r="A318" s="126" t="inlineStr">
        <is>
          <t>조립</t>
        </is>
      </c>
      <c r="B318" s="87" t="inlineStr">
        <is>
          <t>ABS 난연</t>
        </is>
      </c>
      <c r="C318" s="88" t="inlineStr">
        <is>
          <t>ADX4000W</t>
        </is>
      </c>
      <c r="D318" s="88" t="inlineStr">
        <is>
          <t>EXPOSE BUTTON 스프레이 X (ABS 난연 화이트)
[ADX4000W]</t>
        </is>
      </c>
      <c r="E318" s="88" t="n"/>
      <c r="F318" s="90" t="inlineStr">
        <is>
          <t>O</t>
        </is>
      </c>
      <c r="G318" s="91" t="n"/>
      <c r="H318" s="92" t="n"/>
      <c r="I318" s="93">
        <f>IFERROR(IF(OR($F318="O",$G318="O",$H318="O"),CHOOSE(MATCH($A318,{"튜브","고압","진공","튜닝","조립","출하"},0),"T","H","V","N","A","P")&amp;IF($F318="O","R",IF($G318="O","A",IF($H318="O","F",""))),""),"")</f>
        <v/>
      </c>
      <c r="J318" s="94" t="n"/>
      <c r="K318" s="125" t="inlineStr">
        <is>
          <t>O</t>
        </is>
      </c>
      <c r="L318" s="96" t="n"/>
      <c r="M318" s="97" t="n"/>
      <c r="N318" s="98" t="n"/>
      <c r="O318" s="99" t="n"/>
      <c r="P318" s="100">
        <f>IF($I318="","",IF($J318="O","3","")&amp;IF($K318="O","4","")&amp;IF($L318="O","6","")&amp;IF($M318="O","7","")&amp;IF($N318="O","8","")&amp;IF($O318="O","?","")&amp;IF(OR($J318="O",$K318="O",$L318="O",$M318="O",$N318="O",$O318="O"),"-","")&amp;$I318)</f>
        <v/>
      </c>
      <c r="Q318" s="102" t="inlineStr">
        <is>
          <t>천우</t>
        </is>
      </c>
      <c r="R318" s="110">
        <f>HYPERLINK("#'마스터_품목'!A755","→ 마스터 R755")</f>
        <v/>
      </c>
      <c r="S318" s="111" t="n">
        <v>755</v>
      </c>
      <c r="T318" s="111" t="inlineStr">
        <is>
          <t>마스터_품목</t>
        </is>
      </c>
    </row>
    <row r="319" ht="48" customHeight="1">
      <c r="A319" s="126" t="inlineStr">
        <is>
          <t>조립</t>
        </is>
      </c>
      <c r="B319" s="87" t="inlineStr">
        <is>
          <t>ABS 난연</t>
        </is>
      </c>
      <c r="C319" s="88" t="inlineStr">
        <is>
          <t>ADX4000W</t>
        </is>
      </c>
      <c r="D319" s="88" t="inlineStr">
        <is>
          <t>NAVI BUTTON 스프레이 X (가운데) (ABS 난연 화이트)
[ADX4000W]</t>
        </is>
      </c>
      <c r="E319" s="88" t="n"/>
      <c r="F319" s="90" t="inlineStr">
        <is>
          <t>O</t>
        </is>
      </c>
      <c r="G319" s="91" t="n"/>
      <c r="H319" s="92" t="n"/>
      <c r="I319" s="93">
        <f>IFERROR(IF(OR($F319="O",$G319="O",$H319="O"),CHOOSE(MATCH($A319,{"튜브","고압","진공","튜닝","조립","출하"},0),"T","H","V","N","A","P")&amp;IF($F319="O","R",IF($G319="O","A",IF($H319="O","F",""))),""),"")</f>
        <v/>
      </c>
      <c r="J319" s="94" t="n"/>
      <c r="K319" s="125" t="inlineStr">
        <is>
          <t>O</t>
        </is>
      </c>
      <c r="L319" s="96" t="n"/>
      <c r="M319" s="97" t="n"/>
      <c r="N319" s="98" t="n"/>
      <c r="O319" s="99" t="n"/>
      <c r="P319" s="100">
        <f>IF($I319="","",IF($J319="O","3","")&amp;IF($K319="O","4","")&amp;IF($L319="O","6","")&amp;IF($M319="O","7","")&amp;IF($N319="O","8","")&amp;IF($O319="O","?","")&amp;IF(OR($J319="O",$K319="O",$L319="O",$M319="O",$N319="O",$O319="O"),"-","")&amp;$I319)</f>
        <v/>
      </c>
      <c r="Q319" s="102" t="inlineStr">
        <is>
          <t>천우</t>
        </is>
      </c>
      <c r="R319" s="110">
        <f>HYPERLINK("#'마스터_품목'!A756","→ 마스터 R756")</f>
        <v/>
      </c>
      <c r="S319" s="111" t="n">
        <v>756</v>
      </c>
      <c r="T319" s="111" t="inlineStr">
        <is>
          <t>마스터_품목</t>
        </is>
      </c>
    </row>
    <row r="320" ht="48" customHeight="1">
      <c r="A320" s="126" t="inlineStr">
        <is>
          <t>조립</t>
        </is>
      </c>
      <c r="B320" s="87" t="inlineStr">
        <is>
          <t>ABS 난연</t>
        </is>
      </c>
      <c r="C320" s="88" t="inlineStr">
        <is>
          <t>ADX4000W</t>
        </is>
      </c>
      <c r="D320" s="88" t="inlineStr">
        <is>
          <t>NAVI KEY 스프레이 X (방향) (ABS 난연 화이트)
[ADX4000W]</t>
        </is>
      </c>
      <c r="E320" s="88" t="n"/>
      <c r="F320" s="90" t="inlineStr">
        <is>
          <t>O</t>
        </is>
      </c>
      <c r="G320" s="91" t="n"/>
      <c r="H320" s="92" t="n"/>
      <c r="I320" s="93">
        <f>IFERROR(IF(OR($F320="O",$G320="O",$H320="O"),CHOOSE(MATCH($A320,{"튜브","고압","진공","튜닝","조립","출하"},0),"T","H","V","N","A","P")&amp;IF($F320="O","R",IF($G320="O","A",IF($H320="O","F",""))),""),"")</f>
        <v/>
      </c>
      <c r="J320" s="94" t="n"/>
      <c r="K320" s="125" t="inlineStr">
        <is>
          <t>O</t>
        </is>
      </c>
      <c r="L320" s="96" t="n"/>
      <c r="M320" s="97" t="n"/>
      <c r="N320" s="98" t="n"/>
      <c r="O320" s="99" t="n"/>
      <c r="P320" s="100">
        <f>IF($I320="","",IF($J320="O","3","")&amp;IF($K320="O","4","")&amp;IF($L320="O","6","")&amp;IF($M320="O","7","")&amp;IF($N320="O","8","")&amp;IF($O320="O","?","")&amp;IF(OR($J320="O",$K320="O",$L320="O",$M320="O",$N320="O",$O320="O"),"-","")&amp;$I320)</f>
        <v/>
      </c>
      <c r="Q320" s="102" t="inlineStr">
        <is>
          <t>천우</t>
        </is>
      </c>
      <c r="R320" s="110">
        <f>HYPERLINK("#'마스터_품목'!A757","→ 마스터 R757")</f>
        <v/>
      </c>
      <c r="S320" s="111" t="n">
        <v>757</v>
      </c>
      <c r="T320" s="111" t="inlineStr">
        <is>
          <t>마스터_품목</t>
        </is>
      </c>
    </row>
    <row r="321" ht="48" customHeight="1">
      <c r="A321" s="126" t="inlineStr">
        <is>
          <t>조립</t>
        </is>
      </c>
      <c r="B321" s="87" t="inlineStr">
        <is>
          <t>클립</t>
        </is>
      </c>
      <c r="C321" s="88" t="inlineStr">
        <is>
          <t>ADX4000W</t>
        </is>
      </c>
      <c r="D321" s="88" t="inlineStr">
        <is>
          <t>Q 클립
[ADX4000W]</t>
        </is>
      </c>
      <c r="E321" s="88" t="n"/>
      <c r="F321" s="90" t="inlineStr">
        <is>
          <t>O</t>
        </is>
      </c>
      <c r="G321" s="91" t="n"/>
      <c r="H321" s="92" t="n"/>
      <c r="I321" s="93">
        <f>IFERROR(IF(OR($F321="O",$G321="O",$H321="O"),CHOOSE(MATCH($A321,{"튜브","고압","진공","튜닝","조립","출하"},0),"T","H","V","N","A","P")&amp;IF($F321="O","R",IF($G321="O","A",IF($H321="O","F",""))),""),"")</f>
        <v/>
      </c>
      <c r="J321" s="94" t="n"/>
      <c r="K321" s="125" t="inlineStr">
        <is>
          <t>O</t>
        </is>
      </c>
      <c r="L321" s="96" t="n"/>
      <c r="M321" s="97" t="n"/>
      <c r="N321" s="98" t="n"/>
      <c r="O321" s="99" t="n"/>
      <c r="P321" s="100">
        <f>IF($I321="","",IF($J321="O","3","")&amp;IF($K321="O","4","")&amp;IF($L321="O","6","")&amp;IF($M321="O","7","")&amp;IF($N321="O","8","")&amp;IF($O321="O","?","")&amp;IF(OR($J321="O",$K321="O",$L321="O",$M321="O",$N321="O",$O321="O"),"-","")&amp;$I321)</f>
        <v/>
      </c>
      <c r="Q321" s="102" t="inlineStr">
        <is>
          <t>직구</t>
        </is>
      </c>
      <c r="R321" s="110">
        <f>HYPERLINK("#'마스터_품목'!A758","→ 마스터 R758")</f>
        <v/>
      </c>
      <c r="S321" s="111" t="n">
        <v>758</v>
      </c>
      <c r="T321" s="111" t="inlineStr">
        <is>
          <t>마스터_품목</t>
        </is>
      </c>
    </row>
    <row r="322" ht="48" customHeight="1">
      <c r="A322" s="126" t="inlineStr">
        <is>
          <t>조립</t>
        </is>
      </c>
      <c r="B322" s="87" t="inlineStr">
        <is>
          <t>클립</t>
        </is>
      </c>
      <c r="C322" s="88" t="inlineStr">
        <is>
          <t>ADX4000W</t>
        </is>
      </c>
      <c r="D322" s="88" t="inlineStr">
        <is>
          <t>L 클립
[ADX4000W]</t>
        </is>
      </c>
      <c r="E322" s="88" t="n"/>
      <c r="F322" s="90" t="inlineStr">
        <is>
          <t>O</t>
        </is>
      </c>
      <c r="G322" s="91" t="n"/>
      <c r="H322" s="92" t="n"/>
      <c r="I322" s="93">
        <f>IFERROR(IF(OR($F322="O",$G322="O",$H322="O"),CHOOSE(MATCH($A322,{"튜브","고압","진공","튜닝","조립","출하"},0),"T","H","V","N","A","P")&amp;IF($F322="O","R",IF($G322="O","A",IF($H322="O","F",""))),""),"")</f>
        <v/>
      </c>
      <c r="J322" s="94" t="n"/>
      <c r="K322" s="125" t="inlineStr">
        <is>
          <t>O</t>
        </is>
      </c>
      <c r="L322" s="96" t="n"/>
      <c r="M322" s="97" t="n"/>
      <c r="N322" s="98" t="n"/>
      <c r="O322" s="99" t="n"/>
      <c r="P322" s="100">
        <f>IF($I322="","",IF($J322="O","3","")&amp;IF($K322="O","4","")&amp;IF($L322="O","6","")&amp;IF($M322="O","7","")&amp;IF($N322="O","8","")&amp;IF($O322="O","?","")&amp;IF(OR($J322="O",$K322="O",$L322="O",$M322="O",$N322="O",$O322="O"),"-","")&amp;$I322)</f>
        <v/>
      </c>
      <c r="Q322" s="102" t="inlineStr">
        <is>
          <t>직구</t>
        </is>
      </c>
      <c r="R322" s="110">
        <f>HYPERLINK("#'마스터_품목'!A759","→ 마스터 R759")</f>
        <v/>
      </c>
      <c r="S322" s="111" t="n">
        <v>759</v>
      </c>
      <c r="T322" s="111" t="inlineStr">
        <is>
          <t>마스터_품목</t>
        </is>
      </c>
    </row>
    <row r="323" ht="48" customHeight="1">
      <c r="A323" s="126" t="inlineStr">
        <is>
          <t>조립</t>
        </is>
      </c>
      <c r="B323" s="87" t="inlineStr">
        <is>
          <t>인조가죽</t>
        </is>
      </c>
      <c r="C323" s="88" t="inlineStr">
        <is>
          <t>ADX4000W</t>
        </is>
      </c>
      <c r="D323" s="88" t="inlineStr">
        <is>
          <t>HAND STRAP -손잡이(터치펜)(유럽용) (인조 가죽, AL(Cr도금), SUS Φ2.0)
[ADX4000W]</t>
        </is>
      </c>
      <c r="E323" s="88" t="n"/>
      <c r="F323" s="90" t="inlineStr">
        <is>
          <t>O</t>
        </is>
      </c>
      <c r="G323" s="91" t="n"/>
      <c r="H323" s="92" t="n"/>
      <c r="I323" s="93">
        <f>IFERROR(IF(OR($F323="O",$G323="O",$H323="O"),CHOOSE(MATCH($A323,{"튜브","고압","진공","튜닝","조립","출하"},0),"T","H","V","N","A","P")&amp;IF($F323="O","R",IF($G323="O","A",IF($H323="O","F",""))),""),"")</f>
        <v/>
      </c>
      <c r="J323" s="94" t="n"/>
      <c r="K323" s="125" t="inlineStr">
        <is>
          <t>O</t>
        </is>
      </c>
      <c r="L323" s="96" t="n"/>
      <c r="M323" s="97" t="n"/>
      <c r="N323" s="98" t="n"/>
      <c r="O323" s="99" t="n"/>
      <c r="P323" s="100">
        <f>IF($I323="","",IF($J323="O","3","")&amp;IF($K323="O","4","")&amp;IF($L323="O","6","")&amp;IF($M323="O","7","")&amp;IF($N323="O","8","")&amp;IF($O323="O","?","")&amp;IF(OR($J323="O",$K323="O",$L323="O",$M323="O",$N323="O",$O323="O"),"-","")&amp;$I323)</f>
        <v/>
      </c>
      <c r="Q323" s="102" t="inlineStr">
        <is>
          <t>굿모닝코리아유통</t>
        </is>
      </c>
      <c r="R323" s="110">
        <f>HYPERLINK("#'마스터_품목'!A760","→ 마스터 R760")</f>
        <v/>
      </c>
      <c r="S323" s="111" t="n">
        <v>760</v>
      </c>
      <c r="T323" s="111" t="inlineStr">
        <is>
          <t>마스터_품목</t>
        </is>
      </c>
    </row>
    <row r="324" ht="48" customHeight="1">
      <c r="A324" s="87" t="inlineStr">
        <is>
          <t>창고</t>
        </is>
      </c>
      <c r="B324" s="87" t="inlineStr">
        <is>
          <t>PCB</t>
        </is>
      </c>
      <c r="C324" s="88" t="inlineStr">
        <is>
          <t>ADX6000S</t>
        </is>
      </c>
      <c r="D324" s="88" t="inlineStr">
        <is>
          <t>LCD B/D
[ADX6000S]</t>
        </is>
      </c>
      <c r="E324" s="88" t="inlineStr">
        <is>
          <t>LCD B/D</t>
        </is>
      </c>
      <c r="F324" s="90" t="inlineStr">
        <is>
          <t>O</t>
        </is>
      </c>
      <c r="G324" s="91" t="n"/>
      <c r="H324" s="92" t="n"/>
      <c r="I324" s="93" t="inlineStr">
        <is>
          <t>AR</t>
        </is>
      </c>
      <c r="J324" s="94" t="n"/>
      <c r="K324" s="95" t="n"/>
      <c r="L324" s="96" t="inlineStr">
        <is>
          <t>O</t>
        </is>
      </c>
      <c r="M324" s="97" t="n"/>
      <c r="N324" s="98" t="n"/>
      <c r="O324" s="99" t="n"/>
      <c r="P324" s="100" t="inlineStr">
        <is>
          <t>6-AR</t>
        </is>
      </c>
      <c r="Q324" s="102" t="inlineStr">
        <is>
          <t>HLP</t>
        </is>
      </c>
      <c r="R324" s="110">
        <f>HYPERLINK("#'마스터_품목'!A357","→ 마스터 R357")</f>
        <v/>
      </c>
      <c r="S324" s="111" t="n">
        <v>357</v>
      </c>
      <c r="T324" s="111" t="inlineStr">
        <is>
          <t>마스터_품목</t>
        </is>
      </c>
    </row>
    <row r="325" ht="48" customHeight="1">
      <c r="A325" s="87" t="inlineStr">
        <is>
          <t>창고</t>
        </is>
      </c>
      <c r="B325" s="87" t="inlineStr">
        <is>
          <t>PCB</t>
        </is>
      </c>
      <c r="C325" s="88" t="inlineStr">
        <is>
          <t>ADX6000S</t>
        </is>
      </c>
      <c r="D325" s="88" t="inlineStr">
        <is>
          <t>ETC CARRIER BD (IEC-1000)
[ADX6000S]</t>
        </is>
      </c>
      <c r="E325" s="88" t="inlineStr">
        <is>
          <t>ETC CARRIER BD (IEC-1000)</t>
        </is>
      </c>
      <c r="F325" s="90" t="inlineStr">
        <is>
          <t>O</t>
        </is>
      </c>
      <c r="G325" s="91" t="n"/>
      <c r="H325" s="92" t="n"/>
      <c r="I325" s="93" t="inlineStr">
        <is>
          <t>AR</t>
        </is>
      </c>
      <c r="J325" s="94" t="n"/>
      <c r="K325" s="95" t="n"/>
      <c r="L325" s="96" t="inlineStr">
        <is>
          <t>O</t>
        </is>
      </c>
      <c r="M325" s="97" t="n"/>
      <c r="N325" s="98" t="n"/>
      <c r="O325" s="99" t="n"/>
      <c r="P325" s="100" t="inlineStr">
        <is>
          <t>6-AR</t>
        </is>
      </c>
      <c r="Q325" s="102" t="inlineStr">
        <is>
          <t>HLP</t>
        </is>
      </c>
      <c r="R325" s="110">
        <f>HYPERLINK("#'마스터_품목'!A359","→ 마스터 R359")</f>
        <v/>
      </c>
      <c r="S325" s="111" t="n">
        <v>359</v>
      </c>
      <c r="T325" s="111" t="inlineStr">
        <is>
          <t>마스터_품목</t>
        </is>
      </c>
    </row>
    <row r="326" ht="48" customHeight="1">
      <c r="A326" s="126" t="inlineStr">
        <is>
          <t>조립</t>
        </is>
      </c>
      <c r="B326" s="87" t="inlineStr">
        <is>
          <t>PCB</t>
        </is>
      </c>
      <c r="C326" s="88" t="inlineStr">
        <is>
          <t>ADX6000S</t>
        </is>
      </c>
      <c r="D326" s="88" t="inlineStr">
        <is>
          <t>ETC FRONT BD (리모콘 포트 수정 신형 얇은 것)
[ADX6000S]</t>
        </is>
      </c>
      <c r="E326" s="88" t="n"/>
      <c r="F326" s="90" t="inlineStr">
        <is>
          <t>O</t>
        </is>
      </c>
      <c r="G326" s="91" t="n"/>
      <c r="H326" s="92" t="n"/>
      <c r="I326" s="93">
        <f>IFERROR(IF(OR($F326="O",$G326="O",$H326="O"),CHOOSE(MATCH($A326,{"튜브","고압","진공","튜닝","조립","출하"},0),"T","H","V","N","A","P")&amp;IF($F326="O","R",IF($G326="O","A",IF($H326="O","F",""))),""),"")</f>
        <v/>
      </c>
      <c r="J326" s="94" t="n"/>
      <c r="K326" s="125" t="n"/>
      <c r="L326" s="121" t="inlineStr">
        <is>
          <t>O</t>
        </is>
      </c>
      <c r="M326" s="97" t="n"/>
      <c r="N326" s="98" t="n"/>
      <c r="O326" s="99" t="n"/>
      <c r="P326" s="100">
        <f>IF($I326="","",IF($J326="O","3","")&amp;IF($K326="O","4","")&amp;IF($L326="O","6","")&amp;IF($M326="O","7","")&amp;IF($N326="O","8","")&amp;IF($O326="O","?","")&amp;IF(OR($J326="O",$K326="O",$L326="O",$M326="O",$N326="O",$O326="O"),"-","")&amp;$I326)</f>
        <v/>
      </c>
      <c r="Q326" s="102" t="inlineStr">
        <is>
          <t>HLP</t>
        </is>
      </c>
      <c r="R326" s="117" t="n"/>
      <c r="S326" s="117" t="n"/>
      <c r="T326" s="117" t="n"/>
    </row>
    <row r="327" ht="48" customHeight="1">
      <c r="A327" s="87" t="inlineStr">
        <is>
          <t>창고</t>
        </is>
      </c>
      <c r="B327" s="87" t="inlineStr">
        <is>
          <t>PCB</t>
        </is>
      </c>
      <c r="C327" s="88" t="inlineStr">
        <is>
          <t>ADX6000</t>
        </is>
      </c>
      <c r="D327" s="88" t="inlineStr">
        <is>
          <t>Power Switch B/D
[ADX6000]</t>
        </is>
      </c>
      <c r="E327" s="88" t="inlineStr">
        <is>
          <t>Power Switch B/D</t>
        </is>
      </c>
      <c r="F327" s="90" t="inlineStr">
        <is>
          <t>O</t>
        </is>
      </c>
      <c r="G327" s="91" t="n"/>
      <c r="H327" s="92" t="n"/>
      <c r="I327" s="93" t="inlineStr">
        <is>
          <t>AR</t>
        </is>
      </c>
      <c r="J327" s="94" t="n"/>
      <c r="K327" s="95" t="n"/>
      <c r="L327" s="96" t="inlineStr">
        <is>
          <t>O</t>
        </is>
      </c>
      <c r="M327" s="97" t="n"/>
      <c r="N327" s="98" t="n"/>
      <c r="O327" s="99" t="n"/>
      <c r="P327" s="100" t="inlineStr">
        <is>
          <t>6-AR</t>
        </is>
      </c>
      <c r="Q327" s="102" t="inlineStr">
        <is>
          <t>HLP</t>
        </is>
      </c>
      <c r="R327" s="110">
        <f>HYPERLINK("#'마스터_품목'!A364","→ 마스터 R364")</f>
        <v/>
      </c>
      <c r="S327" s="111" t="n">
        <v>364</v>
      </c>
      <c r="T327" s="111" t="inlineStr">
        <is>
          <t>마스터_품목</t>
        </is>
      </c>
    </row>
    <row r="328" ht="48" customHeight="1">
      <c r="A328" s="87" t="inlineStr">
        <is>
          <t>창고</t>
        </is>
      </c>
      <c r="B328" s="87" t="inlineStr">
        <is>
          <t>PCB</t>
        </is>
      </c>
      <c r="C328" s="88" t="inlineStr">
        <is>
          <t>ADX6000</t>
        </is>
      </c>
      <c r="D328" s="88" t="inlineStr">
        <is>
          <t>EX B/D
[ADX6000]</t>
        </is>
      </c>
      <c r="E328" s="88" t="inlineStr">
        <is>
          <t>EX B/D</t>
        </is>
      </c>
      <c r="F328" s="90" t="inlineStr">
        <is>
          <t>O</t>
        </is>
      </c>
      <c r="G328" s="91" t="n"/>
      <c r="H328" s="92" t="n"/>
      <c r="I328" s="93" t="inlineStr">
        <is>
          <t>AR</t>
        </is>
      </c>
      <c r="J328" s="94" t="n"/>
      <c r="K328" s="95" t="n"/>
      <c r="L328" s="96" t="inlineStr">
        <is>
          <t>O</t>
        </is>
      </c>
      <c r="M328" s="97" t="n"/>
      <c r="N328" s="98" t="n"/>
      <c r="O328" s="99" t="n"/>
      <c r="P328" s="100" t="inlineStr">
        <is>
          <t>6-AR</t>
        </is>
      </c>
      <c r="Q328" s="102" t="inlineStr">
        <is>
          <t>HLP</t>
        </is>
      </c>
      <c r="R328" s="110">
        <f>HYPERLINK("#'마스터_품목'!A370","→ 마스터 R370")</f>
        <v/>
      </c>
      <c r="S328" s="111" t="n">
        <v>370</v>
      </c>
      <c r="T328" s="111" t="inlineStr">
        <is>
          <t>마스터_품목</t>
        </is>
      </c>
    </row>
    <row r="329" ht="48" customHeight="1">
      <c r="A329" s="87" t="inlineStr">
        <is>
          <t>창고</t>
        </is>
      </c>
      <c r="B329" s="87" t="inlineStr">
        <is>
          <t>PCB</t>
        </is>
      </c>
      <c r="C329" s="88" t="inlineStr">
        <is>
          <t>ADX6000</t>
        </is>
      </c>
      <c r="D329" s="88" t="inlineStr">
        <is>
          <t>관전류 B/D
[ADX6000]</t>
        </is>
      </c>
      <c r="E329" s="88" t="inlineStr">
        <is>
          <t>관전류 B/D</t>
        </is>
      </c>
      <c r="F329" s="90" t="inlineStr">
        <is>
          <t>O</t>
        </is>
      </c>
      <c r="G329" s="91" t="n"/>
      <c r="H329" s="92" t="n"/>
      <c r="I329" s="93" t="inlineStr">
        <is>
          <t>AR</t>
        </is>
      </c>
      <c r="J329" s="94" t="n"/>
      <c r="K329" s="95" t="n"/>
      <c r="L329" s="96" t="inlineStr">
        <is>
          <t>O</t>
        </is>
      </c>
      <c r="M329" s="97" t="n"/>
      <c r="N329" s="98" t="n"/>
      <c r="O329" s="99" t="n"/>
      <c r="P329" s="100" t="inlineStr">
        <is>
          <t>6-AR</t>
        </is>
      </c>
      <c r="Q329" s="102" t="inlineStr">
        <is>
          <t>HLP</t>
        </is>
      </c>
      <c r="R329" s="110">
        <f>HYPERLINK("#'마스터_품목'!A369","→ 마스터 R369")</f>
        <v/>
      </c>
      <c r="S329" s="111" t="n">
        <v>369</v>
      </c>
      <c r="T329" s="111" t="inlineStr">
        <is>
          <t>마스터_품목</t>
        </is>
      </c>
    </row>
    <row r="330" ht="48" customHeight="1">
      <c r="A330" s="87" t="inlineStr">
        <is>
          <t>창고</t>
        </is>
      </c>
      <c r="B330" s="87" t="inlineStr">
        <is>
          <t>PCB</t>
        </is>
      </c>
      <c r="C330" s="88" t="inlineStr">
        <is>
          <t>ADX6000</t>
        </is>
      </c>
      <c r="D330" s="88" t="inlineStr">
        <is>
          <t>Battery Bridge B/D
[ADX6000]</t>
        </is>
      </c>
      <c r="E330" s="88" t="inlineStr">
        <is>
          <t>Battery Bridge B/D</t>
        </is>
      </c>
      <c r="F330" s="90" t="inlineStr">
        <is>
          <t>O</t>
        </is>
      </c>
      <c r="G330" s="91" t="n"/>
      <c r="H330" s="92" t="n"/>
      <c r="I330" s="93" t="inlineStr">
        <is>
          <t>AR</t>
        </is>
      </c>
      <c r="J330" s="94" t="n"/>
      <c r="K330" s="95" t="n"/>
      <c r="L330" s="96" t="inlineStr">
        <is>
          <t>O</t>
        </is>
      </c>
      <c r="M330" s="97" t="n"/>
      <c r="N330" s="98" t="n"/>
      <c r="O330" s="99" t="n"/>
      <c r="P330" s="100" t="inlineStr">
        <is>
          <t>6-AR</t>
        </is>
      </c>
      <c r="Q330" s="102" t="inlineStr">
        <is>
          <t>HLP</t>
        </is>
      </c>
      <c r="R330" s="110">
        <f>HYPERLINK("#'마스터_품목'!A367","→ 마스터 R367")</f>
        <v/>
      </c>
      <c r="S330" s="111" t="n">
        <v>367</v>
      </c>
      <c r="T330" s="111" t="inlineStr">
        <is>
          <t>마스터_품목</t>
        </is>
      </c>
    </row>
    <row r="331" ht="48" customHeight="1">
      <c r="A331" s="87" t="inlineStr">
        <is>
          <t>창고</t>
        </is>
      </c>
      <c r="B331" s="87" t="inlineStr">
        <is>
          <t>PCB</t>
        </is>
      </c>
      <c r="C331" s="88" t="inlineStr">
        <is>
          <t>ADX6000</t>
        </is>
      </c>
      <c r="D331" s="88" t="inlineStr">
        <is>
          <t>Battery Connect B/D
[ADX6000]</t>
        </is>
      </c>
      <c r="E331" s="88" t="inlineStr">
        <is>
          <t>Battery Connect B/D</t>
        </is>
      </c>
      <c r="F331" s="90" t="inlineStr">
        <is>
          <t>O</t>
        </is>
      </c>
      <c r="G331" s="91" t="n"/>
      <c r="H331" s="92" t="n"/>
      <c r="I331" s="93" t="inlineStr">
        <is>
          <t>AR</t>
        </is>
      </c>
      <c r="J331" s="94" t="n"/>
      <c r="K331" s="95" t="n"/>
      <c r="L331" s="96" t="inlineStr">
        <is>
          <t>O</t>
        </is>
      </c>
      <c r="M331" s="97" t="n"/>
      <c r="N331" s="98" t="n"/>
      <c r="O331" s="99" t="n"/>
      <c r="P331" s="100" t="inlineStr">
        <is>
          <t>6-AR</t>
        </is>
      </c>
      <c r="Q331" s="102" t="inlineStr">
        <is>
          <t>HLP</t>
        </is>
      </c>
      <c r="R331" s="110">
        <f>HYPERLINK("#'마스터_품목'!A368","→ 마스터 R368")</f>
        <v/>
      </c>
      <c r="S331" s="111" t="n">
        <v>368</v>
      </c>
      <c r="T331" s="111" t="inlineStr">
        <is>
          <t>마스터_품목</t>
        </is>
      </c>
    </row>
    <row r="332" ht="48" customHeight="1">
      <c r="A332" s="87" t="inlineStr">
        <is>
          <t>창고</t>
        </is>
      </c>
      <c r="B332" s="87" t="inlineStr">
        <is>
          <t>PCB</t>
        </is>
      </c>
      <c r="C332" s="88" t="inlineStr">
        <is>
          <t>ADX6000</t>
        </is>
      </c>
      <c r="D332" s="88" t="inlineStr">
        <is>
          <t>Cradle B/D
[ADX6000]</t>
        </is>
      </c>
      <c r="E332" s="88" t="inlineStr">
        <is>
          <t>Cradle B/D</t>
        </is>
      </c>
      <c r="F332" s="90" t="inlineStr">
        <is>
          <t>O</t>
        </is>
      </c>
      <c r="G332" s="91" t="n"/>
      <c r="H332" s="92" t="n"/>
      <c r="I332" s="93" t="inlineStr">
        <is>
          <t>AR</t>
        </is>
      </c>
      <c r="J332" s="94" t="n"/>
      <c r="K332" s="95" t="n"/>
      <c r="L332" s="96" t="inlineStr">
        <is>
          <t>O</t>
        </is>
      </c>
      <c r="M332" s="97" t="n"/>
      <c r="N332" s="98" t="n"/>
      <c r="O332" s="99" t="n"/>
      <c r="P332" s="100" t="inlineStr">
        <is>
          <t>6-AR</t>
        </is>
      </c>
      <c r="Q332" s="102" t="inlineStr">
        <is>
          <t>HLP</t>
        </is>
      </c>
      <c r="R332" s="110">
        <f>HYPERLINK("#'마스터_품목'!A371","→ 마스터 R371")</f>
        <v/>
      </c>
      <c r="S332" s="111" t="n">
        <v>371</v>
      </c>
      <c r="T332" s="111" t="inlineStr">
        <is>
          <t>마스터_품목</t>
        </is>
      </c>
    </row>
    <row r="333" ht="48" customHeight="1">
      <c r="A333" s="87" t="inlineStr">
        <is>
          <t>창고</t>
        </is>
      </c>
      <c r="B333" s="87" t="inlineStr">
        <is>
          <t>CABLE</t>
        </is>
      </c>
      <c r="C333" s="88" t="inlineStr">
        <is>
          <t>ADX6000S</t>
        </is>
      </c>
      <c r="D333" s="88" t="inlineStr">
        <is>
          <t>하네스 1번 (12505HS-06, 12505HS-04, 12505HS-03, 12505HS-02 CTR, CURRENT, FRONT, PC BD연결 / 180mm, 140mm, 200mm)
[ADX6000S]</t>
        </is>
      </c>
      <c r="E333" s="88" t="inlineStr">
        <is>
          <t>CTR, CURRENT, FRONT, PC BD연결 _ 하네스 1번 [ 12505HS-06, 12505HS-04, 12505HS-03, 12505HS-02 (250mm, 140mm, 200mm) ]</t>
        </is>
      </c>
      <c r="F333" s="90" t="inlineStr">
        <is>
          <t>O</t>
        </is>
      </c>
      <c r="G333" s="91" t="n"/>
      <c r="H333" s="92" t="n"/>
      <c r="I333" s="93" t="inlineStr">
        <is>
          <t>AR</t>
        </is>
      </c>
      <c r="J333" s="94" t="n"/>
      <c r="K333" s="95" t="n"/>
      <c r="L333" s="96" t="inlineStr">
        <is>
          <t>O</t>
        </is>
      </c>
      <c r="M333" s="97" t="n"/>
      <c r="N333" s="98" t="n"/>
      <c r="O333" s="99" t="n"/>
      <c r="P333" s="100" t="inlineStr">
        <is>
          <t>6-AR</t>
        </is>
      </c>
      <c r="Q333" s="102" t="inlineStr">
        <is>
          <t>HLP</t>
        </is>
      </c>
      <c r="R333" s="110">
        <f>HYPERLINK("#'마스터_품목'!A373","→ 마스터 R373")</f>
        <v/>
      </c>
      <c r="S333" s="111" t="n">
        <v>373</v>
      </c>
      <c r="T333" s="111" t="inlineStr">
        <is>
          <t>마스터_품목</t>
        </is>
      </c>
    </row>
    <row r="334" ht="48" customHeight="1">
      <c r="A334" s="87" t="inlineStr">
        <is>
          <t>창고</t>
        </is>
      </c>
      <c r="B334" s="87" t="inlineStr">
        <is>
          <t>CABLE</t>
        </is>
      </c>
      <c r="C334" s="88" t="inlineStr">
        <is>
          <t>ADX6000S</t>
        </is>
      </c>
      <c r="D334" s="88" t="inlineStr">
        <is>
          <t>하네스 2번 (12505HS-04, USB-105 PC, FRONT BD 연결 / 70mm)
[ADX6000S]</t>
        </is>
      </c>
      <c r="E334" s="88" t="inlineStr">
        <is>
          <t>PC, FRONT BD 연결 _ 하네스 2번 [ 12505HS-04, USB-105 (70mm) ]</t>
        </is>
      </c>
      <c r="F334" s="90" t="inlineStr">
        <is>
          <t>O</t>
        </is>
      </c>
      <c r="G334" s="91" t="n"/>
      <c r="H334" s="92" t="n"/>
      <c r="I334" s="93" t="inlineStr">
        <is>
          <t>AR</t>
        </is>
      </c>
      <c r="J334" s="94" t="n"/>
      <c r="K334" s="95" t="n"/>
      <c r="L334" s="96" t="inlineStr">
        <is>
          <t>O</t>
        </is>
      </c>
      <c r="M334" s="97" t="n"/>
      <c r="N334" s="98" t="n"/>
      <c r="O334" s="99" t="n"/>
      <c r="P334" s="100" t="inlineStr">
        <is>
          <t>6-AR</t>
        </is>
      </c>
      <c r="Q334" s="102" t="inlineStr">
        <is>
          <t>HLP</t>
        </is>
      </c>
      <c r="R334" s="110">
        <f>HYPERLINK("#'마스터_품목'!A375","→ 마스터 R375")</f>
        <v/>
      </c>
      <c r="S334" s="111" t="n">
        <v>375</v>
      </c>
      <c r="T334" s="111" t="inlineStr">
        <is>
          <t>마스터_품목</t>
        </is>
      </c>
    </row>
    <row r="335" ht="48" customHeight="1">
      <c r="A335" s="87" t="inlineStr">
        <is>
          <t>창고</t>
        </is>
      </c>
      <c r="B335" s="87" t="inlineStr">
        <is>
          <t>CABLE</t>
        </is>
      </c>
      <c r="C335" s="88" t="inlineStr">
        <is>
          <t>ADX6000</t>
        </is>
      </c>
      <c r="D335" s="88" t="inlineStr">
        <is>
          <t>하네스 3번 (Power&amp;Exp Connector 12핀 / 160mm, 70mm)
[ADX6000]</t>
        </is>
      </c>
      <c r="E335" s="88" t="inlineStr">
        <is>
          <t>Power&amp;Exp Connector Wire Harness 12pin [170mm,70mm] (하네스 3번)</t>
        </is>
      </c>
      <c r="F335" s="90" t="inlineStr">
        <is>
          <t>O</t>
        </is>
      </c>
      <c r="G335" s="91" t="n"/>
      <c r="H335" s="92" t="n"/>
      <c r="I335" s="93" t="inlineStr">
        <is>
          <t>AR</t>
        </is>
      </c>
      <c r="J335" s="94" t="n"/>
      <c r="K335" s="95" t="n"/>
      <c r="L335" s="96" t="inlineStr">
        <is>
          <t>O</t>
        </is>
      </c>
      <c r="M335" s="97" t="n"/>
      <c r="N335" s="98" t="n"/>
      <c r="O335" s="99" t="n"/>
      <c r="P335" s="100" t="inlineStr">
        <is>
          <t>6-AR</t>
        </is>
      </c>
      <c r="Q335" s="102" t="inlineStr">
        <is>
          <t>HLP</t>
        </is>
      </c>
      <c r="R335" s="110">
        <f>HYPERLINK("#'마스터_품목'!A376","→ 마스터 R376")</f>
        <v/>
      </c>
      <c r="S335" s="111" t="n">
        <v>376</v>
      </c>
      <c r="T335" s="111" t="inlineStr">
        <is>
          <t>마스터_품목</t>
        </is>
      </c>
    </row>
    <row r="336" ht="48" customHeight="1">
      <c r="A336" s="87" t="inlineStr">
        <is>
          <t>창고</t>
        </is>
      </c>
      <c r="B336" s="87" t="inlineStr">
        <is>
          <t>CABLE</t>
        </is>
      </c>
      <c r="C336" s="88" t="inlineStr">
        <is>
          <t>ADX6000</t>
        </is>
      </c>
      <c r="D336" s="88" t="inlineStr">
        <is>
          <t>하네스 5번 (컬리메이터 LED 2핀 / 300mm)
[ADX6000]</t>
        </is>
      </c>
      <c r="E336" s="88" t="inlineStr">
        <is>
          <t>컬리메이터 LED Wire Harness 2pin [300mm] (하네스 5번)</t>
        </is>
      </c>
      <c r="F336" s="90" t="inlineStr">
        <is>
          <t>O</t>
        </is>
      </c>
      <c r="G336" s="91" t="n"/>
      <c r="H336" s="92" t="n"/>
      <c r="I336" s="93" t="inlineStr">
        <is>
          <t>AR</t>
        </is>
      </c>
      <c r="J336" s="94" t="n"/>
      <c r="K336" s="95" t="n"/>
      <c r="L336" s="96" t="inlineStr">
        <is>
          <t>O</t>
        </is>
      </c>
      <c r="M336" s="97" t="n"/>
      <c r="N336" s="98" t="n"/>
      <c r="O336" s="99" t="n"/>
      <c r="P336" s="100" t="inlineStr">
        <is>
          <t>6-AR</t>
        </is>
      </c>
      <c r="Q336" s="102" t="inlineStr">
        <is>
          <t>HLP</t>
        </is>
      </c>
      <c r="R336" s="110">
        <f>HYPERLINK("#'마스터_품목'!A377","→ 마스터 R377")</f>
        <v/>
      </c>
      <c r="S336" s="111" t="n">
        <v>377</v>
      </c>
      <c r="T336" s="111" t="inlineStr">
        <is>
          <t>마스터_품목</t>
        </is>
      </c>
    </row>
    <row r="337" ht="48" customHeight="1">
      <c r="A337" s="87" t="inlineStr">
        <is>
          <t>창고</t>
        </is>
      </c>
      <c r="B337" s="87" t="inlineStr">
        <is>
          <t>CABLE</t>
        </is>
      </c>
      <c r="C337" s="88" t="inlineStr">
        <is>
          <t>ADX6000S</t>
        </is>
      </c>
      <c r="D337" s="88" t="inlineStr">
        <is>
          <t>하네스 6번 (SMH250-02 PC 전원 케이블 / 130mm)
[ADX6000S]</t>
        </is>
      </c>
      <c r="E337" s="88" t="inlineStr">
        <is>
          <t>PC 전원 케이블 [ SMH250-02 (130mm) ] _ 하네스 6번</t>
        </is>
      </c>
      <c r="F337" s="90" t="inlineStr">
        <is>
          <t>O</t>
        </is>
      </c>
      <c r="G337" s="91" t="n"/>
      <c r="H337" s="92" t="n"/>
      <c r="I337" s="93" t="inlineStr">
        <is>
          <t>AR</t>
        </is>
      </c>
      <c r="J337" s="94" t="n"/>
      <c r="K337" s="95" t="n"/>
      <c r="L337" s="96" t="inlineStr">
        <is>
          <t>O</t>
        </is>
      </c>
      <c r="M337" s="97" t="n"/>
      <c r="N337" s="98" t="n"/>
      <c r="O337" s="99" t="n"/>
      <c r="P337" s="100" t="inlineStr">
        <is>
          <t>6-AR</t>
        </is>
      </c>
      <c r="Q337" s="102" t="inlineStr">
        <is>
          <t>HLP</t>
        </is>
      </c>
      <c r="R337" s="110">
        <f>HYPERLINK("#'마스터_품목'!A378","→ 마스터 R378")</f>
        <v/>
      </c>
      <c r="S337" s="111" t="n">
        <v>378</v>
      </c>
      <c r="T337" s="111" t="inlineStr">
        <is>
          <t>마스터_품목</t>
        </is>
      </c>
    </row>
    <row r="338" ht="48" customHeight="1">
      <c r="A338" s="87" t="inlineStr">
        <is>
          <t>창고</t>
        </is>
      </c>
      <c r="B338" s="87" t="inlineStr">
        <is>
          <t>CABLE</t>
        </is>
      </c>
      <c r="C338" s="88" t="inlineStr">
        <is>
          <t>ADX6000S</t>
        </is>
      </c>
      <c r="D338" s="88" t="inlineStr">
        <is>
          <t>하네스 7번 (DF19G-20S-1C(0.5) (2EA) LVDS 케이블 / 160mm 힌지 작업시 발주)
[ADX6000S]</t>
        </is>
      </c>
      <c r="E338" s="88" t="inlineStr">
        <is>
          <t>DF19G-20S-1C(0.5) (2EA) (160mm) (ADX6000s용) LVDS 케이블 (하네스 7번)</t>
        </is>
      </c>
      <c r="F338" s="90" t="inlineStr">
        <is>
          <t>O</t>
        </is>
      </c>
      <c r="G338" s="91" t="n"/>
      <c r="H338" s="92" t="n"/>
      <c r="I338" s="93" t="inlineStr">
        <is>
          <t>AR</t>
        </is>
      </c>
      <c r="J338" s="94" t="n"/>
      <c r="K338" s="95" t="n"/>
      <c r="L338" s="96" t="inlineStr">
        <is>
          <t>O</t>
        </is>
      </c>
      <c r="M338" s="97" t="n"/>
      <c r="N338" s="98" t="n"/>
      <c r="O338" s="99" t="n"/>
      <c r="P338" s="100" t="inlineStr">
        <is>
          <t>6-AR</t>
        </is>
      </c>
      <c r="Q338" s="102" t="inlineStr">
        <is>
          <t>HLP</t>
        </is>
      </c>
      <c r="R338" s="110">
        <f>HYPERLINK("#'마스터_품목'!A379","→ 마스터 R379")</f>
        <v/>
      </c>
      <c r="S338" s="111" t="n">
        <v>379</v>
      </c>
      <c r="T338" s="111" t="inlineStr">
        <is>
          <t>마스터_품목</t>
        </is>
      </c>
    </row>
    <row r="339" ht="48" customHeight="1">
      <c r="A339" s="87" t="inlineStr">
        <is>
          <t>창고</t>
        </is>
      </c>
      <c r="B339" s="87" t="inlineStr">
        <is>
          <t>CABLE</t>
        </is>
      </c>
      <c r="C339" s="88" t="inlineStr">
        <is>
          <t>ADX6000S</t>
        </is>
      </c>
      <c r="D339" s="88" t="inlineStr">
        <is>
          <t>하네스 9-1번 (12505HS-03 Carrier Mini BD 케이블 / 100mm (한쪽만 커넥터))
[ADX6000S]</t>
        </is>
      </c>
      <c r="E339" s="88" t="inlineStr">
        <is>
          <t>Carrier Mini BD 케이블 _ 하네스 9-1번 [ 12505HS-03 (100mm) ]</t>
        </is>
      </c>
      <c r="F339" s="90" t="inlineStr">
        <is>
          <t>O</t>
        </is>
      </c>
      <c r="G339" s="91" t="n"/>
      <c r="H339" s="92" t="n"/>
      <c r="I339" s="93" t="inlineStr">
        <is>
          <t>AR</t>
        </is>
      </c>
      <c r="J339" s="94" t="n"/>
      <c r="K339" s="95" t="n"/>
      <c r="L339" s="96" t="inlineStr">
        <is>
          <t>O</t>
        </is>
      </c>
      <c r="M339" s="97" t="n"/>
      <c r="N339" s="98" t="n"/>
      <c r="O339" s="99" t="n"/>
      <c r="P339" s="100" t="inlineStr">
        <is>
          <t>6-AR</t>
        </is>
      </c>
      <c r="Q339" s="102" t="inlineStr">
        <is>
          <t>HLP</t>
        </is>
      </c>
      <c r="R339" s="110">
        <f>HYPERLINK("#'마스터_품목'!A381","→ 마스터 R381")</f>
        <v/>
      </c>
      <c r="S339" s="111" t="n">
        <v>381</v>
      </c>
      <c r="T339" s="111" t="inlineStr">
        <is>
          <t>마스터_품목</t>
        </is>
      </c>
    </row>
    <row r="340" ht="48" customHeight="1">
      <c r="A340" s="87" t="inlineStr">
        <is>
          <t>창고</t>
        </is>
      </c>
      <c r="B340" s="87" t="inlineStr">
        <is>
          <t>CABLE</t>
        </is>
      </c>
      <c r="C340" s="88" t="inlineStr">
        <is>
          <t>ADX6000S</t>
        </is>
      </c>
      <c r="D340" s="88" t="inlineStr">
        <is>
          <t>하네스 10번 (CHW0640-03, 1205HS-03 PC, CTR BD 연결 / 130mm)
[ADX6000S]</t>
        </is>
      </c>
      <c r="E340" s="88" t="inlineStr">
        <is>
          <t>PC, CTR BD 연결 _ 하네스 10번 [ CHW0640-03, 1205HS-03 (130mm) ]</t>
        </is>
      </c>
      <c r="F340" s="90" t="inlineStr">
        <is>
          <t>O</t>
        </is>
      </c>
      <c r="G340" s="91" t="n"/>
      <c r="H340" s="92" t="n"/>
      <c r="I340" s="93" t="inlineStr">
        <is>
          <t>AR</t>
        </is>
      </c>
      <c r="J340" s="94" t="n"/>
      <c r="K340" s="95" t="n"/>
      <c r="L340" s="96" t="inlineStr">
        <is>
          <t>O</t>
        </is>
      </c>
      <c r="M340" s="97" t="n"/>
      <c r="N340" s="98" t="n"/>
      <c r="O340" s="99" t="n"/>
      <c r="P340" s="100" t="inlineStr">
        <is>
          <t>6-AR</t>
        </is>
      </c>
      <c r="Q340" s="102" t="inlineStr">
        <is>
          <t>HLP</t>
        </is>
      </c>
      <c r="R340" s="110">
        <f>HYPERLINK("#'마스터_품목'!A382","→ 마스터 R382")</f>
        <v/>
      </c>
      <c r="S340" s="111" t="n">
        <v>382</v>
      </c>
      <c r="T340" s="111" t="inlineStr">
        <is>
          <t>마스터_품목</t>
        </is>
      </c>
    </row>
    <row r="341" ht="48" customHeight="1">
      <c r="A341" s="87" t="inlineStr">
        <is>
          <t>창고</t>
        </is>
      </c>
      <c r="B341" s="87" t="inlineStr">
        <is>
          <t>CABLE</t>
        </is>
      </c>
      <c r="C341" s="88" t="inlineStr">
        <is>
          <t>ADX6000</t>
        </is>
      </c>
      <c r="D341" s="88" t="inlineStr">
        <is>
          <t>하네스 11번 (Battery BD 02 [4핀,2핀,Dual] 탈착, 외부 BAT BD 연결 / 90mm, 80mm)
[ADX6000]</t>
        </is>
      </c>
      <c r="E341" s="88" t="inlineStr">
        <is>
          <t>Battery BD 02 Wire Harness [4pin,2pin,Dual] [90mm,80mm] 탈착, 외부 BAT BD 연결 (하네스 11번)</t>
        </is>
      </c>
      <c r="F341" s="90" t="inlineStr">
        <is>
          <t>O</t>
        </is>
      </c>
      <c r="G341" s="91" t="n"/>
      <c r="H341" s="92" t="n"/>
      <c r="I341" s="93" t="inlineStr">
        <is>
          <t>AR</t>
        </is>
      </c>
      <c r="J341" s="94" t="n"/>
      <c r="K341" s="95" t="n"/>
      <c r="L341" s="96" t="inlineStr">
        <is>
          <t>O</t>
        </is>
      </c>
      <c r="M341" s="97" t="n"/>
      <c r="N341" s="98" t="n"/>
      <c r="O341" s="99" t="n"/>
      <c r="P341" s="100" t="inlineStr">
        <is>
          <t>6-AR</t>
        </is>
      </c>
      <c r="Q341" s="102" t="inlineStr">
        <is>
          <t>HLP</t>
        </is>
      </c>
      <c r="R341" s="110">
        <f>HYPERLINK("#'마스터_품목'!A383","→ 마스터 R383")</f>
        <v/>
      </c>
      <c r="S341" s="111" t="n">
        <v>383</v>
      </c>
      <c r="T341" s="111" t="inlineStr">
        <is>
          <t>마스터_품목</t>
        </is>
      </c>
    </row>
    <row r="342" ht="48" customHeight="1">
      <c r="A342" s="87" t="inlineStr">
        <is>
          <t>창고</t>
        </is>
      </c>
      <c r="B342" s="87" t="inlineStr">
        <is>
          <t>CABLE</t>
        </is>
      </c>
      <c r="C342" s="88" t="inlineStr">
        <is>
          <t>ADX6000S</t>
        </is>
      </c>
      <c r="D342" s="88" t="inlineStr">
        <is>
          <t>하네스 14번 (FFC Cable 40핀 / 50mm - 사용안함)
[ADX6000S]</t>
        </is>
      </c>
      <c r="E342" s="88" t="inlineStr">
        <is>
          <t>40pin FFC Cable (50mm) _ 하네스 14번</t>
        </is>
      </c>
      <c r="F342" s="90" t="inlineStr">
        <is>
          <t>O</t>
        </is>
      </c>
      <c r="G342" s="91" t="n"/>
      <c r="H342" s="92" t="n"/>
      <c r="I342" s="93" t="inlineStr">
        <is>
          <t>AR</t>
        </is>
      </c>
      <c r="J342" s="94" t="n"/>
      <c r="K342" s="95" t="n"/>
      <c r="L342" s="96" t="inlineStr">
        <is>
          <t>O</t>
        </is>
      </c>
      <c r="M342" s="97" t="n"/>
      <c r="N342" s="98" t="n"/>
      <c r="O342" s="99" t="n"/>
      <c r="P342" s="100" t="inlineStr">
        <is>
          <t>6-AR</t>
        </is>
      </c>
      <c r="Q342" s="102" t="inlineStr">
        <is>
          <t>HLP</t>
        </is>
      </c>
      <c r="R342" s="110">
        <f>HYPERLINK("#'마스터_품목'!A385","→ 마스터 R385")</f>
        <v/>
      </c>
      <c r="S342" s="111" t="n">
        <v>385</v>
      </c>
      <c r="T342" s="111" t="inlineStr">
        <is>
          <t>마스터_품목</t>
        </is>
      </c>
    </row>
    <row r="343" ht="48" customHeight="1">
      <c r="A343" s="87" t="inlineStr">
        <is>
          <t>창고</t>
        </is>
      </c>
      <c r="B343" s="87" t="inlineStr">
        <is>
          <t>CABLE</t>
        </is>
      </c>
      <c r="C343" s="88" t="inlineStr">
        <is>
          <t>ADX6000</t>
        </is>
      </c>
      <c r="D343" s="88" t="inlineStr">
        <is>
          <t>Battery BD 01 Wire Harness (2핀) (80mm)
[ADX6000]</t>
        </is>
      </c>
      <c r="E343" s="88" t="inlineStr">
        <is>
          <t>Battery BD 01 Wire Harness 2pin [80mm]</t>
        </is>
      </c>
      <c r="F343" s="90" t="inlineStr">
        <is>
          <t>O</t>
        </is>
      </c>
      <c r="G343" s="91" t="n"/>
      <c r="H343" s="92" t="n"/>
      <c r="I343" s="93" t="inlineStr">
        <is>
          <t>AR</t>
        </is>
      </c>
      <c r="J343" s="94" t="n"/>
      <c r="K343" s="95" t="n"/>
      <c r="L343" s="96" t="inlineStr">
        <is>
          <t>O</t>
        </is>
      </c>
      <c r="M343" s="97" t="n"/>
      <c r="N343" s="98" t="n"/>
      <c r="O343" s="99" t="n"/>
      <c r="P343" s="100" t="inlineStr">
        <is>
          <t>6-AR</t>
        </is>
      </c>
      <c r="Q343" s="102" t="inlineStr">
        <is>
          <t>HLP</t>
        </is>
      </c>
      <c r="R343" s="110">
        <f>HYPERLINK("#'마스터_품목'!A386","→ 마스터 R386")</f>
        <v/>
      </c>
      <c r="S343" s="111" t="n">
        <v>386</v>
      </c>
      <c r="T343" s="111" t="inlineStr">
        <is>
          <t>마스터_품목</t>
        </is>
      </c>
    </row>
    <row r="344" ht="48" customHeight="1">
      <c r="A344" s="87" t="inlineStr">
        <is>
          <t>창고</t>
        </is>
      </c>
      <c r="B344" s="87" t="inlineStr">
        <is>
          <t>PANEL</t>
        </is>
      </c>
      <c r="C344" s="88" t="inlineStr">
        <is>
          <t>ADX6000S</t>
        </is>
      </c>
      <c r="D344" s="88" t="inlineStr">
        <is>
          <t>4.3" LCD (신형) (IEC-1000)
[ADX6000S]</t>
        </is>
      </c>
      <c r="E344" s="88" t="inlineStr">
        <is>
          <t>4.3" LCD 판넬 (IEC-266 &amp; IEC-1000 공용)</t>
        </is>
      </c>
      <c r="F344" s="90" t="inlineStr">
        <is>
          <t>O</t>
        </is>
      </c>
      <c r="G344" s="91" t="n"/>
      <c r="H344" s="92" t="n"/>
      <c r="I344" s="93" t="inlineStr">
        <is>
          <t>AR</t>
        </is>
      </c>
      <c r="J344" s="94" t="n"/>
      <c r="K344" s="95" t="n"/>
      <c r="L344" s="96" t="inlineStr">
        <is>
          <t>O</t>
        </is>
      </c>
      <c r="M344" s="97" t="n"/>
      <c r="N344" s="98" t="n"/>
      <c r="O344" s="99" t="n"/>
      <c r="P344" s="100" t="inlineStr">
        <is>
          <t>6-AR</t>
        </is>
      </c>
      <c r="Q344" s="102" t="inlineStr">
        <is>
          <t>에이치앤에스</t>
        </is>
      </c>
      <c r="R344" s="110">
        <f>HYPERLINK("#'마스터_품목'!A354","→ 마스터 R354")</f>
        <v/>
      </c>
      <c r="S344" s="111" t="n">
        <v>354</v>
      </c>
      <c r="T344" s="111" t="inlineStr">
        <is>
          <t>마스터_품목</t>
        </is>
      </c>
    </row>
    <row r="345" ht="48" customHeight="1">
      <c r="A345" s="87" t="inlineStr">
        <is>
          <t>창고</t>
        </is>
      </c>
      <c r="B345" s="87" t="inlineStr">
        <is>
          <t>MODULE</t>
        </is>
      </c>
      <c r="C345" s="88" t="inlineStr">
        <is>
          <t>ADX6000S</t>
        </is>
      </c>
      <c r="D345" s="88" t="inlineStr">
        <is>
          <t>4.3" Module (신형) (IEC-1000)
[ADX6000S]</t>
        </is>
      </c>
      <c r="E345" s="88" t="inlineStr">
        <is>
          <t>4.3" Module (IEC-1000 신형)</t>
        </is>
      </c>
      <c r="F345" s="90" t="inlineStr">
        <is>
          <t>O</t>
        </is>
      </c>
      <c r="G345" s="91" t="n"/>
      <c r="H345" s="92" t="n"/>
      <c r="I345" s="93" t="inlineStr">
        <is>
          <t>AR</t>
        </is>
      </c>
      <c r="J345" s="94" t="n"/>
      <c r="K345" s="95" t="n"/>
      <c r="L345" s="96" t="inlineStr">
        <is>
          <t>O</t>
        </is>
      </c>
      <c r="M345" s="97" t="n"/>
      <c r="N345" s="98" t="n"/>
      <c r="O345" s="99" t="n"/>
      <c r="P345" s="100" t="inlineStr">
        <is>
          <t>6-AR</t>
        </is>
      </c>
      <c r="Q345" s="102" t="inlineStr">
        <is>
          <t>에이치앤에스</t>
        </is>
      </c>
      <c r="R345" s="110">
        <f>HYPERLINK("#'마스터_품목'!A356","→ 마스터 R356")</f>
        <v/>
      </c>
      <c r="S345" s="111" t="n">
        <v>356</v>
      </c>
      <c r="T345" s="111" t="inlineStr">
        <is>
          <t>마스터_품목</t>
        </is>
      </c>
    </row>
    <row r="346" ht="48" customHeight="1">
      <c r="A346" s="87" t="inlineStr">
        <is>
          <t>창고</t>
        </is>
      </c>
      <c r="B346" s="87" t="inlineStr">
        <is>
          <t>ABS 난연</t>
        </is>
      </c>
      <c r="C346" s="88" t="inlineStr">
        <is>
          <t>ADX6000</t>
        </is>
      </c>
      <c r="D346" s="88" t="inlineStr">
        <is>
          <t>컬리메이터 TOP 사출 (ABS 난연 화이트 + 스프레이)
[ADX6000]</t>
        </is>
      </c>
      <c r="E346" s="88" t="inlineStr">
        <is>
          <t>컬리메이터 TOP 사출</t>
        </is>
      </c>
      <c r="F346" s="90" t="inlineStr">
        <is>
          <t>O</t>
        </is>
      </c>
      <c r="G346" s="91" t="n"/>
      <c r="H346" s="92" t="n"/>
      <c r="I346" s="93" t="inlineStr">
        <is>
          <t>AR</t>
        </is>
      </c>
      <c r="J346" s="94" t="n"/>
      <c r="K346" s="95" t="n"/>
      <c r="L346" s="96" t="inlineStr">
        <is>
          <t>O</t>
        </is>
      </c>
      <c r="M346" s="97" t="n"/>
      <c r="N346" s="98" t="n"/>
      <c r="O346" s="99" t="n"/>
      <c r="P346" s="100" t="inlineStr">
        <is>
          <t>6-AR</t>
        </is>
      </c>
      <c r="Q346" s="102" t="inlineStr">
        <is>
          <t>천우</t>
        </is>
      </c>
      <c r="R346" s="110">
        <f>HYPERLINK("#'마스터_품목'!A307","→ 마스터 R307")</f>
        <v/>
      </c>
      <c r="S346" s="111" t="n">
        <v>307</v>
      </c>
      <c r="T346" s="111" t="inlineStr">
        <is>
          <t>마스터_품목</t>
        </is>
      </c>
    </row>
    <row r="347" ht="48" customHeight="1">
      <c r="A347" s="87" t="inlineStr">
        <is>
          <t>창고</t>
        </is>
      </c>
      <c r="B347" s="87" t="inlineStr">
        <is>
          <t>ABS 난연</t>
        </is>
      </c>
      <c r="C347" s="88" t="inlineStr">
        <is>
          <t>ADX6000</t>
        </is>
      </c>
      <c r="D347" s="88" t="inlineStr">
        <is>
          <t>컬리메이터 BOTTOM 사출 (ABS 난연 화이트 + 스프레이)
[ADX6000]</t>
        </is>
      </c>
      <c r="E347" s="88" t="inlineStr">
        <is>
          <t>컬리메이터 Bottom 사출</t>
        </is>
      </c>
      <c r="F347" s="90" t="inlineStr">
        <is>
          <t>O</t>
        </is>
      </c>
      <c r="G347" s="91" t="n"/>
      <c r="H347" s="92" t="n"/>
      <c r="I347" s="93" t="inlineStr">
        <is>
          <t>AR</t>
        </is>
      </c>
      <c r="J347" s="94" t="n"/>
      <c r="K347" s="95" t="n"/>
      <c r="L347" s="96" t="inlineStr">
        <is>
          <t>O</t>
        </is>
      </c>
      <c r="M347" s="97" t="n"/>
      <c r="N347" s="98" t="n"/>
      <c r="O347" s="99" t="n"/>
      <c r="P347" s="100" t="inlineStr">
        <is>
          <t>6-AR</t>
        </is>
      </c>
      <c r="Q347" s="102" t="inlineStr">
        <is>
          <t>천우</t>
        </is>
      </c>
      <c r="R347" s="110">
        <f>HYPERLINK("#'마스터_품목'!A308","→ 마스터 R308")</f>
        <v/>
      </c>
      <c r="S347" s="111" t="n">
        <v>308</v>
      </c>
      <c r="T347" s="111" t="inlineStr">
        <is>
          <t>마스터_품목</t>
        </is>
      </c>
    </row>
    <row r="348" ht="48" customHeight="1">
      <c r="A348" s="87" t="inlineStr">
        <is>
          <t>창고</t>
        </is>
      </c>
      <c r="B348" s="87" t="inlineStr">
        <is>
          <t>ABS 난연</t>
        </is>
      </c>
      <c r="C348" s="88" t="inlineStr">
        <is>
          <t>ADX6000</t>
        </is>
      </c>
      <c r="D348" s="88" t="inlineStr">
        <is>
          <t>컬리메이터 FRONT 사출 (ABS 난연 화이트 + 스프레이)
[ADX6000]</t>
        </is>
      </c>
      <c r="E348" s="88" t="inlineStr">
        <is>
          <t>컬리메이터 FRONT 사출</t>
        </is>
      </c>
      <c r="F348" s="90" t="inlineStr">
        <is>
          <t>O</t>
        </is>
      </c>
      <c r="G348" s="91" t="n"/>
      <c r="H348" s="92" t="n"/>
      <c r="I348" s="93" t="inlineStr">
        <is>
          <t>AR</t>
        </is>
      </c>
      <c r="J348" s="94" t="n"/>
      <c r="K348" s="95" t="n"/>
      <c r="L348" s="96" t="inlineStr">
        <is>
          <t>O</t>
        </is>
      </c>
      <c r="M348" s="97" t="n"/>
      <c r="N348" s="98" t="n"/>
      <c r="O348" s="99" t="n"/>
      <c r="P348" s="100" t="inlineStr">
        <is>
          <t>6-AR</t>
        </is>
      </c>
      <c r="Q348" s="102" t="inlineStr">
        <is>
          <t>천우</t>
        </is>
      </c>
      <c r="R348" s="110">
        <f>HYPERLINK("#'마스터_품목'!A315","→ 마스터 R315")</f>
        <v/>
      </c>
      <c r="S348" s="111" t="n">
        <v>315</v>
      </c>
      <c r="T348" s="111" t="inlineStr">
        <is>
          <t>마스터_품목</t>
        </is>
      </c>
    </row>
    <row r="349" ht="48" customHeight="1">
      <c r="A349" s="87" t="inlineStr">
        <is>
          <t>창고</t>
        </is>
      </c>
      <c r="B349" s="87" t="inlineStr">
        <is>
          <t>ABS 난연</t>
        </is>
      </c>
      <c r="C349" s="88" t="inlineStr">
        <is>
          <t>ADX6000</t>
        </is>
      </c>
      <c r="D349" s="88" t="inlineStr">
        <is>
          <t>일체형 컬리메이터 (ABS 난연 블랙)
[ADX6000]</t>
        </is>
      </c>
      <c r="E349" s="88" t="inlineStr">
        <is>
          <t>컬리메이터 콘 가이드</t>
        </is>
      </c>
      <c r="F349" s="90" t="inlineStr">
        <is>
          <t>O</t>
        </is>
      </c>
      <c r="G349" s="91" t="n"/>
      <c r="H349" s="92" t="n"/>
      <c r="I349" s="93" t="inlineStr">
        <is>
          <t>AR</t>
        </is>
      </c>
      <c r="J349" s="94" t="n"/>
      <c r="K349" s="95" t="n"/>
      <c r="L349" s="96" t="inlineStr">
        <is>
          <t>O</t>
        </is>
      </c>
      <c r="M349" s="97" t="n"/>
      <c r="N349" s="98" t="n"/>
      <c r="O349" s="99" t="n"/>
      <c r="P349" s="100" t="inlineStr">
        <is>
          <t>6-AR</t>
        </is>
      </c>
      <c r="Q349" s="102" t="inlineStr">
        <is>
          <t>금오몰드</t>
        </is>
      </c>
      <c r="R349" s="110">
        <f>HYPERLINK("#'마스터_품목'!A309","→ 마스터 R309")</f>
        <v/>
      </c>
      <c r="S349" s="111" t="n">
        <v>309</v>
      </c>
      <c r="T349" s="111" t="inlineStr">
        <is>
          <t>마스터_품목</t>
        </is>
      </c>
    </row>
    <row r="350" ht="48" customHeight="1">
      <c r="A350" s="87" t="inlineStr">
        <is>
          <t>창고</t>
        </is>
      </c>
      <c r="B350" s="87" t="inlineStr">
        <is>
          <t>ABS 난연</t>
        </is>
      </c>
      <c r="C350" s="88" t="inlineStr">
        <is>
          <t>ADX6000</t>
        </is>
      </c>
      <c r="D350" s="88" t="inlineStr">
        <is>
          <t>LCD Cover 사출 (ABS 난연 화이트+ 색바랜 노란색 398)
[ADX6000]</t>
        </is>
      </c>
      <c r="E350" s="88" t="inlineStr">
        <is>
          <t>LCD Cover 사출 (white)</t>
        </is>
      </c>
      <c r="F350" s="90" t="inlineStr">
        <is>
          <t>O</t>
        </is>
      </c>
      <c r="G350" s="91" t="n"/>
      <c r="H350" s="92" t="n"/>
      <c r="I350" s="93" t="inlineStr">
        <is>
          <t>AR</t>
        </is>
      </c>
      <c r="J350" s="94" t="n"/>
      <c r="K350" s="95" t="n"/>
      <c r="L350" s="96" t="inlineStr">
        <is>
          <t>O</t>
        </is>
      </c>
      <c r="M350" s="97" t="n"/>
      <c r="N350" s="98" t="n"/>
      <c r="O350" s="99" t="n"/>
      <c r="P350" s="100" t="inlineStr">
        <is>
          <t>6-AR</t>
        </is>
      </c>
      <c r="Q350" s="102" t="inlineStr">
        <is>
          <t>천우</t>
        </is>
      </c>
      <c r="R350" s="110">
        <f>HYPERLINK("#'마스터_품목'!A321","→ 마스터 R321")</f>
        <v/>
      </c>
      <c r="S350" s="111" t="n">
        <v>321</v>
      </c>
      <c r="T350" s="111" t="inlineStr">
        <is>
          <t>마스터_품목</t>
        </is>
      </c>
    </row>
    <row r="351" ht="48" customHeight="1">
      <c r="A351" s="87" t="inlineStr">
        <is>
          <t>창고</t>
        </is>
      </c>
      <c r="B351" s="87" t="inlineStr">
        <is>
          <t>ABS 난연</t>
        </is>
      </c>
      <c r="C351" s="88" t="inlineStr">
        <is>
          <t>ADX6000</t>
        </is>
      </c>
      <c r="D351" s="88" t="inlineStr">
        <is>
          <t>LCD Inner Cover 사출 (ABS 난연 화이트 + 스프레이)
[ADX6000]</t>
        </is>
      </c>
      <c r="E351" s="88" t="inlineStr">
        <is>
          <t>LCD Inner Cover 사출</t>
        </is>
      </c>
      <c r="F351" s="90" t="inlineStr">
        <is>
          <t>O</t>
        </is>
      </c>
      <c r="G351" s="91" t="n"/>
      <c r="H351" s="92" t="n"/>
      <c r="I351" s="93" t="inlineStr">
        <is>
          <t>AR</t>
        </is>
      </c>
      <c r="J351" s="94" t="n"/>
      <c r="K351" s="95" t="n"/>
      <c r="L351" s="96" t="inlineStr">
        <is>
          <t>O</t>
        </is>
      </c>
      <c r="M351" s="97" t="n"/>
      <c r="N351" s="98" t="n"/>
      <c r="O351" s="99" t="n"/>
      <c r="P351" s="100" t="inlineStr">
        <is>
          <t>6-AR</t>
        </is>
      </c>
      <c r="Q351" s="102" t="inlineStr">
        <is>
          <t>천우</t>
        </is>
      </c>
      <c r="R351" s="110">
        <f>HYPERLINK("#'마스터_품목'!A322","→ 마스터 R322")</f>
        <v/>
      </c>
      <c r="S351" s="111" t="n">
        <v>322</v>
      </c>
      <c r="T351" s="111" t="inlineStr">
        <is>
          <t>마스터_품목</t>
        </is>
      </c>
    </row>
    <row r="352" ht="48" customHeight="1">
      <c r="A352" s="87" t="inlineStr">
        <is>
          <t>창고</t>
        </is>
      </c>
      <c r="B352" s="87" t="inlineStr">
        <is>
          <t>ABS 난연</t>
        </is>
      </c>
      <c r="C352" s="88" t="inlineStr">
        <is>
          <t>ADX6000</t>
        </is>
      </c>
      <c r="D352" s="88" t="inlineStr">
        <is>
          <t>LCD 힌지 사출 커버 TOP (ABS 난연 화이트 + 스프레이)
[ADX6000]</t>
        </is>
      </c>
      <c r="E352" s="88" t="inlineStr">
        <is>
          <t>LCD 힌지 사출 커버 TOP</t>
        </is>
      </c>
      <c r="F352" s="90" t="inlineStr">
        <is>
          <t>O</t>
        </is>
      </c>
      <c r="G352" s="91" t="n"/>
      <c r="H352" s="92" t="n"/>
      <c r="I352" s="93" t="inlineStr">
        <is>
          <t>AR</t>
        </is>
      </c>
      <c r="J352" s="94" t="n"/>
      <c r="K352" s="95" t="n"/>
      <c r="L352" s="96" t="inlineStr">
        <is>
          <t>O</t>
        </is>
      </c>
      <c r="M352" s="97" t="n"/>
      <c r="N352" s="98" t="n"/>
      <c r="O352" s="99" t="n"/>
      <c r="P352" s="100" t="inlineStr">
        <is>
          <t>6-AR</t>
        </is>
      </c>
      <c r="Q352" s="102" t="inlineStr">
        <is>
          <t>천우</t>
        </is>
      </c>
      <c r="R352" s="110">
        <f>HYPERLINK("#'마스터_품목'!A323","→ 마스터 R323")</f>
        <v/>
      </c>
      <c r="S352" s="111" t="n">
        <v>323</v>
      </c>
      <c r="T352" s="111" t="inlineStr">
        <is>
          <t>마스터_품목</t>
        </is>
      </c>
    </row>
    <row r="353" ht="48" customHeight="1">
      <c r="A353" s="87" t="inlineStr">
        <is>
          <t>창고</t>
        </is>
      </c>
      <c r="B353" s="87" t="inlineStr">
        <is>
          <t>ABS 난연</t>
        </is>
      </c>
      <c r="C353" s="88" t="inlineStr">
        <is>
          <t>ADX6000</t>
        </is>
      </c>
      <c r="D353" s="88" t="inlineStr">
        <is>
          <t>LCD 힌지 사출 커버 BOTTOM (ABS 난연 화이트 + 스프레이)
[ADX6000]</t>
        </is>
      </c>
      <c r="E353" s="88" t="inlineStr">
        <is>
          <t>LCD 힌지 사출 커버 BOTTOM</t>
        </is>
      </c>
      <c r="F353" s="90" t="inlineStr">
        <is>
          <t>O</t>
        </is>
      </c>
      <c r="G353" s="91" t="n"/>
      <c r="H353" s="92" t="n"/>
      <c r="I353" s="93" t="inlineStr">
        <is>
          <t>AR</t>
        </is>
      </c>
      <c r="J353" s="94" t="n"/>
      <c r="K353" s="95" t="n"/>
      <c r="L353" s="96" t="inlineStr">
        <is>
          <t>O</t>
        </is>
      </c>
      <c r="M353" s="97" t="n"/>
      <c r="N353" s="98" t="n"/>
      <c r="O353" s="99" t="n"/>
      <c r="P353" s="100" t="inlineStr">
        <is>
          <t>6-AR</t>
        </is>
      </c>
      <c r="Q353" s="102" t="inlineStr">
        <is>
          <t>천우</t>
        </is>
      </c>
      <c r="R353" s="110">
        <f>HYPERLINK("#'마스터_품목'!A324","→ 마스터 R324")</f>
        <v/>
      </c>
      <c r="S353" s="111" t="n">
        <v>324</v>
      </c>
      <c r="T353" s="111" t="inlineStr">
        <is>
          <t>마스터_품목</t>
        </is>
      </c>
    </row>
    <row r="354" ht="48" customHeight="1">
      <c r="A354" s="87" t="inlineStr">
        <is>
          <t>창고</t>
        </is>
      </c>
      <c r="B354" s="87" t="inlineStr">
        <is>
          <t>ABS 난연</t>
        </is>
      </c>
      <c r="C354" s="88" t="inlineStr">
        <is>
          <t>ADX6000</t>
        </is>
      </c>
      <c r="D354" s="88" t="inlineStr">
        <is>
          <t>LCD 사출 나사 커버 (ABS 난연 화이트 + 스프레이)
[ADX6000]</t>
        </is>
      </c>
      <c r="E354" s="88" t="inlineStr">
        <is>
          <t>LCD 사출 나사 커버</t>
        </is>
      </c>
      <c r="F354" s="90" t="inlineStr">
        <is>
          <t>O</t>
        </is>
      </c>
      <c r="G354" s="91" t="n"/>
      <c r="H354" s="92" t="n"/>
      <c r="I354" s="93" t="inlineStr">
        <is>
          <t>AR</t>
        </is>
      </c>
      <c r="J354" s="94" t="n"/>
      <c r="K354" s="95" t="n"/>
      <c r="L354" s="96" t="inlineStr">
        <is>
          <t>O</t>
        </is>
      </c>
      <c r="M354" s="97" t="n"/>
      <c r="N354" s="98" t="n"/>
      <c r="O354" s="99" t="n"/>
      <c r="P354" s="100" t="inlineStr">
        <is>
          <t>6-AR</t>
        </is>
      </c>
      <c r="Q354" s="102" t="inlineStr">
        <is>
          <t>천우</t>
        </is>
      </c>
      <c r="R354" s="110">
        <f>HYPERLINK("#'마스터_품목'!A344","→ 마스터 R344")</f>
        <v/>
      </c>
      <c r="S354" s="111" t="n">
        <v>344</v>
      </c>
      <c r="T354" s="111" t="inlineStr">
        <is>
          <t>마스터_품목</t>
        </is>
      </c>
    </row>
    <row r="355" ht="48" customHeight="1">
      <c r="A355" s="87" t="inlineStr">
        <is>
          <t>창고</t>
        </is>
      </c>
      <c r="B355" s="87" t="inlineStr">
        <is>
          <t>ABS 난연</t>
        </is>
      </c>
      <c r="C355" s="88" t="inlineStr">
        <is>
          <t>ADX6000</t>
        </is>
      </c>
      <c r="D355" s="88" t="inlineStr">
        <is>
          <t>Main PC 거치대 사출 (ABS 난연 화이트)
[ADX6000]</t>
        </is>
      </c>
      <c r="E355" s="88" t="inlineStr">
        <is>
          <t>Main PC 거치대 사출</t>
        </is>
      </c>
      <c r="F355" s="90" t="inlineStr">
        <is>
          <t>O</t>
        </is>
      </c>
      <c r="G355" s="91" t="n"/>
      <c r="H355" s="92" t="n"/>
      <c r="I355" s="93" t="inlineStr">
        <is>
          <t>AR</t>
        </is>
      </c>
      <c r="J355" s="94" t="n"/>
      <c r="K355" s="95" t="n"/>
      <c r="L355" s="96" t="inlineStr">
        <is>
          <t>O</t>
        </is>
      </c>
      <c r="M355" s="97" t="n"/>
      <c r="N355" s="98" t="n"/>
      <c r="O355" s="99" t="n"/>
      <c r="P355" s="100" t="inlineStr">
        <is>
          <t>6-AR</t>
        </is>
      </c>
      <c r="Q355" s="102" t="inlineStr">
        <is>
          <t>천우</t>
        </is>
      </c>
      <c r="R355" s="110">
        <f>HYPERLINK("#'마스터_품목'!A335","→ 마스터 R335")</f>
        <v/>
      </c>
      <c r="S355" s="111" t="n">
        <v>335</v>
      </c>
      <c r="T355" s="111" t="inlineStr">
        <is>
          <t>마스터_품목</t>
        </is>
      </c>
    </row>
    <row r="356" ht="48" customHeight="1">
      <c r="A356" s="87" t="inlineStr">
        <is>
          <t>창고</t>
        </is>
      </c>
      <c r="B356" s="87" t="inlineStr">
        <is>
          <t>ABS 난연</t>
        </is>
      </c>
      <c r="C356" s="88" t="inlineStr">
        <is>
          <t>ADX6000</t>
        </is>
      </c>
      <c r="D356" s="88" t="inlineStr">
        <is>
          <t>BODY LEFT 사출 (ABS 난연 화이트 + 스프레이)
[ADX6000]</t>
        </is>
      </c>
      <c r="E356" s="88" t="inlineStr">
        <is>
          <t>BODY LEFT 사출</t>
        </is>
      </c>
      <c r="F356" s="90" t="inlineStr">
        <is>
          <t>O</t>
        </is>
      </c>
      <c r="G356" s="91" t="n"/>
      <c r="H356" s="92" t="n"/>
      <c r="I356" s="93" t="inlineStr">
        <is>
          <t>AR</t>
        </is>
      </c>
      <c r="J356" s="94" t="n"/>
      <c r="K356" s="95" t="n"/>
      <c r="L356" s="96" t="inlineStr">
        <is>
          <t>O</t>
        </is>
      </c>
      <c r="M356" s="97" t="n"/>
      <c r="N356" s="98" t="n"/>
      <c r="O356" s="99" t="n"/>
      <c r="P356" s="100" t="inlineStr">
        <is>
          <t>6-AR</t>
        </is>
      </c>
      <c r="Q356" s="102" t="inlineStr">
        <is>
          <t>천우</t>
        </is>
      </c>
      <c r="R356" s="110">
        <f>HYPERLINK("#'마스터_품목'!A330","→ 마스터 R330")</f>
        <v/>
      </c>
      <c r="S356" s="111" t="n">
        <v>330</v>
      </c>
      <c r="T356" s="111" t="inlineStr">
        <is>
          <t>마스터_품목</t>
        </is>
      </c>
    </row>
    <row r="357" ht="48" customHeight="1">
      <c r="A357" s="87" t="inlineStr">
        <is>
          <t>창고</t>
        </is>
      </c>
      <c r="B357" s="87" t="inlineStr">
        <is>
          <t>ABS 난연</t>
        </is>
      </c>
      <c r="C357" s="88" t="inlineStr">
        <is>
          <t>ADX6000</t>
        </is>
      </c>
      <c r="D357" s="88" t="inlineStr">
        <is>
          <t>BODY LEFT 사출 배터리 커버 (ABS 난연 화이트 + 스프레이)
[ADX6000]</t>
        </is>
      </c>
      <c r="E357" s="88" t="inlineStr">
        <is>
          <t>BODY LEFT 사출 배터리 커버</t>
        </is>
      </c>
      <c r="F357" s="90" t="inlineStr">
        <is>
          <t>O</t>
        </is>
      </c>
      <c r="G357" s="91" t="n"/>
      <c r="H357" s="92" t="n"/>
      <c r="I357" s="93" t="inlineStr">
        <is>
          <t>AR</t>
        </is>
      </c>
      <c r="J357" s="94" t="n"/>
      <c r="K357" s="95" t="n"/>
      <c r="L357" s="96" t="inlineStr">
        <is>
          <t>O</t>
        </is>
      </c>
      <c r="M357" s="97" t="n"/>
      <c r="N357" s="98" t="n"/>
      <c r="O357" s="99" t="n"/>
      <c r="P357" s="100" t="inlineStr">
        <is>
          <t>6-AR</t>
        </is>
      </c>
      <c r="Q357" s="102" t="inlineStr">
        <is>
          <t>천우</t>
        </is>
      </c>
      <c r="R357" s="110">
        <f>HYPERLINK("#'마스터_품목'!A331","→ 마스터 R331")</f>
        <v/>
      </c>
      <c r="S357" s="111" t="n">
        <v>331</v>
      </c>
      <c r="T357" s="111" t="inlineStr">
        <is>
          <t>마스터_품목</t>
        </is>
      </c>
    </row>
    <row r="358" ht="48" customHeight="1">
      <c r="A358" s="87" t="inlineStr">
        <is>
          <t>창고</t>
        </is>
      </c>
      <c r="B358" s="87" t="inlineStr">
        <is>
          <t>ABS 난연</t>
        </is>
      </c>
      <c r="C358" s="88" t="inlineStr">
        <is>
          <t>ADX6000</t>
        </is>
      </c>
      <c r="D358" s="88" t="inlineStr">
        <is>
          <t>BODY RIGHT 사출 (ABS 난연 화이트 + 스프레이)
[ADX6000]</t>
        </is>
      </c>
      <c r="E358" s="88" t="inlineStr">
        <is>
          <t>BODY RIGHT 사출</t>
        </is>
      </c>
      <c r="F358" s="90" t="inlineStr">
        <is>
          <t>O</t>
        </is>
      </c>
      <c r="G358" s="91" t="n"/>
      <c r="H358" s="92" t="n"/>
      <c r="I358" s="93" t="inlineStr">
        <is>
          <t>AR</t>
        </is>
      </c>
      <c r="J358" s="94" t="n"/>
      <c r="K358" s="95" t="n"/>
      <c r="L358" s="96" t="inlineStr">
        <is>
          <t>O</t>
        </is>
      </c>
      <c r="M358" s="97" t="n"/>
      <c r="N358" s="98" t="n"/>
      <c r="O358" s="99" t="n"/>
      <c r="P358" s="100" t="inlineStr">
        <is>
          <t>6-AR</t>
        </is>
      </c>
      <c r="Q358" s="102" t="inlineStr">
        <is>
          <t>천우</t>
        </is>
      </c>
      <c r="R358" s="110">
        <f>HYPERLINK("#'마스터_품목'!A342","→ 마스터 R342")</f>
        <v/>
      </c>
      <c r="S358" s="111" t="n">
        <v>342</v>
      </c>
      <c r="T358" s="111" t="inlineStr">
        <is>
          <t>마스터_품목</t>
        </is>
      </c>
    </row>
    <row r="359" ht="48" customHeight="1">
      <c r="A359" s="87" t="inlineStr">
        <is>
          <t>창고</t>
        </is>
      </c>
      <c r="B359" s="87" t="inlineStr">
        <is>
          <t>ABS 난연</t>
        </is>
      </c>
      <c r="C359" s="88" t="inlineStr">
        <is>
          <t>ADX6000</t>
        </is>
      </c>
      <c r="D359" s="88" t="inlineStr">
        <is>
          <t>HANDLE LEFT 사출 (ABS 난연 화이트 + 스프레이)
[ADX6000]</t>
        </is>
      </c>
      <c r="E359" s="88" t="inlineStr">
        <is>
          <t>HANDLE LEFT 사출</t>
        </is>
      </c>
      <c r="F359" s="90" t="inlineStr">
        <is>
          <t>O</t>
        </is>
      </c>
      <c r="G359" s="91" t="n"/>
      <c r="H359" s="92" t="n"/>
      <c r="I359" s="93" t="inlineStr">
        <is>
          <t>AR</t>
        </is>
      </c>
      <c r="J359" s="94" t="n"/>
      <c r="K359" s="95" t="n"/>
      <c r="L359" s="96" t="inlineStr">
        <is>
          <t>O</t>
        </is>
      </c>
      <c r="M359" s="97" t="n"/>
      <c r="N359" s="98" t="n"/>
      <c r="O359" s="99" t="n"/>
      <c r="P359" s="100" t="inlineStr">
        <is>
          <t>6-AR</t>
        </is>
      </c>
      <c r="Q359" s="102" t="inlineStr">
        <is>
          <t>천우</t>
        </is>
      </c>
      <c r="R359" s="110">
        <f>HYPERLINK("#'마스터_품목'!A345","→ 마스터 R345")</f>
        <v/>
      </c>
      <c r="S359" s="111" t="n">
        <v>345</v>
      </c>
      <c r="T359" s="111" t="inlineStr">
        <is>
          <t>마스터_품목</t>
        </is>
      </c>
    </row>
    <row r="360" ht="48" customHeight="1">
      <c r="A360" s="87" t="inlineStr">
        <is>
          <t>창고</t>
        </is>
      </c>
      <c r="B360" s="87" t="inlineStr">
        <is>
          <t>ABS 난연</t>
        </is>
      </c>
      <c r="C360" s="88" t="inlineStr">
        <is>
          <t>ADX6000</t>
        </is>
      </c>
      <c r="D360" s="88" t="inlineStr">
        <is>
          <t>HANDLE RIGHT 사출 (ABS 난연 화이트 + 스프레이)
[ADX6000]</t>
        </is>
      </c>
      <c r="E360" s="88" t="inlineStr">
        <is>
          <t>HANDLE RIGHT 사출</t>
        </is>
      </c>
      <c r="F360" s="90" t="inlineStr">
        <is>
          <t>O</t>
        </is>
      </c>
      <c r="G360" s="91" t="n"/>
      <c r="H360" s="92" t="n"/>
      <c r="I360" s="93" t="inlineStr">
        <is>
          <t>AR</t>
        </is>
      </c>
      <c r="J360" s="94" t="n"/>
      <c r="K360" s="95" t="n"/>
      <c r="L360" s="96" t="inlineStr">
        <is>
          <t>O</t>
        </is>
      </c>
      <c r="M360" s="97" t="n"/>
      <c r="N360" s="98" t="n"/>
      <c r="O360" s="99" t="n"/>
      <c r="P360" s="100" t="inlineStr">
        <is>
          <t>6-AR</t>
        </is>
      </c>
      <c r="Q360" s="102" t="inlineStr">
        <is>
          <t>천우</t>
        </is>
      </c>
      <c r="R360" s="110">
        <f>HYPERLINK("#'마스터_품목'!A343","→ 마스터 R343")</f>
        <v/>
      </c>
      <c r="S360" s="111" t="n">
        <v>343</v>
      </c>
      <c r="T360" s="111" t="inlineStr">
        <is>
          <t>마스터_품목</t>
        </is>
      </c>
    </row>
    <row r="361" ht="48" customHeight="1">
      <c r="A361" s="87" t="inlineStr">
        <is>
          <t>창고</t>
        </is>
      </c>
      <c r="B361" s="87" t="inlineStr">
        <is>
          <t>ABS 난연</t>
        </is>
      </c>
      <c r="C361" s="88" t="inlineStr">
        <is>
          <t>ADX6000</t>
        </is>
      </c>
      <c r="D361" s="88" t="inlineStr">
        <is>
          <t>CRADLE TOP 사출 (ABS 난연 화이트 + 스프레이)
[ADX6000]</t>
        </is>
      </c>
      <c r="E361" s="88" t="inlineStr">
        <is>
          <t>크래들 TOP 사출</t>
        </is>
      </c>
      <c r="F361" s="90" t="inlineStr">
        <is>
          <t>O</t>
        </is>
      </c>
      <c r="G361" s="91" t="n"/>
      <c r="H361" s="92" t="n"/>
      <c r="I361" s="93" t="inlineStr">
        <is>
          <t>AR</t>
        </is>
      </c>
      <c r="J361" s="94" t="n"/>
      <c r="K361" s="95" t="n"/>
      <c r="L361" s="96" t="inlineStr">
        <is>
          <t>O</t>
        </is>
      </c>
      <c r="M361" s="97" t="n"/>
      <c r="N361" s="98" t="n"/>
      <c r="O361" s="99" t="n"/>
      <c r="P361" s="100" t="inlineStr">
        <is>
          <t>6-AR</t>
        </is>
      </c>
      <c r="Q361" s="102" t="inlineStr">
        <is>
          <t>천우</t>
        </is>
      </c>
      <c r="R361" s="110">
        <f>HYPERLINK("#'마스터_품목'!A347","→ 마스터 R347")</f>
        <v/>
      </c>
      <c r="S361" s="111" t="n">
        <v>347</v>
      </c>
      <c r="T361" s="111" t="inlineStr">
        <is>
          <t>마스터_품목</t>
        </is>
      </c>
    </row>
    <row r="362" ht="48" customHeight="1">
      <c r="A362" s="87" t="inlineStr">
        <is>
          <t>창고</t>
        </is>
      </c>
      <c r="B362" s="87" t="inlineStr">
        <is>
          <t>ABS 난연</t>
        </is>
      </c>
      <c r="C362" s="88" t="inlineStr">
        <is>
          <t>ADX6000</t>
        </is>
      </c>
      <c r="D362" s="88" t="inlineStr">
        <is>
          <t>CRADLE BOTTOM 사출 (ABS 난연 화이트 + 스프레이 블랙)
[ADX6000]</t>
        </is>
      </c>
      <c r="E362" s="88" t="inlineStr">
        <is>
          <t>크래들 BOTTOM 사출</t>
        </is>
      </c>
      <c r="F362" s="90" t="inlineStr">
        <is>
          <t>O</t>
        </is>
      </c>
      <c r="G362" s="91" t="n"/>
      <c r="H362" s="92" t="n"/>
      <c r="I362" s="93" t="inlineStr">
        <is>
          <t>AR</t>
        </is>
      </c>
      <c r="J362" s="94" t="n"/>
      <c r="K362" s="95" t="n"/>
      <c r="L362" s="96" t="inlineStr">
        <is>
          <t>O</t>
        </is>
      </c>
      <c r="M362" s="97" t="n"/>
      <c r="N362" s="98" t="n"/>
      <c r="O362" s="99" t="n"/>
      <c r="P362" s="100" t="inlineStr">
        <is>
          <t>6-AR</t>
        </is>
      </c>
      <c r="Q362" s="102" t="inlineStr">
        <is>
          <t>천우</t>
        </is>
      </c>
      <c r="R362" s="110">
        <f>HYPERLINK("#'마스터_품목'!A348","→ 마스터 R348")</f>
        <v/>
      </c>
      <c r="S362" s="111" t="n">
        <v>348</v>
      </c>
      <c r="T362" s="111" t="inlineStr">
        <is>
          <t>마스터_품목</t>
        </is>
      </c>
    </row>
    <row r="363" ht="48" customHeight="1">
      <c r="A363" s="87" t="inlineStr">
        <is>
          <t>창고</t>
        </is>
      </c>
      <c r="B363" s="87" t="inlineStr">
        <is>
          <t>ABS 난연</t>
        </is>
      </c>
      <c r="C363" s="88" t="inlineStr">
        <is>
          <t>ADX6000</t>
        </is>
      </c>
      <c r="D363" s="88" t="inlineStr">
        <is>
          <t>CRADLE LED Guide 사출 (ABS 난연 화이트 + 스프레이)
[ADX6000]</t>
        </is>
      </c>
      <c r="E363" s="88" t="inlineStr">
        <is>
          <t>크래들 LED Guide 사출</t>
        </is>
      </c>
      <c r="F363" s="90" t="inlineStr">
        <is>
          <t>O</t>
        </is>
      </c>
      <c r="G363" s="91" t="n"/>
      <c r="H363" s="92" t="n"/>
      <c r="I363" s="93" t="inlineStr">
        <is>
          <t>AR</t>
        </is>
      </c>
      <c r="J363" s="94" t="n"/>
      <c r="K363" s="95" t="n"/>
      <c r="L363" s="96" t="inlineStr">
        <is>
          <t>O</t>
        </is>
      </c>
      <c r="M363" s="97" t="n"/>
      <c r="N363" s="98" t="n"/>
      <c r="O363" s="99" t="n"/>
      <c r="P363" s="100" t="inlineStr">
        <is>
          <t>6-AR</t>
        </is>
      </c>
      <c r="Q363" s="102" t="inlineStr">
        <is>
          <t>천우</t>
        </is>
      </c>
      <c r="R363" s="110">
        <f>HYPERLINK("#'마스터_품목'!A349","→ 마스터 R349")</f>
        <v/>
      </c>
      <c r="S363" s="111" t="n">
        <v>349</v>
      </c>
      <c r="T363" s="111" t="inlineStr">
        <is>
          <t>마스터_품목</t>
        </is>
      </c>
    </row>
    <row r="364" ht="48" customHeight="1">
      <c r="A364" s="87" t="inlineStr">
        <is>
          <t>창고</t>
        </is>
      </c>
      <c r="B364" s="87" t="inlineStr">
        <is>
          <t>ABS 난연</t>
        </is>
      </c>
      <c r="C364" s="88" t="inlineStr">
        <is>
          <t>ADX6000</t>
        </is>
      </c>
      <c r="D364" s="88" t="inlineStr">
        <is>
          <t>리모콘 포트 가이드 (ABS 난연 화이트)
[ADX6000]</t>
        </is>
      </c>
      <c r="E364" s="88" t="inlineStr">
        <is>
          <t>리모콘 포트 가이드</t>
        </is>
      </c>
      <c r="F364" s="90" t="inlineStr">
        <is>
          <t>O</t>
        </is>
      </c>
      <c r="G364" s="91" t="n"/>
      <c r="H364" s="92" t="n"/>
      <c r="I364" s="93" t="inlineStr">
        <is>
          <t>AR</t>
        </is>
      </c>
      <c r="J364" s="94" t="n"/>
      <c r="K364" s="95" t="n"/>
      <c r="L364" s="96" t="inlineStr">
        <is>
          <t>O</t>
        </is>
      </c>
      <c r="M364" s="97" t="n"/>
      <c r="N364" s="98" t="n"/>
      <c r="O364" s="99" t="n"/>
      <c r="P364" s="100" t="inlineStr">
        <is>
          <t>6-AR</t>
        </is>
      </c>
      <c r="Q364" s="102" t="inlineStr">
        <is>
          <t>월드씨앤피</t>
        </is>
      </c>
      <c r="R364" s="110">
        <f>HYPERLINK("#'마스터_품목'!A339","→ 마스터 R339")</f>
        <v/>
      </c>
      <c r="S364" s="111" t="n">
        <v>339</v>
      </c>
      <c r="T364" s="111" t="inlineStr">
        <is>
          <t>마스터_품목</t>
        </is>
      </c>
    </row>
    <row r="365" ht="48" customHeight="1">
      <c r="A365" s="87" t="inlineStr">
        <is>
          <t>창고</t>
        </is>
      </c>
      <c r="B365" s="87" t="inlineStr">
        <is>
          <t>아크릴</t>
        </is>
      </c>
      <c r="C365" s="88" t="inlineStr">
        <is>
          <t>ADX6000</t>
        </is>
      </c>
      <c r="D365" s="88" t="inlineStr">
        <is>
          <t>Power Button 사출 (스모그 투명 아크릴)
[ADX6000]</t>
        </is>
      </c>
      <c r="E365" s="88" t="inlineStr">
        <is>
          <t>Power Button 사출</t>
        </is>
      </c>
      <c r="F365" s="90" t="inlineStr">
        <is>
          <t>O</t>
        </is>
      </c>
      <c r="G365" s="91" t="n"/>
      <c r="H365" s="92" t="n"/>
      <c r="I365" s="93" t="inlineStr">
        <is>
          <t>AR</t>
        </is>
      </c>
      <c r="J365" s="94" t="n"/>
      <c r="K365" s="95" t="n"/>
      <c r="L365" s="96" t="inlineStr">
        <is>
          <t>O</t>
        </is>
      </c>
      <c r="M365" s="97" t="n"/>
      <c r="N365" s="98" t="n"/>
      <c r="O365" s="99" t="n"/>
      <c r="P365" s="100" t="inlineStr">
        <is>
          <t>6-AR</t>
        </is>
      </c>
      <c r="Q365" s="102" t="inlineStr">
        <is>
          <t>천우</t>
        </is>
      </c>
      <c r="R365" s="110">
        <f>HYPERLINK("#'마스터_품목'!A333","→ 마스터 R333")</f>
        <v/>
      </c>
      <c r="S365" s="111" t="n">
        <v>333</v>
      </c>
      <c r="T365" s="111" t="inlineStr">
        <is>
          <t>마스터_품목</t>
        </is>
      </c>
    </row>
    <row r="366" ht="48" customHeight="1">
      <c r="A366" s="87" t="inlineStr">
        <is>
          <t>창고</t>
        </is>
      </c>
      <c r="B366" s="87" t="inlineStr">
        <is>
          <t>아크릴</t>
        </is>
      </c>
      <c r="C366" s="88" t="inlineStr">
        <is>
          <t>ADX6000</t>
        </is>
      </c>
      <c r="D366" s="88" t="inlineStr">
        <is>
          <t>Black Deco Guide (스모그 투명 아크릴)
[ADX6000]</t>
        </is>
      </c>
      <c r="E366" s="88" t="inlineStr">
        <is>
          <t>Black Deco Guide</t>
        </is>
      </c>
      <c r="F366" s="90" t="inlineStr">
        <is>
          <t>O</t>
        </is>
      </c>
      <c r="G366" s="91" t="n"/>
      <c r="H366" s="92" t="n"/>
      <c r="I366" s="93" t="inlineStr">
        <is>
          <t>AR</t>
        </is>
      </c>
      <c r="J366" s="94" t="n"/>
      <c r="K366" s="95" t="n"/>
      <c r="L366" s="96" t="inlineStr">
        <is>
          <t>O</t>
        </is>
      </c>
      <c r="M366" s="97" t="n"/>
      <c r="N366" s="98" t="n"/>
      <c r="O366" s="99" t="n"/>
      <c r="P366" s="100" t="inlineStr">
        <is>
          <t>6-AR</t>
        </is>
      </c>
      <c r="Q366" s="102" t="inlineStr">
        <is>
          <t>천우</t>
        </is>
      </c>
      <c r="R366" s="110">
        <f>HYPERLINK("#'마스터_품목'!A332","→ 마스터 R332")</f>
        <v/>
      </c>
      <c r="S366" s="111" t="n">
        <v>332</v>
      </c>
      <c r="T366" s="111" t="inlineStr">
        <is>
          <t>마스터_품목</t>
        </is>
      </c>
    </row>
    <row r="367" ht="48" customHeight="1">
      <c r="A367" s="87" t="inlineStr">
        <is>
          <t>창고</t>
        </is>
      </c>
      <c r="B367" s="87" t="inlineStr">
        <is>
          <t>아크릴</t>
        </is>
      </c>
      <c r="C367" s="88" t="inlineStr">
        <is>
          <t>ADX6000</t>
        </is>
      </c>
      <c r="D367" s="88" t="inlineStr">
        <is>
          <t>EX Button 사출 (스모그 투명 아크릴)
[ADX6000]</t>
        </is>
      </c>
      <c r="E367" s="88" t="inlineStr">
        <is>
          <t>EX Button 사출</t>
        </is>
      </c>
      <c r="F367" s="90" t="inlineStr">
        <is>
          <t>O</t>
        </is>
      </c>
      <c r="G367" s="91" t="n"/>
      <c r="H367" s="92" t="n"/>
      <c r="I367" s="93" t="inlineStr">
        <is>
          <t>AR</t>
        </is>
      </c>
      <c r="J367" s="94" t="n"/>
      <c r="K367" s="95" t="n"/>
      <c r="L367" s="96" t="inlineStr">
        <is>
          <t>O</t>
        </is>
      </c>
      <c r="M367" s="97" t="n"/>
      <c r="N367" s="98" t="n"/>
      <c r="O367" s="99" t="n"/>
      <c r="P367" s="100" t="inlineStr">
        <is>
          <t>6-AR</t>
        </is>
      </c>
      <c r="Q367" s="102" t="inlineStr">
        <is>
          <t>천우</t>
        </is>
      </c>
      <c r="R367" s="110">
        <f>HYPERLINK("#'마스터_품목'!A346","→ 마스터 R346")</f>
        <v/>
      </c>
      <c r="S367" s="111" t="n">
        <v>346</v>
      </c>
      <c r="T367" s="111" t="inlineStr">
        <is>
          <t>마스터_품목</t>
        </is>
      </c>
    </row>
    <row r="368" ht="48" customHeight="1">
      <c r="A368" s="87" t="inlineStr">
        <is>
          <t>창고</t>
        </is>
      </c>
      <c r="B368" s="87" t="inlineStr">
        <is>
          <t>아크릴</t>
        </is>
      </c>
      <c r="C368" s="88" t="inlineStr">
        <is>
          <t>ADX6000</t>
        </is>
      </c>
      <c r="D368" s="88" t="inlineStr">
        <is>
          <t>LCD 아크릴 가이드 (투명 아크릴)
[ADX6000]</t>
        </is>
      </c>
      <c r="E368" s="88" t="inlineStr">
        <is>
          <t>LCD 아크릴 가이드</t>
        </is>
      </c>
      <c r="F368" s="90" t="inlineStr">
        <is>
          <t>O</t>
        </is>
      </c>
      <c r="G368" s="91" t="n"/>
      <c r="H368" s="92" t="n"/>
      <c r="I368" s="93" t="inlineStr">
        <is>
          <t>AR</t>
        </is>
      </c>
      <c r="J368" s="94" t="n"/>
      <c r="K368" s="95" t="n"/>
      <c r="L368" s="96" t="inlineStr">
        <is>
          <t>O</t>
        </is>
      </c>
      <c r="M368" s="97" t="n"/>
      <c r="N368" s="98" t="n"/>
      <c r="O368" s="99" t="n"/>
      <c r="P368" s="100" t="inlineStr">
        <is>
          <t>6-AR</t>
        </is>
      </c>
      <c r="Q368" s="102" t="inlineStr">
        <is>
          <t>아크릴최가</t>
        </is>
      </c>
      <c r="R368" s="110">
        <f>HYPERLINK("#'마스터_품목'!A327","→ 마스터 R327")</f>
        <v/>
      </c>
      <c r="S368" s="111" t="n">
        <v>327</v>
      </c>
      <c r="T368" s="111" t="inlineStr">
        <is>
          <t>마스터_품목</t>
        </is>
      </c>
    </row>
    <row r="369" ht="48" customHeight="1">
      <c r="A369" s="87" t="inlineStr">
        <is>
          <t>창고</t>
        </is>
      </c>
      <c r="B369" s="87" t="inlineStr">
        <is>
          <t>아크릴</t>
        </is>
      </c>
      <c r="C369" s="88" t="inlineStr">
        <is>
          <t>ADX6000</t>
        </is>
      </c>
      <c r="D369" s="88" t="inlineStr">
        <is>
          <t>아크릴 투명 십자 panel (아크릴 + 실크 인쇄)
[ADX6000]</t>
        </is>
      </c>
      <c r="E369" s="88" t="inlineStr">
        <is>
          <t>아크릴 투명 십자 panel (70 x70 mm)</t>
        </is>
      </c>
      <c r="F369" s="90" t="inlineStr">
        <is>
          <t>O</t>
        </is>
      </c>
      <c r="G369" s="91" t="n"/>
      <c r="H369" s="92" t="n"/>
      <c r="I369" s="93" t="inlineStr">
        <is>
          <t>AR</t>
        </is>
      </c>
      <c r="J369" s="94" t="n"/>
      <c r="K369" s="95" t="n"/>
      <c r="L369" s="96" t="inlineStr">
        <is>
          <t>O</t>
        </is>
      </c>
      <c r="M369" s="97" t="n"/>
      <c r="N369" s="98" t="n"/>
      <c r="O369" s="99" t="n"/>
      <c r="P369" s="100" t="inlineStr">
        <is>
          <t>6-AR</t>
        </is>
      </c>
      <c r="Q369" s="102" t="inlineStr">
        <is>
          <t>아크릴최가</t>
        </is>
      </c>
      <c r="R369" s="110">
        <f>HYPERLINK("#'마스터_품목'!A320","→ 마스터 R320")</f>
        <v/>
      </c>
      <c r="S369" s="111" t="n">
        <v>320</v>
      </c>
      <c r="T369" s="111" t="inlineStr">
        <is>
          <t>마스터_품목</t>
        </is>
      </c>
    </row>
    <row r="370" ht="48" customHeight="1">
      <c r="A370" s="87" t="inlineStr">
        <is>
          <t>창고</t>
        </is>
      </c>
      <c r="B370" s="87" t="inlineStr">
        <is>
          <t>STEEL</t>
        </is>
      </c>
      <c r="C370" s="88" t="inlineStr">
        <is>
          <t>ADX6000</t>
        </is>
      </c>
      <c r="D370" s="88" t="inlineStr">
        <is>
          <t>LCD HINGE (가공)
[ADX6000]</t>
        </is>
      </c>
      <c r="E370" s="88" t="inlineStr">
        <is>
          <t>LCD HINGE</t>
        </is>
      </c>
      <c r="F370" s="90" t="inlineStr">
        <is>
          <t>O</t>
        </is>
      </c>
      <c r="G370" s="91" t="n"/>
      <c r="H370" s="92" t="n"/>
      <c r="I370" s="93" t="inlineStr">
        <is>
          <t>AR</t>
        </is>
      </c>
      <c r="J370" s="94" t="n"/>
      <c r="K370" s="95" t="n"/>
      <c r="L370" s="96" t="inlineStr">
        <is>
          <t>O</t>
        </is>
      </c>
      <c r="M370" s="97" t="n"/>
      <c r="N370" s="98" t="n"/>
      <c r="O370" s="99" t="n"/>
      <c r="P370" s="100" t="inlineStr">
        <is>
          <t>6-AR</t>
        </is>
      </c>
      <c r="Q370" s="102" t="inlineStr">
        <is>
          <t>디엔케이시스템</t>
        </is>
      </c>
      <c r="R370" s="110">
        <f>HYPERLINK("#'마스터_품목'!A325","→ 마스터 R325")</f>
        <v/>
      </c>
      <c r="S370" s="111" t="n">
        <v>325</v>
      </c>
      <c r="T370" s="111" t="inlineStr">
        <is>
          <t>마스터_품목</t>
        </is>
      </c>
    </row>
    <row r="371" ht="48" customHeight="1">
      <c r="A371" s="87" t="inlineStr">
        <is>
          <t>창고</t>
        </is>
      </c>
      <c r="B371" s="87" t="inlineStr">
        <is>
          <t>AL</t>
        </is>
      </c>
      <c r="C371" s="88" t="inlineStr">
        <is>
          <t>ADX6000</t>
        </is>
      </c>
      <c r="D371" s="88" t="inlineStr">
        <is>
          <t>Base Block (AL 가공 + 흑색 아노다이징)
[ADX6000]</t>
        </is>
      </c>
      <c r="E371" s="88" t="inlineStr">
        <is>
          <t>Base Block</t>
        </is>
      </c>
      <c r="F371" s="90" t="inlineStr">
        <is>
          <t>O</t>
        </is>
      </c>
      <c r="G371" s="91" t="n"/>
      <c r="H371" s="92" t="n"/>
      <c r="I371" s="93" t="inlineStr">
        <is>
          <t>AR</t>
        </is>
      </c>
      <c r="J371" s="94" t="n"/>
      <c r="K371" s="95" t="n"/>
      <c r="L371" s="96" t="inlineStr">
        <is>
          <t>O</t>
        </is>
      </c>
      <c r="M371" s="97" t="n"/>
      <c r="N371" s="98" t="n"/>
      <c r="O371" s="99" t="n"/>
      <c r="P371" s="100" t="inlineStr">
        <is>
          <t>6-AR</t>
        </is>
      </c>
      <c r="Q371" s="102" t="inlineStr">
        <is>
          <t>제이케이시스템</t>
        </is>
      </c>
      <c r="R371" s="110">
        <f>HYPERLINK("#'마스터_품목'!A316","→ 마스터 R316")</f>
        <v/>
      </c>
      <c r="S371" s="111" t="n">
        <v>316</v>
      </c>
      <c r="T371" s="111" t="inlineStr">
        <is>
          <t>마스터_품목</t>
        </is>
      </c>
    </row>
    <row r="372" ht="48" customHeight="1">
      <c r="A372" s="87" t="inlineStr">
        <is>
          <t>창고</t>
        </is>
      </c>
      <c r="B372" s="87" t="inlineStr">
        <is>
          <t>AL</t>
        </is>
      </c>
      <c r="C372" s="88" t="inlineStr">
        <is>
          <t>ADX6000</t>
        </is>
      </c>
      <c r="D372" s="88" t="inlineStr">
        <is>
          <t>Bottom Block (AL 가공 + 흑색 아노다이징)
[ADX6000]</t>
        </is>
      </c>
      <c r="E372" s="88" t="inlineStr">
        <is>
          <t>Bottom Blcok</t>
        </is>
      </c>
      <c r="F372" s="90" t="inlineStr">
        <is>
          <t>O</t>
        </is>
      </c>
      <c r="G372" s="91" t="n"/>
      <c r="H372" s="92" t="n"/>
      <c r="I372" s="93" t="inlineStr">
        <is>
          <t>AR</t>
        </is>
      </c>
      <c r="J372" s="94" t="n"/>
      <c r="K372" s="95" t="n"/>
      <c r="L372" s="96" t="inlineStr">
        <is>
          <t>O</t>
        </is>
      </c>
      <c r="M372" s="97" t="n"/>
      <c r="N372" s="98" t="n"/>
      <c r="O372" s="99" t="n"/>
      <c r="P372" s="100" t="inlineStr">
        <is>
          <t>6-AR</t>
        </is>
      </c>
      <c r="Q372" s="102" t="inlineStr">
        <is>
          <t>제이케이시스템</t>
        </is>
      </c>
      <c r="R372" s="110">
        <f>HYPERLINK("#'마스터_품목'!A318","→ 마스터 R318")</f>
        <v/>
      </c>
      <c r="S372" s="111" t="n">
        <v>318</v>
      </c>
      <c r="T372" s="111" t="inlineStr">
        <is>
          <t>마스터_품목</t>
        </is>
      </c>
    </row>
    <row r="373" ht="48" customHeight="1">
      <c r="A373" s="87" t="inlineStr">
        <is>
          <t>창고</t>
        </is>
      </c>
      <c r="B373" s="87" t="inlineStr">
        <is>
          <t>배터리</t>
        </is>
      </c>
      <c r="C373" s="88" t="inlineStr">
        <is>
          <t>DX3000, ADX4000W</t>
        </is>
      </c>
      <c r="D373" s="88" t="inlineStr">
        <is>
          <t>기본 배터리 (PF435060HP)
[DX3000, ADX4000W]</t>
        </is>
      </c>
      <c r="E373" s="88" t="inlineStr">
        <is>
          <t>배터리 [PF435060HP]_DX3000,ADX4000W공용</t>
        </is>
      </c>
      <c r="F373" s="90" t="inlineStr">
        <is>
          <t>O</t>
        </is>
      </c>
      <c r="G373" s="91" t="n"/>
      <c r="H373" s="92" t="n"/>
      <c r="I373" s="93" t="inlineStr">
        <is>
          <t>PR</t>
        </is>
      </c>
      <c r="J373" s="94" t="inlineStr">
        <is>
          <t>O</t>
        </is>
      </c>
      <c r="K373" s="95" t="inlineStr">
        <is>
          <t>O</t>
        </is>
      </c>
      <c r="L373" s="96" t="n"/>
      <c r="M373" s="97" t="n"/>
      <c r="N373" s="98" t="inlineStr">
        <is>
          <t>O</t>
        </is>
      </c>
      <c r="O373" s="99" t="n"/>
      <c r="P373" s="100" t="inlineStr">
        <is>
          <t>348-PR</t>
        </is>
      </c>
      <c r="Q373" s="102" t="inlineStr">
        <is>
          <t>비앤테크</t>
        </is>
      </c>
      <c r="R373" s="110">
        <f>HYPERLINK("#'마스터_품목'!A584","→ 마스터 R584")</f>
        <v/>
      </c>
      <c r="S373" s="111" t="n">
        <v>584</v>
      </c>
      <c r="T373" s="111" t="inlineStr">
        <is>
          <t>마스터_품목</t>
        </is>
      </c>
    </row>
    <row r="374" ht="48" customHeight="1">
      <c r="A374" s="87" t="inlineStr">
        <is>
          <t>창고</t>
        </is>
      </c>
      <c r="B374" s="87" t="inlineStr">
        <is>
          <t>AL</t>
        </is>
      </c>
      <c r="C374" s="88" t="inlineStr">
        <is>
          <t>ADX6000</t>
        </is>
      </c>
      <c r="D374" s="88" t="inlineStr">
        <is>
          <t>알루미늄 브라켓 6 hole (AL 가공 + 백색 아노다이징)
[ADX6000]</t>
        </is>
      </c>
      <c r="E374" s="88" t="inlineStr">
        <is>
          <t>알루미늄 브라켓 6 hole</t>
        </is>
      </c>
      <c r="F374" s="90" t="inlineStr">
        <is>
          <t>O</t>
        </is>
      </c>
      <c r="G374" s="91" t="n"/>
      <c r="H374" s="92" t="n"/>
      <c r="I374" s="93" t="inlineStr">
        <is>
          <t>AR</t>
        </is>
      </c>
      <c r="J374" s="94" t="n"/>
      <c r="K374" s="95" t="n"/>
      <c r="L374" s="96" t="inlineStr">
        <is>
          <t>O</t>
        </is>
      </c>
      <c r="M374" s="97" t="n"/>
      <c r="N374" s="98" t="n"/>
      <c r="O374" s="99" t="n"/>
      <c r="P374" s="100" t="inlineStr">
        <is>
          <t>6-AR</t>
        </is>
      </c>
      <c r="Q374" s="102" t="inlineStr">
        <is>
          <t>제이케이시스템</t>
        </is>
      </c>
      <c r="R374" s="110">
        <f>HYPERLINK("#'마스터_품목'!A351","→ 마스터 R351")</f>
        <v/>
      </c>
      <c r="S374" s="111" t="n">
        <v>351</v>
      </c>
      <c r="T374" s="111" t="inlineStr">
        <is>
          <t>마스터_품목</t>
        </is>
      </c>
    </row>
    <row r="375" ht="48" customHeight="1">
      <c r="A375" s="126" t="inlineStr">
        <is>
          <t>조립</t>
        </is>
      </c>
      <c r="B375" s="87" t="inlineStr">
        <is>
          <t>RUBBER</t>
        </is>
      </c>
      <c r="C375" s="88" t="inlineStr">
        <is>
          <t>ADX6000</t>
        </is>
      </c>
      <c r="D375" s="88" t="inlineStr">
        <is>
          <t>CRADLE FOOT RUBBER (RUBBER)
[ADX6000]</t>
        </is>
      </c>
      <c r="E375" s="88" t="n"/>
      <c r="F375" s="90" t="inlineStr">
        <is>
          <t>O</t>
        </is>
      </c>
      <c r="G375" s="91" t="n"/>
      <c r="H375" s="92" t="n"/>
      <c r="I375" s="93">
        <f>IFERROR(IF(OR($F375="O",$G375="O",$H375="O"),CHOOSE(MATCH($A375,{"튜브","고압","진공","튜닝","조립","출하"},0),"T","H","V","N","A","P")&amp;IF($F375="O","R",IF($G375="O","A",IF($H375="O","F",""))),""),"")</f>
        <v/>
      </c>
      <c r="J375" s="94" t="n"/>
      <c r="K375" s="125" t="n"/>
      <c r="L375" s="121" t="inlineStr">
        <is>
          <t>O</t>
        </is>
      </c>
      <c r="M375" s="97" t="n"/>
      <c r="N375" s="98" t="n"/>
      <c r="O375" s="99" t="n"/>
      <c r="P375" s="100">
        <f>IF($I375="","",IF($J375="O","3","")&amp;IF($K375="O","4","")&amp;IF($L375="O","6","")&amp;IF($M375="O","7","")&amp;IF($N375="O","8","")&amp;IF($O375="O","?","")&amp;IF(OR($J375="O",$K375="O",$L375="O",$M375="O",$N375="O",$O375="O"),"-","")&amp;$I375)</f>
        <v/>
      </c>
      <c r="Q375" s="102" t="inlineStr">
        <is>
          <t>남경화학</t>
        </is>
      </c>
      <c r="R375" s="110">
        <f>HYPERLINK("#'마스터_품목'!A761","→ 마스터 R761")</f>
        <v/>
      </c>
      <c r="S375" s="111" t="n">
        <v>761</v>
      </c>
      <c r="T375" s="111" t="inlineStr">
        <is>
          <t>마스터_품목</t>
        </is>
      </c>
    </row>
    <row r="376" ht="48" customHeight="1">
      <c r="A376" s="87" t="inlineStr">
        <is>
          <t>창고</t>
        </is>
      </c>
      <c r="B376" s="87" t="inlineStr">
        <is>
          <t>SUS</t>
        </is>
      </c>
      <c r="C376" s="88" t="inlineStr">
        <is>
          <t>ADX6000</t>
        </is>
      </c>
      <c r="D376" s="88" t="inlineStr">
        <is>
          <t>손잡이 핀 (가공)
[ADX6000]</t>
        </is>
      </c>
      <c r="E376" s="88" t="inlineStr">
        <is>
          <t>손잡이 핀</t>
        </is>
      </c>
      <c r="F376" s="90" t="inlineStr">
        <is>
          <t>O</t>
        </is>
      </c>
      <c r="G376" s="91" t="n"/>
      <c r="H376" s="92" t="n"/>
      <c r="I376" s="93" t="inlineStr">
        <is>
          <t>AR</t>
        </is>
      </c>
      <c r="J376" s="94" t="n"/>
      <c r="K376" s="95" t="n"/>
      <c r="L376" s="96" t="inlineStr">
        <is>
          <t>O</t>
        </is>
      </c>
      <c r="M376" s="97" t="n"/>
      <c r="N376" s="98" t="n"/>
      <c r="O376" s="99" t="n"/>
      <c r="P376" s="100" t="inlineStr">
        <is>
          <t>6-AR</t>
        </is>
      </c>
      <c r="Q376" s="102" t="inlineStr">
        <is>
          <t>다우정밀</t>
        </is>
      </c>
      <c r="R376" s="110">
        <f>HYPERLINK("#'마스터_품목'!A336","→ 마스터 R336")</f>
        <v/>
      </c>
      <c r="S376" s="111" t="n">
        <v>336</v>
      </c>
      <c r="T376" s="111" t="inlineStr">
        <is>
          <t>마스터_품목</t>
        </is>
      </c>
    </row>
    <row r="377" ht="48" customHeight="1">
      <c r="A377" s="87" t="inlineStr">
        <is>
          <t>창고</t>
        </is>
      </c>
      <c r="B377" s="87" t="inlineStr">
        <is>
          <t>배터리</t>
        </is>
      </c>
      <c r="C377" s="88" t="inlineStr">
        <is>
          <t>DX3000</t>
        </is>
      </c>
      <c r="D377" s="88" t="inlineStr">
        <is>
          <t>소형 외부배터리 (PF435060HP)
[DX3000]</t>
        </is>
      </c>
      <c r="E377" s="88" t="inlineStr">
        <is>
          <t>소형 외부배터리 [PF435060HP]</t>
        </is>
      </c>
      <c r="F377" s="90" t="inlineStr">
        <is>
          <t>O</t>
        </is>
      </c>
      <c r="G377" s="91" t="n"/>
      <c r="H377" s="92" t="n"/>
      <c r="I377" s="93" t="inlineStr">
        <is>
          <t>PR</t>
        </is>
      </c>
      <c r="J377" s="94" t="inlineStr">
        <is>
          <t>O</t>
        </is>
      </c>
      <c r="K377" s="95" t="n"/>
      <c r="L377" s="96" t="n"/>
      <c r="M377" s="97" t="inlineStr">
        <is>
          <t>O</t>
        </is>
      </c>
      <c r="N377" s="98" t="n"/>
      <c r="O377" s="99" t="n"/>
      <c r="P377" s="100" t="inlineStr">
        <is>
          <t>37-PR</t>
        </is>
      </c>
      <c r="Q377" s="102" t="inlineStr">
        <is>
          <t>비앤테크</t>
        </is>
      </c>
      <c r="R377" s="110">
        <f>HYPERLINK("#'마스터_품목'!A586","→ 마스터 R586")</f>
        <v/>
      </c>
      <c r="S377" s="111" t="n">
        <v>586</v>
      </c>
      <c r="T377" s="111" t="inlineStr">
        <is>
          <t>마스터_품목</t>
        </is>
      </c>
    </row>
    <row r="378" ht="48" customHeight="1">
      <c r="A378" s="87" t="inlineStr">
        <is>
          <t>창고</t>
        </is>
      </c>
      <c r="B378" s="87" t="inlineStr">
        <is>
          <t>페라이트</t>
        </is>
      </c>
      <c r="C378" s="88" t="inlineStr">
        <is>
          <t>ADX6000</t>
        </is>
      </c>
      <c r="D378" s="88" t="inlineStr">
        <is>
          <t>중간 페라이트 코어 (ZCAT 1518-0730)
[ADX6000]</t>
        </is>
      </c>
      <c r="E378" s="88" t="inlineStr">
        <is>
          <t>페라이트 코어 [ZCAT 1518-0730]</t>
        </is>
      </c>
      <c r="F378" s="90" t="inlineStr">
        <is>
          <t>O</t>
        </is>
      </c>
      <c r="G378" s="91" t="n"/>
      <c r="H378" s="92" t="n"/>
      <c r="I378" s="93" t="inlineStr">
        <is>
          <t>AR</t>
        </is>
      </c>
      <c r="J378" s="94" t="n"/>
      <c r="K378" s="95" t="n"/>
      <c r="L378" s="96" t="inlineStr">
        <is>
          <t>O</t>
        </is>
      </c>
      <c r="M378" s="97" t="n"/>
      <c r="N378" s="98" t="n"/>
      <c r="O378" s="99" t="n"/>
      <c r="P378" s="100" t="inlineStr">
        <is>
          <t>6-AR</t>
        </is>
      </c>
      <c r="Q378" s="102" t="inlineStr">
        <is>
          <t>HLP</t>
        </is>
      </c>
      <c r="R378" s="110">
        <f>HYPERLINK("#'마스터_품목'!A350","→ 마스터 R350")</f>
        <v/>
      </c>
      <c r="S378" s="111" t="n">
        <v>350</v>
      </c>
      <c r="T378" s="111" t="inlineStr">
        <is>
          <t>마스터_품목</t>
        </is>
      </c>
    </row>
    <row r="379" ht="48" customHeight="1">
      <c r="A379" s="87" t="inlineStr">
        <is>
          <t>창고</t>
        </is>
      </c>
      <c r="B379" s="87" t="inlineStr">
        <is>
          <t>스티커</t>
        </is>
      </c>
      <c r="C379" s="88" t="inlineStr">
        <is>
          <t>ADX6000S</t>
        </is>
      </c>
      <c r="D379" s="88" t="inlineStr">
        <is>
          <t>LCD 배젤 스티커
[ADX6000S]</t>
        </is>
      </c>
      <c r="E379" s="88" t="inlineStr">
        <is>
          <t>LCD 배젤 스티커</t>
        </is>
      </c>
      <c r="F379" s="90" t="inlineStr">
        <is>
          <t>O</t>
        </is>
      </c>
      <c r="G379" s="91" t="n"/>
      <c r="H379" s="92" t="n"/>
      <c r="I379" s="93" t="inlineStr">
        <is>
          <t>AR</t>
        </is>
      </c>
      <c r="J379" s="94" t="n"/>
      <c r="K379" s="95" t="n"/>
      <c r="L379" s="96" t="inlineStr">
        <is>
          <t>O</t>
        </is>
      </c>
      <c r="M379" s="97" t="n"/>
      <c r="N379" s="98" t="n"/>
      <c r="O379" s="99" t="n"/>
      <c r="P379" s="100" t="inlineStr">
        <is>
          <t>6-AR</t>
        </is>
      </c>
      <c r="Q379" s="102" t="inlineStr">
        <is>
          <t>그라피아스크린</t>
        </is>
      </c>
      <c r="R379" s="110">
        <f>HYPERLINK("#'마스터_품목'!A328","→ 마스터 R328")</f>
        <v/>
      </c>
      <c r="S379" s="111" t="n">
        <v>328</v>
      </c>
      <c r="T379" s="111" t="inlineStr">
        <is>
          <t>마스터_품목</t>
        </is>
      </c>
    </row>
    <row r="380" ht="48" customHeight="1">
      <c r="A380" s="87" t="inlineStr">
        <is>
          <t>창고</t>
        </is>
      </c>
      <c r="B380" s="87" t="inlineStr">
        <is>
          <t>CORD</t>
        </is>
      </c>
      <c r="C380" s="88" t="inlineStr">
        <is>
          <t>공용</t>
        </is>
      </c>
      <c r="D380" s="88" t="inlineStr">
        <is>
          <t>2구 AC코드 C타입 (220V)
[공용]</t>
        </is>
      </c>
      <c r="E380" s="88" t="inlineStr">
        <is>
          <t>2구 AC코드 _ C 타입 [ 220V ]</t>
        </is>
      </c>
      <c r="F380" s="90" t="inlineStr">
        <is>
          <t>O</t>
        </is>
      </c>
      <c r="G380" s="91" t="n"/>
      <c r="H380" s="92" t="n"/>
      <c r="I380" s="93" t="inlineStr">
        <is>
          <t>PR</t>
        </is>
      </c>
      <c r="J380" s="94" t="inlineStr">
        <is>
          <t>O</t>
        </is>
      </c>
      <c r="K380" s="95" t="inlineStr">
        <is>
          <t>O</t>
        </is>
      </c>
      <c r="L380" s="96" t="inlineStr">
        <is>
          <t>O</t>
        </is>
      </c>
      <c r="M380" s="97" t="inlineStr">
        <is>
          <t>O</t>
        </is>
      </c>
      <c r="N380" s="98" t="inlineStr">
        <is>
          <t>O</t>
        </is>
      </c>
      <c r="O380" s="99" t="n"/>
      <c r="P380" s="100" t="inlineStr">
        <is>
          <t>34678-PR</t>
        </is>
      </c>
      <c r="Q380" s="102" t="inlineStr">
        <is>
          <t>브리지파워</t>
        </is>
      </c>
      <c r="R380" s="110">
        <f>HYPERLINK("#'마스터_품목'!A590","→ 마스터 R590")</f>
        <v/>
      </c>
      <c r="S380" s="111" t="n">
        <v>590</v>
      </c>
      <c r="T380" s="111" t="inlineStr">
        <is>
          <t>마스터_품목</t>
        </is>
      </c>
    </row>
    <row r="381" ht="48" customHeight="1">
      <c r="A381" s="87" t="inlineStr">
        <is>
          <t>창고</t>
        </is>
      </c>
      <c r="B381" s="87" t="inlineStr">
        <is>
          <t>CORD</t>
        </is>
      </c>
      <c r="C381" s="88" t="inlineStr">
        <is>
          <t>공용</t>
        </is>
      </c>
      <c r="D381" s="88" t="inlineStr">
        <is>
          <t>2구 AC코드 A타입 (일본용, 110V)
[공용]</t>
        </is>
      </c>
      <c r="E381" s="88" t="inlineStr">
        <is>
          <t>2구 AC코드 _ A 타입 [ 110V ]-일본향</t>
        </is>
      </c>
      <c r="F381" s="90" t="inlineStr">
        <is>
          <t>O</t>
        </is>
      </c>
      <c r="G381" s="91" t="n"/>
      <c r="H381" s="92" t="n"/>
      <c r="I381" s="93" t="inlineStr">
        <is>
          <t>PR</t>
        </is>
      </c>
      <c r="J381" s="94" t="inlineStr">
        <is>
          <t>O</t>
        </is>
      </c>
      <c r="K381" s="95" t="inlineStr">
        <is>
          <t>O</t>
        </is>
      </c>
      <c r="L381" s="96" t="inlineStr">
        <is>
          <t>O</t>
        </is>
      </c>
      <c r="M381" s="97" t="inlineStr">
        <is>
          <t>O</t>
        </is>
      </c>
      <c r="N381" s="98" t="inlineStr">
        <is>
          <t>O</t>
        </is>
      </c>
      <c r="O381" s="99" t="n"/>
      <c r="P381" s="100" t="inlineStr">
        <is>
          <t>34678-PR</t>
        </is>
      </c>
      <c r="Q381" s="102" t="inlineStr">
        <is>
          <t>브리지파워</t>
        </is>
      </c>
      <c r="R381" s="110">
        <f>HYPERLINK("#'마스터_품목'!A591","→ 마스터 R591")</f>
        <v/>
      </c>
      <c r="S381" s="111" t="n">
        <v>591</v>
      </c>
      <c r="T381" s="111" t="inlineStr">
        <is>
          <t>마스터_품목</t>
        </is>
      </c>
    </row>
    <row r="382" ht="48" customHeight="1">
      <c r="A382" s="87" t="inlineStr">
        <is>
          <t>창고</t>
        </is>
      </c>
      <c r="B382" s="87" t="inlineStr">
        <is>
          <t>CORD</t>
        </is>
      </c>
      <c r="C382" s="88" t="inlineStr">
        <is>
          <t>공용</t>
        </is>
      </c>
      <c r="D382" s="88" t="inlineStr">
        <is>
          <t>3구 접지 AC 코드 (유럽용, 220V)
[공용]</t>
        </is>
      </c>
      <c r="E382" s="88" t="inlineStr">
        <is>
          <t>3구 접지 AC 코드_ F 타입 [ 220V 유럽용 ]</t>
        </is>
      </c>
      <c r="F382" s="90" t="inlineStr">
        <is>
          <t>O</t>
        </is>
      </c>
      <c r="G382" s="91" t="n"/>
      <c r="H382" s="92" t="n"/>
      <c r="I382" s="93" t="inlineStr">
        <is>
          <t>PR</t>
        </is>
      </c>
      <c r="J382" s="94" t="inlineStr">
        <is>
          <t>O</t>
        </is>
      </c>
      <c r="K382" s="95" t="inlineStr">
        <is>
          <t>O</t>
        </is>
      </c>
      <c r="L382" s="96" t="inlineStr">
        <is>
          <t>O</t>
        </is>
      </c>
      <c r="M382" s="97" t="inlineStr">
        <is>
          <t>O</t>
        </is>
      </c>
      <c r="N382" s="98" t="inlineStr">
        <is>
          <t>O</t>
        </is>
      </c>
      <c r="O382" s="99" t="n"/>
      <c r="P382" s="100" t="inlineStr">
        <is>
          <t>34678-PR</t>
        </is>
      </c>
      <c r="Q382" s="102" t="inlineStr">
        <is>
          <t>브리지파워</t>
        </is>
      </c>
      <c r="R382" s="110">
        <f>HYPERLINK("#'마스터_품목'!A595","→ 마스터 R595")</f>
        <v/>
      </c>
      <c r="S382" s="111" t="n">
        <v>595</v>
      </c>
      <c r="T382" s="111" t="inlineStr">
        <is>
          <t>마스터_품목</t>
        </is>
      </c>
    </row>
    <row r="383" ht="48" customHeight="1">
      <c r="A383" s="87" t="inlineStr">
        <is>
          <t>창고</t>
        </is>
      </c>
      <c r="B383" s="87" t="inlineStr">
        <is>
          <t>CORD</t>
        </is>
      </c>
      <c r="C383" s="88" t="inlineStr">
        <is>
          <t>공용</t>
        </is>
      </c>
      <c r="D383" s="88" t="inlineStr">
        <is>
          <t>3구 접지 AC 코드 A타입 (일본용, 110V)
[공용]</t>
        </is>
      </c>
      <c r="E383" s="88" t="inlineStr">
        <is>
          <t>3구 접지 AC코드 _ A 타입 [ 110V ]</t>
        </is>
      </c>
      <c r="F383" s="90" t="inlineStr">
        <is>
          <t>O</t>
        </is>
      </c>
      <c r="G383" s="91" t="n"/>
      <c r="H383" s="92" t="n"/>
      <c r="I383" s="93" t="inlineStr">
        <is>
          <t>PR</t>
        </is>
      </c>
      <c r="J383" s="94" t="inlineStr">
        <is>
          <t>O</t>
        </is>
      </c>
      <c r="K383" s="95" t="inlineStr">
        <is>
          <t>O</t>
        </is>
      </c>
      <c r="L383" s="96" t="inlineStr">
        <is>
          <t>O</t>
        </is>
      </c>
      <c r="M383" s="97" t="inlineStr">
        <is>
          <t>O</t>
        </is>
      </c>
      <c r="N383" s="98" t="inlineStr">
        <is>
          <t>O</t>
        </is>
      </c>
      <c r="O383" s="99" t="n"/>
      <c r="P383" s="100" t="inlineStr">
        <is>
          <t>34678-PR</t>
        </is>
      </c>
      <c r="Q383" s="102" t="inlineStr">
        <is>
          <t>브리지파워</t>
        </is>
      </c>
      <c r="R383" s="110">
        <f>HYPERLINK("#'마스터_품목'!A596","→ 마스터 R596")</f>
        <v/>
      </c>
      <c r="S383" s="111" t="n">
        <v>596</v>
      </c>
      <c r="T383" s="111" t="inlineStr">
        <is>
          <t>마스터_품목</t>
        </is>
      </c>
    </row>
    <row r="384" ht="48" customHeight="1">
      <c r="A384" s="87" t="inlineStr">
        <is>
          <t>창고</t>
        </is>
      </c>
      <c r="B384" s="87" t="inlineStr">
        <is>
          <t>CORD</t>
        </is>
      </c>
      <c r="C384" s="88" t="inlineStr">
        <is>
          <t>공용</t>
        </is>
      </c>
      <c r="D384" s="88" t="inlineStr">
        <is>
          <t>3구 접지 AC코드 B타입 (미국용)
[공용]</t>
        </is>
      </c>
      <c r="E384" s="88" t="inlineStr">
        <is>
          <t>3구 접지 AC 코드_ B 타입 [ 미국용 ]</t>
        </is>
      </c>
      <c r="F384" s="90" t="inlineStr">
        <is>
          <t>O</t>
        </is>
      </c>
      <c r="G384" s="91" t="n"/>
      <c r="H384" s="92" t="n"/>
      <c r="I384" s="93" t="inlineStr">
        <is>
          <t>PR</t>
        </is>
      </c>
      <c r="J384" s="94" t="inlineStr">
        <is>
          <t>O</t>
        </is>
      </c>
      <c r="K384" s="95" t="inlineStr">
        <is>
          <t>O</t>
        </is>
      </c>
      <c r="L384" s="96" t="inlineStr">
        <is>
          <t>O</t>
        </is>
      </c>
      <c r="M384" s="97" t="inlineStr">
        <is>
          <t>O</t>
        </is>
      </c>
      <c r="N384" s="98" t="inlineStr">
        <is>
          <t>O</t>
        </is>
      </c>
      <c r="O384" s="99" t="n"/>
      <c r="P384" s="100" t="inlineStr">
        <is>
          <t>34678-PR</t>
        </is>
      </c>
      <c r="Q384" s="102" t="inlineStr">
        <is>
          <t>브리지파워</t>
        </is>
      </c>
      <c r="R384" s="110">
        <f>HYPERLINK("#'마스터_품목'!A592","→ 마스터 R592")</f>
        <v/>
      </c>
      <c r="S384" s="111" t="n">
        <v>592</v>
      </c>
      <c r="T384" s="111" t="inlineStr">
        <is>
          <t>마스터_품목</t>
        </is>
      </c>
    </row>
    <row r="385" ht="48" customHeight="1">
      <c r="A385" s="87" t="inlineStr">
        <is>
          <t>창고</t>
        </is>
      </c>
      <c r="B385" s="87" t="inlineStr">
        <is>
          <t>CORD</t>
        </is>
      </c>
      <c r="C385" s="88" t="inlineStr">
        <is>
          <t>공용</t>
        </is>
      </c>
      <c r="D385" s="88" t="inlineStr">
        <is>
          <t>3구 접지 AC코드 I타입 (호주, 중국 공용)
[공용]</t>
        </is>
      </c>
      <c r="E385" s="88" t="inlineStr">
        <is>
          <t>3구 접지 AC 코드_ I 타입 [ 호주,중국 공용 ]</t>
        </is>
      </c>
      <c r="F385" s="90" t="inlineStr">
        <is>
          <t>O</t>
        </is>
      </c>
      <c r="G385" s="91" t="n"/>
      <c r="H385" s="92" t="n"/>
      <c r="I385" s="93" t="inlineStr">
        <is>
          <t>PR</t>
        </is>
      </c>
      <c r="J385" s="94" t="inlineStr">
        <is>
          <t>O</t>
        </is>
      </c>
      <c r="K385" s="95" t="inlineStr">
        <is>
          <t>O</t>
        </is>
      </c>
      <c r="L385" s="96" t="inlineStr">
        <is>
          <t>O</t>
        </is>
      </c>
      <c r="M385" s="97" t="inlineStr">
        <is>
          <t>O</t>
        </is>
      </c>
      <c r="N385" s="98" t="inlineStr">
        <is>
          <t>O</t>
        </is>
      </c>
      <c r="O385" s="99" t="n"/>
      <c r="P385" s="100" t="inlineStr">
        <is>
          <t>34678-PR</t>
        </is>
      </c>
      <c r="Q385" s="102" t="inlineStr">
        <is>
          <t>브리지파워</t>
        </is>
      </c>
      <c r="R385" s="110">
        <f>HYPERLINK("#'마스터_품목'!A593","→ 마스터 R593")</f>
        <v/>
      </c>
      <c r="S385" s="111" t="n">
        <v>593</v>
      </c>
      <c r="T385" s="111" t="inlineStr">
        <is>
          <t>마스터_품목</t>
        </is>
      </c>
    </row>
    <row r="386" ht="48" customHeight="1">
      <c r="A386" s="87" t="inlineStr">
        <is>
          <t>창고</t>
        </is>
      </c>
      <c r="B386" s="87" t="inlineStr">
        <is>
          <t>CORD</t>
        </is>
      </c>
      <c r="C386" s="88" t="inlineStr">
        <is>
          <t>공용</t>
        </is>
      </c>
      <c r="D386" s="88" t="inlineStr">
        <is>
          <t>3구 접지 AC코드 G타입 (영국용)
[공용]</t>
        </is>
      </c>
      <c r="E386" s="88" t="inlineStr">
        <is>
          <t>3구 접지 AC 코드_ G 타입 [ 영국용 ]</t>
        </is>
      </c>
      <c r="F386" s="90" t="inlineStr">
        <is>
          <t>O</t>
        </is>
      </c>
      <c r="G386" s="91" t="n"/>
      <c r="H386" s="92" t="n"/>
      <c r="I386" s="93" t="inlineStr">
        <is>
          <t>PR</t>
        </is>
      </c>
      <c r="J386" s="94" t="inlineStr">
        <is>
          <t>O</t>
        </is>
      </c>
      <c r="K386" s="95" t="inlineStr">
        <is>
          <t>O</t>
        </is>
      </c>
      <c r="L386" s="96" t="inlineStr">
        <is>
          <t>O</t>
        </is>
      </c>
      <c r="M386" s="97" t="inlineStr">
        <is>
          <t>O</t>
        </is>
      </c>
      <c r="N386" s="98" t="inlineStr">
        <is>
          <t>O</t>
        </is>
      </c>
      <c r="O386" s="99" t="n"/>
      <c r="P386" s="100" t="inlineStr">
        <is>
          <t>34678-PR</t>
        </is>
      </c>
      <c r="Q386" s="102" t="inlineStr">
        <is>
          <t>브리지파워</t>
        </is>
      </c>
      <c r="R386" s="110">
        <f>HYPERLINK("#'마스터_품목'!A594","→ 마스터 R594")</f>
        <v/>
      </c>
      <c r="S386" s="111" t="n">
        <v>594</v>
      </c>
      <c r="T386" s="111" t="inlineStr">
        <is>
          <t>마스터_품목</t>
        </is>
      </c>
    </row>
    <row r="387" ht="48" customHeight="1">
      <c r="A387" s="87" t="inlineStr">
        <is>
          <t>창고</t>
        </is>
      </c>
      <c r="B387" s="87" t="inlineStr">
        <is>
          <t>ADAPTER</t>
        </is>
      </c>
      <c r="C387" s="88" t="inlineStr">
        <is>
          <t>공용</t>
        </is>
      </c>
      <c r="D387" s="88" t="inlineStr">
        <is>
          <t>2구 충전기 (BPL910S16N01, 220V)
[공용]</t>
        </is>
      </c>
      <c r="E387" s="88" t="inlineStr">
        <is>
          <t>2구 충전기 [JBL910A1602K00]-220V</t>
        </is>
      </c>
      <c r="F387" s="90" t="inlineStr">
        <is>
          <t>O</t>
        </is>
      </c>
      <c r="G387" s="91" t="n"/>
      <c r="H387" s="92" t="n"/>
      <c r="I387" s="93" t="inlineStr">
        <is>
          <t>PR</t>
        </is>
      </c>
      <c r="J387" s="94" t="inlineStr">
        <is>
          <t>O</t>
        </is>
      </c>
      <c r="K387" s="95" t="inlineStr">
        <is>
          <t>O</t>
        </is>
      </c>
      <c r="L387" s="96" t="inlineStr">
        <is>
          <t>O</t>
        </is>
      </c>
      <c r="M387" s="97" t="inlineStr">
        <is>
          <t>O</t>
        </is>
      </c>
      <c r="N387" s="98" t="inlineStr">
        <is>
          <t>O</t>
        </is>
      </c>
      <c r="O387" s="99" t="n"/>
      <c r="P387" s="100" t="inlineStr">
        <is>
          <t>34678-PR</t>
        </is>
      </c>
      <c r="Q387" s="102" t="inlineStr">
        <is>
          <t>브리지파워</t>
        </is>
      </c>
      <c r="R387" s="110">
        <f>HYPERLINK("#'마스터_품목'!A587","→ 마스터 R587")</f>
        <v/>
      </c>
      <c r="S387" s="111" t="n">
        <v>587</v>
      </c>
      <c r="T387" s="111" t="inlineStr">
        <is>
          <t>마스터_품목</t>
        </is>
      </c>
    </row>
    <row r="388" ht="48" customHeight="1">
      <c r="A388" s="87" t="inlineStr">
        <is>
          <t>창고</t>
        </is>
      </c>
      <c r="B388" s="87" t="inlineStr">
        <is>
          <t>ADAPTER</t>
        </is>
      </c>
      <c r="C388" s="88" t="inlineStr">
        <is>
          <t>공용</t>
        </is>
      </c>
      <c r="D388" s="88" t="inlineStr">
        <is>
          <t>3구 충전기 (BPL910S16F01, (미국, 호주 공용))
[공용]</t>
        </is>
      </c>
      <c r="E388" s="88" t="inlineStr">
        <is>
          <t>3구 충전기 [미국,호주 공용]</t>
        </is>
      </c>
      <c r="F388" s="90" t="inlineStr">
        <is>
          <t>O</t>
        </is>
      </c>
      <c r="G388" s="91" t="n"/>
      <c r="H388" s="92" t="n"/>
      <c r="I388" s="93" t="inlineStr">
        <is>
          <t>PR</t>
        </is>
      </c>
      <c r="J388" s="94" t="inlineStr">
        <is>
          <t>O</t>
        </is>
      </c>
      <c r="K388" s="95" t="inlineStr">
        <is>
          <t>O</t>
        </is>
      </c>
      <c r="L388" s="96" t="inlineStr">
        <is>
          <t>O</t>
        </is>
      </c>
      <c r="M388" s="97" t="inlineStr">
        <is>
          <t>O</t>
        </is>
      </c>
      <c r="N388" s="98" t="inlineStr">
        <is>
          <t>O</t>
        </is>
      </c>
      <c r="O388" s="99" t="n"/>
      <c r="P388" s="100" t="inlineStr">
        <is>
          <t>34678-PR</t>
        </is>
      </c>
      <c r="Q388" s="102" t="inlineStr">
        <is>
          <t>브리지파워</t>
        </is>
      </c>
      <c r="R388" s="110">
        <f>HYPERLINK("#'마스터_품목'!A588","→ 마스터 R588")</f>
        <v/>
      </c>
      <c r="S388" s="111" t="n">
        <v>588</v>
      </c>
      <c r="T388" s="111" t="inlineStr">
        <is>
          <t>마스터_품목</t>
        </is>
      </c>
    </row>
    <row r="389" ht="48" customHeight="1">
      <c r="A389" s="87" t="inlineStr">
        <is>
          <t>창고</t>
        </is>
      </c>
      <c r="B389" s="87" t="inlineStr">
        <is>
          <t>스티커</t>
        </is>
      </c>
      <c r="C389" s="88" t="inlineStr">
        <is>
          <t>ADX6000S</t>
        </is>
      </c>
      <c r="D389" s="88" t="inlineStr">
        <is>
          <t>Front Port Sticker (리모콘 포트 수정 신형)
[ADX6000S]</t>
        </is>
      </c>
      <c r="E389" s="88" t="inlineStr">
        <is>
          <t>Front Port Sticker (리모콘 포트 수정 신형)</t>
        </is>
      </c>
      <c r="F389" s="90" t="inlineStr">
        <is>
          <t>O</t>
        </is>
      </c>
      <c r="G389" s="91" t="n"/>
      <c r="H389" s="92" t="n"/>
      <c r="I389" s="93" t="inlineStr">
        <is>
          <t>AR</t>
        </is>
      </c>
      <c r="J389" s="94" t="n"/>
      <c r="K389" s="95" t="n"/>
      <c r="L389" s="96" t="inlineStr">
        <is>
          <t>O</t>
        </is>
      </c>
      <c r="M389" s="97" t="n"/>
      <c r="N389" s="98" t="n"/>
      <c r="O389" s="99" t="n"/>
      <c r="P389" s="100" t="inlineStr">
        <is>
          <t>6-AR</t>
        </is>
      </c>
      <c r="Q389" s="102" t="inlineStr">
        <is>
          <t>그라피아스크린</t>
        </is>
      </c>
      <c r="R389" s="110">
        <f>HYPERLINK("#'마스터_품목'!A340","→ 마스터 R340")</f>
        <v/>
      </c>
      <c r="S389" s="111" t="n">
        <v>340</v>
      </c>
      <c r="T389" s="111" t="inlineStr">
        <is>
          <t>마스터_품목</t>
        </is>
      </c>
    </row>
    <row r="390" ht="48" customHeight="1">
      <c r="A390" s="87" t="inlineStr">
        <is>
          <t>창고</t>
        </is>
      </c>
      <c r="B390" s="87" t="inlineStr">
        <is>
          <t>인조가죽</t>
        </is>
      </c>
      <c r="C390" s="88" t="inlineStr">
        <is>
          <t>ADX6000</t>
        </is>
      </c>
      <c r="D390" s="88" t="inlineStr">
        <is>
          <t>LCD 힌지 가죽 커버 (인조 가죽)
[ADX6000]</t>
        </is>
      </c>
      <c r="E390" s="88" t="inlineStr">
        <is>
          <t>LCD 힌지 가죽 커버</t>
        </is>
      </c>
      <c r="F390" s="90" t="inlineStr">
        <is>
          <t>O</t>
        </is>
      </c>
      <c r="G390" s="91" t="n"/>
      <c r="H390" s="92" t="n"/>
      <c r="I390" s="93" t="inlineStr">
        <is>
          <t>AR</t>
        </is>
      </c>
      <c r="J390" s="94" t="n"/>
      <c r="K390" s="95" t="n"/>
      <c r="L390" s="96" t="inlineStr">
        <is>
          <t>O</t>
        </is>
      </c>
      <c r="M390" s="97" t="n"/>
      <c r="N390" s="98" t="n"/>
      <c r="O390" s="99" t="n"/>
      <c r="P390" s="100" t="inlineStr">
        <is>
          <t>6-AR</t>
        </is>
      </c>
      <c r="Q390" s="102" t="inlineStr">
        <is>
          <t>굿모닝코리아유통</t>
        </is>
      </c>
      <c r="R390" s="110">
        <f>HYPERLINK("#'마스터_품목'!A326","→ 마스터 R326")</f>
        <v/>
      </c>
      <c r="S390" s="111" t="n">
        <v>326</v>
      </c>
      <c r="T390" s="111" t="inlineStr">
        <is>
          <t>마스터_품목</t>
        </is>
      </c>
    </row>
    <row r="391" ht="48" customHeight="1">
      <c r="A391" s="87" t="inlineStr">
        <is>
          <t>창고</t>
        </is>
      </c>
      <c r="B391" s="87" t="inlineStr">
        <is>
          <t>인조가죽</t>
        </is>
      </c>
      <c r="C391" s="88" t="inlineStr">
        <is>
          <t>ADX6000</t>
        </is>
      </c>
      <c r="D391" s="88" t="inlineStr">
        <is>
          <t>가죽 손잡이 (탈착배터리 터치펜 X) (인조 가죽)
[ADX6000]</t>
        </is>
      </c>
      <c r="E391" s="88" t="inlineStr">
        <is>
          <t>가죽 손잡이 탈착배터리용 터치펜 X</t>
        </is>
      </c>
      <c r="F391" s="90" t="inlineStr">
        <is>
          <t>O</t>
        </is>
      </c>
      <c r="G391" s="91" t="n"/>
      <c r="H391" s="92" t="n"/>
      <c r="I391" s="93" t="inlineStr">
        <is>
          <t>AR</t>
        </is>
      </c>
      <c r="J391" s="94" t="n"/>
      <c r="K391" s="95" t="n"/>
      <c r="L391" s="96" t="inlineStr">
        <is>
          <t>O</t>
        </is>
      </c>
      <c r="M391" s="97" t="n"/>
      <c r="N391" s="98" t="n"/>
      <c r="O391" s="99" t="n"/>
      <c r="P391" s="100" t="inlineStr">
        <is>
          <t>6-AR</t>
        </is>
      </c>
      <c r="Q391" s="102" t="inlineStr">
        <is>
          <t>굿모닝코리아유통</t>
        </is>
      </c>
      <c r="R391" s="110">
        <f>HYPERLINK("#'마스터_품목'!A353","→ 마스터 R353")</f>
        <v/>
      </c>
      <c r="S391" s="111" t="n">
        <v>353</v>
      </c>
      <c r="T391" s="111" t="inlineStr">
        <is>
          <t>마스터_품목</t>
        </is>
      </c>
    </row>
    <row r="392" ht="48" customHeight="1">
      <c r="A392" s="126" t="inlineStr">
        <is>
          <t>출하</t>
        </is>
      </c>
      <c r="B392" s="87" t="inlineStr">
        <is>
          <t>배터리</t>
        </is>
      </c>
      <c r="C392" s="88" t="inlineStr">
        <is>
          <t>DX3000</t>
        </is>
      </c>
      <c r="D392" s="88" t="inlineStr">
        <is>
          <t>내부 배터리 (PF435060HP)
[DX3000]</t>
        </is>
      </c>
      <c r="E392" s="88" t="n"/>
      <c r="F392" s="90" t="inlineStr">
        <is>
          <t>O</t>
        </is>
      </c>
      <c r="G392" s="91" t="n"/>
      <c r="H392" s="92" t="n"/>
      <c r="I392" s="93">
        <f>IFERROR(IF(OR($F392="O",$G392="O",$H392="O"),CHOOSE(MATCH($A392,{"튜브","고압","진공","튜닝","조립","출하"},0),"T","H","V","N","A","P")&amp;IF($F392="O","R",IF($G392="O","A",IF($H392="O","F",""))),""),"")</f>
        <v/>
      </c>
      <c r="J392" s="124" t="inlineStr">
        <is>
          <t>O</t>
        </is>
      </c>
      <c r="K392" s="125" t="n"/>
      <c r="L392" s="96" t="n"/>
      <c r="M392" s="97" t="n"/>
      <c r="N392" s="98" t="n"/>
      <c r="O392" s="99" t="n"/>
      <c r="P392" s="100">
        <f>IF($I392="","",IF($J392="O","3","")&amp;IF($K392="O","4","")&amp;IF($L392="O","6","")&amp;IF($M392="O","7","")&amp;IF($N392="O","8","")&amp;IF($O392="O","?","")&amp;IF(OR($J392="O",$K392="O",$L392="O",$M392="O",$N392="O",$O392="O"),"-","")&amp;$I392)</f>
        <v/>
      </c>
      <c r="Q392" s="102" t="inlineStr">
        <is>
          <t>비앤테크</t>
        </is>
      </c>
      <c r="R392" s="110">
        <f>HYPERLINK("#'마스터_품목'!A762","→ 마스터 R762")</f>
        <v/>
      </c>
      <c r="S392" s="111" t="n">
        <v>762</v>
      </c>
      <c r="T392" s="111" t="inlineStr">
        <is>
          <t>마스터_품목</t>
        </is>
      </c>
    </row>
    <row r="393" ht="48" customHeight="1">
      <c r="A393" s="87" t="inlineStr">
        <is>
          <t>창고</t>
        </is>
      </c>
      <c r="B393" s="87" t="inlineStr">
        <is>
          <t>충전 변환 젠더</t>
        </is>
      </c>
      <c r="C393" s="88" t="inlineStr">
        <is>
          <t>공용</t>
        </is>
      </c>
      <c r="D393" s="88" t="inlineStr">
        <is>
          <t>외부배터리 충전용 잭
[공용]</t>
        </is>
      </c>
      <c r="E393" s="88" t="inlineStr">
        <is>
          <t>변환 젠더 _ 외부배터리 충전용(공용)</t>
        </is>
      </c>
      <c r="F393" s="90" t="inlineStr">
        <is>
          <t>O</t>
        </is>
      </c>
      <c r="G393" s="91" t="n"/>
      <c r="H393" s="92" t="n"/>
      <c r="I393" s="93" t="inlineStr">
        <is>
          <t>PR</t>
        </is>
      </c>
      <c r="J393" s="94" t="inlineStr">
        <is>
          <t>O</t>
        </is>
      </c>
      <c r="K393" s="95" t="n"/>
      <c r="L393" s="96" t="n"/>
      <c r="M393" s="97" t="inlineStr">
        <is>
          <t>O</t>
        </is>
      </c>
      <c r="N393" s="98" t="n"/>
      <c r="O393" s="99" t="n"/>
      <c r="P393" s="100" t="inlineStr">
        <is>
          <t>37-PR</t>
        </is>
      </c>
      <c r="Q393" s="102" t="inlineStr">
        <is>
          <t>직구</t>
        </is>
      </c>
      <c r="R393" s="110">
        <f>HYPERLINK("#'마스터_품목'!A625","→ 마스터 R625")</f>
        <v/>
      </c>
      <c r="S393" s="111" t="n">
        <v>625</v>
      </c>
      <c r="T393" s="111" t="inlineStr">
        <is>
          <t>마스터_품목</t>
        </is>
      </c>
    </row>
    <row r="394" ht="48" customHeight="1">
      <c r="A394" s="87" t="inlineStr">
        <is>
          <t>창고</t>
        </is>
      </c>
      <c r="B394" s="87" t="inlineStr">
        <is>
          <t>배터리 충전기</t>
        </is>
      </c>
      <c r="C394" s="88" t="inlineStr">
        <is>
          <t>DX3000, ADX4000W</t>
        </is>
      </c>
      <c r="D394" s="88" t="inlineStr">
        <is>
          <t>거치대 (D-910)
[DX3000, ADX4000W]</t>
        </is>
      </c>
      <c r="E394" s="88" t="inlineStr">
        <is>
          <t>거치대 [ D-910 ]</t>
        </is>
      </c>
      <c r="F394" s="90" t="inlineStr">
        <is>
          <t>O</t>
        </is>
      </c>
      <c r="G394" s="91" t="n"/>
      <c r="H394" s="92" t="n"/>
      <c r="I394" s="93" t="inlineStr">
        <is>
          <t>PR</t>
        </is>
      </c>
      <c r="J394" s="94" t="inlineStr">
        <is>
          <t>O</t>
        </is>
      </c>
      <c r="K394" s="95" t="inlineStr">
        <is>
          <t>O</t>
        </is>
      </c>
      <c r="L394" s="96" t="n"/>
      <c r="M394" s="97" t="n"/>
      <c r="N394" s="98" t="inlineStr">
        <is>
          <t>O</t>
        </is>
      </c>
      <c r="O394" s="99" t="n"/>
      <c r="P394" s="100" t="inlineStr">
        <is>
          <t>348-PR</t>
        </is>
      </c>
      <c r="Q394" s="102" t="inlineStr">
        <is>
          <t>HLP</t>
        </is>
      </c>
      <c r="R394" s="110">
        <f>HYPERLINK("#'마스터_품목'!A597","→ 마스터 R597")</f>
        <v/>
      </c>
      <c r="S394" s="111" t="n">
        <v>597</v>
      </c>
      <c r="T394" s="111" t="inlineStr">
        <is>
          <t>마스터_품목</t>
        </is>
      </c>
    </row>
    <row r="395" ht="48" customHeight="1">
      <c r="A395" s="87" t="inlineStr">
        <is>
          <t>창고</t>
        </is>
      </c>
      <c r="B395" s="87" t="inlineStr">
        <is>
          <t>배터리</t>
        </is>
      </c>
      <c r="C395" s="88" t="inlineStr">
        <is>
          <t>COCOON</t>
        </is>
      </c>
      <c r="D395" s="88" t="inlineStr">
        <is>
          <t>내부 배터리 (PF605060HP)
[COCOON]</t>
        </is>
      </c>
      <c r="E395" s="88" t="inlineStr">
        <is>
          <t>내부 배터리 [PF605060HP]</t>
        </is>
      </c>
      <c r="F395" s="90" t="inlineStr">
        <is>
          <t>O</t>
        </is>
      </c>
      <c r="G395" s="91" t="n"/>
      <c r="H395" s="92" t="n"/>
      <c r="I395" s="93" t="inlineStr">
        <is>
          <t>AR</t>
        </is>
      </c>
      <c r="J395" s="94" t="n"/>
      <c r="K395" s="95" t="n"/>
      <c r="L395" s="96" t="n"/>
      <c r="M395" s="97" t="inlineStr">
        <is>
          <t>O</t>
        </is>
      </c>
      <c r="N395" s="98" t="n"/>
      <c r="O395" s="99" t="n"/>
      <c r="P395" s="100" t="inlineStr">
        <is>
          <t>7-AR</t>
        </is>
      </c>
      <c r="Q395" s="102" t="inlineStr">
        <is>
          <t>비앤테크</t>
        </is>
      </c>
      <c r="R395" s="110">
        <f>HYPERLINK("#'마스터_품목'!A430","→ 마스터 R430")</f>
        <v/>
      </c>
      <c r="S395" s="111" t="n">
        <v>430</v>
      </c>
      <c r="T395" s="111" t="inlineStr">
        <is>
          <t>마스터_품목</t>
        </is>
      </c>
    </row>
    <row r="396" ht="48" customHeight="1">
      <c r="A396" s="126" t="inlineStr">
        <is>
          <t>출하</t>
        </is>
      </c>
      <c r="B396" s="87" t="inlineStr">
        <is>
          <t>배터리</t>
        </is>
      </c>
      <c r="C396" s="88" t="inlineStr">
        <is>
          <t>COCOON</t>
        </is>
      </c>
      <c r="D396" s="88" t="inlineStr">
        <is>
          <t>외부 배터리 (PF605060HP)
[COCOON]</t>
        </is>
      </c>
      <c r="E396" s="88" t="n"/>
      <c r="F396" s="90" t="inlineStr">
        <is>
          <t>O</t>
        </is>
      </c>
      <c r="G396" s="91" t="n"/>
      <c r="H396" s="92" t="n"/>
      <c r="I396" s="93">
        <f>IFERROR(IF(OR($F396="O",$G396="O",$H396="O"),CHOOSE(MATCH($A396,{"튜브","고압","진공","튜닝","조립","출하"},0),"T","H","V","N","A","P")&amp;IF($F396="O","R",IF($G396="O","A",IF($H396="O","F",""))),""),"")</f>
        <v/>
      </c>
      <c r="J396" s="124" t="inlineStr">
        <is>
          <t>O</t>
        </is>
      </c>
      <c r="K396" s="125" t="n"/>
      <c r="L396" s="96" t="n"/>
      <c r="M396" s="122" t="inlineStr">
        <is>
          <t>O</t>
        </is>
      </c>
      <c r="N396" s="98" t="n"/>
      <c r="O396" s="99" t="n"/>
      <c r="P396" s="100">
        <f>IF($I396="","",IF($J396="O","3","")&amp;IF($K396="O","4","")&amp;IF($L396="O","6","")&amp;IF($M396="O","7","")&amp;IF($N396="O","8","")&amp;IF($O396="O","?","")&amp;IF(OR($J396="O",$K396="O",$L396="O",$M396="O",$N396="O",$O396="O"),"-","")&amp;$I396)</f>
        <v/>
      </c>
      <c r="Q396" s="102" t="inlineStr">
        <is>
          <t>비앤테크</t>
        </is>
      </c>
      <c r="R396" s="110">
        <f>HYPERLINK("#'마스터_품목'!A763","→ 마스터 R763")</f>
        <v/>
      </c>
      <c r="S396" s="111" t="n">
        <v>763</v>
      </c>
      <c r="T396" s="111" t="inlineStr">
        <is>
          <t>마스터_품목</t>
        </is>
      </c>
    </row>
    <row r="397" ht="48" customHeight="1">
      <c r="A397" s="87" t="inlineStr">
        <is>
          <t>창고</t>
        </is>
      </c>
      <c r="B397" s="87" t="inlineStr">
        <is>
          <t>배터리</t>
        </is>
      </c>
      <c r="C397" s="88" t="inlineStr">
        <is>
          <t>ADX6000</t>
        </is>
      </c>
      <c r="D397" s="88" t="inlineStr">
        <is>
          <t>기본 배터리 (LIP1902A 18.5V 5S 50C 2100mAh)
[ADX6000]</t>
        </is>
      </c>
      <c r="E397" s="88" t="inlineStr">
        <is>
          <t>배터리_ 21.0V (5셀)</t>
        </is>
      </c>
      <c r="F397" s="90" t="inlineStr">
        <is>
          <t>O</t>
        </is>
      </c>
      <c r="G397" s="91" t="n"/>
      <c r="H397" s="92" t="n"/>
      <c r="I397" s="93" t="inlineStr">
        <is>
          <t>PR</t>
        </is>
      </c>
      <c r="J397" s="94" t="n"/>
      <c r="K397" s="95" t="n"/>
      <c r="L397" s="96" t="inlineStr">
        <is>
          <t>O</t>
        </is>
      </c>
      <c r="M397" s="97" t="n"/>
      <c r="N397" s="98" t="n"/>
      <c r="O397" s="99" t="n"/>
      <c r="P397" s="100" t="inlineStr">
        <is>
          <t>6-PR</t>
        </is>
      </c>
      <c r="Q397" s="102" t="inlineStr">
        <is>
          <t>비앤테크</t>
        </is>
      </c>
      <c r="R397" s="110">
        <f>HYPERLINK("#'마스터_품목'!A585","→ 마스터 R585")</f>
        <v/>
      </c>
      <c r="S397" s="111" t="n">
        <v>585</v>
      </c>
      <c r="T397" s="111" t="inlineStr">
        <is>
          <t>마스터_품목</t>
        </is>
      </c>
    </row>
    <row r="398" ht="48" customHeight="1">
      <c r="A398" s="126" t="inlineStr">
        <is>
          <t>출하</t>
        </is>
      </c>
      <c r="B398" s="87" t="inlineStr">
        <is>
          <t>배터리</t>
        </is>
      </c>
      <c r="C398" s="88" t="inlineStr">
        <is>
          <t>ADX6000</t>
        </is>
      </c>
      <c r="D398" s="88" t="inlineStr">
        <is>
          <t>외부 배터리 (LIP1902A_5035127SH25)
[ADX6000]</t>
        </is>
      </c>
      <c r="E398" s="88" t="n"/>
      <c r="F398" s="90" t="inlineStr">
        <is>
          <t>O</t>
        </is>
      </c>
      <c r="G398" s="91" t="n"/>
      <c r="H398" s="92" t="n"/>
      <c r="I398" s="93">
        <f>IFERROR(IF(OR($F398="O",$G398="O",$H398="O"),CHOOSE(MATCH($A398,{"튜브","고압","진공","튜닝","조립","출하"},0),"T","H","V","N","A","P")&amp;IF($F398="O","R",IF($G398="O","A",IF($H398="O","F",""))),""),"")</f>
        <v/>
      </c>
      <c r="J398" s="94" t="n"/>
      <c r="K398" s="95" t="n"/>
      <c r="L398" s="121" t="inlineStr">
        <is>
          <t>O</t>
        </is>
      </c>
      <c r="M398" s="97" t="n"/>
      <c r="N398" s="98" t="n"/>
      <c r="O398" s="99" t="n"/>
      <c r="P398" s="100">
        <f>IF($I398="","",IF($J398="O","3","")&amp;IF($K398="O","4","")&amp;IF($L398="O","6","")&amp;IF($M398="O","7","")&amp;IF($N398="O","8","")&amp;IF($O398="O","?","")&amp;IF(OR($J398="O",$K398="O",$L398="O",$M398="O",$N398="O",$O398="O"),"-","")&amp;$I398)</f>
        <v/>
      </c>
      <c r="Q398" s="102" t="inlineStr">
        <is>
          <t>비앤테크</t>
        </is>
      </c>
      <c r="R398" s="110">
        <f>HYPERLINK("#'마스터_품목'!A764","→ 마스터 R764")</f>
        <v/>
      </c>
      <c r="S398" s="111" t="n">
        <v>764</v>
      </c>
      <c r="T398" s="111" t="inlineStr">
        <is>
          <t>마스터_품목</t>
        </is>
      </c>
    </row>
    <row r="399" ht="48" customHeight="1">
      <c r="A399" s="87" t="inlineStr">
        <is>
          <t>창고</t>
        </is>
      </c>
      <c r="B399" s="87" t="inlineStr">
        <is>
          <t>ADAPTER</t>
        </is>
      </c>
      <c r="C399" s="88" t="inlineStr">
        <is>
          <t>ADX6000</t>
        </is>
      </c>
      <c r="D399" s="88" t="inlineStr">
        <is>
          <t>20.7V 1.7A 충전기 (5S 어댑터)
[ADX6000]</t>
        </is>
      </c>
      <c r="E399" s="88" t="inlineStr">
        <is>
          <t>20V 2A 충전기</t>
        </is>
      </c>
      <c r="F399" s="90" t="inlineStr">
        <is>
          <t>O</t>
        </is>
      </c>
      <c r="G399" s="91" t="n"/>
      <c r="H399" s="92" t="n"/>
      <c r="I399" s="93" t="inlineStr">
        <is>
          <t>PR</t>
        </is>
      </c>
      <c r="J399" s="94" t="n"/>
      <c r="K399" s="95" t="n"/>
      <c r="L399" s="96" t="inlineStr">
        <is>
          <t>O</t>
        </is>
      </c>
      <c r="M399" s="97" t="n"/>
      <c r="N399" s="98" t="n"/>
      <c r="O399" s="99" t="n"/>
      <c r="P399" s="100" t="inlineStr">
        <is>
          <t>6-PR</t>
        </is>
      </c>
      <c r="Q399" s="102" t="inlineStr">
        <is>
          <t>브리지파워</t>
        </is>
      </c>
      <c r="R399" s="110">
        <f>HYPERLINK("#'마스터_품목'!A589","→ 마스터 R589")</f>
        <v/>
      </c>
      <c r="S399" s="111" t="n">
        <v>589</v>
      </c>
      <c r="T399" s="111" t="inlineStr">
        <is>
          <t>마스터_품목</t>
        </is>
      </c>
    </row>
    <row r="400" ht="48" customHeight="1">
      <c r="A400" s="126" t="inlineStr">
        <is>
          <t>출하</t>
        </is>
      </c>
      <c r="B400" s="87" t="inlineStr">
        <is>
          <t>ADAPTER</t>
        </is>
      </c>
      <c r="C400" s="88" t="inlineStr">
        <is>
          <t>ADX6000</t>
        </is>
      </c>
      <c r="D400" s="88" t="inlineStr">
        <is>
          <t>25.2V 1.7A 충전기 (6S 어댑터 (중국용))
[ADX6000]</t>
        </is>
      </c>
      <c r="E400" s="88" t="n"/>
      <c r="F400" s="90" t="inlineStr">
        <is>
          <t>O</t>
        </is>
      </c>
      <c r="G400" s="91" t="n"/>
      <c r="H400" s="92" t="n"/>
      <c r="I400" s="93">
        <f>IFERROR(IF(OR($F400="O",$G400="O",$H400="O"),CHOOSE(MATCH($A400,{"튜브","고압","진공","튜닝","조립","출하"},0),"T","H","V","N","A","P")&amp;IF($F400="O","R",IF($G400="O","A",IF($H400="O","F",""))),""),"")</f>
        <v/>
      </c>
      <c r="J400" s="94" t="n"/>
      <c r="K400" s="95" t="n"/>
      <c r="L400" s="121" t="inlineStr">
        <is>
          <t>O</t>
        </is>
      </c>
      <c r="M400" s="97" t="n"/>
      <c r="N400" s="98" t="n"/>
      <c r="O400" s="99" t="n"/>
      <c r="P400" s="100">
        <f>IF($I400="","",IF($J400="O","3","")&amp;IF($K400="O","4","")&amp;IF($L400="O","6","")&amp;IF($M400="O","7","")&amp;IF($N400="O","8","")&amp;IF($O400="O","?","")&amp;IF(OR($J400="O",$K400="O",$L400="O",$M400="O",$N400="O",$O400="O"),"-","")&amp;$I400)</f>
        <v/>
      </c>
      <c r="Q400" s="102" t="inlineStr">
        <is>
          <t>브리지파워</t>
        </is>
      </c>
      <c r="R400" s="110">
        <f>HYPERLINK("#'마스터_품목'!A765","→ 마스터 R765")</f>
        <v/>
      </c>
      <c r="S400" s="111" t="n">
        <v>765</v>
      </c>
      <c r="T400" s="111" t="inlineStr">
        <is>
          <t>마스터_품목</t>
        </is>
      </c>
    </row>
    <row r="401" ht="48" customHeight="1">
      <c r="A401" s="126" t="inlineStr">
        <is>
          <t>출하</t>
        </is>
      </c>
      <c r="B401" s="87" t="inlineStr">
        <is>
          <t>ADAPTER</t>
        </is>
      </c>
      <c r="C401" s="88" t="inlineStr">
        <is>
          <t>공용</t>
        </is>
      </c>
      <c r="D401" s="88" t="inlineStr">
        <is>
          <t>15V 1.0A 충전기 (220V)
[공용]</t>
        </is>
      </c>
      <c r="E401" s="88" t="n"/>
      <c r="F401" s="90" t="inlineStr">
        <is>
          <t>O</t>
        </is>
      </c>
      <c r="G401" s="91" t="n"/>
      <c r="H401" s="92" t="n"/>
      <c r="I401" s="93">
        <f>IFERROR(IF(OR($F401="O",$G401="O",$H401="O"),CHOOSE(MATCH($A401,{"튜브","고압","진공","튜닝","조립","출하"},0),"T","H","V","N","A","P")&amp;IF($F401="O","R",IF($G401="O","A",IF($H401="O","F",""))),""),"")</f>
        <v/>
      </c>
      <c r="J401" s="124" t="inlineStr">
        <is>
          <t>O</t>
        </is>
      </c>
      <c r="K401" s="125" t="inlineStr">
        <is>
          <t>O</t>
        </is>
      </c>
      <c r="L401" s="121" t="inlineStr">
        <is>
          <t>O</t>
        </is>
      </c>
      <c r="M401" s="122" t="inlineStr">
        <is>
          <t>O</t>
        </is>
      </c>
      <c r="N401" s="123" t="inlineStr">
        <is>
          <t>O</t>
        </is>
      </c>
      <c r="O401" s="99" t="n"/>
      <c r="P401" s="100">
        <f>IF($I401="","",IF($J401="O","3","")&amp;IF($K401="O","4","")&amp;IF($L401="O","6","")&amp;IF($M401="O","7","")&amp;IF($N401="O","8","")&amp;IF($O401="O","?","")&amp;IF(OR($J401="O",$K401="O",$L401="O",$M401="O",$N401="O",$O401="O"),"-","")&amp;$I401)</f>
        <v/>
      </c>
      <c r="Q401" s="102" t="inlineStr">
        <is>
          <t>브리지파워</t>
        </is>
      </c>
      <c r="R401" s="118">
        <f>HYPERLINK("#'마스터_품목'!A766","→ 마스터 R766")</f>
        <v/>
      </c>
      <c r="S401" s="119" t="n">
        <v>766</v>
      </c>
      <c r="T401" s="119" t="inlineStr">
        <is>
          <t>마스터_품목</t>
        </is>
      </c>
    </row>
    <row r="402" ht="48" customHeight="1">
      <c r="A402" s="126" t="inlineStr">
        <is>
          <t>출하</t>
        </is>
      </c>
      <c r="B402" s="87" t="inlineStr">
        <is>
          <t>ADAPTER</t>
        </is>
      </c>
      <c r="C402" s="88" t="inlineStr">
        <is>
          <t>공용</t>
        </is>
      </c>
      <c r="D402" s="88" t="inlineStr">
        <is>
          <t>15V 1.0A 충전기 (110V)
[공용]</t>
        </is>
      </c>
      <c r="E402" s="88" t="n"/>
      <c r="F402" s="90" t="inlineStr">
        <is>
          <t>O</t>
        </is>
      </c>
      <c r="G402" s="91" t="n"/>
      <c r="H402" s="92" t="n"/>
      <c r="I402" s="93">
        <f>IFERROR(IF(OR($F402="O",$G402="O",$H402="O"),CHOOSE(MATCH($A402,{"튜브","고압","진공","튜닝","조립","출하"},0),"T","H","V","N","A","P")&amp;IF($F402="O","R",IF($G402="O","A",IF($H402="O","F",""))),""),"")</f>
        <v/>
      </c>
      <c r="J402" s="124" t="inlineStr">
        <is>
          <t>O</t>
        </is>
      </c>
      <c r="K402" s="125" t="inlineStr">
        <is>
          <t>O</t>
        </is>
      </c>
      <c r="L402" s="121" t="inlineStr">
        <is>
          <t>O</t>
        </is>
      </c>
      <c r="M402" s="122" t="inlineStr">
        <is>
          <t>O</t>
        </is>
      </c>
      <c r="N402" s="123" t="inlineStr">
        <is>
          <t>O</t>
        </is>
      </c>
      <c r="O402" s="99" t="n"/>
      <c r="P402" s="100">
        <f>IF($I402="","",IF($J402="O","3","")&amp;IF($K402="O","4","")&amp;IF($L402="O","6","")&amp;IF($M402="O","7","")&amp;IF($N402="O","8","")&amp;IF($O402="O","?","")&amp;IF(OR($J402="O",$K402="O",$L402="O",$M402="O",$N402="O",$O402="O"),"-","")&amp;$I402)</f>
        <v/>
      </c>
      <c r="Q402" s="102" t="inlineStr">
        <is>
          <t>브리지파워</t>
        </is>
      </c>
      <c r="R402" s="118">
        <f>HYPERLINK("#'마스터_품목'!A767","→ 마스터 R767")</f>
        <v/>
      </c>
      <c r="S402" s="119" t="n">
        <v>767</v>
      </c>
      <c r="T402" s="119" t="inlineStr">
        <is>
          <t>마스터_품목</t>
        </is>
      </c>
    </row>
    <row r="403" ht="48" customHeight="1">
      <c r="A403" s="126" t="inlineStr">
        <is>
          <t>출하</t>
        </is>
      </c>
      <c r="B403" s="87" t="inlineStr">
        <is>
          <t>CABLE</t>
        </is>
      </c>
      <c r="C403" s="88" t="inlineStr">
        <is>
          <t>공용</t>
        </is>
      </c>
      <c r="D403" s="88" t="inlineStr">
        <is>
          <t>외부 배터리 와이어 케이블
[공용]</t>
        </is>
      </c>
      <c r="E403" s="88" t="n"/>
      <c r="F403" s="90" t="inlineStr">
        <is>
          <t>O</t>
        </is>
      </c>
      <c r="G403" s="91" t="n"/>
      <c r="H403" s="92" t="n"/>
      <c r="I403" s="93">
        <f>IFERROR(IF(OR($F403="O",$G403="O",$H403="O"),CHOOSE(MATCH($A403,{"튜브","고압","진공","튜닝","조립","출하"},0),"T","H","V","N","A","P")&amp;IF($F403="O","R",IF($G403="O","A",IF($H403="O","F",""))),""),"")</f>
        <v/>
      </c>
      <c r="J403" s="94" t="n"/>
      <c r="K403" s="95" t="n"/>
      <c r="L403" s="121" t="inlineStr">
        <is>
          <t>O</t>
        </is>
      </c>
      <c r="M403" s="97" t="n"/>
      <c r="N403" s="98" t="n"/>
      <c r="O403" s="99" t="n"/>
      <c r="P403" s="100">
        <f>IF($I403="","",IF($J403="O","3","")&amp;IF($K403="O","4","")&amp;IF($L403="O","6","")&amp;IF($M403="O","7","")&amp;IF($N403="O","8","")&amp;IF($O403="O","?","")&amp;IF(OR($J403="O",$K403="O",$L403="O",$M403="O",$N403="O",$O403="O"),"-","")&amp;$I403)</f>
        <v/>
      </c>
      <c r="Q403" s="102" t="inlineStr">
        <is>
          <t>HLP</t>
        </is>
      </c>
      <c r="R403" s="118">
        <f>HYPERLINK("#'마스터_품목'!A768","→ 마스터 R768")</f>
        <v/>
      </c>
      <c r="S403" s="119" t="n">
        <v>768</v>
      </c>
      <c r="T403" s="119" t="inlineStr">
        <is>
          <t>마스터_품목</t>
        </is>
      </c>
    </row>
    <row r="404" ht="48" customHeight="1">
      <c r="A404" s="126" t="inlineStr">
        <is>
          <t>출하</t>
        </is>
      </c>
      <c r="B404" s="87" t="inlineStr">
        <is>
          <t>CABLE</t>
        </is>
      </c>
      <c r="C404" s="88" t="inlineStr">
        <is>
          <t>ADX4000W</t>
        </is>
      </c>
      <c r="D404" s="88" t="inlineStr">
        <is>
          <t>USB 2.0 CABLE (PMM369-0200, 2m)
[ADX4000W]</t>
        </is>
      </c>
      <c r="E404" s="88" t="n"/>
      <c r="F404" s="90" t="inlineStr">
        <is>
          <t>O</t>
        </is>
      </c>
      <c r="G404" s="91" t="n"/>
      <c r="H404" s="92" t="n"/>
      <c r="I404" s="93">
        <f>IFERROR(IF(OR($F404="O",$G404="O",$H404="O"),CHOOSE(MATCH($A404,{"튜브","고압","진공","튜닝","조립","출하"},0),"T","H","V","N","A","P")&amp;IF($F404="O","R",IF($G404="O","A",IF($H404="O","F",""))),""),"")</f>
        <v/>
      </c>
      <c r="J404" s="94" t="n"/>
      <c r="K404" s="125" t="inlineStr">
        <is>
          <t>O</t>
        </is>
      </c>
      <c r="L404" s="96" t="n"/>
      <c r="M404" s="97" t="n"/>
      <c r="N404" s="98" t="n"/>
      <c r="O404" s="99" t="n"/>
      <c r="P404" s="100">
        <f>IF($I404="","",IF($J404="O","3","")&amp;IF($K404="O","4","")&amp;IF($L404="O","6","")&amp;IF($M404="O","7","")&amp;IF($N404="O","8","")&amp;IF($O404="O","?","")&amp;IF(OR($J404="O",$K404="O",$L404="O",$M404="O",$N404="O",$O404="O"),"-","")&amp;$I404)</f>
        <v/>
      </c>
      <c r="Q404" s="102" t="inlineStr">
        <is>
          <t>강원전자</t>
        </is>
      </c>
      <c r="R404" s="118">
        <f>HYPERLINK("#'마스터_품목'!A769","→ 마스터 R769")</f>
        <v/>
      </c>
      <c r="S404" s="119" t="n">
        <v>769</v>
      </c>
      <c r="T404" s="119" t="inlineStr">
        <is>
          <t>마스터_품목</t>
        </is>
      </c>
    </row>
    <row r="405" ht="48" customHeight="1">
      <c r="A405" s="126" t="inlineStr">
        <is>
          <t>출하</t>
        </is>
      </c>
      <c r="B405" s="87" t="inlineStr">
        <is>
          <t>CABLE</t>
        </is>
      </c>
      <c r="C405" s="88" t="inlineStr">
        <is>
          <t>ADX4000W</t>
        </is>
      </c>
      <c r="D405" s="88" t="inlineStr">
        <is>
          <t>USB 2.0 CABLE (PMM369-0100, 1m)
[ADX4000W]</t>
        </is>
      </c>
      <c r="E405" s="88" t="n"/>
      <c r="F405" s="90" t="inlineStr">
        <is>
          <t>O</t>
        </is>
      </c>
      <c r="G405" s="91" t="n"/>
      <c r="H405" s="92" t="n"/>
      <c r="I405" s="93">
        <f>IFERROR(IF(OR($F405="O",$G405="O",$H405="O"),CHOOSE(MATCH($A405,{"튜브","고압","진공","튜닝","조립","출하"},0),"T","H","V","N","A","P")&amp;IF($F405="O","R",IF($G405="O","A",IF($H405="O","F",""))),""),"")</f>
        <v/>
      </c>
      <c r="J405" s="94" t="n"/>
      <c r="K405" s="125" t="inlineStr">
        <is>
          <t>O</t>
        </is>
      </c>
      <c r="L405" s="96" t="n"/>
      <c r="M405" s="97" t="n"/>
      <c r="N405" s="98" t="n"/>
      <c r="O405" s="99" t="n"/>
      <c r="P405" s="100">
        <f>IF($I405="","",IF($J405="O","3","")&amp;IF($K405="O","4","")&amp;IF($L405="O","6","")&amp;IF($M405="O","7","")&amp;IF($N405="O","8","")&amp;IF($O405="O","?","")&amp;IF(OR($J405="O",$K405="O",$L405="O",$M405="O",$N405="O",$O405="O"),"-","")&amp;$I405)</f>
        <v/>
      </c>
      <c r="Q405" s="102" t="inlineStr">
        <is>
          <t>강원전자</t>
        </is>
      </c>
      <c r="R405" s="118">
        <f>HYPERLINK("#'마스터_품목'!A770","→ 마스터 R770")</f>
        <v/>
      </c>
      <c r="S405" s="119" t="n">
        <v>770</v>
      </c>
      <c r="T405" s="119" t="inlineStr">
        <is>
          <t>마스터_품목</t>
        </is>
      </c>
    </row>
    <row r="406" ht="48" customHeight="1">
      <c r="A406" s="87" t="inlineStr">
        <is>
          <t>창고</t>
        </is>
      </c>
      <c r="B406" s="87" t="inlineStr">
        <is>
          <t>CABLE</t>
        </is>
      </c>
      <c r="C406" s="88" t="inlineStr">
        <is>
          <t>ADX6000</t>
        </is>
      </c>
      <c r="D406" s="88" t="inlineStr">
        <is>
          <t>PC Link Cable
[ADX6000]</t>
        </is>
      </c>
      <c r="E406" s="88" t="inlineStr">
        <is>
          <t>PC Link Cable</t>
        </is>
      </c>
      <c r="F406" s="90" t="inlineStr">
        <is>
          <t>O</t>
        </is>
      </c>
      <c r="G406" s="91" t="n"/>
      <c r="H406" s="92" t="n"/>
      <c r="I406" s="93" t="inlineStr">
        <is>
          <t>PR</t>
        </is>
      </c>
      <c r="J406" s="94" t="n"/>
      <c r="K406" s="95" t="n"/>
      <c r="L406" s="96" t="inlineStr">
        <is>
          <t>O</t>
        </is>
      </c>
      <c r="M406" s="97" t="n"/>
      <c r="N406" s="98" t="n"/>
      <c r="O406" s="99" t="n"/>
      <c r="P406" s="100" t="inlineStr">
        <is>
          <t>6-PR</t>
        </is>
      </c>
      <c r="Q406" s="102" t="inlineStr">
        <is>
          <t>직구</t>
        </is>
      </c>
      <c r="R406" s="110">
        <f>HYPERLINK("#'마스터_품목'!A631","→ 마스터 R631")</f>
        <v/>
      </c>
      <c r="S406" s="111" t="n">
        <v>631</v>
      </c>
      <c r="T406" s="111" t="inlineStr">
        <is>
          <t>마스터_품목</t>
        </is>
      </c>
    </row>
    <row r="407" ht="48" customHeight="1">
      <c r="A407" s="126" t="inlineStr">
        <is>
          <t>조립</t>
        </is>
      </c>
      <c r="B407" s="87" t="inlineStr">
        <is>
          <t>PCB</t>
        </is>
      </c>
      <c r="C407" s="88" t="inlineStr">
        <is>
          <t>공용</t>
        </is>
      </c>
      <c r="D407" s="88" t="inlineStr">
        <is>
          <t>외부 배터리 쪽 보드 (EX BATTERY BD)
[공용]</t>
        </is>
      </c>
      <c r="E407" s="88" t="n"/>
      <c r="F407" s="90" t="inlineStr">
        <is>
          <t>O</t>
        </is>
      </c>
      <c r="G407" s="91" t="n"/>
      <c r="H407" s="92" t="n"/>
      <c r="I407" s="93">
        <f>IFERROR(IF(OR($F407="O",$G407="O",$H407="O"),CHOOSE(MATCH($A407,{"튜브","고압","진공","튜닝","조립","출하"},0),"T","H","V","N","A","P")&amp;IF($F407="O","R",IF($G407="O","A",IF($H407="O","F",""))),""),"")</f>
        <v/>
      </c>
      <c r="J407" s="124" t="inlineStr">
        <is>
          <t>O</t>
        </is>
      </c>
      <c r="K407" s="95" t="n"/>
      <c r="L407" s="96" t="n"/>
      <c r="M407" s="97" t="n"/>
      <c r="N407" s="98" t="n"/>
      <c r="O407" s="99" t="n"/>
      <c r="P407" s="100">
        <f>IF($I407="","",IF($J407="O","3","")&amp;IF($K407="O","4","")&amp;IF($L407="O","6","")&amp;IF($M407="O","7","")&amp;IF($N407="O","8","")&amp;IF($O407="O","?","")&amp;IF(OR($J407="O",$K407="O",$L407="O",$M407="O",$N407="O",$O407="O"),"-","")&amp;$I407)</f>
        <v/>
      </c>
      <c r="Q407" s="102" t="inlineStr">
        <is>
          <t>HLP</t>
        </is>
      </c>
      <c r="R407" s="110">
        <f>HYPERLINK("#'마스터_품목'!A771","→ 마스터 R771")</f>
        <v/>
      </c>
      <c r="S407" s="111" t="n">
        <v>771</v>
      </c>
      <c r="T407" s="111" t="inlineStr">
        <is>
          <t>마스터_품목</t>
        </is>
      </c>
    </row>
    <row r="408" ht="48" customHeight="1">
      <c r="A408" s="126" t="inlineStr">
        <is>
          <t>출하</t>
        </is>
      </c>
      <c r="B408" s="87" t="inlineStr">
        <is>
          <t>가방</t>
        </is>
      </c>
      <c r="C408" s="88" t="inlineStr">
        <is>
          <t>DX3000</t>
        </is>
      </c>
      <c r="D408" s="88" t="inlineStr">
        <is>
          <t>가방+내부 FOAM(계란판)
[DX3000]</t>
        </is>
      </c>
      <c r="E408" s="88" t="n"/>
      <c r="F408" s="90" t="inlineStr">
        <is>
          <t>O</t>
        </is>
      </c>
      <c r="G408" s="91" t="n"/>
      <c r="H408" s="92" t="n"/>
      <c r="I408" s="93">
        <f>IFERROR(IF(OR($F408="O",$G408="O",$H408="O"),CHOOSE(MATCH($A408,{"튜브","고압","진공","튜닝","조립","출하"},0),"T","H","V","N","A","P")&amp;IF($F408="O","R",IF($G408="O","A",IF($H408="O","F",""))),""),"")</f>
        <v/>
      </c>
      <c r="J408" s="124" t="inlineStr">
        <is>
          <t>O</t>
        </is>
      </c>
      <c r="K408" s="125" t="inlineStr">
        <is>
          <t>O</t>
        </is>
      </c>
      <c r="L408" s="96" t="n"/>
      <c r="M408" s="97" t="n"/>
      <c r="N408" s="98" t="n"/>
      <c r="O408" s="99" t="n"/>
      <c r="P408" s="100">
        <f>IF($I408="","",IF($J408="O","3","")&amp;IF($K408="O","4","")&amp;IF($L408="O","6","")&amp;IF($M408="O","7","")&amp;IF($N408="O","8","")&amp;IF($O408="O","?","")&amp;IF(OR($J408="O",$K408="O",$L408="O",$M408="O",$N408="O",$O408="O"),"-","")&amp;$I408)</f>
        <v/>
      </c>
      <c r="Q408" s="102" t="inlineStr">
        <is>
          <t>굿모닝코리아유통</t>
        </is>
      </c>
      <c r="R408" s="117" t="n"/>
      <c r="S408" s="117" t="n"/>
      <c r="T408" s="117" t="n"/>
    </row>
    <row r="409" ht="48" customHeight="1">
      <c r="A409" s="126" t="inlineStr">
        <is>
          <t>출하</t>
        </is>
      </c>
      <c r="B409" s="87" t="inlineStr">
        <is>
          <t>가방</t>
        </is>
      </c>
      <c r="C409" s="88" t="inlineStr">
        <is>
          <t>DX3000</t>
        </is>
      </c>
      <c r="D409" s="88" t="inlineStr">
        <is>
          <t>가방(로고 없는것)+내부 FOAM(계란판)
[DX3000]</t>
        </is>
      </c>
      <c r="E409" s="88" t="n"/>
      <c r="F409" s="90" t="inlineStr">
        <is>
          <t>O</t>
        </is>
      </c>
      <c r="G409" s="91" t="n"/>
      <c r="H409" s="92" t="n"/>
      <c r="I409" s="93">
        <f>IFERROR(IF(OR($F409="O",$G409="O",$H409="O"),CHOOSE(MATCH($A409,{"튜브","고압","진공","튜닝","조립","출하"},0),"T","H","V","N","A","P")&amp;IF($F409="O","R",IF($G409="O","A",IF($H409="O","F",""))),""),"")</f>
        <v/>
      </c>
      <c r="J409" s="124" t="inlineStr">
        <is>
          <t>O</t>
        </is>
      </c>
      <c r="K409" s="125" t="inlineStr">
        <is>
          <t>O</t>
        </is>
      </c>
      <c r="L409" s="96" t="n"/>
      <c r="M409" s="97" t="n"/>
      <c r="N409" s="98" t="n"/>
      <c r="O409" s="99" t="n"/>
      <c r="P409" s="100">
        <f>IF($I409="","",IF($J409="O","3","")&amp;IF($K409="O","4","")&amp;IF($L409="O","6","")&amp;IF($M409="O","7","")&amp;IF($N409="O","8","")&amp;IF($O409="O","?","")&amp;IF(OR($J409="O",$K409="O",$L409="O",$M409="O",$N409="O",$O409="O"),"-","")&amp;$I409)</f>
        <v/>
      </c>
      <c r="Q409" s="102" t="inlineStr">
        <is>
          <t>굿모닝코리아유통</t>
        </is>
      </c>
      <c r="R409" s="117" t="n"/>
      <c r="S409" s="117" t="n"/>
      <c r="T409" s="117" t="n"/>
    </row>
    <row r="410" ht="48" customHeight="1">
      <c r="A410" s="87" t="inlineStr">
        <is>
          <t>창고</t>
        </is>
      </c>
      <c r="B410" s="87" t="inlineStr">
        <is>
          <t>PU FOAM</t>
        </is>
      </c>
      <c r="C410" s="88" t="inlineStr">
        <is>
          <t>DX3000</t>
        </is>
      </c>
      <c r="D410" s="88" t="inlineStr">
        <is>
          <t>가방 내부 폼 (15cm cone)
[DX3000]</t>
        </is>
      </c>
      <c r="E410" s="88" t="inlineStr">
        <is>
          <t>DX3000 _ [15cm cone용] 내부 FOAM (상판 ,하판,계란판)</t>
        </is>
      </c>
      <c r="F410" s="90" t="inlineStr">
        <is>
          <t>O</t>
        </is>
      </c>
      <c r="G410" s="91" t="n"/>
      <c r="H410" s="92" t="n"/>
      <c r="I410" s="93" t="inlineStr">
        <is>
          <t>PR</t>
        </is>
      </c>
      <c r="J410" s="94" t="inlineStr">
        <is>
          <t>O</t>
        </is>
      </c>
      <c r="K410" s="95" t="n"/>
      <c r="L410" s="96" t="n"/>
      <c r="M410" s="97" t="n"/>
      <c r="N410" s="98" t="n"/>
      <c r="O410" s="99" t="n"/>
      <c r="P410" s="100" t="inlineStr">
        <is>
          <t>3-PR</t>
        </is>
      </c>
      <c r="Q410" s="102" t="inlineStr">
        <is>
          <t>굿모닝코리아유통</t>
        </is>
      </c>
      <c r="R410" s="110">
        <f>HYPERLINK("#'마스터_품목'!A657","→ 마스터 R657")</f>
        <v/>
      </c>
      <c r="S410" s="111" t="n">
        <v>657</v>
      </c>
      <c r="T410" s="111" t="inlineStr">
        <is>
          <t>마스터_품목</t>
        </is>
      </c>
    </row>
    <row r="411" ht="48" customHeight="1">
      <c r="A411" s="87" t="inlineStr">
        <is>
          <t>창고</t>
        </is>
      </c>
      <c r="B411" s="87" t="inlineStr">
        <is>
          <t>PU FOAM</t>
        </is>
      </c>
      <c r="C411" s="88" t="inlineStr">
        <is>
          <t>DX3000</t>
        </is>
      </c>
      <c r="D411" s="88" t="inlineStr">
        <is>
          <t>가방 내부 폼 (20cm cone용, 20 * 80)
[DX3000]</t>
        </is>
      </c>
      <c r="E411" s="88" t="inlineStr">
        <is>
          <t>DX3000 _ [20cm cone용] 내부 FOAM (상판 ,하판,계란판)</t>
        </is>
      </c>
      <c r="F411" s="90" t="inlineStr">
        <is>
          <t>O</t>
        </is>
      </c>
      <c r="G411" s="91" t="n"/>
      <c r="H411" s="92" t="n"/>
      <c r="I411" s="93" t="inlineStr">
        <is>
          <t>PR</t>
        </is>
      </c>
      <c r="J411" s="94" t="inlineStr">
        <is>
          <t>O</t>
        </is>
      </c>
      <c r="K411" s="95" t="n"/>
      <c r="L411" s="96" t="n"/>
      <c r="M411" s="97" t="n"/>
      <c r="N411" s="98" t="n"/>
      <c r="O411" s="99" t="n"/>
      <c r="P411" s="100" t="inlineStr">
        <is>
          <t>3-PR</t>
        </is>
      </c>
      <c r="Q411" s="102" t="inlineStr">
        <is>
          <t>굿모닝코리아유통</t>
        </is>
      </c>
      <c r="R411" s="110">
        <f>HYPERLINK("#'마스터_품목'!A658","→ 마스터 R658")</f>
        <v/>
      </c>
      <c r="S411" s="111" t="n">
        <v>658</v>
      </c>
      <c r="T411" s="111" t="inlineStr">
        <is>
          <t>마스터_품목</t>
        </is>
      </c>
    </row>
    <row r="412" ht="48" customHeight="1">
      <c r="A412" s="126" t="inlineStr">
        <is>
          <t>출하</t>
        </is>
      </c>
      <c r="B412" s="87" t="inlineStr">
        <is>
          <t>가방</t>
        </is>
      </c>
      <c r="C412" s="88" t="inlineStr">
        <is>
          <t>COCOON</t>
        </is>
      </c>
      <c r="D412" s="88" t="inlineStr">
        <is>
          <t>가방+내부FOAM(계란판)_공용
[COCOON]</t>
        </is>
      </c>
      <c r="E412" s="88" t="n"/>
      <c r="F412" s="90" t="inlineStr">
        <is>
          <t>O</t>
        </is>
      </c>
      <c r="G412" s="91" t="n"/>
      <c r="H412" s="92" t="n"/>
      <c r="I412" s="93">
        <f>IFERROR(IF(OR($F412="O",$G412="O",$H412="O"),CHOOSE(MATCH($A412,{"튜브","고압","진공","튜닝","조립","출하"},0),"T","H","V","N","A","P")&amp;IF($F412="O","R",IF($G412="O","A",IF($H412="O","F",""))),""),"")</f>
        <v/>
      </c>
      <c r="J412" s="94" t="n"/>
      <c r="K412" s="95" t="n"/>
      <c r="L412" s="121" t="inlineStr">
        <is>
          <t>O</t>
        </is>
      </c>
      <c r="M412" s="122" t="inlineStr">
        <is>
          <t>O</t>
        </is>
      </c>
      <c r="N412" s="98" t="n"/>
      <c r="O412" s="99" t="n"/>
      <c r="P412" s="100">
        <f>IF($I412="","",IF($J412="O","3","")&amp;IF($K412="O","4","")&amp;IF($L412="O","6","")&amp;IF($M412="O","7","")&amp;IF($N412="O","8","")&amp;IF($O412="O","?","")&amp;IF(OR($J412="O",$K412="O",$L412="O",$M412="O",$N412="O",$O412="O"),"-","")&amp;$I412)</f>
        <v/>
      </c>
      <c r="Q412" s="102" t="inlineStr">
        <is>
          <t>굿모닝코리아유통</t>
        </is>
      </c>
      <c r="R412" s="117" t="n"/>
      <c r="S412" s="117" t="n"/>
      <c r="T412" s="117" t="n"/>
    </row>
    <row r="413" ht="48" customHeight="1">
      <c r="A413" s="126" t="inlineStr">
        <is>
          <t>출하</t>
        </is>
      </c>
      <c r="B413" s="87" t="inlineStr">
        <is>
          <t>가방</t>
        </is>
      </c>
      <c r="C413" s="88" t="inlineStr">
        <is>
          <t>COCOON</t>
        </is>
      </c>
      <c r="D413" s="88" t="inlineStr">
        <is>
          <t>가방(로고 없는것)+내부 FOAM(계란판)
[COCOON]</t>
        </is>
      </c>
      <c r="E413" s="88" t="n"/>
      <c r="F413" s="90" t="inlineStr">
        <is>
          <t>O</t>
        </is>
      </c>
      <c r="G413" s="91" t="n"/>
      <c r="H413" s="92" t="n"/>
      <c r="I413" s="93">
        <f>IFERROR(IF(OR($F413="O",$G413="O",$H413="O"),CHOOSE(MATCH($A413,{"튜브","고압","진공","튜닝","조립","출하"},0),"T","H","V","N","A","P")&amp;IF($F413="O","R",IF($G413="O","A",IF($H413="O","F",""))),""),"")</f>
        <v/>
      </c>
      <c r="J413" s="94" t="n"/>
      <c r="K413" s="95" t="n"/>
      <c r="L413" s="121" t="inlineStr">
        <is>
          <t>O</t>
        </is>
      </c>
      <c r="M413" s="122" t="inlineStr">
        <is>
          <t>O</t>
        </is>
      </c>
      <c r="N413" s="98" t="n"/>
      <c r="O413" s="99" t="n"/>
      <c r="P413" s="100">
        <f>IF($I413="","",IF($J413="O","3","")&amp;IF($K413="O","4","")&amp;IF($L413="O","6","")&amp;IF($M413="O","7","")&amp;IF($N413="O","8","")&amp;IF($O413="O","?","")&amp;IF(OR($J413="O",$K413="O",$L413="O",$M413="O",$N413="O",$O413="O"),"-","")&amp;$I413)</f>
        <v/>
      </c>
      <c r="Q413" s="102" t="inlineStr">
        <is>
          <t>굿모닝코리아유통</t>
        </is>
      </c>
      <c r="R413" s="117" t="n"/>
      <c r="S413" s="117" t="n"/>
      <c r="T413" s="117" t="n"/>
    </row>
    <row r="414" ht="48" customHeight="1">
      <c r="A414" s="126" t="inlineStr">
        <is>
          <t>출하</t>
        </is>
      </c>
      <c r="B414" s="87" t="inlineStr">
        <is>
          <t>가방</t>
        </is>
      </c>
      <c r="C414" s="88" t="inlineStr">
        <is>
          <t>ADX6000</t>
        </is>
      </c>
      <c r="D414" s="88" t="inlineStr">
        <is>
          <t>가방+내부FOAM(계란판)_공용
[ADX6000]</t>
        </is>
      </c>
      <c r="E414" s="88" t="n"/>
      <c r="F414" s="90" t="inlineStr">
        <is>
          <t>O</t>
        </is>
      </c>
      <c r="G414" s="91" t="n"/>
      <c r="H414" s="92" t="n"/>
      <c r="I414" s="93">
        <f>IFERROR(IF(OR($F414="O",$G414="O",$H414="O"),CHOOSE(MATCH($A414,{"튜브","고압","진공","튜닝","조립","출하"},0),"T","H","V","N","A","P")&amp;IF($F414="O","R",IF($G414="O","A",IF($H414="O","F",""))),""),"")</f>
        <v/>
      </c>
      <c r="J414" s="94" t="n"/>
      <c r="K414" s="95" t="n"/>
      <c r="L414" s="121" t="inlineStr">
        <is>
          <t>O</t>
        </is>
      </c>
      <c r="M414" s="122" t="inlineStr">
        <is>
          <t>O</t>
        </is>
      </c>
      <c r="N414" s="98" t="n"/>
      <c r="O414" s="99" t="n"/>
      <c r="P414" s="100">
        <f>IF($I414="","",IF($J414="O","3","")&amp;IF($K414="O","4","")&amp;IF($L414="O","6","")&amp;IF($M414="O","7","")&amp;IF($N414="O","8","")&amp;IF($O414="O","?","")&amp;IF(OR($J414="O",$K414="O",$L414="O",$M414="O",$N414="O",$O414="O"),"-","")&amp;$I414)</f>
        <v/>
      </c>
      <c r="Q414" s="102" t="inlineStr">
        <is>
          <t>굿모닝코리아유통</t>
        </is>
      </c>
      <c r="R414" s="117" t="n"/>
      <c r="S414" s="117" t="n"/>
      <c r="T414" s="117" t="n"/>
    </row>
    <row r="415" ht="48" customHeight="1">
      <c r="A415" s="126" t="inlineStr">
        <is>
          <t>출하</t>
        </is>
      </c>
      <c r="B415" s="87" t="inlineStr">
        <is>
          <t>가방</t>
        </is>
      </c>
      <c r="C415" s="88" t="inlineStr">
        <is>
          <t>ADX6000</t>
        </is>
      </c>
      <c r="D415" s="88" t="inlineStr">
        <is>
          <t>가방 (뱅가드)
[ADX6000]</t>
        </is>
      </c>
      <c r="E415" s="88" t="n"/>
      <c r="F415" s="90" t="inlineStr">
        <is>
          <t>O</t>
        </is>
      </c>
      <c r="G415" s="91" t="n"/>
      <c r="H415" s="92" t="n"/>
      <c r="I415" s="93">
        <f>IFERROR(IF(OR($F415="O",$G415="O",$H415="O"),CHOOSE(MATCH($A415,{"튜브","고압","진공","튜닝","조립","출하"},0),"T","H","V","N","A","P")&amp;IF($F415="O","R",IF($G415="O","A",IF($H415="O","F",""))),""),"")</f>
        <v/>
      </c>
      <c r="J415" s="94" t="n"/>
      <c r="K415" s="95" t="n"/>
      <c r="L415" s="121" t="inlineStr">
        <is>
          <t>O</t>
        </is>
      </c>
      <c r="M415" s="97" t="n"/>
      <c r="N415" s="98" t="n"/>
      <c r="O415" s="99" t="n"/>
      <c r="P415" s="100">
        <f>IF($I415="","",IF($J415="O","3","")&amp;IF($K415="O","4","")&amp;IF($L415="O","6","")&amp;IF($M415="O","7","")&amp;IF($N415="O","8","")&amp;IF($O415="O","?","")&amp;IF(OR($J415="O",$K415="O",$L415="O",$M415="O",$N415="O",$O415="O"),"-","")&amp;$I415)</f>
        <v/>
      </c>
      <c r="Q415" s="102" t="inlineStr">
        <is>
          <t>수프림</t>
        </is>
      </c>
      <c r="R415" s="110">
        <f>HYPERLINK("#'마스터_품목'!A772","→ 마스터 R772")</f>
        <v/>
      </c>
      <c r="S415" s="111" t="n">
        <v>772</v>
      </c>
      <c r="T415" s="111" t="inlineStr">
        <is>
          <t>마스터_품목</t>
        </is>
      </c>
    </row>
    <row r="416" ht="48" customHeight="1">
      <c r="A416" s="126" t="inlineStr">
        <is>
          <t>출하</t>
        </is>
      </c>
      <c r="B416" s="87" t="inlineStr">
        <is>
          <t>가방</t>
        </is>
      </c>
      <c r="C416" s="88" t="inlineStr">
        <is>
          <t>ADX6000</t>
        </is>
      </c>
      <c r="D416" s="88" t="inlineStr">
        <is>
          <t>FDXD-810 센서 가방 (뱅가드)
[ADX6000]</t>
        </is>
      </c>
      <c r="E416" s="88" t="n"/>
      <c r="F416" s="90" t="inlineStr">
        <is>
          <t>O</t>
        </is>
      </c>
      <c r="G416" s="91" t="n"/>
      <c r="H416" s="92" t="n"/>
      <c r="I416" s="93">
        <f>IFERROR(IF(OR($F416="O",$G416="O",$H416="O"),CHOOSE(MATCH($A416,{"튜브","고압","진공","튜닝","조립","출하"},0),"T","H","V","N","A","P")&amp;IF($F416="O","R",IF($G416="O","A",IF($H416="O","F",""))),""),"")</f>
        <v/>
      </c>
      <c r="J416" s="124" t="inlineStr">
        <is>
          <t>O</t>
        </is>
      </c>
      <c r="K416" s="125" t="inlineStr">
        <is>
          <t>O</t>
        </is>
      </c>
      <c r="L416" s="121" t="inlineStr">
        <is>
          <t>O</t>
        </is>
      </c>
      <c r="M416" s="122" t="inlineStr">
        <is>
          <t>O</t>
        </is>
      </c>
      <c r="N416" s="123" t="inlineStr">
        <is>
          <t>O</t>
        </is>
      </c>
      <c r="O416" s="99" t="n"/>
      <c r="P416" s="100">
        <f>IF($I416="","",IF($J416="O","3","")&amp;IF($K416="O","4","")&amp;IF($L416="O","6","")&amp;IF($M416="O","7","")&amp;IF($N416="O","8","")&amp;IF($O416="O","?","")&amp;IF(OR($J416="O",$K416="O",$L416="O",$M416="O",$N416="O",$O416="O"),"-","")&amp;$I416)</f>
        <v/>
      </c>
      <c r="Q416" s="102" t="inlineStr">
        <is>
          <t>굿모닝코리아유통</t>
        </is>
      </c>
      <c r="R416" s="110">
        <f>HYPERLINK("#'마스터_품목'!A773","→ 마스터 R773")</f>
        <v/>
      </c>
      <c r="S416" s="111" t="n">
        <v>773</v>
      </c>
      <c r="T416" s="111" t="inlineStr">
        <is>
          <t>마스터_품목</t>
        </is>
      </c>
    </row>
    <row r="417" ht="48" customHeight="1">
      <c r="A417" s="126" t="inlineStr">
        <is>
          <t>출하</t>
        </is>
      </c>
      <c r="B417" s="87" t="inlineStr">
        <is>
          <t>PU FOAM</t>
        </is>
      </c>
      <c r="C417" s="88" t="inlineStr">
        <is>
          <t>DX3000, ADX4000W</t>
        </is>
      </c>
      <c r="D417" s="88" t="inlineStr">
        <is>
          <t>계란판
[DX3000, ADX4000W]</t>
        </is>
      </c>
      <c r="E417" s="88" t="n"/>
      <c r="F417" s="90" t="inlineStr">
        <is>
          <t>O</t>
        </is>
      </c>
      <c r="G417" s="91" t="n"/>
      <c r="H417" s="92" t="n"/>
      <c r="I417" s="93">
        <f>IFERROR(IF(OR($F417="O",$G417="O",$H417="O"),CHOOSE(MATCH($A417,{"튜브","고압","진공","튜닝","조립","출하"},0),"T","H","V","N","A","P")&amp;IF($F417="O","R",IF($G417="O","A",IF($H417="O","F",""))),""),"")</f>
        <v/>
      </c>
      <c r="J417" s="124" t="inlineStr">
        <is>
          <t>O</t>
        </is>
      </c>
      <c r="K417" s="125" t="inlineStr">
        <is>
          <t>O</t>
        </is>
      </c>
      <c r="L417" s="96" t="n"/>
      <c r="M417" s="97" t="n"/>
      <c r="N417" s="98" t="n"/>
      <c r="O417" s="99" t="n"/>
      <c r="P417" s="100">
        <f>IF($I417="","",IF($J417="O","3","")&amp;IF($K417="O","4","")&amp;IF($L417="O","6","")&amp;IF($M417="O","7","")&amp;IF($N417="O","8","")&amp;IF($O417="O","?","")&amp;IF(OR($J417="O",$K417="O",$L417="O",$M417="O",$N417="O",$O417="O"),"-","")&amp;$I417)</f>
        <v/>
      </c>
      <c r="Q417" s="102" t="inlineStr">
        <is>
          <t>굿모닝코리아유통</t>
        </is>
      </c>
      <c r="R417" s="110">
        <f>HYPERLINK("#'마스터_품목'!A774","→ 마스터 R774")</f>
        <v/>
      </c>
      <c r="S417" s="111" t="n">
        <v>774</v>
      </c>
      <c r="T417" s="111" t="inlineStr">
        <is>
          <t>마스터_품목</t>
        </is>
      </c>
    </row>
    <row r="418" ht="48" customHeight="1">
      <c r="A418" s="126" t="inlineStr">
        <is>
          <t>출하</t>
        </is>
      </c>
      <c r="B418" s="87" t="inlineStr">
        <is>
          <t>PU FOAM</t>
        </is>
      </c>
      <c r="C418" s="88" t="inlineStr">
        <is>
          <t>COCOON, ADX6000</t>
        </is>
      </c>
      <c r="D418" s="88" t="inlineStr">
        <is>
          <t>계란판
[COCOON, ADX6000]</t>
        </is>
      </c>
      <c r="E418" s="88" t="n"/>
      <c r="F418" s="90" t="inlineStr">
        <is>
          <t>O</t>
        </is>
      </c>
      <c r="G418" s="91" t="n"/>
      <c r="H418" s="92" t="n"/>
      <c r="I418" s="93">
        <f>IFERROR(IF(OR($F418="O",$G418="O",$H418="O"),CHOOSE(MATCH($A418,{"튜브","고압","진공","튜닝","조립","출하"},0),"T","H","V","N","A","P")&amp;IF($F418="O","R",IF($G418="O","A",IF($H418="O","F",""))),""),"")</f>
        <v/>
      </c>
      <c r="J418" s="94" t="n"/>
      <c r="K418" s="95" t="n"/>
      <c r="L418" s="121" t="inlineStr">
        <is>
          <t>O</t>
        </is>
      </c>
      <c r="M418" s="122" t="inlineStr">
        <is>
          <t>O</t>
        </is>
      </c>
      <c r="N418" s="98" t="n"/>
      <c r="O418" s="99" t="n"/>
      <c r="P418" s="100">
        <f>IF($I418="","",IF($J418="O","3","")&amp;IF($K418="O","4","")&amp;IF($L418="O","6","")&amp;IF($M418="O","7","")&amp;IF($N418="O","8","")&amp;IF($O418="O","?","")&amp;IF(OR($J418="O",$K418="O",$L418="O",$M418="O",$N418="O",$O418="O"),"-","")&amp;$I418)</f>
        <v/>
      </c>
      <c r="Q418" s="102" t="inlineStr">
        <is>
          <t>굿모닝코리아유통</t>
        </is>
      </c>
      <c r="R418" s="110">
        <f>HYPERLINK("#'마스터_품목'!A775","→ 마스터 R775")</f>
        <v/>
      </c>
      <c r="S418" s="111" t="n">
        <v>775</v>
      </c>
      <c r="T418" s="111" t="inlineStr">
        <is>
          <t>마스터_품목</t>
        </is>
      </c>
    </row>
    <row r="419" ht="48" customHeight="1">
      <c r="A419" s="87" t="inlineStr">
        <is>
          <t>창고</t>
        </is>
      </c>
      <c r="B419" s="87" t="inlineStr">
        <is>
          <t>PU FOAM</t>
        </is>
      </c>
      <c r="C419" s="88" t="inlineStr">
        <is>
          <t>COCOON</t>
        </is>
      </c>
      <c r="D419" s="88" t="inlineStr">
        <is>
          <t>가방 내부 폼 상판 (18cm)
[COCOON]</t>
        </is>
      </c>
      <c r="E419" s="88" t="inlineStr">
        <is>
          <t>가방 내부 폼 상판 (18cm) [COCOON]</t>
        </is>
      </c>
      <c r="F419" s="90" t="inlineStr">
        <is>
          <t>O</t>
        </is>
      </c>
      <c r="G419" s="91" t="n"/>
      <c r="H419" s="92" t="n"/>
      <c r="I419" s="93" t="inlineStr">
        <is>
          <t>PR</t>
        </is>
      </c>
      <c r="J419" s="94" t="n"/>
      <c r="K419" s="95" t="n"/>
      <c r="L419" s="96" t="n"/>
      <c r="M419" s="97" t="inlineStr">
        <is>
          <t>O</t>
        </is>
      </c>
      <c r="N419" s="98" t="n"/>
      <c r="O419" s="99" t="n"/>
      <c r="P419" s="100" t="inlineStr">
        <is>
          <t>7-PR</t>
        </is>
      </c>
      <c r="Q419" s="102" t="inlineStr">
        <is>
          <t>굿모닝코리아유통</t>
        </is>
      </c>
      <c r="R419" s="110">
        <f>HYPERLINK("#'마스터_품목'!A661","→ 마스터 R661")</f>
        <v/>
      </c>
      <c r="S419" s="111" t="n">
        <v>661</v>
      </c>
      <c r="T419" s="111" t="inlineStr">
        <is>
          <t>마스터_품목</t>
        </is>
      </c>
    </row>
    <row r="420" ht="48" customHeight="1">
      <c r="A420" s="87" t="inlineStr">
        <is>
          <t>창고</t>
        </is>
      </c>
      <c r="B420" s="87" t="inlineStr">
        <is>
          <t>PU FOAM</t>
        </is>
      </c>
      <c r="C420" s="88" t="inlineStr">
        <is>
          <t>COCOON</t>
        </is>
      </c>
      <c r="D420" s="88" t="inlineStr">
        <is>
          <t>가방 내부 폼 하판 (18cm)
[COCOON]</t>
        </is>
      </c>
      <c r="E420" s="88" t="inlineStr">
        <is>
          <t>가방 내부 폼 하판 (18cm) [COCOON]</t>
        </is>
      </c>
      <c r="F420" s="90" t="inlineStr">
        <is>
          <t>O</t>
        </is>
      </c>
      <c r="G420" s="91" t="n"/>
      <c r="H420" s="92" t="n"/>
      <c r="I420" s="93" t="inlineStr">
        <is>
          <t>PR</t>
        </is>
      </c>
      <c r="J420" s="94" t="n"/>
      <c r="K420" s="95" t="n"/>
      <c r="L420" s="96" t="n"/>
      <c r="M420" s="97" t="inlineStr">
        <is>
          <t>O</t>
        </is>
      </c>
      <c r="N420" s="98" t="n"/>
      <c r="O420" s="99" t="n"/>
      <c r="P420" s="100" t="inlineStr">
        <is>
          <t>7-PR</t>
        </is>
      </c>
      <c r="Q420" s="102" t="inlineStr">
        <is>
          <t>굿모닝코리아유통</t>
        </is>
      </c>
      <c r="R420" s="110">
        <f>HYPERLINK("#'마스터_품목'!A662","→ 마스터 R662")</f>
        <v/>
      </c>
      <c r="S420" s="111" t="n">
        <v>662</v>
      </c>
      <c r="T420" s="111" t="inlineStr">
        <is>
          <t>마스터_품목</t>
        </is>
      </c>
    </row>
    <row r="421" ht="48" customHeight="1">
      <c r="A421" s="87" t="inlineStr">
        <is>
          <t>창고</t>
        </is>
      </c>
      <c r="B421" s="87" t="inlineStr">
        <is>
          <t>PU FOAM</t>
        </is>
      </c>
      <c r="C421" s="88" t="inlineStr">
        <is>
          <t>COCOON</t>
        </is>
      </c>
      <c r="D421" s="88" t="inlineStr">
        <is>
          <t>가방 내부 폼 상판 (20cm)
[COCOON]</t>
        </is>
      </c>
      <c r="E421" s="88" t="inlineStr">
        <is>
          <t>가방 내부 폼 상판 (20cm) [COCOON]</t>
        </is>
      </c>
      <c r="F421" s="90" t="inlineStr">
        <is>
          <t>O</t>
        </is>
      </c>
      <c r="G421" s="91" t="n"/>
      <c r="H421" s="92" t="n"/>
      <c r="I421" s="93" t="inlineStr">
        <is>
          <t>PR</t>
        </is>
      </c>
      <c r="J421" s="94" t="n"/>
      <c r="K421" s="95" t="n"/>
      <c r="L421" s="96" t="n"/>
      <c r="M421" s="97" t="inlineStr">
        <is>
          <t>O</t>
        </is>
      </c>
      <c r="N421" s="98" t="n"/>
      <c r="O421" s="99" t="n"/>
      <c r="P421" s="100" t="inlineStr">
        <is>
          <t>7-PR</t>
        </is>
      </c>
      <c r="Q421" s="102" t="inlineStr">
        <is>
          <t>굿모닝코리아유통</t>
        </is>
      </c>
      <c r="R421" s="118">
        <f>HYPERLINK("#'마스터_품목'!A663","→ 마스터 R663")</f>
        <v/>
      </c>
      <c r="S421" s="119" t="n">
        <v>663</v>
      </c>
      <c r="T421" s="119" t="inlineStr">
        <is>
          <t>마스터_품목</t>
        </is>
      </c>
    </row>
    <row r="422" ht="48" customHeight="1">
      <c r="A422" s="87" t="inlineStr">
        <is>
          <t>창고</t>
        </is>
      </c>
      <c r="B422" s="87" t="inlineStr">
        <is>
          <t>PU FOAM</t>
        </is>
      </c>
      <c r="C422" s="88" t="inlineStr">
        <is>
          <t>COCOON</t>
        </is>
      </c>
      <c r="D422" s="88" t="inlineStr">
        <is>
          <t>가방 내부 폼 하판 (20cm)
[COCOON]</t>
        </is>
      </c>
      <c r="E422" s="88" t="inlineStr">
        <is>
          <t>가방 내부 폼 하판 (20cm) [COCOON]</t>
        </is>
      </c>
      <c r="F422" s="90" t="inlineStr">
        <is>
          <t>O</t>
        </is>
      </c>
      <c r="G422" s="91" t="n"/>
      <c r="H422" s="92" t="n"/>
      <c r="I422" s="93" t="inlineStr">
        <is>
          <t>PR</t>
        </is>
      </c>
      <c r="J422" s="94" t="n"/>
      <c r="K422" s="95" t="n"/>
      <c r="L422" s="96" t="n"/>
      <c r="M422" s="97" t="inlineStr">
        <is>
          <t>O</t>
        </is>
      </c>
      <c r="N422" s="98" t="n"/>
      <c r="O422" s="99" t="n"/>
      <c r="P422" s="100" t="inlineStr">
        <is>
          <t>7-PR</t>
        </is>
      </c>
      <c r="Q422" s="102" t="inlineStr">
        <is>
          <t>굿모닝코리아유통</t>
        </is>
      </c>
      <c r="R422" s="118">
        <f>HYPERLINK("#'마스터_품목'!A664","→ 마스터 R664")</f>
        <v/>
      </c>
      <c r="S422" s="119" t="n">
        <v>664</v>
      </c>
      <c r="T422" s="119" t="inlineStr">
        <is>
          <t>마스터_품목</t>
        </is>
      </c>
    </row>
    <row r="423" ht="48" customHeight="1">
      <c r="A423" s="87" t="inlineStr">
        <is>
          <t>창고</t>
        </is>
      </c>
      <c r="B423" s="87" t="inlineStr">
        <is>
          <t>PU FOAM</t>
        </is>
      </c>
      <c r="C423" s="88" t="inlineStr">
        <is>
          <t>ADX6000FB</t>
        </is>
      </c>
      <c r="D423" s="88" t="inlineStr">
        <is>
          <t>가방 내부 폼 상판 (신형)
[ADX6000FB]</t>
        </is>
      </c>
      <c r="E423" s="88" t="inlineStr">
        <is>
          <t>가방 내부 폼 상판 (신형) [ADX6000FB]</t>
        </is>
      </c>
      <c r="F423" s="90" t="inlineStr">
        <is>
          <t>O</t>
        </is>
      </c>
      <c r="G423" s="91" t="n"/>
      <c r="H423" s="92" t="n"/>
      <c r="I423" s="93" t="inlineStr">
        <is>
          <t>PR</t>
        </is>
      </c>
      <c r="J423" s="94" t="n"/>
      <c r="K423" s="95" t="n"/>
      <c r="L423" s="96" t="inlineStr">
        <is>
          <t>O</t>
        </is>
      </c>
      <c r="M423" s="97" t="n"/>
      <c r="N423" s="98" t="n"/>
      <c r="O423" s="99" t="n"/>
      <c r="P423" s="100" t="inlineStr">
        <is>
          <t>6-PR</t>
        </is>
      </c>
      <c r="Q423" s="102" t="inlineStr">
        <is>
          <t>굿모닝코리아유통</t>
        </is>
      </c>
      <c r="R423" s="118">
        <f>HYPERLINK("#'마스터_품목'!A665","→ 마스터 R665")</f>
        <v/>
      </c>
      <c r="S423" s="119" t="n">
        <v>665</v>
      </c>
      <c r="T423" s="119" t="inlineStr">
        <is>
          <t>마스터_품목</t>
        </is>
      </c>
    </row>
    <row r="424" ht="48" customHeight="1">
      <c r="A424" s="87" t="inlineStr">
        <is>
          <t>창고</t>
        </is>
      </c>
      <c r="B424" s="87" t="inlineStr">
        <is>
          <t>PU FOAM</t>
        </is>
      </c>
      <c r="C424" s="88" t="inlineStr">
        <is>
          <t>ADX6000FB</t>
        </is>
      </c>
      <c r="D424" s="88" t="inlineStr">
        <is>
          <t>가방 내부 폼 중간판 (신형)
[ADX6000FB]</t>
        </is>
      </c>
      <c r="E424" s="88" t="inlineStr">
        <is>
          <t>가방 내부 폼 중간판 (신형) [ADX6000FB]</t>
        </is>
      </c>
      <c r="F424" s="90" t="inlineStr">
        <is>
          <t>O</t>
        </is>
      </c>
      <c r="G424" s="91" t="n"/>
      <c r="H424" s="92" t="n"/>
      <c r="I424" s="93" t="inlineStr">
        <is>
          <t>PR</t>
        </is>
      </c>
      <c r="J424" s="94" t="n"/>
      <c r="K424" s="95" t="n"/>
      <c r="L424" s="96" t="inlineStr">
        <is>
          <t>O</t>
        </is>
      </c>
      <c r="M424" s="97" t="n"/>
      <c r="N424" s="98" t="n"/>
      <c r="O424" s="99" t="n"/>
      <c r="P424" s="100" t="inlineStr">
        <is>
          <t>6-PR</t>
        </is>
      </c>
      <c r="Q424" s="102" t="inlineStr">
        <is>
          <t>굿모닝코리아유통</t>
        </is>
      </c>
      <c r="R424" s="110">
        <f>HYPERLINK("#'마스터_품목'!A666","→ 마스터 R666")</f>
        <v/>
      </c>
      <c r="S424" s="111" t="n">
        <v>666</v>
      </c>
      <c r="T424" s="111" t="inlineStr">
        <is>
          <t>마스터_품목</t>
        </is>
      </c>
    </row>
    <row r="425" ht="48" customHeight="1">
      <c r="A425" s="87" t="inlineStr">
        <is>
          <t>창고</t>
        </is>
      </c>
      <c r="B425" s="87" t="inlineStr">
        <is>
          <t>PU FOAM</t>
        </is>
      </c>
      <c r="C425" s="88" t="inlineStr">
        <is>
          <t>ADX6000FB</t>
        </is>
      </c>
      <c r="D425" s="88" t="inlineStr">
        <is>
          <t>가방 내부 폼 하판 (신형)
[ADX6000FB]</t>
        </is>
      </c>
      <c r="E425" s="88" t="inlineStr">
        <is>
          <t>가방 내부 폼 하판 (신형) [ADX6000FB]</t>
        </is>
      </c>
      <c r="F425" s="90" t="inlineStr">
        <is>
          <t>O</t>
        </is>
      </c>
      <c r="G425" s="91" t="n"/>
      <c r="H425" s="92" t="n"/>
      <c r="I425" s="93" t="inlineStr">
        <is>
          <t>PR</t>
        </is>
      </c>
      <c r="J425" s="94" t="n"/>
      <c r="K425" s="95" t="n"/>
      <c r="L425" s="96" t="inlineStr">
        <is>
          <t>O</t>
        </is>
      </c>
      <c r="M425" s="97" t="n"/>
      <c r="N425" s="98" t="n"/>
      <c r="O425" s="99" t="n"/>
      <c r="P425" s="100" t="inlineStr">
        <is>
          <t>6-PR</t>
        </is>
      </c>
      <c r="Q425" s="102" t="inlineStr">
        <is>
          <t>굿모닝코리아유통</t>
        </is>
      </c>
      <c r="R425" s="110">
        <f>HYPERLINK("#'마스터_품목'!A667","→ 마스터 R667")</f>
        <v/>
      </c>
      <c r="S425" s="111" t="n">
        <v>667</v>
      </c>
      <c r="T425" s="111" t="inlineStr">
        <is>
          <t>마스터_품목</t>
        </is>
      </c>
    </row>
    <row r="426" ht="48" customHeight="1">
      <c r="A426" s="126" t="inlineStr">
        <is>
          <t>출하</t>
        </is>
      </c>
      <c r="B426" s="87" t="inlineStr">
        <is>
          <t>PU FOAM</t>
        </is>
      </c>
      <c r="C426" s="88" t="inlineStr">
        <is>
          <t>ADX6000</t>
        </is>
      </c>
      <c r="D426" s="88" t="inlineStr">
        <is>
          <t>가방 내장재 (47 * 36.5 * 2.5T)
[ADX6000]</t>
        </is>
      </c>
      <c r="E426" s="88" t="n"/>
      <c r="F426" s="90" t="inlineStr">
        <is>
          <t>O</t>
        </is>
      </c>
      <c r="G426" s="91" t="n"/>
      <c r="H426" s="92" t="n"/>
      <c r="I426" s="93">
        <f>IFERROR(IF(OR($F426="O",$G426="O",$H426="O"),CHOOSE(MATCH($A426,{"튜브","고압","진공","튜닝","조립","출하"},0),"T","H","V","N","A","P")&amp;IF($F426="O","R",IF($G426="O","A",IF($H426="O","F",""))),""),"")</f>
        <v/>
      </c>
      <c r="J426" s="94" t="n"/>
      <c r="K426" s="95" t="n"/>
      <c r="L426" s="121" t="inlineStr">
        <is>
          <t>O</t>
        </is>
      </c>
      <c r="M426" s="97" t="n"/>
      <c r="N426" s="98" t="n"/>
      <c r="O426" s="99" t="n"/>
      <c r="P426" s="100">
        <f>IF($I426="","",IF($J426="O","3","")&amp;IF($K426="O","4","")&amp;IF($L426="O","6","")&amp;IF($M426="O","7","")&amp;IF($N426="O","8","")&amp;IF($O426="O","?","")&amp;IF(OR($J426="O",$K426="O",$L426="O",$M426="O",$N426="O",$O426="O"),"-","")&amp;$I426)</f>
        <v/>
      </c>
      <c r="Q426" s="102" t="inlineStr">
        <is>
          <t>굿모닝코리아유통</t>
        </is>
      </c>
      <c r="R426" s="117" t="n"/>
      <c r="S426" s="117" t="n"/>
      <c r="T426" s="117" t="n"/>
    </row>
    <row r="427" ht="48" customHeight="1">
      <c r="A427" s="126" t="inlineStr">
        <is>
          <t>출하</t>
        </is>
      </c>
      <c r="B427" s="87" t="inlineStr">
        <is>
          <t>PU FOAM</t>
        </is>
      </c>
      <c r="C427" s="88" t="inlineStr">
        <is>
          <t>ADX6000</t>
        </is>
      </c>
      <c r="D427" s="88" t="inlineStr">
        <is>
          <t>가방 내장재 (47 * 36.5 * 5.5T)
[ADX6000]</t>
        </is>
      </c>
      <c r="E427" s="88" t="n"/>
      <c r="F427" s="90" t="inlineStr">
        <is>
          <t>O</t>
        </is>
      </c>
      <c r="G427" s="91" t="n"/>
      <c r="H427" s="92" t="n"/>
      <c r="I427" s="93">
        <f>IFERROR(IF(OR($F427="O",$G427="O",$H427="O"),CHOOSE(MATCH($A427,{"튜브","고압","진공","튜닝","조립","출하"},0),"T","H","V","N","A","P")&amp;IF($F427="O","R",IF($G427="O","A",IF($H427="O","F",""))),""),"")</f>
        <v/>
      </c>
      <c r="J427" s="94" t="n"/>
      <c r="K427" s="95" t="n"/>
      <c r="L427" s="121" t="inlineStr">
        <is>
          <t>O</t>
        </is>
      </c>
      <c r="M427" s="97" t="n"/>
      <c r="N427" s="98" t="n"/>
      <c r="O427" s="99" t="n"/>
      <c r="P427" s="100">
        <f>IF($I427="","",IF($J427="O","3","")&amp;IF($K427="O","4","")&amp;IF($L427="O","6","")&amp;IF($M427="O","7","")&amp;IF($N427="O","8","")&amp;IF($O427="O","?","")&amp;IF(OR($J427="O",$K427="O",$L427="O",$M427="O",$N427="O",$O427="O"),"-","")&amp;$I427)</f>
        <v/>
      </c>
      <c r="Q427" s="102" t="inlineStr">
        <is>
          <t>굿모닝코리아유통</t>
        </is>
      </c>
      <c r="R427" s="117" t="n"/>
      <c r="S427" s="117" t="n"/>
      <c r="T427" s="117" t="n"/>
    </row>
    <row r="428" ht="48" customHeight="1">
      <c r="A428" s="126" t="inlineStr">
        <is>
          <t>출하</t>
        </is>
      </c>
      <c r="B428" s="87" t="inlineStr">
        <is>
          <t>PU FOAM</t>
        </is>
      </c>
      <c r="C428" s="88" t="inlineStr">
        <is>
          <t>ADX6000</t>
        </is>
      </c>
      <c r="D428" s="88" t="inlineStr">
        <is>
          <t>가방 내장재 (47 * 36.5 * 7.5T)
[ADX6000]</t>
        </is>
      </c>
      <c r="E428" s="88" t="n"/>
      <c r="F428" s="90" t="inlineStr">
        <is>
          <t>O</t>
        </is>
      </c>
      <c r="G428" s="91" t="n"/>
      <c r="H428" s="92" t="n"/>
      <c r="I428" s="93">
        <f>IFERROR(IF(OR($F428="O",$G428="O",$H428="O"),CHOOSE(MATCH($A428,{"튜브","고압","진공","튜닝","조립","출하"},0),"T","H","V","N","A","P")&amp;IF($F428="O","R",IF($G428="O","A",IF($H428="O","F",""))),""),"")</f>
        <v/>
      </c>
      <c r="J428" s="94" t="n"/>
      <c r="K428" s="95" t="n"/>
      <c r="L428" s="121" t="inlineStr">
        <is>
          <t>O</t>
        </is>
      </c>
      <c r="M428" s="97" t="n"/>
      <c r="N428" s="98" t="n"/>
      <c r="O428" s="99" t="n"/>
      <c r="P428" s="100">
        <f>IF($I428="","",IF($J428="O","3","")&amp;IF($K428="O","4","")&amp;IF($L428="O","6","")&amp;IF($M428="O","7","")&amp;IF($N428="O","8","")&amp;IF($O428="O","?","")&amp;IF(OR($J428="O",$K428="O",$L428="O",$M428="O",$N428="O",$O428="O"),"-","")&amp;$I428)</f>
        <v/>
      </c>
      <c r="Q428" s="102" t="inlineStr">
        <is>
          <t>굿모닝코리아유통</t>
        </is>
      </c>
      <c r="R428" s="117" t="n"/>
      <c r="S428" s="117" t="n"/>
      <c r="T428" s="117" t="n"/>
    </row>
    <row r="429" ht="48" customHeight="1">
      <c r="A429" s="126" t="inlineStr">
        <is>
          <t>출하</t>
        </is>
      </c>
      <c r="B429" s="87" t="inlineStr">
        <is>
          <t>PU FOAM</t>
        </is>
      </c>
      <c r="C429" s="88" t="inlineStr">
        <is>
          <t>공용</t>
        </is>
      </c>
      <c r="D429" s="88" t="inlineStr">
        <is>
          <t>센서 내장재 상단 (45 * 55.5 * 2T, 접착 O)
[공용]</t>
        </is>
      </c>
      <c r="E429" s="88" t="n"/>
      <c r="F429" s="90" t="inlineStr">
        <is>
          <t>O</t>
        </is>
      </c>
      <c r="G429" s="91" t="n"/>
      <c r="H429" s="92" t="n"/>
      <c r="I429" s="93">
        <f>IFERROR(IF(OR($F429="O",$G429="O",$H429="O"),CHOOSE(MATCH($A429,{"튜브","고압","진공","튜닝","조립","출하"},0),"T","H","V","N","A","P")&amp;IF($F429="O","R",IF($G429="O","A",IF($H429="O","F",""))),""),"")</f>
        <v/>
      </c>
      <c r="J429" s="124" t="inlineStr">
        <is>
          <t>O</t>
        </is>
      </c>
      <c r="K429" s="125" t="inlineStr">
        <is>
          <t>O</t>
        </is>
      </c>
      <c r="L429" s="121" t="inlineStr">
        <is>
          <t>O</t>
        </is>
      </c>
      <c r="M429" s="122" t="inlineStr">
        <is>
          <t>O</t>
        </is>
      </c>
      <c r="N429" s="123" t="inlineStr">
        <is>
          <t>O</t>
        </is>
      </c>
      <c r="O429" s="99" t="n"/>
      <c r="P429" s="100">
        <f>IF($I429="","",IF($J429="O","3","")&amp;IF($K429="O","4","")&amp;IF($L429="O","6","")&amp;IF($M429="O","7","")&amp;IF($N429="O","8","")&amp;IF($O429="O","?","")&amp;IF(OR($J429="O",$K429="O",$L429="O",$M429="O",$N429="O",$O429="O"),"-","")&amp;$I429)</f>
        <v/>
      </c>
      <c r="Q429" s="102" t="inlineStr">
        <is>
          <t>굿모닝코리아유통</t>
        </is>
      </c>
      <c r="R429" s="110">
        <f>HYPERLINK("#'마스터_품목'!A776","→ 마스터 R776")</f>
        <v/>
      </c>
      <c r="S429" s="111" t="n">
        <v>776</v>
      </c>
      <c r="T429" s="111" t="inlineStr">
        <is>
          <t>마스터_품목</t>
        </is>
      </c>
    </row>
    <row r="430" ht="48" customHeight="1">
      <c r="A430" s="87" t="inlineStr">
        <is>
          <t>창고</t>
        </is>
      </c>
      <c r="B430" s="87" t="inlineStr">
        <is>
          <t>BOX</t>
        </is>
      </c>
      <c r="C430" s="88" t="inlineStr">
        <is>
          <t>DX3000, ADX4000W</t>
        </is>
      </c>
      <c r="D430" s="88" t="inlineStr">
        <is>
          <t>카톤 박스 (495 * 472 * 380)
[DX3000, ADX4000W]</t>
        </is>
      </c>
      <c r="E430" s="88" t="inlineStr">
        <is>
          <t>DX3000,ADX4000W _ 카톤 박스 [490*460*370]</t>
        </is>
      </c>
      <c r="F430" s="90" t="inlineStr">
        <is>
          <t>O</t>
        </is>
      </c>
      <c r="G430" s="91" t="n"/>
      <c r="H430" s="92" t="n"/>
      <c r="I430" s="93" t="inlineStr">
        <is>
          <t>PR</t>
        </is>
      </c>
      <c r="J430" s="94" t="inlineStr">
        <is>
          <t>O</t>
        </is>
      </c>
      <c r="K430" s="95" t="inlineStr">
        <is>
          <t>O</t>
        </is>
      </c>
      <c r="L430" s="96" t="n"/>
      <c r="M430" s="97" t="n"/>
      <c r="N430" s="98" t="n"/>
      <c r="O430" s="99" t="n"/>
      <c r="P430" s="100" t="inlineStr">
        <is>
          <t>34-PR</t>
        </is>
      </c>
      <c r="Q430" s="102" t="inlineStr">
        <is>
          <t>대성칼라</t>
        </is>
      </c>
      <c r="R430" s="110">
        <f>HYPERLINK("#'마스터_품목'!A677","→ 마스터 R677")</f>
        <v/>
      </c>
      <c r="S430" s="111" t="n">
        <v>677</v>
      </c>
      <c r="T430" s="111" t="inlineStr">
        <is>
          <t>마스터_품목</t>
        </is>
      </c>
    </row>
    <row r="431" ht="48" customHeight="1">
      <c r="A431" s="87" t="inlineStr">
        <is>
          <t>창고</t>
        </is>
      </c>
      <c r="B431" s="87" t="inlineStr">
        <is>
          <t>BOX</t>
        </is>
      </c>
      <c r="C431" s="88" t="inlineStr">
        <is>
          <t>DX3000, ADX4000W</t>
        </is>
      </c>
      <c r="D431" s="88" t="inlineStr">
        <is>
          <t>영문 박스 (450 * 240 * 360)
[DX3000, ADX4000W]</t>
        </is>
      </c>
      <c r="E431" s="88" t="inlineStr">
        <is>
          <t>DX3000,ADX4000W _ 제품 박스 [450*240*360] 공용</t>
        </is>
      </c>
      <c r="F431" s="90" t="inlineStr">
        <is>
          <t>O</t>
        </is>
      </c>
      <c r="G431" s="91" t="n"/>
      <c r="H431" s="92" t="n"/>
      <c r="I431" s="93" t="inlineStr">
        <is>
          <t>PR</t>
        </is>
      </c>
      <c r="J431" s="94" t="inlineStr">
        <is>
          <t>O</t>
        </is>
      </c>
      <c r="K431" s="95" t="inlineStr">
        <is>
          <t>O</t>
        </is>
      </c>
      <c r="L431" s="96" t="n"/>
      <c r="M431" s="97" t="n"/>
      <c r="N431" s="98" t="n"/>
      <c r="O431" s="99" t="n"/>
      <c r="P431" s="100" t="inlineStr">
        <is>
          <t>34-PR</t>
        </is>
      </c>
      <c r="Q431" s="102" t="inlineStr">
        <is>
          <t>대성칼라</t>
        </is>
      </c>
      <c r="R431" s="110">
        <f>HYPERLINK("#'마스터_품목'!A674","→ 마스터 R674")</f>
        <v/>
      </c>
      <c r="S431" s="111" t="n">
        <v>674</v>
      </c>
      <c r="T431" s="111" t="inlineStr">
        <is>
          <t>마스터_품목</t>
        </is>
      </c>
    </row>
    <row r="432" ht="48" customHeight="1">
      <c r="A432" s="126" t="inlineStr">
        <is>
          <t>출하</t>
        </is>
      </c>
      <c r="B432" s="87" t="inlineStr">
        <is>
          <t>PU FOAM</t>
        </is>
      </c>
      <c r="C432" s="88" t="inlineStr">
        <is>
          <t>공용</t>
        </is>
      </c>
      <c r="D432" s="88" t="inlineStr">
        <is>
          <t>센서 내장재 중간 (45 * 55.5 * 2T, 접착 X)
[공용]</t>
        </is>
      </c>
      <c r="E432" s="88" t="n"/>
      <c r="F432" s="90" t="inlineStr">
        <is>
          <t>O</t>
        </is>
      </c>
      <c r="G432" s="91" t="n"/>
      <c r="H432" s="92" t="n"/>
      <c r="I432" s="93">
        <f>IFERROR(IF(OR($F432="O",$G432="O",$H432="O"),CHOOSE(MATCH($A432,{"튜브","고압","진공","튜닝","조립","출하"},0),"T","H","V","N","A","P")&amp;IF($F432="O","R",IF($G432="O","A",IF($H432="O","F",""))),""),"")</f>
        <v/>
      </c>
      <c r="J432" s="124" t="inlineStr">
        <is>
          <t>O</t>
        </is>
      </c>
      <c r="K432" s="125" t="inlineStr">
        <is>
          <t>O</t>
        </is>
      </c>
      <c r="L432" s="121" t="inlineStr">
        <is>
          <t>O</t>
        </is>
      </c>
      <c r="M432" s="122" t="inlineStr">
        <is>
          <t>O</t>
        </is>
      </c>
      <c r="N432" s="123" t="inlineStr">
        <is>
          <t>O</t>
        </is>
      </c>
      <c r="O432" s="99" t="n"/>
      <c r="P432" s="100">
        <f>IF($I432="","",IF($J432="O","3","")&amp;IF($K432="O","4","")&amp;IF($L432="O","6","")&amp;IF($M432="O","7","")&amp;IF($N432="O","8","")&amp;IF($O432="O","?","")&amp;IF(OR($J432="O",$K432="O",$L432="O",$M432="O",$N432="O",$O432="O"),"-","")&amp;$I432)</f>
        <v/>
      </c>
      <c r="Q432" s="102" t="inlineStr">
        <is>
          <t>굿모닝코리아유통</t>
        </is>
      </c>
      <c r="R432" s="110">
        <f>HYPERLINK("#'마스터_품목'!A777","→ 마스터 R777")</f>
        <v/>
      </c>
      <c r="S432" s="111" t="n">
        <v>777</v>
      </c>
      <c r="T432" s="111" t="inlineStr">
        <is>
          <t>마스터_품목</t>
        </is>
      </c>
    </row>
    <row r="433" ht="48" customHeight="1">
      <c r="A433" s="126" t="inlineStr">
        <is>
          <t>출하</t>
        </is>
      </c>
      <c r="B433" s="87" t="inlineStr">
        <is>
          <t>PU FOAM</t>
        </is>
      </c>
      <c r="C433" s="88" t="inlineStr">
        <is>
          <t>공용</t>
        </is>
      </c>
      <c r="D433" s="88" t="inlineStr">
        <is>
          <t>센서 내장재 하단 (45 * 55.5 * 8T)
[공용]</t>
        </is>
      </c>
      <c r="E433" s="88" t="n"/>
      <c r="F433" s="90" t="inlineStr">
        <is>
          <t>O</t>
        </is>
      </c>
      <c r="G433" s="91" t="n"/>
      <c r="H433" s="92" t="n"/>
      <c r="I433" s="93">
        <f>IFERROR(IF(OR($F433="O",$G433="O",$H433="O"),CHOOSE(MATCH($A433,{"튜브","고압","진공","튜닝","조립","출하"},0),"T","H","V","N","A","P")&amp;IF($F433="O","R",IF($G433="O","A",IF($H433="O","F",""))),""),"")</f>
        <v/>
      </c>
      <c r="J433" s="124" t="inlineStr">
        <is>
          <t>O</t>
        </is>
      </c>
      <c r="K433" s="125" t="inlineStr">
        <is>
          <t>O</t>
        </is>
      </c>
      <c r="L433" s="121" t="inlineStr">
        <is>
          <t>O</t>
        </is>
      </c>
      <c r="M433" s="122" t="inlineStr">
        <is>
          <t>O</t>
        </is>
      </c>
      <c r="N433" s="123" t="inlineStr">
        <is>
          <t>O</t>
        </is>
      </c>
      <c r="O433" s="99" t="n"/>
      <c r="P433" s="100">
        <f>IF($I433="","",IF($J433="O","3","")&amp;IF($K433="O","4","")&amp;IF($L433="O","6","")&amp;IF($M433="O","7","")&amp;IF($N433="O","8","")&amp;IF($O433="O","?","")&amp;IF(OR($J433="O",$K433="O",$L433="O",$M433="O",$N433="O",$O433="O"),"-","")&amp;$I433)</f>
        <v/>
      </c>
      <c r="Q433" s="102" t="inlineStr">
        <is>
          <t>굿모닝코리아유통</t>
        </is>
      </c>
      <c r="R433" s="110">
        <f>HYPERLINK("#'마스터_품목'!A778","→ 마스터 R778")</f>
        <v/>
      </c>
      <c r="S433" s="111" t="n">
        <v>778</v>
      </c>
      <c r="T433" s="111" t="inlineStr">
        <is>
          <t>마스터_품목</t>
        </is>
      </c>
    </row>
    <row r="434" ht="48" customHeight="1">
      <c r="A434" s="87" t="inlineStr">
        <is>
          <t>창고</t>
        </is>
      </c>
      <c r="B434" s="87" t="inlineStr">
        <is>
          <t>PE FOAM</t>
        </is>
      </c>
      <c r="C434" s="88" t="inlineStr">
        <is>
          <t>공용</t>
        </is>
      </c>
      <c r="D434" s="88" t="inlineStr">
        <is>
          <t>체스트 &amp; 베드 스탠드 박스 내장재 상, 하판 (230 * 130 * 30T)
[공용]</t>
        </is>
      </c>
      <c r="E434" s="88" t="inlineStr">
        <is>
          <t>체스트 &amp; 베드 스탠드 박스 내장재 상, 하판 [230 * 130 * 30T]</t>
        </is>
      </c>
      <c r="F434" s="90" t="inlineStr">
        <is>
          <t>O</t>
        </is>
      </c>
      <c r="G434" s="91" t="n"/>
      <c r="H434" s="92" t="n"/>
      <c r="I434" s="93" t="inlineStr">
        <is>
          <t>PR</t>
        </is>
      </c>
      <c r="J434" s="94" t="n"/>
      <c r="K434" s="95" t="n"/>
      <c r="L434" s="96" t="inlineStr">
        <is>
          <t>O</t>
        </is>
      </c>
      <c r="M434" s="97" t="n"/>
      <c r="N434" s="98" t="n"/>
      <c r="O434" s="99" t="n"/>
      <c r="P434" s="100" t="inlineStr">
        <is>
          <t>6-PR</t>
        </is>
      </c>
      <c r="Q434" s="102" t="inlineStr">
        <is>
          <t>에이팩산업</t>
        </is>
      </c>
      <c r="R434" s="110">
        <f>HYPERLINK("#'마스터_품목'!A576","→ 마스터 R576")</f>
        <v/>
      </c>
      <c r="S434" s="111" t="n">
        <v>576</v>
      </c>
      <c r="T434" s="111" t="inlineStr">
        <is>
          <t>마스터_품목</t>
        </is>
      </c>
    </row>
    <row r="435" ht="48" customHeight="1">
      <c r="A435" s="87" t="inlineStr">
        <is>
          <t>창고</t>
        </is>
      </c>
      <c r="B435" s="87" t="inlineStr">
        <is>
          <t>PE FOAM</t>
        </is>
      </c>
      <c r="C435" s="88" t="inlineStr">
        <is>
          <t>공용</t>
        </is>
      </c>
      <c r="D435" s="88" t="inlineStr">
        <is>
          <t>체스트 &amp; 베드 스탠드 박스 내장재 좌, 우판 (130 * 980 * 30T)
[공용]</t>
        </is>
      </c>
      <c r="E435" s="88" t="inlineStr">
        <is>
          <t>체스트 &amp; 베드 스탠드 박스 내장재 좌, 우판 [130 * 980 * 30T]</t>
        </is>
      </c>
      <c r="F435" s="90" t="inlineStr">
        <is>
          <t>O</t>
        </is>
      </c>
      <c r="G435" s="91" t="n"/>
      <c r="H435" s="92" t="n"/>
      <c r="I435" s="93" t="inlineStr">
        <is>
          <t>PR</t>
        </is>
      </c>
      <c r="J435" s="94" t="n"/>
      <c r="K435" s="95" t="n"/>
      <c r="L435" s="96" t="inlineStr">
        <is>
          <t>O</t>
        </is>
      </c>
      <c r="M435" s="97" t="n"/>
      <c r="N435" s="98" t="n"/>
      <c r="O435" s="99" t="n"/>
      <c r="P435" s="100" t="inlineStr">
        <is>
          <t>6-PR</t>
        </is>
      </c>
      <c r="Q435" s="102" t="inlineStr">
        <is>
          <t>에이팩산업</t>
        </is>
      </c>
      <c r="R435" s="110">
        <f>HYPERLINK("#'마스터_품목'!A577","→ 마스터 R577")</f>
        <v/>
      </c>
      <c r="S435" s="111" t="n">
        <v>577</v>
      </c>
      <c r="T435" s="111" t="inlineStr">
        <is>
          <t>마스터_품목</t>
        </is>
      </c>
    </row>
    <row r="436" ht="48" customHeight="1">
      <c r="A436" s="87" t="inlineStr">
        <is>
          <t>창고</t>
        </is>
      </c>
      <c r="B436" s="87" t="inlineStr">
        <is>
          <t>PE FOAM</t>
        </is>
      </c>
      <c r="C436" s="88" t="inlineStr">
        <is>
          <t>공용</t>
        </is>
      </c>
      <c r="D436" s="88" t="inlineStr">
        <is>
          <t>체스트 &amp; 베드 스탠드 박스 내장재 전, 후판 (230 * 920 * 30T)
[공용]</t>
        </is>
      </c>
      <c r="E436" s="88" t="inlineStr">
        <is>
          <t>체스트 &amp; 베드 스탠드 박스 내장재 전, 후판 [230 * 920 * 30T]</t>
        </is>
      </c>
      <c r="F436" s="90" t="inlineStr">
        <is>
          <t>O</t>
        </is>
      </c>
      <c r="G436" s="91" t="n"/>
      <c r="H436" s="92" t="n"/>
      <c r="I436" s="93" t="inlineStr">
        <is>
          <t>PR</t>
        </is>
      </c>
      <c r="J436" s="94" t="n"/>
      <c r="K436" s="95" t="n"/>
      <c r="L436" s="96" t="inlineStr">
        <is>
          <t>O</t>
        </is>
      </c>
      <c r="M436" s="97" t="n"/>
      <c r="N436" s="98" t="n"/>
      <c r="O436" s="99" t="n"/>
      <c r="P436" s="100" t="inlineStr">
        <is>
          <t>6-PR</t>
        </is>
      </c>
      <c r="Q436" s="102" t="inlineStr">
        <is>
          <t>에이팩산업</t>
        </is>
      </c>
      <c r="R436" s="110">
        <f>HYPERLINK("#'마스터_품목'!A578","→ 마스터 R578")</f>
        <v/>
      </c>
      <c r="S436" s="111" t="n">
        <v>578</v>
      </c>
      <c r="T436" s="111" t="inlineStr">
        <is>
          <t>마스터_품목</t>
        </is>
      </c>
    </row>
    <row r="437" ht="48" customHeight="1">
      <c r="A437" s="87" t="inlineStr">
        <is>
          <t>창고</t>
        </is>
      </c>
      <c r="B437" s="87" t="inlineStr">
        <is>
          <t>BOX</t>
        </is>
      </c>
      <c r="C437" s="88" t="inlineStr">
        <is>
          <t>COCOON</t>
        </is>
      </c>
      <c r="D437" s="88" t="inlineStr">
        <is>
          <t>카톤 박스 (500 * 460 * 520)
[COCOON]</t>
        </is>
      </c>
      <c r="E437" s="88" t="inlineStr">
        <is>
          <t>COCOON _ 카톤 박스 [500*460*520]</t>
        </is>
      </c>
      <c r="F437" s="90" t="inlineStr">
        <is>
          <t>O</t>
        </is>
      </c>
      <c r="G437" s="91" t="n"/>
      <c r="H437" s="92" t="n"/>
      <c r="I437" s="93" t="inlineStr">
        <is>
          <t>PR</t>
        </is>
      </c>
      <c r="J437" s="94" t="n"/>
      <c r="K437" s="95" t="n"/>
      <c r="L437" s="96" t="n"/>
      <c r="M437" s="97" t="inlineStr">
        <is>
          <t>O</t>
        </is>
      </c>
      <c r="N437" s="98" t="n"/>
      <c r="O437" s="99" t="n"/>
      <c r="P437" s="100" t="inlineStr">
        <is>
          <t>7-PR</t>
        </is>
      </c>
      <c r="Q437" s="102" t="inlineStr">
        <is>
          <t>대성칼라</t>
        </is>
      </c>
      <c r="R437" s="110">
        <f>HYPERLINK("#'마스터_품목'!A678","→ 마스터 R678")</f>
        <v/>
      </c>
      <c r="S437" s="111" t="n">
        <v>678</v>
      </c>
      <c r="T437" s="111" t="inlineStr">
        <is>
          <t>마스터_품목</t>
        </is>
      </c>
    </row>
    <row r="438" ht="48" customHeight="1">
      <c r="A438" s="87" t="inlineStr">
        <is>
          <t>창고</t>
        </is>
      </c>
      <c r="B438" s="87" t="inlineStr">
        <is>
          <t>BOX</t>
        </is>
      </c>
      <c r="C438" s="88" t="inlineStr">
        <is>
          <t>COCOON</t>
        </is>
      </c>
      <c r="D438" s="88" t="inlineStr">
        <is>
          <t>영문 박스 (450 * 240 * 490)
[COCOON]</t>
        </is>
      </c>
      <c r="E438" s="88" t="inlineStr">
        <is>
          <t>COCOON _ 제품 박스 [450*240*490]</t>
        </is>
      </c>
      <c r="F438" s="90" t="inlineStr">
        <is>
          <t>O</t>
        </is>
      </c>
      <c r="G438" s="91" t="n"/>
      <c r="H438" s="92" t="n"/>
      <c r="I438" s="93" t="inlineStr">
        <is>
          <t>PR</t>
        </is>
      </c>
      <c r="J438" s="94" t="n"/>
      <c r="K438" s="95" t="n"/>
      <c r="L438" s="96" t="n"/>
      <c r="M438" s="97" t="inlineStr">
        <is>
          <t>O</t>
        </is>
      </c>
      <c r="N438" s="98" t="n"/>
      <c r="O438" s="99" t="n"/>
      <c r="P438" s="100" t="inlineStr">
        <is>
          <t>7-PR</t>
        </is>
      </c>
      <c r="Q438" s="102" t="inlineStr">
        <is>
          <t>대성칼라</t>
        </is>
      </c>
      <c r="R438" s="110">
        <f>HYPERLINK("#'마스터_품목'!A675","→ 마스터 R675")</f>
        <v/>
      </c>
      <c r="S438" s="111" t="n">
        <v>675</v>
      </c>
      <c r="T438" s="111" t="inlineStr">
        <is>
          <t>마스터_품목</t>
        </is>
      </c>
    </row>
    <row r="439" ht="48" customHeight="1">
      <c r="A439" s="87" t="inlineStr">
        <is>
          <t>창고</t>
        </is>
      </c>
      <c r="B439" s="87" t="inlineStr">
        <is>
          <t>BOX</t>
        </is>
      </c>
      <c r="C439" s="88" t="inlineStr">
        <is>
          <t>공용</t>
        </is>
      </c>
      <c r="D439" s="88" t="inlineStr">
        <is>
          <t>저가 제품 박스 (小)
[공용]</t>
        </is>
      </c>
      <c r="E439" s="88" t="inlineStr">
        <is>
          <t>저가 제품 박스(小)</t>
        </is>
      </c>
      <c r="F439" s="90" t="inlineStr">
        <is>
          <t>O</t>
        </is>
      </c>
      <c r="G439" s="91" t="n"/>
      <c r="H439" s="92" t="n"/>
      <c r="I439" s="93" t="inlineStr">
        <is>
          <t>PR</t>
        </is>
      </c>
      <c r="J439" s="94" t="inlineStr">
        <is>
          <t>O</t>
        </is>
      </c>
      <c r="K439" s="95" t="n"/>
      <c r="L439" s="96" t="n"/>
      <c r="M439" s="97" t="n"/>
      <c r="N439" s="98" t="n"/>
      <c r="O439" s="99" t="n"/>
      <c r="P439" s="100" t="inlineStr">
        <is>
          <t>3-PR</t>
        </is>
      </c>
      <c r="Q439" s="102" t="inlineStr">
        <is>
          <t>제이디자인</t>
        </is>
      </c>
      <c r="R439" s="110">
        <f>HYPERLINK("#'마스터_품목'!A680","→ 마스터 R680")</f>
        <v/>
      </c>
      <c r="S439" s="111" t="n">
        <v>680</v>
      </c>
      <c r="T439" s="111" t="inlineStr">
        <is>
          <t>마스터_품목</t>
        </is>
      </c>
    </row>
    <row r="440" ht="48" customHeight="1">
      <c r="A440" s="87" t="inlineStr">
        <is>
          <t>창고</t>
        </is>
      </c>
      <c r="B440" s="87" t="inlineStr">
        <is>
          <t>BOX</t>
        </is>
      </c>
      <c r="C440" s="88" t="inlineStr">
        <is>
          <t>SOLO</t>
        </is>
      </c>
      <c r="D440" s="88" t="inlineStr">
        <is>
          <t>제품박스(I/N BOX) (KLB.K.KLB (B) 410 * 390 *180)
[SOLO]</t>
        </is>
      </c>
      <c r="E440" s="88" t="inlineStr">
        <is>
          <t>SOLO _ 제품 박스 [420*400*180]</t>
        </is>
      </c>
      <c r="F440" s="90" t="inlineStr">
        <is>
          <t>O</t>
        </is>
      </c>
      <c r="G440" s="91" t="n"/>
      <c r="H440" s="92" t="n"/>
      <c r="I440" s="93" t="inlineStr">
        <is>
          <t>PR</t>
        </is>
      </c>
      <c r="J440" s="94" t="n"/>
      <c r="K440" s="95" t="n"/>
      <c r="L440" s="96" t="n"/>
      <c r="M440" s="97" t="n"/>
      <c r="N440" s="98" t="inlineStr">
        <is>
          <t>O</t>
        </is>
      </c>
      <c r="O440" s="99" t="n"/>
      <c r="P440" s="100" t="inlineStr">
        <is>
          <t>8-PR</t>
        </is>
      </c>
      <c r="Q440" s="102" t="inlineStr">
        <is>
          <t>지성수출포장</t>
        </is>
      </c>
      <c r="R440" s="110">
        <f>HYPERLINK("#'마스터_품목'!A672","→ 마스터 R672")</f>
        <v/>
      </c>
      <c r="S440" s="111" t="n">
        <v>672</v>
      </c>
      <c r="T440" s="111" t="inlineStr">
        <is>
          <t>마스터_품목</t>
        </is>
      </c>
    </row>
    <row r="441" ht="48" customHeight="1">
      <c r="A441" s="87" t="inlineStr">
        <is>
          <t>창고</t>
        </is>
      </c>
      <c r="B441" s="87" t="inlineStr">
        <is>
          <t>BOX</t>
        </is>
      </c>
      <c r="C441" s="88" t="inlineStr">
        <is>
          <t>SOLO</t>
        </is>
      </c>
      <c r="D441" s="88" t="inlineStr">
        <is>
          <t>카톤박스(C/T BOX) (KLB.4K (BA/W) 430 * 380 * 420)
[SOLO]</t>
        </is>
      </c>
      <c r="E441" s="88" t="inlineStr">
        <is>
          <t>SOLO _ 카톤 박스 [440*390*420]</t>
        </is>
      </c>
      <c r="F441" s="90" t="inlineStr">
        <is>
          <t>O</t>
        </is>
      </c>
      <c r="G441" s="91" t="n"/>
      <c r="H441" s="92" t="n"/>
      <c r="I441" s="93" t="inlineStr">
        <is>
          <t>PR</t>
        </is>
      </c>
      <c r="J441" s="94" t="n"/>
      <c r="K441" s="95" t="n"/>
      <c r="L441" s="96" t="n"/>
      <c r="M441" s="97" t="n"/>
      <c r="N441" s="98" t="inlineStr">
        <is>
          <t>O</t>
        </is>
      </c>
      <c r="O441" s="99" t="n"/>
      <c r="P441" s="100" t="inlineStr">
        <is>
          <t>8-PR</t>
        </is>
      </c>
      <c r="Q441" s="102" t="inlineStr">
        <is>
          <t>지성수출포장</t>
        </is>
      </c>
      <c r="R441" s="110">
        <f>HYPERLINK("#'마스터_품목'!A673","→ 마스터 R673")</f>
        <v/>
      </c>
      <c r="S441" s="111" t="n">
        <v>673</v>
      </c>
      <c r="T441" s="111" t="inlineStr">
        <is>
          <t>마스터_품목</t>
        </is>
      </c>
    </row>
    <row r="442" ht="48" customHeight="1">
      <c r="A442" s="126" t="inlineStr">
        <is>
          <t>출하</t>
        </is>
      </c>
      <c r="B442" s="87" t="inlineStr">
        <is>
          <t>BOX</t>
        </is>
      </c>
      <c r="C442" s="88" t="inlineStr">
        <is>
          <t>ADX6000</t>
        </is>
      </c>
      <c r="D442" s="88" t="inlineStr">
        <is>
          <t>카톤 박스
[ADX6000]</t>
        </is>
      </c>
      <c r="E442" s="88" t="n"/>
      <c r="F442" s="90" t="inlineStr">
        <is>
          <t>O</t>
        </is>
      </c>
      <c r="G442" s="91" t="n"/>
      <c r="H442" s="92" t="n"/>
      <c r="I442" s="93">
        <f>IFERROR(IF(OR($F442="O",$G442="O",$H442="O"),CHOOSE(MATCH($A442,{"튜브","고압","진공","튜닝","조립","출하"},0),"T","H","V","N","A","P")&amp;IF($F442="O","R",IF($G442="O","A",IF($H442="O","F",""))),""),"")</f>
        <v/>
      </c>
      <c r="J442" s="94" t="n"/>
      <c r="K442" s="95" t="n"/>
      <c r="L442" s="121" t="inlineStr">
        <is>
          <t>O</t>
        </is>
      </c>
      <c r="M442" s="97" t="n"/>
      <c r="N442" s="98" t="n"/>
      <c r="O442" s="99" t="n"/>
      <c r="P442" s="100">
        <f>IF($I442="","",IF($J442="O","3","")&amp;IF($K442="O","4","")&amp;IF($L442="O","6","")&amp;IF($M442="O","7","")&amp;IF($N442="O","8","")&amp;IF($O442="O","?","")&amp;IF(OR($J442="O",$K442="O",$L442="O",$M442="O",$N442="O",$O442="O"),"-","")&amp;$I442)</f>
        <v/>
      </c>
      <c r="Q442" s="102" t="inlineStr">
        <is>
          <t>제이디자인</t>
        </is>
      </c>
      <c r="R442" s="110">
        <f>HYPERLINK("#'마스터_품목'!A779","→ 마스터 R779")</f>
        <v/>
      </c>
      <c r="S442" s="111" t="n">
        <v>779</v>
      </c>
      <c r="T442" s="111" t="inlineStr">
        <is>
          <t>마스터_품목</t>
        </is>
      </c>
    </row>
    <row r="443" ht="48" customHeight="1">
      <c r="A443" s="87" t="inlineStr">
        <is>
          <t>창고</t>
        </is>
      </c>
      <c r="B443" s="87" t="inlineStr">
        <is>
          <t>BOX</t>
        </is>
      </c>
      <c r="C443" s="88" t="inlineStr">
        <is>
          <t>ADX6000S</t>
        </is>
      </c>
      <c r="D443" s="88" t="inlineStr">
        <is>
          <t>카톤 박스
[ADX6000S]</t>
        </is>
      </c>
      <c r="E443" s="88" t="inlineStr">
        <is>
          <t>ADX6000s _ 카톤 박스 [500*460*520]</t>
        </is>
      </c>
      <c r="F443" s="90" t="inlineStr">
        <is>
          <t>O</t>
        </is>
      </c>
      <c r="G443" s="91" t="n"/>
      <c r="H443" s="92" t="n"/>
      <c r="I443" s="93" t="inlineStr">
        <is>
          <t>PR</t>
        </is>
      </c>
      <c r="J443" s="94" t="n"/>
      <c r="K443" s="95" t="n"/>
      <c r="L443" s="96" t="inlineStr">
        <is>
          <t>O</t>
        </is>
      </c>
      <c r="M443" s="97" t="n"/>
      <c r="N443" s="98" t="n"/>
      <c r="O443" s="99" t="n"/>
      <c r="P443" s="100" t="inlineStr">
        <is>
          <t>6-PR</t>
        </is>
      </c>
      <c r="Q443" s="102" t="inlineStr">
        <is>
          <t>제이디자인</t>
        </is>
      </c>
      <c r="R443" s="110">
        <f>HYPERLINK("#'마스터_품목'!A679","→ 마스터 R679")</f>
        <v/>
      </c>
      <c r="S443" s="111" t="n">
        <v>679</v>
      </c>
      <c r="T443" s="111" t="inlineStr">
        <is>
          <t>마스터_품목</t>
        </is>
      </c>
    </row>
    <row r="444" ht="48" customHeight="1">
      <c r="A444" s="87" t="inlineStr">
        <is>
          <t>창고</t>
        </is>
      </c>
      <c r="B444" s="87" t="inlineStr">
        <is>
          <t>BOX</t>
        </is>
      </c>
      <c r="C444" s="88" t="inlineStr">
        <is>
          <t>ADX6000S</t>
        </is>
      </c>
      <c r="D444" s="88" t="inlineStr">
        <is>
          <t>제품 박스
[ADX6000S]</t>
        </is>
      </c>
      <c r="E444" s="88" t="inlineStr">
        <is>
          <t>ADX6000s _ 제품 박스 [450*240*490]</t>
        </is>
      </c>
      <c r="F444" s="90" t="inlineStr">
        <is>
          <t>O</t>
        </is>
      </c>
      <c r="G444" s="91" t="n"/>
      <c r="H444" s="92" t="n"/>
      <c r="I444" s="93" t="inlineStr">
        <is>
          <t>PR</t>
        </is>
      </c>
      <c r="J444" s="94" t="n"/>
      <c r="K444" s="95" t="n"/>
      <c r="L444" s="96" t="inlineStr">
        <is>
          <t>O</t>
        </is>
      </c>
      <c r="M444" s="97" t="n"/>
      <c r="N444" s="98" t="n"/>
      <c r="O444" s="99" t="n"/>
      <c r="P444" s="100" t="inlineStr">
        <is>
          <t>6-PR</t>
        </is>
      </c>
      <c r="Q444" s="102" t="inlineStr">
        <is>
          <t>제이디자인</t>
        </is>
      </c>
      <c r="R444" s="110">
        <f>HYPERLINK("#'마스터_품목'!A676","→ 마스터 R676")</f>
        <v/>
      </c>
      <c r="S444" s="111" t="n">
        <v>676</v>
      </c>
      <c r="T444" s="111" t="inlineStr">
        <is>
          <t>마스터_품목</t>
        </is>
      </c>
    </row>
    <row r="445" ht="48" customHeight="1">
      <c r="A445" s="126" t="inlineStr">
        <is>
          <t>출하</t>
        </is>
      </c>
      <c r="B445" s="87" t="inlineStr">
        <is>
          <t>BOX</t>
        </is>
      </c>
      <c r="C445" s="88" t="inlineStr">
        <is>
          <t>공용</t>
        </is>
      </c>
      <c r="D445" s="88" t="inlineStr">
        <is>
          <t>무지 박스 1개 (450 * 260 * 510(H)mm)
[공용]</t>
        </is>
      </c>
      <c r="E445" s="88" t="n"/>
      <c r="F445" s="90" t="inlineStr">
        <is>
          <t>O</t>
        </is>
      </c>
      <c r="G445" s="91" t="n"/>
      <c r="H445" s="92" t="n"/>
      <c r="I445" s="93">
        <f>IFERROR(IF(OR($F445="O",$G445="O",$H445="O"),CHOOSE(MATCH($A445,{"튜브","고압","진공","튜닝","조립","출하"},0),"T","H","V","N","A","P")&amp;IF($F445="O","R",IF($G445="O","A",IF($H445="O","F",""))),""),"")</f>
        <v/>
      </c>
      <c r="J445" s="124" t="inlineStr">
        <is>
          <t>O</t>
        </is>
      </c>
      <c r="K445" s="125" t="inlineStr">
        <is>
          <t>O</t>
        </is>
      </c>
      <c r="L445" s="121" t="inlineStr">
        <is>
          <t>O</t>
        </is>
      </c>
      <c r="M445" s="122" t="inlineStr">
        <is>
          <t>O</t>
        </is>
      </c>
      <c r="N445" s="123" t="n"/>
      <c r="O445" s="99" t="n"/>
      <c r="P445" s="100">
        <f>IF($I445="","",IF($J445="O","3","")&amp;IF($K445="O","4","")&amp;IF($L445="O","6","")&amp;IF($M445="O","7","")&amp;IF($N445="O","8","")&amp;IF($O445="O","?","")&amp;IF(OR($J445="O",$K445="O",$L445="O",$M445="O",$N445="O",$O445="O"),"-","")&amp;$I445)</f>
        <v/>
      </c>
      <c r="Q445" s="102" t="inlineStr">
        <is>
          <t>박스바다</t>
        </is>
      </c>
      <c r="R445" s="110">
        <f>HYPERLINK("#'마스터_품목'!A780","→ 마스터 R780")</f>
        <v/>
      </c>
      <c r="S445" s="111" t="n">
        <v>780</v>
      </c>
      <c r="T445" s="111" t="inlineStr">
        <is>
          <t>마스터_품목</t>
        </is>
      </c>
    </row>
    <row r="446" ht="48" customHeight="1">
      <c r="A446" s="126" t="inlineStr">
        <is>
          <t>출하</t>
        </is>
      </c>
      <c r="B446" s="87" t="inlineStr">
        <is>
          <t>BOX</t>
        </is>
      </c>
      <c r="C446" s="88" t="inlineStr">
        <is>
          <t>공용</t>
        </is>
      </c>
      <c r="D446" s="88" t="inlineStr">
        <is>
          <t>무지 박스 2개 (475 * 295 * 220(H)mm)
[공용]</t>
        </is>
      </c>
      <c r="E446" s="88" t="n"/>
      <c r="F446" s="90" t="inlineStr">
        <is>
          <t>O</t>
        </is>
      </c>
      <c r="G446" s="91" t="n"/>
      <c r="H446" s="92" t="n"/>
      <c r="I446" s="93">
        <f>IFERROR(IF(OR($F446="O",$G446="O",$H446="O"),CHOOSE(MATCH($A446,{"튜브","고압","진공","튜닝","조립","출하"},0),"T","H","V","N","A","P")&amp;IF($F446="O","R",IF($G446="O","A",IF($H446="O","F",""))),""),"")</f>
        <v/>
      </c>
      <c r="J446" s="124" t="inlineStr">
        <is>
          <t>O</t>
        </is>
      </c>
      <c r="K446" s="95" t="n"/>
      <c r="L446" s="96" t="n"/>
      <c r="M446" s="97" t="n"/>
      <c r="N446" s="98" t="n"/>
      <c r="O446" s="99" t="n"/>
      <c r="P446" s="100">
        <f>IF($I446="","",IF($J446="O","3","")&amp;IF($K446="O","4","")&amp;IF($L446="O","6","")&amp;IF($M446="O","7","")&amp;IF($N446="O","8","")&amp;IF($O446="O","?","")&amp;IF(OR($J446="O",$K446="O",$L446="O",$M446="O",$N446="O",$O446="O"),"-","")&amp;$I446)</f>
        <v/>
      </c>
      <c r="Q446" s="102" t="inlineStr">
        <is>
          <t>박스바다</t>
        </is>
      </c>
      <c r="R446" s="110">
        <f>HYPERLINK("#'마스터_품목'!A781","→ 마스터 R781")</f>
        <v/>
      </c>
      <c r="S446" s="111" t="n">
        <v>781</v>
      </c>
      <c r="T446" s="111" t="inlineStr">
        <is>
          <t>마스터_품목</t>
        </is>
      </c>
    </row>
    <row r="447" ht="48" customHeight="1">
      <c r="A447" s="126" t="inlineStr">
        <is>
          <t>출하</t>
        </is>
      </c>
      <c r="B447" s="87" t="inlineStr">
        <is>
          <t>BOX</t>
        </is>
      </c>
      <c r="C447" s="88" t="inlineStr">
        <is>
          <t>공용</t>
        </is>
      </c>
      <c r="D447" s="88" t="inlineStr">
        <is>
          <t>무지 박스 4개 (475 * 295 * 430(H)mm)
[공용]</t>
        </is>
      </c>
      <c r="E447" s="88" t="n"/>
      <c r="F447" s="90" t="inlineStr">
        <is>
          <t>O</t>
        </is>
      </c>
      <c r="G447" s="91" t="n"/>
      <c r="H447" s="92" t="n"/>
      <c r="I447" s="93">
        <f>IFERROR(IF(OR($F447="O",$G447="O",$H447="O"),CHOOSE(MATCH($A447,{"튜브","고압","진공","튜닝","조립","출하"},0),"T","H","V","N","A","P")&amp;IF($F447="O","R",IF($G447="O","A",IF($H447="O","F",""))),""),"")</f>
        <v/>
      </c>
      <c r="J447" s="124" t="inlineStr">
        <is>
          <t>O</t>
        </is>
      </c>
      <c r="K447" s="95" t="n"/>
      <c r="L447" s="96" t="n"/>
      <c r="M447" s="97" t="n"/>
      <c r="N447" s="98" t="n"/>
      <c r="O447" s="99" t="n"/>
      <c r="P447" s="100">
        <f>IF($I447="","",IF($J447="O","3","")&amp;IF($K447="O","4","")&amp;IF($L447="O","6","")&amp;IF($M447="O","7","")&amp;IF($N447="O","8","")&amp;IF($O447="O","?","")&amp;IF(OR($J447="O",$K447="O",$L447="O",$M447="O",$N447="O",$O447="O"),"-","")&amp;$I447)</f>
        <v/>
      </c>
      <c r="Q447" s="102" t="inlineStr">
        <is>
          <t>박스바다</t>
        </is>
      </c>
      <c r="R447" s="110">
        <f>HYPERLINK("#'마스터_품목'!A782","→ 마스터 R782")</f>
        <v/>
      </c>
      <c r="S447" s="111" t="n">
        <v>782</v>
      </c>
      <c r="T447" s="111" t="inlineStr">
        <is>
          <t>마스터_품목</t>
        </is>
      </c>
    </row>
    <row r="448" ht="48" customHeight="1">
      <c r="A448" s="126" t="inlineStr">
        <is>
          <t>출하</t>
        </is>
      </c>
      <c r="B448" s="87" t="inlineStr">
        <is>
          <t>BOX</t>
        </is>
      </c>
      <c r="C448" s="88" t="inlineStr">
        <is>
          <t>공용</t>
        </is>
      </c>
      <c r="D448" s="88" t="inlineStr">
        <is>
          <t>무지 박스 6개 (700 * 300 * 430(H)mm)
[공용]</t>
        </is>
      </c>
      <c r="E448" s="88" t="n"/>
      <c r="F448" s="90" t="inlineStr">
        <is>
          <t>O</t>
        </is>
      </c>
      <c r="G448" s="91" t="n"/>
      <c r="H448" s="92" t="n"/>
      <c r="I448" s="93">
        <f>IFERROR(IF(OR($F448="O",$G448="O",$H448="O"),CHOOSE(MATCH($A448,{"튜브","고압","진공","튜닝","조립","출하"},0),"T","H","V","N","A","P")&amp;IF($F448="O","R",IF($G448="O","A",IF($H448="O","F",""))),""),"")</f>
        <v/>
      </c>
      <c r="J448" s="124" t="inlineStr">
        <is>
          <t>O</t>
        </is>
      </c>
      <c r="K448" s="95" t="n"/>
      <c r="L448" s="96" t="n"/>
      <c r="M448" s="97" t="n"/>
      <c r="N448" s="98" t="n"/>
      <c r="O448" s="99" t="n"/>
      <c r="P448" s="100">
        <f>IF($I448="","",IF($J448="O","3","")&amp;IF($K448="O","4","")&amp;IF($L448="O","6","")&amp;IF($M448="O","7","")&amp;IF($N448="O","8","")&amp;IF($O448="O","?","")&amp;IF(OR($J448="O",$K448="O",$L448="O",$M448="O",$N448="O",$O448="O"),"-","")&amp;$I448)</f>
        <v/>
      </c>
      <c r="Q448" s="102" t="inlineStr">
        <is>
          <t>박스바다</t>
        </is>
      </c>
      <c r="R448" s="110">
        <f>HYPERLINK("#'마스터_품목'!A783","→ 마스터 R783")</f>
        <v/>
      </c>
      <c r="S448" s="111" t="n">
        <v>783</v>
      </c>
      <c r="T448" s="111" t="inlineStr">
        <is>
          <t>마스터_품목</t>
        </is>
      </c>
    </row>
    <row r="449" ht="48" customHeight="1">
      <c r="A449" s="126" t="inlineStr">
        <is>
          <t>출하</t>
        </is>
      </c>
      <c r="B449" s="87" t="inlineStr">
        <is>
          <t>BOX</t>
        </is>
      </c>
      <c r="C449" s="88" t="inlineStr">
        <is>
          <t>공용</t>
        </is>
      </c>
      <c r="D449" s="88" t="inlineStr">
        <is>
          <t>Rex 구강 카메라 박스
[공용]</t>
        </is>
      </c>
      <c r="E449" s="88" t="inlineStr">
        <is>
          <t>i cam 구강 카메라 박스</t>
        </is>
      </c>
      <c r="F449" s="90" t="inlineStr">
        <is>
          <t>O</t>
        </is>
      </c>
      <c r="G449" s="91" t="n"/>
      <c r="H449" s="92" t="n"/>
      <c r="I449" s="93">
        <f>IFERROR(IF(OR($F449="O",$G449="O",$H449="O"),CHOOSE(MATCH($A449,{"튜브","고압","진공","튜닝","조립","출하"},0),"T","H","V","N","A","P")&amp;IF($F449="O","R",IF($G449="O","A",IF($H449="O","F",""))),""),"")</f>
        <v/>
      </c>
      <c r="J449" s="124" t="inlineStr">
        <is>
          <t>O</t>
        </is>
      </c>
      <c r="K449" s="125" t="inlineStr">
        <is>
          <t>O</t>
        </is>
      </c>
      <c r="L449" s="121" t="inlineStr">
        <is>
          <t>O</t>
        </is>
      </c>
      <c r="M449" s="122" t="inlineStr">
        <is>
          <t>O</t>
        </is>
      </c>
      <c r="N449" s="123" t="inlineStr">
        <is>
          <t>O</t>
        </is>
      </c>
      <c r="O449" s="99" t="n"/>
      <c r="P449" s="100">
        <f>IF($I449="","",IF($J449="O","3","")&amp;IF($K449="O","4","")&amp;IF($L449="O","6","")&amp;IF($M449="O","7","")&amp;IF($N449="O","8","")&amp;IF($O449="O","?","")&amp;IF(OR($J449="O",$K449="O",$L449="O",$M449="O",$N449="O",$O449="O"),"-","")&amp;$I449)</f>
        <v/>
      </c>
      <c r="Q449" s="102" t="inlineStr">
        <is>
          <t>제이디자인</t>
        </is>
      </c>
      <c r="R449" s="110">
        <f>HYPERLINK("#'마스터_품목'!A636","→ 마스터 R636")</f>
        <v/>
      </c>
      <c r="S449" s="111" t="n">
        <v>636</v>
      </c>
      <c r="T449" s="111" t="inlineStr">
        <is>
          <t>마스터_품목</t>
        </is>
      </c>
    </row>
    <row r="450" ht="48" customHeight="1">
      <c r="A450" s="126" t="inlineStr">
        <is>
          <t>출하</t>
        </is>
      </c>
      <c r="B450" s="87" t="inlineStr">
        <is>
          <t>BOX</t>
        </is>
      </c>
      <c r="C450" s="88" t="inlineStr">
        <is>
          <t>공용</t>
        </is>
      </c>
      <c r="D450" s="88" t="inlineStr">
        <is>
          <t>Rex2 센서 박스
[공용]</t>
        </is>
      </c>
      <c r="E450" s="88" t="inlineStr">
        <is>
          <t>REX2 센서박스</t>
        </is>
      </c>
      <c r="F450" s="90" t="inlineStr">
        <is>
          <t>O</t>
        </is>
      </c>
      <c r="G450" s="91" t="n"/>
      <c r="H450" s="92" t="n"/>
      <c r="I450" s="93">
        <f>IFERROR(IF(OR($F450="O",$G450="O",$H450="O"),CHOOSE(MATCH($A450,{"튜브","고압","진공","튜닝","조립","출하"},0),"T","H","V","N","A","P")&amp;IF($F450="O","R",IF($G450="O","A",IF($H450="O","F",""))),""),"")</f>
        <v/>
      </c>
      <c r="J450" s="124" t="inlineStr">
        <is>
          <t>O</t>
        </is>
      </c>
      <c r="K450" s="125" t="inlineStr">
        <is>
          <t>O</t>
        </is>
      </c>
      <c r="L450" s="121" t="inlineStr">
        <is>
          <t>O</t>
        </is>
      </c>
      <c r="M450" s="122" t="inlineStr">
        <is>
          <t>O</t>
        </is>
      </c>
      <c r="N450" s="123" t="inlineStr">
        <is>
          <t>O</t>
        </is>
      </c>
      <c r="O450" s="99" t="n"/>
      <c r="P450" s="100">
        <f>IF($I450="","",IF($J450="O","3","")&amp;IF($K450="O","4","")&amp;IF($L450="O","6","")&amp;IF($M450="O","7","")&amp;IF($N450="O","8","")&amp;IF($O450="O","?","")&amp;IF(OR($J450="O",$K450="O",$L450="O",$M450="O",$N450="O",$O450="O"),"-","")&amp;$I450)</f>
        <v/>
      </c>
      <c r="Q450" s="102" t="inlineStr">
        <is>
          <t>제이디자인</t>
        </is>
      </c>
      <c r="R450" s="110">
        <f>HYPERLINK("#'마스터_품목'!A637","→ 마스터 R637")</f>
        <v/>
      </c>
      <c r="S450" s="111" t="n">
        <v>637</v>
      </c>
      <c r="T450" s="111" t="inlineStr">
        <is>
          <t>마스터_품목</t>
        </is>
      </c>
    </row>
    <row r="451" ht="48" customHeight="1">
      <c r="A451" s="126" t="inlineStr">
        <is>
          <t>출하</t>
        </is>
      </c>
      <c r="B451" s="87" t="inlineStr">
        <is>
          <t>BOX</t>
        </is>
      </c>
      <c r="C451" s="88" t="inlineStr">
        <is>
          <t>공용</t>
        </is>
      </c>
      <c r="D451" s="88" t="inlineStr">
        <is>
          <t>ADX6000 센서 무지 박스
[공용]</t>
        </is>
      </c>
      <c r="E451" s="88" t="n"/>
      <c r="F451" s="90" t="inlineStr">
        <is>
          <t>O</t>
        </is>
      </c>
      <c r="G451" s="91" t="n"/>
      <c r="H451" s="92" t="n"/>
      <c r="I451" s="93">
        <f>IFERROR(IF(OR($F451="O",$G451="O",$H451="O"),CHOOSE(MATCH($A451,{"튜브","고압","진공","튜닝","조립","출하"},0),"T","H","V","N","A","P")&amp;IF($F451="O","R",IF($G451="O","A",IF($H451="O","F",""))),""),"")</f>
        <v/>
      </c>
      <c r="J451" s="124" t="inlineStr">
        <is>
          <t>O</t>
        </is>
      </c>
      <c r="K451" s="125" t="inlineStr">
        <is>
          <t>O</t>
        </is>
      </c>
      <c r="L451" s="121" t="inlineStr">
        <is>
          <t>O</t>
        </is>
      </c>
      <c r="M451" s="122" t="inlineStr">
        <is>
          <t>O</t>
        </is>
      </c>
      <c r="N451" s="123" t="inlineStr">
        <is>
          <t>O</t>
        </is>
      </c>
      <c r="O451" s="99" t="n"/>
      <c r="P451" s="100">
        <f>IF($I451="","",IF($J451="O","3","")&amp;IF($K451="O","4","")&amp;IF($L451="O","6","")&amp;IF($M451="O","7","")&amp;IF($N451="O","8","")&amp;IF($O451="O","?","")&amp;IF(OR($J451="O",$K451="O",$L451="O",$M451="O",$N451="O",$O451="O"),"-","")&amp;$I451)</f>
        <v/>
      </c>
      <c r="Q451" s="102" t="inlineStr">
        <is>
          <t>박스바다</t>
        </is>
      </c>
      <c r="R451" s="110">
        <f>HYPERLINK("#'마스터_품목'!A784","→ 마스터 R784")</f>
        <v/>
      </c>
      <c r="S451" s="111" t="n">
        <v>784</v>
      </c>
      <c r="T451" s="111" t="inlineStr">
        <is>
          <t>마스터_품목</t>
        </is>
      </c>
    </row>
    <row r="452" ht="48" customHeight="1">
      <c r="A452" s="87" t="inlineStr">
        <is>
          <t>창고</t>
        </is>
      </c>
      <c r="B452" s="87" t="inlineStr">
        <is>
          <t>BOX</t>
        </is>
      </c>
      <c r="C452" s="88" t="inlineStr">
        <is>
          <t>공용</t>
        </is>
      </c>
      <c r="D452" s="88" t="inlineStr">
        <is>
          <t>체스트 &amp; 베드 스탠드 박스 (1000 * 300 * 150)
[공용]</t>
        </is>
      </c>
      <c r="E452" s="88" t="inlineStr">
        <is>
          <t>체스트 &amp; 베드 스탠드 박스 [1000 * 300 * 160]</t>
        </is>
      </c>
      <c r="F452" s="90" t="inlineStr">
        <is>
          <t>O</t>
        </is>
      </c>
      <c r="G452" s="91" t="n"/>
      <c r="H452" s="92" t="n"/>
      <c r="I452" s="93" t="inlineStr">
        <is>
          <t>PR</t>
        </is>
      </c>
      <c r="J452" s="94" t="n"/>
      <c r="K452" s="95" t="n"/>
      <c r="L452" s="96" t="inlineStr">
        <is>
          <t>O</t>
        </is>
      </c>
      <c r="M452" s="97" t="n"/>
      <c r="N452" s="98" t="n"/>
      <c r="O452" s="99" t="n"/>
      <c r="P452" s="100" t="inlineStr">
        <is>
          <t>6-PR</t>
        </is>
      </c>
      <c r="Q452" s="102" t="inlineStr">
        <is>
          <t>지성수출포장</t>
        </is>
      </c>
      <c r="R452" s="110">
        <f>HYPERLINK("#'마스터_품목'!A579","→ 마스터 R579")</f>
        <v/>
      </c>
      <c r="S452" s="111" t="n">
        <v>579</v>
      </c>
      <c r="T452" s="111" t="inlineStr">
        <is>
          <t>마스터_품목</t>
        </is>
      </c>
    </row>
    <row r="453" ht="48" customHeight="1">
      <c r="A453" s="87" t="inlineStr">
        <is>
          <t>창고</t>
        </is>
      </c>
      <c r="B453" s="87" t="inlineStr">
        <is>
          <t>에어셀</t>
        </is>
      </c>
      <c r="C453" s="88" t="inlineStr">
        <is>
          <t>공용</t>
        </is>
      </c>
      <c r="D453" s="88" t="inlineStr">
        <is>
          <t>저가 박스 에어셀 Main (JD010411-01)
[공용]</t>
        </is>
      </c>
      <c r="E453" s="88" t="inlineStr">
        <is>
          <t>저가 박스 에어셀_Main (JD010411-01)</t>
        </is>
      </c>
      <c r="F453" s="90" t="inlineStr">
        <is>
          <t>O</t>
        </is>
      </c>
      <c r="G453" s="91" t="n"/>
      <c r="H453" s="92" t="n"/>
      <c r="I453" s="93" t="inlineStr">
        <is>
          <t>PR</t>
        </is>
      </c>
      <c r="J453" s="94" t="inlineStr">
        <is>
          <t>O</t>
        </is>
      </c>
      <c r="K453" s="95" t="n"/>
      <c r="L453" s="96" t="n"/>
      <c r="M453" s="97" t="n"/>
      <c r="N453" s="98" t="n"/>
      <c r="O453" s="99" t="n"/>
      <c r="P453" s="100" t="inlineStr">
        <is>
          <t>3-PR</t>
        </is>
      </c>
      <c r="Q453" s="102" t="inlineStr">
        <is>
          <t>인디스에어</t>
        </is>
      </c>
      <c r="R453" s="110">
        <f>HYPERLINK("#'마스터_품목'!A681","→ 마스터 R681")</f>
        <v/>
      </c>
      <c r="S453" s="111" t="n">
        <v>681</v>
      </c>
      <c r="T453" s="111" t="inlineStr">
        <is>
          <t>마스터_품목</t>
        </is>
      </c>
    </row>
    <row r="454" ht="48" customHeight="1">
      <c r="A454" s="87" t="inlineStr">
        <is>
          <t>창고</t>
        </is>
      </c>
      <c r="B454" s="87" t="inlineStr">
        <is>
          <t>넥스트랩</t>
        </is>
      </c>
      <c r="C454" s="88" t="inlineStr">
        <is>
          <t>공용</t>
        </is>
      </c>
      <c r="D454" s="88" t="inlineStr">
        <is>
          <t>넥스트 랩 (포켓)
[공용]</t>
        </is>
      </c>
      <c r="E454" s="88" t="inlineStr">
        <is>
          <t>넥스트랩(포켓)</t>
        </is>
      </c>
      <c r="F454" s="90" t="inlineStr">
        <is>
          <t>O</t>
        </is>
      </c>
      <c r="G454" s="91" t="n"/>
      <c r="H454" s="92" t="n"/>
      <c r="I454" s="93" t="inlineStr">
        <is>
          <t>PR</t>
        </is>
      </c>
      <c r="J454" s="94" t="inlineStr">
        <is>
          <t>O</t>
        </is>
      </c>
      <c r="K454" s="95" t="n"/>
      <c r="L454" s="96" t="n"/>
      <c r="M454" s="97" t="inlineStr">
        <is>
          <t>O</t>
        </is>
      </c>
      <c r="N454" s="98" t="n"/>
      <c r="O454" s="99" t="n"/>
      <c r="P454" s="100" t="inlineStr">
        <is>
          <t>37-PR</t>
        </is>
      </c>
      <c r="Q454" s="102" t="inlineStr">
        <is>
          <t>피엔에스</t>
        </is>
      </c>
      <c r="R454" s="110">
        <f>HYPERLINK("#'마스터_품목'!A620","→ 마스터 R620")</f>
        <v/>
      </c>
      <c r="S454" s="111" t="n">
        <v>620</v>
      </c>
      <c r="T454" s="111" t="inlineStr">
        <is>
          <t>마스터_품목</t>
        </is>
      </c>
    </row>
    <row r="455" ht="48" customHeight="1">
      <c r="A455" s="126" t="inlineStr">
        <is>
          <t>출하</t>
        </is>
      </c>
      <c r="B455" s="87" t="inlineStr">
        <is>
          <t>스티로폼</t>
        </is>
      </c>
      <c r="C455" s="88" t="inlineStr">
        <is>
          <t>ADX6000</t>
        </is>
      </c>
      <c r="D455" s="88" t="inlineStr">
        <is>
          <t>제품박스 상, 하 스티로폼 (60.5 * 27.5 * 3T)
[ADX6000]</t>
        </is>
      </c>
      <c r="E455" s="88" t="n"/>
      <c r="F455" s="90" t="inlineStr">
        <is>
          <t>O</t>
        </is>
      </c>
      <c r="G455" s="91" t="n"/>
      <c r="H455" s="92" t="n"/>
      <c r="I455" s="93">
        <f>IFERROR(IF(OR($F455="O",$G455="O",$H455="O"),CHOOSE(MATCH($A455,{"튜브","고압","진공","튜닝","조립","출하"},0),"T","H","V","N","A","P")&amp;IF($F455="O","R",IF($G455="O","A",IF($H455="O","F",""))),""),"")</f>
        <v/>
      </c>
      <c r="J455" s="94" t="n"/>
      <c r="K455" s="95" t="n"/>
      <c r="L455" s="121" t="inlineStr">
        <is>
          <t>O</t>
        </is>
      </c>
      <c r="M455" s="97" t="n"/>
      <c r="N455" s="98" t="n"/>
      <c r="O455" s="99" t="n"/>
      <c r="P455" s="100">
        <f>IF($I455="","",IF($J455="O","3","")&amp;IF($K455="O","4","")&amp;IF($L455="O","6","")&amp;IF($M455="O","7","")&amp;IF($N455="O","8","")&amp;IF($O455="O","?","")&amp;IF(OR($J455="O",$K455="O",$L455="O",$M455="O",$N455="O",$O455="O"),"-","")&amp;$I455)</f>
        <v/>
      </c>
      <c r="Q455" s="102" t="inlineStr">
        <is>
          <t>굿모닝코리아유통</t>
        </is>
      </c>
      <c r="R455" s="110">
        <f>HYPERLINK("#'마스터_품목'!A785","→ 마스터 R785")</f>
        <v/>
      </c>
      <c r="S455" s="111" t="n">
        <v>785</v>
      </c>
      <c r="T455" s="111" t="inlineStr">
        <is>
          <t>마스터_품목</t>
        </is>
      </c>
    </row>
    <row r="456" ht="48" customHeight="1">
      <c r="A456" s="126" t="inlineStr">
        <is>
          <t>출하</t>
        </is>
      </c>
      <c r="B456" s="87" t="inlineStr">
        <is>
          <t>스티로폼</t>
        </is>
      </c>
      <c r="C456" s="88" t="inlineStr">
        <is>
          <t>ADX6000</t>
        </is>
      </c>
      <c r="D456" s="88" t="inlineStr">
        <is>
          <t>제품박스 좁은 스티로폼 (42.5 * 27.5 * 3T)
[ADX6000]</t>
        </is>
      </c>
      <c r="E456" s="88" t="n"/>
      <c r="F456" s="90" t="inlineStr">
        <is>
          <t>O</t>
        </is>
      </c>
      <c r="G456" s="91" t="n"/>
      <c r="H456" s="92" t="n"/>
      <c r="I456" s="93">
        <f>IFERROR(IF(OR($F456="O",$G456="O",$H456="O"),CHOOSE(MATCH($A456,{"튜브","고압","진공","튜닝","조립","출하"},0),"T","H","V","N","A","P")&amp;IF($F456="O","R",IF($G456="O","A",IF($H456="O","F",""))),""),"")</f>
        <v/>
      </c>
      <c r="J456" s="94" t="n"/>
      <c r="K456" s="95" t="n"/>
      <c r="L456" s="121" t="inlineStr">
        <is>
          <t>O</t>
        </is>
      </c>
      <c r="M456" s="97" t="n"/>
      <c r="N456" s="98" t="n"/>
      <c r="O456" s="99" t="n"/>
      <c r="P456" s="100">
        <f>IF($I456="","",IF($J456="O","3","")&amp;IF($K456="O","4","")&amp;IF($L456="O","6","")&amp;IF($M456="O","7","")&amp;IF($N456="O","8","")&amp;IF($O456="O","?","")&amp;IF(OR($J456="O",$K456="O",$L456="O",$M456="O",$N456="O",$O456="O"),"-","")&amp;$I456)</f>
        <v/>
      </c>
      <c r="Q456" s="102" t="inlineStr">
        <is>
          <t>굿모닝코리아유통</t>
        </is>
      </c>
      <c r="R456" s="110">
        <f>HYPERLINK("#'마스터_품목'!A786","→ 마스터 R786")</f>
        <v/>
      </c>
      <c r="S456" s="111" t="n">
        <v>786</v>
      </c>
      <c r="T456" s="111" t="inlineStr">
        <is>
          <t>마스터_품목</t>
        </is>
      </c>
    </row>
    <row r="457" ht="48" customHeight="1">
      <c r="A457" s="87" t="inlineStr">
        <is>
          <t>창고</t>
        </is>
      </c>
      <c r="B457" s="87" t="inlineStr">
        <is>
          <t>숄더스트랩</t>
        </is>
      </c>
      <c r="C457" s="88" t="inlineStr">
        <is>
          <t>DX3000</t>
        </is>
      </c>
      <c r="D457" s="88" t="inlineStr">
        <is>
          <t>제품 어깨끈 (구형)
[DX3000]</t>
        </is>
      </c>
      <c r="E457" s="88" t="inlineStr">
        <is>
          <t>제품 스트랩 (호주에 적용)</t>
        </is>
      </c>
      <c r="F457" s="90" t="inlineStr">
        <is>
          <t>O</t>
        </is>
      </c>
      <c r="G457" s="91" t="n"/>
      <c r="H457" s="92" t="n"/>
      <c r="I457" s="93" t="inlineStr">
        <is>
          <t>PR</t>
        </is>
      </c>
      <c r="J457" s="94" t="inlineStr">
        <is>
          <t>O</t>
        </is>
      </c>
      <c r="K457" s="95" t="n"/>
      <c r="L457" s="96" t="n"/>
      <c r="M457" s="97" t="n"/>
      <c r="N457" s="98" t="n"/>
      <c r="O457" s="99" t="n"/>
      <c r="P457" s="100" t="inlineStr">
        <is>
          <t>3-PR</t>
        </is>
      </c>
      <c r="Q457" s="102" t="inlineStr">
        <is>
          <t>굿모닝코리아유통</t>
        </is>
      </c>
      <c r="R457" s="110">
        <f>HYPERLINK("#'마스터_품목'!A623","→ 마스터 R623")</f>
        <v/>
      </c>
      <c r="S457" s="111" t="n">
        <v>623</v>
      </c>
      <c r="T457" s="111" t="inlineStr">
        <is>
          <t>마스터_품목</t>
        </is>
      </c>
    </row>
    <row r="458" ht="48" customHeight="1">
      <c r="A458" s="87" t="inlineStr">
        <is>
          <t>창고</t>
        </is>
      </c>
      <c r="B458" s="87" t="inlineStr">
        <is>
          <t>숄더스트랩</t>
        </is>
      </c>
      <c r="C458" s="88" t="inlineStr">
        <is>
          <t>DX3000</t>
        </is>
      </c>
      <c r="D458" s="88" t="inlineStr">
        <is>
          <t>가방끈 (일본용)
[DX3000]</t>
        </is>
      </c>
      <c r="E458" s="88" t="inlineStr">
        <is>
          <t>가방끈(일본에 적용)</t>
        </is>
      </c>
      <c r="F458" s="90" t="inlineStr">
        <is>
          <t>O</t>
        </is>
      </c>
      <c r="G458" s="91" t="n"/>
      <c r="H458" s="92" t="n"/>
      <c r="I458" s="93" t="inlineStr">
        <is>
          <t>PR</t>
        </is>
      </c>
      <c r="J458" s="94" t="inlineStr">
        <is>
          <t>O</t>
        </is>
      </c>
      <c r="K458" s="95" t="inlineStr">
        <is>
          <t>O</t>
        </is>
      </c>
      <c r="L458" s="96" t="inlineStr">
        <is>
          <t>O</t>
        </is>
      </c>
      <c r="M458" s="97" t="n"/>
      <c r="N458" s="98" t="n"/>
      <c r="O458" s="99" t="n"/>
      <c r="P458" s="100" t="inlineStr">
        <is>
          <t>346-PR</t>
        </is>
      </c>
      <c r="Q458" s="102" t="inlineStr">
        <is>
          <t>굿모닝코리아유통</t>
        </is>
      </c>
      <c r="R458" s="110">
        <f>HYPERLINK("#'마스터_품목'!A622","→ 마스터 R622")</f>
        <v/>
      </c>
      <c r="S458" s="111" t="n">
        <v>622</v>
      </c>
      <c r="T458" s="111" t="inlineStr">
        <is>
          <t>마스터_품목</t>
        </is>
      </c>
    </row>
    <row r="459" ht="48" customHeight="1">
      <c r="A459" s="126" t="inlineStr">
        <is>
          <t>출하</t>
        </is>
      </c>
      <c r="B459" s="87" t="inlineStr">
        <is>
          <t>스티로폼</t>
        </is>
      </c>
      <c r="C459" s="88" t="inlineStr">
        <is>
          <t>ADX6000</t>
        </is>
      </c>
      <c r="D459" s="88" t="inlineStr">
        <is>
          <t>제품박스 넒은 스티로폼 (42.5 * 55 * 3.5T)
[ADX6000]</t>
        </is>
      </c>
      <c r="E459" s="88" t="n"/>
      <c r="F459" s="90" t="inlineStr">
        <is>
          <t>O</t>
        </is>
      </c>
      <c r="G459" s="91" t="n"/>
      <c r="H459" s="92" t="n"/>
      <c r="I459" s="93">
        <f>IFERROR(IF(OR($F459="O",$G459="O",$H459="O"),CHOOSE(MATCH($A459,{"튜브","고압","진공","튜닝","조립","출하"},0),"T","H","V","N","A","P")&amp;IF($F459="O","R",IF($G459="O","A",IF($H459="O","F",""))),""),"")</f>
        <v/>
      </c>
      <c r="J459" s="94" t="n"/>
      <c r="K459" s="95" t="n"/>
      <c r="L459" s="121" t="inlineStr">
        <is>
          <t>O</t>
        </is>
      </c>
      <c r="M459" s="97" t="n"/>
      <c r="N459" s="98" t="n"/>
      <c r="O459" s="99" t="n"/>
      <c r="P459" s="100">
        <f>IF($I459="","",IF($J459="O","3","")&amp;IF($K459="O","4","")&amp;IF($L459="O","6","")&amp;IF($M459="O","7","")&amp;IF($N459="O","8","")&amp;IF($O459="O","?","")&amp;IF(OR($J459="O",$K459="O",$L459="O",$M459="O",$N459="O",$O459="O"),"-","")&amp;$I459)</f>
        <v/>
      </c>
      <c r="Q459" s="102" t="inlineStr">
        <is>
          <t>굿모닝코리아유통</t>
        </is>
      </c>
      <c r="R459" s="110">
        <f>HYPERLINK("#'마스터_품목'!A787","→ 마스터 R787")</f>
        <v/>
      </c>
      <c r="S459" s="111" t="n">
        <v>787</v>
      </c>
      <c r="T459" s="111" t="inlineStr">
        <is>
          <t>마스터_품목</t>
        </is>
      </c>
    </row>
    <row r="460" ht="48" customHeight="1">
      <c r="A460" s="126" t="inlineStr">
        <is>
          <t>출하</t>
        </is>
      </c>
      <c r="B460" s="87" t="inlineStr">
        <is>
          <t>스티로폼</t>
        </is>
      </c>
      <c r="C460" s="88" t="inlineStr">
        <is>
          <t>공용</t>
        </is>
      </c>
      <c r="D460" s="88" t="inlineStr">
        <is>
          <t>DR Tech 센서 상, 하 스티로폼 (45.5 * 42 * 3T)
[공용]</t>
        </is>
      </c>
      <c r="E460" s="88" t="n"/>
      <c r="F460" s="90" t="inlineStr">
        <is>
          <t>O</t>
        </is>
      </c>
      <c r="G460" s="91" t="n"/>
      <c r="H460" s="92" t="n"/>
      <c r="I460" s="93">
        <f>IFERROR(IF(OR($F460="O",$G460="O",$H460="O"),CHOOSE(MATCH($A460,{"튜브","고압","진공","튜닝","조립","출하"},0),"T","H","V","N","A","P")&amp;IF($F460="O","R",IF($G460="O","A",IF($H460="O","F",""))),""),"")</f>
        <v/>
      </c>
      <c r="J460" s="124" t="inlineStr">
        <is>
          <t>O</t>
        </is>
      </c>
      <c r="K460" s="125" t="inlineStr">
        <is>
          <t>O</t>
        </is>
      </c>
      <c r="L460" s="121" t="inlineStr">
        <is>
          <t>O</t>
        </is>
      </c>
      <c r="M460" s="122" t="inlineStr">
        <is>
          <t>O</t>
        </is>
      </c>
      <c r="N460" s="123" t="inlineStr">
        <is>
          <t>O</t>
        </is>
      </c>
      <c r="O460" s="99" t="n"/>
      <c r="P460" s="100">
        <f>IF($I460="","",IF($J460="O","3","")&amp;IF($K460="O","4","")&amp;IF($L460="O","6","")&amp;IF($M460="O","7","")&amp;IF($N460="O","8","")&amp;IF($O460="O","?","")&amp;IF(OR($J460="O",$K460="O",$L460="O",$M460="O",$N460="O",$O460="O"),"-","")&amp;$I460)</f>
        <v/>
      </c>
      <c r="Q460" s="102" t="inlineStr">
        <is>
          <t>굿모닝코리아유통</t>
        </is>
      </c>
      <c r="R460" s="110">
        <f>HYPERLINK("#'마스터_품목'!A788","→ 마스터 R788")</f>
        <v/>
      </c>
      <c r="S460" s="111" t="n">
        <v>788</v>
      </c>
      <c r="T460" s="111" t="inlineStr">
        <is>
          <t>마스터_품목</t>
        </is>
      </c>
    </row>
    <row r="461" ht="48" customHeight="1">
      <c r="A461" s="87" t="inlineStr">
        <is>
          <t>창고</t>
        </is>
      </c>
      <c r="B461" s="87" t="inlineStr">
        <is>
          <t>내부폼</t>
        </is>
      </c>
      <c r="C461" s="88" t="inlineStr">
        <is>
          <t>SOLO</t>
        </is>
      </c>
      <c r="D461" s="88" t="inlineStr">
        <is>
          <t>내부폼 (가교 PAD) SET
[SOLO]</t>
        </is>
      </c>
      <c r="E461" s="88" t="inlineStr">
        <is>
          <t>SOLO _ [20cm cone용] 내부 FOAM (상판, 하판) 손잡이 체결형</t>
        </is>
      </c>
      <c r="F461" s="90" t="inlineStr">
        <is>
          <t>O</t>
        </is>
      </c>
      <c r="G461" s="91" t="n"/>
      <c r="H461" s="92" t="n"/>
      <c r="I461" s="93" t="inlineStr">
        <is>
          <t>PR</t>
        </is>
      </c>
      <c r="J461" s="94" t="n"/>
      <c r="K461" s="95" t="n"/>
      <c r="L461" s="96" t="n"/>
      <c r="M461" s="97" t="n"/>
      <c r="N461" s="98" t="inlineStr">
        <is>
          <t>O</t>
        </is>
      </c>
      <c r="O461" s="99" t="n"/>
      <c r="P461" s="100" t="inlineStr">
        <is>
          <t>8-PR</t>
        </is>
      </c>
      <c r="Q461" s="102" t="inlineStr">
        <is>
          <t>에이팩산업</t>
        </is>
      </c>
      <c r="R461" s="110">
        <f>HYPERLINK("#'마스터_품목'!A671","→ 마스터 R671")</f>
        <v/>
      </c>
      <c r="S461" s="111" t="n">
        <v>671</v>
      </c>
      <c r="T461" s="111" t="inlineStr">
        <is>
          <t>마스터_품목</t>
        </is>
      </c>
    </row>
    <row r="462" ht="48" customHeight="1">
      <c r="A462" s="87" t="inlineStr">
        <is>
          <t>창고</t>
        </is>
      </c>
      <c r="B462" s="87" t="inlineStr">
        <is>
          <t>연아크릴</t>
        </is>
      </c>
      <c r="C462" s="88" t="inlineStr">
        <is>
          <t>공용</t>
        </is>
      </c>
      <c r="D462" s="88" t="inlineStr">
        <is>
          <t>연아크릴 쉴드 12T (153 * ∮65 * 12T)
[공용] (선일쉴드텍)</t>
        </is>
      </c>
      <c r="E462" s="88" t="inlineStr">
        <is>
          <t>연아크릴 [65∮] - 12T (선일 쉴드텍 - 일본만 사용)</t>
        </is>
      </c>
      <c r="F462" s="90" t="inlineStr">
        <is>
          <t>O</t>
        </is>
      </c>
      <c r="G462" s="91" t="n"/>
      <c r="H462" s="92" t="n"/>
      <c r="I462" s="93" t="inlineStr">
        <is>
          <t>PR</t>
        </is>
      </c>
      <c r="J462" s="94" t="inlineStr">
        <is>
          <t>O</t>
        </is>
      </c>
      <c r="K462" s="95" t="inlineStr">
        <is>
          <t>O</t>
        </is>
      </c>
      <c r="L462" s="96" t="n"/>
      <c r="M462" s="97" t="inlineStr">
        <is>
          <t>O</t>
        </is>
      </c>
      <c r="N462" s="98" t="inlineStr">
        <is>
          <t>O</t>
        </is>
      </c>
      <c r="O462" s="99" t="n"/>
      <c r="P462" s="100" t="inlineStr">
        <is>
          <t>3478-PR</t>
        </is>
      </c>
      <c r="Q462" s="102" t="inlineStr">
        <is>
          <t>선일쉴드텍</t>
        </is>
      </c>
      <c r="R462" s="110">
        <f>HYPERLINK("#'마스터_품목'!A601","→ 마스터 R601")</f>
        <v/>
      </c>
      <c r="S462" s="111" t="n">
        <v>601</v>
      </c>
      <c r="T462" s="111" t="inlineStr">
        <is>
          <t>마스터_품목</t>
        </is>
      </c>
    </row>
    <row r="463" ht="48" customHeight="1">
      <c r="A463" s="87" t="inlineStr">
        <is>
          <t>창고</t>
        </is>
      </c>
      <c r="B463" s="87" t="inlineStr">
        <is>
          <t>연아크릴</t>
        </is>
      </c>
      <c r="C463" s="88" t="inlineStr">
        <is>
          <t>공용</t>
        </is>
      </c>
      <c r="D463" s="88" t="inlineStr">
        <is>
          <t>연아크릴 쉴드 12T (153 * ∮65 * 12T)
[공용] (중국)</t>
        </is>
      </c>
      <c r="E463" s="88" t="inlineStr">
        <is>
          <t>연아크릴 [65∮] - 12T</t>
        </is>
      </c>
      <c r="F463" s="90" t="inlineStr">
        <is>
          <t>O</t>
        </is>
      </c>
      <c r="G463" s="91" t="n"/>
      <c r="H463" s="92" t="n"/>
      <c r="I463" s="93" t="inlineStr">
        <is>
          <t>PR</t>
        </is>
      </c>
      <c r="J463" s="94" t="inlineStr">
        <is>
          <t>O</t>
        </is>
      </c>
      <c r="K463" s="95" t="inlineStr">
        <is>
          <t>O</t>
        </is>
      </c>
      <c r="L463" s="96" t="n"/>
      <c r="M463" s="97" t="inlineStr">
        <is>
          <t>O</t>
        </is>
      </c>
      <c r="N463" s="98" t="inlineStr">
        <is>
          <t>O</t>
        </is>
      </c>
      <c r="O463" s="99" t="n"/>
      <c r="P463" s="100" t="inlineStr">
        <is>
          <t>3478-PR</t>
        </is>
      </c>
      <c r="Q463" s="102" t="inlineStr">
        <is>
          <t>중국</t>
        </is>
      </c>
      <c r="R463" s="110">
        <f>HYPERLINK("#'마스터_품목'!A600","→ 마스터 R600")</f>
        <v/>
      </c>
      <c r="S463" s="111" t="n">
        <v>600</v>
      </c>
      <c r="T463" s="111" t="inlineStr">
        <is>
          <t>마스터_품목</t>
        </is>
      </c>
    </row>
    <row r="464" ht="48" customHeight="1">
      <c r="A464" s="87" t="inlineStr">
        <is>
          <t>창고</t>
        </is>
      </c>
      <c r="B464" s="87" t="inlineStr">
        <is>
          <t>연아크릴</t>
        </is>
      </c>
      <c r="C464" s="88" t="inlineStr">
        <is>
          <t>공용</t>
        </is>
      </c>
      <c r="D464" s="88" t="inlineStr">
        <is>
          <t>연아크릴 쉴드 12T (153 * ∮60 * 12T)
[공용] (선일쉴드텍)</t>
        </is>
      </c>
      <c r="E464" s="88" t="inlineStr">
        <is>
          <t>연아크릴 [60∮] - 12T</t>
        </is>
      </c>
      <c r="F464" s="90" t="inlineStr">
        <is>
          <t>O</t>
        </is>
      </c>
      <c r="G464" s="91" t="n"/>
      <c r="H464" s="92" t="n"/>
      <c r="I464" s="93" t="inlineStr">
        <is>
          <t>PR</t>
        </is>
      </c>
      <c r="J464" s="94" t="inlineStr">
        <is>
          <t>O</t>
        </is>
      </c>
      <c r="K464" s="95" t="inlineStr">
        <is>
          <t>O</t>
        </is>
      </c>
      <c r="L464" s="96" t="n"/>
      <c r="M464" s="97" t="n"/>
      <c r="N464" s="98" t="n"/>
      <c r="O464" s="99" t="n"/>
      <c r="P464" s="100" t="inlineStr">
        <is>
          <t>34-PR</t>
        </is>
      </c>
      <c r="Q464" s="102" t="inlineStr">
        <is>
          <t>선일쉴드텍</t>
        </is>
      </c>
      <c r="R464" s="110">
        <f>HYPERLINK("#'마스터_품목'!A599","→ 마스터 R599")</f>
        <v/>
      </c>
      <c r="S464" s="111" t="n">
        <v>599</v>
      </c>
      <c r="T464" s="111" t="inlineStr">
        <is>
          <t>마스터_품목</t>
        </is>
      </c>
    </row>
    <row r="465" ht="48" customHeight="1">
      <c r="A465" s="126" t="inlineStr">
        <is>
          <t>출하</t>
        </is>
      </c>
      <c r="B465" s="87" t="inlineStr">
        <is>
          <t>넥스트랩</t>
        </is>
      </c>
      <c r="C465" s="88" t="inlineStr">
        <is>
          <t>공용</t>
        </is>
      </c>
      <c r="D465" s="88" t="inlineStr">
        <is>
          <t>넥스트 랩 (포켓 구형)
[공용]</t>
        </is>
      </c>
      <c r="E465" s="88" t="n"/>
      <c r="F465" s="90" t="inlineStr">
        <is>
          <t>O</t>
        </is>
      </c>
      <c r="G465" s="91" t="n"/>
      <c r="H465" s="92" t="n"/>
      <c r="I465" s="93">
        <f>IFERROR(IF(OR($F465="O",$G465="O",$H465="O"),CHOOSE(MATCH($A465,{"튜브","고압","진공","튜닝","조립","출하"},0),"T","H","V","N","A","P")&amp;IF($F465="O","R",IF($G465="O","A",IF($H465="O","F",""))),""),"")</f>
        <v/>
      </c>
      <c r="J465" s="124" t="inlineStr">
        <is>
          <t>O</t>
        </is>
      </c>
      <c r="K465" s="95" t="n"/>
      <c r="L465" s="96" t="n"/>
      <c r="M465" s="122" t="inlineStr">
        <is>
          <t>O</t>
        </is>
      </c>
      <c r="N465" s="98" t="n"/>
      <c r="O465" s="99" t="n"/>
      <c r="P465" s="100">
        <f>IF($I465="","",IF($J465="O","3","")&amp;IF($K465="O","4","")&amp;IF($L465="O","6","")&amp;IF($M465="O","7","")&amp;IF($N465="O","8","")&amp;IF($O465="O","?","")&amp;IF(OR($J465="O",$K465="O",$L465="O",$M465="O",$N465="O",$O465="O"),"-","")&amp;$I465)</f>
        <v/>
      </c>
      <c r="Q465" s="102" t="inlineStr">
        <is>
          <t>씨티무역</t>
        </is>
      </c>
      <c r="R465" s="110">
        <f>HYPERLINK("#'마스터_품목'!A789","→ 마스터 R789")</f>
        <v/>
      </c>
      <c r="S465" s="111" t="n">
        <v>789</v>
      </c>
      <c r="T465" s="111" t="inlineStr">
        <is>
          <t>마스터_품목</t>
        </is>
      </c>
    </row>
    <row r="466" ht="48" customHeight="1">
      <c r="A466" s="126" t="inlineStr">
        <is>
          <t>출하</t>
        </is>
      </c>
      <c r="B466" s="87" t="inlineStr">
        <is>
          <t>넥스트랩</t>
        </is>
      </c>
      <c r="C466" s="88" t="inlineStr">
        <is>
          <t>공용</t>
        </is>
      </c>
      <c r="D466" s="88" t="inlineStr">
        <is>
          <t>넥스트 랩 (포켓 X)
[공용]</t>
        </is>
      </c>
      <c r="E466" s="88" t="n"/>
      <c r="F466" s="90" t="inlineStr">
        <is>
          <t>O</t>
        </is>
      </c>
      <c r="G466" s="91" t="n"/>
      <c r="H466" s="92" t="n"/>
      <c r="I466" s="93">
        <f>IFERROR(IF(OR($F466="O",$G466="O",$H466="O"),CHOOSE(MATCH($A466,{"튜브","고압","진공","튜닝","조립","출하"},0),"T","H","V","N","A","P")&amp;IF($F466="O","R",IF($G466="O","A",IF($H466="O","F",""))),""),"")</f>
        <v/>
      </c>
      <c r="J466" s="124" t="inlineStr">
        <is>
          <t>O</t>
        </is>
      </c>
      <c r="K466" s="95" t="n"/>
      <c r="L466" s="96" t="n"/>
      <c r="M466" s="122" t="inlineStr">
        <is>
          <t>O</t>
        </is>
      </c>
      <c r="N466" s="98" t="n"/>
      <c r="O466" s="99" t="n"/>
      <c r="P466" s="100">
        <f>IF($I466="","",IF($J466="O","3","")&amp;IF($K466="O","4","")&amp;IF($L466="O","6","")&amp;IF($M466="O","7","")&amp;IF($N466="O","8","")&amp;IF($O466="O","?","")&amp;IF(OR($J466="O",$K466="O",$L466="O",$M466="O",$N466="O",$O466="O"),"-","")&amp;$I466)</f>
        <v/>
      </c>
      <c r="Q466" s="102" t="inlineStr">
        <is>
          <t>씨티무역</t>
        </is>
      </c>
      <c r="R466" s="110">
        <f>HYPERLINK("#'마스터_품목'!A790","→ 마스터 R790")</f>
        <v/>
      </c>
      <c r="S466" s="111" t="n">
        <v>790</v>
      </c>
      <c r="T466" s="111" t="inlineStr">
        <is>
          <t>마스터_품목</t>
        </is>
      </c>
    </row>
    <row r="467" ht="48" customHeight="1">
      <c r="A467" s="126" t="inlineStr">
        <is>
          <t>조립</t>
        </is>
      </c>
      <c r="B467" s="87" t="inlineStr">
        <is>
          <t>스트랩</t>
        </is>
      </c>
      <c r="C467" s="88" t="inlineStr">
        <is>
          <t>DX3000</t>
        </is>
      </c>
      <c r="D467" s="88" t="inlineStr">
        <is>
          <t>DX3000 핸드 스트랩
[DX3000]</t>
        </is>
      </c>
      <c r="E467" s="88" t="n"/>
      <c r="F467" s="90" t="inlineStr">
        <is>
          <t>O</t>
        </is>
      </c>
      <c r="G467" s="91" t="n"/>
      <c r="H467" s="92" t="n"/>
      <c r="I467" s="93">
        <f>IFERROR(IF(OR($F467="O",$G467="O",$H467="O"),CHOOSE(MATCH($A467,{"튜브","고압","진공","튜닝","조립","출하"},0),"T","H","V","N","A","P")&amp;IF($F467="O","R",IF($G467="O","A",IF($H467="O","F",""))),""),"")</f>
        <v/>
      </c>
      <c r="J467" s="124" t="inlineStr">
        <is>
          <t>O</t>
        </is>
      </c>
      <c r="K467" s="95" t="n"/>
      <c r="L467" s="96" t="n"/>
      <c r="M467" s="97" t="n"/>
      <c r="N467" s="98" t="n"/>
      <c r="O467" s="99" t="n"/>
      <c r="P467" s="100">
        <f>IF($I467="","",IF($J467="O","3","")&amp;IF($K467="O","4","")&amp;IF($L467="O","6","")&amp;IF($M467="O","7","")&amp;IF($N467="O","8","")&amp;IF($O467="O","?","")&amp;IF(OR($J467="O",$K467="O",$L467="O",$M467="O",$N467="O",$O467="O"),"-","")&amp;$I467)</f>
        <v/>
      </c>
      <c r="Q467" s="102" t="inlineStr">
        <is>
          <t>굿모닝코리아유통</t>
        </is>
      </c>
      <c r="R467" s="110">
        <f>HYPERLINK("#'마스터_품목'!A791","→ 마스터 R791")</f>
        <v/>
      </c>
      <c r="S467" s="111" t="n">
        <v>791</v>
      </c>
      <c r="T467" s="111" t="inlineStr">
        <is>
          <t>마스터_품목</t>
        </is>
      </c>
    </row>
    <row r="468" ht="48" customHeight="1">
      <c r="A468" s="87" t="inlineStr">
        <is>
          <t>창고</t>
        </is>
      </c>
      <c r="B468" s="87" t="inlineStr">
        <is>
          <t>연아크릴</t>
        </is>
      </c>
      <c r="C468" s="88" t="inlineStr">
        <is>
          <t>공용</t>
        </is>
      </c>
      <c r="D468" s="88" t="inlineStr">
        <is>
          <t>연아크릴 쉴드 8T (153 * ∮65 * 8T)
[공용] (선일쉴드텍)</t>
        </is>
      </c>
      <c r="E468" s="88" t="inlineStr">
        <is>
          <t>연아크릴 [65∮] - 8T</t>
        </is>
      </c>
      <c r="F468" s="90" t="inlineStr">
        <is>
          <t>O</t>
        </is>
      </c>
      <c r="G468" s="91" t="n"/>
      <c r="H468" s="92" t="n"/>
      <c r="I468" s="93" t="inlineStr">
        <is>
          <t>PR</t>
        </is>
      </c>
      <c r="J468" s="94" t="n"/>
      <c r="K468" s="95" t="n"/>
      <c r="L468" s="96" t="n"/>
      <c r="M468" s="97" t="inlineStr">
        <is>
          <t>O</t>
        </is>
      </c>
      <c r="N468" s="98" t="inlineStr">
        <is>
          <t>O</t>
        </is>
      </c>
      <c r="O468" s="99" t="n"/>
      <c r="P468" s="100" t="inlineStr">
        <is>
          <t>78-PR</t>
        </is>
      </c>
      <c r="Q468" s="102" t="inlineStr">
        <is>
          <t>선일쉴드텍</t>
        </is>
      </c>
      <c r="R468" s="110">
        <f>HYPERLINK("#'마스터_품목'!A598","→ 마스터 R598")</f>
        <v/>
      </c>
      <c r="S468" s="111" t="n">
        <v>598</v>
      </c>
      <c r="T468" s="111" t="inlineStr">
        <is>
          <t>마스터_품목</t>
        </is>
      </c>
    </row>
    <row r="469" ht="48" customHeight="1">
      <c r="A469" s="126" t="inlineStr">
        <is>
          <t>출하</t>
        </is>
      </c>
      <c r="B469" s="87" t="inlineStr">
        <is>
          <t>연아크릴</t>
        </is>
      </c>
      <c r="C469" s="88" t="inlineStr">
        <is>
          <t>공용</t>
        </is>
      </c>
      <c r="D469" s="88" t="inlineStr">
        <is>
          <t>연아크릴 쉴드 8T (153 * ∮65 * 8T)
[공용] (중국)</t>
        </is>
      </c>
      <c r="E469" s="88" t="n"/>
      <c r="F469" s="90" t="inlineStr">
        <is>
          <t>O</t>
        </is>
      </c>
      <c r="G469" s="91" t="n"/>
      <c r="H469" s="92" t="n"/>
      <c r="I469" s="93">
        <f>IFERROR(IF(OR($F469="O",$G469="O",$H469="O"),CHOOSE(MATCH($A469,{"튜브","고압","진공","튜닝","조립","출하"},0),"T","H","V","N","A","P")&amp;IF($F469="O","R",IF($G469="O","A",IF($H469="O","F",""))),""),"")</f>
        <v/>
      </c>
      <c r="J469" s="94" t="n"/>
      <c r="K469" s="95" t="n"/>
      <c r="L469" s="96" t="n"/>
      <c r="M469" s="122" t="inlineStr">
        <is>
          <t>O</t>
        </is>
      </c>
      <c r="N469" s="123" t="inlineStr">
        <is>
          <t>O</t>
        </is>
      </c>
      <c r="O469" s="99" t="n"/>
      <c r="P469" s="100">
        <f>IF($I469="","",IF($J469="O","3","")&amp;IF($K469="O","4","")&amp;IF($L469="O","6","")&amp;IF($M469="O","7","")&amp;IF($N469="O","8","")&amp;IF($O469="O","?","")&amp;IF(OR($J469="O",$K469="O",$L469="O",$M469="O",$N469="O",$O469="O"),"-","")&amp;$I469)</f>
        <v/>
      </c>
      <c r="Q469" s="102" t="inlineStr">
        <is>
          <t>중국</t>
        </is>
      </c>
      <c r="R469" s="110">
        <f>HYPERLINK("#'마스터_품목'!A792","→ 마스터 R792")</f>
        <v/>
      </c>
      <c r="S469" s="111" t="n">
        <v>792</v>
      </c>
      <c r="T469" s="111" t="inlineStr">
        <is>
          <t>마스터_품목</t>
        </is>
      </c>
    </row>
    <row r="470" ht="48" customHeight="1">
      <c r="A470" s="87" t="inlineStr">
        <is>
          <t>창고</t>
        </is>
      </c>
      <c r="B470" s="87" t="inlineStr">
        <is>
          <t>오링</t>
        </is>
      </c>
      <c r="C470" s="88" t="inlineStr">
        <is>
          <t>DX3000</t>
        </is>
      </c>
      <c r="D470" s="88" t="inlineStr">
        <is>
          <t>연아크릴 실리콘 오링
[DX3000]</t>
        </is>
      </c>
      <c r="E470" s="88" t="inlineStr">
        <is>
          <t>DX3000용 연아크릴 실리콘 오링 3030</t>
        </is>
      </c>
      <c r="F470" s="90" t="inlineStr">
        <is>
          <t>O</t>
        </is>
      </c>
      <c r="G470" s="91" t="n"/>
      <c r="H470" s="92" t="n"/>
      <c r="I470" s="93" t="inlineStr">
        <is>
          <t>PR</t>
        </is>
      </c>
      <c r="J470" s="94" t="inlineStr">
        <is>
          <t>O</t>
        </is>
      </c>
      <c r="K470" s="95" t="n"/>
      <c r="L470" s="96" t="n"/>
      <c r="M470" s="97" t="n"/>
      <c r="N470" s="98" t="n"/>
      <c r="O470" s="99" t="n"/>
      <c r="P470" s="100" t="inlineStr">
        <is>
          <t>3-PR</t>
        </is>
      </c>
      <c r="Q470" s="102" t="inlineStr">
        <is>
          <t>직구</t>
        </is>
      </c>
      <c r="R470" s="110">
        <f>HYPERLINK("#'마스터_품목'!A607","→ 마스터 R607")</f>
        <v/>
      </c>
      <c r="S470" s="111" t="n">
        <v>607</v>
      </c>
      <c r="T470" s="111" t="inlineStr">
        <is>
          <t>마스터_품목</t>
        </is>
      </c>
    </row>
    <row r="471" ht="48" customHeight="1">
      <c r="A471" s="126" t="inlineStr">
        <is>
          <t>출하</t>
        </is>
      </c>
      <c r="B471" s="87" t="inlineStr">
        <is>
          <t>연아크릴</t>
        </is>
      </c>
      <c r="C471" s="88" t="inlineStr">
        <is>
          <t>공용</t>
        </is>
      </c>
      <c r="D471" s="88" t="inlineStr">
        <is>
          <t>연아크릴 쉴드 12T (153 * ∮60 * 12T)
[공용] (중국)</t>
        </is>
      </c>
      <c r="E471" s="88" t="n"/>
      <c r="F471" s="90" t="inlineStr">
        <is>
          <t>O</t>
        </is>
      </c>
      <c r="G471" s="91" t="n"/>
      <c r="H471" s="92" t="n"/>
      <c r="I471" s="93">
        <f>IFERROR(IF(OR($F471="O",$G471="O",$H471="O"),CHOOSE(MATCH($A471,{"튜브","고압","진공","튜닝","조립","출하"},0),"T","H","V","N","A","P")&amp;IF($F471="O","R",IF($G471="O","A",IF($H471="O","F",""))),""),"")</f>
        <v/>
      </c>
      <c r="J471" s="124" t="inlineStr">
        <is>
          <t>O</t>
        </is>
      </c>
      <c r="K471" s="125" t="inlineStr">
        <is>
          <t>O</t>
        </is>
      </c>
      <c r="L471" s="96" t="n"/>
      <c r="M471" s="122" t="inlineStr">
        <is>
          <t>O</t>
        </is>
      </c>
      <c r="N471" s="98" t="n"/>
      <c r="O471" s="99" t="n"/>
      <c r="P471" s="100">
        <f>IF($I471="","",IF($J471="O","3","")&amp;IF($K471="O","4","")&amp;IF($L471="O","6","")&amp;IF($M471="O","7","")&amp;IF($N471="O","8","")&amp;IF($O471="O","?","")&amp;IF(OR($J471="O",$K471="O",$L471="O",$M471="O",$N471="O",$O471="O"),"-","")&amp;$I471)</f>
        <v/>
      </c>
      <c r="Q471" s="102" t="inlineStr">
        <is>
          <t>중국</t>
        </is>
      </c>
      <c r="R471" s="110">
        <f>HYPERLINK("#'마스터_품목'!A793","→ 마스터 R793")</f>
        <v/>
      </c>
      <c r="S471" s="111" t="n">
        <v>793</v>
      </c>
      <c r="T471" s="111" t="inlineStr">
        <is>
          <t>마스터_품목</t>
        </is>
      </c>
    </row>
    <row r="472" ht="48" customHeight="1">
      <c r="A472" s="87" t="inlineStr">
        <is>
          <t>창고</t>
        </is>
      </c>
      <c r="B472" s="87" t="inlineStr">
        <is>
          <t>AL 스티커</t>
        </is>
      </c>
      <c r="C472" s="88" t="inlineStr">
        <is>
          <t>DX3000</t>
        </is>
      </c>
      <c r="D472" s="88" t="inlineStr">
        <is>
          <t>IRay D3 NAME PLATE
[DX3000]</t>
        </is>
      </c>
      <c r="E472" s="88" t="inlineStr">
        <is>
          <t>iRay D3 NAME PLATE</t>
        </is>
      </c>
      <c r="F472" s="90" t="inlineStr">
        <is>
          <t>O</t>
        </is>
      </c>
      <c r="G472" s="91" t="n"/>
      <c r="H472" s="92" t="n"/>
      <c r="I472" s="93" t="inlineStr">
        <is>
          <t>PR</t>
        </is>
      </c>
      <c r="J472" s="94" t="inlineStr">
        <is>
          <t>O</t>
        </is>
      </c>
      <c r="K472" s="95" t="n"/>
      <c r="L472" s="96" t="n"/>
      <c r="M472" s="97" t="n"/>
      <c r="N472" s="98" t="n"/>
      <c r="O472" s="99" t="n"/>
      <c r="P472" s="100" t="inlineStr">
        <is>
          <t>3-PR</t>
        </is>
      </c>
      <c r="Q472" s="102" t="inlineStr">
        <is>
          <t>에덴상공사</t>
        </is>
      </c>
      <c r="R472" s="110">
        <f>HYPERLINK("#'마스터_품목'!A614","→ 마스터 R614")</f>
        <v/>
      </c>
      <c r="S472" s="111" t="n">
        <v>614</v>
      </c>
      <c r="T472" s="111" t="inlineStr">
        <is>
          <t>마스터_품목</t>
        </is>
      </c>
    </row>
    <row r="473" ht="48" customHeight="1">
      <c r="A473" s="87" t="inlineStr">
        <is>
          <t>창고</t>
        </is>
      </c>
      <c r="B473" s="87" t="inlineStr">
        <is>
          <t>AL 스티커</t>
        </is>
      </c>
      <c r="C473" s="88" t="inlineStr">
        <is>
          <t>DX3000</t>
        </is>
      </c>
      <c r="D473" s="88" t="inlineStr">
        <is>
          <t>NAME PLATE
[DX3000]</t>
        </is>
      </c>
      <c r="E473" s="88" t="inlineStr">
        <is>
          <t>DX3000 NAME PLATE</t>
        </is>
      </c>
      <c r="F473" s="90" t="inlineStr">
        <is>
          <t>O</t>
        </is>
      </c>
      <c r="G473" s="91" t="n"/>
      <c r="H473" s="92" t="n"/>
      <c r="I473" s="93" t="inlineStr">
        <is>
          <t>PR</t>
        </is>
      </c>
      <c r="J473" s="94" t="inlineStr">
        <is>
          <t>O</t>
        </is>
      </c>
      <c r="K473" s="95" t="n"/>
      <c r="L473" s="96" t="n"/>
      <c r="M473" s="97" t="n"/>
      <c r="N473" s="98" t="n"/>
      <c r="O473" s="99" t="n"/>
      <c r="P473" s="100" t="inlineStr">
        <is>
          <t>3-PR</t>
        </is>
      </c>
      <c r="Q473" s="102" t="inlineStr">
        <is>
          <t>에덴상공사</t>
        </is>
      </c>
      <c r="R473" s="110">
        <f>HYPERLINK("#'마스터_품목'!A613","→ 마스터 R613")</f>
        <v/>
      </c>
      <c r="S473" s="111" t="n">
        <v>613</v>
      </c>
      <c r="T473" s="111" t="inlineStr">
        <is>
          <t>마스터_품목</t>
        </is>
      </c>
    </row>
    <row r="474" ht="48" customHeight="1">
      <c r="A474" s="87" t="inlineStr">
        <is>
          <t>창고</t>
        </is>
      </c>
      <c r="B474" s="87" t="inlineStr">
        <is>
          <t>AL 스티커</t>
        </is>
      </c>
      <c r="C474" s="88" t="inlineStr">
        <is>
          <t>DX3000</t>
        </is>
      </c>
      <c r="D474" s="88" t="inlineStr">
        <is>
          <t>우루과이 NAME PLATE
[DX3000]</t>
        </is>
      </c>
      <c r="E474" s="88" t="inlineStr">
        <is>
          <t>우루과이 네임 플레이트</t>
        </is>
      </c>
      <c r="F474" s="90" t="inlineStr">
        <is>
          <t>O</t>
        </is>
      </c>
      <c r="G474" s="91" t="n"/>
      <c r="H474" s="92" t="n"/>
      <c r="I474" s="93" t="inlineStr">
        <is>
          <t>PR</t>
        </is>
      </c>
      <c r="J474" s="94" t="inlineStr">
        <is>
          <t>O</t>
        </is>
      </c>
      <c r="K474" s="95" t="n"/>
      <c r="L474" s="96" t="n"/>
      <c r="M474" s="97" t="n"/>
      <c r="N474" s="98" t="n"/>
      <c r="O474" s="99" t="n"/>
      <c r="P474" s="100" t="inlineStr">
        <is>
          <t>3-PR</t>
        </is>
      </c>
      <c r="Q474" s="102" t="inlineStr">
        <is>
          <t>에덴상공사</t>
        </is>
      </c>
      <c r="R474" s="110">
        <f>HYPERLINK("#'마스터_품목'!A615","→ 마스터 R615")</f>
        <v/>
      </c>
      <c r="S474" s="111" t="n">
        <v>615</v>
      </c>
      <c r="T474" s="111" t="inlineStr">
        <is>
          <t>마스터_품목</t>
        </is>
      </c>
    </row>
    <row r="475" ht="48" customHeight="1">
      <c r="A475" s="87" t="inlineStr">
        <is>
          <t>창고</t>
        </is>
      </c>
      <c r="B475" s="87" t="inlineStr">
        <is>
          <t>연아크릴</t>
        </is>
      </c>
      <c r="C475" s="88" t="inlineStr">
        <is>
          <t>ADX6000</t>
        </is>
      </c>
      <c r="D475" s="88" t="inlineStr">
        <is>
          <t>사각 연아크릴 쉴드 (직사각형, 215 * 199mm 8T)
[ADX6000] (선일쉴드텍)</t>
        </is>
      </c>
      <c r="E475" s="88" t="inlineStr">
        <is>
          <t>ADX6000_연아크릴 [직사각형 215*195mm] - 8T _하단 가공된 것</t>
        </is>
      </c>
      <c r="F475" s="90" t="inlineStr">
        <is>
          <t>O</t>
        </is>
      </c>
      <c r="G475" s="91" t="n"/>
      <c r="H475" s="92" t="n"/>
      <c r="I475" s="93" t="inlineStr">
        <is>
          <t>PR</t>
        </is>
      </c>
      <c r="J475" s="94" t="n"/>
      <c r="K475" s="95" t="n"/>
      <c r="L475" s="96" t="inlineStr">
        <is>
          <t>O</t>
        </is>
      </c>
      <c r="M475" s="97" t="n"/>
      <c r="N475" s="98" t="n"/>
      <c r="O475" s="99" t="n"/>
      <c r="P475" s="100" t="inlineStr">
        <is>
          <t>6-PR</t>
        </is>
      </c>
      <c r="Q475" s="102" t="inlineStr">
        <is>
          <t>선일쉴드텍</t>
        </is>
      </c>
      <c r="R475" s="110">
        <f>HYPERLINK("#'마스터_품목'!A603","→ 마스터 R603")</f>
        <v/>
      </c>
      <c r="S475" s="111" t="n">
        <v>603</v>
      </c>
      <c r="T475" s="111" t="inlineStr">
        <is>
          <t>마스터_품목</t>
        </is>
      </c>
    </row>
    <row r="476" ht="48" customHeight="1">
      <c r="A476" s="126" t="inlineStr">
        <is>
          <t>출하</t>
        </is>
      </c>
      <c r="B476" s="87" t="inlineStr">
        <is>
          <t>연아크릴</t>
        </is>
      </c>
      <c r="C476" s="88" t="inlineStr">
        <is>
          <t>ADX6000</t>
        </is>
      </c>
      <c r="D476" s="88" t="inlineStr">
        <is>
          <t>사각 연아크릴 쉴드 (직사각형, 215 * 199mm 8T)
[ADX6000] (중국)</t>
        </is>
      </c>
      <c r="E476" s="88" t="n"/>
      <c r="F476" s="90" t="inlineStr">
        <is>
          <t>O</t>
        </is>
      </c>
      <c r="G476" s="91" t="n"/>
      <c r="H476" s="92" t="n"/>
      <c r="I476" s="93">
        <f>IFERROR(IF(OR($F476="O",$G476="O",$H476="O"),CHOOSE(MATCH($A476,{"튜브","고압","진공","튜닝","조립","출하"},0),"T","H","V","N","A","P")&amp;IF($F476="O","R",IF($G476="O","A",IF($H476="O","F",""))),""),"")</f>
        <v/>
      </c>
      <c r="J476" s="94" t="n"/>
      <c r="K476" s="95" t="n"/>
      <c r="L476" s="121" t="inlineStr">
        <is>
          <t>O</t>
        </is>
      </c>
      <c r="M476" s="97" t="n"/>
      <c r="N476" s="98" t="n"/>
      <c r="O476" s="99" t="n"/>
      <c r="P476" s="100">
        <f>IF($I476="","",IF($J476="O","3","")&amp;IF($K476="O","4","")&amp;IF($L476="O","6","")&amp;IF($M476="O","7","")&amp;IF($N476="O","8","")&amp;IF($O476="O","?","")&amp;IF(OR($J476="O",$K476="O",$L476="O",$M476="O",$N476="O",$O476="O"),"-","")&amp;$I476)</f>
        <v/>
      </c>
      <c r="Q476" s="102" t="inlineStr">
        <is>
          <t>중국</t>
        </is>
      </c>
      <c r="R476" s="110">
        <f>HYPERLINK("#'마스터_품목'!A794","→ 마스터 R794")</f>
        <v/>
      </c>
      <c r="S476" s="111" t="n">
        <v>794</v>
      </c>
      <c r="T476" s="111" t="inlineStr">
        <is>
          <t>마스터_품목</t>
        </is>
      </c>
    </row>
    <row r="477" ht="48" customHeight="1">
      <c r="A477" s="126" t="inlineStr">
        <is>
          <t>출하</t>
        </is>
      </c>
      <c r="B477" s="87" t="inlineStr">
        <is>
          <t>연아크릴</t>
        </is>
      </c>
      <c r="C477" s="88" t="inlineStr">
        <is>
          <t>ADX6000</t>
        </is>
      </c>
      <c r="D477" s="88" t="inlineStr">
        <is>
          <t>사각 연아크릴 쉴드 (정사각형, 215 * 205mm)
[ADX6000]</t>
        </is>
      </c>
      <c r="E477" s="88" t="n"/>
      <c r="F477" s="90" t="inlineStr">
        <is>
          <t>O</t>
        </is>
      </c>
      <c r="G477" s="91" t="n"/>
      <c r="H477" s="92" t="n"/>
      <c r="I477" s="93">
        <f>IFERROR(IF(OR($F477="O",$G477="O",$H477="O"),CHOOSE(MATCH($A477,{"튜브","고압","진공","튜닝","조립","출하"},0),"T","H","V","N","A","P")&amp;IF($F477="O","R",IF($G477="O","A",IF($H477="O","F",""))),""),"")</f>
        <v/>
      </c>
      <c r="J477" s="94" t="n"/>
      <c r="K477" s="95" t="n"/>
      <c r="L477" s="121" t="inlineStr">
        <is>
          <t>O</t>
        </is>
      </c>
      <c r="M477" s="97" t="n"/>
      <c r="N477" s="98" t="n"/>
      <c r="O477" s="99" t="n"/>
      <c r="P477" s="100">
        <f>IF($I477="","",IF($J477="O","3","")&amp;IF($K477="O","4","")&amp;IF($L477="O","6","")&amp;IF($M477="O","7","")&amp;IF($N477="O","8","")&amp;IF($O477="O","?","")&amp;IF(OR($J477="O",$K477="O",$L477="O",$M477="O",$N477="O",$O477="O"),"-","")&amp;$I477)</f>
        <v/>
      </c>
      <c r="Q477" s="102" t="inlineStr">
        <is>
          <t>선일쉴드텍</t>
        </is>
      </c>
      <c r="R477" s="110">
        <f>HYPERLINK("#'마스터_품목'!A795","→ 마스터 R795")</f>
        <v/>
      </c>
      <c r="S477" s="111" t="n">
        <v>795</v>
      </c>
      <c r="T477" s="111" t="inlineStr">
        <is>
          <t>마스터_품목</t>
        </is>
      </c>
    </row>
    <row r="478" ht="48" customHeight="1">
      <c r="A478" s="87" t="inlineStr">
        <is>
          <t>창고</t>
        </is>
      </c>
      <c r="B478" s="87" t="inlineStr">
        <is>
          <t>오링</t>
        </is>
      </c>
      <c r="C478" s="88" t="inlineStr">
        <is>
          <t>ADX6000</t>
        </is>
      </c>
      <c r="D478" s="88" t="inlineStr">
        <is>
          <t>연아크릴 실리콘 오링
[ADX6000]</t>
        </is>
      </c>
      <c r="E478" s="88" t="inlineStr">
        <is>
          <t>ADX6000_연아크릴 실리콘 오링</t>
        </is>
      </c>
      <c r="F478" s="90" t="inlineStr">
        <is>
          <t>O</t>
        </is>
      </c>
      <c r="G478" s="91" t="n"/>
      <c r="H478" s="92" t="n"/>
      <c r="I478" s="93" t="inlineStr">
        <is>
          <t>PR</t>
        </is>
      </c>
      <c r="J478" s="94" t="n"/>
      <c r="K478" s="95" t="n"/>
      <c r="L478" s="96" t="inlineStr">
        <is>
          <t>O</t>
        </is>
      </c>
      <c r="M478" s="97" t="n"/>
      <c r="N478" s="98" t="n"/>
      <c r="O478" s="99" t="n"/>
      <c r="P478" s="100" t="inlineStr">
        <is>
          <t>6-PR</t>
        </is>
      </c>
      <c r="Q478" s="102" t="inlineStr">
        <is>
          <t>직구</t>
        </is>
      </c>
      <c r="R478" s="110">
        <f>HYPERLINK("#'마스터_품목'!A609","→ 마스터 R609")</f>
        <v/>
      </c>
      <c r="S478" s="111" t="n">
        <v>609</v>
      </c>
      <c r="T478" s="111" t="inlineStr">
        <is>
          <t>마스터_품목</t>
        </is>
      </c>
    </row>
    <row r="479" ht="48" customHeight="1">
      <c r="A479" s="87" t="inlineStr">
        <is>
          <t>창고</t>
        </is>
      </c>
      <c r="B479" s="87" t="inlineStr">
        <is>
          <t>AL 스티커</t>
        </is>
      </c>
      <c r="C479" s="88" t="inlineStr">
        <is>
          <t>ADX6000</t>
        </is>
      </c>
      <c r="D479" s="88" t="inlineStr">
        <is>
          <t>ADX6000 NAME PLATE
[ADX6000]</t>
        </is>
      </c>
      <c r="E479" s="88" t="inlineStr">
        <is>
          <t>ADX6000 name plate</t>
        </is>
      </c>
      <c r="F479" s="90" t="inlineStr">
        <is>
          <t>O</t>
        </is>
      </c>
      <c r="G479" s="91" t="n"/>
      <c r="H479" s="92" t="n"/>
      <c r="I479" s="93" t="inlineStr">
        <is>
          <t>PR</t>
        </is>
      </c>
      <c r="J479" s="94" t="n"/>
      <c r="K479" s="95" t="n"/>
      <c r="L479" s="96" t="inlineStr">
        <is>
          <t>O</t>
        </is>
      </c>
      <c r="M479" s="97" t="n"/>
      <c r="N479" s="98" t="n"/>
      <c r="O479" s="99" t="n"/>
      <c r="P479" s="100" t="inlineStr">
        <is>
          <t>6-PR</t>
        </is>
      </c>
      <c r="Q479" s="102" t="inlineStr">
        <is>
          <t>에덴상공사</t>
        </is>
      </c>
      <c r="R479" s="110">
        <f>HYPERLINK("#'마스터_품목'!A627","→ 마스터 R627")</f>
        <v/>
      </c>
      <c r="S479" s="111" t="n">
        <v>627</v>
      </c>
      <c r="T479" s="111" t="inlineStr">
        <is>
          <t>마스터_품목</t>
        </is>
      </c>
    </row>
    <row r="480" ht="48" customHeight="1">
      <c r="A480" s="87" t="inlineStr">
        <is>
          <t>창고</t>
        </is>
      </c>
      <c r="B480" s="87" t="inlineStr">
        <is>
          <t>AL 스티커</t>
        </is>
      </c>
      <c r="C480" s="88" t="inlineStr">
        <is>
          <t>ADX6000</t>
        </is>
      </c>
      <c r="D480" s="88" t="inlineStr">
        <is>
          <t>IRay A6 NAME PLATE
[ADX6000]</t>
        </is>
      </c>
      <c r="E480" s="88" t="inlineStr">
        <is>
          <t>IRay A6 name plate</t>
        </is>
      </c>
      <c r="F480" s="90" t="inlineStr">
        <is>
          <t>O</t>
        </is>
      </c>
      <c r="G480" s="91" t="n"/>
      <c r="H480" s="92" t="n"/>
      <c r="I480" s="93" t="inlineStr">
        <is>
          <t>PR</t>
        </is>
      </c>
      <c r="J480" s="94" t="n"/>
      <c r="K480" s="95" t="n"/>
      <c r="L480" s="96" t="inlineStr">
        <is>
          <t>O</t>
        </is>
      </c>
      <c r="M480" s="97" t="n"/>
      <c r="N480" s="98" t="n"/>
      <c r="O480" s="99" t="n"/>
      <c r="P480" s="100" t="inlineStr">
        <is>
          <t>6-PR</t>
        </is>
      </c>
      <c r="Q480" s="102" t="inlineStr">
        <is>
          <t>에덴상공사</t>
        </is>
      </c>
      <c r="R480" s="110">
        <f>HYPERLINK("#'마스터_품목'!A628","→ 마스터 R628")</f>
        <v/>
      </c>
      <c r="S480" s="111" t="n">
        <v>628</v>
      </c>
      <c r="T480" s="111" t="inlineStr">
        <is>
          <t>마스터_품목</t>
        </is>
      </c>
    </row>
    <row r="481" ht="48" customHeight="1">
      <c r="A481" s="126" t="inlineStr">
        <is>
          <t>출하</t>
        </is>
      </c>
      <c r="B481" s="87" t="inlineStr">
        <is>
          <t>AL 스티커</t>
        </is>
      </c>
      <c r="C481" s="88" t="inlineStr">
        <is>
          <t>ADX6000</t>
        </is>
      </c>
      <c r="D481" s="88" t="inlineStr">
        <is>
          <t>IRay A6S NAME PLATE
[ADX6000]</t>
        </is>
      </c>
      <c r="E481" s="88" t="n"/>
      <c r="F481" s="90" t="inlineStr">
        <is>
          <t>O</t>
        </is>
      </c>
      <c r="G481" s="91" t="n"/>
      <c r="H481" s="92" t="n"/>
      <c r="I481" s="93">
        <f>IFERROR(IF(OR($F481="O",$G481="O",$H481="O"),CHOOSE(MATCH($A481,{"튜브","고압","진공","튜닝","조립","출하"},0),"T","H","V","N","A","P")&amp;IF($F481="O","R",IF($G481="O","A",IF($H481="O","F",""))),""),"")</f>
        <v/>
      </c>
      <c r="J481" s="94" t="n"/>
      <c r="K481" s="95" t="n"/>
      <c r="L481" s="121" t="inlineStr">
        <is>
          <t>O</t>
        </is>
      </c>
      <c r="M481" s="97" t="n"/>
      <c r="N481" s="98" t="n"/>
      <c r="O481" s="99" t="n"/>
      <c r="P481" s="100">
        <f>IF($I481="","",IF($J481="O","3","")&amp;IF($K481="O","4","")&amp;IF($L481="O","6","")&amp;IF($M481="O","7","")&amp;IF($N481="O","8","")&amp;IF($O481="O","?","")&amp;IF(OR($J481="O",$K481="O",$L481="O",$M481="O",$N481="O",$O481="O"),"-","")&amp;$I481)</f>
        <v/>
      </c>
      <c r="Q481" s="102" t="inlineStr">
        <is>
          <t>에덴상공사</t>
        </is>
      </c>
      <c r="R481" s="110">
        <f>HYPERLINK("#'마스터_품목'!A796","→ 마스터 R796")</f>
        <v/>
      </c>
      <c r="S481" s="111" t="n">
        <v>796</v>
      </c>
      <c r="T481" s="111" t="inlineStr">
        <is>
          <t>마스터_품목</t>
        </is>
      </c>
    </row>
    <row r="482" ht="48" customHeight="1">
      <c r="A482" s="126" t="inlineStr">
        <is>
          <t>출하</t>
        </is>
      </c>
      <c r="B482" s="87" t="inlineStr">
        <is>
          <t>AL 스티커</t>
        </is>
      </c>
      <c r="C482" s="88" t="inlineStr">
        <is>
          <t>ADX6000</t>
        </is>
      </c>
      <c r="D482" s="88" t="inlineStr">
        <is>
          <t>DEXCOWIN NAME PLATE (FDXD-810 디텍터용)
[ADX6000]</t>
        </is>
      </c>
      <c r="E482" s="88" t="n"/>
      <c r="F482" s="90" t="inlineStr">
        <is>
          <t>O</t>
        </is>
      </c>
      <c r="G482" s="91" t="n"/>
      <c r="H482" s="92" t="n"/>
      <c r="I482" s="93">
        <f>IFERROR(IF(OR($F482="O",$G482="O",$H482="O"),CHOOSE(MATCH($A482,{"튜브","고압","진공","튜닝","조립","출하"},0),"T","H","V","N","A","P")&amp;IF($F482="O","R",IF($G482="O","A",IF($H482="O","F",""))),""),"")</f>
        <v/>
      </c>
      <c r="J482" s="124" t="inlineStr">
        <is>
          <t>O</t>
        </is>
      </c>
      <c r="K482" s="125" t="inlineStr">
        <is>
          <t>O</t>
        </is>
      </c>
      <c r="L482" s="121" t="inlineStr">
        <is>
          <t>O</t>
        </is>
      </c>
      <c r="M482" s="122" t="inlineStr">
        <is>
          <t>O</t>
        </is>
      </c>
      <c r="N482" s="123" t="inlineStr">
        <is>
          <t>O</t>
        </is>
      </c>
      <c r="O482" s="99" t="n"/>
      <c r="P482" s="100">
        <f>IF($I482="","",IF($J482="O","3","")&amp;IF($K482="O","4","")&amp;IF($L482="O","6","")&amp;IF($M482="O","7","")&amp;IF($N482="O","8","")&amp;IF($O482="O","?","")&amp;IF(OR($J482="O",$K482="O",$L482="O",$M482="O",$N482="O",$O482="O"),"-","")&amp;$I482)</f>
        <v/>
      </c>
      <c r="Q482" s="102" t="inlineStr">
        <is>
          <t>에덴상공사</t>
        </is>
      </c>
      <c r="R482" s="110">
        <f>HYPERLINK("#'마스터_품목'!A797","→ 마스터 R797")</f>
        <v/>
      </c>
      <c r="S482" s="111" t="n">
        <v>797</v>
      </c>
      <c r="T482" s="111" t="inlineStr">
        <is>
          <t>마스터_품목</t>
        </is>
      </c>
    </row>
    <row r="483" ht="48" customHeight="1">
      <c r="A483" s="126" t="inlineStr">
        <is>
          <t>출하</t>
        </is>
      </c>
      <c r="B483" s="87" t="inlineStr">
        <is>
          <t>AL 스티커</t>
        </is>
      </c>
      <c r="C483" s="88" t="inlineStr">
        <is>
          <t>ADX6000</t>
        </is>
      </c>
      <c r="D483" s="88" t="inlineStr">
        <is>
          <t>DEXCOWIN NAME PLATE (뱅가드 가방용)
[ADX6000]</t>
        </is>
      </c>
      <c r="E483" s="88" t="n"/>
      <c r="F483" s="90" t="inlineStr">
        <is>
          <t>O</t>
        </is>
      </c>
      <c r="G483" s="91" t="n"/>
      <c r="H483" s="92" t="n"/>
      <c r="I483" s="93">
        <f>IFERROR(IF(OR($F483="O",$G483="O",$H483="O"),CHOOSE(MATCH($A483,{"튜브","고압","진공","튜닝","조립","출하"},0),"T","H","V","N","A","P")&amp;IF($F483="O","R",IF($G483="O","A",IF($H483="O","F",""))),""),"")</f>
        <v/>
      </c>
      <c r="J483" s="94" t="n"/>
      <c r="K483" s="95" t="n"/>
      <c r="L483" s="121" t="inlineStr">
        <is>
          <t>O</t>
        </is>
      </c>
      <c r="M483" s="97" t="n"/>
      <c r="N483" s="98" t="n"/>
      <c r="O483" s="99" t="n"/>
      <c r="P483" s="100">
        <f>IF($I483="","",IF($J483="O","3","")&amp;IF($K483="O","4","")&amp;IF($L483="O","6","")&amp;IF($M483="O","7","")&amp;IF($N483="O","8","")&amp;IF($O483="O","?","")&amp;IF(OR($J483="O",$K483="O",$L483="O",$M483="O",$N483="O",$O483="O"),"-","")&amp;$I483)</f>
        <v/>
      </c>
      <c r="Q483" s="115" t="inlineStr">
        <is>
          <t>에덴상공사</t>
        </is>
      </c>
      <c r="R483" s="110">
        <f>HYPERLINK("#'마스터_품목'!A798","→ 마스터 R798")</f>
        <v/>
      </c>
      <c r="S483" s="111" t="n">
        <v>798</v>
      </c>
      <c r="T483" s="111" t="inlineStr">
        <is>
          <t>마스터_품목</t>
        </is>
      </c>
    </row>
    <row r="484" ht="48" customHeight="1">
      <c r="A484" s="126" t="inlineStr">
        <is>
          <t>출하</t>
        </is>
      </c>
      <c r="B484" s="87" t="inlineStr">
        <is>
          <t>에폭시 스티커</t>
        </is>
      </c>
      <c r="C484" s="88" t="inlineStr">
        <is>
          <t>ADX6000S</t>
        </is>
      </c>
      <c r="D484" s="88" t="inlineStr">
        <is>
          <t>손잡이 에폭시 스티커
[ADX6000S]</t>
        </is>
      </c>
      <c r="E484" s="88" t="n"/>
      <c r="F484" s="90" t="inlineStr">
        <is>
          <t>O</t>
        </is>
      </c>
      <c r="G484" s="91" t="n"/>
      <c r="H484" s="92" t="n"/>
      <c r="I484" s="93">
        <f>IFERROR(IF(OR($F484="O",$G484="O",$H484="O"),CHOOSE(MATCH($A484,{"튜브","고압","진공","튜닝","조립","출하"},0),"T","H","V","N","A","P")&amp;IF($F484="O","R",IF($G484="O","A",IF($H484="O","F",""))),""),"")</f>
        <v/>
      </c>
      <c r="J484" s="94" t="n"/>
      <c r="K484" s="95" t="n"/>
      <c r="L484" s="121" t="inlineStr">
        <is>
          <t>O</t>
        </is>
      </c>
      <c r="M484" s="97" t="n"/>
      <c r="N484" s="98" t="n"/>
      <c r="O484" s="99" t="n"/>
      <c r="P484" s="100">
        <f>IF($I484="","",IF($J484="O","3","")&amp;IF($K484="O","4","")&amp;IF($L484="O","6","")&amp;IF($M484="O","7","")&amp;IF($N484="O","8","")&amp;IF($O484="O","?","")&amp;IF(OR($J484="O",$K484="O",$L484="O",$M484="O",$N484="O",$O484="O"),"-","")&amp;$I484)</f>
        <v/>
      </c>
      <c r="Q484" s="102" t="inlineStr">
        <is>
          <t>거광에폭시</t>
        </is>
      </c>
      <c r="R484" s="110">
        <f>HYPERLINK("#'마스터_품목'!A799","→ 마스터 R799")</f>
        <v/>
      </c>
      <c r="S484" s="111" t="n">
        <v>799</v>
      </c>
      <c r="T484" s="111" t="inlineStr">
        <is>
          <t>마스터_품목</t>
        </is>
      </c>
    </row>
    <row r="485" ht="48" customHeight="1">
      <c r="A485" s="126" t="inlineStr">
        <is>
          <t>출하</t>
        </is>
      </c>
      <c r="B485" s="87" t="inlineStr">
        <is>
          <t>패드</t>
        </is>
      </c>
      <c r="C485" s="88" t="inlineStr">
        <is>
          <t>공용</t>
        </is>
      </c>
      <c r="D485" s="88" t="inlineStr">
        <is>
          <t>패드
[공용]</t>
        </is>
      </c>
      <c r="E485" s="88" t="n"/>
      <c r="F485" s="90" t="inlineStr">
        <is>
          <t>O</t>
        </is>
      </c>
      <c r="G485" s="91" t="n"/>
      <c r="H485" s="92" t="n"/>
      <c r="I485" s="93">
        <f>IFERROR(IF(OR($F485="O",$G485="O",$H485="O"),CHOOSE(MATCH($A485,{"튜브","고압","진공","튜닝","조립","출하"},0),"T","H","V","N","A","P")&amp;IF($F485="O","R",IF($G485="O","A",IF($H485="O","F",""))),""),"")</f>
        <v/>
      </c>
      <c r="J485" s="124" t="inlineStr">
        <is>
          <t>O</t>
        </is>
      </c>
      <c r="K485" s="95" t="n"/>
      <c r="L485" s="96" t="n"/>
      <c r="M485" s="97" t="n"/>
      <c r="N485" s="98" t="n"/>
      <c r="O485" s="99" t="n"/>
      <c r="P485" s="100">
        <f>IF($I485="","",IF($J485="O","3","")&amp;IF($K485="O","4","")&amp;IF($L485="O","6","")&amp;IF($M485="O","7","")&amp;IF($N485="O","8","")&amp;IF($O485="O","?","")&amp;IF(OR($J485="O",$K485="O",$L485="O",$M485="O",$N485="O",$O485="O"),"-","")&amp;$I485)</f>
        <v/>
      </c>
      <c r="Q485" s="102" t="inlineStr">
        <is>
          <t>가온패드</t>
        </is>
      </c>
      <c r="R485" s="110">
        <f>HYPERLINK("#'마스터_품목'!A800","→ 마스터 R800")</f>
        <v/>
      </c>
      <c r="S485" s="111" t="n">
        <v>800</v>
      </c>
      <c r="T485" s="111" t="inlineStr">
        <is>
          <t>마스터_품목</t>
        </is>
      </c>
    </row>
    <row r="486" ht="48" customHeight="1">
      <c r="A486" s="126" t="inlineStr">
        <is>
          <t>출하</t>
        </is>
      </c>
      <c r="B486" s="87" t="inlineStr">
        <is>
          <t>카메라</t>
        </is>
      </c>
      <c r="C486" s="88" t="inlineStr">
        <is>
          <t>공용</t>
        </is>
      </c>
      <c r="D486" s="88" t="inlineStr">
        <is>
          <t>구강 카메라
[공용]</t>
        </is>
      </c>
      <c r="E486" s="88" t="inlineStr">
        <is>
          <t>i cam 구강 카메라</t>
        </is>
      </c>
      <c r="F486" s="90" t="inlineStr">
        <is>
          <t>O</t>
        </is>
      </c>
      <c r="G486" s="91" t="n"/>
      <c r="H486" s="92" t="n"/>
      <c r="I486" s="93">
        <f>IFERROR(IF(OR($F486="O",$G486="O",$H486="O"),CHOOSE(MATCH($A486,{"튜브","고압","진공","튜닝","조립","출하"},0),"T","H","V","N","A","P")&amp;IF($F486="O","R",IF($G486="O","A",IF($H486="O","F",""))),""),"")</f>
        <v/>
      </c>
      <c r="J486" s="124" t="inlineStr">
        <is>
          <t>O</t>
        </is>
      </c>
      <c r="K486" s="125" t="inlineStr">
        <is>
          <t>O</t>
        </is>
      </c>
      <c r="L486" s="121" t="inlineStr">
        <is>
          <t>O</t>
        </is>
      </c>
      <c r="M486" s="122" t="inlineStr">
        <is>
          <t>O</t>
        </is>
      </c>
      <c r="N486" s="123" t="inlineStr">
        <is>
          <t>O</t>
        </is>
      </c>
      <c r="O486" s="99" t="n"/>
      <c r="P486" s="100">
        <f>IF($I486="","",IF($J486="O","3","")&amp;IF($K486="O","4","")&amp;IF($L486="O","6","")&amp;IF($M486="O","7","")&amp;IF($N486="O","8","")&amp;IF($O486="O","?","")&amp;IF(OR($J486="O",$K486="O",$L486="O",$M486="O",$N486="O",$O486="O"),"-","")&amp;$I486)</f>
        <v/>
      </c>
      <c r="Q486" s="116" t="n"/>
      <c r="R486" s="110">
        <f>HYPERLINK("#'마스터_품목'!A638","→ 마스터 R638")</f>
        <v/>
      </c>
      <c r="S486" s="111" t="n">
        <v>638</v>
      </c>
      <c r="T486" s="111" t="inlineStr">
        <is>
          <t>마스터_품목</t>
        </is>
      </c>
    </row>
    <row r="487" ht="48" customHeight="1">
      <c r="A487" s="126" t="inlineStr">
        <is>
          <t>출하</t>
        </is>
      </c>
      <c r="B487" s="87" t="inlineStr">
        <is>
          <t>센서 케이스</t>
        </is>
      </c>
      <c r="C487" s="88" t="inlineStr">
        <is>
          <t>공용</t>
        </is>
      </c>
      <c r="D487" s="88" t="inlineStr">
        <is>
          <t>330N 센서 케이스
[공용]</t>
        </is>
      </c>
      <c r="E487" s="88" t="n"/>
      <c r="F487" s="90" t="inlineStr">
        <is>
          <t>O</t>
        </is>
      </c>
      <c r="G487" s="91" t="n"/>
      <c r="H487" s="92" t="n"/>
      <c r="I487" s="93">
        <f>IFERROR(IF(OR($F487="O",$G487="O",$H487="O"),CHOOSE(MATCH($A487,{"튜브","고압","진공","튜닝","조립","출하"},0),"T","H","V","N","A","P")&amp;IF($F487="O","R",IF($G487="O","A",IF($H487="O","F",""))),""),"")</f>
        <v/>
      </c>
      <c r="J487" s="124" t="inlineStr">
        <is>
          <t>O</t>
        </is>
      </c>
      <c r="K487" s="125" t="inlineStr">
        <is>
          <t>O</t>
        </is>
      </c>
      <c r="L487" s="121" t="inlineStr">
        <is>
          <t>O</t>
        </is>
      </c>
      <c r="M487" s="122" t="inlineStr">
        <is>
          <t>O</t>
        </is>
      </c>
      <c r="N487" s="123" t="inlineStr">
        <is>
          <t>O</t>
        </is>
      </c>
      <c r="O487" s="99" t="n"/>
      <c r="P487" s="100">
        <f>IF($I487="","",IF($J487="O","3","")&amp;IF($K487="O","4","")&amp;IF($L487="O","6","")&amp;IF($M487="O","7","")&amp;IF($N487="O","8","")&amp;IF($O487="O","?","")&amp;IF(OR($J487="O",$K487="O",$L487="O",$M487="O",$N487="O",$O487="O"),"-","")&amp;$I487)</f>
        <v/>
      </c>
      <c r="Q487" s="102" t="inlineStr">
        <is>
          <t>다우정밀</t>
        </is>
      </c>
      <c r="R487" s="110">
        <f>HYPERLINK("#'마스터_품목'!A801","→ 마스터 R801")</f>
        <v/>
      </c>
      <c r="S487" s="111" t="n">
        <v>801</v>
      </c>
      <c r="T487" s="111" t="inlineStr">
        <is>
          <t>마스터_품목</t>
        </is>
      </c>
    </row>
    <row r="488" ht="48" customHeight="1">
      <c r="A488" s="126" t="inlineStr">
        <is>
          <t>출하</t>
        </is>
      </c>
      <c r="B488" s="87" t="inlineStr">
        <is>
          <t>센서</t>
        </is>
      </c>
      <c r="C488" s="88" t="inlineStr">
        <is>
          <t>공용</t>
        </is>
      </c>
      <c r="D488" s="88" t="inlineStr">
        <is>
          <t>17*17 DRTECH 센서
[공용]</t>
        </is>
      </c>
      <c r="E488" s="88" t="n"/>
      <c r="F488" s="90" t="inlineStr">
        <is>
          <t>O</t>
        </is>
      </c>
      <c r="G488" s="91" t="n"/>
      <c r="H488" s="92" t="n"/>
      <c r="I488" s="93">
        <f>IFERROR(IF(OR($F488="O",$G488="O",$H488="O"),CHOOSE(MATCH($A488,{"튜브","고압","진공","튜닝","조립","출하"},0),"T","H","V","N","A","P")&amp;IF($F488="O","R",IF($G488="O","A",IF($H488="O","F",""))),""),"")</f>
        <v/>
      </c>
      <c r="J488" s="124" t="inlineStr">
        <is>
          <t>O</t>
        </is>
      </c>
      <c r="K488" s="125" t="inlineStr">
        <is>
          <t>O</t>
        </is>
      </c>
      <c r="L488" s="121" t="inlineStr">
        <is>
          <t>O</t>
        </is>
      </c>
      <c r="M488" s="122" t="inlineStr">
        <is>
          <t>O</t>
        </is>
      </c>
      <c r="N488" s="123" t="inlineStr">
        <is>
          <t>O</t>
        </is>
      </c>
      <c r="O488" s="99" t="n"/>
      <c r="P488" s="100">
        <f>IF($I488="","",IF($J488="O","3","")&amp;IF($K488="O","4","")&amp;IF($L488="O","6","")&amp;IF($M488="O","7","")&amp;IF($N488="O","8","")&amp;IF($O488="O","?","")&amp;IF(OR($J488="O",$K488="O",$L488="O",$M488="O",$N488="O",$O488="O"),"-","")&amp;$I488)</f>
        <v/>
      </c>
      <c r="Q488" s="102" t="inlineStr">
        <is>
          <t>디알텍</t>
        </is>
      </c>
      <c r="R488" s="110">
        <f>HYPERLINK("#'마스터_품목'!A802","→ 마스터 R802")</f>
        <v/>
      </c>
      <c r="S488" s="111" t="n">
        <v>802</v>
      </c>
      <c r="T488" s="111" t="inlineStr">
        <is>
          <t>마스터_품목</t>
        </is>
      </c>
    </row>
    <row r="489" ht="48" customHeight="1">
      <c r="A489" s="126" t="inlineStr">
        <is>
          <t>출하</t>
        </is>
      </c>
      <c r="B489" s="87" t="inlineStr">
        <is>
          <t>센서</t>
        </is>
      </c>
      <c r="C489" s="88" t="inlineStr">
        <is>
          <t>공용</t>
        </is>
      </c>
      <c r="D489" s="88" t="inlineStr">
        <is>
          <t>330N DRTECH 센서
[공용]</t>
        </is>
      </c>
      <c r="E489" s="88" t="inlineStr">
        <is>
          <t>330N DRTECH 센서</t>
        </is>
      </c>
      <c r="F489" s="90" t="inlineStr">
        <is>
          <t>O</t>
        </is>
      </c>
      <c r="G489" s="91" t="n"/>
      <c r="H489" s="92" t="n"/>
      <c r="I489" s="93">
        <f>IFERROR(IF(OR($F489="O",$G489="O",$H489="O"),CHOOSE(MATCH($A489,{"튜브","고압","진공","튜닝","조립","출하"},0),"T","H","V","N","A","P")&amp;IF($F489="O","R",IF($G489="O","A",IF($H489="O","F",""))),""),"")</f>
        <v/>
      </c>
      <c r="J489" s="124" t="inlineStr">
        <is>
          <t>O</t>
        </is>
      </c>
      <c r="K489" s="125" t="inlineStr">
        <is>
          <t>O</t>
        </is>
      </c>
      <c r="L489" s="121" t="inlineStr">
        <is>
          <t>O</t>
        </is>
      </c>
      <c r="M489" s="122" t="inlineStr">
        <is>
          <t>O</t>
        </is>
      </c>
      <c r="N489" s="123" t="inlineStr">
        <is>
          <t>O</t>
        </is>
      </c>
      <c r="O489" s="99" t="n"/>
      <c r="P489" s="100">
        <f>IF($I489="","",IF($J489="O","3","")&amp;IF($K489="O","4","")&amp;IF($L489="O","6","")&amp;IF($M489="O","7","")&amp;IF($N489="O","8","")&amp;IF($O489="O","?","")&amp;IF(OR($J489="O",$K489="O",$L489="O",$M489="O",$N489="O",$O489="O"),"-","")&amp;$I489)</f>
        <v/>
      </c>
      <c r="Q489" s="102" t="inlineStr">
        <is>
          <t>디알텍</t>
        </is>
      </c>
      <c r="R489" s="110">
        <f>HYPERLINK("#'마스터_품목'!A639","→ 마스터 R639")</f>
        <v/>
      </c>
      <c r="S489" s="111" t="n">
        <v>639</v>
      </c>
      <c r="T489" s="111" t="inlineStr">
        <is>
          <t>마스터_품목</t>
        </is>
      </c>
    </row>
    <row r="490" ht="48" customHeight="1">
      <c r="A490" s="126" t="inlineStr">
        <is>
          <t>출하</t>
        </is>
      </c>
      <c r="B490" s="87" t="inlineStr">
        <is>
          <t>센서</t>
        </is>
      </c>
      <c r="C490" s="88" t="inlineStr">
        <is>
          <t>공용</t>
        </is>
      </c>
      <c r="D490" s="88" t="inlineStr">
        <is>
          <t>810 DRTECH 센서
[공용]</t>
        </is>
      </c>
      <c r="E490" s="88" t="n"/>
      <c r="F490" s="90" t="inlineStr">
        <is>
          <t>O</t>
        </is>
      </c>
      <c r="G490" s="91" t="n"/>
      <c r="H490" s="92" t="n"/>
      <c r="I490" s="93">
        <f>IFERROR(IF(OR($F490="O",$G490="O",$H490="O"),CHOOSE(MATCH($A490,{"튜브","고압","진공","튜닝","조립","출하"},0),"T","H","V","N","A","P")&amp;IF($F490="O","R",IF($G490="O","A",IF($H490="O","F",""))),""),"")</f>
        <v/>
      </c>
      <c r="J490" s="124" t="inlineStr">
        <is>
          <t>O</t>
        </is>
      </c>
      <c r="K490" s="125" t="inlineStr">
        <is>
          <t>O</t>
        </is>
      </c>
      <c r="L490" s="121" t="inlineStr">
        <is>
          <t>O</t>
        </is>
      </c>
      <c r="M490" s="122" t="inlineStr">
        <is>
          <t>O</t>
        </is>
      </c>
      <c r="N490" s="123" t="inlineStr">
        <is>
          <t>O</t>
        </is>
      </c>
      <c r="O490" s="99" t="n"/>
      <c r="P490" s="100">
        <f>IF($I490="","",IF($J490="O","3","")&amp;IF($K490="O","4","")&amp;IF($L490="O","6","")&amp;IF($M490="O","7","")&amp;IF($N490="O","8","")&amp;IF($O490="O","?","")&amp;IF(OR($J490="O",$K490="O",$L490="O",$M490="O",$N490="O",$O490="O"),"-","")&amp;$I490)</f>
        <v/>
      </c>
      <c r="Q490" s="102" t="inlineStr">
        <is>
          <t>디알텍</t>
        </is>
      </c>
      <c r="R490" s="110">
        <f>HYPERLINK("#'마스터_품목'!A803","→ 마스터 R803")</f>
        <v/>
      </c>
      <c r="S490" s="111" t="n">
        <v>803</v>
      </c>
      <c r="T490" s="111" t="inlineStr">
        <is>
          <t>마스터_품목</t>
        </is>
      </c>
    </row>
    <row r="491" ht="48" customHeight="1">
      <c r="A491" s="126" t="inlineStr">
        <is>
          <t>출하</t>
        </is>
      </c>
      <c r="B491" s="87" t="inlineStr">
        <is>
          <t>센서</t>
        </is>
      </c>
      <c r="C491" s="88" t="inlineStr">
        <is>
          <t>공용</t>
        </is>
      </c>
      <c r="D491" s="88" t="inlineStr">
        <is>
          <t>HDI 1000 [Rex2 Classic/1.5]
[공용]</t>
        </is>
      </c>
      <c r="E491" s="88" t="n"/>
      <c r="F491" s="90" t="inlineStr">
        <is>
          <t>O</t>
        </is>
      </c>
      <c r="G491" s="91" t="n"/>
      <c r="H491" s="92" t="n"/>
      <c r="I491" s="93">
        <f>IFERROR(IF(OR($F491="O",$G491="O",$H491="O"),CHOOSE(MATCH($A491,{"튜브","고압","진공","튜닝","조립","출하"},0),"T","H","V","N","A","P")&amp;IF($F491="O","R",IF($G491="O","A",IF($H491="O","F",""))),""),"")</f>
        <v/>
      </c>
      <c r="J491" s="124" t="inlineStr">
        <is>
          <t>O</t>
        </is>
      </c>
      <c r="K491" s="125" t="inlineStr">
        <is>
          <t>O</t>
        </is>
      </c>
      <c r="L491" s="121" t="inlineStr">
        <is>
          <t>O</t>
        </is>
      </c>
      <c r="M491" s="122" t="inlineStr">
        <is>
          <t>O</t>
        </is>
      </c>
      <c r="N491" s="123" t="inlineStr">
        <is>
          <t>O</t>
        </is>
      </c>
      <c r="O491" s="99" t="n"/>
      <c r="P491" s="100">
        <f>IF($I491="","",IF($J491="O","3","")&amp;IF($K491="O","4","")&amp;IF($L491="O","6","")&amp;IF($M491="O","7","")&amp;IF($N491="O","8","")&amp;IF($O491="O","?","")&amp;IF(OR($J491="O",$K491="O",$L491="O",$M491="O",$N491="O",$O491="O"),"-","")&amp;$I491)</f>
        <v/>
      </c>
      <c r="Q491" s="102" t="inlineStr">
        <is>
          <t>레이언스</t>
        </is>
      </c>
      <c r="R491" s="110">
        <f>HYPERLINK("#'마스터_품목'!A804","→ 마스터 R804")</f>
        <v/>
      </c>
      <c r="S491" s="111" t="n">
        <v>804</v>
      </c>
      <c r="T491" s="111" t="inlineStr">
        <is>
          <t>마스터_품목</t>
        </is>
      </c>
    </row>
    <row r="492" ht="48" customHeight="1">
      <c r="A492" s="126" t="inlineStr">
        <is>
          <t>출하</t>
        </is>
      </c>
      <c r="B492" s="87" t="inlineStr">
        <is>
          <t>센서</t>
        </is>
      </c>
      <c r="C492" s="88" t="inlineStr">
        <is>
          <t>공용</t>
        </is>
      </c>
      <c r="D492" s="88" t="inlineStr">
        <is>
          <t>HDI 2000 [Rex2 Premium/1.5]
[공용]</t>
        </is>
      </c>
      <c r="E492" s="88" t="inlineStr">
        <is>
          <t>HDI 2000 [Rex2 Premium/1.5]</t>
        </is>
      </c>
      <c r="F492" s="90" t="inlineStr">
        <is>
          <t>O</t>
        </is>
      </c>
      <c r="G492" s="91" t="n"/>
      <c r="H492" s="92" t="n"/>
      <c r="I492" s="93">
        <f>IFERROR(IF(OR($F492="O",$G492="O",$H492="O"),CHOOSE(MATCH($A492,{"튜브","고압","진공","튜닝","조립","출하"},0),"T","H","V","N","A","P")&amp;IF($F492="O","R",IF($G492="O","A",IF($H492="O","F",""))),""),"")</f>
        <v/>
      </c>
      <c r="J492" s="124" t="inlineStr">
        <is>
          <t>O</t>
        </is>
      </c>
      <c r="K492" s="125" t="inlineStr">
        <is>
          <t>O</t>
        </is>
      </c>
      <c r="L492" s="121" t="inlineStr">
        <is>
          <t>O</t>
        </is>
      </c>
      <c r="M492" s="122" t="inlineStr">
        <is>
          <t>O</t>
        </is>
      </c>
      <c r="N492" s="123" t="inlineStr">
        <is>
          <t>O</t>
        </is>
      </c>
      <c r="O492" s="99" t="n"/>
      <c r="P492" s="100">
        <f>IF($I492="","",IF($J492="O","3","")&amp;IF($K492="O","4","")&amp;IF($L492="O","6","")&amp;IF($M492="O","7","")&amp;IF($N492="O","8","")&amp;IF($O492="O","?","")&amp;IF(OR($J492="O",$K492="O",$L492="O",$M492="O",$N492="O",$O492="O"),"-","")&amp;$I492)</f>
        <v/>
      </c>
      <c r="Q492" s="102" t="inlineStr">
        <is>
          <t>레이언스</t>
        </is>
      </c>
      <c r="R492" s="110">
        <f>HYPERLINK("#'마스터_품목'!A642","→ 마스터 R642")</f>
        <v/>
      </c>
      <c r="S492" s="111" t="n">
        <v>642</v>
      </c>
      <c r="T492" s="111" t="inlineStr">
        <is>
          <t>마스터_품목</t>
        </is>
      </c>
    </row>
    <row r="493" ht="48" customHeight="1">
      <c r="A493" s="126" t="inlineStr">
        <is>
          <t>출하</t>
        </is>
      </c>
      <c r="B493" s="87" t="inlineStr">
        <is>
          <t>센서</t>
        </is>
      </c>
      <c r="C493" s="88" t="inlineStr">
        <is>
          <t>공용</t>
        </is>
      </c>
      <c r="D493" s="88" t="inlineStr">
        <is>
          <t>HDI 2000 [Rex2 Premium/2.0]
[공용]</t>
        </is>
      </c>
      <c r="E493" s="88" t="inlineStr">
        <is>
          <t>HDI 2000 [Rex2 Premium/2.0]</t>
        </is>
      </c>
      <c r="F493" s="90" t="inlineStr">
        <is>
          <t>O</t>
        </is>
      </c>
      <c r="G493" s="91" t="n"/>
      <c r="H493" s="92" t="n"/>
      <c r="I493" s="93">
        <f>IFERROR(IF(OR($F493="O",$G493="O",$H493="O"),CHOOSE(MATCH($A493,{"튜브","고압","진공","튜닝","조립","출하"},0),"T","H","V","N","A","P")&amp;IF($F493="O","R",IF($G493="O","A",IF($H493="O","F",""))),""),"")</f>
        <v/>
      </c>
      <c r="J493" s="124" t="inlineStr">
        <is>
          <t>O</t>
        </is>
      </c>
      <c r="K493" s="125" t="inlineStr">
        <is>
          <t>O</t>
        </is>
      </c>
      <c r="L493" s="121" t="inlineStr">
        <is>
          <t>O</t>
        </is>
      </c>
      <c r="M493" s="122" t="inlineStr">
        <is>
          <t>O</t>
        </is>
      </c>
      <c r="N493" s="123" t="inlineStr">
        <is>
          <t>O</t>
        </is>
      </c>
      <c r="O493" s="99" t="n"/>
      <c r="P493" s="100">
        <f>IF($I493="","",IF($J493="O","3","")&amp;IF($K493="O","4","")&amp;IF($L493="O","6","")&amp;IF($M493="O","7","")&amp;IF($N493="O","8","")&amp;IF($O493="O","?","")&amp;IF(OR($J493="O",$K493="O",$L493="O",$M493="O",$N493="O",$O493="O"),"-","")&amp;$I493)</f>
        <v/>
      </c>
      <c r="Q493" s="102" t="inlineStr">
        <is>
          <t>레이언스</t>
        </is>
      </c>
      <c r="R493" s="110">
        <f>HYPERLINK("#'마스터_품목'!A643","→ 마스터 R643")</f>
        <v/>
      </c>
      <c r="S493" s="111" t="n">
        <v>643</v>
      </c>
      <c r="T493" s="111" t="inlineStr">
        <is>
          <t>마스터_품목</t>
        </is>
      </c>
    </row>
    <row r="494" ht="48" customHeight="1">
      <c r="A494" s="126" t="inlineStr">
        <is>
          <t>출하</t>
        </is>
      </c>
      <c r="B494" s="87" t="inlineStr">
        <is>
          <t>센서</t>
        </is>
      </c>
      <c r="C494" s="88" t="inlineStr">
        <is>
          <t>공용</t>
        </is>
      </c>
      <c r="D494" s="88" t="inlineStr">
        <is>
          <t>HDI-S [Rex2 Premium/1.0]
[공용]</t>
        </is>
      </c>
      <c r="E494" s="88" t="inlineStr">
        <is>
          <t>HDI-S [Rex2 Premium/1.0]</t>
        </is>
      </c>
      <c r="F494" s="90" t="inlineStr">
        <is>
          <t>O</t>
        </is>
      </c>
      <c r="G494" s="91" t="n"/>
      <c r="H494" s="92" t="n"/>
      <c r="I494" s="93">
        <f>IFERROR(IF(OR($F494="O",$G494="O",$H494="O"),CHOOSE(MATCH($A494,{"튜브","고압","진공","튜닝","조립","출하"},0),"T","H","V","N","A","P")&amp;IF($F494="O","R",IF($G494="O","A",IF($H494="O","F",""))),""),"")</f>
        <v/>
      </c>
      <c r="J494" s="124" t="inlineStr">
        <is>
          <t>O</t>
        </is>
      </c>
      <c r="K494" s="125" t="inlineStr">
        <is>
          <t>O</t>
        </is>
      </c>
      <c r="L494" s="121" t="inlineStr">
        <is>
          <t>O</t>
        </is>
      </c>
      <c r="M494" s="122" t="inlineStr">
        <is>
          <t>O</t>
        </is>
      </c>
      <c r="N494" s="123" t="inlineStr">
        <is>
          <t>O</t>
        </is>
      </c>
      <c r="O494" s="99" t="n"/>
      <c r="P494" s="100">
        <f>IF($I494="","",IF($J494="O","3","")&amp;IF($K494="O","4","")&amp;IF($L494="O","6","")&amp;IF($M494="O","7","")&amp;IF($N494="O","8","")&amp;IF($O494="O","?","")&amp;IF(OR($J494="O",$K494="O",$L494="O",$M494="O",$N494="O",$O494="O"),"-","")&amp;$I494)</f>
        <v/>
      </c>
      <c r="Q494" s="102" t="inlineStr">
        <is>
          <t>레이언스</t>
        </is>
      </c>
      <c r="R494" s="110">
        <f>HYPERLINK("#'마스터_품목'!A644","→ 마스터 R644")</f>
        <v/>
      </c>
      <c r="S494" s="111" t="n">
        <v>644</v>
      </c>
      <c r="T494" s="111" t="inlineStr">
        <is>
          <t>마스터_품목</t>
        </is>
      </c>
    </row>
    <row r="495" ht="48" customHeight="1">
      <c r="A495" s="126" t="inlineStr">
        <is>
          <t>출하</t>
        </is>
      </c>
      <c r="B495" s="87" t="inlineStr">
        <is>
          <t>센서</t>
        </is>
      </c>
      <c r="C495" s="88" t="inlineStr">
        <is>
          <t>공용</t>
        </is>
      </c>
      <c r="D495" s="88" t="inlineStr">
        <is>
          <t>HDI-S [Rex2 Premium/1.5]
[공용]</t>
        </is>
      </c>
      <c r="E495" s="88" t="inlineStr">
        <is>
          <t>HDI-S [Rex2 Premium/1.5]</t>
        </is>
      </c>
      <c r="F495" s="90" t="inlineStr">
        <is>
          <t>O</t>
        </is>
      </c>
      <c r="G495" s="91" t="n"/>
      <c r="H495" s="92" t="n"/>
      <c r="I495" s="93">
        <f>IFERROR(IF(OR($F495="O",$G495="O",$H495="O"),CHOOSE(MATCH($A495,{"튜브","고압","진공","튜닝","조립","출하"},0),"T","H","V","N","A","P")&amp;IF($F495="O","R",IF($G495="O","A",IF($H495="O","F",""))),""),"")</f>
        <v/>
      </c>
      <c r="J495" s="124" t="inlineStr">
        <is>
          <t>O</t>
        </is>
      </c>
      <c r="K495" s="125" t="inlineStr">
        <is>
          <t>O</t>
        </is>
      </c>
      <c r="L495" s="121" t="inlineStr">
        <is>
          <t>O</t>
        </is>
      </c>
      <c r="M495" s="122" t="inlineStr">
        <is>
          <t>O</t>
        </is>
      </c>
      <c r="N495" s="123" t="inlineStr">
        <is>
          <t>O</t>
        </is>
      </c>
      <c r="O495" s="99" t="n"/>
      <c r="P495" s="100">
        <f>IF($I495="","",IF($J495="O","3","")&amp;IF($K495="O","4","")&amp;IF($L495="O","6","")&amp;IF($M495="O","7","")&amp;IF($N495="O","8","")&amp;IF($O495="O","?","")&amp;IF(OR($J495="O",$K495="O",$L495="O",$M495="O",$N495="O",$O495="O"),"-","")&amp;$I495)</f>
        <v/>
      </c>
      <c r="Q495" s="102" t="inlineStr">
        <is>
          <t>레이언스</t>
        </is>
      </c>
      <c r="R495" s="110">
        <f>HYPERLINK("#'마스터_품목'!A645","→ 마스터 R645")</f>
        <v/>
      </c>
      <c r="S495" s="111" t="n">
        <v>645</v>
      </c>
      <c r="T495" s="111" t="inlineStr">
        <is>
          <t>마스터_품목</t>
        </is>
      </c>
    </row>
    <row r="496" ht="48" customHeight="1">
      <c r="A496" s="87" t="inlineStr">
        <is>
          <t>창고</t>
        </is>
      </c>
      <c r="B496" s="87" t="inlineStr">
        <is>
          <t>RUBBER</t>
        </is>
      </c>
      <c r="C496" s="88" t="inlineStr">
        <is>
          <t>공용</t>
        </is>
      </c>
      <c r="D496" s="88" t="inlineStr">
        <is>
          <t>SCREW CAP (RUBBER)
[공용]</t>
        </is>
      </c>
      <c r="E496" s="88" t="inlineStr">
        <is>
          <t>SCREW CAP</t>
        </is>
      </c>
      <c r="F496" s="90" t="inlineStr">
        <is>
          <t>O</t>
        </is>
      </c>
      <c r="G496" s="91" t="n"/>
      <c r="H496" s="92" t="n"/>
      <c r="I496" s="93" t="inlineStr">
        <is>
          <t>PR</t>
        </is>
      </c>
      <c r="J496" s="94" t="inlineStr">
        <is>
          <t>O</t>
        </is>
      </c>
      <c r="K496" s="95" t="inlineStr">
        <is>
          <t>O</t>
        </is>
      </c>
      <c r="L496" s="96" t="n"/>
      <c r="M496" s="97" t="n"/>
      <c r="N496" s="98" t="n"/>
      <c r="O496" s="99" t="n"/>
      <c r="P496" s="100" t="inlineStr">
        <is>
          <t>34-PR</t>
        </is>
      </c>
      <c r="Q496" s="102" t="inlineStr">
        <is>
          <t>남경화학</t>
        </is>
      </c>
      <c r="R496" s="110">
        <f>HYPERLINK("#'마스터_품목'!A610","→ 마스터 R610")</f>
        <v/>
      </c>
      <c r="S496" s="111" t="n">
        <v>610</v>
      </c>
      <c r="T496" s="111" t="inlineStr">
        <is>
          <t>마스터_품목</t>
        </is>
      </c>
    </row>
    <row r="497" ht="48" customHeight="1">
      <c r="A497" s="126" t="inlineStr">
        <is>
          <t>출하</t>
        </is>
      </c>
      <c r="B497" s="87" t="inlineStr">
        <is>
          <t>센서</t>
        </is>
      </c>
      <c r="C497" s="88" t="inlineStr">
        <is>
          <t>공용</t>
        </is>
      </c>
      <c r="D497" s="88" t="inlineStr">
        <is>
          <t>HDI-S [Rex2 Premium/2.0]
[공용]</t>
        </is>
      </c>
      <c r="E497" s="88" t="inlineStr">
        <is>
          <t>HDI-S [Rex2 Premium/2.0]</t>
        </is>
      </c>
      <c r="F497" s="90" t="inlineStr">
        <is>
          <t>O</t>
        </is>
      </c>
      <c r="G497" s="91" t="n"/>
      <c r="H497" s="92" t="n"/>
      <c r="I497" s="93">
        <f>IFERROR(IF(OR($F497="O",$G497="O",$H497="O"),CHOOSE(MATCH($A497,{"튜브","고압","진공","튜닝","조립","출하"},0),"T","H","V","N","A","P")&amp;IF($F497="O","R",IF($G497="O","A",IF($H497="O","F",""))),""),"")</f>
        <v/>
      </c>
      <c r="J497" s="124" t="inlineStr">
        <is>
          <t>O</t>
        </is>
      </c>
      <c r="K497" s="125" t="inlineStr">
        <is>
          <t>O</t>
        </is>
      </c>
      <c r="L497" s="121" t="inlineStr">
        <is>
          <t>O</t>
        </is>
      </c>
      <c r="M497" s="122" t="inlineStr">
        <is>
          <t>O</t>
        </is>
      </c>
      <c r="N497" s="123" t="inlineStr">
        <is>
          <t>O</t>
        </is>
      </c>
      <c r="O497" s="99" t="n"/>
      <c r="P497" s="100">
        <f>IF($I497="","",IF($J497="O","3","")&amp;IF($K497="O","4","")&amp;IF($L497="O","6","")&amp;IF($M497="O","7","")&amp;IF($N497="O","8","")&amp;IF($O497="O","?","")&amp;IF(OR($J497="O",$K497="O",$L497="O",$M497="O",$N497="O",$O497="O"),"-","")&amp;$I497)</f>
        <v/>
      </c>
      <c r="Q497" s="102" t="inlineStr">
        <is>
          <t>레이언스</t>
        </is>
      </c>
      <c r="R497" s="110">
        <f>HYPERLINK("#'마스터_품목'!A646","→ 마스터 R646")</f>
        <v/>
      </c>
      <c r="S497" s="111" t="n">
        <v>646</v>
      </c>
      <c r="T497" s="111" t="inlineStr">
        <is>
          <t>마스터_품목</t>
        </is>
      </c>
    </row>
    <row r="498" ht="48" customHeight="1">
      <c r="A498" s="87" t="inlineStr">
        <is>
          <t>창고</t>
        </is>
      </c>
      <c r="B498" s="87" t="inlineStr">
        <is>
          <t>제품 거치대</t>
        </is>
      </c>
      <c r="C498" s="88" t="inlineStr">
        <is>
          <t>DX3000</t>
        </is>
      </c>
      <c r="D498" s="88" t="inlineStr">
        <is>
          <t>스탠드홀드
[DX3000]</t>
        </is>
      </c>
      <c r="E498" s="88" t="inlineStr">
        <is>
          <t>스탠드 홀드 (메탈)</t>
        </is>
      </c>
      <c r="F498" s="90" t="inlineStr">
        <is>
          <t>O</t>
        </is>
      </c>
      <c r="G498" s="91" t="n"/>
      <c r="H498" s="92" t="n"/>
      <c r="I498" s="93" t="inlineStr">
        <is>
          <t>PR</t>
        </is>
      </c>
      <c r="J498" s="94" t="inlineStr">
        <is>
          <t>O</t>
        </is>
      </c>
      <c r="K498" s="95" t="n"/>
      <c r="L498" s="96" t="n"/>
      <c r="M498" s="97" t="n"/>
      <c r="N498" s="98" t="n"/>
      <c r="O498" s="99" t="n"/>
      <c r="P498" s="100" t="inlineStr">
        <is>
          <t>3-PR</t>
        </is>
      </c>
      <c r="Q498" s="102" t="inlineStr">
        <is>
          <t>제이케이시스템</t>
        </is>
      </c>
      <c r="R498" s="110">
        <f>HYPERLINK("#'마스터_품목'!A581","→ 마스터 R581")</f>
        <v/>
      </c>
      <c r="S498" s="111" t="n">
        <v>581</v>
      </c>
      <c r="T498" s="111" t="inlineStr">
        <is>
          <t>마스터_품목</t>
        </is>
      </c>
    </row>
    <row r="499" ht="48" customHeight="1">
      <c r="A499" s="126" t="inlineStr">
        <is>
          <t>출하</t>
        </is>
      </c>
      <c r="B499" s="87" t="inlineStr">
        <is>
          <t>센서</t>
        </is>
      </c>
      <c r="C499" s="88" t="inlineStr">
        <is>
          <t>공용</t>
        </is>
      </c>
      <c r="D499" s="88" t="inlineStr">
        <is>
          <t>CMOS 센서 (#1) (EV71JU215A-C-00B1)
[공용]</t>
        </is>
      </c>
      <c r="E499" s="88" t="inlineStr">
        <is>
          <t>CMOS 센서-EV71JU215A-C-00B1(#1)</t>
        </is>
      </c>
      <c r="F499" s="90" t="inlineStr">
        <is>
          <t>O</t>
        </is>
      </c>
      <c r="G499" s="91" t="n"/>
      <c r="H499" s="92" t="n"/>
      <c r="I499" s="93">
        <f>IFERROR(IF(OR($F499="O",$G499="O",$H499="O"),CHOOSE(MATCH($A499,{"튜브","고압","진공","튜닝","조립","출하"},0),"T","H","V","N","A","P")&amp;IF($F499="O","R",IF($G499="O","A",IF($H499="O","F",""))),""),"")</f>
        <v/>
      </c>
      <c r="J499" s="94" t="n"/>
      <c r="K499" s="125" t="inlineStr">
        <is>
          <t>O</t>
        </is>
      </c>
      <c r="L499" s="96" t="n"/>
      <c r="M499" s="97" t="n"/>
      <c r="N499" s="98" t="n"/>
      <c r="O499" s="99" t="n"/>
      <c r="P499" s="100">
        <f>IF($I499="","",IF($J499="O","3","")&amp;IF($K499="O","4","")&amp;IF($L499="O","6","")&amp;IF($M499="O","7","")&amp;IF($N499="O","8","")&amp;IF($O499="O","?","")&amp;IF(OR($J499="O",$K499="O",$L499="O",$M499="O",$N499="O",$O499="O"),"-","")&amp;$I499)</f>
        <v/>
      </c>
      <c r="Q499" s="102" t="inlineStr">
        <is>
          <t>E2V</t>
        </is>
      </c>
      <c r="R499" s="110">
        <f>HYPERLINK("#'마스터_품목'!A647","→ 마스터 R647")</f>
        <v/>
      </c>
      <c r="S499" s="111" t="n">
        <v>647</v>
      </c>
      <c r="T499" s="111" t="inlineStr">
        <is>
          <t>마스터_품목</t>
        </is>
      </c>
    </row>
    <row r="500" ht="48" customHeight="1">
      <c r="A500" s="126" t="inlineStr">
        <is>
          <t>출하</t>
        </is>
      </c>
      <c r="B500" s="87" t="inlineStr">
        <is>
          <t>센서</t>
        </is>
      </c>
      <c r="C500" s="88" t="inlineStr">
        <is>
          <t>공용</t>
        </is>
      </c>
      <c r="D500" s="88" t="inlineStr">
        <is>
          <t>CMOS 센서 (#2) (EV71JU213A-C-00B1)
[공용]</t>
        </is>
      </c>
      <c r="E500" s="88" t="inlineStr">
        <is>
          <t>CMOS 센서-EV71JU213A-C-00B1(#2)</t>
        </is>
      </c>
      <c r="F500" s="90" t="inlineStr">
        <is>
          <t>O</t>
        </is>
      </c>
      <c r="G500" s="91" t="n"/>
      <c r="H500" s="92" t="n"/>
      <c r="I500" s="93">
        <f>IFERROR(IF(OR($F500="O",$G500="O",$H500="O"),CHOOSE(MATCH($A500,{"튜브","고압","진공","튜닝","조립","출하"},0),"T","H","V","N","A","P")&amp;IF($F500="O","R",IF($G500="O","A",IF($H500="O","F",""))),""),"")</f>
        <v/>
      </c>
      <c r="J500" s="94" t="n"/>
      <c r="K500" s="125" t="inlineStr">
        <is>
          <t>O</t>
        </is>
      </c>
      <c r="L500" s="96" t="n"/>
      <c r="M500" s="97" t="n"/>
      <c r="N500" s="98" t="n"/>
      <c r="O500" s="99" t="n"/>
      <c r="P500" s="100">
        <f>IF($I500="","",IF($J500="O","3","")&amp;IF($K500="O","4","")&amp;IF($L500="O","6","")&amp;IF($M500="O","7","")&amp;IF($N500="O","8","")&amp;IF($O500="O","?","")&amp;IF(OR($J500="O",$K500="O",$L500="O",$M500="O",$N500="O",$O500="O"),"-","")&amp;$I500)</f>
        <v/>
      </c>
      <c r="Q500" s="102" t="inlineStr">
        <is>
          <t>E2V</t>
        </is>
      </c>
      <c r="R500" s="110">
        <f>HYPERLINK("#'마스터_품목'!A648","→ 마스터 R648")</f>
        <v/>
      </c>
      <c r="S500" s="111" t="n">
        <v>648</v>
      </c>
      <c r="T500" s="111" t="inlineStr">
        <is>
          <t>마스터_품목</t>
        </is>
      </c>
    </row>
    <row r="501" ht="48" customHeight="1">
      <c r="A501" s="126" t="inlineStr">
        <is>
          <t>출하</t>
        </is>
      </c>
      <c r="B501" s="87" t="inlineStr">
        <is>
          <t>신주</t>
        </is>
      </c>
      <c r="C501" s="88" t="inlineStr">
        <is>
          <t>DX3000, ADX4000W</t>
        </is>
      </c>
      <c r="D501" s="88" t="inlineStr">
        <is>
          <t>배터리 거치대용 신주핀
[DX3000, ADX4000W]</t>
        </is>
      </c>
      <c r="E501" s="88" t="n"/>
      <c r="F501" s="90" t="inlineStr">
        <is>
          <t>O</t>
        </is>
      </c>
      <c r="G501" s="91" t="n"/>
      <c r="H501" s="92" t="n"/>
      <c r="I501" s="93">
        <f>IFERROR(IF(OR($F501="O",$G501="O",$H501="O"),CHOOSE(MATCH($A501,{"튜브","고압","진공","튜닝","조립","출하"},0),"T","H","V","N","A","P")&amp;IF($F501="O","R",IF($G501="O","A",IF($H501="O","F",""))),""),"")</f>
        <v/>
      </c>
      <c r="J501" s="124" t="inlineStr">
        <is>
          <t>O</t>
        </is>
      </c>
      <c r="K501" s="125" t="inlineStr">
        <is>
          <t>O</t>
        </is>
      </c>
      <c r="L501" s="96" t="n"/>
      <c r="M501" s="97" t="n"/>
      <c r="N501" s="123" t="inlineStr">
        <is>
          <t>O</t>
        </is>
      </c>
      <c r="O501" s="99" t="n"/>
      <c r="P501" s="100">
        <f>IF($I501="","",IF($J501="O","3","")&amp;IF($K501="O","4","")&amp;IF($L501="O","6","")&amp;IF($M501="O","7","")&amp;IF($N501="O","8","")&amp;IF($O501="O","?","")&amp;IF(OR($J501="O",$K501="O",$L501="O",$M501="O",$N501="O",$O501="O"),"-","")&amp;$I501)</f>
        <v/>
      </c>
      <c r="Q501" s="102" t="inlineStr">
        <is>
          <t>다우정밀</t>
        </is>
      </c>
      <c r="R501" s="110">
        <f>HYPERLINK("#'마스터_품목'!A805","→ 마스터 R805")</f>
        <v/>
      </c>
      <c r="S501" s="111" t="n">
        <v>805</v>
      </c>
      <c r="T501" s="111" t="inlineStr">
        <is>
          <t>마스터_품목</t>
        </is>
      </c>
    </row>
    <row r="502" ht="48" customHeight="1">
      <c r="A502" s="126" t="inlineStr">
        <is>
          <t>출하</t>
        </is>
      </c>
      <c r="B502" s="87" t="inlineStr">
        <is>
          <t>브라켓</t>
        </is>
      </c>
      <c r="C502" s="88" t="inlineStr">
        <is>
          <t>공용</t>
        </is>
      </c>
      <c r="D502" s="88" t="inlineStr">
        <is>
          <t>스탠드 브라켓 족의학용
[공용]</t>
        </is>
      </c>
      <c r="E502" s="88" t="n"/>
      <c r="F502" s="90" t="inlineStr">
        <is>
          <t>O</t>
        </is>
      </c>
      <c r="G502" s="91" t="n"/>
      <c r="H502" s="92" t="n"/>
      <c r="I502" s="93">
        <f>IFERROR(IF(OR($F502="O",$G502="O",$H502="O"),CHOOSE(MATCH($A502,{"튜브","고압","진공","튜닝","조립","출하"},0),"T","H","V","N","A","P")&amp;IF($F502="O","R",IF($G502="O","A",IF($H502="O","F",""))),""),"")</f>
        <v/>
      </c>
      <c r="J502" s="94" t="n"/>
      <c r="K502" s="95" t="n"/>
      <c r="L502" s="121" t="inlineStr">
        <is>
          <t>O</t>
        </is>
      </c>
      <c r="M502" s="97" t="n"/>
      <c r="N502" s="98" t="n"/>
      <c r="O502" s="99" t="n"/>
      <c r="P502" s="100">
        <f>IF($I502="","",IF($J502="O","3","")&amp;IF($K502="O","4","")&amp;IF($L502="O","6","")&amp;IF($M502="O","7","")&amp;IF($N502="O","8","")&amp;IF($O502="O","?","")&amp;IF(OR($J502="O",$K502="O",$L502="O",$M502="O",$N502="O",$O502="O"),"-","")&amp;$I502)</f>
        <v/>
      </c>
      <c r="Q502" s="102" t="inlineStr">
        <is>
          <t>제이케이시스템</t>
        </is>
      </c>
      <c r="R502" s="110">
        <f>HYPERLINK("#'마스터_품목'!A806","→ 마스터 R806")</f>
        <v/>
      </c>
      <c r="S502" s="111" t="n">
        <v>806</v>
      </c>
      <c r="T502" s="111" t="inlineStr">
        <is>
          <t>마스터_품목</t>
        </is>
      </c>
    </row>
    <row r="503" ht="48" customHeight="1">
      <c r="A503" s="87" t="inlineStr">
        <is>
          <t>창고</t>
        </is>
      </c>
      <c r="B503" s="87" t="inlineStr">
        <is>
          <t>브라켓</t>
        </is>
      </c>
      <c r="C503" s="88" t="inlineStr">
        <is>
          <t>ADX6000</t>
        </is>
      </c>
      <c r="D503" s="88" t="inlineStr">
        <is>
          <t>국내용 스탠드 브라켓 1. BLOCK
[ADX6000]</t>
        </is>
      </c>
      <c r="E503" s="88" t="inlineStr">
        <is>
          <t>국내용 스탠드 브라켓 1. BLOCK</t>
        </is>
      </c>
      <c r="F503" s="90" t="inlineStr">
        <is>
          <t>O</t>
        </is>
      </c>
      <c r="G503" s="91" t="n"/>
      <c r="H503" s="92" t="n"/>
      <c r="I503" s="93" t="inlineStr">
        <is>
          <t>PR</t>
        </is>
      </c>
      <c r="J503" s="94" t="n"/>
      <c r="K503" s="95" t="n"/>
      <c r="L503" s="96" t="inlineStr">
        <is>
          <t>O</t>
        </is>
      </c>
      <c r="M503" s="97" t="n"/>
      <c r="N503" s="98" t="n"/>
      <c r="O503" s="99" t="n"/>
      <c r="P503" s="100" t="inlineStr">
        <is>
          <t>6-PR</t>
        </is>
      </c>
      <c r="Q503" s="102" t="inlineStr">
        <is>
          <t>제이케이시스템</t>
        </is>
      </c>
      <c r="R503" s="110">
        <f>HYPERLINK("#'마스터_품목'!A560","→ 마스터 R560")</f>
        <v/>
      </c>
      <c r="S503" s="111" t="n">
        <v>560</v>
      </c>
      <c r="T503" s="111" t="inlineStr">
        <is>
          <t>마스터_품목</t>
        </is>
      </c>
    </row>
    <row r="504" ht="48" customHeight="1">
      <c r="A504" s="87" t="inlineStr">
        <is>
          <t>창고</t>
        </is>
      </c>
      <c r="B504" s="87" t="inlineStr">
        <is>
          <t>브라켓</t>
        </is>
      </c>
      <c r="C504" s="88" t="inlineStr">
        <is>
          <t>ADX6000</t>
        </is>
      </c>
      <c r="D504" s="88" t="inlineStr">
        <is>
          <t>국내용 스탠드 브라켓 2. ARM
[ADX6000]</t>
        </is>
      </c>
      <c r="E504" s="88" t="inlineStr">
        <is>
          <t>국내용 스탠드 브라켓 2. ARM</t>
        </is>
      </c>
      <c r="F504" s="90" t="inlineStr">
        <is>
          <t>O</t>
        </is>
      </c>
      <c r="G504" s="91" t="n"/>
      <c r="H504" s="92" t="n"/>
      <c r="I504" s="93" t="inlineStr">
        <is>
          <t>PR</t>
        </is>
      </c>
      <c r="J504" s="94" t="n"/>
      <c r="K504" s="95" t="n"/>
      <c r="L504" s="96" t="inlineStr">
        <is>
          <t>O</t>
        </is>
      </c>
      <c r="M504" s="97" t="n"/>
      <c r="N504" s="98" t="n"/>
      <c r="O504" s="99" t="n"/>
      <c r="P504" s="100" t="inlineStr">
        <is>
          <t>6-PR</t>
        </is>
      </c>
      <c r="Q504" s="102" t="inlineStr">
        <is>
          <t>제이케이시스템</t>
        </is>
      </c>
      <c r="R504" s="110">
        <f>HYPERLINK("#'마스터_품목'!A561","→ 마스터 R561")</f>
        <v/>
      </c>
      <c r="S504" s="111" t="n">
        <v>561</v>
      </c>
      <c r="T504" s="111" t="inlineStr">
        <is>
          <t>마스터_품목</t>
        </is>
      </c>
    </row>
    <row r="505" ht="48" customHeight="1">
      <c r="A505" s="87" t="inlineStr">
        <is>
          <t>창고</t>
        </is>
      </c>
      <c r="B505" s="87" t="inlineStr">
        <is>
          <t>브라켓</t>
        </is>
      </c>
      <c r="C505" s="88" t="inlineStr">
        <is>
          <t>ADX6000</t>
        </is>
      </c>
      <c r="D505" s="88" t="inlineStr">
        <is>
          <t>국내용 스탠드 브라켓 3. TILT BODY
[ADX6000]</t>
        </is>
      </c>
      <c r="E505" s="88" t="inlineStr">
        <is>
          <t>국내용 스탠드 브라켓 3. TILT BODY</t>
        </is>
      </c>
      <c r="F505" s="90" t="inlineStr">
        <is>
          <t>O</t>
        </is>
      </c>
      <c r="G505" s="91" t="n"/>
      <c r="H505" s="92" t="n"/>
      <c r="I505" s="93" t="inlineStr">
        <is>
          <t>PR</t>
        </is>
      </c>
      <c r="J505" s="94" t="n"/>
      <c r="K505" s="95" t="n"/>
      <c r="L505" s="96" t="inlineStr">
        <is>
          <t>O</t>
        </is>
      </c>
      <c r="M505" s="97" t="n"/>
      <c r="N505" s="98" t="n"/>
      <c r="O505" s="99" t="n"/>
      <c r="P505" s="100" t="inlineStr">
        <is>
          <t>6-PR</t>
        </is>
      </c>
      <c r="Q505" s="102" t="inlineStr">
        <is>
          <t>제이케이시스템</t>
        </is>
      </c>
      <c r="R505" s="110">
        <f>HYPERLINK("#'마스터_품목'!A562","→ 마스터 R562")</f>
        <v/>
      </c>
      <c r="S505" s="111" t="n">
        <v>562</v>
      </c>
      <c r="T505" s="111" t="inlineStr">
        <is>
          <t>마스터_품목</t>
        </is>
      </c>
    </row>
    <row r="506" ht="48" customHeight="1">
      <c r="A506" s="87" t="inlineStr">
        <is>
          <t>창고</t>
        </is>
      </c>
      <c r="B506" s="87" t="inlineStr">
        <is>
          <t>브라켓</t>
        </is>
      </c>
      <c r="C506" s="88" t="inlineStr">
        <is>
          <t>ADX6000</t>
        </is>
      </c>
      <c r="D506" s="88" t="inlineStr">
        <is>
          <t>국내용 스탠드 브라켓 4. BASE
[ADX6000]</t>
        </is>
      </c>
      <c r="E506" s="88" t="inlineStr">
        <is>
          <t>국내용 스탠드 브라켓 4. BASE</t>
        </is>
      </c>
      <c r="F506" s="90" t="inlineStr">
        <is>
          <t>O</t>
        </is>
      </c>
      <c r="G506" s="91" t="n"/>
      <c r="H506" s="92" t="n"/>
      <c r="I506" s="93" t="inlineStr">
        <is>
          <t>PR</t>
        </is>
      </c>
      <c r="J506" s="94" t="n"/>
      <c r="K506" s="95" t="n"/>
      <c r="L506" s="96" t="inlineStr">
        <is>
          <t>O</t>
        </is>
      </c>
      <c r="M506" s="97" t="n"/>
      <c r="N506" s="98" t="n"/>
      <c r="O506" s="99" t="n"/>
      <c r="P506" s="100" t="inlineStr">
        <is>
          <t>6-PR</t>
        </is>
      </c>
      <c r="Q506" s="102" t="inlineStr">
        <is>
          <t>제이케이시스템</t>
        </is>
      </c>
      <c r="R506" s="110">
        <f>HYPERLINK("#'마스터_품목'!A563","→ 마스터 R563")</f>
        <v/>
      </c>
      <c r="S506" s="111" t="n">
        <v>563</v>
      </c>
      <c r="T506" s="111" t="inlineStr">
        <is>
          <t>마스터_품목</t>
        </is>
      </c>
    </row>
    <row r="507" ht="48" customHeight="1">
      <c r="A507" s="87" t="inlineStr">
        <is>
          <t>창고</t>
        </is>
      </c>
      <c r="B507" s="87" t="inlineStr">
        <is>
          <t>브라켓</t>
        </is>
      </c>
      <c r="C507" s="88" t="inlineStr">
        <is>
          <t>ADX6000</t>
        </is>
      </c>
      <c r="D507" s="88" t="inlineStr">
        <is>
          <t>국내용 스탠드 브라켓 5. SHAFT
[ADX6000]</t>
        </is>
      </c>
      <c r="E507" s="88" t="inlineStr">
        <is>
          <t>국내용 스탠드 브라켓 5. SHAFT</t>
        </is>
      </c>
      <c r="F507" s="90" t="inlineStr">
        <is>
          <t>O</t>
        </is>
      </c>
      <c r="G507" s="91" t="n"/>
      <c r="H507" s="92" t="n"/>
      <c r="I507" s="93" t="inlineStr">
        <is>
          <t>PR</t>
        </is>
      </c>
      <c r="J507" s="94" t="n"/>
      <c r="K507" s="95" t="n"/>
      <c r="L507" s="96" t="inlineStr">
        <is>
          <t>O</t>
        </is>
      </c>
      <c r="M507" s="97" t="n"/>
      <c r="N507" s="98" t="n"/>
      <c r="O507" s="99" t="n"/>
      <c r="P507" s="100" t="inlineStr">
        <is>
          <t>6-PR</t>
        </is>
      </c>
      <c r="Q507" s="102" t="inlineStr">
        <is>
          <t>제이케이시스템</t>
        </is>
      </c>
      <c r="R507" s="110">
        <f>HYPERLINK("#'마스터_품목'!A564","→ 마스터 R564")</f>
        <v/>
      </c>
      <c r="S507" s="111" t="n">
        <v>564</v>
      </c>
      <c r="T507" s="111" t="inlineStr">
        <is>
          <t>마스터_품목</t>
        </is>
      </c>
    </row>
    <row r="508" ht="48" customHeight="1">
      <c r="A508" s="87" t="inlineStr">
        <is>
          <t>창고</t>
        </is>
      </c>
      <c r="B508" s="87" t="inlineStr">
        <is>
          <t>브라켓</t>
        </is>
      </c>
      <c r="C508" s="88" t="inlineStr">
        <is>
          <t>ADX6000</t>
        </is>
      </c>
      <c r="D508" s="88" t="inlineStr">
        <is>
          <t>국내용 스탠드 브라켓 6. PUSH PLATE
[ADX6000]</t>
        </is>
      </c>
      <c r="E508" s="88" t="inlineStr">
        <is>
          <t>국내용 스탠드 브라켓 6. PUSH PLATE</t>
        </is>
      </c>
      <c r="F508" s="90" t="inlineStr">
        <is>
          <t>O</t>
        </is>
      </c>
      <c r="G508" s="91" t="n"/>
      <c r="H508" s="92" t="n"/>
      <c r="I508" s="93" t="inlineStr">
        <is>
          <t>PR</t>
        </is>
      </c>
      <c r="J508" s="94" t="n"/>
      <c r="K508" s="95" t="n"/>
      <c r="L508" s="96" t="inlineStr">
        <is>
          <t>O</t>
        </is>
      </c>
      <c r="M508" s="97" t="n"/>
      <c r="N508" s="98" t="n"/>
      <c r="O508" s="99" t="n"/>
      <c r="P508" s="100" t="inlineStr">
        <is>
          <t>6-PR</t>
        </is>
      </c>
      <c r="Q508" s="102" t="inlineStr">
        <is>
          <t>제이케이시스템</t>
        </is>
      </c>
      <c r="R508" s="110">
        <f>HYPERLINK("#'마스터_품목'!A565","→ 마스터 R565")</f>
        <v/>
      </c>
      <c r="S508" s="111" t="n">
        <v>565</v>
      </c>
      <c r="T508" s="111" t="inlineStr">
        <is>
          <t>마스터_품목</t>
        </is>
      </c>
    </row>
    <row r="509" ht="48" customHeight="1">
      <c r="A509" s="87" t="inlineStr">
        <is>
          <t>창고</t>
        </is>
      </c>
      <c r="B509" s="87" t="inlineStr">
        <is>
          <t>브라켓</t>
        </is>
      </c>
      <c r="C509" s="88" t="inlineStr">
        <is>
          <t>ADX6000</t>
        </is>
      </c>
      <c r="D509" s="88" t="inlineStr">
        <is>
          <t>국내용 스탠드 브라켓 7. EASY LOCK PLATE
[ADX6000]</t>
        </is>
      </c>
      <c r="E509" s="88" t="inlineStr">
        <is>
          <t>국내용 스탠드 브라켓 7. EASY LOCK PLATE</t>
        </is>
      </c>
      <c r="F509" s="90" t="inlineStr">
        <is>
          <t>O</t>
        </is>
      </c>
      <c r="G509" s="91" t="n"/>
      <c r="H509" s="92" t="n"/>
      <c r="I509" s="93" t="inlineStr">
        <is>
          <t>PR</t>
        </is>
      </c>
      <c r="J509" s="94" t="n"/>
      <c r="K509" s="95" t="n"/>
      <c r="L509" s="96" t="inlineStr">
        <is>
          <t>O</t>
        </is>
      </c>
      <c r="M509" s="97" t="n"/>
      <c r="N509" s="98" t="n"/>
      <c r="O509" s="99" t="n"/>
      <c r="P509" s="100" t="inlineStr">
        <is>
          <t>6-PR</t>
        </is>
      </c>
      <c r="Q509" s="102" t="inlineStr">
        <is>
          <t>제이케이시스템</t>
        </is>
      </c>
      <c r="R509" s="110">
        <f>HYPERLINK("#'마스터_품목'!A566","→ 마스터 R566")</f>
        <v/>
      </c>
      <c r="S509" s="111" t="n">
        <v>566</v>
      </c>
      <c r="T509" s="111" t="inlineStr">
        <is>
          <t>마스터_품목</t>
        </is>
      </c>
    </row>
    <row r="510" ht="48" customHeight="1">
      <c r="A510" s="87" t="inlineStr">
        <is>
          <t>창고</t>
        </is>
      </c>
      <c r="B510" s="87" t="inlineStr">
        <is>
          <t>브라켓</t>
        </is>
      </c>
      <c r="C510" s="88" t="inlineStr">
        <is>
          <t>ADX6000</t>
        </is>
      </c>
      <c r="D510" s="88" t="inlineStr">
        <is>
          <t>국내용 스탠드 브라켓 8. MOUNT
[ADX6000]</t>
        </is>
      </c>
      <c r="E510" s="88" t="inlineStr">
        <is>
          <t>국내용 스탠드 브라켓 8. MOUNT</t>
        </is>
      </c>
      <c r="F510" s="90" t="inlineStr">
        <is>
          <t>O</t>
        </is>
      </c>
      <c r="G510" s="91" t="n"/>
      <c r="H510" s="92" t="n"/>
      <c r="I510" s="93" t="inlineStr">
        <is>
          <t>PR</t>
        </is>
      </c>
      <c r="J510" s="94" t="n"/>
      <c r="K510" s="95" t="n"/>
      <c r="L510" s="96" t="inlineStr">
        <is>
          <t>O</t>
        </is>
      </c>
      <c r="M510" s="97" t="n"/>
      <c r="N510" s="98" t="n"/>
      <c r="O510" s="99" t="n"/>
      <c r="P510" s="100" t="inlineStr">
        <is>
          <t>6-PR</t>
        </is>
      </c>
      <c r="Q510" s="102" t="inlineStr">
        <is>
          <t>제이케이시스템</t>
        </is>
      </c>
      <c r="R510" s="110">
        <f>HYPERLINK("#'마스터_품목'!A567","→ 마스터 R567")</f>
        <v/>
      </c>
      <c r="S510" s="111" t="n">
        <v>567</v>
      </c>
      <c r="T510" s="111" t="inlineStr">
        <is>
          <t>마스터_품목</t>
        </is>
      </c>
    </row>
    <row r="511" ht="48" customHeight="1">
      <c r="A511" s="87" t="inlineStr">
        <is>
          <t>창고</t>
        </is>
      </c>
      <c r="B511" s="87" t="inlineStr">
        <is>
          <t>브라켓</t>
        </is>
      </c>
      <c r="C511" s="88" t="inlineStr">
        <is>
          <t>ADX6000</t>
        </is>
      </c>
      <c r="D511" s="88" t="inlineStr">
        <is>
          <t>국내용 스탠드 브라켓 9. 조임 손잡이
[ADX6000]</t>
        </is>
      </c>
      <c r="E511" s="88" t="inlineStr">
        <is>
          <t>국내용 스탠드 브라켓 9. 조임 손잡이</t>
        </is>
      </c>
      <c r="F511" s="90" t="inlineStr">
        <is>
          <t>O</t>
        </is>
      </c>
      <c r="G511" s="91" t="n"/>
      <c r="H511" s="92" t="n"/>
      <c r="I511" s="93" t="inlineStr">
        <is>
          <t>PR</t>
        </is>
      </c>
      <c r="J511" s="94" t="n"/>
      <c r="K511" s="95" t="n"/>
      <c r="L511" s="96" t="inlineStr">
        <is>
          <t>O</t>
        </is>
      </c>
      <c r="M511" s="97" t="n"/>
      <c r="N511" s="98" t="n"/>
      <c r="O511" s="99" t="n"/>
      <c r="P511" s="100" t="inlineStr">
        <is>
          <t>6-PR</t>
        </is>
      </c>
      <c r="Q511" s="102" t="inlineStr">
        <is>
          <t>제이케이시스템</t>
        </is>
      </c>
      <c r="R511" s="110">
        <f>HYPERLINK("#'마스터_품목'!A568","→ 마스터 R568")</f>
        <v/>
      </c>
      <c r="S511" s="111" t="n">
        <v>568</v>
      </c>
      <c r="T511" s="111" t="inlineStr">
        <is>
          <t>마스터_품목</t>
        </is>
      </c>
    </row>
    <row r="512" ht="48" customHeight="1">
      <c r="A512" s="87" t="inlineStr">
        <is>
          <t>창고</t>
        </is>
      </c>
      <c r="B512" s="87" t="inlineStr">
        <is>
          <t>전자 각도기</t>
        </is>
      </c>
      <c r="C512" s="88" t="inlineStr">
        <is>
          <t>ADX6000S</t>
        </is>
      </c>
      <c r="D512" s="88" t="inlineStr">
        <is>
          <t>전자 각도기
[ADX6000S]</t>
        </is>
      </c>
      <c r="E512" s="88" t="inlineStr">
        <is>
          <t>전자 각도기</t>
        </is>
      </c>
      <c r="F512" s="90" t="inlineStr">
        <is>
          <t>O</t>
        </is>
      </c>
      <c r="G512" s="91" t="n"/>
      <c r="H512" s="92" t="n"/>
      <c r="I512" s="93" t="inlineStr">
        <is>
          <t>PR</t>
        </is>
      </c>
      <c r="J512" s="94" t="n"/>
      <c r="K512" s="95" t="n"/>
      <c r="L512" s="96" t="inlineStr">
        <is>
          <t>O</t>
        </is>
      </c>
      <c r="M512" s="97" t="n"/>
      <c r="N512" s="98" t="n"/>
      <c r="O512" s="99" t="n"/>
      <c r="P512" s="100" t="inlineStr">
        <is>
          <t>6-PR</t>
        </is>
      </c>
      <c r="Q512" s="102" t="inlineStr">
        <is>
          <t>제이케이시스템</t>
        </is>
      </c>
      <c r="R512" s="110">
        <f>HYPERLINK("#'마스터_품목'!A633","→ 마스터 R633")</f>
        <v/>
      </c>
      <c r="S512" s="111" t="n">
        <v>633</v>
      </c>
      <c r="T512" s="111" t="inlineStr">
        <is>
          <t>마스터_품목</t>
        </is>
      </c>
    </row>
    <row r="513" ht="48" customHeight="1">
      <c r="A513" s="87" t="inlineStr">
        <is>
          <t>창고</t>
        </is>
      </c>
      <c r="B513" s="87" t="inlineStr">
        <is>
          <t>AL 거치대</t>
        </is>
      </c>
      <c r="C513" s="88" t="inlineStr">
        <is>
          <t>ADX6000</t>
        </is>
      </c>
      <c r="D513" s="88" t="inlineStr">
        <is>
          <t>각도기 거치대
[ADX6000]</t>
        </is>
      </c>
      <c r="E513" s="88" t="inlineStr">
        <is>
          <t>각도기 거치대</t>
        </is>
      </c>
      <c r="F513" s="90" t="inlineStr">
        <is>
          <t>O</t>
        </is>
      </c>
      <c r="G513" s="91" t="n"/>
      <c r="H513" s="92" t="n"/>
      <c r="I513" s="93" t="inlineStr">
        <is>
          <t>PR</t>
        </is>
      </c>
      <c r="J513" s="94" t="n"/>
      <c r="K513" s="95" t="n"/>
      <c r="L513" s="96" t="inlineStr">
        <is>
          <t>O</t>
        </is>
      </c>
      <c r="M513" s="97" t="n"/>
      <c r="N513" s="98" t="n"/>
      <c r="O513" s="99" t="n"/>
      <c r="P513" s="100" t="inlineStr">
        <is>
          <t>6-PR</t>
        </is>
      </c>
      <c r="Q513" s="102" t="inlineStr">
        <is>
          <t>다우정밀</t>
        </is>
      </c>
      <c r="R513" s="110">
        <f>HYPERLINK("#'마스터_품목'!A634","→ 마스터 R634")</f>
        <v/>
      </c>
      <c r="S513" s="111" t="n">
        <v>634</v>
      </c>
      <c r="T513" s="111" t="inlineStr">
        <is>
          <t>마스터_품목</t>
        </is>
      </c>
    </row>
    <row r="514" ht="48" customHeight="1">
      <c r="A514" s="87" t="inlineStr">
        <is>
          <t>창고</t>
        </is>
      </c>
      <c r="B514" s="87" t="inlineStr">
        <is>
          <t>SUS</t>
        </is>
      </c>
      <c r="C514" s="88" t="inlineStr">
        <is>
          <t>ADX6000</t>
        </is>
      </c>
      <c r="D514" s="88" t="inlineStr">
        <is>
          <t>각도기 내부 철판
[ADX6000]</t>
        </is>
      </c>
      <c r="E514" s="88" t="inlineStr">
        <is>
          <t>각도기 내부 철판</t>
        </is>
      </c>
      <c r="F514" s="90" t="inlineStr">
        <is>
          <t>O</t>
        </is>
      </c>
      <c r="G514" s="91" t="n"/>
      <c r="H514" s="92" t="n"/>
      <c r="I514" s="93" t="inlineStr">
        <is>
          <t>PR</t>
        </is>
      </c>
      <c r="J514" s="94" t="n"/>
      <c r="K514" s="95" t="n"/>
      <c r="L514" s="96" t="inlineStr">
        <is>
          <t>O</t>
        </is>
      </c>
      <c r="M514" s="97" t="n"/>
      <c r="N514" s="98" t="n"/>
      <c r="O514" s="99" t="n"/>
      <c r="P514" s="100" t="inlineStr">
        <is>
          <t>6-PR</t>
        </is>
      </c>
      <c r="Q514" s="102" t="inlineStr">
        <is>
          <t>다우정밀</t>
        </is>
      </c>
      <c r="R514" s="110">
        <f>HYPERLINK("#'마스터_품목'!A635","→ 마스터 R635")</f>
        <v/>
      </c>
      <c r="S514" s="111" t="n">
        <v>635</v>
      </c>
      <c r="T514" s="111" t="inlineStr">
        <is>
          <t>마스터_품목</t>
        </is>
      </c>
    </row>
    <row r="515" ht="48" customHeight="1">
      <c r="A515" s="126" t="inlineStr">
        <is>
          <t>출하</t>
        </is>
      </c>
      <c r="B515" s="87" t="inlineStr">
        <is>
          <t>ABS 난연</t>
        </is>
      </c>
      <c r="C515" s="88" t="inlineStr">
        <is>
          <t>ADX6000</t>
        </is>
      </c>
      <c r="D515" s="88" t="inlineStr">
        <is>
          <t>각도기 홀더
[ADX6000]</t>
        </is>
      </c>
      <c r="E515" s="88" t="n"/>
      <c r="F515" s="90" t="inlineStr">
        <is>
          <t>O</t>
        </is>
      </c>
      <c r="G515" s="91" t="n"/>
      <c r="H515" s="92" t="n"/>
      <c r="I515" s="93">
        <f>IFERROR(IF(OR($F515="O",$G515="O",$H515="O"),CHOOSE(MATCH($A515,{"튜브","고압","진공","튜닝","조립","출하"},0),"T","H","V","N","A","P")&amp;IF($F515="O","R",IF($G515="O","A",IF($H515="O","F",""))),""),"")</f>
        <v/>
      </c>
      <c r="J515" s="94" t="n"/>
      <c r="K515" s="95" t="n"/>
      <c r="L515" s="121" t="inlineStr">
        <is>
          <t>O</t>
        </is>
      </c>
      <c r="M515" s="97" t="n"/>
      <c r="N515" s="98" t="n"/>
      <c r="O515" s="99" t="n"/>
      <c r="P515" s="100">
        <f>IF($I515="","",IF($J515="O","3","")&amp;IF($K515="O","4","")&amp;IF($L515="O","6","")&amp;IF($M515="O","7","")&amp;IF($N515="O","8","")&amp;IF($O515="O","?","")&amp;IF(OR($J515="O",$K515="O",$L515="O",$M515="O",$N515="O",$O515="O"),"-","")&amp;$I515)</f>
        <v/>
      </c>
      <c r="Q515" s="102" t="inlineStr">
        <is>
          <t>제이케이시스템</t>
        </is>
      </c>
      <c r="R515" s="110">
        <f>HYPERLINK("#'마스터_품목'!A807","→ 마스터 R807")</f>
        <v/>
      </c>
      <c r="S515" s="111" t="n">
        <v>807</v>
      </c>
      <c r="T515" s="111" t="inlineStr">
        <is>
          <t>마스터_품목</t>
        </is>
      </c>
    </row>
    <row r="516" ht="48" customHeight="1">
      <c r="A516" s="87" t="inlineStr">
        <is>
          <t>창고</t>
        </is>
      </c>
      <c r="B516" s="87" t="inlineStr">
        <is>
          <t>완제품</t>
        </is>
      </c>
      <c r="C516" s="88" t="inlineStr">
        <is>
          <t>공용</t>
        </is>
      </c>
      <c r="D516" s="88" t="inlineStr">
        <is>
          <t>AlmyT STAND BODY SET
[공용]</t>
        </is>
      </c>
      <c r="E516" s="88" t="inlineStr">
        <is>
          <t>AllMyT Stand Base</t>
        </is>
      </c>
      <c r="F516" s="90" t="inlineStr">
        <is>
          <t>O</t>
        </is>
      </c>
      <c r="G516" s="91" t="n"/>
      <c r="H516" s="92" t="n"/>
      <c r="I516" s="93" t="inlineStr">
        <is>
          <t>PR</t>
        </is>
      </c>
      <c r="J516" s="94" t="inlineStr">
        <is>
          <t>O</t>
        </is>
      </c>
      <c r="K516" s="95" t="inlineStr">
        <is>
          <t>O</t>
        </is>
      </c>
      <c r="L516" s="96" t="inlineStr">
        <is>
          <t>O</t>
        </is>
      </c>
      <c r="M516" s="97" t="n"/>
      <c r="N516" s="98" t="n"/>
      <c r="O516" s="99" t="n"/>
      <c r="P516" s="100" t="inlineStr">
        <is>
          <t>346-PR</t>
        </is>
      </c>
      <c r="Q516" s="102" t="inlineStr">
        <is>
          <t>에이스힌지텍</t>
        </is>
      </c>
      <c r="R516" s="110">
        <f>HYPERLINK("#'마스터_품목'!A570","→ 마스터 R570")</f>
        <v/>
      </c>
      <c r="S516" s="111" t="n">
        <v>570</v>
      </c>
      <c r="T516" s="111" t="inlineStr">
        <is>
          <t>마스터_품목</t>
        </is>
      </c>
    </row>
    <row r="517" ht="48" customHeight="1">
      <c r="A517" s="87" t="inlineStr">
        <is>
          <t>창고</t>
        </is>
      </c>
      <c r="B517" s="87" t="inlineStr">
        <is>
          <t>완제품</t>
        </is>
      </c>
      <c r="C517" s="88" t="inlineStr">
        <is>
          <t>공용</t>
        </is>
      </c>
      <c r="D517" s="88" t="inlineStr">
        <is>
          <t>AlmyT STAND ACC SET
[공용]</t>
        </is>
      </c>
      <c r="E517" s="88" t="inlineStr">
        <is>
          <t>AllMyT Stand Arm 및 Accessory</t>
        </is>
      </c>
      <c r="F517" s="90" t="inlineStr">
        <is>
          <t>O</t>
        </is>
      </c>
      <c r="G517" s="91" t="n"/>
      <c r="H517" s="92" t="n"/>
      <c r="I517" s="93" t="inlineStr">
        <is>
          <t>PR</t>
        </is>
      </c>
      <c r="J517" s="94" t="inlineStr">
        <is>
          <t>O</t>
        </is>
      </c>
      <c r="K517" s="95" t="inlineStr">
        <is>
          <t>O</t>
        </is>
      </c>
      <c r="L517" s="96" t="inlineStr">
        <is>
          <t>O</t>
        </is>
      </c>
      <c r="M517" s="97" t="n"/>
      <c r="N517" s="98" t="n"/>
      <c r="O517" s="99" t="n"/>
      <c r="P517" s="100" t="inlineStr">
        <is>
          <t>346-PR</t>
        </is>
      </c>
      <c r="Q517" s="102" t="inlineStr">
        <is>
          <t>에이스힌지텍</t>
        </is>
      </c>
      <c r="R517" s="110">
        <f>HYPERLINK("#'마스터_품목'!A571","→ 마스터 R571")</f>
        <v/>
      </c>
      <c r="S517" s="111" t="n">
        <v>571</v>
      </c>
      <c r="T517" s="111" t="inlineStr">
        <is>
          <t>마스터_품목</t>
        </is>
      </c>
    </row>
    <row r="518" ht="48" customHeight="1">
      <c r="A518" s="87" t="inlineStr">
        <is>
          <t>창고</t>
        </is>
      </c>
      <c r="B518" s="87" t="inlineStr">
        <is>
          <t>아크릴</t>
        </is>
      </c>
      <c r="C518" s="88" t="inlineStr">
        <is>
          <t>ADX6000S</t>
        </is>
      </c>
      <c r="D518" s="88" t="inlineStr">
        <is>
          <t>사각 줄자 가이드
[ADX6000S]</t>
        </is>
      </c>
      <c r="E518" s="88" t="inlineStr">
        <is>
          <t>사각 줄자 가이드</t>
        </is>
      </c>
      <c r="F518" s="90" t="inlineStr">
        <is>
          <t>O</t>
        </is>
      </c>
      <c r="G518" s="91" t="n"/>
      <c r="H518" s="92" t="n"/>
      <c r="I518" s="93" t="inlineStr">
        <is>
          <t>PR</t>
        </is>
      </c>
      <c r="J518" s="94" t="n"/>
      <c r="K518" s="95" t="n"/>
      <c r="L518" s="96" t="inlineStr">
        <is>
          <t>O</t>
        </is>
      </c>
      <c r="M518" s="97" t="n"/>
      <c r="N518" s="98" t="n"/>
      <c r="O518" s="99" t="n"/>
      <c r="P518" s="100" t="inlineStr">
        <is>
          <t>6-PR</t>
        </is>
      </c>
      <c r="Q518" s="102" t="inlineStr">
        <is>
          <t>아크릴최가</t>
        </is>
      </c>
      <c r="R518" s="110">
        <f>HYPERLINK("#'마스터_품목'!A630","→ 마스터 R630")</f>
        <v/>
      </c>
      <c r="S518" s="111" t="n">
        <v>630</v>
      </c>
      <c r="T518" s="111" t="inlineStr">
        <is>
          <t>마스터_품목</t>
        </is>
      </c>
    </row>
    <row r="519" ht="48" customHeight="1">
      <c r="A519" s="87" t="inlineStr">
        <is>
          <t>창고</t>
        </is>
      </c>
      <c r="B519" s="87" t="inlineStr">
        <is>
          <t>완제품</t>
        </is>
      </c>
      <c r="C519" s="88" t="inlineStr">
        <is>
          <t>공용</t>
        </is>
      </c>
      <c r="D519" s="88" t="inlineStr">
        <is>
          <t>체스트 &amp; 베드 스탠드
[공용]</t>
        </is>
      </c>
      <c r="E519" s="88" t="inlineStr">
        <is>
          <t>체스트 &amp; 베드 STAND</t>
        </is>
      </c>
      <c r="F519" s="90" t="inlineStr">
        <is>
          <t>O</t>
        </is>
      </c>
      <c r="G519" s="91" t="n"/>
      <c r="H519" s="92" t="n"/>
      <c r="I519" s="93" t="inlineStr">
        <is>
          <t>PR</t>
        </is>
      </c>
      <c r="J519" s="94" t="n"/>
      <c r="K519" s="95" t="n"/>
      <c r="L519" s="96" t="inlineStr">
        <is>
          <t>O</t>
        </is>
      </c>
      <c r="M519" s="97" t="n"/>
      <c r="N519" s="98" t="n"/>
      <c r="O519" s="99" t="n"/>
      <c r="P519" s="100" t="inlineStr">
        <is>
          <t>6-PR</t>
        </is>
      </c>
      <c r="Q519" s="102" t="inlineStr">
        <is>
          <t>로움텍</t>
        </is>
      </c>
      <c r="R519" s="110">
        <f>HYPERLINK("#'마스터_품목'!A572","→ 마스터 R572")</f>
        <v/>
      </c>
      <c r="S519" s="111" t="n">
        <v>572</v>
      </c>
      <c r="T519" s="111" t="inlineStr">
        <is>
          <t>마스터_품목</t>
        </is>
      </c>
    </row>
    <row r="520" ht="48" customHeight="1">
      <c r="A520" s="87" t="inlineStr">
        <is>
          <t>창고</t>
        </is>
      </c>
      <c r="B520" s="87" t="inlineStr">
        <is>
          <t>완제품</t>
        </is>
      </c>
      <c r="C520" s="88" t="inlineStr">
        <is>
          <t>공용</t>
        </is>
      </c>
      <c r="D520" s="88" t="inlineStr">
        <is>
          <t>체스트 &amp; 베드 암 파이프
[공용]</t>
        </is>
      </c>
      <c r="E520" s="88" t="inlineStr">
        <is>
          <t>체스트 &amp; 베드 ARM PIPE</t>
        </is>
      </c>
      <c r="F520" s="90" t="inlineStr">
        <is>
          <t>O</t>
        </is>
      </c>
      <c r="G520" s="91" t="n"/>
      <c r="H520" s="92" t="n"/>
      <c r="I520" s="93" t="inlineStr">
        <is>
          <t>PR</t>
        </is>
      </c>
      <c r="J520" s="94" t="n"/>
      <c r="K520" s="95" t="n"/>
      <c r="L520" s="96" t="inlineStr">
        <is>
          <t>O</t>
        </is>
      </c>
      <c r="M520" s="97" t="n"/>
      <c r="N520" s="98" t="n"/>
      <c r="O520" s="99" t="n"/>
      <c r="P520" s="100" t="inlineStr">
        <is>
          <t>6-PR</t>
        </is>
      </c>
      <c r="Q520" s="102" t="inlineStr">
        <is>
          <t>로움텍</t>
        </is>
      </c>
      <c r="R520" s="110">
        <f>HYPERLINK("#'마스터_품목'!A574","→ 마스터 R574")</f>
        <v/>
      </c>
      <c r="S520" s="111" t="n">
        <v>574</v>
      </c>
      <c r="T520" s="111" t="inlineStr">
        <is>
          <t>마스터_품목</t>
        </is>
      </c>
    </row>
    <row r="521" ht="48" customHeight="1">
      <c r="A521" s="87" t="inlineStr">
        <is>
          <t>창고</t>
        </is>
      </c>
      <c r="B521" s="87" t="inlineStr">
        <is>
          <t>완제품</t>
        </is>
      </c>
      <c r="C521" s="88" t="inlineStr">
        <is>
          <t>공용</t>
        </is>
      </c>
      <c r="D521" s="88" t="inlineStr">
        <is>
          <t>체스트 &amp; 베드 조인트 암
[공용]</t>
        </is>
      </c>
      <c r="E521" s="88" t="inlineStr">
        <is>
          <t>체스트 &amp; 베드 JOINT ARM</t>
        </is>
      </c>
      <c r="F521" s="90" t="inlineStr">
        <is>
          <t>O</t>
        </is>
      </c>
      <c r="G521" s="91" t="n"/>
      <c r="H521" s="92" t="n"/>
      <c r="I521" s="93" t="inlineStr">
        <is>
          <t>PR</t>
        </is>
      </c>
      <c r="J521" s="94" t="n"/>
      <c r="K521" s="95" t="n"/>
      <c r="L521" s="96" t="inlineStr">
        <is>
          <t>O</t>
        </is>
      </c>
      <c r="M521" s="97" t="n"/>
      <c r="N521" s="98" t="n"/>
      <c r="O521" s="99" t="n"/>
      <c r="P521" s="100" t="inlineStr">
        <is>
          <t>6-PR</t>
        </is>
      </c>
      <c r="Q521" s="102" t="inlineStr">
        <is>
          <t>로움텍</t>
        </is>
      </c>
      <c r="R521" s="110">
        <f>HYPERLINK("#'마스터_품목'!A573","→ 마스터 R573")</f>
        <v/>
      </c>
      <c r="S521" s="111" t="n">
        <v>573</v>
      </c>
      <c r="T521" s="111" t="inlineStr">
        <is>
          <t>마스터_품목</t>
        </is>
      </c>
    </row>
    <row r="522" ht="48" customHeight="1">
      <c r="A522" s="87" t="inlineStr">
        <is>
          <t>창고</t>
        </is>
      </c>
      <c r="B522" s="87" t="inlineStr">
        <is>
          <t>완제품</t>
        </is>
      </c>
      <c r="C522" s="88" t="inlineStr">
        <is>
          <t>공용</t>
        </is>
      </c>
      <c r="D522" s="88" t="inlineStr">
        <is>
          <t>체스트 &amp; 베드 픽스 블럭 A, B (육각 렌치 3, 5)
[공용]</t>
        </is>
      </c>
      <c r="E522" s="88" t="inlineStr">
        <is>
          <t>체스트 &amp; 베드 FIX BLOCK A, B</t>
        </is>
      </c>
      <c r="F522" s="90" t="inlineStr">
        <is>
          <t>O</t>
        </is>
      </c>
      <c r="G522" s="91" t="n"/>
      <c r="H522" s="92" t="n"/>
      <c r="I522" s="93" t="inlineStr">
        <is>
          <t>PR</t>
        </is>
      </c>
      <c r="J522" s="94" t="n"/>
      <c r="K522" s="95" t="n"/>
      <c r="L522" s="96" t="inlineStr">
        <is>
          <t>O</t>
        </is>
      </c>
      <c r="M522" s="97" t="n"/>
      <c r="N522" s="98" t="n"/>
      <c r="O522" s="99" t="n"/>
      <c r="P522" s="100" t="inlineStr">
        <is>
          <t>6-PR</t>
        </is>
      </c>
      <c r="Q522" s="102" t="inlineStr">
        <is>
          <t>로움텍</t>
        </is>
      </c>
      <c r="R522" s="110">
        <f>HYPERLINK("#'마스터_품목'!A575","→ 마스터 R575")</f>
        <v/>
      </c>
      <c r="S522" s="111" t="n">
        <v>575</v>
      </c>
      <c r="T522" s="111" t="inlineStr">
        <is>
          <t>마스터_품목</t>
        </is>
      </c>
    </row>
    <row r="523" ht="48" customHeight="1">
      <c r="A523" s="87" t="inlineStr">
        <is>
          <t>창고</t>
        </is>
      </c>
      <c r="B523" s="87" t="inlineStr">
        <is>
          <t>유선리모콘</t>
        </is>
      </c>
      <c r="C523" s="88" t="inlineStr">
        <is>
          <t>공용</t>
        </is>
      </c>
      <c r="D523" s="88" t="inlineStr">
        <is>
          <t>REMOTE CONTROL (RW20, 3m + 샘플 1EA)
[공용]</t>
        </is>
      </c>
      <c r="E523" s="88" t="inlineStr">
        <is>
          <t>REMOTE CONTROL [RW20]- 3M</t>
        </is>
      </c>
      <c r="F523" s="90" t="inlineStr">
        <is>
          <t>O</t>
        </is>
      </c>
      <c r="G523" s="91" t="n"/>
      <c r="H523" s="92" t="n"/>
      <c r="I523" s="93" t="inlineStr">
        <is>
          <t>PR</t>
        </is>
      </c>
      <c r="J523" s="94" t="inlineStr">
        <is>
          <t>O</t>
        </is>
      </c>
      <c r="K523" s="95" t="inlineStr">
        <is>
          <t>O</t>
        </is>
      </c>
      <c r="L523" s="96" t="inlineStr">
        <is>
          <t>O</t>
        </is>
      </c>
      <c r="M523" s="97" t="inlineStr">
        <is>
          <t>O</t>
        </is>
      </c>
      <c r="N523" s="98" t="inlineStr">
        <is>
          <t>O</t>
        </is>
      </c>
      <c r="O523" s="99" t="n"/>
      <c r="P523" s="100" t="inlineStr">
        <is>
          <t>34678-PR</t>
        </is>
      </c>
      <c r="Q523" s="102" t="inlineStr">
        <is>
          <t>중국</t>
        </is>
      </c>
      <c r="R523" s="110">
        <f>HYPERLINK("#'마스터_품목'!A626","→ 마스터 R626")</f>
        <v/>
      </c>
      <c r="S523" s="111" t="n">
        <v>626</v>
      </c>
      <c r="T523" s="111" t="inlineStr">
        <is>
          <t>마스터_품목</t>
        </is>
      </c>
    </row>
    <row r="524" ht="48" customHeight="1">
      <c r="A524" s="87" t="inlineStr">
        <is>
          <t>창고</t>
        </is>
      </c>
      <c r="B524" s="87" t="inlineStr">
        <is>
          <t>완제품</t>
        </is>
      </c>
      <c r="C524" s="88" t="inlineStr">
        <is>
          <t>공용</t>
        </is>
      </c>
      <c r="D524" s="88" t="inlineStr">
        <is>
          <t>접이식 스탠드 SET (정형외과용)
[공용]</t>
        </is>
      </c>
      <c r="E524" s="88" t="inlineStr">
        <is>
          <t>접이식 정형외과용 스탠드 세트</t>
        </is>
      </c>
      <c r="F524" s="90" t="inlineStr">
        <is>
          <t>O</t>
        </is>
      </c>
      <c r="G524" s="91" t="n"/>
      <c r="H524" s="92" t="n"/>
      <c r="I524" s="93" t="inlineStr">
        <is>
          <t>PR</t>
        </is>
      </c>
      <c r="J524" s="94" t="n"/>
      <c r="K524" s="95" t="n"/>
      <c r="L524" s="96" t="inlineStr">
        <is>
          <t>O</t>
        </is>
      </c>
      <c r="M524" s="97" t="n"/>
      <c r="N524" s="98" t="n"/>
      <c r="O524" s="99" t="n"/>
      <c r="P524" s="100" t="inlineStr">
        <is>
          <t>6-PR</t>
        </is>
      </c>
      <c r="Q524" s="102" t="inlineStr">
        <is>
          <t>로움텍</t>
        </is>
      </c>
      <c r="R524" s="110">
        <f>HYPERLINK("#'마스터_품목'!A580","→ 마스터 R580")</f>
        <v/>
      </c>
      <c r="S524" s="111" t="n">
        <v>580</v>
      </c>
      <c r="T524" s="111" t="inlineStr">
        <is>
          <t>마스터_품목</t>
        </is>
      </c>
    </row>
    <row r="525" ht="48" customHeight="1">
      <c r="A525" s="126" t="inlineStr">
        <is>
          <t>출하</t>
        </is>
      </c>
      <c r="B525" s="87" t="inlineStr">
        <is>
          <t>유선리모콘</t>
        </is>
      </c>
      <c r="C525" s="88" t="inlineStr">
        <is>
          <t>공용</t>
        </is>
      </c>
      <c r="D525" s="88" t="inlineStr">
        <is>
          <t>FOOT SWITCH
[공용]</t>
        </is>
      </c>
      <c r="E525" s="88" t="n"/>
      <c r="F525" s="90" t="inlineStr">
        <is>
          <t>O</t>
        </is>
      </c>
      <c r="G525" s="91" t="n"/>
      <c r="H525" s="92" t="n"/>
      <c r="I525" s="93">
        <f>IFERROR(IF(OR($F525="O",$G525="O",$H525="O"),CHOOSE(MATCH($A525,{"튜브","고압","진공","튜닝","조립","출하"},0),"T","H","V","N","A","P")&amp;IF($F525="O","R",IF($G525="O","A",IF($H525="O","F",""))),""),"")</f>
        <v/>
      </c>
      <c r="J525" s="124" t="inlineStr">
        <is>
          <t>O</t>
        </is>
      </c>
      <c r="K525" s="125" t="inlineStr">
        <is>
          <t>O</t>
        </is>
      </c>
      <c r="L525" s="121" t="inlineStr">
        <is>
          <t>O</t>
        </is>
      </c>
      <c r="M525" s="97" t="n"/>
      <c r="N525" s="123" t="inlineStr">
        <is>
          <t>O</t>
        </is>
      </c>
      <c r="O525" s="99" t="n"/>
      <c r="P525" s="100">
        <f>IF($I525="","",IF($J525="O","3","")&amp;IF($K525="O","4","")&amp;IF($L525="O","6","")&amp;IF($M525="O","7","")&amp;IF($N525="O","8","")&amp;IF($O525="O","?","")&amp;IF(OR($J525="O",$K525="O",$L525="O",$M525="O",$N525="O",$O525="O"),"-","")&amp;$I525)</f>
        <v/>
      </c>
      <c r="Q525" s="102" t="inlineStr">
        <is>
          <t>직구</t>
        </is>
      </c>
      <c r="R525" s="110">
        <f>HYPERLINK("#'마스터_품목'!A808","→ 마스터 R808")</f>
        <v/>
      </c>
      <c r="S525" s="111" t="n">
        <v>808</v>
      </c>
      <c r="T525" s="111" t="inlineStr">
        <is>
          <t>마스터_품목</t>
        </is>
      </c>
    </row>
    <row r="526" ht="48" customHeight="1">
      <c r="A526" s="87" t="inlineStr">
        <is>
          <t>창고</t>
        </is>
      </c>
      <c r="B526" s="87" t="inlineStr">
        <is>
          <t>오링</t>
        </is>
      </c>
      <c r="C526" s="88" t="inlineStr">
        <is>
          <t>공용</t>
        </is>
      </c>
      <c r="D526" s="88" t="inlineStr">
        <is>
          <t>쉴드 오링 (AN-036, 60∮)
[공용]</t>
        </is>
      </c>
      <c r="E526" s="88" t="inlineStr">
        <is>
          <t>실드 오링[60∮] _ AN-036</t>
        </is>
      </c>
      <c r="F526" s="90" t="inlineStr">
        <is>
          <t>O</t>
        </is>
      </c>
      <c r="G526" s="91" t="n"/>
      <c r="H526" s="92" t="n"/>
      <c r="I526" s="93" t="inlineStr">
        <is>
          <t>PR</t>
        </is>
      </c>
      <c r="J526" s="94" t="inlineStr">
        <is>
          <t>O</t>
        </is>
      </c>
      <c r="K526" s="95" t="inlineStr">
        <is>
          <t>O</t>
        </is>
      </c>
      <c r="L526" s="96" t="n"/>
      <c r="M526" s="97" t="inlineStr">
        <is>
          <t>O</t>
        </is>
      </c>
      <c r="N526" s="98" t="inlineStr">
        <is>
          <t>O</t>
        </is>
      </c>
      <c r="O526" s="99" t="n"/>
      <c r="P526" s="100" t="inlineStr">
        <is>
          <t>3478-PR</t>
        </is>
      </c>
      <c r="Q526" s="102" t="inlineStr">
        <is>
          <t>직구</t>
        </is>
      </c>
      <c r="R526" s="110">
        <f>HYPERLINK("#'마스터_품목'!A605","→ 마스터 R605")</f>
        <v/>
      </c>
      <c r="S526" s="111" t="n">
        <v>605</v>
      </c>
      <c r="T526" s="111" t="inlineStr">
        <is>
          <t>마스터_품목</t>
        </is>
      </c>
    </row>
    <row r="527" ht="48" customHeight="1">
      <c r="A527" s="126" t="inlineStr">
        <is>
          <t>출하</t>
        </is>
      </c>
      <c r="B527" s="87" t="inlineStr">
        <is>
          <t>스위치</t>
        </is>
      </c>
      <c r="C527" s="88" t="inlineStr">
        <is>
          <t>공용</t>
        </is>
      </c>
      <c r="D527" s="88" t="inlineStr">
        <is>
          <t>리드스위치
[공용]</t>
        </is>
      </c>
      <c r="E527" s="88" t="n"/>
      <c r="F527" s="90" t="inlineStr">
        <is>
          <t>O</t>
        </is>
      </c>
      <c r="G527" s="91" t="n"/>
      <c r="H527" s="92" t="n"/>
      <c r="I527" s="93">
        <f>IFERROR(IF(OR($F527="O",$G527="O",$H527="O"),CHOOSE(MATCH($A527,{"튜브","고압","진공","튜닝","조립","출하"},0),"T","H","V","N","A","P")&amp;IF($F527="O","R",IF($G527="O","A",IF($H527="O","F",""))),""),"")</f>
        <v/>
      </c>
      <c r="J527" s="124" t="inlineStr">
        <is>
          <t>O</t>
        </is>
      </c>
      <c r="K527" s="125" t="inlineStr">
        <is>
          <t>O</t>
        </is>
      </c>
      <c r="L527" s="121" t="inlineStr">
        <is>
          <t>O</t>
        </is>
      </c>
      <c r="M527" s="97" t="n"/>
      <c r="N527" s="123" t="inlineStr">
        <is>
          <t>O</t>
        </is>
      </c>
      <c r="O527" s="99" t="n"/>
      <c r="P527" s="100">
        <f>IF($I527="","",IF($J527="O","3","")&amp;IF($K527="O","4","")&amp;IF($L527="O","6","")&amp;IF($M527="O","7","")&amp;IF($N527="O","8","")&amp;IF($O527="O","?","")&amp;IF(OR($J527="O",$K527="O",$L527="O",$M527="O",$N527="O",$O527="O"),"-","")&amp;$I527)</f>
        <v/>
      </c>
      <c r="Q527" s="102" t="inlineStr">
        <is>
          <t>HLP</t>
        </is>
      </c>
      <c r="R527" s="110">
        <f>HYPERLINK("#'마스터_품목'!A809","→ 마스터 R809")</f>
        <v/>
      </c>
      <c r="S527" s="111" t="n">
        <v>809</v>
      </c>
      <c r="T527" s="111" t="inlineStr">
        <is>
          <t>마스터_품목</t>
        </is>
      </c>
    </row>
    <row r="528" ht="48" customHeight="1">
      <c r="A528" s="87" t="inlineStr">
        <is>
          <t>창고</t>
        </is>
      </c>
      <c r="B528" s="87" t="inlineStr">
        <is>
          <t>실리콘</t>
        </is>
      </c>
      <c r="C528" s="88" t="inlineStr">
        <is>
          <t>DX3000</t>
        </is>
      </c>
      <c r="D528" s="88" t="inlineStr">
        <is>
          <t>실리콘 캡 (LSR 투명 실리콘)
[DX3000]</t>
        </is>
      </c>
      <c r="E528" s="88" t="inlineStr">
        <is>
          <t>실리콘 켑</t>
        </is>
      </c>
      <c r="F528" s="90" t="inlineStr">
        <is>
          <t>O</t>
        </is>
      </c>
      <c r="G528" s="91" t="n"/>
      <c r="H528" s="92" t="n"/>
      <c r="I528" s="93" t="inlineStr">
        <is>
          <t>PR</t>
        </is>
      </c>
      <c r="J528" s="94" t="inlineStr">
        <is>
          <t>O</t>
        </is>
      </c>
      <c r="K528" s="95" t="n"/>
      <c r="L528" s="96" t="n"/>
      <c r="M528" s="97" t="n"/>
      <c r="N528" s="98" t="n"/>
      <c r="O528" s="99" t="n"/>
      <c r="P528" s="100" t="inlineStr">
        <is>
          <t>3-PR</t>
        </is>
      </c>
      <c r="Q528" s="102" t="inlineStr">
        <is>
          <t>가연테크</t>
        </is>
      </c>
      <c r="R528" s="110">
        <f>HYPERLINK("#'마스터_품목'!A612","→ 마스터 R612")</f>
        <v/>
      </c>
      <c r="S528" s="111" t="n">
        <v>612</v>
      </c>
      <c r="T528" s="111" t="inlineStr">
        <is>
          <t>마스터_품목</t>
        </is>
      </c>
    </row>
    <row r="529" ht="48" customHeight="1">
      <c r="A529" s="126" t="inlineStr">
        <is>
          <t>출하</t>
        </is>
      </c>
      <c r="B529" s="87" t="inlineStr">
        <is>
          <t>ABS 난연</t>
        </is>
      </c>
      <c r="C529" s="88" t="inlineStr">
        <is>
          <t>DX3000</t>
        </is>
      </c>
      <c r="D529" s="88" t="inlineStr">
        <is>
          <t>Battery Pack (사급자재)
[DX3000]</t>
        </is>
      </c>
      <c r="E529" s="88" t="n"/>
      <c r="F529" s="90" t="inlineStr">
        <is>
          <t>O</t>
        </is>
      </c>
      <c r="G529" s="91" t="n"/>
      <c r="H529" s="92" t="n"/>
      <c r="I529" s="93">
        <f>IFERROR(IF(OR($F529="O",$G529="O",$H529="O"),CHOOSE(MATCH($A529,{"튜브","고압","진공","튜닝","조립","출하"},0),"T","H","V","N","A","P")&amp;IF($F529="O","R",IF($G529="O","A",IF($H529="O","F",""))),""),"")</f>
        <v/>
      </c>
      <c r="J529" s="124" t="inlineStr">
        <is>
          <t>O</t>
        </is>
      </c>
      <c r="K529" s="125" t="inlineStr">
        <is>
          <t>O</t>
        </is>
      </c>
      <c r="L529" s="96" t="n"/>
      <c r="M529" s="97" t="n"/>
      <c r="N529" s="123" t="inlineStr">
        <is>
          <t>O</t>
        </is>
      </c>
      <c r="O529" s="99" t="n"/>
      <c r="P529" s="100">
        <f>IF($I529="","",IF($J529="O","3","")&amp;IF($K529="O","4","")&amp;IF($L529="O","6","")&amp;IF($M529="O","7","")&amp;IF($N529="O","8","")&amp;IF($O529="O","?","")&amp;IF(OR($J529="O",$K529="O",$L529="O",$M529="O",$N529="O",$O529="O"),"-","")&amp;$I529)</f>
        <v/>
      </c>
      <c r="Q529" s="102" t="inlineStr">
        <is>
          <t>천우</t>
        </is>
      </c>
      <c r="R529" s="110">
        <f>HYPERLINK("#'마스터_품목'!A810","→ 마스터 R810")</f>
        <v/>
      </c>
      <c r="S529" s="111" t="n">
        <v>810</v>
      </c>
      <c r="T529" s="111" t="inlineStr">
        <is>
          <t>마스터_품목</t>
        </is>
      </c>
    </row>
    <row r="530" ht="48" customHeight="1">
      <c r="A530" s="126" t="inlineStr">
        <is>
          <t>출하</t>
        </is>
      </c>
      <c r="B530" s="87" t="inlineStr">
        <is>
          <t>ABS 난연</t>
        </is>
      </c>
      <c r="C530" s="88" t="inlineStr">
        <is>
          <t>DX3000</t>
        </is>
      </c>
      <c r="D530" s="88" t="inlineStr">
        <is>
          <t>Battery Case (사급자재)
[DX3000]</t>
        </is>
      </c>
      <c r="E530" s="88" t="n"/>
      <c r="F530" s="90" t="inlineStr">
        <is>
          <t>O</t>
        </is>
      </c>
      <c r="G530" s="91" t="n"/>
      <c r="H530" s="92" t="n"/>
      <c r="I530" s="93">
        <f>IFERROR(IF(OR($F530="O",$G530="O",$H530="O"),CHOOSE(MATCH($A530,{"튜브","고압","진공","튜닝","조립","출하"},0),"T","H","V","N","A","P")&amp;IF($F530="O","R",IF($G530="O","A",IF($H530="O","F",""))),""),"")</f>
        <v/>
      </c>
      <c r="J530" s="124" t="inlineStr">
        <is>
          <t>O</t>
        </is>
      </c>
      <c r="K530" s="125" t="inlineStr">
        <is>
          <t>O</t>
        </is>
      </c>
      <c r="L530" s="96" t="n"/>
      <c r="M530" s="97" t="n"/>
      <c r="N530" s="123" t="inlineStr">
        <is>
          <t>O</t>
        </is>
      </c>
      <c r="O530" s="99" t="n"/>
      <c r="P530" s="100">
        <f>IF($I530="","",IF($J530="O","3","")&amp;IF($K530="O","4","")&amp;IF($L530="O","6","")&amp;IF($M530="O","7","")&amp;IF($N530="O","8","")&amp;IF($O530="O","?","")&amp;IF(OR($J530="O",$K530="O",$L530="O",$M530="O",$N530="O",$O530="O"),"-","")&amp;$I530)</f>
        <v/>
      </c>
      <c r="Q530" s="102" t="inlineStr">
        <is>
          <t>천우</t>
        </is>
      </c>
      <c r="R530" s="110">
        <f>HYPERLINK("#'마스터_품목'!A811","→ 마스터 R811")</f>
        <v/>
      </c>
      <c r="S530" s="111" t="n">
        <v>811</v>
      </c>
      <c r="T530" s="111" t="inlineStr">
        <is>
          <t>마스터_품목</t>
        </is>
      </c>
    </row>
    <row r="531" ht="48" customHeight="1">
      <c r="A531" s="126" t="inlineStr">
        <is>
          <t>출하</t>
        </is>
      </c>
      <c r="B531" s="87" t="inlineStr">
        <is>
          <t>신주</t>
        </is>
      </c>
      <c r="C531" s="88" t="inlineStr">
        <is>
          <t>공용</t>
        </is>
      </c>
      <c r="D531" s="88" t="inlineStr">
        <is>
          <t>배터리 내부 단자 (사급자재)
[공용]</t>
        </is>
      </c>
      <c r="E531" s="88" t="n"/>
      <c r="F531" s="90" t="inlineStr">
        <is>
          <t>O</t>
        </is>
      </c>
      <c r="G531" s="91" t="n"/>
      <c r="H531" s="92" t="n"/>
      <c r="I531" s="93">
        <f>IFERROR(IF(OR($F531="O",$G531="O",$H531="O"),CHOOSE(MATCH($A531,{"튜브","고압","진공","튜닝","조립","출하"},0),"T","H","V","N","A","P")&amp;IF($F531="O","R",IF($G531="O","A",IF($H531="O","F",""))),""),"")</f>
        <v/>
      </c>
      <c r="J531" s="124" t="inlineStr">
        <is>
          <t>O</t>
        </is>
      </c>
      <c r="K531" s="125" t="inlineStr">
        <is>
          <t>O</t>
        </is>
      </c>
      <c r="L531" s="96" t="n"/>
      <c r="M531" s="97" t="n"/>
      <c r="N531" s="123" t="inlineStr">
        <is>
          <t>O</t>
        </is>
      </c>
      <c r="O531" s="99" t="n"/>
      <c r="P531" s="100">
        <f>IF($I531="","",IF($J531="O","3","")&amp;IF($K531="O","4","")&amp;IF($L531="O","6","")&amp;IF($M531="O","7","")&amp;IF($N531="O","8","")&amp;IF($O531="O","?","")&amp;IF(OR($J531="O",$K531="O",$L531="O",$M531="O",$N531="O",$O531="O"),"-","")&amp;$I531)</f>
        <v/>
      </c>
      <c r="Q531" s="102" t="inlineStr">
        <is>
          <t>해진정밀</t>
        </is>
      </c>
      <c r="R531" s="110">
        <f>HYPERLINK("#'마스터_품목'!A812","→ 마스터 R812")</f>
        <v/>
      </c>
      <c r="S531" s="111" t="n">
        <v>812</v>
      </c>
      <c r="T531" s="111" t="inlineStr">
        <is>
          <t>마스터_품목</t>
        </is>
      </c>
    </row>
    <row r="532" ht="48" customHeight="1">
      <c r="A532" s="126" t="inlineStr">
        <is>
          <t>고압</t>
        </is>
      </c>
      <c r="B532" s="87" t="inlineStr">
        <is>
          <t>BOARD</t>
        </is>
      </c>
      <c r="C532" s="88" t="inlineStr">
        <is>
          <t>ADX6000</t>
        </is>
      </c>
      <c r="D532" s="88" t="inlineStr">
        <is>
          <t>고압베어 B/D (구형 고압보드)
[ADX6000]</t>
        </is>
      </c>
      <c r="E532" s="88" t="n"/>
      <c r="F532" s="90" t="inlineStr">
        <is>
          <t>O</t>
        </is>
      </c>
      <c r="G532" s="91" t="n"/>
      <c r="H532" s="92" t="n"/>
      <c r="I532" s="93">
        <f>IFERROR(IF(OR($F532="O",$G532="O",$H532="O"),CHOOSE(MATCH($A532,{"튜브","고압","진공","튜닝","조립","출하"},0),"T","H","V","N","A","P")&amp;IF($F532="O","R",IF($G532="O","A",IF($H532="O","F",""))),""),"")</f>
        <v/>
      </c>
      <c r="J532" s="94" t="n"/>
      <c r="K532" s="95" t="n"/>
      <c r="L532" s="121" t="inlineStr">
        <is>
          <t>O</t>
        </is>
      </c>
      <c r="M532" s="97" t="n"/>
      <c r="N532" s="98" t="n"/>
      <c r="O532" s="99" t="n"/>
      <c r="P532" s="100">
        <f>IF($I532="","",IF($J532="O","3","")&amp;IF($K532="O","4","")&amp;IF($L532="O","6","")&amp;IF($M532="O","7","")&amp;IF($N532="O","8","")&amp;IF($O532="O","?","")&amp;IF(OR($J532="O",$K532="O",$L532="O",$M532="O",$N532="O",$O532="O"),"-","")&amp;$I532)</f>
        <v/>
      </c>
      <c r="Q532" s="102" t="inlineStr">
        <is>
          <t>한샘디지텍</t>
        </is>
      </c>
      <c r="R532" s="110">
        <f>HYPERLINK("#'마스터_품목'!A813","→ 마스터 R813")</f>
        <v/>
      </c>
      <c r="S532" s="111" t="n">
        <v>813</v>
      </c>
      <c r="T532" s="111" t="inlineStr">
        <is>
          <t>마스터_품목</t>
        </is>
      </c>
    </row>
    <row r="533" ht="48" customHeight="1">
      <c r="A533" s="87" t="inlineStr">
        <is>
          <t>창고</t>
        </is>
      </c>
      <c r="B533" s="87" t="inlineStr">
        <is>
          <t>BOARD</t>
        </is>
      </c>
      <c r="C533" s="88" t="inlineStr">
        <is>
          <t>ADX6000</t>
        </is>
      </c>
      <c r="D533" s="88" t="inlineStr">
        <is>
          <t>8핀 B/D (구형 8핀 보드)
[ADX6000]</t>
        </is>
      </c>
      <c r="E533" s="88" t="inlineStr">
        <is>
          <t>8핀 BD</t>
        </is>
      </c>
      <c r="F533" s="90" t="inlineStr">
        <is>
          <t>O</t>
        </is>
      </c>
      <c r="G533" s="91" t="n"/>
      <c r="H533" s="92" t="n"/>
      <c r="I533" s="93" t="inlineStr">
        <is>
          <t>VR</t>
        </is>
      </c>
      <c r="J533" s="94" t="n"/>
      <c r="K533" s="95" t="n"/>
      <c r="L533" s="96" t="inlineStr">
        <is>
          <t>O</t>
        </is>
      </c>
      <c r="M533" s="97" t="n"/>
      <c r="N533" s="98" t="n"/>
      <c r="O533" s="99" t="n"/>
      <c r="P533" s="100" t="inlineStr">
        <is>
          <t>6-VR</t>
        </is>
      </c>
      <c r="Q533" s="102" t="inlineStr">
        <is>
          <t>한샘디지텍</t>
        </is>
      </c>
      <c r="R533" s="110">
        <f>HYPERLINK("#'마스터_품목'!A96","→ 마스터 R96")</f>
        <v/>
      </c>
      <c r="S533" s="111" t="n">
        <v>96</v>
      </c>
      <c r="T533" s="111" t="inlineStr">
        <is>
          <t>마스터_품목</t>
        </is>
      </c>
    </row>
    <row r="534" ht="48" customHeight="1">
      <c r="A534" s="126" t="inlineStr">
        <is>
          <t>고압</t>
        </is>
      </c>
      <c r="B534" s="87" t="inlineStr">
        <is>
          <t>다이오드</t>
        </is>
      </c>
      <c r="C534" s="88" t="inlineStr">
        <is>
          <t>SOLO</t>
        </is>
      </c>
      <c r="D534" s="88" t="inlineStr">
        <is>
          <t>고압 다이오드 (SPF01-15)
[SOLO]</t>
        </is>
      </c>
      <c r="E534" s="88" t="n"/>
      <c r="F534" s="90" t="inlineStr">
        <is>
          <t>O</t>
        </is>
      </c>
      <c r="G534" s="91" t="n"/>
      <c r="H534" s="92" t="n"/>
      <c r="I534" s="93">
        <f>IFERROR(IF(OR($F534="O",$G534="O",$H534="O"),CHOOSE(MATCH($A534,{"튜브","고압","진공","튜닝","조립","출하"},0),"T","H","V","N","A","P")&amp;IF($F534="O","R",IF($G534="O","A",IF($H534="O","F",""))),""),"")</f>
        <v/>
      </c>
      <c r="J534" s="94" t="n"/>
      <c r="K534" s="95" t="n"/>
      <c r="L534" s="121" t="n"/>
      <c r="M534" s="97" t="n"/>
      <c r="N534" s="123" t="inlineStr">
        <is>
          <t>O</t>
        </is>
      </c>
      <c r="O534" s="99" t="n"/>
      <c r="P534" s="100">
        <f>IF($I534="","",IF($J534="O","3","")&amp;IF($K534="O","4","")&amp;IF($L534="O","6","")&amp;IF($M534="O","7","")&amp;IF($N534="O","8","")&amp;IF($O534="O","?","")&amp;IF(OR($J534="O",$K534="O",$L534="O",$M534="O",$N534="O",$O534="O"),"-","")&amp;$I534)</f>
        <v/>
      </c>
      <c r="Q534" s="102" t="inlineStr">
        <is>
          <t>비지티</t>
        </is>
      </c>
      <c r="R534" s="110">
        <f>HYPERLINK("#'마스터_품목'!A814","→ 마스터 R814")</f>
        <v/>
      </c>
      <c r="S534" s="111" t="n">
        <v>814</v>
      </c>
      <c r="T534" s="111" t="inlineStr">
        <is>
          <t>마스터_품목</t>
        </is>
      </c>
    </row>
    <row r="535" ht="48" customHeight="1">
      <c r="A535" s="126" t="inlineStr">
        <is>
          <t>고압</t>
        </is>
      </c>
      <c r="B535" s="87" t="inlineStr">
        <is>
          <t>세라믹</t>
        </is>
      </c>
      <c r="C535" s="88" t="inlineStr">
        <is>
          <t>SOLO</t>
        </is>
      </c>
      <c r="D535" s="88" t="inlineStr">
        <is>
          <t>고압용 칩 세라믹 콘덴서 (2220J6K00222KXT)
[SOLO]</t>
        </is>
      </c>
      <c r="E535" s="88" t="n"/>
      <c r="F535" s="90" t="inlineStr">
        <is>
          <t>O</t>
        </is>
      </c>
      <c r="G535" s="91" t="n"/>
      <c r="H535" s="92" t="n"/>
      <c r="I535" s="93">
        <f>IFERROR(IF(OR($F535="O",$G535="O",$H535="O"),CHOOSE(MATCH($A535,{"튜브","고압","진공","튜닝","조립","출하"},0),"T","H","V","N","A","P")&amp;IF($F535="O","R",IF($G535="O","A",IF($H535="O","F",""))),""),"")</f>
        <v/>
      </c>
      <c r="J535" s="94" t="n"/>
      <c r="K535" s="95" t="n"/>
      <c r="L535" s="121" t="n"/>
      <c r="M535" s="97" t="n"/>
      <c r="N535" s="123" t="inlineStr">
        <is>
          <t>O</t>
        </is>
      </c>
      <c r="O535" s="99" t="n"/>
      <c r="P535" s="100">
        <f>IF($I535="","",IF($J535="O","3","")&amp;IF($K535="O","4","")&amp;IF($L535="O","6","")&amp;IF($M535="O","7","")&amp;IF($N535="O","8","")&amp;IF($O535="O","?","")&amp;IF(OR($J535="O",$K535="O",$L535="O",$M535="O",$N535="O",$O535="O"),"-","")&amp;$I535)</f>
        <v/>
      </c>
      <c r="Q535" s="102" t="inlineStr">
        <is>
          <t>비지티</t>
        </is>
      </c>
      <c r="R535" s="110">
        <f>HYPERLINK("#'마스터_품목'!A815","→ 마스터 R815")</f>
        <v/>
      </c>
      <c r="S535" s="111" t="n">
        <v>815</v>
      </c>
      <c r="T535" s="111" t="inlineStr">
        <is>
          <t>마스터_품목</t>
        </is>
      </c>
    </row>
    <row r="536" ht="48" customHeight="1">
      <c r="A536" s="87" t="inlineStr">
        <is>
          <t>창고</t>
        </is>
      </c>
      <c r="B536" s="87" t="inlineStr">
        <is>
          <t>HDPE</t>
        </is>
      </c>
      <c r="C536" s="88" t="inlineStr">
        <is>
          <t>SOLO</t>
        </is>
      </c>
      <c r="D536" s="88" t="inlineStr">
        <is>
          <t>세라믹 튜브 하우징 파이프 (HDPE)
[SOLO]</t>
        </is>
      </c>
      <c r="E536" s="88" t="inlineStr">
        <is>
          <t>DXDR-070 하우징용 파이프</t>
        </is>
      </c>
      <c r="F536" s="90" t="inlineStr">
        <is>
          <t>O</t>
        </is>
      </c>
      <c r="G536" s="91" t="n"/>
      <c r="H536" s="92" t="n"/>
      <c r="I536" s="93" t="inlineStr">
        <is>
          <t>HR</t>
        </is>
      </c>
      <c r="J536" s="94" t="n"/>
      <c r="K536" s="95" t="n"/>
      <c r="L536" s="96" t="n"/>
      <c r="M536" s="97" t="n"/>
      <c r="N536" s="98" t="inlineStr">
        <is>
          <t>O</t>
        </is>
      </c>
      <c r="O536" s="99" t="n"/>
      <c r="P536" s="100" t="inlineStr">
        <is>
          <t>8-HR</t>
        </is>
      </c>
      <c r="Q536" s="102" t="inlineStr">
        <is>
          <t>용봉화학</t>
        </is>
      </c>
      <c r="R536" s="110">
        <f>HYPERLINK("#'마스터_품목'!A88","→ 마스터 R88")</f>
        <v/>
      </c>
      <c r="S536" s="111" t="n">
        <v>88</v>
      </c>
      <c r="T536" s="111" t="inlineStr">
        <is>
          <t>마스터_품목</t>
        </is>
      </c>
    </row>
    <row r="537" ht="48" customHeight="1">
      <c r="A537" s="126" t="inlineStr">
        <is>
          <t>진공</t>
        </is>
      </c>
      <c r="B537" s="87" t="inlineStr">
        <is>
          <t>HDPE</t>
        </is>
      </c>
      <c r="C537" s="88" t="inlineStr">
        <is>
          <t>SOLO</t>
        </is>
      </c>
      <c r="D537" s="88" t="inlineStr">
        <is>
          <t>내부 케이스 (HDPE)
[SOLO]</t>
        </is>
      </c>
      <c r="E537" s="88" t="n"/>
      <c r="F537" s="90" t="inlineStr">
        <is>
          <t>O</t>
        </is>
      </c>
      <c r="G537" s="91" t="n"/>
      <c r="H537" s="92" t="n"/>
      <c r="I537" s="93">
        <f>IFERROR(IF(OR($F537="O",$G537="O",$H537="O"),CHOOSE(MATCH($A537,{"튜브","고압","진공","튜닝","조립","출하"},0),"T","H","V","N","A","P")&amp;IF($F537="O","R",IF($G537="O","A",IF($H537="O","F",""))),""),"")</f>
        <v/>
      </c>
      <c r="J537" s="94" t="n"/>
      <c r="K537" s="95" t="n"/>
      <c r="L537" s="96" t="n"/>
      <c r="M537" s="97" t="n"/>
      <c r="N537" s="123" t="inlineStr">
        <is>
          <t>O</t>
        </is>
      </c>
      <c r="O537" s="99" t="n"/>
      <c r="P537" s="100">
        <f>IF($I537="","",IF($J537="O","3","")&amp;IF($K537="O","4","")&amp;IF($L537="O","6","")&amp;IF($M537="O","7","")&amp;IF($N537="O","8","")&amp;IF($O537="O","?","")&amp;IF(OR($J537="O",$K537="O",$L537="O",$M537="O",$N537="O",$O537="O"),"-","")&amp;$I537)</f>
        <v/>
      </c>
      <c r="Q537" s="102" t="inlineStr">
        <is>
          <t>용봉화학</t>
        </is>
      </c>
      <c r="R537" s="110">
        <f>HYPERLINK("#'마스터_품목'!A816","→ 마스터 R816")</f>
        <v/>
      </c>
      <c r="S537" s="111" t="n">
        <v>816</v>
      </c>
      <c r="T537" s="111" t="inlineStr">
        <is>
          <t>마스터_품목</t>
        </is>
      </c>
    </row>
    <row r="538" ht="48" customHeight="1">
      <c r="A538" s="126" t="inlineStr">
        <is>
          <t>진공</t>
        </is>
      </c>
      <c r="B538" s="87" t="inlineStr">
        <is>
          <t>HDPE</t>
        </is>
      </c>
      <c r="C538" s="88" t="inlineStr">
        <is>
          <t>SOLO</t>
        </is>
      </c>
      <c r="D538" s="88" t="inlineStr">
        <is>
          <t>고압 격벽 (HDPE)
[SOLO]</t>
        </is>
      </c>
      <c r="E538" s="88" t="n"/>
      <c r="F538" s="90" t="inlineStr">
        <is>
          <t>O</t>
        </is>
      </c>
      <c r="G538" s="91" t="n"/>
      <c r="H538" s="92" t="n"/>
      <c r="I538" s="93">
        <f>IFERROR(IF(OR($F538="O",$G538="O",$H538="O"),CHOOSE(MATCH($A538,{"튜브","고압","진공","튜닝","조립","출하"},0),"T","H","V","N","A","P")&amp;IF($F538="O","R",IF($G538="O","A",IF($H538="O","F",""))),""),"")</f>
        <v/>
      </c>
      <c r="J538" s="94" t="n"/>
      <c r="K538" s="95" t="n"/>
      <c r="L538" s="96" t="n"/>
      <c r="M538" s="97" t="n"/>
      <c r="N538" s="123" t="inlineStr">
        <is>
          <t>O</t>
        </is>
      </c>
      <c r="O538" s="99" t="n"/>
      <c r="P538" s="100">
        <f>IF($I538="","",IF($J538="O","3","")&amp;IF($K538="O","4","")&amp;IF($L538="O","6","")&amp;IF($M538="O","7","")&amp;IF($N538="O","8","")&amp;IF($O538="O","?","")&amp;IF(OR($J538="O",$K538="O",$L538="O",$M538="O",$N538="O",$O538="O"),"-","")&amp;$I538)</f>
        <v/>
      </c>
      <c r="Q538" s="102" t="inlineStr">
        <is>
          <t>용봉화학</t>
        </is>
      </c>
      <c r="R538" s="110">
        <f>HYPERLINK("#'마스터_품목'!A817","→ 마스터 R817")</f>
        <v/>
      </c>
      <c r="S538" s="111" t="n">
        <v>817</v>
      </c>
      <c r="T538" s="111" t="inlineStr">
        <is>
          <t>마스터_품목</t>
        </is>
      </c>
    </row>
    <row r="539" ht="48" customHeight="1">
      <c r="A539" s="126" t="inlineStr">
        <is>
          <t>조립</t>
        </is>
      </c>
      <c r="B539" s="87" t="inlineStr">
        <is>
          <t>AL</t>
        </is>
      </c>
      <c r="C539" s="88" t="inlineStr">
        <is>
          <t>SOLO</t>
        </is>
      </c>
      <c r="D539" s="88" t="inlineStr">
        <is>
          <t>에이밍 필터 (0.5T * Φ40 에이밍 은경 추가 필터)
[SOLO]</t>
        </is>
      </c>
      <c r="E539" s="88" t="n"/>
      <c r="F539" s="90" t="inlineStr">
        <is>
          <t>O</t>
        </is>
      </c>
      <c r="G539" s="91" t="n"/>
      <c r="H539" s="92" t="n"/>
      <c r="I539" s="93">
        <f>IFERROR(IF(OR($F539="O",$G539="O",$H539="O"),CHOOSE(MATCH($A539,{"튜브","고압","진공","튜닝","조립","출하"},0),"T","H","V","N","A","P")&amp;IF($F539="O","R",IF($G539="O","A",IF($H539="O","F",""))),""),"")</f>
        <v/>
      </c>
      <c r="J539" s="94" t="n"/>
      <c r="K539" s="95" t="n"/>
      <c r="L539" s="96" t="n"/>
      <c r="M539" s="97" t="n"/>
      <c r="N539" s="123" t="inlineStr">
        <is>
          <t>O</t>
        </is>
      </c>
      <c r="O539" s="99" t="n"/>
      <c r="P539" s="100">
        <f>IF($I539="","",IF($J539="O","3","")&amp;IF($K539="O","4","")&amp;IF($L539="O","6","")&amp;IF($M539="O","7","")&amp;IF($N539="O","8","")&amp;IF($O539="O","?","")&amp;IF(OR($J539="O",$K539="O",$L539="O",$M539="O",$N539="O",$O539="O"),"-","")&amp;$I539)</f>
        <v/>
      </c>
      <c r="R539" s="110">
        <f>HYPERLINK("#'마스터_품목'!A818","→ 마스터 R818")</f>
        <v/>
      </c>
      <c r="S539" s="111" t="n">
        <v>818</v>
      </c>
      <c r="T539" s="111" t="inlineStr">
        <is>
          <t>마스터_품목</t>
        </is>
      </c>
    </row>
    <row r="540" ht="48" customHeight="1">
      <c r="A540" s="126" t="inlineStr">
        <is>
          <t>튜닝</t>
        </is>
      </c>
      <c r="B540" s="87" t="inlineStr">
        <is>
          <t>PCB</t>
        </is>
      </c>
      <c r="C540" s="88" t="inlineStr">
        <is>
          <t>COCOON</t>
        </is>
      </c>
      <c r="D540" s="88" t="inlineStr">
        <is>
          <t>CTR B/D (ST용)
[COCOON]</t>
        </is>
      </c>
      <c r="E540" s="88" t="n"/>
      <c r="F540" s="90" t="inlineStr">
        <is>
          <t>O</t>
        </is>
      </c>
      <c r="G540" s="91" t="n"/>
      <c r="H540" s="92" t="n"/>
      <c r="I540" s="93">
        <f>IFERROR(IF(OR($F540="O",$G540="O",$H540="O"),CHOOSE(MATCH($A540,{"튜브","고압","진공","튜닝","조립","출하"},0),"T","H","V","N","A","P")&amp;IF($F540="O","R",IF($G540="O","A",IF($H540="O","F",""))),""),"")</f>
        <v/>
      </c>
      <c r="J540" s="94" t="n"/>
      <c r="K540" s="95" t="n"/>
      <c r="L540" s="96" t="n"/>
      <c r="M540" s="122" t="inlineStr">
        <is>
          <t>O</t>
        </is>
      </c>
      <c r="N540" s="98" t="n"/>
      <c r="O540" s="99" t="n"/>
      <c r="P540" s="100">
        <f>IF($I540="","",IF($J540="O","3","")&amp;IF($K540="O","4","")&amp;IF($L540="O","6","")&amp;IF($M540="O","7","")&amp;IF($N540="O","8","")&amp;IF($O540="O","?","")&amp;IF(OR($J540="O",$K540="O",$L540="O",$M540="O",$N540="O",$O540="O"),"-","")&amp;$I540)</f>
        <v/>
      </c>
      <c r="Q540" s="102" t="inlineStr">
        <is>
          <t>HLP</t>
        </is>
      </c>
      <c r="R540" s="110">
        <f>HYPERLINK("#'마스터_품목'!A819","→ 마스터 R819")</f>
        <v/>
      </c>
      <c r="S540" s="111" t="n">
        <v>819</v>
      </c>
      <c r="T540" s="111" t="inlineStr">
        <is>
          <t>마스터_품목</t>
        </is>
      </c>
    </row>
    <row r="541" ht="48" customHeight="1">
      <c r="A541" s="126" t="inlineStr">
        <is>
          <t>조립</t>
        </is>
      </c>
      <c r="B541" s="87" t="inlineStr">
        <is>
          <t>PANEL</t>
        </is>
      </c>
      <c r="C541" s="88" t="inlineStr">
        <is>
          <t>DX3000</t>
        </is>
      </c>
      <c r="D541" s="88" t="inlineStr">
        <is>
          <t>OLED PANEL
[DX3000]</t>
        </is>
      </c>
      <c r="E541" s="88" t="n"/>
      <c r="F541" s="90" t="inlineStr">
        <is>
          <t>O</t>
        </is>
      </c>
      <c r="G541" s="91" t="n"/>
      <c r="H541" s="92" t="n"/>
      <c r="I541" s="93">
        <f>IFERROR(IF(OR($F541="O",$G541="O",$H541="O"),CHOOSE(MATCH($A541,{"튜브","고압","진공","튜닝","조립","출하"},0),"T","H","V","N","A","P")&amp;IF($F541="O","R",IF($G541="O","A",IF($H541="O","F",""))),""),"")</f>
        <v/>
      </c>
      <c r="J541" s="124" t="inlineStr">
        <is>
          <t>O</t>
        </is>
      </c>
      <c r="K541" s="95" t="n"/>
      <c r="L541" s="96" t="n"/>
      <c r="M541" s="97" t="n"/>
      <c r="N541" s="98" t="n"/>
      <c r="O541" s="99" t="n"/>
      <c r="P541" s="100">
        <f>IF($I541="","",IF($J541="O","3","")&amp;IF($K541="O","4","")&amp;IF($L541="O","6","")&amp;IF($M541="O","7","")&amp;IF($N541="O","8","")&amp;IF($O541="O","?","")&amp;IF(OR($J541="O",$K541="O",$L541="O",$M541="O",$N541="O",$O541="O"),"-","")&amp;$I541)</f>
        <v/>
      </c>
      <c r="Q541" s="102" t="inlineStr">
        <is>
          <t>HLP</t>
        </is>
      </c>
      <c r="R541" s="110">
        <f>HYPERLINK("#'마스터_품목'!A820","→ 마스터 R820")</f>
        <v/>
      </c>
      <c r="S541" s="111" t="n">
        <v>820</v>
      </c>
      <c r="T541" s="111" t="inlineStr">
        <is>
          <t>마스터_품목</t>
        </is>
      </c>
    </row>
    <row r="542" ht="48" customHeight="1">
      <c r="A542" s="126" t="inlineStr">
        <is>
          <t>조립</t>
        </is>
      </c>
      <c r="B542" s="87" t="inlineStr">
        <is>
          <t>ABS 난연</t>
        </is>
      </c>
      <c r="C542" s="88" t="inlineStr">
        <is>
          <t>DX3000</t>
        </is>
      </c>
      <c r="D542" s="88" t="inlineStr">
        <is>
          <t>OLED GUIDE (ABS 난연 블랙)
[DX3000]</t>
        </is>
      </c>
      <c r="E542" s="88" t="n"/>
      <c r="F542" s="90" t="inlineStr">
        <is>
          <t>O</t>
        </is>
      </c>
      <c r="G542" s="91" t="n"/>
      <c r="H542" s="92" t="n"/>
      <c r="I542" s="93">
        <f>IFERROR(IF(OR($F542="O",$G542="O",$H542="O"),CHOOSE(MATCH($A542,{"튜브","고압","진공","튜닝","조립","출하"},0),"T","H","V","N","A","P")&amp;IF($F542="O","R",IF($G542="O","A",IF($H542="O","F",""))),""),"")</f>
        <v/>
      </c>
      <c r="J542" s="124" t="inlineStr">
        <is>
          <t>O</t>
        </is>
      </c>
      <c r="K542" s="95" t="n"/>
      <c r="L542" s="96" t="n"/>
      <c r="M542" s="97" t="n"/>
      <c r="N542" s="98" t="n"/>
      <c r="O542" s="99" t="n"/>
      <c r="P542" s="100">
        <f>IF($I542="","",IF($J542="O","3","")&amp;IF($K542="O","4","")&amp;IF($L542="O","6","")&amp;IF($M542="O","7","")&amp;IF($N542="O","8","")&amp;IF($O542="O","?","")&amp;IF(OR($J542="O",$K542="O",$L542="O",$M542="O",$N542="O",$O542="O"),"-","")&amp;$I542)</f>
        <v/>
      </c>
      <c r="Q542" s="102" t="inlineStr">
        <is>
          <t>뉴퓨처</t>
        </is>
      </c>
      <c r="R542" s="110">
        <f>HYPERLINK("#'마스터_품목'!A821","→ 마스터 R821")</f>
        <v/>
      </c>
      <c r="S542" s="111" t="n">
        <v>821</v>
      </c>
      <c r="T542" s="111" t="inlineStr">
        <is>
          <t>마스터_품목</t>
        </is>
      </c>
    </row>
    <row r="543" ht="48" customHeight="1">
      <c r="A543" s="126" t="inlineStr">
        <is>
          <t>조립</t>
        </is>
      </c>
      <c r="B543" s="87" t="inlineStr">
        <is>
          <t>CABLE</t>
        </is>
      </c>
      <c r="C543" s="88" t="inlineStr">
        <is>
          <t>DX3000</t>
        </is>
      </c>
      <c r="D543" s="88" t="inlineStr">
        <is>
          <t>FFC 10핀
[DX3000]</t>
        </is>
      </c>
      <c r="E543" s="88" t="n"/>
      <c r="F543" s="90" t="inlineStr">
        <is>
          <t>O</t>
        </is>
      </c>
      <c r="G543" s="91" t="n"/>
      <c r="H543" s="92" t="n"/>
      <c r="I543" s="93">
        <f>IFERROR(IF(OR($F543="O",$G543="O",$H543="O"),CHOOSE(MATCH($A543,{"튜브","고압","진공","튜닝","조립","출하"},0),"T","H","V","N","A","P")&amp;IF($F543="O","R",IF($G543="O","A",IF($H543="O","F",""))),""),"")</f>
        <v/>
      </c>
      <c r="J543" s="124" t="inlineStr">
        <is>
          <t>O</t>
        </is>
      </c>
      <c r="K543" s="95" t="n"/>
      <c r="L543" s="96" t="n"/>
      <c r="M543" s="97" t="n"/>
      <c r="N543" s="98" t="n"/>
      <c r="O543" s="99" t="n"/>
      <c r="P543" s="100">
        <f>IF($I543="","",IF($J543="O","3","")&amp;IF($K543="O","4","")&amp;IF($L543="O","6","")&amp;IF($M543="O","7","")&amp;IF($N543="O","8","")&amp;IF($O543="O","?","")&amp;IF(OR($J543="O",$K543="O",$L543="O",$M543="O",$N543="O",$O543="O"),"-","")&amp;$I543)</f>
        <v/>
      </c>
      <c r="Q543" s="102" t="inlineStr">
        <is>
          <t>HLP</t>
        </is>
      </c>
      <c r="R543" s="110">
        <f>HYPERLINK("#'마스터_품목'!A822","→ 마스터 R822")</f>
        <v/>
      </c>
      <c r="S543" s="111" t="n">
        <v>822</v>
      </c>
      <c r="T543" s="111" t="inlineStr">
        <is>
          <t>마스터_품목</t>
        </is>
      </c>
    </row>
    <row r="544" ht="48" customHeight="1">
      <c r="A544" s="126" t="inlineStr">
        <is>
          <t>조립</t>
        </is>
      </c>
      <c r="B544" s="87" t="inlineStr">
        <is>
          <t>CABLE</t>
        </is>
      </c>
      <c r="C544" s="88" t="inlineStr">
        <is>
          <t>COCOON</t>
        </is>
      </c>
      <c r="D544" s="88" t="inlineStr">
        <is>
          <t>하네스 3-1번 (FFC CABLE 1mm*30P*200*A CTR BD*OP BD FFC CABLE (같은 방향) (구형, 신형))
[COCOON]</t>
        </is>
      </c>
      <c r="E544" s="88" t="n"/>
      <c r="F544" s="90" t="inlineStr">
        <is>
          <t>O</t>
        </is>
      </c>
      <c r="G544" s="91" t="n"/>
      <c r="H544" s="92" t="n"/>
      <c r="I544" s="93">
        <f>IFERROR(IF(OR($F544="O",$G544="O",$H544="O"),CHOOSE(MATCH($A544,{"튜브","고압","진공","튜닝","조립","출하"},0),"T","H","V","N","A","P")&amp;IF($F544="O","R",IF($G544="O","A",IF($H544="O","F",""))),""),"")</f>
        <v/>
      </c>
      <c r="J544" s="94" t="n"/>
      <c r="K544" s="95" t="n"/>
      <c r="L544" s="96" t="n"/>
      <c r="M544" s="122" t="inlineStr">
        <is>
          <t>O</t>
        </is>
      </c>
      <c r="N544" s="98" t="n"/>
      <c r="O544" s="99" t="n"/>
      <c r="P544" s="100">
        <f>IF($I544="","",IF($J544="O","3","")&amp;IF($K544="O","4","")&amp;IF($L544="O","6","")&amp;IF($M544="O","7","")&amp;IF($N544="O","8","")&amp;IF($O544="O","?","")&amp;IF(OR($J544="O",$K544="O",$L544="O",$M544="O",$N544="O",$O544="O"),"-","")&amp;$I544)</f>
        <v/>
      </c>
      <c r="Q544" s="102" t="inlineStr">
        <is>
          <t>HLP</t>
        </is>
      </c>
      <c r="R544" s="110">
        <f>HYPERLINK("#'마스터_품목'!A823","→ 마스터 R823")</f>
        <v/>
      </c>
      <c r="S544" s="111" t="n">
        <v>823</v>
      </c>
      <c r="T544" s="111" t="inlineStr">
        <is>
          <t>마스터_품목</t>
        </is>
      </c>
    </row>
    <row r="545" ht="48" customHeight="1">
      <c r="A545" s="126" t="inlineStr">
        <is>
          <t>조립</t>
        </is>
      </c>
      <c r="B545" s="87" t="inlineStr">
        <is>
          <t>CABLE</t>
        </is>
      </c>
      <c r="C545" s="88" t="inlineStr">
        <is>
          <t>COCOON</t>
        </is>
      </c>
      <c r="D545" s="88" t="inlineStr">
        <is>
          <t>하네스 12번 (FLAT 30P 2.0mm, L=205mm, 1:1 CTR BD * OP BD 연결 30핀)
[COCOON]</t>
        </is>
      </c>
      <c r="E545" s="88" t="n"/>
      <c r="F545" s="90" t="inlineStr">
        <is>
          <t>O</t>
        </is>
      </c>
      <c r="G545" s="91" t="n"/>
      <c r="H545" s="92" t="n"/>
      <c r="I545" s="93">
        <f>IFERROR(IF(OR($F545="O",$G545="O",$H545="O"),CHOOSE(MATCH($A545,{"튜브","고압","진공","튜닝","조립","출하"},0),"T","H","V","N","A","P")&amp;IF($F545="O","R",IF($G545="O","A",IF($H545="O","F",""))),""),"")</f>
        <v/>
      </c>
      <c r="J545" s="94" t="n"/>
      <c r="K545" s="95" t="n"/>
      <c r="L545" s="96" t="n"/>
      <c r="M545" s="122" t="inlineStr">
        <is>
          <t>O</t>
        </is>
      </c>
      <c r="N545" s="98" t="n"/>
      <c r="O545" s="99" t="n"/>
      <c r="P545" s="100">
        <f>IF($I545="","",IF($J545="O","3","")&amp;IF($K545="O","4","")&amp;IF($L545="O","6","")&amp;IF($M545="O","7","")&amp;IF($N545="O","8","")&amp;IF($O545="O","?","")&amp;IF(OR($J545="O",$K545="O",$L545="O",$M545="O",$N545="O",$O545="O"),"-","")&amp;$I545)</f>
        <v/>
      </c>
      <c r="Q545" s="102" t="inlineStr">
        <is>
          <t>HLP</t>
        </is>
      </c>
      <c r="R545" s="110">
        <f>HYPERLINK("#'마스터_품목'!A824","→ 마스터 R824")</f>
        <v/>
      </c>
      <c r="S545" s="111" t="n">
        <v>824</v>
      </c>
      <c r="T545" s="111" t="inlineStr">
        <is>
          <t>마스터_품목</t>
        </is>
      </c>
    </row>
    <row r="546" ht="48" customHeight="1">
      <c r="A546" s="126" t="inlineStr">
        <is>
          <t>조립</t>
        </is>
      </c>
      <c r="B546" s="87" t="inlineStr">
        <is>
          <t>CABLE</t>
        </is>
      </c>
      <c r="C546" s="88" t="inlineStr">
        <is>
          <t>COCOON</t>
        </is>
      </c>
      <c r="D546" s="88" t="inlineStr">
        <is>
          <t>하네스 7-1번 (12505HS-05 70mm OP BD+TOUCH BD 5핀)
[COCOON]</t>
        </is>
      </c>
      <c r="E546" s="88" t="n"/>
      <c r="F546" s="90" t="inlineStr">
        <is>
          <t>O</t>
        </is>
      </c>
      <c r="G546" s="91" t="n"/>
      <c r="H546" s="92" t="n"/>
      <c r="I546" s="93">
        <f>IFERROR(IF(OR($F546="O",$G546="O",$H546="O"),CHOOSE(MATCH($A546,{"튜브","고압","진공","튜닝","조립","출하"},0),"T","H","V","N","A","P")&amp;IF($F546="O","R",IF($G546="O","A",IF($H546="O","F",""))),""),"")</f>
        <v/>
      </c>
      <c r="J546" s="94" t="n"/>
      <c r="K546" s="95" t="n"/>
      <c r="L546" s="96" t="n"/>
      <c r="M546" s="122" t="inlineStr">
        <is>
          <t>O</t>
        </is>
      </c>
      <c r="N546" s="98" t="n"/>
      <c r="O546" s="99" t="n"/>
      <c r="P546" s="100">
        <f>IF($I546="","",IF($J546="O","3","")&amp;IF($K546="O","4","")&amp;IF($L546="O","6","")&amp;IF($M546="O","7","")&amp;IF($N546="O","8","")&amp;IF($O546="O","?","")&amp;IF(OR($J546="O",$K546="O",$L546="O",$M546="O",$N546="O",$O546="O"),"-","")&amp;$I546)</f>
        <v/>
      </c>
      <c r="Q546" s="102" t="inlineStr">
        <is>
          <t>HLP</t>
        </is>
      </c>
      <c r="R546" s="110">
        <f>HYPERLINK("#'마스터_품목'!A825","→ 마스터 R825")</f>
        <v/>
      </c>
      <c r="S546" s="111" t="n">
        <v>825</v>
      </c>
      <c r="T546" s="111" t="inlineStr">
        <is>
          <t>마스터_품목</t>
        </is>
      </c>
    </row>
    <row r="547" ht="48" customHeight="1">
      <c r="A547" s="87" t="inlineStr">
        <is>
          <t>창고</t>
        </is>
      </c>
      <c r="B547" s="87" t="inlineStr">
        <is>
          <t>PCB</t>
        </is>
      </c>
      <c r="C547" s="88" t="inlineStr">
        <is>
          <t>ADX6000</t>
        </is>
      </c>
      <c r="D547" s="88" t="inlineStr">
        <is>
          <t>LCD B/D
[ADX6000]</t>
        </is>
      </c>
      <c r="E547" s="88" t="inlineStr">
        <is>
          <t>LCD B/D</t>
        </is>
      </c>
      <c r="F547" s="90" t="inlineStr">
        <is>
          <t>O</t>
        </is>
      </c>
      <c r="G547" s="91" t="n"/>
      <c r="H547" s="92" t="n"/>
      <c r="I547" s="93" t="inlineStr">
        <is>
          <t>AR</t>
        </is>
      </c>
      <c r="J547" s="94" t="n"/>
      <c r="K547" s="95" t="n"/>
      <c r="L547" s="96" t="inlineStr">
        <is>
          <t>O</t>
        </is>
      </c>
      <c r="M547" s="97" t="n"/>
      <c r="N547" s="98" t="n"/>
      <c r="O547" s="99" t="n"/>
      <c r="P547" s="100" t="inlineStr">
        <is>
          <t>6-AR</t>
        </is>
      </c>
      <c r="Q547" s="102" t="inlineStr">
        <is>
          <t>HLP</t>
        </is>
      </c>
      <c r="R547" s="110">
        <f>HYPERLINK("#'마스터_품목'!A358","→ 마스터 R358")</f>
        <v/>
      </c>
      <c r="S547" s="111" t="n">
        <v>358</v>
      </c>
      <c r="T547" s="111" t="inlineStr">
        <is>
          <t>마스터_품목</t>
        </is>
      </c>
    </row>
    <row r="548" ht="48" customHeight="1">
      <c r="A548" s="87" t="inlineStr">
        <is>
          <t>창고</t>
        </is>
      </c>
      <c r="B548" s="87" t="inlineStr">
        <is>
          <t>PCB</t>
        </is>
      </c>
      <c r="C548" s="88" t="inlineStr">
        <is>
          <t>ADX6000</t>
        </is>
      </c>
      <c r="D548" s="88" t="inlineStr">
        <is>
          <t>Carrier B/D (구형 KONTRON)
[ADX6000]</t>
        </is>
      </c>
      <c r="E548" s="88" t="inlineStr">
        <is>
          <t>Carrier B/D (구형 KONTRON)</t>
        </is>
      </c>
      <c r="F548" s="90" t="inlineStr">
        <is>
          <t>O</t>
        </is>
      </c>
      <c r="G548" s="91" t="n"/>
      <c r="H548" s="92" t="n"/>
      <c r="I548" s="93" t="inlineStr">
        <is>
          <t>AR</t>
        </is>
      </c>
      <c r="J548" s="94" t="n"/>
      <c r="K548" s="95" t="n"/>
      <c r="L548" s="96" t="inlineStr">
        <is>
          <t>O</t>
        </is>
      </c>
      <c r="M548" s="97" t="n"/>
      <c r="N548" s="98" t="n"/>
      <c r="O548" s="99" t="n"/>
      <c r="P548" s="100" t="inlineStr">
        <is>
          <t>6-AR</t>
        </is>
      </c>
      <c r="Q548" s="102" t="inlineStr">
        <is>
          <t>비씨엠테크</t>
        </is>
      </c>
      <c r="R548" s="110">
        <f>HYPERLINK("#'마스터_품목'!A362","→ 마스터 R362")</f>
        <v/>
      </c>
      <c r="S548" s="111" t="n">
        <v>362</v>
      </c>
      <c r="T548" s="111" t="inlineStr">
        <is>
          <t>마스터_품목</t>
        </is>
      </c>
    </row>
    <row r="549" ht="48" customHeight="1">
      <c r="A549" s="87" t="inlineStr">
        <is>
          <t>창고</t>
        </is>
      </c>
      <c r="B549" s="87" t="inlineStr">
        <is>
          <t>PCB</t>
        </is>
      </c>
      <c r="C549" s="88" t="inlineStr">
        <is>
          <t>ADX6000</t>
        </is>
      </c>
      <c r="D549" s="88" t="inlineStr">
        <is>
          <t>Carrier B/D (신형 DFI)
[ADX6000]</t>
        </is>
      </c>
      <c r="E549" s="88" t="inlineStr">
        <is>
          <t>Carrier B/D (신형 DFI)</t>
        </is>
      </c>
      <c r="F549" s="90" t="inlineStr">
        <is>
          <t>O</t>
        </is>
      </c>
      <c r="G549" s="91" t="n"/>
      <c r="H549" s="92" t="n"/>
      <c r="I549" s="93" t="inlineStr">
        <is>
          <t>AR</t>
        </is>
      </c>
      <c r="J549" s="94" t="n"/>
      <c r="K549" s="95" t="n"/>
      <c r="L549" s="96" t="inlineStr">
        <is>
          <t>O</t>
        </is>
      </c>
      <c r="M549" s="97" t="n"/>
      <c r="N549" s="98" t="n"/>
      <c r="O549" s="99" t="n"/>
      <c r="P549" s="100" t="inlineStr">
        <is>
          <t>6-AR</t>
        </is>
      </c>
      <c r="Q549" s="102" t="inlineStr">
        <is>
          <t>비씨엠테크</t>
        </is>
      </c>
      <c r="R549" s="110">
        <f>HYPERLINK("#'마스터_품목'!A363","→ 마스터 R363")</f>
        <v/>
      </c>
      <c r="S549" s="111" t="n">
        <v>363</v>
      </c>
      <c r="T549" s="111" t="inlineStr">
        <is>
          <t>마스터_품목</t>
        </is>
      </c>
    </row>
    <row r="550" ht="48" customHeight="1">
      <c r="A550" s="87" t="inlineStr">
        <is>
          <t>창고</t>
        </is>
      </c>
      <c r="B550" s="87" t="inlineStr">
        <is>
          <t>PCB</t>
        </is>
      </c>
      <c r="C550" s="88" t="inlineStr">
        <is>
          <t>ADX6000S</t>
        </is>
      </c>
      <c r="D550" s="88" t="inlineStr">
        <is>
          <t>ETC CARRIER BD
[ADX6000S]</t>
        </is>
      </c>
      <c r="E550" s="88" t="inlineStr">
        <is>
          <t>ETC CARRIER BD (IEC-266)</t>
        </is>
      </c>
      <c r="F550" s="90" t="inlineStr">
        <is>
          <t>O</t>
        </is>
      </c>
      <c r="G550" s="91" t="n"/>
      <c r="H550" s="92" t="n"/>
      <c r="I550" s="93" t="inlineStr">
        <is>
          <t>AR</t>
        </is>
      </c>
      <c r="J550" s="94" t="n"/>
      <c r="K550" s="95" t="n"/>
      <c r="L550" s="96" t="inlineStr">
        <is>
          <t>O</t>
        </is>
      </c>
      <c r="M550" s="97" t="n"/>
      <c r="N550" s="98" t="n"/>
      <c r="O550" s="99" t="n"/>
      <c r="P550" s="100" t="inlineStr">
        <is>
          <t>6-AR</t>
        </is>
      </c>
      <c r="Q550" s="102" t="inlineStr">
        <is>
          <t>HLP</t>
        </is>
      </c>
      <c r="R550" s="110">
        <f>HYPERLINK("#'마스터_품목'!A360","→ 마스터 R360")</f>
        <v/>
      </c>
      <c r="S550" s="111" t="n">
        <v>360</v>
      </c>
      <c r="T550" s="111" t="inlineStr">
        <is>
          <t>마스터_품목</t>
        </is>
      </c>
    </row>
    <row r="551" ht="48" customHeight="1">
      <c r="A551" s="87" t="inlineStr">
        <is>
          <t>창고</t>
        </is>
      </c>
      <c r="B551" s="87" t="inlineStr">
        <is>
          <t>PCB</t>
        </is>
      </c>
      <c r="C551" s="88" t="inlineStr">
        <is>
          <t>ADX6000S</t>
        </is>
      </c>
      <c r="D551" s="88" t="inlineStr">
        <is>
          <t>ETC CARRIER MINI BD
[ADX6000S]</t>
        </is>
      </c>
      <c r="E551" s="88" t="inlineStr">
        <is>
          <t>ETC CARRIER MINI BD</t>
        </is>
      </c>
      <c r="F551" s="90" t="inlineStr">
        <is>
          <t>O</t>
        </is>
      </c>
      <c r="G551" s="91" t="n"/>
      <c r="H551" s="92" t="n"/>
      <c r="I551" s="93" t="inlineStr">
        <is>
          <t>AR</t>
        </is>
      </c>
      <c r="J551" s="94" t="n"/>
      <c r="K551" s="95" t="n"/>
      <c r="L551" s="96" t="inlineStr">
        <is>
          <t>O</t>
        </is>
      </c>
      <c r="M551" s="97" t="n"/>
      <c r="N551" s="98" t="n"/>
      <c r="O551" s="99" t="n"/>
      <c r="P551" s="100" t="inlineStr">
        <is>
          <t>6-AR</t>
        </is>
      </c>
      <c r="Q551" s="102" t="inlineStr">
        <is>
          <t>HLP</t>
        </is>
      </c>
      <c r="R551" s="110">
        <f>HYPERLINK("#'마스터_품목'!A361","→ 마스터 R361")</f>
        <v/>
      </c>
      <c r="S551" s="111" t="n">
        <v>361</v>
      </c>
      <c r="T551" s="111" t="inlineStr">
        <is>
          <t>마스터_품목</t>
        </is>
      </c>
    </row>
    <row r="552" ht="48" customHeight="1">
      <c r="A552" s="87" t="inlineStr">
        <is>
          <t>창고</t>
        </is>
      </c>
      <c r="B552" s="87" t="inlineStr">
        <is>
          <t>PCB</t>
        </is>
      </c>
      <c r="C552" s="88" t="inlineStr">
        <is>
          <t>ADX6000</t>
        </is>
      </c>
      <c r="D552" s="88" t="inlineStr">
        <is>
          <t>Front Micro B/D
[ADX6000]</t>
        </is>
      </c>
      <c r="E552" s="88" t="inlineStr">
        <is>
          <t>Front Micro B/D (ADX6000용)</t>
        </is>
      </c>
      <c r="F552" s="90" t="inlineStr">
        <is>
          <t>O</t>
        </is>
      </c>
      <c r="G552" s="91" t="n"/>
      <c r="H552" s="92" t="n"/>
      <c r="I552" s="93" t="inlineStr">
        <is>
          <t>AR</t>
        </is>
      </c>
      <c r="J552" s="94" t="n"/>
      <c r="K552" s="95" t="n"/>
      <c r="L552" s="96" t="inlineStr">
        <is>
          <t>O</t>
        </is>
      </c>
      <c r="M552" s="97" t="n"/>
      <c r="N552" s="98" t="n"/>
      <c r="O552" s="99" t="n"/>
      <c r="P552" s="100" t="inlineStr">
        <is>
          <t>6-AR</t>
        </is>
      </c>
      <c r="Q552" s="102" t="inlineStr">
        <is>
          <t>HLP</t>
        </is>
      </c>
      <c r="R552" s="110">
        <f>HYPERLINK("#'마스터_품목'!A366","→ 마스터 R366")</f>
        <v/>
      </c>
      <c r="S552" s="111" t="n">
        <v>366</v>
      </c>
      <c r="T552" s="111" t="inlineStr">
        <is>
          <t>마스터_품목</t>
        </is>
      </c>
    </row>
    <row r="553" ht="48" customHeight="1">
      <c r="A553" s="126" t="inlineStr">
        <is>
          <t>조립</t>
        </is>
      </c>
      <c r="B553" s="87" t="inlineStr">
        <is>
          <t>PCB</t>
        </is>
      </c>
      <c r="C553" s="88" t="inlineStr">
        <is>
          <t>ADX6000S</t>
        </is>
      </c>
      <c r="D553" s="88" t="inlineStr">
        <is>
          <t>ETC FRONT BD
[ADX6000S]</t>
        </is>
      </c>
      <c r="E553" s="88" t="n"/>
      <c r="F553" s="90" t="inlineStr">
        <is>
          <t>O</t>
        </is>
      </c>
      <c r="G553" s="91" t="n"/>
      <c r="H553" s="92" t="n"/>
      <c r="I553" s="93">
        <f>IFERROR(IF(OR($F553="O",$G553="O",$H553="O"),CHOOSE(MATCH($A553,{"튜브","고압","진공","튜닝","조립","출하"},0),"T","H","V","N","A","P")&amp;IF($F553="O","R",IF($G553="O","A",IF($H553="O","F",""))),""),"")</f>
        <v/>
      </c>
      <c r="J553" s="94" t="n"/>
      <c r="K553" s="95" t="n"/>
      <c r="L553" s="121" t="inlineStr">
        <is>
          <t>O</t>
        </is>
      </c>
      <c r="M553" s="97" t="n"/>
      <c r="N553" s="98" t="n"/>
      <c r="O553" s="99" t="n"/>
      <c r="P553" s="100">
        <f>IF($I553="","",IF($J553="O","3","")&amp;IF($K553="O","4","")&amp;IF($L553="O","6","")&amp;IF($M553="O","7","")&amp;IF($N553="O","8","")&amp;IF($O553="O","?","")&amp;IF(OR($J553="O",$K553="O",$L553="O",$M553="O",$N553="O",$O553="O"),"-","")&amp;$I553)</f>
        <v/>
      </c>
      <c r="Q553" s="102" t="inlineStr">
        <is>
          <t>HLP</t>
        </is>
      </c>
      <c r="R553" s="110">
        <f>HYPERLINK("#'마스터_품목'!A827","→ 마스터 R827")</f>
        <v/>
      </c>
      <c r="S553" s="111" t="n">
        <v>826</v>
      </c>
      <c r="T553" s="111" t="inlineStr">
        <is>
          <t>마스터_품목</t>
        </is>
      </c>
    </row>
    <row r="554" ht="48" customHeight="1">
      <c r="A554" s="126" t="inlineStr">
        <is>
          <t>조립</t>
        </is>
      </c>
      <c r="B554" s="87" t="inlineStr">
        <is>
          <t>PCB</t>
        </is>
      </c>
      <c r="C554" s="88" t="inlineStr">
        <is>
          <t>ADX6000S</t>
        </is>
      </c>
      <c r="D554" s="88" t="inlineStr">
        <is>
          <t>ETC FRONT BD (리모콘 포트 수정 신형)
[ADX6000S]</t>
        </is>
      </c>
      <c r="E554" s="88" t="n"/>
      <c r="F554" s="90" t="inlineStr">
        <is>
          <t>O</t>
        </is>
      </c>
      <c r="G554" s="91" t="n"/>
      <c r="H554" s="92" t="n"/>
      <c r="I554" s="93">
        <f>IFERROR(IF(OR($F554="O",$G554="O",$H554="O"),CHOOSE(MATCH($A554,{"튜브","고압","진공","튜닝","조립","출하"},0),"T","H","V","N","A","P")&amp;IF($F554="O","R",IF($G554="O","A",IF($H554="O","F",""))),""),"")</f>
        <v/>
      </c>
      <c r="J554" s="94" t="n"/>
      <c r="K554" s="95" t="n"/>
      <c r="L554" s="121" t="inlineStr">
        <is>
          <t>O</t>
        </is>
      </c>
      <c r="M554" s="97" t="n"/>
      <c r="N554" s="98" t="n"/>
      <c r="O554" s="99" t="n"/>
      <c r="P554" s="100">
        <f>IF($I554="","",IF($J554="O","3","")&amp;IF($K554="O","4","")&amp;IF($L554="O","6","")&amp;IF($M554="O","7","")&amp;IF($N554="O","8","")&amp;IF($O554="O","?","")&amp;IF(OR($J554="O",$K554="O",$L554="O",$M554="O",$N554="O",$O554="O"),"-","")&amp;$I554)</f>
        <v/>
      </c>
      <c r="Q554" s="102" t="inlineStr">
        <is>
          <t>HLP</t>
        </is>
      </c>
      <c r="R554" s="110">
        <f>HYPERLINK("#'마스터_품목'!A828","→ 마스터 R828")</f>
        <v/>
      </c>
      <c r="S554" s="111" t="n">
        <v>827</v>
      </c>
      <c r="T554" s="111" t="inlineStr">
        <is>
          <t>마스터_품목</t>
        </is>
      </c>
    </row>
    <row r="555" ht="48" customHeight="1">
      <c r="A555" s="87" t="inlineStr">
        <is>
          <t>창고</t>
        </is>
      </c>
      <c r="B555" s="87" t="inlineStr">
        <is>
          <t>PCB</t>
        </is>
      </c>
      <c r="C555" s="88" t="inlineStr">
        <is>
          <t>ADX6000</t>
        </is>
      </c>
      <c r="D555" s="88" t="inlineStr">
        <is>
          <t>컬리메이터 LED B/D (신형 LED, 밝기 수정)
[ADX6000]</t>
        </is>
      </c>
      <c r="E555" s="88" t="inlineStr">
        <is>
          <t>컬리메이터 LED B/D (신형 LED 밝기 수정한 것)</t>
        </is>
      </c>
      <c r="F555" s="90" t="inlineStr">
        <is>
          <t>O</t>
        </is>
      </c>
      <c r="G555" s="91" t="n"/>
      <c r="H555" s="92" t="n"/>
      <c r="I555" s="93" t="inlineStr">
        <is>
          <t>AR</t>
        </is>
      </c>
      <c r="J555" s="94" t="n"/>
      <c r="K555" s="95" t="n"/>
      <c r="L555" s="96" t="inlineStr">
        <is>
          <t>O</t>
        </is>
      </c>
      <c r="M555" s="97" t="n"/>
      <c r="N555" s="98" t="n"/>
      <c r="O555" s="99" t="n"/>
      <c r="P555" s="100" t="inlineStr">
        <is>
          <t>6-AR</t>
        </is>
      </c>
      <c r="Q555" s="102" t="inlineStr">
        <is>
          <t>HLP</t>
        </is>
      </c>
      <c r="R555" s="110">
        <f>HYPERLINK("#'마스터_품목'!A372","→ 마스터 R372")</f>
        <v/>
      </c>
      <c r="S555" s="111" t="n">
        <v>372</v>
      </c>
      <c r="T555" s="111" t="inlineStr">
        <is>
          <t>마스터_품목</t>
        </is>
      </c>
    </row>
    <row r="556" ht="48" customHeight="1">
      <c r="A556" s="126" t="inlineStr">
        <is>
          <t>조립</t>
        </is>
      </c>
      <c r="B556" s="87" t="inlineStr">
        <is>
          <t>PCB</t>
        </is>
      </c>
      <c r="C556" s="88" t="inlineStr">
        <is>
          <t>ADX6000</t>
        </is>
      </c>
      <c r="D556" s="88" t="inlineStr">
        <is>
          <t>ETC EX BATTERY BD
[ADX6000]</t>
        </is>
      </c>
      <c r="E556" s="88" t="n"/>
      <c r="F556" s="90" t="inlineStr">
        <is>
          <t>O</t>
        </is>
      </c>
      <c r="G556" s="91" t="n"/>
      <c r="H556" s="92" t="n"/>
      <c r="I556" s="93">
        <f>IFERROR(IF(OR($F556="O",$G556="O",$H556="O"),CHOOSE(MATCH($A556,{"튜브","고압","진공","튜닝","조립","출하"},0),"T","H","V","N","A","P")&amp;IF($F556="O","R",IF($G556="O","A",IF($H556="O","F",""))),""),"")</f>
        <v/>
      </c>
      <c r="J556" s="94" t="n"/>
      <c r="K556" s="95" t="n"/>
      <c r="L556" s="121" t="inlineStr">
        <is>
          <t>O</t>
        </is>
      </c>
      <c r="M556" s="97" t="n"/>
      <c r="N556" s="98" t="n"/>
      <c r="O556" s="99" t="n"/>
      <c r="P556" s="100">
        <f>IF($I556="","",IF($J556="O","3","")&amp;IF($K556="O","4","")&amp;IF($L556="O","6","")&amp;IF($M556="O","7","")&amp;IF($N556="O","8","")&amp;IF($O556="O","?","")&amp;IF(OR($J556="O",$K556="O",$L556="O",$M556="O",$N556="O",$O556="O"),"-","")&amp;$I556)</f>
        <v/>
      </c>
      <c r="Q556" s="102" t="inlineStr">
        <is>
          <t>HLP</t>
        </is>
      </c>
      <c r="R556" s="110">
        <f>HYPERLINK("#'마스터_품목'!A829","→ 마스터 R829")</f>
        <v/>
      </c>
      <c r="S556" s="111" t="n">
        <v>828</v>
      </c>
      <c r="T556" s="111" t="inlineStr">
        <is>
          <t>마스터_품목</t>
        </is>
      </c>
    </row>
    <row r="557" ht="48" customHeight="1">
      <c r="A557" s="126" t="inlineStr">
        <is>
          <t>조립</t>
        </is>
      </c>
      <c r="B557" s="87" t="inlineStr">
        <is>
          <t>PCB</t>
        </is>
      </c>
      <c r="C557" s="88" t="inlineStr">
        <is>
          <t>ADX6000</t>
        </is>
      </c>
      <c r="D557" s="88" t="inlineStr">
        <is>
          <t>ETC RESIST BD
[ADX6000]</t>
        </is>
      </c>
      <c r="E557" s="88" t="n"/>
      <c r="F557" s="90" t="inlineStr">
        <is>
          <t>O</t>
        </is>
      </c>
      <c r="G557" s="91" t="n"/>
      <c r="H557" s="92" t="n"/>
      <c r="I557" s="93">
        <f>IFERROR(IF(OR($F557="O",$G557="O",$H557="O"),CHOOSE(MATCH($A557,{"튜브","고압","진공","튜닝","조립","출하"},0),"T","H","V","N","A","P")&amp;IF($F557="O","R",IF($G557="O","A",IF($H557="O","F",""))),""),"")</f>
        <v/>
      </c>
      <c r="J557" s="94" t="n"/>
      <c r="K557" s="95" t="n"/>
      <c r="L557" s="121" t="inlineStr">
        <is>
          <t>O</t>
        </is>
      </c>
      <c r="M557" s="97" t="n"/>
      <c r="N557" s="98" t="n"/>
      <c r="O557" s="99" t="n"/>
      <c r="P557" s="100">
        <f>IF($I557="","",IF($J557="O","3","")&amp;IF($K557="O","4","")&amp;IF($L557="O","6","")&amp;IF($M557="O","7","")&amp;IF($N557="O","8","")&amp;IF($O557="O","?","")&amp;IF(OR($J557="O",$K557="O",$L557="O",$M557="O",$N557="O",$O557="O"),"-","")&amp;$I557)</f>
        <v/>
      </c>
      <c r="Q557" s="102" t="inlineStr">
        <is>
          <t>HLP</t>
        </is>
      </c>
      <c r="R557" s="110">
        <f>HYPERLINK("#'마스터_품목'!A830","→ 마스터 R830")</f>
        <v/>
      </c>
      <c r="S557" s="111" t="n">
        <v>829</v>
      </c>
      <c r="T557" s="111" t="inlineStr">
        <is>
          <t>마스터_품목</t>
        </is>
      </c>
    </row>
    <row r="558" ht="48" customHeight="1">
      <c r="A558" s="126" t="inlineStr">
        <is>
          <t>조립</t>
        </is>
      </c>
      <c r="B558" s="87" t="inlineStr">
        <is>
          <t>PCB</t>
        </is>
      </c>
      <c r="C558" s="88" t="inlineStr">
        <is>
          <t>ADX6000</t>
        </is>
      </c>
      <c r="D558" s="88" t="inlineStr">
        <is>
          <t>ETC CAP BANK BD
[ADX6000]</t>
        </is>
      </c>
      <c r="E558" s="88" t="n"/>
      <c r="F558" s="90" t="inlineStr">
        <is>
          <t>O</t>
        </is>
      </c>
      <c r="G558" s="91" t="n"/>
      <c r="H558" s="92" t="n"/>
      <c r="I558" s="93">
        <f>IFERROR(IF(OR($F558="O",$G558="O",$H558="O"),CHOOSE(MATCH($A558,{"튜브","고압","진공","튜닝","조립","출하"},0),"T","H","V","N","A","P")&amp;IF($F558="O","R",IF($G558="O","A",IF($H558="O","F",""))),""),"")</f>
        <v/>
      </c>
      <c r="J558" s="94" t="n"/>
      <c r="K558" s="95" t="n"/>
      <c r="L558" s="121" t="inlineStr">
        <is>
          <t>O</t>
        </is>
      </c>
      <c r="M558" s="97" t="n"/>
      <c r="N558" s="98" t="n"/>
      <c r="O558" s="99" t="n"/>
      <c r="P558" s="100">
        <f>IF($I558="","",IF($J558="O","3","")&amp;IF($K558="O","4","")&amp;IF($L558="O","6","")&amp;IF($M558="O","7","")&amp;IF($N558="O","8","")&amp;IF($O558="O","?","")&amp;IF(OR($J558="O",$K558="O",$L558="O",$M558="O",$N558="O",$O558="O"),"-","")&amp;$I558)</f>
        <v/>
      </c>
      <c r="Q558" s="102" t="inlineStr">
        <is>
          <t>HLP</t>
        </is>
      </c>
      <c r="R558" s="110">
        <f>HYPERLINK("#'마스터_품목'!A831","→ 마스터 R831")</f>
        <v/>
      </c>
      <c r="S558" s="111" t="n">
        <v>830</v>
      </c>
      <c r="T558" s="111" t="inlineStr">
        <is>
          <t>마스터_품목</t>
        </is>
      </c>
    </row>
    <row r="559" ht="48" customHeight="1">
      <c r="A559" s="126" t="inlineStr">
        <is>
          <t>출하</t>
        </is>
      </c>
      <c r="B559" s="87" t="inlineStr">
        <is>
          <t>PCB</t>
        </is>
      </c>
      <c r="C559" s="88" t="inlineStr">
        <is>
          <t>ADX6000</t>
        </is>
      </c>
      <c r="D559" s="88" t="inlineStr">
        <is>
          <t>DRTech FDXD-810, FLAATZ-N330 CTR Battery B/D (구형)
[ADX6000]</t>
        </is>
      </c>
      <c r="E559" s="88" t="n"/>
      <c r="F559" s="90" t="inlineStr">
        <is>
          <t>O</t>
        </is>
      </c>
      <c r="G559" s="91" t="n"/>
      <c r="H559" s="92" t="n"/>
      <c r="I559" s="93">
        <f>IFERROR(IF(OR($F559="O",$G559="O",$H559="O"),CHOOSE(MATCH($A559,{"튜브","고압","진공","튜닝","조립","출하"},0),"T","H","V","N","A","P")&amp;IF($F559="O","R",IF($G559="O","A",IF($H559="O","F",""))),""),"")</f>
        <v/>
      </c>
      <c r="J559" s="124" t="inlineStr">
        <is>
          <t>O</t>
        </is>
      </c>
      <c r="K559" s="125" t="inlineStr">
        <is>
          <t>O</t>
        </is>
      </c>
      <c r="L559" s="121" t="inlineStr">
        <is>
          <t>O</t>
        </is>
      </c>
      <c r="M559" s="122" t="inlineStr">
        <is>
          <t>O</t>
        </is>
      </c>
      <c r="N559" s="123" t="inlineStr">
        <is>
          <t>O</t>
        </is>
      </c>
      <c r="O559" s="99" t="n"/>
      <c r="P559" s="100">
        <f>IF($I559="","",IF($J559="O","3","")&amp;IF($K559="O","4","")&amp;IF($L559="O","6","")&amp;IF($M559="O","7","")&amp;IF($N559="O","8","")&amp;IF($O559="O","?","")&amp;IF(OR($J559="O",$K559="O",$L559="O",$M559="O",$N559="O",$O559="O"),"-","")&amp;$I559)</f>
        <v/>
      </c>
      <c r="Q559" s="102" t="inlineStr">
        <is>
          <t>HLP</t>
        </is>
      </c>
      <c r="R559" s="110">
        <f>HYPERLINK("#'마스터_품목'!A832","→ 마스터 R832")</f>
        <v/>
      </c>
      <c r="S559" s="111" t="n">
        <v>831</v>
      </c>
      <c r="T559" s="111" t="inlineStr">
        <is>
          <t>마스터_품목</t>
        </is>
      </c>
    </row>
    <row r="560" ht="48" customHeight="1">
      <c r="A560" s="126" t="inlineStr">
        <is>
          <t>출하</t>
        </is>
      </c>
      <c r="B560" s="87" t="inlineStr">
        <is>
          <t>PCB</t>
        </is>
      </c>
      <c r="C560" s="88" t="inlineStr">
        <is>
          <t>ADX6000</t>
        </is>
      </c>
      <c r="D560" s="88" t="inlineStr">
        <is>
          <t>DRTech FDXD-810, FLAATZ-N330 CTR Battery B/D (신형)
[ADX6000]</t>
        </is>
      </c>
      <c r="E560" s="88" t="n"/>
      <c r="F560" s="90" t="inlineStr">
        <is>
          <t>O</t>
        </is>
      </c>
      <c r="G560" s="91" t="n"/>
      <c r="H560" s="92" t="n"/>
      <c r="I560" s="93">
        <f>IFERROR(IF(OR($F560="O",$G560="O",$H560="O"),CHOOSE(MATCH($A560,{"튜브","고압","진공","튜닝","조립","출하"},0),"T","H","V","N","A","P")&amp;IF($F560="O","R",IF($G560="O","A",IF($H560="O","F",""))),""),"")</f>
        <v/>
      </c>
      <c r="J560" s="124" t="inlineStr">
        <is>
          <t>O</t>
        </is>
      </c>
      <c r="K560" s="125" t="inlineStr">
        <is>
          <t>O</t>
        </is>
      </c>
      <c r="L560" s="121" t="inlineStr">
        <is>
          <t>O</t>
        </is>
      </c>
      <c r="M560" s="122" t="inlineStr">
        <is>
          <t>O</t>
        </is>
      </c>
      <c r="N560" s="123" t="inlineStr">
        <is>
          <t>O</t>
        </is>
      </c>
      <c r="O560" s="99" t="n"/>
      <c r="P560" s="100">
        <f>IF($I560="","",IF($J560="O","3","")&amp;IF($K560="O","4","")&amp;IF($L560="O","6","")&amp;IF($M560="O","7","")&amp;IF($N560="O","8","")&amp;IF($O560="O","?","")&amp;IF(OR($J560="O",$K560="O",$L560="O",$M560="O",$N560="O",$O560="O"),"-","")&amp;$I560)</f>
        <v/>
      </c>
      <c r="Q560" s="102" t="inlineStr">
        <is>
          <t>HLP</t>
        </is>
      </c>
      <c r="R560" s="110">
        <f>HYPERLINK("#'마스터_품목'!A833","→ 마스터 R833")</f>
        <v/>
      </c>
      <c r="S560" s="111" t="n">
        <v>832</v>
      </c>
      <c r="T560" s="111" t="inlineStr">
        <is>
          <t>마스터_품목</t>
        </is>
      </c>
    </row>
    <row r="561" ht="48" customHeight="1">
      <c r="A561" s="87" t="inlineStr">
        <is>
          <t>창고</t>
        </is>
      </c>
      <c r="B561" s="87" t="inlineStr">
        <is>
          <t>CABLE</t>
        </is>
      </c>
      <c r="C561" s="88" t="inlineStr">
        <is>
          <t>ADX6000</t>
        </is>
      </c>
      <c r="D561" s="88" t="inlineStr">
        <is>
          <t>FFC (16핀) (82mm)
[ADX6000]</t>
        </is>
      </c>
      <c r="E561" s="88" t="inlineStr">
        <is>
          <t>FFC 16pin [82mm] (ADX6000용)</t>
        </is>
      </c>
      <c r="F561" s="90" t="inlineStr">
        <is>
          <t>O</t>
        </is>
      </c>
      <c r="G561" s="91" t="n"/>
      <c r="H561" s="92" t="n"/>
      <c r="I561" s="93" t="inlineStr">
        <is>
          <t>AR</t>
        </is>
      </c>
      <c r="J561" s="94" t="n"/>
      <c r="K561" s="95" t="n"/>
      <c r="L561" s="96" t="inlineStr">
        <is>
          <t>O</t>
        </is>
      </c>
      <c r="M561" s="97" t="n"/>
      <c r="N561" s="98" t="n"/>
      <c r="O561" s="99" t="n"/>
      <c r="P561" s="100" t="inlineStr">
        <is>
          <t>6-AR</t>
        </is>
      </c>
      <c r="Q561" s="102" t="inlineStr">
        <is>
          <t>HLP</t>
        </is>
      </c>
      <c r="R561" s="110">
        <f>HYPERLINK("#'마스터_품목'!A390","→ 마스터 R390")</f>
        <v/>
      </c>
      <c r="S561" s="111" t="n">
        <v>390</v>
      </c>
      <c r="T561" s="111" t="inlineStr">
        <is>
          <t>마스터_품목</t>
        </is>
      </c>
    </row>
    <row r="562" ht="48" customHeight="1">
      <c r="A562" s="126" t="inlineStr">
        <is>
          <t>조립</t>
        </is>
      </c>
      <c r="B562" s="87" t="inlineStr">
        <is>
          <t>CABLE</t>
        </is>
      </c>
      <c r="C562" s="88" t="inlineStr">
        <is>
          <t>ADX6000</t>
        </is>
      </c>
      <c r="D562" s="88" t="inlineStr">
        <is>
          <t>하네스 8번 (YH396-04V - 2EA CAP BANK 케이블 / 120mm)
[ADX6000]</t>
        </is>
      </c>
      <c r="E562" s="88" t="n"/>
      <c r="F562" s="90" t="inlineStr">
        <is>
          <t>O</t>
        </is>
      </c>
      <c r="G562" s="91" t="n"/>
      <c r="H562" s="92" t="n"/>
      <c r="I562" s="93">
        <f>IFERROR(IF(OR($F562="O",$G562="O",$H562="O"),CHOOSE(MATCH($A562,{"튜브","고압","진공","튜닝","조립","출하"},0),"T","H","V","N","A","P")&amp;IF($F562="O","R",IF($G562="O","A",IF($H562="O","F",""))),""),"")</f>
        <v/>
      </c>
      <c r="J562" s="94" t="n"/>
      <c r="K562" s="95" t="n"/>
      <c r="L562" s="121" t="inlineStr">
        <is>
          <t>O</t>
        </is>
      </c>
      <c r="M562" s="97" t="n"/>
      <c r="N562" s="98" t="n"/>
      <c r="O562" s="99" t="n"/>
      <c r="P562" s="100">
        <f>IF($I562="","",IF($J562="O","3","")&amp;IF($K562="O","4","")&amp;IF($L562="O","6","")&amp;IF($M562="O","7","")&amp;IF($N562="O","8","")&amp;IF($O562="O","?","")&amp;IF(OR($J562="O",$K562="O",$L562="O",$M562="O",$N562="O",$O562="O"),"-","")&amp;$I562)</f>
        <v/>
      </c>
      <c r="Q562" s="102" t="inlineStr">
        <is>
          <t>HLP</t>
        </is>
      </c>
      <c r="R562" s="110">
        <f>HYPERLINK("#'마스터_품목'!A834","→ 마스터 R834")</f>
        <v/>
      </c>
      <c r="S562" s="111" t="n">
        <v>833</v>
      </c>
      <c r="T562" s="111" t="inlineStr">
        <is>
          <t>마스터_품목</t>
        </is>
      </c>
    </row>
    <row r="563" ht="48" customHeight="1">
      <c r="A563" s="87" t="inlineStr">
        <is>
          <t>창고</t>
        </is>
      </c>
      <c r="B563" s="87" t="inlineStr">
        <is>
          <t>CABLE</t>
        </is>
      </c>
      <c r="C563" s="88" t="inlineStr">
        <is>
          <t>ADX6000S</t>
        </is>
      </c>
      <c r="D563" s="88" t="inlineStr">
        <is>
          <t>하네스 9번 (12505HS-03 Carrier Mini BD 케이블 / 100mm)
[ADX6000S]</t>
        </is>
      </c>
      <c r="E563" s="88" t="inlineStr">
        <is>
          <t>Carrier Mini BD 케이블 _ 하네스 9번 [ 12505HS-03 (100mm) ]</t>
        </is>
      </c>
      <c r="F563" s="90" t="inlineStr">
        <is>
          <t>O</t>
        </is>
      </c>
      <c r="G563" s="91" t="n"/>
      <c r="H563" s="92" t="n"/>
      <c r="I563" s="93" t="inlineStr">
        <is>
          <t>AR</t>
        </is>
      </c>
      <c r="J563" s="94" t="n"/>
      <c r="K563" s="95" t="n"/>
      <c r="L563" s="96" t="inlineStr">
        <is>
          <t>O</t>
        </is>
      </c>
      <c r="M563" s="97" t="n"/>
      <c r="N563" s="98" t="n"/>
      <c r="O563" s="99" t="n"/>
      <c r="P563" s="100" t="inlineStr">
        <is>
          <t>6-AR</t>
        </is>
      </c>
      <c r="Q563" s="102" t="inlineStr">
        <is>
          <t>HLP</t>
        </is>
      </c>
      <c r="R563" s="110">
        <f>HYPERLINK("#'마스터_품목'!A380","→ 마스터 R380")</f>
        <v/>
      </c>
      <c r="S563" s="111" t="n">
        <v>380</v>
      </c>
      <c r="T563" s="111" t="inlineStr">
        <is>
          <t>마스터_품목</t>
        </is>
      </c>
    </row>
    <row r="564" ht="48" customHeight="1">
      <c r="A564" s="126" t="inlineStr">
        <is>
          <t>조립</t>
        </is>
      </c>
      <c r="B564" s="87" t="inlineStr">
        <is>
          <t>CABLE</t>
        </is>
      </c>
      <c r="C564" s="88" t="inlineStr">
        <is>
          <t>ADX6000</t>
        </is>
      </c>
      <c r="D564" s="88" t="inlineStr">
        <is>
          <t>하네스 12번 (YH396-04V - 1EA 외부단자 케이블 / 200mm)
[ADX6000]</t>
        </is>
      </c>
      <c r="E564" s="88" t="n"/>
      <c r="F564" s="90" t="inlineStr">
        <is>
          <t>O</t>
        </is>
      </c>
      <c r="G564" s="91" t="n"/>
      <c r="H564" s="92" t="n"/>
      <c r="I564" s="93">
        <f>IFERROR(IF(OR($F564="O",$G564="O",$H564="O"),CHOOSE(MATCH($A564,{"튜브","고압","진공","튜닝","조립","출하"},0),"T","H","V","N","A","P")&amp;IF($F564="O","R",IF($G564="O","A",IF($H564="O","F",""))),""),"")</f>
        <v/>
      </c>
      <c r="J564" s="94" t="n"/>
      <c r="K564" s="95" t="n"/>
      <c r="L564" s="121" t="inlineStr">
        <is>
          <t>O</t>
        </is>
      </c>
      <c r="M564" s="97" t="n"/>
      <c r="N564" s="98" t="n"/>
      <c r="O564" s="99" t="n"/>
      <c r="P564" s="100">
        <f>IF($I564="","",IF($J564="O","3","")&amp;IF($K564="O","4","")&amp;IF($L564="O","6","")&amp;IF($M564="O","7","")&amp;IF($N564="O","8","")&amp;IF($O564="O","?","")&amp;IF(OR($J564="O",$K564="O",$L564="O",$M564="O",$N564="O",$O564="O"),"-","")&amp;$I564)</f>
        <v/>
      </c>
      <c r="Q564" s="102" t="inlineStr">
        <is>
          <t>HLP</t>
        </is>
      </c>
      <c r="R564" s="110">
        <f>HYPERLINK("#'마스터_품목'!A835","→ 마스터 R835")</f>
        <v/>
      </c>
      <c r="S564" s="111" t="n">
        <v>834</v>
      </c>
      <c r="T564" s="111" t="inlineStr">
        <is>
          <t>마스터_품목</t>
        </is>
      </c>
    </row>
    <row r="565" ht="48" customHeight="1">
      <c r="A565" s="126" t="inlineStr">
        <is>
          <t>조립</t>
        </is>
      </c>
      <c r="B565" s="87" t="inlineStr">
        <is>
          <t>CABLE</t>
        </is>
      </c>
      <c r="C565" s="88" t="inlineStr">
        <is>
          <t>ADX6000</t>
        </is>
      </c>
      <c r="D565" s="88" t="inlineStr">
        <is>
          <t>하네스 13번 (DC Connector Cable 외부배터리 케이블 / 360mm)
[ADX6000]</t>
        </is>
      </c>
      <c r="E565" s="88" t="n"/>
      <c r="F565" s="90" t="inlineStr">
        <is>
          <t>O</t>
        </is>
      </c>
      <c r="G565" s="91" t="n"/>
      <c r="H565" s="92" t="n"/>
      <c r="I565" s="93">
        <f>IFERROR(IF(OR($F565="O",$G565="O",$H565="O"),CHOOSE(MATCH($A565,{"튜브","고압","진공","튜닝","조립","출하"},0),"T","H","V","N","A","P")&amp;IF($F565="O","R",IF($G565="O","A",IF($H565="O","F",""))),""),"")</f>
        <v/>
      </c>
      <c r="J565" s="94" t="n"/>
      <c r="K565" s="95" t="n"/>
      <c r="L565" s="121" t="inlineStr">
        <is>
          <t>O</t>
        </is>
      </c>
      <c r="M565" s="97" t="n"/>
      <c r="N565" s="98" t="n"/>
      <c r="O565" s="99" t="n"/>
      <c r="P565" s="100">
        <f>IF($I565="","",IF($J565="O","3","")&amp;IF($K565="O","4","")&amp;IF($L565="O","6","")&amp;IF($M565="O","7","")&amp;IF($N565="O","8","")&amp;IF($O565="O","?","")&amp;IF(OR($J565="O",$K565="O",$L565="O",$M565="O",$N565="O",$O565="O"),"-","")&amp;$I565)</f>
        <v/>
      </c>
      <c r="Q565" s="102" t="inlineStr">
        <is>
          <t>HLP</t>
        </is>
      </c>
      <c r="R565" s="110">
        <f>HYPERLINK("#'마스터_품목'!A836","→ 마스터 R836")</f>
        <v/>
      </c>
      <c r="S565" s="111" t="n">
        <v>835</v>
      </c>
      <c r="T565" s="111" t="inlineStr">
        <is>
          <t>마스터_품목</t>
        </is>
      </c>
    </row>
    <row r="566" ht="48" customHeight="1">
      <c r="A566" s="87" t="inlineStr">
        <is>
          <t>창고</t>
        </is>
      </c>
      <c r="B566" s="87" t="inlineStr">
        <is>
          <t>CABLE</t>
        </is>
      </c>
      <c r="C566" s="88" t="inlineStr">
        <is>
          <t>ADX6000</t>
        </is>
      </c>
      <c r="D566" s="88" t="inlineStr">
        <is>
          <t>USB Connector Wire Harness (4핀) (100mm)
[ADX6000]</t>
        </is>
      </c>
      <c r="E566" s="88" t="inlineStr">
        <is>
          <t>USB Connector Wire Harness 4pin [100mm]</t>
        </is>
      </c>
      <c r="F566" s="90" t="inlineStr">
        <is>
          <t>O</t>
        </is>
      </c>
      <c r="G566" s="91" t="n"/>
      <c r="H566" s="92" t="n"/>
      <c r="I566" s="93" t="inlineStr">
        <is>
          <t>AR</t>
        </is>
      </c>
      <c r="J566" s="94" t="n"/>
      <c r="K566" s="95" t="n"/>
      <c r="L566" s="96" t="inlineStr">
        <is>
          <t>O</t>
        </is>
      </c>
      <c r="M566" s="97" t="n"/>
      <c r="N566" s="98" t="n"/>
      <c r="O566" s="99" t="n"/>
      <c r="P566" s="100" t="inlineStr">
        <is>
          <t>6-AR</t>
        </is>
      </c>
      <c r="Q566" s="102" t="inlineStr">
        <is>
          <t>HLP</t>
        </is>
      </c>
      <c r="R566" s="110">
        <f>HYPERLINK("#'마스터_품목'!A389","→ 마스터 R389")</f>
        <v/>
      </c>
      <c r="S566" s="111" t="n">
        <v>389</v>
      </c>
      <c r="T566" s="111" t="inlineStr">
        <is>
          <t>마스터_품목</t>
        </is>
      </c>
    </row>
    <row r="567" ht="48" customHeight="1">
      <c r="A567" s="87" t="inlineStr">
        <is>
          <t>창고</t>
        </is>
      </c>
      <c r="B567" s="87" t="inlineStr">
        <is>
          <t>CABLE</t>
        </is>
      </c>
      <c r="C567" s="88" t="inlineStr">
        <is>
          <t>ADX6000</t>
        </is>
      </c>
      <c r="D567" s="88" t="inlineStr">
        <is>
          <t>Front USB Wire Harness (4핀) (80mm)
[ADX6000]</t>
        </is>
      </c>
      <c r="E567" s="88" t="inlineStr">
        <is>
          <t>Front USB Wire Harness 4pin [80mm]</t>
        </is>
      </c>
      <c r="F567" s="90" t="inlineStr">
        <is>
          <t>O</t>
        </is>
      </c>
      <c r="G567" s="91" t="n"/>
      <c r="H567" s="92" t="n"/>
      <c r="I567" s="93" t="inlineStr">
        <is>
          <t>AR</t>
        </is>
      </c>
      <c r="J567" s="94" t="n"/>
      <c r="K567" s="95" t="n"/>
      <c r="L567" s="96" t="inlineStr">
        <is>
          <t>O</t>
        </is>
      </c>
      <c r="M567" s="97" t="n"/>
      <c r="N567" s="98" t="n"/>
      <c r="O567" s="99" t="n"/>
      <c r="P567" s="100" t="inlineStr">
        <is>
          <t>6-AR</t>
        </is>
      </c>
      <c r="Q567" s="102" t="inlineStr">
        <is>
          <t>HLP</t>
        </is>
      </c>
      <c r="R567" s="110">
        <f>HYPERLINK("#'마스터_품목'!A391","→ 마스터 R391")</f>
        <v/>
      </c>
      <c r="S567" s="111" t="n">
        <v>391</v>
      </c>
      <c r="T567" s="111" t="inlineStr">
        <is>
          <t>마스터_품목</t>
        </is>
      </c>
    </row>
    <row r="568" ht="48" customHeight="1">
      <c r="A568" s="87" t="inlineStr">
        <is>
          <t>창고</t>
        </is>
      </c>
      <c r="B568" s="87" t="inlineStr">
        <is>
          <t>CABLE</t>
        </is>
      </c>
      <c r="C568" s="88" t="inlineStr">
        <is>
          <t>ADX6000</t>
        </is>
      </c>
      <c r="D568" s="88" t="inlineStr">
        <is>
          <t>RS422 통신 Wire Harness (6핀) (120mm)
[ADX6000]</t>
        </is>
      </c>
      <c r="E568" s="88" t="inlineStr">
        <is>
          <t>RS422 통신 Wire Harness 6pin [120mm]</t>
        </is>
      </c>
      <c r="F568" s="90" t="inlineStr">
        <is>
          <t>O</t>
        </is>
      </c>
      <c r="G568" s="91" t="n"/>
      <c r="H568" s="92" t="n"/>
      <c r="I568" s="93" t="inlineStr">
        <is>
          <t>AR</t>
        </is>
      </c>
      <c r="J568" s="94" t="n"/>
      <c r="K568" s="95" t="n"/>
      <c r="L568" s="96" t="inlineStr">
        <is>
          <t>O</t>
        </is>
      </c>
      <c r="M568" s="97" t="n"/>
      <c r="N568" s="98" t="n"/>
      <c r="O568" s="99" t="n"/>
      <c r="P568" s="100" t="inlineStr">
        <is>
          <t>6-AR</t>
        </is>
      </c>
      <c r="Q568" s="102" t="inlineStr">
        <is>
          <t>HLP</t>
        </is>
      </c>
      <c r="R568" s="110">
        <f>HYPERLINK("#'마스터_품목'!A388","→ 마스터 R388")</f>
        <v/>
      </c>
      <c r="S568" s="111" t="n">
        <v>388</v>
      </c>
      <c r="T568" s="111" t="inlineStr">
        <is>
          <t>마스터_품목</t>
        </is>
      </c>
    </row>
    <row r="569" ht="48" customHeight="1">
      <c r="A569" s="87" t="inlineStr">
        <is>
          <t>창고</t>
        </is>
      </c>
      <c r="B569" s="87" t="inlineStr">
        <is>
          <t>CABLE</t>
        </is>
      </c>
      <c r="C569" s="88" t="inlineStr">
        <is>
          <t>ADX6000</t>
        </is>
      </c>
      <c r="D569" s="88" t="inlineStr">
        <is>
          <t>PC Connector Wire Harness (7핀) (100mm, 140mm, 200mm)
[ADX6000]</t>
        </is>
      </c>
      <c r="E569" s="88" t="inlineStr">
        <is>
          <t>PC Connector Wire Harness 7pin [100mm,140mm,200mm]</t>
        </is>
      </c>
      <c r="F569" s="90" t="inlineStr">
        <is>
          <t>O</t>
        </is>
      </c>
      <c r="G569" s="91" t="n"/>
      <c r="H569" s="92" t="n"/>
      <c r="I569" s="93" t="inlineStr">
        <is>
          <t>AR</t>
        </is>
      </c>
      <c r="J569" s="94" t="n"/>
      <c r="K569" s="95" t="n"/>
      <c r="L569" s="96" t="inlineStr">
        <is>
          <t>O</t>
        </is>
      </c>
      <c r="M569" s="97" t="n"/>
      <c r="N569" s="98" t="n"/>
      <c r="O569" s="99" t="n"/>
      <c r="P569" s="100" t="inlineStr">
        <is>
          <t>6-AR</t>
        </is>
      </c>
      <c r="Q569" s="102" t="inlineStr">
        <is>
          <t>HLP</t>
        </is>
      </c>
      <c r="R569" s="110">
        <f>HYPERLINK("#'마스터_품목'!A387","→ 마스터 R387")</f>
        <v/>
      </c>
      <c r="S569" s="111" t="n">
        <v>387</v>
      </c>
      <c r="T569" s="111" t="inlineStr">
        <is>
          <t>마스터_품목</t>
        </is>
      </c>
    </row>
    <row r="570" ht="48" customHeight="1">
      <c r="A570" s="87" t="inlineStr">
        <is>
          <t>창고</t>
        </is>
      </c>
      <c r="B570" s="87" t="inlineStr">
        <is>
          <t>MODULE</t>
        </is>
      </c>
      <c r="C570" s="88" t="inlineStr">
        <is>
          <t>ADX6000S</t>
        </is>
      </c>
      <c r="D570" s="88" t="inlineStr">
        <is>
          <t>4.3" Module (IEC266lite-43, OS 영문)
[ADX6000S]</t>
        </is>
      </c>
      <c r="E570" s="88" t="inlineStr">
        <is>
          <t>4.3" Module (IEC-266 구형)</t>
        </is>
      </c>
      <c r="F570" s="90" t="inlineStr">
        <is>
          <t>O</t>
        </is>
      </c>
      <c r="G570" s="91" t="n"/>
      <c r="H570" s="92" t="n"/>
      <c r="I570" s="93" t="inlineStr">
        <is>
          <t>AR</t>
        </is>
      </c>
      <c r="J570" s="94" t="n"/>
      <c r="K570" s="95" t="n"/>
      <c r="L570" s="96" t="inlineStr">
        <is>
          <t>O</t>
        </is>
      </c>
      <c r="M570" s="97" t="n"/>
      <c r="N570" s="98" t="n"/>
      <c r="O570" s="99" t="n"/>
      <c r="P570" s="100" t="inlineStr">
        <is>
          <t>6-AR</t>
        </is>
      </c>
      <c r="Q570" s="102" t="inlineStr">
        <is>
          <t>에이치앤에스</t>
        </is>
      </c>
      <c r="R570" s="110">
        <f>HYPERLINK("#'마스터_품목'!A355","→ 마스터 R355")</f>
        <v/>
      </c>
      <c r="S570" s="111" t="n">
        <v>355</v>
      </c>
      <c r="T570" s="111" t="inlineStr">
        <is>
          <t>마스터_품목</t>
        </is>
      </c>
    </row>
    <row r="571" ht="48" customHeight="1">
      <c r="A571" s="126" t="inlineStr">
        <is>
          <t>조립</t>
        </is>
      </c>
      <c r="B571" s="87" t="inlineStr">
        <is>
          <t>ABS 난연</t>
        </is>
      </c>
      <c r="C571" s="88" t="inlineStr">
        <is>
          <t>ADX6000</t>
        </is>
      </c>
      <c r="D571" s="88" t="inlineStr">
        <is>
          <t>컬리메이터 REAR 사출 (ABS 난연 화이트 + 스프레이)
[ADX6000]</t>
        </is>
      </c>
      <c r="E571" s="88" t="n"/>
      <c r="F571" s="90" t="inlineStr">
        <is>
          <t>O</t>
        </is>
      </c>
      <c r="G571" s="91" t="n"/>
      <c r="H571" s="92" t="n"/>
      <c r="I571" s="93">
        <f>IFERROR(IF(OR($F571="O",$G571="O",$H571="O"),CHOOSE(MATCH($A571,{"튜브","고압","진공","튜닝","조립","출하"},0),"T","H","V","N","A","P")&amp;IF($F571="O","R",IF($G571="O","A",IF($H571="O","F",""))),""),"")</f>
        <v/>
      </c>
      <c r="J571" s="94" t="n"/>
      <c r="K571" s="95" t="n"/>
      <c r="L571" s="121" t="inlineStr">
        <is>
          <t>O</t>
        </is>
      </c>
      <c r="M571" s="97" t="n"/>
      <c r="N571" s="98" t="n"/>
      <c r="O571" s="99" t="n"/>
      <c r="P571" s="100">
        <f>IF($I571="","",IF($J571="O","3","")&amp;IF($K571="O","4","")&amp;IF($L571="O","6","")&amp;IF($M571="O","7","")&amp;IF($N571="O","8","")&amp;IF($O571="O","?","")&amp;IF(OR($J571="O",$K571="O",$L571="O",$M571="O",$N571="O",$O571="O"),"-","")&amp;$I571)</f>
        <v/>
      </c>
      <c r="Q571" s="102" t="inlineStr">
        <is>
          <t>천우</t>
        </is>
      </c>
      <c r="R571" s="110">
        <f>HYPERLINK("#'마스터_품목'!A837","→ 마스터 R837")</f>
        <v/>
      </c>
      <c r="S571" s="111" t="n">
        <v>836</v>
      </c>
      <c r="T571" s="111" t="inlineStr">
        <is>
          <t>마스터_품목</t>
        </is>
      </c>
    </row>
    <row r="572" ht="48" customHeight="1">
      <c r="A572" s="87" t="inlineStr">
        <is>
          <t>창고</t>
        </is>
      </c>
      <c r="B572" s="87" t="inlineStr">
        <is>
          <t>ABS 난연</t>
        </is>
      </c>
      <c r="C572" s="88" t="inlineStr">
        <is>
          <t>ADX6000</t>
        </is>
      </c>
      <c r="D572" s="88" t="inlineStr">
        <is>
          <t>컬리메이터 내부하우징 사출 (ABS 난연 화이트 + 스프레이)
[ADX6000]</t>
        </is>
      </c>
      <c r="E572" s="88" t="inlineStr">
        <is>
          <t>컬리메이터 내부하우징 사출</t>
        </is>
      </c>
      <c r="F572" s="90" t="inlineStr">
        <is>
          <t>O</t>
        </is>
      </c>
      <c r="G572" s="91" t="n"/>
      <c r="H572" s="92" t="n"/>
      <c r="I572" s="93" t="inlineStr">
        <is>
          <t>AR</t>
        </is>
      </c>
      <c r="J572" s="94" t="n"/>
      <c r="K572" s="95" t="n"/>
      <c r="L572" s="96" t="inlineStr">
        <is>
          <t>O</t>
        </is>
      </c>
      <c r="M572" s="97" t="n"/>
      <c r="N572" s="98" t="n"/>
      <c r="O572" s="99" t="n"/>
      <c r="P572" s="100" t="inlineStr">
        <is>
          <t>6-AR</t>
        </is>
      </c>
      <c r="Q572" s="102" t="inlineStr">
        <is>
          <t>천우</t>
        </is>
      </c>
      <c r="R572" s="110">
        <f>HYPERLINK("#'마스터_품목'!A310","→ 마스터 R310")</f>
        <v/>
      </c>
      <c r="S572" s="111" t="n">
        <v>310</v>
      </c>
      <c r="T572" s="111" t="inlineStr">
        <is>
          <t>마스터_품목</t>
        </is>
      </c>
    </row>
    <row r="573" ht="48" customHeight="1">
      <c r="A573" s="87" t="inlineStr">
        <is>
          <t>창고</t>
        </is>
      </c>
      <c r="B573" s="87" t="inlineStr">
        <is>
          <t>ABS 난연</t>
        </is>
      </c>
      <c r="C573" s="88" t="inlineStr">
        <is>
          <t>ADX6000</t>
        </is>
      </c>
      <c r="D573" s="88" t="inlineStr">
        <is>
          <t>컬리메이터 내부브릿지 사출 (ABS 난연 화이트 + 스프레이)
[ADX6000]</t>
        </is>
      </c>
      <c r="E573" s="88" t="inlineStr">
        <is>
          <t>컬리메이터 내부브릿지 사출</t>
        </is>
      </c>
      <c r="F573" s="90" t="inlineStr">
        <is>
          <t>O</t>
        </is>
      </c>
      <c r="G573" s="91" t="n"/>
      <c r="H573" s="92" t="n"/>
      <c r="I573" s="93" t="inlineStr">
        <is>
          <t>AR</t>
        </is>
      </c>
      <c r="J573" s="94" t="n"/>
      <c r="K573" s="95" t="n"/>
      <c r="L573" s="96" t="inlineStr">
        <is>
          <t>O</t>
        </is>
      </c>
      <c r="M573" s="97" t="n"/>
      <c r="N573" s="98" t="n"/>
      <c r="O573" s="99" t="n"/>
      <c r="P573" s="100" t="inlineStr">
        <is>
          <t>6-AR</t>
        </is>
      </c>
      <c r="Q573" s="102" t="inlineStr">
        <is>
          <t>천우</t>
        </is>
      </c>
      <c r="R573" s="110">
        <f>HYPERLINK("#'마스터_품목'!A311","→ 마스터 R311")</f>
        <v/>
      </c>
      <c r="S573" s="111" t="n">
        <v>311</v>
      </c>
      <c r="T573" s="111" t="inlineStr">
        <is>
          <t>마스터_품목</t>
        </is>
      </c>
    </row>
    <row r="574" ht="48" customHeight="1">
      <c r="A574" s="87" t="inlineStr">
        <is>
          <t>창고</t>
        </is>
      </c>
      <c r="B574" s="87" t="inlineStr">
        <is>
          <t>ABS 난연</t>
        </is>
      </c>
      <c r="C574" s="88" t="inlineStr">
        <is>
          <t>ADX6000</t>
        </is>
      </c>
      <c r="D574" s="88" t="inlineStr">
        <is>
          <t>컬리메이터 MIRROR 거치대 사출 (ABS 난연 화이트 + 스프레이 블랙)
[ADX6000]</t>
        </is>
      </c>
      <c r="E574" s="88" t="inlineStr">
        <is>
          <t>컬리메이터 Mirror 거치대 사출</t>
        </is>
      </c>
      <c r="F574" s="90" t="inlineStr">
        <is>
          <t>O</t>
        </is>
      </c>
      <c r="G574" s="91" t="n"/>
      <c r="H574" s="92" t="n"/>
      <c r="I574" s="93" t="inlineStr">
        <is>
          <t>AR</t>
        </is>
      </c>
      <c r="J574" s="94" t="n"/>
      <c r="K574" s="95" t="n"/>
      <c r="L574" s="96" t="inlineStr">
        <is>
          <t>O</t>
        </is>
      </c>
      <c r="M574" s="97" t="n"/>
      <c r="N574" s="98" t="n"/>
      <c r="O574" s="99" t="n"/>
      <c r="P574" s="100" t="inlineStr">
        <is>
          <t>6-AR</t>
        </is>
      </c>
      <c r="Q574" s="102" t="inlineStr">
        <is>
          <t>천우</t>
        </is>
      </c>
      <c r="R574" s="110">
        <f>HYPERLINK("#'마스터_품목'!A312","→ 마스터 R312")</f>
        <v/>
      </c>
      <c r="S574" s="111" t="n">
        <v>312</v>
      </c>
      <c r="T574" s="111" t="inlineStr">
        <is>
          <t>마스터_품목</t>
        </is>
      </c>
    </row>
    <row r="575" ht="48" customHeight="1">
      <c r="A575" s="87" t="inlineStr">
        <is>
          <t>창고</t>
        </is>
      </c>
      <c r="B575" s="87" t="inlineStr">
        <is>
          <t>ABS 난연</t>
        </is>
      </c>
      <c r="C575" s="88" t="inlineStr">
        <is>
          <t>ADX6000</t>
        </is>
      </c>
      <c r="D575" s="88" t="inlineStr">
        <is>
          <t>Micro USB 사출 가이드 (ABS 난연 화이트 + 스프레이)
[ADX6000]</t>
        </is>
      </c>
      <c r="E575" s="88" t="inlineStr">
        <is>
          <t>Micro USB 사출 가이드</t>
        </is>
      </c>
      <c r="F575" s="90" t="inlineStr">
        <is>
          <t>O</t>
        </is>
      </c>
      <c r="G575" s="91" t="n"/>
      <c r="H575" s="92" t="n"/>
      <c r="I575" s="93" t="inlineStr">
        <is>
          <t>AR</t>
        </is>
      </c>
      <c r="J575" s="94" t="n"/>
      <c r="K575" s="95" t="n"/>
      <c r="L575" s="96" t="inlineStr">
        <is>
          <t>O</t>
        </is>
      </c>
      <c r="M575" s="97" t="n"/>
      <c r="N575" s="98" t="n"/>
      <c r="O575" s="99" t="n"/>
      <c r="P575" s="100" t="inlineStr">
        <is>
          <t>6-AR</t>
        </is>
      </c>
      <c r="Q575" s="102" t="inlineStr">
        <is>
          <t>천우</t>
        </is>
      </c>
      <c r="R575" s="110">
        <f>HYPERLINK("#'마스터_품목'!A334","→ 마스터 R334")</f>
        <v/>
      </c>
      <c r="S575" s="111" t="n">
        <v>334</v>
      </c>
      <c r="T575" s="111" t="inlineStr">
        <is>
          <t>마스터_품목</t>
        </is>
      </c>
    </row>
    <row r="576" ht="48" customHeight="1">
      <c r="A576" s="87" t="inlineStr">
        <is>
          <t>창고</t>
        </is>
      </c>
      <c r="B576" s="87" t="inlineStr">
        <is>
          <t>아크릴</t>
        </is>
      </c>
      <c r="C576" s="88" t="inlineStr">
        <is>
          <t>ADX6000</t>
        </is>
      </c>
      <c r="D576" s="88" t="inlineStr">
        <is>
          <t>아크릴 은경 (아크릴 + 불량42)
[ADX6000]</t>
        </is>
      </c>
      <c r="E576" s="88" t="inlineStr">
        <is>
          <t>아크릴 은경</t>
        </is>
      </c>
      <c r="F576" s="90" t="inlineStr">
        <is>
          <t>O</t>
        </is>
      </c>
      <c r="G576" s="91" t="n"/>
      <c r="H576" s="92" t="n"/>
      <c r="I576" s="93" t="inlineStr">
        <is>
          <t>AR</t>
        </is>
      </c>
      <c r="J576" s="94" t="n"/>
      <c r="K576" s="95" t="n"/>
      <c r="L576" s="96" t="inlineStr">
        <is>
          <t>O</t>
        </is>
      </c>
      <c r="M576" s="97" t="n"/>
      <c r="N576" s="98" t="n"/>
      <c r="O576" s="99" t="n"/>
      <c r="P576" s="100" t="inlineStr">
        <is>
          <t>6-AR</t>
        </is>
      </c>
      <c r="Q576" s="102" t="inlineStr">
        <is>
          <t>아크릴최가</t>
        </is>
      </c>
      <c r="R576" s="110">
        <f>HYPERLINK("#'마스터_품목'!A313","→ 마스터 R313")</f>
        <v/>
      </c>
      <c r="S576" s="111" t="n">
        <v>313</v>
      </c>
      <c r="T576" s="111" t="inlineStr">
        <is>
          <t>마스터_품목</t>
        </is>
      </c>
    </row>
    <row r="577" ht="48" customHeight="1">
      <c r="A577" s="126" t="inlineStr">
        <is>
          <t>출하</t>
        </is>
      </c>
      <c r="B577" s="87" t="inlineStr">
        <is>
          <t>AL + STEEL</t>
        </is>
      </c>
      <c r="C577" s="88" t="inlineStr">
        <is>
          <t>ADX6000</t>
        </is>
      </c>
      <c r="D577" s="88" t="inlineStr">
        <is>
          <t>스킨가드 FRAME (AL 가공 + 흑색 아노다이징)
[ADX6000]</t>
        </is>
      </c>
      <c r="E577" s="88" t="n"/>
      <c r="F577" s="90" t="inlineStr">
        <is>
          <t>O</t>
        </is>
      </c>
      <c r="G577" s="91" t="n"/>
      <c r="H577" s="92" t="n"/>
      <c r="I577" s="93">
        <f>IFERROR(IF(OR($F577="O",$G577="O",$H577="O"),CHOOSE(MATCH($A577,{"튜브","고압","진공","튜닝","조립","출하"},0),"T","H","V","N","A","P")&amp;IF($F577="O","R",IF($G577="O","A",IF($H577="O","F",""))),""),"")</f>
        <v/>
      </c>
      <c r="J577" s="94" t="n"/>
      <c r="K577" s="95" t="n"/>
      <c r="L577" s="121" t="inlineStr">
        <is>
          <t>O</t>
        </is>
      </c>
      <c r="M577" s="97" t="n"/>
      <c r="N577" s="98" t="n"/>
      <c r="O577" s="99" t="n"/>
      <c r="P577" s="100">
        <f>IF($I577="","",IF($J577="O","3","")&amp;IF($K577="O","4","")&amp;IF($L577="O","6","")&amp;IF($M577="O","7","")&amp;IF($N577="O","8","")&amp;IF($O577="O","?","")&amp;IF(OR($J577="O",$K577="O",$L577="O",$M577="O",$N577="O",$O577="O"),"-","")&amp;$I577)</f>
        <v/>
      </c>
      <c r="Q577" s="102" t="inlineStr">
        <is>
          <t>제이케이시스템</t>
        </is>
      </c>
      <c r="R577" s="110">
        <f>HYPERLINK("#'마스터_품목'!A838","→ 마스터 R838")</f>
        <v/>
      </c>
      <c r="S577" s="111" t="n">
        <v>837</v>
      </c>
      <c r="T577" s="111" t="inlineStr">
        <is>
          <t>마스터_품목</t>
        </is>
      </c>
    </row>
    <row r="578" ht="48" customHeight="1">
      <c r="A578" s="126" t="inlineStr">
        <is>
          <t>출하</t>
        </is>
      </c>
      <c r="B578" s="87" t="inlineStr">
        <is>
          <t>AL + STEEL</t>
        </is>
      </c>
      <c r="C578" s="88" t="inlineStr">
        <is>
          <t>ADX6000</t>
        </is>
      </c>
      <c r="D578" s="88" t="inlineStr">
        <is>
          <t>스킨가드 BODY (벨크로, AL 가공)
[ADX6000]</t>
        </is>
      </c>
      <c r="E578" s="88" t="n"/>
      <c r="F578" s="90" t="inlineStr">
        <is>
          <t>O</t>
        </is>
      </c>
      <c r="G578" s="91" t="n"/>
      <c r="H578" s="92" t="n"/>
      <c r="I578" s="93">
        <f>IFERROR(IF(OR($F578="O",$G578="O",$H578="O"),CHOOSE(MATCH($A578,{"튜브","고압","진공","튜닝","조립","출하"},0),"T","H","V","N","A","P")&amp;IF($F578="O","R",IF($G578="O","A",IF($H578="O","F",""))),""),"")</f>
        <v/>
      </c>
      <c r="J578" s="94" t="n"/>
      <c r="K578" s="95" t="n"/>
      <c r="L578" s="121" t="inlineStr">
        <is>
          <t>O</t>
        </is>
      </c>
      <c r="M578" s="97" t="n"/>
      <c r="N578" s="98" t="n"/>
      <c r="O578" s="99" t="n"/>
      <c r="P578" s="100">
        <f>IF($I578="","",IF($J578="O","3","")&amp;IF($K578="O","4","")&amp;IF($L578="O","6","")&amp;IF($M578="O","7","")&amp;IF($N578="O","8","")&amp;IF($O578="O","?","")&amp;IF(OR($J578="O",$K578="O",$L578="O",$M578="O",$N578="O",$O578="O"),"-","")&amp;$I578)</f>
        <v/>
      </c>
      <c r="Q578" s="102" t="inlineStr">
        <is>
          <t>제이케이시스템</t>
        </is>
      </c>
      <c r="R578" s="110">
        <f>HYPERLINK("#'마스터_품목'!A839","→ 마스터 R839")</f>
        <v/>
      </c>
      <c r="S578" s="111" t="n">
        <v>838</v>
      </c>
      <c r="T578" s="111" t="inlineStr">
        <is>
          <t>마스터_품목</t>
        </is>
      </c>
    </row>
    <row r="579" ht="48" customHeight="1">
      <c r="A579" s="126" t="inlineStr">
        <is>
          <t>출하</t>
        </is>
      </c>
      <c r="B579" s="87" t="inlineStr">
        <is>
          <t>AL + STEEL</t>
        </is>
      </c>
      <c r="C579" s="88" t="inlineStr">
        <is>
          <t>ADX6000</t>
        </is>
      </c>
      <c r="D579" s="88" t="inlineStr">
        <is>
          <t>스킨가드 구형
[ADX6000]</t>
        </is>
      </c>
      <c r="E579" s="88" t="n"/>
      <c r="F579" s="90" t="inlineStr">
        <is>
          <t>O</t>
        </is>
      </c>
      <c r="G579" s="91" t="n"/>
      <c r="H579" s="92" t="n"/>
      <c r="I579" s="93">
        <f>IFERROR(IF(OR($F579="O",$G579="O",$H579="O"),CHOOSE(MATCH($A579,{"튜브","고압","진공","튜닝","조립","출하"},0),"T","H","V","N","A","P")&amp;IF($F579="O","R",IF($G579="O","A",IF($H579="O","F",""))),""),"")</f>
        <v/>
      </c>
      <c r="J579" s="94" t="n"/>
      <c r="K579" s="95" t="n"/>
      <c r="L579" s="121" t="inlineStr">
        <is>
          <t>O</t>
        </is>
      </c>
      <c r="M579" s="97" t="n"/>
      <c r="N579" s="98" t="n"/>
      <c r="O579" s="99" t="n"/>
      <c r="P579" s="100">
        <f>IF($I579="","",IF($J579="O","3","")&amp;IF($K579="O","4","")&amp;IF($L579="O","6","")&amp;IF($M579="O","7","")&amp;IF($N579="O","8","")&amp;IF($O579="O","?","")&amp;IF(OR($J579="O",$K579="O",$L579="O",$M579="O",$N579="O",$O579="O"),"-","")&amp;$I579)</f>
        <v/>
      </c>
      <c r="Q579" s="102" t="inlineStr">
        <is>
          <t>제이케이시스템</t>
        </is>
      </c>
      <c r="R579" s="110">
        <f>HYPERLINK("#'마스터_품목'!A840","→ 마스터 R840")</f>
        <v/>
      </c>
      <c r="S579" s="111" t="n">
        <v>839</v>
      </c>
      <c r="T579" s="111" t="inlineStr">
        <is>
          <t>마스터_품목</t>
        </is>
      </c>
    </row>
    <row r="580" ht="48" customHeight="1">
      <c r="A580" s="87" t="inlineStr">
        <is>
          <t>창고</t>
        </is>
      </c>
      <c r="B580" s="87" t="inlineStr">
        <is>
          <t>AL</t>
        </is>
      </c>
      <c r="C580" s="88" t="inlineStr">
        <is>
          <t>ADX6000</t>
        </is>
      </c>
      <c r="D580" s="88" t="inlineStr">
        <is>
          <t>Top Block (AL 가공 + 흑색 아노다이징)
[ADX6000]</t>
        </is>
      </c>
      <c r="E580" s="88" t="inlineStr">
        <is>
          <t>Top Block</t>
        </is>
      </c>
      <c r="F580" s="90" t="inlineStr">
        <is>
          <t>O</t>
        </is>
      </c>
      <c r="G580" s="91" t="n"/>
      <c r="H580" s="92" t="n"/>
      <c r="I580" s="93" t="inlineStr">
        <is>
          <t>AR</t>
        </is>
      </c>
      <c r="J580" s="94" t="n"/>
      <c r="K580" s="95" t="n"/>
      <c r="L580" s="96" t="inlineStr">
        <is>
          <t>O</t>
        </is>
      </c>
      <c r="M580" s="97" t="n"/>
      <c r="N580" s="98" t="n"/>
      <c r="O580" s="99" t="n"/>
      <c r="P580" s="100" t="inlineStr">
        <is>
          <t>6-AR</t>
        </is>
      </c>
      <c r="Q580" s="102" t="inlineStr">
        <is>
          <t>제이케이시스템</t>
        </is>
      </c>
      <c r="R580" s="110">
        <f>HYPERLINK("#'마스터_품목'!A317","→ 마스터 R317")</f>
        <v/>
      </c>
      <c r="S580" s="111" t="n">
        <v>317</v>
      </c>
      <c r="T580" s="111" t="inlineStr">
        <is>
          <t>마스터_품목</t>
        </is>
      </c>
    </row>
    <row r="581" ht="48" customHeight="1">
      <c r="A581" s="126" t="inlineStr">
        <is>
          <t>조립</t>
        </is>
      </c>
      <c r="B581" s="87" t="inlineStr">
        <is>
          <t>AL</t>
        </is>
      </c>
      <c r="C581" s="88" t="inlineStr">
        <is>
          <t>ADX6000</t>
        </is>
      </c>
      <c r="D581" s="88" t="inlineStr">
        <is>
          <t>알루미늄 브라켓 4 hole (AL 가공 + 백색 아노다이징)
[ADX6000]</t>
        </is>
      </c>
      <c r="E581" s="88" t="n"/>
      <c r="F581" s="90" t="inlineStr">
        <is>
          <t>O</t>
        </is>
      </c>
      <c r="G581" s="91" t="n"/>
      <c r="H581" s="92" t="n"/>
      <c r="I581" s="93">
        <f>IFERROR(IF(OR($F581="O",$G581="O",$H581="O"),CHOOSE(MATCH($A581,{"튜브","고압","진공","튜닝","조립","출하"},0),"T","H","V","N","A","P")&amp;IF($F581="O","R",IF($G581="O","A",IF($H581="O","F",""))),""),"")</f>
        <v/>
      </c>
      <c r="J581" s="94" t="n"/>
      <c r="K581" s="95" t="n"/>
      <c r="L581" s="121" t="inlineStr">
        <is>
          <t>O</t>
        </is>
      </c>
      <c r="M581" s="97" t="n"/>
      <c r="N581" s="98" t="n"/>
      <c r="O581" s="99" t="n"/>
      <c r="P581" s="100">
        <f>IF($I581="","",IF($J581="O","3","")&amp;IF($K581="O","4","")&amp;IF($L581="O","6","")&amp;IF($M581="O","7","")&amp;IF($N581="O","8","")&amp;IF($O581="O","?","")&amp;IF(OR($J581="O",$K581="O",$L581="O",$M581="O",$N581="O",$O581="O"),"-","")&amp;$I581)</f>
        <v/>
      </c>
      <c r="Q581" s="102" t="inlineStr">
        <is>
          <t>제이케이시스템</t>
        </is>
      </c>
      <c r="R581" s="110">
        <f>HYPERLINK("#'마스터_품목'!A841","→ 마스터 R841")</f>
        <v/>
      </c>
      <c r="S581" s="111" t="n">
        <v>840</v>
      </c>
      <c r="T581" s="111" t="inlineStr">
        <is>
          <t>마스터_품목</t>
        </is>
      </c>
    </row>
    <row r="582" ht="48" customHeight="1">
      <c r="A582" s="87" t="inlineStr">
        <is>
          <t>창고</t>
        </is>
      </c>
      <c r="B582" s="87" t="inlineStr">
        <is>
          <t>AL</t>
        </is>
      </c>
      <c r="C582" s="88" t="inlineStr">
        <is>
          <t>ADX6000</t>
        </is>
      </c>
      <c r="D582" s="88" t="inlineStr">
        <is>
          <t>컬리메이터 LED 알루미늄 가이드 (AL 가공 + 흑색 아노다이징)
[ADX6000]</t>
        </is>
      </c>
      <c r="E582" s="88" t="inlineStr">
        <is>
          <t>컬리메이터 LED 알루미늄 가이드</t>
        </is>
      </c>
      <c r="F582" s="90" t="inlineStr">
        <is>
          <t>O</t>
        </is>
      </c>
      <c r="G582" s="91" t="n"/>
      <c r="H582" s="92" t="n"/>
      <c r="I582" s="93" t="inlineStr">
        <is>
          <t>AR</t>
        </is>
      </c>
      <c r="J582" s="94" t="n"/>
      <c r="K582" s="95" t="n"/>
      <c r="L582" s="96" t="inlineStr">
        <is>
          <t>O</t>
        </is>
      </c>
      <c r="M582" s="97" t="n"/>
      <c r="N582" s="98" t="n"/>
      <c r="O582" s="99" t="n"/>
      <c r="P582" s="100" t="inlineStr">
        <is>
          <t>6-AR</t>
        </is>
      </c>
      <c r="Q582" s="102" t="inlineStr">
        <is>
          <t>다우정밀</t>
        </is>
      </c>
      <c r="R582" s="110">
        <f>HYPERLINK("#'마스터_품목'!A314","→ 마스터 R314")</f>
        <v/>
      </c>
      <c r="S582" s="111" t="n">
        <v>314</v>
      </c>
      <c r="T582" s="111" t="inlineStr">
        <is>
          <t>마스터_품목</t>
        </is>
      </c>
    </row>
    <row r="583" ht="48" customHeight="1">
      <c r="A583" s="126" t="inlineStr">
        <is>
          <t>조립</t>
        </is>
      </c>
      <c r="B583" s="87" t="inlineStr">
        <is>
          <t>RUBBER</t>
        </is>
      </c>
      <c r="C583" s="88" t="inlineStr">
        <is>
          <t>ADX6000</t>
        </is>
      </c>
      <c r="D583" s="88" t="inlineStr">
        <is>
          <t>외부전원 연결 DC잭 고무링 (RUBBER)
[ADX6000]</t>
        </is>
      </c>
      <c r="E583" s="88" t="n"/>
      <c r="F583" s="90" t="inlineStr">
        <is>
          <t>O</t>
        </is>
      </c>
      <c r="G583" s="91" t="n"/>
      <c r="H583" s="92" t="n"/>
      <c r="I583" s="93">
        <f>IFERROR(IF(OR($F583="O",$G583="O",$H583="O"),CHOOSE(MATCH($A583,{"튜브","고압","진공","튜닝","조립","출하"},0),"T","H","V","N","A","P")&amp;IF($F583="O","R",IF($G583="O","A",IF($H583="O","F",""))),""),"")</f>
        <v/>
      </c>
      <c r="J583" s="94" t="n"/>
      <c r="K583" s="95" t="n"/>
      <c r="L583" s="121" t="inlineStr">
        <is>
          <t>O</t>
        </is>
      </c>
      <c r="M583" s="97" t="n"/>
      <c r="N583" s="98" t="n"/>
      <c r="O583" s="99" t="n"/>
      <c r="P583" s="100">
        <f>IF($I583="","",IF($J583="O","3","")&amp;IF($K583="O","4","")&amp;IF($L583="O","6","")&amp;IF($M583="O","7","")&amp;IF($N583="O","8","")&amp;IF($O583="O","?","")&amp;IF(OR($J583="O",$K583="O",$L583="O",$M583="O",$N583="O",$O583="O"),"-","")&amp;$I583)</f>
        <v/>
      </c>
      <c r="Q583" s="102" t="inlineStr">
        <is>
          <t>직구</t>
        </is>
      </c>
      <c r="R583" s="110">
        <f>HYPERLINK("#'마스터_품목'!A842","→ 마스터 R842")</f>
        <v/>
      </c>
      <c r="S583" s="111" t="n">
        <v>841</v>
      </c>
      <c r="T583" s="111" t="inlineStr">
        <is>
          <t>마스터_품목</t>
        </is>
      </c>
    </row>
    <row r="584" ht="48" customHeight="1">
      <c r="A584" s="126" t="inlineStr">
        <is>
          <t>조립</t>
        </is>
      </c>
      <c r="B584" s="87" t="inlineStr">
        <is>
          <t>RUBBER</t>
        </is>
      </c>
      <c r="C584" s="88" t="inlineStr">
        <is>
          <t>ADX6000</t>
        </is>
      </c>
      <c r="D584" s="88" t="inlineStr">
        <is>
          <t>외부전원 연결 DC잭 너트
[ADX6000]</t>
        </is>
      </c>
      <c r="E584" s="88" t="n"/>
      <c r="F584" s="90" t="inlineStr">
        <is>
          <t>O</t>
        </is>
      </c>
      <c r="G584" s="91" t="n"/>
      <c r="H584" s="92" t="n"/>
      <c r="I584" s="93">
        <f>IFERROR(IF(OR($F584="O",$G584="O",$H584="O"),CHOOSE(MATCH($A584,{"튜브","고압","진공","튜닝","조립","출하"},0),"T","H","V","N","A","P")&amp;IF($F584="O","R",IF($G584="O","A",IF($H584="O","F",""))),""),"")</f>
        <v/>
      </c>
      <c r="J584" s="94" t="n"/>
      <c r="K584" s="95" t="n"/>
      <c r="L584" s="121" t="inlineStr">
        <is>
          <t>O</t>
        </is>
      </c>
      <c r="M584" s="97" t="n"/>
      <c r="N584" s="98" t="n"/>
      <c r="O584" s="99" t="n"/>
      <c r="P584" s="100">
        <f>IF($I584="","",IF($J584="O","3","")&amp;IF($K584="O","4","")&amp;IF($L584="O","6","")&amp;IF($M584="O","7","")&amp;IF($N584="O","8","")&amp;IF($O584="O","?","")&amp;IF(OR($J584="O",$K584="O",$L584="O",$M584="O",$N584="O",$O584="O"),"-","")&amp;$I584)</f>
        <v/>
      </c>
      <c r="Q584" s="102" t="inlineStr">
        <is>
          <t>직구</t>
        </is>
      </c>
      <c r="R584" s="110">
        <f>HYPERLINK("#'마스터_품목'!A843","→ 마스터 R843")</f>
        <v/>
      </c>
      <c r="S584" s="111" t="n">
        <v>842</v>
      </c>
      <c r="T584" s="111" t="inlineStr">
        <is>
          <t>마스터_품목</t>
        </is>
      </c>
    </row>
    <row r="585" ht="48" customHeight="1">
      <c r="A585" s="87" t="inlineStr">
        <is>
          <t>창고</t>
        </is>
      </c>
      <c r="B585" s="87" t="inlineStr">
        <is>
          <t>스티커</t>
        </is>
      </c>
      <c r="C585" s="88" t="inlineStr">
        <is>
          <t>ADX6000</t>
        </is>
      </c>
      <c r="D585" s="88" t="inlineStr">
        <is>
          <t>Front Port Sticker
[ADX6000]</t>
        </is>
      </c>
      <c r="E585" s="88" t="inlineStr">
        <is>
          <t>Front Port Sticker (전면 포트 스티커)</t>
        </is>
      </c>
      <c r="F585" s="90" t="inlineStr">
        <is>
          <t>O</t>
        </is>
      </c>
      <c r="G585" s="91" t="n"/>
      <c r="H585" s="92" t="n"/>
      <c r="I585" s="93" t="inlineStr">
        <is>
          <t>AR</t>
        </is>
      </c>
      <c r="J585" s="94" t="n"/>
      <c r="K585" s="95" t="n"/>
      <c r="L585" s="96" t="inlineStr">
        <is>
          <t>O</t>
        </is>
      </c>
      <c r="M585" s="97" t="n"/>
      <c r="N585" s="98" t="n"/>
      <c r="O585" s="99" t="n"/>
      <c r="P585" s="100" t="inlineStr">
        <is>
          <t>6-AR</t>
        </is>
      </c>
      <c r="Q585" s="102" t="inlineStr">
        <is>
          <t>그라피아스크린</t>
        </is>
      </c>
      <c r="R585" s="110">
        <f>HYPERLINK("#'마스터_품목'!A337","→ 마스터 R337")</f>
        <v/>
      </c>
      <c r="S585" s="111" t="n">
        <v>337</v>
      </c>
      <c r="T585" s="111" t="inlineStr">
        <is>
          <t>마스터_품목</t>
        </is>
      </c>
    </row>
    <row r="586" ht="48" customHeight="1">
      <c r="A586" s="126" t="inlineStr">
        <is>
          <t>조립</t>
        </is>
      </c>
      <c r="B586" s="87" t="inlineStr">
        <is>
          <t>스티커</t>
        </is>
      </c>
      <c r="C586" s="88" t="inlineStr">
        <is>
          <t>ADX6000S</t>
        </is>
      </c>
      <c r="D586" s="88" t="inlineStr">
        <is>
          <t>Front Port Sticker
[ADX6000S]</t>
        </is>
      </c>
      <c r="E586" s="88" t="n"/>
      <c r="F586" s="90" t="inlineStr">
        <is>
          <t>O</t>
        </is>
      </c>
      <c r="G586" s="91" t="n"/>
      <c r="H586" s="92" t="n"/>
      <c r="I586" s="93">
        <f>IFERROR(IF(OR($F586="O",$G586="O",$H586="O"),CHOOSE(MATCH($A586,{"튜브","고압","진공","튜닝","조립","출하"},0),"T","H","V","N","A","P")&amp;IF($F586="O","R",IF($G586="O","A",IF($H586="O","F",""))),""),"")</f>
        <v/>
      </c>
      <c r="J586" s="94" t="n"/>
      <c r="K586" s="95" t="n"/>
      <c r="L586" s="121" t="inlineStr">
        <is>
          <t>O</t>
        </is>
      </c>
      <c r="M586" s="97" t="n"/>
      <c r="N586" s="98" t="n"/>
      <c r="O586" s="99" t="n"/>
      <c r="P586" s="100">
        <f>IF($I586="","",IF($J586="O","3","")&amp;IF($K586="O","4","")&amp;IF($L586="O","6","")&amp;IF($M586="O","7","")&amp;IF($N586="O","8","")&amp;IF($O586="O","?","")&amp;IF(OR($J586="O",$K586="O",$L586="O",$M586="O",$N586="O",$O586="O"),"-","")&amp;$I586)</f>
        <v/>
      </c>
      <c r="Q586" s="102" t="inlineStr">
        <is>
          <t>그라피아스크린</t>
        </is>
      </c>
      <c r="R586" s="110">
        <f>HYPERLINK("#'마스터_품목'!A844","→ 마스터 R844")</f>
        <v/>
      </c>
      <c r="S586" s="111" t="n">
        <v>843</v>
      </c>
      <c r="T586" s="111" t="inlineStr">
        <is>
          <t>마스터_품목</t>
        </is>
      </c>
    </row>
    <row r="587" ht="48" customHeight="1">
      <c r="A587" s="87" t="inlineStr">
        <is>
          <t>창고</t>
        </is>
      </c>
      <c r="B587" s="87" t="inlineStr">
        <is>
          <t>스티커</t>
        </is>
      </c>
      <c r="C587" s="88" t="inlineStr">
        <is>
          <t>ADX6000S</t>
        </is>
      </c>
      <c r="D587" s="88" t="inlineStr">
        <is>
          <t>Front Port Sticker (USB 포트 제거형)
[ADX6000S]</t>
        </is>
      </c>
      <c r="E587" s="88" t="inlineStr">
        <is>
          <t>Front Port Sticker (USB 포트 제거형)</t>
        </is>
      </c>
      <c r="F587" s="90" t="inlineStr">
        <is>
          <t>O</t>
        </is>
      </c>
      <c r="G587" s="91" t="n"/>
      <c r="H587" s="92" t="n"/>
      <c r="I587" s="93" t="inlineStr">
        <is>
          <t>AR</t>
        </is>
      </c>
      <c r="J587" s="94" t="n"/>
      <c r="K587" s="95" t="n"/>
      <c r="L587" s="96" t="inlineStr">
        <is>
          <t>O</t>
        </is>
      </c>
      <c r="M587" s="97" t="n"/>
      <c r="N587" s="98" t="n"/>
      <c r="O587" s="99" t="n"/>
      <c r="P587" s="100" t="inlineStr">
        <is>
          <t>6-AR</t>
        </is>
      </c>
      <c r="Q587" s="102" t="inlineStr">
        <is>
          <t>그라피아스크린</t>
        </is>
      </c>
      <c r="R587" s="110">
        <f>HYPERLINK("#'마스터_품목'!A341","→ 마스터 R341")</f>
        <v/>
      </c>
      <c r="S587" s="111" t="n">
        <v>341</v>
      </c>
      <c r="T587" s="111" t="inlineStr">
        <is>
          <t>마스터_품목</t>
        </is>
      </c>
    </row>
    <row r="588" ht="48" customHeight="1">
      <c r="A588" s="87" t="inlineStr">
        <is>
          <t>창고</t>
        </is>
      </c>
      <c r="B588" s="87" t="inlineStr">
        <is>
          <t>인조가죽</t>
        </is>
      </c>
      <c r="C588" s="88" t="inlineStr">
        <is>
          <t>ADX6000</t>
        </is>
      </c>
      <c r="D588" s="88" t="inlineStr">
        <is>
          <t>가죽 손잡이 (탈착배터리 터치펜 O) (인조 가죽)
[ADX6000]</t>
        </is>
      </c>
      <c r="E588" s="88" t="inlineStr">
        <is>
          <t>가죽 손잡이 탈착배터리용 터치펜 O</t>
        </is>
      </c>
      <c r="F588" s="90" t="inlineStr">
        <is>
          <t>O</t>
        </is>
      </c>
      <c r="G588" s="91" t="n"/>
      <c r="H588" s="92" t="n"/>
      <c r="I588" s="93" t="inlineStr">
        <is>
          <t>AR</t>
        </is>
      </c>
      <c r="J588" s="94" t="n"/>
      <c r="K588" s="95" t="n"/>
      <c r="L588" s="96" t="inlineStr">
        <is>
          <t>O</t>
        </is>
      </c>
      <c r="M588" s="97" t="n"/>
      <c r="N588" s="98" t="n"/>
      <c r="O588" s="99" t="n"/>
      <c r="P588" s="100" t="inlineStr">
        <is>
          <t>6-AR</t>
        </is>
      </c>
      <c r="Q588" s="102" t="inlineStr">
        <is>
          <t>굿모닝코리아유통</t>
        </is>
      </c>
      <c r="R588" s="110">
        <f>HYPERLINK("#'마스터_품목'!A352","→ 마스터 R352")</f>
        <v/>
      </c>
      <c r="S588" s="111" t="n">
        <v>352</v>
      </c>
      <c r="T588" s="111" t="inlineStr">
        <is>
          <t>마스터_품목</t>
        </is>
      </c>
    </row>
    <row r="589" ht="48" customHeight="1">
      <c r="A589" s="126" t="inlineStr">
        <is>
          <t>조립</t>
        </is>
      </c>
      <c r="B589" s="87" t="inlineStr">
        <is>
          <t>인조가죽</t>
        </is>
      </c>
      <c r="C589" s="88" t="inlineStr">
        <is>
          <t>ADX6000</t>
        </is>
      </c>
      <c r="D589" s="88" t="inlineStr">
        <is>
          <t>가죽 손잡이 (외부배터리) (인조 가죽)
[ADX6000]</t>
        </is>
      </c>
      <c r="E589" s="88" t="n"/>
      <c r="F589" s="90" t="inlineStr">
        <is>
          <t>O</t>
        </is>
      </c>
      <c r="G589" s="91" t="n"/>
      <c r="H589" s="92" t="n"/>
      <c r="I589" s="93">
        <f>IFERROR(IF(OR($F589="O",$G589="O",$H589="O"),CHOOSE(MATCH($A589,{"튜브","고압","진공","튜닝","조립","출하"},0),"T","H","V","N","A","P")&amp;IF($F589="O","R",IF($G589="O","A",IF($H589="O","F",""))),""),"")</f>
        <v/>
      </c>
      <c r="J589" s="94" t="n"/>
      <c r="K589" s="95" t="n"/>
      <c r="L589" s="121" t="inlineStr">
        <is>
          <t>O</t>
        </is>
      </c>
      <c r="M589" s="97" t="n"/>
      <c r="N589" s="98" t="n"/>
      <c r="O589" s="99" t="n"/>
      <c r="P589" s="100">
        <f>IF($I589="","",IF($J589="O","3","")&amp;IF($K589="O","4","")&amp;IF($L589="O","6","")&amp;IF($M589="O","7","")&amp;IF($N589="O","8","")&amp;IF($O589="O","?","")&amp;IF(OR($J589="O",$K589="O",$L589="O",$M589="O",$N589="O",$O589="O"),"-","")&amp;$I589)</f>
        <v/>
      </c>
      <c r="Q589" s="102" t="inlineStr">
        <is>
          <t>굿모닝코리아유통</t>
        </is>
      </c>
      <c r="R589" s="110">
        <f>HYPERLINK("#'마스터_품목'!A845","→ 마스터 R845")</f>
        <v/>
      </c>
      <c r="S589" s="111" t="n">
        <v>844</v>
      </c>
      <c r="T589" s="111" t="inlineStr">
        <is>
          <t>마스터_품목</t>
        </is>
      </c>
    </row>
    <row r="590" ht="48" customHeight="1">
      <c r="A590" s="126" t="inlineStr">
        <is>
          <t>조립</t>
        </is>
      </c>
      <c r="B590" s="87" t="inlineStr">
        <is>
          <t>ABS 난연</t>
        </is>
      </c>
      <c r="C590" s="88" t="inlineStr">
        <is>
          <t>ADX6000</t>
        </is>
      </c>
      <c r="D590" s="88" t="inlineStr">
        <is>
          <t>BODY LEFT 사출(외부배터리 사출커팅) (ABS 난연 화이트 + 스프레이 AS용)
[ADX6000]</t>
        </is>
      </c>
      <c r="E590" s="88" t="n"/>
      <c r="F590" s="90" t="inlineStr">
        <is>
          <t>O</t>
        </is>
      </c>
      <c r="G590" s="91" t="n"/>
      <c r="H590" s="92" t="n"/>
      <c r="I590" s="93">
        <f>IFERROR(IF(OR($F590="O",$G590="O",$H590="O"),CHOOSE(MATCH($A590,{"튜브","고압","진공","튜닝","조립","출하"},0),"T","H","V","N","A","P")&amp;IF($F590="O","R",IF($G590="O","A",IF($H590="O","F",""))),""),"")</f>
        <v/>
      </c>
      <c r="J590" s="94" t="n"/>
      <c r="K590" s="95" t="n"/>
      <c r="L590" s="121" t="inlineStr">
        <is>
          <t>O</t>
        </is>
      </c>
      <c r="M590" s="97" t="n"/>
      <c r="N590" s="98" t="n"/>
      <c r="O590" s="99" t="n"/>
      <c r="P590" s="100">
        <f>IF($I590="","",IF($J590="O","3","")&amp;IF($K590="O","4","")&amp;IF($L590="O","6","")&amp;IF($M590="O","7","")&amp;IF($N590="O","8","")&amp;IF($O590="O","?","")&amp;IF(OR($J590="O",$K590="O",$L590="O",$M590="O",$N590="O",$O590="O"),"-","")&amp;$I590)</f>
        <v/>
      </c>
      <c r="Q590" s="102" t="inlineStr">
        <is>
          <t>천우</t>
        </is>
      </c>
      <c r="R590" s="110">
        <f>HYPERLINK("#'마스터_품목'!A846","→ 마스터 R846")</f>
        <v/>
      </c>
      <c r="S590" s="111" t="n">
        <v>845</v>
      </c>
      <c r="T590" s="111" t="inlineStr">
        <is>
          <t>마스터_품목</t>
        </is>
      </c>
    </row>
    <row r="591" ht="48" customHeight="1">
      <c r="A591" s="126" t="inlineStr">
        <is>
          <t>조립</t>
        </is>
      </c>
      <c r="B591" s="87" t="inlineStr">
        <is>
          <t>ABS 난연</t>
        </is>
      </c>
      <c r="C591" s="88" t="inlineStr">
        <is>
          <t>ADX6000</t>
        </is>
      </c>
      <c r="D591" s="88" t="inlineStr">
        <is>
          <t>BODY RIGHT 사출(외부배터리용) (ABS 난연 화이트 + 스프레이 AS용)
[ADX6000]</t>
        </is>
      </c>
      <c r="E591" s="88" t="n"/>
      <c r="F591" s="90" t="inlineStr">
        <is>
          <t>O</t>
        </is>
      </c>
      <c r="G591" s="91" t="n"/>
      <c r="H591" s="92" t="n"/>
      <c r="I591" s="93">
        <f>IFERROR(IF(OR($F591="O",$G591="O",$H591="O"),CHOOSE(MATCH($A591,{"튜브","고압","진공","튜닝","조립","출하"},0),"T","H","V","N","A","P")&amp;IF($F591="O","R",IF($G591="O","A",IF($H591="O","F",""))),""),"")</f>
        <v/>
      </c>
      <c r="J591" s="94" t="n"/>
      <c r="K591" s="95" t="n"/>
      <c r="L591" s="121" t="inlineStr">
        <is>
          <t>O</t>
        </is>
      </c>
      <c r="M591" s="97" t="n"/>
      <c r="N591" s="98" t="n"/>
      <c r="O591" s="99" t="n"/>
      <c r="P591" s="100">
        <f>IF($I591="","",IF($J591="O","3","")&amp;IF($K591="O","4","")&amp;IF($L591="O","6","")&amp;IF($M591="O","7","")&amp;IF($N591="O","8","")&amp;IF($O591="O","?","")&amp;IF(OR($J591="O",$K591="O",$L591="O",$M591="O",$N591="O",$O591="O"),"-","")&amp;$I591)</f>
        <v/>
      </c>
      <c r="Q591" s="102" t="inlineStr">
        <is>
          <t>천우</t>
        </is>
      </c>
      <c r="R591" s="110">
        <f>HYPERLINK("#'마스터_품목'!A847","→ 마스터 R847")</f>
        <v/>
      </c>
      <c r="S591" s="111" t="n">
        <v>846</v>
      </c>
      <c r="T591" s="111" t="inlineStr">
        <is>
          <t>마스터_품목</t>
        </is>
      </c>
    </row>
    <row r="592" ht="48" customHeight="1">
      <c r="A592" s="126" t="inlineStr">
        <is>
          <t>조립</t>
        </is>
      </c>
      <c r="B592" s="87" t="inlineStr">
        <is>
          <t>재공품</t>
        </is>
      </c>
      <c r="C592" s="88" t="inlineStr">
        <is>
          <t>ADX6000S</t>
        </is>
      </c>
      <c r="D592" s="88" t="inlineStr">
        <is>
          <t>RIGHT Ass'y
[ADX6000S]</t>
        </is>
      </c>
      <c r="E592" s="88" t="n"/>
      <c r="F592" s="90" t="n"/>
      <c r="G592" s="91" t="inlineStr">
        <is>
          <t>O</t>
        </is>
      </c>
      <c r="H592" s="92" t="n"/>
      <c r="I592" s="93">
        <f>IFERROR(IF(OR($F592="O",$G592="O",$H592="O"),CHOOSE(MATCH($A592,{"튜브","고압","진공","튜닝","조립","출하"},0),"T","H","V","N","A","P")&amp;IF($F592="O","R",IF($G592="O","A",IF($H592="O","F",""))),""),"")</f>
        <v/>
      </c>
      <c r="J592" s="94" t="n"/>
      <c r="K592" s="95" t="n"/>
      <c r="L592" s="121" t="inlineStr">
        <is>
          <t>O</t>
        </is>
      </c>
      <c r="M592" s="97" t="n"/>
      <c r="N592" s="98" t="n"/>
      <c r="O592" s="99" t="n"/>
      <c r="P592" s="100">
        <f>IF($I592="","",IF($J592="O","3","")&amp;IF($K592="O","4","")&amp;IF($L592="O","6","")&amp;IF($M592="O","7","")&amp;IF($N592="O","8","")&amp;IF($O592="O","?","")&amp;IF(OR($J592="O",$K592="O",$L592="O",$M592="O",$N592="O",$O592="O"),"-","")&amp;$I592)</f>
        <v/>
      </c>
      <c r="Q592" s="102" t="inlineStr">
        <is>
          <t>덱스코윈</t>
        </is>
      </c>
      <c r="R592" s="110">
        <f>HYPERLINK("#'마스터_품목'!A848","→ 마스터 R848")</f>
        <v/>
      </c>
      <c r="S592" s="111" t="n">
        <v>847</v>
      </c>
      <c r="T592" s="111" t="inlineStr">
        <is>
          <t>마스터_품목</t>
        </is>
      </c>
    </row>
    <row r="593" ht="48" customHeight="1">
      <c r="A593" s="126" t="inlineStr">
        <is>
          <t>조립</t>
        </is>
      </c>
      <c r="B593" s="87" t="inlineStr">
        <is>
          <t>재공품</t>
        </is>
      </c>
      <c r="C593" s="88" t="inlineStr">
        <is>
          <t>ADX6000S</t>
        </is>
      </c>
      <c r="D593" s="88" t="inlineStr">
        <is>
          <t>컬리메이터 내부하우징 사출 + 납
[ADX6000S]</t>
        </is>
      </c>
      <c r="E593" s="88" t="n"/>
      <c r="F593" s="90" t="n"/>
      <c r="G593" s="91" t="inlineStr">
        <is>
          <t>O</t>
        </is>
      </c>
      <c r="H593" s="92" t="n"/>
      <c r="I593" s="93">
        <f>IFERROR(IF(OR($F593="O",$G593="O",$H593="O"),CHOOSE(MATCH($A593,{"튜브","고압","진공","튜닝","조립","출하"},0),"T","H","V","N","A","P")&amp;IF($F593="O","R",IF($G593="O","A",IF($H593="O","F",""))),""),"")</f>
        <v/>
      </c>
      <c r="J593" s="94" t="n"/>
      <c r="K593" s="95" t="n"/>
      <c r="L593" s="121" t="inlineStr">
        <is>
          <t>O</t>
        </is>
      </c>
      <c r="M593" s="97" t="n"/>
      <c r="N593" s="98" t="n"/>
      <c r="O593" s="99" t="n"/>
      <c r="P593" s="100">
        <f>IF($I593="","",IF($J593="O","3","")&amp;IF($K593="O","4","")&amp;IF($L593="O","6","")&amp;IF($M593="O","7","")&amp;IF($N593="O","8","")&amp;IF($O593="O","?","")&amp;IF(OR($J593="O",$K593="O",$L593="O",$M593="O",$N593="O",$O593="O"),"-","")&amp;$I593)</f>
        <v/>
      </c>
      <c r="Q593" s="102" t="inlineStr">
        <is>
          <t>덱스코윈</t>
        </is>
      </c>
      <c r="R593" s="110">
        <f>HYPERLINK("#'마스터_품목'!A849","→ 마스터 R849")</f>
        <v/>
      </c>
      <c r="S593" s="111" t="n">
        <v>848</v>
      </c>
      <c r="T593" s="111" t="inlineStr">
        <is>
          <t>마스터_품목</t>
        </is>
      </c>
    </row>
    <row r="594" ht="48" customHeight="1">
      <c r="A594" s="126" t="inlineStr">
        <is>
          <t>조립</t>
        </is>
      </c>
      <c r="B594" s="87" t="inlineStr">
        <is>
          <t>AL + STEEL</t>
        </is>
      </c>
      <c r="C594" s="88" t="inlineStr">
        <is>
          <t>DX3000</t>
        </is>
      </c>
      <c r="D594" s="88" t="inlineStr">
        <is>
          <t>BOTTOM BLOCK
[DX3000]</t>
        </is>
      </c>
      <c r="E594" s="88" t="n"/>
      <c r="F594" s="90" t="inlineStr">
        <is>
          <t>O</t>
        </is>
      </c>
      <c r="G594" s="91" t="n"/>
      <c r="H594" s="92" t="n"/>
      <c r="I594" s="93">
        <f>IFERROR(IF(OR($F594="O",$G594="O",$H594="O"),CHOOSE(MATCH($A594,{"튜브","고압","진공","튜닝","조립","출하"},0),"T","H","V","N","A","P")&amp;IF($F594="O","R",IF($G594="O","A",IF($H594="O","F",""))),""),"")</f>
        <v/>
      </c>
      <c r="J594" s="94" t="n"/>
      <c r="K594" s="95" t="n"/>
      <c r="L594" s="121" t="inlineStr">
        <is>
          <t>O</t>
        </is>
      </c>
      <c r="M594" s="97" t="n"/>
      <c r="N594" s="98" t="n"/>
      <c r="O594" s="99" t="n"/>
      <c r="P594" s="100">
        <f>IF($I594="","",IF($J594="O","3","")&amp;IF($K594="O","4","")&amp;IF($L594="O","6","")&amp;IF($M594="O","7","")&amp;IF($N594="O","8","")&amp;IF($O594="O","?","")&amp;IF(OR($J594="O",$K594="O",$L594="O",$M594="O",$N594="O",$O594="O"),"-","")&amp;$I594)</f>
        <v/>
      </c>
      <c r="Q594" s="102" t="inlineStr">
        <is>
          <t>제이케이시스템</t>
        </is>
      </c>
      <c r="R594" s="110">
        <f>HYPERLINK("#'마스터_품목'!A851","→ 마스터 R851")</f>
        <v/>
      </c>
      <c r="S594" s="111" t="n">
        <v>849</v>
      </c>
      <c r="T594" s="111" t="inlineStr">
        <is>
          <t>마스터_품목</t>
        </is>
      </c>
    </row>
    <row r="595" ht="48" customHeight="1">
      <c r="A595" s="87" t="n"/>
      <c r="B595" s="87" t="n"/>
      <c r="C595" s="88" t="n"/>
      <c r="D595" s="88" t="n"/>
      <c r="E595" s="88" t="n"/>
      <c r="F595" s="90" t="n"/>
      <c r="G595" s="91" t="n"/>
      <c r="H595" s="92" t="n"/>
      <c r="I595" s="93" t="n"/>
      <c r="J595" s="94" t="n"/>
      <c r="K595" s="95" t="n"/>
      <c r="L595" s="96" t="n"/>
      <c r="M595" s="97" t="n"/>
      <c r="N595" s="98" t="n"/>
      <c r="O595" s="99" t="n"/>
      <c r="P595" s="100" t="n"/>
    </row>
    <row r="596" ht="48" customHeight="1"/>
    <row r="597" ht="48" customHeight="1"/>
    <row r="598" ht="48" customHeight="1"/>
    <row r="599" ht="48" customHeight="1"/>
    <row r="600" ht="48" customHeight="1"/>
    <row r="601" ht="48" customHeight="1"/>
    <row r="602" ht="48" customHeight="1"/>
    <row r="603" ht="48" customHeight="1"/>
    <row r="604" ht="48" customHeight="1"/>
    <row r="605" ht="48" customHeight="1"/>
    <row r="606" ht="48" customHeight="1"/>
    <row r="607" ht="48" customHeight="1"/>
    <row r="608" ht="48" customHeight="1"/>
    <row r="609" ht="48" customHeight="1"/>
    <row r="610" ht="48" customHeight="1"/>
    <row r="611" ht="48" customHeight="1"/>
    <row r="612" ht="48" customHeight="1"/>
    <row r="613" ht="48" customHeight="1"/>
    <row r="614" ht="48" customHeight="1"/>
    <row r="615" ht="48" customHeight="1"/>
    <row r="616" ht="48" customHeight="1"/>
    <row r="617" ht="48" customHeight="1"/>
    <row r="618" ht="48" customHeight="1"/>
    <row r="619" ht="48" customHeight="1"/>
    <row r="620" ht="48" customHeight="1"/>
    <row r="621" ht="48" customHeight="1"/>
    <row r="622" ht="48" customHeight="1"/>
    <row r="623" ht="48" customHeight="1"/>
    <row r="624" ht="48" customHeight="1"/>
    <row r="625" ht="48" customHeight="1"/>
    <row r="626" ht="48" customHeight="1"/>
    <row r="627" ht="48" customHeight="1"/>
    <row r="628" ht="48" customHeight="1"/>
    <row r="629" ht="48" customHeight="1"/>
    <row r="630" ht="48" customHeight="1"/>
    <row r="631" ht="48" customHeight="1"/>
    <row r="632" ht="48" customHeight="1"/>
    <row r="633" ht="48" customHeight="1"/>
    <row r="634" ht="48" customHeight="1"/>
    <row r="635" ht="48" customHeight="1"/>
    <row r="636" ht="48" customHeight="1"/>
  </sheetData>
  <autoFilter ref="A1:T597">
    <sortState ref="A2:T597">
      <sortCondition descending="1" ref="K1:K597"/>
    </sortState>
  </autoFilter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49"/>
  <sheetViews>
    <sheetView tabSelected="1" topLeftCell="A1" zoomScale="70" zoomScaleNormal="70" workbookViewId="0">
      <pane xSplit="1" ySplit="1" topLeftCell="G2" activePane="bottomRight" state="frozen"/>
      <selection activeCell="A1" sqref="A1"/>
    </sheetView>
  </sheetViews>
  <sheetFormatPr baseColWidth="8" defaultRowHeight="16.5"/>
  <cols>
    <col width="10" customWidth="1" min="1" max="1"/>
    <col width="16" customWidth="1" min="2" max="2"/>
    <col width="18" customWidth="1" min="3" max="3"/>
    <col outlineLevel="1" width="9" customWidth="1" min="4" max="4"/>
    <col outlineLevel="1" width="10" customWidth="1" min="5" max="5"/>
    <col outlineLevel="1" width="38" customWidth="1" min="6" max="7"/>
    <col outlineLevel="1" width="16.375" customWidth="1" min="8" max="8"/>
    <col outlineLevel="1" width="13" customWidth="1" min="9" max="9"/>
    <col width="38" customWidth="1" min="10" max="10"/>
    <col width="56.625" customWidth="1" min="11" max="11"/>
    <col width="22" customWidth="1" min="12" max="12"/>
    <col hidden="1" width="16" customWidth="1" min="13" max="13"/>
    <col width="12.625" bestFit="1" customWidth="1" min="14" max="14"/>
    <col width="16.25" bestFit="1" customWidth="1" min="15" max="15"/>
    <col width="9" customWidth="1" style="104" min="16" max="16"/>
  </cols>
  <sheetData>
    <row r="1" ht="36" customHeight="1">
      <c r="A1" s="47" t="inlineStr">
        <is>
          <t>그룹</t>
        </is>
      </c>
      <c r="B1" s="47" t="inlineStr">
        <is>
          <t>분류</t>
        </is>
      </c>
      <c r="C1" s="47" t="inlineStr">
        <is>
          <t>모델</t>
        </is>
      </c>
      <c r="D1" s="47" t="inlineStr">
        <is>
          <t>구분</t>
        </is>
      </c>
      <c r="E1" s="48" t="inlineStr">
        <is>
          <t>공정코드</t>
        </is>
      </c>
      <c r="F1" s="47" t="inlineStr">
        <is>
          <t>생산부 품명</t>
        </is>
      </c>
      <c r="G1" s="47" t="inlineStr">
        <is>
          <t>창고 품명</t>
        </is>
      </c>
      <c r="H1" s="49" t="inlineStr">
        <is>
          <t>매칭상태</t>
        </is>
      </c>
      <c r="I1" s="48" t="inlineStr">
        <is>
          <t>ERP 코드</t>
        </is>
      </c>
      <c r="J1" s="50" t="inlineStr">
        <is>
          <t>제안 품명</t>
        </is>
      </c>
      <c r="K1" s="60" t="inlineStr">
        <is>
          <t>🔒 확정 품명</t>
        </is>
      </c>
      <c r="L1" s="81" t="inlineStr">
        <is>
          <t>바로가기</t>
        </is>
      </c>
      <c r="M1" s="82" t="inlineStr">
        <is>
          <t>원본시트</t>
        </is>
      </c>
      <c r="N1" s="78" t="inlineStr">
        <is>
          <t>원본행</t>
        </is>
      </c>
      <c r="O1" s="78" t="inlineStr">
        <is>
          <t>원본시트</t>
        </is>
      </c>
    </row>
    <row r="2" ht="30" customHeight="1">
      <c r="A2" s="51" t="inlineStr">
        <is>
          <t>튜브</t>
        </is>
      </c>
      <c r="B2" s="52" t="inlineStr">
        <is>
          <t>공용</t>
        </is>
      </c>
      <c r="C2" s="52" t="n"/>
      <c r="D2" s="79">
        <f>IF(INDIRECT("'"&amp;$O2&amp;"'!F"&amp;$N2)="O","원자재",IF(INDIRECT("'"&amp;$O2&amp;"'!G"&amp;$N2)="O","반제품",IF(INDIRECT("'"&amp;$O2&amp;"'!H"&amp;$N2)="O","완제품","")))</f>
        <v/>
      </c>
      <c r="E2" s="79">
        <f>IFERROR(IF(INDIRECT("'"&amp;$O2&amp;"'!I"&amp;$N2)=0,"",INDIRECT("'"&amp;$O2&amp;"'!I"&amp;$N2)),"")</f>
        <v/>
      </c>
      <c r="F2" s="52" t="inlineStr">
        <is>
          <t>전극(70kV)</t>
        </is>
      </c>
      <c r="G2" s="52" t="inlineStr">
        <is>
          <t>전극(70kV) (순철 도금) [DXDR-070]</t>
        </is>
      </c>
      <c r="H2" s="79">
        <f>IF(AND($F2="",$G2=""),"",IF($F2="","창고전용",IF($G2&lt;&gt;"","매칭완료",IF($D2="반제품","반제품(창고없음)",IF($D2="완제품","완제품(창고없음)",IF($D2="원자재","⚠ 원자재_부서보관","미분류"))))))</f>
        <v/>
      </c>
      <c r="I2" s="79">
        <f>IFERROR(IF(INDIRECT("'"&amp;$O2&amp;"'!P"&amp;$N2)=0,"",INDIRECT("'"&amp;$O2&amp;"'!P"&amp;$N2)),"")</f>
        <v/>
      </c>
      <c r="J2" s="61" t="inlineStr">
        <is>
          <t>전극(70kV)</t>
        </is>
      </c>
      <c r="K2" s="61" t="inlineStr">
        <is>
          <t>전극(70kV)</t>
        </is>
      </c>
      <c r="L2" s="83">
        <f>HYPERLINK("#'"&amp;$O2&amp;"'!A"&amp;$N2,"→ 튜브파트 R"&amp;$N2)</f>
        <v/>
      </c>
      <c r="M2" s="84" t="n"/>
      <c r="N2" s="80" t="n">
        <v>2</v>
      </c>
      <c r="O2" s="80" t="inlineStr">
        <is>
          <t>튜브파트_재고현황</t>
        </is>
      </c>
    </row>
    <row r="3" ht="30" customHeight="1">
      <c r="A3" s="51" t="inlineStr">
        <is>
          <t>튜브</t>
        </is>
      </c>
      <c r="B3" s="52" t="inlineStr">
        <is>
          <t>공용</t>
        </is>
      </c>
      <c r="C3" s="52" t="n"/>
      <c r="D3" s="79">
        <f>IF(INDIRECT("'"&amp;$O3&amp;"'!F"&amp;$N3)="O","원자재",IF(INDIRECT("'"&amp;$O3&amp;"'!G"&amp;$N3)="O","반제품",IF(INDIRECT("'"&amp;$O3&amp;"'!H"&amp;$N3)="O","완제품","")))</f>
        <v/>
      </c>
      <c r="E3" s="79">
        <f>IFERROR(IF(INDIRECT("'"&amp;$O3&amp;"'!I"&amp;$N3)=0,"",INDIRECT("'"&amp;$O3&amp;"'!I"&amp;$N3)),"")</f>
        <v/>
      </c>
      <c r="F3" s="52" t="inlineStr">
        <is>
          <t>텅스텐 필라멘트</t>
        </is>
      </c>
      <c r="G3" s="52" t="inlineStr">
        <is>
          <t>텅스텐 필라멘트 [DXDR-070]</t>
        </is>
      </c>
      <c r="H3" s="79">
        <f>IF(AND($F3="",$G3=""),"",IF($F3="","창고전용",IF($G3&lt;&gt;"","매칭완료",IF($D3="반제품","반제품(창고없음)",IF($D3="완제품","완제품(창고없음)",IF($D3="원자재","⚠ 원자재_부서보관","미분류"))))))</f>
        <v/>
      </c>
      <c r="I3" s="79">
        <f>IFERROR(IF(INDIRECT("'"&amp;$O3&amp;"'!P"&amp;$N3)=0,"",INDIRECT("'"&amp;$O3&amp;"'!P"&amp;$N3)),"")</f>
        <v/>
      </c>
      <c r="J3" s="61" t="inlineStr">
        <is>
          <t>텅스텐 필라멘트</t>
        </is>
      </c>
      <c r="K3" s="61" t="inlineStr">
        <is>
          <t>텅스텐 필라멘트</t>
        </is>
      </c>
      <c r="L3" s="83">
        <f>HYPERLINK("#'"&amp;$O3&amp;"'!A"&amp;$N3,"→ 튜브파트 R"&amp;$N3)</f>
        <v/>
      </c>
      <c r="M3" s="84" t="n"/>
      <c r="N3" s="80" t="n">
        <v>3</v>
      </c>
      <c r="O3" s="80" t="inlineStr">
        <is>
          <t>튜브파트_재고현황</t>
        </is>
      </c>
    </row>
    <row r="4" ht="30" customHeight="1">
      <c r="A4" s="51" t="inlineStr">
        <is>
          <t>튜브</t>
        </is>
      </c>
      <c r="B4" s="52" t="inlineStr">
        <is>
          <t>공용</t>
        </is>
      </c>
      <c r="C4" s="52" t="n"/>
      <c r="D4" s="79">
        <f>IF(INDIRECT("'"&amp;$O4&amp;"'!F"&amp;$N4)="O","원자재",IF(INDIRECT("'"&amp;$O4&amp;"'!G"&amp;$N4)="O","반제품",IF(INDIRECT("'"&amp;$O4&amp;"'!H"&amp;$N4)="O","완제품","")))</f>
        <v/>
      </c>
      <c r="E4" s="79">
        <f>IFERROR(IF(INDIRECT("'"&amp;$O4&amp;"'!I"&amp;$N4)=0,"",INDIRECT("'"&amp;$O4&amp;"'!I"&amp;$N4)),"")</f>
        <v/>
      </c>
      <c r="F4" s="52" t="inlineStr">
        <is>
          <t>게터</t>
        </is>
      </c>
      <c r="G4" s="52" t="inlineStr">
        <is>
          <t>게터 [DXDR-070,DXDR-100]</t>
        </is>
      </c>
      <c r="H4" s="79">
        <f>IF(AND($F4="",$G4=""),"",IF($F4="","창고전용",IF($G4&lt;&gt;"","매칭완료",IF($D4="반제품","반제품(창고없음)",IF($D4="완제품","완제품(창고없음)",IF($D4="원자재","⚠ 원자재_부서보관","미분류"))))))</f>
        <v/>
      </c>
      <c r="I4" s="79">
        <f>IFERROR(IF(INDIRECT("'"&amp;$O4&amp;"'!P"&amp;$N4)=0,"",INDIRECT("'"&amp;$O4&amp;"'!P"&amp;$N4)),"")</f>
        <v/>
      </c>
      <c r="J4" s="61" t="inlineStr">
        <is>
          <t>게터</t>
        </is>
      </c>
      <c r="K4" s="61" t="inlineStr">
        <is>
          <t>게터</t>
        </is>
      </c>
      <c r="L4" s="83">
        <f>HYPERLINK("#'"&amp;$O4&amp;"'!A"&amp;$N4,"→ 튜브파트 R"&amp;$N4)</f>
        <v/>
      </c>
      <c r="M4" s="84" t="n"/>
      <c r="N4" s="80" t="n">
        <v>4</v>
      </c>
      <c r="O4" s="80" t="inlineStr">
        <is>
          <t>튜브파트_재고현황</t>
        </is>
      </c>
    </row>
    <row r="5" ht="30" customHeight="1">
      <c r="A5" s="51" t="inlineStr">
        <is>
          <t>튜브</t>
        </is>
      </c>
      <c r="B5" s="52" t="inlineStr">
        <is>
          <t>공용</t>
        </is>
      </c>
      <c r="C5" s="52" t="n"/>
      <c r="D5" s="79">
        <f>IF(INDIRECT("'"&amp;$O5&amp;"'!F"&amp;$N5)="O","원자재",IF(INDIRECT("'"&amp;$O5&amp;"'!G"&amp;$N5)="O","반제품",IF(INDIRECT("'"&amp;$O5&amp;"'!H"&amp;$N5)="O","완제품","")))</f>
        <v/>
      </c>
      <c r="E5" s="79">
        <f>IFERROR(IF(INDIRECT("'"&amp;$O5&amp;"'!I"&amp;$N5)=0,"",INDIRECT("'"&amp;$O5&amp;"'!I"&amp;$N5)),"")</f>
        <v/>
      </c>
      <c r="F5" s="52" t="inlineStr">
        <is>
          <t>전극(100kV)</t>
        </is>
      </c>
      <c r="G5" s="52" t="inlineStr">
        <is>
          <t>전극(100kV) (순철 도금) [DXDR-100]</t>
        </is>
      </c>
      <c r="H5" s="79">
        <f>IF(AND($F5="",$G5=""),"",IF($F5="","창고전용",IF($G5&lt;&gt;"","매칭완료",IF($D5="반제품","반제품(창고없음)",IF($D5="완제품","완제품(창고없음)",IF($D5="원자재","⚠ 원자재_부서보관","미분류"))))))</f>
        <v/>
      </c>
      <c r="I5" s="79">
        <f>IFERROR(IF(INDIRECT("'"&amp;$O5&amp;"'!P"&amp;$N5)=0,"",INDIRECT("'"&amp;$O5&amp;"'!P"&amp;$N5)),"")</f>
        <v/>
      </c>
      <c r="J5" s="61" t="inlineStr">
        <is>
          <t>전극(100kV)</t>
        </is>
      </c>
      <c r="K5" s="61" t="inlineStr">
        <is>
          <t>전극(100kV)</t>
        </is>
      </c>
      <c r="L5" s="83">
        <f>HYPERLINK("#'"&amp;$O5&amp;"'!A"&amp;$N5,"→ 튜브파트 R"&amp;$N5)</f>
        <v/>
      </c>
      <c r="M5" s="84" t="n"/>
      <c r="N5" s="80" t="n">
        <v>5</v>
      </c>
      <c r="O5" s="80" t="inlineStr">
        <is>
          <t>튜브파트_재고현황</t>
        </is>
      </c>
    </row>
    <row r="6" ht="30" customHeight="1">
      <c r="A6" s="51" t="inlineStr">
        <is>
          <t>튜브</t>
        </is>
      </c>
      <c r="B6" s="52" t="inlineStr">
        <is>
          <t>DXDR-70</t>
        </is>
      </c>
      <c r="C6" s="52" t="n"/>
      <c r="D6" s="79">
        <f>IF(INDIRECT("'"&amp;$O6&amp;"'!F"&amp;$N6)="O","원자재",IF(INDIRECT("'"&amp;$O6&amp;"'!G"&amp;$N6)="O","반제품",IF(INDIRECT("'"&amp;$O6&amp;"'!H"&amp;$N6)="O","완제품","")))</f>
        <v/>
      </c>
      <c r="E6" s="79">
        <f>IFERROR(IF(INDIRECT("'"&amp;$O6&amp;"'!I"&amp;$N6)=0,"",INDIRECT("'"&amp;$O6&amp;"'!I"&amp;$N6)),"")</f>
        <v/>
      </c>
      <c r="F6" s="52" t="inlineStr">
        <is>
          <t>애노드 (70kV)</t>
        </is>
      </c>
      <c r="G6" s="52" t="inlineStr">
        <is>
          <t>에노드 [DXDR-070]</t>
        </is>
      </c>
      <c r="H6" s="79">
        <f>IF(AND($F6="",$G6=""),"",IF($F6="","창고전용",IF($G6&lt;&gt;"","매칭완료",IF($D6="반제품","반제품(창고없음)",IF($D6="완제품","완제품(창고없음)",IF($D6="원자재","⚠ 원자재_부서보관","미분류"))))))</f>
        <v/>
      </c>
      <c r="I6" s="79">
        <f>IFERROR(IF(INDIRECT("'"&amp;$O6&amp;"'!P"&amp;$N6)=0,"",INDIRECT("'"&amp;$O6&amp;"'!P"&amp;$N6)),"")</f>
        <v/>
      </c>
      <c r="J6" s="61" t="inlineStr">
        <is>
          <t>애노드 (70kV)</t>
        </is>
      </c>
      <c r="K6" s="61" t="inlineStr">
        <is>
          <t>애노드 (70kV)</t>
        </is>
      </c>
      <c r="L6" s="83">
        <f>HYPERLINK("#'"&amp;$O6&amp;"'!A"&amp;$N6,"→ 튜브파트 R"&amp;$N6)</f>
        <v/>
      </c>
      <c r="M6" s="84" t="n"/>
      <c r="N6" s="80" t="n">
        <v>6</v>
      </c>
      <c r="O6" s="80" t="inlineStr">
        <is>
          <t>튜브파트_재고현황</t>
        </is>
      </c>
    </row>
    <row r="7" ht="30" customHeight="1">
      <c r="A7" s="51" t="inlineStr">
        <is>
          <t>튜브</t>
        </is>
      </c>
      <c r="B7" s="52" t="inlineStr">
        <is>
          <t>DXDR-70</t>
        </is>
      </c>
      <c r="C7" s="52" t="n"/>
      <c r="D7" s="79">
        <f>IF(INDIRECT("'"&amp;$O7&amp;"'!F"&amp;$N7)="O","원자재",IF(INDIRECT("'"&amp;$O7&amp;"'!G"&amp;$N7)="O","반제품",IF(INDIRECT("'"&amp;$O7&amp;"'!H"&amp;$N7)="O","완제품","")))</f>
        <v/>
      </c>
      <c r="E7" s="79">
        <f>IFERROR(IF(INDIRECT("'"&amp;$O7&amp;"'!I"&amp;$N7)=0,"",INDIRECT("'"&amp;$O7&amp;"'!I"&amp;$N7)),"")</f>
        <v/>
      </c>
      <c r="F7" s="52" t="inlineStr">
        <is>
          <t>포커서 (70kV)</t>
        </is>
      </c>
      <c r="G7" s="52" t="inlineStr">
        <is>
          <t>포커서 [DXDR-070]</t>
        </is>
      </c>
      <c r="H7" s="79">
        <f>IF(AND($F7="",$G7=""),"",IF($F7="","창고전용",IF($G7&lt;&gt;"","매칭완료",IF($D7="반제품","반제품(창고없음)",IF($D7="완제품","완제품(창고없음)",IF($D7="원자재","⚠ 원자재_부서보관","미분류"))))))</f>
        <v/>
      </c>
      <c r="I7" s="79">
        <f>IFERROR(IF(INDIRECT("'"&amp;$O7&amp;"'!P"&amp;$N7)=0,"",INDIRECT("'"&amp;$O7&amp;"'!P"&amp;$N7)),"")</f>
        <v/>
      </c>
      <c r="J7" s="61" t="inlineStr">
        <is>
          <t>포커서 (70kV)</t>
        </is>
      </c>
      <c r="K7" s="61" t="inlineStr">
        <is>
          <t>포커서 (70kV)</t>
        </is>
      </c>
      <c r="L7" s="83">
        <f>HYPERLINK("#'"&amp;$O7&amp;"'!A"&amp;$N7,"→ 튜브파트 R"&amp;$N7)</f>
        <v/>
      </c>
      <c r="M7" s="84" t="n"/>
      <c r="N7" s="80" t="n">
        <v>7</v>
      </c>
      <c r="O7" s="80" t="inlineStr">
        <is>
          <t>튜브파트_재고현황</t>
        </is>
      </c>
    </row>
    <row r="8" ht="30" customHeight="1">
      <c r="A8" s="51" t="inlineStr">
        <is>
          <t>튜브</t>
        </is>
      </c>
      <c r="B8" s="52" t="inlineStr">
        <is>
          <t>DXDR-70</t>
        </is>
      </c>
      <c r="C8" s="52" t="n"/>
      <c r="D8" s="79">
        <f>IF(INDIRECT("'"&amp;$O8&amp;"'!F"&amp;$N8)="O","원자재",IF(INDIRECT("'"&amp;$O8&amp;"'!G"&amp;$N8)="O","반제품",IF(INDIRECT("'"&amp;$O8&amp;"'!H"&amp;$N8)="O","완제품","")))</f>
        <v/>
      </c>
      <c r="E8" s="79">
        <f>IFERROR(IF(INDIRECT("'"&amp;$O8&amp;"'!I"&amp;$N8)=0,"",INDIRECT("'"&amp;$O8&amp;"'!I"&amp;$N8)),"")</f>
        <v/>
      </c>
      <c r="F8" s="52" t="inlineStr">
        <is>
          <t>세라믹 바디 (70kV)</t>
        </is>
      </c>
      <c r="G8" s="52" t="inlineStr">
        <is>
          <t>세라믹 바디 [DXDR-070]</t>
        </is>
      </c>
      <c r="H8" s="79">
        <f>IF(AND($F8="",$G8=""),"",IF($F8="","창고전용",IF($G8&lt;&gt;"","매칭완료",IF($D8="반제품","반제품(창고없음)",IF($D8="완제품","완제품(창고없음)",IF($D8="원자재","⚠ 원자재_부서보관","미분류"))))))</f>
        <v/>
      </c>
      <c r="I8" s="79">
        <f>IFERROR(IF(INDIRECT("'"&amp;$O8&amp;"'!P"&amp;$N8)=0,"",INDIRECT("'"&amp;$O8&amp;"'!P"&amp;$N8)),"")</f>
        <v/>
      </c>
      <c r="J8" s="61" t="inlineStr">
        <is>
          <t>세라믹 바디 (70kV)</t>
        </is>
      </c>
      <c r="K8" s="61" t="inlineStr">
        <is>
          <t>세라믹 바디 (70kV)</t>
        </is>
      </c>
      <c r="L8" s="83">
        <f>HYPERLINK("#'"&amp;$O8&amp;"'!A"&amp;$N8,"→ 튜브파트 R"&amp;$N8)</f>
        <v/>
      </c>
      <c r="M8" s="84" t="n"/>
      <c r="N8" s="80" t="n">
        <v>8</v>
      </c>
      <c r="O8" s="80" t="inlineStr">
        <is>
          <t>튜브파트_재고현황</t>
        </is>
      </c>
    </row>
    <row r="9" ht="30" customHeight="1">
      <c r="A9" s="51" t="inlineStr">
        <is>
          <t>튜브</t>
        </is>
      </c>
      <c r="B9" s="52" t="inlineStr">
        <is>
          <t>DXDR-70</t>
        </is>
      </c>
      <c r="C9" s="52" t="n"/>
      <c r="D9" s="79">
        <f>IF(INDIRECT("'"&amp;$O9&amp;"'!F"&amp;$N9)="O","원자재",IF(INDIRECT("'"&amp;$O9&amp;"'!G"&amp;$N9)="O","반제품",IF(INDIRECT("'"&amp;$O9&amp;"'!H"&amp;$N9)="O","완제품","")))</f>
        <v/>
      </c>
      <c r="E9" s="79">
        <f>IFERROR(IF(INDIRECT("'"&amp;$O9&amp;"'!I"&amp;$N9)=0,"",INDIRECT("'"&amp;$O9&amp;"'!I"&amp;$N9)),"")</f>
        <v/>
      </c>
      <c r="F9" s="52" t="inlineStr">
        <is>
          <t>세라믹 스템 (70kV)</t>
        </is>
      </c>
      <c r="G9" s="52" t="inlineStr">
        <is>
          <t>세라믹 스템 [DXDR-070]</t>
        </is>
      </c>
      <c r="H9" s="79">
        <f>IF(AND($F9="",$G9=""),"",IF($F9="","창고전용",IF($G9&lt;&gt;"","매칭완료",IF($D9="반제품","반제품(창고없음)",IF($D9="완제품","완제품(창고없음)",IF($D9="원자재","⚠ 원자재_부서보관","미분류"))))))</f>
        <v/>
      </c>
      <c r="I9" s="79">
        <f>IFERROR(IF(INDIRECT("'"&amp;$O9&amp;"'!P"&amp;$N9)=0,"",INDIRECT("'"&amp;$O9&amp;"'!P"&amp;$N9)),"")</f>
        <v/>
      </c>
      <c r="J9" s="61" t="inlineStr">
        <is>
          <t>세라믹 스템 (70kV)</t>
        </is>
      </c>
      <c r="K9" s="61" t="inlineStr">
        <is>
          <t>세라믹 스템 (70kV)</t>
        </is>
      </c>
      <c r="L9" s="83">
        <f>HYPERLINK("#'"&amp;$O9&amp;"'!A"&amp;$N9,"→ 튜브파트 R"&amp;$N9)</f>
        <v/>
      </c>
      <c r="M9" s="84" t="n"/>
      <c r="N9" s="80" t="n">
        <v>9</v>
      </c>
      <c r="O9" s="80" t="inlineStr">
        <is>
          <t>튜브파트_재고현황</t>
        </is>
      </c>
    </row>
    <row r="10" ht="30" customHeight="1">
      <c r="A10" s="51" t="inlineStr">
        <is>
          <t>튜브</t>
        </is>
      </c>
      <c r="B10" s="52" t="inlineStr">
        <is>
          <t>DXDR-70</t>
        </is>
      </c>
      <c r="C10" s="52" t="n"/>
      <c r="D10" s="79">
        <f>IF(INDIRECT("'"&amp;$O10&amp;"'!F"&amp;$N10)="O","원자재",IF(INDIRECT("'"&amp;$O10&amp;"'!G"&amp;$N10)="O","반제품",IF(INDIRECT("'"&amp;$O10&amp;"'!H"&amp;$N10)="O","완제품","")))</f>
        <v/>
      </c>
      <c r="E10" s="79">
        <f>IFERROR(IF(INDIRECT("'"&amp;$O10&amp;"'!I"&amp;$N10)=0,"",INDIRECT("'"&amp;$O10&amp;"'!I"&amp;$N10)),"")</f>
        <v/>
      </c>
      <c r="F10" s="52" t="inlineStr">
        <is>
          <t>필러 (70kV)</t>
        </is>
      </c>
      <c r="G10" s="52" t="inlineStr">
        <is>
          <t>필러 [DXDR-070]</t>
        </is>
      </c>
      <c r="H10" s="79">
        <f>IF(AND($F10="",$G10=""),"",IF($F10="","창고전용",IF($G10&lt;&gt;"","매칭완료",IF($D10="반제품","반제품(창고없음)",IF($D10="완제품","완제품(창고없음)",IF($D10="원자재","⚠ 원자재_부서보관","미분류"))))))</f>
        <v/>
      </c>
      <c r="I10" s="79">
        <f>IFERROR(IF(INDIRECT("'"&amp;$O10&amp;"'!P"&amp;$N10)=0,"",INDIRECT("'"&amp;$O10&amp;"'!P"&amp;$N10)),"")</f>
        <v/>
      </c>
      <c r="J10" s="61" t="inlineStr">
        <is>
          <t>필러 (70kV)</t>
        </is>
      </c>
      <c r="K10" s="61" t="inlineStr">
        <is>
          <t>필러 (70kV)</t>
        </is>
      </c>
      <c r="L10" s="83">
        <f>HYPERLINK("#'"&amp;$O10&amp;"'!A"&amp;$N10,"→ 튜브파트 R"&amp;$N10)</f>
        <v/>
      </c>
      <c r="M10" s="84" t="n"/>
      <c r="N10" s="80" t="n">
        <v>10</v>
      </c>
      <c r="O10" s="80" t="inlineStr">
        <is>
          <t>튜브파트_재고현황</t>
        </is>
      </c>
    </row>
    <row r="11" ht="30" customHeight="1">
      <c r="A11" s="51" t="inlineStr">
        <is>
          <t>튜브</t>
        </is>
      </c>
      <c r="B11" s="52" t="inlineStr">
        <is>
          <t>DXDR-70</t>
        </is>
      </c>
      <c r="C11" s="52" t="n"/>
      <c r="D11" s="79">
        <f>IF(INDIRECT("'"&amp;$O11&amp;"'!F"&amp;$N11)="O","원자재",IF(INDIRECT("'"&amp;$O11&amp;"'!G"&amp;$N11)="O","반제품",IF(INDIRECT("'"&amp;$O11&amp;"'!H"&amp;$N11)="O","완제품","")))</f>
        <v/>
      </c>
      <c r="E11" s="79">
        <f>IFERROR(IF(INDIRECT("'"&amp;$O11&amp;"'!I"&amp;$N11)=0,"",INDIRECT("'"&amp;$O11&amp;"'!I"&amp;$N11)),"")</f>
        <v/>
      </c>
      <c r="F11" s="52" t="inlineStr">
        <is>
          <t>전극 필러 (70kV)</t>
        </is>
      </c>
      <c r="G11" s="52" t="inlineStr">
        <is>
          <t>전극 필러 [DXDR-070]</t>
        </is>
      </c>
      <c r="H11" s="79">
        <f>IF(AND($F11="",$G11=""),"",IF($F11="","창고전용",IF($G11&lt;&gt;"","매칭완료",IF($D11="반제품","반제품(창고없음)",IF($D11="완제품","완제품(창고없음)",IF($D11="원자재","⚠ 원자재_부서보관","미분류"))))))</f>
        <v/>
      </c>
      <c r="I11" s="79">
        <f>IFERROR(IF(INDIRECT("'"&amp;$O11&amp;"'!P"&amp;$N11)=0,"",INDIRECT("'"&amp;$O11&amp;"'!P"&amp;$N11)),"")</f>
        <v/>
      </c>
      <c r="J11" s="61" t="inlineStr">
        <is>
          <t>전극 필러 (70kV)</t>
        </is>
      </c>
      <c r="K11" s="61" t="inlineStr">
        <is>
          <t>전극 필러 (70kV)</t>
        </is>
      </c>
      <c r="L11" s="83">
        <f>HYPERLINK("#'"&amp;$O11&amp;"'!A"&amp;$N11,"→ 튜브파트 R"&amp;$N11)</f>
        <v/>
      </c>
      <c r="M11" s="84" t="n"/>
      <c r="N11" s="80" t="n">
        <v>11</v>
      </c>
      <c r="O11" s="80" t="inlineStr">
        <is>
          <t>튜브파트_재고현황</t>
        </is>
      </c>
    </row>
    <row r="12" ht="30" customHeight="1">
      <c r="A12" s="51" t="inlineStr">
        <is>
          <t>튜브</t>
        </is>
      </c>
      <c r="B12" s="52" t="inlineStr">
        <is>
          <t>DXDR-100</t>
        </is>
      </c>
      <c r="C12" s="52" t="n"/>
      <c r="D12" s="79">
        <f>IF(INDIRECT("'"&amp;$O12&amp;"'!F"&amp;$N12)="O","원자재",IF(INDIRECT("'"&amp;$O12&amp;"'!G"&amp;$N12)="O","반제품",IF(INDIRECT("'"&amp;$O12&amp;"'!H"&amp;$N12)="O","완제품","")))</f>
        <v/>
      </c>
      <c r="E12" s="79">
        <f>IFERROR(IF(INDIRECT("'"&amp;$O12&amp;"'!I"&amp;$N12)=0,"",INDIRECT("'"&amp;$O12&amp;"'!I"&amp;$N12)),"")</f>
        <v/>
      </c>
      <c r="F12" s="52" t="inlineStr">
        <is>
          <t>애노드 (100kV)</t>
        </is>
      </c>
      <c r="G12" s="52" t="inlineStr">
        <is>
          <t>에노드 [DXDR-100]</t>
        </is>
      </c>
      <c r="H12" s="79">
        <f>IF(AND($F12="",$G12=""),"",IF($F12="","창고전용",IF($G12&lt;&gt;"","매칭완료",IF($D12="반제품","반제품(창고없음)",IF($D12="완제품","완제품(창고없음)",IF($D12="원자재","⚠ 원자재_부서보관","미분류"))))))</f>
        <v/>
      </c>
      <c r="I12" s="79">
        <f>IFERROR(IF(INDIRECT("'"&amp;$O12&amp;"'!P"&amp;$N12)=0,"",INDIRECT("'"&amp;$O12&amp;"'!P"&amp;$N12)),"")</f>
        <v/>
      </c>
      <c r="J12" s="61" t="inlineStr">
        <is>
          <t>애노드 (100kV)</t>
        </is>
      </c>
      <c r="K12" s="61" t="inlineStr">
        <is>
          <t>애노드 (100kV)</t>
        </is>
      </c>
      <c r="L12" s="83">
        <f>HYPERLINK("#'"&amp;$O12&amp;"'!A"&amp;$N12,"→ 튜브파트 R"&amp;$N12)</f>
        <v/>
      </c>
      <c r="M12" s="84" t="n"/>
      <c r="N12" s="80" t="n">
        <v>12</v>
      </c>
      <c r="O12" s="80" t="inlineStr">
        <is>
          <t>튜브파트_재고현황</t>
        </is>
      </c>
    </row>
    <row r="13" ht="30" customHeight="1">
      <c r="A13" s="51" t="inlineStr">
        <is>
          <t>튜브</t>
        </is>
      </c>
      <c r="B13" s="52" t="inlineStr">
        <is>
          <t>DXDR-100</t>
        </is>
      </c>
      <c r="C13" s="52" t="n"/>
      <c r="D13" s="79">
        <f>IF(INDIRECT("'"&amp;$O13&amp;"'!F"&amp;$N13)="O","원자재",IF(INDIRECT("'"&amp;$O13&amp;"'!G"&amp;$N13)="O","반제품",IF(INDIRECT("'"&amp;$O13&amp;"'!H"&amp;$N13)="O","완제품","")))</f>
        <v/>
      </c>
      <c r="E13" s="79">
        <f>IFERROR(IF(INDIRECT("'"&amp;$O13&amp;"'!I"&amp;$N13)=0,"",INDIRECT("'"&amp;$O13&amp;"'!I"&amp;$N13)),"")</f>
        <v/>
      </c>
      <c r="F13" s="52" t="inlineStr">
        <is>
          <t>에노드 링</t>
        </is>
      </c>
      <c r="G13" s="52" t="inlineStr">
        <is>
          <t>에노드 링 [DXDR-100]</t>
        </is>
      </c>
      <c r="H13" s="79">
        <f>IF(AND($F13="",$G13=""),"",IF($F13="","창고전용",IF($G13&lt;&gt;"","매칭완료",IF($D13="반제품","반제품(창고없음)",IF($D13="완제품","완제품(창고없음)",IF($D13="원자재","⚠ 원자재_부서보관","미분류"))))))</f>
        <v/>
      </c>
      <c r="I13" s="79">
        <f>IFERROR(IF(INDIRECT("'"&amp;$O13&amp;"'!P"&amp;$N13)=0,"",INDIRECT("'"&amp;$O13&amp;"'!P"&amp;$N13)),"")</f>
        <v/>
      </c>
      <c r="J13" s="61" t="inlineStr">
        <is>
          <t>에노드 링</t>
        </is>
      </c>
      <c r="K13" s="61" t="inlineStr">
        <is>
          <t>에노드 링</t>
        </is>
      </c>
      <c r="L13" s="83">
        <f>HYPERLINK("#'"&amp;$O13&amp;"'!A"&amp;$N13,"→ 튜브파트 R"&amp;$N13)</f>
        <v/>
      </c>
      <c r="M13" s="84" t="n"/>
      <c r="N13" s="80" t="n">
        <v>13</v>
      </c>
      <c r="O13" s="80" t="inlineStr">
        <is>
          <t>튜브파트_재고현황</t>
        </is>
      </c>
    </row>
    <row r="14" ht="30" customHeight="1">
      <c r="A14" s="51" t="inlineStr">
        <is>
          <t>튜브</t>
        </is>
      </c>
      <c r="B14" s="52" t="inlineStr">
        <is>
          <t>DXDR-100</t>
        </is>
      </c>
      <c r="C14" s="52" t="n"/>
      <c r="D14" s="79">
        <f>IF(INDIRECT("'"&amp;$O14&amp;"'!F"&amp;$N14)="O","원자재",IF(INDIRECT("'"&amp;$O14&amp;"'!G"&amp;$N14)="O","반제품",IF(INDIRECT("'"&amp;$O14&amp;"'!H"&amp;$N14)="O","완제품","")))</f>
        <v/>
      </c>
      <c r="E14" s="79">
        <f>IFERROR(IF(INDIRECT("'"&amp;$O14&amp;"'!I"&amp;$N14)=0,"",INDIRECT("'"&amp;$O14&amp;"'!I"&amp;$N14)),"")</f>
        <v/>
      </c>
      <c r="F14" s="52" t="inlineStr">
        <is>
          <t>포커서 (100kV)</t>
        </is>
      </c>
      <c r="G14" s="52" t="inlineStr">
        <is>
          <t>포커서 [DXDR-100]</t>
        </is>
      </c>
      <c r="H14" s="79">
        <f>IF(AND($F14="",$G14=""),"",IF($F14="","창고전용",IF($G14&lt;&gt;"","매칭완료",IF($D14="반제품","반제품(창고없음)",IF($D14="완제품","완제품(창고없음)",IF($D14="원자재","⚠ 원자재_부서보관","미분류"))))))</f>
        <v/>
      </c>
      <c r="I14" s="79">
        <f>IFERROR(IF(INDIRECT("'"&amp;$O14&amp;"'!P"&amp;$N14)=0,"",INDIRECT("'"&amp;$O14&amp;"'!P"&amp;$N14)),"")</f>
        <v/>
      </c>
      <c r="J14" s="61" t="inlineStr">
        <is>
          <t>포커서 (100kV)</t>
        </is>
      </c>
      <c r="K14" s="61" t="inlineStr">
        <is>
          <t>포커서 (100kV)</t>
        </is>
      </c>
      <c r="L14" s="83">
        <f>HYPERLINK("#'"&amp;$O14&amp;"'!A"&amp;$N14,"→ 튜브파트 R"&amp;$N14)</f>
        <v/>
      </c>
      <c r="M14" s="84" t="n"/>
      <c r="N14" s="80" t="n">
        <v>14</v>
      </c>
      <c r="O14" s="80" t="inlineStr">
        <is>
          <t>튜브파트_재고현황</t>
        </is>
      </c>
    </row>
    <row r="15" ht="30" customHeight="1">
      <c r="A15" s="51" t="inlineStr">
        <is>
          <t>튜브</t>
        </is>
      </c>
      <c r="B15" s="52" t="inlineStr">
        <is>
          <t>DXDR-100</t>
        </is>
      </c>
      <c r="C15" s="52" t="n"/>
      <c r="D15" s="79">
        <f>IF(INDIRECT("'"&amp;$O15&amp;"'!F"&amp;$N15)="O","원자재",IF(INDIRECT("'"&amp;$O15&amp;"'!G"&amp;$N15)="O","반제품",IF(INDIRECT("'"&amp;$O15&amp;"'!H"&amp;$N15)="O","완제품","")))</f>
        <v/>
      </c>
      <c r="E15" s="79">
        <f>IFERROR(IF(INDIRECT("'"&amp;$O15&amp;"'!I"&amp;$N15)=0,"",INDIRECT("'"&amp;$O15&amp;"'!I"&amp;$N15)),"")</f>
        <v/>
      </c>
      <c r="F15" s="52" t="inlineStr">
        <is>
          <t>세라믹 바디 (100kV)</t>
        </is>
      </c>
      <c r="G15" s="52" t="inlineStr">
        <is>
          <t>세라믹 바디 [DXDR-100]</t>
        </is>
      </c>
      <c r="H15" s="79">
        <f>IF(AND($F15="",$G15=""),"",IF($F15="","창고전용",IF($G15&lt;&gt;"","매칭완료",IF($D15="반제품","반제품(창고없음)",IF($D15="완제품","완제품(창고없음)",IF($D15="원자재","⚠ 원자재_부서보관","미분류"))))))</f>
        <v/>
      </c>
      <c r="I15" s="79">
        <f>IFERROR(IF(INDIRECT("'"&amp;$O15&amp;"'!P"&amp;$N15)=0,"",INDIRECT("'"&amp;$O15&amp;"'!P"&amp;$N15)),"")</f>
        <v/>
      </c>
      <c r="J15" s="61" t="inlineStr">
        <is>
          <t>세라믹 바디 (100kV)</t>
        </is>
      </c>
      <c r="K15" s="61" t="inlineStr">
        <is>
          <t>세라믹 바디 (100kV)</t>
        </is>
      </c>
      <c r="L15" s="83">
        <f>HYPERLINK("#'"&amp;$O15&amp;"'!A"&amp;$N15,"→ 튜브파트 R"&amp;$N15)</f>
        <v/>
      </c>
      <c r="M15" s="84" t="n"/>
      <c r="N15" s="80" t="n">
        <v>15</v>
      </c>
      <c r="O15" s="80" t="inlineStr">
        <is>
          <t>튜브파트_재고현황</t>
        </is>
      </c>
    </row>
    <row r="16" ht="30" customHeight="1">
      <c r="A16" s="51" t="inlineStr">
        <is>
          <t>튜브</t>
        </is>
      </c>
      <c r="B16" s="52" t="inlineStr">
        <is>
          <t>DXDR-100</t>
        </is>
      </c>
      <c r="C16" s="52" t="n"/>
      <c r="D16" s="79">
        <f>IF(INDIRECT("'"&amp;$O16&amp;"'!F"&amp;$N16)="O","원자재",IF(INDIRECT("'"&amp;$O16&amp;"'!G"&amp;$N16)="O","반제품",IF(INDIRECT("'"&amp;$O16&amp;"'!H"&amp;$N16)="O","완제품","")))</f>
        <v/>
      </c>
      <c r="E16" s="79">
        <f>IFERROR(IF(INDIRECT("'"&amp;$O16&amp;"'!I"&amp;$N16)=0,"",INDIRECT("'"&amp;$O16&amp;"'!I"&amp;$N16)),"")</f>
        <v/>
      </c>
      <c r="F16" s="52" t="inlineStr">
        <is>
          <t>세라믹 슬리브</t>
        </is>
      </c>
      <c r="G16" s="52" t="inlineStr">
        <is>
          <t>세라믹 슬리브 [DXDR-100]</t>
        </is>
      </c>
      <c r="H16" s="79">
        <f>IF(AND($F16="",$G16=""),"",IF($F16="","창고전용",IF($G16&lt;&gt;"","매칭완료",IF($D16="반제품","반제품(창고없음)",IF($D16="완제품","완제품(창고없음)",IF($D16="원자재","⚠ 원자재_부서보관","미분류"))))))</f>
        <v/>
      </c>
      <c r="I16" s="79">
        <f>IFERROR(IF(INDIRECT("'"&amp;$O16&amp;"'!P"&amp;$N16)=0,"",INDIRECT("'"&amp;$O16&amp;"'!P"&amp;$N16)),"")</f>
        <v/>
      </c>
      <c r="J16" s="61" t="inlineStr">
        <is>
          <t>세라믹 슬리브</t>
        </is>
      </c>
      <c r="K16" s="61" t="inlineStr">
        <is>
          <t>세라믹 슬리브</t>
        </is>
      </c>
      <c r="L16" s="83">
        <f>HYPERLINK("#'"&amp;$O16&amp;"'!A"&amp;$N16,"→ 튜브파트 R"&amp;$N16)</f>
        <v/>
      </c>
      <c r="M16" s="84" t="n"/>
      <c r="N16" s="80" t="n">
        <v>16</v>
      </c>
      <c r="O16" s="80" t="inlineStr">
        <is>
          <t>튜브파트_재고현황</t>
        </is>
      </c>
    </row>
    <row r="17" ht="30" customHeight="1">
      <c r="A17" s="51" t="inlineStr">
        <is>
          <t>튜브</t>
        </is>
      </c>
      <c r="B17" s="52" t="inlineStr">
        <is>
          <t>DXDR-100</t>
        </is>
      </c>
      <c r="C17" s="52" t="n"/>
      <c r="D17" s="79">
        <f>IF(INDIRECT("'"&amp;$O17&amp;"'!F"&amp;$N17)="O","원자재",IF(INDIRECT("'"&amp;$O17&amp;"'!G"&amp;$N17)="O","반제품",IF(INDIRECT("'"&amp;$O17&amp;"'!H"&amp;$N17)="O","완제품","")))</f>
        <v/>
      </c>
      <c r="E17" s="79">
        <f>IFERROR(IF(INDIRECT("'"&amp;$O17&amp;"'!I"&amp;$N17)=0,"",INDIRECT("'"&amp;$O17&amp;"'!I"&amp;$N17)),"")</f>
        <v/>
      </c>
      <c r="F17" s="52" t="inlineStr">
        <is>
          <t>필러 (100kV)</t>
        </is>
      </c>
      <c r="G17" s="52" t="inlineStr">
        <is>
          <t>필러 [DXDR-100]</t>
        </is>
      </c>
      <c r="H17" s="79">
        <f>IF(AND($F17="",$G17=""),"",IF($F17="","창고전용",IF($G17&lt;&gt;"","매칭완료",IF($D17="반제품","반제품(창고없음)",IF($D17="완제품","완제품(창고없음)",IF($D17="원자재","⚠ 원자재_부서보관","미분류"))))))</f>
        <v/>
      </c>
      <c r="I17" s="79">
        <f>IFERROR(IF(INDIRECT("'"&amp;$O17&amp;"'!P"&amp;$N17)=0,"",INDIRECT("'"&amp;$O17&amp;"'!P"&amp;$N17)),"")</f>
        <v/>
      </c>
      <c r="J17" s="61" t="inlineStr">
        <is>
          <t>필러 (100kV)</t>
        </is>
      </c>
      <c r="K17" s="61" t="inlineStr">
        <is>
          <t>필러 (100kV)</t>
        </is>
      </c>
      <c r="L17" s="83">
        <f>HYPERLINK("#'"&amp;$O17&amp;"'!A"&amp;$N17,"→ 튜브파트 R"&amp;$N17)</f>
        <v/>
      </c>
      <c r="M17" s="84" t="n"/>
      <c r="N17" s="80" t="n">
        <v>17</v>
      </c>
      <c r="O17" s="80" t="inlineStr">
        <is>
          <t>튜브파트_재고현황</t>
        </is>
      </c>
    </row>
    <row r="18" ht="30" customHeight="1">
      <c r="A18" s="51" t="inlineStr">
        <is>
          <t>튜브</t>
        </is>
      </c>
      <c r="B18" s="52" t="inlineStr">
        <is>
          <t>DXDR-100</t>
        </is>
      </c>
      <c r="C18" s="52" t="n"/>
      <c r="D18" s="79">
        <f>IF(INDIRECT("'"&amp;$O18&amp;"'!F"&amp;$N18)="O","원자재",IF(INDIRECT("'"&amp;$O18&amp;"'!G"&amp;$N18)="O","반제품",IF(INDIRECT("'"&amp;$O18&amp;"'!H"&amp;$N18)="O","완제품","")))</f>
        <v/>
      </c>
      <c r="E18" s="79">
        <f>IFERROR(IF(INDIRECT("'"&amp;$O18&amp;"'!I"&amp;$N18)=0,"",INDIRECT("'"&amp;$O18&amp;"'!I"&amp;$N18)),"")</f>
        <v/>
      </c>
      <c r="F18" s="52" t="inlineStr">
        <is>
          <t>전극 필러 (100kV)</t>
        </is>
      </c>
      <c r="G18" s="52" t="inlineStr">
        <is>
          <t>전극 필러 [DXDR-100]</t>
        </is>
      </c>
      <c r="H18" s="79">
        <f>IF(AND($F18="",$G18=""),"",IF($F18="","창고전용",IF($G18&lt;&gt;"","매칭완료",IF($D18="반제품","반제품(창고없음)",IF($D18="완제품","완제품(창고없음)",IF($D18="원자재","⚠ 원자재_부서보관","미분류"))))))</f>
        <v/>
      </c>
      <c r="I18" s="79">
        <f>IFERROR(IF(INDIRECT("'"&amp;$O18&amp;"'!P"&amp;$N18)=0,"",INDIRECT("'"&amp;$O18&amp;"'!P"&amp;$N18)),"")</f>
        <v/>
      </c>
      <c r="J18" s="61" t="inlineStr">
        <is>
          <t>전극 필러 (100kV)</t>
        </is>
      </c>
      <c r="K18" s="61" t="inlineStr">
        <is>
          <t>전극 필러 (100kV)</t>
        </is>
      </c>
      <c r="L18" s="83">
        <f>HYPERLINK("#'"&amp;$O18&amp;"'!A"&amp;$N18,"→ 튜브파트 R"&amp;$N18)</f>
        <v/>
      </c>
      <c r="M18" s="84" t="n"/>
      <c r="N18" s="80" t="n">
        <v>18</v>
      </c>
      <c r="O18" s="80" t="inlineStr">
        <is>
          <t>튜브파트_재고현황</t>
        </is>
      </c>
    </row>
    <row r="19" ht="30" customHeight="1">
      <c r="A19" s="51" t="inlineStr">
        <is>
          <t>튜브</t>
        </is>
      </c>
      <c r="B19" s="52" t="inlineStr">
        <is>
          <t>완제품 튜브</t>
        </is>
      </c>
      <c r="C19" s="52" t="n"/>
      <c r="D19" s="79">
        <f>IF(INDIRECT("'"&amp;$O19&amp;"'!F"&amp;$N19)="O","원자재",IF(INDIRECT("'"&amp;$O19&amp;"'!G"&amp;$N19)="O","반제품",IF(INDIRECT("'"&amp;$O19&amp;"'!H"&amp;$N19)="O","완제품","")))</f>
        <v/>
      </c>
      <c r="E19" s="79">
        <f>IFERROR(IF(INDIRECT("'"&amp;$O19&amp;"'!I"&amp;$N19)=0,"",INDIRECT("'"&amp;$O19&amp;"'!I"&amp;$N19)),"")</f>
        <v/>
      </c>
      <c r="F19" s="52" t="inlineStr">
        <is>
          <t>DXDR-70 튜브</t>
        </is>
      </c>
      <c r="G19" s="52" t="n"/>
      <c r="H19" s="79">
        <f>IF(AND($F19="",$G19=""),"",IF($F19="","창고전용",IF($G19&lt;&gt;"","매칭완료",IF($D19="반제품","반제품(창고없음)",IF($D19="완제품","완제품(창고없음)",IF($D19="원자재","⚠ 원자재_부서보관","미분류"))))))</f>
        <v/>
      </c>
      <c r="I19" s="79">
        <f>IFERROR(IF(INDIRECT("'"&amp;$O19&amp;"'!P"&amp;$N19)=0,"",INDIRECT("'"&amp;$O19&amp;"'!P"&amp;$N19)),"")</f>
        <v/>
      </c>
      <c r="J19" s="61" t="inlineStr">
        <is>
          <t>DXDR-70 튜브</t>
        </is>
      </c>
      <c r="K19" s="61" t="inlineStr">
        <is>
          <t>DXDR-70 튜브</t>
        </is>
      </c>
      <c r="L19" s="83">
        <f>HYPERLINK("#'"&amp;$O19&amp;"'!A"&amp;$N19,"→ 튜브파트 R"&amp;$N19)</f>
        <v/>
      </c>
      <c r="M19" s="84" t="n"/>
      <c r="N19" s="80" t="n">
        <v>19</v>
      </c>
      <c r="O19" s="80" t="inlineStr">
        <is>
          <t>튜브파트_재고현황</t>
        </is>
      </c>
    </row>
    <row r="20" ht="30" customHeight="1">
      <c r="A20" s="51" t="inlineStr">
        <is>
          <t>튜브</t>
        </is>
      </c>
      <c r="B20" s="52" t="inlineStr">
        <is>
          <t>완제품 튜브</t>
        </is>
      </c>
      <c r="C20" s="52" t="n"/>
      <c r="D20" s="79">
        <f>IF(INDIRECT("'"&amp;$O20&amp;"'!F"&amp;$N20)="O","원자재",IF(INDIRECT("'"&amp;$O20&amp;"'!G"&amp;$N20)="O","반제품",IF(INDIRECT("'"&amp;$O20&amp;"'!H"&amp;$N20)="O","완제품","")))</f>
        <v/>
      </c>
      <c r="E20" s="79">
        <f>IFERROR(IF(INDIRECT("'"&amp;$O20&amp;"'!I"&amp;$N20)=0,"",INDIRECT("'"&amp;$O20&amp;"'!I"&amp;$N20)),"")</f>
        <v/>
      </c>
      <c r="F20" s="52" t="inlineStr">
        <is>
          <t>DXDR-100 튜브</t>
        </is>
      </c>
      <c r="G20" s="52" t="n"/>
      <c r="H20" s="79">
        <f>IF(AND($F20="",$G20=""),"",IF($F20="","창고전용",IF($G20&lt;&gt;"","매칭완료",IF($D20="반제품","반제품(창고없음)",IF($D20="완제품","완제품(창고없음)",IF($D20="원자재","⚠ 원자재_부서보관","미분류"))))))</f>
        <v/>
      </c>
      <c r="I20" s="79">
        <f>IFERROR(IF(INDIRECT("'"&amp;$O20&amp;"'!P"&amp;$N20)=0,"",INDIRECT("'"&amp;$O20&amp;"'!P"&amp;$N20)),"")</f>
        <v/>
      </c>
      <c r="J20" s="61" t="inlineStr">
        <is>
          <t>DXDR-100 튜브</t>
        </is>
      </c>
      <c r="K20" s="61" t="inlineStr">
        <is>
          <t>DXDR-100 튜브</t>
        </is>
      </c>
      <c r="L20" s="83">
        <f>HYPERLINK("#'"&amp;$O20&amp;"'!A"&amp;$N20,"→ 튜브파트 R"&amp;$N20)</f>
        <v/>
      </c>
      <c r="M20" s="84" t="n"/>
      <c r="N20" s="80" t="n">
        <v>20</v>
      </c>
      <c r="O20" s="80" t="inlineStr">
        <is>
          <t>튜브파트_재고현황</t>
        </is>
      </c>
    </row>
    <row r="21" ht="30" customHeight="1">
      <c r="A21" s="53" t="inlineStr">
        <is>
          <t>고압</t>
        </is>
      </c>
      <c r="B21" s="52" t="inlineStr">
        <is>
          <t>튜브</t>
        </is>
      </c>
      <c r="C21" s="52" t="inlineStr">
        <is>
          <t>DX3000, ADX4000W</t>
        </is>
      </c>
      <c r="D21" s="79">
        <f>IF(INDIRECT("'"&amp;$O21&amp;"'!F"&amp;$N21)="O","원자재",IF(INDIRECT("'"&amp;$O21&amp;"'!G"&amp;$N21)="O","반제품",IF(INDIRECT("'"&amp;$O21&amp;"'!H"&amp;$N21)="O","완제품","")))</f>
        <v/>
      </c>
      <c r="E21" s="79">
        <f>IFERROR(IF(INDIRECT("'"&amp;$O21&amp;"'!I"&amp;$N21)=0,"",INDIRECT("'"&amp;$O21&amp;"'!I"&amp;$N21)),"")</f>
        <v/>
      </c>
      <c r="F21" s="52" t="inlineStr">
        <is>
          <t>캐논튜브 [ D-081B ] _ 60KV</t>
        </is>
      </c>
      <c r="G21" s="52" t="inlineStr">
        <is>
          <t>TUBE (60KV D-081B) [DX3000, ADX4000W]</t>
        </is>
      </c>
      <c r="H21" s="79">
        <f>IF(AND($F21="",$G21=""),"",IF($F21="","창고전용",IF($G21&lt;&gt;"","매칭완료",IF($D21="반제품","반제품(창고없음)",IF($D21="완제품","완제품(창고없음)",IF($D21="원자재","⚠ 원자재_부서보관","미분류"))))))</f>
        <v/>
      </c>
      <c r="I21" s="79">
        <f>IFERROR(IF(INDIRECT("'"&amp;$O21&amp;"'!P"&amp;$N21)=0,"",INDIRECT("'"&amp;$O21&amp;"'!P"&amp;$N21)),"")</f>
        <v/>
      </c>
      <c r="J21" s="61" t="inlineStr">
        <is>
          <t>캐논튜브 [ D-081B ] _ 60KV</t>
        </is>
      </c>
      <c r="K21" s="61" t="inlineStr">
        <is>
          <t>캐논튜브 [ D-081B ] _ 60KV</t>
        </is>
      </c>
      <c r="L21" s="83">
        <f>HYPERLINK("#'"&amp;$O21&amp;"'!A"&amp;$N21,"→ 고압진공 R"&amp;$N21)</f>
        <v/>
      </c>
      <c r="M21" s="84" t="n"/>
      <c r="N21" s="80" t="n">
        <v>2</v>
      </c>
      <c r="O21" s="80" t="inlineStr">
        <is>
          <t>고압진공_재고현황</t>
        </is>
      </c>
    </row>
    <row r="22" ht="30" customHeight="1">
      <c r="A22" s="53" t="inlineStr">
        <is>
          <t>고압</t>
        </is>
      </c>
      <c r="B22" s="52" t="inlineStr">
        <is>
          <t>튜브</t>
        </is>
      </c>
      <c r="C22" s="52" t="inlineStr">
        <is>
          <t>COCOON, SOLO</t>
        </is>
      </c>
      <c r="D22" s="79">
        <f>IF(INDIRECT("'"&amp;$O22&amp;"'!F"&amp;$N22)="O","원자재",IF(INDIRECT("'"&amp;$O22&amp;"'!G"&amp;$N22)="O","반제품",IF(INDIRECT("'"&amp;$O22&amp;"'!H"&amp;$N22)="O","완제품","")))</f>
        <v/>
      </c>
      <c r="E22" s="79">
        <f>IFERROR(IF(INDIRECT("'"&amp;$O22&amp;"'!I"&amp;$N22)=0,"",INDIRECT("'"&amp;$O22&amp;"'!I"&amp;$N22)),"")</f>
        <v/>
      </c>
      <c r="F22" s="52" t="inlineStr">
        <is>
          <t>캐논튜브 [ D-041 ] _ 70KV</t>
        </is>
      </c>
      <c r="G22" s="52" t="inlineStr">
        <is>
          <t>TUBE (70KV D-041) [COCOON]</t>
        </is>
      </c>
      <c r="H22" s="79">
        <f>IF(AND($F22="",$G22=""),"",IF($F22="","창고전용",IF($G22&lt;&gt;"","매칭완료",IF($D22="반제품","반제품(창고없음)",IF($D22="완제품","완제품(창고없음)",IF($D22="원자재","⚠ 원자재_부서보관","미분류"))))))</f>
        <v/>
      </c>
      <c r="I22" s="79">
        <f>IFERROR(IF(INDIRECT("'"&amp;$O22&amp;"'!P"&amp;$N22)=0,"",INDIRECT("'"&amp;$O22&amp;"'!P"&amp;$N22)),"")</f>
        <v/>
      </c>
      <c r="J22" s="61" t="inlineStr">
        <is>
          <t>캐논튜브 [ D-041 ] _ 70KV</t>
        </is>
      </c>
      <c r="K22" s="61" t="inlineStr">
        <is>
          <t>캐논튜브 [ D-041 ] _ 70KV</t>
        </is>
      </c>
      <c r="L22" s="83">
        <f>HYPERLINK("#'"&amp;$O22&amp;"'!A"&amp;$N22,"→ 고압진공 R"&amp;$N22)</f>
        <v/>
      </c>
      <c r="M22" s="84" t="n"/>
      <c r="N22" s="80" t="n">
        <v>3</v>
      </c>
      <c r="O22" s="80" t="inlineStr">
        <is>
          <t>고압진공_재고현황</t>
        </is>
      </c>
    </row>
    <row r="23" ht="30" customHeight="1">
      <c r="A23" s="53" t="inlineStr">
        <is>
          <t>고압</t>
        </is>
      </c>
      <c r="B23" s="52" t="inlineStr">
        <is>
          <t>튜브</t>
        </is>
      </c>
      <c r="C23" s="52" t="inlineStr">
        <is>
          <t>ADX6000</t>
        </is>
      </c>
      <c r="D23" s="79">
        <f>IF(INDIRECT("'"&amp;$O23&amp;"'!F"&amp;$N23)="O","원자재",IF(INDIRECT("'"&amp;$O23&amp;"'!G"&amp;$N23)="O","반제품",IF(INDIRECT("'"&amp;$O23&amp;"'!H"&amp;$N23)="O","완제품","")))</f>
        <v/>
      </c>
      <c r="E23" s="79">
        <f>IFERROR(IF(INDIRECT("'"&amp;$O23&amp;"'!I"&amp;$N23)=0,"",INDIRECT("'"&amp;$O23&amp;"'!I"&amp;$N23)),"")</f>
        <v/>
      </c>
      <c r="F23" s="52" t="inlineStr">
        <is>
          <t>캐논튜브 [ D-0813 ] _ 80KV</t>
        </is>
      </c>
      <c r="G23" s="52" t="inlineStr">
        <is>
          <t>TUBE (80KV D-0813) [ADX6000]</t>
        </is>
      </c>
      <c r="H23" s="79">
        <f>IF(AND($F23="",$G23=""),"",IF($F23="","창고전용",IF($G23&lt;&gt;"","매칭완료",IF($D23="반제품","반제품(창고없음)",IF($D23="완제품","완제품(창고없음)",IF($D23="원자재","⚠ 원자재_부서보관","미분류"))))))</f>
        <v/>
      </c>
      <c r="I23" s="79">
        <f>IFERROR(IF(INDIRECT("'"&amp;$O23&amp;"'!P"&amp;$N23)=0,"",INDIRECT("'"&amp;$O23&amp;"'!P"&amp;$N23)),"")</f>
        <v/>
      </c>
      <c r="J23" s="61" t="inlineStr">
        <is>
          <t>캐논튜브 [ D-0813 ] _ 80KV</t>
        </is>
      </c>
      <c r="K23" s="61" t="inlineStr">
        <is>
          <t>캐논튜브 [ D-0813 ] _ 80KV</t>
        </is>
      </c>
      <c r="L23" s="83">
        <f>HYPERLINK("#'"&amp;$O23&amp;"'!A"&amp;$N23,"→ 고압진공 R"&amp;$N23)</f>
        <v/>
      </c>
      <c r="M23" s="84" t="n"/>
      <c r="N23" s="80" t="n">
        <v>4</v>
      </c>
      <c r="O23" s="80" t="inlineStr">
        <is>
          <t>고압진공_재고현황</t>
        </is>
      </c>
    </row>
    <row r="24" ht="30" customHeight="1">
      <c r="A24" s="53" t="inlineStr">
        <is>
          <t>고압</t>
        </is>
      </c>
      <c r="B24" s="52" t="inlineStr">
        <is>
          <t>튜브</t>
        </is>
      </c>
      <c r="C24" s="52" t="inlineStr">
        <is>
          <t>DX3000, ADX4000W, ADX6000, SOLO</t>
        </is>
      </c>
      <c r="D24" s="79">
        <f>IF(INDIRECT("'"&amp;$O24&amp;"'!F"&amp;$N24)="O","원자재",IF(INDIRECT("'"&amp;$O24&amp;"'!G"&amp;$N24)="O","반제품",IF(INDIRECT("'"&amp;$O24&amp;"'!H"&amp;$N24)="O","완제품","")))</f>
        <v/>
      </c>
      <c r="E24" s="79">
        <f>IFERROR(IF(INDIRECT("'"&amp;$O24&amp;"'!I"&amp;$N24)=0,"",INDIRECT("'"&amp;$O24&amp;"'!I"&amp;$N24)),"")</f>
        <v/>
      </c>
      <c r="F24" s="52" t="inlineStr">
        <is>
          <t>세라믹튜브 [DXDR-070] _ 70KV</t>
        </is>
      </c>
      <c r="G24" s="52" t="inlineStr">
        <is>
          <t>TUBE (70KV DXDR-070) [SOLO]</t>
        </is>
      </c>
      <c r="H24" s="79">
        <f>IF(AND($F24="",$G24=""),"",IF($F24="","창고전용",IF($G24&lt;&gt;"","매칭완료",IF($D24="반제품","반제품(창고없음)",IF($D24="완제품","완제품(창고없음)",IF($D24="원자재","⚠ 원자재_부서보관","미분류"))))))</f>
        <v/>
      </c>
      <c r="I24" s="79">
        <f>IFERROR(IF(INDIRECT("'"&amp;$O24&amp;"'!P"&amp;$N24)=0,"",INDIRECT("'"&amp;$O24&amp;"'!P"&amp;$N24)),"")</f>
        <v/>
      </c>
      <c r="J24" s="61" t="inlineStr">
        <is>
          <t>세라믹튜브 [DXDR-070] _ 70KV</t>
        </is>
      </c>
      <c r="K24" s="61" t="inlineStr">
        <is>
          <t>세라믹튜브 [DXDR-070] _ 70KV</t>
        </is>
      </c>
      <c r="L24" s="83">
        <f>HYPERLINK("#'"&amp;$O24&amp;"'!A"&amp;$N24,"→ 고압진공 R"&amp;$N24)</f>
        <v/>
      </c>
      <c r="M24" s="84" t="n"/>
      <c r="N24" s="80" t="n">
        <v>5</v>
      </c>
      <c r="O24" s="80" t="inlineStr">
        <is>
          <t>고압진공_재고현황</t>
        </is>
      </c>
    </row>
    <row r="25" ht="30" customHeight="1">
      <c r="A25" s="53" t="inlineStr">
        <is>
          <t>고압</t>
        </is>
      </c>
      <c r="B25" s="52" t="inlineStr">
        <is>
          <t>튜브</t>
        </is>
      </c>
      <c r="C25" s="52" t="inlineStr">
        <is>
          <t>ADX6000</t>
        </is>
      </c>
      <c r="D25" s="79">
        <f>IF(INDIRECT("'"&amp;$O25&amp;"'!F"&amp;$N25)="O","원자재",IF(INDIRECT("'"&amp;$O25&amp;"'!G"&amp;$N25)="O","반제품",IF(INDIRECT("'"&amp;$O25&amp;"'!H"&amp;$N25)="O","완제품","")))</f>
        <v/>
      </c>
      <c r="E25" s="79">
        <f>IFERROR(IF(INDIRECT("'"&amp;$O25&amp;"'!I"&amp;$N25)=0,"",INDIRECT("'"&amp;$O25&amp;"'!I"&amp;$N25)),"")</f>
        <v/>
      </c>
      <c r="F25" s="52" t="inlineStr">
        <is>
          <t>세라믹튜브 [DXDR-100] _ 100KV</t>
        </is>
      </c>
      <c r="G25" s="52" t="inlineStr">
        <is>
          <t>TUBE (100Kv DXDR-100) [100kV]</t>
        </is>
      </c>
      <c r="H25" s="79">
        <f>IF(AND($F25="",$G25=""),"",IF($F25="","창고전용",IF($G25&lt;&gt;"","매칭완료",IF($D25="반제품","반제품(창고없음)",IF($D25="완제품","완제품(창고없음)",IF($D25="원자재","⚠ 원자재_부서보관","미분류"))))))</f>
        <v/>
      </c>
      <c r="I25" s="79">
        <f>IFERROR(IF(INDIRECT("'"&amp;$O25&amp;"'!P"&amp;$N25)=0,"",INDIRECT("'"&amp;$O25&amp;"'!P"&amp;$N25)),"")</f>
        <v/>
      </c>
      <c r="J25" s="61" t="inlineStr">
        <is>
          <t>세라믹튜브 [DXDR-100] _ 100KV</t>
        </is>
      </c>
      <c r="K25" s="61" t="inlineStr">
        <is>
          <t>세라믹튜브 [DXDR-100] _ 100KV</t>
        </is>
      </c>
      <c r="L25" s="83">
        <f>HYPERLINK("#'"&amp;$O25&amp;"'!A"&amp;$N25,"→ 고압진공 R"&amp;$N25)</f>
        <v/>
      </c>
      <c r="M25" s="84" t="n"/>
      <c r="N25" s="80" t="n">
        <v>6</v>
      </c>
      <c r="O25" s="80" t="inlineStr">
        <is>
          <t>고압진공_재고현황</t>
        </is>
      </c>
    </row>
    <row r="26" ht="30" customHeight="1">
      <c r="A26" s="53" t="inlineStr">
        <is>
          <t>고압</t>
        </is>
      </c>
      <c r="B26" s="52" t="inlineStr">
        <is>
          <t>튜브</t>
        </is>
      </c>
      <c r="C26" s="52" t="inlineStr">
        <is>
          <t>ADX6000</t>
        </is>
      </c>
      <c r="D26" s="79">
        <f>IF(INDIRECT("'"&amp;$O26&amp;"'!F"&amp;$N26)="O","원자재",IF(INDIRECT("'"&amp;$O26&amp;"'!G"&amp;$N26)="O","반제품",IF(INDIRECT("'"&amp;$O26&amp;"'!H"&amp;$N26)="O","완제품","")))</f>
        <v/>
      </c>
      <c r="E26" s="79">
        <f>IFERROR(IF(INDIRECT("'"&amp;$O26&amp;"'!I"&amp;$N26)=0,"",INDIRECT("'"&amp;$O26&amp;"'!I"&amp;$N26)),"")</f>
        <v/>
      </c>
      <c r="F26" s="52" t="inlineStr">
        <is>
          <t>CEI튜브 [OX-70] _ 90KV</t>
        </is>
      </c>
      <c r="G26" s="52" t="inlineStr">
        <is>
          <t>TUBE (90kV OX / 70-1.0) [ADX6000]</t>
        </is>
      </c>
      <c r="H26" s="79">
        <f>IF(AND($F26="",$G26=""),"",IF($F26="","창고전용",IF($G26&lt;&gt;"","매칭완료",IF($D26="반제품","반제품(창고없음)",IF($D26="완제품","완제품(창고없음)",IF($D26="원자재","⚠ 원자재_부서보관","미분류"))))))</f>
        <v/>
      </c>
      <c r="I26" s="79">
        <f>IFERROR(IF(INDIRECT("'"&amp;$O26&amp;"'!P"&amp;$N26)=0,"",INDIRECT("'"&amp;$O26&amp;"'!P"&amp;$N26)),"")</f>
        <v/>
      </c>
      <c r="J26" s="61" t="inlineStr">
        <is>
          <t>CEI튜브 [OX-70] _ 90KV</t>
        </is>
      </c>
      <c r="K26" s="61" t="inlineStr">
        <is>
          <t>CEI튜브 [OX-70] _ 90KV</t>
        </is>
      </c>
      <c r="L26" s="83">
        <f>HYPERLINK("#'"&amp;$O26&amp;"'!A"&amp;$N26,"→ 고압진공 R"&amp;$N26)</f>
        <v/>
      </c>
      <c r="M26" s="84" t="n"/>
      <c r="N26" s="80" t="n">
        <v>7</v>
      </c>
      <c r="O26" s="80" t="inlineStr">
        <is>
          <t>고압진공_재고현황</t>
        </is>
      </c>
    </row>
    <row r="27" ht="30" customHeight="1">
      <c r="A27" s="53" t="inlineStr">
        <is>
          <t>고압</t>
        </is>
      </c>
      <c r="B27" s="52" t="inlineStr">
        <is>
          <t>부품</t>
        </is>
      </c>
      <c r="C27" s="52" t="inlineStr">
        <is>
          <t>DX3000, ADX4000W</t>
        </is>
      </c>
      <c r="D27" s="79">
        <f>IF(INDIRECT("'"&amp;$O27&amp;"'!F"&amp;$N27)="O","원자재",IF(INDIRECT("'"&amp;$O27&amp;"'!G"&amp;$N27)="O","반제품",IF(INDIRECT("'"&amp;$O27&amp;"'!H"&amp;$N27)="O","완제품","")))</f>
        <v/>
      </c>
      <c r="E27" s="79">
        <f>IFERROR(IF(INDIRECT("'"&amp;$O27&amp;"'!I"&amp;$N27)=0,"",INDIRECT("'"&amp;$O27&amp;"'!I"&amp;$N27)),"")</f>
        <v/>
      </c>
      <c r="F27" s="52" t="inlineStr">
        <is>
          <t>고압다이오드 2CL77 [20KV, 5mA]</t>
        </is>
      </c>
      <c r="G27" s="52" t="inlineStr">
        <is>
          <t>고압 다이오드 (2CL77 (20KV, 5mA)) [DX3000, ADX4000W]</t>
        </is>
      </c>
      <c r="H27" s="79">
        <f>IF(AND($F27="",$G27=""),"",IF($F27="","창고전용",IF($G27&lt;&gt;"","매칭완료",IF($D27="반제품","반제품(창고없음)",IF($D27="완제품","완제품(창고없음)",IF($D27="원자재","⚠ 원자재_부서보관","미분류"))))))</f>
        <v/>
      </c>
      <c r="I27" s="79">
        <f>IFERROR(IF(INDIRECT("'"&amp;$O27&amp;"'!P"&amp;$N27)=0,"",INDIRECT("'"&amp;$O27&amp;"'!P"&amp;$N27)),"")</f>
        <v/>
      </c>
      <c r="J27" s="61" t="inlineStr">
        <is>
          <t>고압다이오드 2CL77 [20KV, 5mA]</t>
        </is>
      </c>
      <c r="K27" s="61" t="inlineStr">
        <is>
          <t>고압다이오드 2CL77 [20KV, 5mA]</t>
        </is>
      </c>
      <c r="L27" s="83">
        <f>HYPERLINK("#'"&amp;$O27&amp;"'!A"&amp;$N27,"→ 고압진공 R"&amp;$N27)</f>
        <v/>
      </c>
      <c r="M27" s="84" t="n"/>
      <c r="N27" s="80" t="n">
        <v>8</v>
      </c>
      <c r="O27" s="80" t="inlineStr">
        <is>
          <t>고압진공_재고현황</t>
        </is>
      </c>
    </row>
    <row r="28" ht="30" customHeight="1">
      <c r="A28" s="53" t="inlineStr">
        <is>
          <t>고압</t>
        </is>
      </c>
      <c r="B28" s="52" t="inlineStr">
        <is>
          <t>부품</t>
        </is>
      </c>
      <c r="C28" s="52" t="inlineStr">
        <is>
          <t>DX3000, ADX4000W, COCOON</t>
        </is>
      </c>
      <c r="D28" s="79">
        <f>IF(INDIRECT("'"&amp;$O28&amp;"'!F"&amp;$N28)="O","원자재",IF(INDIRECT("'"&amp;$O28&amp;"'!G"&amp;$N28)="O","반제품",IF(INDIRECT("'"&amp;$O28&amp;"'!H"&amp;$N28)="O","완제품","")))</f>
        <v/>
      </c>
      <c r="E28" s="79">
        <f>IFERROR(IF(INDIRECT("'"&amp;$O28&amp;"'!I"&amp;$N28)=0,"",INDIRECT("'"&amp;$O28&amp;"'!I"&amp;$N28)),"")</f>
        <v/>
      </c>
      <c r="F28" s="52" t="inlineStr">
        <is>
          <t>네온램프(NEON-5T)</t>
        </is>
      </c>
      <c r="G28" s="52" t="inlineStr">
        <is>
          <t>네온램프 (NEON-5T.5*13 red) [DX3000, ADX4000W COCOON]</t>
        </is>
      </c>
      <c r="H28" s="79">
        <f>IF(AND($F28="",$G28=""),"",IF($F28="","창고전용",IF($G28&lt;&gt;"","매칭완료",IF($D28="반제품","반제품(창고없음)",IF($D28="완제품","완제품(창고없음)",IF($D28="원자재","⚠ 원자재_부서보관","미분류"))))))</f>
        <v/>
      </c>
      <c r="I28" s="79">
        <f>IFERROR(IF(INDIRECT("'"&amp;$O28&amp;"'!P"&amp;$N28)=0,"",INDIRECT("'"&amp;$O28&amp;"'!P"&amp;$N28)),"")</f>
        <v/>
      </c>
      <c r="J28" s="61" t="inlineStr">
        <is>
          <t>네온램프(NEON-5T)</t>
        </is>
      </c>
      <c r="K28" s="61" t="inlineStr">
        <is>
          <t>네온램프(NEON-5T)</t>
        </is>
      </c>
      <c r="L28" s="83">
        <f>HYPERLINK("#'"&amp;$O28&amp;"'!A"&amp;$N28,"→ 고압진공 R"&amp;$N28)</f>
        <v/>
      </c>
      <c r="M28" s="84" t="n"/>
      <c r="N28" s="80" t="n">
        <v>9</v>
      </c>
      <c r="O28" s="80" t="inlineStr">
        <is>
          <t>고압진공_재고현황</t>
        </is>
      </c>
    </row>
    <row r="29" ht="30" customHeight="1">
      <c r="A29" s="53" t="inlineStr">
        <is>
          <t>고압</t>
        </is>
      </c>
      <c r="B29" s="52" t="inlineStr">
        <is>
          <t>부품</t>
        </is>
      </c>
      <c r="C29" s="52" t="inlineStr">
        <is>
          <t>DX3000, ADX4000W, ADX6000</t>
        </is>
      </c>
      <c r="D29" s="79">
        <f>IF(INDIRECT("'"&amp;$O29&amp;"'!F"&amp;$N29)="O","원자재",IF(INDIRECT("'"&amp;$O29&amp;"'!G"&amp;$N29)="O","반제품",IF(INDIRECT("'"&amp;$O29&amp;"'!H"&amp;$N29)="O","완제품","")))</f>
        <v/>
      </c>
      <c r="E29" s="79">
        <f>IFERROR(IF(INDIRECT("'"&amp;$O29&amp;"'!I"&amp;$N29)=0,"",INDIRECT("'"&amp;$O29&amp;"'!I"&amp;$N29)),"")</f>
        <v/>
      </c>
      <c r="F29" s="52" t="inlineStr">
        <is>
          <t>RK92-11XD307J (시멘트 저항)</t>
        </is>
      </c>
      <c r="G29" s="52" t="inlineStr">
        <is>
          <t>1.7W,10kV 시멘트저항 짧은 것 (RK92-11XD 307J (1.7W,10kV,±5%,300ppm,Flat)) [DX3000, ADX4000W]</t>
        </is>
      </c>
      <c r="H29" s="79">
        <f>IF(AND($F29="",$G29=""),"",IF($F29="","창고전용",IF($G29&lt;&gt;"","매칭완료",IF($D29="반제품","반제품(창고없음)",IF($D29="완제품","완제품(창고없음)",IF($D29="원자재","⚠ 원자재_부서보관","미분류"))))))</f>
        <v/>
      </c>
      <c r="I29" s="79">
        <f>IFERROR(IF(INDIRECT("'"&amp;$O29&amp;"'!P"&amp;$N29)=0,"",INDIRECT("'"&amp;$O29&amp;"'!P"&amp;$N29)),"")</f>
        <v/>
      </c>
      <c r="J29" s="61" t="inlineStr">
        <is>
          <t>RK92-11XD307J (시멘트 저항)</t>
        </is>
      </c>
      <c r="K29" s="61" t="inlineStr">
        <is>
          <t>RK92-11XD307J (시멘트 저항)</t>
        </is>
      </c>
      <c r="L29" s="83">
        <f>HYPERLINK("#'"&amp;$O29&amp;"'!A"&amp;$N29,"→ 고압진공 R"&amp;$N29)</f>
        <v/>
      </c>
      <c r="M29" s="84" t="n"/>
      <c r="N29" s="80" t="n">
        <v>10</v>
      </c>
      <c r="O29" s="80" t="inlineStr">
        <is>
          <t>고압진공_재고현황</t>
        </is>
      </c>
    </row>
    <row r="30" ht="30" customHeight="1">
      <c r="A30" s="53" t="inlineStr">
        <is>
          <t>고압</t>
        </is>
      </c>
      <c r="B30" s="52" t="inlineStr">
        <is>
          <t>부품</t>
        </is>
      </c>
      <c r="C30" s="52" t="inlineStr">
        <is>
          <t>DX3000, ADX4000W</t>
        </is>
      </c>
      <c r="D30" s="79">
        <f>IF(INDIRECT("'"&amp;$O30&amp;"'!F"&amp;$N30)="O","원자재",IF(INDIRECT("'"&amp;$O30&amp;"'!G"&amp;$N30)="O","반제품",IF(INDIRECT("'"&amp;$O30&amp;"'!H"&amp;$N30)="O","완제품","")))</f>
        <v/>
      </c>
      <c r="E30" s="79">
        <f>IFERROR(IF(INDIRECT("'"&amp;$O30&amp;"'!I"&amp;$N30)=0,"",INDIRECT("'"&amp;$O30&amp;"'!I"&amp;$N30)),"")</f>
        <v/>
      </c>
      <c r="F30" s="52" t="inlineStr">
        <is>
          <t>고압용 (30㏀)</t>
        </is>
      </c>
      <c r="G30" s="52" t="inlineStr">
        <is>
          <t>30㏀ 고압용 저항 (30㏀±1％, DIP-1/4W) [DX3000, ADX4000W ADX6000]</t>
        </is>
      </c>
      <c r="H30" s="79">
        <f>IF(AND($F30="",$G30=""),"",IF($F30="","창고전용",IF($G30&lt;&gt;"","매칭완료",IF($D30="반제품","반제품(창고없음)",IF($D30="완제품","완제품(창고없음)",IF($D30="원자재","⚠ 원자재_부서보관","미분류"))))))</f>
        <v/>
      </c>
      <c r="I30" s="79">
        <f>IFERROR(IF(INDIRECT("'"&amp;$O30&amp;"'!P"&amp;$N30)=0,"",INDIRECT("'"&amp;$O30&amp;"'!P"&amp;$N30)),"")</f>
        <v/>
      </c>
      <c r="J30" s="65" t="inlineStr">
        <is>
          <t>고압용 (30㏀)</t>
        </is>
      </c>
      <c r="K30" s="65" t="inlineStr">
        <is>
          <t>고압용 (30㏀)</t>
        </is>
      </c>
      <c r="L30" s="83">
        <f>HYPERLINK("#'"&amp;$O30&amp;"'!A"&amp;$N30,"→ 고압진공 R"&amp;$N30)</f>
        <v/>
      </c>
      <c r="M30" s="84" t="n"/>
      <c r="N30" s="80" t="n">
        <v>11</v>
      </c>
      <c r="O30" s="80" t="inlineStr">
        <is>
          <t>고압진공_재고현황</t>
        </is>
      </c>
    </row>
    <row r="31" ht="30" customHeight="1">
      <c r="A31" s="53" t="inlineStr">
        <is>
          <t>고압</t>
        </is>
      </c>
      <c r="B31" s="52" t="inlineStr">
        <is>
          <t>부품</t>
        </is>
      </c>
      <c r="C31" s="52" t="inlineStr">
        <is>
          <t>DX3000, ADX4000W, ADX6000</t>
        </is>
      </c>
      <c r="D31" s="79">
        <f>IF(INDIRECT("'"&amp;$O31&amp;"'!F"&amp;$N31)="O","원자재",IF(INDIRECT("'"&amp;$O31&amp;"'!G"&amp;$N31)="O","반제품",IF(INDIRECT("'"&amp;$O31&amp;"'!H"&amp;$N31)="O","완제품","")))</f>
        <v/>
      </c>
      <c r="E31" s="79">
        <f>IFERROR(IF(INDIRECT("'"&amp;$O31&amp;"'!I"&amp;$N31)=0,"",INDIRECT("'"&amp;$O31&amp;"'!I"&amp;$N31)),"")</f>
        <v/>
      </c>
      <c r="F31" s="52" t="inlineStr">
        <is>
          <t>고압용 (15㏀±1％, DIP) - 1/4W</t>
        </is>
      </c>
      <c r="G31" s="52" t="inlineStr">
        <is>
          <t>15㏀ 고압용 저항 (15㏀±1％, DIP-1/4W) [DX3000, ADX4000W]</t>
        </is>
      </c>
      <c r="H31" s="79">
        <f>IF(AND($F31="",$G31=""),"",IF($F31="","창고전용",IF($G31&lt;&gt;"","매칭완료",IF($D31="반제품","반제품(창고없음)",IF($D31="완제품","완제품(창고없음)",IF($D31="원자재","⚠ 원자재_부서보관","미분류"))))))</f>
        <v/>
      </c>
      <c r="I31" s="79">
        <f>IFERROR(IF(INDIRECT("'"&amp;$O31&amp;"'!P"&amp;$N31)=0,"",INDIRECT("'"&amp;$O31&amp;"'!P"&amp;$N31)),"")</f>
        <v/>
      </c>
      <c r="J31" s="65" t="inlineStr">
        <is>
          <t>고압용 (15㏀±1％, DIP) - 1/4W</t>
        </is>
      </c>
      <c r="K31" s="65" t="inlineStr">
        <is>
          <t>고압용 (15㏀±1％, DIP) - 1/4W</t>
        </is>
      </c>
      <c r="L31" s="83">
        <f>HYPERLINK("#'"&amp;$O31&amp;"'!A"&amp;$N31,"→ 고압진공 R"&amp;$N31)</f>
        <v/>
      </c>
      <c r="M31" s="84" t="n"/>
      <c r="N31" s="80" t="n">
        <v>12</v>
      </c>
      <c r="O31" s="80" t="inlineStr">
        <is>
          <t>고압진공_재고현황</t>
        </is>
      </c>
    </row>
    <row r="32" ht="30" customHeight="1">
      <c r="A32" s="53" t="inlineStr">
        <is>
          <t>고압</t>
        </is>
      </c>
      <c r="B32" s="52" t="inlineStr">
        <is>
          <t>부품</t>
        </is>
      </c>
      <c r="C32" s="52" t="inlineStr">
        <is>
          <t>ADX6000</t>
        </is>
      </c>
      <c r="D32" s="79">
        <f>IF(INDIRECT("'"&amp;$O32&amp;"'!F"&amp;$N32)="O","원자재",IF(INDIRECT("'"&amp;$O32&amp;"'!G"&amp;$N32)="O","반제품",IF(INDIRECT("'"&amp;$O32&amp;"'!H"&amp;$N32)="O","완제품","")))</f>
        <v/>
      </c>
      <c r="E32" s="79">
        <f>IFERROR(IF(INDIRECT("'"&amp;$O32&amp;"'!I"&amp;$N32)=0,"",INDIRECT("'"&amp;$O32&amp;"'!I"&amp;$N32)),"")</f>
        <v/>
      </c>
      <c r="F32" s="52" t="inlineStr">
        <is>
          <t>고압용 (500Ω±1％, DIP) - 1/4W</t>
        </is>
      </c>
      <c r="G32" s="52" t="inlineStr">
        <is>
          <t>500Ω 고압용 저항 (500Ω±1％, DIP-1/4W) [ADX6000]</t>
        </is>
      </c>
      <c r="H32" s="79">
        <f>IF(AND($F32="",$G32=""),"",IF($F32="","창고전용",IF($G32&lt;&gt;"","매칭완료",IF($D32="반제품","반제품(창고없음)",IF($D32="완제품","완제품(창고없음)",IF($D32="원자재","⚠ 원자재_부서보관","미분류"))))))</f>
        <v/>
      </c>
      <c r="I32" s="79">
        <f>IFERROR(IF(INDIRECT("'"&amp;$O32&amp;"'!P"&amp;$N32)=0,"",INDIRECT("'"&amp;$O32&amp;"'!P"&amp;$N32)),"")</f>
        <v/>
      </c>
      <c r="J32" s="65" t="inlineStr">
        <is>
          <t>고압용 (500Ω±1％, DIP) - 1/4W</t>
        </is>
      </c>
      <c r="K32" s="65" t="inlineStr">
        <is>
          <t>고압용 (500Ω±1％, DIP) - 1/4W</t>
        </is>
      </c>
      <c r="L32" s="83">
        <f>HYPERLINK("#'"&amp;$O32&amp;"'!A"&amp;$N32,"→ 고압진공 R"&amp;$N32)</f>
        <v/>
      </c>
      <c r="M32" s="84" t="n"/>
      <c r="N32" s="80" t="n">
        <v>13</v>
      </c>
      <c r="O32" s="80" t="inlineStr">
        <is>
          <t>고압진공_재고현황</t>
        </is>
      </c>
    </row>
    <row r="33" ht="30" customHeight="1">
      <c r="A33" s="53" t="inlineStr">
        <is>
          <t>고압</t>
        </is>
      </c>
      <c r="B33" s="52" t="inlineStr">
        <is>
          <t>부품</t>
        </is>
      </c>
      <c r="C33" s="52" t="inlineStr">
        <is>
          <t>DX3000, ADX4000W, ADX6000</t>
        </is>
      </c>
      <c r="D33" s="79">
        <f>IF(INDIRECT("'"&amp;$O33&amp;"'!F"&amp;$N33)="O","원자재",IF(INDIRECT("'"&amp;$O33&amp;"'!G"&amp;$N33)="O","반제품",IF(INDIRECT("'"&amp;$O33&amp;"'!H"&amp;$N33)="O","완제품","")))</f>
        <v/>
      </c>
      <c r="E33" s="79">
        <f>IFERROR(IF(INDIRECT("'"&amp;$O33&amp;"'!I"&amp;$N33)=0,"",INDIRECT("'"&amp;$O33&amp;"'!I"&amp;$N33)),"")</f>
        <v/>
      </c>
      <c r="F33" s="52" t="inlineStr">
        <is>
          <t>고압용(세라믹103)</t>
        </is>
      </c>
      <c r="G33" s="52" t="inlineStr">
        <is>
          <t>103Z 고압용 세라믹 콘덴서 (50V F103Z) [DX3000, ADX4000W ADX6000]</t>
        </is>
      </c>
      <c r="H33" s="79">
        <f>IF(AND($F33="",$G33=""),"",IF($F33="","창고전용",IF($G33&lt;&gt;"","매칭완료",IF($D33="반제품","반제품(창고없음)",IF($D33="완제품","완제품(창고없음)",IF($D33="원자재","⚠ 원자재_부서보관","미분류"))))))</f>
        <v/>
      </c>
      <c r="I33" s="79">
        <f>IFERROR(IF(INDIRECT("'"&amp;$O33&amp;"'!P"&amp;$N33)=0,"",INDIRECT("'"&amp;$O33&amp;"'!P"&amp;$N33)),"")</f>
        <v/>
      </c>
      <c r="J33" s="65" t="inlineStr">
        <is>
          <t>고압용(세라믹103)</t>
        </is>
      </c>
      <c r="K33" s="65" t="inlineStr">
        <is>
          <t>고압용(세라믹103)</t>
        </is>
      </c>
      <c r="L33" s="83">
        <f>HYPERLINK("#'"&amp;$O33&amp;"'!A"&amp;$N33,"→ 고압진공 R"&amp;$N33)</f>
        <v/>
      </c>
      <c r="M33" s="84" t="n"/>
      <c r="N33" s="80" t="n">
        <v>14</v>
      </c>
      <c r="O33" s="80" t="inlineStr">
        <is>
          <t>고압진공_재고현황</t>
        </is>
      </c>
    </row>
    <row r="34" ht="30" customHeight="1">
      <c r="A34" s="53" t="inlineStr">
        <is>
          <t>고압</t>
        </is>
      </c>
      <c r="B34" s="52" t="inlineStr">
        <is>
          <t>부품</t>
        </is>
      </c>
      <c r="C34" s="52" t="inlineStr">
        <is>
          <t>DX3000, ADX4000W</t>
        </is>
      </c>
      <c r="D34" s="79">
        <f>IF(INDIRECT("'"&amp;$O34&amp;"'!F"&amp;$N34)="O","원자재",IF(INDIRECT("'"&amp;$O34&amp;"'!G"&amp;$N34)="O","반제품",IF(INDIRECT("'"&amp;$O34&amp;"'!H"&amp;$N34)="O","완제품","")))</f>
        <v/>
      </c>
      <c r="E34" s="79">
        <f>IFERROR(IF(INDIRECT("'"&amp;$O34&amp;"'!I"&amp;$N34)=0,"",INDIRECT("'"&amp;$O34&amp;"'!I"&amp;$N34)),"")</f>
        <v/>
      </c>
      <c r="F34" s="52" t="inlineStr">
        <is>
          <t>DHR4E4C102K2FB 큰 콘덴서</t>
        </is>
      </c>
      <c r="G34" s="52" t="inlineStr">
        <is>
          <t>세라믹 큰 콘덴서 (DHR4E4C102K2FB) [DX3000, ADX4000W]</t>
        </is>
      </c>
      <c r="H34" s="79">
        <f>IF(AND($F34="",$G34=""),"",IF($F34="","창고전용",IF($G34&lt;&gt;"","매칭완료",IF($D34="반제품","반제품(창고없음)",IF($D34="완제품","완제품(창고없음)",IF($D34="원자재","⚠ 원자재_부서보관","미분류"))))))</f>
        <v/>
      </c>
      <c r="I34" s="79">
        <f>IFERROR(IF(INDIRECT("'"&amp;$O34&amp;"'!P"&amp;$N34)=0,"",INDIRECT("'"&amp;$O34&amp;"'!P"&amp;$N34)),"")</f>
        <v/>
      </c>
      <c r="J34" s="65" t="inlineStr">
        <is>
          <t>DHR4E4C102K2FB 큰 콘덴서</t>
        </is>
      </c>
      <c r="K34" s="65" t="inlineStr">
        <is>
          <t>DHR4E4C102K2FB 큰 콘덴서</t>
        </is>
      </c>
      <c r="L34" s="83">
        <f>HYPERLINK("#'"&amp;$O34&amp;"'!A"&amp;$N34,"→ 고압진공 R"&amp;$N34)</f>
        <v/>
      </c>
      <c r="M34" s="84" t="n"/>
      <c r="N34" s="80" t="n">
        <v>15</v>
      </c>
      <c r="O34" s="80" t="inlineStr">
        <is>
          <t>고압진공_재고현황</t>
        </is>
      </c>
    </row>
    <row r="35" ht="30" customHeight="1">
      <c r="A35" s="53" t="inlineStr">
        <is>
          <t>고압</t>
        </is>
      </c>
      <c r="B35" s="52" t="inlineStr">
        <is>
          <t>부품</t>
        </is>
      </c>
      <c r="C35" s="52" t="inlineStr">
        <is>
          <t>DX3000, ADX4000W, ADX6000</t>
        </is>
      </c>
      <c r="D35" s="79">
        <f>IF(INDIRECT("'"&amp;$O35&amp;"'!F"&amp;$N35)="O","원자재",IF(INDIRECT("'"&amp;$O35&amp;"'!G"&amp;$N35)="O","반제품",IF(INDIRECT("'"&amp;$O35&amp;"'!H"&amp;$N35)="O","완제품","")))</f>
        <v/>
      </c>
      <c r="E35" s="79">
        <f>IFERROR(IF(INDIRECT("'"&amp;$O35&amp;"'!I"&amp;$N35)=0,"",INDIRECT("'"&amp;$O35&amp;"'!I"&amp;$N35)),"")</f>
        <v/>
      </c>
      <c r="F35" s="52" t="inlineStr">
        <is>
          <t>3216 B 100nF</t>
        </is>
      </c>
      <c r="G35" s="52" t="inlineStr">
        <is>
          <t>100nF 칩세라믹 콘덴서 (3216B 100nF) [DX3000, ADX4000W ADX6000]</t>
        </is>
      </c>
      <c r="H35" s="79">
        <f>IF(AND($F35="",$G35=""),"",IF($F35="","창고전용",IF($G35&lt;&gt;"","매칭완료",IF($D35="반제품","반제품(창고없음)",IF($D35="완제품","완제품(창고없음)",IF($D35="원자재","⚠ 원자재_부서보관","미분류"))))))</f>
        <v/>
      </c>
      <c r="I35" s="79">
        <f>IFERROR(IF(INDIRECT("'"&amp;$O35&amp;"'!P"&amp;$N35)=0,"",INDIRECT("'"&amp;$O35&amp;"'!P"&amp;$N35)),"")</f>
        <v/>
      </c>
      <c r="J35" s="65" t="inlineStr">
        <is>
          <t>3216 B 100nF</t>
        </is>
      </c>
      <c r="K35" s="65" t="inlineStr">
        <is>
          <t>3216 B 100nF</t>
        </is>
      </c>
      <c r="L35" s="83">
        <f>HYPERLINK("#'"&amp;$O35&amp;"'!A"&amp;$N35,"→ 고압진공 R"&amp;$N35)</f>
        <v/>
      </c>
      <c r="M35" s="84" t="n"/>
      <c r="N35" s="80" t="n">
        <v>16</v>
      </c>
      <c r="O35" s="80" t="inlineStr">
        <is>
          <t>고압진공_재고현황</t>
        </is>
      </c>
    </row>
    <row r="36" ht="30" customHeight="1">
      <c r="A36" s="53" t="inlineStr">
        <is>
          <t>고압</t>
        </is>
      </c>
      <c r="B36" s="52" t="inlineStr">
        <is>
          <t>부품</t>
        </is>
      </c>
      <c r="C36" s="52" t="inlineStr">
        <is>
          <t>DX3000, ADX4000W, ADX6000, COCOON</t>
        </is>
      </c>
      <c r="D36" s="79">
        <f>IF(INDIRECT("'"&amp;$O36&amp;"'!F"&amp;$N36)="O","원자재",IF(INDIRECT("'"&amp;$O36&amp;"'!G"&amp;$N36)="O","반제품",IF(INDIRECT("'"&amp;$O36&amp;"'!H"&amp;$N36)="O","완제품","")))</f>
        <v/>
      </c>
      <c r="E36" s="79">
        <f>IFERROR(IF(INDIRECT("'"&amp;$O36&amp;"'!I"&amp;$N36)=0,"",INDIRECT("'"&amp;$O36&amp;"'!I"&amp;$N36)),"")</f>
        <v/>
      </c>
      <c r="F36" s="52" t="inlineStr">
        <is>
          <t>DL1500(다이오드)</t>
        </is>
      </c>
      <c r="G36" s="52" t="inlineStr">
        <is>
          <t>고압 다이오드 (DL1500) [DX3000, ADX4000W ADX6000]</t>
        </is>
      </c>
      <c r="H36" s="79">
        <f>IF(AND($F36="",$G36=""),"",IF($F36="","창고전용",IF($G36&lt;&gt;"","매칭완료",IF($D36="반제품","반제품(창고없음)",IF($D36="완제품","완제품(창고없음)",IF($D36="원자재","⚠ 원자재_부서보관","미분류"))))))</f>
        <v/>
      </c>
      <c r="I36" s="79">
        <f>IFERROR(IF(INDIRECT("'"&amp;$O36&amp;"'!P"&amp;$N36)=0,"",INDIRECT("'"&amp;$O36&amp;"'!P"&amp;$N36)),"")</f>
        <v/>
      </c>
      <c r="J36" s="65" t="inlineStr">
        <is>
          <t>DL1500(다이오드)</t>
        </is>
      </c>
      <c r="K36" s="65" t="inlineStr">
        <is>
          <t>DL1500(다이오드)</t>
        </is>
      </c>
      <c r="L36" s="83">
        <f>HYPERLINK("#'"&amp;$O36&amp;"'!A"&amp;$N36,"→ 고압진공 R"&amp;$N36)</f>
        <v/>
      </c>
      <c r="M36" s="84" t="n"/>
      <c r="N36" s="80" t="n">
        <v>17</v>
      </c>
      <c r="O36" s="80" t="inlineStr">
        <is>
          <t>고압진공_재고현황</t>
        </is>
      </c>
    </row>
    <row r="37" ht="30" customHeight="1">
      <c r="A37" s="53" t="inlineStr">
        <is>
          <t>고압</t>
        </is>
      </c>
      <c r="B37" s="52" t="inlineStr">
        <is>
          <t>부품</t>
        </is>
      </c>
      <c r="C37" s="52" t="inlineStr">
        <is>
          <t>DX3000, ADX4000W, ADX6000, COCOON</t>
        </is>
      </c>
      <c r="D37" s="79">
        <f>IF(INDIRECT("'"&amp;$O37&amp;"'!F"&amp;$N37)="O","원자재",IF(INDIRECT("'"&amp;$O37&amp;"'!G"&amp;$N37)="O","반제품",IF(INDIRECT("'"&amp;$O37&amp;"'!H"&amp;$N37)="O","완제품","")))</f>
        <v/>
      </c>
      <c r="E37" s="79">
        <f>IFERROR(IF(INDIRECT("'"&amp;$O37&amp;"'!I"&amp;$N37)=0,"",INDIRECT("'"&amp;$O37&amp;"'!I"&amp;$N37)),"")</f>
        <v/>
      </c>
      <c r="F37" s="52" t="inlineStr">
        <is>
          <t>HPC-2C 47k/Surge</t>
        </is>
      </c>
      <c r="G37" s="52" t="inlineStr">
        <is>
          <t>47k Surge 저항 (HPC-2C 47k/Surge) [DX3000, ADX4000W ADX6000]</t>
        </is>
      </c>
      <c r="H37" s="79">
        <f>IF(AND($F37="",$G37=""),"",IF($F37="","창고전용",IF($G37&lt;&gt;"","매칭완료",IF($D37="반제품","반제품(창고없음)",IF($D37="완제품","완제품(창고없음)",IF($D37="원자재","⚠ 원자재_부서보관","미분류"))))))</f>
        <v/>
      </c>
      <c r="I37" s="79">
        <f>IFERROR(IF(INDIRECT("'"&amp;$O37&amp;"'!P"&amp;$N37)=0,"",INDIRECT("'"&amp;$O37&amp;"'!P"&amp;$N37)),"")</f>
        <v/>
      </c>
      <c r="J37" s="65" t="inlineStr">
        <is>
          <t>HPC-2C 47k/Surge</t>
        </is>
      </c>
      <c r="K37" s="65" t="inlineStr">
        <is>
          <t>HPC-2C 47k/Surge</t>
        </is>
      </c>
      <c r="L37" s="83">
        <f>HYPERLINK("#'"&amp;$O37&amp;"'!A"&amp;$N37,"→ 고압진공 R"&amp;$N37)</f>
        <v/>
      </c>
      <c r="M37" s="84" t="n"/>
      <c r="N37" s="80" t="n">
        <v>18</v>
      </c>
      <c r="O37" s="80" t="inlineStr">
        <is>
          <t>고압진공_재고현황</t>
        </is>
      </c>
    </row>
    <row r="38" ht="30" customHeight="1">
      <c r="A38" s="53" t="inlineStr">
        <is>
          <t>고압</t>
        </is>
      </c>
      <c r="B38" s="52" t="inlineStr">
        <is>
          <t>부품</t>
        </is>
      </c>
      <c r="C38" s="52" t="inlineStr">
        <is>
          <t>COCOON</t>
        </is>
      </c>
      <c r="D38" s="79">
        <f>IF(INDIRECT("'"&amp;$O38&amp;"'!F"&amp;$N38)="O","원자재",IF(INDIRECT("'"&amp;$O38&amp;"'!G"&amp;$N38)="O","반제품",IF(INDIRECT("'"&amp;$O38&amp;"'!H"&amp;$N38)="O","완제품","")))</f>
        <v/>
      </c>
      <c r="E38" s="79">
        <f>IFERROR(IF(INDIRECT("'"&amp;$O38&amp;"'!I"&amp;$N38)=0,"",INDIRECT("'"&amp;$O38&amp;"'!I"&amp;$N38)),"")</f>
        <v/>
      </c>
      <c r="F38" s="52" t="inlineStr">
        <is>
          <t>RK92-18XD 307J 시멘트저항 긴 것</t>
        </is>
      </c>
      <c r="G38" s="52" t="inlineStr">
        <is>
          <t>2.7W,15kV 시멘트저항 긴 것 (RK92-18XD 307J (2.7W,15kV,±5%,300ppm,Flat)) [COCOON]</t>
        </is>
      </c>
      <c r="H38" s="79">
        <f>IF(AND($F38="",$G38=""),"",IF($F38="","창고전용",IF($G38&lt;&gt;"","매칭완료",IF($D38="반제품","반제품(창고없음)",IF($D38="완제품","완제품(창고없음)",IF($D38="원자재","⚠ 원자재_부서보관","미분류"))))))</f>
        <v/>
      </c>
      <c r="I38" s="79">
        <f>IFERROR(IF(INDIRECT("'"&amp;$O38&amp;"'!P"&amp;$N38)=0,"",INDIRECT("'"&amp;$O38&amp;"'!P"&amp;$N38)),"")</f>
        <v/>
      </c>
      <c r="J38" s="65" t="inlineStr">
        <is>
          <t>RK92-18XD 307J 시멘트저항 긴 것</t>
        </is>
      </c>
      <c r="K38" s="65" t="inlineStr">
        <is>
          <t>RK92-18XD 307J 시멘트저항 긴 것</t>
        </is>
      </c>
      <c r="L38" s="83">
        <f>HYPERLINK("#'"&amp;$O38&amp;"'!A"&amp;$N38,"→ 고압진공 R"&amp;$N38)</f>
        <v/>
      </c>
      <c r="M38" s="84" t="n"/>
      <c r="N38" s="80" t="n">
        <v>19</v>
      </c>
      <c r="O38" s="80" t="inlineStr">
        <is>
          <t>고압진공_재고현황</t>
        </is>
      </c>
    </row>
    <row r="39" ht="30" customHeight="1">
      <c r="A39" s="53" t="inlineStr">
        <is>
          <t>고압</t>
        </is>
      </c>
      <c r="B39" s="52" t="inlineStr">
        <is>
          <t>부품</t>
        </is>
      </c>
      <c r="C39" s="52" t="inlineStr">
        <is>
          <t>ADX6000, COCOON</t>
        </is>
      </c>
      <c r="D39" s="79">
        <f>IF(INDIRECT("'"&amp;$O39&amp;"'!F"&amp;$N39)="O","원자재",IF(INDIRECT("'"&amp;$O39&amp;"'!G"&amp;$N39)="O","반제품",IF(INDIRECT("'"&amp;$O39&amp;"'!H"&amp;$N39)="O","완제품","")))</f>
        <v/>
      </c>
      <c r="E39" s="79">
        <f>IFERROR(IF(INDIRECT("'"&amp;$O39&amp;"'!I"&amp;$N39)=0,"",INDIRECT("'"&amp;$O39&amp;"'!I"&amp;$N39)),"")</f>
        <v/>
      </c>
      <c r="F39" s="52" t="inlineStr">
        <is>
          <t>680pF DHR4E4C681K2BB 무라타 작은 콘덴서</t>
        </is>
      </c>
      <c r="G39" s="52" t="inlineStr">
        <is>
          <t>세라믹 작은 콘덴서 Murata (680pF DHR4E4C681K2BB) [COCOON, ADX6000]</t>
        </is>
      </c>
      <c r="H39" s="79">
        <f>IF(AND($F39="",$G39=""),"",IF($F39="","창고전용",IF($G39&lt;&gt;"","매칭완료",IF($D39="반제품","반제품(창고없음)",IF($D39="완제품","완제품(창고없음)",IF($D39="원자재","⚠ 원자재_부서보관","미분류"))))))</f>
        <v/>
      </c>
      <c r="I39" s="79">
        <f>IFERROR(IF(INDIRECT("'"&amp;$O39&amp;"'!P"&amp;$N39)=0,"",INDIRECT("'"&amp;$O39&amp;"'!P"&amp;$N39)),"")</f>
        <v/>
      </c>
      <c r="J39" s="61" t="inlineStr">
        <is>
          <t>680pF DHR4E4C681K2BB 무라타 작은 콘덴서</t>
        </is>
      </c>
      <c r="K39" s="61" t="inlineStr">
        <is>
          <t>680pF DHR4E4C681K2BB 무라타 작은 콘덴서</t>
        </is>
      </c>
      <c r="L39" s="83">
        <f>HYPERLINK("#'"&amp;$O39&amp;"'!A"&amp;$N39,"→ 고압진공 R"&amp;$N39)</f>
        <v/>
      </c>
      <c r="M39" s="84" t="n"/>
      <c r="N39" s="80" t="n">
        <v>20</v>
      </c>
      <c r="O39" s="80" t="inlineStr">
        <is>
          <t>고압진공_재고현황</t>
        </is>
      </c>
    </row>
    <row r="40" ht="30" customHeight="1">
      <c r="A40" s="53" t="inlineStr">
        <is>
          <t>고압</t>
        </is>
      </c>
      <c r="B40" s="52" t="inlineStr">
        <is>
          <t>부품</t>
        </is>
      </c>
      <c r="C40" s="52" t="inlineStr">
        <is>
          <t>COCOON</t>
        </is>
      </c>
      <c r="D40" s="79">
        <f>IF(INDIRECT("'"&amp;$O40&amp;"'!F"&amp;$N40)="O","원자재",IF(INDIRECT("'"&amp;$O40&amp;"'!G"&amp;$N40)="O","반제품",IF(INDIRECT("'"&amp;$O40&amp;"'!H"&amp;$N40)="O","완제품","")))</f>
        <v/>
      </c>
      <c r="E40" s="79">
        <f>IFERROR(IF(INDIRECT("'"&amp;$O40&amp;"'!I"&amp;$N40)=0,"",INDIRECT("'"&amp;$O40&amp;"'!I"&amp;$N40)),"")</f>
        <v/>
      </c>
      <c r="F40" s="52" t="inlineStr">
        <is>
          <t>LNTK103FW 온도센서</t>
        </is>
      </c>
      <c r="G40" s="52" t="inlineStr">
        <is>
          <t>온도센서 (LNTK103FW) [COCOON]</t>
        </is>
      </c>
      <c r="H40" s="79">
        <f>IF(AND($F40="",$G40=""),"",IF($F40="","창고전용",IF($G40&lt;&gt;"","매칭완료",IF($D40="반제품","반제품(창고없음)",IF($D40="완제품","완제품(창고없음)",IF($D40="원자재","⚠ 원자재_부서보관","미분류"))))))</f>
        <v/>
      </c>
      <c r="I40" s="79">
        <f>IFERROR(IF(INDIRECT("'"&amp;$O40&amp;"'!P"&amp;$N40)=0,"",INDIRECT("'"&amp;$O40&amp;"'!P"&amp;$N40)),"")</f>
        <v/>
      </c>
      <c r="J40" s="61" t="inlineStr">
        <is>
          <t>LNTK103FW 온도센서</t>
        </is>
      </c>
      <c r="K40" s="61" t="inlineStr">
        <is>
          <t>LNTK103FW 온도센서</t>
        </is>
      </c>
      <c r="L40" s="83">
        <f>HYPERLINK("#'"&amp;$O40&amp;"'!A"&amp;$N40,"→ 고압진공 R"&amp;$N40)</f>
        <v/>
      </c>
      <c r="M40" s="84" t="n"/>
      <c r="N40" s="80" t="n">
        <v>21</v>
      </c>
      <c r="O40" s="80" t="inlineStr">
        <is>
          <t>고압진공_재고현황</t>
        </is>
      </c>
    </row>
    <row r="41" ht="30" customHeight="1">
      <c r="A41" s="53" t="inlineStr">
        <is>
          <t>고압</t>
        </is>
      </c>
      <c r="B41" s="52" t="inlineStr">
        <is>
          <t>부품</t>
        </is>
      </c>
      <c r="C41" s="52" t="inlineStr">
        <is>
          <t>ADX6000</t>
        </is>
      </c>
      <c r="D41" s="79">
        <f>IF(INDIRECT("'"&amp;$O41&amp;"'!F"&amp;$N41)="O","원자재",IF(INDIRECT("'"&amp;$O41&amp;"'!G"&amp;$N41)="O","반제품",IF(INDIRECT("'"&amp;$O41&amp;"'!H"&amp;$N41)="O","완제품","")))</f>
        <v/>
      </c>
      <c r="E41" s="79">
        <f>IFERROR(IF(INDIRECT("'"&amp;$O41&amp;"'!I"&amp;$N41)=0,"",INDIRECT("'"&amp;$O41&amp;"'!I"&amp;$N41)),"")</f>
        <v/>
      </c>
      <c r="F41" s="52" t="inlineStr">
        <is>
          <t>15k/Surge</t>
        </is>
      </c>
      <c r="G41" s="52" t="n"/>
      <c r="H41" s="79">
        <f>IF(AND($F41="",$G41=""),"",IF($F41="","창고전용",IF($G41&lt;&gt;"","매칭완료",IF($D41="반제품","반제품(창고없음)",IF($D41="완제품","완제품(창고없음)",IF($D41="원자재","⚠ 원자재_부서보관","미분류"))))))</f>
        <v/>
      </c>
      <c r="I41" s="79">
        <f>IFERROR(IF(INDIRECT("'"&amp;$O41&amp;"'!P"&amp;$N41)=0,"",INDIRECT("'"&amp;$O41&amp;"'!P"&amp;$N41)),"")</f>
        <v/>
      </c>
      <c r="J41" s="61" t="inlineStr">
        <is>
          <t>15k/Surge</t>
        </is>
      </c>
      <c r="K41" s="61" t="inlineStr">
        <is>
          <t>15k/Surge</t>
        </is>
      </c>
      <c r="L41" s="83">
        <f>HYPERLINK("#'"&amp;$O41&amp;"'!A"&amp;$N41,"→ 고압진공 R"&amp;$N41)</f>
        <v/>
      </c>
      <c r="M41" s="84" t="n"/>
      <c r="N41" s="80" t="n">
        <v>22</v>
      </c>
      <c r="O41" s="80" t="inlineStr">
        <is>
          <t>고압진공_재고현황</t>
        </is>
      </c>
    </row>
    <row r="42" ht="30" customHeight="1">
      <c r="A42" s="53" t="inlineStr">
        <is>
          <t>고압</t>
        </is>
      </c>
      <c r="B42" s="52" t="inlineStr">
        <is>
          <t>부품</t>
        </is>
      </c>
      <c r="C42" s="52" t="inlineStr">
        <is>
          <t>COCOON</t>
        </is>
      </c>
      <c r="D42" s="79">
        <f>IF(INDIRECT("'"&amp;$O42&amp;"'!F"&amp;$N42)="O","원자재",IF(INDIRECT("'"&amp;$O42&amp;"'!G"&amp;$N42)="O","반제품",IF(INDIRECT("'"&amp;$O42&amp;"'!H"&amp;$N42)="O","완제품","")))</f>
        <v/>
      </c>
      <c r="E42" s="79">
        <f>IFERROR(IF(INDIRECT("'"&amp;$O42&amp;"'!I"&amp;$N42)=0,"",INDIRECT("'"&amp;$O42&amp;"'!I"&amp;$N42)),"")</f>
        <v/>
      </c>
      <c r="F42" s="52" t="inlineStr">
        <is>
          <t>DD1800 (신규 다이오드)</t>
        </is>
      </c>
      <c r="G42" s="52" t="inlineStr">
        <is>
          <t>고압 다이오드 (DD1800) [COCOON]</t>
        </is>
      </c>
      <c r="H42" s="79">
        <f>IF(AND($F42="",$G42=""),"",IF($F42="","창고전용",IF($G42&lt;&gt;"","매칭완료",IF($D42="반제품","반제품(창고없음)",IF($D42="완제품","완제품(창고없음)",IF($D42="원자재","⚠ 원자재_부서보관","미분류"))))))</f>
        <v/>
      </c>
      <c r="I42" s="79">
        <f>IFERROR(IF(INDIRECT("'"&amp;$O42&amp;"'!P"&amp;$N42)=0,"",INDIRECT("'"&amp;$O42&amp;"'!P"&amp;$N42)),"")</f>
        <v/>
      </c>
      <c r="J42" s="61" t="inlineStr">
        <is>
          <t>DD1800 (신규 다이오드)</t>
        </is>
      </c>
      <c r="K42" s="61" t="inlineStr">
        <is>
          <t>DD1800 (신규 다이오드)</t>
        </is>
      </c>
      <c r="L42" s="83">
        <f>HYPERLINK("#'"&amp;$O42&amp;"'!A"&amp;$N42,"→ 고압진공 R"&amp;$N42)</f>
        <v/>
      </c>
      <c r="M42" s="84" t="n"/>
      <c r="N42" s="80" t="n">
        <v>23</v>
      </c>
      <c r="O42" s="80" t="inlineStr">
        <is>
          <t>고압진공_재고현황</t>
        </is>
      </c>
    </row>
    <row r="43" ht="30" customHeight="1">
      <c r="A43" s="53" t="inlineStr">
        <is>
          <t>고압</t>
        </is>
      </c>
      <c r="B43" s="52" t="inlineStr">
        <is>
          <t>히터 트랜스</t>
        </is>
      </c>
      <c r="C43" s="52" t="inlineStr">
        <is>
          <t>DX3000, ADX4000W, ADX6000</t>
        </is>
      </c>
      <c r="D43" s="79">
        <f>IF(INDIRECT("'"&amp;$O43&amp;"'!F"&amp;$N43)="O","원자재",IF(INDIRECT("'"&amp;$O43&amp;"'!G"&amp;$N43)="O","반제품",IF(INDIRECT("'"&amp;$O43&amp;"'!H"&amp;$N43)="O","완제품","")))</f>
        <v/>
      </c>
      <c r="E43" s="79">
        <f>IFERROR(IF(INDIRECT("'"&amp;$O43&amp;"'!I"&amp;$N43)=0,"",INDIRECT("'"&amp;$O43&amp;"'!I"&amp;$N43)),"")</f>
        <v/>
      </c>
      <c r="F43" s="52" t="inlineStr">
        <is>
          <t>TIW (외경)0.7mm(내경)0.5 5000m(히터트랜스용 선)</t>
        </is>
      </c>
      <c r="G43" s="52" t="inlineStr">
        <is>
          <t>TIW 권선 (히터트랜스용 선) ((외경)0.7mm (내경)0.5mm, 4000m) [DX3000, ADX4000W ADX6000]</t>
        </is>
      </c>
      <c r="H43" s="79">
        <f>IF(AND($F43="",$G43=""),"",IF($F43="","창고전용",IF($G43&lt;&gt;"","매칭완료",IF($D43="반제품","반제품(창고없음)",IF($D43="완제품","완제품(창고없음)",IF($D43="원자재","⚠ 원자재_부서보관","미분류"))))))</f>
        <v/>
      </c>
      <c r="I43" s="79">
        <f>IFERROR(IF(INDIRECT("'"&amp;$O43&amp;"'!P"&amp;$N43)=0,"",INDIRECT("'"&amp;$O43&amp;"'!P"&amp;$N43)),"")</f>
        <v/>
      </c>
      <c r="J43" s="61" t="inlineStr">
        <is>
          <t>TIW (외경)0.7mm(내경)0.5 5000m(히터트랜스용 선)</t>
        </is>
      </c>
      <c r="K43" s="61" t="inlineStr">
        <is>
          <t>TIW (외경)0.7mm(내경)0.5 5000m(히터트랜스용 선)</t>
        </is>
      </c>
      <c r="L43" s="83">
        <f>HYPERLINK("#'"&amp;$O43&amp;"'!A"&amp;$N43,"→ 고압진공 R"&amp;$N43)</f>
        <v/>
      </c>
      <c r="M43" s="84" t="n"/>
      <c r="N43" s="80" t="n">
        <v>28</v>
      </c>
      <c r="O43" s="80" t="inlineStr">
        <is>
          <t>고압진공_재고현황</t>
        </is>
      </c>
    </row>
    <row r="44" ht="30" customHeight="1">
      <c r="A44" s="53" t="inlineStr">
        <is>
          <t>고압</t>
        </is>
      </c>
      <c r="B44" s="52" t="inlineStr">
        <is>
          <t>히터 트랜스</t>
        </is>
      </c>
      <c r="C44" s="52" t="inlineStr">
        <is>
          <t>DX3000, ADX4000W, ADX6000</t>
        </is>
      </c>
      <c r="D44" s="79">
        <f>IF(INDIRECT("'"&amp;$O44&amp;"'!F"&amp;$N44)="O","원자재",IF(INDIRECT("'"&amp;$O44&amp;"'!G"&amp;$N44)="O","반제품",IF(INDIRECT("'"&amp;$O44&amp;"'!H"&amp;$N44)="O","완제품","")))</f>
        <v/>
      </c>
      <c r="E44" s="79">
        <f>IFERROR(IF(INDIRECT("'"&amp;$O44&amp;"'!I"&amp;$N44)=0,"",INDIRECT("'"&amp;$O44&amp;"'!I"&amp;$N44)),"")</f>
        <v/>
      </c>
      <c r="F44" s="52" t="inlineStr">
        <is>
          <t>40KVDC 22AWG (히터트랜스용 붉은 고압선)</t>
        </is>
      </c>
      <c r="G44" s="52" t="inlineStr">
        <is>
          <t>히터트랜스용 고압선(적색) (40KVDC 22AWG) [DX3000, ADX4000W ADX6000]</t>
        </is>
      </c>
      <c r="H44" s="79">
        <f>IF(AND($F44="",$G44=""),"",IF($F44="","창고전용",IF($G44&lt;&gt;"","매칭완료",IF($D44="반제품","반제품(창고없음)",IF($D44="완제품","완제품(창고없음)",IF($D44="원자재","⚠ 원자재_부서보관","미분류"))))))</f>
        <v/>
      </c>
      <c r="I44" s="79">
        <f>IFERROR(IF(INDIRECT("'"&amp;$O44&amp;"'!P"&amp;$N44)=0,"",INDIRECT("'"&amp;$O44&amp;"'!P"&amp;$N44)),"")</f>
        <v/>
      </c>
      <c r="J44" s="61" t="inlineStr">
        <is>
          <t>40KVDC 22AWG (히터트랜스용 붉은 고압선)</t>
        </is>
      </c>
      <c r="K44" s="61" t="inlineStr">
        <is>
          <t>40KVDC 22AWG (히터트랜스용 붉은 고압선)</t>
        </is>
      </c>
      <c r="L44" s="83">
        <f>HYPERLINK("#'"&amp;$O44&amp;"'!A"&amp;$N44,"→ 고압진공 R"&amp;$N44)</f>
        <v/>
      </c>
      <c r="M44" s="84" t="n"/>
      <c r="N44" s="80" t="n">
        <v>29</v>
      </c>
      <c r="O44" s="80" t="inlineStr">
        <is>
          <t>고압진공_재고현황</t>
        </is>
      </c>
    </row>
    <row r="45" ht="30" customHeight="1">
      <c r="A45" s="53" t="inlineStr">
        <is>
          <t>고압</t>
        </is>
      </c>
      <c r="B45" s="52" t="inlineStr">
        <is>
          <t>히터 트랜스</t>
        </is>
      </c>
      <c r="C45" s="52" t="inlineStr">
        <is>
          <t>ADX6000</t>
        </is>
      </c>
      <c r="D45" s="79">
        <f>IF(INDIRECT("'"&amp;$O45&amp;"'!F"&amp;$N45)="O","원자재",IF(INDIRECT("'"&amp;$O45&amp;"'!G"&amp;$N45)="O","반제품",IF(INDIRECT("'"&amp;$O45&amp;"'!H"&amp;$N45)="O","완제품","")))</f>
        <v/>
      </c>
      <c r="E45" s="79">
        <f>IFERROR(IF(INDIRECT("'"&amp;$O45&amp;"'!I"&amp;$N45)=0,"",INDIRECT("'"&amp;$O45&amp;"'!I"&amp;$N45)),"")</f>
        <v/>
      </c>
      <c r="F45" s="52" t="inlineStr">
        <is>
          <t>센더스트 코어 CS234060</t>
        </is>
      </c>
      <c r="G45" s="52" t="inlineStr">
        <is>
          <t>센더스트 코어 (CS234060) [ADX6000]</t>
        </is>
      </c>
      <c r="H45" s="79">
        <f>IF(AND($F45="",$G45=""),"",IF($F45="","창고전용",IF($G45&lt;&gt;"","매칭완료",IF($D45="반제품","반제품(창고없음)",IF($D45="완제품","완제품(창고없음)",IF($D45="원자재","⚠ 원자재_부서보관","미분류"))))))</f>
        <v/>
      </c>
      <c r="I45" s="79">
        <f>IFERROR(IF(INDIRECT("'"&amp;$O45&amp;"'!P"&amp;$N45)=0,"",INDIRECT("'"&amp;$O45&amp;"'!P"&amp;$N45)),"")</f>
        <v/>
      </c>
      <c r="J45" s="61" t="inlineStr">
        <is>
          <t>센더스트 코어 CS234060</t>
        </is>
      </c>
      <c r="K45" s="61" t="inlineStr">
        <is>
          <t>센더스트 코어 CS234060</t>
        </is>
      </c>
      <c r="L45" s="83">
        <f>HYPERLINK("#'"&amp;$O45&amp;"'!A"&amp;$N45,"→ 고압진공 R"&amp;$N45)</f>
        <v/>
      </c>
      <c r="M45" s="84" t="n"/>
      <c r="N45" s="80" t="n">
        <v>30</v>
      </c>
      <c r="O45" s="80" t="inlineStr">
        <is>
          <t>고압진공_재고현황</t>
        </is>
      </c>
    </row>
    <row r="46" ht="30" customHeight="1">
      <c r="A46" s="53" t="inlineStr">
        <is>
          <t>고압</t>
        </is>
      </c>
      <c r="B46" s="52" t="inlineStr">
        <is>
          <t>히터 트랜스</t>
        </is>
      </c>
      <c r="C46" s="52" t="inlineStr">
        <is>
          <t>DX3000, ADX4000W</t>
        </is>
      </c>
      <c r="D46" s="79">
        <f>IF(INDIRECT("'"&amp;$O46&amp;"'!F"&amp;$N46)="O","원자재",IF(INDIRECT("'"&amp;$O46&amp;"'!G"&amp;$N46)="O","반제품",IF(INDIRECT("'"&amp;$O46&amp;"'!H"&amp;$N46)="O","완제품","")))</f>
        <v/>
      </c>
      <c r="E46" s="79">
        <f>IFERROR(IF(INDIRECT("'"&amp;$O46&amp;"'!I"&amp;$N46)=0,"",INDIRECT("'"&amp;$O46&amp;"'!I"&amp;$N46)),"")</f>
        <v/>
      </c>
      <c r="F46" s="52" t="inlineStr">
        <is>
          <t>T 코어 (히터트랜스용)</t>
        </is>
      </c>
      <c r="G46" s="52" t="inlineStr">
        <is>
          <t>T 코어 (히터트랜스용) (T31 X 8 X 19E) [DX3000, ADX4000W ADX6000]</t>
        </is>
      </c>
      <c r="H46" s="79">
        <f>IF(AND($F46="",$G46=""),"",IF($F46="","창고전용",IF($G46&lt;&gt;"","매칭완료",IF($D46="반제품","반제품(창고없음)",IF($D46="완제품","완제품(창고없음)",IF($D46="원자재","⚠ 원자재_부서보관","미분류"))))))</f>
        <v/>
      </c>
      <c r="I46" s="79">
        <f>IFERROR(IF(INDIRECT("'"&amp;$O46&amp;"'!P"&amp;$N46)=0,"",INDIRECT("'"&amp;$O46&amp;"'!P"&amp;$N46)),"")</f>
        <v/>
      </c>
      <c r="J46" s="61" t="inlineStr">
        <is>
          <t>T 코어 (히터트랜스용)</t>
        </is>
      </c>
      <c r="K46" s="65" t="inlineStr">
        <is>
          <t>T 코어 (히터트랜스용) [DX3000, ADX4000W]</t>
        </is>
      </c>
      <c r="L46" s="83">
        <f>HYPERLINK("#'"&amp;$O46&amp;"'!A"&amp;$N46,"→ 고압진공 R"&amp;$N46)</f>
        <v/>
      </c>
      <c r="M46" s="84" t="n"/>
      <c r="N46" s="80" t="n">
        <v>31</v>
      </c>
      <c r="O46" s="80" t="inlineStr">
        <is>
          <t>고압진공_재고현황</t>
        </is>
      </c>
    </row>
    <row r="47" ht="30" customHeight="1">
      <c r="A47" s="53" t="inlineStr">
        <is>
          <t>고압</t>
        </is>
      </c>
      <c r="B47" s="52" t="inlineStr">
        <is>
          <t>히터 트랜스</t>
        </is>
      </c>
      <c r="C47" s="52" t="inlineStr">
        <is>
          <t>SOLO</t>
        </is>
      </c>
      <c r="D47" s="79">
        <f>IF(INDIRECT("'"&amp;$O47&amp;"'!F"&amp;$N47)="O","원자재",IF(INDIRECT("'"&amp;$O47&amp;"'!G"&amp;$N47)="O","반제품",IF(INDIRECT("'"&amp;$O47&amp;"'!H"&amp;$N47)="O","완제품","")))</f>
        <v/>
      </c>
      <c r="E47" s="79">
        <f>IFERROR(IF(INDIRECT("'"&amp;$O47&amp;"'!I"&amp;$N47)=0,"",INDIRECT("'"&amp;$O47&amp;"'!I"&amp;$N47)),"")</f>
        <v/>
      </c>
      <c r="F47" s="52" t="inlineStr">
        <is>
          <t>T 코어 (히터트랜스용)</t>
        </is>
      </c>
      <c r="G47" s="52" t="inlineStr">
        <is>
          <t>T 코어 (히터트랜스용) (TR22-14-6.5) [SOLO]</t>
        </is>
      </c>
      <c r="H47" s="79">
        <f>IF(AND($F47="",$G47=""),"",IF($F47="","창고전용",IF($G47&lt;&gt;"","매칭완료",IF($D47="반제품","반제품(창고없음)",IF($D47="완제품","완제품(창고없음)",IF($D47="원자재","⚠ 원자재_부서보관","미분류"))))))</f>
        <v/>
      </c>
      <c r="I47" s="79">
        <f>IFERROR(IF(INDIRECT("'"&amp;$O47&amp;"'!P"&amp;$N47)=0,"",INDIRECT("'"&amp;$O47&amp;"'!P"&amp;$N47)),"")</f>
        <v/>
      </c>
      <c r="J47" s="61" t="inlineStr">
        <is>
          <t>T 코어 (히터트랜스용)</t>
        </is>
      </c>
      <c r="K47" s="65" t="inlineStr">
        <is>
          <t>T 코어 (히터트랜스용) [SOLO]</t>
        </is>
      </c>
      <c r="L47" s="83">
        <f>HYPERLINK("#'"&amp;$O47&amp;"'!A"&amp;$N47,"→ 고압진공 R"&amp;$N47)</f>
        <v/>
      </c>
      <c r="M47" s="84" t="n"/>
      <c r="N47" s="80" t="n">
        <v>32</v>
      </c>
      <c r="O47" s="80" t="inlineStr">
        <is>
          <t>고압진공_재고현황</t>
        </is>
      </c>
    </row>
    <row r="48" ht="30" customHeight="1">
      <c r="A48" s="53" t="inlineStr">
        <is>
          <t>고압</t>
        </is>
      </c>
      <c r="B48" s="52" t="inlineStr">
        <is>
          <t>히터 트랜스</t>
        </is>
      </c>
      <c r="C48" s="52" t="inlineStr">
        <is>
          <t>DX3000, ADX4000W</t>
        </is>
      </c>
      <c r="D48" s="79">
        <f>IF(INDIRECT("'"&amp;$O48&amp;"'!F"&amp;$N48)="O","원자재",IF(INDIRECT("'"&amp;$O48&amp;"'!G"&amp;$N48)="O","반제품",IF(INDIRECT("'"&amp;$O48&amp;"'!H"&amp;$N48)="O","완제품","")))</f>
        <v/>
      </c>
      <c r="E48" s="79">
        <f>IFERROR(IF(INDIRECT("'"&amp;$O48&amp;"'!I"&amp;$N48)=0,"",INDIRECT("'"&amp;$O48&amp;"'!I"&amp;$N48)),"")</f>
        <v/>
      </c>
      <c r="F48" s="52" t="inlineStr">
        <is>
          <t>히터트랜스포머 24턴</t>
        </is>
      </c>
      <c r="G48" s="52" t="n"/>
      <c r="H48" s="79">
        <f>IF(AND($F48="",$G48=""),"",IF($F48="","창고전용",IF($G48&lt;&gt;"","매칭완료",IF($D48="반제품","반제품(창고없음)",IF($D48="완제품","완제품(창고없음)",IF($D48="원자재","⚠ 원자재_부서보관","미분류"))))))</f>
        <v/>
      </c>
      <c r="I48" s="79">
        <f>IFERROR(IF(INDIRECT("'"&amp;$O48&amp;"'!P"&amp;$N48)=0,"",INDIRECT("'"&amp;$O48&amp;"'!P"&amp;$N48)),"")</f>
        <v/>
      </c>
      <c r="J48" s="61" t="inlineStr">
        <is>
          <t>히터트랜스포머 24턴</t>
        </is>
      </c>
      <c r="K48" s="65" t="inlineStr">
        <is>
          <t>히터트랜스포머 24턴 [DX3000, ADX4000W]</t>
        </is>
      </c>
      <c r="L48" s="83">
        <f>HYPERLINK("#'"&amp;$O48&amp;"'!A"&amp;$N48,"→ 고압진공 R"&amp;$N48)</f>
        <v/>
      </c>
      <c r="M48" s="84" t="n"/>
      <c r="N48" s="80" t="n">
        <v>33</v>
      </c>
      <c r="O48" s="80" t="inlineStr">
        <is>
          <t>고압진공_재고현황</t>
        </is>
      </c>
    </row>
    <row r="49" ht="30" customHeight="1">
      <c r="A49" s="53" t="inlineStr">
        <is>
          <t>고압</t>
        </is>
      </c>
      <c r="B49" s="52" t="inlineStr">
        <is>
          <t>히터 트랜스</t>
        </is>
      </c>
      <c r="C49" s="52" t="inlineStr">
        <is>
          <t>ADX6000</t>
        </is>
      </c>
      <c r="D49" s="79">
        <f>IF(INDIRECT("'"&amp;$O49&amp;"'!F"&amp;$N49)="O","원자재",IF(INDIRECT("'"&amp;$O49&amp;"'!G"&amp;$N49)="O","반제품",IF(INDIRECT("'"&amp;$O49&amp;"'!H"&amp;$N49)="O","완제품","")))</f>
        <v/>
      </c>
      <c r="E49" s="79">
        <f>IFERROR(IF(INDIRECT("'"&amp;$O49&amp;"'!I"&amp;$N49)=0,"",INDIRECT("'"&amp;$O49&amp;"'!I"&amp;$N49)),"")</f>
        <v/>
      </c>
      <c r="F49" s="52" t="inlineStr">
        <is>
          <t>히터트랜스포머 20턴 작업完</t>
        </is>
      </c>
      <c r="G49" s="52" t="n"/>
      <c r="H49" s="79">
        <f>IF(AND($F49="",$G49=""),"",IF($F49="","창고전용",IF($G49&lt;&gt;"","매칭완료",IF($D49="반제품","반제품(창고없음)",IF($D49="완제품","완제품(창고없음)",IF($D49="원자재","⚠ 원자재_부서보관","미분류"))))))</f>
        <v/>
      </c>
      <c r="I49" s="79">
        <f>IFERROR(IF(INDIRECT("'"&amp;$O49&amp;"'!P"&amp;$N49)=0,"",INDIRECT("'"&amp;$O49&amp;"'!P"&amp;$N49)),"")</f>
        <v/>
      </c>
      <c r="J49" s="61" t="inlineStr">
        <is>
          <t>히터트랜스포머 20턴 작업完</t>
        </is>
      </c>
      <c r="K49" s="65" t="inlineStr">
        <is>
          <t>히터트랜스포머 20턴 작업完 [ADX6000]</t>
        </is>
      </c>
      <c r="L49" s="83">
        <f>HYPERLINK("#'"&amp;$O49&amp;"'!A"&amp;$N49,"→ 고압진공 R"&amp;$N49)</f>
        <v/>
      </c>
      <c r="M49" s="84" t="n"/>
      <c r="N49" s="80" t="n">
        <v>34</v>
      </c>
      <c r="O49" s="80" t="inlineStr">
        <is>
          <t>고압진공_재고현황</t>
        </is>
      </c>
    </row>
    <row r="50" ht="30" customHeight="1">
      <c r="A50" s="53" t="inlineStr">
        <is>
          <t>고압</t>
        </is>
      </c>
      <c r="B50" s="52" t="inlineStr">
        <is>
          <t>히터 트랜스</t>
        </is>
      </c>
      <c r="C50" s="52" t="inlineStr">
        <is>
          <t>SOLO</t>
        </is>
      </c>
      <c r="D50" s="79">
        <f>IF(INDIRECT("'"&amp;$O50&amp;"'!F"&amp;$N50)="O","원자재",IF(INDIRECT("'"&amp;$O50&amp;"'!G"&amp;$N50)="O","반제품",IF(INDIRECT("'"&amp;$O50&amp;"'!H"&amp;$N50)="O","완제품","")))</f>
        <v/>
      </c>
      <c r="E50" s="79">
        <f>IFERROR(IF(INDIRECT("'"&amp;$O50&amp;"'!I"&amp;$N50)=0,"",INDIRECT("'"&amp;$O50&amp;"'!I"&amp;$N50)),"")</f>
        <v/>
      </c>
      <c r="F50" s="52" t="inlineStr">
        <is>
          <t>히터트랜스포머 20턴</t>
        </is>
      </c>
      <c r="G50" s="52" t="n"/>
      <c r="H50" s="79">
        <f>IF(AND($F50="",$G50=""),"",IF($F50="","창고전용",IF($G50&lt;&gt;"","매칭완료",IF($D50="반제품","반제품(창고없음)",IF($D50="완제품","완제품(창고없음)",IF($D50="원자재","⚠ 원자재_부서보관","미분류"))))))</f>
        <v/>
      </c>
      <c r="I50" s="79">
        <f>IFERROR(IF(INDIRECT("'"&amp;$O50&amp;"'!P"&amp;$N50)=0,"",INDIRECT("'"&amp;$O50&amp;"'!P"&amp;$N50)),"")</f>
        <v/>
      </c>
      <c r="J50" s="61" t="inlineStr">
        <is>
          <t>히터트랜스포머 20턴</t>
        </is>
      </c>
      <c r="K50" s="65" t="inlineStr">
        <is>
          <t>히터트랜스포머 20턴 [SOLO]</t>
        </is>
      </c>
      <c r="L50" s="83">
        <f>HYPERLINK("#'"&amp;$O50&amp;"'!A"&amp;$N50,"→ 고압진공 R"&amp;$N50)</f>
        <v/>
      </c>
      <c r="M50" s="84" t="n"/>
      <c r="N50" s="80" t="n">
        <v>35</v>
      </c>
      <c r="O50" s="80" t="inlineStr">
        <is>
          <t>고압진공_재고현황</t>
        </is>
      </c>
    </row>
    <row r="51" ht="30" customHeight="1">
      <c r="A51" s="53" t="inlineStr">
        <is>
          <t>고압</t>
        </is>
      </c>
      <c r="B51" s="52" t="inlineStr">
        <is>
          <t>히터 트랜스</t>
        </is>
      </c>
      <c r="C51" s="52" t="inlineStr">
        <is>
          <t>ADX6000</t>
        </is>
      </c>
      <c r="D51" s="79">
        <f>IF(INDIRECT("'"&amp;$O51&amp;"'!F"&amp;$N51)="O","원자재",IF(INDIRECT("'"&amp;$O51&amp;"'!G"&amp;$N51)="O","반제품",IF(INDIRECT("'"&amp;$O51&amp;"'!H"&amp;$N51)="O","완제품","")))</f>
        <v/>
      </c>
      <c r="E51" s="79">
        <f>IFERROR(IF(INDIRECT("'"&amp;$O51&amp;"'!I"&amp;$N51)=0,"",INDIRECT("'"&amp;$O51&amp;"'!I"&amp;$N51)),"")</f>
        <v/>
      </c>
      <c r="F51" s="52" t="inlineStr">
        <is>
          <t>센더스트 코어 작업完</t>
        </is>
      </c>
      <c r="G51" s="52" t="n"/>
      <c r="H51" s="79">
        <f>IF(AND($F51="",$G51=""),"",IF($F51="","창고전용",IF($G51&lt;&gt;"","매칭완료",IF($D51="반제품","반제품(창고없음)",IF($D51="완제품","완제품(창고없음)",IF($D51="원자재","⚠ 원자재_부서보관","미분류"))))))</f>
        <v/>
      </c>
      <c r="I51" s="79">
        <f>IFERROR(IF(INDIRECT("'"&amp;$O51&amp;"'!P"&amp;$N51)=0,"",INDIRECT("'"&amp;$O51&amp;"'!P"&amp;$N51)),"")</f>
        <v/>
      </c>
      <c r="J51" s="61" t="inlineStr">
        <is>
          <t>센더스트 코어 작업完</t>
        </is>
      </c>
      <c r="K51" s="65" t="inlineStr">
        <is>
          <t>센더스트 코어 작업完 [ADX6000]</t>
        </is>
      </c>
      <c r="L51" s="83">
        <f>HYPERLINK("#'"&amp;$O51&amp;"'!A"&amp;$N51,"→ 고압진공 R"&amp;$N51)</f>
        <v/>
      </c>
      <c r="M51" s="84" t="n"/>
      <c r="N51" s="80" t="n">
        <v>36</v>
      </c>
      <c r="O51" s="80" t="inlineStr">
        <is>
          <t>고압진공_재고현황</t>
        </is>
      </c>
    </row>
    <row r="52" ht="30" customHeight="1">
      <c r="A52" s="53" t="inlineStr">
        <is>
          <t>고압</t>
        </is>
      </c>
      <c r="B52" s="52" t="inlineStr">
        <is>
          <t>트랜스포머</t>
        </is>
      </c>
      <c r="C52" s="52" t="inlineStr">
        <is>
          <t>DX3000, ADX4000W</t>
        </is>
      </c>
      <c r="D52" s="79">
        <f>IF(INDIRECT("'"&amp;$O52&amp;"'!F"&amp;$N52)="O","원자재",IF(INDIRECT("'"&amp;$O52&amp;"'!G"&amp;$N52)="O","반제품",IF(INDIRECT("'"&amp;$O52&amp;"'!H"&amp;$N52)="O","완제품","")))</f>
        <v/>
      </c>
      <c r="E52" s="79">
        <f>IFERROR(IF(INDIRECT("'"&amp;$O52&amp;"'!I"&amp;$N52)=0,"",INDIRECT("'"&amp;$O52&amp;"'!I"&amp;$N52)),"")</f>
        <v/>
      </c>
      <c r="F52" s="52" t="inlineStr">
        <is>
          <t>트랜스포머</t>
        </is>
      </c>
      <c r="G52" s="52" t="inlineStr">
        <is>
          <t>트랜스포머 (60kV) [DX3000, ADX4000W]</t>
        </is>
      </c>
      <c r="H52" s="79">
        <f>IF(AND($F52="",$G52=""),"",IF($F52="","창고전용",IF($G52&lt;&gt;"","매칭완료",IF($D52="반제품","반제품(창고없음)",IF($D52="완제품","완제품(창고없음)",IF($D52="원자재","⚠ 원자재_부서보관","미분류"))))))</f>
        <v/>
      </c>
      <c r="I52" s="79">
        <f>IFERROR(IF(INDIRECT("'"&amp;$O52&amp;"'!P"&amp;$N52)=0,"",INDIRECT("'"&amp;$O52&amp;"'!P"&amp;$N52)),"")</f>
        <v/>
      </c>
      <c r="J52" s="61" t="inlineStr">
        <is>
          <t>트랜스포머</t>
        </is>
      </c>
      <c r="K52" s="65" t="inlineStr">
        <is>
          <t>트랜스포머 [DX3000, ADX4000W]</t>
        </is>
      </c>
      <c r="L52" s="83">
        <f>HYPERLINK("#'"&amp;$O52&amp;"'!A"&amp;$N52,"→ 고압진공 R"&amp;$N52)</f>
        <v/>
      </c>
      <c r="M52" s="84" t="n"/>
      <c r="N52" s="80" t="n">
        <v>37</v>
      </c>
      <c r="O52" s="80" t="inlineStr">
        <is>
          <t>고압진공_재고현황</t>
        </is>
      </c>
    </row>
    <row r="53" ht="30" customHeight="1">
      <c r="A53" s="53" t="inlineStr">
        <is>
          <t>고압</t>
        </is>
      </c>
      <c r="B53" s="52" t="inlineStr">
        <is>
          <t>트랜스포머</t>
        </is>
      </c>
      <c r="C53" s="52" t="inlineStr">
        <is>
          <t>COCOON</t>
        </is>
      </c>
      <c r="D53" s="79">
        <f>IF(INDIRECT("'"&amp;$O53&amp;"'!F"&amp;$N53)="O","원자재",IF(INDIRECT("'"&amp;$O53&amp;"'!G"&amp;$N53)="O","반제품",IF(INDIRECT("'"&amp;$O53&amp;"'!H"&amp;$N53)="O","완제품","")))</f>
        <v/>
      </c>
      <c r="E53" s="79">
        <f>IFERROR(IF(INDIRECT("'"&amp;$O53&amp;"'!I"&amp;$N53)=0,"",INDIRECT("'"&amp;$O53&amp;"'!I"&amp;$N53)),"")</f>
        <v/>
      </c>
      <c r="F53" s="52" t="inlineStr">
        <is>
          <t>트랜스포머</t>
        </is>
      </c>
      <c r="G53" s="52" t="inlineStr">
        <is>
          <t>트랜스포머 (70kV) [COCOON]</t>
        </is>
      </c>
      <c r="H53" s="79">
        <f>IF(AND($F53="",$G53=""),"",IF($F53="","창고전용",IF($G53&lt;&gt;"","매칭완료",IF($D53="반제품","반제품(창고없음)",IF($D53="완제품","완제품(창고없음)",IF($D53="원자재","⚠ 원자재_부서보관","미분류"))))))</f>
        <v/>
      </c>
      <c r="I53" s="79">
        <f>IFERROR(IF(INDIRECT("'"&amp;$O53&amp;"'!P"&amp;$N53)=0,"",INDIRECT("'"&amp;$O53&amp;"'!P"&amp;$N53)),"")</f>
        <v/>
      </c>
      <c r="J53" s="61" t="inlineStr">
        <is>
          <t>트랜스포머</t>
        </is>
      </c>
      <c r="K53" s="65" t="inlineStr">
        <is>
          <t>트랜스포머 [COCOON]</t>
        </is>
      </c>
      <c r="L53" s="83">
        <f>HYPERLINK("#'"&amp;$O53&amp;"'!A"&amp;$N53,"→ 고압진공 R"&amp;$N53)</f>
        <v/>
      </c>
      <c r="M53" s="84" t="n"/>
      <c r="N53" s="80" t="n">
        <v>38</v>
      </c>
      <c r="O53" s="80" t="inlineStr">
        <is>
          <t>고압진공_재고현황</t>
        </is>
      </c>
    </row>
    <row r="54" ht="30" customHeight="1">
      <c r="A54" s="53" t="inlineStr">
        <is>
          <t>고압</t>
        </is>
      </c>
      <c r="B54" s="52" t="inlineStr">
        <is>
          <t>트랜스포머</t>
        </is>
      </c>
      <c r="C54" s="52" t="inlineStr">
        <is>
          <t>SOLO</t>
        </is>
      </c>
      <c r="D54" s="79">
        <f>IF(INDIRECT("'"&amp;$O54&amp;"'!F"&amp;$N54)="O","원자재",IF(INDIRECT("'"&amp;$O54&amp;"'!G"&amp;$N54)="O","반제품",IF(INDIRECT("'"&amp;$O54&amp;"'!H"&amp;$N54)="O","완제품","")))</f>
        <v/>
      </c>
      <c r="E54" s="79">
        <f>IFERROR(IF(INDIRECT("'"&amp;$O54&amp;"'!I"&amp;$N54)=0,"",INDIRECT("'"&amp;$O54&amp;"'!I"&amp;$N54)),"")</f>
        <v/>
      </c>
      <c r="F54" s="52" t="inlineStr">
        <is>
          <t>트랜스포머</t>
        </is>
      </c>
      <c r="G54" s="52" t="n"/>
      <c r="H54" s="79">
        <f>IF(AND($F54="",$G54=""),"",IF($F54="","창고전용",IF($G54&lt;&gt;"","매칭완료",IF($D54="반제품","반제품(창고없음)",IF($D54="완제품","완제품(창고없음)",IF($D54="원자재","⚠ 원자재_부서보관","미분류"))))))</f>
        <v/>
      </c>
      <c r="I54" s="79">
        <f>IFERROR(IF(INDIRECT("'"&amp;$O54&amp;"'!P"&amp;$N54)=0,"",INDIRECT("'"&amp;$O54&amp;"'!P"&amp;$N54)),"")</f>
        <v/>
      </c>
      <c r="J54" s="61" t="inlineStr">
        <is>
          <t>트랜스포머</t>
        </is>
      </c>
      <c r="K54" s="65" t="inlineStr">
        <is>
          <t>트랜스포머 [SOLO]</t>
        </is>
      </c>
      <c r="L54" s="83">
        <f>HYPERLINK("#'"&amp;$O54&amp;"'!A"&amp;$N54,"→ 고압진공 R"&amp;$N54)</f>
        <v/>
      </c>
      <c r="M54" s="84" t="n"/>
      <c r="N54" s="80" t="n">
        <v>39</v>
      </c>
      <c r="O54" s="80" t="inlineStr">
        <is>
          <t>고압진공_재고현황</t>
        </is>
      </c>
    </row>
    <row r="55" ht="30" customHeight="1">
      <c r="A55" s="53" t="inlineStr">
        <is>
          <t>고압</t>
        </is>
      </c>
      <c r="B55" s="52" t="inlineStr">
        <is>
          <t>트랜스포머</t>
        </is>
      </c>
      <c r="C55" s="52" t="inlineStr">
        <is>
          <t>ADX6000</t>
        </is>
      </c>
      <c r="D55" s="79">
        <f>IF(INDIRECT("'"&amp;$O55&amp;"'!F"&amp;$N55)="O","원자재",IF(INDIRECT("'"&amp;$O55&amp;"'!G"&amp;$N55)="O","반제품",IF(INDIRECT("'"&amp;$O55&amp;"'!H"&amp;$N55)="O","완제품","")))</f>
        <v/>
      </c>
      <c r="E55" s="79">
        <f>IFERROR(IF(INDIRECT("'"&amp;$O55&amp;"'!I"&amp;$N55)=0,"",INDIRECT("'"&amp;$O55&amp;"'!I"&amp;$N55)),"")</f>
        <v/>
      </c>
      <c r="F55" s="52" t="inlineStr">
        <is>
          <t>트랜스포머</t>
        </is>
      </c>
      <c r="G55" s="52" t="inlineStr">
        <is>
          <t>트랜스포머 (800턴) (80kV) [ADX6000]</t>
        </is>
      </c>
      <c r="H55" s="79">
        <f>IF(AND($F55="",$G55=""),"",IF($F55="","창고전용",IF($G55&lt;&gt;"","매칭완료",IF($D55="반제품","반제품(창고없음)",IF($D55="완제품","완제품(창고없음)",IF($D55="원자재","⚠ 원자재_부서보관","미분류"))))))</f>
        <v/>
      </c>
      <c r="I55" s="79">
        <f>IFERROR(IF(INDIRECT("'"&amp;$O55&amp;"'!P"&amp;$N55)=0,"",INDIRECT("'"&amp;$O55&amp;"'!P"&amp;$N55)),"")</f>
        <v/>
      </c>
      <c r="J55" s="61" t="inlineStr">
        <is>
          <t>트랜스포머</t>
        </is>
      </c>
      <c r="K55" s="65" t="inlineStr">
        <is>
          <t>트랜스포머 [ADX6000]</t>
        </is>
      </c>
      <c r="L55" s="83">
        <f>HYPERLINK("#'"&amp;$O55&amp;"'!A"&amp;$N55,"→ 고압진공 R"&amp;$N55)</f>
        <v/>
      </c>
      <c r="M55" s="84" t="n"/>
      <c r="N55" s="80" t="n">
        <v>40</v>
      </c>
      <c r="O55" s="80" t="inlineStr">
        <is>
          <t>고압진공_재고현황</t>
        </is>
      </c>
    </row>
    <row r="56" ht="30" customHeight="1">
      <c r="A56" s="53" t="inlineStr">
        <is>
          <t>고압</t>
        </is>
      </c>
      <c r="B56" s="52" t="inlineStr">
        <is>
          <t>BD</t>
        </is>
      </c>
      <c r="C56" s="52" t="inlineStr">
        <is>
          <t>DX3000, ADX4000W</t>
        </is>
      </c>
      <c r="D56" s="79">
        <f>IF(INDIRECT("'"&amp;$O56&amp;"'!F"&amp;$N56)="O","원자재",IF(INDIRECT("'"&amp;$O56&amp;"'!G"&amp;$N56)="O","반제품",IF(INDIRECT("'"&amp;$O56&amp;"'!H"&amp;$N56)="O","완제품","")))</f>
        <v/>
      </c>
      <c r="E56" s="79">
        <f>IFERROR(IF(INDIRECT("'"&amp;$O56&amp;"'!I"&amp;$N56)=0,"",INDIRECT("'"&amp;$O56&amp;"'!I"&amp;$N56)),"")</f>
        <v/>
      </c>
      <c r="F56" s="52" t="inlineStr">
        <is>
          <t>튜브 고정 보드 에노드 (나사)</t>
        </is>
      </c>
      <c r="G56" s="52" t="inlineStr">
        <is>
          <t>튜브 고정 보드 에노드 (나사) [DX3000, ADX4000W]</t>
        </is>
      </c>
      <c r="H56" s="79">
        <f>IF(AND($F56="",$G56=""),"",IF($F56="","창고전용",IF($G56&lt;&gt;"","매칭완료",IF($D56="반제품","반제품(창고없음)",IF($D56="완제품","완제품(창고없음)",IF($D56="원자재","⚠ 원자재_부서보관","미분류"))))))</f>
        <v/>
      </c>
      <c r="I56" s="79">
        <f>IFERROR(IF(INDIRECT("'"&amp;$O56&amp;"'!P"&amp;$N56)=0,"",INDIRECT("'"&amp;$O56&amp;"'!P"&amp;$N56)),"")</f>
        <v/>
      </c>
      <c r="J56" s="61" t="inlineStr">
        <is>
          <t>튜브 고정 보드 에노드 (나사)</t>
        </is>
      </c>
      <c r="K56" s="61" t="inlineStr">
        <is>
          <t>튜브 고정 보드 에노드 (나사) [DX3000, ADX4000W]</t>
        </is>
      </c>
      <c r="L56" s="83">
        <f>HYPERLINK("#'"&amp;$O56&amp;"'!A"&amp;$N56,"→ 고압진공 R"&amp;$N56)</f>
        <v/>
      </c>
      <c r="M56" s="84" t="n"/>
      <c r="N56" s="80" t="n">
        <v>41</v>
      </c>
      <c r="O56" s="80" t="inlineStr">
        <is>
          <t>고압진공_재고현황</t>
        </is>
      </c>
    </row>
    <row r="57" ht="30" customHeight="1">
      <c r="A57" s="53" t="inlineStr">
        <is>
          <t>고압</t>
        </is>
      </c>
      <c r="B57" s="52" t="inlineStr">
        <is>
          <t>BD</t>
        </is>
      </c>
      <c r="C57" s="52" t="inlineStr">
        <is>
          <t>DX3000</t>
        </is>
      </c>
      <c r="D57" s="79">
        <f>IF(INDIRECT("'"&amp;$O57&amp;"'!F"&amp;$N57)="O","원자재",IF(INDIRECT("'"&amp;$O57&amp;"'!G"&amp;$N57)="O","반제품",IF(INDIRECT("'"&amp;$O57&amp;"'!H"&amp;$N57)="O","완제품","")))</f>
        <v/>
      </c>
      <c r="E57" s="79">
        <f>IFERROR(IF(INDIRECT("'"&amp;$O57&amp;"'!I"&amp;$N57)=0,"",INDIRECT("'"&amp;$O57&amp;"'!I"&amp;$N57)),"")</f>
        <v/>
      </c>
      <c r="F57" s="52" t="inlineStr">
        <is>
          <t>튜브 고정 보드 케소드 (필라멘트)</t>
        </is>
      </c>
      <c r="G57" s="52" t="inlineStr">
        <is>
          <t>튜브 고정 보드 케소드 (필라멘트) [DX3000]</t>
        </is>
      </c>
      <c r="H57" s="79">
        <f>IF(AND($F57="",$G57=""),"",IF($F57="","창고전용",IF($G57&lt;&gt;"","매칭완료",IF($D57="반제품","반제품(창고없음)",IF($D57="완제품","완제품(창고없음)",IF($D57="원자재","⚠ 원자재_부서보관","미분류"))))))</f>
        <v/>
      </c>
      <c r="I57" s="79">
        <f>IFERROR(IF(INDIRECT("'"&amp;$O57&amp;"'!P"&amp;$N57)=0,"",INDIRECT("'"&amp;$O57&amp;"'!P"&amp;$N57)),"")</f>
        <v/>
      </c>
      <c r="J57" s="61" t="inlineStr">
        <is>
          <t>튜브 고정 보드 케소드 (필라멘트)</t>
        </is>
      </c>
      <c r="K57" s="65" t="inlineStr">
        <is>
          <t>튜브 고정 보드 케소드 (필라멘트) [DX3000]</t>
        </is>
      </c>
      <c r="L57" s="83">
        <f>HYPERLINK("#'"&amp;$O57&amp;"'!A"&amp;$N57,"→ 고압진공 R"&amp;$N57)</f>
        <v/>
      </c>
      <c r="M57" s="84" t="n"/>
      <c r="N57" s="80" t="n">
        <v>42</v>
      </c>
      <c r="O57" s="80" t="inlineStr">
        <is>
          <t>고압진공_재고현황</t>
        </is>
      </c>
    </row>
    <row r="58" ht="30" customHeight="1">
      <c r="A58" s="53" t="inlineStr">
        <is>
          <t>고압</t>
        </is>
      </c>
      <c r="B58" s="52" t="inlineStr">
        <is>
          <t>BD</t>
        </is>
      </c>
      <c r="C58" s="52" t="inlineStr">
        <is>
          <t>ADX4000W</t>
        </is>
      </c>
      <c r="D58" s="79">
        <f>IF(INDIRECT("'"&amp;$O58&amp;"'!F"&amp;$N58)="O","원자재",IF(INDIRECT("'"&amp;$O58&amp;"'!G"&amp;$N58)="O","반제품",IF(INDIRECT("'"&amp;$O58&amp;"'!H"&amp;$N58)="O","완제품","")))</f>
        <v/>
      </c>
      <c r="E58" s="79">
        <f>IFERROR(IF(INDIRECT("'"&amp;$O58&amp;"'!I"&amp;$N58)=0,"",INDIRECT("'"&amp;$O58&amp;"'!I"&amp;$N58)),"")</f>
        <v/>
      </c>
      <c r="F58" s="52" t="inlineStr">
        <is>
          <t>튜브 고정 보드 케소드 (필라멘트)</t>
        </is>
      </c>
      <c r="G58" s="52" t="inlineStr">
        <is>
          <t>튜브 고정 보드 케소드 (필라멘트) [ADX4000W]</t>
        </is>
      </c>
      <c r="H58" s="79">
        <f>IF(AND($F58="",$G58=""),"",IF($F58="","창고전용",IF($G58&lt;&gt;"","매칭완료",IF($D58="반제품","반제품(창고없음)",IF($D58="완제품","완제품(창고없음)",IF($D58="원자재","⚠ 원자재_부서보관","미분류"))))))</f>
        <v/>
      </c>
      <c r="I58" s="79">
        <f>IFERROR(IF(INDIRECT("'"&amp;$O58&amp;"'!P"&amp;$N58)=0,"",INDIRECT("'"&amp;$O58&amp;"'!P"&amp;$N58)),"")</f>
        <v/>
      </c>
      <c r="J58" s="61" t="inlineStr">
        <is>
          <t>튜브 고정 보드 케소드 (필라멘트)</t>
        </is>
      </c>
      <c r="K58" s="61" t="inlineStr">
        <is>
          <t>튜브 고정 보드 케소드 (필라멘트) [ADX4000W]</t>
        </is>
      </c>
      <c r="L58" s="83">
        <f>HYPERLINK("#'"&amp;$O58&amp;"'!A"&amp;$N58,"→ 고압진공 R"&amp;$N58)</f>
        <v/>
      </c>
      <c r="M58" s="84" t="n"/>
      <c r="N58" s="80" t="n">
        <v>43</v>
      </c>
      <c r="O58" s="80" t="inlineStr">
        <is>
          <t>고압진공_재고현황</t>
        </is>
      </c>
    </row>
    <row r="59" ht="30" customHeight="1">
      <c r="A59" s="53" t="inlineStr">
        <is>
          <t>고압</t>
        </is>
      </c>
      <c r="B59" s="52" t="inlineStr">
        <is>
          <t>BD</t>
        </is>
      </c>
      <c r="C59" s="52" t="inlineStr">
        <is>
          <t>COCOON</t>
        </is>
      </c>
      <c r="D59" s="79">
        <f>IF(INDIRECT("'"&amp;$O59&amp;"'!F"&amp;$N59)="O","원자재",IF(INDIRECT("'"&amp;$O59&amp;"'!G"&amp;$N59)="O","반제품",IF(INDIRECT("'"&amp;$O59&amp;"'!H"&amp;$N59)="O","완제품","")))</f>
        <v/>
      </c>
      <c r="E59" s="79">
        <f>IFERROR(IF(INDIRECT("'"&amp;$O59&amp;"'!I"&amp;$N59)=0,"",INDIRECT("'"&amp;$O59&amp;"'!I"&amp;$N59)),"")</f>
        <v/>
      </c>
      <c r="F59" s="52" t="inlineStr">
        <is>
          <t>에노드 튜브 고정 보드(나사)</t>
        </is>
      </c>
      <c r="G59" s="52" t="inlineStr">
        <is>
          <t>튜브 고정 보드 에노드 (나사) [COCOON]</t>
        </is>
      </c>
      <c r="H59" s="79">
        <f>IF(AND($F59="",$G59=""),"",IF($F59="","창고전용",IF($G59&lt;&gt;"","매칭완료",IF($D59="반제품","반제품(창고없음)",IF($D59="완제품","완제품(창고없음)",IF($D59="원자재","⚠ 원자재_부서보관","미분류"))))))</f>
        <v/>
      </c>
      <c r="I59" s="79">
        <f>IFERROR(IF(INDIRECT("'"&amp;$O59&amp;"'!P"&amp;$N59)=0,"",INDIRECT("'"&amp;$O59&amp;"'!P"&amp;$N59)),"")</f>
        <v/>
      </c>
      <c r="J59" s="61" t="inlineStr">
        <is>
          <t>에노드 튜브 고정 보드(나사)</t>
        </is>
      </c>
      <c r="K59" s="65" t="inlineStr">
        <is>
          <t>에노드 튜브 고정 보드(나사) [COCOON]</t>
        </is>
      </c>
      <c r="L59" s="83">
        <f>HYPERLINK("#'"&amp;$O59&amp;"'!A"&amp;$N59,"→ 고압진공 R"&amp;$N59)</f>
        <v/>
      </c>
      <c r="M59" s="84" t="n"/>
      <c r="N59" s="80" t="n">
        <v>44</v>
      </c>
      <c r="O59" s="80" t="inlineStr">
        <is>
          <t>고압진공_재고현황</t>
        </is>
      </c>
    </row>
    <row r="60" ht="30" customHeight="1">
      <c r="A60" s="53" t="inlineStr">
        <is>
          <t>고압</t>
        </is>
      </c>
      <c r="B60" s="52" t="inlineStr">
        <is>
          <t>BD</t>
        </is>
      </c>
      <c r="C60" s="52" t="inlineStr">
        <is>
          <t>ADX6000</t>
        </is>
      </c>
      <c r="D60" s="79">
        <f>IF(INDIRECT("'"&amp;$O60&amp;"'!F"&amp;$N60)="O","원자재",IF(INDIRECT("'"&amp;$O60&amp;"'!G"&amp;$N60)="O","반제품",IF(INDIRECT("'"&amp;$O60&amp;"'!H"&amp;$N60)="O","완제품","")))</f>
        <v/>
      </c>
      <c r="E60" s="79">
        <f>IFERROR(IF(INDIRECT("'"&amp;$O60&amp;"'!I"&amp;$N60)=0,"",INDIRECT("'"&amp;$O60&amp;"'!I"&amp;$N60)),"")</f>
        <v/>
      </c>
      <c r="F60" s="52" t="inlineStr">
        <is>
          <t>ADX6000 고압 베어보드</t>
        </is>
      </c>
      <c r="G60" s="52" t="inlineStr">
        <is>
          <t>고압베어 B/D (구형) [ADX6000]</t>
        </is>
      </c>
      <c r="H60" s="79">
        <f>IF(AND($F60="",$G60=""),"",IF($F60="","창고전용",IF($G60&lt;&gt;"","매칭완료",IF($D60="반제품","반제품(창고없음)",IF($D60="완제품","완제품(창고없음)",IF($D60="원자재","⚠ 원자재_부서보관","미분류"))))))</f>
        <v/>
      </c>
      <c r="I60" s="79">
        <f>IFERROR(IF(INDIRECT("'"&amp;$O60&amp;"'!P"&amp;$N60)=0,"",INDIRECT("'"&amp;$O60&amp;"'!P"&amp;$N60)),"")</f>
        <v/>
      </c>
      <c r="J60" s="61" t="inlineStr">
        <is>
          <t>ADX6000 고압 베어보드</t>
        </is>
      </c>
      <c r="K60" s="65" t="inlineStr">
        <is>
          <t>ADX6000 고압 베어보드</t>
        </is>
      </c>
      <c r="L60" s="83">
        <f>HYPERLINK("#'"&amp;$O60&amp;"'!A"&amp;$N60,"→ 고압진공 R"&amp;$N60)</f>
        <v/>
      </c>
      <c r="M60" s="84" t="n"/>
      <c r="N60" s="80" t="n">
        <v>45</v>
      </c>
      <c r="O60" s="80" t="inlineStr">
        <is>
          <t>고압진공_재고현황</t>
        </is>
      </c>
    </row>
    <row r="61" ht="30" customHeight="1">
      <c r="A61" s="53" t="inlineStr">
        <is>
          <t>고압</t>
        </is>
      </c>
      <c r="B61" s="52" t="inlineStr">
        <is>
          <t>BD</t>
        </is>
      </c>
      <c r="C61" s="52" t="inlineStr">
        <is>
          <t>ADX6000</t>
        </is>
      </c>
      <c r="D61" s="79">
        <f>IF(INDIRECT("'"&amp;$O61&amp;"'!F"&amp;$N61)="O","원자재",IF(INDIRECT("'"&amp;$O61&amp;"'!G"&amp;$N61)="O","반제품",IF(INDIRECT("'"&amp;$O61&amp;"'!H"&amp;$N61)="O","완제품","")))</f>
        <v/>
      </c>
      <c r="E61" s="79">
        <f>IFERROR(IF(INDIRECT("'"&amp;$O61&amp;"'!I"&amp;$N61)=0,"",INDIRECT("'"&amp;$O61&amp;"'!I"&amp;$N61)),"")</f>
        <v/>
      </c>
      <c r="F61" s="52" t="inlineStr">
        <is>
          <t>ADX6000 신형 고압 베어보드</t>
        </is>
      </c>
      <c r="G61" s="52" t="inlineStr">
        <is>
          <t>고압베어 B/D (신형) [ADX6000]</t>
        </is>
      </c>
      <c r="H61" s="79">
        <f>IF(AND($F61="",$G61=""),"",IF($F61="","창고전용",IF($G61&lt;&gt;"","매칭완료",IF($D61="반제품","반제품(창고없음)",IF($D61="완제품","완제품(창고없음)",IF($D61="원자재","⚠ 원자재_부서보관","미분류"))))))</f>
        <v/>
      </c>
      <c r="I61" s="79">
        <f>IFERROR(IF(INDIRECT("'"&amp;$O61&amp;"'!P"&amp;$N61)=0,"",INDIRECT("'"&amp;$O61&amp;"'!P"&amp;$N61)),"")</f>
        <v/>
      </c>
      <c r="J61" s="61" t="inlineStr">
        <is>
          <t>ADX6000 신형 고압 베어보드</t>
        </is>
      </c>
      <c r="K61" s="61" t="inlineStr">
        <is>
          <t>ADX6000 신형 고압 베어보드</t>
        </is>
      </c>
      <c r="L61" s="83">
        <f>HYPERLINK("#'"&amp;$O61&amp;"'!A"&amp;$N61,"→ 고압진공 R"&amp;$N61)</f>
        <v/>
      </c>
      <c r="M61" s="84" t="n"/>
      <c r="N61" s="80" t="n">
        <v>46</v>
      </c>
      <c r="O61" s="80" t="inlineStr">
        <is>
          <t>고압진공_재고현황</t>
        </is>
      </c>
    </row>
    <row r="62" ht="30" customHeight="1">
      <c r="A62" s="53" t="inlineStr">
        <is>
          <t>고압</t>
        </is>
      </c>
      <c r="B62" s="52" t="inlineStr">
        <is>
          <t>BD</t>
        </is>
      </c>
      <c r="C62" s="52" t="inlineStr">
        <is>
          <t>DX3000, ADX4000W</t>
        </is>
      </c>
      <c r="D62" s="79">
        <f>IF(INDIRECT("'"&amp;$O62&amp;"'!F"&amp;$N62)="O","원자재",IF(INDIRECT("'"&amp;$O62&amp;"'!G"&amp;$N62)="O","반제품",IF(INDIRECT("'"&amp;$O62&amp;"'!H"&amp;$N62)="O","완제품","")))</f>
        <v/>
      </c>
      <c r="E62" s="79">
        <f>IFERROR(IF(INDIRECT("'"&amp;$O62&amp;"'!I"&amp;$N62)=0,"",INDIRECT("'"&amp;$O62&amp;"'!I"&amp;$N62)),"")</f>
        <v/>
      </c>
      <c r="F62" s="52" t="inlineStr">
        <is>
          <t>고압베어 B/D (Ver. 2.5)</t>
        </is>
      </c>
      <c r="G62" s="52" t="inlineStr">
        <is>
          <t>고압베어 B/D [DX3000, ADX4000W]</t>
        </is>
      </c>
      <c r="H62" s="79">
        <f>IF(AND($F62="",$G62=""),"",IF($F62="","창고전용",IF($G62&lt;&gt;"","매칭완료",IF($D62="반제품","반제품(창고없음)",IF($D62="완제품","완제품(창고없음)",IF($D62="원자재","⚠ 원자재_부서보관","미분류"))))))</f>
        <v/>
      </c>
      <c r="I62" s="79">
        <f>IFERROR(IF(INDIRECT("'"&amp;$O62&amp;"'!P"&amp;$N62)=0,"",INDIRECT("'"&amp;$O62&amp;"'!P"&amp;$N62)),"")</f>
        <v/>
      </c>
      <c r="J62" s="61" t="inlineStr">
        <is>
          <t>고압베어 B/D (Ver. 2.5)</t>
        </is>
      </c>
      <c r="K62" s="65" t="inlineStr">
        <is>
          <t>고압베어 B/D (Ver. 2.5) [DX3000, ADX4000W]</t>
        </is>
      </c>
      <c r="L62" s="83">
        <f>HYPERLINK("#'"&amp;$O62&amp;"'!A"&amp;$N62,"→ 고압진공 R"&amp;$N62)</f>
        <v/>
      </c>
      <c r="M62" s="84" t="n"/>
      <c r="N62" s="80" t="n">
        <v>47</v>
      </c>
      <c r="O62" s="80" t="inlineStr">
        <is>
          <t>고압진공_재고현황</t>
        </is>
      </c>
    </row>
    <row r="63" ht="30" customHeight="1">
      <c r="A63" s="53" t="inlineStr">
        <is>
          <t>고압</t>
        </is>
      </c>
      <c r="B63" s="52" t="inlineStr">
        <is>
          <t>BD</t>
        </is>
      </c>
      <c r="C63" s="52" t="inlineStr">
        <is>
          <t>DX3000</t>
        </is>
      </c>
      <c r="D63" s="79">
        <f>IF(INDIRECT("'"&amp;$O63&amp;"'!F"&amp;$N63)="O","원자재",IF(INDIRECT("'"&amp;$O63&amp;"'!G"&amp;$N63)="O","반제품",IF(INDIRECT("'"&amp;$O63&amp;"'!H"&amp;$N63)="O","완제품","")))</f>
        <v/>
      </c>
      <c r="E63" s="79">
        <f>IFERROR(IF(INDIRECT("'"&amp;$O63&amp;"'!I"&amp;$N63)=0,"",INDIRECT("'"&amp;$O63&amp;"'!I"&amp;$N63)),"")</f>
        <v/>
      </c>
      <c r="F63" s="52" t="inlineStr">
        <is>
          <t>고압베어B/D (신형) (Ver. 1.0.1)</t>
        </is>
      </c>
      <c r="G63" s="52" t="inlineStr">
        <is>
          <t>고압베어 B/D - TFT (70kV, 3mA) [DX3000]</t>
        </is>
      </c>
      <c r="H63" s="79">
        <f>IF(AND($F63="",$G63=""),"",IF($F63="","창고전용",IF($G63&lt;&gt;"","매칭완료",IF($D63="반제품","반제품(창고없음)",IF($D63="완제품","완제품(창고없음)",IF($D63="원자재","⚠ 원자재_부서보관","미분류"))))))</f>
        <v/>
      </c>
      <c r="I63" s="79">
        <f>IFERROR(IF(INDIRECT("'"&amp;$O63&amp;"'!P"&amp;$N63)=0,"",INDIRECT("'"&amp;$O63&amp;"'!P"&amp;$N63)),"")</f>
        <v/>
      </c>
      <c r="J63" s="61" t="inlineStr">
        <is>
          <t>고압베어B/D (신형) (Ver. 1.0.1)</t>
        </is>
      </c>
      <c r="K63" s="65" t="inlineStr">
        <is>
          <t>고압베어B/D (신형) (Ver. 1.0.1) [DX3000]</t>
        </is>
      </c>
      <c r="L63" s="83">
        <f>HYPERLINK("#'"&amp;$O63&amp;"'!A"&amp;$N63,"→ 고압진공 R"&amp;$N63)</f>
        <v/>
      </c>
      <c r="M63" s="84" t="n"/>
      <c r="N63" s="80" t="n">
        <v>48</v>
      </c>
      <c r="O63" s="80" t="inlineStr">
        <is>
          <t>고압진공_재고현황</t>
        </is>
      </c>
    </row>
    <row r="64" ht="30" customHeight="1">
      <c r="A64" s="53" t="inlineStr">
        <is>
          <t>고압</t>
        </is>
      </c>
      <c r="B64" s="52" t="inlineStr">
        <is>
          <t>BD</t>
        </is>
      </c>
      <c r="C64" s="52" t="inlineStr">
        <is>
          <t>COCOON</t>
        </is>
      </c>
      <c r="D64" s="79">
        <f>IF(INDIRECT("'"&amp;$O64&amp;"'!F"&amp;$N64)="O","원자재",IF(INDIRECT("'"&amp;$O64&amp;"'!G"&amp;$N64)="O","반제품",IF(INDIRECT("'"&amp;$O64&amp;"'!H"&amp;$N64)="O","완제품","")))</f>
        <v/>
      </c>
      <c r="E64" s="79">
        <f>IFERROR(IF(INDIRECT("'"&amp;$O64&amp;"'!I"&amp;$N64)=0,"",INDIRECT("'"&amp;$O64&amp;"'!I"&amp;$N64)),"")</f>
        <v/>
      </c>
      <c r="F64" s="52" t="inlineStr">
        <is>
          <t>고압베어B/D</t>
        </is>
      </c>
      <c r="G64" s="52" t="inlineStr">
        <is>
          <t>고압베어 B/D (구형) [COCOON]</t>
        </is>
      </c>
      <c r="H64" s="79">
        <f>IF(AND($F64="",$G64=""),"",IF($F64="","창고전용",IF($G64&lt;&gt;"","매칭완료",IF($D64="반제품","반제품(창고없음)",IF($D64="완제품","완제품(창고없음)",IF($D64="원자재","⚠ 원자재_부서보관","미분류"))))))</f>
        <v/>
      </c>
      <c r="I64" s="79">
        <f>IFERROR(IF(INDIRECT("'"&amp;$O64&amp;"'!P"&amp;$N64)=0,"",INDIRECT("'"&amp;$O64&amp;"'!P"&amp;$N64)),"")</f>
        <v/>
      </c>
      <c r="J64" s="61" t="inlineStr">
        <is>
          <t>고압베어B/D</t>
        </is>
      </c>
      <c r="K64" s="65" t="inlineStr">
        <is>
          <t>고압베어B/D [COCOON]</t>
        </is>
      </c>
      <c r="L64" s="83">
        <f>HYPERLINK("#'"&amp;$O64&amp;"'!A"&amp;$N64,"→ 고압진공 R"&amp;$N64)</f>
        <v/>
      </c>
      <c r="M64" s="84" t="n"/>
      <c r="N64" s="80" t="n">
        <v>49</v>
      </c>
      <c r="O64" s="80" t="inlineStr">
        <is>
          <t>고압진공_재고현황</t>
        </is>
      </c>
    </row>
    <row r="65" ht="30" customHeight="1">
      <c r="A65" s="53" t="inlineStr">
        <is>
          <t>고압</t>
        </is>
      </c>
      <c r="B65" s="52" t="inlineStr">
        <is>
          <t>BD</t>
        </is>
      </c>
      <c r="C65" s="52" t="inlineStr">
        <is>
          <t>SOLO</t>
        </is>
      </c>
      <c r="D65" s="79">
        <f>IF(INDIRECT("'"&amp;$O65&amp;"'!F"&amp;$N65)="O","원자재",IF(INDIRECT("'"&amp;$O65&amp;"'!G"&amp;$N65)="O","반제품",IF(INDIRECT("'"&amp;$O65&amp;"'!H"&amp;$N65)="O","완제품","")))</f>
        <v/>
      </c>
      <c r="E65" s="79">
        <f>IFERROR(IF(INDIRECT("'"&amp;$O65&amp;"'!I"&amp;$N65)=0,"",INDIRECT("'"&amp;$O65&amp;"'!I"&amp;$N65)),"")</f>
        <v/>
      </c>
      <c r="F65" s="52" t="inlineStr">
        <is>
          <t>고압베어B/D (4개 1세트)</t>
        </is>
      </c>
      <c r="G65" s="52" t="inlineStr">
        <is>
          <t>고압베어 B/D [SOLO]</t>
        </is>
      </c>
      <c r="H65" s="79">
        <f>IF(AND($F65="",$G65=""),"",IF($F65="","창고전용",IF($G65&lt;&gt;"","매칭완료",IF($D65="반제품","반제품(창고없음)",IF($D65="완제품","완제품(창고없음)",IF($D65="원자재","⚠ 원자재_부서보관","미분류"))))))</f>
        <v/>
      </c>
      <c r="I65" s="79">
        <f>IFERROR(IF(INDIRECT("'"&amp;$O65&amp;"'!P"&amp;$N65)=0,"",INDIRECT("'"&amp;$O65&amp;"'!P"&amp;$N65)),"")</f>
        <v/>
      </c>
      <c r="J65" s="61" t="inlineStr">
        <is>
          <t>고압베어B/D (4개 1세트)</t>
        </is>
      </c>
      <c r="K65" s="65" t="inlineStr">
        <is>
          <t>고압베어B/D (4개 1세트) [SOLO]</t>
        </is>
      </c>
      <c r="L65" s="83">
        <f>HYPERLINK("#'"&amp;$O65&amp;"'!A"&amp;$N65,"→ 고압진공 R"&amp;$N65)</f>
        <v/>
      </c>
      <c r="M65" s="84" t="n"/>
      <c r="N65" s="80" t="n">
        <v>50</v>
      </c>
      <c r="O65" s="80" t="inlineStr">
        <is>
          <t>고압진공_재고현황</t>
        </is>
      </c>
    </row>
    <row r="66" ht="30" customHeight="1">
      <c r="A66" s="53" t="inlineStr">
        <is>
          <t>고압</t>
        </is>
      </c>
      <c r="B66" s="52" t="inlineStr">
        <is>
          <t>BD</t>
        </is>
      </c>
      <c r="C66" s="52" t="inlineStr">
        <is>
          <t>COCOON</t>
        </is>
      </c>
      <c r="D66" s="79">
        <f>IF(INDIRECT("'"&amp;$O66&amp;"'!F"&amp;$N66)="O","원자재",IF(INDIRECT("'"&amp;$O66&amp;"'!G"&amp;$N66)="O","반제품",IF(INDIRECT("'"&amp;$O66&amp;"'!H"&amp;$N66)="O","완제품","")))</f>
        <v/>
      </c>
      <c r="E66" s="79">
        <f>IFERROR(IF(INDIRECT("'"&amp;$O66&amp;"'!I"&amp;$N66)=0,"",INDIRECT("'"&amp;$O66&amp;"'!I"&amp;$N66)),"")</f>
        <v/>
      </c>
      <c r="F66" s="52" t="inlineStr">
        <is>
          <t>고압베어B/D (신형) (Ver. 2.12)</t>
        </is>
      </c>
      <c r="G66" s="52" t="inlineStr">
        <is>
          <t>고압베어 B/D (신형) [COCOON]</t>
        </is>
      </c>
      <c r="H66" s="79">
        <f>IF(AND($F66="",$G66=""),"",IF($F66="","창고전용",IF($G66&lt;&gt;"","매칭완료",IF($D66="반제품","반제품(창고없음)",IF($D66="완제품","완제품(창고없음)",IF($D66="원자재","⚠ 원자재_부서보관","미분류"))))))</f>
        <v/>
      </c>
      <c r="I66" s="79">
        <f>IFERROR(IF(INDIRECT("'"&amp;$O66&amp;"'!P"&amp;$N66)=0,"",INDIRECT("'"&amp;$O66&amp;"'!P"&amp;$N66)),"")</f>
        <v/>
      </c>
      <c r="J66" s="61" t="inlineStr">
        <is>
          <t>고압베어B/D (신형) (Ver. 2.12)</t>
        </is>
      </c>
      <c r="K66" s="65" t="inlineStr">
        <is>
          <t>고압베어B/D (신형) (Ver. 2.12) [SOLO]</t>
        </is>
      </c>
      <c r="L66" s="83">
        <f>HYPERLINK("#'"&amp;$O66&amp;"'!A"&amp;$N66,"→ 고압진공 R"&amp;$N66)</f>
        <v/>
      </c>
      <c r="M66" s="84" t="n"/>
      <c r="N66" s="80" t="n">
        <v>51</v>
      </c>
      <c r="O66" s="80" t="inlineStr">
        <is>
          <t>고압진공_재고현황</t>
        </is>
      </c>
    </row>
    <row r="67" ht="30" customHeight="1">
      <c r="A67" s="53" t="inlineStr">
        <is>
          <t>고압</t>
        </is>
      </c>
      <c r="B67" s="52" t="inlineStr">
        <is>
          <t>BD</t>
        </is>
      </c>
      <c r="C67" s="52" t="inlineStr">
        <is>
          <t>COCOON</t>
        </is>
      </c>
      <c r="D67" s="79">
        <f>IF(INDIRECT("'"&amp;$O67&amp;"'!F"&amp;$N67)="O","원자재",IF(INDIRECT("'"&amp;$O67&amp;"'!G"&amp;$N67)="O","반제품",IF(INDIRECT("'"&amp;$O67&amp;"'!H"&amp;$N67)="O","완제품","")))</f>
        <v/>
      </c>
      <c r="E67" s="79">
        <f>IFERROR(IF(INDIRECT("'"&amp;$O67&amp;"'!I"&amp;$N67)=0,"",INDIRECT("'"&amp;$O67&amp;"'!I"&amp;$N67)),"")</f>
        <v/>
      </c>
      <c r="F67" s="52" t="inlineStr">
        <is>
          <t>튜브 고정 지지대 (Ver 2.12에 사용)</t>
        </is>
      </c>
      <c r="G67" s="52" t="n"/>
      <c r="H67" s="79">
        <f>IF(AND($F67="",$G67=""),"",IF($F67="","창고전용",IF($G67&lt;&gt;"","매칭완료",IF($D67="반제품","반제품(창고없음)",IF($D67="완제품","완제품(창고없음)",IF($D67="원자재","⚠ 원자재_부서보관","미분류"))))))</f>
        <v/>
      </c>
      <c r="I67" s="79">
        <f>IFERROR(IF(INDIRECT("'"&amp;$O67&amp;"'!P"&amp;$N67)=0,"",INDIRECT("'"&amp;$O67&amp;"'!P"&amp;$N67)),"")</f>
        <v/>
      </c>
      <c r="J67" s="61" t="inlineStr">
        <is>
          <t>튜브 고정 지지대 (Ver 2.12에 사용)</t>
        </is>
      </c>
      <c r="K67" s="65" t="inlineStr">
        <is>
          <t>튜브 고정 지지대 (Ver 2.12에 사용) [COCOON]</t>
        </is>
      </c>
      <c r="L67" s="83">
        <f>HYPERLINK("#'"&amp;$O67&amp;"'!A"&amp;$N67,"→ 고압진공 R"&amp;$N67)</f>
        <v/>
      </c>
      <c r="M67" s="84" t="n"/>
      <c r="N67" s="80" t="n">
        <v>52</v>
      </c>
      <c r="O67" s="80" t="inlineStr">
        <is>
          <t>고압진공_재고현황</t>
        </is>
      </c>
    </row>
    <row r="68" ht="30" customHeight="1">
      <c r="A68" s="53" t="inlineStr">
        <is>
          <t>고압</t>
        </is>
      </c>
      <c r="B68" s="52" t="inlineStr">
        <is>
          <t>BD</t>
        </is>
      </c>
      <c r="C68" s="52" t="inlineStr">
        <is>
          <t>DX3000V</t>
        </is>
      </c>
      <c r="D68" s="79">
        <f>IF(INDIRECT("'"&amp;$O68&amp;"'!F"&amp;$N68)="O","원자재",IF(INDIRECT("'"&amp;$O68&amp;"'!G"&amp;$N68)="O","반제품",IF(INDIRECT("'"&amp;$O68&amp;"'!H"&amp;$N68)="O","완제품","")))</f>
        <v/>
      </c>
      <c r="E68" s="79">
        <f>IFERROR(IF(INDIRECT("'"&amp;$O68&amp;"'!I"&amp;$N68)=0,"",INDIRECT("'"&amp;$O68&amp;"'!I"&amp;$N68)),"")</f>
        <v/>
      </c>
      <c r="F68" s="52" t="inlineStr">
        <is>
          <t>고압베어B/D (D-0813) (Ver 1.0.0)</t>
        </is>
      </c>
      <c r="G68" s="52" t="n"/>
      <c r="H68" s="79">
        <f>IF(AND($F68="",$G68=""),"",IF($F68="","창고전용",IF($G68&lt;&gt;"","매칭완료",IF($D68="반제품","반제품(창고없음)",IF($D68="완제품","완제품(창고없음)",IF($D68="원자재","⚠ 원자재_부서보관","미분류"))))))</f>
        <v/>
      </c>
      <c r="I68" s="79">
        <f>IFERROR(IF(INDIRECT("'"&amp;$O68&amp;"'!P"&amp;$N68)=0,"",INDIRECT("'"&amp;$O68&amp;"'!P"&amp;$N68)),"")</f>
        <v/>
      </c>
      <c r="J68" s="61" t="inlineStr">
        <is>
          <t>고압베어B/D (D-0813) (Ver 1.0.0)</t>
        </is>
      </c>
      <c r="K68" s="65" t="inlineStr">
        <is>
          <t>고압베어B/D (D-0813) (Ver 1.0.0) [DX3000V]</t>
        </is>
      </c>
      <c r="L68" s="83">
        <f>HYPERLINK("#'"&amp;$O68&amp;"'!A"&amp;$N68,"→ 고압진공 R"&amp;$N68)</f>
        <v/>
      </c>
      <c r="M68" s="84" t="n"/>
      <c r="N68" s="80" t="n">
        <v>53</v>
      </c>
      <c r="O68" s="80" t="inlineStr">
        <is>
          <t>고압진공_재고현황</t>
        </is>
      </c>
    </row>
    <row r="69" ht="30" customHeight="1">
      <c r="A69" s="53" t="inlineStr">
        <is>
          <t>고압</t>
        </is>
      </c>
      <c r="B69" s="52" t="inlineStr">
        <is>
          <t>BD</t>
        </is>
      </c>
      <c r="C69" s="52" t="inlineStr">
        <is>
          <t>ADX6000</t>
        </is>
      </c>
      <c r="D69" s="79">
        <f>IF(INDIRECT("'"&amp;$O69&amp;"'!F"&amp;$N69)="O","원자재",IF(INDIRECT("'"&amp;$O69&amp;"'!G"&amp;$N69)="O","반제품",IF(INDIRECT("'"&amp;$O69&amp;"'!H"&amp;$N69)="O","완제품","")))</f>
        <v/>
      </c>
      <c r="E69" s="79">
        <f>IFERROR(IF(INDIRECT("'"&amp;$O69&amp;"'!I"&amp;$N69)=0,"",INDIRECT("'"&amp;$O69&amp;"'!I"&amp;$N69)),"")</f>
        <v/>
      </c>
      <c r="F69" s="52" t="inlineStr">
        <is>
          <t>튜브 고정 보드 에노드 (나사)</t>
        </is>
      </c>
      <c r="G69" s="52" t="inlineStr">
        <is>
          <t>튜브 고정 보드 에노드 (나사) [ADX6000]</t>
        </is>
      </c>
      <c r="H69" s="79">
        <f>IF(AND($F69="",$G69=""),"",IF($F69="","창고전용",IF($G69&lt;&gt;"","매칭완료",IF($D69="반제품","반제품(창고없음)",IF($D69="완제품","완제품(창고없음)",IF($D69="원자재","⚠ 원자재_부서보관","미분류"))))))</f>
        <v/>
      </c>
      <c r="I69" s="79">
        <f>IFERROR(IF(INDIRECT("'"&amp;$O69&amp;"'!P"&amp;$N69)=0,"",INDIRECT("'"&amp;$O69&amp;"'!P"&amp;$N69)),"")</f>
        <v/>
      </c>
      <c r="J69" s="61" t="inlineStr">
        <is>
          <t>튜브 고정 보드 에노드 (나사)</t>
        </is>
      </c>
      <c r="K69" s="61" t="inlineStr">
        <is>
          <t>튜브 고정 보드 에노드 (나사) [ADX6000]</t>
        </is>
      </c>
      <c r="L69" s="83">
        <f>HYPERLINK("#'"&amp;$O69&amp;"'!A"&amp;$N69,"→ 고압진공 R"&amp;$N69)</f>
        <v/>
      </c>
      <c r="M69" s="84" t="n"/>
      <c r="N69" s="80" t="n">
        <v>54</v>
      </c>
      <c r="O69" s="80" t="inlineStr">
        <is>
          <t>고압진공_재고현황</t>
        </is>
      </c>
    </row>
    <row r="70" ht="30" customHeight="1">
      <c r="A70" s="53" t="inlineStr">
        <is>
          <t>고압</t>
        </is>
      </c>
      <c r="B70" s="52" t="inlineStr">
        <is>
          <t>BD</t>
        </is>
      </c>
      <c r="C70" s="52" t="inlineStr">
        <is>
          <t>ADX6000</t>
        </is>
      </c>
      <c r="D70" s="79">
        <f>IF(INDIRECT("'"&amp;$O70&amp;"'!F"&amp;$N70)="O","원자재",IF(INDIRECT("'"&amp;$O70&amp;"'!G"&amp;$N70)="O","반제품",IF(INDIRECT("'"&amp;$O70&amp;"'!H"&amp;$N70)="O","완제품","")))</f>
        <v/>
      </c>
      <c r="E70" s="79">
        <f>IFERROR(IF(INDIRECT("'"&amp;$O70&amp;"'!I"&amp;$N70)=0,"",INDIRECT("'"&amp;$O70&amp;"'!I"&amp;$N70)),"")</f>
        <v/>
      </c>
      <c r="F70" s="52" t="inlineStr">
        <is>
          <t>튜브 고정 보드 케소드 (필라멘트)</t>
        </is>
      </c>
      <c r="G70" s="52" t="inlineStr">
        <is>
          <t>튜브 고정 보드 케소드 (필라멘트) [ADX6000]</t>
        </is>
      </c>
      <c r="H70" s="79">
        <f>IF(AND($F70="",$G70=""),"",IF($F70="","창고전용",IF($G70&lt;&gt;"","매칭완료",IF($D70="반제품","반제품(창고없음)",IF($D70="완제품","완제품(창고없음)",IF($D70="원자재","⚠ 원자재_부서보관","미분류"))))))</f>
        <v/>
      </c>
      <c r="I70" s="79">
        <f>IFERROR(IF(INDIRECT("'"&amp;$O70&amp;"'!P"&amp;$N70)=0,"",INDIRECT("'"&amp;$O70&amp;"'!P"&amp;$N70)),"")</f>
        <v/>
      </c>
      <c r="J70" s="61" t="inlineStr">
        <is>
          <t>튜브 고정 보드 케소드 (필라멘트)</t>
        </is>
      </c>
      <c r="K70" s="61" t="inlineStr">
        <is>
          <t>튜브 고정 보드 케소드 (필라멘트) [ADX6000]</t>
        </is>
      </c>
      <c r="L70" s="83">
        <f>HYPERLINK("#'"&amp;$O70&amp;"'!A"&amp;$N70,"→ 고압진공 R"&amp;$N70)</f>
        <v/>
      </c>
      <c r="M70" s="84" t="n"/>
      <c r="N70" s="80" t="n">
        <v>55</v>
      </c>
      <c r="O70" s="80" t="inlineStr">
        <is>
          <t>고압진공_재고현황</t>
        </is>
      </c>
    </row>
    <row r="71" ht="30" customHeight="1">
      <c r="A71" s="53" t="inlineStr">
        <is>
          <t>고압</t>
        </is>
      </c>
      <c r="B71" s="52" t="inlineStr">
        <is>
          <t>튜브 A,SSY</t>
        </is>
      </c>
      <c r="C71" s="52" t="inlineStr">
        <is>
          <t>DX3000, ADX4000W</t>
        </is>
      </c>
      <c r="D71" s="79">
        <f>IF(INDIRECT("'"&amp;$O71&amp;"'!F"&amp;$N71)="O","원자재",IF(INDIRECT("'"&amp;$O71&amp;"'!G"&amp;$N71)="O","반제품",IF(INDIRECT("'"&amp;$O71&amp;"'!H"&amp;$N71)="O","완제품","")))</f>
        <v/>
      </c>
      <c r="E71" s="79">
        <f>IFERROR(IF(INDIRECT("'"&amp;$O71&amp;"'!I"&amp;$N71)=0,"",INDIRECT("'"&amp;$O71&amp;"'!I"&amp;$N71)),"")</f>
        <v/>
      </c>
      <c r="F71" s="52" t="inlineStr">
        <is>
          <t>캐논튜브 60KV 하우징 [D-081B]</t>
        </is>
      </c>
      <c r="G71" s="52" t="n"/>
      <c r="H71" s="79">
        <f>IF(AND($F71="",$G71=""),"",IF($F71="","창고전용",IF($G71&lt;&gt;"","매칭완료",IF($D71="반제품","반제품(창고없음)",IF($D71="완제품","완제품(창고없음)",IF($D71="원자재","⚠ 원자재_부서보관","미분류"))))))</f>
        <v/>
      </c>
      <c r="I71" s="79">
        <f>IFERROR(IF(INDIRECT("'"&amp;$O71&amp;"'!P"&amp;$N71)=0,"",INDIRECT("'"&amp;$O71&amp;"'!P"&amp;$N71)),"")</f>
        <v/>
      </c>
      <c r="J71" s="61" t="inlineStr">
        <is>
          <t>캐논튜브 60KV 하우징 [D-081B]</t>
        </is>
      </c>
      <c r="K71" s="65" t="inlineStr">
        <is>
          <t>캐논튜브 60KV 하우징 [D-081B] [DX3000, ADX4000W]</t>
        </is>
      </c>
      <c r="L71" s="83">
        <f>HYPERLINK("#'"&amp;$O71&amp;"'!A"&amp;$N71,"→ 고압진공 R"&amp;$N71)</f>
        <v/>
      </c>
      <c r="M71" s="84" t="n"/>
      <c r="N71" s="80" t="n">
        <v>72</v>
      </c>
      <c r="O71" s="80" t="inlineStr">
        <is>
          <t>고압진공_재고현황</t>
        </is>
      </c>
    </row>
    <row r="72" ht="30" customHeight="1">
      <c r="A72" s="53" t="inlineStr">
        <is>
          <t>고압</t>
        </is>
      </c>
      <c r="B72" s="52" t="inlineStr">
        <is>
          <t>튜브 A,SSY</t>
        </is>
      </c>
      <c r="C72" s="52" t="inlineStr">
        <is>
          <t>DX3000, ADX4000W, ADX6000, SOLO</t>
        </is>
      </c>
      <c r="D72" s="79">
        <f>IF(INDIRECT("'"&amp;$O72&amp;"'!F"&amp;$N72)="O","원자재",IF(INDIRECT("'"&amp;$O72&amp;"'!G"&amp;$N72)="O","반제품",IF(INDIRECT("'"&amp;$O72&amp;"'!H"&amp;$N72)="O","완제품","")))</f>
        <v/>
      </c>
      <c r="E72" s="79">
        <f>IFERROR(IF(INDIRECT("'"&amp;$O72&amp;"'!I"&amp;$N72)=0,"",INDIRECT("'"&amp;$O72&amp;"'!I"&amp;$N72)),"")</f>
        <v/>
      </c>
      <c r="F72" s="52" t="inlineStr">
        <is>
          <t>세라믹튜브 70KV 하우징 [DXDR-070]</t>
        </is>
      </c>
      <c r="G72" s="52" t="n"/>
      <c r="H72" s="79">
        <f>IF(AND($F72="",$G72=""),"",IF($F72="","창고전용",IF($G72&lt;&gt;"","매칭완료",IF($D72="반제품","반제품(창고없음)",IF($D72="완제품","완제품(창고없음)",IF($D72="원자재","⚠ 원자재_부서보관","미분류"))))))</f>
        <v/>
      </c>
      <c r="I72" s="79">
        <f>IFERROR(IF(INDIRECT("'"&amp;$O72&amp;"'!P"&amp;$N72)=0,"",INDIRECT("'"&amp;$O72&amp;"'!P"&amp;$N72)),"")</f>
        <v/>
      </c>
      <c r="J72" s="61" t="inlineStr">
        <is>
          <t>세라믹튜브 70KV 하우징 [DXDR-070]</t>
        </is>
      </c>
      <c r="K72" s="65" t="inlineStr">
        <is>
          <t>세라믹튜브 70KV 하우징 [DXDR-070] [DX3000, ADX4000W, ADX6000, SOLO]</t>
        </is>
      </c>
      <c r="L72" s="83">
        <f>HYPERLINK("#'"&amp;$O72&amp;"'!A"&amp;$N72,"→ 고압진공 R"&amp;$N72)</f>
        <v/>
      </c>
      <c r="M72" s="84" t="n"/>
      <c r="N72" s="80" t="n">
        <v>73</v>
      </c>
      <c r="O72" s="80" t="inlineStr">
        <is>
          <t>고압진공_재고현황</t>
        </is>
      </c>
    </row>
    <row r="73" ht="30" customHeight="1">
      <c r="A73" s="53" t="inlineStr">
        <is>
          <t>고압</t>
        </is>
      </c>
      <c r="B73" s="52" t="inlineStr">
        <is>
          <t>튜브 A,SSY</t>
        </is>
      </c>
      <c r="C73" s="52" t="inlineStr">
        <is>
          <t>COCOON, SOLO</t>
        </is>
      </c>
      <c r="D73" s="79">
        <f>IF(INDIRECT("'"&amp;$O73&amp;"'!F"&amp;$N73)="O","원자재",IF(INDIRECT("'"&amp;$O73&amp;"'!G"&amp;$N73)="O","반제품",IF(INDIRECT("'"&amp;$O73&amp;"'!H"&amp;$N73)="O","완제품","")))</f>
        <v/>
      </c>
      <c r="E73" s="79">
        <f>IFERROR(IF(INDIRECT("'"&amp;$O73&amp;"'!I"&amp;$N73)=0,"",INDIRECT("'"&amp;$O73&amp;"'!I"&amp;$N73)),"")</f>
        <v/>
      </c>
      <c r="F73" s="52" t="inlineStr">
        <is>
          <t>캐논튜브 70KV 하우징 [D-041]</t>
        </is>
      </c>
      <c r="G73" s="52" t="n"/>
      <c r="H73" s="79">
        <f>IF(AND($F73="",$G73=""),"",IF($F73="","창고전용",IF($G73&lt;&gt;"","매칭완료",IF($D73="반제품","반제품(창고없음)",IF($D73="완제품","완제품(창고없음)",IF($D73="원자재","⚠ 원자재_부서보관","미분류"))))))</f>
        <v/>
      </c>
      <c r="I73" s="79">
        <f>IFERROR(IF(INDIRECT("'"&amp;$O73&amp;"'!P"&amp;$N73)=0,"",INDIRECT("'"&amp;$O73&amp;"'!P"&amp;$N73)),"")</f>
        <v/>
      </c>
      <c r="J73" s="61" t="inlineStr">
        <is>
          <t>캐논튜브 70KV 하우징 [D-041]</t>
        </is>
      </c>
      <c r="K73" s="65" t="inlineStr">
        <is>
          <t>캐논튜브 70KV 하우징 [D-041] [COCOON, SOLO]</t>
        </is>
      </c>
      <c r="L73" s="83">
        <f>HYPERLINK("#'"&amp;$O73&amp;"'!A"&amp;$N73,"→ 고압진공 R"&amp;$N73)</f>
        <v/>
      </c>
      <c r="M73" s="84" t="n"/>
      <c r="N73" s="80" t="n">
        <v>74</v>
      </c>
      <c r="O73" s="80" t="inlineStr">
        <is>
          <t>고압진공_재고현황</t>
        </is>
      </c>
    </row>
    <row r="74" ht="30" customHeight="1">
      <c r="A74" s="53" t="inlineStr">
        <is>
          <t>고압</t>
        </is>
      </c>
      <c r="B74" s="52" t="inlineStr">
        <is>
          <t>튜브 A,SSY</t>
        </is>
      </c>
      <c r="C74" s="52" t="inlineStr">
        <is>
          <t>ADX6000</t>
        </is>
      </c>
      <c r="D74" s="79">
        <f>IF(INDIRECT("'"&amp;$O74&amp;"'!F"&amp;$N74)="O","원자재",IF(INDIRECT("'"&amp;$O74&amp;"'!G"&amp;$N74)="O","반제품",IF(INDIRECT("'"&amp;$O74&amp;"'!H"&amp;$N74)="O","완제품","")))</f>
        <v/>
      </c>
      <c r="E74" s="79">
        <f>IFERROR(IF(INDIRECT("'"&amp;$O74&amp;"'!I"&amp;$N74)=0,"",INDIRECT("'"&amp;$O74&amp;"'!I"&amp;$N74)),"")</f>
        <v/>
      </c>
      <c r="F74" s="52" t="inlineStr">
        <is>
          <t>캐논튜브 80KV 하우징 [D-0813]</t>
        </is>
      </c>
      <c r="G74" s="52" t="n"/>
      <c r="H74" s="79">
        <f>IF(AND($F74="",$G74=""),"",IF($F74="","창고전용",IF($G74&lt;&gt;"","매칭완료",IF($D74="반제품","반제품(창고없음)",IF($D74="완제품","완제품(창고없음)",IF($D74="원자재","⚠ 원자재_부서보관","미분류"))))))</f>
        <v/>
      </c>
      <c r="I74" s="79">
        <f>IFERROR(IF(INDIRECT("'"&amp;$O74&amp;"'!P"&amp;$N74)=0,"",INDIRECT("'"&amp;$O74&amp;"'!P"&amp;$N74)),"")</f>
        <v/>
      </c>
      <c r="J74" s="61" t="inlineStr">
        <is>
          <t>캐논튜브 80KV 하우징 [D-0813]</t>
        </is>
      </c>
      <c r="K74" s="65" t="inlineStr">
        <is>
          <t>캐논튜브 80KV 하우징 [D-0813] [ADX6000]</t>
        </is>
      </c>
      <c r="L74" s="83">
        <f>HYPERLINK("#'"&amp;$O74&amp;"'!A"&amp;$N74,"→ 고압진공 R"&amp;$N74)</f>
        <v/>
      </c>
      <c r="M74" s="84" t="n"/>
      <c r="N74" s="80" t="n">
        <v>75</v>
      </c>
      <c r="O74" s="80" t="inlineStr">
        <is>
          <t>고압진공_재고현황</t>
        </is>
      </c>
    </row>
    <row r="75" ht="30" customHeight="1">
      <c r="A75" s="53" t="inlineStr">
        <is>
          <t>고압</t>
        </is>
      </c>
      <c r="B75" s="52" t="inlineStr">
        <is>
          <t>튜브 A,SSY</t>
        </is>
      </c>
      <c r="C75" s="52" t="inlineStr">
        <is>
          <t>ADX6000</t>
        </is>
      </c>
      <c r="D75" s="79">
        <f>IF(INDIRECT("'"&amp;$O75&amp;"'!F"&amp;$N75)="O","원자재",IF(INDIRECT("'"&amp;$O75&amp;"'!G"&amp;$N75)="O","반제품",IF(INDIRECT("'"&amp;$O75&amp;"'!H"&amp;$N75)="O","완제품","")))</f>
        <v/>
      </c>
      <c r="E75" s="79">
        <f>IFERROR(IF(INDIRECT("'"&amp;$O75&amp;"'!I"&amp;$N75)=0,"",INDIRECT("'"&amp;$O75&amp;"'!I"&amp;$N75)),"")</f>
        <v/>
      </c>
      <c r="F75" s="52" t="inlineStr">
        <is>
          <t>세라믹튜브 100KV 하우징 [DXDR-100]</t>
        </is>
      </c>
      <c r="G75" s="52" t="n"/>
      <c r="H75" s="79">
        <f>IF(AND($F75="",$G75=""),"",IF($F75="","창고전용",IF($G75&lt;&gt;"","매칭완료",IF($D75="반제품","반제품(창고없음)",IF($D75="완제품","완제품(창고없음)",IF($D75="원자재","⚠ 원자재_부서보관","미분류"))))))</f>
        <v/>
      </c>
      <c r="I75" s="79">
        <f>IFERROR(IF(INDIRECT("'"&amp;$O75&amp;"'!P"&amp;$N75)=0,"",INDIRECT("'"&amp;$O75&amp;"'!P"&amp;$N75)),"")</f>
        <v/>
      </c>
      <c r="J75" s="61" t="inlineStr">
        <is>
          <t>세라믹튜브 100KV 하우징 [DXDR-100]</t>
        </is>
      </c>
      <c r="K75" s="65" t="inlineStr">
        <is>
          <t>세라믹튜브 100KV 하우징 [DXDR-100] [ADX6000]</t>
        </is>
      </c>
      <c r="L75" s="83">
        <f>HYPERLINK("#'"&amp;$O75&amp;"'!A"&amp;$N75,"→ 고압진공 R"&amp;$N75)</f>
        <v/>
      </c>
      <c r="M75" s="84" t="n"/>
      <c r="N75" s="80" t="n">
        <v>76</v>
      </c>
      <c r="O75" s="80" t="inlineStr">
        <is>
          <t>고압진공_재고현황</t>
        </is>
      </c>
    </row>
    <row r="76" ht="30" customHeight="1">
      <c r="A76" s="53" t="inlineStr">
        <is>
          <t>고압</t>
        </is>
      </c>
      <c r="B76" s="52" t="inlineStr">
        <is>
          <t>튜브 A,SSY</t>
        </is>
      </c>
      <c r="C76" s="52" t="inlineStr">
        <is>
          <t>ADX6000</t>
        </is>
      </c>
      <c r="D76" s="79">
        <f>IF(INDIRECT("'"&amp;$O76&amp;"'!F"&amp;$N76)="O","원자재",IF(INDIRECT("'"&amp;$O76&amp;"'!G"&amp;$N76)="O","반제품",IF(INDIRECT("'"&amp;$O76&amp;"'!H"&amp;$N76)="O","완제품","")))</f>
        <v/>
      </c>
      <c r="E76" s="79">
        <f>IFERROR(IF(INDIRECT("'"&amp;$O76&amp;"'!I"&amp;$N76)=0,"",INDIRECT("'"&amp;$O76&amp;"'!I"&amp;$N76)),"")</f>
        <v/>
      </c>
      <c r="F76" s="52" t="inlineStr">
        <is>
          <t>CEI튜브 90KV 하우징 [OX-70]</t>
        </is>
      </c>
      <c r="G76" s="52" t="n"/>
      <c r="H76" s="79">
        <f>IF(AND($F76="",$G76=""),"",IF($F76="","창고전용",IF($G76&lt;&gt;"","매칭완료",IF($D76="반제품","반제품(창고없음)",IF($D76="완제품","완제품(창고없음)",IF($D76="원자재","⚠ 원자재_부서보관","미분류"))))))</f>
        <v/>
      </c>
      <c r="I76" s="79">
        <f>IFERROR(IF(INDIRECT("'"&amp;$O76&amp;"'!P"&amp;$N76)=0,"",INDIRECT("'"&amp;$O76&amp;"'!P"&amp;$N76)),"")</f>
        <v/>
      </c>
      <c r="J76" s="61" t="inlineStr">
        <is>
          <t>CEI튜브 90KV 하우징 [OX-70]</t>
        </is>
      </c>
      <c r="K76" s="65" t="inlineStr">
        <is>
          <t>CEI튜브 90KV 하우징 [OX-70] [ADX6000]</t>
        </is>
      </c>
      <c r="L76" s="83">
        <f>HYPERLINK("#'"&amp;$O76&amp;"'!A"&amp;$N76,"→ 고압진공 R"&amp;$N76)</f>
        <v/>
      </c>
      <c r="M76" s="84" t="n"/>
      <c r="N76" s="80" t="n">
        <v>77</v>
      </c>
      <c r="O76" s="80" t="inlineStr">
        <is>
          <t>고압진공_재고현황</t>
        </is>
      </c>
    </row>
    <row r="77" ht="30" customHeight="1">
      <c r="A77" s="53" t="inlineStr">
        <is>
          <t>고압</t>
        </is>
      </c>
      <c r="B77" s="52" t="inlineStr">
        <is>
          <t>고압보드 A,SSY</t>
        </is>
      </c>
      <c r="C77" s="52" t="inlineStr">
        <is>
          <t>DX3000, ADX4000W</t>
        </is>
      </c>
      <c r="D77" s="79">
        <f>IF(INDIRECT("'"&amp;$O77&amp;"'!F"&amp;$N77)="O","원자재",IF(INDIRECT("'"&amp;$O77&amp;"'!G"&amp;$N77)="O","반제품",IF(INDIRECT("'"&amp;$O77&amp;"'!H"&amp;$N77)="O","완제품","")))</f>
        <v/>
      </c>
      <c r="E77" s="79">
        <f>IFERROR(IF(INDIRECT("'"&amp;$O77&amp;"'!I"&amp;$N77)=0,"",INDIRECT("'"&amp;$O77&amp;"'!I"&amp;$N77)),"")</f>
        <v/>
      </c>
      <c r="F77" s="52" t="inlineStr">
        <is>
          <t>고압보드SMT 完 (Ver. 2.5)</t>
        </is>
      </c>
      <c r="G77" s="52" t="n"/>
      <c r="H77" s="79">
        <f>IF(AND($F77="",$G77=""),"",IF($F77="","창고전용",IF($G77&lt;&gt;"","매칭완료",IF($D77="반제품","반제품(창고없음)",IF($D77="완제품","완제품(창고없음)",IF($D77="원자재","⚠ 원자재_부서보관","미분류"))))))</f>
        <v/>
      </c>
      <c r="I77" s="79">
        <f>IFERROR(IF(INDIRECT("'"&amp;$O77&amp;"'!P"&amp;$N77)=0,"",INDIRECT("'"&amp;$O77&amp;"'!P"&amp;$N77)),"")</f>
        <v/>
      </c>
      <c r="J77" s="61" t="inlineStr">
        <is>
          <t>고압보드SMT 完 (Ver. 2.5)</t>
        </is>
      </c>
      <c r="K77" s="65" t="inlineStr">
        <is>
          <t>고압보드SMT 完 (Ver. 2.5) [DX3000, ADX4000W]</t>
        </is>
      </c>
      <c r="L77" s="83">
        <f>HYPERLINK("#'"&amp;$O77&amp;"'!A"&amp;$N77,"→ 고압진공 R"&amp;$N77)</f>
        <v/>
      </c>
      <c r="M77" s="84" t="n"/>
      <c r="N77" s="80" t="n">
        <v>78</v>
      </c>
      <c r="O77" s="80" t="inlineStr">
        <is>
          <t>고압진공_재고현황</t>
        </is>
      </c>
    </row>
    <row r="78" ht="30" customHeight="1">
      <c r="A78" s="53" t="inlineStr">
        <is>
          <t>고압</t>
        </is>
      </c>
      <c r="B78" s="52" t="inlineStr">
        <is>
          <t>고압보드 A,SSY</t>
        </is>
      </c>
      <c r="C78" s="52" t="inlineStr">
        <is>
          <t>DX3000</t>
        </is>
      </c>
      <c r="D78" s="79">
        <f>IF(INDIRECT("'"&amp;$O78&amp;"'!F"&amp;$N78)="O","원자재",IF(INDIRECT("'"&amp;$O78&amp;"'!G"&amp;$N78)="O","반제품",IF(INDIRECT("'"&amp;$O78&amp;"'!H"&amp;$N78)="O","완제품","")))</f>
        <v/>
      </c>
      <c r="E78" s="79">
        <f>IFERROR(IF(INDIRECT("'"&amp;$O78&amp;"'!I"&amp;$N78)=0,"",INDIRECT("'"&amp;$O78&amp;"'!I"&amp;$N78)),"")</f>
        <v/>
      </c>
      <c r="F78" s="52" t="inlineStr">
        <is>
          <t>고압보드SMT 完 (신형) (Ver. 1.0.1)</t>
        </is>
      </c>
      <c r="G78" s="52" t="n"/>
      <c r="H78" s="79">
        <f>IF(AND($F78="",$G78=""),"",IF($F78="","창고전용",IF($G78&lt;&gt;"","매칭완료",IF($D78="반제품","반제품(창고없음)",IF($D78="완제품","완제품(창고없음)",IF($D78="원자재","⚠ 원자재_부서보관","미분류"))))))</f>
        <v/>
      </c>
      <c r="I78" s="79">
        <f>IFERROR(IF(INDIRECT("'"&amp;$O78&amp;"'!P"&amp;$N78)=0,"",INDIRECT("'"&amp;$O78&amp;"'!P"&amp;$N78)),"")</f>
        <v/>
      </c>
      <c r="J78" s="61" t="inlineStr">
        <is>
          <t>고압보드SMT 完 (신형) (Ver. 1.0.1)</t>
        </is>
      </c>
      <c r="K78" s="65" t="inlineStr">
        <is>
          <t>고압보드SMT 完 (신형) (Ver. 1.0.1) [DX3000]</t>
        </is>
      </c>
      <c r="L78" s="83">
        <f>HYPERLINK("#'"&amp;$O78&amp;"'!A"&amp;$N78,"→ 고압진공 R"&amp;$N78)</f>
        <v/>
      </c>
      <c r="M78" s="84" t="n"/>
      <c r="N78" s="80" t="n">
        <v>79</v>
      </c>
      <c r="O78" s="80" t="inlineStr">
        <is>
          <t>고압진공_재고현황</t>
        </is>
      </c>
    </row>
    <row r="79" ht="30" customHeight="1">
      <c r="A79" s="53" t="inlineStr">
        <is>
          <t>고압</t>
        </is>
      </c>
      <c r="B79" s="52" t="inlineStr">
        <is>
          <t>고압보드 A,SSY</t>
        </is>
      </c>
      <c r="C79" s="52" t="inlineStr">
        <is>
          <t>ADX6000</t>
        </is>
      </c>
      <c r="D79" s="79">
        <f>IF(INDIRECT("'"&amp;$O79&amp;"'!F"&amp;$N79)="O","원자재",IF(INDIRECT("'"&amp;$O79&amp;"'!G"&amp;$N79)="O","반제품",IF(INDIRECT("'"&amp;$O79&amp;"'!H"&amp;$N79)="O","완제품","")))</f>
        <v/>
      </c>
      <c r="E79" s="79">
        <f>IFERROR(IF(INDIRECT("'"&amp;$O79&amp;"'!I"&amp;$N79)=0,"",INDIRECT("'"&amp;$O79&amp;"'!I"&amp;$N79)),"")</f>
        <v/>
      </c>
      <c r="F79" s="52" t="inlineStr">
        <is>
          <t>고압보드SMT 完</t>
        </is>
      </c>
      <c r="G79" s="52" t="n"/>
      <c r="H79" s="79">
        <f>IF(AND($F79="",$G79=""),"",IF($F79="","창고전용",IF($G79&lt;&gt;"","매칭완료",IF($D79="반제품","반제품(창고없음)",IF($D79="완제품","완제품(창고없음)",IF($D79="원자재","⚠ 원자재_부서보관","미분류"))))))</f>
        <v/>
      </c>
      <c r="I79" s="79">
        <f>IFERROR(IF(INDIRECT("'"&amp;$O79&amp;"'!P"&amp;$N79)=0,"",INDIRECT("'"&amp;$O79&amp;"'!P"&amp;$N79)),"")</f>
        <v/>
      </c>
      <c r="J79" s="61" t="inlineStr">
        <is>
          <t>고압보드SMT 完</t>
        </is>
      </c>
      <c r="K79" s="65" t="inlineStr">
        <is>
          <t>고압보드SMT 完 [ADX6000]</t>
        </is>
      </c>
      <c r="L79" s="83">
        <f>HYPERLINK("#'"&amp;$O79&amp;"'!A"&amp;$N79,"→ 고압진공 R"&amp;$N79)</f>
        <v/>
      </c>
      <c r="M79" s="84" t="n"/>
      <c r="N79" s="80" t="n">
        <v>80</v>
      </c>
      <c r="O79" s="80" t="inlineStr">
        <is>
          <t>고압진공_재고현황</t>
        </is>
      </c>
    </row>
    <row r="80" ht="30" customHeight="1">
      <c r="A80" s="53" t="inlineStr">
        <is>
          <t>고압</t>
        </is>
      </c>
      <c r="B80" s="52" t="inlineStr">
        <is>
          <t>고압보드 A,SSY</t>
        </is>
      </c>
      <c r="C80" s="52" t="inlineStr">
        <is>
          <t>ADX6000</t>
        </is>
      </c>
      <c r="D80" s="79">
        <f>IF(INDIRECT("'"&amp;$O80&amp;"'!F"&amp;$N80)="O","원자재",IF(INDIRECT("'"&amp;$O80&amp;"'!G"&amp;$N80)="O","반제품",IF(INDIRECT("'"&amp;$O80&amp;"'!H"&amp;$N80)="O","완제품","")))</f>
        <v/>
      </c>
      <c r="E80" s="79">
        <f>IFERROR(IF(INDIRECT("'"&amp;$O80&amp;"'!I"&amp;$N80)=0,"",INDIRECT("'"&amp;$O80&amp;"'!I"&amp;$N80)),"")</f>
        <v/>
      </c>
      <c r="F80" s="52" t="inlineStr">
        <is>
          <t>고압보드SMT 完 (신형)</t>
        </is>
      </c>
      <c r="G80" s="52" t="n"/>
      <c r="H80" s="79">
        <f>IF(AND($F80="",$G80=""),"",IF($F80="","창고전용",IF($G80&lt;&gt;"","매칭완료",IF($D80="반제품","반제품(창고없음)",IF($D80="완제품","완제품(창고없음)",IF($D80="원자재","⚠ 원자재_부서보관","미분류"))))))</f>
        <v/>
      </c>
      <c r="I80" s="79">
        <f>IFERROR(IF(INDIRECT("'"&amp;$O80&amp;"'!P"&amp;$N80)=0,"",INDIRECT("'"&amp;$O80&amp;"'!P"&amp;$N80)),"")</f>
        <v/>
      </c>
      <c r="J80" s="61" t="inlineStr">
        <is>
          <t>고압보드SMT 完 (신형)</t>
        </is>
      </c>
      <c r="K80" s="65" t="inlineStr">
        <is>
          <t>고압보드SMT 完 (신형) [ADX6000]</t>
        </is>
      </c>
      <c r="L80" s="83">
        <f>HYPERLINK("#'"&amp;$O80&amp;"'!A"&amp;$N80,"→ 고압진공 R"&amp;$N80)</f>
        <v/>
      </c>
      <c r="M80" s="84" t="n"/>
      <c r="N80" s="80" t="n">
        <v>81</v>
      </c>
      <c r="O80" s="80" t="inlineStr">
        <is>
          <t>고압진공_재고현황</t>
        </is>
      </c>
    </row>
    <row r="81" ht="30" customHeight="1">
      <c r="A81" s="53" t="inlineStr">
        <is>
          <t>고압</t>
        </is>
      </c>
      <c r="B81" s="52" t="inlineStr">
        <is>
          <t>고압보드 A,SSY</t>
        </is>
      </c>
      <c r="C81" s="52" t="inlineStr">
        <is>
          <t>COCOON</t>
        </is>
      </c>
      <c r="D81" s="79">
        <f>IF(INDIRECT("'"&amp;$O81&amp;"'!F"&amp;$N81)="O","원자재",IF(INDIRECT("'"&amp;$O81&amp;"'!G"&amp;$N81)="O","반제품",IF(INDIRECT("'"&amp;$O81&amp;"'!H"&amp;$N81)="O","완제품","")))</f>
        <v/>
      </c>
      <c r="E81" s="79">
        <f>IFERROR(IF(INDIRECT("'"&amp;$O81&amp;"'!I"&amp;$N81)=0,"",INDIRECT("'"&amp;$O81&amp;"'!I"&amp;$N81)),"")</f>
        <v/>
      </c>
      <c r="F81" s="52" t="inlineStr">
        <is>
          <t>고압보드SMT 完</t>
        </is>
      </c>
      <c r="G81" s="52" t="n"/>
      <c r="H81" s="79">
        <f>IF(AND($F81="",$G81=""),"",IF($F81="","창고전용",IF($G81&lt;&gt;"","매칭완료",IF($D81="반제품","반제품(창고없음)",IF($D81="완제품","완제품(창고없음)",IF($D81="원자재","⚠ 원자재_부서보관","미분류"))))))</f>
        <v/>
      </c>
      <c r="I81" s="79">
        <f>IFERROR(IF(INDIRECT("'"&amp;$O81&amp;"'!P"&amp;$N81)=0,"",INDIRECT("'"&amp;$O81&amp;"'!P"&amp;$N81)),"")</f>
        <v/>
      </c>
      <c r="J81" s="61" t="inlineStr">
        <is>
          <t>고압보드SMT 完</t>
        </is>
      </c>
      <c r="K81" s="65" t="inlineStr">
        <is>
          <t>고압보드SMT 完 [COCOON]</t>
        </is>
      </c>
      <c r="L81" s="83">
        <f>HYPERLINK("#'"&amp;$O81&amp;"'!A"&amp;$N81,"→ 고압진공 R"&amp;$N81)</f>
        <v/>
      </c>
      <c r="M81" s="84" t="n"/>
      <c r="N81" s="80" t="n">
        <v>82</v>
      </c>
      <c r="O81" s="80" t="inlineStr">
        <is>
          <t>고압진공_재고현황</t>
        </is>
      </c>
    </row>
    <row r="82" ht="30" customHeight="1">
      <c r="A82" s="53" t="inlineStr">
        <is>
          <t>고압</t>
        </is>
      </c>
      <c r="B82" s="52" t="inlineStr">
        <is>
          <t>고압보드 A,SSY</t>
        </is>
      </c>
      <c r="C82" s="52" t="inlineStr">
        <is>
          <t>COCOON</t>
        </is>
      </c>
      <c r="D82" s="79">
        <f>IF(INDIRECT("'"&amp;$O82&amp;"'!F"&amp;$N82)="O","원자재",IF(INDIRECT("'"&amp;$O82&amp;"'!G"&amp;$N82)="O","반제품",IF(INDIRECT("'"&amp;$O82&amp;"'!H"&amp;$N82)="O","완제품","")))</f>
        <v/>
      </c>
      <c r="E82" s="79">
        <f>IFERROR(IF(INDIRECT("'"&amp;$O82&amp;"'!I"&amp;$N82)=0,"",INDIRECT("'"&amp;$O82&amp;"'!I"&amp;$N82)),"")</f>
        <v/>
      </c>
      <c r="F82" s="52" t="inlineStr">
        <is>
          <t>고압보드SMT 完 [Ver 2.12 신형]</t>
        </is>
      </c>
      <c r="G82" s="52" t="n"/>
      <c r="H82" s="79">
        <f>IF(AND($F82="",$G82=""),"",IF($F82="","창고전용",IF($G82&lt;&gt;"","매칭완료",IF($D82="반제품","반제품(창고없음)",IF($D82="완제품","완제품(창고없음)",IF($D82="원자재","⚠ 원자재_부서보관","미분류"))))))</f>
        <v/>
      </c>
      <c r="I82" s="79">
        <f>IFERROR(IF(INDIRECT("'"&amp;$O82&amp;"'!P"&amp;$N82)=0,"",INDIRECT("'"&amp;$O82&amp;"'!P"&amp;$N82)),"")</f>
        <v/>
      </c>
      <c r="J82" s="61" t="inlineStr">
        <is>
          <t>고압보드SMT 完 [Ver 2.12 신형]</t>
        </is>
      </c>
      <c r="K82" s="65" t="inlineStr">
        <is>
          <t>고압보드SMT 完 [Ver 2.12 신형] [COCOON]</t>
        </is>
      </c>
      <c r="L82" s="83">
        <f>HYPERLINK("#'"&amp;$O82&amp;"'!A"&amp;$N82,"→ 고압진공 R"&amp;$N82)</f>
        <v/>
      </c>
      <c r="M82" s="84" t="n"/>
      <c r="N82" s="80" t="n">
        <v>83</v>
      </c>
      <c r="O82" s="80" t="inlineStr">
        <is>
          <t>고압진공_재고현황</t>
        </is>
      </c>
    </row>
    <row r="83" ht="30" customHeight="1">
      <c r="A83" s="53" t="inlineStr">
        <is>
          <t>고압</t>
        </is>
      </c>
      <c r="B83" s="52" t="inlineStr">
        <is>
          <t>고압보드 A,SSY</t>
        </is>
      </c>
      <c r="C83" s="52" t="inlineStr">
        <is>
          <t>SOLO</t>
        </is>
      </c>
      <c r="D83" s="79">
        <f>IF(INDIRECT("'"&amp;$O83&amp;"'!F"&amp;$N83)="O","원자재",IF(INDIRECT("'"&amp;$O83&amp;"'!G"&amp;$N83)="O","반제품",IF(INDIRECT("'"&amp;$O83&amp;"'!H"&amp;$N83)="O","완제품","")))</f>
        <v/>
      </c>
      <c r="E83" s="79">
        <f>IFERROR(IF(INDIRECT("'"&amp;$O83&amp;"'!I"&amp;$N83)=0,"",INDIRECT("'"&amp;$O83&amp;"'!I"&amp;$N83)),"")</f>
        <v/>
      </c>
      <c r="F83" s="52" t="inlineStr">
        <is>
          <t>고압보드 SMT (DXDR-070)</t>
        </is>
      </c>
      <c r="G83" s="52" t="n"/>
      <c r="H83" s="79">
        <f>IF(AND($F83="",$G83=""),"",IF($F83="","창고전용",IF($G83&lt;&gt;"","매칭완료",IF($D83="반제품","반제품(창고없음)",IF($D83="완제품","완제품(창고없음)",IF($D83="원자재","⚠ 원자재_부서보관","미분류"))))))</f>
        <v/>
      </c>
      <c r="I83" s="79">
        <f>IFERROR(IF(INDIRECT("'"&amp;$O83&amp;"'!P"&amp;$N83)=0,"",INDIRECT("'"&amp;$O83&amp;"'!P"&amp;$N83)),"")</f>
        <v/>
      </c>
      <c r="J83" s="61" t="inlineStr">
        <is>
          <t>고압보드 SMT (DXDR-070)</t>
        </is>
      </c>
      <c r="K83" s="65" t="inlineStr">
        <is>
          <t>고압보드 SMT (DXDR-070) [SOLO]</t>
        </is>
      </c>
      <c r="L83" s="83">
        <f>HYPERLINK("#'"&amp;$O83&amp;"'!A"&amp;$N83,"→ 고압진공 R"&amp;$N83)</f>
        <v/>
      </c>
      <c r="M83" s="84" t="n"/>
      <c r="N83" s="80" t="n">
        <v>84</v>
      </c>
      <c r="O83" s="80" t="inlineStr">
        <is>
          <t>고압진공_재고현황</t>
        </is>
      </c>
    </row>
    <row r="84" ht="30" customHeight="1">
      <c r="A84" s="53" t="inlineStr">
        <is>
          <t>고압</t>
        </is>
      </c>
      <c r="B84" s="52" t="inlineStr">
        <is>
          <t>고압보드 A,SSY</t>
        </is>
      </c>
      <c r="C84" s="52" t="inlineStr">
        <is>
          <t>SOLO</t>
        </is>
      </c>
      <c r="D84" s="79">
        <f>IF(INDIRECT("'"&amp;$O84&amp;"'!F"&amp;$N84)="O","원자재",IF(INDIRECT("'"&amp;$O84&amp;"'!G"&amp;$N84)="O","반제품",IF(INDIRECT("'"&amp;$O84&amp;"'!H"&amp;$N84)="O","완제품","")))</f>
        <v/>
      </c>
      <c r="E84" s="79">
        <f>IFERROR(IF(INDIRECT("'"&amp;$O84&amp;"'!I"&amp;$N84)=0,"",INDIRECT("'"&amp;$O84&amp;"'!I"&amp;$N84)),"")</f>
        <v/>
      </c>
      <c r="F84" s="52" t="inlineStr">
        <is>
          <t>고압보드 SMT (D-041)</t>
        </is>
      </c>
      <c r="G84" s="52" t="n"/>
      <c r="H84" s="79">
        <f>IF(AND($F84="",$G84=""),"",IF($F84="","창고전용",IF($G84&lt;&gt;"","매칭완료",IF($D84="반제품","반제품(창고없음)",IF($D84="완제품","완제품(창고없음)",IF($D84="원자재","⚠ 원자재_부서보관","미분류"))))))</f>
        <v/>
      </c>
      <c r="I84" s="79">
        <f>IFERROR(IF(INDIRECT("'"&amp;$O84&amp;"'!P"&amp;$N84)=0,"",INDIRECT("'"&amp;$O84&amp;"'!P"&amp;$N84)),"")</f>
        <v/>
      </c>
      <c r="J84" s="61" t="inlineStr">
        <is>
          <t>고압보드 SMT (D-041)</t>
        </is>
      </c>
      <c r="K84" s="65" t="inlineStr">
        <is>
          <t>고압보드 SMT (D-041) [SOLO]</t>
        </is>
      </c>
      <c r="L84" s="83">
        <f>HYPERLINK("#'"&amp;$O84&amp;"'!A"&amp;$N84,"→ 고압진공 R"&amp;$N84)</f>
        <v/>
      </c>
      <c r="M84" s="84" t="n"/>
      <c r="N84" s="80" t="n">
        <v>85</v>
      </c>
      <c r="O84" s="80" t="inlineStr">
        <is>
          <t>고압진공_재고현황</t>
        </is>
      </c>
    </row>
    <row r="85" ht="30" customHeight="1">
      <c r="A85" s="53" t="inlineStr">
        <is>
          <t>고압</t>
        </is>
      </c>
      <c r="B85" s="52" t="inlineStr">
        <is>
          <t>고압보드 A,SSY</t>
        </is>
      </c>
      <c r="C85" s="52" t="inlineStr">
        <is>
          <t>DX3000V</t>
        </is>
      </c>
      <c r="D85" s="79">
        <f>IF(INDIRECT("'"&amp;$O85&amp;"'!F"&amp;$N85)="O","원자재",IF(INDIRECT("'"&amp;$O85&amp;"'!G"&amp;$N85)="O","반제품",IF(INDIRECT("'"&amp;$O85&amp;"'!H"&amp;$N85)="O","완제품","")))</f>
        <v/>
      </c>
      <c r="E85" s="79">
        <f>IFERROR(IF(INDIRECT("'"&amp;$O85&amp;"'!I"&amp;$N85)=0,"",INDIRECT("'"&amp;$O85&amp;"'!I"&amp;$N85)),"")</f>
        <v/>
      </c>
      <c r="F85" s="52" t="inlineStr">
        <is>
          <t>고압보드 SMT 完 (D-0813) (Ver 1.0.0)</t>
        </is>
      </c>
      <c r="G85" s="52" t="n"/>
      <c r="H85" s="79">
        <f>IF(AND($F85="",$G85=""),"",IF($F85="","창고전용",IF($G85&lt;&gt;"","매칭완료",IF($D85="반제품","반제품(창고없음)",IF($D85="완제품","완제품(창고없음)",IF($D85="원자재","⚠ 원자재_부서보관","미분류"))))))</f>
        <v/>
      </c>
      <c r="I85" s="79">
        <f>IFERROR(IF(INDIRECT("'"&amp;$O85&amp;"'!P"&amp;$N85)=0,"",INDIRECT("'"&amp;$O85&amp;"'!P"&amp;$N85)),"")</f>
        <v/>
      </c>
      <c r="J85" s="61" t="inlineStr">
        <is>
          <t>고압보드 SMT 完 (D-0813) (Ver 1.0.0)</t>
        </is>
      </c>
      <c r="K85" s="65" t="inlineStr">
        <is>
          <t>고압보드 SMT 完 (D-0813) (Ver 1.0.0) [DX3000V]</t>
        </is>
      </c>
      <c r="L85" s="83">
        <f>HYPERLINK("#'"&amp;$O85&amp;"'!A"&amp;$N85,"→ 고압진공 R"&amp;$N85)</f>
        <v/>
      </c>
      <c r="M85" s="84" t="n"/>
      <c r="N85" s="80" t="n">
        <v>86</v>
      </c>
      <c r="O85" s="80" t="inlineStr">
        <is>
          <t>고압진공_재고현황</t>
        </is>
      </c>
    </row>
    <row r="86" ht="30" customHeight="1">
      <c r="A86" s="53" t="inlineStr">
        <is>
          <t>고압</t>
        </is>
      </c>
      <c r="B86" s="52" t="inlineStr">
        <is>
          <t>신주 및 베크라이트</t>
        </is>
      </c>
      <c r="C86" s="52" t="inlineStr">
        <is>
          <t>DX3000, ADX4000W, ADX6000</t>
        </is>
      </c>
      <c r="D86" s="79">
        <f>IF(INDIRECT("'"&amp;$O86&amp;"'!F"&amp;$N86)="O","원자재",IF(INDIRECT("'"&amp;$O86&amp;"'!G"&amp;$N86)="O","반제품",IF(INDIRECT("'"&amp;$O86&amp;"'!H"&amp;$N86)="O","완제품","")))</f>
        <v/>
      </c>
      <c r="E86" s="79">
        <f>IFERROR(IF(INDIRECT("'"&amp;$O86&amp;"'!I"&amp;$N86)=0,"",INDIRECT("'"&amp;$O86&amp;"'!I"&amp;$N86)),"")</f>
        <v/>
      </c>
      <c r="F86" s="52" t="inlineStr">
        <is>
          <t>베이클라이트 하우징 파이프</t>
        </is>
      </c>
      <c r="G86" s="52" t="inlineStr">
        <is>
          <t>튜브 하우징 파이프 (베이클라이트) [DX3000, ADX4000W ADX6000]</t>
        </is>
      </c>
      <c r="H86" s="79">
        <f>IF(AND($F86="",$G86=""),"",IF($F86="","창고전용",IF($G86&lt;&gt;"","매칭완료",IF($D86="반제품","반제품(창고없음)",IF($D86="완제품","완제품(창고없음)",IF($D86="원자재","⚠ 원자재_부서보관","미분류"))))))</f>
        <v/>
      </c>
      <c r="I86" s="79">
        <f>IFERROR(IF(INDIRECT("'"&amp;$O86&amp;"'!P"&amp;$N86)=0,"",INDIRECT("'"&amp;$O86&amp;"'!P"&amp;$N86)),"")</f>
        <v/>
      </c>
      <c r="J86" s="61" t="inlineStr">
        <is>
          <t>베이클라이트 하우징 파이프</t>
        </is>
      </c>
      <c r="K86" s="65" t="inlineStr">
        <is>
          <t>베이클라이트 하우징 파이프 [DX3000, ADX4000W, ADX6000]</t>
        </is>
      </c>
      <c r="L86" s="83">
        <f>HYPERLINK("#'"&amp;$O86&amp;"'!A"&amp;$N86,"→ 고압진공 R"&amp;$N86)</f>
        <v/>
      </c>
      <c r="M86" s="84" t="n"/>
      <c r="N86" s="80" t="n">
        <v>87</v>
      </c>
      <c r="O86" s="80" t="inlineStr">
        <is>
          <t>고압진공_재고현황</t>
        </is>
      </c>
    </row>
    <row r="87" ht="30" customHeight="1">
      <c r="A87" s="53" t="inlineStr">
        <is>
          <t>고압</t>
        </is>
      </c>
      <c r="B87" s="52" t="inlineStr">
        <is>
          <t>신주 및 베크라이트</t>
        </is>
      </c>
      <c r="C87" s="52" t="inlineStr">
        <is>
          <t>COCOON, SOLO</t>
        </is>
      </c>
      <c r="D87" s="79">
        <f>IF(INDIRECT("'"&amp;$O87&amp;"'!F"&amp;$N87)="O","원자재",IF(INDIRECT("'"&amp;$O87&amp;"'!G"&amp;$N87)="O","반제품",IF(INDIRECT("'"&amp;$O87&amp;"'!H"&amp;$N87)="O","완제품","")))</f>
        <v/>
      </c>
      <c r="E87" s="79">
        <f>IFERROR(IF(INDIRECT("'"&amp;$O87&amp;"'!I"&amp;$N87)=0,"",INDIRECT("'"&amp;$O87&amp;"'!I"&amp;$N87)),"")</f>
        <v/>
      </c>
      <c r="F87" s="52" t="inlineStr">
        <is>
          <t>70KV 튜브 하우징용 파이프</t>
        </is>
      </c>
      <c r="G87" s="52" t="inlineStr">
        <is>
          <t>튜브 하우징 파이프 (HDPE) [COCOON]</t>
        </is>
      </c>
      <c r="H87" s="79">
        <f>IF(AND($F87="",$G87=""),"",IF($F87="","창고전용",IF($G87&lt;&gt;"","매칭완료",IF($D87="반제품","반제품(창고없음)",IF($D87="완제품","완제품(창고없음)",IF($D87="원자재","⚠ 원자재_부서보관","미분류"))))))</f>
        <v/>
      </c>
      <c r="I87" s="79">
        <f>IFERROR(IF(INDIRECT("'"&amp;$O87&amp;"'!P"&amp;$N87)=0,"",INDIRECT("'"&amp;$O87&amp;"'!P"&amp;$N87)),"")</f>
        <v/>
      </c>
      <c r="J87" s="61" t="inlineStr">
        <is>
          <t>70KV 튜브 하우징용 파이프</t>
        </is>
      </c>
      <c r="K87" s="65" t="inlineStr">
        <is>
          <t>70KV 튜브 하우징용 파이프 [COCOON, SOLO]</t>
        </is>
      </c>
      <c r="L87" s="83">
        <f>HYPERLINK("#'"&amp;$O87&amp;"'!A"&amp;$N87,"→ 고압진공 R"&amp;$N87)</f>
        <v/>
      </c>
      <c r="M87" s="84" t="n"/>
      <c r="N87" s="80" t="n">
        <v>88</v>
      </c>
      <c r="O87" s="80" t="inlineStr">
        <is>
          <t>고압진공_재고현황</t>
        </is>
      </c>
    </row>
    <row r="88" ht="30" customHeight="1">
      <c r="A88" s="53" t="inlineStr">
        <is>
          <t>고압</t>
        </is>
      </c>
      <c r="B88" s="52" t="inlineStr">
        <is>
          <t>신주 및 베크라이트</t>
        </is>
      </c>
      <c r="C88" s="52" t="inlineStr">
        <is>
          <t>SOLO</t>
        </is>
      </c>
      <c r="D88" s="79">
        <f>IF(INDIRECT("'"&amp;$O88&amp;"'!F"&amp;$N88)="O","원자재",IF(INDIRECT("'"&amp;$O88&amp;"'!G"&amp;$N88)="O","반제품",IF(INDIRECT("'"&amp;$O88&amp;"'!H"&amp;$N88)="O","완제품","")))</f>
        <v/>
      </c>
      <c r="E88" s="79">
        <f>IFERROR(IF(INDIRECT("'"&amp;$O88&amp;"'!I"&amp;$N88)=0,"",INDIRECT("'"&amp;$O88&amp;"'!I"&amp;$N88)),"")</f>
        <v/>
      </c>
      <c r="F88" s="52" t="inlineStr">
        <is>
          <t>DXDR-070 하우징용 파이프</t>
        </is>
      </c>
      <c r="G88" s="52" t="inlineStr">
        <is>
          <t>세라믹 튜브 하우징 파이프 (HDPE) [SOLO]</t>
        </is>
      </c>
      <c r="H88" s="79">
        <f>IF(AND($F88="",$G88=""),"",IF($F88="","창고전용",IF($G88&lt;&gt;"","매칭완료",IF($D88="반제품","반제품(창고없음)",IF($D88="완제품","완제품(창고없음)",IF($D88="원자재","⚠ 원자재_부서보관","미분류"))))))</f>
        <v/>
      </c>
      <c r="I88" s="79">
        <f>IFERROR(IF(INDIRECT("'"&amp;$O88&amp;"'!P"&amp;$N88)=0,"",INDIRECT("'"&amp;$O88&amp;"'!P"&amp;$N88)),"")</f>
        <v/>
      </c>
      <c r="J88" s="61" t="inlineStr">
        <is>
          <t>DXDR-070 하우징용 파이프</t>
        </is>
      </c>
      <c r="K88" s="65" t="inlineStr">
        <is>
          <t>DXDR-070 하우징용 파이프 [SOLO]</t>
        </is>
      </c>
      <c r="L88" s="83">
        <f>HYPERLINK("#'"&amp;$O88&amp;"'!A"&amp;$N88,"→ 고압진공 R"&amp;$N88)</f>
        <v/>
      </c>
      <c r="M88" s="84" t="n"/>
      <c r="N88" s="80" t="n">
        <v>89</v>
      </c>
      <c r="O88" s="80" t="inlineStr">
        <is>
          <t>고압진공_재고현황</t>
        </is>
      </c>
    </row>
    <row r="89" ht="30" customHeight="1">
      <c r="A89" s="53" t="inlineStr">
        <is>
          <t>고압</t>
        </is>
      </c>
      <c r="B89" s="52" t="inlineStr">
        <is>
          <t>신주 및 베크라이트</t>
        </is>
      </c>
      <c r="C89" s="52" t="inlineStr">
        <is>
          <t>SOLO</t>
        </is>
      </c>
      <c r="D89" s="79">
        <f>IF(INDIRECT("'"&amp;$O89&amp;"'!F"&amp;$N89)="O","원자재",IF(INDIRECT("'"&amp;$O89&amp;"'!G"&amp;$N89)="O","반제품",IF(INDIRECT("'"&amp;$O89&amp;"'!H"&amp;$N89)="O","완제품","")))</f>
        <v/>
      </c>
      <c r="E89" s="79">
        <f>IFERROR(IF(INDIRECT("'"&amp;$O89&amp;"'!I"&amp;$N89)=0,"",INDIRECT("'"&amp;$O89&amp;"'!I"&amp;$N89)),"")</f>
        <v/>
      </c>
      <c r="F89" s="52" t="inlineStr">
        <is>
          <t>D-041 하우징용 파이프</t>
        </is>
      </c>
      <c r="G89" s="52" t="inlineStr">
        <is>
          <t>튜브 하우징 파이프 (HDPE) [SOLO]</t>
        </is>
      </c>
      <c r="H89" s="79">
        <f>IF(AND($F89="",$G89=""),"",IF($F89="","창고전용",IF($G89&lt;&gt;"","매칭완료",IF($D89="반제품","반제품(창고없음)",IF($D89="완제품","완제품(창고없음)",IF($D89="원자재","⚠ 원자재_부서보관","미분류"))))))</f>
        <v/>
      </c>
      <c r="I89" s="79">
        <f>IFERROR(IF(INDIRECT("'"&amp;$O89&amp;"'!P"&amp;$N89)=0,"",INDIRECT("'"&amp;$O89&amp;"'!P"&amp;$N89)),"")</f>
        <v/>
      </c>
      <c r="J89" s="61" t="inlineStr">
        <is>
          <t>D-041 하우징용 파이프</t>
        </is>
      </c>
      <c r="K89" s="65" t="inlineStr">
        <is>
          <t>D-041 하우징용 파이프 [SOLO]</t>
        </is>
      </c>
      <c r="L89" s="83">
        <f>HYPERLINK("#'"&amp;$O89&amp;"'!A"&amp;$N89,"→ 고압진공 R"&amp;$N89)</f>
        <v/>
      </c>
      <c r="M89" s="84" t="n"/>
      <c r="N89" s="80" t="n">
        <v>90</v>
      </c>
      <c r="O89" s="80" t="inlineStr">
        <is>
          <t>고압진공_재고현황</t>
        </is>
      </c>
    </row>
    <row r="90" ht="30" customHeight="1">
      <c r="A90" s="53" t="inlineStr">
        <is>
          <t>고압</t>
        </is>
      </c>
      <c r="B90" s="52" t="inlineStr">
        <is>
          <t>신주 및 베크라이트</t>
        </is>
      </c>
      <c r="C90" s="52" t="inlineStr">
        <is>
          <t>ADX6000</t>
        </is>
      </c>
      <c r="D90" s="79">
        <f>IF(INDIRECT("'"&amp;$O90&amp;"'!F"&amp;$N90)="O","원자재",IF(INDIRECT("'"&amp;$O90&amp;"'!G"&amp;$N90)="O","반제품",IF(INDIRECT("'"&amp;$O90&amp;"'!H"&amp;$N90)="O","완제품","")))</f>
        <v/>
      </c>
      <c r="E90" s="79">
        <f>IFERROR(IF(INDIRECT("'"&amp;$O90&amp;"'!I"&amp;$N90)=0,"",INDIRECT("'"&amp;$O90&amp;"'!I"&amp;$N90)),"")</f>
        <v/>
      </c>
      <c r="F90" s="52" t="inlineStr">
        <is>
          <t>PE 하우징 파이프</t>
        </is>
      </c>
      <c r="G90" s="52" t="n"/>
      <c r="H90" s="79">
        <f>IF(AND($F90="",$G90=""),"",IF($F90="","창고전용",IF($G90&lt;&gt;"","매칭완료",IF($D90="반제품","반제품(창고없음)",IF($D90="완제품","완제품(창고없음)",IF($D90="원자재","⚠ 원자재_부서보관","미분류"))))))</f>
        <v/>
      </c>
      <c r="I90" s="79">
        <f>IFERROR(IF(INDIRECT("'"&amp;$O90&amp;"'!P"&amp;$N90)=0,"",INDIRECT("'"&amp;$O90&amp;"'!P"&amp;$N90)),"")</f>
        <v/>
      </c>
      <c r="J90" s="61" t="inlineStr">
        <is>
          <t>PE 하우징 파이프</t>
        </is>
      </c>
      <c r="K90" s="65" t="inlineStr">
        <is>
          <t>PE 하우징 파이프 [ADX6000]</t>
        </is>
      </c>
      <c r="L90" s="83">
        <f>HYPERLINK("#'"&amp;$O90&amp;"'!A"&amp;$N90,"→ 고압진공 R"&amp;$N90)</f>
        <v/>
      </c>
      <c r="M90" s="84" t="n"/>
      <c r="N90" s="80" t="n">
        <v>91</v>
      </c>
      <c r="O90" s="80" t="inlineStr">
        <is>
          <t>고압진공_재고현황</t>
        </is>
      </c>
    </row>
    <row r="91" ht="30" customHeight="1">
      <c r="A91" s="54" t="inlineStr">
        <is>
          <t>진공</t>
        </is>
      </c>
      <c r="B91" s="52" t="inlineStr">
        <is>
          <t>부품</t>
        </is>
      </c>
      <c r="C91" s="52" t="inlineStr">
        <is>
          <t>ADX6000</t>
        </is>
      </c>
      <c r="D91" s="79">
        <f>IF(INDIRECT("'"&amp;$O91&amp;"'!F"&amp;$N91)="O","원자재",IF(INDIRECT("'"&amp;$O91&amp;"'!G"&amp;$N91)="O","반제품",IF(INDIRECT("'"&amp;$O91&amp;"'!H"&amp;$N91)="O","완제품","")))</f>
        <v/>
      </c>
      <c r="E91" s="79">
        <f>IFERROR(IF(INDIRECT("'"&amp;$O91&amp;"'!I"&amp;$N91)=0,"",INDIRECT("'"&amp;$O91&amp;"'!I"&amp;$N91)),"")</f>
        <v/>
      </c>
      <c r="F91" s="52" t="inlineStr">
        <is>
          <t>2T 알루미늄 필터</t>
        </is>
      </c>
      <c r="G91" s="52" t="inlineStr">
        <is>
          <t>알루미늄 필터 (2T * Φ24) [ADX6000]</t>
        </is>
      </c>
      <c r="H91" s="79">
        <f>IF(AND($F91="",$G91=""),"",IF($F91="","창고전용",IF($G91&lt;&gt;"","매칭완료",IF($D91="반제품","반제품(창고없음)",IF($D91="완제품","완제품(창고없음)",IF($D91="원자재","⚠ 원자재_부서보관","미분류"))))))</f>
        <v/>
      </c>
      <c r="I91" s="79">
        <f>IFERROR(IF(INDIRECT("'"&amp;$O91&amp;"'!P"&amp;$N91)=0,"",INDIRECT("'"&amp;$O91&amp;"'!P"&amp;$N91)),"")</f>
        <v/>
      </c>
      <c r="J91" s="61" t="inlineStr">
        <is>
          <t>2T 알루미늄 필터</t>
        </is>
      </c>
      <c r="K91" s="61" t="inlineStr">
        <is>
          <t>알루미늄 필터 (2T * Φ24)</t>
        </is>
      </c>
      <c r="L91" s="83">
        <f>HYPERLINK("#'"&amp;$O91&amp;"'!A"&amp;$N91,"→ 고압진공 R"&amp;$N91)</f>
        <v/>
      </c>
      <c r="M91" s="84" t="n"/>
      <c r="N91" s="80" t="n">
        <v>24</v>
      </c>
      <c r="O91" s="80" t="inlineStr">
        <is>
          <t>고압진공_재고현황</t>
        </is>
      </c>
    </row>
    <row r="92" ht="30" customHeight="1">
      <c r="A92" s="54" t="inlineStr">
        <is>
          <t>진공</t>
        </is>
      </c>
      <c r="B92" s="52" t="inlineStr">
        <is>
          <t>부품</t>
        </is>
      </c>
      <c r="C92" s="52" t="inlineStr">
        <is>
          <t>COCOON</t>
        </is>
      </c>
      <c r="D92" s="79">
        <f>IF(INDIRECT("'"&amp;$O92&amp;"'!F"&amp;$N92)="O","원자재",IF(INDIRECT("'"&amp;$O92&amp;"'!G"&amp;$N92)="O","반제품",IF(INDIRECT("'"&amp;$O92&amp;"'!H"&amp;$N92)="O","완제품","")))</f>
        <v/>
      </c>
      <c r="E92" s="79">
        <f>IFERROR(IF(INDIRECT("'"&amp;$O92&amp;"'!I"&amp;$N92)=0,"",INDIRECT("'"&amp;$O92&amp;"'!I"&amp;$N92)),"")</f>
        <v/>
      </c>
      <c r="F92" s="52" t="inlineStr">
        <is>
          <t>1.2T 알루미늄 필터</t>
        </is>
      </c>
      <c r="G92" s="52" t="inlineStr">
        <is>
          <t>알루미늄 필터 (1.2T * Φ24) [COCOON]</t>
        </is>
      </c>
      <c r="H92" s="79">
        <f>IF(AND($F92="",$G92=""),"",IF($F92="","창고전용",IF($G92&lt;&gt;"","매칭완료",IF($D92="반제품","반제품(창고없음)",IF($D92="완제품","완제품(창고없음)",IF($D92="원자재","⚠ 원자재_부서보관","미분류"))))))</f>
        <v/>
      </c>
      <c r="I92" s="79">
        <f>IFERROR(IF(INDIRECT("'"&amp;$O92&amp;"'!P"&amp;$N92)=0,"",INDIRECT("'"&amp;$O92&amp;"'!P"&amp;$N92)),"")</f>
        <v/>
      </c>
      <c r="J92" s="61" t="inlineStr">
        <is>
          <t>1.2T 알루미늄 필터</t>
        </is>
      </c>
      <c r="K92" s="61" t="inlineStr">
        <is>
          <t>알루미늄 필터 (1.2T * Φ24)</t>
        </is>
      </c>
      <c r="L92" s="83">
        <f>HYPERLINK("#'"&amp;$O92&amp;"'!A"&amp;$N92,"→ 고압진공 R"&amp;$N92)</f>
        <v/>
      </c>
      <c r="M92" s="84" t="n"/>
      <c r="N92" s="80" t="n">
        <v>25</v>
      </c>
      <c r="O92" s="80" t="inlineStr">
        <is>
          <t>고압진공_재고현황</t>
        </is>
      </c>
    </row>
    <row r="93" ht="30" customHeight="1">
      <c r="A93" s="54" t="inlineStr">
        <is>
          <t>진공</t>
        </is>
      </c>
      <c r="B93" s="52" t="inlineStr">
        <is>
          <t>부품</t>
        </is>
      </c>
      <c r="C93" s="52" t="inlineStr">
        <is>
          <t>DX3000, ADX4000W, ADX6000, COCOON</t>
        </is>
      </c>
      <c r="D93" s="79">
        <f>IF(INDIRECT("'"&amp;$O93&amp;"'!F"&amp;$N93)="O","원자재",IF(INDIRECT("'"&amp;$O93&amp;"'!G"&amp;$N93)="O","반제품",IF(INDIRECT("'"&amp;$O93&amp;"'!H"&amp;$N93)="O","완제품","")))</f>
        <v/>
      </c>
      <c r="E93" s="79">
        <f>IFERROR(IF(INDIRECT("'"&amp;$O93&amp;"'!I"&amp;$N93)=0,"",INDIRECT("'"&amp;$O93&amp;"'!I"&amp;$N93)),"")</f>
        <v/>
      </c>
      <c r="F93" s="52" t="inlineStr">
        <is>
          <t>0.8T 알루미늄 필터</t>
        </is>
      </c>
      <c r="G93" s="52" t="inlineStr">
        <is>
          <t>알루미늄 필터 (0.8T * Φ24) [DX3000, ADX4000W ADX6000]</t>
        </is>
      </c>
      <c r="H93" s="79">
        <f>IF(AND($F93="",$G93=""),"",IF($F93="","창고전용",IF($G93&lt;&gt;"","매칭완료",IF($D93="반제품","반제품(창고없음)",IF($D93="완제품","완제품(창고없음)",IF($D93="원자재","⚠ 원자재_부서보관","미분류"))))))</f>
        <v/>
      </c>
      <c r="I93" s="79">
        <f>IFERROR(IF(INDIRECT("'"&amp;$O93&amp;"'!P"&amp;$N93)=0,"",INDIRECT("'"&amp;$O93&amp;"'!P"&amp;$N93)),"")</f>
        <v/>
      </c>
      <c r="J93" s="61" t="inlineStr">
        <is>
          <t>0.8T 알루미늄 필터</t>
        </is>
      </c>
      <c r="K93" s="61" t="inlineStr">
        <is>
          <t>알루미늄 필터 (0.8T * Φ24)</t>
        </is>
      </c>
      <c r="L93" s="83">
        <f>HYPERLINK("#'"&amp;$O93&amp;"'!A"&amp;$N93,"→ 고압진공 R"&amp;$N93)</f>
        <v/>
      </c>
      <c r="M93" s="84" t="n"/>
      <c r="N93" s="80" t="n">
        <v>26</v>
      </c>
      <c r="O93" s="80" t="inlineStr">
        <is>
          <t>고압진공_재고현황</t>
        </is>
      </c>
    </row>
    <row r="94" ht="30" customHeight="1">
      <c r="A94" s="54" t="inlineStr">
        <is>
          <t>진공</t>
        </is>
      </c>
      <c r="B94" s="52" t="inlineStr">
        <is>
          <t>부품</t>
        </is>
      </c>
      <c r="C94" s="52" t="inlineStr">
        <is>
          <t>DX3000, ADX4000W, ADX6000, COCOON</t>
        </is>
      </c>
      <c r="D94" s="79">
        <f>IF(INDIRECT("'"&amp;$O94&amp;"'!F"&amp;$N94)="O","원자재",IF(INDIRECT("'"&amp;$O94&amp;"'!G"&amp;$N94)="O","반제품",IF(INDIRECT("'"&amp;$O94&amp;"'!H"&amp;$N94)="O","완제품","")))</f>
        <v/>
      </c>
      <c r="E94" s="79">
        <f>IFERROR(IF(INDIRECT("'"&amp;$O94&amp;"'!I"&amp;$N94)=0,"",INDIRECT("'"&amp;$O94&amp;"'!I"&amp;$N94)),"")</f>
        <v/>
      </c>
      <c r="F94" s="52" t="inlineStr">
        <is>
          <t>오링 (2*18)</t>
        </is>
      </c>
      <c r="G94" s="52" t="inlineStr">
        <is>
          <t>방사구 오링 (2*18) [공용]</t>
        </is>
      </c>
      <c r="H94" s="79">
        <f>IF(AND($F94="",$G94=""),"",IF($F94="","창고전용",IF($G94&lt;&gt;"","매칭완료",IF($D94="반제품","반제품(창고없음)",IF($D94="완제품","완제품(창고없음)",IF($D94="원자재","⚠ 원자재_부서보관","미분류"))))))</f>
        <v/>
      </c>
      <c r="I94" s="79">
        <f>IFERROR(IF(INDIRECT("'"&amp;$O94&amp;"'!P"&amp;$N94)=0,"",INDIRECT("'"&amp;$O94&amp;"'!P"&amp;$N94)),"")</f>
        <v/>
      </c>
      <c r="J94" s="61" t="inlineStr">
        <is>
          <t>오링 (2*18)</t>
        </is>
      </c>
      <c r="K94" s="61" t="inlineStr">
        <is>
          <t>방사구 오링 (2*18)</t>
        </is>
      </c>
      <c r="L94" s="83">
        <f>HYPERLINK("#'"&amp;$O94&amp;"'!A"&amp;$N94,"→ 고압진공 R"&amp;$N94)</f>
        <v/>
      </c>
      <c r="M94" s="84" t="n"/>
      <c r="N94" s="80" t="n">
        <v>27</v>
      </c>
      <c r="O94" s="80" t="inlineStr">
        <is>
          <t>고압진공_재고현황</t>
        </is>
      </c>
    </row>
    <row r="95" ht="30" customHeight="1">
      <c r="A95" s="54" t="inlineStr">
        <is>
          <t>진공</t>
        </is>
      </c>
      <c r="B95" s="52" t="inlineStr">
        <is>
          <t>BD</t>
        </is>
      </c>
      <c r="C95" s="52" t="inlineStr">
        <is>
          <t>DX3000, ADX4000W</t>
        </is>
      </c>
      <c r="D95" s="79">
        <f>IF(INDIRECT("'"&amp;$O95&amp;"'!F"&amp;$N95)="O","원자재",IF(INDIRECT("'"&amp;$O95&amp;"'!G"&amp;$N95)="O","반제품",IF(INDIRECT("'"&amp;$O95&amp;"'!H"&amp;$N95)="O","완제품","")))</f>
        <v/>
      </c>
      <c r="E95" s="79">
        <f>IFERROR(IF(INDIRECT("'"&amp;$O95&amp;"'!I"&amp;$N95)=0,"",INDIRECT("'"&amp;$O95&amp;"'!I"&amp;$N95)),"")</f>
        <v/>
      </c>
      <c r="F95" s="52" t="inlineStr">
        <is>
          <t>7핀 BD [190*88*1.6T*2L]</t>
        </is>
      </c>
      <c r="G95" s="52" t="inlineStr">
        <is>
          <t>7핀 B/D [DX3000, ADX4000W]</t>
        </is>
      </c>
      <c r="H95" s="79">
        <f>IF(AND($F95="",$G95=""),"",IF($F95="","창고전용",IF($G95&lt;&gt;"","매칭완료",IF($D95="반제품","반제품(창고없음)",IF($D95="완제품","완제품(창고없음)",IF($D95="원자재","⚠ 원자재_부서보관","미분류"))))))</f>
        <v/>
      </c>
      <c r="I95" s="79">
        <f>IFERROR(IF(INDIRECT("'"&amp;$O95&amp;"'!P"&amp;$N95)=0,"",INDIRECT("'"&amp;$O95&amp;"'!P"&amp;$N95)),"")</f>
        <v/>
      </c>
      <c r="J95" s="61" t="inlineStr">
        <is>
          <t>7핀 BD [190*88*1.6T*2L]</t>
        </is>
      </c>
      <c r="K95" s="61" t="inlineStr">
        <is>
          <t>7핀 B/D [DX3000, ADX4000W]</t>
        </is>
      </c>
      <c r="L95" s="83">
        <f>HYPERLINK("#'"&amp;$O95&amp;"'!A"&amp;$N95,"→ 고압진공 R"&amp;$N95)</f>
        <v/>
      </c>
      <c r="M95" s="84" t="n"/>
      <c r="N95" s="80" t="n">
        <v>56</v>
      </c>
      <c r="O95" s="80" t="inlineStr">
        <is>
          <t>고압진공_재고현황</t>
        </is>
      </c>
    </row>
    <row r="96" ht="30" customHeight="1">
      <c r="A96" s="54" t="inlineStr">
        <is>
          <t>진공</t>
        </is>
      </c>
      <c r="B96" s="52" t="inlineStr">
        <is>
          <t>BD</t>
        </is>
      </c>
      <c r="C96" s="52" t="inlineStr">
        <is>
          <t>ADX6000</t>
        </is>
      </c>
      <c r="D96" s="79">
        <f>IF(INDIRECT("'"&amp;$O96&amp;"'!F"&amp;$N96)="O","원자재",IF(INDIRECT("'"&amp;$O96&amp;"'!G"&amp;$N96)="O","반제품",IF(INDIRECT("'"&amp;$O96&amp;"'!H"&amp;$N96)="O","완제품","")))</f>
        <v/>
      </c>
      <c r="E96" s="79">
        <f>IFERROR(IF(INDIRECT("'"&amp;$O96&amp;"'!I"&amp;$N96)=0,"",INDIRECT("'"&amp;$O96&amp;"'!I"&amp;$N96)),"")</f>
        <v/>
      </c>
      <c r="F96" s="52" t="inlineStr">
        <is>
          <t>8핀 BD</t>
        </is>
      </c>
      <c r="G96" s="52" t="inlineStr">
        <is>
          <t>8핀 B/D (구형 8핀 보드) [ADX6000]</t>
        </is>
      </c>
      <c r="H96" s="79">
        <f>IF(AND($F96="",$G96=""),"",IF($F96="","창고전용",IF($G96&lt;&gt;"","매칭완료",IF($D96="반제품","반제품(창고없음)",IF($D96="완제품","완제품(창고없음)",IF($D96="원자재","⚠ 원자재_부서보관","미분류"))))))</f>
        <v/>
      </c>
      <c r="I96" s="79">
        <f>IFERROR(IF(INDIRECT("'"&amp;$O96&amp;"'!P"&amp;$N96)=0,"",INDIRECT("'"&amp;$O96&amp;"'!P"&amp;$N96)),"")</f>
        <v/>
      </c>
      <c r="J96" s="61" t="inlineStr">
        <is>
          <t>8핀 BD</t>
        </is>
      </c>
      <c r="K96" s="61" t="inlineStr">
        <is>
          <t>8핀 B/D (구형 8핀 보드) [ADX6000]</t>
        </is>
      </c>
      <c r="L96" s="83">
        <f>HYPERLINK("#'"&amp;$O96&amp;"'!A"&amp;$N96,"→ 고압진공 R"&amp;$N96)</f>
        <v/>
      </c>
      <c r="M96" s="84" t="n"/>
      <c r="N96" s="80" t="n">
        <v>57</v>
      </c>
      <c r="O96" s="80" t="inlineStr">
        <is>
          <t>고압진공_재고현황</t>
        </is>
      </c>
    </row>
    <row r="97" ht="30" customHeight="1">
      <c r="A97" s="54" t="inlineStr">
        <is>
          <t>진공</t>
        </is>
      </c>
      <c r="B97" s="52" t="inlineStr">
        <is>
          <t>BD</t>
        </is>
      </c>
      <c r="C97" s="52" t="inlineStr">
        <is>
          <t>ADX6000</t>
        </is>
      </c>
      <c r="D97" s="79">
        <f>IF(INDIRECT("'"&amp;$O97&amp;"'!F"&amp;$N97)="O","원자재",IF(INDIRECT("'"&amp;$O97&amp;"'!G"&amp;$N97)="O","반제품",IF(INDIRECT("'"&amp;$O97&amp;"'!H"&amp;$N97)="O","완제품","")))</f>
        <v/>
      </c>
      <c r="E97" s="79">
        <f>IFERROR(IF(INDIRECT("'"&amp;$O97&amp;"'!I"&amp;$N97)=0,"",INDIRECT("'"&amp;$O97&amp;"'!I"&amp;$N97)),"")</f>
        <v/>
      </c>
      <c r="F97" s="52" t="inlineStr">
        <is>
          <t>10핀 BD</t>
        </is>
      </c>
      <c r="G97" s="52" t="inlineStr">
        <is>
          <t>10핀 B/D [ADX6000]</t>
        </is>
      </c>
      <c r="H97" s="79">
        <f>IF(AND($F97="",$G97=""),"",IF($F97="","창고전용",IF($G97&lt;&gt;"","매칭완료",IF($D97="반제품","반제품(창고없음)",IF($D97="완제품","완제품(창고없음)",IF($D97="원자재","⚠ 원자재_부서보관","미분류"))))))</f>
        <v/>
      </c>
      <c r="I97" s="79">
        <f>IFERROR(IF(INDIRECT("'"&amp;$O97&amp;"'!P"&amp;$N97)=0,"",INDIRECT("'"&amp;$O97&amp;"'!P"&amp;$N97)),"")</f>
        <v/>
      </c>
      <c r="J97" s="61" t="inlineStr">
        <is>
          <t>10핀 BD</t>
        </is>
      </c>
      <c r="K97" s="61" t="inlineStr">
        <is>
          <t>10핀 B/D [ADX6000]</t>
        </is>
      </c>
      <c r="L97" s="83">
        <f>HYPERLINK("#'"&amp;$O97&amp;"'!A"&amp;$N97,"→ 고압진공 R"&amp;$N97)</f>
        <v/>
      </c>
      <c r="M97" s="84" t="n"/>
      <c r="N97" s="80" t="n">
        <v>58</v>
      </c>
      <c r="O97" s="80" t="inlineStr">
        <is>
          <t>고압진공_재고현황</t>
        </is>
      </c>
    </row>
    <row r="98" ht="30" customHeight="1">
      <c r="A98" s="54" t="inlineStr">
        <is>
          <t>진공</t>
        </is>
      </c>
      <c r="B98" s="52" t="inlineStr">
        <is>
          <t>BD</t>
        </is>
      </c>
      <c r="C98" s="52" t="inlineStr">
        <is>
          <t>COCOON</t>
        </is>
      </c>
      <c r="D98" s="79">
        <f>IF(INDIRECT("'"&amp;$O98&amp;"'!F"&amp;$N98)="O","원자재",IF(INDIRECT("'"&amp;$O98&amp;"'!G"&amp;$N98)="O","반제품",IF(INDIRECT("'"&amp;$O98&amp;"'!H"&amp;$N98)="O","완제품","")))</f>
        <v/>
      </c>
      <c r="E98" s="79">
        <f>IFERROR(IF(INDIRECT("'"&amp;$O98&amp;"'!I"&amp;$N98)=0,"",INDIRECT("'"&amp;$O98&amp;"'!I"&amp;$N98)),"")</f>
        <v/>
      </c>
      <c r="F98" s="52" t="inlineStr">
        <is>
          <t>8핀 BD</t>
        </is>
      </c>
      <c r="G98" s="52" t="n"/>
      <c r="H98" s="79">
        <f>IF(AND($F98="",$G98=""),"",IF($F98="","창고전용",IF($G98&lt;&gt;"","매칭완료",IF($D98="반제품","반제품(창고없음)",IF($D98="완제품","완제품(창고없음)",IF($D98="원자재","⚠ 원자재_부서보관","미분류"))))))</f>
        <v/>
      </c>
      <c r="I98" s="79">
        <f>IFERROR(IF(INDIRECT("'"&amp;$O98&amp;"'!P"&amp;$N98)=0,"",INDIRECT("'"&amp;$O98&amp;"'!P"&amp;$N98)),"")</f>
        <v/>
      </c>
      <c r="J98" s="61" t="inlineStr">
        <is>
          <t>8핀 BD</t>
        </is>
      </c>
      <c r="K98" s="61" t="inlineStr">
        <is>
          <t>8핀 BD [COCOON]</t>
        </is>
      </c>
      <c r="L98" s="83">
        <f>HYPERLINK("#'"&amp;$O98&amp;"'!A"&amp;$N98,"→ 고압진공 R"&amp;$N98)</f>
        <v/>
      </c>
      <c r="M98" s="84" t="n"/>
      <c r="N98" s="80" t="n">
        <v>59</v>
      </c>
      <c r="O98" s="80" t="inlineStr">
        <is>
          <t>고압진공_재고현황</t>
        </is>
      </c>
    </row>
    <row r="99" ht="30" customHeight="1">
      <c r="A99" s="54" t="inlineStr">
        <is>
          <t>진공</t>
        </is>
      </c>
      <c r="B99" s="52" t="inlineStr">
        <is>
          <t>BD</t>
        </is>
      </c>
      <c r="C99" s="52" t="inlineStr">
        <is>
          <t>DX3000</t>
        </is>
      </c>
      <c r="D99" s="79">
        <f>IF(INDIRECT("'"&amp;$O99&amp;"'!F"&amp;$N99)="O","원자재",IF(INDIRECT("'"&amp;$O99&amp;"'!G"&amp;$N99)="O","반제품",IF(INDIRECT("'"&amp;$O99&amp;"'!H"&amp;$N99)="O","완제품","")))</f>
        <v/>
      </c>
      <c r="E99" s="79">
        <f>IFERROR(IF(INDIRECT("'"&amp;$O99&amp;"'!I"&amp;$N99)=0,"",INDIRECT("'"&amp;$O99&amp;"'!I"&amp;$N99)),"")</f>
        <v/>
      </c>
      <c r="F99" s="52" t="inlineStr">
        <is>
          <t>9핀 BD</t>
        </is>
      </c>
      <c r="G99" s="52" t="inlineStr">
        <is>
          <t>9핀 B/D - TFT [DX3000]</t>
        </is>
      </c>
      <c r="H99" s="79">
        <f>IF(AND($F99="",$G99=""),"",IF($F99="","창고전용",IF($G99&lt;&gt;"","매칭완료",IF($D99="반제품","반제품(창고없음)",IF($D99="완제품","완제품(창고없음)",IF($D99="원자재","⚠ 원자재_부서보관","미분류"))))))</f>
        <v/>
      </c>
      <c r="I99" s="79">
        <f>IFERROR(IF(INDIRECT("'"&amp;$O99&amp;"'!P"&amp;$N99)=0,"",INDIRECT("'"&amp;$O99&amp;"'!P"&amp;$N99)),"")</f>
        <v/>
      </c>
      <c r="J99" s="61" t="inlineStr">
        <is>
          <t>9핀 BD</t>
        </is>
      </c>
      <c r="K99" s="61" t="inlineStr">
        <is>
          <t>9핀 B/D [DX3000M]</t>
        </is>
      </c>
      <c r="L99" s="83">
        <f>HYPERLINK("#'"&amp;$O99&amp;"'!A"&amp;$N99,"→ 고압진공 R"&amp;$N99)</f>
        <v/>
      </c>
      <c r="M99" s="84" t="n"/>
      <c r="N99" s="80" t="n">
        <v>60</v>
      </c>
      <c r="O99" s="80" t="inlineStr">
        <is>
          <t>고압진공_재고현황</t>
        </is>
      </c>
    </row>
    <row r="100" ht="30" customHeight="1">
      <c r="A100" s="54" t="inlineStr">
        <is>
          <t>진공</t>
        </is>
      </c>
      <c r="B100" s="52" t="inlineStr">
        <is>
          <t>BD</t>
        </is>
      </c>
      <c r="C100" s="52" t="inlineStr">
        <is>
          <t>SOLO</t>
        </is>
      </c>
      <c r="D100" s="79">
        <f>IF(INDIRECT("'"&amp;$O100&amp;"'!F"&amp;$N100)="O","원자재",IF(INDIRECT("'"&amp;$O100&amp;"'!G"&amp;$N100)="O","반제품",IF(INDIRECT("'"&amp;$O100&amp;"'!H"&amp;$N100)="O","완제품","")))</f>
        <v/>
      </c>
      <c r="E100" s="79">
        <f>IFERROR(IF(INDIRECT("'"&amp;$O100&amp;"'!I"&amp;$N100)=0,"",INDIRECT("'"&amp;$O100&amp;"'!I"&amp;$N100)),"")</f>
        <v/>
      </c>
      <c r="F100" s="52" t="inlineStr">
        <is>
          <t>9핀 BD</t>
        </is>
      </c>
      <c r="G100" s="52" t="inlineStr">
        <is>
          <t>9핀 B/D [SOLO]</t>
        </is>
      </c>
      <c r="H100" s="79">
        <f>IF(AND($F100="",$G100=""),"",IF($F100="","창고전용",IF($G100&lt;&gt;"","매칭완료",IF($D100="반제품","반제품(창고없음)",IF($D100="완제품","완제품(창고없음)",IF($D100="원자재","⚠ 원자재_부서보관","미분류"))))))</f>
        <v/>
      </c>
      <c r="I100" s="79">
        <f>IFERROR(IF(INDIRECT("'"&amp;$O100&amp;"'!P"&amp;$N100)=0,"",INDIRECT("'"&amp;$O100&amp;"'!P"&amp;$N100)),"")</f>
        <v/>
      </c>
      <c r="J100" s="61" t="inlineStr">
        <is>
          <t>9핀 BD</t>
        </is>
      </c>
      <c r="K100" s="65" t="inlineStr">
        <is>
          <t>9핀 B/D [SOLO]</t>
        </is>
      </c>
      <c r="L100" s="83">
        <f>HYPERLINK("#'"&amp;$O100&amp;"'!A"&amp;$N100,"→ 고압진공 R"&amp;$N100)</f>
        <v/>
      </c>
      <c r="M100" s="84" t="n"/>
      <c r="N100" s="80" t="n">
        <v>61</v>
      </c>
      <c r="O100" s="80" t="inlineStr">
        <is>
          <t>고압진공_재고현황</t>
        </is>
      </c>
    </row>
    <row r="101" ht="30" customHeight="1">
      <c r="A101" s="54" t="inlineStr">
        <is>
          <t>진공</t>
        </is>
      </c>
      <c r="B101" s="52" t="inlineStr">
        <is>
          <t>BD</t>
        </is>
      </c>
      <c r="C101" s="52" t="inlineStr">
        <is>
          <t>DX3000V</t>
        </is>
      </c>
      <c r="D101" s="79">
        <f>IF(INDIRECT("'"&amp;$O101&amp;"'!F"&amp;$N101)="O","원자재",IF(INDIRECT("'"&amp;$O101&amp;"'!G"&amp;$N101)="O","반제품",IF(INDIRECT("'"&amp;$O101&amp;"'!H"&amp;$N101)="O","완제품","")))</f>
        <v/>
      </c>
      <c r="E101" s="79">
        <f>IFERROR(IF(INDIRECT("'"&amp;$O101&amp;"'!I"&amp;$N101)=0,"",INDIRECT("'"&amp;$O101&amp;"'!I"&amp;$N101)),"")</f>
        <v/>
      </c>
      <c r="F101" s="52" t="inlineStr">
        <is>
          <t>10핀 BD</t>
        </is>
      </c>
      <c r="G101" s="52" t="n"/>
      <c r="H101" s="79">
        <f>IF(AND($F101="",$G101=""),"",IF($F101="","창고전용",IF($G101&lt;&gt;"","매칭완료",IF($D101="반제품","반제품(창고없음)",IF($D101="완제품","완제품(창고없음)",IF($D101="원자재","⚠ 원자재_부서보관","미분류"))))))</f>
        <v/>
      </c>
      <c r="I101" s="79">
        <f>IFERROR(IF(INDIRECT("'"&amp;$O101&amp;"'!P"&amp;$N101)=0,"",INDIRECT("'"&amp;$O101&amp;"'!P"&amp;$N101)),"")</f>
        <v/>
      </c>
      <c r="J101" s="61" t="inlineStr">
        <is>
          <t>10핀 BD</t>
        </is>
      </c>
      <c r="K101" s="61" t="inlineStr">
        <is>
          <t>10핀 BD [DX3000V]</t>
        </is>
      </c>
      <c r="L101" s="83">
        <f>HYPERLINK("#'"&amp;$O101&amp;"'!A"&amp;$N101,"→ 고압진공 R"&amp;$N101)</f>
        <v/>
      </c>
      <c r="M101" s="84" t="n"/>
      <c r="N101" s="80" t="n">
        <v>62</v>
      </c>
      <c r="O101" s="80" t="inlineStr">
        <is>
          <t>고압진공_재고현황</t>
        </is>
      </c>
    </row>
    <row r="102" ht="30" customHeight="1">
      <c r="A102" s="54" t="inlineStr">
        <is>
          <t>진공</t>
        </is>
      </c>
      <c r="B102" s="52" t="inlineStr">
        <is>
          <t>BD</t>
        </is>
      </c>
      <c r="C102" s="52" t="inlineStr">
        <is>
          <t>DX3000</t>
        </is>
      </c>
      <c r="D102" s="79">
        <f>IF(INDIRECT("'"&amp;$O102&amp;"'!F"&amp;$N102)="O","원자재",IF(INDIRECT("'"&amp;$O102&amp;"'!G"&amp;$N102)="O","반제품",IF(INDIRECT("'"&amp;$O102&amp;"'!H"&amp;$N102)="O","완제품","")))</f>
        <v/>
      </c>
      <c r="E102" s="79">
        <f>IFERROR(IF(INDIRECT("'"&amp;$O102&amp;"'!I"&amp;$N102)=0,"",INDIRECT("'"&amp;$O102&amp;"'!I"&amp;$N102)),"")</f>
        <v/>
      </c>
      <c r="F102" s="52" t="inlineStr">
        <is>
          <t>D3CT (TFT용)</t>
        </is>
      </c>
      <c r="G102" s="52" t="inlineStr">
        <is>
          <t>CTR B/D (TFT용) (V3.1.1) [DX3000]</t>
        </is>
      </c>
      <c r="H102" s="79">
        <f>IF(AND($F102="",$G102=""),"",IF($F102="","창고전용",IF($G102&lt;&gt;"","매칭완료",IF($D102="반제품","반제품(창고없음)",IF($D102="완제품","완제품(창고없음)",IF($D102="원자재","⚠ 원자재_부서보관","미분류"))))))</f>
        <v/>
      </c>
      <c r="I102" s="79">
        <f>IFERROR(IF(INDIRECT("'"&amp;$O102&amp;"'!P"&amp;$N102)=0,"",INDIRECT("'"&amp;$O102&amp;"'!P"&amp;$N102)),"")</f>
        <v/>
      </c>
      <c r="J102" s="61" t="inlineStr">
        <is>
          <t>D3CT (TFT용)</t>
        </is>
      </c>
      <c r="K102" s="65" t="inlineStr">
        <is>
          <t>CTR B/D [DX3000M]</t>
        </is>
      </c>
      <c r="L102" s="83">
        <f>HYPERLINK("#'"&amp;$O102&amp;"'!A"&amp;$N102,"→ 고압진공 R"&amp;$N102)</f>
        <v/>
      </c>
      <c r="M102" s="84" t="n"/>
      <c r="N102" s="80" t="n">
        <v>63</v>
      </c>
      <c r="O102" s="80" t="inlineStr">
        <is>
          <t>고압진공_재고현황</t>
        </is>
      </c>
    </row>
    <row r="103" ht="30" customHeight="1">
      <c r="A103" s="54" t="inlineStr">
        <is>
          <t>진공</t>
        </is>
      </c>
      <c r="B103" s="52" t="inlineStr">
        <is>
          <t>BD</t>
        </is>
      </c>
      <c r="C103" s="52" t="inlineStr">
        <is>
          <t>DX3000</t>
        </is>
      </c>
      <c r="D103" s="79">
        <f>IF(INDIRECT("'"&amp;$O103&amp;"'!F"&amp;$N103)="O","원자재",IF(INDIRECT("'"&amp;$O103&amp;"'!G"&amp;$N103)="O","반제품",IF(INDIRECT("'"&amp;$O103&amp;"'!H"&amp;$N103)="O","완제품","")))</f>
        <v/>
      </c>
      <c r="E103" s="79">
        <f>IFERROR(IF(INDIRECT("'"&amp;$O103&amp;"'!I"&amp;$N103)=0,"",INDIRECT("'"&amp;$O103&amp;"'!I"&amp;$N103)),"")</f>
        <v/>
      </c>
      <c r="F103" s="52" t="inlineStr">
        <is>
          <t>DC3D (유럽용)</t>
        </is>
      </c>
      <c r="G103" s="52" t="inlineStr">
        <is>
          <t>CTR B/D (유럽용) [DX3000]</t>
        </is>
      </c>
      <c r="H103" s="79">
        <f>IF(AND($F103="",$G103=""),"",IF($F103="","창고전용",IF($G103&lt;&gt;"","매칭완료",IF($D103="반제품","반제품(창고없음)",IF($D103="완제품","완제품(창고없음)",IF($D103="원자재","⚠ 원자재_부서보관","미분류"))))))</f>
        <v/>
      </c>
      <c r="I103" s="79">
        <f>IFERROR(IF(INDIRECT("'"&amp;$O103&amp;"'!P"&amp;$N103)=0,"",INDIRECT("'"&amp;$O103&amp;"'!P"&amp;$N103)),"")</f>
        <v/>
      </c>
      <c r="J103" s="61" t="inlineStr">
        <is>
          <t>DC3D (유럽용)</t>
        </is>
      </c>
      <c r="K103" s="61" t="inlineStr">
        <is>
          <t>CTR B/D (유럽용) [DX3000]</t>
        </is>
      </c>
      <c r="L103" s="83">
        <f>HYPERLINK("#'"&amp;$O103&amp;"'!A"&amp;$N103,"→ 고압진공 R"&amp;$N103)</f>
        <v/>
      </c>
      <c r="M103" s="84" t="n"/>
      <c r="N103" s="80" t="n">
        <v>64</v>
      </c>
      <c r="O103" s="80" t="inlineStr">
        <is>
          <t>고압진공_재고현황</t>
        </is>
      </c>
    </row>
    <row r="104" ht="30" customHeight="1">
      <c r="A104" s="54" t="inlineStr">
        <is>
          <t>진공</t>
        </is>
      </c>
      <c r="B104" s="52" t="inlineStr">
        <is>
          <t>BD</t>
        </is>
      </c>
      <c r="C104" s="52" t="inlineStr">
        <is>
          <t>DX3000</t>
        </is>
      </c>
      <c r="D104" s="79">
        <f>IF(INDIRECT("'"&amp;$O104&amp;"'!F"&amp;$N104)="O","원자재",IF(INDIRECT("'"&amp;$O104&amp;"'!G"&amp;$N104)="O","반제품",IF(INDIRECT("'"&amp;$O104&amp;"'!H"&amp;$N104)="O","완제품","")))</f>
        <v/>
      </c>
      <c r="E104" s="79">
        <f>IFERROR(IF(INDIRECT("'"&amp;$O104&amp;"'!I"&amp;$N104)=0,"",INDIRECT("'"&amp;$O104&amp;"'!I"&amp;$N104)),"")</f>
        <v/>
      </c>
      <c r="F104" s="52" t="inlineStr">
        <is>
          <t>D3CL (미국용)</t>
        </is>
      </c>
      <c r="G104" s="52" t="inlineStr">
        <is>
          <t>CTR B/D (미국용) [DX3000]</t>
        </is>
      </c>
      <c r="H104" s="79">
        <f>IF(AND($F104="",$G104=""),"",IF($F104="","창고전용",IF($G104&lt;&gt;"","매칭완료",IF($D104="반제품","반제품(창고없음)",IF($D104="완제품","완제품(창고없음)",IF($D104="원자재","⚠ 원자재_부서보관","미분류"))))))</f>
        <v/>
      </c>
      <c r="I104" s="79">
        <f>IFERROR(IF(INDIRECT("'"&amp;$O104&amp;"'!P"&amp;$N104)=0,"",INDIRECT("'"&amp;$O104&amp;"'!P"&amp;$N104)),"")</f>
        <v/>
      </c>
      <c r="J104" s="61" t="inlineStr">
        <is>
          <t>D3CL (미국용)</t>
        </is>
      </c>
      <c r="K104" s="61" t="inlineStr">
        <is>
          <t>CTR B/D (미국용) [DX3000]</t>
        </is>
      </c>
      <c r="L104" s="83">
        <f>HYPERLINK("#'"&amp;$O104&amp;"'!A"&amp;$N104,"→ 고압진공 R"&amp;$N104)</f>
        <v/>
      </c>
      <c r="M104" s="84" t="n"/>
      <c r="N104" s="80" t="n">
        <v>65</v>
      </c>
      <c r="O104" s="80" t="inlineStr">
        <is>
          <t>고압진공_재고현황</t>
        </is>
      </c>
    </row>
    <row r="105" ht="30" customHeight="1">
      <c r="A105" s="54" t="inlineStr">
        <is>
          <t>진공</t>
        </is>
      </c>
      <c r="B105" s="52" t="inlineStr">
        <is>
          <t>BD</t>
        </is>
      </c>
      <c r="C105" s="52" t="inlineStr">
        <is>
          <t>ADX4000W</t>
        </is>
      </c>
      <c r="D105" s="79">
        <f>IF(INDIRECT("'"&amp;$O105&amp;"'!F"&amp;$N105)="O","원자재",IF(INDIRECT("'"&amp;$O105&amp;"'!G"&amp;$N105)="O","반제품",IF(INDIRECT("'"&amp;$O105&amp;"'!H"&amp;$N105)="O","완제품","")))</f>
        <v/>
      </c>
      <c r="E105" s="79">
        <f>IFERROR(IF(INDIRECT("'"&amp;$O105&amp;"'!I"&amp;$N105)=0,"",INDIRECT("'"&amp;$O105&amp;"'!I"&amp;$N105)),"")</f>
        <v/>
      </c>
      <c r="F105" s="52" t="inlineStr">
        <is>
          <t>A4CB</t>
        </is>
      </c>
      <c r="G105" s="52" t="n"/>
      <c r="H105" s="79">
        <f>IF(AND($F105="",$G105=""),"",IF($F105="","창고전용",IF($G105&lt;&gt;"","매칭완료",IF($D105="반제품","반제품(창고없음)",IF($D105="완제품","완제품(창고없음)",IF($D105="원자재","⚠ 원자재_부서보관","미분류"))))))</f>
        <v/>
      </c>
      <c r="I105" s="79">
        <f>IFERROR(IF(INDIRECT("'"&amp;$O105&amp;"'!P"&amp;$N105)=0,"",INDIRECT("'"&amp;$O105&amp;"'!P"&amp;$N105)),"")</f>
        <v/>
      </c>
      <c r="J105" s="61" t="inlineStr">
        <is>
          <t>A4CB</t>
        </is>
      </c>
      <c r="K105" s="61" t="inlineStr">
        <is>
          <t>CTR B/D [DX4000]</t>
        </is>
      </c>
      <c r="L105" s="83">
        <f>HYPERLINK("#'"&amp;$O105&amp;"'!A"&amp;$N105,"→ 고압진공 R"&amp;$N105)</f>
        <v/>
      </c>
      <c r="M105" s="84" t="n"/>
      <c r="N105" s="80" t="n">
        <v>66</v>
      </c>
      <c r="O105" s="80" t="inlineStr">
        <is>
          <t>고압진공_재고현황</t>
        </is>
      </c>
    </row>
    <row r="106" ht="30" customHeight="1">
      <c r="A106" s="54" t="inlineStr">
        <is>
          <t>진공</t>
        </is>
      </c>
      <c r="B106" s="52" t="inlineStr">
        <is>
          <t>BD</t>
        </is>
      </c>
      <c r="C106" s="52" t="inlineStr">
        <is>
          <t>COCOON</t>
        </is>
      </c>
      <c r="D106" s="79">
        <f>IF(INDIRECT("'"&amp;$O106&amp;"'!F"&amp;$N106)="O","원자재",IF(INDIRECT("'"&amp;$O106&amp;"'!G"&amp;$N106)="O","반제품",IF(INDIRECT("'"&amp;$O106&amp;"'!H"&amp;$N106)="O","완제품","")))</f>
        <v/>
      </c>
      <c r="E106" s="79">
        <f>IFERROR(IF(INDIRECT("'"&amp;$O106&amp;"'!I"&amp;$N106)=0,"",INDIRECT("'"&amp;$O106&amp;"'!I"&amp;$N106)),"")</f>
        <v/>
      </c>
      <c r="F106" s="52" t="inlineStr">
        <is>
          <t>FET BD</t>
        </is>
      </c>
      <c r="G106" s="52" t="n"/>
      <c r="H106" s="79">
        <f>IF(AND($F106="",$G106=""),"",IF($F106="","창고전용",IF($G106&lt;&gt;"","매칭완료",IF($D106="반제품","반제품(창고없음)",IF($D106="완제품","완제품(창고없음)",IF($D106="원자재","⚠ 원자재_부서보관","미분류"))))))</f>
        <v/>
      </c>
      <c r="I106" s="79">
        <f>IFERROR(IF(INDIRECT("'"&amp;$O106&amp;"'!P"&amp;$N106)=0,"",INDIRECT("'"&amp;$O106&amp;"'!P"&amp;$N106)),"")</f>
        <v/>
      </c>
      <c r="J106" s="61" t="inlineStr">
        <is>
          <t>FET BD</t>
        </is>
      </c>
      <c r="K106" s="61" t="inlineStr">
        <is>
          <t>FET BD [COCOON]</t>
        </is>
      </c>
      <c r="L106" s="83">
        <f>HYPERLINK("#'"&amp;$O106&amp;"'!A"&amp;$N106,"→ 고압진공 R"&amp;$N106)</f>
        <v/>
      </c>
      <c r="M106" s="84" t="n"/>
      <c r="N106" s="80" t="n">
        <v>67</v>
      </c>
      <c r="O106" s="80" t="inlineStr">
        <is>
          <t>고압진공_재고현황</t>
        </is>
      </c>
    </row>
    <row r="107" ht="30" customHeight="1">
      <c r="A107" s="54" t="inlineStr">
        <is>
          <t>진공</t>
        </is>
      </c>
      <c r="B107" s="52" t="inlineStr">
        <is>
          <t>BD</t>
        </is>
      </c>
      <c r="C107" s="52" t="inlineStr">
        <is>
          <t>SOLO</t>
        </is>
      </c>
      <c r="D107" s="79">
        <f>IF(INDIRECT("'"&amp;$O107&amp;"'!F"&amp;$N107)="O","원자재",IF(INDIRECT("'"&amp;$O107&amp;"'!G"&amp;$N107)="O","반제품",IF(INDIRECT("'"&amp;$O107&amp;"'!H"&amp;$N107)="O","완제품","")))</f>
        <v/>
      </c>
      <c r="E107" s="79">
        <f>IFERROR(IF(INDIRECT("'"&amp;$O107&amp;"'!I"&amp;$N107)=0,"",INDIRECT("'"&amp;$O107&amp;"'!I"&amp;$N107)),"")</f>
        <v/>
      </c>
      <c r="F107" s="52" t="inlineStr">
        <is>
          <t>CSCB</t>
        </is>
      </c>
      <c r="G107" s="52" t="n"/>
      <c r="H107" s="79">
        <f>IF(AND($F107="",$G107=""),"",IF($F107="","창고전용",IF($G107&lt;&gt;"","매칭완료",IF($D107="반제품","반제품(창고없음)",IF($D107="완제품","완제품(창고없음)",IF($D107="원자재","⚠ 원자재_부서보관","미분류"))))))</f>
        <v/>
      </c>
      <c r="I107" s="79">
        <f>IFERROR(IF(INDIRECT("'"&amp;$O107&amp;"'!P"&amp;$N107)=0,"",INDIRECT("'"&amp;$O107&amp;"'!P"&amp;$N107)),"")</f>
        <v/>
      </c>
      <c r="J107" s="61" t="inlineStr">
        <is>
          <t>CSCB</t>
        </is>
      </c>
      <c r="K107" s="61" t="inlineStr">
        <is>
          <t>CTR B/D [SOLO]</t>
        </is>
      </c>
      <c r="L107" s="83">
        <f>HYPERLINK("#'"&amp;$O107&amp;"'!A"&amp;$N107,"→ 고압진공 R"&amp;$N107)</f>
        <v/>
      </c>
      <c r="M107" s="84" t="n"/>
      <c r="N107" s="80" t="n">
        <v>68</v>
      </c>
      <c r="O107" s="80" t="inlineStr">
        <is>
          <t>고압진공_재고현황</t>
        </is>
      </c>
    </row>
    <row r="108" ht="30" customHeight="1">
      <c r="A108" s="54" t="inlineStr">
        <is>
          <t>진공</t>
        </is>
      </c>
      <c r="B108" s="52" t="inlineStr">
        <is>
          <t>BD</t>
        </is>
      </c>
      <c r="C108" s="52" t="inlineStr">
        <is>
          <t>DX3000V</t>
        </is>
      </c>
      <c r="D108" s="79">
        <f>IF(INDIRECT("'"&amp;$O108&amp;"'!F"&amp;$N108)="O","원자재",IF(INDIRECT("'"&amp;$O108&amp;"'!G"&amp;$N108)="O","반제품",IF(INDIRECT("'"&amp;$O108&amp;"'!H"&amp;$N108)="O","완제품","")))</f>
        <v/>
      </c>
      <c r="E108" s="79">
        <f>IFERROR(IF(INDIRECT("'"&amp;$O108&amp;"'!I"&amp;$N108)=0,"",INDIRECT("'"&amp;$O108&amp;"'!I"&amp;$N108)),"")</f>
        <v/>
      </c>
      <c r="F108" s="52" t="inlineStr">
        <is>
          <t>D3CV</t>
        </is>
      </c>
      <c r="G108" s="52" t="n"/>
      <c r="H108" s="79">
        <f>IF(AND($F108="",$G108=""),"",IF($F108="","창고전용",IF($G108&lt;&gt;"","매칭완료",IF($D108="반제품","반제품(창고없음)",IF($D108="완제품","완제품(창고없음)",IF($D108="원자재","⚠ 원자재_부서보관","미분류"))))))</f>
        <v/>
      </c>
      <c r="I108" s="79">
        <f>IFERROR(IF(INDIRECT("'"&amp;$O108&amp;"'!P"&amp;$N108)=0,"",INDIRECT("'"&amp;$O108&amp;"'!P"&amp;$N108)),"")</f>
        <v/>
      </c>
      <c r="J108" s="61" t="inlineStr">
        <is>
          <t>D3CV</t>
        </is>
      </c>
      <c r="K108" s="61" t="inlineStr">
        <is>
          <t>CTR B/D [DX3000V]</t>
        </is>
      </c>
      <c r="L108" s="83">
        <f>HYPERLINK("#'"&amp;$O108&amp;"'!A"&amp;$N108,"→ 고압진공 R"&amp;$N108)</f>
        <v/>
      </c>
      <c r="M108" s="84" t="n"/>
      <c r="N108" s="80" t="n">
        <v>69</v>
      </c>
      <c r="O108" s="80" t="inlineStr">
        <is>
          <t>고압진공_재고현황</t>
        </is>
      </c>
    </row>
    <row r="109" ht="30" customHeight="1">
      <c r="A109" s="54" t="inlineStr">
        <is>
          <t>진공</t>
        </is>
      </c>
      <c r="B109" s="52" t="inlineStr">
        <is>
          <t>신주 A,ssy</t>
        </is>
      </c>
      <c r="C109" s="52" t="inlineStr">
        <is>
          <t>DX3000, ADX4000W, ADX6000</t>
        </is>
      </c>
      <c r="D109" s="79">
        <f>IF(INDIRECT("'"&amp;$O109&amp;"'!F"&amp;$N109)="O","원자재",IF(INDIRECT("'"&amp;$O109&amp;"'!G"&amp;$N109)="O","반제품",IF(INDIRECT("'"&amp;$O109&amp;"'!H"&amp;$N109)="O","완제품","")))</f>
        <v/>
      </c>
      <c r="E109" s="79">
        <f>IFERROR(IF(INDIRECT("'"&amp;$O109&amp;"'!I"&amp;$N109)=0,"",INDIRECT("'"&amp;$O109&amp;"'!I"&amp;$N109)),"")</f>
        <v/>
      </c>
      <c r="F109" s="52" t="inlineStr">
        <is>
          <t>베크라이트케이스</t>
        </is>
      </c>
      <c r="G109" s="52" t="inlineStr">
        <is>
          <t>베이클라이트 케이스 (베이클라이트) [DX3000, ADX4000W ADX6000]</t>
        </is>
      </c>
      <c r="H109" s="79">
        <f>IF(AND($F109="",$G109=""),"",IF($F109="","창고전용",IF($G109&lt;&gt;"","매칭완료",IF($D109="반제품","반제품(창고없음)",IF($D109="완제품","완제품(창고없음)",IF($D109="원자재","⚠ 원자재_부서보관","미분류"))))))</f>
        <v/>
      </c>
      <c r="I109" s="79">
        <f>IFERROR(IF(INDIRECT("'"&amp;$O109&amp;"'!P"&amp;$N109)=0,"",INDIRECT("'"&amp;$O109&amp;"'!P"&amp;$N109)),"")</f>
        <v/>
      </c>
      <c r="J109" s="61" t="inlineStr">
        <is>
          <t>베크라이트케이스</t>
        </is>
      </c>
      <c r="K109" s="61" t="inlineStr">
        <is>
          <t>베이클라이트 케이스</t>
        </is>
      </c>
      <c r="L109" s="83">
        <f>HYPERLINK("#'"&amp;$O109&amp;"'!A"&amp;$N109,"→ 고압진공 R"&amp;$N109)</f>
        <v/>
      </c>
      <c r="M109" s="84" t="n"/>
      <c r="N109" s="80" t="n">
        <v>92</v>
      </c>
      <c r="O109" s="80" t="inlineStr">
        <is>
          <t>고압진공_재고현황</t>
        </is>
      </c>
    </row>
    <row r="110" ht="30" customHeight="1">
      <c r="A110" s="54" t="inlineStr">
        <is>
          <t>진공</t>
        </is>
      </c>
      <c r="B110" s="52" t="inlineStr">
        <is>
          <t>신주 A,ssy</t>
        </is>
      </c>
      <c r="C110" s="52" t="inlineStr">
        <is>
          <t>COCOON</t>
        </is>
      </c>
      <c r="D110" s="79">
        <f>IF(INDIRECT("'"&amp;$O110&amp;"'!F"&amp;$N110)="O","원자재",IF(INDIRECT("'"&amp;$O110&amp;"'!G"&amp;$N110)="O","반제품",IF(INDIRECT("'"&amp;$O110&amp;"'!H"&amp;$N110)="O","완제품","")))</f>
        <v/>
      </c>
      <c r="E110" s="79">
        <f>IFERROR(IF(INDIRECT("'"&amp;$O110&amp;"'!I"&amp;$N110)=0,"",INDIRECT("'"&amp;$O110&amp;"'!I"&amp;$N110)),"")</f>
        <v/>
      </c>
      <c r="F110" s="52" t="inlineStr">
        <is>
          <t>(nc)케이스</t>
        </is>
      </c>
      <c r="G110" s="52" t="inlineStr">
        <is>
          <t>NC 케이스 (HDPE) [COCOON]</t>
        </is>
      </c>
      <c r="H110" s="79">
        <f>IF(AND($F110="",$G110=""),"",IF($F110="","창고전용",IF($G110&lt;&gt;"","매칭완료",IF($D110="반제품","반제품(창고없음)",IF($D110="완제품","완제품(창고없음)",IF($D110="원자재","⚠ 원자재_부서보관","미분류"))))))</f>
        <v/>
      </c>
      <c r="I110" s="79">
        <f>IFERROR(IF(INDIRECT("'"&amp;$O110&amp;"'!P"&amp;$N110)=0,"",INDIRECT("'"&amp;$O110&amp;"'!P"&amp;$N110)),"")</f>
        <v/>
      </c>
      <c r="J110" s="61" t="inlineStr">
        <is>
          <t>(nc)케이스</t>
        </is>
      </c>
      <c r="K110" s="61" t="inlineStr">
        <is>
          <t>NC 케이스 [COCOON]</t>
        </is>
      </c>
      <c r="L110" s="83">
        <f>HYPERLINK("#'"&amp;$O110&amp;"'!A"&amp;$N110,"→ 고압진공 R"&amp;$N110)</f>
        <v/>
      </c>
      <c r="M110" s="84" t="n"/>
      <c r="N110" s="80" t="n">
        <v>93</v>
      </c>
      <c r="O110" s="80" t="inlineStr">
        <is>
          <t>고압진공_재고현황</t>
        </is>
      </c>
    </row>
    <row r="111" ht="30" customHeight="1">
      <c r="A111" s="54" t="inlineStr">
        <is>
          <t>진공</t>
        </is>
      </c>
      <c r="B111" s="52" t="inlineStr">
        <is>
          <t>신주 A,ssy</t>
        </is>
      </c>
      <c r="C111" s="52" t="inlineStr">
        <is>
          <t>COCOON</t>
        </is>
      </c>
      <c r="D111" s="79">
        <f>IF(INDIRECT("'"&amp;$O111&amp;"'!F"&amp;$N111)="O","원자재",IF(INDIRECT("'"&amp;$O111&amp;"'!G"&amp;$N111)="O","반제품",IF(INDIRECT("'"&amp;$O111&amp;"'!H"&amp;$N111)="O","완제품","")))</f>
        <v/>
      </c>
      <c r="E111" s="79">
        <f>IFERROR(IF(INDIRECT("'"&amp;$O111&amp;"'!I"&amp;$N111)=0,"",INDIRECT("'"&amp;$O111&amp;"'!I"&amp;$N111)),"")</f>
        <v/>
      </c>
      <c r="F111" s="52" t="inlineStr">
        <is>
          <t>PE케이스거치대</t>
        </is>
      </c>
      <c r="G111" s="52" t="inlineStr">
        <is>
          <t>PE케이스 거치대 (HDPE) [COCOON]</t>
        </is>
      </c>
      <c r="H111" s="79">
        <f>IF(AND($F111="",$G111=""),"",IF($F111="","창고전용",IF($G111&lt;&gt;"","매칭완료",IF($D111="반제품","반제품(창고없음)",IF($D111="완제품","완제품(창고없음)",IF($D111="원자재","⚠ 원자재_부서보관","미분류"))))))</f>
        <v/>
      </c>
      <c r="I111" s="79">
        <f>IFERROR(IF(INDIRECT("'"&amp;$O111&amp;"'!P"&amp;$N111)=0,"",INDIRECT("'"&amp;$O111&amp;"'!P"&amp;$N111)),"")</f>
        <v/>
      </c>
      <c r="J111" s="61" t="inlineStr">
        <is>
          <t>PE케이스거치대</t>
        </is>
      </c>
      <c r="K111" s="61" t="inlineStr">
        <is>
          <t>PE케이스 거치대 [COCOON]</t>
        </is>
      </c>
      <c r="L111" s="83">
        <f>HYPERLINK("#'"&amp;$O111&amp;"'!A"&amp;$N111,"→ 고압진공 R"&amp;$N111)</f>
        <v/>
      </c>
      <c r="M111" s="84" t="n"/>
      <c r="N111" s="80" t="n">
        <v>94</v>
      </c>
      <c r="O111" s="80" t="inlineStr">
        <is>
          <t>고압진공_재고현황</t>
        </is>
      </c>
    </row>
    <row r="112" ht="30" customHeight="1">
      <c r="A112" s="54" t="inlineStr">
        <is>
          <t>진공</t>
        </is>
      </c>
      <c r="B112" s="52" t="inlineStr">
        <is>
          <t>신주 A,ssy</t>
        </is>
      </c>
      <c r="C112" s="52" t="inlineStr">
        <is>
          <t>ADX6000</t>
        </is>
      </c>
      <c r="D112" s="79">
        <f>IF(INDIRECT("'"&amp;$O112&amp;"'!F"&amp;$N112)="O","원자재",IF(INDIRECT("'"&amp;$O112&amp;"'!G"&amp;$N112)="O","반제품",IF(INDIRECT("'"&amp;$O112&amp;"'!H"&amp;$N112)="O","완제품","")))</f>
        <v/>
      </c>
      <c r="E112" s="79">
        <f>IFERROR(IF(INDIRECT("'"&amp;$O112&amp;"'!I"&amp;$N112)=0,"",INDIRECT("'"&amp;$O112&amp;"'!I"&amp;$N112)),"")</f>
        <v/>
      </c>
      <c r="F112" s="52" t="inlineStr">
        <is>
          <t>(nc)케이스</t>
        </is>
      </c>
      <c r="G112" s="52" t="n"/>
      <c r="H112" s="79">
        <f>IF(AND($F112="",$G112=""),"",IF($F112="","창고전용",IF($G112&lt;&gt;"","매칭완료",IF($D112="반제품","반제품(창고없음)",IF($D112="완제품","완제품(창고없음)",IF($D112="원자재","⚠ 원자재_부서보관","미분류"))))))</f>
        <v/>
      </c>
      <c r="I112" s="79">
        <f>IFERROR(IF(INDIRECT("'"&amp;$O112&amp;"'!P"&amp;$N112)=0,"",INDIRECT("'"&amp;$O112&amp;"'!P"&amp;$N112)),"")</f>
        <v/>
      </c>
      <c r="J112" s="61" t="inlineStr">
        <is>
          <t>(nc)케이스</t>
        </is>
      </c>
      <c r="K112" s="61" t="inlineStr">
        <is>
          <t>NC 케이스 [ADX6000]</t>
        </is>
      </c>
      <c r="L112" s="83">
        <f>HYPERLINK("#'"&amp;$O112&amp;"'!A"&amp;$N112,"→ 고압진공 R"&amp;$N112)</f>
        <v/>
      </c>
      <c r="M112" s="84" t="n"/>
      <c r="N112" s="80" t="n">
        <v>95</v>
      </c>
      <c r="O112" s="80" t="inlineStr">
        <is>
          <t>고압진공_재고현황</t>
        </is>
      </c>
    </row>
    <row r="113" ht="30" customHeight="1">
      <c r="A113" s="54" t="inlineStr">
        <is>
          <t>진공</t>
        </is>
      </c>
      <c r="B113" s="52" t="inlineStr">
        <is>
          <t>신주 A,ssy</t>
        </is>
      </c>
      <c r="C113" s="52" t="inlineStr">
        <is>
          <t>SOLO</t>
        </is>
      </c>
      <c r="D113" s="79">
        <f>IF(INDIRECT("'"&amp;$O113&amp;"'!F"&amp;$N113)="O","원자재",IF(INDIRECT("'"&amp;$O113&amp;"'!G"&amp;$N113)="O","반제품",IF(INDIRECT("'"&amp;$O113&amp;"'!H"&amp;$N113)="O","완제품","")))</f>
        <v/>
      </c>
      <c r="E113" s="79">
        <f>IFERROR(IF(INDIRECT("'"&amp;$O113&amp;"'!I"&amp;$N113)=0,"",INDIRECT("'"&amp;$O113&amp;"'!I"&amp;$N113)),"")</f>
        <v/>
      </c>
      <c r="F113" s="52" t="inlineStr">
        <is>
          <t>(nc)케이스</t>
        </is>
      </c>
      <c r="G113" s="52" t="inlineStr">
        <is>
          <t>NC 케이스 (HDPE) [SOLO]</t>
        </is>
      </c>
      <c r="H113" s="79">
        <f>IF(AND($F113="",$G113=""),"",IF($F113="","창고전용",IF($G113&lt;&gt;"","매칭완료",IF($D113="반제품","반제품(창고없음)",IF($D113="완제품","완제품(창고없음)",IF($D113="원자재","⚠ 원자재_부서보관","미분류"))))))</f>
        <v/>
      </c>
      <c r="I113" s="79">
        <f>IFERROR(IF(INDIRECT("'"&amp;$O113&amp;"'!P"&amp;$N113)=0,"",INDIRECT("'"&amp;$O113&amp;"'!P"&amp;$N113)),"")</f>
        <v/>
      </c>
      <c r="J113" s="61" t="inlineStr">
        <is>
          <t>(nc)케이스</t>
        </is>
      </c>
      <c r="K113" s="65" t="inlineStr">
        <is>
          <t>NC 케이스 [SOLO]</t>
        </is>
      </c>
      <c r="L113" s="83">
        <f>HYPERLINK("#'"&amp;$O113&amp;"'!A"&amp;$N113,"→ 고압진공 R"&amp;$N113)</f>
        <v/>
      </c>
      <c r="M113" s="84" t="n"/>
      <c r="N113" s="80" t="n">
        <v>96</v>
      </c>
      <c r="O113" s="80" t="inlineStr">
        <is>
          <t>고압진공_재고현황</t>
        </is>
      </c>
    </row>
    <row r="114" ht="30" customHeight="1">
      <c r="A114" s="54" t="inlineStr">
        <is>
          <t>진공</t>
        </is>
      </c>
      <c r="B114" s="52" t="inlineStr">
        <is>
          <t>신주 A,ssy</t>
        </is>
      </c>
      <c r="C114" s="52" t="inlineStr">
        <is>
          <t>SOLO</t>
        </is>
      </c>
      <c r="D114" s="79">
        <f>IF(INDIRECT("'"&amp;$O114&amp;"'!F"&amp;$N114)="O","원자재",IF(INDIRECT("'"&amp;$O114&amp;"'!G"&amp;$N114)="O","반제품",IF(INDIRECT("'"&amp;$O114&amp;"'!H"&amp;$N114)="O","완제품","")))</f>
        <v/>
      </c>
      <c r="E114" s="79">
        <f>IFERROR(IF(INDIRECT("'"&amp;$O114&amp;"'!I"&amp;$N114)=0,"",INDIRECT("'"&amp;$O114&amp;"'!I"&amp;$N114)),"")</f>
        <v/>
      </c>
      <c r="F114" s="52" t="inlineStr">
        <is>
          <t>신주케이스 뚜껑</t>
        </is>
      </c>
      <c r="G114" s="52" t="inlineStr">
        <is>
          <t>신주 케이스 뚜껑 (0.6T) [SOLO]</t>
        </is>
      </c>
      <c r="H114" s="79">
        <f>IF(AND($F114="",$G114=""),"",IF($F114="","창고전용",IF($G114&lt;&gt;"","매칭완료",IF($D114="반제품","반제품(창고없음)",IF($D114="완제품","완제품(창고없음)",IF($D114="원자재","⚠ 원자재_부서보관","미분류"))))))</f>
        <v/>
      </c>
      <c r="I114" s="79">
        <f>IFERROR(IF(INDIRECT("'"&amp;$O114&amp;"'!P"&amp;$N114)=0,"",INDIRECT("'"&amp;$O114&amp;"'!P"&amp;$N114)),"")</f>
        <v/>
      </c>
      <c r="J114" s="61" t="inlineStr">
        <is>
          <t>신주케이스 뚜껑</t>
        </is>
      </c>
      <c r="K114" s="65" t="inlineStr">
        <is>
          <t>신주 케이스 뚜껑 [SOLO]</t>
        </is>
      </c>
      <c r="L114" s="83">
        <f>HYPERLINK("#'"&amp;$O114&amp;"'!A"&amp;$N114,"→ 고압진공 R"&amp;$N114)</f>
        <v/>
      </c>
      <c r="M114" s="84" t="n"/>
      <c r="N114" s="80" t="n">
        <v>97</v>
      </c>
      <c r="O114" s="80" t="inlineStr">
        <is>
          <t>고압진공_재고현황</t>
        </is>
      </c>
    </row>
    <row r="115" ht="30" customHeight="1">
      <c r="A115" s="54" t="inlineStr">
        <is>
          <t>진공</t>
        </is>
      </c>
      <c r="B115" s="52" t="inlineStr">
        <is>
          <t>신주 및 베크라이트</t>
        </is>
      </c>
      <c r="C115" s="52" t="inlineStr">
        <is>
          <t>COCOON</t>
        </is>
      </c>
      <c r="D115" s="79">
        <f>IF(INDIRECT("'"&amp;$O115&amp;"'!F"&amp;$N115)="O","원자재",IF(INDIRECT("'"&amp;$O115&amp;"'!G"&amp;$N115)="O","반제품",IF(INDIRECT("'"&amp;$O115&amp;"'!H"&amp;$N115)="O","완제품","")))</f>
        <v/>
      </c>
      <c r="E115" s="79">
        <f>IFERROR(IF(INDIRECT("'"&amp;$O115&amp;"'!I"&amp;$N115)=0,"",INDIRECT("'"&amp;$O115&amp;"'!I"&amp;$N115)),"")</f>
        <v/>
      </c>
      <c r="F115" s="52" t="inlineStr">
        <is>
          <t>신주케이스 뚜껑</t>
        </is>
      </c>
      <c r="G115" s="52" t="inlineStr">
        <is>
          <t>신주 케이스 뚜껑 (0.6T) [COCOON]</t>
        </is>
      </c>
      <c r="H115" s="79">
        <f>IF(AND($F115="",$G115=""),"",IF($F115="","창고전용",IF($G115&lt;&gt;"","매칭완료",IF($D115="반제품","반제품(창고없음)",IF($D115="완제품","완제품(창고없음)",IF($D115="원자재","⚠ 원자재_부서보관","미분류"))))))</f>
        <v/>
      </c>
      <c r="I115" s="79">
        <f>IFERROR(IF(INDIRECT("'"&amp;$O115&amp;"'!P"&amp;$N115)=0,"",INDIRECT("'"&amp;$O115&amp;"'!P"&amp;$N115)),"")</f>
        <v/>
      </c>
      <c r="J115" s="61" t="inlineStr">
        <is>
          <t>신주케이스 뚜껑</t>
        </is>
      </c>
      <c r="K115" s="65" t="inlineStr">
        <is>
          <t>신주 케이스 뚜껑 [COCOON]</t>
        </is>
      </c>
      <c r="L115" s="83">
        <f>HYPERLINK("#'"&amp;$O115&amp;"'!A"&amp;$N115,"→ 고압진공 R"&amp;$N115)</f>
        <v/>
      </c>
      <c r="M115" s="84" t="n"/>
      <c r="N115" s="80" t="n">
        <v>98</v>
      </c>
      <c r="O115" s="80" t="inlineStr">
        <is>
          <t>고압진공_재고현황</t>
        </is>
      </c>
    </row>
    <row r="116" ht="30" customHeight="1">
      <c r="A116" s="54" t="inlineStr">
        <is>
          <t>진공</t>
        </is>
      </c>
      <c r="B116" s="52" t="inlineStr">
        <is>
          <t>신주 및 베크라이트</t>
        </is>
      </c>
      <c r="C116" s="52" t="inlineStr">
        <is>
          <t>DX3000, ADX4000W</t>
        </is>
      </c>
      <c r="D116" s="79">
        <f>IF(INDIRECT("'"&amp;$O116&amp;"'!F"&amp;$N116)="O","원자재",IF(INDIRECT("'"&amp;$O116&amp;"'!G"&amp;$N116)="O","반제품",IF(INDIRECT("'"&amp;$O116&amp;"'!H"&amp;$N116)="O","완제품","")))</f>
        <v/>
      </c>
      <c r="E116" s="79">
        <f>IFERROR(IF(INDIRECT("'"&amp;$O116&amp;"'!I"&amp;$N116)=0,"",INDIRECT("'"&amp;$O116&amp;"'!I"&amp;$N116)),"")</f>
        <v/>
      </c>
      <c r="F116" s="52" t="inlineStr">
        <is>
          <t>3 PIN (봉 단위)</t>
        </is>
      </c>
      <c r="G116" s="52" t="inlineStr">
        <is>
          <t>3 PIN 커넥터 [DX3000, ADX4000W]</t>
        </is>
      </c>
      <c r="H116" s="79">
        <f>IF(AND($F116="",$G116=""),"",IF($F116="","창고전용",IF($G116&lt;&gt;"","매칭완료",IF($D116="반제품","반제품(창고없음)",IF($D116="완제품","완제품(창고없음)",IF($D116="원자재","⚠ 원자재_부서보관","미분류"))))))</f>
        <v/>
      </c>
      <c r="I116" s="79">
        <f>IFERROR(IF(INDIRECT("'"&amp;$O116&amp;"'!P"&amp;$N116)=0,"",INDIRECT("'"&amp;$O116&amp;"'!P"&amp;$N116)),"")</f>
        <v/>
      </c>
      <c r="J116" s="61" t="inlineStr">
        <is>
          <t>3 PIN (봉 단위)</t>
        </is>
      </c>
      <c r="K116" s="61" t="inlineStr">
        <is>
          <t>3 PIN 커넥터 [DX3000, ADX4000W]</t>
        </is>
      </c>
      <c r="L116" s="83">
        <f>HYPERLINK("#'"&amp;$O116&amp;"'!A"&amp;$N116,"→ 고압진공 R"&amp;$N116)</f>
        <v/>
      </c>
      <c r="M116" s="84" t="n"/>
      <c r="N116" s="80" t="n">
        <v>99</v>
      </c>
      <c r="O116" s="80" t="inlineStr">
        <is>
          <t>고압진공_재고현황</t>
        </is>
      </c>
    </row>
    <row r="117" ht="30" customHeight="1">
      <c r="A117" s="54" t="inlineStr">
        <is>
          <t>진공</t>
        </is>
      </c>
      <c r="B117" s="52" t="inlineStr">
        <is>
          <t>신주 및 베크라이트</t>
        </is>
      </c>
      <c r="C117" s="52" t="inlineStr">
        <is>
          <t>DX3000, ADX4000W, ADX6000, COCOON</t>
        </is>
      </c>
      <c r="D117" s="79">
        <f>IF(INDIRECT("'"&amp;$O117&amp;"'!F"&amp;$N117)="O","원자재",IF(INDIRECT("'"&amp;$O117&amp;"'!G"&amp;$N117)="O","반제품",IF(INDIRECT("'"&amp;$O117&amp;"'!H"&amp;$N117)="O","완제품","")))</f>
        <v/>
      </c>
      <c r="E117" s="79">
        <f>IFERROR(IF(INDIRECT("'"&amp;$O117&amp;"'!I"&amp;$N117)=0,"",INDIRECT("'"&amp;$O117&amp;"'!I"&amp;$N117)),"")</f>
        <v/>
      </c>
      <c r="F117" s="52" t="inlineStr">
        <is>
          <t>4 PIN (봉 단위)</t>
        </is>
      </c>
      <c r="G117" s="52" t="inlineStr">
        <is>
          <t>4 PIN 커넥터 [DX3000,ADX4000W COCOON,ADX6000]</t>
        </is>
      </c>
      <c r="H117" s="79">
        <f>IF(AND($F117="",$G117=""),"",IF($F117="","창고전용",IF($G117&lt;&gt;"","매칭완료",IF($D117="반제품","반제품(창고없음)",IF($D117="완제품","완제품(창고없음)",IF($D117="원자재","⚠ 원자재_부서보관","미분류"))))))</f>
        <v/>
      </c>
      <c r="I117" s="79">
        <f>IFERROR(IF(INDIRECT("'"&amp;$O117&amp;"'!P"&amp;$N117)=0,"",INDIRECT("'"&amp;$O117&amp;"'!P"&amp;$N117)),"")</f>
        <v/>
      </c>
      <c r="J117" s="61" t="inlineStr">
        <is>
          <t>4 PIN (봉 단위)</t>
        </is>
      </c>
      <c r="K117" s="61" t="inlineStr">
        <is>
          <t>4 PIN 커넥터 [DX3000, ADX4000W, COCOON, ADX6000]</t>
        </is>
      </c>
      <c r="L117" s="83">
        <f>HYPERLINK("#'"&amp;$O117&amp;"'!A"&amp;$N117,"→ 고압진공 R"&amp;$N117)</f>
        <v/>
      </c>
      <c r="M117" s="84" t="n"/>
      <c r="N117" s="80" t="n">
        <v>100</v>
      </c>
      <c r="O117" s="80" t="inlineStr">
        <is>
          <t>고압진공_재고현황</t>
        </is>
      </c>
    </row>
    <row r="118" ht="30" customHeight="1">
      <c r="A118" s="54" t="inlineStr">
        <is>
          <t>진공</t>
        </is>
      </c>
      <c r="B118" s="52" t="inlineStr">
        <is>
          <t>신주 및 베크라이트</t>
        </is>
      </c>
      <c r="C118" s="52" t="inlineStr">
        <is>
          <t>SOLO</t>
        </is>
      </c>
      <c r="D118" s="79">
        <f>IF(INDIRECT("'"&amp;$O118&amp;"'!F"&amp;$N118)="O","원자재",IF(INDIRECT("'"&amp;$O118&amp;"'!G"&amp;$N118)="O","반제품",IF(INDIRECT("'"&amp;$O118&amp;"'!H"&amp;$N118)="O","완제품","")))</f>
        <v/>
      </c>
      <c r="E118" s="79">
        <f>IFERROR(IF(INDIRECT("'"&amp;$O118&amp;"'!I"&amp;$N118)=0,"",INDIRECT("'"&amp;$O118&amp;"'!I"&amp;$N118)),"")</f>
        <v/>
      </c>
      <c r="F118" s="52" t="inlineStr">
        <is>
          <t>4 PIN (봉 단위)</t>
        </is>
      </c>
      <c r="G118" s="52" t="n"/>
      <c r="H118" s="79">
        <f>IF(AND($F118="",$G118=""),"",IF($F118="","창고전용",IF($G118&lt;&gt;"","매칭완료",IF($D118="반제품","반제품(창고없음)",IF($D118="완제품","완제품(창고없음)",IF($D118="원자재","⚠ 원자재_부서보관","미분류"))))))</f>
        <v/>
      </c>
      <c r="I118" s="79">
        <f>IFERROR(IF(INDIRECT("'"&amp;$O118&amp;"'!P"&amp;$N118)=0,"",INDIRECT("'"&amp;$O118&amp;"'!P"&amp;$N118)),"")</f>
        <v/>
      </c>
      <c r="J118" s="61" t="inlineStr">
        <is>
          <t>4 PIN (봉 단위)</t>
        </is>
      </c>
      <c r="K118" s="61" t="inlineStr">
        <is>
          <t>4 PIN 커넥터 [SOLO]</t>
        </is>
      </c>
      <c r="L118" s="83">
        <f>HYPERLINK("#'"&amp;$O118&amp;"'!A"&amp;$N118,"→ 고압진공 R"&amp;$N118)</f>
        <v/>
      </c>
      <c r="M118" s="84" t="n"/>
      <c r="N118" s="80" t="n">
        <v>101</v>
      </c>
      <c r="O118" s="80" t="inlineStr">
        <is>
          <t>고압진공_재고현황</t>
        </is>
      </c>
    </row>
    <row r="119" ht="30" customHeight="1">
      <c r="A119" s="54" t="inlineStr">
        <is>
          <t>진공</t>
        </is>
      </c>
      <c r="B119" s="52" t="inlineStr">
        <is>
          <t>신주 및 베크라이트</t>
        </is>
      </c>
      <c r="C119" s="52" t="inlineStr">
        <is>
          <t>SOLO</t>
        </is>
      </c>
      <c r="D119" s="79">
        <f>IF(INDIRECT("'"&amp;$O119&amp;"'!F"&amp;$N119)="O","원자재",IF(INDIRECT("'"&amp;$O119&amp;"'!G"&amp;$N119)="O","반제품",IF(INDIRECT("'"&amp;$O119&amp;"'!H"&amp;$N119)="O","완제품","")))</f>
        <v/>
      </c>
      <c r="E119" s="79">
        <f>IFERROR(IF(INDIRECT("'"&amp;$O119&amp;"'!I"&amp;$N119)=0,"",INDIRECT("'"&amp;$O119&amp;"'!I"&amp;$N119)),"")</f>
        <v/>
      </c>
      <c r="F119" s="52" t="inlineStr">
        <is>
          <t>5 PIN (봉 단위)</t>
        </is>
      </c>
      <c r="G119" s="52" t="n"/>
      <c r="H119" s="79">
        <f>IF(AND($F119="",$G119=""),"",IF($F119="","창고전용",IF($G119&lt;&gt;"","매칭완료",IF($D119="반제품","반제품(창고없음)",IF($D119="완제품","완제품(창고없음)",IF($D119="원자재","⚠ 원자재_부서보관","미분류"))))))</f>
        <v/>
      </c>
      <c r="I119" s="79">
        <f>IFERROR(IF(INDIRECT("'"&amp;$O119&amp;"'!P"&amp;$N119)=0,"",INDIRECT("'"&amp;$O119&amp;"'!P"&amp;$N119)),"")</f>
        <v/>
      </c>
      <c r="J119" s="61" t="inlineStr">
        <is>
          <t>5 PIN (봉 단위)</t>
        </is>
      </c>
      <c r="K119" s="61" t="inlineStr">
        <is>
          <t>5 PIN 커넥터 [DX3000, SOLO]</t>
        </is>
      </c>
      <c r="L119" s="83">
        <f>HYPERLINK("#'"&amp;$O119&amp;"'!A"&amp;$N119,"→ 고압진공 R"&amp;$N119)</f>
        <v/>
      </c>
      <c r="M119" s="84" t="n"/>
      <c r="N119" s="80" t="n">
        <v>102</v>
      </c>
      <c r="O119" s="80" t="inlineStr">
        <is>
          <t>고압진공_재고현황</t>
        </is>
      </c>
    </row>
    <row r="120" ht="30" customHeight="1">
      <c r="A120" s="54" t="inlineStr">
        <is>
          <t>진공</t>
        </is>
      </c>
      <c r="B120" s="52" t="inlineStr">
        <is>
          <t>신주 및 베크라이트</t>
        </is>
      </c>
      <c r="C120" s="52" t="inlineStr">
        <is>
          <t>DX3000,ADX6000</t>
        </is>
      </c>
      <c r="D120" s="79">
        <f>IF(INDIRECT("'"&amp;$O120&amp;"'!F"&amp;$N120)="O","원자재",IF(INDIRECT("'"&amp;$O120&amp;"'!G"&amp;$N120)="O","반제품",IF(INDIRECT("'"&amp;$O120&amp;"'!H"&amp;$N120)="O","완제품","")))</f>
        <v/>
      </c>
      <c r="E120" s="79">
        <f>IFERROR(IF(INDIRECT("'"&amp;$O120&amp;"'!I"&amp;$N120)=0,"",INDIRECT("'"&amp;$O120&amp;"'!I"&amp;$N120)),"")</f>
        <v/>
      </c>
      <c r="F120" s="52" t="inlineStr">
        <is>
          <t>5 PIN (봉 단위)</t>
        </is>
      </c>
      <c r="G120" s="52" t="n"/>
      <c r="H120" s="79">
        <f>IF(AND($F120="",$G120=""),"",IF($F120="","창고전용",IF($G120&lt;&gt;"","매칭완료",IF($D120="반제품","반제품(창고없음)",IF($D120="완제품","완제품(창고없음)",IF($D120="원자재","⚠ 원자재_부서보관","미분류"))))))</f>
        <v/>
      </c>
      <c r="I120" s="79">
        <f>IFERROR(IF(INDIRECT("'"&amp;$O120&amp;"'!P"&amp;$N120)=0,"",INDIRECT("'"&amp;$O120&amp;"'!P"&amp;$N120)),"")</f>
        <v/>
      </c>
      <c r="J120" s="61" t="inlineStr">
        <is>
          <t>5 PIN (봉 단위)</t>
        </is>
      </c>
      <c r="K120" s="61" t="inlineStr">
        <is>
          <t>5 PIN 커넥터 [ADX6000]</t>
        </is>
      </c>
      <c r="L120" s="83">
        <f>HYPERLINK("#'"&amp;$O120&amp;"'!A"&amp;$N120,"→ 고압진공 R"&amp;$N120)</f>
        <v/>
      </c>
      <c r="M120" s="84" t="n"/>
      <c r="N120" s="80" t="n">
        <v>103</v>
      </c>
      <c r="O120" s="80" t="inlineStr">
        <is>
          <t>고압진공_재고현황</t>
        </is>
      </c>
    </row>
    <row r="121" ht="30" customHeight="1">
      <c r="A121" s="54" t="inlineStr">
        <is>
          <t>진공</t>
        </is>
      </c>
      <c r="B121" s="52" t="inlineStr">
        <is>
          <t>신주 및 베크라이트</t>
        </is>
      </c>
      <c r="C121" s="52" t="inlineStr">
        <is>
          <t>DX3000</t>
        </is>
      </c>
      <c r="D121" s="79">
        <f>IF(INDIRECT("'"&amp;$O121&amp;"'!F"&amp;$N121)="O","원자재",IF(INDIRECT("'"&amp;$O121&amp;"'!G"&amp;$N121)="O","반제품",IF(INDIRECT("'"&amp;$O121&amp;"'!H"&amp;$N121)="O","완제품","")))</f>
        <v/>
      </c>
      <c r="E121" s="79">
        <f>IFERROR(IF(INDIRECT("'"&amp;$O121&amp;"'!I"&amp;$N121)=0,"",INDIRECT("'"&amp;$O121&amp;"'!I"&amp;$N121)),"")</f>
        <v/>
      </c>
      <c r="F121" s="52" t="inlineStr">
        <is>
          <t>신주케이스</t>
        </is>
      </c>
      <c r="G121" s="52" t="inlineStr">
        <is>
          <t>신주 케이스 (0.6T) [DX3000]</t>
        </is>
      </c>
      <c r="H121" s="79">
        <f>IF(AND($F121="",$G121=""),"",IF($F121="","창고전용",IF($G121&lt;&gt;"","매칭완료",IF($D121="반제품","반제품(창고없음)",IF($D121="완제품","완제품(창고없음)",IF($D121="원자재","⚠ 원자재_부서보관","미분류"))))))</f>
        <v/>
      </c>
      <c r="I121" s="79">
        <f>IFERROR(IF(INDIRECT("'"&amp;$O121&amp;"'!P"&amp;$N121)=0,"",INDIRECT("'"&amp;$O121&amp;"'!P"&amp;$N121)),"")</f>
        <v/>
      </c>
      <c r="J121" s="61" t="inlineStr">
        <is>
          <t>신주케이스</t>
        </is>
      </c>
      <c r="K121" s="61" t="inlineStr">
        <is>
          <t>신주 케이스 [DX3000]</t>
        </is>
      </c>
      <c r="L121" s="83">
        <f>HYPERLINK("#'"&amp;$O121&amp;"'!A"&amp;$N121,"→ 고압진공 R"&amp;$N121)</f>
        <v/>
      </c>
      <c r="M121" s="84" t="n"/>
      <c r="N121" s="80" t="n">
        <v>104</v>
      </c>
      <c r="O121" s="80" t="inlineStr">
        <is>
          <t>고압진공_재고현황</t>
        </is>
      </c>
    </row>
    <row r="122" ht="30" customHeight="1">
      <c r="A122" s="54" t="inlineStr">
        <is>
          <t>진공</t>
        </is>
      </c>
      <c r="B122" s="52" t="inlineStr">
        <is>
          <t>신주 및 베크라이트</t>
        </is>
      </c>
      <c r="C122" s="52" t="inlineStr">
        <is>
          <t>DX3000, ADX4000W, ADX6000</t>
        </is>
      </c>
      <c r="D122" s="79">
        <f>IF(INDIRECT("'"&amp;$O122&amp;"'!F"&amp;$N122)="O","원자재",IF(INDIRECT("'"&amp;$O122&amp;"'!G"&amp;$N122)="O","반제품",IF(INDIRECT("'"&amp;$O122&amp;"'!H"&amp;$N122)="O","완제품","")))</f>
        <v/>
      </c>
      <c r="E122" s="79">
        <f>IFERROR(IF(INDIRECT("'"&amp;$O122&amp;"'!I"&amp;$N122)=0,"",INDIRECT("'"&amp;$O122&amp;"'!I"&amp;$N122)),"")</f>
        <v/>
      </c>
      <c r="F122" s="52" t="inlineStr">
        <is>
          <t>신주케이스 뚜껑</t>
        </is>
      </c>
      <c r="G122" s="52" t="inlineStr">
        <is>
          <t>신주 케이스 뚜껑 (0.6T) [DX3000, ADX4000W ADX6000]</t>
        </is>
      </c>
      <c r="H122" s="79">
        <f>IF(AND($F122="",$G122=""),"",IF($F122="","창고전용",IF($G122&lt;&gt;"","매칭완료",IF($D122="반제품","반제품(창고없음)",IF($D122="완제품","완제품(창고없음)",IF($D122="원자재","⚠ 원자재_부서보관","미분류"))))))</f>
        <v/>
      </c>
      <c r="I122" s="79">
        <f>IFERROR(IF(INDIRECT("'"&amp;$O122&amp;"'!P"&amp;$N122)=0,"",INDIRECT("'"&amp;$O122&amp;"'!P"&amp;$N122)),"")</f>
        <v/>
      </c>
      <c r="J122" s="61" t="inlineStr">
        <is>
          <t>신주케이스 뚜껑</t>
        </is>
      </c>
      <c r="K122" s="61" t="inlineStr">
        <is>
          <t>신주 케이스 뚜껑 [DX3000, ADX4000W, ADX6000]</t>
        </is>
      </c>
      <c r="L122" s="83">
        <f>HYPERLINK("#'"&amp;$O122&amp;"'!A"&amp;$N122,"→ 고압진공 R"&amp;$N122)</f>
        <v/>
      </c>
      <c r="M122" s="84" t="n"/>
      <c r="N122" s="80" t="n">
        <v>105</v>
      </c>
      <c r="O122" s="80" t="inlineStr">
        <is>
          <t>고압진공_재고현황</t>
        </is>
      </c>
    </row>
    <row r="123" ht="30" customHeight="1">
      <c r="A123" s="54" t="inlineStr">
        <is>
          <t>진공</t>
        </is>
      </c>
      <c r="B123" s="52" t="inlineStr">
        <is>
          <t>신주 및 베크라이트</t>
        </is>
      </c>
      <c r="C123" s="52" t="inlineStr">
        <is>
          <t>ADX4000W</t>
        </is>
      </c>
      <c r="D123" s="79">
        <f>IF(INDIRECT("'"&amp;$O123&amp;"'!F"&amp;$N123)="O","원자재",IF(INDIRECT("'"&amp;$O123&amp;"'!G"&amp;$N123)="O","반제품",IF(INDIRECT("'"&amp;$O123&amp;"'!H"&amp;$N123)="O","완제품","")))</f>
        <v/>
      </c>
      <c r="E123" s="79">
        <f>IFERROR(IF(INDIRECT("'"&amp;$O123&amp;"'!I"&amp;$N123)=0,"",INDIRECT("'"&amp;$O123&amp;"'!I"&amp;$N123)),"")</f>
        <v/>
      </c>
      <c r="F123" s="52" t="inlineStr">
        <is>
          <t>신주케이스</t>
        </is>
      </c>
      <c r="G123" s="52" t="inlineStr">
        <is>
          <t>신주 케이스 (0.6T) [ADX4000W]</t>
        </is>
      </c>
      <c r="H123" s="79">
        <f>IF(AND($F123="",$G123=""),"",IF($F123="","창고전용",IF($G123&lt;&gt;"","매칭완료",IF($D123="반제품","반제품(창고없음)",IF($D123="완제품","완제품(창고없음)",IF($D123="원자재","⚠ 원자재_부서보관","미분류"))))))</f>
        <v/>
      </c>
      <c r="I123" s="79">
        <f>IFERROR(IF(INDIRECT("'"&amp;$O123&amp;"'!P"&amp;$N123)=0,"",INDIRECT("'"&amp;$O123&amp;"'!P"&amp;$N123)),"")</f>
        <v/>
      </c>
      <c r="J123" s="61" t="inlineStr">
        <is>
          <t>신주케이스</t>
        </is>
      </c>
      <c r="K123" s="65" t="inlineStr">
        <is>
          <t>신주 케이스 [ADX4000]</t>
        </is>
      </c>
      <c r="L123" s="83">
        <f>HYPERLINK("#'"&amp;$O123&amp;"'!A"&amp;$N123,"→ 고압진공 R"&amp;$N123)</f>
        <v/>
      </c>
      <c r="M123" s="84" t="n"/>
      <c r="N123" s="80" t="n">
        <v>106</v>
      </c>
      <c r="O123" s="80" t="inlineStr">
        <is>
          <t>고압진공_재고현황</t>
        </is>
      </c>
    </row>
    <row r="124" ht="30" customHeight="1">
      <c r="A124" s="54" t="inlineStr">
        <is>
          <t>진공</t>
        </is>
      </c>
      <c r="B124" s="52" t="inlineStr">
        <is>
          <t>신주 및 베크라이트</t>
        </is>
      </c>
      <c r="C124" s="52" t="inlineStr">
        <is>
          <t>COCOON</t>
        </is>
      </c>
      <c r="D124" s="79">
        <f>IF(INDIRECT("'"&amp;$O124&amp;"'!F"&amp;$N124)="O","원자재",IF(INDIRECT("'"&amp;$O124&amp;"'!G"&amp;$N124)="O","반제품",IF(INDIRECT("'"&amp;$O124&amp;"'!H"&amp;$N124)="O","완제품","")))</f>
        <v/>
      </c>
      <c r="E124" s="79">
        <f>IFERROR(IF(INDIRECT("'"&amp;$O124&amp;"'!I"&amp;$N124)=0,"",INDIRECT("'"&amp;$O124&amp;"'!I"&amp;$N124)),"")</f>
        <v/>
      </c>
      <c r="F124" s="52" t="inlineStr">
        <is>
          <t>신주케이스</t>
        </is>
      </c>
      <c r="G124" s="52" t="inlineStr">
        <is>
          <t>신주 케이스 (0.6T) [COCOON]</t>
        </is>
      </c>
      <c r="H124" s="79">
        <f>IF(AND($F124="",$G124=""),"",IF($F124="","창고전용",IF($G124&lt;&gt;"","매칭완료",IF($D124="반제품","반제품(창고없음)",IF($D124="완제품","완제품(창고없음)",IF($D124="원자재","⚠ 원자재_부서보관","미분류"))))))</f>
        <v/>
      </c>
      <c r="I124" s="79">
        <f>IFERROR(IF(INDIRECT("'"&amp;$O124&amp;"'!P"&amp;$N124)=0,"",INDIRECT("'"&amp;$O124&amp;"'!P"&amp;$N124)),"")</f>
        <v/>
      </c>
      <c r="J124" s="61" t="inlineStr">
        <is>
          <t>신주케이스</t>
        </is>
      </c>
      <c r="K124" s="65" t="inlineStr">
        <is>
          <t>신주 케이스 [COCOON]</t>
        </is>
      </c>
      <c r="L124" s="83">
        <f>HYPERLINK("#'"&amp;$O124&amp;"'!A"&amp;$N124,"→ 고압진공 R"&amp;$N124)</f>
        <v/>
      </c>
      <c r="M124" s="84" t="n"/>
      <c r="N124" s="80" t="n">
        <v>107</v>
      </c>
      <c r="O124" s="80" t="inlineStr">
        <is>
          <t>고압진공_재고현황</t>
        </is>
      </c>
    </row>
    <row r="125" ht="30" customHeight="1">
      <c r="A125" s="54" t="inlineStr">
        <is>
          <t>진공</t>
        </is>
      </c>
      <c r="B125" s="52" t="inlineStr">
        <is>
          <t>신주 및 베크라이트</t>
        </is>
      </c>
      <c r="C125" s="52" t="inlineStr">
        <is>
          <t>ADX6000</t>
        </is>
      </c>
      <c r="D125" s="79">
        <f>IF(INDIRECT("'"&amp;$O125&amp;"'!F"&amp;$N125)="O","원자재",IF(INDIRECT("'"&amp;$O125&amp;"'!G"&amp;$N125)="O","반제품",IF(INDIRECT("'"&amp;$O125&amp;"'!H"&amp;$N125)="O","완제품","")))</f>
        <v/>
      </c>
      <c r="E125" s="79">
        <f>IFERROR(IF(INDIRECT("'"&amp;$O125&amp;"'!I"&amp;$N125)=0,"",INDIRECT("'"&amp;$O125&amp;"'!I"&amp;$N125)),"")</f>
        <v/>
      </c>
      <c r="F125" s="52" t="inlineStr">
        <is>
          <t>신주케이스</t>
        </is>
      </c>
      <c r="G125" s="52" t="inlineStr">
        <is>
          <t>신주 케이스 (0.6T + 193 (커팅전)) [ADX6000]</t>
        </is>
      </c>
      <c r="H125" s="79">
        <f>IF(AND($F125="",$G125=""),"",IF($F125="","창고전용",IF($G125&lt;&gt;"","매칭완료",IF($D125="반제품","반제품(창고없음)",IF($D125="완제품","완제품(창고없음)",IF($D125="원자재","⚠ 원자재_부서보관","미분류"))))))</f>
        <v/>
      </c>
      <c r="I125" s="79">
        <f>IFERROR(IF(INDIRECT("'"&amp;$O125&amp;"'!P"&amp;$N125)=0,"",INDIRECT("'"&amp;$O125&amp;"'!P"&amp;$N125)),"")</f>
        <v/>
      </c>
      <c r="J125" s="61" t="inlineStr">
        <is>
          <t>신주케이스</t>
        </is>
      </c>
      <c r="K125" s="65" t="inlineStr">
        <is>
          <t>신주 케이스 [ADX6000]</t>
        </is>
      </c>
      <c r="L125" s="83">
        <f>HYPERLINK("#'"&amp;$O125&amp;"'!A"&amp;$N125,"→ 고압진공 R"&amp;$N125)</f>
        <v/>
      </c>
      <c r="M125" s="84" t="n"/>
      <c r="N125" s="80" t="n">
        <v>108</v>
      </c>
      <c r="O125" s="80" t="inlineStr">
        <is>
          <t>고압진공_재고현황</t>
        </is>
      </c>
    </row>
    <row r="126" ht="30" customHeight="1">
      <c r="A126" s="54" t="inlineStr">
        <is>
          <t>진공</t>
        </is>
      </c>
      <c r="B126" s="52" t="inlineStr">
        <is>
          <t>신주 및 베크라이트</t>
        </is>
      </c>
      <c r="C126" s="52" t="inlineStr">
        <is>
          <t>ADX6000</t>
        </is>
      </c>
      <c r="D126" s="79">
        <f>IF(INDIRECT("'"&amp;$O126&amp;"'!F"&amp;$N126)="O","원자재",IF(INDIRECT("'"&amp;$O126&amp;"'!G"&amp;$N126)="O","반제품",IF(INDIRECT("'"&amp;$O126&amp;"'!H"&amp;$N126)="O","완제품","")))</f>
        <v/>
      </c>
      <c r="E126" s="79">
        <f>IFERROR(IF(INDIRECT("'"&amp;$O126&amp;"'!I"&amp;$N126)=0,"",INDIRECT("'"&amp;$O126&amp;"'!I"&amp;$N126)),"")</f>
        <v/>
      </c>
      <c r="F126" s="52" t="inlineStr">
        <is>
          <t>신주케이스 (10P)</t>
        </is>
      </c>
      <c r="G126" s="52" t="n"/>
      <c r="H126" s="79">
        <f>IF(AND($F126="",$G126=""),"",IF($F126="","창고전용",IF($G126&lt;&gt;"","매칭완료",IF($D126="반제품","반제품(창고없음)",IF($D126="완제품","완제품(창고없음)",IF($D126="원자재","⚠ 원자재_부서보관","미분류"))))))</f>
        <v/>
      </c>
      <c r="I126" s="79">
        <f>IFERROR(IF(INDIRECT("'"&amp;$O126&amp;"'!P"&amp;$N126)=0,"",INDIRECT("'"&amp;$O126&amp;"'!P"&amp;$N126)),"")</f>
        <v/>
      </c>
      <c r="J126" s="61" t="inlineStr">
        <is>
          <t>신주케이스 (10P)</t>
        </is>
      </c>
      <c r="K126" s="61" t="inlineStr">
        <is>
          <t>신주케이스 (10P) [ADX6000]</t>
        </is>
      </c>
      <c r="L126" s="83">
        <f>HYPERLINK("#'"&amp;$O126&amp;"'!A"&amp;$N126,"→ 고압진공 R"&amp;$N126)</f>
        <v/>
      </c>
      <c r="M126" s="84" t="n"/>
      <c r="N126" s="80" t="n">
        <v>109</v>
      </c>
      <c r="O126" s="80" t="inlineStr">
        <is>
          <t>고압진공_재고현황</t>
        </is>
      </c>
    </row>
    <row r="127" ht="30" customHeight="1">
      <c r="A127" s="54" t="inlineStr">
        <is>
          <t>진공</t>
        </is>
      </c>
      <c r="B127" s="52" t="inlineStr">
        <is>
          <t>신주 및 베크라이트</t>
        </is>
      </c>
      <c r="C127" s="52" t="inlineStr">
        <is>
          <t>DX3000V</t>
        </is>
      </c>
      <c r="D127" s="79">
        <f>IF(INDIRECT("'"&amp;$O127&amp;"'!F"&amp;$N127)="O","원자재",IF(INDIRECT("'"&amp;$O127&amp;"'!G"&amp;$N127)="O","반제품",IF(INDIRECT("'"&amp;$O127&amp;"'!H"&amp;$N127)="O","완제품","")))</f>
        <v/>
      </c>
      <c r="E127" s="79">
        <f>IFERROR(IF(INDIRECT("'"&amp;$O127&amp;"'!I"&amp;$N127)=0,"",INDIRECT("'"&amp;$O127&amp;"'!I"&amp;$N127)),"")</f>
        <v/>
      </c>
      <c r="F127" s="52" t="inlineStr">
        <is>
          <t>신주케이스 (10P)</t>
        </is>
      </c>
      <c r="G127" s="52" t="n"/>
      <c r="H127" s="79">
        <f>IF(AND($F127="",$G127=""),"",IF($F127="","창고전용",IF($G127&lt;&gt;"","매칭완료",IF($D127="반제품","반제품(창고없음)",IF($D127="완제품","완제품(창고없음)",IF($D127="원자재","⚠ 원자재_부서보관","미분류"))))))</f>
        <v/>
      </c>
      <c r="I127" s="79">
        <f>IFERROR(IF(INDIRECT("'"&amp;$O127&amp;"'!P"&amp;$N127)=0,"",INDIRECT("'"&amp;$O127&amp;"'!P"&amp;$N127)),"")</f>
        <v/>
      </c>
      <c r="J127" s="61" t="inlineStr">
        <is>
          <t>신주케이스 (10P)</t>
        </is>
      </c>
      <c r="K127" s="61" t="inlineStr">
        <is>
          <t>신주케이스 [DX3000V]</t>
        </is>
      </c>
      <c r="L127" s="83">
        <f>HYPERLINK("#'"&amp;$O127&amp;"'!A"&amp;$N127,"→ 고압진공 R"&amp;$N127)</f>
        <v/>
      </c>
      <c r="M127" s="84" t="n"/>
      <c r="N127" s="80" t="n">
        <v>110</v>
      </c>
      <c r="O127" s="80" t="inlineStr">
        <is>
          <t>고압진공_재고현황</t>
        </is>
      </c>
    </row>
    <row r="128" ht="30" customHeight="1">
      <c r="A128" s="54" t="inlineStr">
        <is>
          <t>진공</t>
        </is>
      </c>
      <c r="B128" s="52" t="inlineStr">
        <is>
          <t>신주 및 베크라이트</t>
        </is>
      </c>
      <c r="C128" s="52" t="inlineStr">
        <is>
          <t>SOLO</t>
        </is>
      </c>
      <c r="D128" s="79">
        <f>IF(INDIRECT("'"&amp;$O128&amp;"'!F"&amp;$N128)="O","원자재",IF(INDIRECT("'"&amp;$O128&amp;"'!G"&amp;$N128)="O","반제품",IF(INDIRECT("'"&amp;$O128&amp;"'!H"&amp;$N128)="O","완제품","")))</f>
        <v/>
      </c>
      <c r="E128" s="79">
        <f>IFERROR(IF(INDIRECT("'"&amp;$O128&amp;"'!I"&amp;$N128)=0,"",INDIRECT("'"&amp;$O128&amp;"'!I"&amp;$N128)),"")</f>
        <v/>
      </c>
      <c r="F128" s="52" t="inlineStr">
        <is>
          <t>신주케이스</t>
        </is>
      </c>
      <c r="G128" s="52" t="inlineStr">
        <is>
          <t>신주 케이스 (0.6T) [SOLO]</t>
        </is>
      </c>
      <c r="H128" s="79">
        <f>IF(AND($F128="",$G128=""),"",IF($F128="","창고전용",IF($G128&lt;&gt;"","매칭완료",IF($D128="반제품","반제품(창고없음)",IF($D128="완제품","완제품(창고없음)",IF($D128="원자재","⚠ 원자재_부서보관","미분류"))))))</f>
        <v/>
      </c>
      <c r="I128" s="79">
        <f>IFERROR(IF(INDIRECT("'"&amp;$O128&amp;"'!P"&amp;$N128)=0,"",INDIRECT("'"&amp;$O128&amp;"'!P"&amp;$N128)),"")</f>
        <v/>
      </c>
      <c r="J128" s="61" t="inlineStr">
        <is>
          <t>신주케이스</t>
        </is>
      </c>
      <c r="K128" s="65" t="inlineStr">
        <is>
          <t>신주 케이스 [SOLO]</t>
        </is>
      </c>
      <c r="L128" s="83">
        <f>HYPERLINK("#'"&amp;$O128&amp;"'!A"&amp;$N128,"→ 고압진공 R"&amp;$N128)</f>
        <v/>
      </c>
      <c r="M128" s="84" t="n"/>
      <c r="N128" s="80" t="n">
        <v>111</v>
      </c>
      <c r="O128" s="80" t="inlineStr">
        <is>
          <t>고압진공_재고현황</t>
        </is>
      </c>
    </row>
    <row r="129" ht="30" customHeight="1">
      <c r="A129" s="54" t="inlineStr">
        <is>
          <t>진공</t>
        </is>
      </c>
      <c r="B129" s="52" t="inlineStr">
        <is>
          <t>신주 및 베크라이트</t>
        </is>
      </c>
      <c r="C129" s="52" t="inlineStr">
        <is>
          <t>DX3000, ADX4000W, ADX6000</t>
        </is>
      </c>
      <c r="D129" s="79">
        <f>IF(INDIRECT("'"&amp;$O129&amp;"'!F"&amp;$N129)="O","원자재",IF(INDIRECT("'"&amp;$O129&amp;"'!G"&amp;$N129)="O","반제품",IF(INDIRECT("'"&amp;$O129&amp;"'!H"&amp;$N129)="O","완제품","")))</f>
        <v/>
      </c>
      <c r="E129" s="79">
        <f>IFERROR(IF(INDIRECT("'"&amp;$O129&amp;"'!I"&amp;$N129)=0,"",INDIRECT("'"&amp;$O129&amp;"'!I"&amp;$N129)),"")</f>
        <v/>
      </c>
      <c r="F129" s="52" t="inlineStr">
        <is>
          <t>방사구</t>
        </is>
      </c>
      <c r="G129" s="52" t="inlineStr">
        <is>
          <t>방사구 [공용]</t>
        </is>
      </c>
      <c r="H129" s="79">
        <f>IF(AND($F129="",$G129=""),"",IF($F129="","창고전용",IF($G129&lt;&gt;"","매칭완료",IF($D129="반제품","반제품(창고없음)",IF($D129="완제품","완제품(창고없음)",IF($D129="원자재","⚠ 원자재_부서보관","미분류"))))))</f>
        <v/>
      </c>
      <c r="I129" s="79">
        <f>IFERROR(IF(INDIRECT("'"&amp;$O129&amp;"'!P"&amp;$N129)=0,"",INDIRECT("'"&amp;$O129&amp;"'!P"&amp;$N129)),"")</f>
        <v/>
      </c>
      <c r="J129" s="61" t="inlineStr">
        <is>
          <t>방사구</t>
        </is>
      </c>
      <c r="K129" s="61" t="inlineStr">
        <is>
          <t>방사구 [공용]</t>
        </is>
      </c>
      <c r="L129" s="83">
        <f>HYPERLINK("#'"&amp;$O129&amp;"'!A"&amp;$N129,"→ 고압진공 R"&amp;$N129)</f>
        <v/>
      </c>
      <c r="M129" s="84" t="n"/>
      <c r="N129" s="80" t="n">
        <v>112</v>
      </c>
      <c r="O129" s="80" t="inlineStr">
        <is>
          <t>고압진공_재고현황</t>
        </is>
      </c>
    </row>
    <row r="130" ht="30" customHeight="1">
      <c r="A130" s="54" t="inlineStr">
        <is>
          <t>진공</t>
        </is>
      </c>
      <c r="B130" s="52" t="inlineStr">
        <is>
          <t>신주 및 베크라이트</t>
        </is>
      </c>
      <c r="C130" s="52" t="inlineStr">
        <is>
          <t>DX3000</t>
        </is>
      </c>
      <c r="D130" s="79">
        <f>IF(INDIRECT("'"&amp;$O130&amp;"'!F"&amp;$N130)="O","원자재",IF(INDIRECT("'"&amp;$O130&amp;"'!G"&amp;$N130)="O","반제품",IF(INDIRECT("'"&amp;$O130&amp;"'!H"&amp;$N130)="O","완제품","")))</f>
        <v/>
      </c>
      <c r="E130" s="79">
        <f>IFERROR(IF(INDIRECT("'"&amp;$O130&amp;"'!I"&amp;$N130)=0,"",INDIRECT("'"&amp;$O130&amp;"'!I"&amp;$N130)),"")</f>
        <v/>
      </c>
      <c r="F130" s="52" t="inlineStr">
        <is>
          <t>방사구 (외부탭)</t>
        </is>
      </c>
      <c r="G130" s="52" t="inlineStr">
        <is>
          <t>방사구 (외경 탭 추가) [공용]</t>
        </is>
      </c>
      <c r="H130" s="79">
        <f>IF(AND($F130="",$G130=""),"",IF($F130="","창고전용",IF($G130&lt;&gt;"","매칭완료",IF($D130="반제품","반제품(창고없음)",IF($D130="완제품","완제품(창고없음)",IF($D130="원자재","⚠ 원자재_부서보관","미분류"))))))</f>
        <v/>
      </c>
      <c r="I130" s="79">
        <f>IFERROR(IF(INDIRECT("'"&amp;$O130&amp;"'!P"&amp;$N130)=0,"",INDIRECT("'"&amp;$O130&amp;"'!P"&amp;$N130)),"")</f>
        <v/>
      </c>
      <c r="J130" s="61" t="inlineStr">
        <is>
          <t>방사구 (외부탭)</t>
        </is>
      </c>
      <c r="K130" s="61" t="inlineStr">
        <is>
          <t>방사구 (외경 탭 추가) [공용]</t>
        </is>
      </c>
      <c r="L130" s="83">
        <f>HYPERLINK("#'"&amp;$O130&amp;"'!A"&amp;$N130,"→ 고압진공 R"&amp;$N130)</f>
        <v/>
      </c>
      <c r="M130" s="84" t="n"/>
      <c r="N130" s="80" t="n">
        <v>113</v>
      </c>
      <c r="O130" s="80" t="inlineStr">
        <is>
          <t>고압진공_재고현황</t>
        </is>
      </c>
    </row>
    <row r="131" ht="30" customHeight="1">
      <c r="A131" s="54" t="inlineStr">
        <is>
          <t>진공</t>
        </is>
      </c>
      <c r="B131" s="52" t="inlineStr">
        <is>
          <t>신주 및 베크라이트</t>
        </is>
      </c>
      <c r="C131" s="52" t="inlineStr">
        <is>
          <t>DX3000</t>
        </is>
      </c>
      <c r="D131" s="79">
        <f>IF(INDIRECT("'"&amp;$O131&amp;"'!F"&amp;$N131)="O","원자재",IF(INDIRECT("'"&amp;$O131&amp;"'!G"&amp;$N131)="O","반제품",IF(INDIRECT("'"&amp;$O131&amp;"'!H"&amp;$N131)="O","완제품","")))</f>
        <v/>
      </c>
      <c r="E131" s="79">
        <f>IFERROR(IF(INDIRECT("'"&amp;$O131&amp;"'!I"&amp;$N131)=0,"",INDIRECT("'"&amp;$O131&amp;"'!I"&amp;$N131)),"")</f>
        <v/>
      </c>
      <c r="F131" s="52" t="inlineStr">
        <is>
          <t>방사구 너트</t>
        </is>
      </c>
      <c r="G131" s="52" t="inlineStr">
        <is>
          <t>방사구 너트 [공용]</t>
        </is>
      </c>
      <c r="H131" s="79">
        <f>IF(AND($F131="",$G131=""),"",IF($F131="","창고전용",IF($G131&lt;&gt;"","매칭완료",IF($D131="반제품","반제품(창고없음)",IF($D131="완제품","완제품(창고없음)",IF($D131="원자재","⚠ 원자재_부서보관","미분류"))))))</f>
        <v/>
      </c>
      <c r="I131" s="79">
        <f>IFERROR(IF(INDIRECT("'"&amp;$O131&amp;"'!P"&amp;$N131)=0,"",INDIRECT("'"&amp;$O131&amp;"'!P"&amp;$N131)),"")</f>
        <v/>
      </c>
      <c r="J131" s="61" t="inlineStr">
        <is>
          <t>방사구 너트</t>
        </is>
      </c>
      <c r="K131" s="61" t="inlineStr">
        <is>
          <t>방사구 너트 [공용]</t>
        </is>
      </c>
      <c r="L131" s="83">
        <f>HYPERLINK("#'"&amp;$O131&amp;"'!A"&amp;$N131,"→ 고압진공 R"&amp;$N131)</f>
        <v/>
      </c>
      <c r="M131" s="84" t="n"/>
      <c r="N131" s="80" t="n">
        <v>114</v>
      </c>
      <c r="O131" s="80" t="inlineStr">
        <is>
          <t>고압진공_재고현황</t>
        </is>
      </c>
    </row>
    <row r="132" ht="30" customHeight="1">
      <c r="A132" s="54" t="inlineStr">
        <is>
          <t>진공</t>
        </is>
      </c>
      <c r="B132" s="52" t="inlineStr">
        <is>
          <t>신주 A,ssy</t>
        </is>
      </c>
      <c r="C132" s="52" t="inlineStr">
        <is>
          <t>DX3000</t>
        </is>
      </c>
      <c r="D132" s="79">
        <f>IF(INDIRECT("'"&amp;$O132&amp;"'!F"&amp;$N132)="O","원자재",IF(INDIRECT("'"&amp;$O132&amp;"'!G"&amp;$N132)="O","반제품",IF(INDIRECT("'"&amp;$O132&amp;"'!H"&amp;$N132)="O","완제품","")))</f>
        <v/>
      </c>
      <c r="E132" s="79">
        <f>IFERROR(IF(INDIRECT("'"&amp;$O132&amp;"'!I"&amp;$N132)=0,"",INDIRECT("'"&amp;$O132&amp;"'!I"&amp;$N132)),"")</f>
        <v/>
      </c>
      <c r="F132" s="52" t="inlineStr">
        <is>
          <t>신주케이스 작업완료</t>
        </is>
      </c>
      <c r="G132" s="52" t="n"/>
      <c r="H132" s="79">
        <f>IF(AND($F132="",$G132=""),"",IF($F132="","창고전용",IF($G132&lt;&gt;"","매칭완료",IF($D132="반제품","반제품(창고없음)",IF($D132="완제품","완제품(창고없음)",IF($D132="원자재","⚠ 원자재_부서보관","미분류"))))))</f>
        <v/>
      </c>
      <c r="I132" s="79">
        <f>IFERROR(IF(INDIRECT("'"&amp;$O132&amp;"'!P"&amp;$N132)=0,"",INDIRECT("'"&amp;$O132&amp;"'!P"&amp;$N132)),"")</f>
        <v/>
      </c>
      <c r="J132" s="61" t="inlineStr">
        <is>
          <t>신주케이스 작업완료</t>
        </is>
      </c>
      <c r="K132" s="61" t="inlineStr">
        <is>
          <t>신주 케이스 작업완료 [DX3000]</t>
        </is>
      </c>
      <c r="L132" s="83">
        <f>HYPERLINK("#'"&amp;$O132&amp;"'!A"&amp;$N132,"→ 고압진공 R"&amp;$N132)</f>
        <v/>
      </c>
      <c r="M132" s="84" t="n"/>
      <c r="N132" s="80" t="n">
        <v>115</v>
      </c>
      <c r="O132" s="80" t="inlineStr">
        <is>
          <t>고압진공_재고현황</t>
        </is>
      </c>
    </row>
    <row r="133" ht="30" customHeight="1">
      <c r="A133" s="54" t="inlineStr">
        <is>
          <t>진공</t>
        </is>
      </c>
      <c r="B133" s="52" t="inlineStr">
        <is>
          <t>신주 A,ssy</t>
        </is>
      </c>
      <c r="C133" s="52" t="inlineStr">
        <is>
          <t>DX3000</t>
        </is>
      </c>
      <c r="D133" s="79">
        <f>IF(INDIRECT("'"&amp;$O133&amp;"'!F"&amp;$N133)="O","원자재",IF(INDIRECT("'"&amp;$O133&amp;"'!G"&amp;$N133)="O","반제품",IF(INDIRECT("'"&amp;$O133&amp;"'!H"&amp;$N133)="O","완제품","")))</f>
        <v/>
      </c>
      <c r="E133" s="79">
        <f>IFERROR(IF(INDIRECT("'"&amp;$O133&amp;"'!I"&amp;$N133)=0,"",INDIRECT("'"&amp;$O133&amp;"'!I"&amp;$N133)),"")</f>
        <v/>
      </c>
      <c r="F133" s="52" t="inlineStr">
        <is>
          <t>신주케이스(9P) 작업완료</t>
        </is>
      </c>
      <c r="G133" s="52" t="n"/>
      <c r="H133" s="79">
        <f>IF(AND($F133="",$G133=""),"",IF($F133="","창고전용",IF($G133&lt;&gt;"","매칭완료",IF($D133="반제품","반제품(창고없음)",IF($D133="완제품","완제품(창고없음)",IF($D133="원자재","⚠ 원자재_부서보관","미분류"))))))</f>
        <v/>
      </c>
      <c r="I133" s="79">
        <f>IFERROR(IF(INDIRECT("'"&amp;$O133&amp;"'!P"&amp;$N133)=0,"",INDIRECT("'"&amp;$O133&amp;"'!P"&amp;$N133)),"")</f>
        <v/>
      </c>
      <c r="J133" s="61" t="inlineStr">
        <is>
          <t>신주케이스(9P) 작업완료</t>
        </is>
      </c>
      <c r="K133" s="61" t="inlineStr">
        <is>
          <t>신주 케이스 작업완료 [DX3000M]</t>
        </is>
      </c>
      <c r="L133" s="83">
        <f>HYPERLINK("#'"&amp;$O133&amp;"'!A"&amp;$N133,"→ 고압진공 R"&amp;$N133)</f>
        <v/>
      </c>
      <c r="M133" s="84" t="n"/>
      <c r="N133" s="80" t="n">
        <v>116</v>
      </c>
      <c r="O133" s="80" t="inlineStr">
        <is>
          <t>고압진공_재고현황</t>
        </is>
      </c>
    </row>
    <row r="134" ht="30" customHeight="1">
      <c r="A134" s="54" t="inlineStr">
        <is>
          <t>진공</t>
        </is>
      </c>
      <c r="B134" s="52" t="inlineStr">
        <is>
          <t>신주 A,ssy</t>
        </is>
      </c>
      <c r="C134" s="52" t="inlineStr">
        <is>
          <t>ADX4000W</t>
        </is>
      </c>
      <c r="D134" s="79">
        <f>IF(INDIRECT("'"&amp;$O134&amp;"'!F"&amp;$N134)="O","원자재",IF(INDIRECT("'"&amp;$O134&amp;"'!G"&amp;$N134)="O","반제품",IF(INDIRECT("'"&amp;$O134&amp;"'!H"&amp;$N134)="O","완제품","")))</f>
        <v/>
      </c>
      <c r="E134" s="79">
        <f>IFERROR(IF(INDIRECT("'"&amp;$O134&amp;"'!I"&amp;$N134)=0,"",INDIRECT("'"&amp;$O134&amp;"'!I"&amp;$N134)),"")</f>
        <v/>
      </c>
      <c r="F134" s="52" t="inlineStr">
        <is>
          <t>신주케이스 작업완료</t>
        </is>
      </c>
      <c r="G134" s="52" t="n"/>
      <c r="H134" s="79">
        <f>IF(AND($F134="",$G134=""),"",IF($F134="","창고전용",IF($G134&lt;&gt;"","매칭완료",IF($D134="반제품","반제품(창고없음)",IF($D134="완제품","완제품(창고없음)",IF($D134="원자재","⚠ 원자재_부서보관","미분류"))))))</f>
        <v/>
      </c>
      <c r="I134" s="79">
        <f>IFERROR(IF(INDIRECT("'"&amp;$O134&amp;"'!P"&amp;$N134)=0,"",INDIRECT("'"&amp;$O134&amp;"'!P"&amp;$N134)),"")</f>
        <v/>
      </c>
      <c r="J134" s="61" t="inlineStr">
        <is>
          <t>신주케이스 작업완료</t>
        </is>
      </c>
      <c r="K134" s="61" t="inlineStr">
        <is>
          <t>신주 케이스 작업완료 [ADX4000W]</t>
        </is>
      </c>
      <c r="L134" s="83">
        <f>HYPERLINK("#'"&amp;$O134&amp;"'!A"&amp;$N134,"→ 고압진공 R"&amp;$N134)</f>
        <v/>
      </c>
      <c r="M134" s="84" t="n"/>
      <c r="N134" s="80" t="n">
        <v>117</v>
      </c>
      <c r="O134" s="80" t="inlineStr">
        <is>
          <t>고압진공_재고현황</t>
        </is>
      </c>
    </row>
    <row r="135" ht="30" customHeight="1">
      <c r="A135" s="54" t="inlineStr">
        <is>
          <t>진공</t>
        </is>
      </c>
      <c r="B135" s="52" t="inlineStr">
        <is>
          <t>신주 A,ssy</t>
        </is>
      </c>
      <c r="C135" s="52" t="inlineStr">
        <is>
          <t>ADX6000</t>
        </is>
      </c>
      <c r="D135" s="79">
        <f>IF(INDIRECT("'"&amp;$O135&amp;"'!F"&amp;$N135)="O","원자재",IF(INDIRECT("'"&amp;$O135&amp;"'!G"&amp;$N135)="O","반제품",IF(INDIRECT("'"&amp;$O135&amp;"'!H"&amp;$N135)="O","완제품","")))</f>
        <v/>
      </c>
      <c r="E135" s="79">
        <f>IFERROR(IF(INDIRECT("'"&amp;$O135&amp;"'!I"&amp;$N135)=0,"",INDIRECT("'"&amp;$O135&amp;"'!I"&amp;$N135)),"")</f>
        <v/>
      </c>
      <c r="F135" s="52" t="inlineStr">
        <is>
          <t>신주케이스 작업완료</t>
        </is>
      </c>
      <c r="G135" s="52" t="n"/>
      <c r="H135" s="79">
        <f>IF(AND($F135="",$G135=""),"",IF($F135="","창고전용",IF($G135&lt;&gt;"","매칭완료",IF($D135="반제품","반제품(창고없음)",IF($D135="완제품","완제품(창고없음)",IF($D135="원자재","⚠ 원자재_부서보관","미분류"))))))</f>
        <v/>
      </c>
      <c r="I135" s="79">
        <f>IFERROR(IF(INDIRECT("'"&amp;$O135&amp;"'!P"&amp;$N135)=0,"",INDIRECT("'"&amp;$O135&amp;"'!P"&amp;$N135)),"")</f>
        <v/>
      </c>
      <c r="J135" s="61" t="inlineStr">
        <is>
          <t>신주케이스 작업완료</t>
        </is>
      </c>
      <c r="K135" s="61" t="inlineStr">
        <is>
          <t>신주 케이스 작업완료 [ADX6000]</t>
        </is>
      </c>
      <c r="L135" s="83">
        <f>HYPERLINK("#'"&amp;$O135&amp;"'!A"&amp;$N135,"→ 고압진공 R"&amp;$N135)</f>
        <v/>
      </c>
      <c r="M135" s="84" t="n"/>
      <c r="N135" s="80" t="n">
        <v>118</v>
      </c>
      <c r="O135" s="80" t="inlineStr">
        <is>
          <t>고압진공_재고현황</t>
        </is>
      </c>
    </row>
    <row r="136" ht="30" customHeight="1">
      <c r="A136" s="54" t="inlineStr">
        <is>
          <t>진공</t>
        </is>
      </c>
      <c r="B136" s="52" t="inlineStr">
        <is>
          <t>신주 A,ssy</t>
        </is>
      </c>
      <c r="C136" s="52" t="inlineStr">
        <is>
          <t>ADX6000</t>
        </is>
      </c>
      <c r="D136" s="79">
        <f>IF(INDIRECT("'"&amp;$O136&amp;"'!F"&amp;$N136)="O","원자재",IF(INDIRECT("'"&amp;$O136&amp;"'!G"&amp;$N136)="O","반제품",IF(INDIRECT("'"&amp;$O136&amp;"'!H"&amp;$N136)="O","완제품","")))</f>
        <v/>
      </c>
      <c r="E136" s="79">
        <f>IFERROR(IF(INDIRECT("'"&amp;$O136&amp;"'!I"&amp;$N136)=0,"",INDIRECT("'"&amp;$O136&amp;"'!I"&amp;$N136)),"")</f>
        <v/>
      </c>
      <c r="F136" s="52" t="inlineStr">
        <is>
          <t>신주케이스(10P) 작업완료</t>
        </is>
      </c>
      <c r="G136" s="52" t="n"/>
      <c r="H136" s="79">
        <f>IF(AND($F136="",$G136=""),"",IF($F136="","창고전용",IF($G136&lt;&gt;"","매칭완료",IF($D136="반제품","반제품(창고없음)",IF($D136="완제품","완제품(창고없음)",IF($D136="원자재","⚠ 원자재_부서보관","미분류"))))))</f>
        <v/>
      </c>
      <c r="I136" s="79">
        <f>IFERROR(IF(INDIRECT("'"&amp;$O136&amp;"'!P"&amp;$N136)=0,"",INDIRECT("'"&amp;$O136&amp;"'!P"&amp;$N136)),"")</f>
        <v/>
      </c>
      <c r="J136" s="61" t="inlineStr">
        <is>
          <t>신주케이스(10P) 작업완료</t>
        </is>
      </c>
      <c r="K136" s="61" t="inlineStr">
        <is>
          <t>신주 케이스 (10P) 작업완료 [ADX6000]</t>
        </is>
      </c>
      <c r="L136" s="83">
        <f>HYPERLINK("#'"&amp;$O136&amp;"'!A"&amp;$N136,"→ 고압진공 R"&amp;$N136)</f>
        <v/>
      </c>
      <c r="M136" s="84" t="n"/>
      <c r="N136" s="80" t="n">
        <v>119</v>
      </c>
      <c r="O136" s="80" t="inlineStr">
        <is>
          <t>고압진공_재고현황</t>
        </is>
      </c>
    </row>
    <row r="137" ht="30" customHeight="1">
      <c r="A137" s="54" t="inlineStr">
        <is>
          <t>진공</t>
        </is>
      </c>
      <c r="B137" s="52" t="inlineStr">
        <is>
          <t>신주 A,ssy</t>
        </is>
      </c>
      <c r="C137" s="52" t="inlineStr">
        <is>
          <t>COCOON</t>
        </is>
      </c>
      <c r="D137" s="79">
        <f>IF(INDIRECT("'"&amp;$O137&amp;"'!F"&amp;$N137)="O","원자재",IF(INDIRECT("'"&amp;$O137&amp;"'!G"&amp;$N137)="O","반제품",IF(INDIRECT("'"&amp;$O137&amp;"'!H"&amp;$N137)="O","완제품","")))</f>
        <v/>
      </c>
      <c r="E137" s="79">
        <f>IFERROR(IF(INDIRECT("'"&amp;$O137&amp;"'!I"&amp;$N137)=0,"",INDIRECT("'"&amp;$O137&amp;"'!I"&amp;$N137)),"")</f>
        <v/>
      </c>
      <c r="F137" s="52" t="inlineStr">
        <is>
          <t>신주케이스 작업완료</t>
        </is>
      </c>
      <c r="G137" s="52" t="n"/>
      <c r="H137" s="79">
        <f>IF(AND($F137="",$G137=""),"",IF($F137="","창고전용",IF($G137&lt;&gt;"","매칭완료",IF($D137="반제품","반제품(창고없음)",IF($D137="완제품","완제품(창고없음)",IF($D137="원자재","⚠ 원자재_부서보관","미분류"))))))</f>
        <v/>
      </c>
      <c r="I137" s="79">
        <f>IFERROR(IF(INDIRECT("'"&amp;$O137&amp;"'!P"&amp;$N137)=0,"",INDIRECT("'"&amp;$O137&amp;"'!P"&amp;$N137)),"")</f>
        <v/>
      </c>
      <c r="J137" s="61" t="inlineStr">
        <is>
          <t>신주케이스 작업완료</t>
        </is>
      </c>
      <c r="K137" s="61" t="inlineStr">
        <is>
          <t>신주 케이스 작업완료 [COCOON]</t>
        </is>
      </c>
      <c r="L137" s="83">
        <f>HYPERLINK("#'"&amp;$O137&amp;"'!A"&amp;$N137,"→ 고압진공 R"&amp;$N137)</f>
        <v/>
      </c>
      <c r="M137" s="84" t="n"/>
      <c r="N137" s="80" t="n">
        <v>120</v>
      </c>
      <c r="O137" s="80" t="inlineStr">
        <is>
          <t>고압진공_재고현황</t>
        </is>
      </c>
    </row>
    <row r="138" ht="30" customHeight="1">
      <c r="A138" s="54" t="inlineStr">
        <is>
          <t>진공</t>
        </is>
      </c>
      <c r="B138" s="52" t="inlineStr">
        <is>
          <t>신주 A,ssy</t>
        </is>
      </c>
      <c r="C138" s="52" t="inlineStr">
        <is>
          <t>DX3000V</t>
        </is>
      </c>
      <c r="D138" s="79">
        <f>IF(INDIRECT("'"&amp;$O138&amp;"'!F"&amp;$N138)="O","원자재",IF(INDIRECT("'"&amp;$O138&amp;"'!G"&amp;$N138)="O","반제품",IF(INDIRECT("'"&amp;$O138&amp;"'!H"&amp;$N138)="O","완제품","")))</f>
        <v/>
      </c>
      <c r="E138" s="79">
        <f>IFERROR(IF(INDIRECT("'"&amp;$O138&amp;"'!I"&amp;$N138)=0,"",INDIRECT("'"&amp;$O138&amp;"'!I"&amp;$N138)),"")</f>
        <v/>
      </c>
      <c r="F138" s="52" t="inlineStr">
        <is>
          <t>신주케이스(10P) 작업완료</t>
        </is>
      </c>
      <c r="G138" s="52" t="n"/>
      <c r="H138" s="79">
        <f>IF(AND($F138="",$G138=""),"",IF($F138="","창고전용",IF($G138&lt;&gt;"","매칭완료",IF($D138="반제품","반제품(창고없음)",IF($D138="완제품","완제품(창고없음)",IF($D138="원자재","⚠ 원자재_부서보관","미분류"))))))</f>
        <v/>
      </c>
      <c r="I138" s="79">
        <f>IFERROR(IF(INDIRECT("'"&amp;$O138&amp;"'!P"&amp;$N138)=0,"",INDIRECT("'"&amp;$O138&amp;"'!P"&amp;$N138)),"")</f>
        <v/>
      </c>
      <c r="J138" s="61" t="inlineStr">
        <is>
          <t>신주케이스(10P) 작업완료</t>
        </is>
      </c>
      <c r="K138" s="61" t="inlineStr">
        <is>
          <t>신주 케이스 작업완료 [DX3000V]</t>
        </is>
      </c>
      <c r="L138" s="83">
        <f>HYPERLINK("#'"&amp;$O138&amp;"'!A"&amp;$N138,"→ 고압진공 R"&amp;$N138)</f>
        <v/>
      </c>
      <c r="M138" s="84" t="n"/>
      <c r="N138" s="80" t="n">
        <v>121</v>
      </c>
      <c r="O138" s="80" t="inlineStr">
        <is>
          <t>고압진공_재고현황</t>
        </is>
      </c>
    </row>
    <row r="139" ht="30" customHeight="1">
      <c r="A139" s="54" t="inlineStr">
        <is>
          <t>진공</t>
        </is>
      </c>
      <c r="B139" s="52" t="inlineStr">
        <is>
          <t>신주 A,ssy</t>
        </is>
      </c>
      <c r="C139" s="52" t="inlineStr">
        <is>
          <t>SOLO</t>
        </is>
      </c>
      <c r="D139" s="79">
        <f>IF(INDIRECT("'"&amp;$O139&amp;"'!F"&amp;$N139)="O","원자재",IF(INDIRECT("'"&amp;$O139&amp;"'!G"&amp;$N139)="O","반제품",IF(INDIRECT("'"&amp;$O139&amp;"'!H"&amp;$N139)="O","완제품","")))</f>
        <v/>
      </c>
      <c r="E139" s="79">
        <f>IFERROR(IF(INDIRECT("'"&amp;$O139&amp;"'!I"&amp;$N139)=0,"",INDIRECT("'"&amp;$O139&amp;"'!I"&amp;$N139)),"")</f>
        <v/>
      </c>
      <c r="F139" s="52" t="inlineStr">
        <is>
          <t>신주케이스 작업완료</t>
        </is>
      </c>
      <c r="G139" s="52" t="n"/>
      <c r="H139" s="79">
        <f>IF(AND($F139="",$G139=""),"",IF($F139="","창고전용",IF($G139&lt;&gt;"","매칭완료",IF($D139="반제품","반제품(창고없음)",IF($D139="완제품","완제품(창고없음)",IF($D139="원자재","⚠ 원자재_부서보관","미분류"))))))</f>
        <v/>
      </c>
      <c r="I139" s="79">
        <f>IFERROR(IF(INDIRECT("'"&amp;$O139&amp;"'!P"&amp;$N139)=0,"",INDIRECT("'"&amp;$O139&amp;"'!P"&amp;$N139)),"")</f>
        <v/>
      </c>
      <c r="J139" s="61" t="inlineStr">
        <is>
          <t>신주케이스 작업완료</t>
        </is>
      </c>
      <c r="K139" s="61" t="inlineStr">
        <is>
          <t>신주 케이스 작업완료 [SOLO]</t>
        </is>
      </c>
      <c r="L139" s="83">
        <f>HYPERLINK("#'"&amp;$O139&amp;"'!A"&amp;$N139,"→ 고압진공 R"&amp;$N139)</f>
        <v/>
      </c>
      <c r="M139" s="84" t="n"/>
      <c r="N139" s="80" t="n">
        <v>122</v>
      </c>
      <c r="O139" s="80" t="inlineStr">
        <is>
          <t>고압진공_재고현황</t>
        </is>
      </c>
    </row>
    <row r="140" ht="30" customHeight="1">
      <c r="A140" s="54" t="inlineStr">
        <is>
          <t>진공</t>
        </is>
      </c>
      <c r="B140" s="52" t="inlineStr">
        <is>
          <t>고압 A,ssy 진공 이전</t>
        </is>
      </c>
      <c r="C140" s="52" t="inlineStr">
        <is>
          <t>DX3000</t>
        </is>
      </c>
      <c r="D140" s="79">
        <f>IF(INDIRECT("'"&amp;$O140&amp;"'!F"&amp;$N140)="O","원자재",IF(INDIRECT("'"&amp;$O140&amp;"'!G"&amp;$N140)="O","반제품",IF(INDIRECT("'"&amp;$O140&amp;"'!H"&amp;$N140)="O","완제품","")))</f>
        <v/>
      </c>
      <c r="E140" s="79">
        <f>IFERROR(IF(INDIRECT("'"&amp;$O140&amp;"'!I"&amp;$N140)=0,"",INDIRECT("'"&amp;$O140&amp;"'!I"&amp;$N140)),"")</f>
        <v/>
      </c>
      <c r="F140" s="52" t="inlineStr">
        <is>
          <t>발생부 고압B/D+튜브 최종 작업完</t>
        </is>
      </c>
      <c r="G140" s="52" t="n"/>
      <c r="H140" s="79">
        <f>IF(AND($F140="",$G140=""),"",IF($F140="","창고전용",IF($G140&lt;&gt;"","매칭완료",IF($D140="반제품","반제품(창고없음)",IF($D140="완제품","완제품(창고없음)",IF($D140="원자재","⚠ 원자재_부서보관","미분류"))))))</f>
        <v/>
      </c>
      <c r="I140" s="79">
        <f>IFERROR(IF(INDIRECT("'"&amp;$O140&amp;"'!P"&amp;$N140)=0,"",INDIRECT("'"&amp;$O140&amp;"'!P"&amp;$N140)),"")</f>
        <v/>
      </c>
      <c r="J140" s="61" t="inlineStr">
        <is>
          <t>발생부 고압B/D+튜브 최종 작업完</t>
        </is>
      </c>
      <c r="K140" s="61" t="inlineStr">
        <is>
          <t>발생부 고압B/D+튜브 최종 작업完 [DX3000]</t>
        </is>
      </c>
      <c r="L140" s="83">
        <f>HYPERLINK("#'"&amp;$O140&amp;"'!A"&amp;$N140,"→ 고압진공 R"&amp;$N140)</f>
        <v/>
      </c>
      <c r="M140" s="84" t="n"/>
      <c r="N140" s="80" t="n">
        <v>123</v>
      </c>
      <c r="O140" s="80" t="inlineStr">
        <is>
          <t>고압진공_재고현황</t>
        </is>
      </c>
    </row>
    <row r="141" ht="30" customHeight="1">
      <c r="A141" s="54" t="inlineStr">
        <is>
          <t>진공</t>
        </is>
      </c>
      <c r="B141" s="52" t="inlineStr">
        <is>
          <t>고압 A,ssy 진공 이전</t>
        </is>
      </c>
      <c r="C141" s="52" t="inlineStr">
        <is>
          <t>DX3000</t>
        </is>
      </c>
      <c r="D141" s="79">
        <f>IF(INDIRECT("'"&amp;$O141&amp;"'!F"&amp;$N141)="O","원자재",IF(INDIRECT("'"&amp;$O141&amp;"'!G"&amp;$N141)="O","반제품",IF(INDIRECT("'"&amp;$O141&amp;"'!H"&amp;$N141)="O","완제품","")))</f>
        <v/>
      </c>
      <c r="E141" s="79">
        <f>IFERROR(IF(INDIRECT("'"&amp;$O141&amp;"'!I"&amp;$N141)=0,"",INDIRECT("'"&amp;$O141&amp;"'!I"&amp;$N141)),"")</f>
        <v/>
      </c>
      <c r="F141" s="52" t="inlineStr">
        <is>
          <t>발생부 고압B/D+튜브 최종 작업完 (9P)</t>
        </is>
      </c>
      <c r="G141" s="52" t="n"/>
      <c r="H141" s="79">
        <f>IF(AND($F141="",$G141=""),"",IF($F141="","창고전용",IF($G141&lt;&gt;"","매칭완료",IF($D141="반제품","반제품(창고없음)",IF($D141="완제품","완제품(창고없음)",IF($D141="원자재","⚠ 원자재_부서보관","미분류"))))))</f>
        <v/>
      </c>
      <c r="I141" s="79">
        <f>IFERROR(IF(INDIRECT("'"&amp;$O141&amp;"'!P"&amp;$N141)=0,"",INDIRECT("'"&amp;$O141&amp;"'!P"&amp;$N141)),"")</f>
        <v/>
      </c>
      <c r="J141" s="61" t="inlineStr">
        <is>
          <t>발생부 고압B/D+튜브 최종 작업完 (9P)</t>
        </is>
      </c>
      <c r="K141" s="61" t="inlineStr">
        <is>
          <t>발생부 고압B/D+튜브 최종 작업完  [DX3000M]</t>
        </is>
      </c>
      <c r="L141" s="83">
        <f>HYPERLINK("#'"&amp;$O141&amp;"'!A"&amp;$N141,"→ 고압진공 R"&amp;$N141)</f>
        <v/>
      </c>
      <c r="M141" s="84" t="n"/>
      <c r="N141" s="80" t="n">
        <v>124</v>
      </c>
      <c r="O141" s="80" t="inlineStr">
        <is>
          <t>고압진공_재고현황</t>
        </is>
      </c>
    </row>
    <row r="142" ht="30" customHeight="1">
      <c r="A142" s="54" t="inlineStr">
        <is>
          <t>진공</t>
        </is>
      </c>
      <c r="B142" s="52" t="inlineStr">
        <is>
          <t>고압 A,ssy 진공 이전</t>
        </is>
      </c>
      <c r="C142" s="52" t="inlineStr">
        <is>
          <t>ADX4000W</t>
        </is>
      </c>
      <c r="D142" s="79">
        <f>IF(INDIRECT("'"&amp;$O142&amp;"'!F"&amp;$N142)="O","원자재",IF(INDIRECT("'"&amp;$O142&amp;"'!G"&amp;$N142)="O","반제품",IF(INDIRECT("'"&amp;$O142&amp;"'!H"&amp;$N142)="O","완제품","")))</f>
        <v/>
      </c>
      <c r="E142" s="79">
        <f>IFERROR(IF(INDIRECT("'"&amp;$O142&amp;"'!I"&amp;$N142)=0,"",INDIRECT("'"&amp;$O142&amp;"'!I"&amp;$N142)),"")</f>
        <v/>
      </c>
      <c r="F142" s="52" t="inlineStr">
        <is>
          <t>발생부 고압B/D+튜브 최종 작업完</t>
        </is>
      </c>
      <c r="G142" s="52" t="n"/>
      <c r="H142" s="79">
        <f>IF(AND($F142="",$G142=""),"",IF($F142="","창고전용",IF($G142&lt;&gt;"","매칭완료",IF($D142="반제품","반제품(창고없음)",IF($D142="완제품","완제품(창고없음)",IF($D142="원자재","⚠ 원자재_부서보관","미분류"))))))</f>
        <v/>
      </c>
      <c r="I142" s="79">
        <f>IFERROR(IF(INDIRECT("'"&amp;$O142&amp;"'!P"&amp;$N142)=0,"",INDIRECT("'"&amp;$O142&amp;"'!P"&amp;$N142)),"")</f>
        <v/>
      </c>
      <c r="J142" s="61" t="inlineStr">
        <is>
          <t>발생부 고압B/D+튜브 최종 작업完</t>
        </is>
      </c>
      <c r="K142" s="61" t="inlineStr">
        <is>
          <t>발생부 고압B/D+튜브 최종 작업完 [ADX4000W]</t>
        </is>
      </c>
      <c r="L142" s="83">
        <f>HYPERLINK("#'"&amp;$O142&amp;"'!A"&amp;$N142,"→ 고압진공 R"&amp;$N142)</f>
        <v/>
      </c>
      <c r="M142" s="84" t="n"/>
      <c r="N142" s="80" t="n">
        <v>125</v>
      </c>
      <c r="O142" s="80" t="inlineStr">
        <is>
          <t>고압진공_재고현황</t>
        </is>
      </c>
    </row>
    <row r="143" ht="30" customHeight="1">
      <c r="A143" s="54" t="inlineStr">
        <is>
          <t>진공</t>
        </is>
      </c>
      <c r="B143" s="52" t="inlineStr">
        <is>
          <t>고압 A,ssy 진공 이전</t>
        </is>
      </c>
      <c r="C143" s="52" t="inlineStr">
        <is>
          <t>ADX6000</t>
        </is>
      </c>
      <c r="D143" s="79">
        <f>IF(INDIRECT("'"&amp;$O143&amp;"'!F"&amp;$N143)="O","원자재",IF(INDIRECT("'"&amp;$O143&amp;"'!G"&amp;$N143)="O","반제품",IF(INDIRECT("'"&amp;$O143&amp;"'!H"&amp;$N143)="O","완제품","")))</f>
        <v/>
      </c>
      <c r="E143" s="79">
        <f>IFERROR(IF(INDIRECT("'"&amp;$O143&amp;"'!I"&amp;$N143)=0,"",INDIRECT("'"&amp;$O143&amp;"'!I"&amp;$N143)),"")</f>
        <v/>
      </c>
      <c r="F143" s="52" t="inlineStr">
        <is>
          <t>발생부 고압B/D+튜브 최종 작업完 [D-0813]</t>
        </is>
      </c>
      <c r="G143" s="52" t="n"/>
      <c r="H143" s="79">
        <f>IF(AND($F143="",$G143=""),"",IF($F143="","창고전용",IF($G143&lt;&gt;"","매칭완료",IF($D143="반제품","반제품(창고없음)",IF($D143="완제품","완제품(창고없음)",IF($D143="원자재","⚠ 원자재_부서보관","미분류"))))))</f>
        <v/>
      </c>
      <c r="I143" s="79">
        <f>IFERROR(IF(INDIRECT("'"&amp;$O143&amp;"'!P"&amp;$N143)=0,"",INDIRECT("'"&amp;$O143&amp;"'!P"&amp;$N143)),"")</f>
        <v/>
      </c>
      <c r="J143" s="61" t="inlineStr">
        <is>
          <t>발생부 고압B/D+튜브 최종 작업完 [D-0813]</t>
        </is>
      </c>
      <c r="K143" s="61" t="inlineStr">
        <is>
          <t>발생부 고압B/D+튜브 최종 작업完 [D-0813] [ADX6000]</t>
        </is>
      </c>
      <c r="L143" s="83">
        <f>HYPERLINK("#'"&amp;$O143&amp;"'!A"&amp;$N143,"→ 고압진공 R"&amp;$N143)</f>
        <v/>
      </c>
      <c r="M143" s="84" t="n"/>
      <c r="N143" s="80" t="n">
        <v>126</v>
      </c>
      <c r="O143" s="80" t="inlineStr">
        <is>
          <t>고압진공_재고현황</t>
        </is>
      </c>
    </row>
    <row r="144" ht="30" customHeight="1">
      <c r="A144" s="54" t="inlineStr">
        <is>
          <t>진공</t>
        </is>
      </c>
      <c r="B144" s="52" t="inlineStr">
        <is>
          <t>고압 A,ssy 진공 이전</t>
        </is>
      </c>
      <c r="C144" s="52" t="inlineStr">
        <is>
          <t>ADX6000</t>
        </is>
      </c>
      <c r="D144" s="79">
        <f>IF(INDIRECT("'"&amp;$O144&amp;"'!F"&amp;$N144)="O","원자재",IF(INDIRECT("'"&amp;$O144&amp;"'!G"&amp;$N144)="O","반제품",IF(INDIRECT("'"&amp;$O144&amp;"'!H"&amp;$N144)="O","완제품","")))</f>
        <v/>
      </c>
      <c r="E144" s="79">
        <f>IFERROR(IF(INDIRECT("'"&amp;$O144&amp;"'!I"&amp;$N144)=0,"",INDIRECT("'"&amp;$O144&amp;"'!I"&amp;$N144)),"")</f>
        <v/>
      </c>
      <c r="F144" s="52" t="inlineStr">
        <is>
          <t>발생부 고압B/D+튜브 최종 작업完 [DXDR-100]</t>
        </is>
      </c>
      <c r="G144" s="52" t="n"/>
      <c r="H144" s="79">
        <f>IF(AND($F144="",$G144=""),"",IF($F144="","창고전용",IF($G144&lt;&gt;"","매칭완료",IF($D144="반제품","반제품(창고없음)",IF($D144="완제품","완제품(창고없음)",IF($D144="원자재","⚠ 원자재_부서보관","미분류"))))))</f>
        <v/>
      </c>
      <c r="I144" s="79">
        <f>IFERROR(IF(INDIRECT("'"&amp;$O144&amp;"'!P"&amp;$N144)=0,"",INDIRECT("'"&amp;$O144&amp;"'!P"&amp;$N144)),"")</f>
        <v/>
      </c>
      <c r="J144" s="61" t="inlineStr">
        <is>
          <t>발생부 고압B/D+튜브 최종 작업完 [DXDR-100]</t>
        </is>
      </c>
      <c r="K144" s="61" t="inlineStr">
        <is>
          <t>발생부 고압B/D+튜브 최종 작업完 [DXDR-100] [ADX6000]</t>
        </is>
      </c>
      <c r="L144" s="83">
        <f>HYPERLINK("#'"&amp;$O144&amp;"'!A"&amp;$N144,"→ 고압진공 R"&amp;$N144)</f>
        <v/>
      </c>
      <c r="M144" s="84" t="n"/>
      <c r="N144" s="80" t="n">
        <v>127</v>
      </c>
      <c r="O144" s="80" t="inlineStr">
        <is>
          <t>고압진공_재고현황</t>
        </is>
      </c>
    </row>
    <row r="145" ht="30" customHeight="1">
      <c r="A145" s="54" t="inlineStr">
        <is>
          <t>진공</t>
        </is>
      </c>
      <c r="B145" s="52" t="inlineStr">
        <is>
          <t>고압 A,ssy 진공 이전</t>
        </is>
      </c>
      <c r="C145" s="52" t="inlineStr">
        <is>
          <t>ADX6000</t>
        </is>
      </c>
      <c r="D145" s="79">
        <f>IF(INDIRECT("'"&amp;$O145&amp;"'!F"&amp;$N145)="O","원자재",IF(INDIRECT("'"&amp;$O145&amp;"'!G"&amp;$N145)="O","반제품",IF(INDIRECT("'"&amp;$O145&amp;"'!H"&amp;$N145)="O","완제품","")))</f>
        <v/>
      </c>
      <c r="E145" s="79">
        <f>IFERROR(IF(INDIRECT("'"&amp;$O145&amp;"'!I"&amp;$N145)=0,"",INDIRECT("'"&amp;$O145&amp;"'!I"&amp;$N145)),"")</f>
        <v/>
      </c>
      <c r="F145" s="52" t="inlineStr">
        <is>
          <t>발생부 고압B/D+튜브 최종 작업完 [OX-70]</t>
        </is>
      </c>
      <c r="G145" s="52" t="n"/>
      <c r="H145" s="79">
        <f>IF(AND($F145="",$G145=""),"",IF($F145="","창고전용",IF($G145&lt;&gt;"","매칭완료",IF($D145="반제품","반제품(창고없음)",IF($D145="완제품","완제품(창고없음)",IF($D145="원자재","⚠ 원자재_부서보관","미분류"))))))</f>
        <v/>
      </c>
      <c r="I145" s="79">
        <f>IFERROR(IF(INDIRECT("'"&amp;$O145&amp;"'!P"&amp;$N145)=0,"",INDIRECT("'"&amp;$O145&amp;"'!P"&amp;$N145)),"")</f>
        <v/>
      </c>
      <c r="J145" s="61" t="inlineStr">
        <is>
          <t>발생부 고압B/D+튜브 최종 작업完 [OX-70]</t>
        </is>
      </c>
      <c r="K145" s="61" t="inlineStr">
        <is>
          <t>발생부 고압B/D+튜브 최종 작업完 [OX-70] [ADX6000]</t>
        </is>
      </c>
      <c r="L145" s="83">
        <f>HYPERLINK("#'"&amp;$O145&amp;"'!A"&amp;$N145,"→ 고압진공 R"&amp;$N145)</f>
        <v/>
      </c>
      <c r="M145" s="84" t="n"/>
      <c r="N145" s="80" t="n">
        <v>128</v>
      </c>
      <c r="O145" s="80" t="inlineStr">
        <is>
          <t>고압진공_재고현황</t>
        </is>
      </c>
    </row>
    <row r="146" ht="30" customHeight="1">
      <c r="A146" s="54" t="inlineStr">
        <is>
          <t>진공</t>
        </is>
      </c>
      <c r="B146" s="52" t="inlineStr">
        <is>
          <t>고압 A,ssy 진공 이전</t>
        </is>
      </c>
      <c r="C146" s="52" t="inlineStr">
        <is>
          <t>COCOON</t>
        </is>
      </c>
      <c r="D146" s="79">
        <f>IF(INDIRECT("'"&amp;$O146&amp;"'!F"&amp;$N146)="O","원자재",IF(INDIRECT("'"&amp;$O146&amp;"'!G"&amp;$N146)="O","반제품",IF(INDIRECT("'"&amp;$O146&amp;"'!H"&amp;$N146)="O","완제품","")))</f>
        <v/>
      </c>
      <c r="E146" s="79">
        <f>IFERROR(IF(INDIRECT("'"&amp;$O146&amp;"'!I"&amp;$N146)=0,"",INDIRECT("'"&amp;$O146&amp;"'!I"&amp;$N146)),"")</f>
        <v/>
      </c>
      <c r="F146" s="52" t="inlineStr">
        <is>
          <t>발생부 고압B/D+튜브 최종 작업完</t>
        </is>
      </c>
      <c r="G146" s="52" t="n"/>
      <c r="H146" s="79">
        <f>IF(AND($F146="",$G146=""),"",IF($F146="","창고전용",IF($G146&lt;&gt;"","매칭완료",IF($D146="반제품","반제품(창고없음)",IF($D146="완제품","완제품(창고없음)",IF($D146="원자재","⚠ 원자재_부서보관","미분류"))))))</f>
        <v/>
      </c>
      <c r="I146" s="79">
        <f>IFERROR(IF(INDIRECT("'"&amp;$O146&amp;"'!P"&amp;$N146)=0,"",INDIRECT("'"&amp;$O146&amp;"'!P"&amp;$N146)),"")</f>
        <v/>
      </c>
      <c r="J146" s="61" t="inlineStr">
        <is>
          <t>발생부 고압B/D+튜브 최종 작업完</t>
        </is>
      </c>
      <c r="K146" s="61" t="inlineStr">
        <is>
          <t>발생부 고압B/D+튜브 최종 작업完 [COCOON]</t>
        </is>
      </c>
      <c r="L146" s="83">
        <f>HYPERLINK("#'"&amp;$O146&amp;"'!A"&amp;$N146,"→ 고압진공 R"&amp;$N146)</f>
        <v/>
      </c>
      <c r="M146" s="84" t="n"/>
      <c r="N146" s="80" t="n">
        <v>129</v>
      </c>
      <c r="O146" s="80" t="inlineStr">
        <is>
          <t>고압진공_재고현황</t>
        </is>
      </c>
    </row>
    <row r="147" ht="30" customHeight="1">
      <c r="A147" s="54" t="inlineStr">
        <is>
          <t>진공</t>
        </is>
      </c>
      <c r="B147" s="52" t="inlineStr">
        <is>
          <t>고압 A,ssy 진공 이전</t>
        </is>
      </c>
      <c r="C147" s="52" t="inlineStr">
        <is>
          <t>ADX6000</t>
        </is>
      </c>
      <c r="D147" s="79">
        <f>IF(INDIRECT("'"&amp;$O147&amp;"'!F"&amp;$N147)="O","원자재",IF(INDIRECT("'"&amp;$O147&amp;"'!G"&amp;$N147)="O","반제품",IF(INDIRECT("'"&amp;$O147&amp;"'!H"&amp;$N147)="O","완제품","")))</f>
        <v/>
      </c>
      <c r="E147" s="79">
        <f>IFERROR(IF(INDIRECT("'"&amp;$O147&amp;"'!I"&amp;$N147)=0,"",INDIRECT("'"&amp;$O147&amp;"'!I"&amp;$N147)),"")</f>
        <v/>
      </c>
      <c r="F147" s="52" t="inlineStr">
        <is>
          <t>발생부 고압B/D+튜브 최종 작업完 (10핀)[D-0813]</t>
        </is>
      </c>
      <c r="G147" s="52" t="n"/>
      <c r="H147" s="79">
        <f>IF(AND($F147="",$G147=""),"",IF($F147="","창고전용",IF($G147&lt;&gt;"","매칭완료",IF($D147="반제품","반제품(창고없음)",IF($D147="완제품","완제품(창고없음)",IF($D147="원자재","⚠ 원자재_부서보관","미분류"))))))</f>
        <v/>
      </c>
      <c r="I147" s="79">
        <f>IFERROR(IF(INDIRECT("'"&amp;$O147&amp;"'!P"&amp;$N147)=0,"",INDIRECT("'"&amp;$O147&amp;"'!P"&amp;$N147)),"")</f>
        <v/>
      </c>
      <c r="J147" s="61" t="inlineStr">
        <is>
          <t>발생부 고압B/D+튜브 최종 작업完 (10핀)[D-0813]</t>
        </is>
      </c>
      <c r="K147" s="61" t="inlineStr">
        <is>
          <t>발생부 고압B/D+튜브 최종 작업完 (10핀) [D-0813] [ADX6000]</t>
        </is>
      </c>
      <c r="L147" s="83">
        <f>HYPERLINK("#'"&amp;$O147&amp;"'!A"&amp;$N147,"→ 고압진공 R"&amp;$N147)</f>
        <v/>
      </c>
      <c r="M147" s="84" t="n"/>
      <c r="N147" s="80" t="n">
        <v>130</v>
      </c>
      <c r="O147" s="80" t="inlineStr">
        <is>
          <t>고압진공_재고현황</t>
        </is>
      </c>
    </row>
    <row r="148" ht="30" customHeight="1">
      <c r="A148" s="54" t="inlineStr">
        <is>
          <t>진공</t>
        </is>
      </c>
      <c r="B148" s="52" t="inlineStr">
        <is>
          <t>고압 A,ssy 진공 이전</t>
        </is>
      </c>
      <c r="C148" s="52" t="inlineStr">
        <is>
          <t>COCOON</t>
        </is>
      </c>
      <c r="D148" s="79">
        <f>IF(INDIRECT("'"&amp;$O148&amp;"'!F"&amp;$N148)="O","원자재",IF(INDIRECT("'"&amp;$O148&amp;"'!G"&amp;$N148)="O","반제품",IF(INDIRECT("'"&amp;$O148&amp;"'!H"&amp;$N148)="O","완제품","")))</f>
        <v/>
      </c>
      <c r="E148" s="79">
        <f>IFERROR(IF(INDIRECT("'"&amp;$O148&amp;"'!I"&amp;$N148)=0,"",INDIRECT("'"&amp;$O148&amp;"'!I"&amp;$N148)),"")</f>
        <v/>
      </c>
      <c r="F148" s="52" t="inlineStr">
        <is>
          <t>발생부 고압B/D+튜브 최종 작업完 [Ver 2.12]</t>
        </is>
      </c>
      <c r="G148" s="52" t="n"/>
      <c r="H148" s="79">
        <f>IF(AND($F148="",$G148=""),"",IF($F148="","창고전용",IF($G148&lt;&gt;"","매칭완료",IF($D148="반제품","반제품(창고없음)",IF($D148="완제품","완제품(창고없음)",IF($D148="원자재","⚠ 원자재_부서보관","미분류"))))))</f>
        <v/>
      </c>
      <c r="I148" s="79">
        <f>IFERROR(IF(INDIRECT("'"&amp;$O148&amp;"'!P"&amp;$N148)=0,"",INDIRECT("'"&amp;$O148&amp;"'!P"&amp;$N148)),"")</f>
        <v/>
      </c>
      <c r="J148" s="61" t="inlineStr">
        <is>
          <t>발생부 고압B/D+튜브 최종 작업完 [Ver 2.12]</t>
        </is>
      </c>
      <c r="K148" s="61" t="inlineStr">
        <is>
          <t>발생부 고압B/D+튜브 최종 작업完 [Ver 2.12] [COCOON]</t>
        </is>
      </c>
      <c r="L148" s="83">
        <f>HYPERLINK("#'"&amp;$O148&amp;"'!A"&amp;$N148,"→ 고압진공 R"&amp;$N148)</f>
        <v/>
      </c>
      <c r="M148" s="84" t="n"/>
      <c r="N148" s="80" t="n">
        <v>131</v>
      </c>
      <c r="O148" s="80" t="inlineStr">
        <is>
          <t>고압진공_재고현황</t>
        </is>
      </c>
    </row>
    <row r="149" ht="30" customHeight="1">
      <c r="A149" s="54" t="inlineStr">
        <is>
          <t>진공</t>
        </is>
      </c>
      <c r="B149" s="52" t="inlineStr">
        <is>
          <t>고압 A,ssy 진공 이전</t>
        </is>
      </c>
      <c r="C149" s="52" t="inlineStr">
        <is>
          <t>DX3000V</t>
        </is>
      </c>
      <c r="D149" s="79">
        <f>IF(INDIRECT("'"&amp;$O149&amp;"'!F"&amp;$N149)="O","원자재",IF(INDIRECT("'"&amp;$O149&amp;"'!G"&amp;$N149)="O","반제품",IF(INDIRECT("'"&amp;$O149&amp;"'!H"&amp;$N149)="O","완제품","")))</f>
        <v/>
      </c>
      <c r="E149" s="79">
        <f>IFERROR(IF(INDIRECT("'"&amp;$O149&amp;"'!I"&amp;$N149)=0,"",INDIRECT("'"&amp;$O149&amp;"'!I"&amp;$N149)),"")</f>
        <v/>
      </c>
      <c r="F149" s="52" t="inlineStr">
        <is>
          <t>발생부 고압B/D+튜브 최종 작업完 (10핀)[D-0813]</t>
        </is>
      </c>
      <c r="G149" s="52" t="n"/>
      <c r="H149" s="79">
        <f>IF(AND($F149="",$G149=""),"",IF($F149="","창고전용",IF($G149&lt;&gt;"","매칭완료",IF($D149="반제품","반제품(창고없음)",IF($D149="완제품","완제품(창고없음)",IF($D149="원자재","⚠ 원자재_부서보관","미분류"))))))</f>
        <v/>
      </c>
      <c r="I149" s="79">
        <f>IFERROR(IF(INDIRECT("'"&amp;$O149&amp;"'!P"&amp;$N149)=0,"",INDIRECT("'"&amp;$O149&amp;"'!P"&amp;$N149)),"")</f>
        <v/>
      </c>
      <c r="J149" s="61" t="inlineStr">
        <is>
          <t>발생부 고압B/D+튜브 최종 작업完 (10핀)[D-0813]</t>
        </is>
      </c>
      <c r="K149" s="61" t="inlineStr">
        <is>
          <t>발생부 고압B/D+튜브 최종 작업完 (10핀) [D-0813] [DX3000V]</t>
        </is>
      </c>
      <c r="L149" s="83">
        <f>HYPERLINK("#'"&amp;$O149&amp;"'!A"&amp;$N149,"→ 고압진공 R"&amp;$N149)</f>
        <v/>
      </c>
      <c r="M149" s="84" t="n"/>
      <c r="N149" s="80" t="n">
        <v>132</v>
      </c>
      <c r="O149" s="80" t="inlineStr">
        <is>
          <t>고압진공_재고현황</t>
        </is>
      </c>
    </row>
    <row r="150" ht="30" customHeight="1">
      <c r="A150" s="54" t="inlineStr">
        <is>
          <t>진공</t>
        </is>
      </c>
      <c r="B150" s="52" t="inlineStr">
        <is>
          <t>고압 A,ssy 진공 이전</t>
        </is>
      </c>
      <c r="C150" s="52" t="inlineStr">
        <is>
          <t>SOLO</t>
        </is>
      </c>
      <c r="D150" s="79">
        <f>IF(INDIRECT("'"&amp;$O150&amp;"'!F"&amp;$N150)="O","원자재",IF(INDIRECT("'"&amp;$O150&amp;"'!G"&amp;$N150)="O","반제품",IF(INDIRECT("'"&amp;$O150&amp;"'!H"&amp;$N150)="O","완제품","")))</f>
        <v/>
      </c>
      <c r="E150" s="79">
        <f>IFERROR(IF(INDIRECT("'"&amp;$O150&amp;"'!I"&amp;$N150)=0,"",INDIRECT("'"&amp;$O150&amp;"'!I"&amp;$N150)),"")</f>
        <v/>
      </c>
      <c r="F150" s="52" t="inlineStr">
        <is>
          <t>발생부 고압B/D+튜브 최종 작업完 [CBT]</t>
        </is>
      </c>
      <c r="G150" s="52" t="n"/>
      <c r="H150" s="79">
        <f>IF(AND($F150="",$G150=""),"",IF($F150="","창고전용",IF($G150&lt;&gt;"","매칭완료",IF($D150="반제품","반제품(창고없음)",IF($D150="완제품","완제품(창고없음)",IF($D150="원자재","⚠ 원자재_부서보관","미분류"))))))</f>
        <v/>
      </c>
      <c r="I150" s="79">
        <f>IFERROR(IF(INDIRECT("'"&amp;$O150&amp;"'!P"&amp;$N150)=0,"",INDIRECT("'"&amp;$O150&amp;"'!P"&amp;$N150)),"")</f>
        <v/>
      </c>
      <c r="J150" s="61" t="inlineStr">
        <is>
          <t>발생부 고압B/D+튜브 최종 작업完 [CBT]</t>
        </is>
      </c>
      <c r="K150" s="61" t="inlineStr">
        <is>
          <t>발생부 고압B/D+튜브 최종 작업完 [DXDR-070] [ADX6000]</t>
        </is>
      </c>
      <c r="L150" s="83">
        <f>HYPERLINK("#'"&amp;$O150&amp;"'!A"&amp;$N150,"→ 고압진공 R"&amp;$N150)</f>
        <v/>
      </c>
      <c r="M150" s="84" t="n"/>
      <c r="N150" s="80" t="n">
        <v>133</v>
      </c>
      <c r="O150" s="80" t="inlineStr">
        <is>
          <t>고압진공_재고현황</t>
        </is>
      </c>
    </row>
    <row r="151" ht="30" customHeight="1">
      <c r="A151" s="54" t="inlineStr">
        <is>
          <t>진공</t>
        </is>
      </c>
      <c r="B151" s="52" t="inlineStr">
        <is>
          <t>진공</t>
        </is>
      </c>
      <c r="C151" s="52" t="inlineStr">
        <is>
          <t>DX3000</t>
        </is>
      </c>
      <c r="D151" s="79">
        <f>IF(INDIRECT("'"&amp;$O151&amp;"'!F"&amp;$N151)="O","원자재",IF(INDIRECT("'"&amp;$O151&amp;"'!G"&amp;$N151)="O","반제품",IF(INDIRECT("'"&amp;$O151&amp;"'!H"&amp;$N151)="O","완제품","")))</f>
        <v/>
      </c>
      <c r="E151" s="79">
        <f>IFERROR(IF(INDIRECT("'"&amp;$O151&amp;"'!I"&amp;$N151)=0,"",INDIRECT("'"&amp;$O151&amp;"'!I"&amp;$N151)),"")</f>
        <v/>
      </c>
      <c r="F151" s="52" t="inlineStr">
        <is>
          <t>발생부(진공)</t>
        </is>
      </c>
      <c r="G151" s="52" t="n"/>
      <c r="H151" s="79">
        <f>IF(AND($F151="",$G151=""),"",IF($F151="","창고전용",IF($G151&lt;&gt;"","매칭완료",IF($D151="반제품","반제품(창고없음)",IF($D151="완제품","완제품(창고없음)",IF($D151="원자재","⚠ 원자재_부서보관","미분류"))))))</f>
        <v/>
      </c>
      <c r="I151" s="79">
        <f>IFERROR(IF(INDIRECT("'"&amp;$O151&amp;"'!P"&amp;$N151)=0,"",INDIRECT("'"&amp;$O151&amp;"'!P"&amp;$N151)),"")</f>
        <v/>
      </c>
      <c r="J151" s="61" t="inlineStr">
        <is>
          <t>발생부(진공)</t>
        </is>
      </c>
      <c r="K151" s="61" t="inlineStr">
        <is>
          <t>발생부 (진공) [DX3000]</t>
        </is>
      </c>
      <c r="L151" s="83">
        <f>HYPERLINK("#'"&amp;$O151&amp;"'!A"&amp;$N151,"→ 고압진공 R"&amp;$N151)</f>
        <v/>
      </c>
      <c r="M151" s="84" t="n"/>
      <c r="N151" s="80" t="n">
        <v>134</v>
      </c>
      <c r="O151" s="80" t="inlineStr">
        <is>
          <t>고압진공_재고현황</t>
        </is>
      </c>
    </row>
    <row r="152" ht="30" customHeight="1">
      <c r="A152" s="54" t="inlineStr">
        <is>
          <t>진공</t>
        </is>
      </c>
      <c r="B152" s="52" t="inlineStr">
        <is>
          <t>진공</t>
        </is>
      </c>
      <c r="C152" s="52" t="inlineStr">
        <is>
          <t>DX3000</t>
        </is>
      </c>
      <c r="D152" s="79">
        <f>IF(INDIRECT("'"&amp;$O152&amp;"'!F"&amp;$N152)="O","원자재",IF(INDIRECT("'"&amp;$O152&amp;"'!G"&amp;$N152)="O","반제품",IF(INDIRECT("'"&amp;$O152&amp;"'!H"&amp;$N152)="O","완제품","")))</f>
        <v/>
      </c>
      <c r="E152" s="79">
        <f>IFERROR(IF(INDIRECT("'"&amp;$O152&amp;"'!I"&amp;$N152)=0,"",INDIRECT("'"&amp;$O152&amp;"'!I"&amp;$N152)),"")</f>
        <v/>
      </c>
      <c r="F152" s="52" t="inlineStr">
        <is>
          <t>발생부(9P)(진공)</t>
        </is>
      </c>
      <c r="G152" s="52" t="n"/>
      <c r="H152" s="79">
        <f>IF(AND($F152="",$G152=""),"",IF($F152="","창고전용",IF($G152&lt;&gt;"","매칭완료",IF($D152="반제품","반제품(창고없음)",IF($D152="완제품","완제품(창고없음)",IF($D152="원자재","⚠ 원자재_부서보관","미분류"))))))</f>
        <v/>
      </c>
      <c r="I152" s="79">
        <f>IFERROR(IF(INDIRECT("'"&amp;$O152&amp;"'!P"&amp;$N152)=0,"",INDIRECT("'"&amp;$O152&amp;"'!P"&amp;$N152)),"")</f>
        <v/>
      </c>
      <c r="J152" s="61" t="inlineStr">
        <is>
          <t>발생부(9P)(진공)</t>
        </is>
      </c>
      <c r="K152" s="61" t="inlineStr">
        <is>
          <t>발생부 (진공) [DX3000M]</t>
        </is>
      </c>
      <c r="L152" s="83">
        <f>HYPERLINK("#'"&amp;$O152&amp;"'!A"&amp;$N152,"→ 고압진공 R"&amp;$N152)</f>
        <v/>
      </c>
      <c r="M152" s="84" t="n"/>
      <c r="N152" s="80" t="n">
        <v>135</v>
      </c>
      <c r="O152" s="80" t="inlineStr">
        <is>
          <t>고압진공_재고현황</t>
        </is>
      </c>
    </row>
    <row r="153" ht="30" customHeight="1">
      <c r="A153" s="54" t="inlineStr">
        <is>
          <t>진공</t>
        </is>
      </c>
      <c r="B153" s="52" t="inlineStr">
        <is>
          <t>진공</t>
        </is>
      </c>
      <c r="C153" s="52" t="inlineStr">
        <is>
          <t>ADX4000W</t>
        </is>
      </c>
      <c r="D153" s="79">
        <f>IF(INDIRECT("'"&amp;$O153&amp;"'!F"&amp;$N153)="O","원자재",IF(INDIRECT("'"&amp;$O153&amp;"'!G"&amp;$N153)="O","반제품",IF(INDIRECT("'"&amp;$O153&amp;"'!H"&amp;$N153)="O","완제품","")))</f>
        <v/>
      </c>
      <c r="E153" s="79">
        <f>IFERROR(IF(INDIRECT("'"&amp;$O153&amp;"'!I"&amp;$N153)=0,"",INDIRECT("'"&amp;$O153&amp;"'!I"&amp;$N153)),"")</f>
        <v/>
      </c>
      <c r="F153" s="52" t="inlineStr">
        <is>
          <t>발생부(진공)</t>
        </is>
      </c>
      <c r="G153" s="52" t="n"/>
      <c r="H153" s="79">
        <f>IF(AND($F153="",$G153=""),"",IF($F153="","창고전용",IF($G153&lt;&gt;"","매칭완료",IF($D153="반제품","반제품(창고없음)",IF($D153="완제품","완제품(창고없음)",IF($D153="원자재","⚠ 원자재_부서보관","미분류"))))))</f>
        <v/>
      </c>
      <c r="I153" s="79">
        <f>IFERROR(IF(INDIRECT("'"&amp;$O153&amp;"'!P"&amp;$N153)=0,"",INDIRECT("'"&amp;$O153&amp;"'!P"&amp;$N153)),"")</f>
        <v/>
      </c>
      <c r="J153" s="61" t="inlineStr">
        <is>
          <t>발생부(진공)</t>
        </is>
      </c>
      <c r="K153" s="61" t="inlineStr">
        <is>
          <t>발생부 (진공) [ADX4000]</t>
        </is>
      </c>
      <c r="L153" s="83">
        <f>HYPERLINK("#'"&amp;$O153&amp;"'!A"&amp;$N153,"→ 고압진공 R"&amp;$N153)</f>
        <v/>
      </c>
      <c r="M153" s="84" t="n"/>
      <c r="N153" s="80" t="n">
        <v>136</v>
      </c>
      <c r="O153" s="80" t="inlineStr">
        <is>
          <t>고압진공_재고현황</t>
        </is>
      </c>
    </row>
    <row r="154" ht="30" customHeight="1">
      <c r="A154" s="54" t="inlineStr">
        <is>
          <t>진공</t>
        </is>
      </c>
      <c r="B154" s="52" t="inlineStr">
        <is>
          <t>진공</t>
        </is>
      </c>
      <c r="C154" s="52" t="inlineStr">
        <is>
          <t>ADX6000</t>
        </is>
      </c>
      <c r="D154" s="79">
        <f>IF(INDIRECT("'"&amp;$O154&amp;"'!F"&amp;$N154)="O","원자재",IF(INDIRECT("'"&amp;$O154&amp;"'!G"&amp;$N154)="O","반제품",IF(INDIRECT("'"&amp;$O154&amp;"'!H"&amp;$N154)="O","완제품","")))</f>
        <v/>
      </c>
      <c r="E154" s="79">
        <f>IFERROR(IF(INDIRECT("'"&amp;$O154&amp;"'!I"&amp;$N154)=0,"",INDIRECT("'"&amp;$O154&amp;"'!I"&amp;$N154)),"")</f>
        <v/>
      </c>
      <c r="F154" s="52" t="inlineStr">
        <is>
          <t>발생부(진공)</t>
        </is>
      </c>
      <c r="G154" s="52" t="n"/>
      <c r="H154" s="79">
        <f>IF(AND($F154="",$G154=""),"",IF($F154="","창고전용",IF($G154&lt;&gt;"","매칭완료",IF($D154="반제품","반제품(창고없음)",IF($D154="완제품","완제품(창고없음)",IF($D154="원자재","⚠ 원자재_부서보관","미분류"))))))</f>
        <v/>
      </c>
      <c r="I154" s="79">
        <f>IFERROR(IF(INDIRECT("'"&amp;$O154&amp;"'!P"&amp;$N154)=0,"",INDIRECT("'"&amp;$O154&amp;"'!P"&amp;$N154)),"")</f>
        <v/>
      </c>
      <c r="J154" s="61" t="inlineStr">
        <is>
          <t>발생부(진공)</t>
        </is>
      </c>
      <c r="K154" s="61" t="inlineStr">
        <is>
          <t>발생부 (진공) [ADX6000]</t>
        </is>
      </c>
      <c r="L154" s="83">
        <f>HYPERLINK("#'"&amp;$O154&amp;"'!A"&amp;$N154,"→ 고압진공 R"&amp;$N154)</f>
        <v/>
      </c>
      <c r="M154" s="84" t="n"/>
      <c r="N154" s="80" t="n">
        <v>137</v>
      </c>
      <c r="O154" s="80" t="inlineStr">
        <is>
          <t>고압진공_재고현황</t>
        </is>
      </c>
    </row>
    <row r="155" ht="30" customHeight="1">
      <c r="A155" s="54" t="inlineStr">
        <is>
          <t>진공</t>
        </is>
      </c>
      <c r="B155" s="52" t="inlineStr">
        <is>
          <t>진공</t>
        </is>
      </c>
      <c r="C155" s="52" t="inlineStr">
        <is>
          <t>ADX6000</t>
        </is>
      </c>
      <c r="D155" s="79">
        <f>IF(INDIRECT("'"&amp;$O155&amp;"'!F"&amp;$N155)="O","원자재",IF(INDIRECT("'"&amp;$O155&amp;"'!G"&amp;$N155)="O","반제품",IF(INDIRECT("'"&amp;$O155&amp;"'!H"&amp;$N155)="O","완제품","")))</f>
        <v/>
      </c>
      <c r="E155" s="79">
        <f>IFERROR(IF(INDIRECT("'"&amp;$O155&amp;"'!I"&amp;$N155)=0,"",INDIRECT("'"&amp;$O155&amp;"'!I"&amp;$N155)),"")</f>
        <v/>
      </c>
      <c r="F155" s="52" t="inlineStr">
        <is>
          <t>발생부(10P)(진공)</t>
        </is>
      </c>
      <c r="G155" s="52" t="n"/>
      <c r="H155" s="79">
        <f>IF(AND($F155="",$G155=""),"",IF($F155="","창고전용",IF($G155&lt;&gt;"","매칭완료",IF($D155="반제품","반제품(창고없음)",IF($D155="완제품","완제품(창고없음)",IF($D155="원자재","⚠ 원자재_부서보관","미분류"))))))</f>
        <v/>
      </c>
      <c r="I155" s="79">
        <f>IFERROR(IF(INDIRECT("'"&amp;$O155&amp;"'!P"&amp;$N155)=0,"",INDIRECT("'"&amp;$O155&amp;"'!P"&amp;$N155)),"")</f>
        <v/>
      </c>
      <c r="J155" s="61" t="inlineStr">
        <is>
          <t>발생부(10P)(진공)</t>
        </is>
      </c>
      <c r="K155" s="61" t="inlineStr">
        <is>
          <t>발생부 (10P) (진공) [ADX6000]</t>
        </is>
      </c>
      <c r="L155" s="83">
        <f>HYPERLINK("#'"&amp;$O155&amp;"'!A"&amp;$N155,"→ 고압진공 R"&amp;$N155)</f>
        <v/>
      </c>
      <c r="M155" s="84" t="n"/>
      <c r="N155" s="80" t="n">
        <v>138</v>
      </c>
      <c r="O155" s="80" t="inlineStr">
        <is>
          <t>고압진공_재고현황</t>
        </is>
      </c>
    </row>
    <row r="156" ht="30" customHeight="1">
      <c r="A156" s="54" t="inlineStr">
        <is>
          <t>진공</t>
        </is>
      </c>
      <c r="B156" s="52" t="inlineStr">
        <is>
          <t>진공</t>
        </is>
      </c>
      <c r="C156" s="52" t="inlineStr">
        <is>
          <t>COCOON</t>
        </is>
      </c>
      <c r="D156" s="79">
        <f>IF(INDIRECT("'"&amp;$O156&amp;"'!F"&amp;$N156)="O","원자재",IF(INDIRECT("'"&amp;$O156&amp;"'!G"&amp;$N156)="O","반제품",IF(INDIRECT("'"&amp;$O156&amp;"'!H"&amp;$N156)="O","완제품","")))</f>
        <v/>
      </c>
      <c r="E156" s="79">
        <f>IFERROR(IF(INDIRECT("'"&amp;$O156&amp;"'!I"&amp;$N156)=0,"",INDIRECT("'"&amp;$O156&amp;"'!I"&amp;$N156)),"")</f>
        <v/>
      </c>
      <c r="F156" s="52" t="inlineStr">
        <is>
          <t>발생부(진공)</t>
        </is>
      </c>
      <c r="G156" s="52" t="n"/>
      <c r="H156" s="79">
        <f>IF(AND($F156="",$G156=""),"",IF($F156="","창고전용",IF($G156&lt;&gt;"","매칭완료",IF($D156="반제품","반제품(창고없음)",IF($D156="완제품","완제품(창고없음)",IF($D156="원자재","⚠ 원자재_부서보관","미분류"))))))</f>
        <v/>
      </c>
      <c r="I156" s="79">
        <f>IFERROR(IF(INDIRECT("'"&amp;$O156&amp;"'!P"&amp;$N156)=0,"",INDIRECT("'"&amp;$O156&amp;"'!P"&amp;$N156)),"")</f>
        <v/>
      </c>
      <c r="J156" s="61" t="inlineStr">
        <is>
          <t>발생부(진공)</t>
        </is>
      </c>
      <c r="K156" s="61" t="inlineStr">
        <is>
          <t>발생부 (진공) [COCOON]</t>
        </is>
      </c>
      <c r="L156" s="83">
        <f>HYPERLINK("#'"&amp;$O156&amp;"'!A"&amp;$N156,"→ 고압진공 R"&amp;$N156)</f>
        <v/>
      </c>
      <c r="M156" s="84" t="n"/>
      <c r="N156" s="80" t="n">
        <v>139</v>
      </c>
      <c r="O156" s="80" t="inlineStr">
        <is>
          <t>고압진공_재고현황</t>
        </is>
      </c>
    </row>
    <row r="157" ht="30" customHeight="1">
      <c r="A157" s="54" t="inlineStr">
        <is>
          <t>진공</t>
        </is>
      </c>
      <c r="B157" s="52" t="inlineStr">
        <is>
          <t>진공</t>
        </is>
      </c>
      <c r="C157" s="52" t="inlineStr">
        <is>
          <t>SOLO</t>
        </is>
      </c>
      <c r="D157" s="79">
        <f>IF(INDIRECT("'"&amp;$O157&amp;"'!F"&amp;$N157)="O","원자재",IF(INDIRECT("'"&amp;$O157&amp;"'!G"&amp;$N157)="O","반제품",IF(INDIRECT("'"&amp;$O157&amp;"'!H"&amp;$N157)="O","완제품","")))</f>
        <v/>
      </c>
      <c r="E157" s="79">
        <f>IFERROR(IF(INDIRECT("'"&amp;$O157&amp;"'!I"&amp;$N157)=0,"",INDIRECT("'"&amp;$O157&amp;"'!I"&amp;$N157)),"")</f>
        <v/>
      </c>
      <c r="F157" s="52" t="inlineStr">
        <is>
          <t>발생부(진공)</t>
        </is>
      </c>
      <c r="G157" s="52" t="n"/>
      <c r="H157" s="79">
        <f>IF(AND($F157="",$G157=""),"",IF($F157="","창고전용",IF($G157&lt;&gt;"","매칭완료",IF($D157="반제품","반제품(창고없음)",IF($D157="완제품","완제품(창고없음)",IF($D157="원자재","⚠ 원자재_부서보관","미분류"))))))</f>
        <v/>
      </c>
      <c r="I157" s="79">
        <f>IFERROR(IF(INDIRECT("'"&amp;$O157&amp;"'!P"&amp;$N157)=0,"",INDIRECT("'"&amp;$O157&amp;"'!P"&amp;$N157)),"")</f>
        <v/>
      </c>
      <c r="J157" s="61" t="inlineStr">
        <is>
          <t>발생부(진공)</t>
        </is>
      </c>
      <c r="K157" s="61" t="inlineStr">
        <is>
          <t>발생부 (진공) [SOLO]</t>
        </is>
      </c>
      <c r="L157" s="83">
        <f>HYPERLINK("#'"&amp;$O157&amp;"'!A"&amp;$N157,"→ 고압진공 R"&amp;$N157)</f>
        <v/>
      </c>
      <c r="M157" s="84" t="n"/>
      <c r="N157" s="80" t="n">
        <v>140</v>
      </c>
      <c r="O157" s="80" t="inlineStr">
        <is>
          <t>고압진공_재고현황</t>
        </is>
      </c>
    </row>
    <row r="158" ht="30" customHeight="1">
      <c r="A158" s="54" t="inlineStr">
        <is>
          <t>진공</t>
        </is>
      </c>
      <c r="B158" s="52" t="inlineStr">
        <is>
          <t>진공</t>
        </is>
      </c>
      <c r="C158" s="52" t="inlineStr">
        <is>
          <t>DX3000V</t>
        </is>
      </c>
      <c r="D158" s="79">
        <f>IF(INDIRECT("'"&amp;$O158&amp;"'!F"&amp;$N158)="O","원자재",IF(INDIRECT("'"&amp;$O158&amp;"'!G"&amp;$N158)="O","반제품",IF(INDIRECT("'"&amp;$O158&amp;"'!H"&amp;$N158)="O","완제품","")))</f>
        <v/>
      </c>
      <c r="E158" s="79">
        <f>IFERROR(IF(INDIRECT("'"&amp;$O158&amp;"'!I"&amp;$N158)=0,"",INDIRECT("'"&amp;$O158&amp;"'!I"&amp;$N158)),"")</f>
        <v/>
      </c>
      <c r="F158" s="52" t="inlineStr">
        <is>
          <t>발생부(10P)(진공)</t>
        </is>
      </c>
      <c r="G158" s="52" t="n"/>
      <c r="H158" s="79">
        <f>IF(AND($F158="",$G158=""),"",IF($F158="","창고전용",IF($G158&lt;&gt;"","매칭완료",IF($D158="반제품","반제품(창고없음)",IF($D158="완제품","완제품(창고없음)",IF($D158="원자재","⚠ 원자재_부서보관","미분류"))))))</f>
        <v/>
      </c>
      <c r="I158" s="79">
        <f>IFERROR(IF(INDIRECT("'"&amp;$O158&amp;"'!P"&amp;$N158)=0,"",INDIRECT("'"&amp;$O158&amp;"'!P"&amp;$N158)),"")</f>
        <v/>
      </c>
      <c r="J158" s="61" t="inlineStr">
        <is>
          <t>발생부(10P)(진공)</t>
        </is>
      </c>
      <c r="K158" s="61" t="inlineStr">
        <is>
          <t>발생부 (진공) [DX3000V]</t>
        </is>
      </c>
      <c r="L158" s="83">
        <f>HYPERLINK("#'"&amp;$O158&amp;"'!A"&amp;$N158,"→ 고압진공 R"&amp;$N158)</f>
        <v/>
      </c>
      <c r="M158" s="84" t="n"/>
      <c r="N158" s="80" t="n">
        <v>141</v>
      </c>
      <c r="O158" s="80" t="inlineStr">
        <is>
          <t>고압진공_재고현황</t>
        </is>
      </c>
    </row>
    <row r="159" ht="30" customHeight="1">
      <c r="A159" s="55" t="inlineStr">
        <is>
          <t>튜닝</t>
        </is>
      </c>
      <c r="B159" s="52" t="inlineStr">
        <is>
          <t>BD</t>
        </is>
      </c>
      <c r="C159" s="52" t="inlineStr">
        <is>
          <t>ADX6000</t>
        </is>
      </c>
      <c r="D159" s="79">
        <f>IF(INDIRECT("'"&amp;$O159&amp;"'!F"&amp;$N159)="O","원자재",IF(INDIRECT("'"&amp;$O159&amp;"'!G"&amp;$N159)="O","반제품",IF(INDIRECT("'"&amp;$O159&amp;"'!H"&amp;$N159)="O","완제품","")))</f>
        <v/>
      </c>
      <c r="E159" s="79">
        <f>IFERROR(IF(INDIRECT("'"&amp;$O159&amp;"'!I"&amp;$N159)=0,"",INDIRECT("'"&amp;$O159&amp;"'!I"&amp;$N159)),"")</f>
        <v/>
      </c>
      <c r="F159" s="52" t="inlineStr">
        <is>
          <t>A6CB</t>
        </is>
      </c>
      <c r="G159" s="52" t="n"/>
      <c r="H159" s="79">
        <f>IF(AND($F159="",$G159=""),"",IF($F159="","창고전용",IF($G159&lt;&gt;"","매칭완료",IF($D159="반제품","반제품(창고없음)",IF($D159="완제품","완제품(창고없음)",IF($D159="원자재","⚠ 원자재_부서보관","미분류"))))))</f>
        <v/>
      </c>
      <c r="I159" s="79">
        <f>IFERROR(IF(INDIRECT("'"&amp;$O159&amp;"'!P"&amp;$N159)=0,"",INDIRECT("'"&amp;$O159&amp;"'!P"&amp;$N159)),"")</f>
        <v/>
      </c>
      <c r="J159" s="61" t="inlineStr">
        <is>
          <t>A6CB</t>
        </is>
      </c>
      <c r="K159" s="65" t="inlineStr">
        <is>
          <t>A6CB</t>
        </is>
      </c>
      <c r="L159" s="83">
        <f>HYPERLINK("#'"&amp;$O159&amp;"'!A"&amp;$N159,"→ 고압진공 R"&amp;$N159)</f>
        <v/>
      </c>
      <c r="M159" s="84" t="n"/>
      <c r="N159" s="80" t="n">
        <v>70</v>
      </c>
      <c r="O159" s="80" t="inlineStr">
        <is>
          <t>고압진공_재고현황</t>
        </is>
      </c>
    </row>
    <row r="160" ht="30" customHeight="1">
      <c r="A160" s="55" t="inlineStr">
        <is>
          <t>튜닝</t>
        </is>
      </c>
      <c r="B160" s="52" t="inlineStr">
        <is>
          <t>BD</t>
        </is>
      </c>
      <c r="C160" s="52" t="inlineStr">
        <is>
          <t>COCOON</t>
        </is>
      </c>
      <c r="D160" s="79">
        <f>IF(INDIRECT("'"&amp;$O160&amp;"'!F"&amp;$N160)="O","원자재",IF(INDIRECT("'"&amp;$O160&amp;"'!G"&amp;$N160)="O","반제품",IF(INDIRECT("'"&amp;$O160&amp;"'!H"&amp;$N160)="O","완제품","")))</f>
        <v/>
      </c>
      <c r="E160" s="79">
        <f>IFERROR(IF(INDIRECT("'"&amp;$O160&amp;"'!I"&amp;$N160)=0,"",INDIRECT("'"&amp;$O160&amp;"'!I"&amp;$N160)),"")</f>
        <v/>
      </c>
      <c r="F160" s="52" t="inlineStr">
        <is>
          <t>COCB</t>
        </is>
      </c>
      <c r="G160" s="52" t="inlineStr">
        <is>
          <t>CTR B/D [COCOON]</t>
        </is>
      </c>
      <c r="H160" s="79">
        <f>IF(AND($F160="",$G160=""),"",IF($F160="","창고전용",IF($G160&lt;&gt;"","매칭완료",IF($D160="반제품","반제품(창고없음)",IF($D160="완제품","완제품(창고없음)",IF($D160="원자재","⚠ 원자재_부서보관","미분류"))))))</f>
        <v/>
      </c>
      <c r="I160" s="79">
        <f>IFERROR(IF(INDIRECT("'"&amp;$O160&amp;"'!P"&amp;$N160)=0,"",INDIRECT("'"&amp;$O160&amp;"'!P"&amp;$N160)),"")</f>
        <v/>
      </c>
      <c r="J160" s="61" t="inlineStr">
        <is>
          <t>COCB</t>
        </is>
      </c>
      <c r="K160" s="61" t="inlineStr">
        <is>
          <t>COCB</t>
        </is>
      </c>
      <c r="L160" s="83">
        <f>HYPERLINK("#'"&amp;$O160&amp;"'!A"&amp;$N160,"→ 고압진공 R"&amp;$N160)</f>
        <v/>
      </c>
      <c r="M160" s="84" t="n"/>
      <c r="N160" s="80" t="n">
        <v>71</v>
      </c>
      <c r="O160" s="80" t="inlineStr">
        <is>
          <t>고압진공_재고현황</t>
        </is>
      </c>
    </row>
    <row r="161" ht="30" customHeight="1">
      <c r="A161" s="55" t="inlineStr">
        <is>
          <t>튜닝</t>
        </is>
      </c>
      <c r="B161" s="52" t="inlineStr">
        <is>
          <t>튜닝</t>
        </is>
      </c>
      <c r="C161" s="52" t="inlineStr">
        <is>
          <t>DX3000</t>
        </is>
      </c>
      <c r="D161" s="79">
        <f>IF(INDIRECT("'"&amp;$O161&amp;"'!F"&amp;$N161)="O","원자재",IF(INDIRECT("'"&amp;$O161&amp;"'!G"&amp;$N161)="O","반제품",IF(INDIRECT("'"&amp;$O161&amp;"'!H"&amp;$N161)="O","완제품","")))</f>
        <v/>
      </c>
      <c r="E161" s="79">
        <f>IFERROR(IF(INDIRECT("'"&amp;$O161&amp;"'!I"&amp;$N161)=0,"",INDIRECT("'"&amp;$O161&amp;"'!I"&amp;$N161)),"")</f>
        <v/>
      </c>
      <c r="F161" s="52" t="inlineStr">
        <is>
          <t>D3GR + D3CD (해외용)</t>
        </is>
      </c>
      <c r="G161" s="52" t="n"/>
      <c r="H161" s="79">
        <f>IF(AND($F161="",$G161=""),"",IF($F161="","창고전용",IF($G161&lt;&gt;"","매칭완료",IF($D161="반제품","반제품(창고없음)",IF($D161="완제품","완제품(창고없음)",IF($D161="원자재","⚠ 원자재_부서보관","미분류"))))))</f>
        <v/>
      </c>
      <c r="I161" s="79">
        <f>IFERROR(IF(INDIRECT("'"&amp;$O161&amp;"'!P"&amp;$N161)=0,"",INDIRECT("'"&amp;$O161&amp;"'!P"&amp;$N161)),"")</f>
        <v/>
      </c>
      <c r="J161" s="61" t="inlineStr">
        <is>
          <t>D3GR + D3CD (해외용)</t>
        </is>
      </c>
      <c r="K161" s="61" t="inlineStr">
        <is>
          <t>D3GR + D3CD (해외용)</t>
        </is>
      </c>
      <c r="L161" s="83">
        <f>HYPERLINK("#'"&amp;$O161&amp;"'!A"&amp;$N161,"→ 고압진공 R"&amp;$N161)</f>
        <v/>
      </c>
      <c r="M161" s="84" t="n"/>
      <c r="N161" s="80" t="n">
        <v>142</v>
      </c>
      <c r="O161" s="80" t="inlineStr">
        <is>
          <t>고압진공_재고현황</t>
        </is>
      </c>
    </row>
    <row r="162" ht="30" customHeight="1">
      <c r="A162" s="55" t="inlineStr">
        <is>
          <t>튜닝</t>
        </is>
      </c>
      <c r="B162" s="52" t="inlineStr">
        <is>
          <t>튜닝</t>
        </is>
      </c>
      <c r="C162" s="52" t="inlineStr">
        <is>
          <t>DX3000</t>
        </is>
      </c>
      <c r="D162" s="79">
        <f>IF(INDIRECT("'"&amp;$O162&amp;"'!F"&amp;$N162)="O","원자재",IF(INDIRECT("'"&amp;$O162&amp;"'!G"&amp;$N162)="O","반제품",IF(INDIRECT("'"&amp;$O162&amp;"'!H"&amp;$N162)="O","완제품","")))</f>
        <v/>
      </c>
      <c r="E162" s="79">
        <f>IFERROR(IF(INDIRECT("'"&amp;$O162&amp;"'!I"&amp;$N162)=0,"",INDIRECT("'"&amp;$O162&amp;"'!I"&amp;$N162)),"")</f>
        <v/>
      </c>
      <c r="F162" s="52" t="inlineStr">
        <is>
          <t>D3GR + D3CL (미국용)</t>
        </is>
      </c>
      <c r="G162" s="52" t="n"/>
      <c r="H162" s="79">
        <f>IF(AND($F162="",$G162=""),"",IF($F162="","창고전용",IF($G162&lt;&gt;"","매칭완료",IF($D162="반제품","반제품(창고없음)",IF($D162="완제품","완제품(창고없음)",IF($D162="원자재","⚠ 원자재_부서보관","미분류"))))))</f>
        <v/>
      </c>
      <c r="I162" s="79">
        <f>IFERROR(IF(INDIRECT("'"&amp;$O162&amp;"'!P"&amp;$N162)=0,"",INDIRECT("'"&amp;$O162&amp;"'!P"&amp;$N162)),"")</f>
        <v/>
      </c>
      <c r="J162" s="61" t="inlineStr">
        <is>
          <t>D3GR + D3CL (미국용)</t>
        </is>
      </c>
      <c r="K162" s="61" t="inlineStr">
        <is>
          <t>D3GR + D3CL (미국용)</t>
        </is>
      </c>
      <c r="L162" s="83">
        <f>HYPERLINK("#'"&amp;$O162&amp;"'!A"&amp;$N162,"→ 고압진공 R"&amp;$N162)</f>
        <v/>
      </c>
      <c r="M162" s="84" t="n"/>
      <c r="N162" s="80" t="n">
        <v>143</v>
      </c>
      <c r="O162" s="80" t="inlineStr">
        <is>
          <t>고압진공_재고현황</t>
        </is>
      </c>
    </row>
    <row r="163" ht="30" customHeight="1">
      <c r="A163" s="55" t="inlineStr">
        <is>
          <t>튜닝</t>
        </is>
      </c>
      <c r="B163" s="52" t="inlineStr">
        <is>
          <t>튜닝</t>
        </is>
      </c>
      <c r="C163" s="52" t="inlineStr">
        <is>
          <t>DX3000</t>
        </is>
      </c>
      <c r="D163" s="79">
        <f>IF(INDIRECT("'"&amp;$O163&amp;"'!F"&amp;$N163)="O","원자재",IF(INDIRECT("'"&amp;$O163&amp;"'!G"&amp;$N163)="O","반제품",IF(INDIRECT("'"&amp;$O163&amp;"'!H"&amp;$N163)="O","완제품","")))</f>
        <v/>
      </c>
      <c r="E163" s="79">
        <f>IFERROR(IF(INDIRECT("'"&amp;$O163&amp;"'!I"&amp;$N163)=0,"",INDIRECT("'"&amp;$O163&amp;"'!I"&amp;$N163)),"")</f>
        <v/>
      </c>
      <c r="F163" s="52" t="inlineStr">
        <is>
          <t>D3GR + D3CT (TFT용)</t>
        </is>
      </c>
      <c r="G163" s="52" t="n"/>
      <c r="H163" s="79">
        <f>IF(AND($F163="",$G163=""),"",IF($F163="","창고전용",IF($G163&lt;&gt;"","매칭완료",IF($D163="반제품","반제품(창고없음)",IF($D163="완제품","완제품(창고없음)",IF($D163="원자재","⚠ 원자재_부서보관","미분류"))))))</f>
        <v/>
      </c>
      <c r="I163" s="79">
        <f>IFERROR(IF(INDIRECT("'"&amp;$O163&amp;"'!P"&amp;$N163)=0,"",INDIRECT("'"&amp;$O163&amp;"'!P"&amp;$N163)),"")</f>
        <v/>
      </c>
      <c r="J163" s="61" t="inlineStr">
        <is>
          <t>D3GR + D3CT (TFT용)</t>
        </is>
      </c>
      <c r="K163" s="61" t="inlineStr">
        <is>
          <t>D3GR + D3CT (TFT용)</t>
        </is>
      </c>
      <c r="L163" s="83">
        <f>HYPERLINK("#'"&amp;$O163&amp;"'!A"&amp;$N163,"→ 고압진공 R"&amp;$N163)</f>
        <v/>
      </c>
      <c r="M163" s="84" t="n"/>
      <c r="N163" s="80" t="n">
        <v>144</v>
      </c>
      <c r="O163" s="80" t="inlineStr">
        <is>
          <t>고압진공_재고현황</t>
        </is>
      </c>
    </row>
    <row r="164" ht="30" customHeight="1">
      <c r="A164" s="55" t="inlineStr">
        <is>
          <t>튜닝</t>
        </is>
      </c>
      <c r="B164" s="52" t="inlineStr">
        <is>
          <t>튜닝</t>
        </is>
      </c>
      <c r="C164" s="52" t="inlineStr">
        <is>
          <t>ADX4000W</t>
        </is>
      </c>
      <c r="D164" s="79">
        <f>IF(INDIRECT("'"&amp;$O164&amp;"'!F"&amp;$N164)="O","원자재",IF(INDIRECT("'"&amp;$O164&amp;"'!G"&amp;$N164)="O","반제품",IF(INDIRECT("'"&amp;$O164&amp;"'!H"&amp;$N164)="O","완제품","")))</f>
        <v/>
      </c>
      <c r="E164" s="79">
        <f>IFERROR(IF(INDIRECT("'"&amp;$O164&amp;"'!I"&amp;$N164)=0,"",INDIRECT("'"&amp;$O164&amp;"'!I"&amp;$N164)),"")</f>
        <v/>
      </c>
      <c r="F164" s="52" t="inlineStr">
        <is>
          <t>A4GR + A4CB</t>
        </is>
      </c>
      <c r="G164" s="52" t="n"/>
      <c r="H164" s="79">
        <f>IF(AND($F164="",$G164=""),"",IF($F164="","창고전용",IF($G164&lt;&gt;"","매칭완료",IF($D164="반제품","반제품(창고없음)",IF($D164="완제품","완제품(창고없음)",IF($D164="원자재","⚠ 원자재_부서보관","미분류"))))))</f>
        <v/>
      </c>
      <c r="I164" s="79">
        <f>IFERROR(IF(INDIRECT("'"&amp;$O164&amp;"'!P"&amp;$N164)=0,"",INDIRECT("'"&amp;$O164&amp;"'!P"&amp;$N164)),"")</f>
        <v/>
      </c>
      <c r="J164" s="61" t="inlineStr">
        <is>
          <t>A4GR + A4CB</t>
        </is>
      </c>
      <c r="K164" s="61" t="inlineStr">
        <is>
          <t>A4GR + A4CB</t>
        </is>
      </c>
      <c r="L164" s="83">
        <f>HYPERLINK("#'"&amp;$O164&amp;"'!A"&amp;$N164,"→ 고압진공 R"&amp;$N164)</f>
        <v/>
      </c>
      <c r="M164" s="84" t="n"/>
      <c r="N164" s="80" t="n">
        <v>145</v>
      </c>
      <c r="O164" s="80" t="inlineStr">
        <is>
          <t>고압진공_재고현황</t>
        </is>
      </c>
    </row>
    <row r="165" ht="30" customHeight="1">
      <c r="A165" s="55" t="inlineStr">
        <is>
          <t>튜닝</t>
        </is>
      </c>
      <c r="B165" s="52" t="inlineStr">
        <is>
          <t>튜닝</t>
        </is>
      </c>
      <c r="C165" s="52" t="inlineStr">
        <is>
          <t>ADX6000</t>
        </is>
      </c>
      <c r="D165" s="79">
        <f>IF(INDIRECT("'"&amp;$O165&amp;"'!F"&amp;$N165)="O","원자재",IF(INDIRECT("'"&amp;$O165&amp;"'!G"&amp;$N165)="O","반제품",IF(INDIRECT("'"&amp;$O165&amp;"'!H"&amp;$N165)="O","완제품","")))</f>
        <v/>
      </c>
      <c r="E165" s="79">
        <f>IFERROR(IF(INDIRECT("'"&amp;$O165&amp;"'!I"&amp;$N165)=0,"",INDIRECT("'"&amp;$O165&amp;"'!I"&amp;$N165)),"")</f>
        <v/>
      </c>
      <c r="F165" s="52" t="inlineStr">
        <is>
          <t>A6GR (10핀)</t>
        </is>
      </c>
      <c r="G165" s="52" t="n"/>
      <c r="H165" s="79">
        <f>IF(AND($F165="",$G165=""),"",IF($F165="","창고전용",IF($G165&lt;&gt;"","매칭완료",IF($D165="반제품","반제품(창고없음)",IF($D165="완제품","완제품(창고없음)",IF($D165="원자재","⚠ 원자재_부서보관","미분류"))))))</f>
        <v/>
      </c>
      <c r="I165" s="79">
        <f>IFERROR(IF(INDIRECT("'"&amp;$O165&amp;"'!P"&amp;$N165)=0,"",INDIRECT("'"&amp;$O165&amp;"'!P"&amp;$N165)),"")</f>
        <v/>
      </c>
      <c r="J165" s="61" t="inlineStr">
        <is>
          <t>A6GR (10핀)</t>
        </is>
      </c>
      <c r="K165" s="61" t="inlineStr">
        <is>
          <t>A6GR (10핀)</t>
        </is>
      </c>
      <c r="L165" s="83">
        <f>HYPERLINK("#'"&amp;$O165&amp;"'!A"&amp;$N165,"→ 고압진공 R"&amp;$N165)</f>
        <v/>
      </c>
      <c r="M165" s="84" t="n"/>
      <c r="N165" s="80" t="n">
        <v>146</v>
      </c>
      <c r="O165" s="80" t="inlineStr">
        <is>
          <t>고압진공_재고현황</t>
        </is>
      </c>
    </row>
    <row r="166" ht="30" customHeight="1">
      <c r="A166" s="55" t="inlineStr">
        <is>
          <t>튜닝</t>
        </is>
      </c>
      <c r="B166" s="52" t="inlineStr">
        <is>
          <t>튜닝</t>
        </is>
      </c>
      <c r="C166" s="52" t="inlineStr">
        <is>
          <t>SOLO</t>
        </is>
      </c>
      <c r="D166" s="79">
        <f>IF(INDIRECT("'"&amp;$O166&amp;"'!F"&amp;$N166)="O","원자재",IF(INDIRECT("'"&amp;$O166&amp;"'!G"&amp;$N166)="O","반제품",IF(INDIRECT("'"&amp;$O166&amp;"'!H"&amp;$N166)="O","완제품","")))</f>
        <v/>
      </c>
      <c r="E166" s="79">
        <f>IFERROR(IF(INDIRECT("'"&amp;$O166&amp;"'!I"&amp;$N166)=0,"",INDIRECT("'"&amp;$O166&amp;"'!I"&amp;$N166)),"")</f>
        <v/>
      </c>
      <c r="F166" s="52" t="inlineStr">
        <is>
          <t>CSGR + CSCB</t>
        </is>
      </c>
      <c r="G166" s="52" t="n"/>
      <c r="H166" s="79">
        <f>IF(AND($F166="",$G166=""),"",IF($F166="","창고전용",IF($G166&lt;&gt;"","매칭완료",IF($D166="반제품","반제품(창고없음)",IF($D166="완제품","완제품(창고없음)",IF($D166="원자재","⚠ 원자재_부서보관","미분류"))))))</f>
        <v/>
      </c>
      <c r="I166" s="79">
        <f>IFERROR(IF(INDIRECT("'"&amp;$O166&amp;"'!P"&amp;$N166)=0,"",INDIRECT("'"&amp;$O166&amp;"'!P"&amp;$N166)),"")</f>
        <v/>
      </c>
      <c r="J166" s="61" t="inlineStr">
        <is>
          <t>CSGR + CSCB</t>
        </is>
      </c>
      <c r="K166" s="61" t="inlineStr">
        <is>
          <t>CSGR + CSCB</t>
        </is>
      </c>
      <c r="L166" s="83">
        <f>HYPERLINK("#'"&amp;$O166&amp;"'!A"&amp;$N166,"→ 고압진공 R"&amp;$N166)</f>
        <v/>
      </c>
      <c r="M166" s="84" t="n"/>
      <c r="N166" s="80" t="n">
        <v>147</v>
      </c>
      <c r="O166" s="80" t="inlineStr">
        <is>
          <t>고압진공_재고현황</t>
        </is>
      </c>
    </row>
    <row r="167" ht="30" customHeight="1">
      <c r="A167" s="55" t="inlineStr">
        <is>
          <t>튜닝</t>
        </is>
      </c>
      <c r="B167" s="52" t="inlineStr">
        <is>
          <t>튜닝</t>
        </is>
      </c>
      <c r="C167" s="52" t="inlineStr">
        <is>
          <t>COCOON</t>
        </is>
      </c>
      <c r="D167" s="79">
        <f>IF(INDIRECT("'"&amp;$O167&amp;"'!F"&amp;$N167)="O","원자재",IF(INDIRECT("'"&amp;$O167&amp;"'!G"&amp;$N167)="O","반제품",IF(INDIRECT("'"&amp;$O167&amp;"'!H"&amp;$N167)="O","완제품","")))</f>
        <v/>
      </c>
      <c r="E167" s="79">
        <f>IFERROR(IF(INDIRECT("'"&amp;$O167&amp;"'!I"&amp;$N167)=0,"",INDIRECT("'"&amp;$O167&amp;"'!I"&amp;$N167)),"")</f>
        <v/>
      </c>
      <c r="F167" s="52" t="inlineStr">
        <is>
          <t>COGR + FET BD</t>
        </is>
      </c>
      <c r="G167" s="52" t="n"/>
      <c r="H167" s="79">
        <f>IF(AND($F167="",$G167=""),"",IF($F167="","창고전용",IF($G167&lt;&gt;"","매칭완료",IF($D167="반제품","반제품(창고없음)",IF($D167="완제품","완제품(창고없음)",IF($D167="원자재","⚠ 원자재_부서보관","미분류"))))))</f>
        <v/>
      </c>
      <c r="I167" s="79">
        <f>IFERROR(IF(INDIRECT("'"&amp;$O167&amp;"'!P"&amp;$N167)=0,"",INDIRECT("'"&amp;$O167&amp;"'!P"&amp;$N167)),"")</f>
        <v/>
      </c>
      <c r="J167" s="61" t="inlineStr">
        <is>
          <t>COGR + FET BD</t>
        </is>
      </c>
      <c r="K167" s="61" t="inlineStr">
        <is>
          <t>COGR + FET BD</t>
        </is>
      </c>
      <c r="L167" s="83">
        <f>HYPERLINK("#'"&amp;$O167&amp;"'!A"&amp;$N167,"→ 고압진공 R"&amp;$N167)</f>
        <v/>
      </c>
      <c r="M167" s="84" t="n"/>
      <c r="N167" s="80" t="n">
        <v>148</v>
      </c>
      <c r="O167" s="80" t="inlineStr">
        <is>
          <t>고압진공_재고현황</t>
        </is>
      </c>
    </row>
    <row r="168" ht="30" customHeight="1">
      <c r="A168" s="55" t="inlineStr">
        <is>
          <t>튜닝</t>
        </is>
      </c>
      <c r="B168" s="52" t="inlineStr">
        <is>
          <t>튜닝완료</t>
        </is>
      </c>
      <c r="C168" s="52" t="inlineStr">
        <is>
          <t>DX3000</t>
        </is>
      </c>
      <c r="D168" s="79">
        <f>IF(INDIRECT("'"&amp;$O168&amp;"'!F"&amp;$N168)="O","원자재",IF(INDIRECT("'"&amp;$O168&amp;"'!G"&amp;$N168)="O","반제품",IF(INDIRECT("'"&amp;$O168&amp;"'!H"&amp;$N168)="O","완제품","")))</f>
        <v/>
      </c>
      <c r="E168" s="79">
        <f>IFERROR(IF(INDIRECT("'"&amp;$O168&amp;"'!I"&amp;$N168)=0,"",INDIRECT("'"&amp;$O168&amp;"'!I"&amp;$N168)),"")</f>
        <v/>
      </c>
      <c r="F168" s="52" t="inlineStr">
        <is>
          <t>D3GR + D3CD (해외용) 60KV, 2mA</t>
        </is>
      </c>
      <c r="G168" s="52" t="n"/>
      <c r="H168" s="79">
        <f>IF(AND($F168="",$G168=""),"",IF($F168="","창고전용",IF($G168&lt;&gt;"","매칭완료",IF($D168="반제품","반제품(창고없음)",IF($D168="완제품","완제품(창고없음)",IF($D168="원자재","⚠ 원자재_부서보관","미분류"))))))</f>
        <v/>
      </c>
      <c r="I168" s="79">
        <f>IFERROR(IF(INDIRECT("'"&amp;$O168&amp;"'!P"&amp;$N168)=0,"",INDIRECT("'"&amp;$O168&amp;"'!P"&amp;$N168)),"")</f>
        <v/>
      </c>
      <c r="J168" s="61" t="inlineStr">
        <is>
          <t>D3GR + D3CD (해외용) 60KV, 2mA</t>
        </is>
      </c>
      <c r="K168" s="61" t="inlineStr">
        <is>
          <t>D3GR + D3CD (해외용) 60KV, 2mA</t>
        </is>
      </c>
      <c r="L168" s="83">
        <f>HYPERLINK("#'"&amp;$O168&amp;"'!A"&amp;$N168,"→ 고압진공 R"&amp;$N168)</f>
        <v/>
      </c>
      <c r="M168" s="84" t="n"/>
      <c r="N168" s="80" t="n">
        <v>149</v>
      </c>
      <c r="O168" s="80" t="inlineStr">
        <is>
          <t>고압진공_재고현황</t>
        </is>
      </c>
    </row>
    <row r="169" ht="30" customHeight="1">
      <c r="A169" s="55" t="inlineStr">
        <is>
          <t>튜닝</t>
        </is>
      </c>
      <c r="B169" s="52" t="inlineStr">
        <is>
          <t>튜닝완료</t>
        </is>
      </c>
      <c r="C169" s="52" t="inlineStr">
        <is>
          <t>DX3000</t>
        </is>
      </c>
      <c r="D169" s="79">
        <f>IF(INDIRECT("'"&amp;$O169&amp;"'!F"&amp;$N169)="O","원자재",IF(INDIRECT("'"&amp;$O169&amp;"'!G"&amp;$N169)="O","반제품",IF(INDIRECT("'"&amp;$O169&amp;"'!H"&amp;$N169)="O","완제품","")))</f>
        <v/>
      </c>
      <c r="E169" s="79">
        <f>IFERROR(IF(INDIRECT("'"&amp;$O169&amp;"'!I"&amp;$N169)=0,"",INDIRECT("'"&amp;$O169&amp;"'!I"&amp;$N169)),"")</f>
        <v/>
      </c>
      <c r="F169" s="52" t="inlineStr">
        <is>
          <t>D3GR + D3CD + 1.4T (Safari Dental용) 60KV, 2mA</t>
        </is>
      </c>
      <c r="G169" s="52" t="n"/>
      <c r="H169" s="79">
        <f>IF(AND($F169="",$G169=""),"",IF($F169="","창고전용",IF($G169&lt;&gt;"","매칭완료",IF($D169="반제품","반제품(창고없음)",IF($D169="완제품","완제품(창고없음)",IF($D169="원자재","⚠ 원자재_부서보관","미분류"))))))</f>
        <v/>
      </c>
      <c r="I169" s="79">
        <f>IFERROR(IF(INDIRECT("'"&amp;$O169&amp;"'!P"&amp;$N169)=0,"",INDIRECT("'"&amp;$O169&amp;"'!P"&amp;$N169)),"")</f>
        <v/>
      </c>
      <c r="J169" s="61" t="inlineStr">
        <is>
          <t>D3GR + D3CD + 1.4T (Safari Dental용) 60KV, 2mA</t>
        </is>
      </c>
      <c r="K169" s="61" t="inlineStr">
        <is>
          <t>D3GR + D3CD + 1.4T (Safari Dental용) 60KV, 2mA</t>
        </is>
      </c>
      <c r="L169" s="83">
        <f>HYPERLINK("#'"&amp;$O169&amp;"'!A"&amp;$N169,"→ 고압진공 R"&amp;$N169)</f>
        <v/>
      </c>
      <c r="M169" s="84" t="n"/>
      <c r="N169" s="80" t="n">
        <v>150</v>
      </c>
      <c r="O169" s="80" t="inlineStr">
        <is>
          <t>고압진공_재고현황</t>
        </is>
      </c>
    </row>
    <row r="170" ht="30" customHeight="1">
      <c r="A170" s="55" t="inlineStr">
        <is>
          <t>튜닝</t>
        </is>
      </c>
      <c r="B170" s="52" t="inlineStr">
        <is>
          <t>튜닝완료</t>
        </is>
      </c>
      <c r="C170" s="52" t="inlineStr">
        <is>
          <t>DX3000</t>
        </is>
      </c>
      <c r="D170" s="79">
        <f>IF(INDIRECT("'"&amp;$O170&amp;"'!F"&amp;$N170)="O","원자재",IF(INDIRECT("'"&amp;$O170&amp;"'!G"&amp;$N170)="O","반제품",IF(INDIRECT("'"&amp;$O170&amp;"'!H"&amp;$N170)="O","완제품","")))</f>
        <v/>
      </c>
      <c r="E170" s="79">
        <f>IFERROR(IF(INDIRECT("'"&amp;$O170&amp;"'!I"&amp;$N170)=0,"",INDIRECT("'"&amp;$O170&amp;"'!I"&amp;$N170)),"")</f>
        <v/>
      </c>
      <c r="F170" s="52" t="inlineStr">
        <is>
          <t>D3GR + D3CL (미국용) 65kv, 1.7mA</t>
        </is>
      </c>
      <c r="G170" s="52" t="n"/>
      <c r="H170" s="79">
        <f>IF(AND($F170="",$G170=""),"",IF($F170="","창고전용",IF($G170&lt;&gt;"","매칭완료",IF($D170="반제품","반제품(창고없음)",IF($D170="완제품","완제품(창고없음)",IF($D170="원자재","⚠ 원자재_부서보관","미분류"))))))</f>
        <v/>
      </c>
      <c r="I170" s="79">
        <f>IFERROR(IF(INDIRECT("'"&amp;$O170&amp;"'!P"&amp;$N170)=0,"",INDIRECT("'"&amp;$O170&amp;"'!P"&amp;$N170)),"")</f>
        <v/>
      </c>
      <c r="J170" s="61" t="inlineStr">
        <is>
          <t>D3GR + D3CL (미국용) 65kv, 1.7mA</t>
        </is>
      </c>
      <c r="K170" s="61" t="inlineStr">
        <is>
          <t>D3GR + D3CL (미국용) 65kv, 1.7mA</t>
        </is>
      </c>
      <c r="L170" s="83">
        <f>HYPERLINK("#'"&amp;$O170&amp;"'!A"&amp;$N170,"→ 고압진공 R"&amp;$N170)</f>
        <v/>
      </c>
      <c r="M170" s="84" t="n"/>
      <c r="N170" s="80" t="n">
        <v>151</v>
      </c>
      <c r="O170" s="80" t="inlineStr">
        <is>
          <t>고압진공_재고현황</t>
        </is>
      </c>
    </row>
    <row r="171" ht="30" customHeight="1">
      <c r="A171" s="55" t="inlineStr">
        <is>
          <t>튜닝</t>
        </is>
      </c>
      <c r="B171" s="52" t="inlineStr">
        <is>
          <t>튜닝완료</t>
        </is>
      </c>
      <c r="C171" s="52" t="inlineStr">
        <is>
          <t>DX3000M</t>
        </is>
      </c>
      <c r="D171" s="79">
        <f>IF(INDIRECT("'"&amp;$O171&amp;"'!F"&amp;$N171)="O","원자재",IF(INDIRECT("'"&amp;$O171&amp;"'!G"&amp;$N171)="O","반제품",IF(INDIRECT("'"&amp;$O171&amp;"'!H"&amp;$N171)="O","완제품","")))</f>
        <v/>
      </c>
      <c r="E171" s="79">
        <f>IFERROR(IF(INDIRECT("'"&amp;$O171&amp;"'!I"&amp;$N171)=0,"",INDIRECT("'"&amp;$O171&amp;"'!I"&amp;$N171)),"")</f>
        <v/>
      </c>
      <c r="F171" s="52" t="inlineStr">
        <is>
          <t>D3GR + D3CT (TFT용) 70kv, 3mA</t>
        </is>
      </c>
      <c r="G171" s="52" t="n"/>
      <c r="H171" s="79">
        <f>IF(AND($F171="",$G171=""),"",IF($F171="","창고전용",IF($G171&lt;&gt;"","매칭완료",IF($D171="반제품","반제품(창고없음)",IF($D171="완제품","완제품(창고없음)",IF($D171="원자재","⚠ 원자재_부서보관","미분류"))))))</f>
        <v/>
      </c>
      <c r="I171" s="79">
        <f>IFERROR(IF(INDIRECT("'"&amp;$O171&amp;"'!P"&amp;$N171)=0,"",INDIRECT("'"&amp;$O171&amp;"'!P"&amp;$N171)),"")</f>
        <v/>
      </c>
      <c r="J171" s="61" t="inlineStr">
        <is>
          <t>D3GR + D3CT (TFT용) 70kv, 3mA</t>
        </is>
      </c>
      <c r="K171" s="61" t="inlineStr">
        <is>
          <t>D3GR + D3CT (TFT용) 70kv, 3mA</t>
        </is>
      </c>
      <c r="L171" s="83">
        <f>HYPERLINK("#'"&amp;$O171&amp;"'!A"&amp;$N171,"→ 고압진공 R"&amp;$N171)</f>
        <v/>
      </c>
      <c r="M171" s="84" t="n"/>
      <c r="N171" s="80" t="n">
        <v>152</v>
      </c>
      <c r="O171" s="80" t="inlineStr">
        <is>
          <t>고압진공_재고현황</t>
        </is>
      </c>
    </row>
    <row r="172" ht="30" customHeight="1">
      <c r="A172" s="55" t="inlineStr">
        <is>
          <t>튜닝</t>
        </is>
      </c>
      <c r="B172" s="52" t="inlineStr">
        <is>
          <t>튜닝완료</t>
        </is>
      </c>
      <c r="C172" s="52" t="inlineStr">
        <is>
          <t>ADX4000W</t>
        </is>
      </c>
      <c r="D172" s="79">
        <f>IF(INDIRECT("'"&amp;$O172&amp;"'!F"&amp;$N172)="O","원자재",IF(INDIRECT("'"&amp;$O172&amp;"'!G"&amp;$N172)="O","반제품",IF(INDIRECT("'"&amp;$O172&amp;"'!H"&amp;$N172)="O","완제품","")))</f>
        <v/>
      </c>
      <c r="E172" s="79">
        <f>IFERROR(IF(INDIRECT("'"&amp;$O172&amp;"'!I"&amp;$N172)=0,"",INDIRECT("'"&amp;$O172&amp;"'!I"&amp;$N172)),"")</f>
        <v/>
      </c>
      <c r="F172" s="52" t="inlineStr">
        <is>
          <t>A4GR + A4CB 60KV 2mA</t>
        </is>
      </c>
      <c r="G172" s="52" t="n"/>
      <c r="H172" s="79">
        <f>IF(AND($F172="",$G172=""),"",IF($F172="","창고전용",IF($G172&lt;&gt;"","매칭완료",IF($D172="반제품","반제품(창고없음)",IF($D172="완제품","완제품(창고없음)",IF($D172="원자재","⚠ 원자재_부서보관","미분류"))))))</f>
        <v/>
      </c>
      <c r="I172" s="79">
        <f>IFERROR(IF(INDIRECT("'"&amp;$O172&amp;"'!P"&amp;$N172)=0,"",INDIRECT("'"&amp;$O172&amp;"'!P"&amp;$N172)),"")</f>
        <v/>
      </c>
      <c r="J172" s="61" t="inlineStr">
        <is>
          <t>A4GR + A4CB 60KV 2mA</t>
        </is>
      </c>
      <c r="K172" s="61" t="inlineStr">
        <is>
          <t>A4GR + A4CB 60KV 2mA</t>
        </is>
      </c>
      <c r="L172" s="83">
        <f>HYPERLINK("#'"&amp;$O172&amp;"'!A"&amp;$N172,"→ 고압진공 R"&amp;$N172)</f>
        <v/>
      </c>
      <c r="M172" s="84" t="n"/>
      <c r="N172" s="80" t="n">
        <v>153</v>
      </c>
      <c r="O172" s="80" t="inlineStr">
        <is>
          <t>고압진공_재고현황</t>
        </is>
      </c>
    </row>
    <row r="173" ht="30" customHeight="1">
      <c r="A173" s="55" t="inlineStr">
        <is>
          <t>튜닝</t>
        </is>
      </c>
      <c r="B173" s="52" t="inlineStr">
        <is>
          <t>튜닝완료</t>
        </is>
      </c>
      <c r="C173" s="52" t="inlineStr">
        <is>
          <t>ADX4000W</t>
        </is>
      </c>
      <c r="D173" s="79">
        <f>IF(INDIRECT("'"&amp;$O173&amp;"'!F"&amp;$N173)="O","원자재",IF(INDIRECT("'"&amp;$O173&amp;"'!G"&amp;$N173)="O","반제품",IF(INDIRECT("'"&amp;$O173&amp;"'!H"&amp;$N173)="O","완제품","")))</f>
        <v/>
      </c>
      <c r="E173" s="79">
        <f>IFERROR(IF(INDIRECT("'"&amp;$O173&amp;"'!I"&amp;$N173)=0,"",INDIRECT("'"&amp;$O173&amp;"'!I"&amp;$N173)),"")</f>
        <v/>
      </c>
      <c r="F173" s="52" t="inlineStr">
        <is>
          <t>A4GR + A4CB + 1.4T (Safari Dental용) 60KV 2mA</t>
        </is>
      </c>
      <c r="G173" s="52" t="n"/>
      <c r="H173" s="79">
        <f>IF(AND($F173="",$G173=""),"",IF($F173="","창고전용",IF($G173&lt;&gt;"","매칭완료",IF($D173="반제품","반제품(창고없음)",IF($D173="완제품","완제품(창고없음)",IF($D173="원자재","⚠ 원자재_부서보관","미분류"))))))</f>
        <v/>
      </c>
      <c r="I173" s="79">
        <f>IFERROR(IF(INDIRECT("'"&amp;$O173&amp;"'!P"&amp;$N173)=0,"",INDIRECT("'"&amp;$O173&amp;"'!P"&amp;$N173)),"")</f>
        <v/>
      </c>
      <c r="J173" s="61" t="inlineStr">
        <is>
          <t>A4GR + A4CB + 1.4T (Safari Dental용) 60KV 2mA</t>
        </is>
      </c>
      <c r="K173" s="61" t="inlineStr">
        <is>
          <t>A4GR + A4CB + 1.4T (Safari Dental용) 60KV 2mA</t>
        </is>
      </c>
      <c r="L173" s="83">
        <f>HYPERLINK("#'"&amp;$O173&amp;"'!A"&amp;$N173,"→ 고압진공 R"&amp;$N173)</f>
        <v/>
      </c>
      <c r="M173" s="84" t="n"/>
      <c r="N173" s="80" t="n">
        <v>154</v>
      </c>
      <c r="O173" s="80" t="inlineStr">
        <is>
          <t>고압진공_재고현황</t>
        </is>
      </c>
    </row>
    <row r="174" ht="30" customHeight="1">
      <c r="A174" s="55" t="inlineStr">
        <is>
          <t>튜닝</t>
        </is>
      </c>
      <c r="B174" s="52" t="inlineStr">
        <is>
          <t>튜닝완료</t>
        </is>
      </c>
      <c r="C174" s="52" t="inlineStr">
        <is>
          <t>ADX6000</t>
        </is>
      </c>
      <c r="D174" s="79">
        <f>IF(INDIRECT("'"&amp;$O174&amp;"'!F"&amp;$N174)="O","원자재",IF(INDIRECT("'"&amp;$O174&amp;"'!G"&amp;$N174)="O","반제품",IF(INDIRECT("'"&amp;$O174&amp;"'!H"&amp;$N174)="O","완제품","")))</f>
        <v/>
      </c>
      <c r="E174" s="79">
        <f>IFERROR(IF(INDIRECT("'"&amp;$O174&amp;"'!I"&amp;$N174)=0,"",INDIRECT("'"&amp;$O174&amp;"'!I"&amp;$N174)),"")</f>
        <v/>
      </c>
      <c r="F174" s="52" t="inlineStr">
        <is>
          <t>XG + A6CTR 80KV, 5mA</t>
        </is>
      </c>
      <c r="G174" s="52" t="n"/>
      <c r="H174" s="79">
        <f>IF(AND($F174="",$G174=""),"",IF($F174="","창고전용",IF($G174&lt;&gt;"","매칭완료",IF($D174="반제품","반제품(창고없음)",IF($D174="완제품","완제품(창고없음)",IF($D174="원자재","⚠ 원자재_부서보관","미분류"))))))</f>
        <v/>
      </c>
      <c r="I174" s="79">
        <f>IFERROR(IF(INDIRECT("'"&amp;$O174&amp;"'!P"&amp;$N174)=0,"",INDIRECT("'"&amp;$O174&amp;"'!P"&amp;$N174)),"")</f>
        <v/>
      </c>
      <c r="J174" s="61" t="inlineStr">
        <is>
          <t>XG + A6CTR 80KV, 5mA</t>
        </is>
      </c>
      <c r="K174" s="61" t="inlineStr">
        <is>
          <t>XG + A6CTR 80KV, 5mA</t>
        </is>
      </c>
      <c r="L174" s="83">
        <f>HYPERLINK("#'"&amp;$O174&amp;"'!A"&amp;$N174,"→ 고압진공 R"&amp;$N174)</f>
        <v/>
      </c>
      <c r="M174" s="84" t="n"/>
      <c r="N174" s="80" t="n">
        <v>155</v>
      </c>
      <c r="O174" s="80" t="inlineStr">
        <is>
          <t>고압진공_재고현황</t>
        </is>
      </c>
    </row>
    <row r="175" ht="30" customHeight="1">
      <c r="A175" s="55" t="inlineStr">
        <is>
          <t>튜닝</t>
        </is>
      </c>
      <c r="B175" s="52" t="inlineStr">
        <is>
          <t>튜닝완료</t>
        </is>
      </c>
      <c r="C175" s="52" t="inlineStr">
        <is>
          <t>ADX6000S</t>
        </is>
      </c>
      <c r="D175" s="79">
        <f>IF(INDIRECT("'"&amp;$O175&amp;"'!F"&amp;$N175)="O","원자재",IF(INDIRECT("'"&amp;$O175&amp;"'!G"&amp;$N175)="O","반제품",IF(INDIRECT("'"&amp;$O175&amp;"'!H"&amp;$N175)="O","완제품","")))</f>
        <v/>
      </c>
      <c r="E175" s="79">
        <f>IFERROR(IF(INDIRECT("'"&amp;$O175&amp;"'!I"&amp;$N175)=0,"",INDIRECT("'"&amp;$O175&amp;"'!I"&amp;$N175)),"")</f>
        <v/>
      </c>
      <c r="F175" s="52" t="inlineStr">
        <is>
          <t>A6GR + A6CB 90KV 6mA</t>
        </is>
      </c>
      <c r="G175" s="52" t="n"/>
      <c r="H175" s="79">
        <f>IF(AND($F175="",$G175=""),"",IF($F175="","창고전용",IF($G175&lt;&gt;"","매칭완료",IF($D175="반제품","반제품(창고없음)",IF($D175="완제품","완제품(창고없음)",IF($D175="원자재","⚠ 원자재_부서보관","미분류"))))))</f>
        <v/>
      </c>
      <c r="I175" s="79">
        <f>IFERROR(IF(INDIRECT("'"&amp;$O175&amp;"'!P"&amp;$N175)=0,"",INDIRECT("'"&amp;$O175&amp;"'!P"&amp;$N175)),"")</f>
        <v/>
      </c>
      <c r="J175" s="61" t="inlineStr">
        <is>
          <t>A6GR + A6CB 90KV 6mA</t>
        </is>
      </c>
      <c r="K175" s="61" t="inlineStr">
        <is>
          <t>A6GR + A6CB 90KV 6mA</t>
        </is>
      </c>
      <c r="L175" s="83">
        <f>HYPERLINK("#'"&amp;$O175&amp;"'!A"&amp;$N175,"→ 고압진공 R"&amp;$N175)</f>
        <v/>
      </c>
      <c r="M175" s="84" t="n"/>
      <c r="N175" s="80" t="n">
        <v>156</v>
      </c>
      <c r="O175" s="80" t="inlineStr">
        <is>
          <t>고압진공_재고현황</t>
        </is>
      </c>
    </row>
    <row r="176" ht="30" customHeight="1">
      <c r="A176" s="55" t="inlineStr">
        <is>
          <t>튜닝</t>
        </is>
      </c>
      <c r="B176" s="52" t="inlineStr">
        <is>
          <t>튜닝완료</t>
        </is>
      </c>
      <c r="C176" s="52" t="inlineStr">
        <is>
          <t>COCOON</t>
        </is>
      </c>
      <c r="D176" s="79">
        <f>IF(INDIRECT("'"&amp;$O176&amp;"'!F"&amp;$N176)="O","원자재",IF(INDIRECT("'"&amp;$O176&amp;"'!G"&amp;$N176)="O","반제품",IF(INDIRECT("'"&amp;$O176&amp;"'!H"&amp;$N176)="O","완제품","")))</f>
        <v/>
      </c>
      <c r="E176" s="79">
        <f>IFERROR(IF(INDIRECT("'"&amp;$O176&amp;"'!I"&amp;$N176)=0,"",INDIRECT("'"&amp;$O176&amp;"'!I"&amp;$N176)),"")</f>
        <v/>
      </c>
      <c r="F176" s="52" t="inlineStr">
        <is>
          <t>COGR + COCB + FET BD 70kv, 2mA</t>
        </is>
      </c>
      <c r="G176" s="52" t="n"/>
      <c r="H176" s="79">
        <f>IF(AND($F176="",$G176=""),"",IF($F176="","창고전용",IF($G176&lt;&gt;"","매칭완료",IF($D176="반제품","반제품(창고없음)",IF($D176="완제품","완제품(창고없음)",IF($D176="원자재","⚠ 원자재_부서보관","미분류"))))))</f>
        <v/>
      </c>
      <c r="I176" s="79">
        <f>IFERROR(IF(INDIRECT("'"&amp;$O176&amp;"'!P"&amp;$N176)=0,"",INDIRECT("'"&amp;$O176&amp;"'!P"&amp;$N176)),"")</f>
        <v/>
      </c>
      <c r="J176" s="61" t="inlineStr">
        <is>
          <t>COGR + COCB + FET BD 70kv, 2mA</t>
        </is>
      </c>
      <c r="K176" s="61" t="inlineStr">
        <is>
          <t>COGR + COCB + FET BD 70kv, 2mA</t>
        </is>
      </c>
      <c r="L176" s="83">
        <f>HYPERLINK("#'"&amp;$O176&amp;"'!A"&amp;$N176,"→ 고압진공 R"&amp;$N176)</f>
        <v/>
      </c>
      <c r="M176" s="84" t="n"/>
      <c r="N176" s="80" t="n">
        <v>157</v>
      </c>
      <c r="O176" s="80" t="inlineStr">
        <is>
          <t>고압진공_재고현황</t>
        </is>
      </c>
    </row>
    <row r="177" ht="30" customHeight="1">
      <c r="A177" s="55" t="inlineStr">
        <is>
          <t>튜닝</t>
        </is>
      </c>
      <c r="B177" s="52" t="inlineStr">
        <is>
          <t>튜닝완료</t>
        </is>
      </c>
      <c r="C177" s="52" t="inlineStr">
        <is>
          <t>SOLO</t>
        </is>
      </c>
      <c r="D177" s="79">
        <f>IF(INDIRECT("'"&amp;$O177&amp;"'!F"&amp;$N177)="O","원자재",IF(INDIRECT("'"&amp;$O177&amp;"'!G"&amp;$N177)="O","반제품",IF(INDIRECT("'"&amp;$O177&amp;"'!H"&amp;$N177)="O","완제품","")))</f>
        <v/>
      </c>
      <c r="E177" s="79">
        <f>IFERROR(IF(INDIRECT("'"&amp;$O177&amp;"'!I"&amp;$N177)=0,"",INDIRECT("'"&amp;$O177&amp;"'!I"&amp;$N177)),"")</f>
        <v/>
      </c>
      <c r="F177" s="52" t="inlineStr">
        <is>
          <t>CSGR + CSCB 70KV 2mA</t>
        </is>
      </c>
      <c r="G177" s="52" t="n"/>
      <c r="H177" s="79">
        <f>IF(AND($F177="",$G177=""),"",IF($F177="","창고전용",IF($G177&lt;&gt;"","매칭완료",IF($D177="반제품","반제품(창고없음)",IF($D177="완제품","완제품(창고없음)",IF($D177="원자재","⚠ 원자재_부서보관","미분류"))))))</f>
        <v/>
      </c>
      <c r="I177" s="79">
        <f>IFERROR(IF(INDIRECT("'"&amp;$O177&amp;"'!P"&amp;$N177)=0,"",INDIRECT("'"&amp;$O177&amp;"'!P"&amp;$N177)),"")</f>
        <v/>
      </c>
      <c r="J177" s="61" t="inlineStr">
        <is>
          <t>CSGR + CSCB 70KV 2mA</t>
        </is>
      </c>
      <c r="K177" s="61" t="inlineStr">
        <is>
          <t>CSGR + CSCB 70KV 2mA</t>
        </is>
      </c>
      <c r="L177" s="83">
        <f>HYPERLINK("#'"&amp;$O177&amp;"'!A"&amp;$N177,"→ 고압진공 R"&amp;$N177)</f>
        <v/>
      </c>
      <c r="M177" s="84" t="n"/>
      <c r="N177" s="80" t="n">
        <v>158</v>
      </c>
      <c r="O177" s="80" t="inlineStr">
        <is>
          <t>고압진공_재고현황</t>
        </is>
      </c>
    </row>
    <row r="178" ht="30" customHeight="1">
      <c r="A178" s="56" t="inlineStr">
        <is>
          <t>조립</t>
        </is>
      </c>
      <c r="B178" s="52" t="inlineStr">
        <is>
          <t>판넬</t>
        </is>
      </c>
      <c r="C178" s="52" t="inlineStr">
        <is>
          <t>DX3000</t>
        </is>
      </c>
      <c r="D178" s="79">
        <f>IF(INDIRECT("'"&amp;$O178&amp;"'!F"&amp;$N178)="O","원자재",IF(INDIRECT("'"&amp;$O178&amp;"'!G"&amp;$N178)="O","반제품",IF(INDIRECT("'"&amp;$O178&amp;"'!H"&amp;$N178)="O","완제품","")))</f>
        <v/>
      </c>
      <c r="E178" s="79">
        <f>IFERROR(IF(INDIRECT("'"&amp;$O178&amp;"'!I"&amp;$N178)=0,"",INDIRECT("'"&amp;$O178&amp;"'!I"&amp;$N178)),"")</f>
        <v/>
      </c>
      <c r="F178" s="52" t="inlineStr">
        <is>
          <t>2.35" LCD 판넬</t>
        </is>
      </c>
      <c r="G178" s="52" t="inlineStr">
        <is>
          <t>LCD PANEL (2.35"LCD) [DX3000]</t>
        </is>
      </c>
      <c r="H178" s="79">
        <f>IF(AND($F178="",$G178=""),"",IF($F178="","창고전용",IF($G178&lt;&gt;"","매칭완료",IF($D178="반제품","반제품(창고없음)",IF($D178="완제품","완제품(창고없음)",IF($D178="원자재","⚠ 원자재_부서보관","미분류"))))))</f>
        <v/>
      </c>
      <c r="I178" s="79">
        <f>IFERROR(IF(INDIRECT("'"&amp;$O178&amp;"'!P"&amp;$N178)=0,"",INDIRECT("'"&amp;$O178&amp;"'!P"&amp;$N178)),"")</f>
        <v/>
      </c>
      <c r="J178" s="61" t="inlineStr">
        <is>
          <t>2.35" LCD 판넬</t>
        </is>
      </c>
      <c r="K178" s="85" t="inlineStr">
        <is>
          <t>DX3000 2.35" LCD 판넬</t>
        </is>
      </c>
      <c r="L178" s="83">
        <f>HYPERLINK("#'"&amp;$O178&amp;"'!A"&amp;$N178,"→ 조립자재 R"&amp;$N178)</f>
        <v/>
      </c>
      <c r="M178" s="84" t="n"/>
      <c r="N178" s="80" t="n">
        <v>2</v>
      </c>
      <c r="O178" s="80" t="inlineStr">
        <is>
          <t>조립자재_재고현황</t>
        </is>
      </c>
    </row>
    <row r="179" ht="30" customHeight="1">
      <c r="A179" s="56" t="inlineStr">
        <is>
          <t>조립</t>
        </is>
      </c>
      <c r="B179" s="52" t="inlineStr">
        <is>
          <t>판넬</t>
        </is>
      </c>
      <c r="C179" s="52" t="inlineStr">
        <is>
          <t>DX3000</t>
        </is>
      </c>
      <c r="D179" s="79">
        <f>IF(INDIRECT("'"&amp;$O179&amp;"'!F"&amp;$N179)="O","원자재",IF(INDIRECT("'"&amp;$O179&amp;"'!G"&amp;$N179)="O","반제품",IF(INDIRECT("'"&amp;$O179&amp;"'!H"&amp;$N179)="O","완제품","")))</f>
        <v/>
      </c>
      <c r="E179" s="79">
        <f>IFERROR(IF(INDIRECT("'"&amp;$O179&amp;"'!I"&amp;$N179)=0,"",INDIRECT("'"&amp;$O179&amp;"'!I"&amp;$N179)),"")</f>
        <v/>
      </c>
      <c r="F179" s="52" t="inlineStr">
        <is>
          <t>2.4" TFT LCD 판넬</t>
        </is>
      </c>
      <c r="G179" s="52" t="inlineStr">
        <is>
          <t>TFT LCD PANEL (2.4"LCD - CT1715N241A) [DX3000, SOLO]</t>
        </is>
      </c>
      <c r="H179" s="79">
        <f>IF(AND($F179="",$G179=""),"",IF($F179="","창고전용",IF($G179&lt;&gt;"","매칭완료",IF($D179="반제품","반제품(창고없음)",IF($D179="완제품","완제품(창고없음)",IF($D179="원자재","⚠ 원자재_부서보관","미분류"))))))</f>
        <v/>
      </c>
      <c r="I179" s="79">
        <f>IFERROR(IF(INDIRECT("'"&amp;$O179&amp;"'!P"&amp;$N179)=0,"",INDIRECT("'"&amp;$O179&amp;"'!P"&amp;$N179)),"")</f>
        <v/>
      </c>
      <c r="J179" s="61" t="inlineStr">
        <is>
          <t>2.4" TFT LCD 판넬</t>
        </is>
      </c>
      <c r="K179" s="85" t="inlineStr">
        <is>
          <t>DX3000, SOLO 2.4" TFT LCD 판넬</t>
        </is>
      </c>
      <c r="L179" s="83">
        <f>HYPERLINK("#'"&amp;$O179&amp;"'!A"&amp;$N179,"→ 조립자재 R"&amp;$N179)</f>
        <v/>
      </c>
      <c r="M179" s="84" t="n"/>
      <c r="N179" s="80" t="n">
        <v>3</v>
      </c>
      <c r="O179" s="80" t="inlineStr">
        <is>
          <t>조립자재_재고현황</t>
        </is>
      </c>
    </row>
    <row r="180" ht="30" customHeight="1">
      <c r="A180" s="56" t="inlineStr">
        <is>
          <t>조립</t>
        </is>
      </c>
      <c r="B180" s="52" t="inlineStr">
        <is>
          <t>사출 및 공용 자재</t>
        </is>
      </c>
      <c r="C180" s="52" t="inlineStr">
        <is>
          <t>DX3000</t>
        </is>
      </c>
      <c r="D180" s="79">
        <f>IF(INDIRECT("'"&amp;$O180&amp;"'!F"&amp;$N180)="O","원자재",IF(INDIRECT("'"&amp;$O180&amp;"'!G"&amp;$N180)="O","반제품",IF(INDIRECT("'"&amp;$O180&amp;"'!H"&amp;$N180)="O","완제품","")))</f>
        <v/>
      </c>
      <c r="E180" s="79">
        <f>IFERROR(IF(INDIRECT("'"&amp;$O180&amp;"'!I"&amp;$N180)=0,"",INDIRECT("'"&amp;$O180&amp;"'!I"&amp;$N180)),"")</f>
        <v/>
      </c>
      <c r="F180" s="52" t="inlineStr">
        <is>
          <t>LCD GUIDE</t>
        </is>
      </c>
      <c r="G180" s="52" t="inlineStr">
        <is>
          <t>LCD GUIDE (ABS 난연 화이트) [DX3000]</t>
        </is>
      </c>
      <c r="H180" s="79">
        <f>IF(AND($F180="",$G180=""),"",IF($F180="","창고전용",IF($G180&lt;&gt;"","매칭완료",IF($D180="반제품","반제품(창고없음)",IF($D180="완제품","완제품(창고없음)",IF($D180="원자재","⚠ 원자재_부서보관","미분류"))))))</f>
        <v/>
      </c>
      <c r="I180" s="79">
        <f>IFERROR(IF(INDIRECT("'"&amp;$O180&amp;"'!P"&amp;$N180)=0,"",INDIRECT("'"&amp;$O180&amp;"'!P"&amp;$N180)),"")</f>
        <v/>
      </c>
      <c r="J180" s="61" t="inlineStr">
        <is>
          <t>LCD GUIDE</t>
        </is>
      </c>
      <c r="K180" s="85" t="inlineStr">
        <is>
          <t>DX3000 LCD GUIDE</t>
        </is>
      </c>
      <c r="L180" s="83">
        <f>HYPERLINK("#'"&amp;$O180&amp;"'!A"&amp;$N180,"→ 조립자재 R"&amp;$N180)</f>
        <v/>
      </c>
      <c r="M180" s="84" t="n"/>
      <c r="N180" s="80" t="n">
        <v>4</v>
      </c>
      <c r="O180" s="80" t="inlineStr">
        <is>
          <t>조립자재_재고현황</t>
        </is>
      </c>
    </row>
    <row r="181" ht="30" customHeight="1">
      <c r="A181" s="56" t="inlineStr">
        <is>
          <t>조립</t>
        </is>
      </c>
      <c r="B181" s="52" t="inlineStr">
        <is>
          <t>사출 및 공용 자재</t>
        </is>
      </c>
      <c r="C181" s="52" t="inlineStr">
        <is>
          <t>DX3000</t>
        </is>
      </c>
      <c r="D181" s="79">
        <f>IF(INDIRECT("'"&amp;$O181&amp;"'!F"&amp;$N181)="O","원자재",IF(INDIRECT("'"&amp;$O181&amp;"'!G"&amp;$N181)="O","반제품",IF(INDIRECT("'"&amp;$O181&amp;"'!H"&amp;$N181)="O","완제품","")))</f>
        <v/>
      </c>
      <c r="E181" s="79">
        <f>IFERROR(IF(INDIRECT("'"&amp;$O181&amp;"'!I"&amp;$N181)=0,"",INDIRECT("'"&amp;$O181&amp;"'!I"&amp;$N181)),"")</f>
        <v/>
      </c>
      <c r="F181" s="52" t="inlineStr">
        <is>
          <t>NAVI KEY</t>
        </is>
      </c>
      <c r="G181" s="52" t="inlineStr">
        <is>
          <t>NAVI KEY (ABS 난연 화이트 + 밝은 회색) [DX3000]</t>
        </is>
      </c>
      <c r="H181" s="79">
        <f>IF(AND($F181="",$G181=""),"",IF($F181="","창고전용",IF($G181&lt;&gt;"","매칭완료",IF($D181="반제품","반제품(창고없음)",IF($D181="완제품","완제품(창고없음)",IF($D181="원자재","⚠ 원자재_부서보관","미분류"))))))</f>
        <v/>
      </c>
      <c r="I181" s="79">
        <f>IFERROR(IF(INDIRECT("'"&amp;$O181&amp;"'!P"&amp;$N181)=0,"",INDIRECT("'"&amp;$O181&amp;"'!P"&amp;$N181)),"")</f>
        <v/>
      </c>
      <c r="J181" s="61" t="inlineStr">
        <is>
          <t>NAVI KEY</t>
        </is>
      </c>
      <c r="K181" s="85" t="inlineStr">
        <is>
          <t>DX3000 NAVI KEY</t>
        </is>
      </c>
      <c r="L181" s="83">
        <f>HYPERLINK("#'"&amp;$O181&amp;"'!A"&amp;$N181,"→ 조립자재 R"&amp;$N181)</f>
        <v/>
      </c>
      <c r="M181" s="84" t="n"/>
      <c r="N181" s="80" t="n">
        <v>5</v>
      </c>
      <c r="O181" s="80" t="inlineStr">
        <is>
          <t>조립자재_재고현황</t>
        </is>
      </c>
    </row>
    <row r="182" ht="30" customHeight="1">
      <c r="A182" s="56" t="inlineStr">
        <is>
          <t>조립</t>
        </is>
      </c>
      <c r="B182" s="52" t="inlineStr">
        <is>
          <t>사출 및 공용 자재</t>
        </is>
      </c>
      <c r="C182" s="52" t="inlineStr">
        <is>
          <t>DX3000</t>
        </is>
      </c>
      <c r="D182" s="79">
        <f>IF(INDIRECT("'"&amp;$O182&amp;"'!F"&amp;$N182)="O","원자재",IF(INDIRECT("'"&amp;$O182&amp;"'!G"&amp;$N182)="O","반제품",IF(INDIRECT("'"&amp;$O182&amp;"'!H"&amp;$N182)="O","완제품","")))</f>
        <v/>
      </c>
      <c r="E182" s="79">
        <f>IFERROR(IF(INDIRECT("'"&amp;$O182&amp;"'!I"&amp;$N182)=0,"",INDIRECT("'"&amp;$O182&amp;"'!I"&amp;$N182)),"")</f>
        <v/>
      </c>
      <c r="F182" s="52" t="inlineStr">
        <is>
          <t>POWER LED</t>
        </is>
      </c>
      <c r="G182" s="52" t="inlineStr">
        <is>
          <t>POWER LED (확산 아크릴) [DX3000]</t>
        </is>
      </c>
      <c r="H182" s="79">
        <f>IF(AND($F182="",$G182=""),"",IF($F182="","창고전용",IF($G182&lt;&gt;"","매칭완료",IF($D182="반제품","반제품(창고없음)",IF($D182="완제품","완제품(창고없음)",IF($D182="원자재","⚠ 원자재_부서보관","미분류"))))))</f>
        <v/>
      </c>
      <c r="I182" s="79">
        <f>IFERROR(IF(INDIRECT("'"&amp;$O182&amp;"'!P"&amp;$N182)=0,"",INDIRECT("'"&amp;$O182&amp;"'!P"&amp;$N182)),"")</f>
        <v/>
      </c>
      <c r="J182" s="61" t="inlineStr">
        <is>
          <t>POWER LED</t>
        </is>
      </c>
      <c r="K182" s="85" t="inlineStr">
        <is>
          <t>DX3000 POWER LED</t>
        </is>
      </c>
      <c r="L182" s="83">
        <f>HYPERLINK("#'"&amp;$O182&amp;"'!A"&amp;$N182,"→ 조립자재 R"&amp;$N182)</f>
        <v/>
      </c>
      <c r="M182" s="84" t="n"/>
      <c r="N182" s="80" t="n">
        <v>6</v>
      </c>
      <c r="O182" s="80" t="inlineStr">
        <is>
          <t>조립자재_재고현황</t>
        </is>
      </c>
    </row>
    <row r="183" ht="30" customHeight="1">
      <c r="A183" s="56" t="inlineStr">
        <is>
          <t>조립</t>
        </is>
      </c>
      <c r="B183" s="52" t="inlineStr">
        <is>
          <t>사출 및 공용 자재</t>
        </is>
      </c>
      <c r="C183" s="52" t="inlineStr">
        <is>
          <t>DX3000</t>
        </is>
      </c>
      <c r="D183" s="79">
        <f>IF(INDIRECT("'"&amp;$O183&amp;"'!F"&amp;$N183)="O","원자재",IF(INDIRECT("'"&amp;$O183&amp;"'!G"&amp;$N183)="O","반제품",IF(INDIRECT("'"&amp;$O183&amp;"'!H"&amp;$N183)="O","완제품","")))</f>
        <v/>
      </c>
      <c r="E183" s="79">
        <f>IFERROR(IF(INDIRECT("'"&amp;$O183&amp;"'!I"&amp;$N183)=0,"",INDIRECT("'"&amp;$O183&amp;"'!I"&amp;$N183)),"")</f>
        <v/>
      </c>
      <c r="F183" s="52" t="inlineStr">
        <is>
          <t>POWER BUTTON</t>
        </is>
      </c>
      <c r="G183" s="52" t="inlineStr">
        <is>
          <t>POWER BUTTON (ABS 난연 화이트 + 밝은 회색) [DX3000]</t>
        </is>
      </c>
      <c r="H183" s="79">
        <f>IF(AND($F183="",$G183=""),"",IF($F183="","창고전용",IF($G183&lt;&gt;"","매칭완료",IF($D183="반제품","반제품(창고없음)",IF($D183="완제품","완제품(창고없음)",IF($D183="원자재","⚠ 원자재_부서보관","미분류"))))))</f>
        <v/>
      </c>
      <c r="I183" s="79">
        <f>IFERROR(IF(INDIRECT("'"&amp;$O183&amp;"'!P"&amp;$N183)=0,"",INDIRECT("'"&amp;$O183&amp;"'!P"&amp;$N183)),"")</f>
        <v/>
      </c>
      <c r="J183" s="61" t="inlineStr">
        <is>
          <t>POWER BUTTON</t>
        </is>
      </c>
      <c r="K183" s="85" t="inlineStr">
        <is>
          <t>DX3000 POWER BUTTON</t>
        </is>
      </c>
      <c r="L183" s="83">
        <f>HYPERLINK("#'"&amp;$O183&amp;"'!A"&amp;$N183,"→ 조립자재 R"&amp;$N183)</f>
        <v/>
      </c>
      <c r="M183" s="84" t="n"/>
      <c r="N183" s="80" t="n">
        <v>7</v>
      </c>
      <c r="O183" s="80" t="inlineStr">
        <is>
          <t>조립자재_재고현황</t>
        </is>
      </c>
    </row>
    <row r="184" ht="30" customHeight="1">
      <c r="A184" s="56" t="inlineStr">
        <is>
          <t>조립</t>
        </is>
      </c>
      <c r="B184" s="52" t="inlineStr">
        <is>
          <t>사출 및 공용 자재</t>
        </is>
      </c>
      <c r="C184" s="52" t="inlineStr">
        <is>
          <t>DX3000블랙</t>
        </is>
      </c>
      <c r="D184" s="79">
        <f>IF(INDIRECT("'"&amp;$O184&amp;"'!F"&amp;$N184)="O","원자재",IF(INDIRECT("'"&amp;$O184&amp;"'!G"&amp;$N184)="O","반제품",IF(INDIRECT("'"&amp;$O184&amp;"'!H"&amp;$N184)="O","완제품","")))</f>
        <v/>
      </c>
      <c r="E184" s="79">
        <f>IFERROR(IF(INDIRECT("'"&amp;$O184&amp;"'!I"&amp;$N184)=0,"",INDIRECT("'"&amp;$O184&amp;"'!I"&amp;$N184)),"")</f>
        <v/>
      </c>
      <c r="F184" s="52" t="inlineStr">
        <is>
          <t>FRONT COVER (듀얼 슬라이드)</t>
        </is>
      </c>
      <c r="G184" s="52" t="inlineStr">
        <is>
          <t>FRONT COVER (듀얼 슬라이드) (ABS 난연 블랙) [DX3000]</t>
        </is>
      </c>
      <c r="H184" s="79">
        <f>IF(AND($F184="",$G184=""),"",IF($F184="","창고전용",IF($G184&lt;&gt;"","매칭완료",IF($D184="반제품","반제품(창고없음)",IF($D184="완제품","완제품(창고없음)",IF($D184="원자재","⚠ 원자재_부서보관","미분류"))))))</f>
        <v/>
      </c>
      <c r="I184" s="79">
        <f>IFERROR(IF(INDIRECT("'"&amp;$O184&amp;"'!P"&amp;$N184)=0,"",INDIRECT("'"&amp;$O184&amp;"'!P"&amp;$N184)),"")</f>
        <v/>
      </c>
      <c r="J184" s="61" t="inlineStr">
        <is>
          <t>FRONT COVER (듀얼 슬라이드)</t>
        </is>
      </c>
      <c r="K184" s="85" t="inlineStr">
        <is>
          <t>DX3000 FRONT COVER (B)</t>
        </is>
      </c>
      <c r="L184" s="83">
        <f>HYPERLINK("#'"&amp;$O184&amp;"'!A"&amp;$N184,"→ 조립자재 R"&amp;$N184)</f>
        <v/>
      </c>
      <c r="M184" s="84" t="n"/>
      <c r="N184" s="80" t="n">
        <v>8</v>
      </c>
      <c r="O184" s="80" t="inlineStr">
        <is>
          <t>조립자재_재고현황</t>
        </is>
      </c>
    </row>
    <row r="185" ht="30" customHeight="1">
      <c r="A185" s="56" t="inlineStr">
        <is>
          <t>조립</t>
        </is>
      </c>
      <c r="B185" s="52" t="inlineStr">
        <is>
          <t>사출 및 공용 자재</t>
        </is>
      </c>
      <c r="C185" s="52" t="inlineStr">
        <is>
          <t>DX3000 화이트</t>
        </is>
      </c>
      <c r="D185" s="79">
        <f>IF(INDIRECT("'"&amp;$O185&amp;"'!F"&amp;$N185)="O","원자재",IF(INDIRECT("'"&amp;$O185&amp;"'!G"&amp;$N185)="O","반제품",IF(INDIRECT("'"&amp;$O185&amp;"'!H"&amp;$N185)="O","완제품","")))</f>
        <v/>
      </c>
      <c r="E185" s="79">
        <f>IFERROR(IF(INDIRECT("'"&amp;$O185&amp;"'!I"&amp;$N185)=0,"",INDIRECT("'"&amp;$O185&amp;"'!I"&amp;$N185)),"")</f>
        <v/>
      </c>
      <c r="F185" s="52" t="inlineStr">
        <is>
          <t>FRONT COVER (듀얼 슬라이드)</t>
        </is>
      </c>
      <c r="G185" s="52" t="inlineStr">
        <is>
          <t>FRONT COVER (듀얼 슬라이드) (ABS 난연 화이트) [DX3000]</t>
        </is>
      </c>
      <c r="H185" s="79">
        <f>IF(AND($F185="",$G185=""),"",IF($F185="","창고전용",IF($G185&lt;&gt;"","매칭완료",IF($D185="반제품","반제품(창고없음)",IF($D185="완제품","완제품(창고없음)",IF($D185="원자재","⚠ 원자재_부서보관","미분류"))))))</f>
        <v/>
      </c>
      <c r="I185" s="79">
        <f>IFERROR(IF(INDIRECT("'"&amp;$O185&amp;"'!P"&amp;$N185)=0,"",INDIRECT("'"&amp;$O185&amp;"'!P"&amp;$N185)),"")</f>
        <v/>
      </c>
      <c r="J185" s="61" t="inlineStr">
        <is>
          <t>FRONT COVER (듀얼 슬라이드)</t>
        </is>
      </c>
      <c r="K185" s="85" t="inlineStr">
        <is>
          <t>DX3000 FRONT COVER (W)</t>
        </is>
      </c>
      <c r="L185" s="83">
        <f>HYPERLINK("#'"&amp;$O185&amp;"'!A"&amp;$N185,"→ 조립자재 R"&amp;$N185)</f>
        <v/>
      </c>
      <c r="M185" s="84" t="n"/>
      <c r="N185" s="80" t="n">
        <v>9</v>
      </c>
      <c r="O185" s="80" t="inlineStr">
        <is>
          <t>조립자재_재고현황</t>
        </is>
      </c>
    </row>
    <row r="186" ht="30" customHeight="1">
      <c r="A186" s="56" t="inlineStr">
        <is>
          <t>조립</t>
        </is>
      </c>
      <c r="B186" s="52" t="inlineStr">
        <is>
          <t>사출 및 공용 자재</t>
        </is>
      </c>
      <c r="C186" s="52" t="inlineStr">
        <is>
          <t>DX3000 블랙</t>
        </is>
      </c>
      <c r="D186" s="79">
        <f>IF(INDIRECT("'"&amp;$O186&amp;"'!F"&amp;$N186)="O","원자재",IF(INDIRECT("'"&amp;$O186&amp;"'!G"&amp;$N186)="O","반제품",IF(INDIRECT("'"&amp;$O186&amp;"'!H"&amp;$N186)="O","완제품","")))</f>
        <v/>
      </c>
      <c r="E186" s="79">
        <f>IFERROR(IF(INDIRECT("'"&amp;$O186&amp;"'!I"&amp;$N186)=0,"",INDIRECT("'"&amp;$O186&amp;"'!I"&amp;$N186)),"")</f>
        <v/>
      </c>
      <c r="F186" s="52" t="inlineStr">
        <is>
          <t>REAR COVER</t>
        </is>
      </c>
      <c r="G186" s="52" t="inlineStr">
        <is>
          <t>REAR COVER (ABS 난연 블랙) [DX3000]</t>
        </is>
      </c>
      <c r="H186" s="79">
        <f>IF(AND($F186="",$G186=""),"",IF($F186="","창고전용",IF($G186&lt;&gt;"","매칭완료",IF($D186="반제품","반제품(창고없음)",IF($D186="완제품","완제품(창고없음)",IF($D186="원자재","⚠ 원자재_부서보관","미분류"))))))</f>
        <v/>
      </c>
      <c r="I186" s="79">
        <f>IFERROR(IF(INDIRECT("'"&amp;$O186&amp;"'!P"&amp;$N186)=0,"",INDIRECT("'"&amp;$O186&amp;"'!P"&amp;$N186)),"")</f>
        <v/>
      </c>
      <c r="J186" s="61" t="inlineStr">
        <is>
          <t>REAR COVER</t>
        </is>
      </c>
      <c r="K186" s="85" t="inlineStr">
        <is>
          <t>DX3000 REAR COVER (B)</t>
        </is>
      </c>
      <c r="L186" s="83">
        <f>HYPERLINK("#'"&amp;$O186&amp;"'!A"&amp;$N186,"→ 조립자재 R"&amp;$N186)</f>
        <v/>
      </c>
      <c r="M186" s="84" t="n"/>
      <c r="N186" s="80" t="n">
        <v>10</v>
      </c>
      <c r="O186" s="80" t="inlineStr">
        <is>
          <t>조립자재_재고현황</t>
        </is>
      </c>
    </row>
    <row r="187" ht="30" customHeight="1">
      <c r="A187" s="56" t="inlineStr">
        <is>
          <t>조립</t>
        </is>
      </c>
      <c r="B187" s="52" t="inlineStr">
        <is>
          <t>사출 및 공용 자재</t>
        </is>
      </c>
      <c r="C187" s="52" t="inlineStr">
        <is>
          <t>DX3000 화이트</t>
        </is>
      </c>
      <c r="D187" s="79">
        <f>IF(INDIRECT("'"&amp;$O187&amp;"'!F"&amp;$N187)="O","원자재",IF(INDIRECT("'"&amp;$O187&amp;"'!G"&amp;$N187)="O","반제품",IF(INDIRECT("'"&amp;$O187&amp;"'!H"&amp;$N187)="O","완제품","")))</f>
        <v/>
      </c>
      <c r="E187" s="79">
        <f>IFERROR(IF(INDIRECT("'"&amp;$O187&amp;"'!I"&amp;$N187)=0,"",INDIRECT("'"&amp;$O187&amp;"'!I"&amp;$N187)),"")</f>
        <v/>
      </c>
      <c r="F187" s="52" t="inlineStr">
        <is>
          <t>REAR COVER</t>
        </is>
      </c>
      <c r="G187" s="52" t="inlineStr">
        <is>
          <t>REAR COVER (ABS 난연 화이트) [DX3000]</t>
        </is>
      </c>
      <c r="H187" s="79">
        <f>IF(AND($F187="",$G187=""),"",IF($F187="","창고전용",IF($G187&lt;&gt;"","매칭완료",IF($D187="반제품","반제품(창고없음)",IF($D187="완제품","완제품(창고없음)",IF($D187="원자재","⚠ 원자재_부서보관","미분류"))))))</f>
        <v/>
      </c>
      <c r="I187" s="79">
        <f>IFERROR(IF(INDIRECT("'"&amp;$O187&amp;"'!P"&amp;$N187)=0,"",INDIRECT("'"&amp;$O187&amp;"'!P"&amp;$N187)),"")</f>
        <v/>
      </c>
      <c r="J187" s="61" t="inlineStr">
        <is>
          <t>REAR COVER</t>
        </is>
      </c>
      <c r="K187" s="85" t="inlineStr">
        <is>
          <t>DX3000 REAR COVER (W)</t>
        </is>
      </c>
      <c r="L187" s="83">
        <f>HYPERLINK("#'"&amp;$O187&amp;"'!A"&amp;$N187,"→ 조립자재 R"&amp;$N187)</f>
        <v/>
      </c>
      <c r="M187" s="84" t="n"/>
      <c r="N187" s="80" t="n">
        <v>11</v>
      </c>
      <c r="O187" s="80" t="inlineStr">
        <is>
          <t>조립자재_재고현황</t>
        </is>
      </c>
    </row>
    <row r="188" ht="30" customHeight="1">
      <c r="A188" s="56" t="inlineStr">
        <is>
          <t>조립</t>
        </is>
      </c>
      <c r="B188" s="52" t="inlineStr">
        <is>
          <t>사출 및 공용 자재</t>
        </is>
      </c>
      <c r="C188" s="52" t="inlineStr">
        <is>
          <t>DX3000</t>
        </is>
      </c>
      <c r="D188" s="79">
        <f>IF(INDIRECT("'"&amp;$O188&amp;"'!F"&amp;$N188)="O","원자재",IF(INDIRECT("'"&amp;$O188&amp;"'!G"&amp;$N188)="O","반제품",IF(INDIRECT("'"&amp;$O188&amp;"'!H"&amp;$N188)="O","완제품","")))</f>
        <v/>
      </c>
      <c r="E188" s="79">
        <f>IFERROR(IF(INDIRECT("'"&amp;$O188&amp;"'!I"&amp;$N188)=0,"",INDIRECT("'"&amp;$O188&amp;"'!I"&amp;$N188)),"")</f>
        <v/>
      </c>
      <c r="F188" s="52" t="inlineStr">
        <is>
          <t>LCD LED</t>
        </is>
      </c>
      <c r="G188" s="52" t="inlineStr">
        <is>
          <t>LCD LED (확산 아크릴) [DX3000]</t>
        </is>
      </c>
      <c r="H188" s="79">
        <f>IF(AND($F188="",$G188=""),"",IF($F188="","창고전용",IF($G188&lt;&gt;"","매칭완료",IF($D188="반제품","반제품(창고없음)",IF($D188="완제품","완제품(창고없음)",IF($D188="원자재","⚠ 원자재_부서보관","미분류"))))))</f>
        <v/>
      </c>
      <c r="I188" s="79">
        <f>IFERROR(IF(INDIRECT("'"&amp;$O188&amp;"'!P"&amp;$N188)=0,"",INDIRECT("'"&amp;$O188&amp;"'!P"&amp;$N188)),"")</f>
        <v/>
      </c>
      <c r="J188" s="61" t="inlineStr">
        <is>
          <t>LCD LED</t>
        </is>
      </c>
      <c r="K188" s="85" t="inlineStr">
        <is>
          <t>DX3000 LCD LED</t>
        </is>
      </c>
      <c r="L188" s="83">
        <f>HYPERLINK("#'"&amp;$O188&amp;"'!A"&amp;$N188,"→ 조립자재 R"&amp;$N188)</f>
        <v/>
      </c>
      <c r="M188" s="84" t="n"/>
      <c r="N188" s="80" t="n">
        <v>12</v>
      </c>
      <c r="O188" s="80" t="inlineStr">
        <is>
          <t>조립자재_재고현황</t>
        </is>
      </c>
    </row>
    <row r="189" ht="30" customHeight="1">
      <c r="A189" s="56" t="inlineStr">
        <is>
          <t>조립</t>
        </is>
      </c>
      <c r="B189" s="52" t="inlineStr">
        <is>
          <t>사출 및 공용 자재</t>
        </is>
      </c>
      <c r="C189" s="52" t="inlineStr">
        <is>
          <t>DX3000</t>
        </is>
      </c>
      <c r="D189" s="79">
        <f>IF(INDIRECT("'"&amp;$O189&amp;"'!F"&amp;$N189)="O","원자재",IF(INDIRECT("'"&amp;$O189&amp;"'!G"&amp;$N189)="O","반제품",IF(INDIRECT("'"&amp;$O189&amp;"'!H"&amp;$N189)="O","완제품","")))</f>
        <v/>
      </c>
      <c r="E189" s="79">
        <f>IFERROR(IF(INDIRECT("'"&amp;$O189&amp;"'!I"&amp;$N189)=0,"",INDIRECT("'"&amp;$O189&amp;"'!I"&amp;$N189)),"")</f>
        <v/>
      </c>
      <c r="F189" s="52" t="inlineStr">
        <is>
          <t>EX LED (왼쪽)</t>
        </is>
      </c>
      <c r="G189" s="52" t="inlineStr">
        <is>
          <t>EX LED (좌) (확산 아크릴) [DX3000]</t>
        </is>
      </c>
      <c r="H189" s="79">
        <f>IF(AND($F189="",$G189=""),"",IF($F189="","창고전용",IF($G189&lt;&gt;"","매칭완료",IF($D189="반제품","반제품(창고없음)",IF($D189="완제품","완제품(창고없음)",IF($D189="원자재","⚠ 원자재_부서보관","미분류"))))))</f>
        <v/>
      </c>
      <c r="I189" s="79">
        <f>IFERROR(IF(INDIRECT("'"&amp;$O189&amp;"'!P"&amp;$N189)=0,"",INDIRECT("'"&amp;$O189&amp;"'!P"&amp;$N189)),"")</f>
        <v/>
      </c>
      <c r="J189" s="61" t="inlineStr">
        <is>
          <t>EX LED (왼쪽)</t>
        </is>
      </c>
      <c r="K189" s="85" t="inlineStr">
        <is>
          <t>DX3000 EX LED (L)</t>
        </is>
      </c>
      <c r="L189" s="83">
        <f>HYPERLINK("#'"&amp;$O189&amp;"'!A"&amp;$N189,"→ 조립자재 R"&amp;$N189)</f>
        <v/>
      </c>
      <c r="M189" s="84" t="n"/>
      <c r="N189" s="80" t="n">
        <v>13</v>
      </c>
      <c r="O189" s="80" t="inlineStr">
        <is>
          <t>조립자재_재고현황</t>
        </is>
      </c>
    </row>
    <row r="190" ht="30" customHeight="1">
      <c r="A190" s="56" t="inlineStr">
        <is>
          <t>조립</t>
        </is>
      </c>
      <c r="B190" s="52" t="inlineStr">
        <is>
          <t>사출 및 공용 자재</t>
        </is>
      </c>
      <c r="C190" s="52" t="inlineStr">
        <is>
          <t>DX3000</t>
        </is>
      </c>
      <c r="D190" s="79">
        <f>IF(INDIRECT("'"&amp;$O190&amp;"'!F"&amp;$N190)="O","원자재",IF(INDIRECT("'"&amp;$O190&amp;"'!G"&amp;$N190)="O","반제품",IF(INDIRECT("'"&amp;$O190&amp;"'!H"&amp;$N190)="O","완제품","")))</f>
        <v/>
      </c>
      <c r="E190" s="79">
        <f>IFERROR(IF(INDIRECT("'"&amp;$O190&amp;"'!I"&amp;$N190)=0,"",INDIRECT("'"&amp;$O190&amp;"'!I"&amp;$N190)),"")</f>
        <v/>
      </c>
      <c r="F190" s="52" t="inlineStr">
        <is>
          <t>EX LED (오른쪽)</t>
        </is>
      </c>
      <c r="G190" s="52" t="inlineStr">
        <is>
          <t>EX LED (우) (확산 아크릴) [DX3000]</t>
        </is>
      </c>
      <c r="H190" s="79">
        <f>IF(AND($F190="",$G190=""),"",IF($F190="","창고전용",IF($G190&lt;&gt;"","매칭완료",IF($D190="반제품","반제품(창고없음)",IF($D190="완제품","완제품(창고없음)",IF($D190="원자재","⚠ 원자재_부서보관","미분류"))))))</f>
        <v/>
      </c>
      <c r="I190" s="79">
        <f>IFERROR(IF(INDIRECT("'"&amp;$O190&amp;"'!P"&amp;$N190)=0,"",INDIRECT("'"&amp;$O190&amp;"'!P"&amp;$N190)),"")</f>
        <v/>
      </c>
      <c r="J190" s="61" t="inlineStr">
        <is>
          <t>EX LED (오른쪽)</t>
        </is>
      </c>
      <c r="K190" s="85" t="inlineStr">
        <is>
          <t>DX3000 EX LED (R)</t>
        </is>
      </c>
      <c r="L190" s="83">
        <f>HYPERLINK("#'"&amp;$O190&amp;"'!A"&amp;$N190,"→ 조립자재 R"&amp;$N190)</f>
        <v/>
      </c>
      <c r="M190" s="84" t="n"/>
      <c r="N190" s="80" t="n">
        <v>14</v>
      </c>
      <c r="O190" s="80" t="inlineStr">
        <is>
          <t>조립자재_재고현황</t>
        </is>
      </c>
    </row>
    <row r="191" ht="30" customHeight="1">
      <c r="A191" s="56" t="inlineStr">
        <is>
          <t>조립</t>
        </is>
      </c>
      <c r="B191" s="52" t="inlineStr">
        <is>
          <t>사출 및 공용 자재</t>
        </is>
      </c>
      <c r="C191" s="52" t="inlineStr">
        <is>
          <t>DX3000</t>
        </is>
      </c>
      <c r="D191" s="79">
        <f>IF(INDIRECT("'"&amp;$O191&amp;"'!F"&amp;$N191)="O","원자재",IF(INDIRECT("'"&amp;$O191&amp;"'!G"&amp;$N191)="O","반제품",IF(INDIRECT("'"&amp;$O191&amp;"'!H"&amp;$N191)="O","완제품","")))</f>
        <v/>
      </c>
      <c r="E191" s="79">
        <f>IFERROR(IF(INDIRECT("'"&amp;$O191&amp;"'!I"&amp;$N191)=0,"",INDIRECT("'"&amp;$O191&amp;"'!I"&amp;$N191)),"")</f>
        <v/>
      </c>
      <c r="F191" s="52" t="inlineStr">
        <is>
          <t>EX BUTTON (개당 두개씩)</t>
        </is>
      </c>
      <c r="G191" s="52" t="inlineStr">
        <is>
          <t>EX BUTTON (ABS 난연 화이트 + 밝은 회색) [DX3000]</t>
        </is>
      </c>
      <c r="H191" s="79">
        <f>IF(AND($F191="",$G191=""),"",IF($F191="","창고전용",IF($G191&lt;&gt;"","매칭완료",IF($D191="반제품","반제품(창고없음)",IF($D191="완제품","완제품(창고없음)",IF($D191="원자재","⚠ 원자재_부서보관","미분류"))))))</f>
        <v/>
      </c>
      <c r="I191" s="79">
        <f>IFERROR(IF(INDIRECT("'"&amp;$O191&amp;"'!P"&amp;$N191)=0,"",INDIRECT("'"&amp;$O191&amp;"'!P"&amp;$N191)),"")</f>
        <v/>
      </c>
      <c r="J191" s="61" t="inlineStr">
        <is>
          <t>EX BUTTON (개당 두개씩)</t>
        </is>
      </c>
      <c r="K191" s="85" t="inlineStr">
        <is>
          <t>DX3000 EX BUTTON (개당 두개씩)</t>
        </is>
      </c>
      <c r="L191" s="83">
        <f>HYPERLINK("#'"&amp;$O191&amp;"'!A"&amp;$N191,"→ 조립자재 R"&amp;$N191)</f>
        <v/>
      </c>
      <c r="M191" s="84" t="n"/>
      <c r="N191" s="80" t="n">
        <v>15</v>
      </c>
      <c r="O191" s="80" t="inlineStr">
        <is>
          <t>조립자재_재고현황</t>
        </is>
      </c>
    </row>
    <row r="192" ht="30" customHeight="1">
      <c r="A192" s="56" t="inlineStr">
        <is>
          <t>조립</t>
        </is>
      </c>
      <c r="B192" s="52" t="inlineStr">
        <is>
          <t>사출 및 공용 자재</t>
        </is>
      </c>
      <c r="C192" s="52" t="inlineStr">
        <is>
          <t>DX3000</t>
        </is>
      </c>
      <c r="D192" s="79">
        <f>IF(INDIRECT("'"&amp;$O192&amp;"'!F"&amp;$N192)="O","원자재",IF(INDIRECT("'"&amp;$O192&amp;"'!G"&amp;$N192)="O","반제품",IF(INDIRECT("'"&amp;$O192&amp;"'!H"&amp;$N192)="O","완제품","")))</f>
        <v/>
      </c>
      <c r="E192" s="79">
        <f>IFERROR(IF(INDIRECT("'"&amp;$O192&amp;"'!I"&amp;$N192)=0,"",INDIRECT("'"&amp;$O192&amp;"'!I"&amp;$N192)),"")</f>
        <v/>
      </c>
      <c r="F192" s="52" t="inlineStr">
        <is>
          <t>HAND STRAP</t>
        </is>
      </c>
      <c r="G192" s="52" t="inlineStr">
        <is>
          <t>HAND STRAP 손잡이 (인조 가죽) [DX3000]</t>
        </is>
      </c>
      <c r="H192" s="79">
        <f>IF(AND($F192="",$G192=""),"",IF($F192="","창고전용",IF($G192&lt;&gt;"","매칭완료",IF($D192="반제품","반제품(창고없음)",IF($D192="완제품","완제품(창고없음)",IF($D192="원자재","⚠ 원자재_부서보관","미분류"))))))</f>
        <v/>
      </c>
      <c r="I192" s="79">
        <f>IFERROR(IF(INDIRECT("'"&amp;$O192&amp;"'!P"&amp;$N192)=0,"",INDIRECT("'"&amp;$O192&amp;"'!P"&amp;$N192)),"")</f>
        <v/>
      </c>
      <c r="J192" s="61" t="inlineStr">
        <is>
          <t>HAND STRAP</t>
        </is>
      </c>
      <c r="K192" s="85" t="inlineStr">
        <is>
          <t>DX3000 HAND STRAP</t>
        </is>
      </c>
      <c r="L192" s="83">
        <f>HYPERLINK("#'"&amp;$O192&amp;"'!A"&amp;$N192,"→ 조립자재 R"&amp;$N192)</f>
        <v/>
      </c>
      <c r="M192" s="84" t="n"/>
      <c r="N192" s="80" t="n">
        <v>16</v>
      </c>
      <c r="O192" s="80" t="inlineStr">
        <is>
          <t>조립자재_재고현황</t>
        </is>
      </c>
    </row>
    <row r="193" ht="30" customHeight="1">
      <c r="A193" s="56" t="inlineStr">
        <is>
          <t>조립</t>
        </is>
      </c>
      <c r="B193" s="52" t="inlineStr">
        <is>
          <t>사출 및 공용 자재</t>
        </is>
      </c>
      <c r="C193" s="52" t="inlineStr">
        <is>
          <t>DX3000</t>
        </is>
      </c>
      <c r="D193" s="79">
        <f>IF(INDIRECT("'"&amp;$O193&amp;"'!F"&amp;$N193)="O","원자재",IF(INDIRECT("'"&amp;$O193&amp;"'!G"&amp;$N193)="O","반제품",IF(INDIRECT("'"&amp;$O193&amp;"'!H"&amp;$N193)="O","완제품","")))</f>
        <v/>
      </c>
      <c r="E193" s="79">
        <f>IFERROR(IF(INDIRECT("'"&amp;$O193&amp;"'!I"&amp;$N193)=0,"",INDIRECT("'"&amp;$O193&amp;"'!I"&amp;$N193)),"")</f>
        <v/>
      </c>
      <c r="F193" s="52" t="inlineStr">
        <is>
          <t>HAND STRAP_로고없음_사파리,이미지웍스용</t>
        </is>
      </c>
      <c r="G193" s="52" t="inlineStr">
        <is>
          <t>HAND STRAP 손잡이 (로고 없음) (인조 가죽) [DX3000]</t>
        </is>
      </c>
      <c r="H193" s="79">
        <f>IF(AND($F193="",$G193=""),"",IF($F193="","창고전용",IF($G193&lt;&gt;"","매칭완료",IF($D193="반제품","반제품(창고없음)",IF($D193="완제품","완제품(창고없음)",IF($D193="원자재","⚠ 원자재_부서보관","미분류"))))))</f>
        <v/>
      </c>
      <c r="I193" s="79">
        <f>IFERROR(IF(INDIRECT("'"&amp;$O193&amp;"'!P"&amp;$N193)=0,"",INDIRECT("'"&amp;$O193&amp;"'!P"&amp;$N193)),"")</f>
        <v/>
      </c>
      <c r="J193" s="61" t="inlineStr">
        <is>
          <t>HAND STRAP_로고없음_사파리,이미지웍스용</t>
        </is>
      </c>
      <c r="K193" s="85" t="inlineStr">
        <is>
          <t>DX3000 HAND STRAP [로고 X]-사파리,이미지웍스용</t>
        </is>
      </c>
      <c r="L193" s="83">
        <f>HYPERLINK("#'"&amp;$O193&amp;"'!A"&amp;$N193,"→ 조립자재 R"&amp;$N193)</f>
        <v/>
      </c>
      <c r="M193" s="84" t="n"/>
      <c r="N193" s="80" t="n">
        <v>17</v>
      </c>
      <c r="O193" s="80" t="inlineStr">
        <is>
          <t>조립자재_재고현황</t>
        </is>
      </c>
    </row>
    <row r="194" ht="30" customHeight="1">
      <c r="A194" s="56" t="inlineStr">
        <is>
          <t>조립</t>
        </is>
      </c>
      <c r="B194" s="52" t="inlineStr">
        <is>
          <t>사출 및 공용 자재</t>
        </is>
      </c>
      <c r="C194" s="52" t="inlineStr">
        <is>
          <t>DX3000 화이트</t>
        </is>
      </c>
      <c r="D194" s="79">
        <f>IF(INDIRECT("'"&amp;$O194&amp;"'!F"&amp;$N194)="O","원자재",IF(INDIRECT("'"&amp;$O194&amp;"'!G"&amp;$N194)="O","반제품",IF(INDIRECT("'"&amp;$O194&amp;"'!H"&amp;$N194)="O","완제품","")))</f>
        <v/>
      </c>
      <c r="E194" s="79">
        <f>IFERROR(IF(INDIRECT("'"&amp;$O194&amp;"'!I"&amp;$N194)=0,"",INDIRECT("'"&amp;$O194&amp;"'!I"&amp;$N194)),"")</f>
        <v/>
      </c>
      <c r="F194" s="52" t="inlineStr">
        <is>
          <t>20cm CONE</t>
        </is>
      </c>
      <c r="G194" s="52" t="inlineStr">
        <is>
          <t>20cm CONE (ABS 난연 화이트) [DX3000]</t>
        </is>
      </c>
      <c r="H194" s="79">
        <f>IF(AND($F194="",$G194=""),"",IF($F194="","창고전용",IF($G194&lt;&gt;"","매칭완료",IF($D194="반제품","반제품(창고없음)",IF($D194="완제품","완제품(창고없음)",IF($D194="원자재","⚠ 원자재_부서보관","미분류"))))))</f>
        <v/>
      </c>
      <c r="I194" s="79">
        <f>IFERROR(IF(INDIRECT("'"&amp;$O194&amp;"'!P"&amp;$N194)=0,"",INDIRECT("'"&amp;$O194&amp;"'!P"&amp;$N194)),"")</f>
        <v/>
      </c>
      <c r="J194" s="61" t="inlineStr">
        <is>
          <t>20cm CONE</t>
        </is>
      </c>
      <c r="K194" s="85" t="inlineStr">
        <is>
          <t>DX3000 20cm CONE (W)</t>
        </is>
      </c>
      <c r="L194" s="83">
        <f>HYPERLINK("#'"&amp;$O194&amp;"'!A"&amp;$N194,"→ 조립자재 R"&amp;$N194)</f>
        <v/>
      </c>
      <c r="M194" s="84" t="n"/>
      <c r="N194" s="80" t="n">
        <v>18</v>
      </c>
      <c r="O194" s="80" t="inlineStr">
        <is>
          <t>조립자재_재고현황</t>
        </is>
      </c>
    </row>
    <row r="195" ht="30" customHeight="1">
      <c r="A195" s="56" t="inlineStr">
        <is>
          <t>조립</t>
        </is>
      </c>
      <c r="B195" s="52" t="inlineStr">
        <is>
          <t>사출 및 공용 자재</t>
        </is>
      </c>
      <c r="C195" s="52" t="inlineStr">
        <is>
          <t>DX3000 블랙</t>
        </is>
      </c>
      <c r="D195" s="79">
        <f>IF(INDIRECT("'"&amp;$O195&amp;"'!F"&amp;$N195)="O","원자재",IF(INDIRECT("'"&amp;$O195&amp;"'!G"&amp;$N195)="O","반제품",IF(INDIRECT("'"&amp;$O195&amp;"'!H"&amp;$N195)="O","완제품","")))</f>
        <v/>
      </c>
      <c r="E195" s="79">
        <f>IFERROR(IF(INDIRECT("'"&amp;$O195&amp;"'!I"&amp;$N195)=0,"",INDIRECT("'"&amp;$O195&amp;"'!I"&amp;$N195)),"")</f>
        <v/>
      </c>
      <c r="F195" s="52" t="inlineStr">
        <is>
          <t>20cm CONE</t>
        </is>
      </c>
      <c r="G195" s="52" t="inlineStr">
        <is>
          <t>20cm CONE (ABS 난연 블랙 + 블랙 무광) [DX3000]</t>
        </is>
      </c>
      <c r="H195" s="79">
        <f>IF(AND($F195="",$G195=""),"",IF($F195="","창고전용",IF($G195&lt;&gt;"","매칭완료",IF($D195="반제품","반제품(창고없음)",IF($D195="완제품","완제품(창고없음)",IF($D195="원자재","⚠ 원자재_부서보관","미분류"))))))</f>
        <v/>
      </c>
      <c r="I195" s="79">
        <f>IFERROR(IF(INDIRECT("'"&amp;$O195&amp;"'!P"&amp;$N195)=0,"",INDIRECT("'"&amp;$O195&amp;"'!P"&amp;$N195)),"")</f>
        <v/>
      </c>
      <c r="J195" s="61" t="inlineStr">
        <is>
          <t>20cm CONE</t>
        </is>
      </c>
      <c r="K195" s="85" t="inlineStr">
        <is>
          <t>DX3000 20cm CONE (B)</t>
        </is>
      </c>
      <c r="L195" s="83">
        <f>HYPERLINK("#'"&amp;$O195&amp;"'!A"&amp;$N195,"→ 조립자재 R"&amp;$N195)</f>
        <v/>
      </c>
      <c r="M195" s="84" t="n"/>
      <c r="N195" s="80" t="n">
        <v>19</v>
      </c>
      <c r="O195" s="80" t="inlineStr">
        <is>
          <t>조립자재_재고현황</t>
        </is>
      </c>
    </row>
    <row r="196" ht="30" customHeight="1">
      <c r="A196" s="56" t="inlineStr">
        <is>
          <t>조립</t>
        </is>
      </c>
      <c r="B196" s="52" t="inlineStr">
        <is>
          <t>사출 및 공용 자재</t>
        </is>
      </c>
      <c r="C196" s="52" t="inlineStr">
        <is>
          <t>DX3000 화이트</t>
        </is>
      </c>
      <c r="D196" s="79">
        <f>IF(INDIRECT("'"&amp;$O196&amp;"'!F"&amp;$N196)="O","원자재",IF(INDIRECT("'"&amp;$O196&amp;"'!G"&amp;$N196)="O","반제품",IF(INDIRECT("'"&amp;$O196&amp;"'!H"&amp;$N196)="O","완제품","")))</f>
        <v/>
      </c>
      <c r="E196" s="79">
        <f>IFERROR(IF(INDIRECT("'"&amp;$O196&amp;"'!I"&amp;$N196)=0,"",INDIRECT("'"&amp;$O196&amp;"'!I"&amp;$N196)),"")</f>
        <v/>
      </c>
      <c r="F196" s="52" t="inlineStr">
        <is>
          <t>15cm CONE</t>
        </is>
      </c>
      <c r="G196" s="52" t="inlineStr">
        <is>
          <t>15cm CONE (ABS 난연 화이트) [DX3000]</t>
        </is>
      </c>
      <c r="H196" s="79">
        <f>IF(AND($F196="",$G196=""),"",IF($F196="","창고전용",IF($G196&lt;&gt;"","매칭완료",IF($D196="반제품","반제품(창고없음)",IF($D196="완제품","완제품(창고없음)",IF($D196="원자재","⚠ 원자재_부서보관","미분류"))))))</f>
        <v/>
      </c>
      <c r="I196" s="79">
        <f>IFERROR(IF(INDIRECT("'"&amp;$O196&amp;"'!P"&amp;$N196)=0,"",INDIRECT("'"&amp;$O196&amp;"'!P"&amp;$N196)),"")</f>
        <v/>
      </c>
      <c r="J196" s="61" t="inlineStr">
        <is>
          <t>15cm CONE</t>
        </is>
      </c>
      <c r="K196" s="85" t="inlineStr">
        <is>
          <t>DX3000 15cm CONE (W)</t>
        </is>
      </c>
      <c r="L196" s="83">
        <f>HYPERLINK("#'"&amp;$O196&amp;"'!A"&amp;$N196,"→ 조립자재 R"&amp;$N196)</f>
        <v/>
      </c>
      <c r="M196" s="84" t="n"/>
      <c r="N196" s="80" t="n">
        <v>20</v>
      </c>
      <c r="O196" s="80" t="inlineStr">
        <is>
          <t>조립자재_재고현황</t>
        </is>
      </c>
    </row>
    <row r="197" ht="30" customHeight="1">
      <c r="A197" s="56" t="inlineStr">
        <is>
          <t>조립</t>
        </is>
      </c>
      <c r="B197" s="52" t="inlineStr">
        <is>
          <t>사출 및 공용 자재</t>
        </is>
      </c>
      <c r="C197" s="52" t="inlineStr">
        <is>
          <t>DX3000</t>
        </is>
      </c>
      <c r="D197" s="79">
        <f>IF(INDIRECT("'"&amp;$O197&amp;"'!F"&amp;$N197)="O","원자재",IF(INDIRECT("'"&amp;$O197&amp;"'!G"&amp;$N197)="O","반제품",IF(INDIRECT("'"&amp;$O197&amp;"'!H"&amp;$N197)="O","완제품","")))</f>
        <v/>
      </c>
      <c r="E197" s="79">
        <f>IFERROR(IF(INDIRECT("'"&amp;$O197&amp;"'!I"&amp;$N197)=0,"",INDIRECT("'"&amp;$O197&amp;"'!I"&amp;$N197)),"")</f>
        <v/>
      </c>
      <c r="F197" s="52" t="inlineStr">
        <is>
          <t>X-CAP (기본)</t>
        </is>
      </c>
      <c r="G197" s="52" t="inlineStr">
        <is>
          <t>X-CAP (기본) (ABS 화이트 + 진한 회색) [DX3000]</t>
        </is>
      </c>
      <c r="H197" s="79">
        <f>IF(AND($F197="",$G197=""),"",IF($F197="","창고전용",IF($G197&lt;&gt;"","매칭완료",IF($D197="반제품","반제품(창고없음)",IF($D197="완제품","완제품(창고없음)",IF($D197="원자재","⚠ 원자재_부서보관","미분류"))))))</f>
        <v/>
      </c>
      <c r="I197" s="79">
        <f>IFERROR(IF(INDIRECT("'"&amp;$O197&amp;"'!P"&amp;$N197)=0,"",INDIRECT("'"&amp;$O197&amp;"'!P"&amp;$N197)),"")</f>
        <v/>
      </c>
      <c r="J197" s="61" t="inlineStr">
        <is>
          <t>X-CAP (기본)</t>
        </is>
      </c>
      <c r="K197" s="85" t="inlineStr">
        <is>
          <t>DX3000 X-CAP (기본)</t>
        </is>
      </c>
      <c r="L197" s="83">
        <f>HYPERLINK("#'"&amp;$O197&amp;"'!A"&amp;$N197,"→ 조립자재 R"&amp;$N197)</f>
        <v/>
      </c>
      <c r="M197" s="84" t="n"/>
      <c r="N197" s="80" t="n">
        <v>21</v>
      </c>
      <c r="O197" s="80" t="inlineStr">
        <is>
          <t>조립자재_재고현황</t>
        </is>
      </c>
    </row>
    <row r="198" ht="30" customHeight="1">
      <c r="A198" s="56" t="inlineStr">
        <is>
          <t>조립</t>
        </is>
      </c>
      <c r="B198" s="52" t="inlineStr">
        <is>
          <t>사출 및 공용 자재</t>
        </is>
      </c>
      <c r="C198" s="52" t="inlineStr">
        <is>
          <t>DX3000 ADX4000W</t>
        </is>
      </c>
      <c r="D198" s="79">
        <f>IF(INDIRECT("'"&amp;$O198&amp;"'!F"&amp;$N198)="O","원자재",IF(INDIRECT("'"&amp;$O198&amp;"'!G"&amp;$N198)="O","반제품",IF(INDIRECT("'"&amp;$O198&amp;"'!H"&amp;$N198)="O","완제품","")))</f>
        <v/>
      </c>
      <c r="E198" s="79">
        <f>IFERROR(IF(INDIRECT("'"&amp;$O198&amp;"'!I"&amp;$N198)=0,"",INDIRECT("'"&amp;$O198&amp;"'!I"&amp;$N198)),"")</f>
        <v/>
      </c>
      <c r="F198" s="52" t="inlineStr">
        <is>
          <t>X-CAP 체결형 (신형)</t>
        </is>
      </c>
      <c r="G198" s="52" t="inlineStr">
        <is>
          <t>X-CAP 체결형 (신형) (ABS 난연 화이트 + 진한 회색) [DX3000]</t>
        </is>
      </c>
      <c r="H198" s="79">
        <f>IF(AND($F198="",$G198=""),"",IF($F198="","창고전용",IF($G198&lt;&gt;"","매칭완료",IF($D198="반제품","반제품(창고없음)",IF($D198="완제품","완제품(창고없음)",IF($D198="원자재","⚠ 원자재_부서보관","미분류"))))))</f>
        <v/>
      </c>
      <c r="I198" s="79">
        <f>IFERROR(IF(INDIRECT("'"&amp;$O198&amp;"'!P"&amp;$N198)=0,"",INDIRECT("'"&amp;$O198&amp;"'!P"&amp;$N198)),"")</f>
        <v/>
      </c>
      <c r="J198" s="61" t="inlineStr">
        <is>
          <t>X-CAP 체결형 (신형)</t>
        </is>
      </c>
      <c r="K198" s="85" t="inlineStr">
        <is>
          <t>DX3000, ADX4000W X-CAP 체결형 (신형)</t>
        </is>
      </c>
      <c r="L198" s="83">
        <f>HYPERLINK("#'"&amp;$O198&amp;"'!A"&amp;$N198,"→ 조립자재 R"&amp;$N198)</f>
        <v/>
      </c>
      <c r="M198" s="84" t="n"/>
      <c r="N198" s="80" t="n">
        <v>22</v>
      </c>
      <c r="O198" s="80" t="inlineStr">
        <is>
          <t>조립자재_재고현황</t>
        </is>
      </c>
    </row>
    <row r="199" ht="30" customHeight="1">
      <c r="A199" s="56" t="inlineStr">
        <is>
          <t>조립</t>
        </is>
      </c>
      <c r="B199" s="52" t="inlineStr">
        <is>
          <t>사출 및 공용 자재</t>
        </is>
      </c>
      <c r="C199" s="52" t="inlineStr">
        <is>
          <t>DX3000 ADX4000W</t>
        </is>
      </c>
      <c r="D199" s="79">
        <f>IF(INDIRECT("'"&amp;$O199&amp;"'!F"&amp;$N199)="O","원자재",IF(INDIRECT("'"&amp;$O199&amp;"'!G"&amp;$N199)="O","반제품",IF(INDIRECT("'"&amp;$O199&amp;"'!H"&amp;$N199)="O","완제품","")))</f>
        <v/>
      </c>
      <c r="E199" s="79">
        <f>IFERROR(IF(INDIRECT("'"&amp;$O199&amp;"'!I"&amp;$N199)=0,"",INDIRECT("'"&amp;$O199&amp;"'!I"&amp;$N199)),"")</f>
        <v/>
      </c>
      <c r="F199" s="52" t="inlineStr">
        <is>
          <t>가죽손잡이 고리1_ [AL(Cr도금), SUS Φ2.0]</t>
        </is>
      </c>
      <c r="G199" s="52" t="inlineStr">
        <is>
          <t>고리 1 (니켈 도금) [DX3000, ADX4000W]</t>
        </is>
      </c>
      <c r="H199" s="79">
        <f>IF(AND($F199="",$G199=""),"",IF($F199="","창고전용",IF($G199&lt;&gt;"","매칭완료",IF($D199="반제품","반제품(창고없음)",IF($D199="완제품","완제품(창고없음)",IF($D199="원자재","⚠ 원자재_부서보관","미분류"))))))</f>
        <v/>
      </c>
      <c r="I199" s="79">
        <f>IFERROR(IF(INDIRECT("'"&amp;$O199&amp;"'!P"&amp;$N199)=0,"",INDIRECT("'"&amp;$O199&amp;"'!P"&amp;$N199)),"")</f>
        <v/>
      </c>
      <c r="J199" s="61" t="inlineStr">
        <is>
          <t>가죽손잡이 고리1_ [AL(Cr도금), SUS Φ2.0]</t>
        </is>
      </c>
      <c r="K199" s="85" t="inlineStr">
        <is>
          <t>DX3000,ADX4000W 가죽손잡이 고리1_ [AL(Cr도금), SUS Φ2.0]</t>
        </is>
      </c>
      <c r="L199" s="83">
        <f>HYPERLINK("#'"&amp;$O199&amp;"'!A"&amp;$N199,"→ 조립자재 R"&amp;$N199)</f>
        <v/>
      </c>
      <c r="M199" s="84" t="n"/>
      <c r="N199" s="80" t="n">
        <v>23</v>
      </c>
      <c r="O199" s="80" t="inlineStr">
        <is>
          <t>조립자재_재고현황</t>
        </is>
      </c>
    </row>
    <row r="200" ht="30" customHeight="1">
      <c r="A200" s="56" t="inlineStr">
        <is>
          <t>조립</t>
        </is>
      </c>
      <c r="B200" s="52" t="inlineStr">
        <is>
          <t>사출 및 공용 자재</t>
        </is>
      </c>
      <c r="C200" s="52" t="inlineStr">
        <is>
          <t>DX3000 ADX4000W</t>
        </is>
      </c>
      <c r="D200" s="79">
        <f>IF(INDIRECT("'"&amp;$O200&amp;"'!F"&amp;$N200)="O","원자재",IF(INDIRECT("'"&amp;$O200&amp;"'!G"&amp;$N200)="O","반제품",IF(INDIRECT("'"&amp;$O200&amp;"'!H"&amp;$N200)="O","완제품","")))</f>
        <v/>
      </c>
      <c r="E200" s="79">
        <f>IFERROR(IF(INDIRECT("'"&amp;$O200&amp;"'!I"&amp;$N200)=0,"",INDIRECT("'"&amp;$O200&amp;"'!I"&amp;$N200)),"")</f>
        <v/>
      </c>
      <c r="F200" s="52" t="inlineStr">
        <is>
          <t>가죽손잡이 고리2_ [AL(Cr도금), SUS Φ2.0 ]</t>
        </is>
      </c>
      <c r="G200" s="52" t="inlineStr">
        <is>
          <t>고리 2 (니켈 도금) [DX3000]</t>
        </is>
      </c>
      <c r="H200" s="79">
        <f>IF(AND($F200="",$G200=""),"",IF($F200="","창고전용",IF($G200&lt;&gt;"","매칭완료",IF($D200="반제품","반제품(창고없음)",IF($D200="완제품","완제품(창고없음)",IF($D200="원자재","⚠ 원자재_부서보관","미분류"))))))</f>
        <v/>
      </c>
      <c r="I200" s="79">
        <f>IFERROR(IF(INDIRECT("'"&amp;$O200&amp;"'!P"&amp;$N200)=0,"",INDIRECT("'"&amp;$O200&amp;"'!P"&amp;$N200)),"")</f>
        <v/>
      </c>
      <c r="J200" s="61" t="inlineStr">
        <is>
          <t>가죽손잡이 고리2_ [AL(Cr도금), SUS Φ2.0 ]</t>
        </is>
      </c>
      <c r="K200" s="85" t="inlineStr">
        <is>
          <t>DX3000 가죽손잡이 고리2_ [AL(Cr도금), SUS Φ2.0 ]</t>
        </is>
      </c>
      <c r="L200" s="83">
        <f>HYPERLINK("#'"&amp;$O200&amp;"'!A"&amp;$N200,"→ 조립자재 R"&amp;$N200)</f>
        <v/>
      </c>
      <c r="M200" s="84" t="n"/>
      <c r="N200" s="80" t="n">
        <v>24</v>
      </c>
      <c r="O200" s="80" t="inlineStr">
        <is>
          <t>조립자재_재고현황</t>
        </is>
      </c>
    </row>
    <row r="201" ht="30" customHeight="1">
      <c r="A201" s="56" t="inlineStr">
        <is>
          <t>조립</t>
        </is>
      </c>
      <c r="B201" s="52" t="inlineStr">
        <is>
          <t>사출 및 공용 자재</t>
        </is>
      </c>
      <c r="C201" s="52" t="inlineStr">
        <is>
          <t>DX3000</t>
        </is>
      </c>
      <c r="D201" s="79">
        <f>IF(INDIRECT("'"&amp;$O201&amp;"'!F"&amp;$N201)="O","원자재",IF(INDIRECT("'"&amp;$O201&amp;"'!G"&amp;$N201)="O","반제품",IF(INDIRECT("'"&amp;$O201&amp;"'!H"&amp;$N201)="O","완제품","")))</f>
        <v/>
      </c>
      <c r="E201" s="79">
        <f>IFERROR(IF(INDIRECT("'"&amp;$O201&amp;"'!I"&amp;$N201)=0,"",INDIRECT("'"&amp;$O201&amp;"'!I"&amp;$N201)),"")</f>
        <v/>
      </c>
      <c r="F201" s="52" t="inlineStr">
        <is>
          <t>LCD 윈도우</t>
        </is>
      </c>
      <c r="G201" s="52" t="inlineStr">
        <is>
          <t>LCD WINDOW (투명 아크릴) [DX3000]</t>
        </is>
      </c>
      <c r="H201" s="79">
        <f>IF(AND($F201="",$G201=""),"",IF($F201="","창고전용",IF($G201&lt;&gt;"","매칭완료",IF($D201="반제품","반제품(창고없음)",IF($D201="완제품","완제품(창고없음)",IF($D201="원자재","⚠ 원자재_부서보관","미분류"))))))</f>
        <v/>
      </c>
      <c r="I201" s="79">
        <f>IFERROR(IF(INDIRECT("'"&amp;$O201&amp;"'!P"&amp;$N201)=0,"",INDIRECT("'"&amp;$O201&amp;"'!P"&amp;$N201)),"")</f>
        <v/>
      </c>
      <c r="J201" s="61" t="inlineStr">
        <is>
          <t>LCD 윈도우</t>
        </is>
      </c>
      <c r="K201" s="85" t="inlineStr">
        <is>
          <t>DX3000 LCD 윈도우</t>
        </is>
      </c>
      <c r="L201" s="83">
        <f>HYPERLINK("#'"&amp;$O201&amp;"'!A"&amp;$N201,"→ 조립자재 R"&amp;$N201)</f>
        <v/>
      </c>
      <c r="M201" s="84" t="n"/>
      <c r="N201" s="80" t="n">
        <v>25</v>
      </c>
      <c r="O201" s="80" t="inlineStr">
        <is>
          <t>조립자재_재고현황</t>
        </is>
      </c>
    </row>
    <row r="202" ht="30" customHeight="1">
      <c r="A202" s="56" t="inlineStr">
        <is>
          <t>조립</t>
        </is>
      </c>
      <c r="B202" s="52" t="inlineStr">
        <is>
          <t>사출 및 공용 자재</t>
        </is>
      </c>
      <c r="C202" s="52" t="inlineStr">
        <is>
          <t>DX3000 회색</t>
        </is>
      </c>
      <c r="D202" s="79">
        <f>IF(INDIRECT("'"&amp;$O202&amp;"'!F"&amp;$N202)="O","원자재",IF(INDIRECT("'"&amp;$O202&amp;"'!G"&amp;$N202)="O","반제품",IF(INDIRECT("'"&amp;$O202&amp;"'!H"&amp;$N202)="O","완제품","")))</f>
        <v/>
      </c>
      <c r="E202" s="79">
        <f>IFERROR(IF(INDIRECT("'"&amp;$O202&amp;"'!I"&amp;$N202)=0,"",INDIRECT("'"&amp;$O202&amp;"'!I"&amp;$N202)),"")</f>
        <v/>
      </c>
      <c r="F202" s="52" t="inlineStr">
        <is>
          <t>배터리커버</t>
        </is>
      </c>
      <c r="G202" s="52" t="inlineStr">
        <is>
          <t>BATTERY COVER (ABS 난연 화이트 + 진한 회색) [DX3000]</t>
        </is>
      </c>
      <c r="H202" s="79">
        <f>IF(AND($F202="",$G202=""),"",IF($F202="","창고전용",IF($G202&lt;&gt;"","매칭완료",IF($D202="반제품","반제품(창고없음)",IF($D202="완제품","완제품(창고없음)",IF($D202="원자재","⚠ 원자재_부서보관","미분류"))))))</f>
        <v/>
      </c>
      <c r="I202" s="79">
        <f>IFERROR(IF(INDIRECT("'"&amp;$O202&amp;"'!P"&amp;$N202)=0,"",INDIRECT("'"&amp;$O202&amp;"'!P"&amp;$N202)),"")</f>
        <v/>
      </c>
      <c r="J202" s="61" t="inlineStr">
        <is>
          <t>배터리커버</t>
        </is>
      </c>
      <c r="K202" s="85" t="inlineStr">
        <is>
          <t>DX3000 배터리커버 (G)</t>
        </is>
      </c>
      <c r="L202" s="83">
        <f>HYPERLINK("#'"&amp;$O202&amp;"'!A"&amp;$N202,"→ 조립자재 R"&amp;$N202)</f>
        <v/>
      </c>
      <c r="M202" s="84" t="n"/>
      <c r="N202" s="80" t="n">
        <v>26</v>
      </c>
      <c r="O202" s="80" t="inlineStr">
        <is>
          <t>조립자재_재고현황</t>
        </is>
      </c>
    </row>
    <row r="203" ht="30" customHeight="1">
      <c r="A203" s="56" t="inlineStr">
        <is>
          <t>조립</t>
        </is>
      </c>
      <c r="B203" s="52" t="inlineStr">
        <is>
          <t>사출 및 공용 자재</t>
        </is>
      </c>
      <c r="C203" s="52" t="inlineStr">
        <is>
          <t>DX3000 블랙</t>
        </is>
      </c>
      <c r="D203" s="79">
        <f>IF(INDIRECT("'"&amp;$O203&amp;"'!F"&amp;$N203)="O","원자재",IF(INDIRECT("'"&amp;$O203&amp;"'!G"&amp;$N203)="O","반제품",IF(INDIRECT("'"&amp;$O203&amp;"'!H"&amp;$N203)="O","완제품","")))</f>
        <v/>
      </c>
      <c r="E203" s="79">
        <f>IFERROR(IF(INDIRECT("'"&amp;$O203&amp;"'!I"&amp;$N203)=0,"",INDIRECT("'"&amp;$O203&amp;"'!I"&amp;$N203)),"")</f>
        <v/>
      </c>
      <c r="F203" s="52" t="inlineStr">
        <is>
          <t>배터리커버</t>
        </is>
      </c>
      <c r="G203" s="52" t="inlineStr">
        <is>
          <t>BATTERY COVER (ABS 난연 블랙 + 블랙) [DX3000]</t>
        </is>
      </c>
      <c r="H203" s="79">
        <f>IF(AND($F203="",$G203=""),"",IF($F203="","창고전용",IF($G203&lt;&gt;"","매칭완료",IF($D203="반제품","반제품(창고없음)",IF($D203="완제품","완제품(창고없음)",IF($D203="원자재","⚠ 원자재_부서보관","미분류"))))))</f>
        <v/>
      </c>
      <c r="I203" s="79">
        <f>IFERROR(IF(INDIRECT("'"&amp;$O203&amp;"'!P"&amp;$N203)=0,"",INDIRECT("'"&amp;$O203&amp;"'!P"&amp;$N203)),"")</f>
        <v/>
      </c>
      <c r="J203" s="61" t="inlineStr">
        <is>
          <t>배터리커버</t>
        </is>
      </c>
      <c r="K203" s="85" t="inlineStr">
        <is>
          <t>DX3000 배터리커버 (B)</t>
        </is>
      </c>
      <c r="L203" s="83">
        <f>HYPERLINK("#'"&amp;$O203&amp;"'!A"&amp;$N203,"→ 조립자재 R"&amp;$N203)</f>
        <v/>
      </c>
      <c r="M203" s="84" t="n"/>
      <c r="N203" s="80" t="n">
        <v>27</v>
      </c>
      <c r="O203" s="80" t="inlineStr">
        <is>
          <t>조립자재_재고현황</t>
        </is>
      </c>
    </row>
    <row r="204" ht="30" customHeight="1">
      <c r="A204" s="56" t="inlineStr">
        <is>
          <t>조립</t>
        </is>
      </c>
      <c r="B204" s="52" t="inlineStr">
        <is>
          <t>사출 및 공용 자재</t>
        </is>
      </c>
      <c r="C204" s="52" t="inlineStr">
        <is>
          <t>DX3000</t>
        </is>
      </c>
      <c r="D204" s="79">
        <f>IF(INDIRECT("'"&amp;$O204&amp;"'!F"&amp;$N204)="O","원자재",IF(INDIRECT("'"&amp;$O204&amp;"'!G"&amp;$N204)="O","반제품",IF(INDIRECT("'"&amp;$O204&amp;"'!H"&amp;$N204)="O","완제품","")))</f>
        <v/>
      </c>
      <c r="E204" s="79">
        <f>IFERROR(IF(INDIRECT("'"&amp;$O204&amp;"'!I"&amp;$N204)=0,"",INDIRECT("'"&amp;$O204&amp;"'!I"&amp;$N204)),"")</f>
        <v/>
      </c>
      <c r="F204" s="52" t="inlineStr">
        <is>
          <t>데코가이드</t>
        </is>
      </c>
      <c r="G204" s="52" t="inlineStr">
        <is>
          <t>DECO GUIDE (ABS 난연 화이트 + 진한 회색) [DX3000]</t>
        </is>
      </c>
      <c r="H204" s="79">
        <f>IF(AND($F204="",$G204=""),"",IF($F204="","창고전용",IF($G204&lt;&gt;"","매칭완료",IF($D204="반제품","반제품(창고없음)",IF($D204="완제품","완제품(창고없음)",IF($D204="원자재","⚠ 원자재_부서보관","미분류"))))))</f>
        <v/>
      </c>
      <c r="I204" s="79">
        <f>IFERROR(IF(INDIRECT("'"&amp;$O204&amp;"'!P"&amp;$N204)=0,"",INDIRECT("'"&amp;$O204&amp;"'!P"&amp;$N204)),"")</f>
        <v/>
      </c>
      <c r="J204" s="61" t="inlineStr">
        <is>
          <t>데코가이드</t>
        </is>
      </c>
      <c r="K204" s="85" t="inlineStr">
        <is>
          <t>DX3000 데코가이드</t>
        </is>
      </c>
      <c r="L204" s="83">
        <f>HYPERLINK("#'"&amp;$O204&amp;"'!A"&amp;$N204,"→ 조립자재 R"&amp;$N204)</f>
        <v/>
      </c>
      <c r="M204" s="84" t="n"/>
      <c r="N204" s="80" t="n">
        <v>28</v>
      </c>
      <c r="O204" s="80" t="inlineStr">
        <is>
          <t>조립자재_재고현황</t>
        </is>
      </c>
    </row>
    <row r="205" ht="30" customHeight="1">
      <c r="A205" s="56" t="inlineStr">
        <is>
          <t>조립</t>
        </is>
      </c>
      <c r="B205" s="52" t="inlineStr">
        <is>
          <t>사출 및 공용 자재</t>
        </is>
      </c>
      <c r="C205" s="52" t="inlineStr">
        <is>
          <t>DX3000</t>
        </is>
      </c>
      <c r="D205" s="79">
        <f>IF(INDIRECT("'"&amp;$O205&amp;"'!F"&amp;$N205)="O","원자재",IF(INDIRECT("'"&amp;$O205&amp;"'!G"&amp;$N205)="O","반제품",IF(INDIRECT("'"&amp;$O205&amp;"'!H"&amp;$N205)="O","완제품","")))</f>
        <v/>
      </c>
      <c r="E205" s="79">
        <f>IFERROR(IF(INDIRECT("'"&amp;$O205&amp;"'!I"&amp;$N205)=0,"",INDIRECT("'"&amp;$O205&amp;"'!I"&amp;$N205)),"")</f>
        <v/>
      </c>
      <c r="F205" s="52" t="inlineStr">
        <is>
          <t>알루미늄 필터 [0.8T * Φ63]</t>
        </is>
      </c>
      <c r="G205" s="52" t="inlineStr">
        <is>
          <t>알루미늄 필터 (0.8T * Φ63) [DX3000]</t>
        </is>
      </c>
      <c r="H205" s="79">
        <f>IF(AND($F205="",$G205=""),"",IF($F205="","창고전용",IF($G205&lt;&gt;"","매칭완료",IF($D205="반제품","반제품(창고없음)",IF($D205="완제품","완제품(창고없음)",IF($D205="원자재","⚠ 원자재_부서보관","미분류"))))))</f>
        <v/>
      </c>
      <c r="I205" s="79">
        <f>IFERROR(IF(INDIRECT("'"&amp;$O205&amp;"'!P"&amp;$N205)=0,"",INDIRECT("'"&amp;$O205&amp;"'!P"&amp;$N205)),"")</f>
        <v/>
      </c>
      <c r="J205" s="61" t="inlineStr">
        <is>
          <t>알루미늄 필터 [0.8T * Φ63]</t>
        </is>
      </c>
      <c r="K205" s="85" t="inlineStr">
        <is>
          <t>DX3000, ADX4000W 알루미늄 필터 [63ɸ 0.8T]</t>
        </is>
      </c>
      <c r="L205" s="83">
        <f>HYPERLINK("#'"&amp;$O205&amp;"'!A"&amp;$N205,"→ 조립자재 R"&amp;$N205)</f>
        <v/>
      </c>
      <c r="M205" s="84" t="n"/>
      <c r="N205" s="80" t="n">
        <v>29</v>
      </c>
      <c r="O205" s="80" t="inlineStr">
        <is>
          <t>조립자재_재고현황</t>
        </is>
      </c>
    </row>
    <row r="206" ht="30" customHeight="1">
      <c r="A206" s="56" t="inlineStr">
        <is>
          <t>조립</t>
        </is>
      </c>
      <c r="B206" s="52" t="inlineStr">
        <is>
          <t>하네스</t>
        </is>
      </c>
      <c r="C206" s="52" t="inlineStr">
        <is>
          <t>DX3000</t>
        </is>
      </c>
      <c r="D206" s="79">
        <f>IF(INDIRECT("'"&amp;$O206&amp;"'!F"&amp;$N206)="O","원자재",IF(INDIRECT("'"&amp;$O206&amp;"'!G"&amp;$N206)="O","반제품",IF(INDIRECT("'"&amp;$O206&amp;"'!H"&amp;$N206)="O","완제품","")))</f>
        <v/>
      </c>
      <c r="E206" s="79">
        <f>IFERROR(IF(INDIRECT("'"&amp;$O206&amp;"'!I"&amp;$N206)=0,"",INDIRECT("'"&amp;$O206&amp;"'!I"&amp;$N206)),"")</f>
        <v/>
      </c>
      <c r="F206" s="52" t="inlineStr">
        <is>
          <t>CJ4003 JACK (관전류 짹 + 2핀케이블) - 하네스8</t>
        </is>
      </c>
      <c r="G206" s="52" t="inlineStr">
        <is>
          <t>하네스 8번 (CJ4003 잭 (관전류 짹 + 2핀케이블)) [DX3000]</t>
        </is>
      </c>
      <c r="H206" s="79">
        <f>IF(AND($F206="",$G206=""),"",IF($F206="","창고전용",IF($G206&lt;&gt;"","매칭완료",IF($D206="반제품","반제품(창고없음)",IF($D206="완제품","완제품(창고없음)",IF($D206="원자재","⚠ 원자재_부서보관","미분류"))))))</f>
        <v/>
      </c>
      <c r="I206" s="79">
        <f>IFERROR(IF(INDIRECT("'"&amp;$O206&amp;"'!P"&amp;$N206)=0,"",INDIRECT("'"&amp;$O206&amp;"'!P"&amp;$N206)),"")</f>
        <v/>
      </c>
      <c r="J206" s="61" t="inlineStr">
        <is>
          <t>CJ4003 JACK (관전류 짹 + 2핀케이블) - 하네스8</t>
        </is>
      </c>
      <c r="K206" s="85" t="inlineStr">
        <is>
          <t>DX3000 CJ4003 JACK (관전류 짹 + 2핀케이블) - 하네스8</t>
        </is>
      </c>
      <c r="L206" s="83">
        <f>HYPERLINK("#'"&amp;$O206&amp;"'!A"&amp;$N206,"→ 조립자재 R"&amp;$N206)</f>
        <v/>
      </c>
      <c r="M206" s="84" t="n"/>
      <c r="N206" s="80" t="n">
        <v>30</v>
      </c>
      <c r="O206" s="80" t="inlineStr">
        <is>
          <t>조립자재_재고현황</t>
        </is>
      </c>
    </row>
    <row r="207" ht="30" customHeight="1">
      <c r="A207" s="56" t="inlineStr">
        <is>
          <t>조립</t>
        </is>
      </c>
      <c r="B207" s="52" t="inlineStr">
        <is>
          <t>하네스</t>
        </is>
      </c>
      <c r="C207" s="52" t="inlineStr">
        <is>
          <t>DX3000</t>
        </is>
      </c>
      <c r="D207" s="79">
        <f>IF(INDIRECT("'"&amp;$O207&amp;"'!F"&amp;$N207)="O","원자재",IF(INDIRECT("'"&amp;$O207&amp;"'!G"&amp;$N207)="O","반제품",IF(INDIRECT("'"&amp;$O207&amp;"'!H"&amp;$N207)="O","완제품","")))</f>
        <v/>
      </c>
      <c r="E207" s="79">
        <f>IFERROR(IF(INDIRECT("'"&amp;$O207&amp;"'!I"&amp;$N207)=0,"",INDIRECT("'"&amp;$O207&amp;"'!I"&amp;$N207)),"")</f>
        <v/>
      </c>
      <c r="F207" s="52" t="inlineStr">
        <is>
          <t>FFC 20핀 - 하네스1</t>
        </is>
      </c>
      <c r="G207" s="52" t="inlineStr">
        <is>
          <t>하네스 1번 (FFC 20핀) [DX3000]</t>
        </is>
      </c>
      <c r="H207" s="79">
        <f>IF(AND($F207="",$G207=""),"",IF($F207="","창고전용",IF($G207&lt;&gt;"","매칭완료",IF($D207="반제품","반제품(창고없음)",IF($D207="완제품","완제품(창고없음)",IF($D207="원자재","⚠ 원자재_부서보관","미분류"))))))</f>
        <v/>
      </c>
      <c r="I207" s="79">
        <f>IFERROR(IF(INDIRECT("'"&amp;$O207&amp;"'!P"&amp;$N207)=0,"",INDIRECT("'"&amp;$O207&amp;"'!P"&amp;$N207)),"")</f>
        <v/>
      </c>
      <c r="J207" s="61" t="inlineStr">
        <is>
          <t>FFC 20핀 - 하네스1</t>
        </is>
      </c>
      <c r="K207" s="85" t="inlineStr">
        <is>
          <t>DX3000 FFC 20핀 - 하네스1</t>
        </is>
      </c>
      <c r="L207" s="83">
        <f>HYPERLINK("#'"&amp;$O207&amp;"'!A"&amp;$N207,"→ 조립자재 R"&amp;$N207)</f>
        <v/>
      </c>
      <c r="M207" s="84" t="n"/>
      <c r="N207" s="80" t="n">
        <v>31</v>
      </c>
      <c r="O207" s="80" t="inlineStr">
        <is>
          <t>조립자재_재고현황</t>
        </is>
      </c>
    </row>
    <row r="208" ht="30" customHeight="1">
      <c r="A208" s="56" t="inlineStr">
        <is>
          <t>조립</t>
        </is>
      </c>
      <c r="B208" s="52" t="inlineStr">
        <is>
          <t>하네스</t>
        </is>
      </c>
      <c r="C208" s="52" t="inlineStr">
        <is>
          <t>DX3000</t>
        </is>
      </c>
      <c r="D208" s="79">
        <f>IF(INDIRECT("'"&amp;$O208&amp;"'!F"&amp;$N208)="O","원자재",IF(INDIRECT("'"&amp;$O208&amp;"'!G"&amp;$N208)="O","반제품",IF(INDIRECT("'"&amp;$O208&amp;"'!H"&amp;$N208)="O","완제품","")))</f>
        <v/>
      </c>
      <c r="E208" s="79">
        <f>IFERROR(IF(INDIRECT("'"&amp;$O208&amp;"'!I"&amp;$N208)=0,"",INDIRECT("'"&amp;$O208&amp;"'!I"&amp;$N208)),"")</f>
        <v/>
      </c>
      <c r="F208" s="52" t="inlineStr">
        <is>
          <t>EXP KEY 4핀 케이블 - 하네스5 (개당 2개씩)</t>
        </is>
      </c>
      <c r="G208" s="52" t="inlineStr">
        <is>
          <t>하네스 5번 (EXP KEY 4핀 케이블) [DX3000]</t>
        </is>
      </c>
      <c r="H208" s="79">
        <f>IF(AND($F208="",$G208=""),"",IF($F208="","창고전용",IF($G208&lt;&gt;"","매칭완료",IF($D208="반제품","반제품(창고없음)",IF($D208="완제품","완제품(창고없음)",IF($D208="원자재","⚠ 원자재_부서보관","미분류"))))))</f>
        <v/>
      </c>
      <c r="I208" s="79">
        <f>IFERROR(IF(INDIRECT("'"&amp;$O208&amp;"'!P"&amp;$N208)=0,"",INDIRECT("'"&amp;$O208&amp;"'!P"&amp;$N208)),"")</f>
        <v/>
      </c>
      <c r="J208" s="61" t="inlineStr">
        <is>
          <t>EXP KEY 4핀 케이블 - 하네스5 (개당 2개씩)</t>
        </is>
      </c>
      <c r="K208" s="85" t="inlineStr">
        <is>
          <t>DX3000 EXP KEY 4핀 케이블 - 하네스5 (개당 2개씩)</t>
        </is>
      </c>
      <c r="L208" s="83">
        <f>HYPERLINK("#'"&amp;$O208&amp;"'!A"&amp;$N208,"→ 조립자재 R"&amp;$N208)</f>
        <v/>
      </c>
      <c r="M208" s="84" t="n"/>
      <c r="N208" s="80" t="n">
        <v>32</v>
      </c>
      <c r="O208" s="80" t="inlineStr">
        <is>
          <t>조립자재_재고현황</t>
        </is>
      </c>
    </row>
    <row r="209" ht="30" customHeight="1">
      <c r="A209" s="56" t="inlineStr">
        <is>
          <t>조립</t>
        </is>
      </c>
      <c r="B209" s="52" t="inlineStr">
        <is>
          <t>하네스</t>
        </is>
      </c>
      <c r="C209" s="52" t="inlineStr">
        <is>
          <t>DX3000</t>
        </is>
      </c>
      <c r="D209" s="79">
        <f>IF(INDIRECT("'"&amp;$O209&amp;"'!F"&amp;$N209)="O","원자재",IF(INDIRECT("'"&amp;$O209&amp;"'!G"&amp;$N209)="O","반제품",IF(INDIRECT("'"&amp;$O209&amp;"'!H"&amp;$N209)="O","완제품","")))</f>
        <v/>
      </c>
      <c r="E209" s="79">
        <f>IFERROR(IF(INDIRECT("'"&amp;$O209&amp;"'!I"&amp;$N209)=0,"",INDIRECT("'"&amp;$O209&amp;"'!I"&amp;$N209)),"")</f>
        <v/>
      </c>
      <c r="F209" s="52" t="inlineStr">
        <is>
          <t>EX BD (듀얼) - 왼쪽</t>
        </is>
      </c>
      <c r="G209" s="52" t="inlineStr">
        <is>
          <t>EX B/D (듀얼) (좌) [DX3000]</t>
        </is>
      </c>
      <c r="H209" s="79">
        <f>IF(AND($F209="",$G209=""),"",IF($F209="","창고전용",IF($G209&lt;&gt;"","매칭완료",IF($D209="반제품","반제품(창고없음)",IF($D209="완제품","완제품(창고없음)",IF($D209="원자재","⚠ 원자재_부서보관","미분류"))))))</f>
        <v/>
      </c>
      <c r="I209" s="79">
        <f>IFERROR(IF(INDIRECT("'"&amp;$O209&amp;"'!P"&amp;$N209)=0,"",INDIRECT("'"&amp;$O209&amp;"'!P"&amp;$N209)),"")</f>
        <v/>
      </c>
      <c r="J209" s="61" t="inlineStr">
        <is>
          <t>EX BD (듀얼) - 왼쪽</t>
        </is>
      </c>
      <c r="K209" s="85" t="inlineStr">
        <is>
          <t>DX3000 EX BD (듀얼) - 왼쪽</t>
        </is>
      </c>
      <c r="L209" s="83">
        <f>HYPERLINK("#'"&amp;$O209&amp;"'!A"&amp;$N209,"→ 조립자재 R"&amp;$N209)</f>
        <v/>
      </c>
      <c r="M209" s="84" t="n"/>
      <c r="N209" s="80" t="n">
        <v>33</v>
      </c>
      <c r="O209" s="80" t="inlineStr">
        <is>
          <t>조립자재_재고현황</t>
        </is>
      </c>
    </row>
    <row r="210" ht="30" customHeight="1">
      <c r="A210" s="56" t="inlineStr">
        <is>
          <t>조립</t>
        </is>
      </c>
      <c r="B210" s="52" t="inlineStr">
        <is>
          <t>하네스</t>
        </is>
      </c>
      <c r="C210" s="52" t="inlineStr">
        <is>
          <t>DX3000</t>
        </is>
      </c>
      <c r="D210" s="79">
        <f>IF(INDIRECT("'"&amp;$O210&amp;"'!F"&amp;$N210)="O","원자재",IF(INDIRECT("'"&amp;$O210&amp;"'!G"&amp;$N210)="O","반제품",IF(INDIRECT("'"&amp;$O210&amp;"'!H"&amp;$N210)="O","완제품","")))</f>
        <v/>
      </c>
      <c r="E210" s="79">
        <f>IFERROR(IF(INDIRECT("'"&amp;$O210&amp;"'!I"&amp;$N210)=0,"",INDIRECT("'"&amp;$O210&amp;"'!I"&amp;$N210)),"")</f>
        <v/>
      </c>
      <c r="F210" s="52" t="inlineStr">
        <is>
          <t>EX BD (듀얼) - 오른쪽</t>
        </is>
      </c>
      <c r="G210" s="52" t="inlineStr">
        <is>
          <t>EX B/D (듀얼) (우) [DX3000]</t>
        </is>
      </c>
      <c r="H210" s="79">
        <f>IF(AND($F210="",$G210=""),"",IF($F210="","창고전용",IF($G210&lt;&gt;"","매칭완료",IF($D210="반제품","반제품(창고없음)",IF($D210="완제품","완제품(창고없음)",IF($D210="원자재","⚠ 원자재_부서보관","미분류"))))))</f>
        <v/>
      </c>
      <c r="I210" s="79">
        <f>IFERROR(IF(INDIRECT("'"&amp;$O210&amp;"'!P"&amp;$N210)=0,"",INDIRECT("'"&amp;$O210&amp;"'!P"&amp;$N210)),"")</f>
        <v/>
      </c>
      <c r="J210" s="61" t="inlineStr">
        <is>
          <t>EX BD (듀얼) - 오른쪽</t>
        </is>
      </c>
      <c r="K210" s="85" t="inlineStr">
        <is>
          <t>DX3000 EX BD (듀얼) - 오른쪽</t>
        </is>
      </c>
      <c r="L210" s="83">
        <f>HYPERLINK("#'"&amp;$O210&amp;"'!A"&amp;$N210,"→ 조립자재 R"&amp;$N210)</f>
        <v/>
      </c>
      <c r="M210" s="84" t="n"/>
      <c r="N210" s="80" t="n">
        <v>34</v>
      </c>
      <c r="O210" s="80" t="inlineStr">
        <is>
          <t>조립자재_재고현황</t>
        </is>
      </c>
    </row>
    <row r="211" ht="30" customHeight="1">
      <c r="A211" s="56" t="inlineStr">
        <is>
          <t>조립</t>
        </is>
      </c>
      <c r="B211" s="52" t="inlineStr">
        <is>
          <t>하네스</t>
        </is>
      </c>
      <c r="C211" s="52" t="inlineStr">
        <is>
          <t>DX3000</t>
        </is>
      </c>
      <c r="D211" s="79">
        <f>IF(INDIRECT("'"&amp;$O211&amp;"'!F"&amp;$N211)="O","원자재",IF(INDIRECT("'"&amp;$O211&amp;"'!G"&amp;$N211)="O","반제품",IF(INDIRECT("'"&amp;$O211&amp;"'!H"&amp;$N211)="O","완제품","")))</f>
        <v/>
      </c>
      <c r="E211" s="79">
        <f>IFERROR(IF(INDIRECT("'"&amp;$O211&amp;"'!I"&amp;$N211)=0,"",INDIRECT("'"&amp;$O211&amp;"'!I"&amp;$N211)),"")</f>
        <v/>
      </c>
      <c r="F211" s="52" t="inlineStr">
        <is>
          <t>EX BD (원버턴) - 사파리</t>
        </is>
      </c>
      <c r="G211" s="52" t="inlineStr">
        <is>
          <t>EX B/D 사파리 (원버턴) [DX3000]</t>
        </is>
      </c>
      <c r="H211" s="79">
        <f>IF(AND($F211="",$G211=""),"",IF($F211="","창고전용",IF($G211&lt;&gt;"","매칭완료",IF($D211="반제품","반제품(창고없음)",IF($D211="완제품","완제품(창고없음)",IF($D211="원자재","⚠ 원자재_부서보관","미분류"))))))</f>
        <v/>
      </c>
      <c r="I211" s="79">
        <f>IFERROR(IF(INDIRECT("'"&amp;$O211&amp;"'!P"&amp;$N211)=0,"",INDIRECT("'"&amp;$O211&amp;"'!P"&amp;$N211)),"")</f>
        <v/>
      </c>
      <c r="J211" s="61" t="inlineStr">
        <is>
          <t>EX BD (원버턴) - 사파리</t>
        </is>
      </c>
      <c r="K211" s="85" t="inlineStr">
        <is>
          <t>DX3000 EX BD (원버턴) - 사파리</t>
        </is>
      </c>
      <c r="L211" s="83">
        <f>HYPERLINK("#'"&amp;$O211&amp;"'!A"&amp;$N211,"→ 조립자재 R"&amp;$N211)</f>
        <v/>
      </c>
      <c r="M211" s="84" t="n"/>
      <c r="N211" s="80" t="n">
        <v>35</v>
      </c>
      <c r="O211" s="80" t="inlineStr">
        <is>
          <t>조립자재_재고현황</t>
        </is>
      </c>
    </row>
    <row r="212" ht="30" customHeight="1">
      <c r="A212" s="56" t="inlineStr">
        <is>
          <t>조립</t>
        </is>
      </c>
      <c r="B212" s="52" t="inlineStr">
        <is>
          <t>하네스</t>
        </is>
      </c>
      <c r="C212" s="52" t="inlineStr">
        <is>
          <t>DX3000</t>
        </is>
      </c>
      <c r="D212" s="79">
        <f>IF(INDIRECT("'"&amp;$O212&amp;"'!F"&amp;$N212)="O","원자재",IF(INDIRECT("'"&amp;$O212&amp;"'!G"&amp;$N212)="O","반제품",IF(INDIRECT("'"&amp;$O212&amp;"'!H"&amp;$N212)="O","완제품","")))</f>
        <v/>
      </c>
      <c r="E212" s="79">
        <f>IFERROR(IF(INDIRECT("'"&amp;$O212&amp;"'!I"&amp;$N212)=0,"",INDIRECT("'"&amp;$O212&amp;"'!I"&amp;$N212)),"")</f>
        <v/>
      </c>
      <c r="F212" s="52" t="inlineStr">
        <is>
          <t>LCD BD</t>
        </is>
      </c>
      <c r="G212" s="52" t="inlineStr">
        <is>
          <t>LCD B/D (듀얼 슬라이드) [DX3000]</t>
        </is>
      </c>
      <c r="H212" s="79">
        <f>IF(AND($F212="",$G212=""),"",IF($F212="","창고전용",IF($G212&lt;&gt;"","매칭완료",IF($D212="반제품","반제품(창고없음)",IF($D212="완제품","완제품(창고없음)",IF($D212="원자재","⚠ 원자재_부서보관","미분류"))))))</f>
        <v/>
      </c>
      <c r="I212" s="79">
        <f>IFERROR(IF(INDIRECT("'"&amp;$O212&amp;"'!P"&amp;$N212)=0,"",INDIRECT("'"&amp;$O212&amp;"'!P"&amp;$N212)),"")</f>
        <v/>
      </c>
      <c r="J212" s="61" t="inlineStr">
        <is>
          <t>LCD BD</t>
        </is>
      </c>
      <c r="K212" s="85" t="inlineStr">
        <is>
          <t>DX3000 LCD BD</t>
        </is>
      </c>
      <c r="L212" s="83">
        <f>HYPERLINK("#'"&amp;$O212&amp;"'!A"&amp;$N212,"→ 조립자재 R"&amp;$N212)</f>
        <v/>
      </c>
      <c r="M212" s="84" t="n"/>
      <c r="N212" s="80" t="n">
        <v>36</v>
      </c>
      <c r="O212" s="80" t="inlineStr">
        <is>
          <t>조립자재_재고현황</t>
        </is>
      </c>
    </row>
    <row r="213" ht="30" customHeight="1">
      <c r="A213" s="56" t="inlineStr">
        <is>
          <t>조립</t>
        </is>
      </c>
      <c r="B213" s="52" t="inlineStr">
        <is>
          <t>하네스</t>
        </is>
      </c>
      <c r="C213" s="52" t="inlineStr">
        <is>
          <t>DX3000</t>
        </is>
      </c>
      <c r="D213" s="79">
        <f>IF(INDIRECT("'"&amp;$O213&amp;"'!F"&amp;$N213)="O","원자재",IF(INDIRECT("'"&amp;$O213&amp;"'!G"&amp;$N213)="O","반제품",IF(INDIRECT("'"&amp;$O213&amp;"'!H"&amp;$N213)="O","완제품","")))</f>
        <v/>
      </c>
      <c r="E213" s="79">
        <f>IFERROR(IF(INDIRECT("'"&amp;$O213&amp;"'!I"&amp;$N213)=0,"",INDIRECT("'"&amp;$O213&amp;"'!I"&amp;$N213)),"")</f>
        <v/>
      </c>
      <c r="F213" s="52" t="inlineStr">
        <is>
          <t>LCD BD (사파리) -원버턴타입</t>
        </is>
      </c>
      <c r="G213" s="52" t="inlineStr">
        <is>
          <t>LCD B/D (사파리) -원버턴타입 [DX3000]</t>
        </is>
      </c>
      <c r="H213" s="79">
        <f>IF(AND($F213="",$G213=""),"",IF($F213="","창고전용",IF($G213&lt;&gt;"","매칭완료",IF($D213="반제품","반제품(창고없음)",IF($D213="완제품","완제품(창고없음)",IF($D213="원자재","⚠ 원자재_부서보관","미분류"))))))</f>
        <v/>
      </c>
      <c r="I213" s="79">
        <f>IFERROR(IF(INDIRECT("'"&amp;$O213&amp;"'!P"&amp;$N213)=0,"",INDIRECT("'"&amp;$O213&amp;"'!P"&amp;$N213)),"")</f>
        <v/>
      </c>
      <c r="J213" s="61" t="inlineStr">
        <is>
          <t>LCD BD (사파리) -원버턴타입</t>
        </is>
      </c>
      <c r="K213" s="85" t="inlineStr">
        <is>
          <t>DX3000 LCD BD (사파리) -원버턴타입</t>
        </is>
      </c>
      <c r="L213" s="83">
        <f>HYPERLINK("#'"&amp;$O213&amp;"'!A"&amp;$N213,"→ 조립자재 R"&amp;$N213)</f>
        <v/>
      </c>
      <c r="M213" s="84" t="n"/>
      <c r="N213" s="80" t="n">
        <v>37</v>
      </c>
      <c r="O213" s="80" t="inlineStr">
        <is>
          <t>조립자재_재고현황</t>
        </is>
      </c>
    </row>
    <row r="214" ht="30" customHeight="1">
      <c r="A214" s="56" t="inlineStr">
        <is>
          <t>조립</t>
        </is>
      </c>
      <c r="B214" s="52" t="inlineStr">
        <is>
          <t>하네스</t>
        </is>
      </c>
      <c r="C214" s="52" t="inlineStr">
        <is>
          <t>DX3000</t>
        </is>
      </c>
      <c r="D214" s="79">
        <f>IF(INDIRECT("'"&amp;$O214&amp;"'!F"&amp;$N214)="O","원자재",IF(INDIRECT("'"&amp;$O214&amp;"'!G"&amp;$N214)="O","반제품",IF(INDIRECT("'"&amp;$O214&amp;"'!H"&amp;$N214)="O","완제품","")))</f>
        <v/>
      </c>
      <c r="E214" s="79">
        <f>IFERROR(IF(INDIRECT("'"&amp;$O214&amp;"'!I"&amp;$N214)=0,"",INDIRECT("'"&amp;$O214&amp;"'!I"&amp;$N214)),"")</f>
        <v/>
      </c>
      <c r="F214" s="52" t="inlineStr">
        <is>
          <t>TFT LCD BD</t>
        </is>
      </c>
      <c r="G214" s="52" t="inlineStr">
        <is>
          <t>TFT LCD B/D (듀얼 슬라이드) (V3.0.1) [DX3000]</t>
        </is>
      </c>
      <c r="H214" s="79">
        <f>IF(AND($F214="",$G214=""),"",IF($F214="","창고전용",IF($G214&lt;&gt;"","매칭완료",IF($D214="반제품","반제품(창고없음)",IF($D214="완제품","완제품(창고없음)",IF($D214="원자재","⚠ 원자재_부서보관","미분류"))))))</f>
        <v/>
      </c>
      <c r="I214" s="79">
        <f>IFERROR(IF(INDIRECT("'"&amp;$O214&amp;"'!P"&amp;$N214)=0,"",INDIRECT("'"&amp;$O214&amp;"'!P"&amp;$N214)),"")</f>
        <v/>
      </c>
      <c r="J214" s="61" t="inlineStr">
        <is>
          <t>TFT LCD BD</t>
        </is>
      </c>
      <c r="K214" s="85" t="inlineStr">
        <is>
          <t>DX3000 TFT LCD BD</t>
        </is>
      </c>
      <c r="L214" s="83">
        <f>HYPERLINK("#'"&amp;$O214&amp;"'!A"&amp;$N214,"→ 조립자재 R"&amp;$N214)</f>
        <v/>
      </c>
      <c r="M214" s="84" t="n"/>
      <c r="N214" s="80" t="n">
        <v>38</v>
      </c>
      <c r="O214" s="80" t="inlineStr">
        <is>
          <t>조립자재_재고현황</t>
        </is>
      </c>
    </row>
    <row r="215" ht="30" customHeight="1">
      <c r="A215" s="56" t="inlineStr">
        <is>
          <t>조립</t>
        </is>
      </c>
      <c r="B215" s="52" t="inlineStr">
        <is>
          <t>하네스</t>
        </is>
      </c>
      <c r="C215" s="52" t="inlineStr">
        <is>
          <t>DX3000</t>
        </is>
      </c>
      <c r="D215" s="79">
        <f>IF(INDIRECT("'"&amp;$O215&amp;"'!F"&amp;$N215)="O","원자재",IF(INDIRECT("'"&amp;$O215&amp;"'!G"&amp;$N215)="O","반제품",IF(INDIRECT("'"&amp;$O215&amp;"'!H"&amp;$N215)="O","완제품","")))</f>
        <v/>
      </c>
      <c r="E215" s="79">
        <f>IFERROR(IF(INDIRECT("'"&amp;$O215&amp;"'!I"&amp;$N215)=0,"",INDIRECT("'"&amp;$O215&amp;"'!I"&amp;$N215)),"")</f>
        <v/>
      </c>
      <c r="F215" s="52" t="inlineStr">
        <is>
          <t>LED DRIVE BD V3.0.1 (TFT CTR BD용)</t>
        </is>
      </c>
      <c r="G215" s="52" t="inlineStr">
        <is>
          <t>AIM LED 쪽 보드 (V3.0.1) [DX3000]</t>
        </is>
      </c>
      <c r="H215" s="79">
        <f>IF(AND($F215="",$G215=""),"",IF($F215="","창고전용",IF($G215&lt;&gt;"","매칭완료",IF($D215="반제품","반제품(창고없음)",IF($D215="완제품","완제품(창고없음)",IF($D215="원자재","⚠ 원자재_부서보관","미분류"))))))</f>
        <v/>
      </c>
      <c r="I215" s="79">
        <f>IFERROR(IF(INDIRECT("'"&amp;$O215&amp;"'!P"&amp;$N215)=0,"",INDIRECT("'"&amp;$O215&amp;"'!P"&amp;$N215)),"")</f>
        <v/>
      </c>
      <c r="J215" s="61" t="inlineStr">
        <is>
          <t>LED DRIVE BD V3.0.1 (TFT CTR BD용)</t>
        </is>
      </c>
      <c r="K215" s="85" t="inlineStr">
        <is>
          <t>DX3000 LED DRIVE BD V3.0.1 (TFT CTR BD용)</t>
        </is>
      </c>
      <c r="L215" s="83">
        <f>HYPERLINK("#'"&amp;$O215&amp;"'!A"&amp;$N215,"→ 조립자재 R"&amp;$N215)</f>
        <v/>
      </c>
      <c r="M215" s="84" t="n"/>
      <c r="N215" s="80" t="n">
        <v>39</v>
      </c>
      <c r="O215" s="80" t="inlineStr">
        <is>
          <t>조립자재_재고현황</t>
        </is>
      </c>
    </row>
    <row r="216" ht="30" customHeight="1">
      <c r="A216" s="56" t="inlineStr">
        <is>
          <t>조립</t>
        </is>
      </c>
      <c r="B216" s="52" t="inlineStr">
        <is>
          <t>ASS'Y</t>
        </is>
      </c>
      <c r="C216" s="52" t="inlineStr">
        <is>
          <t>DX3000</t>
        </is>
      </c>
      <c r="D216" s="79">
        <f>IF(INDIRECT("'"&amp;$O216&amp;"'!F"&amp;$N216)="O","원자재",IF(INDIRECT("'"&amp;$O216&amp;"'!G"&amp;$N216)="O","반제품",IF(INDIRECT("'"&amp;$O216&amp;"'!H"&amp;$N216)="O","완제품","")))</f>
        <v/>
      </c>
      <c r="E216" s="79">
        <f>IFERROR(IF(INDIRECT("'"&amp;$O216&amp;"'!I"&amp;$N216)=0,"",INDIRECT("'"&amp;$O216&amp;"'!I"&amp;$N216)),"")</f>
        <v/>
      </c>
      <c r="F216" s="52" t="inlineStr">
        <is>
          <t>데코가이드 ASS'Y (손잡이 포함)</t>
        </is>
      </c>
      <c r="G216" s="52" t="n"/>
      <c r="H216" s="79">
        <f>IF(AND($F216="",$G216=""),"",IF($F216="","창고전용",IF($G216&lt;&gt;"","매칭완료",IF($D216="반제품","반제품(창고없음)",IF($D216="완제품","완제품(창고없음)",IF($D216="원자재","⚠ 원자재_부서보관","미분류"))))))</f>
        <v/>
      </c>
      <c r="I216" s="79">
        <f>IFERROR(IF(INDIRECT("'"&amp;$O216&amp;"'!P"&amp;$N216)=0,"",INDIRECT("'"&amp;$O216&amp;"'!P"&amp;$N216)),"")</f>
        <v/>
      </c>
      <c r="J216" s="61" t="inlineStr">
        <is>
          <t>데코가이드 ASS'Y (손잡이 포함)</t>
        </is>
      </c>
      <c r="K216" s="85" t="inlineStr">
        <is>
          <t>DX3000 데코가이드 ASS'Y (손잡이 포함)</t>
        </is>
      </c>
      <c r="L216" s="83">
        <f>HYPERLINK("#'"&amp;$O216&amp;"'!A"&amp;$N216,"→ 조립자재 R"&amp;$N216)</f>
        <v/>
      </c>
      <c r="M216" s="84" t="n"/>
      <c r="N216" s="80" t="n">
        <v>40</v>
      </c>
      <c r="O216" s="80" t="inlineStr">
        <is>
          <t>조립자재_재고현황</t>
        </is>
      </c>
    </row>
    <row r="217" ht="30" customHeight="1">
      <c r="A217" s="56" t="inlineStr">
        <is>
          <t>조립</t>
        </is>
      </c>
      <c r="B217" s="52" t="inlineStr">
        <is>
          <t>ASS'Y</t>
        </is>
      </c>
      <c r="C217" s="52" t="inlineStr">
        <is>
          <t>DX3000</t>
        </is>
      </c>
      <c r="D217" s="79">
        <f>IF(INDIRECT("'"&amp;$O217&amp;"'!F"&amp;$N217)="O","원자재",IF(INDIRECT("'"&amp;$O217&amp;"'!G"&amp;$N217)="O","반제품",IF(INDIRECT("'"&amp;$O217&amp;"'!H"&amp;$N217)="O","완제품","")))</f>
        <v/>
      </c>
      <c r="E217" s="79">
        <f>IFERROR(IF(INDIRECT("'"&amp;$O217&amp;"'!I"&amp;$N217)=0,"",INDIRECT("'"&amp;$O217&amp;"'!I"&amp;$N217)),"")</f>
        <v/>
      </c>
      <c r="F217" s="52" t="inlineStr">
        <is>
          <t>LCD BD ASS'Y</t>
        </is>
      </c>
      <c r="G217" s="52" t="n"/>
      <c r="H217" s="79">
        <f>IF(AND($F217="",$G217=""),"",IF($F217="","창고전용",IF($G217&lt;&gt;"","매칭완료",IF($D217="반제품","반제품(창고없음)",IF($D217="완제품","완제품(창고없음)",IF($D217="원자재","⚠ 원자재_부서보관","미분류"))))))</f>
        <v/>
      </c>
      <c r="I217" s="79">
        <f>IFERROR(IF(INDIRECT("'"&amp;$O217&amp;"'!P"&amp;$N217)=0,"",INDIRECT("'"&amp;$O217&amp;"'!P"&amp;$N217)),"")</f>
        <v/>
      </c>
      <c r="J217" s="61" t="inlineStr">
        <is>
          <t>LCD BD ASS'Y</t>
        </is>
      </c>
      <c r="K217" s="85" t="inlineStr">
        <is>
          <t>DX3000 LCD BD ASS'Y</t>
        </is>
      </c>
      <c r="L217" s="83">
        <f>HYPERLINK("#'"&amp;$O217&amp;"'!A"&amp;$N217,"→ 조립자재 R"&amp;$N217)</f>
        <v/>
      </c>
      <c r="M217" s="84" t="n"/>
      <c r="N217" s="80" t="n">
        <v>41</v>
      </c>
      <c r="O217" s="80" t="inlineStr">
        <is>
          <t>조립자재_재고현황</t>
        </is>
      </c>
    </row>
    <row r="218" ht="30" customHeight="1">
      <c r="A218" s="56" t="inlineStr">
        <is>
          <t>조립</t>
        </is>
      </c>
      <c r="B218" s="52" t="inlineStr">
        <is>
          <t>ASS'Y</t>
        </is>
      </c>
      <c r="C218" s="52" t="inlineStr">
        <is>
          <t>DX3000</t>
        </is>
      </c>
      <c r="D218" s="79">
        <f>IF(INDIRECT("'"&amp;$O218&amp;"'!F"&amp;$N218)="O","원자재",IF(INDIRECT("'"&amp;$O218&amp;"'!G"&amp;$N218)="O","반제품",IF(INDIRECT("'"&amp;$O218&amp;"'!H"&amp;$N218)="O","완제품","")))</f>
        <v/>
      </c>
      <c r="E218" s="79">
        <f>IFERROR(IF(INDIRECT("'"&amp;$O218&amp;"'!I"&amp;$N218)=0,"",INDIRECT("'"&amp;$O218&amp;"'!I"&amp;$N218)),"")</f>
        <v/>
      </c>
      <c r="F218" s="52" t="inlineStr">
        <is>
          <t>LCD BD ASS'Y _사파리_원버턴 타입</t>
        </is>
      </c>
      <c r="G218" s="52" t="n"/>
      <c r="H218" s="79">
        <f>IF(AND($F218="",$G218=""),"",IF($F218="","창고전용",IF($G218&lt;&gt;"","매칭완료",IF($D218="반제품","반제품(창고없음)",IF($D218="완제품","완제품(창고없음)",IF($D218="원자재","⚠ 원자재_부서보관","미분류"))))))</f>
        <v/>
      </c>
      <c r="I218" s="79">
        <f>IFERROR(IF(INDIRECT("'"&amp;$O218&amp;"'!P"&amp;$N218)=0,"",INDIRECT("'"&amp;$O218&amp;"'!P"&amp;$N218)),"")</f>
        <v/>
      </c>
      <c r="J218" s="61" t="inlineStr">
        <is>
          <t>LCD BD ASS'Y _사파리_원버턴 타입</t>
        </is>
      </c>
      <c r="K218" s="85" t="inlineStr">
        <is>
          <t>DX3000 LCD BD ASS'Y _사파리_원버턴 타입</t>
        </is>
      </c>
      <c r="L218" s="83">
        <f>HYPERLINK("#'"&amp;$O218&amp;"'!A"&amp;$N218,"→ 조립자재 R"&amp;$N218)</f>
        <v/>
      </c>
      <c r="M218" s="84" t="n"/>
      <c r="N218" s="80" t="n">
        <v>42</v>
      </c>
      <c r="O218" s="80" t="inlineStr">
        <is>
          <t>조립자재_재고현황</t>
        </is>
      </c>
    </row>
    <row r="219" ht="30" customHeight="1">
      <c r="A219" s="56" t="inlineStr">
        <is>
          <t>조립</t>
        </is>
      </c>
      <c r="B219" s="52" t="inlineStr">
        <is>
          <t>ASS'Y</t>
        </is>
      </c>
      <c r="C219" s="52" t="inlineStr">
        <is>
          <t>DX3000</t>
        </is>
      </c>
      <c r="D219" s="79">
        <f>IF(INDIRECT("'"&amp;$O219&amp;"'!F"&amp;$N219)="O","원자재",IF(INDIRECT("'"&amp;$O219&amp;"'!G"&amp;$N219)="O","반제품",IF(INDIRECT("'"&amp;$O219&amp;"'!H"&amp;$N219)="O","완제품","")))</f>
        <v/>
      </c>
      <c r="E219" s="79">
        <f>IFERROR(IF(INDIRECT("'"&amp;$O219&amp;"'!I"&amp;$N219)=0,"",INDIRECT("'"&amp;$O219&amp;"'!I"&amp;$N219)),"")</f>
        <v/>
      </c>
      <c r="F219" s="52" t="inlineStr">
        <is>
          <t>LCD BD ASS'Y _TFT</t>
        </is>
      </c>
      <c r="G219" s="52" t="n"/>
      <c r="H219" s="79">
        <f>IF(AND($F219="",$G219=""),"",IF($F219="","창고전용",IF($G219&lt;&gt;"","매칭완료",IF($D219="반제품","반제품(창고없음)",IF($D219="완제품","완제품(창고없음)",IF($D219="원자재","⚠ 원자재_부서보관","미분류"))))))</f>
        <v/>
      </c>
      <c r="I219" s="79">
        <f>IFERROR(IF(INDIRECT("'"&amp;$O219&amp;"'!P"&amp;$N219)=0,"",INDIRECT("'"&amp;$O219&amp;"'!P"&amp;$N219)),"")</f>
        <v/>
      </c>
      <c r="J219" s="61" t="inlineStr">
        <is>
          <t>LCD BD ASS'Y _TFT</t>
        </is>
      </c>
      <c r="K219" s="85" t="inlineStr">
        <is>
          <t>DX3000 LCD BD ASS'Y _TFT</t>
        </is>
      </c>
      <c r="L219" s="83">
        <f>HYPERLINK("#'"&amp;$O219&amp;"'!A"&amp;$N219,"→ 조립자재 R"&amp;$N219)</f>
        <v/>
      </c>
      <c r="M219" s="84" t="n"/>
      <c r="N219" s="80" t="n">
        <v>43</v>
      </c>
      <c r="O219" s="80" t="inlineStr">
        <is>
          <t>조립자재_재고현황</t>
        </is>
      </c>
    </row>
    <row r="220" ht="30" customHeight="1">
      <c r="A220" s="56" t="inlineStr">
        <is>
          <t>조립</t>
        </is>
      </c>
      <c r="B220" s="52" t="inlineStr">
        <is>
          <t>ASS'Y</t>
        </is>
      </c>
      <c r="C220" s="52" t="inlineStr">
        <is>
          <t>DX3000 화이트</t>
        </is>
      </c>
      <c r="D220" s="79">
        <f>IF(INDIRECT("'"&amp;$O220&amp;"'!F"&amp;$N220)="O","원자재",IF(INDIRECT("'"&amp;$O220&amp;"'!G"&amp;$N220)="O","반제품",IF(INDIRECT("'"&amp;$O220&amp;"'!H"&amp;$N220)="O","완제품","")))</f>
        <v/>
      </c>
      <c r="E220" s="79">
        <f>IFERROR(IF(INDIRECT("'"&amp;$O220&amp;"'!I"&amp;$N220)=0,"",INDIRECT("'"&amp;$O220&amp;"'!I"&amp;$N220)),"")</f>
        <v/>
      </c>
      <c r="F220" s="52" t="inlineStr">
        <is>
          <t>기본 사출 ASS'Y</t>
        </is>
      </c>
      <c r="G220" s="52" t="n"/>
      <c r="H220" s="79">
        <f>IF(AND($F220="",$G220=""),"",IF($F220="","창고전용",IF($G220&lt;&gt;"","매칭완료",IF($D220="반제품","반제품(창고없음)",IF($D220="완제품","완제품(창고없음)",IF($D220="원자재","⚠ 원자재_부서보관","미분류"))))))</f>
        <v/>
      </c>
      <c r="I220" s="79">
        <f>IFERROR(IF(INDIRECT("'"&amp;$O220&amp;"'!P"&amp;$N220)=0,"",INDIRECT("'"&amp;$O220&amp;"'!P"&amp;$N220)),"")</f>
        <v/>
      </c>
      <c r="J220" s="61" t="inlineStr">
        <is>
          <t>기본 사출 ASS'Y</t>
        </is>
      </c>
      <c r="K220" s="85" t="inlineStr">
        <is>
          <t>DX3000 10cm 한손 W 사출 ASS'Y - 기본</t>
        </is>
      </c>
      <c r="L220" s="83">
        <f>HYPERLINK("#'"&amp;$O220&amp;"'!A"&amp;$N220,"→ 조립자재 R"&amp;$N220)</f>
        <v/>
      </c>
      <c r="M220" s="84" t="n"/>
      <c r="N220" s="80" t="n">
        <v>44</v>
      </c>
      <c r="O220" s="80" t="inlineStr">
        <is>
          <t>조립자재_재고현황</t>
        </is>
      </c>
    </row>
    <row r="221" ht="30" customHeight="1">
      <c r="A221" s="56" t="inlineStr">
        <is>
          <t>조립</t>
        </is>
      </c>
      <c r="B221" s="52" t="inlineStr">
        <is>
          <t>ASS'Y</t>
        </is>
      </c>
      <c r="C221" s="52" t="inlineStr">
        <is>
          <t>DX3000 블랙</t>
        </is>
      </c>
      <c r="D221" s="79">
        <f>IF(INDIRECT("'"&amp;$O221&amp;"'!F"&amp;$N221)="O","원자재",IF(INDIRECT("'"&amp;$O221&amp;"'!G"&amp;$N221)="O","반제품",IF(INDIRECT("'"&amp;$O221&amp;"'!H"&amp;$N221)="O","완제품","")))</f>
        <v/>
      </c>
      <c r="E221" s="79">
        <f>IFERROR(IF(INDIRECT("'"&amp;$O221&amp;"'!I"&amp;$N221)=0,"",INDIRECT("'"&amp;$O221&amp;"'!I"&amp;$N221)),"")</f>
        <v/>
      </c>
      <c r="F221" s="52" t="inlineStr">
        <is>
          <t>기본 사출 ASS'Y</t>
        </is>
      </c>
      <c r="G221" s="52" t="n"/>
      <c r="H221" s="79">
        <f>IF(AND($F221="",$G221=""),"",IF($F221="","창고전용",IF($G221&lt;&gt;"","매칭완료",IF($D221="반제품","반제품(창고없음)",IF($D221="완제품","완제품(창고없음)",IF($D221="원자재","⚠ 원자재_부서보관","미분류"))))))</f>
        <v/>
      </c>
      <c r="I221" s="79">
        <f>IFERROR(IF(INDIRECT("'"&amp;$O221&amp;"'!P"&amp;$N221)=0,"",INDIRECT("'"&amp;$O221&amp;"'!P"&amp;$N221)),"")</f>
        <v/>
      </c>
      <c r="J221" s="61" t="inlineStr">
        <is>
          <t>기본 사출 ASS'Y</t>
        </is>
      </c>
      <c r="K221" s="85" t="inlineStr">
        <is>
          <t>DX3000 10cm 한손 B 사출 ASS'Y - 기본</t>
        </is>
      </c>
      <c r="L221" s="83">
        <f>HYPERLINK("#'"&amp;$O221&amp;"'!A"&amp;$N221,"→ 조립자재 R"&amp;$N221)</f>
        <v/>
      </c>
      <c r="M221" s="84" t="n"/>
      <c r="N221" s="80" t="n">
        <v>45</v>
      </c>
      <c r="O221" s="80" t="inlineStr">
        <is>
          <t>조립자재_재고현황</t>
        </is>
      </c>
    </row>
    <row r="222" ht="30" customHeight="1">
      <c r="A222" s="56" t="inlineStr">
        <is>
          <t>조립</t>
        </is>
      </c>
      <c r="B222" s="52" t="inlineStr">
        <is>
          <t>ASS'Y</t>
        </is>
      </c>
      <c r="C222" s="52" t="inlineStr">
        <is>
          <t>DX3000 화이트</t>
        </is>
      </c>
      <c r="D222" s="79">
        <f>IF(INDIRECT("'"&amp;$O222&amp;"'!F"&amp;$N222)="O","원자재",IF(INDIRECT("'"&amp;$O222&amp;"'!G"&amp;$N222)="O","반제품",IF(INDIRECT("'"&amp;$O222&amp;"'!H"&amp;$N222)="O","완제품","")))</f>
        <v/>
      </c>
      <c r="E222" s="79">
        <f>IFERROR(IF(INDIRECT("'"&amp;$O222&amp;"'!I"&amp;$N222)=0,"",INDIRECT("'"&amp;$O222&amp;"'!I"&amp;$N222)),"")</f>
        <v/>
      </c>
      <c r="F222" s="52" t="inlineStr">
        <is>
          <t>사출 ASS'Y _ 태국용</t>
        </is>
      </c>
      <c r="G222" s="52" t="n"/>
      <c r="H222" s="79">
        <f>IF(AND($F222="",$G222=""),"",IF($F222="","창고전용",IF($G222&lt;&gt;"","매칭완료",IF($D222="반제품","반제품(창고없음)",IF($D222="완제품","완제품(창고없음)",IF($D222="원자재","⚠ 원자재_부서보관","미분류"))))))</f>
        <v/>
      </c>
      <c r="I222" s="79">
        <f>IFERROR(IF(INDIRECT("'"&amp;$O222&amp;"'!P"&amp;$N222)=0,"",INDIRECT("'"&amp;$O222&amp;"'!P"&amp;$N222)),"")</f>
        <v/>
      </c>
      <c r="J222" s="61" t="inlineStr">
        <is>
          <t>사출 ASS'Y _ 태국용</t>
        </is>
      </c>
      <c r="K222" s="85" t="inlineStr">
        <is>
          <t>DX3000 10cm 한손 W 사출 ASS'Y - 태국용</t>
        </is>
      </c>
      <c r="L222" s="83">
        <f>HYPERLINK("#'"&amp;$O222&amp;"'!A"&amp;$N222,"→ 조립자재 R"&amp;$N222)</f>
        <v/>
      </c>
      <c r="M222" s="84" t="n"/>
      <c r="N222" s="80" t="n">
        <v>46</v>
      </c>
      <c r="O222" s="80" t="inlineStr">
        <is>
          <t>조립자재_재고현황</t>
        </is>
      </c>
    </row>
    <row r="223" ht="30" customHeight="1">
      <c r="A223" s="56" t="inlineStr">
        <is>
          <t>조립</t>
        </is>
      </c>
      <c r="B223" s="52" t="inlineStr">
        <is>
          <t>ASS'Y</t>
        </is>
      </c>
      <c r="C223" s="52" t="inlineStr">
        <is>
          <t>DX3000 블랙</t>
        </is>
      </c>
      <c r="D223" s="79">
        <f>IF(INDIRECT("'"&amp;$O223&amp;"'!F"&amp;$N223)="O","원자재",IF(INDIRECT("'"&amp;$O223&amp;"'!G"&amp;$N223)="O","반제품",IF(INDIRECT("'"&amp;$O223&amp;"'!H"&amp;$N223)="O","완제품","")))</f>
        <v/>
      </c>
      <c r="E223" s="79">
        <f>IFERROR(IF(INDIRECT("'"&amp;$O223&amp;"'!I"&amp;$N223)=0,"",INDIRECT("'"&amp;$O223&amp;"'!I"&amp;$N223)),"")</f>
        <v/>
      </c>
      <c r="F223" s="52" t="inlineStr">
        <is>
          <t>기본 사출 ASS'Y _ 이미지웍스</t>
        </is>
      </c>
      <c r="G223" s="52" t="n"/>
      <c r="H223" s="79">
        <f>IF(AND($F223="",$G223=""),"",IF($F223="","창고전용",IF($G223&lt;&gt;"","매칭완료",IF($D223="반제품","반제품(창고없음)",IF($D223="완제품","완제품(창고없음)",IF($D223="원자재","⚠ 원자재_부서보관","미분류"))))))</f>
        <v/>
      </c>
      <c r="I223" s="79">
        <f>IFERROR(IF(INDIRECT("'"&amp;$O223&amp;"'!P"&amp;$N223)=0,"",INDIRECT("'"&amp;$O223&amp;"'!P"&amp;$N223)),"")</f>
        <v/>
      </c>
      <c r="J223" s="61" t="inlineStr">
        <is>
          <t>기본 사출 ASS'Y _ 이미지웍스</t>
        </is>
      </c>
      <c r="K223" s="85" t="inlineStr">
        <is>
          <t>DX3000 10cm 양손 B 사출 ASS'Y - CBI (이미지웍스-손잡이 로고 X))</t>
        </is>
      </c>
      <c r="L223" s="83">
        <f>HYPERLINK("#'"&amp;$O223&amp;"'!A"&amp;$N223,"→ 조립자재 R"&amp;$N223)</f>
        <v/>
      </c>
      <c r="M223" s="84" t="n"/>
      <c r="N223" s="80" t="n">
        <v>47</v>
      </c>
      <c r="O223" s="80" t="inlineStr">
        <is>
          <t>조립자재_재고현황</t>
        </is>
      </c>
    </row>
    <row r="224" ht="30" customHeight="1">
      <c r="A224" s="56" t="inlineStr">
        <is>
          <t>조립</t>
        </is>
      </c>
      <c r="B224" s="52" t="inlineStr">
        <is>
          <t>ASS'Y</t>
        </is>
      </c>
      <c r="C224" s="52" t="inlineStr">
        <is>
          <t>DX3000 화이트</t>
        </is>
      </c>
      <c r="D224" s="79">
        <f>IF(INDIRECT("'"&amp;$O224&amp;"'!F"&amp;$N224)="O","원자재",IF(INDIRECT("'"&amp;$O224&amp;"'!G"&amp;$N224)="O","반제품",IF(INDIRECT("'"&amp;$O224&amp;"'!H"&amp;$N224)="O","완제품","")))</f>
        <v/>
      </c>
      <c r="E224" s="79">
        <f>IFERROR(IF(INDIRECT("'"&amp;$O224&amp;"'!I"&amp;$N224)=0,"",INDIRECT("'"&amp;$O224&amp;"'!I"&amp;$N224)),"")</f>
        <v/>
      </c>
      <c r="F224" s="52" t="inlineStr">
        <is>
          <t>기본 사출 ASS'Y _ 미국용_동물용</t>
        </is>
      </c>
      <c r="G224" s="52" t="n"/>
      <c r="H224" s="79">
        <f>IF(AND($F224="",$G224=""),"",IF($F224="","창고전용",IF($G224&lt;&gt;"","매칭완료",IF($D224="반제품","반제품(창고없음)",IF($D224="완제품","완제품(창고없음)",IF($D224="원자재","⚠ 원자재_부서보관","미분류"))))))</f>
        <v/>
      </c>
      <c r="I224" s="79">
        <f>IFERROR(IF(INDIRECT("'"&amp;$O224&amp;"'!P"&amp;$N224)=0,"",INDIRECT("'"&amp;$O224&amp;"'!P"&amp;$N224)),"")</f>
        <v/>
      </c>
      <c r="J224" s="61" t="inlineStr">
        <is>
          <t>기본 사출 ASS'Y _ 미국용_동물용</t>
        </is>
      </c>
      <c r="K224" s="85" t="inlineStr">
        <is>
          <t>DX3000 10cm 양손  W 사출 ASS'Y - 미국 동물용</t>
        </is>
      </c>
      <c r="L224" s="83">
        <f>HYPERLINK("#'"&amp;$O224&amp;"'!A"&amp;$N224,"→ 조립자재 R"&amp;$N224)</f>
        <v/>
      </c>
      <c r="M224" s="84" t="n"/>
      <c r="N224" s="80" t="n">
        <v>48</v>
      </c>
      <c r="O224" s="80" t="inlineStr">
        <is>
          <t>조립자재_재고현황</t>
        </is>
      </c>
    </row>
    <row r="225" ht="30" customHeight="1">
      <c r="A225" s="56" t="inlineStr">
        <is>
          <t>조립</t>
        </is>
      </c>
      <c r="B225" s="52" t="inlineStr">
        <is>
          <t>ASS'Y</t>
        </is>
      </c>
      <c r="C225" s="52" t="inlineStr">
        <is>
          <t>DX3000 화이트</t>
        </is>
      </c>
      <c r="D225" s="79">
        <f>IF(INDIRECT("'"&amp;$O225&amp;"'!F"&amp;$N225)="O","원자재",IF(INDIRECT("'"&amp;$O225&amp;"'!G"&amp;$N225)="O","반제품",IF(INDIRECT("'"&amp;$O225&amp;"'!H"&amp;$N225)="O","완제품","")))</f>
        <v/>
      </c>
      <c r="E225" s="79">
        <f>IFERROR(IF(INDIRECT("'"&amp;$O225&amp;"'!I"&amp;$N225)=0,"",INDIRECT("'"&amp;$O225&amp;"'!I"&amp;$N225)),"")</f>
        <v/>
      </c>
      <c r="F225" s="52" t="inlineStr">
        <is>
          <t>15cm 사출 ASS'Y - 일본용</t>
        </is>
      </c>
      <c r="G225" s="52" t="n"/>
      <c r="H225" s="79">
        <f>IF(AND($F225="",$G225=""),"",IF($F225="","창고전용",IF($G225&lt;&gt;"","매칭완료",IF($D225="반제품","반제품(창고없음)",IF($D225="완제품","완제품(창고없음)",IF($D225="원자재","⚠ 원자재_부서보관","미분류"))))))</f>
        <v/>
      </c>
      <c r="I225" s="79">
        <f>IFERROR(IF(INDIRECT("'"&amp;$O225&amp;"'!P"&amp;$N225)=0,"",INDIRECT("'"&amp;$O225&amp;"'!P"&amp;$N225)),"")</f>
        <v/>
      </c>
      <c r="J225" s="61" t="inlineStr">
        <is>
          <t>15cm 사출 ASS'Y - 일본용</t>
        </is>
      </c>
      <c r="K225" s="85" t="inlineStr">
        <is>
          <t>DX3000 15cm 양손 W 사출 ASS'Y - 일본용</t>
        </is>
      </c>
      <c r="L225" s="83">
        <f>HYPERLINK("#'"&amp;$O225&amp;"'!A"&amp;$N225,"→ 조립자재 R"&amp;$N225)</f>
        <v/>
      </c>
      <c r="M225" s="84" t="n"/>
      <c r="N225" s="80" t="n">
        <v>49</v>
      </c>
      <c r="O225" s="80" t="inlineStr">
        <is>
          <t>조립자재_재고현황</t>
        </is>
      </c>
    </row>
    <row r="226" ht="30" customHeight="1">
      <c r="A226" s="56" t="inlineStr">
        <is>
          <t>조립</t>
        </is>
      </c>
      <c r="B226" s="52" t="inlineStr">
        <is>
          <t>ASS'Y</t>
        </is>
      </c>
      <c r="C226" s="52" t="inlineStr">
        <is>
          <t>DX3000 화이트</t>
        </is>
      </c>
      <c r="D226" s="79">
        <f>IF(INDIRECT("'"&amp;$O226&amp;"'!F"&amp;$N226)="O","원자재",IF(INDIRECT("'"&amp;$O226&amp;"'!G"&amp;$N226)="O","반제품",IF(INDIRECT("'"&amp;$O226&amp;"'!H"&amp;$N226)="O","완제품","")))</f>
        <v/>
      </c>
      <c r="E226" s="79">
        <f>IFERROR(IF(INDIRECT("'"&amp;$O226&amp;"'!I"&amp;$N226)=0,"",INDIRECT("'"&amp;$O226&amp;"'!I"&amp;$N226)),"")</f>
        <v/>
      </c>
      <c r="F226" s="52" t="inlineStr">
        <is>
          <t>20cm 사출 ASS'Y - 기본</t>
        </is>
      </c>
      <c r="G226" s="52" t="n"/>
      <c r="H226" s="79">
        <f>IF(AND($F226="",$G226=""),"",IF($F226="","창고전용",IF($G226&lt;&gt;"","매칭완료",IF($D226="반제품","반제품(창고없음)",IF($D226="완제품","완제품(창고없음)",IF($D226="원자재","⚠ 원자재_부서보관","미분류"))))))</f>
        <v/>
      </c>
      <c r="I226" s="79">
        <f>IFERROR(IF(INDIRECT("'"&amp;$O226&amp;"'!P"&amp;$N226)=0,"",INDIRECT("'"&amp;$O226&amp;"'!P"&amp;$N226)),"")</f>
        <v/>
      </c>
      <c r="J226" s="61" t="inlineStr">
        <is>
          <t>20cm 사출 ASS'Y - 기본</t>
        </is>
      </c>
      <c r="K226" s="85" t="inlineStr">
        <is>
          <t>DX3000 20cm 한손 W 사출 ASS'Y - 기본</t>
        </is>
      </c>
      <c r="L226" s="83">
        <f>HYPERLINK("#'"&amp;$O226&amp;"'!A"&amp;$N226,"→ 조립자재 R"&amp;$N226)</f>
        <v/>
      </c>
      <c r="M226" s="84" t="n"/>
      <c r="N226" s="80" t="n">
        <v>50</v>
      </c>
      <c r="O226" s="80" t="inlineStr">
        <is>
          <t>조립자재_재고현황</t>
        </is>
      </c>
    </row>
    <row r="227" ht="30" customHeight="1">
      <c r="A227" s="56" t="inlineStr">
        <is>
          <t>조립</t>
        </is>
      </c>
      <c r="B227" s="52" t="inlineStr">
        <is>
          <t>ASS'Y</t>
        </is>
      </c>
      <c r="C227" s="52" t="inlineStr">
        <is>
          <t>DX3000 블랙</t>
        </is>
      </c>
      <c r="D227" s="79">
        <f>IF(INDIRECT("'"&amp;$O227&amp;"'!F"&amp;$N227)="O","원자재",IF(INDIRECT("'"&amp;$O227&amp;"'!G"&amp;$N227)="O","반제품",IF(INDIRECT("'"&amp;$O227&amp;"'!H"&amp;$N227)="O","완제품","")))</f>
        <v/>
      </c>
      <c r="E227" s="79">
        <f>IFERROR(IF(INDIRECT("'"&amp;$O227&amp;"'!I"&amp;$N227)=0,"",INDIRECT("'"&amp;$O227&amp;"'!I"&amp;$N227)),"")</f>
        <v/>
      </c>
      <c r="F227" s="52" t="inlineStr">
        <is>
          <t>20cm 사출 ASS'Y - 기본</t>
        </is>
      </c>
      <c r="G227" s="52" t="n"/>
      <c r="H227" s="79">
        <f>IF(AND($F227="",$G227=""),"",IF($F227="","창고전용",IF($G227&lt;&gt;"","매칭완료",IF($D227="반제품","반제품(창고없음)",IF($D227="완제품","완제품(창고없음)",IF($D227="원자재","⚠ 원자재_부서보관","미분류"))))))</f>
        <v/>
      </c>
      <c r="I227" s="79">
        <f>IFERROR(IF(INDIRECT("'"&amp;$O227&amp;"'!P"&amp;$N227)=0,"",INDIRECT("'"&amp;$O227&amp;"'!P"&amp;$N227)),"")</f>
        <v/>
      </c>
      <c r="J227" s="61" t="inlineStr">
        <is>
          <t>20cm 사출 ASS'Y - 기본</t>
        </is>
      </c>
      <c r="K227" s="85" t="inlineStr">
        <is>
          <t>DX3000 20cm 한손 B 사출 ASS'Y - 기본</t>
        </is>
      </c>
      <c r="L227" s="83">
        <f>HYPERLINK("#'"&amp;$O227&amp;"'!A"&amp;$N227,"→ 조립자재 R"&amp;$N227)</f>
        <v/>
      </c>
      <c r="M227" s="84" t="n"/>
      <c r="N227" s="80" t="n">
        <v>51</v>
      </c>
      <c r="O227" s="80" t="inlineStr">
        <is>
          <t>조립자재_재고현황</t>
        </is>
      </c>
    </row>
    <row r="228" ht="30" customHeight="1">
      <c r="A228" s="56" t="inlineStr">
        <is>
          <t>조립</t>
        </is>
      </c>
      <c r="B228" s="52" t="inlineStr">
        <is>
          <t>ASS'Y</t>
        </is>
      </c>
      <c r="C228" s="52" t="inlineStr">
        <is>
          <t>DX3000 화이트</t>
        </is>
      </c>
      <c r="D228" s="79">
        <f>IF(INDIRECT("'"&amp;$O228&amp;"'!F"&amp;$N228)="O","원자재",IF(INDIRECT("'"&amp;$O228&amp;"'!G"&amp;$N228)="O","반제품",IF(INDIRECT("'"&amp;$O228&amp;"'!H"&amp;$N228)="O","완제품","")))</f>
        <v/>
      </c>
      <c r="E228" s="79">
        <f>IFERROR(IF(INDIRECT("'"&amp;$O228&amp;"'!I"&amp;$N228)=0,"",INDIRECT("'"&amp;$O228&amp;"'!I"&amp;$N228)),"")</f>
        <v/>
      </c>
      <c r="F228" s="52" t="inlineStr">
        <is>
          <t>20cm 사출 ASS'Y - 맥스레이</t>
        </is>
      </c>
      <c r="G228" s="52" t="n"/>
      <c r="H228" s="79">
        <f>IF(AND($F228="",$G228=""),"",IF($F228="","창고전용",IF($G228&lt;&gt;"","매칭완료",IF($D228="반제품","반제품(창고없음)",IF($D228="완제품","완제품(창고없음)",IF($D228="원자재","⚠ 원자재_부서보관","미분류"))))))</f>
        <v/>
      </c>
      <c r="I228" s="79">
        <f>IFERROR(IF(INDIRECT("'"&amp;$O228&amp;"'!P"&amp;$N228)=0,"",INDIRECT("'"&amp;$O228&amp;"'!P"&amp;$N228)),"")</f>
        <v/>
      </c>
      <c r="J228" s="61" t="inlineStr">
        <is>
          <t>20cm 사출 ASS'Y - 맥스레이</t>
        </is>
      </c>
      <c r="K228" s="85" t="inlineStr">
        <is>
          <t>DX3000 20cm  양손  W 사출 ASS'Y - 맥스레이</t>
        </is>
      </c>
      <c r="L228" s="83">
        <f>HYPERLINK("#'"&amp;$O228&amp;"'!A"&amp;$N228,"→ 조립자재 R"&amp;$N228)</f>
        <v/>
      </c>
      <c r="M228" s="84" t="n"/>
      <c r="N228" s="80" t="n">
        <v>52</v>
      </c>
      <c r="O228" s="80" t="inlineStr">
        <is>
          <t>조립자재_재고현황</t>
        </is>
      </c>
    </row>
    <row r="229" ht="30" customHeight="1">
      <c r="A229" s="56" t="inlineStr">
        <is>
          <t>조립</t>
        </is>
      </c>
      <c r="B229" s="52" t="inlineStr">
        <is>
          <t>ASS'Y</t>
        </is>
      </c>
      <c r="C229" s="52" t="inlineStr">
        <is>
          <t>DX3000 블랙</t>
        </is>
      </c>
      <c r="D229" s="79">
        <f>IF(INDIRECT("'"&amp;$O229&amp;"'!F"&amp;$N229)="O","원자재",IF(INDIRECT("'"&amp;$O229&amp;"'!G"&amp;$N229)="O","반제품",IF(INDIRECT("'"&amp;$O229&amp;"'!H"&amp;$N229)="O","완제품","")))</f>
        <v/>
      </c>
      <c r="E229" s="79">
        <f>IFERROR(IF(INDIRECT("'"&amp;$O229&amp;"'!I"&amp;$N229)=0,"",INDIRECT("'"&amp;$O229&amp;"'!I"&amp;$N229)),"")</f>
        <v/>
      </c>
      <c r="F229" s="52" t="inlineStr">
        <is>
          <t>20cm 사출 ASS'Y - 맥스레이</t>
        </is>
      </c>
      <c r="G229" s="52" t="n"/>
      <c r="H229" s="79">
        <f>IF(AND($F229="",$G229=""),"",IF($F229="","창고전용",IF($G229&lt;&gt;"","매칭완료",IF($D229="반제품","반제품(창고없음)",IF($D229="완제품","완제품(창고없음)",IF($D229="원자재","⚠ 원자재_부서보관","미분류"))))))</f>
        <v/>
      </c>
      <c r="I229" s="79">
        <f>IFERROR(IF(INDIRECT("'"&amp;$O229&amp;"'!P"&amp;$N229)=0,"",INDIRECT("'"&amp;$O229&amp;"'!P"&amp;$N229)),"")</f>
        <v/>
      </c>
      <c r="J229" s="61" t="inlineStr">
        <is>
          <t>20cm 사출 ASS'Y - 맥스레이</t>
        </is>
      </c>
      <c r="K229" s="85" t="inlineStr">
        <is>
          <t>DX3000 20cm 양손 B 사출 ASS'Y - 맥스레이</t>
        </is>
      </c>
      <c r="L229" s="83">
        <f>HYPERLINK("#'"&amp;$O229&amp;"'!A"&amp;$N229,"→ 조립자재 R"&amp;$N229)</f>
        <v/>
      </c>
      <c r="M229" s="84" t="n"/>
      <c r="N229" s="80" t="n">
        <v>53</v>
      </c>
      <c r="O229" s="80" t="inlineStr">
        <is>
          <t>조립자재_재고현황</t>
        </is>
      </c>
    </row>
    <row r="230" ht="30" customHeight="1">
      <c r="A230" s="56" t="inlineStr">
        <is>
          <t>조립</t>
        </is>
      </c>
      <c r="B230" s="52" t="inlineStr">
        <is>
          <t>ASS'Y</t>
        </is>
      </c>
      <c r="C230" s="52" t="inlineStr">
        <is>
          <t>DX3000 화이트</t>
        </is>
      </c>
      <c r="D230" s="79">
        <f>IF(INDIRECT("'"&amp;$O230&amp;"'!F"&amp;$N230)="O","원자재",IF(INDIRECT("'"&amp;$O230&amp;"'!G"&amp;$N230)="O","반제품",IF(INDIRECT("'"&amp;$O230&amp;"'!H"&amp;$N230)="O","완제품","")))</f>
        <v/>
      </c>
      <c r="E230" s="79">
        <f>IFERROR(IF(INDIRECT("'"&amp;$O230&amp;"'!I"&amp;$N230)=0,"",INDIRECT("'"&amp;$O230&amp;"'!I"&amp;$N230)),"")</f>
        <v/>
      </c>
      <c r="F230" s="52" t="inlineStr">
        <is>
          <t>20cm 사출 ASS'Y 원버튼 _ 사파리용</t>
        </is>
      </c>
      <c r="G230" s="52" t="n"/>
      <c r="H230" s="79">
        <f>IF(AND($F230="",$G230=""),"",IF($F230="","창고전용",IF($G230&lt;&gt;"","매칭완료",IF($D230="반제품","반제품(창고없음)",IF($D230="완제품","완제품(창고없음)",IF($D230="원자재","⚠ 원자재_부서보관","미분류"))))))</f>
        <v/>
      </c>
      <c r="I230" s="79">
        <f>IFERROR(IF(INDIRECT("'"&amp;$O230&amp;"'!P"&amp;$N230)=0,"",INDIRECT("'"&amp;$O230&amp;"'!P"&amp;$N230)),"")</f>
        <v/>
      </c>
      <c r="J230" s="61" t="inlineStr">
        <is>
          <t>20cm 사출 ASS'Y 원버튼 _ 사파리용</t>
        </is>
      </c>
      <c r="K230" s="85" t="inlineStr">
        <is>
          <t>DX3000 20cm 한손 W 사출 ASS'Y - 원버튼 사파리용</t>
        </is>
      </c>
      <c r="L230" s="83">
        <f>HYPERLINK("#'"&amp;$O230&amp;"'!A"&amp;$N230,"→ 조립자재 R"&amp;$N230)</f>
        <v/>
      </c>
      <c r="M230" s="84" t="n"/>
      <c r="N230" s="80" t="n">
        <v>54</v>
      </c>
      <c r="O230" s="80" t="inlineStr">
        <is>
          <t>조립자재_재고현황</t>
        </is>
      </c>
    </row>
    <row r="231" ht="30" customHeight="1">
      <c r="A231" s="56" t="inlineStr">
        <is>
          <t>조립</t>
        </is>
      </c>
      <c r="B231" s="52" t="inlineStr">
        <is>
          <t>ASS'Y</t>
        </is>
      </c>
      <c r="C231" s="52" t="inlineStr">
        <is>
          <t>DX3000 블랙</t>
        </is>
      </c>
      <c r="D231" s="79">
        <f>IF(INDIRECT("'"&amp;$O231&amp;"'!F"&amp;$N231)="O","원자재",IF(INDIRECT("'"&amp;$O231&amp;"'!G"&amp;$N231)="O","반제품",IF(INDIRECT("'"&amp;$O231&amp;"'!H"&amp;$N231)="O","완제품","")))</f>
        <v/>
      </c>
      <c r="E231" s="79">
        <f>IFERROR(IF(INDIRECT("'"&amp;$O231&amp;"'!I"&amp;$N231)=0,"",INDIRECT("'"&amp;$O231&amp;"'!I"&amp;$N231)),"")</f>
        <v/>
      </c>
      <c r="F231" s="52" t="inlineStr">
        <is>
          <t>사출 ASS'Y _ 태국용</t>
        </is>
      </c>
      <c r="G231" s="52" t="n"/>
      <c r="H231" s="79">
        <f>IF(AND($F231="",$G231=""),"",IF($F231="","창고전용",IF($G231&lt;&gt;"","매칭완료",IF($D231="반제품","반제품(창고없음)",IF($D231="완제품","완제품(창고없음)",IF($D231="원자재","⚠ 원자재_부서보관","미분류"))))))</f>
        <v/>
      </c>
      <c r="I231" s="79">
        <f>IFERROR(IF(INDIRECT("'"&amp;$O231&amp;"'!P"&amp;$N231)=0,"",INDIRECT("'"&amp;$O231&amp;"'!P"&amp;$N231)),"")</f>
        <v/>
      </c>
      <c r="J231" s="61" t="inlineStr">
        <is>
          <t>사출 ASS'Y _ 태국용</t>
        </is>
      </c>
      <c r="K231" s="85" t="inlineStr">
        <is>
          <t>DX3000 10cm 한손 W 사출 ASS'Y - 태국 (X-CAP 분리형)</t>
        </is>
      </c>
      <c r="L231" s="83">
        <f>HYPERLINK("#'"&amp;$O231&amp;"'!A"&amp;$N231,"→ 조립자재 R"&amp;$N231)</f>
        <v/>
      </c>
      <c r="M231" s="84" t="n"/>
      <c r="N231" s="80" t="n">
        <v>55</v>
      </c>
      <c r="O231" s="80" t="inlineStr">
        <is>
          <t>조립자재_재고현황</t>
        </is>
      </c>
    </row>
    <row r="232" ht="30" customHeight="1">
      <c r="A232" s="56" t="inlineStr">
        <is>
          <t>조립</t>
        </is>
      </c>
      <c r="B232" s="52" t="inlineStr">
        <is>
          <t>컬리메이터 적용</t>
        </is>
      </c>
      <c r="C232" s="52" t="inlineStr">
        <is>
          <t>DX3000 블랙 무광</t>
        </is>
      </c>
      <c r="D232" s="79">
        <f>IF(INDIRECT("'"&amp;$O232&amp;"'!F"&amp;$N232)="O","원자재",IF(INDIRECT("'"&amp;$O232&amp;"'!G"&amp;$N232)="O","반제품",IF(INDIRECT("'"&amp;$O232&amp;"'!H"&amp;$N232)="O","완제품","")))</f>
        <v/>
      </c>
      <c r="E232" s="79">
        <f>IFERROR(IF(INDIRECT("'"&amp;$O232&amp;"'!I"&amp;$N232)=0,"",INDIRECT("'"&amp;$O232&amp;"'!I"&amp;$N232)),"")</f>
        <v/>
      </c>
      <c r="F232" s="52" t="inlineStr">
        <is>
          <t>메디컬용 콘 가이드</t>
        </is>
      </c>
      <c r="G232" s="52" t="inlineStr">
        <is>
          <t>메디컬용 컬리메타 (ABS 난연 블랙) [DX3000]</t>
        </is>
      </c>
      <c r="H232" s="79">
        <f>IF(AND($F232="",$G232=""),"",IF($F232="","창고전용",IF($G232&lt;&gt;"","매칭완료",IF($D232="반제품","반제품(창고없음)",IF($D232="완제품","완제품(창고없음)",IF($D232="원자재","⚠ 원자재_부서보관","미분류"))))))</f>
        <v/>
      </c>
      <c r="I232" s="79">
        <f>IFERROR(IF(INDIRECT("'"&amp;$O232&amp;"'!P"&amp;$N232)=0,"",INDIRECT("'"&amp;$O232&amp;"'!P"&amp;$N232)),"")</f>
        <v/>
      </c>
      <c r="J232" s="61" t="inlineStr">
        <is>
          <t>메디컬용 콘 가이드</t>
        </is>
      </c>
      <c r="K232" s="85" t="inlineStr">
        <is>
          <t>DX3000 메디컬용 콘 가이드</t>
        </is>
      </c>
      <c r="L232" s="83">
        <f>HYPERLINK("#'"&amp;$O232&amp;"'!A"&amp;$N232,"→ 조립자재 R"&amp;$N232)</f>
        <v/>
      </c>
      <c r="M232" s="84" t="n"/>
      <c r="N232" s="80" t="n">
        <v>56</v>
      </c>
      <c r="O232" s="80" t="inlineStr">
        <is>
          <t>조립자재_재고현황</t>
        </is>
      </c>
    </row>
    <row r="233" ht="30" customHeight="1">
      <c r="A233" s="56" t="inlineStr">
        <is>
          <t>조립</t>
        </is>
      </c>
      <c r="B233" s="52" t="inlineStr">
        <is>
          <t>컬리메이터 적용</t>
        </is>
      </c>
      <c r="C233" s="52" t="inlineStr">
        <is>
          <t>DX3000 블랙 무광</t>
        </is>
      </c>
      <c r="D233" s="79">
        <f>IF(INDIRECT("'"&amp;$O233&amp;"'!F"&amp;$N233)="O","원자재",IF(INDIRECT("'"&amp;$O233&amp;"'!G"&amp;$N233)="O","반제품",IF(INDIRECT("'"&amp;$O233&amp;"'!H"&amp;$N233)="O","완제품","")))</f>
        <v/>
      </c>
      <c r="E233" s="79">
        <f>IFERROR(IF(INDIRECT("'"&amp;$O233&amp;"'!I"&amp;$N233)=0,"",INDIRECT("'"&amp;$O233&amp;"'!I"&amp;$N233)),"")</f>
        <v/>
      </c>
      <c r="F233" s="52" t="inlineStr">
        <is>
          <t>메디컬용 FRONT</t>
        </is>
      </c>
      <c r="G233" s="52" t="inlineStr">
        <is>
          <t>메디컬용 컬리메타 CAP (ABS 난연 블랙 + 블랙 무광) [DX3000]</t>
        </is>
      </c>
      <c r="H233" s="79">
        <f>IF(AND($F233="",$G233=""),"",IF($F233="","창고전용",IF($G233&lt;&gt;"","매칭완료",IF($D233="반제품","반제품(창고없음)",IF($D233="완제품","완제품(창고없음)",IF($D233="원자재","⚠ 원자재_부서보관","미분류"))))))</f>
        <v/>
      </c>
      <c r="I233" s="79">
        <f>IFERROR(IF(INDIRECT("'"&amp;$O233&amp;"'!P"&amp;$N233)=0,"",INDIRECT("'"&amp;$O233&amp;"'!P"&amp;$N233)),"")</f>
        <v/>
      </c>
      <c r="J233" s="61" t="inlineStr">
        <is>
          <t>메디컬용 FRONT</t>
        </is>
      </c>
      <c r="K233" s="85" t="inlineStr">
        <is>
          <t>DX3000 메디컬용 FRONT</t>
        </is>
      </c>
      <c r="L233" s="83">
        <f>HYPERLINK("#'"&amp;$O233&amp;"'!A"&amp;$N233,"→ 조립자재 R"&amp;$N233)</f>
        <v/>
      </c>
      <c r="M233" s="84" t="n"/>
      <c r="N233" s="80" t="n">
        <v>57</v>
      </c>
      <c r="O233" s="80" t="inlineStr">
        <is>
          <t>조립자재_재고현황</t>
        </is>
      </c>
    </row>
    <row r="234" ht="30" customHeight="1">
      <c r="A234" s="56" t="inlineStr">
        <is>
          <t>조립</t>
        </is>
      </c>
      <c r="B234" s="52" t="inlineStr">
        <is>
          <t>컬리메이터 적용</t>
        </is>
      </c>
      <c r="C234" s="52" t="inlineStr">
        <is>
          <t>DX3000</t>
        </is>
      </c>
      <c r="D234" s="79">
        <f>IF(INDIRECT("'"&amp;$O234&amp;"'!F"&amp;$N234)="O","원자재",IF(INDIRECT("'"&amp;$O234&amp;"'!G"&amp;$N234)="O","반제품",IF(INDIRECT("'"&amp;$O234&amp;"'!H"&amp;$N234)="O","완제품","")))</f>
        <v/>
      </c>
      <c r="E234" s="79">
        <f>IFERROR(IF(INDIRECT("'"&amp;$O234&amp;"'!I"&amp;$N234)=0,"",INDIRECT("'"&amp;$O234&amp;"'!I"&amp;$N234)),"")</f>
        <v/>
      </c>
      <c r="F234" s="52" t="inlineStr">
        <is>
          <t>아크릴 투명 십자 Panel (66 x 66 mm)</t>
        </is>
      </c>
      <c r="G234" s="52" t="inlineStr">
        <is>
          <t>메디컬용 십자아크릴 (66*66) [DX3000]</t>
        </is>
      </c>
      <c r="H234" s="79">
        <f>IF(AND($F234="",$G234=""),"",IF($F234="","창고전용",IF($G234&lt;&gt;"","매칭완료",IF($D234="반제품","반제품(창고없음)",IF($D234="완제품","완제품(창고없음)",IF($D234="원자재","⚠ 원자재_부서보관","미분류"))))))</f>
        <v/>
      </c>
      <c r="I234" s="79">
        <f>IFERROR(IF(INDIRECT("'"&amp;$O234&amp;"'!P"&amp;$N234)=0,"",INDIRECT("'"&amp;$O234&amp;"'!P"&amp;$N234)),"")</f>
        <v/>
      </c>
      <c r="J234" s="61" t="inlineStr">
        <is>
          <t>아크릴 투명 십자 Panel (66 x 66 mm)</t>
        </is>
      </c>
      <c r="K234" s="85" t="inlineStr">
        <is>
          <t>DX3000 아크릴 투명 십자 Panel (66 x 66 mm)</t>
        </is>
      </c>
      <c r="L234" s="83">
        <f>HYPERLINK("#'"&amp;$O234&amp;"'!A"&amp;$N234,"→ 조립자재 R"&amp;$N234)</f>
        <v/>
      </c>
      <c r="M234" s="84" t="n"/>
      <c r="N234" s="80" t="n">
        <v>58</v>
      </c>
      <c r="O234" s="80" t="inlineStr">
        <is>
          <t>조립자재_재고현황</t>
        </is>
      </c>
    </row>
    <row r="235" ht="30" customHeight="1">
      <c r="A235" s="56" t="inlineStr">
        <is>
          <t>조립</t>
        </is>
      </c>
      <c r="B235" s="52" t="inlineStr">
        <is>
          <t>컬리메이터 적용</t>
        </is>
      </c>
      <c r="C235" s="52" t="inlineStr">
        <is>
          <t>DX3000</t>
        </is>
      </c>
      <c r="D235" s="79">
        <f>IF(INDIRECT("'"&amp;$O235&amp;"'!F"&amp;$N235)="O","원자재",IF(INDIRECT("'"&amp;$O235&amp;"'!G"&amp;$N235)="O","반제품",IF(INDIRECT("'"&amp;$O235&amp;"'!H"&amp;$N235)="O","완제품","")))</f>
        <v/>
      </c>
      <c r="E235" s="79">
        <f>IFERROR(IF(INDIRECT("'"&amp;$O235&amp;"'!I"&amp;$N235)=0,"",INDIRECT("'"&amp;$O235&amp;"'!I"&amp;$N235)),"")</f>
        <v/>
      </c>
      <c r="F235" s="52" t="inlineStr">
        <is>
          <t>아크릴 은경 40∮</t>
        </is>
      </c>
      <c r="G235" s="52" t="inlineStr">
        <is>
          <t>아크릴 은경 (아크릴 40파이) [DX3000, ADX6000,SOLO]</t>
        </is>
      </c>
      <c r="H235" s="79">
        <f>IF(AND($F235="",$G235=""),"",IF($F235="","창고전용",IF($G235&lt;&gt;"","매칭완료",IF($D235="반제품","반제품(창고없음)",IF($D235="완제품","완제품(창고없음)",IF($D235="원자재","⚠ 원자재_부서보관","미분류"))))))</f>
        <v/>
      </c>
      <c r="I235" s="79">
        <f>IFERROR(IF(INDIRECT("'"&amp;$O235&amp;"'!P"&amp;$N235)=0,"",INDIRECT("'"&amp;$O235&amp;"'!P"&amp;$N235)),"")</f>
        <v/>
      </c>
      <c r="J235" s="61" t="inlineStr">
        <is>
          <t>아크릴 은경 40∮</t>
        </is>
      </c>
      <c r="K235" s="85" t="inlineStr">
        <is>
          <t>DX3000, SOLO 아크릴 은경 [40ɸ]</t>
        </is>
      </c>
      <c r="L235" s="83">
        <f>HYPERLINK("#'"&amp;$O235&amp;"'!A"&amp;$N235,"→ 조립자재 R"&amp;$N235)</f>
        <v/>
      </c>
      <c r="M235" s="84" t="n"/>
      <c r="N235" s="80" t="n">
        <v>59</v>
      </c>
      <c r="O235" s="80" t="inlineStr">
        <is>
          <t>조립자재_재고현황</t>
        </is>
      </c>
    </row>
    <row r="236" ht="30" customHeight="1">
      <c r="A236" s="56" t="inlineStr">
        <is>
          <t>조립</t>
        </is>
      </c>
      <c r="B236" s="52" t="inlineStr">
        <is>
          <t>컬리메이터 적용</t>
        </is>
      </c>
      <c r="C236" s="52" t="inlineStr">
        <is>
          <t>DX3000</t>
        </is>
      </c>
      <c r="D236" s="79">
        <f>IF(INDIRECT("'"&amp;$O236&amp;"'!F"&amp;$N236)="O","원자재",IF(INDIRECT("'"&amp;$O236&amp;"'!G"&amp;$N236)="O","반제품",IF(INDIRECT("'"&amp;$O236&amp;"'!H"&amp;$N236)="O","완제품","")))</f>
        <v/>
      </c>
      <c r="E236" s="79">
        <f>IFERROR(IF(INDIRECT("'"&amp;$O236&amp;"'!I"&amp;$N236)=0,"",INDIRECT("'"&amp;$O236&amp;"'!I"&amp;$N236)),"")</f>
        <v/>
      </c>
      <c r="F236" s="52" t="inlineStr">
        <is>
          <t>에이밍 알루미늄 플레이트</t>
        </is>
      </c>
      <c r="G236" s="52" t="inlineStr">
        <is>
          <t>LED PCB 방열 가이드 (흑색 다이캐스팅) [DX3000, ADX6000,SOLO]</t>
        </is>
      </c>
      <c r="H236" s="79">
        <f>IF(AND($F236="",$G236=""),"",IF($F236="","창고전용",IF($G236&lt;&gt;"","매칭완료",IF($D236="반제품","반제품(창고없음)",IF($D236="완제품","완제품(창고없음)",IF($D236="원자재","⚠ 원자재_부서보관","미분류"))))))</f>
        <v/>
      </c>
      <c r="I236" s="79">
        <f>IFERROR(IF(INDIRECT("'"&amp;$O236&amp;"'!P"&amp;$N236)=0,"",INDIRECT("'"&amp;$O236&amp;"'!P"&amp;$N236)),"")</f>
        <v/>
      </c>
      <c r="J236" s="61" t="inlineStr">
        <is>
          <t>에이밍 알루미늄 플레이트</t>
        </is>
      </c>
      <c r="K236" s="85" t="inlineStr">
        <is>
          <t>DX3000 에이밍 알루미늄 플레이트</t>
        </is>
      </c>
      <c r="L236" s="83">
        <f>HYPERLINK("#'"&amp;$O236&amp;"'!A"&amp;$N236,"→ 조립자재 R"&amp;$N236)</f>
        <v/>
      </c>
      <c r="M236" s="84" t="n"/>
      <c r="N236" s="80" t="n">
        <v>60</v>
      </c>
      <c r="O236" s="80" t="inlineStr">
        <is>
          <t>조립자재_재고현황</t>
        </is>
      </c>
    </row>
    <row r="237" ht="30" customHeight="1">
      <c r="A237" s="56" t="inlineStr">
        <is>
          <t>조립</t>
        </is>
      </c>
      <c r="B237" s="52" t="inlineStr">
        <is>
          <t>컬리메이터 적용</t>
        </is>
      </c>
      <c r="C237" s="52" t="inlineStr">
        <is>
          <t>DX3000</t>
        </is>
      </c>
      <c r="D237" s="79">
        <f>IF(INDIRECT("'"&amp;$O237&amp;"'!F"&amp;$N237)="O","원자재",IF(INDIRECT("'"&amp;$O237&amp;"'!G"&amp;$N237)="O","반제품",IF(INDIRECT("'"&amp;$O237&amp;"'!H"&amp;$N237)="O","완제품","")))</f>
        <v/>
      </c>
      <c r="E237" s="79">
        <f>IFERROR(IF(INDIRECT("'"&amp;$O237&amp;"'!I"&amp;$N237)=0,"",INDIRECT("'"&amp;$O237&amp;"'!I"&amp;$N237)),"")</f>
        <v/>
      </c>
      <c r="F237" s="52" t="inlineStr">
        <is>
          <t>에이밍 LED BD</t>
        </is>
      </c>
      <c r="G237" s="52" t="inlineStr">
        <is>
          <t>에이밍 LED 보드 (LED PCB) [DX3000, ADX6000,SOLO]</t>
        </is>
      </c>
      <c r="H237" s="79">
        <f>IF(AND($F237="",$G237=""),"",IF($F237="","창고전용",IF($G237&lt;&gt;"","매칭완료",IF($D237="반제품","반제품(창고없음)",IF($D237="완제품","완제품(창고없음)",IF($D237="원자재","⚠ 원자재_부서보관","미분류"))))))</f>
        <v/>
      </c>
      <c r="I237" s="79">
        <f>IFERROR(IF(INDIRECT("'"&amp;$O237&amp;"'!P"&amp;$N237)=0,"",INDIRECT("'"&amp;$O237&amp;"'!P"&amp;$N237)),"")</f>
        <v/>
      </c>
      <c r="J237" s="61" t="inlineStr">
        <is>
          <t>에이밍 LED BD</t>
        </is>
      </c>
      <c r="K237" s="85" t="inlineStr">
        <is>
          <t>DX3000 에이밍 LED BD</t>
        </is>
      </c>
      <c r="L237" s="83">
        <f>HYPERLINK("#'"&amp;$O237&amp;"'!A"&amp;$N237,"→ 조립자재 R"&amp;$N237)</f>
        <v/>
      </c>
      <c r="M237" s="84" t="n"/>
      <c r="N237" s="80" t="n">
        <v>61</v>
      </c>
      <c r="O237" s="80" t="inlineStr">
        <is>
          <t>조립자재_재고현황</t>
        </is>
      </c>
    </row>
    <row r="238" ht="30" customHeight="1">
      <c r="A238" s="56" t="inlineStr">
        <is>
          <t>조립</t>
        </is>
      </c>
      <c r="B238" s="52" t="inlineStr">
        <is>
          <t>컬리메이터 적용</t>
        </is>
      </c>
      <c r="C238" s="52" t="inlineStr">
        <is>
          <t>DX3000</t>
        </is>
      </c>
      <c r="D238" s="79">
        <f>IF(INDIRECT("'"&amp;$O238&amp;"'!F"&amp;$N238)="O","원자재",IF(INDIRECT("'"&amp;$O238&amp;"'!G"&amp;$N238)="O","반제품",IF(INDIRECT("'"&amp;$O238&amp;"'!H"&amp;$N238)="O","완제품","")))</f>
        <v/>
      </c>
      <c r="E238" s="79">
        <f>IFERROR(IF(INDIRECT("'"&amp;$O238&amp;"'!I"&amp;$N238)=0,"",INDIRECT("'"&amp;$O238&amp;"'!I"&amp;$N238)),"")</f>
        <v/>
      </c>
      <c r="F238" s="52" t="inlineStr">
        <is>
          <t>에이밍 원형 LED GUIDE</t>
        </is>
      </c>
      <c r="G238" s="52" t="inlineStr">
        <is>
          <t>에이밍 바디 뭉치 (ø33*19.3) [DX3000, ADX6000,SOLO]</t>
        </is>
      </c>
      <c r="H238" s="79">
        <f>IF(AND($F238="",$G238=""),"",IF($F238="","창고전용",IF($G238&lt;&gt;"","매칭완료",IF($D238="반제품","반제품(창고없음)",IF($D238="완제품","완제품(창고없음)",IF($D238="원자재","⚠ 원자재_부서보관","미분류"))))))</f>
        <v/>
      </c>
      <c r="I238" s="79">
        <f>IFERROR(IF(INDIRECT("'"&amp;$O238&amp;"'!P"&amp;$N238)=0,"",INDIRECT("'"&amp;$O238&amp;"'!P"&amp;$N238)),"")</f>
        <v/>
      </c>
      <c r="J238" s="61" t="inlineStr">
        <is>
          <t>에이밍 원형 LED GUIDE</t>
        </is>
      </c>
      <c r="K238" s="85" t="inlineStr">
        <is>
          <t>DX3000 에이밍 원형 LED GUIDE</t>
        </is>
      </c>
      <c r="L238" s="83">
        <f>HYPERLINK("#'"&amp;$O238&amp;"'!A"&amp;$N238,"→ 조립자재 R"&amp;$N238)</f>
        <v/>
      </c>
      <c r="M238" s="84" t="n"/>
      <c r="N238" s="80" t="n">
        <v>62</v>
      </c>
      <c r="O238" s="80" t="inlineStr">
        <is>
          <t>조립자재_재고현황</t>
        </is>
      </c>
    </row>
    <row r="239" ht="30" customHeight="1">
      <c r="A239" s="56" t="inlineStr">
        <is>
          <t>조립</t>
        </is>
      </c>
      <c r="B239" s="52" t="inlineStr">
        <is>
          <t>컬리메이터 적용</t>
        </is>
      </c>
      <c r="C239" s="52" t="inlineStr">
        <is>
          <t>DX3000</t>
        </is>
      </c>
      <c r="D239" s="79">
        <f>IF(INDIRECT("'"&amp;$O239&amp;"'!F"&amp;$N239)="O","원자재",IF(INDIRECT("'"&amp;$O239&amp;"'!G"&amp;$N239)="O","반제품",IF(INDIRECT("'"&amp;$O239&amp;"'!H"&amp;$N239)="O","완제품","")))</f>
        <v/>
      </c>
      <c r="E239" s="79">
        <f>IFERROR(IF(INDIRECT("'"&amp;$O239&amp;"'!I"&amp;$N239)=0,"",INDIRECT("'"&amp;$O239&amp;"'!I"&amp;$N239)),"")</f>
        <v/>
      </c>
      <c r="F239" s="52" t="inlineStr">
        <is>
          <t>메디컬용 FRONT ASS'Y</t>
        </is>
      </c>
      <c r="G239" s="52" t="n"/>
      <c r="H239" s="79">
        <f>IF(AND($F239="",$G239=""),"",IF($F239="","창고전용",IF($G239&lt;&gt;"","매칭완료",IF($D239="반제품","반제품(창고없음)",IF($D239="완제품","완제품(창고없음)",IF($D239="원자재","⚠ 원자재_부서보관","미분류"))))))</f>
        <v/>
      </c>
      <c r="I239" s="79">
        <f>IFERROR(IF(INDIRECT("'"&amp;$O239&amp;"'!P"&amp;$N239)=0,"",INDIRECT("'"&amp;$O239&amp;"'!P"&amp;$N239)),"")</f>
        <v/>
      </c>
      <c r="J239" s="61" t="inlineStr">
        <is>
          <t>메디컬용 FRONT ASS'Y</t>
        </is>
      </c>
      <c r="K239" s="85" t="inlineStr">
        <is>
          <t>DX3000 메디컬용 FRONT ASS'Y</t>
        </is>
      </c>
      <c r="L239" s="83">
        <f>HYPERLINK("#'"&amp;$O239&amp;"'!A"&amp;$N239,"→ 조립자재 R"&amp;$N239)</f>
        <v/>
      </c>
      <c r="M239" s="84" t="n"/>
      <c r="N239" s="80" t="n">
        <v>63</v>
      </c>
      <c r="O239" s="80" t="inlineStr">
        <is>
          <t>조립자재_재고현황</t>
        </is>
      </c>
    </row>
    <row r="240" ht="30" customHeight="1">
      <c r="A240" s="56" t="inlineStr">
        <is>
          <t>조립</t>
        </is>
      </c>
      <c r="B240" s="52" t="inlineStr">
        <is>
          <t>컬리메이터 적용</t>
        </is>
      </c>
      <c r="C240" s="52" t="inlineStr">
        <is>
          <t>DX3000</t>
        </is>
      </c>
      <c r="D240" s="79">
        <f>IF(INDIRECT("'"&amp;$O240&amp;"'!F"&amp;$N240)="O","원자재",IF(INDIRECT("'"&amp;$O240&amp;"'!G"&amp;$N240)="O","반제품",IF(INDIRECT("'"&amp;$O240&amp;"'!H"&amp;$N240)="O","완제품","")))</f>
        <v/>
      </c>
      <c r="E240" s="79">
        <f>IFERROR(IF(INDIRECT("'"&amp;$O240&amp;"'!I"&amp;$N240)=0,"",INDIRECT("'"&amp;$O240&amp;"'!I"&amp;$N240)),"")</f>
        <v/>
      </c>
      <c r="F240" s="52" t="inlineStr">
        <is>
          <t>에이밍라이트 플레이트 ASS'Y</t>
        </is>
      </c>
      <c r="G240" s="52" t="n"/>
      <c r="H240" s="79">
        <f>IF(AND($F240="",$G240=""),"",IF($F240="","창고전용",IF($G240&lt;&gt;"","매칭완료",IF($D240="반제품","반제품(창고없음)",IF($D240="완제품","완제품(창고없음)",IF($D240="원자재","⚠ 원자재_부서보관","미분류"))))))</f>
        <v/>
      </c>
      <c r="I240" s="79">
        <f>IFERROR(IF(INDIRECT("'"&amp;$O240&amp;"'!P"&amp;$N240)=0,"",INDIRECT("'"&amp;$O240&amp;"'!P"&amp;$N240)),"")</f>
        <v/>
      </c>
      <c r="J240" s="61" t="inlineStr">
        <is>
          <t>에이밍라이트 플레이트 ASS'Y</t>
        </is>
      </c>
      <c r="K240" s="85" t="inlineStr">
        <is>
          <t>DX3000 에이밍라이트 플레이트 ASS'Y</t>
        </is>
      </c>
      <c r="L240" s="83">
        <f>HYPERLINK("#'"&amp;$O240&amp;"'!A"&amp;$N240,"→ 조립자재 R"&amp;$N240)</f>
        <v/>
      </c>
      <c r="M240" s="84" t="n"/>
      <c r="N240" s="80" t="n">
        <v>64</v>
      </c>
      <c r="O240" s="80" t="inlineStr">
        <is>
          <t>조립자재_재고현황</t>
        </is>
      </c>
    </row>
    <row r="241" ht="30" customHeight="1">
      <c r="A241" s="56" t="inlineStr">
        <is>
          <t>조립</t>
        </is>
      </c>
      <c r="B241" s="52" t="inlineStr">
        <is>
          <t>컬리메이터 적용</t>
        </is>
      </c>
      <c r="C241" s="52" t="inlineStr">
        <is>
          <t>DX3000 블랙 무광</t>
        </is>
      </c>
      <c r="D241" s="79">
        <f>IF(INDIRECT("'"&amp;$O241&amp;"'!F"&amp;$N241)="O","원자재",IF(INDIRECT("'"&amp;$O241&amp;"'!G"&amp;$N241)="O","반제품",IF(INDIRECT("'"&amp;$O241&amp;"'!H"&amp;$N241)="O","완제품","")))</f>
        <v/>
      </c>
      <c r="E241" s="79">
        <f>IFERROR(IF(INDIRECT("'"&amp;$O241&amp;"'!I"&amp;$N241)=0,"",INDIRECT("'"&amp;$O241&amp;"'!I"&amp;$N241)),"")</f>
        <v/>
      </c>
      <c r="F241" s="52" t="inlineStr">
        <is>
          <t>메디컬용 FRONT ASS'Y</t>
        </is>
      </c>
      <c r="G241" s="52" t="n"/>
      <c r="H241" s="79">
        <f>IF(AND($F241="",$G241=""),"",IF($F241="","창고전용",IF($G241&lt;&gt;"","매칭완료",IF($D241="반제품","반제품(창고없음)",IF($D241="완제품","완제품(창고없음)",IF($D241="원자재","⚠ 원자재_부서보관","미분류"))))))</f>
        <v/>
      </c>
      <c r="I241" s="79">
        <f>IFERROR(IF(INDIRECT("'"&amp;$O241&amp;"'!P"&amp;$N241)=0,"",INDIRECT("'"&amp;$O241&amp;"'!P"&amp;$N241)),"")</f>
        <v/>
      </c>
      <c r="J241" s="61" t="inlineStr">
        <is>
          <t>메디컬용 FRONT ASS'Y</t>
        </is>
      </c>
      <c r="K241" s="85" t="inlineStr">
        <is>
          <t>DX3000 사각 컬리메이터 FRONT (B)</t>
        </is>
      </c>
      <c r="L241" s="83">
        <f>HYPERLINK("#'"&amp;$O241&amp;"'!A"&amp;$N241,"→ 조립자재 R"&amp;$N241)</f>
        <v/>
      </c>
      <c r="M241" s="84" t="n"/>
      <c r="N241" s="80" t="n">
        <v>65</v>
      </c>
      <c r="O241" s="80" t="inlineStr">
        <is>
          <t>조립자재_재고현황</t>
        </is>
      </c>
    </row>
    <row r="242" ht="30" customHeight="1">
      <c r="A242" s="56" t="inlineStr">
        <is>
          <t>조립</t>
        </is>
      </c>
      <c r="B242" s="52" t="inlineStr">
        <is>
          <t>컬리메이터 적용</t>
        </is>
      </c>
      <c r="C242" s="52" t="inlineStr">
        <is>
          <t>DX3000 블랙 무광</t>
        </is>
      </c>
      <c r="D242" s="79">
        <f>IF(INDIRECT("'"&amp;$O242&amp;"'!F"&amp;$N242)="O","원자재",IF(INDIRECT("'"&amp;$O242&amp;"'!G"&amp;$N242)="O","반제품",IF(INDIRECT("'"&amp;$O242&amp;"'!H"&amp;$N242)="O","완제품","")))</f>
        <v/>
      </c>
      <c r="E242" s="79">
        <f>IFERROR(IF(INDIRECT("'"&amp;$O242&amp;"'!I"&amp;$N242)=0,"",INDIRECT("'"&amp;$O242&amp;"'!I"&amp;$N242)),"")</f>
        <v/>
      </c>
      <c r="F242" s="52" t="inlineStr">
        <is>
          <t>메디컬용 사출 ASS'Y</t>
        </is>
      </c>
      <c r="G242" s="52" t="n"/>
      <c r="H242" s="79">
        <f>IF(AND($F242="",$G242=""),"",IF($F242="","창고전용",IF($G242&lt;&gt;"","매칭완료",IF($D242="반제품","반제품(창고없음)",IF($D242="완제품","완제품(창고없음)",IF($D242="원자재","⚠ 원자재_부서보관","미분류"))))))</f>
        <v/>
      </c>
      <c r="I242" s="79">
        <f>IFERROR(IF(INDIRECT("'"&amp;$O242&amp;"'!P"&amp;$N242)=0,"",INDIRECT("'"&amp;$O242&amp;"'!P"&amp;$N242)),"")</f>
        <v/>
      </c>
      <c r="J242" s="61" t="inlineStr">
        <is>
          <t>메디컬용 사출 ASS'Y</t>
        </is>
      </c>
      <c r="K242" s="85" t="inlineStr">
        <is>
          <t>DX3000 메디컬용 사출 ASS'Y</t>
        </is>
      </c>
      <c r="L242" s="83">
        <f>HYPERLINK("#'"&amp;$O242&amp;"'!A"&amp;$N242,"→ 조립자재 R"&amp;$N242)</f>
        <v/>
      </c>
      <c r="M242" s="84" t="n"/>
      <c r="N242" s="80" t="n">
        <v>66</v>
      </c>
      <c r="O242" s="80" t="inlineStr">
        <is>
          <t>조립자재_재고현황</t>
        </is>
      </c>
    </row>
    <row r="243" ht="30" customHeight="1">
      <c r="A243" s="56" t="inlineStr">
        <is>
          <t>조립</t>
        </is>
      </c>
      <c r="B243" s="52" t="inlineStr">
        <is>
          <t>사출 및 자재</t>
        </is>
      </c>
      <c r="C243" s="52" t="inlineStr">
        <is>
          <t>ADX4000W</t>
        </is>
      </c>
      <c r="D243" s="79">
        <f>IF(INDIRECT("'"&amp;$O243&amp;"'!F"&amp;$N243)="O","원자재",IF(INDIRECT("'"&amp;$O243&amp;"'!G"&amp;$N243)="O","반제품",IF(INDIRECT("'"&amp;$O243&amp;"'!H"&amp;$N243)="O","완제품","")))</f>
        <v/>
      </c>
      <c r="E243" s="79">
        <f>IFERROR(IF(INDIRECT("'"&amp;$O243&amp;"'!I"&amp;$N243)=0,"",INDIRECT("'"&amp;$O243&amp;"'!I"&amp;$N243)),"")</f>
        <v/>
      </c>
      <c r="F243" s="52" t="inlineStr">
        <is>
          <t>LCD TOP COVER</t>
        </is>
      </c>
      <c r="G243" s="52" t="inlineStr">
        <is>
          <t>LCD TOP (ABS 난연 화이트) [ADX4000W]</t>
        </is>
      </c>
      <c r="H243" s="79">
        <f>IF(AND($F243="",$G243=""),"",IF($F243="","창고전용",IF($G243&lt;&gt;"","매칭완료",IF($D243="반제품","반제품(창고없음)",IF($D243="완제품","완제품(창고없음)",IF($D243="원자재","⚠ 원자재_부서보관","미분류"))))))</f>
        <v/>
      </c>
      <c r="I243" s="79">
        <f>IFERROR(IF(INDIRECT("'"&amp;$O243&amp;"'!P"&amp;$N243)=0,"",INDIRECT("'"&amp;$O243&amp;"'!P"&amp;$N243)),"")</f>
        <v/>
      </c>
      <c r="J243" s="65" t="inlineStr">
        <is>
          <t>LCD TOP COVER</t>
        </is>
      </c>
      <c r="K243" s="65" t="inlineStr">
        <is>
          <t>ADX4000W 4.8' LCD TOP COVER</t>
        </is>
      </c>
      <c r="L243" s="83">
        <f>HYPERLINK("#'"&amp;$O243&amp;"'!A"&amp;$N243,"→ 조립자재 R"&amp;$N243)</f>
        <v/>
      </c>
      <c r="M243" s="84" t="n"/>
      <c r="N243" s="80" t="n">
        <v>67</v>
      </c>
      <c r="O243" s="80" t="inlineStr">
        <is>
          <t>조립자재_재고현황</t>
        </is>
      </c>
    </row>
    <row r="244" ht="30" customHeight="1">
      <c r="A244" s="56" t="inlineStr">
        <is>
          <t>조립</t>
        </is>
      </c>
      <c r="B244" s="52" t="inlineStr">
        <is>
          <t>사출 및 자재</t>
        </is>
      </c>
      <c r="C244" s="52" t="inlineStr">
        <is>
          <t>ADX4000W</t>
        </is>
      </c>
      <c r="D244" s="79">
        <f>IF(INDIRECT("'"&amp;$O244&amp;"'!F"&amp;$N244)="O","원자재",IF(INDIRECT("'"&amp;$O244&amp;"'!G"&amp;$N244)="O","반제품",IF(INDIRECT("'"&amp;$O244&amp;"'!H"&amp;$N244)="O","완제품","")))</f>
        <v/>
      </c>
      <c r="E244" s="79">
        <f>IFERROR(IF(INDIRECT("'"&amp;$O244&amp;"'!I"&amp;$N244)=0,"",INDIRECT("'"&amp;$O244&amp;"'!I"&amp;$N244)),"")</f>
        <v/>
      </c>
      <c r="F244" s="52" t="inlineStr">
        <is>
          <t>LCD BOTTOM COVER</t>
        </is>
      </c>
      <c r="G244" s="52" t="inlineStr">
        <is>
          <t>LCD BOTTOM (ABS 난연 화이트) [ADX4000W]</t>
        </is>
      </c>
      <c r="H244" s="79">
        <f>IF(AND($F244="",$G244=""),"",IF($F244="","창고전용",IF($G244&lt;&gt;"","매칭완료",IF($D244="반제품","반제품(창고없음)",IF($D244="완제품","완제품(창고없음)",IF($D244="원자재","⚠ 원자재_부서보관","미분류"))))))</f>
        <v/>
      </c>
      <c r="I244" s="79">
        <f>IFERROR(IF(INDIRECT("'"&amp;$O244&amp;"'!P"&amp;$N244)=0,"",INDIRECT("'"&amp;$O244&amp;"'!P"&amp;$N244)),"")</f>
        <v/>
      </c>
      <c r="J244" s="65" t="inlineStr">
        <is>
          <t>LCD BOTTOM COVER</t>
        </is>
      </c>
      <c r="K244" s="65" t="inlineStr">
        <is>
          <t>ADX4000W 4.8" LCD BOTTOM COVER</t>
        </is>
      </c>
      <c r="L244" s="83">
        <f>HYPERLINK("#'"&amp;$O244&amp;"'!A"&amp;$N244,"→ 조립자재 R"&amp;$N244)</f>
        <v/>
      </c>
      <c r="M244" s="84" t="n"/>
      <c r="N244" s="80" t="n">
        <v>68</v>
      </c>
      <c r="O244" s="80" t="inlineStr">
        <is>
          <t>조립자재_재고현황</t>
        </is>
      </c>
    </row>
    <row r="245" ht="30" customHeight="1">
      <c r="A245" s="56" t="inlineStr">
        <is>
          <t>조립</t>
        </is>
      </c>
      <c r="B245" s="52" t="inlineStr">
        <is>
          <t>사출 및 자재</t>
        </is>
      </c>
      <c r="C245" s="52" t="inlineStr">
        <is>
          <t>ADX4000W</t>
        </is>
      </c>
      <c r="D245" s="79">
        <f>IF(INDIRECT("'"&amp;$O245&amp;"'!F"&amp;$N245)="O","원자재",IF(INDIRECT("'"&amp;$O245&amp;"'!G"&amp;$N245)="O","반제품",IF(INDIRECT("'"&amp;$O245&amp;"'!H"&amp;$N245)="O","완제품","")))</f>
        <v/>
      </c>
      <c r="E245" s="79">
        <f>IFERROR(IF(INDIRECT("'"&amp;$O245&amp;"'!I"&amp;$N245)=0,"",INDIRECT("'"&amp;$O245&amp;"'!I"&amp;$N245)),"")</f>
        <v/>
      </c>
      <c r="F245" s="52" t="inlineStr">
        <is>
          <t>TOP BODY</t>
        </is>
      </c>
      <c r="G245" s="52" t="inlineStr">
        <is>
          <t>TOP (ABS 난연 화이트) [ADX4000W]</t>
        </is>
      </c>
      <c r="H245" s="79">
        <f>IF(AND($F245="",$G245=""),"",IF($F245="","창고전용",IF($G245&lt;&gt;"","매칭완료",IF($D245="반제품","반제품(창고없음)",IF($D245="완제품","완제품(창고없음)",IF($D245="원자재","⚠ 원자재_부서보관","미분류"))))))</f>
        <v/>
      </c>
      <c r="I245" s="79">
        <f>IFERROR(IF(INDIRECT("'"&amp;$O245&amp;"'!P"&amp;$N245)=0,"",INDIRECT("'"&amp;$O245&amp;"'!P"&amp;$N245)),"")</f>
        <v/>
      </c>
      <c r="J245" s="61" t="inlineStr">
        <is>
          <t>TOP BODY</t>
        </is>
      </c>
      <c r="K245" s="65" t="inlineStr">
        <is>
          <t>ADX4000W TOP BODY</t>
        </is>
      </c>
      <c r="L245" s="83">
        <f>HYPERLINK("#'"&amp;$O245&amp;"'!A"&amp;$N245,"→ 조립자재 R"&amp;$N245)</f>
        <v/>
      </c>
      <c r="M245" s="84" t="n"/>
      <c r="N245" s="80" t="n">
        <v>69</v>
      </c>
      <c r="O245" s="80" t="inlineStr">
        <is>
          <t>조립자재_재고현황</t>
        </is>
      </c>
    </row>
    <row r="246" ht="30" customHeight="1">
      <c r="A246" s="56" t="inlineStr">
        <is>
          <t>조립</t>
        </is>
      </c>
      <c r="B246" s="52" t="inlineStr">
        <is>
          <t>사출 및 자재</t>
        </is>
      </c>
      <c r="C246" s="52" t="inlineStr">
        <is>
          <t>ADX4000W</t>
        </is>
      </c>
      <c r="D246" s="79">
        <f>IF(INDIRECT("'"&amp;$O246&amp;"'!F"&amp;$N246)="O","원자재",IF(INDIRECT("'"&amp;$O246&amp;"'!G"&amp;$N246)="O","반제품",IF(INDIRECT("'"&amp;$O246&amp;"'!H"&amp;$N246)="O","완제품","")))</f>
        <v/>
      </c>
      <c r="E246" s="79">
        <f>IFERROR(IF(INDIRECT("'"&amp;$O246&amp;"'!I"&amp;$N246)=0,"",INDIRECT("'"&amp;$O246&amp;"'!I"&amp;$N246)),"")</f>
        <v/>
      </c>
      <c r="F246" s="52" t="inlineStr">
        <is>
          <t>BOTTOM BODY</t>
        </is>
      </c>
      <c r="G246" s="52" t="inlineStr">
        <is>
          <t>BOTTOM (ABS 난연 화이트) [ADX4000W]</t>
        </is>
      </c>
      <c r="H246" s="79">
        <f>IF(AND($F246="",$G246=""),"",IF($F246="","창고전용",IF($G246&lt;&gt;"","매칭완료",IF($D246="반제품","반제품(창고없음)",IF($D246="완제품","완제품(창고없음)",IF($D246="원자재","⚠ 원자재_부서보관","미분류"))))))</f>
        <v/>
      </c>
      <c r="I246" s="79">
        <f>IFERROR(IF(INDIRECT("'"&amp;$O246&amp;"'!P"&amp;$N246)=0,"",INDIRECT("'"&amp;$O246&amp;"'!P"&amp;$N246)),"")</f>
        <v/>
      </c>
      <c r="J246" s="61" t="inlineStr">
        <is>
          <t>BOTTOM BODY</t>
        </is>
      </c>
      <c r="K246" s="65" t="inlineStr">
        <is>
          <t>ADX4000W BOTTOM BODY</t>
        </is>
      </c>
      <c r="L246" s="83">
        <f>HYPERLINK("#'"&amp;$O246&amp;"'!A"&amp;$N246,"→ 조립자재 R"&amp;$N246)</f>
        <v/>
      </c>
      <c r="M246" s="84" t="n"/>
      <c r="N246" s="80" t="n">
        <v>70</v>
      </c>
      <c r="O246" s="80" t="inlineStr">
        <is>
          <t>조립자재_재고현황</t>
        </is>
      </c>
    </row>
    <row r="247" ht="30" customHeight="1">
      <c r="A247" s="56" t="inlineStr">
        <is>
          <t>조립</t>
        </is>
      </c>
      <c r="B247" s="52" t="inlineStr">
        <is>
          <t>사출 및 자재</t>
        </is>
      </c>
      <c r="C247" s="52" t="inlineStr">
        <is>
          <t>ADX4000W</t>
        </is>
      </c>
      <c r="D247" s="79">
        <f>IF(INDIRECT("'"&amp;$O247&amp;"'!F"&amp;$N247)="O","원자재",IF(INDIRECT("'"&amp;$O247&amp;"'!G"&amp;$N247)="O","반제품",IF(INDIRECT("'"&amp;$O247&amp;"'!H"&amp;$N247)="O","완제품","")))</f>
        <v/>
      </c>
      <c r="E247" s="79">
        <f>IFERROR(IF(INDIRECT("'"&amp;$O247&amp;"'!I"&amp;$N247)=0,"",INDIRECT("'"&amp;$O247&amp;"'!I"&amp;$N247)),"")</f>
        <v/>
      </c>
      <c r="F247" s="52" t="inlineStr">
        <is>
          <t>POWER BUTTON</t>
        </is>
      </c>
      <c r="G247" s="52" t="inlineStr">
        <is>
          <t>POWER BUTTON (ABS 난연 화이트 + 밝은 회색) [ADX4000W]</t>
        </is>
      </c>
      <c r="H247" s="79">
        <f>IF(AND($F247="",$G247=""),"",IF($F247="","창고전용",IF($G247&lt;&gt;"","매칭완료",IF($D247="반제품","반제품(창고없음)",IF($D247="완제품","완제품(창고없음)",IF($D247="원자재","⚠ 원자재_부서보관","미분류"))))))</f>
        <v/>
      </c>
      <c r="I247" s="79">
        <f>IFERROR(IF(INDIRECT("'"&amp;$O247&amp;"'!P"&amp;$N247)=0,"",INDIRECT("'"&amp;$O247&amp;"'!P"&amp;$N247)),"")</f>
        <v/>
      </c>
      <c r="J247" s="61" t="inlineStr">
        <is>
          <t>POWER BUTTON</t>
        </is>
      </c>
      <c r="K247" s="65" t="inlineStr">
        <is>
          <t>ADX4000W POWER BUTTON</t>
        </is>
      </c>
      <c r="L247" s="83">
        <f>HYPERLINK("#'"&amp;$O247&amp;"'!A"&amp;$N247,"→ 조립자재 R"&amp;$N247)</f>
        <v/>
      </c>
      <c r="M247" s="84" t="n"/>
      <c r="N247" s="80" t="n">
        <v>71</v>
      </c>
      <c r="O247" s="80" t="inlineStr">
        <is>
          <t>조립자재_재고현황</t>
        </is>
      </c>
    </row>
    <row r="248" ht="30" customHeight="1">
      <c r="A248" s="56" t="inlineStr">
        <is>
          <t>조립</t>
        </is>
      </c>
      <c r="B248" s="52" t="inlineStr">
        <is>
          <t>사출 및 자재</t>
        </is>
      </c>
      <c r="C248" s="52" t="inlineStr">
        <is>
          <t>ADX4000W</t>
        </is>
      </c>
      <c r="D248" s="79">
        <f>IF(INDIRECT("'"&amp;$O248&amp;"'!F"&amp;$N248)="O","원자재",IF(INDIRECT("'"&amp;$O248&amp;"'!G"&amp;$N248)="O","반제품",IF(INDIRECT("'"&amp;$O248&amp;"'!H"&amp;$N248)="O","완제품","")))</f>
        <v/>
      </c>
      <c r="E248" s="79">
        <f>IFERROR(IF(INDIRECT("'"&amp;$O248&amp;"'!I"&amp;$N248)=0,"",INDIRECT("'"&amp;$O248&amp;"'!I"&amp;$N248)),"")</f>
        <v/>
      </c>
      <c r="F248" s="52" t="inlineStr">
        <is>
          <t>POWER LED GUIDE</t>
        </is>
      </c>
      <c r="G248" s="52" t="inlineStr">
        <is>
          <t>POWER LED GUIDE (확산 아크릴) [ADX4000W]</t>
        </is>
      </c>
      <c r="H248" s="79">
        <f>IF(AND($F248="",$G248=""),"",IF($F248="","창고전용",IF($G248&lt;&gt;"","매칭완료",IF($D248="반제품","반제품(창고없음)",IF($D248="완제품","완제품(창고없음)",IF($D248="원자재","⚠ 원자재_부서보관","미분류"))))))</f>
        <v/>
      </c>
      <c r="I248" s="79">
        <f>IFERROR(IF(INDIRECT("'"&amp;$O248&amp;"'!P"&amp;$N248)=0,"",INDIRECT("'"&amp;$O248&amp;"'!P"&amp;$N248)),"")</f>
        <v/>
      </c>
      <c r="J248" s="61" t="inlineStr">
        <is>
          <t>POWER LED GUIDE</t>
        </is>
      </c>
      <c r="K248" s="65" t="inlineStr">
        <is>
          <t>ADX4000W POWER LED GUIDE</t>
        </is>
      </c>
      <c r="L248" s="83">
        <f>HYPERLINK("#'"&amp;$O248&amp;"'!A"&amp;$N248,"→ 조립자재 R"&amp;$N248)</f>
        <v/>
      </c>
      <c r="M248" s="84" t="n"/>
      <c r="N248" s="80" t="n">
        <v>72</v>
      </c>
      <c r="O248" s="80" t="inlineStr">
        <is>
          <t>조립자재_재고현황</t>
        </is>
      </c>
    </row>
    <row r="249" ht="30" customHeight="1">
      <c r="A249" s="56" t="inlineStr">
        <is>
          <t>조립</t>
        </is>
      </c>
      <c r="B249" s="52" t="inlineStr">
        <is>
          <t>사출 및 자재</t>
        </is>
      </c>
      <c r="C249" s="52" t="inlineStr">
        <is>
          <t>ADX4000W</t>
        </is>
      </c>
      <c r="D249" s="79">
        <f>IF(INDIRECT("'"&amp;$O249&amp;"'!F"&amp;$N249)="O","원자재",IF(INDIRECT("'"&amp;$O249&amp;"'!G"&amp;$N249)="O","반제품",IF(INDIRECT("'"&amp;$O249&amp;"'!H"&amp;$N249)="O","완제품","")))</f>
        <v/>
      </c>
      <c r="E249" s="79">
        <f>IFERROR(IF(INDIRECT("'"&amp;$O249&amp;"'!I"&amp;$N249)=0,"",INDIRECT("'"&amp;$O249&amp;"'!I"&amp;$N249)),"")</f>
        <v/>
      </c>
      <c r="F249" s="52" t="inlineStr">
        <is>
          <t>NAVI BUTTON (가운데)</t>
        </is>
      </c>
      <c r="G249" s="52" t="inlineStr">
        <is>
          <t>NAVI BUTTON (가운데) (ABS 난연 화이트 + 밝은 회색) [ADX4000W]</t>
        </is>
      </c>
      <c r="H249" s="79">
        <f>IF(AND($F249="",$G249=""),"",IF($F249="","창고전용",IF($G249&lt;&gt;"","매칭완료",IF($D249="반제품","반제품(창고없음)",IF($D249="완제품","완제품(창고없음)",IF($D249="원자재","⚠ 원자재_부서보관","미분류"))))))</f>
        <v/>
      </c>
      <c r="I249" s="79">
        <f>IFERROR(IF(INDIRECT("'"&amp;$O249&amp;"'!P"&amp;$N249)=0,"",INDIRECT("'"&amp;$O249&amp;"'!P"&amp;$N249)),"")</f>
        <v/>
      </c>
      <c r="J249" s="61" t="inlineStr">
        <is>
          <t>NAVI BUTTON (가운데)</t>
        </is>
      </c>
      <c r="K249" s="65" t="inlineStr">
        <is>
          <t>ADX4000W NAVI BUTTON (가운데)</t>
        </is>
      </c>
      <c r="L249" s="83">
        <f>HYPERLINK("#'"&amp;$O249&amp;"'!A"&amp;$N249,"→ 조립자재 R"&amp;$N249)</f>
        <v/>
      </c>
      <c r="M249" s="84" t="n"/>
      <c r="N249" s="80" t="n">
        <v>73</v>
      </c>
      <c r="O249" s="80" t="inlineStr">
        <is>
          <t>조립자재_재고현황</t>
        </is>
      </c>
    </row>
    <row r="250" ht="30" customHeight="1">
      <c r="A250" s="56" t="inlineStr">
        <is>
          <t>조립</t>
        </is>
      </c>
      <c r="B250" s="52" t="inlineStr">
        <is>
          <t>사출 및 자재</t>
        </is>
      </c>
      <c r="C250" s="52" t="inlineStr">
        <is>
          <t>ADX4000W</t>
        </is>
      </c>
      <c r="D250" s="79">
        <f>IF(INDIRECT("'"&amp;$O250&amp;"'!F"&amp;$N250)="O","원자재",IF(INDIRECT("'"&amp;$O250&amp;"'!G"&amp;$N250)="O","반제품",IF(INDIRECT("'"&amp;$O250&amp;"'!H"&amp;$N250)="O","완제품","")))</f>
        <v/>
      </c>
      <c r="E250" s="79">
        <f>IFERROR(IF(INDIRECT("'"&amp;$O250&amp;"'!I"&amp;$N250)=0,"",INDIRECT("'"&amp;$O250&amp;"'!I"&amp;$N250)),"")</f>
        <v/>
      </c>
      <c r="F250" s="52" t="inlineStr">
        <is>
          <t>NAVI KEY (방향)</t>
        </is>
      </c>
      <c r="G250" s="52" t="inlineStr">
        <is>
          <t>NAVI KEY (방향) (ABS 난연 화이트 + 밝은 회색) [ADX4000W]</t>
        </is>
      </c>
      <c r="H250" s="79">
        <f>IF(AND($F250="",$G250=""),"",IF($F250="","창고전용",IF($G250&lt;&gt;"","매칭완료",IF($D250="반제품","반제품(창고없음)",IF($D250="완제품","완제품(창고없음)",IF($D250="원자재","⚠ 원자재_부서보관","미분류"))))))</f>
        <v/>
      </c>
      <c r="I250" s="79">
        <f>IFERROR(IF(INDIRECT("'"&amp;$O250&amp;"'!P"&amp;$N250)=0,"",INDIRECT("'"&amp;$O250&amp;"'!P"&amp;$N250)),"")</f>
        <v/>
      </c>
      <c r="J250" s="61" t="inlineStr">
        <is>
          <t>NAVI KEY (방향)</t>
        </is>
      </c>
      <c r="K250" s="65" t="inlineStr">
        <is>
          <t>ADX4000W NAVI KEY (방향)</t>
        </is>
      </c>
      <c r="L250" s="83">
        <f>HYPERLINK("#'"&amp;$O250&amp;"'!A"&amp;$N250,"→ 조립자재 R"&amp;$N250)</f>
        <v/>
      </c>
      <c r="M250" s="84" t="n"/>
      <c r="N250" s="80" t="n">
        <v>74</v>
      </c>
      <c r="O250" s="80" t="inlineStr">
        <is>
          <t>조립자재_재고현황</t>
        </is>
      </c>
    </row>
    <row r="251" ht="30" customHeight="1">
      <c r="A251" s="56" t="inlineStr">
        <is>
          <t>조립</t>
        </is>
      </c>
      <c r="B251" s="52" t="inlineStr">
        <is>
          <t>사출 및 자재</t>
        </is>
      </c>
      <c r="C251" s="52" t="inlineStr">
        <is>
          <t>ADX4000W</t>
        </is>
      </c>
      <c r="D251" s="79">
        <f>IF(INDIRECT("'"&amp;$O251&amp;"'!F"&amp;$N251)="O","원자재",IF(INDIRECT("'"&amp;$O251&amp;"'!G"&amp;$N251)="O","반제품",IF(INDIRECT("'"&amp;$O251&amp;"'!H"&amp;$N251)="O","완제품","")))</f>
        <v/>
      </c>
      <c r="E251" s="79">
        <f>IFERROR(IF(INDIRECT("'"&amp;$O251&amp;"'!I"&amp;$N251)=0,"",INDIRECT("'"&amp;$O251&amp;"'!I"&amp;$N251)),"")</f>
        <v/>
      </c>
      <c r="F251" s="52" t="inlineStr">
        <is>
          <t>EXPOSE BUTTON</t>
        </is>
      </c>
      <c r="G251" s="52" t="inlineStr">
        <is>
          <t>EXPOSE BUTTON (ABS 난연 화이트 + 밝은 회색) [ADX4000W]</t>
        </is>
      </c>
      <c r="H251" s="79">
        <f>IF(AND($F251="",$G251=""),"",IF($F251="","창고전용",IF($G251&lt;&gt;"","매칭완료",IF($D251="반제품","반제품(창고없음)",IF($D251="완제품","완제품(창고없음)",IF($D251="원자재","⚠ 원자재_부서보관","미분류"))))))</f>
        <v/>
      </c>
      <c r="I251" s="79">
        <f>IFERROR(IF(INDIRECT("'"&amp;$O251&amp;"'!P"&amp;$N251)=0,"",INDIRECT("'"&amp;$O251&amp;"'!P"&amp;$N251)),"")</f>
        <v/>
      </c>
      <c r="J251" s="61" t="inlineStr">
        <is>
          <t>EXPOSE BUTTON</t>
        </is>
      </c>
      <c r="K251" s="65" t="inlineStr">
        <is>
          <t>ADX4000W EXPOSE BUTTON</t>
        </is>
      </c>
      <c r="L251" s="83">
        <f>HYPERLINK("#'"&amp;$O251&amp;"'!A"&amp;$N251,"→ 조립자재 R"&amp;$N251)</f>
        <v/>
      </c>
      <c r="M251" s="84" t="n"/>
      <c r="N251" s="80" t="n">
        <v>75</v>
      </c>
      <c r="O251" s="80" t="inlineStr">
        <is>
          <t>조립자재_재고현황</t>
        </is>
      </c>
    </row>
    <row r="252" ht="30" customHeight="1">
      <c r="A252" s="56" t="inlineStr">
        <is>
          <t>조립</t>
        </is>
      </c>
      <c r="B252" s="52" t="inlineStr">
        <is>
          <t>사출 및 자재</t>
        </is>
      </c>
      <c r="C252" s="52" t="inlineStr">
        <is>
          <t>ADX4000W</t>
        </is>
      </c>
      <c r="D252" s="79">
        <f>IF(INDIRECT("'"&amp;$O252&amp;"'!F"&amp;$N252)="O","원자재",IF(INDIRECT("'"&amp;$O252&amp;"'!G"&amp;$N252)="O","반제품",IF(INDIRECT("'"&amp;$O252&amp;"'!H"&amp;$N252)="O","완제품","")))</f>
        <v/>
      </c>
      <c r="E252" s="79">
        <f>IFERROR(IF(INDIRECT("'"&amp;$O252&amp;"'!I"&amp;$N252)=0,"",INDIRECT("'"&amp;$O252&amp;"'!I"&amp;$N252)),"")</f>
        <v/>
      </c>
      <c r="F252" s="52" t="inlineStr">
        <is>
          <t>EX LED GUIDE</t>
        </is>
      </c>
      <c r="G252" s="52" t="inlineStr">
        <is>
          <t>EX LED GUIDE (확산 아크릴) [ADX4000W]</t>
        </is>
      </c>
      <c r="H252" s="79">
        <f>IF(AND($F252="",$G252=""),"",IF($F252="","창고전용",IF($G252&lt;&gt;"","매칭완료",IF($D252="반제품","반제품(창고없음)",IF($D252="완제품","완제품(창고없음)",IF($D252="원자재","⚠ 원자재_부서보관","미분류"))))))</f>
        <v/>
      </c>
      <c r="I252" s="79">
        <f>IFERROR(IF(INDIRECT("'"&amp;$O252&amp;"'!P"&amp;$N252)=0,"",INDIRECT("'"&amp;$O252&amp;"'!P"&amp;$N252)),"")</f>
        <v/>
      </c>
      <c r="J252" s="61" t="inlineStr">
        <is>
          <t>EX LED GUIDE</t>
        </is>
      </c>
      <c r="K252" s="65" t="inlineStr">
        <is>
          <t>ADX4000W EX LED GUIDE</t>
        </is>
      </c>
      <c r="L252" s="83">
        <f>HYPERLINK("#'"&amp;$O252&amp;"'!A"&amp;$N252,"→ 조립자재 R"&amp;$N252)</f>
        <v/>
      </c>
      <c r="M252" s="84" t="n"/>
      <c r="N252" s="80" t="n">
        <v>76</v>
      </c>
      <c r="O252" s="80" t="inlineStr">
        <is>
          <t>조립자재_재고현황</t>
        </is>
      </c>
    </row>
    <row r="253" ht="30" customHeight="1">
      <c r="A253" s="56" t="inlineStr">
        <is>
          <t>조립</t>
        </is>
      </c>
      <c r="B253" s="52" t="inlineStr">
        <is>
          <t>사출 및 자재</t>
        </is>
      </c>
      <c r="C253" s="52" t="inlineStr">
        <is>
          <t>ADX4000W</t>
        </is>
      </c>
      <c r="D253" s="79">
        <f>IF(INDIRECT("'"&amp;$O253&amp;"'!F"&amp;$N253)="O","원자재",IF(INDIRECT("'"&amp;$O253&amp;"'!G"&amp;$N253)="O","반제품",IF(INDIRECT("'"&amp;$O253&amp;"'!H"&amp;$N253)="O","완제품","")))</f>
        <v/>
      </c>
      <c r="E253" s="79">
        <f>IFERROR(IF(INDIRECT("'"&amp;$O253&amp;"'!I"&amp;$N253)=0,"",INDIRECT("'"&amp;$O253&amp;"'!I"&amp;$N253)),"")</f>
        <v/>
      </c>
      <c r="F253" s="52" t="inlineStr">
        <is>
          <t>HAND GUIDE</t>
        </is>
      </c>
      <c r="G253" s="52" t="inlineStr">
        <is>
          <t>HAND GUIDE (ABS 난연 화이트) [ADX4000W]</t>
        </is>
      </c>
      <c r="H253" s="79">
        <f>IF(AND($F253="",$G253=""),"",IF($F253="","창고전용",IF($G253&lt;&gt;"","매칭완료",IF($D253="반제품","반제품(창고없음)",IF($D253="완제품","완제품(창고없음)",IF($D253="원자재","⚠ 원자재_부서보관","미분류"))))))</f>
        <v/>
      </c>
      <c r="I253" s="79">
        <f>IFERROR(IF(INDIRECT("'"&amp;$O253&amp;"'!P"&amp;$N253)=0,"",INDIRECT("'"&amp;$O253&amp;"'!P"&amp;$N253)),"")</f>
        <v/>
      </c>
      <c r="J253" s="61" t="inlineStr">
        <is>
          <t>HAND GUIDE</t>
        </is>
      </c>
      <c r="K253" s="65" t="inlineStr">
        <is>
          <t>ADX4000W HAND GUIDE</t>
        </is>
      </c>
      <c r="L253" s="83">
        <f>HYPERLINK("#'"&amp;$O253&amp;"'!A"&amp;$N253,"→ 조립자재 R"&amp;$N253)</f>
        <v/>
      </c>
      <c r="M253" s="84" t="n"/>
      <c r="N253" s="80" t="n">
        <v>77</v>
      </c>
      <c r="O253" s="80" t="inlineStr">
        <is>
          <t>조립자재_재고현황</t>
        </is>
      </c>
    </row>
    <row r="254" ht="30" customHeight="1">
      <c r="A254" s="56" t="inlineStr">
        <is>
          <t>조립</t>
        </is>
      </c>
      <c r="B254" s="52" t="inlineStr">
        <is>
          <t>사출 및 자재</t>
        </is>
      </c>
      <c r="C254" s="52" t="inlineStr">
        <is>
          <t>ADX4000W</t>
        </is>
      </c>
      <c r="D254" s="79">
        <f>IF(INDIRECT("'"&amp;$O254&amp;"'!F"&amp;$N254)="O","원자재",IF(INDIRECT("'"&amp;$O254&amp;"'!G"&amp;$N254)="O","반제품",IF(INDIRECT("'"&amp;$O254&amp;"'!H"&amp;$N254)="O","완제품","")))</f>
        <v/>
      </c>
      <c r="E254" s="79">
        <f>IFERROR(IF(INDIRECT("'"&amp;$O254&amp;"'!I"&amp;$N254)=0,"",INDIRECT("'"&amp;$O254&amp;"'!I"&amp;$N254)),"")</f>
        <v/>
      </c>
      <c r="F254" s="52" t="inlineStr">
        <is>
          <t>LCD GUIDE</t>
        </is>
      </c>
      <c r="G254" s="52" t="inlineStr">
        <is>
          <t>LCD GUIDE (ABS 난연 화이트) [ADX4000W]</t>
        </is>
      </c>
      <c r="H254" s="79">
        <f>IF(AND($F254="",$G254=""),"",IF($F254="","창고전용",IF($G254&lt;&gt;"","매칭완료",IF($D254="반제품","반제품(창고없음)",IF($D254="완제품","완제품(창고없음)",IF($D254="원자재","⚠ 원자재_부서보관","미분류"))))))</f>
        <v/>
      </c>
      <c r="I254" s="79">
        <f>IFERROR(IF(INDIRECT("'"&amp;$O254&amp;"'!P"&amp;$N254)=0,"",INDIRECT("'"&amp;$O254&amp;"'!P"&amp;$N254)),"")</f>
        <v/>
      </c>
      <c r="J254" s="61" t="inlineStr">
        <is>
          <t>LCD GUIDE</t>
        </is>
      </c>
      <c r="K254" s="65" t="inlineStr">
        <is>
          <t>ADX4000W LCD GUIDE</t>
        </is>
      </c>
      <c r="L254" s="83">
        <f>HYPERLINK("#'"&amp;$O254&amp;"'!A"&amp;$N254,"→ 조립자재 R"&amp;$N254)</f>
        <v/>
      </c>
      <c r="M254" s="84" t="n"/>
      <c r="N254" s="80" t="n">
        <v>78</v>
      </c>
      <c r="O254" s="80" t="inlineStr">
        <is>
          <t>조립자재_재고현황</t>
        </is>
      </c>
    </row>
    <row r="255" ht="30" customHeight="1">
      <c r="A255" s="56" t="inlineStr">
        <is>
          <t>조립</t>
        </is>
      </c>
      <c r="B255" s="52" t="inlineStr">
        <is>
          <t>사출 및 자재</t>
        </is>
      </c>
      <c r="C255" s="52" t="inlineStr">
        <is>
          <t>ADX4000W</t>
        </is>
      </c>
      <c r="D255" s="79">
        <f>IF(INDIRECT("'"&amp;$O255&amp;"'!F"&amp;$N255)="O","원자재",IF(INDIRECT("'"&amp;$O255&amp;"'!G"&amp;$N255)="O","반제품",IF(INDIRECT("'"&amp;$O255&amp;"'!H"&amp;$N255)="O","완제품","")))</f>
        <v/>
      </c>
      <c r="E255" s="79">
        <f>IFERROR(IF(INDIRECT("'"&amp;$O255&amp;"'!I"&amp;$N255)=0,"",INDIRECT("'"&amp;$O255&amp;"'!I"&amp;$N255)),"")</f>
        <v/>
      </c>
      <c r="F255" s="52" t="inlineStr">
        <is>
          <t>HINGE GUIDE</t>
        </is>
      </c>
      <c r="G255" s="52" t="inlineStr">
        <is>
          <t>HINGE GUIDE (ABS 난연 화이트) [ADX4000W]</t>
        </is>
      </c>
      <c r="H255" s="79">
        <f>IF(AND($F255="",$G255=""),"",IF($F255="","창고전용",IF($G255&lt;&gt;"","매칭완료",IF($D255="반제품","반제품(창고없음)",IF($D255="완제품","완제품(창고없음)",IF($D255="원자재","⚠ 원자재_부서보관","미분류"))))))</f>
        <v/>
      </c>
      <c r="I255" s="79">
        <f>IFERROR(IF(INDIRECT("'"&amp;$O255&amp;"'!P"&amp;$N255)=0,"",INDIRECT("'"&amp;$O255&amp;"'!P"&amp;$N255)),"")</f>
        <v/>
      </c>
      <c r="J255" s="61" t="inlineStr">
        <is>
          <t>HINGE GUIDE</t>
        </is>
      </c>
      <c r="K255" s="65" t="inlineStr">
        <is>
          <t>ADX4000W HINGE GUIDE</t>
        </is>
      </c>
      <c r="L255" s="83">
        <f>HYPERLINK("#'"&amp;$O255&amp;"'!A"&amp;$N255,"→ 조립자재 R"&amp;$N255)</f>
        <v/>
      </c>
      <c r="M255" s="84" t="n"/>
      <c r="N255" s="80" t="n">
        <v>79</v>
      </c>
      <c r="O255" s="80" t="inlineStr">
        <is>
          <t>조립자재_재고현황</t>
        </is>
      </c>
    </row>
    <row r="256" ht="30" customHeight="1">
      <c r="A256" s="56" t="inlineStr">
        <is>
          <t>조립</t>
        </is>
      </c>
      <c r="B256" s="52" t="inlineStr">
        <is>
          <t>사출 및 자재</t>
        </is>
      </c>
      <c r="C256" s="52" t="inlineStr">
        <is>
          <t>ADX4000W</t>
        </is>
      </c>
      <c r="D256" s="79">
        <f>IF(INDIRECT("'"&amp;$O256&amp;"'!F"&amp;$N256)="O","원자재",IF(INDIRECT("'"&amp;$O256&amp;"'!G"&amp;$N256)="O","반제품",IF(INDIRECT("'"&amp;$O256&amp;"'!H"&amp;$N256)="O","완제품","")))</f>
        <v/>
      </c>
      <c r="E256" s="79">
        <f>IFERROR(IF(INDIRECT("'"&amp;$O256&amp;"'!I"&amp;$N256)=0,"",INDIRECT("'"&amp;$O256&amp;"'!I"&amp;$N256)),"")</f>
        <v/>
      </c>
      <c r="F256" s="52" t="inlineStr">
        <is>
          <t>데코 가이드</t>
        </is>
      </c>
      <c r="G256" s="52" t="inlineStr">
        <is>
          <t>GUIDE (ABS 난연 화이트 + 진한 회색) [ADX4000W]</t>
        </is>
      </c>
      <c r="H256" s="79">
        <f>IF(AND($F256="",$G256=""),"",IF($F256="","창고전용",IF($G256&lt;&gt;"","매칭완료",IF($D256="반제품","반제품(창고없음)",IF($D256="완제품","완제품(창고없음)",IF($D256="원자재","⚠ 원자재_부서보관","미분류"))))))</f>
        <v/>
      </c>
      <c r="I256" s="79">
        <f>IFERROR(IF(INDIRECT("'"&amp;$O256&amp;"'!P"&amp;$N256)=0,"",INDIRECT("'"&amp;$O256&amp;"'!P"&amp;$N256)),"")</f>
        <v/>
      </c>
      <c r="J256" s="61" t="inlineStr">
        <is>
          <t>데코 가이드</t>
        </is>
      </c>
      <c r="K256" s="65" t="inlineStr">
        <is>
          <t>ADX4000W 데코 가이드</t>
        </is>
      </c>
      <c r="L256" s="83">
        <f>HYPERLINK("#'"&amp;$O256&amp;"'!A"&amp;$N256,"→ 조립자재 R"&amp;$N256)</f>
        <v/>
      </c>
      <c r="M256" s="84" t="n"/>
      <c r="N256" s="80" t="n">
        <v>80</v>
      </c>
      <c r="O256" s="80" t="inlineStr">
        <is>
          <t>조립자재_재고현황</t>
        </is>
      </c>
    </row>
    <row r="257" ht="30" customHeight="1">
      <c r="A257" s="56" t="inlineStr">
        <is>
          <t>조립</t>
        </is>
      </c>
      <c r="B257" s="52" t="inlineStr">
        <is>
          <t>사출 및 자재</t>
        </is>
      </c>
      <c r="C257" s="52" t="inlineStr">
        <is>
          <t>ADX4000W</t>
        </is>
      </c>
      <c r="D257" s="79">
        <f>IF(INDIRECT("'"&amp;$O257&amp;"'!F"&amp;$N257)="O","원자재",IF(INDIRECT("'"&amp;$O257&amp;"'!G"&amp;$N257)="O","반제품",IF(INDIRECT("'"&amp;$O257&amp;"'!H"&amp;$N257)="O","완제품","")))</f>
        <v/>
      </c>
      <c r="E257" s="79">
        <f>IFERROR(IF(INDIRECT("'"&amp;$O257&amp;"'!I"&amp;$N257)=0,"",INDIRECT("'"&amp;$O257&amp;"'!I"&amp;$N257)),"")</f>
        <v/>
      </c>
      <c r="F257" s="52" t="inlineStr">
        <is>
          <t>FRONT CONE 일체형</t>
        </is>
      </c>
      <c r="G257" s="52" t="inlineStr">
        <is>
          <t>FRONT CONE 일체형 (ABS 난연 화이트 + 진한 회색) [ADX4000W]</t>
        </is>
      </c>
      <c r="H257" s="79">
        <f>IF(AND($F257="",$G257=""),"",IF($F257="","창고전용",IF($G257&lt;&gt;"","매칭완료",IF($D257="반제품","반제품(창고없음)",IF($D257="완제품","완제품(창고없음)",IF($D257="원자재","⚠ 원자재_부서보관","미분류"))))))</f>
        <v/>
      </c>
      <c r="I257" s="79">
        <f>IFERROR(IF(INDIRECT("'"&amp;$O257&amp;"'!P"&amp;$N257)=0,"",INDIRECT("'"&amp;$O257&amp;"'!P"&amp;$N257)),"")</f>
        <v/>
      </c>
      <c r="J257" s="61" t="inlineStr">
        <is>
          <t>FRONT CONE 일체형</t>
        </is>
      </c>
      <c r="K257" s="65" t="inlineStr">
        <is>
          <t>ADX4000W FRONT CONE 일체형</t>
        </is>
      </c>
      <c r="L257" s="83">
        <f>HYPERLINK("#'"&amp;$O257&amp;"'!A"&amp;$N257,"→ 조립자재 R"&amp;$N257)</f>
        <v/>
      </c>
      <c r="M257" s="84" t="n"/>
      <c r="N257" s="80" t="n">
        <v>81</v>
      </c>
      <c r="O257" s="80" t="inlineStr">
        <is>
          <t>조립자재_재고현황</t>
        </is>
      </c>
    </row>
    <row r="258" ht="30" customHeight="1">
      <c r="A258" s="56" t="inlineStr">
        <is>
          <t>조립</t>
        </is>
      </c>
      <c r="B258" s="52" t="inlineStr">
        <is>
          <t>사출 및 자재</t>
        </is>
      </c>
      <c r="C258" s="52" t="inlineStr">
        <is>
          <t>ADX4000W</t>
        </is>
      </c>
      <c r="D258" s="79">
        <f>IF(INDIRECT("'"&amp;$O258&amp;"'!F"&amp;$N258)="O","원자재",IF(INDIRECT("'"&amp;$O258&amp;"'!G"&amp;$N258)="O","반제품",IF(INDIRECT("'"&amp;$O258&amp;"'!H"&amp;$N258)="O","완제품","")))</f>
        <v/>
      </c>
      <c r="E258" s="79">
        <f>IFERROR(IF(INDIRECT("'"&amp;$O258&amp;"'!I"&amp;$N258)=0,"",INDIRECT("'"&amp;$O258&amp;"'!I"&amp;$N258)),"")</f>
        <v/>
      </c>
      <c r="F258" s="52" t="inlineStr">
        <is>
          <t>FRONT CONE 체결형</t>
        </is>
      </c>
      <c r="G258" s="52" t="inlineStr">
        <is>
          <t>FRONT CONE 체결형 (ABS 난연 화이트 + 진한 회색) [ADX4000W]</t>
        </is>
      </c>
      <c r="H258" s="79">
        <f>IF(AND($F258="",$G258=""),"",IF($F258="","창고전용",IF($G258&lt;&gt;"","매칭완료",IF($D258="반제품","반제품(창고없음)",IF($D258="완제품","완제품(창고없음)",IF($D258="원자재","⚠ 원자재_부서보관","미분류"))))))</f>
        <v/>
      </c>
      <c r="I258" s="79">
        <f>IFERROR(IF(INDIRECT("'"&amp;$O258&amp;"'!P"&amp;$N258)=0,"",INDIRECT("'"&amp;$O258&amp;"'!P"&amp;$N258)),"")</f>
        <v/>
      </c>
      <c r="J258" s="61" t="inlineStr">
        <is>
          <t>FRONT CONE 체결형</t>
        </is>
      </c>
      <c r="K258" s="65" t="inlineStr">
        <is>
          <t>ADX4000W FRONT CONE 체결형</t>
        </is>
      </c>
      <c r="L258" s="83">
        <f>HYPERLINK("#'"&amp;$O258&amp;"'!A"&amp;$N258,"→ 조립자재 R"&amp;$N258)</f>
        <v/>
      </c>
      <c r="M258" s="84" t="n"/>
      <c r="N258" s="80" t="n">
        <v>82</v>
      </c>
      <c r="O258" s="80" t="inlineStr">
        <is>
          <t>조립자재_재고현황</t>
        </is>
      </c>
    </row>
    <row r="259" ht="30" customHeight="1">
      <c r="A259" s="56" t="inlineStr">
        <is>
          <t>조립</t>
        </is>
      </c>
      <c r="B259" s="52" t="inlineStr">
        <is>
          <t>사출 및 자재</t>
        </is>
      </c>
      <c r="C259" s="52" t="inlineStr">
        <is>
          <t>ADX4000W</t>
        </is>
      </c>
      <c r="D259" s="79">
        <f>IF(INDIRECT("'"&amp;$O259&amp;"'!F"&amp;$N259)="O","원자재",IF(INDIRECT("'"&amp;$O259&amp;"'!G"&amp;$N259)="O","반제품",IF(INDIRECT("'"&amp;$O259&amp;"'!H"&amp;$N259)="O","완제품","")))</f>
        <v/>
      </c>
      <c r="E259" s="79">
        <f>IFERROR(IF(INDIRECT("'"&amp;$O259&amp;"'!I"&amp;$N259)=0,"",INDIRECT("'"&amp;$O259&amp;"'!I"&amp;$N259)),"")</f>
        <v/>
      </c>
      <c r="F259" s="52" t="inlineStr">
        <is>
          <t>20cm CONE</t>
        </is>
      </c>
      <c r="G259" s="52" t="inlineStr">
        <is>
          <t>20cm CONE (ABS 난연 화이트 + 진한 회색) [ADX4000W]</t>
        </is>
      </c>
      <c r="H259" s="79">
        <f>IF(AND($F259="",$G259=""),"",IF($F259="","창고전용",IF($G259&lt;&gt;"","매칭완료",IF($D259="반제품","반제품(창고없음)",IF($D259="완제품","완제품(창고없음)",IF($D259="원자재","⚠ 원자재_부서보관","미분류"))))))</f>
        <v/>
      </c>
      <c r="I259" s="79">
        <f>IFERROR(IF(INDIRECT("'"&amp;$O259&amp;"'!P"&amp;$N259)=0,"",INDIRECT("'"&amp;$O259&amp;"'!P"&amp;$N259)),"")</f>
        <v/>
      </c>
      <c r="J259" s="61" t="inlineStr">
        <is>
          <t>20cm CONE</t>
        </is>
      </c>
      <c r="K259" s="65" t="inlineStr">
        <is>
          <t>ADX4000W 20cm CONE</t>
        </is>
      </c>
      <c r="L259" s="83">
        <f>HYPERLINK("#'"&amp;$O259&amp;"'!A"&amp;$N259,"→ 조립자재 R"&amp;$N259)</f>
        <v/>
      </c>
      <c r="M259" s="84" t="n"/>
      <c r="N259" s="80" t="n">
        <v>83</v>
      </c>
      <c r="O259" s="80" t="inlineStr">
        <is>
          <t>조립자재_재고현황</t>
        </is>
      </c>
    </row>
    <row r="260" ht="30" customHeight="1">
      <c r="A260" s="56" t="inlineStr">
        <is>
          <t>조립</t>
        </is>
      </c>
      <c r="B260" s="52" t="inlineStr">
        <is>
          <t>사출 및 자재</t>
        </is>
      </c>
      <c r="C260" s="52" t="inlineStr">
        <is>
          <t>ADX4000W</t>
        </is>
      </c>
      <c r="D260" s="79">
        <f>IF(INDIRECT("'"&amp;$O260&amp;"'!F"&amp;$N260)="O","원자재",IF(INDIRECT("'"&amp;$O260&amp;"'!G"&amp;$N260)="O","반제품",IF(INDIRECT("'"&amp;$O260&amp;"'!H"&amp;$N260)="O","완제품","")))</f>
        <v/>
      </c>
      <c r="E260" s="79">
        <f>IFERROR(IF(INDIRECT("'"&amp;$O260&amp;"'!I"&amp;$N260)=0,"",INDIRECT("'"&amp;$O260&amp;"'!I"&amp;$N260)),"")</f>
        <v/>
      </c>
      <c r="F260" s="52" t="inlineStr">
        <is>
          <t>15cm CONE</t>
        </is>
      </c>
      <c r="G260" s="52" t="inlineStr">
        <is>
          <t>15cm CONE (ABS 난연 화이트 + 진한 회색) [ADX4000W]</t>
        </is>
      </c>
      <c r="H260" s="79">
        <f>IF(AND($F260="",$G260=""),"",IF($F260="","창고전용",IF($G260&lt;&gt;"","매칭완료",IF($D260="반제품","반제품(창고없음)",IF($D260="완제품","완제품(창고없음)",IF($D260="원자재","⚠ 원자재_부서보관","미분류"))))))</f>
        <v/>
      </c>
      <c r="I260" s="79">
        <f>IFERROR(IF(INDIRECT("'"&amp;$O260&amp;"'!P"&amp;$N260)=0,"",INDIRECT("'"&amp;$O260&amp;"'!P"&amp;$N260)),"")</f>
        <v/>
      </c>
      <c r="J260" s="61" t="inlineStr">
        <is>
          <t>15cm CONE</t>
        </is>
      </c>
      <c r="K260" s="65" t="inlineStr">
        <is>
          <t>ADX4000W 15cm CONE</t>
        </is>
      </c>
      <c r="L260" s="83">
        <f>HYPERLINK("#'"&amp;$O260&amp;"'!A"&amp;$N260,"→ 조립자재 R"&amp;$N260)</f>
        <v/>
      </c>
      <c r="M260" s="84" t="n"/>
      <c r="N260" s="80" t="n">
        <v>84</v>
      </c>
      <c r="O260" s="80" t="inlineStr">
        <is>
          <t>조립자재_재고현황</t>
        </is>
      </c>
    </row>
    <row r="261" ht="30" customHeight="1">
      <c r="A261" s="56" t="inlineStr">
        <is>
          <t>조립</t>
        </is>
      </c>
      <c r="B261" s="52" t="inlineStr">
        <is>
          <t>사출 및 자재</t>
        </is>
      </c>
      <c r="C261" s="52" t="inlineStr">
        <is>
          <t>ADX4000W</t>
        </is>
      </c>
      <c r="D261" s="79">
        <f>IF(INDIRECT("'"&amp;$O261&amp;"'!F"&amp;$N261)="O","원자재",IF(INDIRECT("'"&amp;$O261&amp;"'!G"&amp;$N261)="O","반제품",IF(INDIRECT("'"&amp;$O261&amp;"'!H"&amp;$N261)="O","완제품","")))</f>
        <v/>
      </c>
      <c r="E261" s="79">
        <f>IFERROR(IF(INDIRECT("'"&amp;$O261&amp;"'!I"&amp;$N261)=0,"",INDIRECT("'"&amp;$O261&amp;"'!I"&amp;$N261)),"")</f>
        <v/>
      </c>
      <c r="F261" s="52" t="inlineStr">
        <is>
          <t>BATTERY COVER</t>
        </is>
      </c>
      <c r="G261" s="52" t="inlineStr">
        <is>
          <t>BATTERY COVER (ABS 난연 화이트 + 진한 회색) [ADX4000W]</t>
        </is>
      </c>
      <c r="H261" s="79">
        <f>IF(AND($F261="",$G261=""),"",IF($F261="","창고전용",IF($G261&lt;&gt;"","매칭완료",IF($D261="반제품","반제품(창고없음)",IF($D261="완제품","완제품(창고없음)",IF($D261="원자재","⚠ 원자재_부서보관","미분류"))))))</f>
        <v/>
      </c>
      <c r="I261" s="79">
        <f>IFERROR(IF(INDIRECT("'"&amp;$O261&amp;"'!P"&amp;$N261)=0,"",INDIRECT("'"&amp;$O261&amp;"'!P"&amp;$N261)),"")</f>
        <v/>
      </c>
      <c r="J261" s="61" t="inlineStr">
        <is>
          <t>BATTERY COVER</t>
        </is>
      </c>
      <c r="K261" s="65" t="inlineStr">
        <is>
          <t>ADX4000W BATTERY COVER</t>
        </is>
      </c>
      <c r="L261" s="83">
        <f>HYPERLINK("#'"&amp;$O261&amp;"'!A"&amp;$N261,"→ 조립자재 R"&amp;$N261)</f>
        <v/>
      </c>
      <c r="M261" s="84" t="n"/>
      <c r="N261" s="80" t="n">
        <v>85</v>
      </c>
      <c r="O261" s="80" t="inlineStr">
        <is>
          <t>조립자재_재고현황</t>
        </is>
      </c>
    </row>
    <row r="262" ht="30" customHeight="1">
      <c r="A262" s="56" t="inlineStr">
        <is>
          <t>조립</t>
        </is>
      </c>
      <c r="B262" s="52" t="inlineStr">
        <is>
          <t>사출 및 자재</t>
        </is>
      </c>
      <c r="C262" s="52" t="inlineStr">
        <is>
          <t>ADX4000W</t>
        </is>
      </c>
      <c r="D262" s="79">
        <f>IF(INDIRECT("'"&amp;$O262&amp;"'!F"&amp;$N262)="O","원자재",IF(INDIRECT("'"&amp;$O262&amp;"'!G"&amp;$N262)="O","반제품",IF(INDIRECT("'"&amp;$O262&amp;"'!H"&amp;$N262)="O","완제품","")))</f>
        <v/>
      </c>
      <c r="E262" s="79">
        <f>IFERROR(IF(INDIRECT("'"&amp;$O262&amp;"'!I"&amp;$N262)=0,"",INDIRECT("'"&amp;$O262&amp;"'!I"&amp;$N262)),"")</f>
        <v/>
      </c>
      <c r="F262" s="52" t="inlineStr">
        <is>
          <t>USB COVER</t>
        </is>
      </c>
      <c r="G262" s="52" t="inlineStr">
        <is>
          <t>USB COVER (ABS 난연 화이트 + 진한 회색) [ADX4000W]</t>
        </is>
      </c>
      <c r="H262" s="79">
        <f>IF(AND($F262="",$G262=""),"",IF($F262="","창고전용",IF($G262&lt;&gt;"","매칭완료",IF($D262="반제품","반제품(창고없음)",IF($D262="완제품","완제품(창고없음)",IF($D262="원자재","⚠ 원자재_부서보관","미분류"))))))</f>
        <v/>
      </c>
      <c r="I262" s="79">
        <f>IFERROR(IF(INDIRECT("'"&amp;$O262&amp;"'!P"&amp;$N262)=0,"",INDIRECT("'"&amp;$O262&amp;"'!P"&amp;$N262)),"")</f>
        <v/>
      </c>
      <c r="J262" s="61" t="inlineStr">
        <is>
          <t>USB COVER</t>
        </is>
      </c>
      <c r="K262" s="65" t="inlineStr">
        <is>
          <t>ADX4000W USB COVER</t>
        </is>
      </c>
      <c r="L262" s="83">
        <f>HYPERLINK("#'"&amp;$O262&amp;"'!A"&amp;$N262,"→ 조립자재 R"&amp;$N262)</f>
        <v/>
      </c>
      <c r="M262" s="84" t="n"/>
      <c r="N262" s="80" t="n">
        <v>86</v>
      </c>
      <c r="O262" s="80" t="inlineStr">
        <is>
          <t>조립자재_재고현황</t>
        </is>
      </c>
    </row>
    <row r="263" ht="30" customHeight="1">
      <c r="A263" s="56" t="inlineStr">
        <is>
          <t>조립</t>
        </is>
      </c>
      <c r="B263" s="52" t="inlineStr">
        <is>
          <t>사출 및 자재</t>
        </is>
      </c>
      <c r="C263" s="52" t="inlineStr">
        <is>
          <t>ADX4000W</t>
        </is>
      </c>
      <c r="D263" s="79">
        <f>IF(INDIRECT("'"&amp;$O263&amp;"'!F"&amp;$N263)="O","원자재",IF(INDIRECT("'"&amp;$O263&amp;"'!G"&amp;$N263)="O","반제품",IF(INDIRECT("'"&amp;$O263&amp;"'!H"&amp;$N263)="O","완제품","")))</f>
        <v/>
      </c>
      <c r="E263" s="79">
        <f>IFERROR(IF(INDIRECT("'"&amp;$O263&amp;"'!I"&amp;$N263)=0,"",INDIRECT("'"&amp;$O263&amp;"'!I"&amp;$N263)),"")</f>
        <v/>
      </c>
      <c r="F263" s="52" t="inlineStr">
        <is>
          <t>HAND STRAP [AL(Cr도금), SUS Φ2.0]-손잡이(터치펜)</t>
        </is>
      </c>
      <c r="G263" s="52" t="inlineStr">
        <is>
          <t>HAND STRAP -손잡이(터치펜) (인조 가죽, AL(Cr도금), SUS Φ2.0) [ADX4000W]</t>
        </is>
      </c>
      <c r="H263" s="79">
        <f>IF(AND($F263="",$G263=""),"",IF($F263="","창고전용",IF($G263&lt;&gt;"","매칭완료",IF($D263="반제품","반제품(창고없음)",IF($D263="완제품","완제품(창고없음)",IF($D263="원자재","⚠ 원자재_부서보관","미분류"))))))</f>
        <v/>
      </c>
      <c r="I263" s="79">
        <f>IFERROR(IF(INDIRECT("'"&amp;$O263&amp;"'!P"&amp;$N263)=0,"",INDIRECT("'"&amp;$O263&amp;"'!P"&amp;$N263)),"")</f>
        <v/>
      </c>
      <c r="J263" s="61" t="inlineStr">
        <is>
          <t>HAND STRAP [AL(Cr도금), SUS Φ2.0]-손잡이(터치펜)</t>
        </is>
      </c>
      <c r="K263" s="65" t="inlineStr">
        <is>
          <t>ADX4000W HAND STRAP [AL(Cr도금), SUS Φ2.0]-손잡이(터치펜)</t>
        </is>
      </c>
      <c r="L263" s="83">
        <f>HYPERLINK("#'"&amp;$O263&amp;"'!A"&amp;$N263,"→ 조립자재 R"&amp;$N263)</f>
        <v/>
      </c>
      <c r="M263" s="84" t="n"/>
      <c r="N263" s="80" t="n">
        <v>87</v>
      </c>
      <c r="O263" s="80" t="inlineStr">
        <is>
          <t>조립자재_재고현황</t>
        </is>
      </c>
    </row>
    <row r="264" ht="30" customHeight="1">
      <c r="A264" s="56" t="inlineStr">
        <is>
          <t>조립</t>
        </is>
      </c>
      <c r="B264" s="52" t="inlineStr">
        <is>
          <t>사출 및 자재</t>
        </is>
      </c>
      <c r="C264" s="52" t="inlineStr">
        <is>
          <t>ADX4000W</t>
        </is>
      </c>
      <c r="D264" s="79">
        <f>IF(INDIRECT("'"&amp;$O264&amp;"'!F"&amp;$N264)="O","원자재",IF(INDIRECT("'"&amp;$O264&amp;"'!G"&amp;$N264)="O","반제품",IF(INDIRECT("'"&amp;$O264&amp;"'!H"&amp;$N264)="O","완제품","")))</f>
        <v/>
      </c>
      <c r="E264" s="79">
        <f>IFERROR(IF(INDIRECT("'"&amp;$O264&amp;"'!I"&amp;$N264)=0,"",INDIRECT("'"&amp;$O264&amp;"'!I"&amp;$N264)),"")</f>
        <v/>
      </c>
      <c r="F264" s="52" t="inlineStr">
        <is>
          <t>NAVI KEY(방향) _ 사파리용</t>
        </is>
      </c>
      <c r="G264" s="52" t="inlineStr">
        <is>
          <t>NAVI KEY 사파리 (방향) (ABS 난연 반투명) [ADX4000W]</t>
        </is>
      </c>
      <c r="H264" s="79">
        <f>IF(AND($F264="",$G264=""),"",IF($F264="","창고전용",IF($G264&lt;&gt;"","매칭완료",IF($D264="반제품","반제품(창고없음)",IF($D264="완제품","완제품(창고없음)",IF($D264="원자재","⚠ 원자재_부서보관","미분류"))))))</f>
        <v/>
      </c>
      <c r="I264" s="79">
        <f>IFERROR(IF(INDIRECT("'"&amp;$O264&amp;"'!P"&amp;$N264)=0,"",INDIRECT("'"&amp;$O264&amp;"'!P"&amp;$N264)),"")</f>
        <v/>
      </c>
      <c r="J264" s="61" t="inlineStr">
        <is>
          <t>NAVI KEY(방향) _ 사파리용</t>
        </is>
      </c>
      <c r="K264" s="65" t="inlineStr">
        <is>
          <t>ADX4000W NAVI KEY(방향) _ 사파리용</t>
        </is>
      </c>
      <c r="L264" s="83">
        <f>HYPERLINK("#'"&amp;$O264&amp;"'!A"&amp;$N264,"→ 조립자재 R"&amp;$N264)</f>
        <v/>
      </c>
      <c r="M264" s="84" t="n"/>
      <c r="N264" s="80" t="n">
        <v>88</v>
      </c>
      <c r="O264" s="80" t="inlineStr">
        <is>
          <t>조립자재_재고현황</t>
        </is>
      </c>
    </row>
    <row r="265" ht="30" customHeight="1">
      <c r="A265" s="56" t="inlineStr">
        <is>
          <t>조립</t>
        </is>
      </c>
      <c r="B265" s="52" t="inlineStr">
        <is>
          <t>사출 및 자재</t>
        </is>
      </c>
      <c r="C265" s="52" t="inlineStr">
        <is>
          <t>ADX4000W</t>
        </is>
      </c>
      <c r="D265" s="79">
        <f>IF(INDIRECT("'"&amp;$O265&amp;"'!F"&amp;$N265)="O","원자재",IF(INDIRECT("'"&amp;$O265&amp;"'!G"&amp;$N265)="O","반제품",IF(INDIRECT("'"&amp;$O265&amp;"'!H"&amp;$N265)="O","완제품","")))</f>
        <v/>
      </c>
      <c r="E265" s="79">
        <f>IFERROR(IF(INDIRECT("'"&amp;$O265&amp;"'!I"&amp;$N265)=0,"",INDIRECT("'"&amp;$O265&amp;"'!I"&amp;$N265)),"")</f>
        <v/>
      </c>
      <c r="F265" s="52" t="inlineStr">
        <is>
          <t>5" LCD 판넬 (SHARF)</t>
        </is>
      </c>
      <c r="G265" s="52" t="inlineStr">
        <is>
          <t>5" LCD (LQ050W1LA0A) [ADX4000W]</t>
        </is>
      </c>
      <c r="H265" s="79">
        <f>IF(AND($F265="",$G265=""),"",IF($F265="","창고전용",IF($G265&lt;&gt;"","매칭완료",IF($D265="반제품","반제품(창고없음)",IF($D265="완제품","완제품(창고없음)",IF($D265="원자재","⚠ 원자재_부서보관","미분류"))))))</f>
        <v/>
      </c>
      <c r="I265" s="79">
        <f>IFERROR(IF(INDIRECT("'"&amp;$O265&amp;"'!P"&amp;$N265)=0,"",INDIRECT("'"&amp;$O265&amp;"'!P"&amp;$N265)),"")</f>
        <v/>
      </c>
      <c r="J265" s="61" t="inlineStr">
        <is>
          <t>5" LCD 판넬 (SHARF)</t>
        </is>
      </c>
      <c r="K265" s="65" t="inlineStr">
        <is>
          <t>ADX4000W 5" LCD 판넬 (SHARF)</t>
        </is>
      </c>
      <c r="L265" s="83">
        <f>HYPERLINK("#'"&amp;$O265&amp;"'!A"&amp;$N265,"→ 조립자재 R"&amp;$N265)</f>
        <v/>
      </c>
      <c r="M265" s="84" t="n"/>
      <c r="N265" s="80" t="n">
        <v>89</v>
      </c>
      <c r="O265" s="80" t="inlineStr">
        <is>
          <t>조립자재_재고현황</t>
        </is>
      </c>
    </row>
    <row r="266" ht="30" customHeight="1">
      <c r="A266" s="56" t="inlineStr">
        <is>
          <t>조립</t>
        </is>
      </c>
      <c r="B266" s="52" t="inlineStr">
        <is>
          <t>사출 및 자재</t>
        </is>
      </c>
      <c r="C266" s="52" t="inlineStr">
        <is>
          <t>ADX4000W ADX6000</t>
        </is>
      </c>
      <c r="D266" s="79">
        <f>IF(INDIRECT("'"&amp;$O266&amp;"'!F"&amp;$N266)="O","원자재",IF(INDIRECT("'"&amp;$O266&amp;"'!G"&amp;$N266)="O","반제품",IF(INDIRECT("'"&amp;$O266&amp;"'!H"&amp;$N266)="O","완제품","")))</f>
        <v/>
      </c>
      <c r="E266" s="79">
        <f>IFERROR(IF(INDIRECT("'"&amp;$O266&amp;"'!I"&amp;$N266)=0,"",INDIRECT("'"&amp;$O266&amp;"'!I"&amp;$N266)),"")</f>
        <v/>
      </c>
      <c r="F266" s="52" t="inlineStr">
        <is>
          <t>4.8" LCD 판넬 (SAMSUNG)</t>
        </is>
      </c>
      <c r="G266" s="52" t="inlineStr">
        <is>
          <t>4.8" LCD (LMS480J-C01(LTS480WS-C01)) [ADX4000W]</t>
        </is>
      </c>
      <c r="H266" s="79">
        <f>IF(AND($F266="",$G266=""),"",IF($F266="","창고전용",IF($G266&lt;&gt;"","매칭완료",IF($D266="반제품","반제품(창고없음)",IF($D266="완제품","완제품(창고없음)",IF($D266="원자재","⚠ 원자재_부서보관","미분류"))))))</f>
        <v/>
      </c>
      <c r="I266" s="79">
        <f>IFERROR(IF(INDIRECT("'"&amp;$O266&amp;"'!P"&amp;$N266)=0,"",INDIRECT("'"&amp;$O266&amp;"'!P"&amp;$N266)),"")</f>
        <v/>
      </c>
      <c r="J266" s="61" t="inlineStr">
        <is>
          <t>4.8" LCD 판넬 (SAMSUNG)</t>
        </is>
      </c>
      <c r="K266" s="65" t="inlineStr">
        <is>
          <t>ADX4000W 4.8" LCD 판넬 (SAMSUNG)</t>
        </is>
      </c>
      <c r="L266" s="83">
        <f>HYPERLINK("#'"&amp;$O266&amp;"'!A"&amp;$N266,"→ 조립자재 R"&amp;$N266)</f>
        <v/>
      </c>
      <c r="M266" s="84" t="n"/>
      <c r="N266" s="80" t="n">
        <v>90</v>
      </c>
      <c r="O266" s="80" t="inlineStr">
        <is>
          <t>조립자재_재고현황</t>
        </is>
      </c>
    </row>
    <row r="267" ht="30" customHeight="1">
      <c r="A267" s="56" t="inlineStr">
        <is>
          <t>조립</t>
        </is>
      </c>
      <c r="B267" s="52" t="inlineStr">
        <is>
          <t>사출 및 자재</t>
        </is>
      </c>
      <c r="C267" s="52" t="inlineStr">
        <is>
          <t>ADX4000W ADX6000</t>
        </is>
      </c>
      <c r="D267" s="79">
        <f>IF(INDIRECT("'"&amp;$O267&amp;"'!F"&amp;$N267)="O","원자재",IF(INDIRECT("'"&amp;$O267&amp;"'!G"&amp;$N267)="O","반제품",IF(INDIRECT("'"&amp;$O267&amp;"'!H"&amp;$N267)="O","완제품","")))</f>
        <v/>
      </c>
      <c r="E267" s="79">
        <f>IFERROR(IF(INDIRECT("'"&amp;$O267&amp;"'!I"&amp;$N267)=0,"",INDIRECT("'"&amp;$O267&amp;"'!I"&amp;$N267)),"")</f>
        <v/>
      </c>
      <c r="F267" s="52" t="inlineStr">
        <is>
          <t>16GB USB 메모리</t>
        </is>
      </c>
      <c r="G267" s="52" t="inlineStr">
        <is>
          <t>USB 메모리 (16GB) [ADX4000W]</t>
        </is>
      </c>
      <c r="H267" s="79">
        <f>IF(AND($F267="",$G267=""),"",IF($F267="","창고전용",IF($G267&lt;&gt;"","매칭완료",IF($D267="반제품","반제품(창고없음)",IF($D267="완제품","완제품(창고없음)",IF($D267="원자재","⚠ 원자재_부서보관","미분류"))))))</f>
        <v/>
      </c>
      <c r="I267" s="79">
        <f>IFERROR(IF(INDIRECT("'"&amp;$O267&amp;"'!P"&amp;$N267)=0,"",INDIRECT("'"&amp;$O267&amp;"'!P"&amp;$N267)),"")</f>
        <v/>
      </c>
      <c r="J267" s="61" t="inlineStr">
        <is>
          <t>16GB USB 메모리</t>
        </is>
      </c>
      <c r="K267" s="65" t="inlineStr">
        <is>
          <t>ADX4000W 16GB USB 메모리</t>
        </is>
      </c>
      <c r="L267" s="83">
        <f>HYPERLINK("#'"&amp;$O267&amp;"'!A"&amp;$N267,"→ 조립자재 R"&amp;$N267)</f>
        <v/>
      </c>
      <c r="M267" s="84" t="n"/>
      <c r="N267" s="80" t="n">
        <v>91</v>
      </c>
      <c r="O267" s="80" t="inlineStr">
        <is>
          <t>조립자재_재고현황</t>
        </is>
      </c>
    </row>
    <row r="268" ht="30" customHeight="1">
      <c r="A268" s="56" t="inlineStr">
        <is>
          <t>조립</t>
        </is>
      </c>
      <c r="B268" s="52" t="inlineStr">
        <is>
          <t>사출 및 자재</t>
        </is>
      </c>
      <c r="C268" s="52" t="inlineStr">
        <is>
          <t>ADX4000W ADX6000</t>
        </is>
      </c>
      <c r="D268" s="79">
        <f>IF(INDIRECT("'"&amp;$O268&amp;"'!F"&amp;$N268)="O","원자재",IF(INDIRECT("'"&amp;$O268&amp;"'!G"&amp;$N268)="O","반제품",IF(INDIRECT("'"&amp;$O268&amp;"'!H"&amp;$N268)="O","완제품","")))</f>
        <v/>
      </c>
      <c r="E268" s="79">
        <f>IFERROR(IF(INDIRECT("'"&amp;$O268&amp;"'!I"&amp;$N268)=0,"",INDIRECT("'"&amp;$O268&amp;"'!I"&amp;$N268)),"")</f>
        <v/>
      </c>
      <c r="F268" s="52" t="inlineStr">
        <is>
          <t>TP-LINK (WAN1000M)-동글</t>
        </is>
      </c>
      <c r="G268" s="52" t="inlineStr">
        <is>
          <t>TP-LINK (WAN1000M)-동글 [ADX4000W]</t>
        </is>
      </c>
      <c r="H268" s="79">
        <f>IF(AND($F268="",$G268=""),"",IF($F268="","창고전용",IF($G268&lt;&gt;"","매칭완료",IF($D268="반제품","반제품(창고없음)",IF($D268="완제품","완제품(창고없음)",IF($D268="원자재","⚠ 원자재_부서보관","미분류"))))))</f>
        <v/>
      </c>
      <c r="I268" s="79">
        <f>IFERROR(IF(INDIRECT("'"&amp;$O268&amp;"'!P"&amp;$N268)=0,"",INDIRECT("'"&amp;$O268&amp;"'!P"&amp;$N268)),"")</f>
        <v/>
      </c>
      <c r="J268" s="61" t="inlineStr">
        <is>
          <t>TP-LINK (WAN1000M)-동글</t>
        </is>
      </c>
      <c r="K268" s="65" t="inlineStr">
        <is>
          <t>ADX4000W TP-LINK (WAN1000M)-동글</t>
        </is>
      </c>
      <c r="L268" s="83">
        <f>HYPERLINK("#'"&amp;$O268&amp;"'!A"&amp;$N268,"→ 조립자재 R"&amp;$N268)</f>
        <v/>
      </c>
      <c r="M268" s="84" t="n"/>
      <c r="N268" s="80" t="n">
        <v>92</v>
      </c>
      <c r="O268" s="80" t="inlineStr">
        <is>
          <t>조립자재_재고현황</t>
        </is>
      </c>
    </row>
    <row r="269" ht="30" customHeight="1">
      <c r="A269" s="56" t="inlineStr">
        <is>
          <t>조립</t>
        </is>
      </c>
      <c r="B269" s="52" t="inlineStr">
        <is>
          <t>사출 및 자재</t>
        </is>
      </c>
      <c r="C269" s="52" t="inlineStr">
        <is>
          <t>ADX4000W ADX6000</t>
        </is>
      </c>
      <c r="D269" s="79">
        <f>IF(INDIRECT("'"&amp;$O269&amp;"'!F"&amp;$N269)="O","원자재",IF(INDIRECT("'"&amp;$O269&amp;"'!G"&amp;$N269)="O","반제품",IF(INDIRECT("'"&amp;$O269&amp;"'!H"&amp;$N269)="O","완제품","")))</f>
        <v/>
      </c>
      <c r="E269" s="79">
        <f>IFERROR(IF(INDIRECT("'"&amp;$O269&amp;"'!I"&amp;$N269)=0,"",INDIRECT("'"&amp;$O269&amp;"'!I"&amp;$N269)),"")</f>
        <v/>
      </c>
      <c r="F269" s="52" t="inlineStr">
        <is>
          <t>ip TIME 무선 랜카드 [N100UM]</t>
        </is>
      </c>
      <c r="G269" s="52" t="inlineStr">
        <is>
          <t>ip TIME 무선 랜카드 [N100UM] [ADX4000W]</t>
        </is>
      </c>
      <c r="H269" s="79">
        <f>IF(AND($F269="",$G269=""),"",IF($F269="","창고전용",IF($G269&lt;&gt;"","매칭완료",IF($D269="반제품","반제품(창고없음)",IF($D269="완제품","완제품(창고없음)",IF($D269="원자재","⚠ 원자재_부서보관","미분류"))))))</f>
        <v/>
      </c>
      <c r="I269" s="79">
        <f>IFERROR(IF(INDIRECT("'"&amp;$O269&amp;"'!P"&amp;$N269)=0,"",INDIRECT("'"&amp;$O269&amp;"'!P"&amp;$N269)),"")</f>
        <v/>
      </c>
      <c r="J269" s="61" t="inlineStr">
        <is>
          <t>ip TIME 무선 랜카드 [N100UM]</t>
        </is>
      </c>
      <c r="K269" s="65" t="inlineStr">
        <is>
          <t>ADX4000W ip TIME 무선 랜카드 [N100UM]</t>
        </is>
      </c>
      <c r="L269" s="83">
        <f>HYPERLINK("#'"&amp;$O269&amp;"'!A"&amp;$N269,"→ 조립자재 R"&amp;$N269)</f>
        <v/>
      </c>
      <c r="M269" s="84" t="n"/>
      <c r="N269" s="80" t="n">
        <v>93</v>
      </c>
      <c r="O269" s="80" t="inlineStr">
        <is>
          <t>조립자재_재고현황</t>
        </is>
      </c>
    </row>
    <row r="270" ht="30" customHeight="1">
      <c r="A270" s="56" t="inlineStr">
        <is>
          <t>조립</t>
        </is>
      </c>
      <c r="B270" s="52" t="inlineStr">
        <is>
          <t>사출 및 자재</t>
        </is>
      </c>
      <c r="C270" s="52" t="inlineStr">
        <is>
          <t>ADX4000W</t>
        </is>
      </c>
      <c r="D270" s="79">
        <f>IF(INDIRECT("'"&amp;$O270&amp;"'!F"&amp;$N270)="O","원자재",IF(INDIRECT("'"&amp;$O270&amp;"'!G"&amp;$N270)="O","반제품",IF(INDIRECT("'"&amp;$O270&amp;"'!H"&amp;$N270)="O","완제품","")))</f>
        <v/>
      </c>
      <c r="E270" s="79">
        <f>IFERROR(IF(INDIRECT("'"&amp;$O270&amp;"'!I"&amp;$N270)=0,"",INDIRECT("'"&amp;$O270&amp;"'!I"&amp;$N270)),"")</f>
        <v/>
      </c>
      <c r="F270" s="52" t="inlineStr">
        <is>
          <t>히팅 싱크 구형 (일본 사용)</t>
        </is>
      </c>
      <c r="G270" s="52" t="inlineStr">
        <is>
          <t>히팅 싱크 구형 (일본 사용) [ADX4000W]</t>
        </is>
      </c>
      <c r="H270" s="79">
        <f>IF(AND($F270="",$G270=""),"",IF($F270="","창고전용",IF($G270&lt;&gt;"","매칭완료",IF($D270="반제품","반제품(창고없음)",IF($D270="완제품","완제품(창고없음)",IF($D270="원자재","⚠ 원자재_부서보관","미분류"))))))</f>
        <v/>
      </c>
      <c r="I270" s="79">
        <f>IFERROR(IF(INDIRECT("'"&amp;$O270&amp;"'!P"&amp;$N270)=0,"",INDIRECT("'"&amp;$O270&amp;"'!P"&amp;$N270)),"")</f>
        <v/>
      </c>
      <c r="J270" s="61" t="inlineStr">
        <is>
          <t>히팅 싱크 구형 (일본 사용)</t>
        </is>
      </c>
      <c r="K270" s="65" t="inlineStr">
        <is>
          <t>ADX4000W 히팅 싱크 구형 (일본 사용)</t>
        </is>
      </c>
      <c r="L270" s="83">
        <f>HYPERLINK("#'"&amp;$O270&amp;"'!A"&amp;$N270,"→ 조립자재 R"&amp;$N270)</f>
        <v/>
      </c>
      <c r="M270" s="84" t="n"/>
      <c r="N270" s="80" t="n">
        <v>94</v>
      </c>
      <c r="O270" s="80" t="inlineStr">
        <is>
          <t>조립자재_재고현황</t>
        </is>
      </c>
    </row>
    <row r="271" ht="30" customHeight="1">
      <c r="A271" s="56" t="inlineStr">
        <is>
          <t>조립</t>
        </is>
      </c>
      <c r="B271" s="52" t="inlineStr">
        <is>
          <t>사출 및 자재</t>
        </is>
      </c>
      <c r="C271" s="52" t="inlineStr">
        <is>
          <t>ADX4000W</t>
        </is>
      </c>
      <c r="D271" s="79">
        <f>IF(INDIRECT("'"&amp;$O271&amp;"'!F"&amp;$N271)="O","원자재",IF(INDIRECT("'"&amp;$O271&amp;"'!G"&amp;$N271)="O","반제품",IF(INDIRECT("'"&amp;$O271&amp;"'!H"&amp;$N271)="O","완제품","")))</f>
        <v/>
      </c>
      <c r="E271" s="79">
        <f>IFERROR(IF(INDIRECT("'"&amp;$O271&amp;"'!I"&amp;$N271)=0,"",INDIRECT("'"&amp;$O271&amp;"'!I"&amp;$N271)),"")</f>
        <v/>
      </c>
      <c r="F271" s="52" t="inlineStr">
        <is>
          <t>방열 팬 구형 (일본 사용) [1204KL-01W-B10 5V 0.1A]</t>
        </is>
      </c>
      <c r="G271" s="52" t="inlineStr">
        <is>
          <t>방열 팬 구형 (일본 사용) (1204KL-01W-B10 5V 0.1A) [ADX4000W]</t>
        </is>
      </c>
      <c r="H271" s="79">
        <f>IF(AND($F271="",$G271=""),"",IF($F271="","창고전용",IF($G271&lt;&gt;"","매칭완료",IF($D271="반제품","반제품(창고없음)",IF($D271="완제품","완제품(창고없음)",IF($D271="원자재","⚠ 원자재_부서보관","미분류"))))))</f>
        <v/>
      </c>
      <c r="I271" s="79">
        <f>IFERROR(IF(INDIRECT("'"&amp;$O271&amp;"'!P"&amp;$N271)=0,"",INDIRECT("'"&amp;$O271&amp;"'!P"&amp;$N271)),"")</f>
        <v/>
      </c>
      <c r="J271" s="61" t="inlineStr">
        <is>
          <t>방열 팬 구형 (일본 사용) [1204KL-01W-B10 5V 0.1A]</t>
        </is>
      </c>
      <c r="K271" s="65" t="inlineStr">
        <is>
          <t>ADX4000W 방열 팬 구형 (일본 사용) [1204KL-01W-B10 5V 0.1A]</t>
        </is>
      </c>
      <c r="L271" s="83">
        <f>HYPERLINK("#'"&amp;$O271&amp;"'!A"&amp;$N271,"→ 조립자재 R"&amp;$N271)</f>
        <v/>
      </c>
      <c r="M271" s="84" t="n"/>
      <c r="N271" s="80" t="n">
        <v>95</v>
      </c>
      <c r="O271" s="80" t="inlineStr">
        <is>
          <t>조립자재_재고현황</t>
        </is>
      </c>
    </row>
    <row r="272" ht="30" customHeight="1">
      <c r="A272" s="56" t="inlineStr">
        <is>
          <t>조립</t>
        </is>
      </c>
      <c r="B272" s="52" t="inlineStr">
        <is>
          <t>사출 및 자재</t>
        </is>
      </c>
      <c r="C272" s="52" t="inlineStr">
        <is>
          <t>ADX4000W ADX6000</t>
        </is>
      </c>
      <c r="D272" s="79">
        <f>IF(INDIRECT("'"&amp;$O272&amp;"'!F"&amp;$N272)="O","원자재",IF(INDIRECT("'"&amp;$O272&amp;"'!G"&amp;$N272)="O","반제품",IF(INDIRECT("'"&amp;$O272&amp;"'!H"&amp;$N272)="O","완제품","")))</f>
        <v/>
      </c>
      <c r="E272" s="79">
        <f>IFERROR(IF(INDIRECT("'"&amp;$O272&amp;"'!I"&amp;$N272)=0,"",INDIRECT("'"&amp;$O272&amp;"'!I"&amp;$N272)),"")</f>
        <v/>
      </c>
      <c r="F272" s="52" t="inlineStr">
        <is>
          <t>히팅 패드</t>
        </is>
      </c>
      <c r="G272" s="52" t="inlineStr">
        <is>
          <t>히팅 패드 [ADX4000W]</t>
        </is>
      </c>
      <c r="H272" s="79">
        <f>IF(AND($F272="",$G272=""),"",IF($F272="","창고전용",IF($G272&lt;&gt;"","매칭완료",IF($D272="반제품","반제품(창고없음)",IF($D272="완제품","완제품(창고없음)",IF($D272="원자재","⚠ 원자재_부서보관","미분류"))))))</f>
        <v/>
      </c>
      <c r="I272" s="79">
        <f>IFERROR(IF(INDIRECT("'"&amp;$O272&amp;"'!P"&amp;$N272)=0,"",INDIRECT("'"&amp;$O272&amp;"'!P"&amp;$N272)),"")</f>
        <v/>
      </c>
      <c r="J272" s="61" t="inlineStr">
        <is>
          <t>히팅 패드</t>
        </is>
      </c>
      <c r="K272" s="65" t="inlineStr">
        <is>
          <t>ADX4000W 히팅 패드</t>
        </is>
      </c>
      <c r="L272" s="83">
        <f>HYPERLINK("#'"&amp;$O272&amp;"'!A"&amp;$N272,"→ 조립자재 R"&amp;$N272)</f>
        <v/>
      </c>
      <c r="M272" s="84" t="n"/>
      <c r="N272" s="80" t="n">
        <v>96</v>
      </c>
      <c r="O272" s="80" t="inlineStr">
        <is>
          <t>조립자재_재고현황</t>
        </is>
      </c>
    </row>
    <row r="273" ht="30" customHeight="1">
      <c r="A273" s="56" t="inlineStr">
        <is>
          <t>조립</t>
        </is>
      </c>
      <c r="B273" s="52" t="inlineStr">
        <is>
          <t>사출 및 자재</t>
        </is>
      </c>
      <c r="C273" s="52" t="inlineStr">
        <is>
          <t>ADX4000W ADX6000</t>
        </is>
      </c>
      <c r="D273" s="79">
        <f>IF(INDIRECT("'"&amp;$O273&amp;"'!F"&amp;$N273)="O","원자재",IF(INDIRECT("'"&amp;$O273&amp;"'!G"&amp;$N273)="O","반제품",IF(INDIRECT("'"&amp;$O273&amp;"'!H"&amp;$N273)="O","완제품","")))</f>
        <v/>
      </c>
      <c r="E273" s="79">
        <f>IFERROR(IF(INDIRECT("'"&amp;$O273&amp;"'!I"&amp;$N273)=0,"",INDIRECT("'"&amp;$O273&amp;"'!I"&amp;$N273)),"")</f>
        <v/>
      </c>
      <c r="F273" s="52" t="inlineStr">
        <is>
          <t>히팅 싱크 신형</t>
        </is>
      </c>
      <c r="G273" s="52" t="inlineStr">
        <is>
          <t>히팅 싱크 신형 [ADX4000W]</t>
        </is>
      </c>
      <c r="H273" s="79">
        <f>IF(AND($F273="",$G273=""),"",IF($F273="","창고전용",IF($G273&lt;&gt;"","매칭완료",IF($D273="반제품","반제품(창고없음)",IF($D273="완제품","완제품(창고없음)",IF($D273="원자재","⚠ 원자재_부서보관","미분류"))))))</f>
        <v/>
      </c>
      <c r="I273" s="79">
        <f>IFERROR(IF(INDIRECT("'"&amp;$O273&amp;"'!P"&amp;$N273)=0,"",INDIRECT("'"&amp;$O273&amp;"'!P"&amp;$N273)),"")</f>
        <v/>
      </c>
      <c r="J273" s="61" t="inlineStr">
        <is>
          <t>히팅 싱크 신형</t>
        </is>
      </c>
      <c r="K273" s="65" t="inlineStr">
        <is>
          <t>ADX4000W 히팅 싱크 신형</t>
        </is>
      </c>
      <c r="L273" s="83">
        <f>HYPERLINK("#'"&amp;$O273&amp;"'!A"&amp;$N273,"→ 조립자재 R"&amp;$N273)</f>
        <v/>
      </c>
      <c r="M273" s="84" t="n"/>
      <c r="N273" s="80" t="n">
        <v>97</v>
      </c>
      <c r="O273" s="80" t="inlineStr">
        <is>
          <t>조립자재_재고현황</t>
        </is>
      </c>
    </row>
    <row r="274" ht="30" customHeight="1">
      <c r="A274" s="56" t="inlineStr">
        <is>
          <t>조립</t>
        </is>
      </c>
      <c r="B274" s="52" t="inlineStr">
        <is>
          <t>사출 및 자재</t>
        </is>
      </c>
      <c r="C274" s="52" t="inlineStr">
        <is>
          <t>ADX4000W ADX6000</t>
        </is>
      </c>
      <c r="D274" s="79">
        <f>IF(INDIRECT("'"&amp;$O274&amp;"'!F"&amp;$N274)="O","원자재",IF(INDIRECT("'"&amp;$O274&amp;"'!G"&amp;$N274)="O","반제품",IF(INDIRECT("'"&amp;$O274&amp;"'!H"&amp;$N274)="O","완제품","")))</f>
        <v/>
      </c>
      <c r="E274" s="79">
        <f>IFERROR(IF(INDIRECT("'"&amp;$O274&amp;"'!I"&amp;$N274)=0,"",INDIRECT("'"&amp;$O274&amp;"'!I"&amp;$N274)),"")</f>
        <v/>
      </c>
      <c r="F274" s="52" t="inlineStr">
        <is>
          <t>방열 팬 신형 [HBD0401005SEM 5V 0.15A]</t>
        </is>
      </c>
      <c r="G274" s="52" t="inlineStr">
        <is>
          <t>방열 팬 신형 (HBD0401005SEM 5V 0.15A) [ADX4000W]</t>
        </is>
      </c>
      <c r="H274" s="79">
        <f>IF(AND($F274="",$G274=""),"",IF($F274="","창고전용",IF($G274&lt;&gt;"","매칭완료",IF($D274="반제품","반제품(창고없음)",IF($D274="완제품","완제품(창고없음)",IF($D274="원자재","⚠ 원자재_부서보관","미분류"))))))</f>
        <v/>
      </c>
      <c r="I274" s="79">
        <f>IFERROR(IF(INDIRECT("'"&amp;$O274&amp;"'!P"&amp;$N274)=0,"",INDIRECT("'"&amp;$O274&amp;"'!P"&amp;$N274)),"")</f>
        <v/>
      </c>
      <c r="J274" s="61" t="inlineStr">
        <is>
          <t>방열 팬 신형 [HBD0401005SEM 5V 0.15A]</t>
        </is>
      </c>
      <c r="K274" s="65" t="inlineStr">
        <is>
          <t>ADX4000W 방열 팬 신형 [HBD0401005SEM 5V 0.15A]</t>
        </is>
      </c>
      <c r="L274" s="83">
        <f>HYPERLINK("#'"&amp;$O274&amp;"'!A"&amp;$N274,"→ 조립자재 R"&amp;$N274)</f>
        <v/>
      </c>
      <c r="M274" s="84" t="n"/>
      <c r="N274" s="80" t="n">
        <v>98</v>
      </c>
      <c r="O274" s="80" t="inlineStr">
        <is>
          <t>조립자재_재고현황</t>
        </is>
      </c>
    </row>
    <row r="275" ht="30" customHeight="1">
      <c r="A275" s="56" t="inlineStr">
        <is>
          <t>조립</t>
        </is>
      </c>
      <c r="B275" s="52" t="inlineStr">
        <is>
          <t>사출 및 자재</t>
        </is>
      </c>
      <c r="C275" s="52" t="inlineStr">
        <is>
          <t>ADX4000W ADX6000</t>
        </is>
      </c>
      <c r="D275" s="79">
        <f>IF(INDIRECT("'"&amp;$O275&amp;"'!F"&amp;$N275)="O","원자재",IF(INDIRECT("'"&amp;$O275&amp;"'!G"&amp;$N275)="O","반제품",IF(INDIRECT("'"&amp;$O275&amp;"'!H"&amp;$N275)="O","완제품","")))</f>
        <v/>
      </c>
      <c r="E275" s="79">
        <f>IFERROR(IF(INDIRECT("'"&amp;$O275&amp;"'!I"&amp;$N275)=0,"",INDIRECT("'"&amp;$O275&amp;"'!I"&amp;$N275)),"")</f>
        <v/>
      </c>
      <c r="F275" s="52" t="inlineStr">
        <is>
          <t>ELECOM WIFI (10DR) [WDC-150SU2M]</t>
        </is>
      </c>
      <c r="G275" s="52" t="inlineStr">
        <is>
          <t>ELECOM WIFI (10DR) (WDC-150SU2M) [ADX4000W]</t>
        </is>
      </c>
      <c r="H275" s="79">
        <f>IF(AND($F275="",$G275=""),"",IF($F275="","창고전용",IF($G275&lt;&gt;"","매칭완료",IF($D275="반제품","반제품(창고없음)",IF($D275="완제품","완제품(창고없음)",IF($D275="원자재","⚠ 원자재_부서보관","미분류"))))))</f>
        <v/>
      </c>
      <c r="I275" s="79">
        <f>IFERROR(IF(INDIRECT("'"&amp;$O275&amp;"'!P"&amp;$N275)=0,"",INDIRECT("'"&amp;$O275&amp;"'!P"&amp;$N275)),"")</f>
        <v/>
      </c>
      <c r="J275" s="61" t="inlineStr">
        <is>
          <t>ELECOM WIFI (10DR) [WDC-150SU2M]</t>
        </is>
      </c>
      <c r="K275" s="65" t="inlineStr">
        <is>
          <t>ADX4000W ELECOM WIFI 동글 (10DR) [WDC-150SU2M]</t>
        </is>
      </c>
      <c r="L275" s="83">
        <f>HYPERLINK("#'"&amp;$O275&amp;"'!A"&amp;$N275,"→ 조립자재 R"&amp;$N275)</f>
        <v/>
      </c>
      <c r="M275" s="84" t="n"/>
      <c r="N275" s="80" t="n">
        <v>99</v>
      </c>
      <c r="O275" s="80" t="inlineStr">
        <is>
          <t>조립자재_재고현황</t>
        </is>
      </c>
    </row>
    <row r="276" ht="30" customHeight="1">
      <c r="A276" s="56" t="inlineStr">
        <is>
          <t>조립</t>
        </is>
      </c>
      <c r="B276" s="52" t="inlineStr">
        <is>
          <t>사출 및 자재</t>
        </is>
      </c>
      <c r="C276" s="52" t="inlineStr">
        <is>
          <t>ADX4000W ADX6000</t>
        </is>
      </c>
      <c r="D276" s="79">
        <f>IF(INDIRECT("'"&amp;$O276&amp;"'!F"&amp;$N276)="O","원자재",IF(INDIRECT("'"&amp;$O276&amp;"'!G"&amp;$N276)="O","반제품",IF(INDIRECT("'"&amp;$O276&amp;"'!H"&amp;$N276)="O","완제품","")))</f>
        <v/>
      </c>
      <c r="E276" s="79">
        <f>IFERROR(IF(INDIRECT("'"&amp;$O276&amp;"'!I"&amp;$N276)=0,"",INDIRECT("'"&amp;$O276&amp;"'!I"&amp;$N276)),"")</f>
        <v/>
      </c>
      <c r="F276" s="52" t="inlineStr">
        <is>
          <t>BUFFALO WIFI [WLI-UC-GNM2]</t>
        </is>
      </c>
      <c r="G276" s="52" t="n"/>
      <c r="H276" s="79">
        <f>IF(AND($F276="",$G276=""),"",IF($F276="","창고전용",IF($G276&lt;&gt;"","매칭완료",IF($D276="반제품","반제품(창고없음)",IF($D276="완제품","완제품(창고없음)",IF($D276="원자재","⚠ 원자재_부서보관","미분류"))))))</f>
        <v/>
      </c>
      <c r="I276" s="79">
        <f>IFERROR(IF(INDIRECT("'"&amp;$O276&amp;"'!P"&amp;$N276)=0,"",INDIRECT("'"&amp;$O276&amp;"'!P"&amp;$N276)),"")</f>
        <v/>
      </c>
      <c r="J276" s="61" t="inlineStr">
        <is>
          <t>BUFFALO WIFI [WLI-UC-GNM2]</t>
        </is>
      </c>
      <c r="K276" s="65" t="inlineStr">
        <is>
          <t>ADX4000W BUFFALO WIFI 동글 [WLI-UC-GNM2]</t>
        </is>
      </c>
      <c r="L276" s="83">
        <f>HYPERLINK("#'"&amp;$O276&amp;"'!A"&amp;$N276,"→ 조립자재 R"&amp;$N276)</f>
        <v/>
      </c>
      <c r="M276" s="84" t="n"/>
      <c r="N276" s="80" t="n">
        <v>100</v>
      </c>
      <c r="O276" s="80" t="inlineStr">
        <is>
          <t>조립자재_재고현황</t>
        </is>
      </c>
    </row>
    <row r="277" ht="30" customHeight="1">
      <c r="A277" s="56" t="inlineStr">
        <is>
          <t>조립</t>
        </is>
      </c>
      <c r="B277" s="52" t="inlineStr">
        <is>
          <t>보드</t>
        </is>
      </c>
      <c r="C277" s="52" t="inlineStr">
        <is>
          <t>ADX4000W</t>
        </is>
      </c>
      <c r="D277" s="79">
        <f>IF(INDIRECT("'"&amp;$O277&amp;"'!F"&amp;$N277)="O","원자재",IF(INDIRECT("'"&amp;$O277&amp;"'!G"&amp;$N277)="O","반제품",IF(INDIRECT("'"&amp;$O277&amp;"'!H"&amp;$N277)="O","완제품","")))</f>
        <v/>
      </c>
      <c r="E277" s="79">
        <f>IFERROR(IF(INDIRECT("'"&amp;$O277&amp;"'!I"&amp;$N277)=0,"",INDIRECT("'"&amp;$O277&amp;"'!I"&amp;$N277)),"")</f>
        <v/>
      </c>
      <c r="F277" s="52" t="inlineStr">
        <is>
          <t>NAVI BD _ 사파리용</t>
        </is>
      </c>
      <c r="G277" s="52" t="inlineStr">
        <is>
          <t>NAVI BD 사파리 [ADX4000W]</t>
        </is>
      </c>
      <c r="H277" s="79">
        <f>IF(AND($F277="",$G277=""),"",IF($F277="","창고전용",IF($G277&lt;&gt;"","매칭완료",IF($D277="반제품","반제품(창고없음)",IF($D277="완제품","완제품(창고없음)",IF($D277="원자재","⚠ 원자재_부서보관","미분류"))))))</f>
        <v/>
      </c>
      <c r="I277" s="79">
        <f>IFERROR(IF(INDIRECT("'"&amp;$O277&amp;"'!P"&amp;$N277)=0,"",INDIRECT("'"&amp;$O277&amp;"'!P"&amp;$N277)),"")</f>
        <v/>
      </c>
      <c r="J277" s="61" t="inlineStr">
        <is>
          <t>NAVI BD _ 사파리용</t>
        </is>
      </c>
      <c r="K277" s="65" t="inlineStr">
        <is>
          <t>ADX4000W NAVI BD _ 사파리용</t>
        </is>
      </c>
      <c r="L277" s="83">
        <f>HYPERLINK("#'"&amp;$O277&amp;"'!A"&amp;$N277,"→ 조립자재 R"&amp;$N277)</f>
        <v/>
      </c>
      <c r="M277" s="84" t="n"/>
      <c r="N277" s="80" t="n">
        <v>101</v>
      </c>
      <c r="O277" s="80" t="inlineStr">
        <is>
          <t>조립자재_재고현황</t>
        </is>
      </c>
    </row>
    <row r="278" ht="30" customHeight="1">
      <c r="A278" s="56" t="inlineStr">
        <is>
          <t>조립</t>
        </is>
      </c>
      <c r="B278" s="52" t="inlineStr">
        <is>
          <t>보드</t>
        </is>
      </c>
      <c r="C278" s="52" t="inlineStr">
        <is>
          <t>ADX4000W</t>
        </is>
      </c>
      <c r="D278" s="79">
        <f>IF(INDIRECT("'"&amp;$O278&amp;"'!F"&amp;$N278)="O","원자재",IF(INDIRECT("'"&amp;$O278&amp;"'!G"&amp;$N278)="O","반제품",IF(INDIRECT("'"&amp;$O278&amp;"'!H"&amp;$N278)="O","완제품","")))</f>
        <v/>
      </c>
      <c r="E278" s="79">
        <f>IFERROR(IF(INDIRECT("'"&amp;$O278&amp;"'!I"&amp;$N278)=0,"",INDIRECT("'"&amp;$O278&amp;"'!I"&amp;$N278)),"")</f>
        <v/>
      </c>
      <c r="F278" s="52" t="inlineStr">
        <is>
          <t>4.8" LCD BD</t>
        </is>
      </c>
      <c r="G278" s="52" t="inlineStr">
        <is>
          <t>4.8" LCD BD [ADX4000W]</t>
        </is>
      </c>
      <c r="H278" s="79">
        <f>IF(AND($F278="",$G278=""),"",IF($F278="","창고전용",IF($G278&lt;&gt;"","매칭완료",IF($D278="반제품","반제품(창고없음)",IF($D278="완제품","완제품(창고없음)",IF($D278="원자재","⚠ 원자재_부서보관","미분류"))))))</f>
        <v/>
      </c>
      <c r="I278" s="79">
        <f>IFERROR(IF(INDIRECT("'"&amp;$O278&amp;"'!P"&amp;$N278)=0,"",INDIRECT("'"&amp;$O278&amp;"'!P"&amp;$N278)),"")</f>
        <v/>
      </c>
      <c r="J278" s="61" t="inlineStr">
        <is>
          <t>4.8" LCD BD</t>
        </is>
      </c>
      <c r="K278" s="65" t="inlineStr">
        <is>
          <t>ADX4000W 4.8" LCD BD</t>
        </is>
      </c>
      <c r="L278" s="83">
        <f>HYPERLINK("#'"&amp;$O278&amp;"'!A"&amp;$N278,"→ 조립자재 R"&amp;$N278)</f>
        <v/>
      </c>
      <c r="M278" s="84" t="n"/>
      <c r="N278" s="80" t="n">
        <v>102</v>
      </c>
      <c r="O278" s="80" t="inlineStr">
        <is>
          <t>조립자재_재고현황</t>
        </is>
      </c>
    </row>
    <row r="279" ht="30" customHeight="1">
      <c r="A279" s="56" t="inlineStr">
        <is>
          <t>조립</t>
        </is>
      </c>
      <c r="B279" s="52" t="inlineStr">
        <is>
          <t>보드</t>
        </is>
      </c>
      <c r="C279" s="52" t="inlineStr">
        <is>
          <t>ADX4000W</t>
        </is>
      </c>
      <c r="D279" s="79">
        <f>IF(INDIRECT("'"&amp;$O279&amp;"'!F"&amp;$N279)="O","원자재",IF(INDIRECT("'"&amp;$O279&amp;"'!G"&amp;$N279)="O","반제품",IF(INDIRECT("'"&amp;$O279&amp;"'!H"&amp;$N279)="O","완제품","")))</f>
        <v/>
      </c>
      <c r="E279" s="79">
        <f>IFERROR(IF(INDIRECT("'"&amp;$O279&amp;"'!I"&amp;$N279)=0,"",INDIRECT("'"&amp;$O279&amp;"'!I"&amp;$N279)),"")</f>
        <v/>
      </c>
      <c r="F279" s="52" t="inlineStr">
        <is>
          <t>POWER BD</t>
        </is>
      </c>
      <c r="G279" s="52" t="inlineStr">
        <is>
          <t>POWER BD [ADX4000W]</t>
        </is>
      </c>
      <c r="H279" s="79">
        <f>IF(AND($F279="",$G279=""),"",IF($F279="","창고전용",IF($G279&lt;&gt;"","매칭완료",IF($D279="반제품","반제품(창고없음)",IF($D279="완제품","완제품(창고없음)",IF($D279="원자재","⚠ 원자재_부서보관","미분류"))))))</f>
        <v/>
      </c>
      <c r="I279" s="79">
        <f>IFERROR(IF(INDIRECT("'"&amp;$O279&amp;"'!P"&amp;$N279)=0,"",INDIRECT("'"&amp;$O279&amp;"'!P"&amp;$N279)),"")</f>
        <v/>
      </c>
      <c r="J279" s="61" t="inlineStr">
        <is>
          <t>POWER BD</t>
        </is>
      </c>
      <c r="K279" s="65" t="inlineStr">
        <is>
          <t>ADX4000W POWER BD</t>
        </is>
      </c>
      <c r="L279" s="83">
        <f>HYPERLINK("#'"&amp;$O279&amp;"'!A"&amp;$N279,"→ 조립자재 R"&amp;$N279)</f>
        <v/>
      </c>
      <c r="M279" s="84" t="n"/>
      <c r="N279" s="80" t="n">
        <v>103</v>
      </c>
      <c r="O279" s="80" t="inlineStr">
        <is>
          <t>조립자재_재고현황</t>
        </is>
      </c>
    </row>
    <row r="280" ht="30" customHeight="1">
      <c r="A280" s="56" t="inlineStr">
        <is>
          <t>조립</t>
        </is>
      </c>
      <c r="B280" s="52" t="inlineStr">
        <is>
          <t>보드</t>
        </is>
      </c>
      <c r="C280" s="52" t="inlineStr">
        <is>
          <t>ADX4000W</t>
        </is>
      </c>
      <c r="D280" s="79">
        <f>IF(INDIRECT("'"&amp;$O280&amp;"'!F"&amp;$N280)="O","원자재",IF(INDIRECT("'"&amp;$O280&amp;"'!G"&amp;$N280)="O","반제품",IF(INDIRECT("'"&amp;$O280&amp;"'!H"&amp;$N280)="O","완제품","")))</f>
        <v/>
      </c>
      <c r="E280" s="79">
        <f>IFERROR(IF(INDIRECT("'"&amp;$O280&amp;"'!I"&amp;$N280)=0,"",INDIRECT("'"&amp;$O280&amp;"'!I"&amp;$N280)),"")</f>
        <v/>
      </c>
      <c r="F280" s="52" t="inlineStr">
        <is>
          <t>NAVI BD</t>
        </is>
      </c>
      <c r="G280" s="52" t="inlineStr">
        <is>
          <t>NAVI BD [ADX4000W]</t>
        </is>
      </c>
      <c r="H280" s="79">
        <f>IF(AND($F280="",$G280=""),"",IF($F280="","창고전용",IF($G280&lt;&gt;"","매칭완료",IF($D280="반제품","반제품(창고없음)",IF($D280="완제품","완제품(창고없음)",IF($D280="원자재","⚠ 원자재_부서보관","미분류"))))))</f>
        <v/>
      </c>
      <c r="I280" s="79">
        <f>IFERROR(IF(INDIRECT("'"&amp;$O280&amp;"'!P"&amp;$N280)=0,"",INDIRECT("'"&amp;$O280&amp;"'!P"&amp;$N280)),"")</f>
        <v/>
      </c>
      <c r="J280" s="61" t="inlineStr">
        <is>
          <t>NAVI BD</t>
        </is>
      </c>
      <c r="K280" s="65" t="inlineStr">
        <is>
          <t>ADX4000W NAVI BD</t>
        </is>
      </c>
      <c r="L280" s="83">
        <f>HYPERLINK("#'"&amp;$O280&amp;"'!A"&amp;$N280,"→ 조립자재 R"&amp;$N280)</f>
        <v/>
      </c>
      <c r="M280" s="84" t="n"/>
      <c r="N280" s="80" t="n">
        <v>104</v>
      </c>
      <c r="O280" s="80" t="inlineStr">
        <is>
          <t>조립자재_재고현황</t>
        </is>
      </c>
    </row>
    <row r="281" ht="30" customHeight="1">
      <c r="A281" s="56" t="inlineStr">
        <is>
          <t>조립</t>
        </is>
      </c>
      <c r="B281" s="52" t="inlineStr">
        <is>
          <t>보드</t>
        </is>
      </c>
      <c r="C281" s="52" t="inlineStr">
        <is>
          <t>ADX4000W</t>
        </is>
      </c>
      <c r="D281" s="79">
        <f>IF(INDIRECT("'"&amp;$O281&amp;"'!F"&amp;$N281)="O","원자재",IF(INDIRECT("'"&amp;$O281&amp;"'!G"&amp;$N281)="O","반제품",IF(INDIRECT("'"&amp;$O281&amp;"'!H"&amp;$N281)="O","완제품","")))</f>
        <v/>
      </c>
      <c r="E281" s="79">
        <f>IFERROR(IF(INDIRECT("'"&amp;$O281&amp;"'!I"&amp;$N281)=0,"",INDIRECT("'"&amp;$O281&amp;"'!I"&amp;$N281)),"")</f>
        <v/>
      </c>
      <c r="F281" s="52" t="inlineStr">
        <is>
          <t>EX B/D</t>
        </is>
      </c>
      <c r="G281" s="52" t="inlineStr">
        <is>
          <t>EX B/D [ADX4000W]</t>
        </is>
      </c>
      <c r="H281" s="79">
        <f>IF(AND($F281="",$G281=""),"",IF($F281="","창고전용",IF($G281&lt;&gt;"","매칭완료",IF($D281="반제품","반제품(창고없음)",IF($D281="완제품","완제품(창고없음)",IF($D281="원자재","⚠ 원자재_부서보관","미분류"))))))</f>
        <v/>
      </c>
      <c r="I281" s="79">
        <f>IFERROR(IF(INDIRECT("'"&amp;$O281&amp;"'!P"&amp;$N281)=0,"",INDIRECT("'"&amp;$O281&amp;"'!P"&amp;$N281)),"")</f>
        <v/>
      </c>
      <c r="J281" s="61" t="inlineStr">
        <is>
          <t>EX B/D</t>
        </is>
      </c>
      <c r="K281" s="65" t="inlineStr">
        <is>
          <t>ADX4000W EX B/D</t>
        </is>
      </c>
      <c r="L281" s="83">
        <f>HYPERLINK("#'"&amp;$O281&amp;"'!A"&amp;$N281,"→ 조립자재 R"&amp;$N281)</f>
        <v/>
      </c>
      <c r="M281" s="84" t="n"/>
      <c r="N281" s="80" t="n">
        <v>105</v>
      </c>
      <c r="O281" s="80" t="inlineStr">
        <is>
          <t>조립자재_재고현황</t>
        </is>
      </c>
    </row>
    <row r="282" ht="30" customHeight="1">
      <c r="A282" s="56" t="inlineStr">
        <is>
          <t>조립</t>
        </is>
      </c>
      <c r="B282" s="52" t="inlineStr">
        <is>
          <t>보드</t>
        </is>
      </c>
      <c r="C282" s="52" t="inlineStr">
        <is>
          <t>ADX4000W</t>
        </is>
      </c>
      <c r="D282" s="79">
        <f>IF(INDIRECT("'"&amp;$O282&amp;"'!F"&amp;$N282)="O","원자재",IF(INDIRECT("'"&amp;$O282&amp;"'!G"&amp;$N282)="O","반제품",IF(INDIRECT("'"&amp;$O282&amp;"'!H"&amp;$N282)="O","완제품","")))</f>
        <v/>
      </c>
      <c r="E282" s="79">
        <f>IFERROR(IF(INDIRECT("'"&amp;$O282&amp;"'!I"&amp;$N282)=0,"",INDIRECT("'"&amp;$O282&amp;"'!I"&amp;$N282)),"")</f>
        <v/>
      </c>
      <c r="F282" s="52" t="inlineStr">
        <is>
          <t>Carrier BD _ KONTRON</t>
        </is>
      </c>
      <c r="G282" s="52" t="inlineStr">
        <is>
          <t>Carrier BD (구형 KONTRON) [ADX4000W]</t>
        </is>
      </c>
      <c r="H282" s="79">
        <f>IF(AND($F282="",$G282=""),"",IF($F282="","창고전용",IF($G282&lt;&gt;"","매칭완료",IF($D282="반제품","반제품(창고없음)",IF($D282="완제품","완제품(창고없음)",IF($D282="원자재","⚠ 원자재_부서보관","미분류"))))))</f>
        <v/>
      </c>
      <c r="I282" s="79">
        <f>IFERROR(IF(INDIRECT("'"&amp;$O282&amp;"'!P"&amp;$N282)=0,"",INDIRECT("'"&amp;$O282&amp;"'!P"&amp;$N282)),"")</f>
        <v/>
      </c>
      <c r="J282" s="61" t="inlineStr">
        <is>
          <t>Carrier BD _ KONTRON</t>
        </is>
      </c>
      <c r="K282" s="65" t="inlineStr">
        <is>
          <t>ADX4000W Carrier BD [KONTRON]</t>
        </is>
      </c>
      <c r="L282" s="83">
        <f>HYPERLINK("#'"&amp;$O282&amp;"'!A"&amp;$N282,"→ 조립자재 R"&amp;$N282)</f>
        <v/>
      </c>
      <c r="M282" s="84" t="n"/>
      <c r="N282" s="80" t="n">
        <v>106</v>
      </c>
      <c r="O282" s="80" t="inlineStr">
        <is>
          <t>조립자재_재고현황</t>
        </is>
      </c>
    </row>
    <row r="283" ht="30" customHeight="1">
      <c r="A283" s="56" t="inlineStr">
        <is>
          <t>조립</t>
        </is>
      </c>
      <c r="B283" s="52" t="inlineStr">
        <is>
          <t>보드</t>
        </is>
      </c>
      <c r="C283" s="52" t="inlineStr">
        <is>
          <t>ADX4000W ADX6000</t>
        </is>
      </c>
      <c r="D283" s="79">
        <f>IF(INDIRECT("'"&amp;$O283&amp;"'!F"&amp;$N283)="O","원자재",IF(INDIRECT("'"&amp;$O283&amp;"'!G"&amp;$N283)="O","반제품",IF(INDIRECT("'"&amp;$O283&amp;"'!H"&amp;$N283)="O","완제품","")))</f>
        <v/>
      </c>
      <c r="E283" s="79">
        <f>IFERROR(IF(INDIRECT("'"&amp;$O283&amp;"'!I"&amp;$N283)=0,"",INDIRECT("'"&amp;$O283&amp;"'!I"&amp;$N283)),"")</f>
        <v/>
      </c>
      <c r="F283" s="52" t="inlineStr">
        <is>
          <t>Module BD _ KONTRON</t>
        </is>
      </c>
      <c r="G283" s="52" t="inlineStr">
        <is>
          <t>Module BD (구형 KONTRON) [ADX4000W]</t>
        </is>
      </c>
      <c r="H283" s="79">
        <f>IF(AND($F283="",$G283=""),"",IF($F283="","창고전용",IF($G283&lt;&gt;"","매칭완료",IF($D283="반제품","반제품(창고없음)",IF($D283="완제품","완제품(창고없음)",IF($D283="원자재","⚠ 원자재_부서보관","미분류"))))))</f>
        <v/>
      </c>
      <c r="I283" s="79">
        <f>IFERROR(IF(INDIRECT("'"&amp;$O283&amp;"'!P"&amp;$N283)=0,"",INDIRECT("'"&amp;$O283&amp;"'!P"&amp;$N283)),"")</f>
        <v/>
      </c>
      <c r="J283" s="61" t="inlineStr">
        <is>
          <t>Module BD _ KONTRON</t>
        </is>
      </c>
      <c r="K283" s="65" t="inlineStr">
        <is>
          <t>ADX4000W Module BD [KONTRON]</t>
        </is>
      </c>
      <c r="L283" s="83">
        <f>HYPERLINK("#'"&amp;$O283&amp;"'!A"&amp;$N283,"→ 조립자재 R"&amp;$N283)</f>
        <v/>
      </c>
      <c r="M283" s="84" t="n"/>
      <c r="N283" s="80" t="n">
        <v>107</v>
      </c>
      <c r="O283" s="80" t="inlineStr">
        <is>
          <t>조립자재_재고현황</t>
        </is>
      </c>
    </row>
    <row r="284" ht="30" customHeight="1">
      <c r="A284" s="56" t="inlineStr">
        <is>
          <t>조립</t>
        </is>
      </c>
      <c r="B284" s="52" t="inlineStr">
        <is>
          <t>보드</t>
        </is>
      </c>
      <c r="C284" s="52" t="inlineStr">
        <is>
          <t>ADX4000W</t>
        </is>
      </c>
      <c r="D284" s="79">
        <f>IF(INDIRECT("'"&amp;$O284&amp;"'!F"&amp;$N284)="O","원자재",IF(INDIRECT("'"&amp;$O284&amp;"'!G"&amp;$N284)="O","반제품",IF(INDIRECT("'"&amp;$O284&amp;"'!H"&amp;$N284)="O","완제품","")))</f>
        <v/>
      </c>
      <c r="E284" s="79">
        <f>IFERROR(IF(INDIRECT("'"&amp;$O284&amp;"'!I"&amp;$N284)=0,"",INDIRECT("'"&amp;$O284&amp;"'!I"&amp;$N284)),"")</f>
        <v/>
      </c>
      <c r="F284" s="52" t="inlineStr">
        <is>
          <t>Carrier BD _ DFI</t>
        </is>
      </c>
      <c r="G284" s="52" t="inlineStr">
        <is>
          <t>Carrier BD (신형 DFI) [ADX4000W]</t>
        </is>
      </c>
      <c r="H284" s="79">
        <f>IF(AND($F284="",$G284=""),"",IF($F284="","창고전용",IF($G284&lt;&gt;"","매칭완료",IF($D284="반제품","반제품(창고없음)",IF($D284="완제품","완제품(창고없음)",IF($D284="원자재","⚠ 원자재_부서보관","미분류"))))))</f>
        <v/>
      </c>
      <c r="I284" s="79">
        <f>IFERROR(IF(INDIRECT("'"&amp;$O284&amp;"'!P"&amp;$N284)=0,"",INDIRECT("'"&amp;$O284&amp;"'!P"&amp;$N284)),"")</f>
        <v/>
      </c>
      <c r="J284" s="61" t="inlineStr">
        <is>
          <t>Carrier BD _ DFI</t>
        </is>
      </c>
      <c r="K284" s="65" t="inlineStr">
        <is>
          <t>ADX4000W Carrier BD [DFI]</t>
        </is>
      </c>
      <c r="L284" s="83">
        <f>HYPERLINK("#'"&amp;$O284&amp;"'!A"&amp;$N284,"→ 조립자재 R"&amp;$N284)</f>
        <v/>
      </c>
      <c r="M284" s="84" t="n"/>
      <c r="N284" s="80" t="n">
        <v>108</v>
      </c>
      <c r="O284" s="80" t="inlineStr">
        <is>
          <t>조립자재_재고현황</t>
        </is>
      </c>
    </row>
    <row r="285" ht="30" customHeight="1">
      <c r="A285" s="56" t="inlineStr">
        <is>
          <t>조립</t>
        </is>
      </c>
      <c r="B285" s="52" t="inlineStr">
        <is>
          <t>보드</t>
        </is>
      </c>
      <c r="C285" s="52" t="inlineStr">
        <is>
          <t>ADX4000W ADX6000</t>
        </is>
      </c>
      <c r="D285" s="79">
        <f>IF(INDIRECT("'"&amp;$O285&amp;"'!F"&amp;$N285)="O","원자재",IF(INDIRECT("'"&amp;$O285&amp;"'!G"&amp;$N285)="O","반제품",IF(INDIRECT("'"&amp;$O285&amp;"'!H"&amp;$N285)="O","완제품","")))</f>
        <v/>
      </c>
      <c r="E285" s="79">
        <f>IFERROR(IF(INDIRECT("'"&amp;$O285&amp;"'!I"&amp;$N285)=0,"",INDIRECT("'"&amp;$O285&amp;"'!I"&amp;$N285)),"")</f>
        <v/>
      </c>
      <c r="F285" s="52" t="inlineStr">
        <is>
          <t>Module BD _ DFI</t>
        </is>
      </c>
      <c r="G285" s="52" t="inlineStr">
        <is>
          <t>Module BD (신형 DFI) [ADX4000W]</t>
        </is>
      </c>
      <c r="H285" s="79">
        <f>IF(AND($F285="",$G285=""),"",IF($F285="","창고전용",IF($G285&lt;&gt;"","매칭완료",IF($D285="반제품","반제품(창고없음)",IF($D285="완제품","완제품(창고없음)",IF($D285="원자재","⚠ 원자재_부서보관","미분류"))))))</f>
        <v/>
      </c>
      <c r="I285" s="79">
        <f>IFERROR(IF(INDIRECT("'"&amp;$O285&amp;"'!P"&amp;$N285)=0,"",INDIRECT("'"&amp;$O285&amp;"'!P"&amp;$N285)),"")</f>
        <v/>
      </c>
      <c r="J285" s="61" t="inlineStr">
        <is>
          <t>Module BD _ DFI</t>
        </is>
      </c>
      <c r="K285" s="65" t="inlineStr">
        <is>
          <t>ADX4000W Module BD [DFI]</t>
        </is>
      </c>
      <c r="L285" s="83">
        <f>HYPERLINK("#'"&amp;$O285&amp;"'!A"&amp;$N285,"→ 조립자재 R"&amp;$N285)</f>
        <v/>
      </c>
      <c r="M285" s="84" t="n"/>
      <c r="N285" s="80" t="n">
        <v>109</v>
      </c>
      <c r="O285" s="80" t="inlineStr">
        <is>
          <t>조립자재_재고현황</t>
        </is>
      </c>
    </row>
    <row r="286" ht="30" customHeight="1">
      <c r="A286" s="56" t="inlineStr">
        <is>
          <t>조립</t>
        </is>
      </c>
      <c r="B286" s="52" t="inlineStr">
        <is>
          <t>보드</t>
        </is>
      </c>
      <c r="C286" s="52" t="inlineStr">
        <is>
          <t>ADX4000W</t>
        </is>
      </c>
      <c r="D286" s="79">
        <f>IF(INDIRECT("'"&amp;$O286&amp;"'!F"&amp;$N286)="O","원자재",IF(INDIRECT("'"&amp;$O286&amp;"'!G"&amp;$N286)="O","반제품",IF(INDIRECT("'"&amp;$O286&amp;"'!H"&amp;$N286)="O","완제품","")))</f>
        <v/>
      </c>
      <c r="E286" s="79">
        <f>IFERROR(IF(INDIRECT("'"&amp;$O286&amp;"'!I"&amp;$N286)=0,"",INDIRECT("'"&amp;$O286&amp;"'!I"&amp;$N286)),"")</f>
        <v/>
      </c>
      <c r="F286" s="52" t="inlineStr">
        <is>
          <t>USB 메모리 BD _ KONTRON</t>
        </is>
      </c>
      <c r="G286" s="52" t="inlineStr">
        <is>
          <t>USB 메모리 BD (구형 KONTRON) [ADX4000W]</t>
        </is>
      </c>
      <c r="H286" s="79">
        <f>IF(AND($F286="",$G286=""),"",IF($F286="","창고전용",IF($G286&lt;&gt;"","매칭완료",IF($D286="반제품","반제품(창고없음)",IF($D286="완제품","완제품(창고없음)",IF($D286="원자재","⚠ 원자재_부서보관","미분류"))))))</f>
        <v/>
      </c>
      <c r="I286" s="79">
        <f>IFERROR(IF(INDIRECT("'"&amp;$O286&amp;"'!P"&amp;$N286)=0,"",INDIRECT("'"&amp;$O286&amp;"'!P"&amp;$N286)),"")</f>
        <v/>
      </c>
      <c r="J286" s="61" t="inlineStr">
        <is>
          <t>USB 메모리 BD _ KONTRON</t>
        </is>
      </c>
      <c r="K286" s="65" t="inlineStr">
        <is>
          <t>ADX4000W USB 메모리 BD [KONTRON]</t>
        </is>
      </c>
      <c r="L286" s="83">
        <f>HYPERLINK("#'"&amp;$O286&amp;"'!A"&amp;$N286,"→ 조립자재 R"&amp;$N286)</f>
        <v/>
      </c>
      <c r="M286" s="84" t="n"/>
      <c r="N286" s="80" t="n">
        <v>110</v>
      </c>
      <c r="O286" s="80" t="inlineStr">
        <is>
          <t>조립자재_재고현황</t>
        </is>
      </c>
    </row>
    <row r="287" ht="30" customHeight="1">
      <c r="A287" s="56" t="inlineStr">
        <is>
          <t>조립</t>
        </is>
      </c>
      <c r="B287" s="52" t="inlineStr">
        <is>
          <t>보드</t>
        </is>
      </c>
      <c r="C287" s="52" t="inlineStr">
        <is>
          <t>ADX4000W</t>
        </is>
      </c>
      <c r="D287" s="79">
        <f>IF(INDIRECT("'"&amp;$O287&amp;"'!F"&amp;$N287)="O","원자재",IF(INDIRECT("'"&amp;$O287&amp;"'!G"&amp;$N287)="O","반제품",IF(INDIRECT("'"&amp;$O287&amp;"'!H"&amp;$N287)="O","완제품","")))</f>
        <v/>
      </c>
      <c r="E287" s="79">
        <f>IFERROR(IF(INDIRECT("'"&amp;$O287&amp;"'!I"&amp;$N287)=0,"",INDIRECT("'"&amp;$O287&amp;"'!I"&amp;$N287)),"")</f>
        <v/>
      </c>
      <c r="F287" s="52" t="inlineStr">
        <is>
          <t>USB 메모리 BD _ DFI</t>
        </is>
      </c>
      <c r="G287" s="52" t="inlineStr">
        <is>
          <t>USB 메모리 BD (신형 DFI) [ADX4000W]</t>
        </is>
      </c>
      <c r="H287" s="79">
        <f>IF(AND($F287="",$G287=""),"",IF($F287="","창고전용",IF($G287&lt;&gt;"","매칭완료",IF($D287="반제품","반제품(창고없음)",IF($D287="완제품","완제품(창고없음)",IF($D287="원자재","⚠ 원자재_부서보관","미분류"))))))</f>
        <v/>
      </c>
      <c r="I287" s="79">
        <f>IFERROR(IF(INDIRECT("'"&amp;$O287&amp;"'!P"&amp;$N287)=0,"",INDIRECT("'"&amp;$O287&amp;"'!P"&amp;$N287)),"")</f>
        <v/>
      </c>
      <c r="J287" s="61" t="inlineStr">
        <is>
          <t>USB 메모리 BD _ DFI</t>
        </is>
      </c>
      <c r="K287" s="65" t="inlineStr">
        <is>
          <t>ADX4000W USB 메모리 BD [DFI]</t>
        </is>
      </c>
      <c r="L287" s="83">
        <f>HYPERLINK("#'"&amp;$O287&amp;"'!A"&amp;$N287,"→ 조립자재 R"&amp;$N287)</f>
        <v/>
      </c>
      <c r="M287" s="84" t="n"/>
      <c r="N287" s="80" t="n">
        <v>111</v>
      </c>
      <c r="O287" s="80" t="inlineStr">
        <is>
          <t>조립자재_재고현황</t>
        </is>
      </c>
    </row>
    <row r="288" ht="30" customHeight="1">
      <c r="A288" s="56" t="inlineStr">
        <is>
          <t>조립</t>
        </is>
      </c>
      <c r="B288" s="52" t="inlineStr">
        <is>
          <t>보드</t>
        </is>
      </c>
      <c r="C288" s="52" t="inlineStr">
        <is>
          <t>ADX4000W ADX6000</t>
        </is>
      </c>
      <c r="D288" s="79">
        <f>IF(INDIRECT("'"&amp;$O288&amp;"'!F"&amp;$N288)="O","원자재",IF(INDIRECT("'"&amp;$O288&amp;"'!G"&amp;$N288)="O","반제품",IF(INDIRECT("'"&amp;$O288&amp;"'!H"&amp;$N288)="O","완제품","")))</f>
        <v/>
      </c>
      <c r="E288" s="79">
        <f>IFERROR(IF(INDIRECT("'"&amp;$O288&amp;"'!I"&amp;$N288)=0,"",INDIRECT("'"&amp;$O288&amp;"'!I"&amp;$N288)),"")</f>
        <v/>
      </c>
      <c r="F288" s="52" t="inlineStr">
        <is>
          <t>큰 페라이트 CAT-1730-0730</t>
        </is>
      </c>
      <c r="G288" s="52" t="inlineStr">
        <is>
          <t>큰 페라이트 (ZCAT-1730-0730) [ADX4000W]</t>
        </is>
      </c>
      <c r="H288" s="79">
        <f>IF(AND($F288="",$G288=""),"",IF($F288="","창고전용",IF($G288&lt;&gt;"","매칭완료",IF($D288="반제품","반제품(창고없음)",IF($D288="완제품","완제품(창고없음)",IF($D288="원자재","⚠ 원자재_부서보관","미분류"))))))</f>
        <v/>
      </c>
      <c r="I288" s="79">
        <f>IFERROR(IF(INDIRECT("'"&amp;$O288&amp;"'!P"&amp;$N288)=0,"",INDIRECT("'"&amp;$O288&amp;"'!P"&amp;$N288)),"")</f>
        <v/>
      </c>
      <c r="J288" s="61" t="inlineStr">
        <is>
          <t>큰 페라이트 CAT-1730-0730</t>
        </is>
      </c>
      <c r="K288" s="65" t="inlineStr">
        <is>
          <t>ADX4000W 큰 페라이트 CAT-1730-0730</t>
        </is>
      </c>
      <c r="L288" s="83">
        <f>HYPERLINK("#'"&amp;$O288&amp;"'!A"&amp;$N288,"→ 조립자재 R"&amp;$N288)</f>
        <v/>
      </c>
      <c r="M288" s="84" t="n"/>
      <c r="N288" s="80" t="n">
        <v>112</v>
      </c>
      <c r="O288" s="80" t="inlineStr">
        <is>
          <t>조립자재_재고현황</t>
        </is>
      </c>
    </row>
    <row r="289" ht="30" customHeight="1">
      <c r="A289" s="56" t="inlineStr">
        <is>
          <t>조립</t>
        </is>
      </c>
      <c r="B289" s="52" t="inlineStr">
        <is>
          <t>보드</t>
        </is>
      </c>
      <c r="C289" s="52" t="inlineStr">
        <is>
          <t>ADX4000W</t>
        </is>
      </c>
      <c r="D289" s="79">
        <f>IF(INDIRECT("'"&amp;$O289&amp;"'!F"&amp;$N289)="O","원자재",IF(INDIRECT("'"&amp;$O289&amp;"'!G"&amp;$N289)="O","반제품",IF(INDIRECT("'"&amp;$O289&amp;"'!H"&amp;$N289)="O","완제품","")))</f>
        <v/>
      </c>
      <c r="E289" s="79">
        <f>IFERROR(IF(INDIRECT("'"&amp;$O289&amp;"'!I"&amp;$N289)=0,"",INDIRECT("'"&amp;$O289&amp;"'!I"&amp;$N289)),"")</f>
        <v/>
      </c>
      <c r="F289" s="52" t="inlineStr">
        <is>
          <t>작은 페라이트 ZCAT-1325-0530</t>
        </is>
      </c>
      <c r="G289" s="52" t="inlineStr">
        <is>
          <t>작은 페라이트 (ZCAT-1325-0530) [ADX4000W]</t>
        </is>
      </c>
      <c r="H289" s="79">
        <f>IF(AND($F289="",$G289=""),"",IF($F289="","창고전용",IF($G289&lt;&gt;"","매칭완료",IF($D289="반제품","반제품(창고없음)",IF($D289="완제품","완제품(창고없음)",IF($D289="원자재","⚠ 원자재_부서보관","미분류"))))))</f>
        <v/>
      </c>
      <c r="I289" s="79">
        <f>IFERROR(IF(INDIRECT("'"&amp;$O289&amp;"'!P"&amp;$N289)=0,"",INDIRECT("'"&amp;$O289&amp;"'!P"&amp;$N289)),"")</f>
        <v/>
      </c>
      <c r="J289" s="61" t="inlineStr">
        <is>
          <t>작은 페라이트 ZCAT-1325-0530</t>
        </is>
      </c>
      <c r="K289" s="65" t="inlineStr">
        <is>
          <t>ADX4000W 작은 페라이트 ZCAT-1325-0530</t>
        </is>
      </c>
      <c r="L289" s="83">
        <f>HYPERLINK("#'"&amp;$O289&amp;"'!A"&amp;$N289,"→ 조립자재 R"&amp;$N289)</f>
        <v/>
      </c>
      <c r="M289" s="84" t="n"/>
      <c r="N289" s="80" t="n">
        <v>113</v>
      </c>
      <c r="O289" s="80" t="inlineStr">
        <is>
          <t>조립자재_재고현황</t>
        </is>
      </c>
    </row>
    <row r="290" ht="30" customHeight="1">
      <c r="A290" s="56" t="inlineStr">
        <is>
          <t>조립</t>
        </is>
      </c>
      <c r="B290" s="52" t="inlineStr">
        <is>
          <t>하네스</t>
        </is>
      </c>
      <c r="C290" s="52" t="inlineStr">
        <is>
          <t>ADX4000W ADX6000</t>
        </is>
      </c>
      <c r="D290" s="79">
        <f>IF(INDIRECT("'"&amp;$O290&amp;"'!F"&amp;$N290)="O","원자재",IF(INDIRECT("'"&amp;$O290&amp;"'!G"&amp;$N290)="O","반제품",IF(INDIRECT("'"&amp;$O290&amp;"'!H"&amp;$N290)="O","완제품","")))</f>
        <v/>
      </c>
      <c r="E290" s="79">
        <f>IFERROR(IF(INDIRECT("'"&amp;$O290&amp;"'!I"&amp;$N290)=0,"",INDIRECT("'"&amp;$O290&amp;"'!I"&amp;$N290)),"")</f>
        <v/>
      </c>
      <c r="F290" s="52" t="inlineStr">
        <is>
          <t>LCD Wire (LVDS) -30핀</t>
        </is>
      </c>
      <c r="G290" s="52" t="inlineStr">
        <is>
          <t>LCD Wire (LVDS) (30핀) [ADX4000W]</t>
        </is>
      </c>
      <c r="H290" s="79">
        <f>IF(AND($F290="",$G290=""),"",IF($F290="","창고전용",IF($G290&lt;&gt;"","매칭완료",IF($D290="반제품","반제품(창고없음)",IF($D290="완제품","완제품(창고없음)",IF($D290="원자재","⚠ 원자재_부서보관","미분류"))))))</f>
        <v/>
      </c>
      <c r="I290" s="79">
        <f>IFERROR(IF(INDIRECT("'"&amp;$O290&amp;"'!P"&amp;$N290)=0,"",INDIRECT("'"&amp;$O290&amp;"'!P"&amp;$N290)),"")</f>
        <v/>
      </c>
      <c r="J290" s="61" t="inlineStr">
        <is>
          <t>LCD Wire (LVDS) -30핀</t>
        </is>
      </c>
      <c r="K290" s="65" t="inlineStr">
        <is>
          <t>ADX4000W LVDS Cable -30핀</t>
        </is>
      </c>
      <c r="L290" s="83">
        <f>HYPERLINK("#'"&amp;$O290&amp;"'!A"&amp;$N290,"→ 조립자재 R"&amp;$N290)</f>
        <v/>
      </c>
      <c r="M290" s="84" t="n"/>
      <c r="N290" s="80" t="n">
        <v>114</v>
      </c>
      <c r="O290" s="80" t="inlineStr">
        <is>
          <t>조립자재_재고현황</t>
        </is>
      </c>
    </row>
    <row r="291" ht="30" customHeight="1">
      <c r="A291" s="56" t="inlineStr">
        <is>
          <t>조립</t>
        </is>
      </c>
      <c r="B291" s="52" t="inlineStr">
        <is>
          <t>하네스</t>
        </is>
      </c>
      <c r="C291" s="52" t="inlineStr">
        <is>
          <t>ADX4000W</t>
        </is>
      </c>
      <c r="D291" s="79">
        <f>IF(INDIRECT("'"&amp;$O291&amp;"'!F"&amp;$N291)="O","원자재",IF(INDIRECT("'"&amp;$O291&amp;"'!G"&amp;$N291)="O","반제품",IF(INDIRECT("'"&amp;$O291&amp;"'!H"&amp;$N291)="O","완제품","")))</f>
        <v/>
      </c>
      <c r="E291" s="79">
        <f>IFERROR(IF(INDIRECT("'"&amp;$O291&amp;"'!I"&amp;$N291)=0,"",INDIRECT("'"&amp;$O291&amp;"'!I"&amp;$N291)),"")</f>
        <v/>
      </c>
      <c r="F291" s="52" t="inlineStr">
        <is>
          <t>전원 및 EXP Wire -8핀</t>
        </is>
      </c>
      <c r="G291" s="52" t="inlineStr">
        <is>
          <t>전원 및 EXP Wire (8핀) [ADX4000W]</t>
        </is>
      </c>
      <c r="H291" s="79">
        <f>IF(AND($F291="",$G291=""),"",IF($F291="","창고전용",IF($G291&lt;&gt;"","매칭완료",IF($D291="반제품","반제품(창고없음)",IF($D291="완제품","완제품(창고없음)",IF($D291="원자재","⚠ 원자재_부서보관","미분류"))))))</f>
        <v/>
      </c>
      <c r="I291" s="79">
        <f>IFERROR(IF(INDIRECT("'"&amp;$O291&amp;"'!P"&amp;$N291)=0,"",INDIRECT("'"&amp;$O291&amp;"'!P"&amp;$N291)),"")</f>
        <v/>
      </c>
      <c r="J291" s="61" t="inlineStr">
        <is>
          <t>전원 및 EXP Wire -8핀</t>
        </is>
      </c>
      <c r="K291" s="65" t="inlineStr">
        <is>
          <t>ADX4000W 전원 및 EXP Wire -8핀</t>
        </is>
      </c>
      <c r="L291" s="83">
        <f>HYPERLINK("#'"&amp;$O291&amp;"'!A"&amp;$N291,"→ 조립자재 R"&amp;$N291)</f>
        <v/>
      </c>
      <c r="M291" s="84" t="n"/>
      <c r="N291" s="80" t="n">
        <v>115</v>
      </c>
      <c r="O291" s="80" t="inlineStr">
        <is>
          <t>조립자재_재고현황</t>
        </is>
      </c>
    </row>
    <row r="292" ht="30" customHeight="1">
      <c r="A292" s="56" t="inlineStr">
        <is>
          <t>조립</t>
        </is>
      </c>
      <c r="B292" s="52" t="inlineStr">
        <is>
          <t>하네스</t>
        </is>
      </c>
      <c r="C292" s="52" t="inlineStr">
        <is>
          <t>ADX4000W</t>
        </is>
      </c>
      <c r="D292" s="79">
        <f>IF(INDIRECT("'"&amp;$O292&amp;"'!F"&amp;$N292)="O","원자재",IF(INDIRECT("'"&amp;$O292&amp;"'!G"&amp;$N292)="O","반제품",IF(INDIRECT("'"&amp;$O292&amp;"'!H"&amp;$N292)="O","완제품","")))</f>
        <v/>
      </c>
      <c r="E292" s="79">
        <f>IFERROR(IF(INDIRECT("'"&amp;$O292&amp;"'!I"&amp;$N292)=0,"",INDIRECT("'"&amp;$O292&amp;"'!I"&amp;$N292)),"")</f>
        <v/>
      </c>
      <c r="F292" s="52" t="inlineStr">
        <is>
          <t>NAVIGATION KEY -6핀</t>
        </is>
      </c>
      <c r="G292" s="52" t="inlineStr">
        <is>
          <t>NAVIGATION KEY (6핀) [ADX4000W]</t>
        </is>
      </c>
      <c r="H292" s="79">
        <f>IF(AND($F292="",$G292=""),"",IF($F292="","창고전용",IF($G292&lt;&gt;"","매칭완료",IF($D292="반제품","반제품(창고없음)",IF($D292="완제품","완제품(창고없음)",IF($D292="원자재","⚠ 원자재_부서보관","미분류"))))))</f>
        <v/>
      </c>
      <c r="I292" s="79">
        <f>IFERROR(IF(INDIRECT("'"&amp;$O292&amp;"'!P"&amp;$N292)=0,"",INDIRECT("'"&amp;$O292&amp;"'!P"&amp;$N292)),"")</f>
        <v/>
      </c>
      <c r="J292" s="61" t="inlineStr">
        <is>
          <t>NAVIGATION KEY -6핀</t>
        </is>
      </c>
      <c r="K292" s="65" t="inlineStr">
        <is>
          <t>ADX4000W NAVIGATION KEY -6핀</t>
        </is>
      </c>
      <c r="L292" s="83">
        <f>HYPERLINK("#'"&amp;$O292&amp;"'!A"&amp;$N292,"→ 조립자재 R"&amp;$N292)</f>
        <v/>
      </c>
      <c r="M292" s="84" t="n"/>
      <c r="N292" s="80" t="n">
        <v>116</v>
      </c>
      <c r="O292" s="80" t="inlineStr">
        <is>
          <t>조립자재_재고현황</t>
        </is>
      </c>
    </row>
    <row r="293" ht="30" customHeight="1">
      <c r="A293" s="56" t="inlineStr">
        <is>
          <t>조립</t>
        </is>
      </c>
      <c r="B293" s="52" t="inlineStr">
        <is>
          <t>하네스</t>
        </is>
      </c>
      <c r="C293" s="52" t="inlineStr">
        <is>
          <t>ADX4000W</t>
        </is>
      </c>
      <c r="D293" s="79">
        <f>IF(INDIRECT("'"&amp;$O293&amp;"'!F"&amp;$N293)="O","원자재",IF(INDIRECT("'"&amp;$O293&amp;"'!G"&amp;$N293)="O","반제품",IF(INDIRECT("'"&amp;$O293&amp;"'!H"&amp;$N293)="O","완제품","")))</f>
        <v/>
      </c>
      <c r="E293" s="79">
        <f>IFERROR(IF(INDIRECT("'"&amp;$O293&amp;"'!I"&amp;$N293)=0,"",INDIRECT("'"&amp;$O293&amp;"'!I"&amp;$N293)),"")</f>
        <v/>
      </c>
      <c r="F293" s="52" t="inlineStr">
        <is>
          <t>리모콘 및 관전류 -4핀</t>
        </is>
      </c>
      <c r="G293" s="52" t="inlineStr">
        <is>
          <t>리모콘 및 관전류 (4핀) [ADX4000W]</t>
        </is>
      </c>
      <c r="H293" s="79">
        <f>IF(AND($F293="",$G293=""),"",IF($F293="","창고전용",IF($G293&lt;&gt;"","매칭완료",IF($D293="반제품","반제품(창고없음)",IF($D293="완제품","완제품(창고없음)",IF($D293="원자재","⚠ 원자재_부서보관","미분류"))))))</f>
        <v/>
      </c>
      <c r="I293" s="79">
        <f>IFERROR(IF(INDIRECT("'"&amp;$O293&amp;"'!P"&amp;$N293)=0,"",INDIRECT("'"&amp;$O293&amp;"'!P"&amp;$N293)),"")</f>
        <v/>
      </c>
      <c r="J293" s="61" t="inlineStr">
        <is>
          <t>리모콘 및 관전류 -4핀</t>
        </is>
      </c>
      <c r="K293" s="65" t="inlineStr">
        <is>
          <t>ADX4000W 리모콘 및 관전류 -4핀</t>
        </is>
      </c>
      <c r="L293" s="83">
        <f>HYPERLINK("#'"&amp;$O293&amp;"'!A"&amp;$N293,"→ 조립자재 R"&amp;$N293)</f>
        <v/>
      </c>
      <c r="M293" s="84" t="n"/>
      <c r="N293" s="80" t="n">
        <v>117</v>
      </c>
      <c r="O293" s="80" t="inlineStr">
        <is>
          <t>조립자재_재고현황</t>
        </is>
      </c>
    </row>
    <row r="294" ht="30" customHeight="1">
      <c r="A294" s="56" t="inlineStr">
        <is>
          <t>조립</t>
        </is>
      </c>
      <c r="B294" s="52" t="inlineStr">
        <is>
          <t>하네스</t>
        </is>
      </c>
      <c r="C294" s="52" t="inlineStr">
        <is>
          <t>ADX4000W</t>
        </is>
      </c>
      <c r="D294" s="79">
        <f>IF(INDIRECT("'"&amp;$O294&amp;"'!F"&amp;$N294)="O","원자재",IF(INDIRECT("'"&amp;$O294&amp;"'!G"&amp;$N294)="O","반제품",IF(INDIRECT("'"&amp;$O294&amp;"'!H"&amp;$N294)="O","완제품","")))</f>
        <v/>
      </c>
      <c r="E294" s="79">
        <f>IFERROR(IF(INDIRECT("'"&amp;$O294&amp;"'!I"&amp;$N294)=0,"",INDIRECT("'"&amp;$O294&amp;"'!I"&amp;$N294)),"")</f>
        <v/>
      </c>
      <c r="F294" s="52" t="inlineStr">
        <is>
          <t>RS422 통신 및 PC 전원 on/off -7핀</t>
        </is>
      </c>
      <c r="G294" s="52" t="inlineStr">
        <is>
          <t>RS422 통신 및 PC 전원 on/off (7핀) [ADX4000W]</t>
        </is>
      </c>
      <c r="H294" s="79">
        <f>IF(AND($F294="",$G294=""),"",IF($F294="","창고전용",IF($G294&lt;&gt;"","매칭완료",IF($D294="반제품","반제품(창고없음)",IF($D294="완제품","완제품(창고없음)",IF($D294="원자재","⚠ 원자재_부서보관","미분류"))))))</f>
        <v/>
      </c>
      <c r="I294" s="79">
        <f>IFERROR(IF(INDIRECT("'"&amp;$O294&amp;"'!P"&amp;$N294)=0,"",INDIRECT("'"&amp;$O294&amp;"'!P"&amp;$N294)),"")</f>
        <v/>
      </c>
      <c r="J294" s="61" t="inlineStr">
        <is>
          <t>RS422 통신 및 PC 전원 on/off -7핀</t>
        </is>
      </c>
      <c r="K294" s="65" t="inlineStr">
        <is>
          <t>ADX4000W RS422 통신 및 PC 전원 on/off -7핀</t>
        </is>
      </c>
      <c r="L294" s="83">
        <f>HYPERLINK("#'"&amp;$O294&amp;"'!A"&amp;$N294,"→ 조립자재 R"&amp;$N294)</f>
        <v/>
      </c>
      <c r="M294" s="84" t="n"/>
      <c r="N294" s="80" t="n">
        <v>118</v>
      </c>
      <c r="O294" s="80" t="inlineStr">
        <is>
          <t>조립자재_재고현황</t>
        </is>
      </c>
    </row>
    <row r="295" ht="30" customHeight="1">
      <c r="A295" s="56" t="inlineStr">
        <is>
          <t>조립</t>
        </is>
      </c>
      <c r="B295" s="52" t="inlineStr">
        <is>
          <t>하네스</t>
        </is>
      </c>
      <c r="C295" s="52" t="inlineStr">
        <is>
          <t>ADX4000W ADX6000</t>
        </is>
      </c>
      <c r="D295" s="79">
        <f>IF(INDIRECT("'"&amp;$O295&amp;"'!F"&amp;$N295)="O","원자재",IF(INDIRECT("'"&amp;$O295&amp;"'!G"&amp;$N295)="O","반제품",IF(INDIRECT("'"&amp;$O295&amp;"'!H"&amp;$N295)="O","완제품","")))</f>
        <v/>
      </c>
      <c r="E295" s="79">
        <f>IFERROR(IF(INDIRECT("'"&amp;$O295&amp;"'!I"&amp;$N295)=0,"",INDIRECT("'"&amp;$O295&amp;"'!I"&amp;$N295)),"")</f>
        <v/>
      </c>
      <c r="F295" s="52" t="inlineStr">
        <is>
          <t>Embedded PC 전원 -2핀 (케리어+CTR B/D 연결)</t>
        </is>
      </c>
      <c r="G295" s="52" t="inlineStr">
        <is>
          <t>Embedded PC 전원 (2핀) (케리어+CTR B/D 연결) [ADX4000W]</t>
        </is>
      </c>
      <c r="H295" s="79">
        <f>IF(AND($F295="",$G295=""),"",IF($F295="","창고전용",IF($G295&lt;&gt;"","매칭완료",IF($D295="반제품","반제품(창고없음)",IF($D295="완제품","완제품(창고없음)",IF($D295="원자재","⚠ 원자재_부서보관","미분류"))))))</f>
        <v/>
      </c>
      <c r="I295" s="79">
        <f>IFERROR(IF(INDIRECT("'"&amp;$O295&amp;"'!P"&amp;$N295)=0,"",INDIRECT("'"&amp;$O295&amp;"'!P"&amp;$N295)),"")</f>
        <v/>
      </c>
      <c r="J295" s="61" t="inlineStr">
        <is>
          <t>Embedded PC 전원 -2핀 (케리어+CTR B/D 연결)</t>
        </is>
      </c>
      <c r="K295" s="65" t="inlineStr">
        <is>
          <t>ADX4000W Embedded PC 전원 -2핀 (케리어+CTR B/D 연결)</t>
        </is>
      </c>
      <c r="L295" s="83">
        <f>HYPERLINK("#'"&amp;$O295&amp;"'!A"&amp;$N295,"→ 조립자재 R"&amp;$N295)</f>
        <v/>
      </c>
      <c r="M295" s="84" t="n"/>
      <c r="N295" s="80" t="n">
        <v>119</v>
      </c>
      <c r="O295" s="80" t="inlineStr">
        <is>
          <t>조립자재_재고현황</t>
        </is>
      </c>
    </row>
    <row r="296" ht="30" customHeight="1">
      <c r="A296" s="56" t="inlineStr">
        <is>
          <t>조립</t>
        </is>
      </c>
      <c r="B296" s="52" t="inlineStr">
        <is>
          <t>하네스</t>
        </is>
      </c>
      <c r="C296" s="52" t="inlineStr">
        <is>
          <t>ADX4000W COCOON ADX6000 공용</t>
        </is>
      </c>
      <c r="D296" s="79">
        <f>IF(INDIRECT("'"&amp;$O296&amp;"'!F"&amp;$N296)="O","원자재",IF(INDIRECT("'"&amp;$O296&amp;"'!G"&amp;$N296)="O","반제품",IF(INDIRECT("'"&amp;$O296&amp;"'!H"&amp;$N296)="O","완제품","")))</f>
        <v/>
      </c>
      <c r="E296" s="79">
        <f>IFERROR(IF(INDIRECT("'"&amp;$O296&amp;"'!I"&amp;$N296)=0,"",INDIRECT("'"&amp;$O296&amp;"'!I"&amp;$N296)),"")</f>
        <v/>
      </c>
      <c r="F296" s="52" t="inlineStr">
        <is>
          <t>12505HS-02+SORDER 200mm 스피커 2핀 (하네스 4-1번)</t>
        </is>
      </c>
      <c r="G296" s="52" t="inlineStr">
        <is>
          <t>스피커 2핀 (12505HS-02+SORDER 200mm) [ADX4000W, ADX6000]</t>
        </is>
      </c>
      <c r="H296" s="79">
        <f>IF(AND($F296="",$G296=""),"",IF($F296="","창고전용",IF($G296&lt;&gt;"","매칭완료",IF($D296="반제품","반제품(창고없음)",IF($D296="완제품","완제품(창고없음)",IF($D296="원자재","⚠ 원자재_부서보관","미분류"))))))</f>
        <v/>
      </c>
      <c r="I296" s="79">
        <f>IFERROR(IF(INDIRECT("'"&amp;$O296&amp;"'!P"&amp;$N296)=0,"",INDIRECT("'"&amp;$O296&amp;"'!P"&amp;$N296)),"")</f>
        <v/>
      </c>
      <c r="J296" s="61" t="inlineStr">
        <is>
          <t>12505HS-02+SORDER 200mm 스피커 2핀 (하네스 4-1번)</t>
        </is>
      </c>
      <c r="K296" s="65" t="inlineStr">
        <is>
          <t>ADX4000W, ADX6000 스피커 2핀 (12505HS-02+SORDER) 200mm [하네스 4-1번]</t>
        </is>
      </c>
      <c r="L296" s="83">
        <f>HYPERLINK("#'"&amp;$O296&amp;"'!A"&amp;$N296,"→ 조립자재 R"&amp;$N296)</f>
        <v/>
      </c>
      <c r="M296" s="84" t="n"/>
      <c r="N296" s="80" t="n">
        <v>120</v>
      </c>
      <c r="O296" s="80" t="inlineStr">
        <is>
          <t>조립자재_재고현황</t>
        </is>
      </c>
    </row>
    <row r="297" ht="30" customHeight="1">
      <c r="A297" s="56" t="inlineStr">
        <is>
          <t>조립</t>
        </is>
      </c>
      <c r="B297" s="52" t="inlineStr">
        <is>
          <t>하네스</t>
        </is>
      </c>
      <c r="C297" s="52" t="inlineStr">
        <is>
          <t>ADX4000W</t>
        </is>
      </c>
      <c r="D297" s="79">
        <f>IF(INDIRECT("'"&amp;$O297&amp;"'!F"&amp;$N297)="O","원자재",IF(INDIRECT("'"&amp;$O297&amp;"'!G"&amp;$N297)="O","반제품",IF(INDIRECT("'"&amp;$O297&amp;"'!H"&amp;$N297)="O","완제품","")))</f>
        <v/>
      </c>
      <c r="E297" s="79">
        <f>IFERROR(IF(INDIRECT("'"&amp;$O297&amp;"'!I"&amp;$N297)=0,"",INDIRECT("'"&amp;$O297&amp;"'!I"&amp;$N297)),"")</f>
        <v/>
      </c>
      <c r="F297" s="52" t="inlineStr">
        <is>
          <t>사파리용 NAVI FFC [UL2896-0.5mm*16P*80mm*C]</t>
        </is>
      </c>
      <c r="G297" s="52" t="n"/>
      <c r="H297" s="79">
        <f>IF(AND($F297="",$G297=""),"",IF($F297="","창고전용",IF($G297&lt;&gt;"","매칭완료",IF($D297="반제품","반제품(창고없음)",IF($D297="완제품","완제품(창고없음)",IF($D297="원자재","⚠ 원자재_부서보관","미분류"))))))</f>
        <v/>
      </c>
      <c r="I297" s="79">
        <f>IFERROR(IF(INDIRECT("'"&amp;$O297&amp;"'!P"&amp;$N297)=0,"",INDIRECT("'"&amp;$O297&amp;"'!P"&amp;$N297)),"")</f>
        <v/>
      </c>
      <c r="J297" s="61" t="inlineStr">
        <is>
          <t>사파리용 NAVI FFC [UL2896-0.5mm*16P*80mm*C]</t>
        </is>
      </c>
      <c r="K297" s="65" t="inlineStr">
        <is>
          <t>ADX4000W 사파리용 NAVI FFC [UL2896-0.5mm*16P*80mm*C]</t>
        </is>
      </c>
      <c r="L297" s="83">
        <f>HYPERLINK("#'"&amp;$O297&amp;"'!A"&amp;$N297,"→ 조립자재 R"&amp;$N297)</f>
        <v/>
      </c>
      <c r="M297" s="84" t="n"/>
      <c r="N297" s="80" t="n">
        <v>121</v>
      </c>
      <c r="O297" s="80" t="inlineStr">
        <is>
          <t>조립자재_재고현황</t>
        </is>
      </c>
    </row>
    <row r="298" ht="30" customHeight="1">
      <c r="A298" s="56" t="inlineStr">
        <is>
          <t>조립</t>
        </is>
      </c>
      <c r="B298" s="52" t="inlineStr">
        <is>
          <t>하네스</t>
        </is>
      </c>
      <c r="C298" s="52" t="inlineStr">
        <is>
          <t>ADX4000W</t>
        </is>
      </c>
      <c r="D298" s="79">
        <f>IF(INDIRECT("'"&amp;$O298&amp;"'!F"&amp;$N298)="O","원자재",IF(INDIRECT("'"&amp;$O298&amp;"'!G"&amp;$N298)="O","반제품",IF(INDIRECT("'"&amp;$O298&amp;"'!H"&amp;$N298)="O","완제품","")))</f>
        <v/>
      </c>
      <c r="E298" s="79">
        <f>IFERROR(IF(INDIRECT("'"&amp;$O298&amp;"'!I"&amp;$N298)=0,"",INDIRECT("'"&amp;$O298&amp;"'!I"&amp;$N298)),"")</f>
        <v/>
      </c>
      <c r="F298" s="52" t="inlineStr">
        <is>
          <t>USB Wire -4핀 하네스</t>
        </is>
      </c>
      <c r="G298" s="52" t="inlineStr">
        <is>
          <t>USB Wire (4핀) [ADX4000W]</t>
        </is>
      </c>
      <c r="H298" s="79">
        <f>IF(AND($F298="",$G298=""),"",IF($F298="","창고전용",IF($G298&lt;&gt;"","매칭완료",IF($D298="반제품","반제품(창고없음)",IF($D298="완제품","완제품(창고없음)",IF($D298="원자재","⚠ 원자재_부서보관","미분류"))))))</f>
        <v/>
      </c>
      <c r="I298" s="79">
        <f>IFERROR(IF(INDIRECT("'"&amp;$O298&amp;"'!P"&amp;$N298)=0,"",INDIRECT("'"&amp;$O298&amp;"'!P"&amp;$N298)),"")</f>
        <v/>
      </c>
      <c r="J298" s="61" t="inlineStr">
        <is>
          <t>USB Wire -4핀 하네스</t>
        </is>
      </c>
      <c r="K298" s="65" t="inlineStr">
        <is>
          <t>ADX4000W USB Wire -4핀</t>
        </is>
      </c>
      <c r="L298" s="83">
        <f>HYPERLINK("#'"&amp;$O298&amp;"'!A"&amp;$N298,"→ 조립자재 R"&amp;$N298)</f>
        <v/>
      </c>
      <c r="M298" s="84" t="n"/>
      <c r="N298" s="80" t="n">
        <v>122</v>
      </c>
      <c r="O298" s="80" t="inlineStr">
        <is>
          <t>조립자재_재고현황</t>
        </is>
      </c>
    </row>
    <row r="299" ht="30" customHeight="1">
      <c r="A299" s="56" t="inlineStr">
        <is>
          <t>조립</t>
        </is>
      </c>
      <c r="B299" s="52" t="inlineStr">
        <is>
          <t>사출 ASS'Y</t>
        </is>
      </c>
      <c r="C299" s="52" t="inlineStr">
        <is>
          <t>ADX4000W</t>
        </is>
      </c>
      <c r="D299" s="79">
        <f>IF(INDIRECT("'"&amp;$O299&amp;"'!F"&amp;$N299)="O","원자재",IF(INDIRECT("'"&amp;$O299&amp;"'!G"&amp;$N299)="O","반제품",IF(INDIRECT("'"&amp;$O299&amp;"'!H"&amp;$N299)="O","완제품","")))</f>
        <v/>
      </c>
      <c r="E299" s="79">
        <f>IFERROR(IF(INDIRECT("'"&amp;$O299&amp;"'!I"&amp;$N299)=0,"",INDIRECT("'"&amp;$O299&amp;"'!I"&amp;$N299)),"")</f>
        <v/>
      </c>
      <c r="F299" s="52" t="inlineStr">
        <is>
          <t>TOP BODY 사출 ASS'Y</t>
        </is>
      </c>
      <c r="G299" s="52" t="n"/>
      <c r="H299" s="79">
        <f>IF(AND($F299="",$G299=""),"",IF($F299="","창고전용",IF($G299&lt;&gt;"","매칭완료",IF($D299="반제품","반제품(창고없음)",IF($D299="완제품","완제품(창고없음)",IF($D299="원자재","⚠ 원자재_부서보관","미분류"))))))</f>
        <v/>
      </c>
      <c r="I299" s="79">
        <f>IFERROR(IF(INDIRECT("'"&amp;$O299&amp;"'!P"&amp;$N299)=0,"",INDIRECT("'"&amp;$O299&amp;"'!P"&amp;$N299)),"")</f>
        <v/>
      </c>
      <c r="J299" s="61" t="inlineStr">
        <is>
          <t>TOP BODY 사출 ASS'Y</t>
        </is>
      </c>
      <c r="K299" s="65" t="inlineStr">
        <is>
          <t>ADX4000W TOP BODY 사출 ASS'Y</t>
        </is>
      </c>
      <c r="L299" s="83">
        <f>HYPERLINK("#'"&amp;$O299&amp;"'!A"&amp;$N299,"→ 조립자재 R"&amp;$N299)</f>
        <v/>
      </c>
      <c r="M299" s="84" t="n"/>
      <c r="N299" s="80" t="n">
        <v>123</v>
      </c>
      <c r="O299" s="80" t="inlineStr">
        <is>
          <t>조립자재_재고현황</t>
        </is>
      </c>
    </row>
    <row r="300" ht="30" customHeight="1">
      <c r="A300" s="56" t="inlineStr">
        <is>
          <t>조립</t>
        </is>
      </c>
      <c r="B300" s="52" t="inlineStr">
        <is>
          <t>사출 ASS'Y</t>
        </is>
      </c>
      <c r="C300" s="52" t="inlineStr">
        <is>
          <t>ADX4000W</t>
        </is>
      </c>
      <c r="D300" s="79">
        <f>IF(INDIRECT("'"&amp;$O300&amp;"'!F"&amp;$N300)="O","원자재",IF(INDIRECT("'"&amp;$O300&amp;"'!G"&amp;$N300)="O","반제품",IF(INDIRECT("'"&amp;$O300&amp;"'!H"&amp;$N300)="O","완제품","")))</f>
        <v/>
      </c>
      <c r="E300" s="79">
        <f>IFERROR(IF(INDIRECT("'"&amp;$O300&amp;"'!I"&amp;$N300)=0,"",INDIRECT("'"&amp;$O300&amp;"'!I"&amp;$N300)),"")</f>
        <v/>
      </c>
      <c r="F300" s="52" t="inlineStr">
        <is>
          <t>BOTTOM BODY 사출 ASS'Y</t>
        </is>
      </c>
      <c r="G300" s="52" t="n"/>
      <c r="H300" s="79">
        <f>IF(AND($F300="",$G300=""),"",IF($F300="","창고전용",IF($G300&lt;&gt;"","매칭완료",IF($D300="반제품","반제품(창고없음)",IF($D300="완제품","완제품(창고없음)",IF($D300="원자재","⚠ 원자재_부서보관","미분류"))))))</f>
        <v/>
      </c>
      <c r="I300" s="79">
        <f>IFERROR(IF(INDIRECT("'"&amp;$O300&amp;"'!P"&amp;$N300)=0,"",INDIRECT("'"&amp;$O300&amp;"'!P"&amp;$N300)),"")</f>
        <v/>
      </c>
      <c r="J300" s="61" t="inlineStr">
        <is>
          <t>BOTTOM BODY 사출 ASS'Y</t>
        </is>
      </c>
      <c r="K300" s="65" t="inlineStr">
        <is>
          <t>ADX4000W BOTTOM BODY 사출 ASS'Y</t>
        </is>
      </c>
      <c r="L300" s="83">
        <f>HYPERLINK("#'"&amp;$O300&amp;"'!A"&amp;$N300,"→ 조립자재 R"&amp;$N300)</f>
        <v/>
      </c>
      <c r="M300" s="84" t="n"/>
      <c r="N300" s="80" t="n">
        <v>124</v>
      </c>
      <c r="O300" s="80" t="inlineStr">
        <is>
          <t>조립자재_재고현황</t>
        </is>
      </c>
    </row>
    <row r="301" ht="30" customHeight="1">
      <c r="A301" s="56" t="inlineStr">
        <is>
          <t>조립</t>
        </is>
      </c>
      <c r="B301" s="52" t="inlineStr">
        <is>
          <t>사출 ASS'Y</t>
        </is>
      </c>
      <c r="C301" s="52" t="inlineStr">
        <is>
          <t>ADX4000W</t>
        </is>
      </c>
      <c r="D301" s="79">
        <f>IF(INDIRECT("'"&amp;$O301&amp;"'!F"&amp;$N301)="O","원자재",IF(INDIRECT("'"&amp;$O301&amp;"'!G"&amp;$N301)="O","반제품",IF(INDIRECT("'"&amp;$O301&amp;"'!H"&amp;$N301)="O","완제품","")))</f>
        <v/>
      </c>
      <c r="E301" s="79">
        <f>IFERROR(IF(INDIRECT("'"&amp;$O301&amp;"'!I"&amp;$N301)=0,"",INDIRECT("'"&amp;$O301&amp;"'!I"&amp;$N301)),"")</f>
        <v/>
      </c>
      <c r="F301" s="52" t="inlineStr">
        <is>
          <t>기본 CONE ASS'Y</t>
        </is>
      </c>
      <c r="G301" s="52" t="n"/>
      <c r="H301" s="79">
        <f>IF(AND($F301="",$G301=""),"",IF($F301="","창고전용",IF($G301&lt;&gt;"","매칭완료",IF($D301="반제품","반제품(창고없음)",IF($D301="완제품","완제품(창고없음)",IF($D301="원자재","⚠ 원자재_부서보관","미분류"))))))</f>
        <v/>
      </c>
      <c r="I301" s="79">
        <f>IFERROR(IF(INDIRECT("'"&amp;$O301&amp;"'!P"&amp;$N301)=0,"",INDIRECT("'"&amp;$O301&amp;"'!P"&amp;$N301)),"")</f>
        <v/>
      </c>
      <c r="J301" s="61" t="inlineStr">
        <is>
          <t>기본 CONE ASS'Y</t>
        </is>
      </c>
      <c r="K301" s="65" t="inlineStr">
        <is>
          <t>ADX4000W 기본 CONE ASS'Y</t>
        </is>
      </c>
      <c r="L301" s="83">
        <f>HYPERLINK("#'"&amp;$O301&amp;"'!A"&amp;$N301,"→ 조립자재 R"&amp;$N301)</f>
        <v/>
      </c>
      <c r="M301" s="84" t="n"/>
      <c r="N301" s="80" t="n">
        <v>125</v>
      </c>
      <c r="O301" s="80" t="inlineStr">
        <is>
          <t>조립자재_재고현황</t>
        </is>
      </c>
    </row>
    <row r="302" ht="30" customHeight="1">
      <c r="A302" s="56" t="inlineStr">
        <is>
          <t>조립</t>
        </is>
      </c>
      <c r="B302" s="52" t="inlineStr">
        <is>
          <t>사출 ASS'Y</t>
        </is>
      </c>
      <c r="C302" s="52" t="inlineStr">
        <is>
          <t>ADX4000W</t>
        </is>
      </c>
      <c r="D302" s="79">
        <f>IF(INDIRECT("'"&amp;$O302&amp;"'!F"&amp;$N302)="O","원자재",IF(INDIRECT("'"&amp;$O302&amp;"'!G"&amp;$N302)="O","반제품",IF(INDIRECT("'"&amp;$O302&amp;"'!H"&amp;$N302)="O","완제품","")))</f>
        <v/>
      </c>
      <c r="E302" s="79">
        <f>IFERROR(IF(INDIRECT("'"&amp;$O302&amp;"'!I"&amp;$N302)=0,"",INDIRECT("'"&amp;$O302&amp;"'!I"&amp;$N302)),"")</f>
        <v/>
      </c>
      <c r="F302" s="52" t="inlineStr">
        <is>
          <t>15cm CONE ASS'Y</t>
        </is>
      </c>
      <c r="G302" s="52" t="n"/>
      <c r="H302" s="79">
        <f>IF(AND($F302="",$G302=""),"",IF($F302="","창고전용",IF($G302&lt;&gt;"","매칭완료",IF($D302="반제품","반제품(창고없음)",IF($D302="완제품","완제품(창고없음)",IF($D302="원자재","⚠ 원자재_부서보관","미분류"))))))</f>
        <v/>
      </c>
      <c r="I302" s="79">
        <f>IFERROR(IF(INDIRECT("'"&amp;$O302&amp;"'!P"&amp;$N302)=0,"",INDIRECT("'"&amp;$O302&amp;"'!P"&amp;$N302)),"")</f>
        <v/>
      </c>
      <c r="J302" s="61" t="inlineStr">
        <is>
          <t>15cm CONE ASS'Y</t>
        </is>
      </c>
      <c r="K302" s="65" t="inlineStr">
        <is>
          <t>ADX4000W 15cm CONE ASS'Y</t>
        </is>
      </c>
      <c r="L302" s="83">
        <f>HYPERLINK("#'"&amp;$O302&amp;"'!A"&amp;$N302,"→ 조립자재 R"&amp;$N302)</f>
        <v/>
      </c>
      <c r="M302" s="84" t="n"/>
      <c r="N302" s="80" t="n">
        <v>126</v>
      </c>
      <c r="O302" s="80" t="inlineStr">
        <is>
          <t>조립자재_재고현황</t>
        </is>
      </c>
    </row>
    <row r="303" ht="30" customHeight="1">
      <c r="A303" s="56" t="inlineStr">
        <is>
          <t>조립</t>
        </is>
      </c>
      <c r="B303" s="52" t="inlineStr">
        <is>
          <t>사출 ASS'Y</t>
        </is>
      </c>
      <c r="C303" s="52" t="inlineStr">
        <is>
          <t>ADX4000W</t>
        </is>
      </c>
      <c r="D303" s="79">
        <f>IF(INDIRECT("'"&amp;$O303&amp;"'!F"&amp;$N303)="O","원자재",IF(INDIRECT("'"&amp;$O303&amp;"'!G"&amp;$N303)="O","반제품",IF(INDIRECT("'"&amp;$O303&amp;"'!H"&amp;$N303)="O","완제품","")))</f>
        <v/>
      </c>
      <c r="E303" s="79">
        <f>IFERROR(IF(INDIRECT("'"&amp;$O303&amp;"'!I"&amp;$N303)=0,"",INDIRECT("'"&amp;$O303&amp;"'!I"&amp;$N303)),"")</f>
        <v/>
      </c>
      <c r="F303" s="52" t="inlineStr">
        <is>
          <t>20cm CONE ASS'Y</t>
        </is>
      </c>
      <c r="G303" s="52" t="n"/>
      <c r="H303" s="79">
        <f>IF(AND($F303="",$G303=""),"",IF($F303="","창고전용",IF($G303&lt;&gt;"","매칭완료",IF($D303="반제품","반제품(창고없음)",IF($D303="완제품","완제품(창고없음)",IF($D303="원자재","⚠ 원자재_부서보관","미분류"))))))</f>
        <v/>
      </c>
      <c r="I303" s="79">
        <f>IFERROR(IF(INDIRECT("'"&amp;$O303&amp;"'!P"&amp;$N303)=0,"",INDIRECT("'"&amp;$O303&amp;"'!P"&amp;$N303)),"")</f>
        <v/>
      </c>
      <c r="J303" s="61" t="inlineStr">
        <is>
          <t>20cm CONE ASS'Y</t>
        </is>
      </c>
      <c r="K303" s="65" t="inlineStr">
        <is>
          <t>ADX4000W 20cm CONE ASS'Y</t>
        </is>
      </c>
      <c r="L303" s="83">
        <f>HYPERLINK("#'"&amp;$O303&amp;"'!A"&amp;$N303,"→ 조립자재 R"&amp;$N303)</f>
        <v/>
      </c>
      <c r="M303" s="84" t="n"/>
      <c r="N303" s="80" t="n">
        <v>127</v>
      </c>
      <c r="O303" s="80" t="inlineStr">
        <is>
          <t>조립자재_재고현황</t>
        </is>
      </c>
    </row>
    <row r="304" ht="30" customHeight="1">
      <c r="A304" s="56" t="inlineStr">
        <is>
          <t>조립</t>
        </is>
      </c>
      <c r="B304" s="52" t="inlineStr">
        <is>
          <t>모듈 ASS'Y</t>
        </is>
      </c>
      <c r="C304" s="52" t="inlineStr">
        <is>
          <t>ADX4000W</t>
        </is>
      </c>
      <c r="D304" s="79">
        <f>IF(INDIRECT("'"&amp;$O304&amp;"'!F"&amp;$N304)="O","원자재",IF(INDIRECT("'"&amp;$O304&amp;"'!G"&amp;$N304)="O","반제품",IF(INDIRECT("'"&amp;$O304&amp;"'!H"&amp;$N304)="O","완제품","")))</f>
        <v/>
      </c>
      <c r="E304" s="79">
        <f>IFERROR(IF(INDIRECT("'"&amp;$O304&amp;"'!I"&amp;$N304)=0,"",INDIRECT("'"&amp;$O304&amp;"'!I"&amp;$N304)),"")</f>
        <v/>
      </c>
      <c r="F304" s="52" t="inlineStr">
        <is>
          <t>4.8" LCD BD ASS'Y</t>
        </is>
      </c>
      <c r="G304" s="52" t="n"/>
      <c r="H304" s="79">
        <f>IF(AND($F304="",$G304=""),"",IF($F304="","창고전용",IF($G304&lt;&gt;"","매칭완료",IF($D304="반제품","반제품(창고없음)",IF($D304="완제품","완제품(창고없음)",IF($D304="원자재","⚠ 원자재_부서보관","미분류"))))))</f>
        <v/>
      </c>
      <c r="I304" s="79">
        <f>IFERROR(IF(INDIRECT("'"&amp;$O304&amp;"'!P"&amp;$N304)=0,"",INDIRECT("'"&amp;$O304&amp;"'!P"&amp;$N304)),"")</f>
        <v/>
      </c>
      <c r="J304" s="61" t="inlineStr">
        <is>
          <t>4.8" LCD BD ASS'Y</t>
        </is>
      </c>
      <c r="K304" s="65" t="inlineStr">
        <is>
          <t>ADX4000W 4.8" LCD BD ASS'Y</t>
        </is>
      </c>
      <c r="L304" s="83">
        <f>HYPERLINK("#'"&amp;$O304&amp;"'!A"&amp;$N304,"→ 조립자재 R"&amp;$N304)</f>
        <v/>
      </c>
      <c r="M304" s="84" t="n"/>
      <c r="N304" s="80" t="n">
        <v>128</v>
      </c>
      <c r="O304" s="80" t="inlineStr">
        <is>
          <t>조립자재_재고현황</t>
        </is>
      </c>
    </row>
    <row r="305" ht="30" customHeight="1">
      <c r="A305" s="56" t="inlineStr">
        <is>
          <t>조립</t>
        </is>
      </c>
      <c r="B305" s="52" t="inlineStr">
        <is>
          <t>모듈 ASS'Y</t>
        </is>
      </c>
      <c r="C305" s="52" t="inlineStr">
        <is>
          <t>ADX4000W</t>
        </is>
      </c>
      <c r="D305" s="79">
        <f>IF(INDIRECT("'"&amp;$O305&amp;"'!F"&amp;$N305)="O","원자재",IF(INDIRECT("'"&amp;$O305&amp;"'!G"&amp;$N305)="O","반제품",IF(INDIRECT("'"&amp;$O305&amp;"'!H"&amp;$N305)="O","완제품","")))</f>
        <v/>
      </c>
      <c r="E305" s="79">
        <f>IFERROR(IF(INDIRECT("'"&amp;$O305&amp;"'!I"&amp;$N305)=0,"",INDIRECT("'"&amp;$O305&amp;"'!I"&amp;$N305)),"")</f>
        <v/>
      </c>
      <c r="F305" s="52" t="inlineStr">
        <is>
          <t>KONTRON_B/D ASS′Y (carrier B/D+Module B/D+방열팬+USB B/D)</t>
        </is>
      </c>
      <c r="G305" s="52" t="n"/>
      <c r="H305" s="79">
        <f>IF(AND($F305="",$G305=""),"",IF($F305="","창고전용",IF($G305&lt;&gt;"","매칭완료",IF($D305="반제품","반제품(창고없음)",IF($D305="완제품","완제품(창고없음)",IF($D305="원자재","⚠ 원자재_부서보관","미분류"))))))</f>
        <v/>
      </c>
      <c r="I305" s="79">
        <f>IFERROR(IF(INDIRECT("'"&amp;$O305&amp;"'!P"&amp;$N305)=0,"",INDIRECT("'"&amp;$O305&amp;"'!P"&amp;$N305)),"")</f>
        <v/>
      </c>
      <c r="J305" s="61" t="inlineStr">
        <is>
          <t>KONTRON_B/D ASS′Y (carrier B/D+Module B/D+방열팬+USB B/D)</t>
        </is>
      </c>
      <c r="K305" s="65" t="inlineStr">
        <is>
          <t>ADX4000W KONTRON_BD ASS′Y</t>
        </is>
      </c>
      <c r="L305" s="83">
        <f>HYPERLINK("#'"&amp;$O305&amp;"'!A"&amp;$N305,"→ 조립자재 R"&amp;$N305)</f>
        <v/>
      </c>
      <c r="M305" s="84" t="n"/>
      <c r="N305" s="80" t="n">
        <v>129</v>
      </c>
      <c r="O305" s="80" t="inlineStr">
        <is>
          <t>조립자재_재고현황</t>
        </is>
      </c>
    </row>
    <row r="306" ht="30" customHeight="1">
      <c r="A306" s="56" t="inlineStr">
        <is>
          <t>조립</t>
        </is>
      </c>
      <c r="B306" s="52" t="inlineStr">
        <is>
          <t>모듈 ASS'Y</t>
        </is>
      </c>
      <c r="C306" s="52" t="inlineStr">
        <is>
          <t>ADX4000W</t>
        </is>
      </c>
      <c r="D306" s="79">
        <f>IF(INDIRECT("'"&amp;$O306&amp;"'!F"&amp;$N306)="O","원자재",IF(INDIRECT("'"&amp;$O306&amp;"'!G"&amp;$N306)="O","반제품",IF(INDIRECT("'"&amp;$O306&amp;"'!H"&amp;$N306)="O","완제품","")))</f>
        <v/>
      </c>
      <c r="E306" s="79">
        <f>IFERROR(IF(INDIRECT("'"&amp;$O306&amp;"'!I"&amp;$N306)=0,"",INDIRECT("'"&amp;$O306&amp;"'!I"&amp;$N306)),"")</f>
        <v/>
      </c>
      <c r="F306" s="52" t="inlineStr">
        <is>
          <t>DFI_B/D ASS′Y (carrier B/D+Module B/D+방열팬+USB B/D)</t>
        </is>
      </c>
      <c r="G306" s="52" t="n"/>
      <c r="H306" s="79">
        <f>IF(AND($F306="",$G306=""),"",IF($F306="","창고전용",IF($G306&lt;&gt;"","매칭완료",IF($D306="반제품","반제품(창고없음)",IF($D306="완제품","완제품(창고없음)",IF($D306="원자재","⚠ 원자재_부서보관","미분류"))))))</f>
        <v/>
      </c>
      <c r="I306" s="79">
        <f>IFERROR(IF(INDIRECT("'"&amp;$O306&amp;"'!P"&amp;$N306)=0,"",INDIRECT("'"&amp;$O306&amp;"'!P"&amp;$N306)),"")</f>
        <v/>
      </c>
      <c r="J306" s="61" t="inlineStr">
        <is>
          <t>DFI_B/D ASS′Y (carrier B/D+Module B/D+방열팬+USB B/D)</t>
        </is>
      </c>
      <c r="K306" s="65" t="inlineStr">
        <is>
          <t>ADX4000W DFI_BD ASS′Y</t>
        </is>
      </c>
      <c r="L306" s="83">
        <f>HYPERLINK("#'"&amp;$O306&amp;"'!A"&amp;$N306,"→ 조립자재 R"&amp;$N306)</f>
        <v/>
      </c>
      <c r="M306" s="84" t="n"/>
      <c r="N306" s="80" t="n">
        <v>130</v>
      </c>
      <c r="O306" s="80" t="inlineStr">
        <is>
          <t>조립자재_재고현황</t>
        </is>
      </c>
    </row>
    <row r="307" ht="30" customHeight="1">
      <c r="A307" s="56" t="inlineStr">
        <is>
          <t>조립</t>
        </is>
      </c>
      <c r="B307" s="52" t="inlineStr">
        <is>
          <t>사출 및 자재</t>
        </is>
      </c>
      <c r="C307" s="52" t="inlineStr">
        <is>
          <t>ADX6000 공용</t>
        </is>
      </c>
      <c r="D307" s="79">
        <f>IF(INDIRECT("'"&amp;$O307&amp;"'!F"&amp;$N307)="O","원자재",IF(INDIRECT("'"&amp;$O307&amp;"'!G"&amp;$N307)="O","반제품",IF(INDIRECT("'"&amp;$O307&amp;"'!H"&amp;$N307)="O","완제품","")))</f>
        <v/>
      </c>
      <c r="E307" s="79">
        <f>IFERROR(IF(INDIRECT("'"&amp;$O307&amp;"'!I"&amp;$N307)=0,"",INDIRECT("'"&amp;$O307&amp;"'!I"&amp;$N307)),"")</f>
        <v/>
      </c>
      <c r="F307" s="52" t="inlineStr">
        <is>
          <t>컬리메이터 TOP 사출</t>
        </is>
      </c>
      <c r="G307" s="52" t="inlineStr">
        <is>
          <t>컬리메이터 TOP 사출 (ABS 난연 화이트 + 스프레이) [ADX6000]</t>
        </is>
      </c>
      <c r="H307" s="79">
        <f>IF(AND($F307="",$G307=""),"",IF($F307="","창고전용",IF($G307&lt;&gt;"","매칭완료",IF($D307="반제품","반제품(창고없음)",IF($D307="완제품","완제품(창고없음)",IF($D307="원자재","⚠ 원자재_부서보관","미분류"))))))</f>
        <v/>
      </c>
      <c r="I307" s="79">
        <f>IFERROR(IF(INDIRECT("'"&amp;$O307&amp;"'!P"&amp;$N307)=0,"",INDIRECT("'"&amp;$O307&amp;"'!P"&amp;$N307)),"")</f>
        <v/>
      </c>
      <c r="J307" s="61" t="inlineStr">
        <is>
          <t>컬리메이터 TOP 사출</t>
        </is>
      </c>
      <c r="K307" s="65" t="inlineStr">
        <is>
          <t>ADX6000 컬리메이터 TOP 사출</t>
        </is>
      </c>
      <c r="L307" s="83">
        <f>HYPERLINK("#'"&amp;$O307&amp;"'!A"&amp;$N307,"→ 조립자재 R"&amp;$N307)</f>
        <v/>
      </c>
      <c r="M307" s="84" t="n"/>
      <c r="N307" s="80" t="n">
        <v>131</v>
      </c>
      <c r="O307" s="80" t="inlineStr">
        <is>
          <t>조립자재_재고현황</t>
        </is>
      </c>
    </row>
    <row r="308" ht="30" customHeight="1">
      <c r="A308" s="56" t="inlineStr">
        <is>
          <t>조립</t>
        </is>
      </c>
      <c r="B308" s="52" t="inlineStr">
        <is>
          <t>사출 및 자재</t>
        </is>
      </c>
      <c r="C308" s="52" t="inlineStr">
        <is>
          <t>ADX6000 공용</t>
        </is>
      </c>
      <c r="D308" s="79">
        <f>IF(INDIRECT("'"&amp;$O308&amp;"'!F"&amp;$N308)="O","원자재",IF(INDIRECT("'"&amp;$O308&amp;"'!G"&amp;$N308)="O","반제품",IF(INDIRECT("'"&amp;$O308&amp;"'!H"&amp;$N308)="O","완제품","")))</f>
        <v/>
      </c>
      <c r="E308" s="79">
        <f>IFERROR(IF(INDIRECT("'"&amp;$O308&amp;"'!I"&amp;$N308)=0,"",INDIRECT("'"&amp;$O308&amp;"'!I"&amp;$N308)),"")</f>
        <v/>
      </c>
      <c r="F308" s="52" t="inlineStr">
        <is>
          <t>컬리메이터 Bottom 사출</t>
        </is>
      </c>
      <c r="G308" s="52" t="inlineStr">
        <is>
          <t>컬리메이터 BOTTOM 사출 (ABS 난연 화이트 + 스프레이) [ADX6000]</t>
        </is>
      </c>
      <c r="H308" s="79">
        <f>IF(AND($F308="",$G308=""),"",IF($F308="","창고전용",IF($G308&lt;&gt;"","매칭완료",IF($D308="반제품","반제품(창고없음)",IF($D308="완제품","완제품(창고없음)",IF($D308="원자재","⚠ 원자재_부서보관","미분류"))))))</f>
        <v/>
      </c>
      <c r="I308" s="79">
        <f>IFERROR(IF(INDIRECT("'"&amp;$O308&amp;"'!P"&amp;$N308)=0,"",INDIRECT("'"&amp;$O308&amp;"'!P"&amp;$N308)),"")</f>
        <v/>
      </c>
      <c r="J308" s="61" t="inlineStr">
        <is>
          <t>컬리메이터 Bottom 사출</t>
        </is>
      </c>
      <c r="K308" s="65" t="inlineStr">
        <is>
          <t>ADX6000 컬리메이터 Bottom 사출</t>
        </is>
      </c>
      <c r="L308" s="83">
        <f>HYPERLINK("#'"&amp;$O308&amp;"'!A"&amp;$N308,"→ 조립자재 R"&amp;$N308)</f>
        <v/>
      </c>
      <c r="M308" s="84" t="n"/>
      <c r="N308" s="80" t="n">
        <v>132</v>
      </c>
      <c r="O308" s="80" t="inlineStr">
        <is>
          <t>조립자재_재고현황</t>
        </is>
      </c>
    </row>
    <row r="309" ht="30" customHeight="1">
      <c r="A309" s="56" t="inlineStr">
        <is>
          <t>조립</t>
        </is>
      </c>
      <c r="B309" s="52" t="inlineStr">
        <is>
          <t>사출 및 자재</t>
        </is>
      </c>
      <c r="C309" s="52" t="inlineStr">
        <is>
          <t>ADX6000 공용</t>
        </is>
      </c>
      <c r="D309" s="79">
        <f>IF(INDIRECT("'"&amp;$O309&amp;"'!F"&amp;$N309)="O","원자재",IF(INDIRECT("'"&amp;$O309&amp;"'!G"&amp;$N309)="O","반제품",IF(INDIRECT("'"&amp;$O309&amp;"'!H"&amp;$N309)="O","완제품","")))</f>
        <v/>
      </c>
      <c r="E309" s="79">
        <f>IFERROR(IF(INDIRECT("'"&amp;$O309&amp;"'!I"&amp;$N309)=0,"",INDIRECT("'"&amp;$O309&amp;"'!I"&amp;$N309)),"")</f>
        <v/>
      </c>
      <c r="F309" s="52" t="inlineStr">
        <is>
          <t>컬리메이터 콘 가이드</t>
        </is>
      </c>
      <c r="G309" s="52" t="inlineStr">
        <is>
          <t>일체형 컬리메이터 (ABS 난연 블랙) [ADX6000]</t>
        </is>
      </c>
      <c r="H309" s="79">
        <f>IF(AND($F309="",$G309=""),"",IF($F309="","창고전용",IF($G309&lt;&gt;"","매칭완료",IF($D309="반제품","반제품(창고없음)",IF($D309="완제품","완제품(창고없음)",IF($D309="원자재","⚠ 원자재_부서보관","미분류"))))))</f>
        <v/>
      </c>
      <c r="I309" s="79">
        <f>IFERROR(IF(INDIRECT("'"&amp;$O309&amp;"'!P"&amp;$N309)=0,"",INDIRECT("'"&amp;$O309&amp;"'!P"&amp;$N309)),"")</f>
        <v/>
      </c>
      <c r="J309" s="61" t="inlineStr">
        <is>
          <t>컬리메이터 콘 가이드</t>
        </is>
      </c>
      <c r="K309" s="65" t="inlineStr">
        <is>
          <t>ADX6000 컬리메이터 콘 가이드</t>
        </is>
      </c>
      <c r="L309" s="83">
        <f>HYPERLINK("#'"&amp;$O309&amp;"'!A"&amp;$N309,"→ 조립자재 R"&amp;$N309)</f>
        <v/>
      </c>
      <c r="M309" s="84" t="n"/>
      <c r="N309" s="80" t="n">
        <v>133</v>
      </c>
      <c r="O309" s="80" t="inlineStr">
        <is>
          <t>조립자재_재고현황</t>
        </is>
      </c>
    </row>
    <row r="310" ht="30" customHeight="1">
      <c r="A310" s="56" t="inlineStr">
        <is>
          <t>조립</t>
        </is>
      </c>
      <c r="B310" s="52" t="inlineStr">
        <is>
          <t>사출 및 자재</t>
        </is>
      </c>
      <c r="C310" s="52" t="inlineStr">
        <is>
          <t>ADX6000 공용</t>
        </is>
      </c>
      <c r="D310" s="79">
        <f>IF(INDIRECT("'"&amp;$O310&amp;"'!F"&amp;$N310)="O","원자재",IF(INDIRECT("'"&amp;$O310&amp;"'!G"&amp;$N310)="O","반제품",IF(INDIRECT("'"&amp;$O310&amp;"'!H"&amp;$N310)="O","완제품","")))</f>
        <v/>
      </c>
      <c r="E310" s="79">
        <f>IFERROR(IF(INDIRECT("'"&amp;$O310&amp;"'!I"&amp;$N310)=0,"",INDIRECT("'"&amp;$O310&amp;"'!I"&amp;$N310)),"")</f>
        <v/>
      </c>
      <c r="F310" s="52" t="inlineStr">
        <is>
          <t>컬리메이터 내부하우징 사출</t>
        </is>
      </c>
      <c r="G310" s="52" t="inlineStr">
        <is>
          <t>컬리메이터 내부하우징 사출 (ABS 난연 화이트 + 스프레이) [ADX6000]</t>
        </is>
      </c>
      <c r="H310" s="79">
        <f>IF(AND($F310="",$G310=""),"",IF($F310="","창고전용",IF($G310&lt;&gt;"","매칭완료",IF($D310="반제품","반제품(창고없음)",IF($D310="완제품","완제품(창고없음)",IF($D310="원자재","⚠ 원자재_부서보관","미분류"))))))</f>
        <v/>
      </c>
      <c r="I310" s="79">
        <f>IFERROR(IF(INDIRECT("'"&amp;$O310&amp;"'!P"&amp;$N310)=0,"",INDIRECT("'"&amp;$O310&amp;"'!P"&amp;$N310)),"")</f>
        <v/>
      </c>
      <c r="J310" s="61" t="inlineStr">
        <is>
          <t>컬리메이터 내부하우징 사출</t>
        </is>
      </c>
      <c r="K310" s="65" t="inlineStr">
        <is>
          <t>ADX6000 컬리메이터 내부하우징 사출</t>
        </is>
      </c>
      <c r="L310" s="83">
        <f>HYPERLINK("#'"&amp;$O310&amp;"'!A"&amp;$N310,"→ 조립자재 R"&amp;$N310)</f>
        <v/>
      </c>
      <c r="M310" s="84" t="n"/>
      <c r="N310" s="80" t="n">
        <v>134</v>
      </c>
      <c r="O310" s="80" t="inlineStr">
        <is>
          <t>조립자재_재고현황</t>
        </is>
      </c>
    </row>
    <row r="311" ht="30" customHeight="1">
      <c r="A311" s="56" t="inlineStr">
        <is>
          <t>조립</t>
        </is>
      </c>
      <c r="B311" s="52" t="inlineStr">
        <is>
          <t>사출 및 자재</t>
        </is>
      </c>
      <c r="C311" s="52" t="inlineStr">
        <is>
          <t>ADX6000 공용</t>
        </is>
      </c>
      <c r="D311" s="79">
        <f>IF(INDIRECT("'"&amp;$O311&amp;"'!F"&amp;$N311)="O","원자재",IF(INDIRECT("'"&amp;$O311&amp;"'!G"&amp;$N311)="O","반제품",IF(INDIRECT("'"&amp;$O311&amp;"'!H"&amp;$N311)="O","완제품","")))</f>
        <v/>
      </c>
      <c r="E311" s="79">
        <f>IFERROR(IF(INDIRECT("'"&amp;$O311&amp;"'!I"&amp;$N311)=0,"",INDIRECT("'"&amp;$O311&amp;"'!I"&amp;$N311)),"")</f>
        <v/>
      </c>
      <c r="F311" s="52" t="inlineStr">
        <is>
          <t>컬리메이터 내부브릿지 사출</t>
        </is>
      </c>
      <c r="G311" s="52" t="inlineStr">
        <is>
          <t>컬리메이터 내부브릿지 사출 (ABS 난연 화이트 + 스프레이) [ADX6000]</t>
        </is>
      </c>
      <c r="H311" s="79">
        <f>IF(AND($F311="",$G311=""),"",IF($F311="","창고전용",IF($G311&lt;&gt;"","매칭완료",IF($D311="반제품","반제품(창고없음)",IF($D311="완제품","완제품(창고없음)",IF($D311="원자재","⚠ 원자재_부서보관","미분류"))))))</f>
        <v/>
      </c>
      <c r="I311" s="79">
        <f>IFERROR(IF(INDIRECT("'"&amp;$O311&amp;"'!P"&amp;$N311)=0,"",INDIRECT("'"&amp;$O311&amp;"'!P"&amp;$N311)),"")</f>
        <v/>
      </c>
      <c r="J311" s="61" t="inlineStr">
        <is>
          <t>컬리메이터 내부브릿지 사출</t>
        </is>
      </c>
      <c r="K311" s="65" t="inlineStr">
        <is>
          <t>ADX6000 컬리메이터 내부브릿지 사출</t>
        </is>
      </c>
      <c r="L311" s="83">
        <f>HYPERLINK("#'"&amp;$O311&amp;"'!A"&amp;$N311,"→ 조립자재 R"&amp;$N311)</f>
        <v/>
      </c>
      <c r="M311" s="84" t="n"/>
      <c r="N311" s="80" t="n">
        <v>135</v>
      </c>
      <c r="O311" s="80" t="inlineStr">
        <is>
          <t>조립자재_재고현황</t>
        </is>
      </c>
    </row>
    <row r="312" ht="30" customHeight="1">
      <c r="A312" s="56" t="inlineStr">
        <is>
          <t>조립</t>
        </is>
      </c>
      <c r="B312" s="52" t="inlineStr">
        <is>
          <t>사출 및 자재</t>
        </is>
      </c>
      <c r="C312" s="52" t="inlineStr">
        <is>
          <t>ADX6000 공용</t>
        </is>
      </c>
      <c r="D312" s="79">
        <f>IF(INDIRECT("'"&amp;$O312&amp;"'!F"&amp;$N312)="O","원자재",IF(INDIRECT("'"&amp;$O312&amp;"'!G"&amp;$N312)="O","반제품",IF(INDIRECT("'"&amp;$O312&amp;"'!H"&amp;$N312)="O","완제품","")))</f>
        <v/>
      </c>
      <c r="E312" s="79">
        <f>IFERROR(IF(INDIRECT("'"&amp;$O312&amp;"'!I"&amp;$N312)=0,"",INDIRECT("'"&amp;$O312&amp;"'!I"&amp;$N312)),"")</f>
        <v/>
      </c>
      <c r="F312" s="52" t="inlineStr">
        <is>
          <t>컬리메이터 Mirror 거치대 사출</t>
        </is>
      </c>
      <c r="G312" s="52" t="inlineStr">
        <is>
          <t>컬리메이터 MIRROR 거치대 사출 (ABS 난연 화이트 + 스프레이 블랙) [ADX6000]</t>
        </is>
      </c>
      <c r="H312" s="79">
        <f>IF(AND($F312="",$G312=""),"",IF($F312="","창고전용",IF($G312&lt;&gt;"","매칭완료",IF($D312="반제품","반제품(창고없음)",IF($D312="완제품","완제품(창고없음)",IF($D312="원자재","⚠ 원자재_부서보관","미분류"))))))</f>
        <v/>
      </c>
      <c r="I312" s="79">
        <f>IFERROR(IF(INDIRECT("'"&amp;$O312&amp;"'!P"&amp;$N312)=0,"",INDIRECT("'"&amp;$O312&amp;"'!P"&amp;$N312)),"")</f>
        <v/>
      </c>
      <c r="J312" s="61" t="inlineStr">
        <is>
          <t>컬리메이터 Mirror 거치대 사출</t>
        </is>
      </c>
      <c r="K312" s="65" t="inlineStr">
        <is>
          <t>ADX6000 컬리메이터 Mirror 거치대 사출</t>
        </is>
      </c>
      <c r="L312" s="83">
        <f>HYPERLINK("#'"&amp;$O312&amp;"'!A"&amp;$N312,"→ 조립자재 R"&amp;$N312)</f>
        <v/>
      </c>
      <c r="M312" s="84" t="n"/>
      <c r="N312" s="80" t="n">
        <v>136</v>
      </c>
      <c r="O312" s="80" t="inlineStr">
        <is>
          <t>조립자재_재고현황</t>
        </is>
      </c>
    </row>
    <row r="313" ht="30" customHeight="1">
      <c r="A313" s="56" t="inlineStr">
        <is>
          <t>조립</t>
        </is>
      </c>
      <c r="B313" s="52" t="inlineStr">
        <is>
          <t>사출 및 자재</t>
        </is>
      </c>
      <c r="C313" s="52" t="inlineStr">
        <is>
          <t>ADX6000 공용</t>
        </is>
      </c>
      <c r="D313" s="79">
        <f>IF(INDIRECT("'"&amp;$O313&amp;"'!F"&amp;$N313)="O","원자재",IF(INDIRECT("'"&amp;$O313&amp;"'!G"&amp;$N313)="O","반제품",IF(INDIRECT("'"&amp;$O313&amp;"'!H"&amp;$N313)="O","완제품","")))</f>
        <v/>
      </c>
      <c r="E313" s="79">
        <f>IFERROR(IF(INDIRECT("'"&amp;$O313&amp;"'!I"&amp;$N313)=0,"",INDIRECT("'"&amp;$O313&amp;"'!I"&amp;$N313)),"")</f>
        <v/>
      </c>
      <c r="F313" s="52" t="inlineStr">
        <is>
          <t>아크릴 은경</t>
        </is>
      </c>
      <c r="G313" s="52" t="inlineStr">
        <is>
          <t>아크릴 은경 (아크릴 + 불량42) [ADX6000]</t>
        </is>
      </c>
      <c r="H313" s="79">
        <f>IF(AND($F313="",$G313=""),"",IF($F313="","창고전용",IF($G313&lt;&gt;"","매칭완료",IF($D313="반제품","반제품(창고없음)",IF($D313="완제품","완제품(창고없음)",IF($D313="원자재","⚠ 원자재_부서보관","미분류"))))))</f>
        <v/>
      </c>
      <c r="I313" s="79">
        <f>IFERROR(IF(INDIRECT("'"&amp;$O313&amp;"'!P"&amp;$N313)=0,"",INDIRECT("'"&amp;$O313&amp;"'!P"&amp;$N313)),"")</f>
        <v/>
      </c>
      <c r="J313" s="61" t="inlineStr">
        <is>
          <t>아크릴 은경</t>
        </is>
      </c>
      <c r="K313" s="65" t="inlineStr">
        <is>
          <t>ADX6000 아크릴 은경 [32x32x1.5 mm]</t>
        </is>
      </c>
      <c r="L313" s="83">
        <f>HYPERLINK("#'"&amp;$O313&amp;"'!A"&amp;$N313,"→ 조립자재 R"&amp;$N313)</f>
        <v/>
      </c>
      <c r="M313" s="84" t="n"/>
      <c r="N313" s="80" t="n">
        <v>137</v>
      </c>
      <c r="O313" s="80" t="inlineStr">
        <is>
          <t>조립자재_재고현황</t>
        </is>
      </c>
    </row>
    <row r="314" ht="30" customHeight="1">
      <c r="A314" s="56" t="inlineStr">
        <is>
          <t>조립</t>
        </is>
      </c>
      <c r="B314" s="52" t="inlineStr">
        <is>
          <t>사출 및 자재</t>
        </is>
      </c>
      <c r="C314" s="52" t="inlineStr">
        <is>
          <t>ADX6000 공용</t>
        </is>
      </c>
      <c r="D314" s="79">
        <f>IF(INDIRECT("'"&amp;$O314&amp;"'!F"&amp;$N314)="O","원자재",IF(INDIRECT("'"&amp;$O314&amp;"'!G"&amp;$N314)="O","반제품",IF(INDIRECT("'"&amp;$O314&amp;"'!H"&amp;$N314)="O","완제품","")))</f>
        <v/>
      </c>
      <c r="E314" s="79">
        <f>IFERROR(IF(INDIRECT("'"&amp;$O314&amp;"'!I"&amp;$N314)=0,"",INDIRECT("'"&amp;$O314&amp;"'!I"&amp;$N314)),"")</f>
        <v/>
      </c>
      <c r="F314" s="52" t="inlineStr">
        <is>
          <t>컬리메이터 LED 알루미늄 가이드</t>
        </is>
      </c>
      <c r="G314" s="52" t="inlineStr">
        <is>
          <t>컬리메이터 LED 알루미늄 가이드 (AL 가공 + 흑색 아노다이징) [ADX6000]</t>
        </is>
      </c>
      <c r="H314" s="79">
        <f>IF(AND($F314="",$G314=""),"",IF($F314="","창고전용",IF($G314&lt;&gt;"","매칭완료",IF($D314="반제품","반제품(창고없음)",IF($D314="완제품","완제품(창고없음)",IF($D314="원자재","⚠ 원자재_부서보관","미분류"))))))</f>
        <v/>
      </c>
      <c r="I314" s="79">
        <f>IFERROR(IF(INDIRECT("'"&amp;$O314&amp;"'!P"&amp;$N314)=0,"",INDIRECT("'"&amp;$O314&amp;"'!P"&amp;$N314)),"")</f>
        <v/>
      </c>
      <c r="J314" s="61" t="inlineStr">
        <is>
          <t>컬리메이터 LED 알루미늄 가이드</t>
        </is>
      </c>
      <c r="K314" s="65" t="inlineStr">
        <is>
          <t>ADX6000 컬리메이터 LED 알루미늄 가이드</t>
        </is>
      </c>
      <c r="L314" s="83">
        <f>HYPERLINK("#'"&amp;$O314&amp;"'!A"&amp;$N314,"→ 조립자재 R"&amp;$N314)</f>
        <v/>
      </c>
      <c r="M314" s="84" t="n"/>
      <c r="N314" s="80" t="n">
        <v>138</v>
      </c>
      <c r="O314" s="80" t="inlineStr">
        <is>
          <t>조립자재_재고현황</t>
        </is>
      </c>
    </row>
    <row r="315" ht="30" customHeight="1">
      <c r="A315" s="56" t="inlineStr">
        <is>
          <t>조립</t>
        </is>
      </c>
      <c r="B315" s="52" t="inlineStr">
        <is>
          <t>사출 및 자재</t>
        </is>
      </c>
      <c r="C315" s="52" t="inlineStr">
        <is>
          <t>ADX6000 공용</t>
        </is>
      </c>
      <c r="D315" s="79">
        <f>IF(INDIRECT("'"&amp;$O315&amp;"'!F"&amp;$N315)="O","원자재",IF(INDIRECT("'"&amp;$O315&amp;"'!G"&amp;$N315)="O","반제품",IF(INDIRECT("'"&amp;$O315&amp;"'!H"&amp;$N315)="O","완제품","")))</f>
        <v/>
      </c>
      <c r="E315" s="79">
        <f>IFERROR(IF(INDIRECT("'"&amp;$O315&amp;"'!I"&amp;$N315)=0,"",INDIRECT("'"&amp;$O315&amp;"'!I"&amp;$N315)),"")</f>
        <v/>
      </c>
      <c r="F315" s="52" t="inlineStr">
        <is>
          <t>컬리메이터 FRONT 사출</t>
        </is>
      </c>
      <c r="G315" s="52" t="inlineStr">
        <is>
          <t>컬리메이터 FRONT 사출 (ABS 난연 화이트 + 스프레이) [ADX6000]</t>
        </is>
      </c>
      <c r="H315" s="79">
        <f>IF(AND($F315="",$G315=""),"",IF($F315="","창고전용",IF($G315&lt;&gt;"","매칭완료",IF($D315="반제품","반제품(창고없음)",IF($D315="완제품","완제품(창고없음)",IF($D315="원자재","⚠ 원자재_부서보관","미분류"))))))</f>
        <v/>
      </c>
      <c r="I315" s="79">
        <f>IFERROR(IF(INDIRECT("'"&amp;$O315&amp;"'!P"&amp;$N315)=0,"",INDIRECT("'"&amp;$O315&amp;"'!P"&amp;$N315)),"")</f>
        <v/>
      </c>
      <c r="J315" s="61" t="inlineStr">
        <is>
          <t>컬리메이터 FRONT 사출</t>
        </is>
      </c>
      <c r="K315" s="65" t="inlineStr">
        <is>
          <t>ADX6000 컬리메이터 FRONT 사출</t>
        </is>
      </c>
      <c r="L315" s="83">
        <f>HYPERLINK("#'"&amp;$O315&amp;"'!A"&amp;$N315,"→ 조립자재 R"&amp;$N315)</f>
        <v/>
      </c>
      <c r="M315" s="84" t="n"/>
      <c r="N315" s="80" t="n">
        <v>139</v>
      </c>
      <c r="O315" s="80" t="inlineStr">
        <is>
          <t>조립자재_재고현황</t>
        </is>
      </c>
    </row>
    <row r="316" ht="30" customHeight="1">
      <c r="A316" s="56" t="inlineStr">
        <is>
          <t>조립</t>
        </is>
      </c>
      <c r="B316" s="52" t="inlineStr">
        <is>
          <t>사출 및 자재</t>
        </is>
      </c>
      <c r="C316" s="52" t="inlineStr">
        <is>
          <t>ADX6000 공용</t>
        </is>
      </c>
      <c r="D316" s="79">
        <f>IF(INDIRECT("'"&amp;$O316&amp;"'!F"&amp;$N316)="O","원자재",IF(INDIRECT("'"&amp;$O316&amp;"'!G"&amp;$N316)="O","반제품",IF(INDIRECT("'"&amp;$O316&amp;"'!H"&amp;$N316)="O","완제품","")))</f>
        <v/>
      </c>
      <c r="E316" s="79">
        <f>IFERROR(IF(INDIRECT("'"&amp;$O316&amp;"'!I"&amp;$N316)=0,"",INDIRECT("'"&amp;$O316&amp;"'!I"&amp;$N316)),"")</f>
        <v/>
      </c>
      <c r="F316" s="52" t="inlineStr">
        <is>
          <t>Base Block</t>
        </is>
      </c>
      <c r="G316" s="52" t="inlineStr">
        <is>
          <t>Base Block (AL 가공 + 흑색 아노다이징) [ADX6000]</t>
        </is>
      </c>
      <c r="H316" s="79">
        <f>IF(AND($F316="",$G316=""),"",IF($F316="","창고전용",IF($G316&lt;&gt;"","매칭완료",IF($D316="반제품","반제품(창고없음)",IF($D316="완제품","완제품(창고없음)",IF($D316="원자재","⚠ 원자재_부서보관","미분류"))))))</f>
        <v/>
      </c>
      <c r="I316" s="79">
        <f>IFERROR(IF(INDIRECT("'"&amp;$O316&amp;"'!P"&amp;$N316)=0,"",INDIRECT("'"&amp;$O316&amp;"'!P"&amp;$N316)),"")</f>
        <v/>
      </c>
      <c r="J316" s="61" t="inlineStr">
        <is>
          <t>Base Block</t>
        </is>
      </c>
      <c r="K316" s="65" t="inlineStr">
        <is>
          <t>ADX6000 Base Block</t>
        </is>
      </c>
      <c r="L316" s="83">
        <f>HYPERLINK("#'"&amp;$O316&amp;"'!A"&amp;$N316,"→ 조립자재 R"&amp;$N316)</f>
        <v/>
      </c>
      <c r="M316" s="84" t="n"/>
      <c r="N316" s="80" t="n">
        <v>140</v>
      </c>
      <c r="O316" s="80" t="inlineStr">
        <is>
          <t>조립자재_재고현황</t>
        </is>
      </c>
    </row>
    <row r="317" ht="30" customHeight="1">
      <c r="A317" s="56" t="inlineStr">
        <is>
          <t>조립</t>
        </is>
      </c>
      <c r="B317" s="52" t="inlineStr">
        <is>
          <t>사출 및 자재</t>
        </is>
      </c>
      <c r="C317" s="52" t="inlineStr">
        <is>
          <t>ADX6000 공용</t>
        </is>
      </c>
      <c r="D317" s="79">
        <f>IF(INDIRECT("'"&amp;$O317&amp;"'!F"&amp;$N317)="O","원자재",IF(INDIRECT("'"&amp;$O317&amp;"'!G"&amp;$N317)="O","반제품",IF(INDIRECT("'"&amp;$O317&amp;"'!H"&amp;$N317)="O","완제품","")))</f>
        <v/>
      </c>
      <c r="E317" s="79">
        <f>IFERROR(IF(INDIRECT("'"&amp;$O317&amp;"'!I"&amp;$N317)=0,"",INDIRECT("'"&amp;$O317&amp;"'!I"&amp;$N317)),"")</f>
        <v/>
      </c>
      <c r="F317" s="52" t="inlineStr">
        <is>
          <t>Top Block</t>
        </is>
      </c>
      <c r="G317" s="52" t="inlineStr">
        <is>
          <t>Top Block (AL 가공 + 흑색 아노다이징) [ADX6000]</t>
        </is>
      </c>
      <c r="H317" s="79">
        <f>IF(AND($F317="",$G317=""),"",IF($F317="","창고전용",IF($G317&lt;&gt;"","매칭완료",IF($D317="반제품","반제품(창고없음)",IF($D317="완제품","완제품(창고없음)",IF($D317="원자재","⚠ 원자재_부서보관","미분류"))))))</f>
        <v/>
      </c>
      <c r="I317" s="79">
        <f>IFERROR(IF(INDIRECT("'"&amp;$O317&amp;"'!P"&amp;$N317)=0,"",INDIRECT("'"&amp;$O317&amp;"'!P"&amp;$N317)),"")</f>
        <v/>
      </c>
      <c r="J317" s="61" t="inlineStr">
        <is>
          <t>Top Block</t>
        </is>
      </c>
      <c r="K317" s="65" t="inlineStr">
        <is>
          <t>ADX6000 Top Block</t>
        </is>
      </c>
      <c r="L317" s="83">
        <f>HYPERLINK("#'"&amp;$O317&amp;"'!A"&amp;$N317,"→ 조립자재 R"&amp;$N317)</f>
        <v/>
      </c>
      <c r="M317" s="84" t="n"/>
      <c r="N317" s="80" t="n">
        <v>141</v>
      </c>
      <c r="O317" s="80" t="inlineStr">
        <is>
          <t>조립자재_재고현황</t>
        </is>
      </c>
    </row>
    <row r="318" ht="30" customHeight="1">
      <c r="A318" s="56" t="inlineStr">
        <is>
          <t>조립</t>
        </is>
      </c>
      <c r="B318" s="52" t="inlineStr">
        <is>
          <t>사출 및 자재</t>
        </is>
      </c>
      <c r="C318" s="52" t="inlineStr">
        <is>
          <t>ADX6000 공용</t>
        </is>
      </c>
      <c r="D318" s="79">
        <f>IF(INDIRECT("'"&amp;$O318&amp;"'!F"&amp;$N318)="O","원자재",IF(INDIRECT("'"&amp;$O318&amp;"'!G"&amp;$N318)="O","반제품",IF(INDIRECT("'"&amp;$O318&amp;"'!H"&amp;$N318)="O","완제품","")))</f>
        <v/>
      </c>
      <c r="E318" s="79">
        <f>IFERROR(IF(INDIRECT("'"&amp;$O318&amp;"'!I"&amp;$N318)=0,"",INDIRECT("'"&amp;$O318&amp;"'!I"&amp;$N318)),"")</f>
        <v/>
      </c>
      <c r="F318" s="52" t="inlineStr">
        <is>
          <t>Bottom Blcok</t>
        </is>
      </c>
      <c r="G318" s="52" t="inlineStr">
        <is>
          <t>Bottom Block (AL 가공 + 흑색 아노다이징) [ADX6000]</t>
        </is>
      </c>
      <c r="H318" s="79">
        <f>IF(AND($F318="",$G318=""),"",IF($F318="","창고전용",IF($G318&lt;&gt;"","매칭완료",IF($D318="반제품","반제품(창고없음)",IF($D318="완제품","완제품(창고없음)",IF($D318="원자재","⚠ 원자재_부서보관","미분류"))))))</f>
        <v/>
      </c>
      <c r="I318" s="79">
        <f>IFERROR(IF(INDIRECT("'"&amp;$O318&amp;"'!P"&amp;$N318)=0,"",INDIRECT("'"&amp;$O318&amp;"'!P"&amp;$N318)),"")</f>
        <v/>
      </c>
      <c r="J318" s="61" t="inlineStr">
        <is>
          <t>Bottom Blcok</t>
        </is>
      </c>
      <c r="K318" s="65" t="inlineStr">
        <is>
          <t>ADX6000 Bottom Blcok</t>
        </is>
      </c>
      <c r="L318" s="83">
        <f>HYPERLINK("#'"&amp;$O318&amp;"'!A"&amp;$N318,"→ 조립자재 R"&amp;$N318)</f>
        <v/>
      </c>
      <c r="M318" s="84" t="n"/>
      <c r="N318" s="80" t="n">
        <v>142</v>
      </c>
      <c r="O318" s="80" t="inlineStr">
        <is>
          <t>조립자재_재고현황</t>
        </is>
      </c>
    </row>
    <row r="319" ht="30" customHeight="1">
      <c r="A319" s="56" t="inlineStr">
        <is>
          <t>조립</t>
        </is>
      </c>
      <c r="B319" s="52" t="inlineStr">
        <is>
          <t>사출 및 자재</t>
        </is>
      </c>
      <c r="C319" s="52" t="inlineStr">
        <is>
          <t>ADX6000 공용</t>
        </is>
      </c>
      <c r="D319" s="79">
        <f>IF(INDIRECT("'"&amp;$O319&amp;"'!F"&amp;$N319)="O","원자재",IF(INDIRECT("'"&amp;$O319&amp;"'!G"&amp;$N319)="O","반제품",IF(INDIRECT("'"&amp;$O319&amp;"'!H"&amp;$N319)="O","완제품","")))</f>
        <v/>
      </c>
      <c r="E319" s="79">
        <f>IFERROR(IF(INDIRECT("'"&amp;$O319&amp;"'!I"&amp;$N319)=0,"",INDIRECT("'"&amp;$O319&amp;"'!I"&amp;$N319)),"")</f>
        <v/>
      </c>
      <c r="F319" s="52" t="inlineStr">
        <is>
          <t>Skin Guard Frame</t>
        </is>
      </c>
      <c r="G319" s="52" t="n"/>
      <c r="H319" s="79">
        <f>IF(AND($F319="",$G319=""),"",IF($F319="","창고전용",IF($G319&lt;&gt;"","매칭완료",IF($D319="반제품","반제품(창고없음)",IF($D319="완제품","완제품(창고없음)",IF($D319="원자재","⚠ 원자재_부서보관","미분류"))))))</f>
        <v/>
      </c>
      <c r="I319" s="79">
        <f>IFERROR(IF(INDIRECT("'"&amp;$O319&amp;"'!P"&amp;$N319)=0,"",INDIRECT("'"&amp;$O319&amp;"'!P"&amp;$N319)),"")</f>
        <v/>
      </c>
      <c r="J319" s="61" t="inlineStr">
        <is>
          <t>Skin Guard Frame</t>
        </is>
      </c>
      <c r="K319" s="65" t="inlineStr">
        <is>
          <t>ADX6000 Skin Guard Frame</t>
        </is>
      </c>
      <c r="L319" s="83">
        <f>HYPERLINK("#'"&amp;$O319&amp;"'!A"&amp;$N319,"→ 조립자재 R"&amp;$N319)</f>
        <v/>
      </c>
      <c r="M319" s="84" t="n"/>
      <c r="N319" s="80" t="n">
        <v>143</v>
      </c>
      <c r="O319" s="80" t="inlineStr">
        <is>
          <t>조립자재_재고현황</t>
        </is>
      </c>
    </row>
    <row r="320" ht="30" customHeight="1">
      <c r="A320" s="56" t="inlineStr">
        <is>
          <t>조립</t>
        </is>
      </c>
      <c r="B320" s="52" t="inlineStr">
        <is>
          <t>사출 및 자재</t>
        </is>
      </c>
      <c r="C320" s="52" t="inlineStr">
        <is>
          <t>ADX6000 공용</t>
        </is>
      </c>
      <c r="D320" s="79">
        <f>IF(INDIRECT("'"&amp;$O320&amp;"'!F"&amp;$N320)="O","원자재",IF(INDIRECT("'"&amp;$O320&amp;"'!G"&amp;$N320)="O","반제품",IF(INDIRECT("'"&amp;$O320&amp;"'!H"&amp;$N320)="O","완제품","")))</f>
        <v/>
      </c>
      <c r="E320" s="79">
        <f>IFERROR(IF(INDIRECT("'"&amp;$O320&amp;"'!I"&amp;$N320)=0,"",INDIRECT("'"&amp;$O320&amp;"'!I"&amp;$N320)),"")</f>
        <v/>
      </c>
      <c r="F320" s="52" t="inlineStr">
        <is>
          <t>아크릴 투명 십자 panel (70 x70 mm)</t>
        </is>
      </c>
      <c r="G320" s="52" t="inlineStr">
        <is>
          <t>아크릴 투명 십자 panel (아크릴 + 실크 인쇄) [ADX6000]</t>
        </is>
      </c>
      <c r="H320" s="79">
        <f>IF(AND($F320="",$G320=""),"",IF($F320="","창고전용",IF($G320&lt;&gt;"","매칭완료",IF($D320="반제품","반제품(창고없음)",IF($D320="완제품","완제품(창고없음)",IF($D320="원자재","⚠ 원자재_부서보관","미분류"))))))</f>
        <v/>
      </c>
      <c r="I320" s="79">
        <f>IFERROR(IF(INDIRECT("'"&amp;$O320&amp;"'!P"&amp;$N320)=0,"",INDIRECT("'"&amp;$O320&amp;"'!P"&amp;$N320)),"")</f>
        <v/>
      </c>
      <c r="J320" s="61" t="inlineStr">
        <is>
          <t>아크릴 투명 십자 panel (70 x70 mm)</t>
        </is>
      </c>
      <c r="K320" s="65" t="inlineStr">
        <is>
          <t>ADX6000 아크릴 투명 십자 panel (70x70x1.5 mm)</t>
        </is>
      </c>
      <c r="L320" s="83">
        <f>HYPERLINK("#'"&amp;$O320&amp;"'!A"&amp;$N320,"→ 조립자재 R"&amp;$N320)</f>
        <v/>
      </c>
      <c r="M320" s="84" t="n"/>
      <c r="N320" s="80" t="n">
        <v>144</v>
      </c>
      <c r="O320" s="80" t="inlineStr">
        <is>
          <t>조립자재_재고현황</t>
        </is>
      </c>
    </row>
    <row r="321" ht="30" customHeight="1">
      <c r="A321" s="56" t="inlineStr">
        <is>
          <t>조립</t>
        </is>
      </c>
      <c r="B321" s="52" t="inlineStr">
        <is>
          <t>사출 및 자재</t>
        </is>
      </c>
      <c r="C321" s="52" t="inlineStr">
        <is>
          <t>ADX6000 공용</t>
        </is>
      </c>
      <c r="D321" s="79">
        <f>IF(INDIRECT("'"&amp;$O321&amp;"'!F"&amp;$N321)="O","원자재",IF(INDIRECT("'"&amp;$O321&amp;"'!G"&amp;$N321)="O","반제품",IF(INDIRECT("'"&amp;$O321&amp;"'!H"&amp;$N321)="O","완제품","")))</f>
        <v/>
      </c>
      <c r="E321" s="79">
        <f>IFERROR(IF(INDIRECT("'"&amp;$O321&amp;"'!I"&amp;$N321)=0,"",INDIRECT("'"&amp;$O321&amp;"'!I"&amp;$N321)),"")</f>
        <v/>
      </c>
      <c r="F321" s="52" t="inlineStr">
        <is>
          <t>LCD Cover 사출 (white)</t>
        </is>
      </c>
      <c r="G321" s="52" t="inlineStr">
        <is>
          <t>LCD Cover 사출 (ABS 난연 화이트+ 색바랜 노란색 398) [ADX6000]</t>
        </is>
      </c>
      <c r="H321" s="79">
        <f>IF(AND($F321="",$G321=""),"",IF($F321="","창고전용",IF($G321&lt;&gt;"","매칭완료",IF($D321="반제품","반제품(창고없음)",IF($D321="완제품","완제품(창고없음)",IF($D321="원자재","⚠ 원자재_부서보관","미분류"))))))</f>
        <v/>
      </c>
      <c r="I321" s="79">
        <f>IFERROR(IF(INDIRECT("'"&amp;$O321&amp;"'!P"&amp;$N321)=0,"",INDIRECT("'"&amp;$O321&amp;"'!P"&amp;$N321)),"")</f>
        <v/>
      </c>
      <c r="J321" s="61" t="inlineStr">
        <is>
          <t>LCD Cover 사출 (white)</t>
        </is>
      </c>
      <c r="K321" s="65" t="inlineStr">
        <is>
          <t>ADX6000 LCD Cover 사출 (white)</t>
        </is>
      </c>
      <c r="L321" s="83">
        <f>HYPERLINK("#'"&amp;$O321&amp;"'!A"&amp;$N321,"→ 조립자재 R"&amp;$N321)</f>
        <v/>
      </c>
      <c r="M321" s="84" t="n"/>
      <c r="N321" s="80" t="n">
        <v>145</v>
      </c>
      <c r="O321" s="80" t="inlineStr">
        <is>
          <t>조립자재_재고현황</t>
        </is>
      </c>
    </row>
    <row r="322" ht="30" customHeight="1">
      <c r="A322" s="56" t="inlineStr">
        <is>
          <t>조립</t>
        </is>
      </c>
      <c r="B322" s="52" t="inlineStr">
        <is>
          <t>사출 및 자재</t>
        </is>
      </c>
      <c r="C322" s="52" t="inlineStr">
        <is>
          <t>ADX6000 공용</t>
        </is>
      </c>
      <c r="D322" s="79">
        <f>IF(INDIRECT("'"&amp;$O322&amp;"'!F"&amp;$N322)="O","원자재",IF(INDIRECT("'"&amp;$O322&amp;"'!G"&amp;$N322)="O","반제품",IF(INDIRECT("'"&amp;$O322&amp;"'!H"&amp;$N322)="O","완제품","")))</f>
        <v/>
      </c>
      <c r="E322" s="79">
        <f>IFERROR(IF(INDIRECT("'"&amp;$O322&amp;"'!I"&amp;$N322)=0,"",INDIRECT("'"&amp;$O322&amp;"'!I"&amp;$N322)),"")</f>
        <v/>
      </c>
      <c r="F322" s="52" t="inlineStr">
        <is>
          <t>LCD Inner Cover 사출</t>
        </is>
      </c>
      <c r="G322" s="52" t="inlineStr">
        <is>
          <t>LCD Inner Cover 사출 (ABS 난연 화이트 + 스프레이) [ADX6000]</t>
        </is>
      </c>
      <c r="H322" s="79">
        <f>IF(AND($F322="",$G322=""),"",IF($F322="","창고전용",IF($G322&lt;&gt;"","매칭완료",IF($D322="반제품","반제품(창고없음)",IF($D322="완제품","완제품(창고없음)",IF($D322="원자재","⚠ 원자재_부서보관","미분류"))))))</f>
        <v/>
      </c>
      <c r="I322" s="79">
        <f>IFERROR(IF(INDIRECT("'"&amp;$O322&amp;"'!P"&amp;$N322)=0,"",INDIRECT("'"&amp;$O322&amp;"'!P"&amp;$N322)),"")</f>
        <v/>
      </c>
      <c r="J322" s="61" t="inlineStr">
        <is>
          <t>LCD Inner Cover 사출</t>
        </is>
      </c>
      <c r="K322" s="65" t="inlineStr">
        <is>
          <t>ADX6000 LCD Inner Cover 사출</t>
        </is>
      </c>
      <c r="L322" s="83">
        <f>HYPERLINK("#'"&amp;$O322&amp;"'!A"&amp;$N322,"→ 조립자재 R"&amp;$N322)</f>
        <v/>
      </c>
      <c r="M322" s="84" t="n"/>
      <c r="N322" s="80" t="n">
        <v>146</v>
      </c>
      <c r="O322" s="80" t="inlineStr">
        <is>
          <t>조립자재_재고현황</t>
        </is>
      </c>
    </row>
    <row r="323" ht="30" customHeight="1">
      <c r="A323" s="56" t="inlineStr">
        <is>
          <t>조립</t>
        </is>
      </c>
      <c r="B323" s="52" t="inlineStr">
        <is>
          <t>사출 및 자재</t>
        </is>
      </c>
      <c r="C323" s="52" t="inlineStr">
        <is>
          <t>ADX6000 공용</t>
        </is>
      </c>
      <c r="D323" s="79">
        <f>IF(INDIRECT("'"&amp;$O323&amp;"'!F"&amp;$N323)="O","원자재",IF(INDIRECT("'"&amp;$O323&amp;"'!G"&amp;$N323)="O","반제품",IF(INDIRECT("'"&amp;$O323&amp;"'!H"&amp;$N323)="O","완제품","")))</f>
        <v/>
      </c>
      <c r="E323" s="79">
        <f>IFERROR(IF(INDIRECT("'"&amp;$O323&amp;"'!I"&amp;$N323)=0,"",INDIRECT("'"&amp;$O323&amp;"'!I"&amp;$N323)),"")</f>
        <v/>
      </c>
      <c r="F323" s="52" t="inlineStr">
        <is>
          <t>LCD 힌지 사출 커버 TOP</t>
        </is>
      </c>
      <c r="G323" s="52" t="inlineStr">
        <is>
          <t>LCD 힌지 사출 커버 TOP (ABS 난연 화이트 + 스프레이) [ADX6000]</t>
        </is>
      </c>
      <c r="H323" s="79">
        <f>IF(AND($F323="",$G323=""),"",IF($F323="","창고전용",IF($G323&lt;&gt;"","매칭완료",IF($D323="반제품","반제품(창고없음)",IF($D323="완제품","완제품(창고없음)",IF($D323="원자재","⚠ 원자재_부서보관","미분류"))))))</f>
        <v/>
      </c>
      <c r="I323" s="79">
        <f>IFERROR(IF(INDIRECT("'"&amp;$O323&amp;"'!P"&amp;$N323)=0,"",INDIRECT("'"&amp;$O323&amp;"'!P"&amp;$N323)),"")</f>
        <v/>
      </c>
      <c r="J323" s="61" t="inlineStr">
        <is>
          <t>LCD 힌지 사출 커버 TOP</t>
        </is>
      </c>
      <c r="K323" s="65" t="inlineStr">
        <is>
          <t>ADX6000 LCD 힌지 사출 커버 TOP</t>
        </is>
      </c>
      <c r="L323" s="83">
        <f>HYPERLINK("#'"&amp;$O323&amp;"'!A"&amp;$N323,"→ 조립자재 R"&amp;$N323)</f>
        <v/>
      </c>
      <c r="M323" s="84" t="n"/>
      <c r="N323" s="80" t="n">
        <v>147</v>
      </c>
      <c r="O323" s="80" t="inlineStr">
        <is>
          <t>조립자재_재고현황</t>
        </is>
      </c>
    </row>
    <row r="324" ht="30" customHeight="1">
      <c r="A324" s="56" t="inlineStr">
        <is>
          <t>조립</t>
        </is>
      </c>
      <c r="B324" s="52" t="inlineStr">
        <is>
          <t>사출 및 자재</t>
        </is>
      </c>
      <c r="C324" s="52" t="inlineStr">
        <is>
          <t>ADX6000 공용</t>
        </is>
      </c>
      <c r="D324" s="79">
        <f>IF(INDIRECT("'"&amp;$O324&amp;"'!F"&amp;$N324)="O","원자재",IF(INDIRECT("'"&amp;$O324&amp;"'!G"&amp;$N324)="O","반제품",IF(INDIRECT("'"&amp;$O324&amp;"'!H"&amp;$N324)="O","완제품","")))</f>
        <v/>
      </c>
      <c r="E324" s="79">
        <f>IFERROR(IF(INDIRECT("'"&amp;$O324&amp;"'!I"&amp;$N324)=0,"",INDIRECT("'"&amp;$O324&amp;"'!I"&amp;$N324)),"")</f>
        <v/>
      </c>
      <c r="F324" s="52" t="inlineStr">
        <is>
          <t>LCD 힌지 사출 커버 BOTTOM</t>
        </is>
      </c>
      <c r="G324" s="52" t="inlineStr">
        <is>
          <t>LCD 힌지 사출 커버 BOTTOM (ABS 난연 화이트 + 스프레이) [ADX6000]</t>
        </is>
      </c>
      <c r="H324" s="79">
        <f>IF(AND($F324="",$G324=""),"",IF($F324="","창고전용",IF($G324&lt;&gt;"","매칭완료",IF($D324="반제품","반제품(창고없음)",IF($D324="완제품","완제품(창고없음)",IF($D324="원자재","⚠ 원자재_부서보관","미분류"))))))</f>
        <v/>
      </c>
      <c r="I324" s="79">
        <f>IFERROR(IF(INDIRECT("'"&amp;$O324&amp;"'!P"&amp;$N324)=0,"",INDIRECT("'"&amp;$O324&amp;"'!P"&amp;$N324)),"")</f>
        <v/>
      </c>
      <c r="J324" s="61" t="inlineStr">
        <is>
          <t>LCD 힌지 사출 커버 BOTTOM</t>
        </is>
      </c>
      <c r="K324" s="65" t="inlineStr">
        <is>
          <t>ADX6000 LCD 힌지 사출 커버 BOTTOM</t>
        </is>
      </c>
      <c r="L324" s="83">
        <f>HYPERLINK("#'"&amp;$O324&amp;"'!A"&amp;$N324,"→ 조립자재 R"&amp;$N324)</f>
        <v/>
      </c>
      <c r="M324" s="84" t="n"/>
      <c r="N324" s="80" t="n">
        <v>148</v>
      </c>
      <c r="O324" s="80" t="inlineStr">
        <is>
          <t>조립자재_재고현황</t>
        </is>
      </c>
    </row>
    <row r="325" ht="30" customHeight="1">
      <c r="A325" s="56" t="inlineStr">
        <is>
          <t>조립</t>
        </is>
      </c>
      <c r="B325" s="52" t="inlineStr">
        <is>
          <t>사출 및 자재</t>
        </is>
      </c>
      <c r="C325" s="52" t="inlineStr">
        <is>
          <t>ADX6000 공용</t>
        </is>
      </c>
      <c r="D325" s="79">
        <f>IF(INDIRECT("'"&amp;$O325&amp;"'!F"&amp;$N325)="O","원자재",IF(INDIRECT("'"&amp;$O325&amp;"'!G"&amp;$N325)="O","반제품",IF(INDIRECT("'"&amp;$O325&amp;"'!H"&amp;$N325)="O","완제품","")))</f>
        <v/>
      </c>
      <c r="E325" s="79">
        <f>IFERROR(IF(INDIRECT("'"&amp;$O325&amp;"'!I"&amp;$N325)=0,"",INDIRECT("'"&amp;$O325&amp;"'!I"&amp;$N325)),"")</f>
        <v/>
      </c>
      <c r="F325" s="52" t="inlineStr">
        <is>
          <t>LCD HINGE</t>
        </is>
      </c>
      <c r="G325" s="52" t="inlineStr">
        <is>
          <t>LCD HINGE (가공) [ADX6000]</t>
        </is>
      </c>
      <c r="H325" s="79">
        <f>IF(AND($F325="",$G325=""),"",IF($F325="","창고전용",IF($G325&lt;&gt;"","매칭완료",IF($D325="반제품","반제품(창고없음)",IF($D325="완제품","완제품(창고없음)",IF($D325="원자재","⚠ 원자재_부서보관","미분류"))))))</f>
        <v/>
      </c>
      <c r="I325" s="79">
        <f>IFERROR(IF(INDIRECT("'"&amp;$O325&amp;"'!P"&amp;$N325)=0,"",INDIRECT("'"&amp;$O325&amp;"'!P"&amp;$N325)),"")</f>
        <v/>
      </c>
      <c r="J325" s="61" t="inlineStr">
        <is>
          <t>LCD HINGE</t>
        </is>
      </c>
      <c r="K325" s="65" t="inlineStr">
        <is>
          <t>ADX6000 LCD HINGE</t>
        </is>
      </c>
      <c r="L325" s="83">
        <f>HYPERLINK("#'"&amp;$O325&amp;"'!A"&amp;$N325,"→ 조립자재 R"&amp;$N325)</f>
        <v/>
      </c>
      <c r="M325" s="84" t="n"/>
      <c r="N325" s="80" t="n">
        <v>149</v>
      </c>
      <c r="O325" s="80" t="inlineStr">
        <is>
          <t>조립자재_재고현황</t>
        </is>
      </c>
    </row>
    <row r="326" ht="30" customHeight="1">
      <c r="A326" s="56" t="inlineStr">
        <is>
          <t>조립</t>
        </is>
      </c>
      <c r="B326" s="52" t="inlineStr">
        <is>
          <t>사출 및 자재</t>
        </is>
      </c>
      <c r="C326" s="52" t="inlineStr">
        <is>
          <t>ADX6000 공용</t>
        </is>
      </c>
      <c r="D326" s="79">
        <f>IF(INDIRECT("'"&amp;$O326&amp;"'!F"&amp;$N326)="O","원자재",IF(INDIRECT("'"&amp;$O326&amp;"'!G"&amp;$N326)="O","반제품",IF(INDIRECT("'"&amp;$O326&amp;"'!H"&amp;$N326)="O","완제품","")))</f>
        <v/>
      </c>
      <c r="E326" s="79">
        <f>IFERROR(IF(INDIRECT("'"&amp;$O326&amp;"'!I"&amp;$N326)=0,"",INDIRECT("'"&amp;$O326&amp;"'!I"&amp;$N326)),"")</f>
        <v/>
      </c>
      <c r="F326" s="52" t="inlineStr">
        <is>
          <t>LCD 힌지 가죽 커버</t>
        </is>
      </c>
      <c r="G326" s="52" t="inlineStr">
        <is>
          <t>LCD 힌지 가죽 커버 (인조 가죽) [ADX6000]</t>
        </is>
      </c>
      <c r="H326" s="79">
        <f>IF(AND($F326="",$G326=""),"",IF($F326="","창고전용",IF($G326&lt;&gt;"","매칭완료",IF($D326="반제품","반제품(창고없음)",IF($D326="완제품","완제품(창고없음)",IF($D326="원자재","⚠ 원자재_부서보관","미분류"))))))</f>
        <v/>
      </c>
      <c r="I326" s="79">
        <f>IFERROR(IF(INDIRECT("'"&amp;$O326&amp;"'!P"&amp;$N326)=0,"",INDIRECT("'"&amp;$O326&amp;"'!P"&amp;$N326)),"")</f>
        <v/>
      </c>
      <c r="J326" s="61" t="inlineStr">
        <is>
          <t>LCD 힌지 가죽 커버</t>
        </is>
      </c>
      <c r="K326" s="65" t="inlineStr">
        <is>
          <t>ADX6000 LCD 힌지 가죽 커버</t>
        </is>
      </c>
      <c r="L326" s="83">
        <f>HYPERLINK("#'"&amp;$O326&amp;"'!A"&amp;$N326,"→ 조립자재 R"&amp;$N326)</f>
        <v/>
      </c>
      <c r="M326" s="84" t="n"/>
      <c r="N326" s="80" t="n">
        <v>150</v>
      </c>
      <c r="O326" s="80" t="inlineStr">
        <is>
          <t>조립자재_재고현황</t>
        </is>
      </c>
    </row>
    <row r="327" ht="30" customHeight="1">
      <c r="A327" s="56" t="inlineStr">
        <is>
          <t>조립</t>
        </is>
      </c>
      <c r="B327" s="52" t="inlineStr">
        <is>
          <t>사출 및 자재</t>
        </is>
      </c>
      <c r="C327" s="52" t="inlineStr">
        <is>
          <t>ADX6000FB ADX6000s</t>
        </is>
      </c>
      <c r="D327" s="79">
        <f>IF(INDIRECT("'"&amp;$O327&amp;"'!F"&amp;$N327)="O","원자재",IF(INDIRECT("'"&amp;$O327&amp;"'!G"&amp;$N327)="O","반제품",IF(INDIRECT("'"&amp;$O327&amp;"'!H"&amp;$N327)="O","완제품","")))</f>
        <v/>
      </c>
      <c r="E327" s="79">
        <f>IFERROR(IF(INDIRECT("'"&amp;$O327&amp;"'!I"&amp;$N327)=0,"",INDIRECT("'"&amp;$O327&amp;"'!I"&amp;$N327)),"")</f>
        <v/>
      </c>
      <c r="F327" s="52" t="inlineStr">
        <is>
          <t>LCD 아크릴 가이드</t>
        </is>
      </c>
      <c r="G327" s="52" t="inlineStr">
        <is>
          <t>LCD 아크릴 가이드 (투명 아크릴) [ADX6000]</t>
        </is>
      </c>
      <c r="H327" s="79">
        <f>IF(AND($F327="",$G327=""),"",IF($F327="","창고전용",IF($G327&lt;&gt;"","매칭완료",IF($D327="반제품","반제품(창고없음)",IF($D327="완제품","완제품(창고없음)",IF($D327="원자재","⚠ 원자재_부서보관","미분류"))))))</f>
        <v/>
      </c>
      <c r="I327" s="79">
        <f>IFERROR(IF(INDIRECT("'"&amp;$O327&amp;"'!P"&amp;$N327)=0,"",INDIRECT("'"&amp;$O327&amp;"'!P"&amp;$N327)),"")</f>
        <v/>
      </c>
      <c r="J327" s="61" t="inlineStr">
        <is>
          <t>LCD 아크릴 가이드</t>
        </is>
      </c>
      <c r="K327" s="65" t="inlineStr">
        <is>
          <t>ADX6000 LCD 아크릴 가이드</t>
        </is>
      </c>
      <c r="L327" s="83">
        <f>HYPERLINK("#'"&amp;$O327&amp;"'!A"&amp;$N327,"→ 조립자재 R"&amp;$N327)</f>
        <v/>
      </c>
      <c r="M327" s="84" t="n"/>
      <c r="N327" s="80" t="n">
        <v>151</v>
      </c>
      <c r="O327" s="80" t="inlineStr">
        <is>
          <t>조립자재_재고현황</t>
        </is>
      </c>
    </row>
    <row r="328" ht="30" customHeight="1">
      <c r="A328" s="56" t="inlineStr">
        <is>
          <t>조립</t>
        </is>
      </c>
      <c r="B328" s="52" t="inlineStr">
        <is>
          <t>사출 및 자재</t>
        </is>
      </c>
      <c r="C328" s="52" t="inlineStr">
        <is>
          <t>ADX6000FB ADX6000s</t>
        </is>
      </c>
      <c r="D328" s="79">
        <f>IF(INDIRECT("'"&amp;$O328&amp;"'!F"&amp;$N328)="O","원자재",IF(INDIRECT("'"&amp;$O328&amp;"'!G"&amp;$N328)="O","반제품",IF(INDIRECT("'"&amp;$O328&amp;"'!H"&amp;$N328)="O","완제품","")))</f>
        <v/>
      </c>
      <c r="E328" s="79">
        <f>IFERROR(IF(INDIRECT("'"&amp;$O328&amp;"'!I"&amp;$N328)=0,"",INDIRECT("'"&amp;$O328&amp;"'!I"&amp;$N328)),"")</f>
        <v/>
      </c>
      <c r="F328" s="52" t="inlineStr">
        <is>
          <t>LCD 배젤 스티커</t>
        </is>
      </c>
      <c r="G328" s="52" t="inlineStr">
        <is>
          <t>LCD 배젤 스티커 [ADX6000S]</t>
        </is>
      </c>
      <c r="H328" s="79">
        <f>IF(AND($F328="",$G328=""),"",IF($F328="","창고전용",IF($G328&lt;&gt;"","매칭완료",IF($D328="반제품","반제품(창고없음)",IF($D328="완제품","완제품(창고없음)",IF($D328="원자재","⚠ 원자재_부서보관","미분류"))))))</f>
        <v/>
      </c>
      <c r="I328" s="79">
        <f>IFERROR(IF(INDIRECT("'"&amp;$O328&amp;"'!P"&amp;$N328)=0,"",INDIRECT("'"&amp;$O328&amp;"'!P"&amp;$N328)),"")</f>
        <v/>
      </c>
      <c r="J328" s="61" t="inlineStr">
        <is>
          <t>LCD 배젤 스티커</t>
        </is>
      </c>
      <c r="K328" s="65" t="inlineStr">
        <is>
          <t>ADX6000 LCD 배젤 스티커</t>
        </is>
      </c>
      <c r="L328" s="83">
        <f>HYPERLINK("#'"&amp;$O328&amp;"'!A"&amp;$N328,"→ 조립자재 R"&amp;$N328)</f>
        <v/>
      </c>
      <c r="M328" s="84" t="n"/>
      <c r="N328" s="80" t="n">
        <v>152</v>
      </c>
      <c r="O328" s="80" t="inlineStr">
        <is>
          <t>조립자재_재고현황</t>
        </is>
      </c>
    </row>
    <row r="329" ht="30" customHeight="1">
      <c r="A329" s="56" t="inlineStr">
        <is>
          <t>조립</t>
        </is>
      </c>
      <c r="B329" s="52" t="inlineStr">
        <is>
          <t>사출 및 자재</t>
        </is>
      </c>
      <c r="C329" s="52" t="inlineStr">
        <is>
          <t>ADX6000FB ADX6000s</t>
        </is>
      </c>
      <c r="D329" s="79">
        <f>IF(INDIRECT("'"&amp;$O329&amp;"'!F"&amp;$N329)="O","원자재",IF(INDIRECT("'"&amp;$O329&amp;"'!G"&amp;$N329)="O","반제품",IF(INDIRECT("'"&amp;$O329&amp;"'!H"&amp;$N329)="O","완제품","")))</f>
        <v/>
      </c>
      <c r="E329" s="79">
        <f>IFERROR(IF(INDIRECT("'"&amp;$O329&amp;"'!I"&amp;$N329)=0,"",INDIRECT("'"&amp;$O329&amp;"'!I"&amp;$N329)),"")</f>
        <v/>
      </c>
      <c r="F329" s="52" t="inlineStr">
        <is>
          <t>LCD 배젤 스티커 - 중앙 필름 제거</t>
        </is>
      </c>
      <c r="G329" s="52" t="n"/>
      <c r="H329" s="79">
        <f>IF(AND($F329="",$G329=""),"",IF($F329="","창고전용",IF($G329&lt;&gt;"","매칭완료",IF($D329="반제품","반제품(창고없음)",IF($D329="완제품","완제품(창고없음)",IF($D329="원자재","⚠ 원자재_부서보관","미분류"))))))</f>
        <v/>
      </c>
      <c r="I329" s="79">
        <f>IFERROR(IF(INDIRECT("'"&amp;$O329&amp;"'!P"&amp;$N329)=0,"",INDIRECT("'"&amp;$O329&amp;"'!P"&amp;$N329)),"")</f>
        <v/>
      </c>
      <c r="J329" s="61" t="inlineStr">
        <is>
          <t>LCD 배젤 스티커 - 중앙 필름 제거</t>
        </is>
      </c>
      <c r="K329" s="65" t="inlineStr">
        <is>
          <t>ADX6000 LCD 배젤 스티커 - 중앙 필름 제거</t>
        </is>
      </c>
      <c r="L329" s="83">
        <f>HYPERLINK("#'"&amp;$O329&amp;"'!A"&amp;$N329,"→ 조립자재 R"&amp;$N329)</f>
        <v/>
      </c>
      <c r="M329" s="84" t="n"/>
      <c r="N329" s="80" t="n">
        <v>153</v>
      </c>
      <c r="O329" s="80" t="inlineStr">
        <is>
          <t>조립자재_재고현황</t>
        </is>
      </c>
    </row>
    <row r="330" ht="30" customHeight="1">
      <c r="A330" s="56" t="inlineStr">
        <is>
          <t>조립</t>
        </is>
      </c>
      <c r="B330" s="52" t="inlineStr">
        <is>
          <t>사출 및 자재</t>
        </is>
      </c>
      <c r="C330" s="52" t="inlineStr">
        <is>
          <t>ADX6000 공용</t>
        </is>
      </c>
      <c r="D330" s="79">
        <f>IF(INDIRECT("'"&amp;$O330&amp;"'!F"&amp;$N330)="O","원자재",IF(INDIRECT("'"&amp;$O330&amp;"'!G"&amp;$N330)="O","반제품",IF(INDIRECT("'"&amp;$O330&amp;"'!H"&amp;$N330)="O","완제품","")))</f>
        <v/>
      </c>
      <c r="E330" s="79">
        <f>IFERROR(IF(INDIRECT("'"&amp;$O330&amp;"'!I"&amp;$N330)=0,"",INDIRECT("'"&amp;$O330&amp;"'!I"&amp;$N330)),"")</f>
        <v/>
      </c>
      <c r="F330" s="52" t="inlineStr">
        <is>
          <t>BODY LEFT 사출</t>
        </is>
      </c>
      <c r="G330" s="52" t="inlineStr">
        <is>
          <t>BODY LEFT 사출 (ABS 난연 화이트 + 스프레이) [ADX6000]</t>
        </is>
      </c>
      <c r="H330" s="79">
        <f>IF(AND($F330="",$G330=""),"",IF($F330="","창고전용",IF($G330&lt;&gt;"","매칭완료",IF($D330="반제품","반제품(창고없음)",IF($D330="완제품","완제품(창고없음)",IF($D330="원자재","⚠ 원자재_부서보관","미분류"))))))</f>
        <v/>
      </c>
      <c r="I330" s="79">
        <f>IFERROR(IF(INDIRECT("'"&amp;$O330&amp;"'!P"&amp;$N330)=0,"",INDIRECT("'"&amp;$O330&amp;"'!P"&amp;$N330)),"")</f>
        <v/>
      </c>
      <c r="J330" s="61" t="inlineStr">
        <is>
          <t>BODY LEFT 사출</t>
        </is>
      </c>
      <c r="K330" s="65" t="inlineStr">
        <is>
          <t>ADX6000 BODY LEFT 사출</t>
        </is>
      </c>
      <c r="L330" s="83">
        <f>HYPERLINK("#'"&amp;$O330&amp;"'!A"&amp;$N330,"→ 조립자재 R"&amp;$N330)</f>
        <v/>
      </c>
      <c r="M330" s="84" t="n"/>
      <c r="N330" s="80" t="n">
        <v>154</v>
      </c>
      <c r="O330" s="80" t="inlineStr">
        <is>
          <t>조립자재_재고현황</t>
        </is>
      </c>
    </row>
    <row r="331" ht="30" customHeight="1">
      <c r="A331" s="56" t="inlineStr">
        <is>
          <t>조립</t>
        </is>
      </c>
      <c r="B331" s="52" t="inlineStr">
        <is>
          <t>사출 및 자재</t>
        </is>
      </c>
      <c r="C331" s="52" t="inlineStr">
        <is>
          <t>ADX6000 공용</t>
        </is>
      </c>
      <c r="D331" s="79">
        <f>IF(INDIRECT("'"&amp;$O331&amp;"'!F"&amp;$N331)="O","원자재",IF(INDIRECT("'"&amp;$O331&amp;"'!G"&amp;$N331)="O","반제품",IF(INDIRECT("'"&amp;$O331&amp;"'!H"&amp;$N331)="O","완제품","")))</f>
        <v/>
      </c>
      <c r="E331" s="79">
        <f>IFERROR(IF(INDIRECT("'"&amp;$O331&amp;"'!I"&amp;$N331)=0,"",INDIRECT("'"&amp;$O331&amp;"'!I"&amp;$N331)),"")</f>
        <v/>
      </c>
      <c r="F331" s="52" t="inlineStr">
        <is>
          <t>BODY LEFT 사출 배터리 커버</t>
        </is>
      </c>
      <c r="G331" s="52" t="inlineStr">
        <is>
          <t>BODY LEFT 사출 배터리 커버 (ABS 난연 화이트 + 스프레이) [ADX6000]</t>
        </is>
      </c>
      <c r="H331" s="79">
        <f>IF(AND($F331="",$G331=""),"",IF($F331="","창고전용",IF($G331&lt;&gt;"","매칭완료",IF($D331="반제품","반제품(창고없음)",IF($D331="완제품","완제품(창고없음)",IF($D331="원자재","⚠ 원자재_부서보관","미분류"))))))</f>
        <v/>
      </c>
      <c r="I331" s="79">
        <f>IFERROR(IF(INDIRECT("'"&amp;$O331&amp;"'!P"&amp;$N331)=0,"",INDIRECT("'"&amp;$O331&amp;"'!P"&amp;$N331)),"")</f>
        <v/>
      </c>
      <c r="J331" s="65" t="inlineStr">
        <is>
          <t>BODY LEFT 사출 배터리 커버</t>
        </is>
      </c>
      <c r="K331" s="65" t="inlineStr">
        <is>
          <t>ADX6000 배터리 커버</t>
        </is>
      </c>
      <c r="L331" s="83">
        <f>HYPERLINK("#'"&amp;$O331&amp;"'!A"&amp;$N331,"→ 조립자재 R"&amp;$N331)</f>
        <v/>
      </c>
      <c r="M331" s="84" t="n"/>
      <c r="N331" s="80" t="n">
        <v>155</v>
      </c>
      <c r="O331" s="80" t="inlineStr">
        <is>
          <t>조립자재_재고현황</t>
        </is>
      </c>
    </row>
    <row r="332" ht="30" customHeight="1">
      <c r="A332" s="56" t="inlineStr">
        <is>
          <t>조립</t>
        </is>
      </c>
      <c r="B332" s="52" t="inlineStr">
        <is>
          <t>사출 및 자재</t>
        </is>
      </c>
      <c r="C332" s="52" t="inlineStr">
        <is>
          <t>ADX6000 공용</t>
        </is>
      </c>
      <c r="D332" s="79">
        <f>IF(INDIRECT("'"&amp;$O332&amp;"'!F"&amp;$N332)="O","원자재",IF(INDIRECT("'"&amp;$O332&amp;"'!G"&amp;$N332)="O","반제품",IF(INDIRECT("'"&amp;$O332&amp;"'!H"&amp;$N332)="O","완제품","")))</f>
        <v/>
      </c>
      <c r="E332" s="79">
        <f>IFERROR(IF(INDIRECT("'"&amp;$O332&amp;"'!I"&amp;$N332)=0,"",INDIRECT("'"&amp;$O332&amp;"'!I"&amp;$N332)),"")</f>
        <v/>
      </c>
      <c r="F332" s="52" t="inlineStr">
        <is>
          <t>Black Deco Guide</t>
        </is>
      </c>
      <c r="G332" s="52" t="inlineStr">
        <is>
          <t>Black Deco Guide (스모그 투명 아크릴) [ADX6000]</t>
        </is>
      </c>
      <c r="H332" s="79">
        <f>IF(AND($F332="",$G332=""),"",IF($F332="","창고전용",IF($G332&lt;&gt;"","매칭완료",IF($D332="반제품","반제품(창고없음)",IF($D332="완제품","완제품(창고없음)",IF($D332="원자재","⚠ 원자재_부서보관","미분류"))))))</f>
        <v/>
      </c>
      <c r="I332" s="79">
        <f>IFERROR(IF(INDIRECT("'"&amp;$O332&amp;"'!P"&amp;$N332)=0,"",INDIRECT("'"&amp;$O332&amp;"'!P"&amp;$N332)),"")</f>
        <v/>
      </c>
      <c r="J332" s="61" t="inlineStr">
        <is>
          <t>Black Deco Guide</t>
        </is>
      </c>
      <c r="K332" s="65" t="inlineStr">
        <is>
          <t>ADX6000 Black Deco Guide</t>
        </is>
      </c>
      <c r="L332" s="83">
        <f>HYPERLINK("#'"&amp;$O332&amp;"'!A"&amp;$N332,"→ 조립자재 R"&amp;$N332)</f>
        <v/>
      </c>
      <c r="M332" s="84" t="n"/>
      <c r="N332" s="80" t="n">
        <v>156</v>
      </c>
      <c r="O332" s="80" t="inlineStr">
        <is>
          <t>조립자재_재고현황</t>
        </is>
      </c>
    </row>
    <row r="333" ht="30" customHeight="1">
      <c r="A333" s="56" t="inlineStr">
        <is>
          <t>조립</t>
        </is>
      </c>
      <c r="B333" s="52" t="inlineStr">
        <is>
          <t>사출 및 자재</t>
        </is>
      </c>
      <c r="C333" s="52" t="inlineStr">
        <is>
          <t>ADX6000 공용</t>
        </is>
      </c>
      <c r="D333" s="79">
        <f>IF(INDIRECT("'"&amp;$O333&amp;"'!F"&amp;$N333)="O","원자재",IF(INDIRECT("'"&amp;$O333&amp;"'!G"&amp;$N333)="O","반제품",IF(INDIRECT("'"&amp;$O333&amp;"'!H"&amp;$N333)="O","완제품","")))</f>
        <v/>
      </c>
      <c r="E333" s="79">
        <f>IFERROR(IF(INDIRECT("'"&amp;$O333&amp;"'!I"&amp;$N333)=0,"",INDIRECT("'"&amp;$O333&amp;"'!I"&amp;$N333)),"")</f>
        <v/>
      </c>
      <c r="F333" s="52" t="inlineStr">
        <is>
          <t>Power Button 사출</t>
        </is>
      </c>
      <c r="G333" s="52" t="inlineStr">
        <is>
          <t>Power Button 사출 (스모그 투명 아크릴) [ADX6000]</t>
        </is>
      </c>
      <c r="H333" s="79">
        <f>IF(AND($F333="",$G333=""),"",IF($F333="","창고전용",IF($G333&lt;&gt;"","매칭완료",IF($D333="반제품","반제품(창고없음)",IF($D333="완제품","완제품(창고없음)",IF($D333="원자재","⚠ 원자재_부서보관","미분류"))))))</f>
        <v/>
      </c>
      <c r="I333" s="79">
        <f>IFERROR(IF(INDIRECT("'"&amp;$O333&amp;"'!P"&amp;$N333)=0,"",INDIRECT("'"&amp;$O333&amp;"'!P"&amp;$N333)),"")</f>
        <v/>
      </c>
      <c r="J333" s="61" t="inlineStr">
        <is>
          <t>Power Button 사출</t>
        </is>
      </c>
      <c r="K333" s="65" t="inlineStr">
        <is>
          <t>ADX6000 Power Button 사출</t>
        </is>
      </c>
      <c r="L333" s="83">
        <f>HYPERLINK("#'"&amp;$O333&amp;"'!A"&amp;$N333,"→ 조립자재 R"&amp;$N333)</f>
        <v/>
      </c>
      <c r="M333" s="84" t="n"/>
      <c r="N333" s="80" t="n">
        <v>157</v>
      </c>
      <c r="O333" s="80" t="inlineStr">
        <is>
          <t>조립자재_재고현황</t>
        </is>
      </c>
    </row>
    <row r="334" ht="30" customHeight="1">
      <c r="A334" s="56" t="inlineStr">
        <is>
          <t>조립</t>
        </is>
      </c>
      <c r="B334" s="52" t="inlineStr">
        <is>
          <t>사출 및 자재</t>
        </is>
      </c>
      <c r="C334" s="52" t="inlineStr">
        <is>
          <t>ADX6000 ADX6000U</t>
        </is>
      </c>
      <c r="D334" s="79">
        <f>IF(INDIRECT("'"&amp;$O334&amp;"'!F"&amp;$N334)="O","원자재",IF(INDIRECT("'"&amp;$O334&amp;"'!G"&amp;$N334)="O","반제품",IF(INDIRECT("'"&amp;$O334&amp;"'!H"&amp;$N334)="O","완제품","")))</f>
        <v/>
      </c>
      <c r="E334" s="79">
        <f>IFERROR(IF(INDIRECT("'"&amp;$O334&amp;"'!I"&amp;$N334)=0,"",INDIRECT("'"&amp;$O334&amp;"'!I"&amp;$N334)),"")</f>
        <v/>
      </c>
      <c r="F334" s="52" t="inlineStr">
        <is>
          <t>Micro USB 사출 가이드</t>
        </is>
      </c>
      <c r="G334" s="52" t="inlineStr">
        <is>
          <t>Micro USB 사출 가이드 (ABS 난연 화이트 + 스프레이) [ADX6000]</t>
        </is>
      </c>
      <c r="H334" s="79">
        <f>IF(AND($F334="",$G334=""),"",IF($F334="","창고전용",IF($G334&lt;&gt;"","매칭완료",IF($D334="반제품","반제품(창고없음)",IF($D334="완제품","완제품(창고없음)",IF($D334="원자재","⚠ 원자재_부서보관","미분류"))))))</f>
        <v/>
      </c>
      <c r="I334" s="79">
        <f>IFERROR(IF(INDIRECT("'"&amp;$O334&amp;"'!P"&amp;$N334)=0,"",INDIRECT("'"&amp;$O334&amp;"'!P"&amp;$N334)),"")</f>
        <v/>
      </c>
      <c r="J334" s="61" t="inlineStr">
        <is>
          <t>Micro USB 사출 가이드</t>
        </is>
      </c>
      <c r="K334" s="65" t="inlineStr">
        <is>
          <t>ADX6000 Micro USB 사출 가이드</t>
        </is>
      </c>
      <c r="L334" s="83">
        <f>HYPERLINK("#'"&amp;$O334&amp;"'!A"&amp;$N334,"→ 조립자재 R"&amp;$N334)</f>
        <v/>
      </c>
      <c r="M334" s="84" t="n"/>
      <c r="N334" s="80" t="n">
        <v>158</v>
      </c>
      <c r="O334" s="80" t="inlineStr">
        <is>
          <t>조립자재_재고현황</t>
        </is>
      </c>
    </row>
    <row r="335" ht="30" customHeight="1">
      <c r="A335" s="56" t="inlineStr">
        <is>
          <t>조립</t>
        </is>
      </c>
      <c r="B335" s="52" t="inlineStr">
        <is>
          <t>사출 및 자재</t>
        </is>
      </c>
      <c r="C335" s="52" t="inlineStr">
        <is>
          <t>ADX6000 공용</t>
        </is>
      </c>
      <c r="D335" s="79">
        <f>IF(INDIRECT("'"&amp;$O335&amp;"'!F"&amp;$N335)="O","원자재",IF(INDIRECT("'"&amp;$O335&amp;"'!G"&amp;$N335)="O","반제품",IF(INDIRECT("'"&amp;$O335&amp;"'!H"&amp;$N335)="O","완제품","")))</f>
        <v/>
      </c>
      <c r="E335" s="79">
        <f>IFERROR(IF(INDIRECT("'"&amp;$O335&amp;"'!I"&amp;$N335)=0,"",INDIRECT("'"&amp;$O335&amp;"'!I"&amp;$N335)),"")</f>
        <v/>
      </c>
      <c r="F335" s="52" t="inlineStr">
        <is>
          <t>Main PC 거치대 사출</t>
        </is>
      </c>
      <c r="G335" s="52" t="inlineStr">
        <is>
          <t>Main PC 거치대 사출 (ABS 난연 화이트) [ADX6000]</t>
        </is>
      </c>
      <c r="H335" s="79">
        <f>IF(AND($F335="",$G335=""),"",IF($F335="","창고전용",IF($G335&lt;&gt;"","매칭완료",IF($D335="반제품","반제품(창고없음)",IF($D335="완제품","완제품(창고없음)",IF($D335="원자재","⚠ 원자재_부서보관","미분류"))))))</f>
        <v/>
      </c>
      <c r="I335" s="79">
        <f>IFERROR(IF(INDIRECT("'"&amp;$O335&amp;"'!P"&amp;$N335)=0,"",INDIRECT("'"&amp;$O335&amp;"'!P"&amp;$N335)),"")</f>
        <v/>
      </c>
      <c r="J335" s="61" t="inlineStr">
        <is>
          <t>Main PC 거치대 사출</t>
        </is>
      </c>
      <c r="K335" s="65" t="inlineStr">
        <is>
          <t>ADX6000 Main PC 거치대 사출</t>
        </is>
      </c>
      <c r="L335" s="83">
        <f>HYPERLINK("#'"&amp;$O335&amp;"'!A"&amp;$N335,"→ 조립자재 R"&amp;$N335)</f>
        <v/>
      </c>
      <c r="M335" s="84" t="n"/>
      <c r="N335" s="80" t="n">
        <v>159</v>
      </c>
      <c r="O335" s="80" t="inlineStr">
        <is>
          <t>조립자재_재고현황</t>
        </is>
      </c>
    </row>
    <row r="336" ht="30" customHeight="1">
      <c r="A336" s="56" t="inlineStr">
        <is>
          <t>조립</t>
        </is>
      </c>
      <c r="B336" s="52" t="inlineStr">
        <is>
          <t>사출 및 자재</t>
        </is>
      </c>
      <c r="C336" s="52" t="inlineStr">
        <is>
          <t>ADX6000 공용</t>
        </is>
      </c>
      <c r="D336" s="79">
        <f>IF(INDIRECT("'"&amp;$O336&amp;"'!F"&amp;$N336)="O","원자재",IF(INDIRECT("'"&amp;$O336&amp;"'!G"&amp;$N336)="O","반제품",IF(INDIRECT("'"&amp;$O336&amp;"'!H"&amp;$N336)="O","완제품","")))</f>
        <v/>
      </c>
      <c r="E336" s="79">
        <f>IFERROR(IF(INDIRECT("'"&amp;$O336&amp;"'!I"&amp;$N336)=0,"",INDIRECT("'"&amp;$O336&amp;"'!I"&amp;$N336)),"")</f>
        <v/>
      </c>
      <c r="F336" s="52" t="inlineStr">
        <is>
          <t>손잡이 핀</t>
        </is>
      </c>
      <c r="G336" s="52" t="inlineStr">
        <is>
          <t>손잡이 핀 (가공) [ADX6000]</t>
        </is>
      </c>
      <c r="H336" s="79">
        <f>IF(AND($F336="",$G336=""),"",IF($F336="","창고전용",IF($G336&lt;&gt;"","매칭완료",IF($D336="반제품","반제품(창고없음)",IF($D336="완제품","완제품(창고없음)",IF($D336="원자재","⚠ 원자재_부서보관","미분류"))))))</f>
        <v/>
      </c>
      <c r="I336" s="79">
        <f>IFERROR(IF(INDIRECT("'"&amp;$O336&amp;"'!P"&amp;$N336)=0,"",INDIRECT("'"&amp;$O336&amp;"'!P"&amp;$N336)),"")</f>
        <v/>
      </c>
      <c r="J336" s="61" t="inlineStr">
        <is>
          <t>손잡이 핀</t>
        </is>
      </c>
      <c r="K336" s="65" t="inlineStr">
        <is>
          <t>ADX6000 손잡이 핀</t>
        </is>
      </c>
      <c r="L336" s="83">
        <f>HYPERLINK("#'"&amp;$O336&amp;"'!A"&amp;$N336,"→ 조립자재 R"&amp;$N336)</f>
        <v/>
      </c>
      <c r="M336" s="84" t="n"/>
      <c r="N336" s="80" t="n">
        <v>160</v>
      </c>
      <c r="O336" s="80" t="inlineStr">
        <is>
          <t>조립자재_재고현황</t>
        </is>
      </c>
    </row>
    <row r="337" ht="30" customHeight="1">
      <c r="A337" s="56" t="inlineStr">
        <is>
          <t>조립</t>
        </is>
      </c>
      <c r="B337" s="52" t="inlineStr">
        <is>
          <t>사출 및 자재</t>
        </is>
      </c>
      <c r="C337" s="52" t="inlineStr">
        <is>
          <t>ADX6000 ADX6000U</t>
        </is>
      </c>
      <c r="D337" s="79">
        <f>IF(INDIRECT("'"&amp;$O337&amp;"'!F"&amp;$N337)="O","원자재",IF(INDIRECT("'"&amp;$O337&amp;"'!G"&amp;$N337)="O","반제품",IF(INDIRECT("'"&amp;$O337&amp;"'!H"&amp;$N337)="O","완제품","")))</f>
        <v/>
      </c>
      <c r="E337" s="79">
        <f>IFERROR(IF(INDIRECT("'"&amp;$O337&amp;"'!I"&amp;$N337)=0,"",INDIRECT("'"&amp;$O337&amp;"'!I"&amp;$N337)),"")</f>
        <v/>
      </c>
      <c r="F337" s="52" t="inlineStr">
        <is>
          <t>Front Port Sticker (전면 포트 스티커)</t>
        </is>
      </c>
      <c r="G337" s="52" t="inlineStr">
        <is>
          <t>Front Port Sticker [ADX6000]</t>
        </is>
      </c>
      <c r="H337" s="79">
        <f>IF(AND($F337="",$G337=""),"",IF($F337="","창고전용",IF($G337&lt;&gt;"","매칭완료",IF($D337="반제품","반제품(창고없음)",IF($D337="완제품","완제품(창고없음)",IF($D337="원자재","⚠ 원자재_부서보관","미분류"))))))</f>
        <v/>
      </c>
      <c r="I337" s="79">
        <f>IFERROR(IF(INDIRECT("'"&amp;$O337&amp;"'!P"&amp;$N337)=0,"",INDIRECT("'"&amp;$O337&amp;"'!P"&amp;$N337)),"")</f>
        <v/>
      </c>
      <c r="J337" s="61" t="inlineStr">
        <is>
          <t>Front Port Sticker (전면 포트 스티커)</t>
        </is>
      </c>
      <c r="K337" s="65" t="inlineStr">
        <is>
          <t>ADX6000 Front Port Sticker (전면 포트 스티커)</t>
        </is>
      </c>
      <c r="L337" s="83">
        <f>HYPERLINK("#'"&amp;$O337&amp;"'!A"&amp;$N337,"→ 조립자재 R"&amp;$N337)</f>
        <v/>
      </c>
      <c r="M337" s="84" t="n"/>
      <c r="N337" s="80" t="n">
        <v>161</v>
      </c>
      <c r="O337" s="80" t="inlineStr">
        <is>
          <t>조립자재_재고현황</t>
        </is>
      </c>
    </row>
    <row r="338" ht="30" customHeight="1">
      <c r="A338" s="56" t="inlineStr">
        <is>
          <t>조립</t>
        </is>
      </c>
      <c r="B338" s="52" t="inlineStr">
        <is>
          <t>사출 및 자재</t>
        </is>
      </c>
      <c r="C338" s="52" t="inlineStr">
        <is>
          <t>ADX6000FB ADX6000s</t>
        </is>
      </c>
      <c r="D338" s="79">
        <f>IF(INDIRECT("'"&amp;$O338&amp;"'!F"&amp;$N338)="O","원자재",IF(INDIRECT("'"&amp;$O338&amp;"'!G"&amp;$N338)="O","반제품",IF(INDIRECT("'"&amp;$O338&amp;"'!H"&amp;$N338)="O","완제품","")))</f>
        <v/>
      </c>
      <c r="E338" s="79">
        <f>IFERROR(IF(INDIRECT("'"&amp;$O338&amp;"'!I"&amp;$N338)=0,"",INDIRECT("'"&amp;$O338&amp;"'!I"&amp;$N338)),"")</f>
        <v/>
      </c>
      <c r="F338" s="52" t="inlineStr">
        <is>
          <t>ETC FRONT BD (리모콘 포트 수정 신형 얇은것)</t>
        </is>
      </c>
      <c r="G338" s="52" t="inlineStr">
        <is>
          <t>ETC FRONT BD (리모콘 포트 수정 신형 얇은것)</t>
        </is>
      </c>
      <c r="H338" s="79">
        <f>IF(AND($F338="",$G338=""),"",IF($F338="","창고전용",IF($G338&lt;&gt;"","매칭완료",IF($D338="반제품","반제품(창고없음)",IF($D338="완제품","완제품(창고없음)",IF($D338="원자재","⚠ 원자재_부서보관","미분류"))))))</f>
        <v/>
      </c>
      <c r="I338" s="79">
        <f>IFERROR(IF(INDIRECT("'"&amp;$O338&amp;"'!P"&amp;$N338)=0,"",INDIRECT("'"&amp;$O338&amp;"'!P"&amp;$N338)),"")</f>
        <v/>
      </c>
      <c r="J338" s="61" t="inlineStr">
        <is>
          <t>ETC FRONT BD (리모콘 포트 수정 신형 얇은것)</t>
        </is>
      </c>
      <c r="K338" s="65" t="inlineStr">
        <is>
          <t>ADX6000FB ETC FRONT BD (리모콘 포트 수정 신형 얇은것)</t>
        </is>
      </c>
      <c r="L338" s="83">
        <f>HYPERLINK("#'"&amp;$O338&amp;"'!A"&amp;$N338,"→ 조립자재 R"&amp;$N338)</f>
        <v/>
      </c>
      <c r="M338" s="84" t="n"/>
      <c r="N338" s="80" t="n">
        <v>162</v>
      </c>
      <c r="O338" s="80" t="inlineStr">
        <is>
          <t>조립자재_재고현황</t>
        </is>
      </c>
    </row>
    <row r="339" ht="30" customHeight="1">
      <c r="A339" s="56" t="inlineStr">
        <is>
          <t>조립</t>
        </is>
      </c>
      <c r="B339" s="52" t="inlineStr">
        <is>
          <t>사출 및 자재</t>
        </is>
      </c>
      <c r="C339" s="52" t="inlineStr">
        <is>
          <t>ADX6000FB ADX6000s</t>
        </is>
      </c>
      <c r="D339" s="79">
        <f>IF(INDIRECT("'"&amp;$O339&amp;"'!F"&amp;$N339)="O","원자재",IF(INDIRECT("'"&amp;$O339&amp;"'!G"&amp;$N339)="O","반제품",IF(INDIRECT("'"&amp;$O339&amp;"'!H"&amp;$N339)="O","완제품","")))</f>
        <v/>
      </c>
      <c r="E339" s="79">
        <f>IFERROR(IF(INDIRECT("'"&amp;$O339&amp;"'!I"&amp;$N339)=0,"",INDIRECT("'"&amp;$O339&amp;"'!I"&amp;$N339)),"")</f>
        <v/>
      </c>
      <c r="F339" s="52" t="inlineStr">
        <is>
          <t>리모콘 포트 가이드</t>
        </is>
      </c>
      <c r="G339" s="52" t="inlineStr">
        <is>
          <t>리모콘 포트 가이드 (ABS 난연 화이트) [ADX6000]</t>
        </is>
      </c>
      <c r="H339" s="79">
        <f>IF(AND($F339="",$G339=""),"",IF($F339="","창고전용",IF($G339&lt;&gt;"","매칭완료",IF($D339="반제품","반제품(창고없음)",IF($D339="완제품","완제품(창고없음)",IF($D339="원자재","⚠ 원자재_부서보관","미분류"))))))</f>
        <v/>
      </c>
      <c r="I339" s="79">
        <f>IFERROR(IF(INDIRECT("'"&amp;$O339&amp;"'!P"&amp;$N339)=0,"",INDIRECT("'"&amp;$O339&amp;"'!P"&amp;$N339)),"")</f>
        <v/>
      </c>
      <c r="J339" s="61" t="inlineStr">
        <is>
          <t>리모콘 포트 가이드</t>
        </is>
      </c>
      <c r="K339" s="65" t="inlineStr">
        <is>
          <t>ADX6000FB 리모콘 포트 가이드</t>
        </is>
      </c>
      <c r="L339" s="83">
        <f>HYPERLINK("#'"&amp;$O339&amp;"'!A"&amp;$N339,"→ 조립자재 R"&amp;$N339)</f>
        <v/>
      </c>
      <c r="M339" s="84" t="n"/>
      <c r="N339" s="80" t="n">
        <v>163</v>
      </c>
      <c r="O339" s="80" t="inlineStr">
        <is>
          <t>조립자재_재고현황</t>
        </is>
      </c>
    </row>
    <row r="340" ht="30" customHeight="1">
      <c r="A340" s="56" t="inlineStr">
        <is>
          <t>조립</t>
        </is>
      </c>
      <c r="B340" s="52" t="inlineStr">
        <is>
          <t>사출 및 자재</t>
        </is>
      </c>
      <c r="C340" s="52" t="inlineStr">
        <is>
          <t>ADX6000FB ADX6000s</t>
        </is>
      </c>
      <c r="D340" s="79">
        <f>IF(INDIRECT("'"&amp;$O340&amp;"'!F"&amp;$N340)="O","원자재",IF(INDIRECT("'"&amp;$O340&amp;"'!G"&amp;$N340)="O","반제품",IF(INDIRECT("'"&amp;$O340&amp;"'!H"&amp;$N340)="O","완제품","")))</f>
        <v/>
      </c>
      <c r="E340" s="79">
        <f>IFERROR(IF(INDIRECT("'"&amp;$O340&amp;"'!I"&amp;$N340)=0,"",INDIRECT("'"&amp;$O340&amp;"'!I"&amp;$N340)),"")</f>
        <v/>
      </c>
      <c r="F340" s="52" t="inlineStr">
        <is>
          <t>Front Port Sticker (리모콘 포트 수정 신형)</t>
        </is>
      </c>
      <c r="G340" s="52" t="inlineStr">
        <is>
          <t>Front Port Sticker (리모콘 포트 수정 신형) [ADX6000S]</t>
        </is>
      </c>
      <c r="H340" s="79">
        <f>IF(AND($F340="",$G340=""),"",IF($F340="","창고전용",IF($G340&lt;&gt;"","매칭완료",IF($D340="반제품","반제품(창고없음)",IF($D340="완제품","완제품(창고없음)",IF($D340="원자재","⚠ 원자재_부서보관","미분류"))))))</f>
        <v/>
      </c>
      <c r="I340" s="79">
        <f>IFERROR(IF(INDIRECT("'"&amp;$O340&amp;"'!P"&amp;$N340)=0,"",INDIRECT("'"&amp;$O340&amp;"'!P"&amp;$N340)),"")</f>
        <v/>
      </c>
      <c r="J340" s="61" t="inlineStr">
        <is>
          <t>Front Port Sticker (리모콘 포트 수정 신형)</t>
        </is>
      </c>
      <c r="K340" s="65" t="inlineStr">
        <is>
          <t>ADX6000FB Front Port Sticker (리모콘 포트 수정 신형)</t>
        </is>
      </c>
      <c r="L340" s="83">
        <f>HYPERLINK("#'"&amp;$O340&amp;"'!A"&amp;$N340,"→ 조립자재 R"&amp;$N340)</f>
        <v/>
      </c>
      <c r="M340" s="84" t="n"/>
      <c r="N340" s="80" t="n">
        <v>164</v>
      </c>
      <c r="O340" s="80" t="inlineStr">
        <is>
          <t>조립자재_재고현황</t>
        </is>
      </c>
    </row>
    <row r="341" ht="30" customHeight="1">
      <c r="A341" s="56" t="inlineStr">
        <is>
          <t>조립</t>
        </is>
      </c>
      <c r="B341" s="52" t="inlineStr">
        <is>
          <t>사출 및 자재</t>
        </is>
      </c>
      <c r="C341" s="52" t="inlineStr">
        <is>
          <t>ADX6000FB ADX6000s</t>
        </is>
      </c>
      <c r="D341" s="79">
        <f>IF(INDIRECT("'"&amp;$O341&amp;"'!F"&amp;$N341)="O","원자재",IF(INDIRECT("'"&amp;$O341&amp;"'!G"&amp;$N341)="O","반제품",IF(INDIRECT("'"&amp;$O341&amp;"'!H"&amp;$N341)="O","완제품","")))</f>
        <v/>
      </c>
      <c r="E341" s="79">
        <f>IFERROR(IF(INDIRECT("'"&amp;$O341&amp;"'!I"&amp;$N341)=0,"",INDIRECT("'"&amp;$O341&amp;"'!I"&amp;$N341)),"")</f>
        <v/>
      </c>
      <c r="F341" s="52" t="inlineStr">
        <is>
          <t>Front Port Sticker (USB 포트 제거형)</t>
        </is>
      </c>
      <c r="G341" s="52" t="inlineStr">
        <is>
          <t>Front Port Sticker (USB 포트 제거형) [ADX6000S]</t>
        </is>
      </c>
      <c r="H341" s="79">
        <f>IF(AND($F341="",$G341=""),"",IF($F341="","창고전용",IF($G341&lt;&gt;"","매칭완료",IF($D341="반제품","반제품(창고없음)",IF($D341="완제품","완제품(창고없음)",IF($D341="원자재","⚠ 원자재_부서보관","미분류"))))))</f>
        <v/>
      </c>
      <c r="I341" s="79">
        <f>IFERROR(IF(INDIRECT("'"&amp;$O341&amp;"'!P"&amp;$N341)=0,"",INDIRECT("'"&amp;$O341&amp;"'!P"&amp;$N341)),"")</f>
        <v/>
      </c>
      <c r="J341" s="61" t="inlineStr">
        <is>
          <t>Front Port Sticker (USB 포트 제거형)</t>
        </is>
      </c>
      <c r="K341" s="65" t="inlineStr">
        <is>
          <t>ADX6000FB Front Port Sticker (USB 포트 제거형)</t>
        </is>
      </c>
      <c r="L341" s="83">
        <f>HYPERLINK("#'"&amp;$O341&amp;"'!A"&amp;$N341,"→ 조립자재 R"&amp;$N341)</f>
        <v/>
      </c>
      <c r="M341" s="84" t="n"/>
      <c r="N341" s="80" t="n">
        <v>165</v>
      </c>
      <c r="O341" s="80" t="inlineStr">
        <is>
          <t>조립자재_재고현황</t>
        </is>
      </c>
    </row>
    <row r="342" ht="30" customHeight="1">
      <c r="A342" s="56" t="inlineStr">
        <is>
          <t>조립</t>
        </is>
      </c>
      <c r="B342" s="52" t="inlineStr">
        <is>
          <t>사출 및 자재</t>
        </is>
      </c>
      <c r="C342" s="52" t="inlineStr">
        <is>
          <t>ADX6000 공용</t>
        </is>
      </c>
      <c r="D342" s="79">
        <f>IF(INDIRECT("'"&amp;$O342&amp;"'!F"&amp;$N342)="O","원자재",IF(INDIRECT("'"&amp;$O342&amp;"'!G"&amp;$N342)="O","반제품",IF(INDIRECT("'"&amp;$O342&amp;"'!H"&amp;$N342)="O","완제품","")))</f>
        <v/>
      </c>
      <c r="E342" s="79">
        <f>IFERROR(IF(INDIRECT("'"&amp;$O342&amp;"'!I"&amp;$N342)=0,"",INDIRECT("'"&amp;$O342&amp;"'!I"&amp;$N342)),"")</f>
        <v/>
      </c>
      <c r="F342" s="52" t="inlineStr">
        <is>
          <t>BODY RIGHT 사출</t>
        </is>
      </c>
      <c r="G342" s="52" t="inlineStr">
        <is>
          <t>BODY RIGHT 사출 (ABS 난연 화이트 + 스프레이) [ADX6000]</t>
        </is>
      </c>
      <c r="H342" s="79">
        <f>IF(AND($F342="",$G342=""),"",IF($F342="","창고전용",IF($G342&lt;&gt;"","매칭완료",IF($D342="반제품","반제품(창고없음)",IF($D342="완제품","완제품(창고없음)",IF($D342="원자재","⚠ 원자재_부서보관","미분류"))))))</f>
        <v/>
      </c>
      <c r="I342" s="79">
        <f>IFERROR(IF(INDIRECT("'"&amp;$O342&amp;"'!P"&amp;$N342)=0,"",INDIRECT("'"&amp;$O342&amp;"'!P"&amp;$N342)),"")</f>
        <v/>
      </c>
      <c r="J342" s="61" t="inlineStr">
        <is>
          <t>BODY RIGHT 사출</t>
        </is>
      </c>
      <c r="K342" s="65" t="inlineStr">
        <is>
          <t>ADX6000 BODY RIGHT 사출</t>
        </is>
      </c>
      <c r="L342" s="83">
        <f>HYPERLINK("#'"&amp;$O342&amp;"'!A"&amp;$N342,"→ 조립자재 R"&amp;$N342)</f>
        <v/>
      </c>
      <c r="M342" s="84" t="n"/>
      <c r="N342" s="80" t="n">
        <v>166</v>
      </c>
      <c r="O342" s="80" t="inlineStr">
        <is>
          <t>조립자재_재고현황</t>
        </is>
      </c>
    </row>
    <row r="343" ht="30" customHeight="1">
      <c r="A343" s="56" t="inlineStr">
        <is>
          <t>조립</t>
        </is>
      </c>
      <c r="B343" s="52" t="inlineStr">
        <is>
          <t>사출 및 자재</t>
        </is>
      </c>
      <c r="C343" s="52" t="inlineStr">
        <is>
          <t>ADX6000 공용</t>
        </is>
      </c>
      <c r="D343" s="79">
        <f>IF(INDIRECT("'"&amp;$O343&amp;"'!F"&amp;$N343)="O","원자재",IF(INDIRECT("'"&amp;$O343&amp;"'!G"&amp;$N343)="O","반제품",IF(INDIRECT("'"&amp;$O343&amp;"'!H"&amp;$N343)="O","완제품","")))</f>
        <v/>
      </c>
      <c r="E343" s="79">
        <f>IFERROR(IF(INDIRECT("'"&amp;$O343&amp;"'!I"&amp;$N343)=0,"",INDIRECT("'"&amp;$O343&amp;"'!I"&amp;$N343)),"")</f>
        <v/>
      </c>
      <c r="F343" s="52" t="inlineStr">
        <is>
          <t>HANDLE RIGHT 사출</t>
        </is>
      </c>
      <c r="G343" s="52" t="inlineStr">
        <is>
          <t>HANDLE RIGHT 사출 (ABS 난연 화이트 + 스프레이) [ADX6000]</t>
        </is>
      </c>
      <c r="H343" s="79">
        <f>IF(AND($F343="",$G343=""),"",IF($F343="","창고전용",IF($G343&lt;&gt;"","매칭완료",IF($D343="반제품","반제품(창고없음)",IF($D343="완제품","완제품(창고없음)",IF($D343="원자재","⚠ 원자재_부서보관","미분류"))))))</f>
        <v/>
      </c>
      <c r="I343" s="79">
        <f>IFERROR(IF(INDIRECT("'"&amp;$O343&amp;"'!P"&amp;$N343)=0,"",INDIRECT("'"&amp;$O343&amp;"'!P"&amp;$N343)),"")</f>
        <v/>
      </c>
      <c r="J343" s="61" t="inlineStr">
        <is>
          <t>HANDLE RIGHT 사출</t>
        </is>
      </c>
      <c r="K343" s="65" t="inlineStr">
        <is>
          <t>ADX6000 HANDLE RIGHT 사출</t>
        </is>
      </c>
      <c r="L343" s="83">
        <f>HYPERLINK("#'"&amp;$O343&amp;"'!A"&amp;$N343,"→ 조립자재 R"&amp;$N343)</f>
        <v/>
      </c>
      <c r="M343" s="84" t="n"/>
      <c r="N343" s="80" t="n">
        <v>167</v>
      </c>
      <c r="O343" s="80" t="inlineStr">
        <is>
          <t>조립자재_재고현황</t>
        </is>
      </c>
    </row>
    <row r="344" ht="30" customHeight="1">
      <c r="A344" s="56" t="inlineStr">
        <is>
          <t>조립</t>
        </is>
      </c>
      <c r="B344" s="52" t="inlineStr">
        <is>
          <t>사출 및 자재</t>
        </is>
      </c>
      <c r="C344" s="52" t="inlineStr">
        <is>
          <t>ADX6000 공용</t>
        </is>
      </c>
      <c r="D344" s="79">
        <f>IF(INDIRECT("'"&amp;$O344&amp;"'!F"&amp;$N344)="O","원자재",IF(INDIRECT("'"&amp;$O344&amp;"'!G"&amp;$N344)="O","반제품",IF(INDIRECT("'"&amp;$O344&amp;"'!H"&amp;$N344)="O","완제품","")))</f>
        <v/>
      </c>
      <c r="E344" s="79">
        <f>IFERROR(IF(INDIRECT("'"&amp;$O344&amp;"'!I"&amp;$N344)=0,"",INDIRECT("'"&amp;$O344&amp;"'!I"&amp;$N344)),"")</f>
        <v/>
      </c>
      <c r="F344" s="52" t="inlineStr">
        <is>
          <t>LCD 사출 나사 커버</t>
        </is>
      </c>
      <c r="G344" s="52" t="inlineStr">
        <is>
          <t>LCD 사출 나사 커버 (ABS 난연 화이트 + 스프레이) [ADX6000]</t>
        </is>
      </c>
      <c r="H344" s="79">
        <f>IF(AND($F344="",$G344=""),"",IF($F344="","창고전용",IF($G344&lt;&gt;"","매칭완료",IF($D344="반제품","반제품(창고없음)",IF($D344="완제품","완제품(창고없음)",IF($D344="원자재","⚠ 원자재_부서보관","미분류"))))))</f>
        <v/>
      </c>
      <c r="I344" s="79">
        <f>IFERROR(IF(INDIRECT("'"&amp;$O344&amp;"'!P"&amp;$N344)=0,"",INDIRECT("'"&amp;$O344&amp;"'!P"&amp;$N344)),"")</f>
        <v/>
      </c>
      <c r="J344" s="61" t="inlineStr">
        <is>
          <t>LCD 사출 나사 커버</t>
        </is>
      </c>
      <c r="K344" s="65" t="inlineStr">
        <is>
          <t>ADX6000 LCD 사출 나사 커버</t>
        </is>
      </c>
      <c r="L344" s="83">
        <f>HYPERLINK("#'"&amp;$O344&amp;"'!A"&amp;$N344,"→ 조립자재 R"&amp;$N344)</f>
        <v/>
      </c>
      <c r="M344" s="84" t="n"/>
      <c r="N344" s="80" t="n">
        <v>168</v>
      </c>
      <c r="O344" s="80" t="inlineStr">
        <is>
          <t>조립자재_재고현황</t>
        </is>
      </c>
    </row>
    <row r="345" ht="30" customHeight="1">
      <c r="A345" s="56" t="inlineStr">
        <is>
          <t>조립</t>
        </is>
      </c>
      <c r="B345" s="52" t="inlineStr">
        <is>
          <t>사출 및 자재</t>
        </is>
      </c>
      <c r="C345" s="52" t="inlineStr">
        <is>
          <t>ADX6000 공용</t>
        </is>
      </c>
      <c r="D345" s="79">
        <f>IF(INDIRECT("'"&amp;$O345&amp;"'!F"&amp;$N345)="O","원자재",IF(INDIRECT("'"&amp;$O345&amp;"'!G"&amp;$N345)="O","반제품",IF(INDIRECT("'"&amp;$O345&amp;"'!H"&amp;$N345)="O","완제품","")))</f>
        <v/>
      </c>
      <c r="E345" s="79">
        <f>IFERROR(IF(INDIRECT("'"&amp;$O345&amp;"'!I"&amp;$N345)=0,"",INDIRECT("'"&amp;$O345&amp;"'!I"&amp;$N345)),"")</f>
        <v/>
      </c>
      <c r="F345" s="52" t="inlineStr">
        <is>
          <t>HANDLE LEFT 사출</t>
        </is>
      </c>
      <c r="G345" s="52" t="inlineStr">
        <is>
          <t>HANDLE LEFT 사출 (ABS 난연 화이트 + 스프레이) [ADX6000]</t>
        </is>
      </c>
      <c r="H345" s="79">
        <f>IF(AND($F345="",$G345=""),"",IF($F345="","창고전용",IF($G345&lt;&gt;"","매칭완료",IF($D345="반제품","반제품(창고없음)",IF($D345="완제품","완제품(창고없음)",IF($D345="원자재","⚠ 원자재_부서보관","미분류"))))))</f>
        <v/>
      </c>
      <c r="I345" s="79">
        <f>IFERROR(IF(INDIRECT("'"&amp;$O345&amp;"'!P"&amp;$N345)=0,"",INDIRECT("'"&amp;$O345&amp;"'!P"&amp;$N345)),"")</f>
        <v/>
      </c>
      <c r="J345" s="61" t="inlineStr">
        <is>
          <t>HANDLE LEFT 사출</t>
        </is>
      </c>
      <c r="K345" s="65" t="inlineStr">
        <is>
          <t>ADX6000 HANDLE LEFT 사출</t>
        </is>
      </c>
      <c r="L345" s="83">
        <f>HYPERLINK("#'"&amp;$O345&amp;"'!A"&amp;$N345,"→ 조립자재 R"&amp;$N345)</f>
        <v/>
      </c>
      <c r="M345" s="84" t="n"/>
      <c r="N345" s="80" t="n">
        <v>169</v>
      </c>
      <c r="O345" s="80" t="inlineStr">
        <is>
          <t>조립자재_재고현황</t>
        </is>
      </c>
    </row>
    <row r="346" ht="30" customHeight="1">
      <c r="A346" s="56" t="inlineStr">
        <is>
          <t>조립</t>
        </is>
      </c>
      <c r="B346" s="52" t="inlineStr">
        <is>
          <t>사출 및 자재</t>
        </is>
      </c>
      <c r="C346" s="52" t="inlineStr">
        <is>
          <t>ADX6000 공용</t>
        </is>
      </c>
      <c r="D346" s="79">
        <f>IF(INDIRECT("'"&amp;$O346&amp;"'!F"&amp;$N346)="O","원자재",IF(INDIRECT("'"&amp;$O346&amp;"'!G"&amp;$N346)="O","반제품",IF(INDIRECT("'"&amp;$O346&amp;"'!H"&amp;$N346)="O","완제품","")))</f>
        <v/>
      </c>
      <c r="E346" s="79">
        <f>IFERROR(IF(INDIRECT("'"&amp;$O346&amp;"'!I"&amp;$N346)=0,"",INDIRECT("'"&amp;$O346&amp;"'!I"&amp;$N346)),"")</f>
        <v/>
      </c>
      <c r="F346" s="52" t="inlineStr">
        <is>
          <t>EX Button 사출</t>
        </is>
      </c>
      <c r="G346" s="52" t="inlineStr">
        <is>
          <t>EX Button 사출 (스모그 투명 아크릴) [ADX6000]</t>
        </is>
      </c>
      <c r="H346" s="79">
        <f>IF(AND($F346="",$G346=""),"",IF($F346="","창고전용",IF($G346&lt;&gt;"","매칭완료",IF($D346="반제품","반제품(창고없음)",IF($D346="완제품","완제품(창고없음)",IF($D346="원자재","⚠ 원자재_부서보관","미분류"))))))</f>
        <v/>
      </c>
      <c r="I346" s="79">
        <f>IFERROR(IF(INDIRECT("'"&amp;$O346&amp;"'!P"&amp;$N346)=0,"",INDIRECT("'"&amp;$O346&amp;"'!P"&amp;$N346)),"")</f>
        <v/>
      </c>
      <c r="J346" s="61" t="inlineStr">
        <is>
          <t>EX Button 사출</t>
        </is>
      </c>
      <c r="K346" s="65" t="inlineStr">
        <is>
          <t>ADX6000 EX Button 사출</t>
        </is>
      </c>
      <c r="L346" s="83">
        <f>HYPERLINK("#'"&amp;$O346&amp;"'!A"&amp;$N346,"→ 조립자재 R"&amp;$N346)</f>
        <v/>
      </c>
      <c r="M346" s="84" t="n"/>
      <c r="N346" s="80" t="n">
        <v>170</v>
      </c>
      <c r="O346" s="80" t="inlineStr">
        <is>
          <t>조립자재_재고현황</t>
        </is>
      </c>
    </row>
    <row r="347" ht="30" customHeight="1">
      <c r="A347" s="56" t="inlineStr">
        <is>
          <t>조립</t>
        </is>
      </c>
      <c r="B347" s="52" t="inlineStr">
        <is>
          <t>사출 및 자재</t>
        </is>
      </c>
      <c r="C347" s="52" t="inlineStr">
        <is>
          <t>ADX6000 공용</t>
        </is>
      </c>
      <c r="D347" s="79">
        <f>IF(INDIRECT("'"&amp;$O347&amp;"'!F"&amp;$N347)="O","원자재",IF(INDIRECT("'"&amp;$O347&amp;"'!G"&amp;$N347)="O","반제품",IF(INDIRECT("'"&amp;$O347&amp;"'!H"&amp;$N347)="O","완제품","")))</f>
        <v/>
      </c>
      <c r="E347" s="79">
        <f>IFERROR(IF(INDIRECT("'"&amp;$O347&amp;"'!I"&amp;$N347)=0,"",INDIRECT("'"&amp;$O347&amp;"'!I"&amp;$N347)),"")</f>
        <v/>
      </c>
      <c r="F347" s="52" t="inlineStr">
        <is>
          <t>크래들 TOP 사출</t>
        </is>
      </c>
      <c r="G347" s="52" t="inlineStr">
        <is>
          <t>CRADLE TOP 사출 (ABS 난연 화이트 + 스프레이) [ADX6000]</t>
        </is>
      </c>
      <c r="H347" s="79">
        <f>IF(AND($F347="",$G347=""),"",IF($F347="","창고전용",IF($G347&lt;&gt;"","매칭완료",IF($D347="반제품","반제품(창고없음)",IF($D347="완제품","완제품(창고없음)",IF($D347="원자재","⚠ 원자재_부서보관","미분류"))))))</f>
        <v/>
      </c>
      <c r="I347" s="79">
        <f>IFERROR(IF(INDIRECT("'"&amp;$O347&amp;"'!P"&amp;$N347)=0,"",INDIRECT("'"&amp;$O347&amp;"'!P"&amp;$N347)),"")</f>
        <v/>
      </c>
      <c r="J347" s="61" t="inlineStr">
        <is>
          <t>크래들 TOP 사출</t>
        </is>
      </c>
      <c r="K347" s="65" t="inlineStr">
        <is>
          <t>ADX6000 크래들 TOP 사출</t>
        </is>
      </c>
      <c r="L347" s="83">
        <f>HYPERLINK("#'"&amp;$O347&amp;"'!A"&amp;$N347,"→ 조립자재 R"&amp;$N347)</f>
        <v/>
      </c>
      <c r="M347" s="84" t="n"/>
      <c r="N347" s="80" t="n">
        <v>171</v>
      </c>
      <c r="O347" s="80" t="inlineStr">
        <is>
          <t>조립자재_재고현황</t>
        </is>
      </c>
    </row>
    <row r="348" ht="30" customHeight="1">
      <c r="A348" s="56" t="inlineStr">
        <is>
          <t>조립</t>
        </is>
      </c>
      <c r="B348" s="52" t="inlineStr">
        <is>
          <t>사출 및 자재</t>
        </is>
      </c>
      <c r="C348" s="52" t="inlineStr">
        <is>
          <t>ADX6000 공용</t>
        </is>
      </c>
      <c r="D348" s="79">
        <f>IF(INDIRECT("'"&amp;$O348&amp;"'!F"&amp;$N348)="O","원자재",IF(INDIRECT("'"&amp;$O348&amp;"'!G"&amp;$N348)="O","반제품",IF(INDIRECT("'"&amp;$O348&amp;"'!H"&amp;$N348)="O","완제품","")))</f>
        <v/>
      </c>
      <c r="E348" s="79">
        <f>IFERROR(IF(INDIRECT("'"&amp;$O348&amp;"'!I"&amp;$N348)=0,"",INDIRECT("'"&amp;$O348&amp;"'!I"&amp;$N348)),"")</f>
        <v/>
      </c>
      <c r="F348" s="52" t="inlineStr">
        <is>
          <t>크래들 BOTTOM 사출</t>
        </is>
      </c>
      <c r="G348" s="52" t="inlineStr">
        <is>
          <t>CRADLE BOTTOM 사출 (ABS 난연 화이트 + 스프레이 블랙) [ADX6000]</t>
        </is>
      </c>
      <c r="H348" s="79">
        <f>IF(AND($F348="",$G348=""),"",IF($F348="","창고전용",IF($G348&lt;&gt;"","매칭완료",IF($D348="반제품","반제품(창고없음)",IF($D348="완제품","완제품(창고없음)",IF($D348="원자재","⚠ 원자재_부서보관","미분류"))))))</f>
        <v/>
      </c>
      <c r="I348" s="79">
        <f>IFERROR(IF(INDIRECT("'"&amp;$O348&amp;"'!P"&amp;$N348)=0,"",INDIRECT("'"&amp;$O348&amp;"'!P"&amp;$N348)),"")</f>
        <v/>
      </c>
      <c r="J348" s="61" t="inlineStr">
        <is>
          <t>크래들 BOTTOM 사출</t>
        </is>
      </c>
      <c r="K348" s="65" t="inlineStr">
        <is>
          <t>ADX6000 크래들 BOTTOM 사출</t>
        </is>
      </c>
      <c r="L348" s="83">
        <f>HYPERLINK("#'"&amp;$O348&amp;"'!A"&amp;$N348,"→ 조립자재 R"&amp;$N348)</f>
        <v/>
      </c>
      <c r="M348" s="84" t="n"/>
      <c r="N348" s="80" t="n">
        <v>172</v>
      </c>
      <c r="O348" s="80" t="inlineStr">
        <is>
          <t>조립자재_재고현황</t>
        </is>
      </c>
    </row>
    <row r="349" ht="30" customHeight="1">
      <c r="A349" s="56" t="inlineStr">
        <is>
          <t>조립</t>
        </is>
      </c>
      <c r="B349" s="52" t="inlineStr">
        <is>
          <t>사출 및 자재</t>
        </is>
      </c>
      <c r="C349" s="52" t="inlineStr">
        <is>
          <t>ADX6000 공용</t>
        </is>
      </c>
      <c r="D349" s="79">
        <f>IF(INDIRECT("'"&amp;$O349&amp;"'!F"&amp;$N349)="O","원자재",IF(INDIRECT("'"&amp;$O349&amp;"'!G"&amp;$N349)="O","반제품",IF(INDIRECT("'"&amp;$O349&amp;"'!H"&amp;$N349)="O","완제품","")))</f>
        <v/>
      </c>
      <c r="E349" s="79">
        <f>IFERROR(IF(INDIRECT("'"&amp;$O349&amp;"'!I"&amp;$N349)=0,"",INDIRECT("'"&amp;$O349&amp;"'!I"&amp;$N349)),"")</f>
        <v/>
      </c>
      <c r="F349" s="52" t="inlineStr">
        <is>
          <t>크래들 LED Guide 사출</t>
        </is>
      </c>
      <c r="G349" s="52" t="inlineStr">
        <is>
          <t>CRADLE LED Guide 사출 (ABS 난연 화이트 + 스프레이) [ADX6000]</t>
        </is>
      </c>
      <c r="H349" s="79">
        <f>IF(AND($F349="",$G349=""),"",IF($F349="","창고전용",IF($G349&lt;&gt;"","매칭완료",IF($D349="반제품","반제품(창고없음)",IF($D349="완제품","완제품(창고없음)",IF($D349="원자재","⚠ 원자재_부서보관","미분류"))))))</f>
        <v/>
      </c>
      <c r="I349" s="79">
        <f>IFERROR(IF(INDIRECT("'"&amp;$O349&amp;"'!P"&amp;$N349)=0,"",INDIRECT("'"&amp;$O349&amp;"'!P"&amp;$N349)),"")</f>
        <v/>
      </c>
      <c r="J349" s="61" t="inlineStr">
        <is>
          <t>크래들 LED Guide 사출</t>
        </is>
      </c>
      <c r="K349" s="65" t="inlineStr">
        <is>
          <t>ADX6000 크래들 LED Guide 사출</t>
        </is>
      </c>
      <c r="L349" s="83">
        <f>HYPERLINK("#'"&amp;$O349&amp;"'!A"&amp;$N349,"→ 조립자재 R"&amp;$N349)</f>
        <v/>
      </c>
      <c r="M349" s="84" t="n"/>
      <c r="N349" s="80" t="n">
        <v>173</v>
      </c>
      <c r="O349" s="80" t="inlineStr">
        <is>
          <t>조립자재_재고현황</t>
        </is>
      </c>
    </row>
    <row r="350" ht="30" customHeight="1">
      <c r="A350" s="56" t="inlineStr">
        <is>
          <t>조립</t>
        </is>
      </c>
      <c r="B350" s="52" t="inlineStr">
        <is>
          <t>사출 및 자재</t>
        </is>
      </c>
      <c r="C350" s="52" t="inlineStr">
        <is>
          <t>ADX6000 공용</t>
        </is>
      </c>
      <c r="D350" s="79">
        <f>IF(INDIRECT("'"&amp;$O350&amp;"'!F"&amp;$N350)="O","원자재",IF(INDIRECT("'"&amp;$O350&amp;"'!G"&amp;$N350)="O","반제품",IF(INDIRECT("'"&amp;$O350&amp;"'!H"&amp;$N350)="O","완제품","")))</f>
        <v/>
      </c>
      <c r="E350" s="79">
        <f>IFERROR(IF(INDIRECT("'"&amp;$O350&amp;"'!I"&amp;$N350)=0,"",INDIRECT("'"&amp;$O350&amp;"'!I"&amp;$N350)),"")</f>
        <v/>
      </c>
      <c r="F350" s="52" t="inlineStr">
        <is>
          <t>페라이트 코어 [ZCAT 1518-0730]</t>
        </is>
      </c>
      <c r="G350" s="52" t="inlineStr">
        <is>
          <t>중간 페라이트 코어 (ZCAT 1518-0730) [ADX6000]</t>
        </is>
      </c>
      <c r="H350" s="79">
        <f>IF(AND($F350="",$G350=""),"",IF($F350="","창고전용",IF($G350&lt;&gt;"","매칭완료",IF($D350="반제품","반제품(창고없음)",IF($D350="완제품","완제품(창고없음)",IF($D350="원자재","⚠ 원자재_부서보관","미분류"))))))</f>
        <v/>
      </c>
      <c r="I350" s="79">
        <f>IFERROR(IF(INDIRECT("'"&amp;$O350&amp;"'!P"&amp;$N350)=0,"",INDIRECT("'"&amp;$O350&amp;"'!P"&amp;$N350)),"")</f>
        <v/>
      </c>
      <c r="J350" s="61" t="inlineStr">
        <is>
          <t>페라이트 코어 [ZCAT 1518-0730]</t>
        </is>
      </c>
      <c r="K350" s="65" t="inlineStr">
        <is>
          <t>ADX6000 페라이트 코어 ZCAT 1518-0730</t>
        </is>
      </c>
      <c r="L350" s="83">
        <f>HYPERLINK("#'"&amp;$O350&amp;"'!A"&amp;$N350,"→ 조립자재 R"&amp;$N350)</f>
        <v/>
      </c>
      <c r="M350" s="84" t="n"/>
      <c r="N350" s="80" t="n">
        <v>174</v>
      </c>
      <c r="O350" s="80" t="inlineStr">
        <is>
          <t>조립자재_재고현황</t>
        </is>
      </c>
    </row>
    <row r="351" ht="30" customHeight="1">
      <c r="A351" s="56" t="inlineStr">
        <is>
          <t>조립</t>
        </is>
      </c>
      <c r="B351" s="52" t="inlineStr">
        <is>
          <t>사출 및 자재</t>
        </is>
      </c>
      <c r="C351" s="52" t="inlineStr">
        <is>
          <t>ADX6000 공용</t>
        </is>
      </c>
      <c r="D351" s="79">
        <f>IF(INDIRECT("'"&amp;$O351&amp;"'!F"&amp;$N351)="O","원자재",IF(INDIRECT("'"&amp;$O351&amp;"'!G"&amp;$N351)="O","반제품",IF(INDIRECT("'"&amp;$O351&amp;"'!H"&amp;$N351)="O","완제품","")))</f>
        <v/>
      </c>
      <c r="E351" s="79">
        <f>IFERROR(IF(INDIRECT("'"&amp;$O351&amp;"'!I"&amp;$N351)=0,"",INDIRECT("'"&amp;$O351&amp;"'!I"&amp;$N351)),"")</f>
        <v/>
      </c>
      <c r="F351" s="52" t="inlineStr">
        <is>
          <t>알루미늄 브라켓 6 hole</t>
        </is>
      </c>
      <c r="G351" s="52" t="inlineStr">
        <is>
          <t>알루미늄 브라켓 6 hole (AL 가공 + 백색 아노다이징) [ADX6000]</t>
        </is>
      </c>
      <c r="H351" s="79">
        <f>IF(AND($F351="",$G351=""),"",IF($F351="","창고전용",IF($G351&lt;&gt;"","매칭완료",IF($D351="반제품","반제품(창고없음)",IF($D351="완제품","완제품(창고없음)",IF($D351="원자재","⚠ 원자재_부서보관","미분류"))))))</f>
        <v/>
      </c>
      <c r="I351" s="79">
        <f>IFERROR(IF(INDIRECT("'"&amp;$O351&amp;"'!P"&amp;$N351)=0,"",INDIRECT("'"&amp;$O351&amp;"'!P"&amp;$N351)),"")</f>
        <v/>
      </c>
      <c r="J351" s="61" t="inlineStr">
        <is>
          <t>알루미늄 브라켓 6 hole</t>
        </is>
      </c>
      <c r="K351" s="65" t="inlineStr">
        <is>
          <t>ADX6000 알루미늄 브라켓 6 hole</t>
        </is>
      </c>
      <c r="L351" s="83">
        <f>HYPERLINK("#'"&amp;$O351&amp;"'!A"&amp;$N351,"→ 조립자재 R"&amp;$N351)</f>
        <v/>
      </c>
      <c r="M351" s="84" t="n"/>
      <c r="N351" s="80" t="n">
        <v>175</v>
      </c>
      <c r="O351" s="80" t="inlineStr">
        <is>
          <t>조립자재_재고현황</t>
        </is>
      </c>
    </row>
    <row r="352" ht="30" customHeight="1">
      <c r="A352" s="56" t="inlineStr">
        <is>
          <t>조립</t>
        </is>
      </c>
      <c r="B352" s="52" t="inlineStr">
        <is>
          <t>사출 및 자재</t>
        </is>
      </c>
      <c r="C352" s="52" t="inlineStr">
        <is>
          <t>ADX6000 ADX6000U</t>
        </is>
      </c>
      <c r="D352" s="79">
        <f>IF(INDIRECT("'"&amp;$O352&amp;"'!F"&amp;$N352)="O","원자재",IF(INDIRECT("'"&amp;$O352&amp;"'!G"&amp;$N352)="O","반제품",IF(INDIRECT("'"&amp;$O352&amp;"'!H"&amp;$N352)="O","완제품","")))</f>
        <v/>
      </c>
      <c r="E352" s="79">
        <f>IFERROR(IF(INDIRECT("'"&amp;$O352&amp;"'!I"&amp;$N352)=0,"",INDIRECT("'"&amp;$O352&amp;"'!I"&amp;$N352)),"")</f>
        <v/>
      </c>
      <c r="F352" s="52" t="inlineStr">
        <is>
          <t>가죽 손잡이 탈착배터리용 터치펜 O</t>
        </is>
      </c>
      <c r="G352" s="52" t="inlineStr">
        <is>
          <t>가죽 손잡이 (탈착배터리 터치펜 O) (인조 가죽) [ADX6000]</t>
        </is>
      </c>
      <c r="H352" s="79">
        <f>IF(AND($F352="",$G352=""),"",IF($F352="","창고전용",IF($G352&lt;&gt;"","매칭완료",IF($D352="반제품","반제품(창고없음)",IF($D352="완제품","완제품(창고없음)",IF($D352="원자재","⚠ 원자재_부서보관","미분류"))))))</f>
        <v/>
      </c>
      <c r="I352" s="79">
        <f>IFERROR(IF(INDIRECT("'"&amp;$O352&amp;"'!P"&amp;$N352)=0,"",INDIRECT("'"&amp;$O352&amp;"'!P"&amp;$N352)),"")</f>
        <v/>
      </c>
      <c r="J352" s="61" t="inlineStr">
        <is>
          <t>가죽 손잡이 탈착배터리용 터치펜 O</t>
        </is>
      </c>
      <c r="K352" s="65" t="inlineStr">
        <is>
          <t>ADX6000 가죽 손잡이 탈착배터리용 터치펜 O</t>
        </is>
      </c>
      <c r="L352" s="83">
        <f>HYPERLINK("#'"&amp;$O352&amp;"'!A"&amp;$N352,"→ 조립자재 R"&amp;$N352)</f>
        <v/>
      </c>
      <c r="M352" s="84" t="n"/>
      <c r="N352" s="80" t="n">
        <v>176</v>
      </c>
      <c r="O352" s="80" t="inlineStr">
        <is>
          <t>조립자재_재고현황</t>
        </is>
      </c>
    </row>
    <row r="353" ht="30" customHeight="1">
      <c r="A353" s="56" t="inlineStr">
        <is>
          <t>조립</t>
        </is>
      </c>
      <c r="B353" s="52" t="inlineStr">
        <is>
          <t>사출 및 자재</t>
        </is>
      </c>
      <c r="C353" s="52" t="inlineStr">
        <is>
          <t>ADX6000FB</t>
        </is>
      </c>
      <c r="D353" s="79">
        <f>IF(INDIRECT("'"&amp;$O353&amp;"'!F"&amp;$N353)="O","원자재",IF(INDIRECT("'"&amp;$O353&amp;"'!G"&amp;$N353)="O","반제품",IF(INDIRECT("'"&amp;$O353&amp;"'!H"&amp;$N353)="O","완제품","")))</f>
        <v/>
      </c>
      <c r="E353" s="79">
        <f>IFERROR(IF(INDIRECT("'"&amp;$O353&amp;"'!I"&amp;$N353)=0,"",INDIRECT("'"&amp;$O353&amp;"'!I"&amp;$N353)),"")</f>
        <v/>
      </c>
      <c r="F353" s="52" t="inlineStr">
        <is>
          <t>가죽 손잡이 탈착배터리용 터치펜 X</t>
        </is>
      </c>
      <c r="G353" s="52" t="inlineStr">
        <is>
          <t>가죽 손잡이 (탈착배터리 터치펜 X) (인조 가죽) [ADX6000]</t>
        </is>
      </c>
      <c r="H353" s="79">
        <f>IF(AND($F353="",$G353=""),"",IF($F353="","창고전용",IF($G353&lt;&gt;"","매칭완료",IF($D353="반제품","반제품(창고없음)",IF($D353="완제품","완제품(창고없음)",IF($D353="원자재","⚠ 원자재_부서보관","미분류"))))))</f>
        <v/>
      </c>
      <c r="I353" s="79">
        <f>IFERROR(IF(INDIRECT("'"&amp;$O353&amp;"'!P"&amp;$N353)=0,"",INDIRECT("'"&amp;$O353&amp;"'!P"&amp;$N353)),"")</f>
        <v/>
      </c>
      <c r="J353" s="61" t="inlineStr">
        <is>
          <t>가죽 손잡이 탈착배터리용 터치펜 X</t>
        </is>
      </c>
      <c r="K353" s="65" t="inlineStr">
        <is>
          <t>ADX6000FB 가죽 손잡이 탈착배터리용 터치펜 X</t>
        </is>
      </c>
      <c r="L353" s="83">
        <f>HYPERLINK("#'"&amp;$O353&amp;"'!A"&amp;$N353,"→ 조립자재 R"&amp;$N353)</f>
        <v/>
      </c>
      <c r="M353" s="84" t="n"/>
      <c r="N353" s="80" t="n">
        <v>177</v>
      </c>
      <c r="O353" s="80" t="inlineStr">
        <is>
          <t>조립자재_재고현황</t>
        </is>
      </c>
    </row>
    <row r="354" ht="30" customHeight="1">
      <c r="A354" s="56" t="inlineStr">
        <is>
          <t>조립</t>
        </is>
      </c>
      <c r="B354" s="52" t="inlineStr">
        <is>
          <t>사출 및 자재</t>
        </is>
      </c>
      <c r="C354" s="52" t="inlineStr">
        <is>
          <t>ADX6000FB ADX6000s</t>
        </is>
      </c>
      <c r="D354" s="79">
        <f>IF(INDIRECT("'"&amp;$O354&amp;"'!F"&amp;$N354)="O","원자재",IF(INDIRECT("'"&amp;$O354&amp;"'!G"&amp;$N354)="O","반제품",IF(INDIRECT("'"&amp;$O354&amp;"'!H"&amp;$N354)="O","완제품","")))</f>
        <v/>
      </c>
      <c r="E354" s="79">
        <f>IFERROR(IF(INDIRECT("'"&amp;$O354&amp;"'!I"&amp;$N354)=0,"",INDIRECT("'"&amp;$O354&amp;"'!I"&amp;$N354)),"")</f>
        <v/>
      </c>
      <c r="F354" s="52" t="inlineStr">
        <is>
          <t>4.3" LCD 판넬 (IEC-266 &amp; IEC-1000 공용)</t>
        </is>
      </c>
      <c r="G354" s="52" t="inlineStr">
        <is>
          <t>4.3" LCD (신형) (IEC-1000) [ADX6000S]</t>
        </is>
      </c>
      <c r="H354" s="79">
        <f>IF(AND($F354="",$G354=""),"",IF($F354="","창고전용",IF($G354&lt;&gt;"","매칭완료",IF($D354="반제품","반제품(창고없음)",IF($D354="완제품","완제품(창고없음)",IF($D354="원자재","⚠ 원자재_부서보관","미분류"))))))</f>
        <v/>
      </c>
      <c r="I354" s="79">
        <f>IFERROR(IF(INDIRECT("'"&amp;$O354&amp;"'!P"&amp;$N354)=0,"",INDIRECT("'"&amp;$O354&amp;"'!P"&amp;$N354)),"")</f>
        <v/>
      </c>
      <c r="J354" s="61" t="inlineStr">
        <is>
          <t>4.3" LCD 판넬 (IEC-266 &amp; IEC-1000 공용)</t>
        </is>
      </c>
      <c r="K354" s="65" t="inlineStr">
        <is>
          <t>ADX6000FB 4.3" LCD 판넬 (IEC-266 &amp; IEC-1000 공용)</t>
        </is>
      </c>
      <c r="L354" s="83">
        <f>HYPERLINK("#'"&amp;$O354&amp;"'!A"&amp;$N354,"→ 조립자재 R"&amp;$N354)</f>
        <v/>
      </c>
      <c r="M354" s="84" t="n"/>
      <c r="N354" s="80" t="n">
        <v>178</v>
      </c>
      <c r="O354" s="80" t="inlineStr">
        <is>
          <t>조립자재_재고현황</t>
        </is>
      </c>
    </row>
    <row r="355" ht="30" customHeight="1">
      <c r="A355" s="56" t="inlineStr">
        <is>
          <t>조립</t>
        </is>
      </c>
      <c r="B355" s="52" t="inlineStr">
        <is>
          <t>보드</t>
        </is>
      </c>
      <c r="C355" s="52" t="inlineStr">
        <is>
          <t>ADX6000FB ADX6000s</t>
        </is>
      </c>
      <c r="D355" s="79">
        <f>IF(INDIRECT("'"&amp;$O355&amp;"'!F"&amp;$N355)="O","원자재",IF(INDIRECT("'"&amp;$O355&amp;"'!G"&amp;$N355)="O","반제품",IF(INDIRECT("'"&amp;$O355&amp;"'!H"&amp;$N355)="O","완제품","")))</f>
        <v/>
      </c>
      <c r="E355" s="79">
        <f>IFERROR(IF(INDIRECT("'"&amp;$O355&amp;"'!I"&amp;$N355)=0,"",INDIRECT("'"&amp;$O355&amp;"'!I"&amp;$N355)),"")</f>
        <v/>
      </c>
      <c r="F355" s="52" t="inlineStr">
        <is>
          <t>4.3" Module (IEC-266 구형)</t>
        </is>
      </c>
      <c r="G355" s="52" t="inlineStr">
        <is>
          <t>4.3" Module (IEC266lite-43, OS 영문) [ADX6000S]</t>
        </is>
      </c>
      <c r="H355" s="79">
        <f>IF(AND($F355="",$G355=""),"",IF($F355="","창고전용",IF($G355&lt;&gt;"","매칭완료",IF($D355="반제품","반제품(창고없음)",IF($D355="완제품","완제품(창고없음)",IF($D355="원자재","⚠ 원자재_부서보관","미분류"))))))</f>
        <v/>
      </c>
      <c r="I355" s="79">
        <f>IFERROR(IF(INDIRECT("'"&amp;$O355&amp;"'!P"&amp;$N355)=0,"",INDIRECT("'"&amp;$O355&amp;"'!P"&amp;$N355)),"")</f>
        <v/>
      </c>
      <c r="J355" s="61" t="inlineStr">
        <is>
          <t>4.3" Module (IEC-266 구형)</t>
        </is>
      </c>
      <c r="K355" s="65" t="inlineStr">
        <is>
          <t>ADX6000FB 4.3" Module (IEC-266 구형)</t>
        </is>
      </c>
      <c r="L355" s="83">
        <f>HYPERLINK("#'"&amp;$O355&amp;"'!A"&amp;$N355,"→ 조립자재 R"&amp;$N355)</f>
        <v/>
      </c>
      <c r="M355" s="84" t="n"/>
      <c r="N355" s="80" t="n">
        <v>179</v>
      </c>
      <c r="O355" s="80" t="inlineStr">
        <is>
          <t>조립자재_재고현황</t>
        </is>
      </c>
    </row>
    <row r="356" ht="30" customHeight="1">
      <c r="A356" s="56" t="inlineStr">
        <is>
          <t>조립</t>
        </is>
      </c>
      <c r="B356" s="52" t="inlineStr">
        <is>
          <t>보드</t>
        </is>
      </c>
      <c r="C356" s="52" t="inlineStr">
        <is>
          <t>ADX6000FB ADX6000s</t>
        </is>
      </c>
      <c r="D356" s="79">
        <f>IF(INDIRECT("'"&amp;$O356&amp;"'!F"&amp;$N356)="O","원자재",IF(INDIRECT("'"&amp;$O356&amp;"'!G"&amp;$N356)="O","반제품",IF(INDIRECT("'"&amp;$O356&amp;"'!H"&amp;$N356)="O","완제품","")))</f>
        <v/>
      </c>
      <c r="E356" s="79">
        <f>IFERROR(IF(INDIRECT("'"&amp;$O356&amp;"'!I"&amp;$N356)=0,"",INDIRECT("'"&amp;$O356&amp;"'!I"&amp;$N356)),"")</f>
        <v/>
      </c>
      <c r="F356" s="52" t="inlineStr">
        <is>
          <t>4.3" Module (IEC-1000 신형)</t>
        </is>
      </c>
      <c r="G356" s="52" t="inlineStr">
        <is>
          <t>4.3" Module (신형) (IEC-1000) [ADX6000S]</t>
        </is>
      </c>
      <c r="H356" s="79">
        <f>IF(AND($F356="",$G356=""),"",IF($F356="","창고전용",IF($G356&lt;&gt;"","매칭완료",IF($D356="반제품","반제품(창고없음)",IF($D356="완제품","완제품(창고없음)",IF($D356="원자재","⚠ 원자재_부서보관","미분류"))))))</f>
        <v/>
      </c>
      <c r="I356" s="79">
        <f>IFERROR(IF(INDIRECT("'"&amp;$O356&amp;"'!P"&amp;$N356)=0,"",INDIRECT("'"&amp;$O356&amp;"'!P"&amp;$N356)),"")</f>
        <v/>
      </c>
      <c r="J356" s="61" t="inlineStr">
        <is>
          <t>4.3" Module (IEC-1000 신형)</t>
        </is>
      </c>
      <c r="K356" s="65" t="inlineStr">
        <is>
          <t>ADX6000FB 4.3" Module (IEC-1000 신형)</t>
        </is>
      </c>
      <c r="L356" s="83">
        <f>HYPERLINK("#'"&amp;$O356&amp;"'!A"&amp;$N356,"→ 조립자재 R"&amp;$N356)</f>
        <v/>
      </c>
      <c r="M356" s="84" t="n"/>
      <c r="N356" s="80" t="n">
        <v>180</v>
      </c>
      <c r="O356" s="80" t="inlineStr">
        <is>
          <t>조립자재_재고현황</t>
        </is>
      </c>
    </row>
    <row r="357" ht="30" customHeight="1">
      <c r="A357" s="56" t="inlineStr">
        <is>
          <t>조립</t>
        </is>
      </c>
      <c r="B357" s="52" t="inlineStr">
        <is>
          <t>보드</t>
        </is>
      </c>
      <c r="C357" s="52" t="inlineStr">
        <is>
          <t>ADX6000FB ADX6000s</t>
        </is>
      </c>
      <c r="D357" s="79">
        <f>IF(INDIRECT("'"&amp;$O357&amp;"'!F"&amp;$N357)="O","원자재",IF(INDIRECT("'"&amp;$O357&amp;"'!G"&amp;$N357)="O","반제품",IF(INDIRECT("'"&amp;$O357&amp;"'!H"&amp;$N357)="O","완제품","")))</f>
        <v/>
      </c>
      <c r="E357" s="79">
        <f>IFERROR(IF(INDIRECT("'"&amp;$O357&amp;"'!I"&amp;$N357)=0,"",INDIRECT("'"&amp;$O357&amp;"'!I"&amp;$N357)),"")</f>
        <v/>
      </c>
      <c r="F357" s="52" t="inlineStr">
        <is>
          <t>LCD B/D</t>
        </is>
      </c>
      <c r="G357" s="52" t="inlineStr">
        <is>
          <t>LCD B/D [ADX6000S]</t>
        </is>
      </c>
      <c r="H357" s="79">
        <f>IF(AND($F357="",$G357=""),"",IF($F357="","창고전용",IF($G357&lt;&gt;"","매칭완료",IF($D357="반제품","반제품(창고없음)",IF($D357="완제품","완제품(창고없음)",IF($D357="원자재","⚠ 원자재_부서보관","미분류"))))))</f>
        <v/>
      </c>
      <c r="I357" s="79">
        <f>IFERROR(IF(INDIRECT("'"&amp;$O357&amp;"'!P"&amp;$N357)=0,"",INDIRECT("'"&amp;$O357&amp;"'!P"&amp;$N357)),"")</f>
        <v/>
      </c>
      <c r="J357" s="61" t="inlineStr">
        <is>
          <t>LCD B/D</t>
        </is>
      </c>
      <c r="K357" s="65" t="inlineStr">
        <is>
          <t>ADX6000FB LCD BD</t>
        </is>
      </c>
      <c r="L357" s="83">
        <f>HYPERLINK("#'"&amp;$O357&amp;"'!A"&amp;$N357,"→ 조립자재 R"&amp;$N357)</f>
        <v/>
      </c>
      <c r="M357" s="84" t="n"/>
      <c r="N357" s="80" t="n">
        <v>181</v>
      </c>
      <c r="O357" s="80" t="inlineStr">
        <is>
          <t>조립자재_재고현황</t>
        </is>
      </c>
    </row>
    <row r="358" ht="30" customHeight="1">
      <c r="A358" s="56" t="inlineStr">
        <is>
          <t>조립</t>
        </is>
      </c>
      <c r="B358" s="52" t="inlineStr">
        <is>
          <t>보드</t>
        </is>
      </c>
      <c r="C358" s="52" t="inlineStr">
        <is>
          <t>ADX6000 ADX6000U</t>
        </is>
      </c>
      <c r="D358" s="79">
        <f>IF(INDIRECT("'"&amp;$O358&amp;"'!F"&amp;$N358)="O","원자재",IF(INDIRECT("'"&amp;$O358&amp;"'!G"&amp;$N358)="O","반제품",IF(INDIRECT("'"&amp;$O358&amp;"'!H"&amp;$N358)="O","완제품","")))</f>
        <v/>
      </c>
      <c r="E358" s="79">
        <f>IFERROR(IF(INDIRECT("'"&amp;$O358&amp;"'!I"&amp;$N358)=0,"",INDIRECT("'"&amp;$O358&amp;"'!I"&amp;$N358)),"")</f>
        <v/>
      </c>
      <c r="F358" s="52" t="inlineStr">
        <is>
          <t>LCD B/D</t>
        </is>
      </c>
      <c r="G358" s="52" t="inlineStr">
        <is>
          <t>LCD B/D [ADX6000]</t>
        </is>
      </c>
      <c r="H358" s="79">
        <f>IF(AND($F358="",$G358=""),"",IF($F358="","창고전용",IF($G358&lt;&gt;"","매칭완료",IF($D358="반제품","반제품(창고없음)",IF($D358="완제품","완제품(창고없음)",IF($D358="원자재","⚠ 원자재_부서보관","미분류"))))))</f>
        <v/>
      </c>
      <c r="I358" s="79">
        <f>IFERROR(IF(INDIRECT("'"&amp;$O358&amp;"'!P"&amp;$N358)=0,"",INDIRECT("'"&amp;$O358&amp;"'!P"&amp;$N358)),"")</f>
        <v/>
      </c>
      <c r="J358" s="61" t="inlineStr">
        <is>
          <t>LCD B/D</t>
        </is>
      </c>
      <c r="K358" s="65" t="inlineStr">
        <is>
          <t>ADX6000 LCD BD</t>
        </is>
      </c>
      <c r="L358" s="83">
        <f>HYPERLINK("#'"&amp;$O358&amp;"'!A"&amp;$N358,"→ 조립자재 R"&amp;$N358)</f>
        <v/>
      </c>
      <c r="M358" s="84" t="n"/>
      <c r="N358" s="80" t="n">
        <v>182</v>
      </c>
      <c r="O358" s="80" t="inlineStr">
        <is>
          <t>조립자재_재고현황</t>
        </is>
      </c>
    </row>
    <row r="359" ht="30" customHeight="1">
      <c r="A359" s="56" t="inlineStr">
        <is>
          <t>조립</t>
        </is>
      </c>
      <c r="B359" s="52" t="inlineStr">
        <is>
          <t>보드</t>
        </is>
      </c>
      <c r="C359" s="52" t="inlineStr">
        <is>
          <t>ADX6000FB ADX6000s</t>
        </is>
      </c>
      <c r="D359" s="79">
        <f>IF(INDIRECT("'"&amp;$O359&amp;"'!F"&amp;$N359)="O","원자재",IF(INDIRECT("'"&amp;$O359&amp;"'!G"&amp;$N359)="O","반제품",IF(INDIRECT("'"&amp;$O359&amp;"'!H"&amp;$N359)="O","완제품","")))</f>
        <v/>
      </c>
      <c r="E359" s="79">
        <f>IFERROR(IF(INDIRECT("'"&amp;$O359&amp;"'!I"&amp;$N359)=0,"",INDIRECT("'"&amp;$O359&amp;"'!I"&amp;$N359)),"")</f>
        <v/>
      </c>
      <c r="F359" s="52" t="inlineStr">
        <is>
          <t>ETC CARRIER BD (IEC-1000)</t>
        </is>
      </c>
      <c r="G359" s="52" t="inlineStr">
        <is>
          <t>ETC CARRIER BD (IEC-1000) [ADX6000S]</t>
        </is>
      </c>
      <c r="H359" s="79">
        <f>IF(AND($F359="",$G359=""),"",IF($F359="","창고전용",IF($G359&lt;&gt;"","매칭완료",IF($D359="반제품","반제품(창고없음)",IF($D359="완제품","완제품(창고없음)",IF($D359="원자재","⚠ 원자재_부서보관","미분류"))))))</f>
        <v/>
      </c>
      <c r="I359" s="79">
        <f>IFERROR(IF(INDIRECT("'"&amp;$O359&amp;"'!P"&amp;$N359)=0,"",INDIRECT("'"&amp;$O359&amp;"'!P"&amp;$N359)),"")</f>
        <v/>
      </c>
      <c r="J359" s="61" t="inlineStr">
        <is>
          <t>ETC CARRIER BD (IEC-1000)</t>
        </is>
      </c>
      <c r="K359" s="65" t="inlineStr">
        <is>
          <t>ADX6000FB ETC CARRIER BD (IEC-1000)</t>
        </is>
      </c>
      <c r="L359" s="83">
        <f>HYPERLINK("#'"&amp;$O359&amp;"'!A"&amp;$N359,"→ 조립자재 R"&amp;$N359)</f>
        <v/>
      </c>
      <c r="M359" s="84" t="n"/>
      <c r="N359" s="80" t="n">
        <v>183</v>
      </c>
      <c r="O359" s="80" t="inlineStr">
        <is>
          <t>조립자재_재고현황</t>
        </is>
      </c>
    </row>
    <row r="360" ht="30" customHeight="1">
      <c r="A360" s="56" t="inlineStr">
        <is>
          <t>조립</t>
        </is>
      </c>
      <c r="B360" s="52" t="inlineStr">
        <is>
          <t>보드</t>
        </is>
      </c>
      <c r="C360" s="52" t="inlineStr">
        <is>
          <t>ADX6000FB ADX6000s</t>
        </is>
      </c>
      <c r="D360" s="79">
        <f>IF(INDIRECT("'"&amp;$O360&amp;"'!F"&amp;$N360)="O","원자재",IF(INDIRECT("'"&amp;$O360&amp;"'!G"&amp;$N360)="O","반제품",IF(INDIRECT("'"&amp;$O360&amp;"'!H"&amp;$N360)="O","완제품","")))</f>
        <v/>
      </c>
      <c r="E360" s="79">
        <f>IFERROR(IF(INDIRECT("'"&amp;$O360&amp;"'!I"&amp;$N360)=0,"",INDIRECT("'"&amp;$O360&amp;"'!I"&amp;$N360)),"")</f>
        <v/>
      </c>
      <c r="F360" s="52" t="inlineStr">
        <is>
          <t>ETC CARRIER BD (IEC-266)</t>
        </is>
      </c>
      <c r="G360" s="52" t="inlineStr">
        <is>
          <t>ETC CARRIER BD [ADX6000S]</t>
        </is>
      </c>
      <c r="H360" s="79">
        <f>IF(AND($F360="",$G360=""),"",IF($F360="","창고전용",IF($G360&lt;&gt;"","매칭완료",IF($D360="반제품","반제품(창고없음)",IF($D360="완제품","완제품(창고없음)",IF($D360="원자재","⚠ 원자재_부서보관","미분류"))))))</f>
        <v/>
      </c>
      <c r="I360" s="79">
        <f>IFERROR(IF(INDIRECT("'"&amp;$O360&amp;"'!P"&amp;$N360)=0,"",INDIRECT("'"&amp;$O360&amp;"'!P"&amp;$N360)),"")</f>
        <v/>
      </c>
      <c r="J360" s="61" t="inlineStr">
        <is>
          <t>ETC CARRIER BD (IEC-266)</t>
        </is>
      </c>
      <c r="K360" s="65" t="inlineStr">
        <is>
          <t>ADX6000FB ETC CARRIER BD (IEC-266)</t>
        </is>
      </c>
      <c r="L360" s="83">
        <f>HYPERLINK("#'"&amp;$O360&amp;"'!A"&amp;$N360,"→ 조립자재 R"&amp;$N360)</f>
        <v/>
      </c>
      <c r="M360" s="84" t="n"/>
      <c r="N360" s="80" t="n">
        <v>184</v>
      </c>
      <c r="O360" s="80" t="inlineStr">
        <is>
          <t>조립자재_재고현황</t>
        </is>
      </c>
    </row>
    <row r="361" ht="30" customHeight="1">
      <c r="A361" s="56" t="inlineStr">
        <is>
          <t>조립</t>
        </is>
      </c>
      <c r="B361" s="52" t="inlineStr">
        <is>
          <t>보드</t>
        </is>
      </c>
      <c r="C361" s="52" t="inlineStr">
        <is>
          <t>ADX6000FB ADX6000s</t>
        </is>
      </c>
      <c r="D361" s="79">
        <f>IF(INDIRECT("'"&amp;$O361&amp;"'!F"&amp;$N361)="O","원자재",IF(INDIRECT("'"&amp;$O361&amp;"'!G"&amp;$N361)="O","반제품",IF(INDIRECT("'"&amp;$O361&amp;"'!H"&amp;$N361)="O","완제품","")))</f>
        <v/>
      </c>
      <c r="E361" s="79">
        <f>IFERROR(IF(INDIRECT("'"&amp;$O361&amp;"'!I"&amp;$N361)=0,"",INDIRECT("'"&amp;$O361&amp;"'!I"&amp;$N361)),"")</f>
        <v/>
      </c>
      <c r="F361" s="52" t="inlineStr">
        <is>
          <t>ETC CARRIER MINI BD</t>
        </is>
      </c>
      <c r="G361" s="52" t="inlineStr">
        <is>
          <t>ETC CARRIER MINI BD [ADX6000S]</t>
        </is>
      </c>
      <c r="H361" s="79">
        <f>IF(AND($F361="",$G361=""),"",IF($F361="","창고전용",IF($G361&lt;&gt;"","매칭완료",IF($D361="반제품","반제품(창고없음)",IF($D361="완제품","완제품(창고없음)",IF($D361="원자재","⚠ 원자재_부서보관","미분류"))))))</f>
        <v/>
      </c>
      <c r="I361" s="79">
        <f>IFERROR(IF(INDIRECT("'"&amp;$O361&amp;"'!P"&amp;$N361)=0,"",INDIRECT("'"&amp;$O361&amp;"'!P"&amp;$N361)),"")</f>
        <v/>
      </c>
      <c r="J361" s="61" t="inlineStr">
        <is>
          <t>ETC CARRIER MINI BD</t>
        </is>
      </c>
      <c r="K361" s="65" t="inlineStr">
        <is>
          <t>ADX6000FB ETC CARRIER MINI BD</t>
        </is>
      </c>
      <c r="L361" s="83">
        <f>HYPERLINK("#'"&amp;$O361&amp;"'!A"&amp;$N361,"→ 조립자재 R"&amp;$N361)</f>
        <v/>
      </c>
      <c r="M361" s="84" t="n"/>
      <c r="N361" s="80" t="n">
        <v>185</v>
      </c>
      <c r="O361" s="80" t="inlineStr">
        <is>
          <t>조립자재_재고현황</t>
        </is>
      </c>
    </row>
    <row r="362" ht="30" customHeight="1">
      <c r="A362" s="56" t="inlineStr">
        <is>
          <t>조립</t>
        </is>
      </c>
      <c r="B362" s="52" t="inlineStr">
        <is>
          <t>보드</t>
        </is>
      </c>
      <c r="C362" s="52" t="inlineStr">
        <is>
          <t>ADX6000 ADX6000U</t>
        </is>
      </c>
      <c r="D362" s="79">
        <f>IF(INDIRECT("'"&amp;$O362&amp;"'!F"&amp;$N362)="O","원자재",IF(INDIRECT("'"&amp;$O362&amp;"'!G"&amp;$N362)="O","반제품",IF(INDIRECT("'"&amp;$O362&amp;"'!H"&amp;$N362)="O","완제품","")))</f>
        <v/>
      </c>
      <c r="E362" s="79">
        <f>IFERROR(IF(INDIRECT("'"&amp;$O362&amp;"'!I"&amp;$N362)=0,"",INDIRECT("'"&amp;$O362&amp;"'!I"&amp;$N362)),"")</f>
        <v/>
      </c>
      <c r="F362" s="52" t="inlineStr">
        <is>
          <t>Carrier B/D (구형 KONTRON)</t>
        </is>
      </c>
      <c r="G362" s="52" t="inlineStr">
        <is>
          <t>Carrier B/D (구형 KONTRON) [ADX6000]</t>
        </is>
      </c>
      <c r="H362" s="79">
        <f>IF(AND($F362="",$G362=""),"",IF($F362="","창고전용",IF($G362&lt;&gt;"","매칭완료",IF($D362="반제품","반제품(창고없음)",IF($D362="완제품","완제품(창고없음)",IF($D362="원자재","⚠ 원자재_부서보관","미분류"))))))</f>
        <v/>
      </c>
      <c r="I362" s="79">
        <f>IFERROR(IF(INDIRECT("'"&amp;$O362&amp;"'!P"&amp;$N362)=0,"",INDIRECT("'"&amp;$O362&amp;"'!P"&amp;$N362)),"")</f>
        <v/>
      </c>
      <c r="J362" s="61" t="inlineStr">
        <is>
          <t>Carrier B/D (구형 KONTRON)</t>
        </is>
      </c>
      <c r="K362" s="65" t="inlineStr">
        <is>
          <t>ADX6000 Carrier BD [KONTRON]</t>
        </is>
      </c>
      <c r="L362" s="83">
        <f>HYPERLINK("#'"&amp;$O362&amp;"'!A"&amp;$N362,"→ 조립자재 R"&amp;$N362)</f>
        <v/>
      </c>
      <c r="M362" s="84" t="n"/>
      <c r="N362" s="80" t="n">
        <v>186</v>
      </c>
      <c r="O362" s="80" t="inlineStr">
        <is>
          <t>조립자재_재고현황</t>
        </is>
      </c>
    </row>
    <row r="363" ht="30" customHeight="1">
      <c r="A363" s="56" t="inlineStr">
        <is>
          <t>조립</t>
        </is>
      </c>
      <c r="B363" s="52" t="inlineStr">
        <is>
          <t>보드</t>
        </is>
      </c>
      <c r="C363" s="52" t="inlineStr">
        <is>
          <t>ADX6000 ADX6000U</t>
        </is>
      </c>
      <c r="D363" s="79">
        <f>IF(INDIRECT("'"&amp;$O363&amp;"'!F"&amp;$N363)="O","원자재",IF(INDIRECT("'"&amp;$O363&amp;"'!G"&amp;$N363)="O","반제품",IF(INDIRECT("'"&amp;$O363&amp;"'!H"&amp;$N363)="O","완제품","")))</f>
        <v/>
      </c>
      <c r="E363" s="79">
        <f>IFERROR(IF(INDIRECT("'"&amp;$O363&amp;"'!I"&amp;$N363)=0,"",INDIRECT("'"&amp;$O363&amp;"'!I"&amp;$N363)),"")</f>
        <v/>
      </c>
      <c r="F363" s="52" t="inlineStr">
        <is>
          <t>Carrier B/D (신형 DFI)</t>
        </is>
      </c>
      <c r="G363" s="52" t="inlineStr">
        <is>
          <t>Carrier B/D (신형 DFI) [ADX6000]</t>
        </is>
      </c>
      <c r="H363" s="79">
        <f>IF(AND($F363="",$G363=""),"",IF($F363="","창고전용",IF($G363&lt;&gt;"","매칭완료",IF($D363="반제품","반제품(창고없음)",IF($D363="완제품","완제품(창고없음)",IF($D363="원자재","⚠ 원자재_부서보관","미분류"))))))</f>
        <v/>
      </c>
      <c r="I363" s="79">
        <f>IFERROR(IF(INDIRECT("'"&amp;$O363&amp;"'!P"&amp;$N363)=0,"",INDIRECT("'"&amp;$O363&amp;"'!P"&amp;$N363)),"")</f>
        <v/>
      </c>
      <c r="J363" s="61" t="inlineStr">
        <is>
          <t>Carrier B/D (신형 DFI)</t>
        </is>
      </c>
      <c r="K363" s="65" t="inlineStr">
        <is>
          <t>ADX6000 Carrier BD [신형 DFI]</t>
        </is>
      </c>
      <c r="L363" s="83">
        <f>HYPERLINK("#'"&amp;$O363&amp;"'!A"&amp;$N363,"→ 조립자재 R"&amp;$N363)</f>
        <v/>
      </c>
      <c r="M363" s="84" t="n"/>
      <c r="N363" s="80" t="n">
        <v>187</v>
      </c>
      <c r="O363" s="80" t="inlineStr">
        <is>
          <t>조립자재_재고현황</t>
        </is>
      </c>
    </row>
    <row r="364" ht="30" customHeight="1">
      <c r="A364" s="56" t="inlineStr">
        <is>
          <t>조립</t>
        </is>
      </c>
      <c r="B364" s="52" t="inlineStr">
        <is>
          <t>보드</t>
        </is>
      </c>
      <c r="C364" s="52" t="inlineStr">
        <is>
          <t>ADX6000 공용</t>
        </is>
      </c>
      <c r="D364" s="79">
        <f>IF(INDIRECT("'"&amp;$O364&amp;"'!F"&amp;$N364)="O","원자재",IF(INDIRECT("'"&amp;$O364&amp;"'!G"&amp;$N364)="O","반제품",IF(INDIRECT("'"&amp;$O364&amp;"'!H"&amp;$N364)="O","완제품","")))</f>
        <v/>
      </c>
      <c r="E364" s="79">
        <f>IFERROR(IF(INDIRECT("'"&amp;$O364&amp;"'!I"&amp;$N364)=0,"",INDIRECT("'"&amp;$O364&amp;"'!I"&amp;$N364)),"")</f>
        <v/>
      </c>
      <c r="F364" s="52" t="inlineStr">
        <is>
          <t>Power Switch B/D</t>
        </is>
      </c>
      <c r="G364" s="52" t="inlineStr">
        <is>
          <t>Power Switch B/D [ADX6000]</t>
        </is>
      </c>
      <c r="H364" s="79">
        <f>IF(AND($F364="",$G364=""),"",IF($F364="","창고전용",IF($G364&lt;&gt;"","매칭완료",IF($D364="반제품","반제품(창고없음)",IF($D364="완제품","완제품(창고없음)",IF($D364="원자재","⚠ 원자재_부서보관","미분류"))))))</f>
        <v/>
      </c>
      <c r="I364" s="79">
        <f>IFERROR(IF(INDIRECT("'"&amp;$O364&amp;"'!P"&amp;$N364)=0,"",INDIRECT("'"&amp;$O364&amp;"'!P"&amp;$N364)),"")</f>
        <v/>
      </c>
      <c r="J364" s="61" t="inlineStr">
        <is>
          <t>Power Switch B/D</t>
        </is>
      </c>
      <c r="K364" s="65" t="inlineStr">
        <is>
          <t>ADX6000 Power Switch B/D</t>
        </is>
      </c>
      <c r="L364" s="83">
        <f>HYPERLINK("#'"&amp;$O364&amp;"'!A"&amp;$N364,"→ 조립자재 R"&amp;$N364)</f>
        <v/>
      </c>
      <c r="M364" s="84" t="n"/>
      <c r="N364" s="80" t="n">
        <v>188</v>
      </c>
      <c r="O364" s="80" t="inlineStr">
        <is>
          <t>조립자재_재고현황</t>
        </is>
      </c>
    </row>
    <row r="365" ht="30" customHeight="1">
      <c r="A365" s="56" t="inlineStr">
        <is>
          <t>조립</t>
        </is>
      </c>
      <c r="B365" s="52" t="inlineStr">
        <is>
          <t>보드</t>
        </is>
      </c>
      <c r="C365" s="52" t="inlineStr">
        <is>
          <t>ADX6000 ADX6000U</t>
        </is>
      </c>
      <c r="D365" s="79">
        <f>IF(INDIRECT("'"&amp;$O365&amp;"'!F"&amp;$N365)="O","원자재",IF(INDIRECT("'"&amp;$O365&amp;"'!G"&amp;$N365)="O","반제품",IF(INDIRECT("'"&amp;$O365&amp;"'!H"&amp;$N365)="O","완제품","")))</f>
        <v/>
      </c>
      <c r="E365" s="79">
        <f>IFERROR(IF(INDIRECT("'"&amp;$O365&amp;"'!I"&amp;$N365)=0,"",INDIRECT("'"&amp;$O365&amp;"'!I"&amp;$N365)),"")</f>
        <v/>
      </c>
      <c r="F365" s="52" t="inlineStr">
        <is>
          <t>FRONT CONNECTOR B/D (ADX6000용)</t>
        </is>
      </c>
      <c r="G365" s="52" t="inlineStr">
        <is>
          <t>FRONT CONNECTOR B/D (ADX6000용)</t>
        </is>
      </c>
      <c r="H365" s="79">
        <f>IF(AND($F365="",$G365=""),"",IF($F365="","창고전용",IF($G365&lt;&gt;"","매칭완료",IF($D365="반제품","반제품(창고없음)",IF($D365="완제품","완제품(창고없음)",IF($D365="원자재","⚠ 원자재_부서보관","미분류"))))))</f>
        <v/>
      </c>
      <c r="I365" s="79">
        <f>IFERROR(IF(INDIRECT("'"&amp;$O365&amp;"'!P"&amp;$N365)=0,"",INDIRECT("'"&amp;$O365&amp;"'!P"&amp;$N365)),"")</f>
        <v/>
      </c>
      <c r="J365" s="61" t="inlineStr">
        <is>
          <t>FRONT CONNECTOR B/D (ADX6000용)</t>
        </is>
      </c>
      <c r="K365" s="65" t="inlineStr">
        <is>
          <t>ADX6000 FRONT CONNECTOR BD</t>
        </is>
      </c>
      <c r="L365" s="83">
        <f>HYPERLINK("#'"&amp;$O365&amp;"'!A"&amp;$N365,"→ 조립자재 R"&amp;$N365)</f>
        <v/>
      </c>
      <c r="M365" s="84" t="n"/>
      <c r="N365" s="80" t="n">
        <v>189</v>
      </c>
      <c r="O365" s="80" t="inlineStr">
        <is>
          <t>조립자재_재고현황</t>
        </is>
      </c>
    </row>
    <row r="366" ht="30" customHeight="1">
      <c r="A366" s="56" t="inlineStr">
        <is>
          <t>조립</t>
        </is>
      </c>
      <c r="B366" s="52" t="inlineStr">
        <is>
          <t>보드</t>
        </is>
      </c>
      <c r="C366" s="52" t="inlineStr">
        <is>
          <t>ADX6000 ADX6000U</t>
        </is>
      </c>
      <c r="D366" s="79">
        <f>IF(INDIRECT("'"&amp;$O366&amp;"'!F"&amp;$N366)="O","원자재",IF(INDIRECT("'"&amp;$O366&amp;"'!G"&amp;$N366)="O","반제품",IF(INDIRECT("'"&amp;$O366&amp;"'!H"&amp;$N366)="O","완제품","")))</f>
        <v/>
      </c>
      <c r="E366" s="79">
        <f>IFERROR(IF(INDIRECT("'"&amp;$O366&amp;"'!I"&amp;$N366)=0,"",INDIRECT("'"&amp;$O366&amp;"'!I"&amp;$N366)),"")</f>
        <v/>
      </c>
      <c r="F366" s="52" t="inlineStr">
        <is>
          <t>Front Micro B/D (ADX6000용)</t>
        </is>
      </c>
      <c r="G366" s="52" t="inlineStr">
        <is>
          <t>Front Micro B/D [ADX6000]</t>
        </is>
      </c>
      <c r="H366" s="79">
        <f>IF(AND($F366="",$G366=""),"",IF($F366="","창고전용",IF($G366&lt;&gt;"","매칭완료",IF($D366="반제품","반제품(창고없음)",IF($D366="완제품","완제품(창고없음)",IF($D366="원자재","⚠ 원자재_부서보관","미분류"))))))</f>
        <v/>
      </c>
      <c r="I366" s="79">
        <f>IFERROR(IF(INDIRECT("'"&amp;$O366&amp;"'!P"&amp;$N366)=0,"",INDIRECT("'"&amp;$O366&amp;"'!P"&amp;$N366)),"")</f>
        <v/>
      </c>
      <c r="J366" s="61" t="inlineStr">
        <is>
          <t>Front Micro B/D (ADX6000용)</t>
        </is>
      </c>
      <c r="K366" s="65" t="inlineStr">
        <is>
          <t>ADX6000 Front Micro BD</t>
        </is>
      </c>
      <c r="L366" s="83">
        <f>HYPERLINK("#'"&amp;$O366&amp;"'!A"&amp;$N366,"→ 조립자재 R"&amp;$N366)</f>
        <v/>
      </c>
      <c r="M366" s="84" t="n"/>
      <c r="N366" s="80" t="n">
        <v>190</v>
      </c>
      <c r="O366" s="80" t="inlineStr">
        <is>
          <t>조립자재_재고현황</t>
        </is>
      </c>
    </row>
    <row r="367" ht="30" customHeight="1">
      <c r="A367" s="56" t="inlineStr">
        <is>
          <t>조립</t>
        </is>
      </c>
      <c r="B367" s="52" t="inlineStr">
        <is>
          <t>보드</t>
        </is>
      </c>
      <c r="C367" s="52" t="inlineStr">
        <is>
          <t>ADX6000 공용</t>
        </is>
      </c>
      <c r="D367" s="79">
        <f>IF(INDIRECT("'"&amp;$O367&amp;"'!F"&amp;$N367)="O","원자재",IF(INDIRECT("'"&amp;$O367&amp;"'!G"&amp;$N367)="O","반제품",IF(INDIRECT("'"&amp;$O367&amp;"'!H"&amp;$N367)="O","완제품","")))</f>
        <v/>
      </c>
      <c r="E367" s="79">
        <f>IFERROR(IF(INDIRECT("'"&amp;$O367&amp;"'!I"&amp;$N367)=0,"",INDIRECT("'"&amp;$O367&amp;"'!I"&amp;$N367)),"")</f>
        <v/>
      </c>
      <c r="F367" s="52" t="inlineStr">
        <is>
          <t>Battery Bridge B/D</t>
        </is>
      </c>
      <c r="G367" s="52" t="inlineStr">
        <is>
          <t>Battery Bridge B/D [ADX6000]</t>
        </is>
      </c>
      <c r="H367" s="79">
        <f>IF(AND($F367="",$G367=""),"",IF($F367="","창고전용",IF($G367&lt;&gt;"","매칭완료",IF($D367="반제품","반제품(창고없음)",IF($D367="완제품","완제품(창고없음)",IF($D367="원자재","⚠ 원자재_부서보관","미분류"))))))</f>
        <v/>
      </c>
      <c r="I367" s="79">
        <f>IFERROR(IF(INDIRECT("'"&amp;$O367&amp;"'!P"&amp;$N367)=0,"",INDIRECT("'"&amp;$O367&amp;"'!P"&amp;$N367)),"")</f>
        <v/>
      </c>
      <c r="J367" s="61" t="inlineStr">
        <is>
          <t>Battery Bridge B/D</t>
        </is>
      </c>
      <c r="K367" s="65" t="inlineStr">
        <is>
          <t>ADX6000 Battery Bridge BD</t>
        </is>
      </c>
      <c r="L367" s="83">
        <f>HYPERLINK("#'"&amp;$O367&amp;"'!A"&amp;$N367,"→ 조립자재 R"&amp;$N367)</f>
        <v/>
      </c>
      <c r="M367" s="84" t="n"/>
      <c r="N367" s="80" t="n">
        <v>191</v>
      </c>
      <c r="O367" s="80" t="inlineStr">
        <is>
          <t>조립자재_재고현황</t>
        </is>
      </c>
    </row>
    <row r="368" ht="30" customHeight="1">
      <c r="A368" s="56" t="inlineStr">
        <is>
          <t>조립</t>
        </is>
      </c>
      <c r="B368" s="52" t="inlineStr">
        <is>
          <t>보드</t>
        </is>
      </c>
      <c r="C368" s="52" t="inlineStr">
        <is>
          <t>ADX6000 공용</t>
        </is>
      </c>
      <c r="D368" s="79">
        <f>IF(INDIRECT("'"&amp;$O368&amp;"'!F"&amp;$N368)="O","원자재",IF(INDIRECT("'"&amp;$O368&amp;"'!G"&amp;$N368)="O","반제품",IF(INDIRECT("'"&amp;$O368&amp;"'!H"&amp;$N368)="O","완제품","")))</f>
        <v/>
      </c>
      <c r="E368" s="79">
        <f>IFERROR(IF(INDIRECT("'"&amp;$O368&amp;"'!I"&amp;$N368)=0,"",INDIRECT("'"&amp;$O368&amp;"'!I"&amp;$N368)),"")</f>
        <v/>
      </c>
      <c r="F368" s="52" t="inlineStr">
        <is>
          <t>Battery Connect B/D</t>
        </is>
      </c>
      <c r="G368" s="52" t="inlineStr">
        <is>
          <t>Battery Connect B/D [ADX6000]</t>
        </is>
      </c>
      <c r="H368" s="79">
        <f>IF(AND($F368="",$G368=""),"",IF($F368="","창고전용",IF($G368&lt;&gt;"","매칭완료",IF($D368="반제품","반제품(창고없음)",IF($D368="완제품","완제품(창고없음)",IF($D368="원자재","⚠ 원자재_부서보관","미분류"))))))</f>
        <v/>
      </c>
      <c r="I368" s="79">
        <f>IFERROR(IF(INDIRECT("'"&amp;$O368&amp;"'!P"&amp;$N368)=0,"",INDIRECT("'"&amp;$O368&amp;"'!P"&amp;$N368)),"")</f>
        <v/>
      </c>
      <c r="J368" s="61" t="inlineStr">
        <is>
          <t>Battery Connect B/D</t>
        </is>
      </c>
      <c r="K368" s="65" t="inlineStr">
        <is>
          <t>ADX6000 Battery Connect BD</t>
        </is>
      </c>
      <c r="L368" s="83">
        <f>HYPERLINK("#'"&amp;$O368&amp;"'!A"&amp;$N368,"→ 조립자재 R"&amp;$N368)</f>
        <v/>
      </c>
      <c r="M368" s="84" t="n"/>
      <c r="N368" s="80" t="n">
        <v>192</v>
      </c>
      <c r="O368" s="80" t="inlineStr">
        <is>
          <t>조립자재_재고현황</t>
        </is>
      </c>
    </row>
    <row r="369" ht="30" customHeight="1">
      <c r="A369" s="56" t="inlineStr">
        <is>
          <t>조립</t>
        </is>
      </c>
      <c r="B369" s="52" t="inlineStr">
        <is>
          <t>보드</t>
        </is>
      </c>
      <c r="C369" s="52" t="inlineStr">
        <is>
          <t>ADX6000 공용</t>
        </is>
      </c>
      <c r="D369" s="79">
        <f>IF(INDIRECT("'"&amp;$O369&amp;"'!F"&amp;$N369)="O","원자재",IF(INDIRECT("'"&amp;$O369&amp;"'!G"&amp;$N369)="O","반제품",IF(INDIRECT("'"&amp;$O369&amp;"'!H"&amp;$N369)="O","완제품","")))</f>
        <v/>
      </c>
      <c r="E369" s="79">
        <f>IFERROR(IF(INDIRECT("'"&amp;$O369&amp;"'!I"&amp;$N369)=0,"",INDIRECT("'"&amp;$O369&amp;"'!I"&amp;$N369)),"")</f>
        <v/>
      </c>
      <c r="F369" s="52" t="inlineStr">
        <is>
          <t>관전류 B/D</t>
        </is>
      </c>
      <c r="G369" s="52" t="inlineStr">
        <is>
          <t>관전류 B/D [ADX6000]</t>
        </is>
      </c>
      <c r="H369" s="79">
        <f>IF(AND($F369="",$G369=""),"",IF($F369="","창고전용",IF($G369&lt;&gt;"","매칭완료",IF($D369="반제품","반제품(창고없음)",IF($D369="완제품","완제품(창고없음)",IF($D369="원자재","⚠ 원자재_부서보관","미분류"))))))</f>
        <v/>
      </c>
      <c r="I369" s="79">
        <f>IFERROR(IF(INDIRECT("'"&amp;$O369&amp;"'!P"&amp;$N369)=0,"",INDIRECT("'"&amp;$O369&amp;"'!P"&amp;$N369)),"")</f>
        <v/>
      </c>
      <c r="J369" s="61" t="inlineStr">
        <is>
          <t>관전류 B/D</t>
        </is>
      </c>
      <c r="K369" s="65" t="inlineStr">
        <is>
          <t>ADX6000 관전류 BD</t>
        </is>
      </c>
      <c r="L369" s="83">
        <f>HYPERLINK("#'"&amp;$O369&amp;"'!A"&amp;$N369,"→ 조립자재 R"&amp;$N369)</f>
        <v/>
      </c>
      <c r="M369" s="84" t="n"/>
      <c r="N369" s="80" t="n">
        <v>193</v>
      </c>
      <c r="O369" s="80" t="inlineStr">
        <is>
          <t>조립자재_재고현황</t>
        </is>
      </c>
    </row>
    <row r="370" ht="30" customHeight="1">
      <c r="A370" s="56" t="inlineStr">
        <is>
          <t>조립</t>
        </is>
      </c>
      <c r="B370" s="52" t="inlineStr">
        <is>
          <t>보드</t>
        </is>
      </c>
      <c r="C370" s="52" t="inlineStr">
        <is>
          <t>ADX6000 공용</t>
        </is>
      </c>
      <c r="D370" s="79">
        <f>IF(INDIRECT("'"&amp;$O370&amp;"'!F"&amp;$N370)="O","원자재",IF(INDIRECT("'"&amp;$O370&amp;"'!G"&amp;$N370)="O","반제품",IF(INDIRECT("'"&amp;$O370&amp;"'!H"&amp;$N370)="O","완제품","")))</f>
        <v/>
      </c>
      <c r="E370" s="79">
        <f>IFERROR(IF(INDIRECT("'"&amp;$O370&amp;"'!I"&amp;$N370)=0,"",INDIRECT("'"&amp;$O370&amp;"'!I"&amp;$N370)),"")</f>
        <v/>
      </c>
      <c r="F370" s="52" t="inlineStr">
        <is>
          <t>EX B/D</t>
        </is>
      </c>
      <c r="G370" s="52" t="inlineStr">
        <is>
          <t>EX B/D [ADX6000]</t>
        </is>
      </c>
      <c r="H370" s="79">
        <f>IF(AND($F370="",$G370=""),"",IF($F370="","창고전용",IF($G370&lt;&gt;"","매칭완료",IF($D370="반제품","반제품(창고없음)",IF($D370="완제품","완제품(창고없음)",IF($D370="원자재","⚠ 원자재_부서보관","미분류"))))))</f>
        <v/>
      </c>
      <c r="I370" s="79">
        <f>IFERROR(IF(INDIRECT("'"&amp;$O370&amp;"'!P"&amp;$N370)=0,"",INDIRECT("'"&amp;$O370&amp;"'!P"&amp;$N370)),"")</f>
        <v/>
      </c>
      <c r="J370" s="61" t="inlineStr">
        <is>
          <t>EX B/D</t>
        </is>
      </c>
      <c r="K370" s="65" t="inlineStr">
        <is>
          <t>ADX6000 EX BD</t>
        </is>
      </c>
      <c r="L370" s="83">
        <f>HYPERLINK("#'"&amp;$O370&amp;"'!A"&amp;$N370,"→ 조립자재 R"&amp;$N370)</f>
        <v/>
      </c>
      <c r="M370" s="84" t="n"/>
      <c r="N370" s="80" t="n">
        <v>194</v>
      </c>
      <c r="O370" s="80" t="inlineStr">
        <is>
          <t>조립자재_재고현황</t>
        </is>
      </c>
    </row>
    <row r="371" ht="30" customHeight="1">
      <c r="A371" s="56" t="inlineStr">
        <is>
          <t>조립</t>
        </is>
      </c>
      <c r="B371" s="52" t="inlineStr">
        <is>
          <t>보드</t>
        </is>
      </c>
      <c r="C371" s="52" t="inlineStr">
        <is>
          <t>ADX6000 공용</t>
        </is>
      </c>
      <c r="D371" s="79">
        <f>IF(INDIRECT("'"&amp;$O371&amp;"'!F"&amp;$N371)="O","원자재",IF(INDIRECT("'"&amp;$O371&amp;"'!G"&amp;$N371)="O","반제품",IF(INDIRECT("'"&amp;$O371&amp;"'!H"&amp;$N371)="O","완제품","")))</f>
        <v/>
      </c>
      <c r="E371" s="79">
        <f>IFERROR(IF(INDIRECT("'"&amp;$O371&amp;"'!I"&amp;$N371)=0,"",INDIRECT("'"&amp;$O371&amp;"'!I"&amp;$N371)),"")</f>
        <v/>
      </c>
      <c r="F371" s="52" t="inlineStr">
        <is>
          <t>Cradle B/D</t>
        </is>
      </c>
      <c r="G371" s="52" t="inlineStr">
        <is>
          <t>Cradle B/D [ADX6000]</t>
        </is>
      </c>
      <c r="H371" s="79">
        <f>IF(AND($F371="",$G371=""),"",IF($F371="","창고전용",IF($G371&lt;&gt;"","매칭완료",IF($D371="반제품","반제품(창고없음)",IF($D371="완제품","완제품(창고없음)",IF($D371="원자재","⚠ 원자재_부서보관","미분류"))))))</f>
        <v/>
      </c>
      <c r="I371" s="79">
        <f>IFERROR(IF(INDIRECT("'"&amp;$O371&amp;"'!P"&amp;$N371)=0,"",INDIRECT("'"&amp;$O371&amp;"'!P"&amp;$N371)),"")</f>
        <v/>
      </c>
      <c r="J371" s="61" t="inlineStr">
        <is>
          <t>Cradle B/D</t>
        </is>
      </c>
      <c r="K371" s="65" t="inlineStr">
        <is>
          <t>ADX6000 Cradle BD</t>
        </is>
      </c>
      <c r="L371" s="83">
        <f>HYPERLINK("#'"&amp;$O371&amp;"'!A"&amp;$N371,"→ 조립자재 R"&amp;$N371)</f>
        <v/>
      </c>
      <c r="M371" s="84" t="n"/>
      <c r="N371" s="80" t="n">
        <v>195</v>
      </c>
      <c r="O371" s="80" t="inlineStr">
        <is>
          <t>조립자재_재고현황</t>
        </is>
      </c>
    </row>
    <row r="372" ht="30" customHeight="1">
      <c r="A372" s="56" t="inlineStr">
        <is>
          <t>조립</t>
        </is>
      </c>
      <c r="B372" s="52" t="inlineStr">
        <is>
          <t>하네스</t>
        </is>
      </c>
      <c r="C372" s="52" t="inlineStr">
        <is>
          <t>ADX6000 공용</t>
        </is>
      </c>
      <c r="D372" s="79">
        <f>IF(INDIRECT("'"&amp;$O372&amp;"'!F"&amp;$N372)="O","원자재",IF(INDIRECT("'"&amp;$O372&amp;"'!G"&amp;$N372)="O","반제품",IF(INDIRECT("'"&amp;$O372&amp;"'!H"&amp;$N372)="O","완제품","")))</f>
        <v/>
      </c>
      <c r="E372" s="79">
        <f>IFERROR(IF(INDIRECT("'"&amp;$O372&amp;"'!I"&amp;$N372)=0,"",INDIRECT("'"&amp;$O372&amp;"'!I"&amp;$N372)),"")</f>
        <v/>
      </c>
      <c r="F372" s="52" t="inlineStr">
        <is>
          <t>컬리메이터 LED B/D (신형 LED 밝기 수정한 것)</t>
        </is>
      </c>
      <c r="G372" s="52" t="inlineStr">
        <is>
          <t>컬리메이터 LED B/D (신형 LED, 밝기 수정) [ADX6000]</t>
        </is>
      </c>
      <c r="H372" s="79">
        <f>IF(AND($F372="",$G372=""),"",IF($F372="","창고전용",IF($G372&lt;&gt;"","매칭완료",IF($D372="반제품","반제품(창고없음)",IF($D372="완제품","완제품(창고없음)",IF($D372="원자재","⚠ 원자재_부서보관","미분류"))))))</f>
        <v/>
      </c>
      <c r="I372" s="79">
        <f>IFERROR(IF(INDIRECT("'"&amp;$O372&amp;"'!P"&amp;$N372)=0,"",INDIRECT("'"&amp;$O372&amp;"'!P"&amp;$N372)),"")</f>
        <v/>
      </c>
      <c r="J372" s="61" t="inlineStr">
        <is>
          <t>컬리메이터 LED B/D (신형 LED 밝기 수정한 것)</t>
        </is>
      </c>
      <c r="K372" s="65" t="inlineStr">
        <is>
          <t>ADX6000 컬리메이터 LED BD (LED 작고 밝은 것 적용)</t>
        </is>
      </c>
      <c r="L372" s="83">
        <f>HYPERLINK("#'"&amp;$O372&amp;"'!A"&amp;$N372,"→ 조립자재 R"&amp;$N372)</f>
        <v/>
      </c>
      <c r="M372" s="84" t="n"/>
      <c r="N372" s="80" t="n">
        <v>196</v>
      </c>
      <c r="O372" s="80" t="inlineStr">
        <is>
          <t>조립자재_재고현황</t>
        </is>
      </c>
    </row>
    <row r="373" ht="30" customHeight="1">
      <c r="A373" s="56" t="inlineStr">
        <is>
          <t>조립</t>
        </is>
      </c>
      <c r="B373" s="52" t="inlineStr">
        <is>
          <t>하네스</t>
        </is>
      </c>
      <c r="C373" s="52" t="inlineStr">
        <is>
          <t>ADX6000FB ADX6000s</t>
        </is>
      </c>
      <c r="D373" s="79">
        <f>IF(INDIRECT("'"&amp;$O373&amp;"'!F"&amp;$N373)="O","원자재",IF(INDIRECT("'"&amp;$O373&amp;"'!G"&amp;$N373)="O","반제품",IF(INDIRECT("'"&amp;$O373&amp;"'!H"&amp;$N373)="O","완제품","")))</f>
        <v/>
      </c>
      <c r="E373" s="79">
        <f>IFERROR(IF(INDIRECT("'"&amp;$O373&amp;"'!I"&amp;$N373)=0,"",INDIRECT("'"&amp;$O373&amp;"'!I"&amp;$N373)),"")</f>
        <v/>
      </c>
      <c r="F373" s="52" t="inlineStr">
        <is>
          <t>CTR, CURRENT, FRONT, PC BD연결 _ 하네스 1번 [ 12505HS-06, 12505HS-04, 12505HS-03, 12505HS-02 (250mm, 140mm, 200mm) ]</t>
        </is>
      </c>
      <c r="G373" s="52" t="inlineStr">
        <is>
          <t>하네스 1번 (12505HS-06, 12505HS-04, 12505HS-03, 12505HS-02 CTR, CURRENT, FRONT, PC BD연결 / 180mm, 140mm, 200mm) [ADX6000S]</t>
        </is>
      </c>
      <c r="H373" s="79">
        <f>IF(AND($F373="",$G373=""),"",IF($F373="","창고전용",IF($G373&lt;&gt;"","매칭완료",IF($D373="반제품","반제품(창고없음)",IF($D373="완제품","완제품(창고없음)",IF($D373="원자재","⚠ 원자재_부서보관","미분류"))))))</f>
        <v/>
      </c>
      <c r="I373" s="79">
        <f>IFERROR(IF(INDIRECT("'"&amp;$O373&amp;"'!P"&amp;$N373)=0,"",INDIRECT("'"&amp;$O373&amp;"'!P"&amp;$N373)),"")</f>
        <v/>
      </c>
      <c r="J373" s="61" t="inlineStr">
        <is>
          <t>CTR, CURRENT, FRONT, PC BD연결 _ 하네스 1번 [ 12505HS-06, 12505HS-04, 12505HS-03, 12505HS-02 (250mm, 140mm, 200mm) ]</t>
        </is>
      </c>
      <c r="K373" s="65" t="inlineStr">
        <is>
          <t>ADX6000FB CTR, CURRENT, FRONT, PC BD연결 (12505HS-06, 12505HS-04, 12505HS-03, 12505HS-02) 250mm, 140mm, 200mm [하네스 1번]</t>
        </is>
      </c>
      <c r="L373" s="83">
        <f>HYPERLINK("#'"&amp;$O373&amp;"'!A"&amp;$N373,"→ 조립자재 R"&amp;$N373)</f>
        <v/>
      </c>
      <c r="M373" s="84" t="n"/>
      <c r="N373" s="80" t="n">
        <v>197</v>
      </c>
      <c r="O373" s="80" t="inlineStr">
        <is>
          <t>조립자재_재고현황</t>
        </is>
      </c>
    </row>
    <row r="374" ht="30" customHeight="1">
      <c r="A374" s="56" t="inlineStr">
        <is>
          <t>조립</t>
        </is>
      </c>
      <c r="B374" s="52" t="inlineStr">
        <is>
          <t>하네스</t>
        </is>
      </c>
      <c r="C374" s="52" t="inlineStr">
        <is>
          <t>ADX6000FB ADX6000s</t>
        </is>
      </c>
      <c r="D374" s="79">
        <f>IF(INDIRECT("'"&amp;$O374&amp;"'!F"&amp;$N374)="O","원자재",IF(INDIRECT("'"&amp;$O374&amp;"'!G"&amp;$N374)="O","반제품",IF(INDIRECT("'"&amp;$O374&amp;"'!H"&amp;$N374)="O","완제품","")))</f>
        <v/>
      </c>
      <c r="E374" s="79">
        <f>IFERROR(IF(INDIRECT("'"&amp;$O374&amp;"'!I"&amp;$N374)=0,"",INDIRECT("'"&amp;$O374&amp;"'!I"&amp;$N374)),"")</f>
        <v/>
      </c>
      <c r="F374" s="52" t="inlineStr">
        <is>
          <t>CTR, CURRENT, FRONT, PC BD연결 _ 하네스 1-1번 [ 12505HS-06, 12505HS-04, 12505HS-03, 5264-02 (250mm, 140mm, 300mm) ]</t>
        </is>
      </c>
      <c r="G374" s="52" t="n"/>
      <c r="H374" s="79">
        <f>IF(AND($F374="",$G374=""),"",IF($F374="","창고전용",IF($G374&lt;&gt;"","매칭완료",IF($D374="반제품","반제품(창고없음)",IF($D374="완제품","완제품(창고없음)",IF($D374="원자재","⚠ 원자재_부서보관","미분류"))))))</f>
        <v/>
      </c>
      <c r="I374" s="79">
        <f>IFERROR(IF(INDIRECT("'"&amp;$O374&amp;"'!P"&amp;$N374)=0,"",INDIRECT("'"&amp;$O374&amp;"'!P"&amp;$N374)),"")</f>
        <v/>
      </c>
      <c r="J374" s="61" t="inlineStr">
        <is>
          <t>CTR, CURRENT, FRONT, PC BD연결 _ 하네스 1-1번 [ 12505HS-06, 12505HS-04, 12505HS-03, 5264-02 (250mm, 140mm, 300mm) ]</t>
        </is>
      </c>
      <c r="K374" s="65" t="inlineStr">
        <is>
          <t>ADX6000FB CTR, CURRENT, FRONT, PC BD연결 (12505HS-06, 12505HS-04, 12505HS-03, 5264-02) 250mm, 140mm, 300mm [하네스 1-1번]</t>
        </is>
      </c>
      <c r="L374" s="83">
        <f>HYPERLINK("#'"&amp;$O374&amp;"'!A"&amp;$N374,"→ 조립자재 R"&amp;$N374)</f>
        <v/>
      </c>
      <c r="M374" s="84" t="n"/>
      <c r="N374" s="80" t="n">
        <v>198</v>
      </c>
      <c r="O374" s="80" t="inlineStr">
        <is>
          <t>조립자재_재고현황</t>
        </is>
      </c>
    </row>
    <row r="375" ht="30" customHeight="1">
      <c r="A375" s="56" t="inlineStr">
        <is>
          <t>조립</t>
        </is>
      </c>
      <c r="B375" s="52" t="inlineStr">
        <is>
          <t>하네스</t>
        </is>
      </c>
      <c r="C375" s="52" t="inlineStr">
        <is>
          <t>ADX6000FB ADX6000s</t>
        </is>
      </c>
      <c r="D375" s="79">
        <f>IF(INDIRECT("'"&amp;$O375&amp;"'!F"&amp;$N375)="O","원자재",IF(INDIRECT("'"&amp;$O375&amp;"'!G"&amp;$N375)="O","반제품",IF(INDIRECT("'"&amp;$O375&amp;"'!H"&amp;$N375)="O","완제품","")))</f>
        <v/>
      </c>
      <c r="E375" s="79">
        <f>IFERROR(IF(INDIRECT("'"&amp;$O375&amp;"'!I"&amp;$N375)=0,"",INDIRECT("'"&amp;$O375&amp;"'!I"&amp;$N375)),"")</f>
        <v/>
      </c>
      <c r="F375" s="52" t="inlineStr">
        <is>
          <t>PC, FRONT BD 연결 _ 하네스 2번 [ 12505HS-04, USB-105 (70mm) ]</t>
        </is>
      </c>
      <c r="G375" s="52" t="inlineStr">
        <is>
          <t>하네스 2번 (12505HS-04, USB-105 PC, FRONT BD 연결 / 70mm) [ADX6000S]</t>
        </is>
      </c>
      <c r="H375" s="79">
        <f>IF(AND($F375="",$G375=""),"",IF($F375="","창고전용",IF($G375&lt;&gt;"","매칭완료",IF($D375="반제품","반제품(창고없음)",IF($D375="완제품","완제품(창고없음)",IF($D375="원자재","⚠ 원자재_부서보관","미분류"))))))</f>
        <v/>
      </c>
      <c r="I375" s="79">
        <f>IFERROR(IF(INDIRECT("'"&amp;$O375&amp;"'!P"&amp;$N375)=0,"",INDIRECT("'"&amp;$O375&amp;"'!P"&amp;$N375)),"")</f>
        <v/>
      </c>
      <c r="J375" s="61" t="inlineStr">
        <is>
          <t>PC, FRONT BD 연결 _ 하네스 2번 [ 12505HS-04, USB-105 (70mm) ]</t>
        </is>
      </c>
      <c r="K375" s="65" t="inlineStr">
        <is>
          <t>ADX6000FB PC, FRONT BD 연결 (12505HS-04, USB-105) 70mm [하네스 2번]</t>
        </is>
      </c>
      <c r="L375" s="83">
        <f>HYPERLINK("#'"&amp;$O375&amp;"'!A"&amp;$N375,"→ 조립자재 R"&amp;$N375)</f>
        <v/>
      </c>
      <c r="M375" s="84" t="n"/>
      <c r="N375" s="80" t="n">
        <v>199</v>
      </c>
      <c r="O375" s="80" t="inlineStr">
        <is>
          <t>조립자재_재고현황</t>
        </is>
      </c>
    </row>
    <row r="376" ht="30" customHeight="1">
      <c r="A376" s="56" t="inlineStr">
        <is>
          <t>조립</t>
        </is>
      </c>
      <c r="B376" s="52" t="inlineStr">
        <is>
          <t>하네스</t>
        </is>
      </c>
      <c r="C376" s="52" t="inlineStr">
        <is>
          <t>ADX6000 공용</t>
        </is>
      </c>
      <c r="D376" s="79">
        <f>IF(INDIRECT("'"&amp;$O376&amp;"'!F"&amp;$N376)="O","원자재",IF(INDIRECT("'"&amp;$O376&amp;"'!G"&amp;$N376)="O","반제품",IF(INDIRECT("'"&amp;$O376&amp;"'!H"&amp;$N376)="O","완제품","")))</f>
        <v/>
      </c>
      <c r="E376" s="79">
        <f>IFERROR(IF(INDIRECT("'"&amp;$O376&amp;"'!I"&amp;$N376)=0,"",INDIRECT("'"&amp;$O376&amp;"'!I"&amp;$N376)),"")</f>
        <v/>
      </c>
      <c r="F376" s="52" t="inlineStr">
        <is>
          <t>Power&amp;Exp Connector Wire Harness 12pin [170mm,70mm] (하네스 3번)</t>
        </is>
      </c>
      <c r="G376" s="52" t="inlineStr">
        <is>
          <t>하네스 3번 (Power&amp;Exp Connector 12핀 / 160mm, 70mm) [ADX6000]</t>
        </is>
      </c>
      <c r="H376" s="79">
        <f>IF(AND($F376="",$G376=""),"",IF($F376="","창고전용",IF($G376&lt;&gt;"","매칭완료",IF($D376="반제품","반제품(창고없음)",IF($D376="완제품","완제품(창고없음)",IF($D376="원자재","⚠ 원자재_부서보관","미분류"))))))</f>
        <v/>
      </c>
      <c r="I376" s="79">
        <f>IFERROR(IF(INDIRECT("'"&amp;$O376&amp;"'!P"&amp;$N376)=0,"",INDIRECT("'"&amp;$O376&amp;"'!P"&amp;$N376)),"")</f>
        <v/>
      </c>
      <c r="J376" s="61" t="inlineStr">
        <is>
          <t>Power&amp;Exp Connector Wire Harness 12pin [170mm,70mm] (하네스 3번)</t>
        </is>
      </c>
      <c r="K376" s="65" t="inlineStr">
        <is>
          <t>ADX6000 Power&amp;Exp Connector Wire Harness 12핀 170mm, 70mm [하네스 3번]</t>
        </is>
      </c>
      <c r="L376" s="83">
        <f>HYPERLINK("#'"&amp;$O376&amp;"'!A"&amp;$N376,"→ 조립자재 R"&amp;$N376)</f>
        <v/>
      </c>
      <c r="M376" s="84" t="n"/>
      <c r="N376" s="80" t="n">
        <v>200</v>
      </c>
      <c r="O376" s="80" t="inlineStr">
        <is>
          <t>조립자재_재고현황</t>
        </is>
      </c>
    </row>
    <row r="377" ht="30" customHeight="1">
      <c r="A377" s="56" t="inlineStr">
        <is>
          <t>조립</t>
        </is>
      </c>
      <c r="B377" s="52" t="inlineStr">
        <is>
          <t>하네스</t>
        </is>
      </c>
      <c r="C377" s="52" t="inlineStr">
        <is>
          <t>ADX6000 공용</t>
        </is>
      </c>
      <c r="D377" s="79">
        <f>IF(INDIRECT("'"&amp;$O377&amp;"'!F"&amp;$N377)="O","원자재",IF(INDIRECT("'"&amp;$O377&amp;"'!G"&amp;$N377)="O","반제품",IF(INDIRECT("'"&amp;$O377&amp;"'!H"&amp;$N377)="O","완제품","")))</f>
        <v/>
      </c>
      <c r="E377" s="79">
        <f>IFERROR(IF(INDIRECT("'"&amp;$O377&amp;"'!I"&amp;$N377)=0,"",INDIRECT("'"&amp;$O377&amp;"'!I"&amp;$N377)),"")</f>
        <v/>
      </c>
      <c r="F377" s="52" t="inlineStr">
        <is>
          <t>컬리메이터 LED Wire Harness 2pin [300mm] (하네스 5번)</t>
        </is>
      </c>
      <c r="G377" s="52" t="inlineStr">
        <is>
          <t>하네스 5번 (컬리메이터 LED 2핀 / 300mm) [ADX6000]</t>
        </is>
      </c>
      <c r="H377" s="79">
        <f>IF(AND($F377="",$G377=""),"",IF($F377="","창고전용",IF($G377&lt;&gt;"","매칭완료",IF($D377="반제품","반제품(창고없음)",IF($D377="완제품","완제품(창고없음)",IF($D377="원자재","⚠ 원자재_부서보관","미분류"))))))</f>
        <v/>
      </c>
      <c r="I377" s="79">
        <f>IFERROR(IF(INDIRECT("'"&amp;$O377&amp;"'!P"&amp;$N377)=0,"",INDIRECT("'"&amp;$O377&amp;"'!P"&amp;$N377)),"")</f>
        <v/>
      </c>
      <c r="J377" s="61" t="inlineStr">
        <is>
          <t>컬리메이터 LED Wire Harness 2pin [300mm] (하네스 5번)</t>
        </is>
      </c>
      <c r="K377" s="65" t="inlineStr">
        <is>
          <t>ADX6000 컬리메이터 LED Wire Harness 2핀 300mm [하네스 5번]</t>
        </is>
      </c>
      <c r="L377" s="83">
        <f>HYPERLINK("#'"&amp;$O377&amp;"'!A"&amp;$N377,"→ 조립자재 R"&amp;$N377)</f>
        <v/>
      </c>
      <c r="M377" s="84" t="n"/>
      <c r="N377" s="80" t="n">
        <v>201</v>
      </c>
      <c r="O377" s="80" t="inlineStr">
        <is>
          <t>조립자재_재고현황</t>
        </is>
      </c>
    </row>
    <row r="378" ht="30" customHeight="1">
      <c r="A378" s="56" t="inlineStr">
        <is>
          <t>조립</t>
        </is>
      </c>
      <c r="B378" s="52" t="inlineStr">
        <is>
          <t>하네스</t>
        </is>
      </c>
      <c r="C378" s="52" t="inlineStr">
        <is>
          <t>ADX6000FB ADX6000s</t>
        </is>
      </c>
      <c r="D378" s="79">
        <f>IF(INDIRECT("'"&amp;$O378&amp;"'!F"&amp;$N378)="O","원자재",IF(INDIRECT("'"&amp;$O378&amp;"'!G"&amp;$N378)="O","반제품",IF(INDIRECT("'"&amp;$O378&amp;"'!H"&amp;$N378)="O","완제품","")))</f>
        <v/>
      </c>
      <c r="E378" s="79">
        <f>IFERROR(IF(INDIRECT("'"&amp;$O378&amp;"'!I"&amp;$N378)=0,"",INDIRECT("'"&amp;$O378&amp;"'!I"&amp;$N378)),"")</f>
        <v/>
      </c>
      <c r="F378" s="52" t="inlineStr">
        <is>
          <t>PC 전원 케이블 [ SMH250-02 (130mm) ] _ 하네스 6번</t>
        </is>
      </c>
      <c r="G378" s="52" t="inlineStr">
        <is>
          <t>하네스 6번 (SMH250-02 PC 전원 케이블 / 130mm) [ADX6000S]</t>
        </is>
      </c>
      <c r="H378" s="79">
        <f>IF(AND($F378="",$G378=""),"",IF($F378="","창고전용",IF($G378&lt;&gt;"","매칭완료",IF($D378="반제품","반제품(창고없음)",IF($D378="완제품","완제품(창고없음)",IF($D378="원자재","⚠ 원자재_부서보관","미분류"))))))</f>
        <v/>
      </c>
      <c r="I378" s="79">
        <f>IFERROR(IF(INDIRECT("'"&amp;$O378&amp;"'!P"&amp;$N378)=0,"",INDIRECT("'"&amp;$O378&amp;"'!P"&amp;$N378)),"")</f>
        <v/>
      </c>
      <c r="J378" s="61" t="inlineStr">
        <is>
          <t>PC 전원 케이블 [ SMH250-02 (130mm) ] _ 하네스 6번</t>
        </is>
      </c>
      <c r="K378" s="65" t="inlineStr">
        <is>
          <t>ADX6000FB PC 전원 케이블 (SMH250-02) 130mm [하네스 6번]</t>
        </is>
      </c>
      <c r="L378" s="83">
        <f>HYPERLINK("#'"&amp;$O378&amp;"'!A"&amp;$N378,"→ 조립자재 R"&amp;$N378)</f>
        <v/>
      </c>
      <c r="M378" s="84" t="n"/>
      <c r="N378" s="80" t="n">
        <v>202</v>
      </c>
      <c r="O378" s="80" t="inlineStr">
        <is>
          <t>조립자재_재고현황</t>
        </is>
      </c>
    </row>
    <row r="379" ht="30" customHeight="1">
      <c r="A379" s="56" t="inlineStr">
        <is>
          <t>조립</t>
        </is>
      </c>
      <c r="B379" s="52" t="inlineStr">
        <is>
          <t>하네스</t>
        </is>
      </c>
      <c r="C379" s="52" t="inlineStr">
        <is>
          <t>ADX6000FB ADX6000s</t>
        </is>
      </c>
      <c r="D379" s="79">
        <f>IF(INDIRECT("'"&amp;$O379&amp;"'!F"&amp;$N379)="O","원자재",IF(INDIRECT("'"&amp;$O379&amp;"'!G"&amp;$N379)="O","반제품",IF(INDIRECT("'"&amp;$O379&amp;"'!H"&amp;$N379)="O","완제품","")))</f>
        <v/>
      </c>
      <c r="E379" s="79">
        <f>IFERROR(IF(INDIRECT("'"&amp;$O379&amp;"'!I"&amp;$N379)=0,"",INDIRECT("'"&amp;$O379&amp;"'!I"&amp;$N379)),"")</f>
        <v/>
      </c>
      <c r="F379" s="52" t="inlineStr">
        <is>
          <t>DF19G-20S-1C(0.5) (2EA) (160mm) (ADX6000s용) LVDS 케이블 (하네스 7번)</t>
        </is>
      </c>
      <c r="G379" s="52" t="inlineStr">
        <is>
          <t>하네스 7번 (DF19G-20S-1C(0.5) (2EA) LVDS 케이블 / 160mm 힌지 작업시 발주) [ADX6000S]</t>
        </is>
      </c>
      <c r="H379" s="79">
        <f>IF(AND($F379="",$G379=""),"",IF($F379="","창고전용",IF($G379&lt;&gt;"","매칭완료",IF($D379="반제품","반제품(창고없음)",IF($D379="완제품","완제품(창고없음)",IF($D379="원자재","⚠ 원자재_부서보관","미분류"))))))</f>
        <v/>
      </c>
      <c r="I379" s="79">
        <f>IFERROR(IF(INDIRECT("'"&amp;$O379&amp;"'!P"&amp;$N379)=0,"",INDIRECT("'"&amp;$O379&amp;"'!P"&amp;$N379)),"")</f>
        <v/>
      </c>
      <c r="J379" s="61" t="inlineStr">
        <is>
          <t>DF19G-20S-1C(0.5) (2EA) (160mm) (ADX6000s용) LVDS 케이블 (하네스 7번)</t>
        </is>
      </c>
      <c r="K379" s="65" t="inlineStr">
        <is>
          <t>ADX6000FB LVDS 케이블 20핀 (DF19G-20S-1C(0.5) (2EA)) 160mm [하네스 7번]</t>
        </is>
      </c>
      <c r="L379" s="83">
        <f>HYPERLINK("#'"&amp;$O379&amp;"'!A"&amp;$N379,"→ 조립자재 R"&amp;$N379)</f>
        <v/>
      </c>
      <c r="M379" s="84" t="n"/>
      <c r="N379" s="80" t="n">
        <v>203</v>
      </c>
      <c r="O379" s="80" t="inlineStr">
        <is>
          <t>조립자재_재고현황</t>
        </is>
      </c>
    </row>
    <row r="380" ht="30" customHeight="1">
      <c r="A380" s="56" t="inlineStr">
        <is>
          <t>조립</t>
        </is>
      </c>
      <c r="B380" s="52" t="inlineStr">
        <is>
          <t>하네스</t>
        </is>
      </c>
      <c r="C380" s="52" t="inlineStr">
        <is>
          <t>ADX6000FB ADX6000s</t>
        </is>
      </c>
      <c r="D380" s="79">
        <f>IF(INDIRECT("'"&amp;$O380&amp;"'!F"&amp;$N380)="O","원자재",IF(INDIRECT("'"&amp;$O380&amp;"'!G"&amp;$N380)="O","반제품",IF(INDIRECT("'"&amp;$O380&amp;"'!H"&amp;$N380)="O","완제품","")))</f>
        <v/>
      </c>
      <c r="E380" s="79">
        <f>IFERROR(IF(INDIRECT("'"&amp;$O380&amp;"'!I"&amp;$N380)=0,"",INDIRECT("'"&amp;$O380&amp;"'!I"&amp;$N380)),"")</f>
        <v/>
      </c>
      <c r="F380" s="52" t="inlineStr">
        <is>
          <t>Carrier Mini BD 케이블 _ 하네스 9번  [ 12505HS-03 (100mm) ]</t>
        </is>
      </c>
      <c r="G380" s="52" t="inlineStr">
        <is>
          <t>하네스 9번 (12505HS-03 Carrier Mini BD 케이블 / 100mm) [ADX6000S]</t>
        </is>
      </c>
      <c r="H380" s="79">
        <f>IF(AND($F380="",$G380=""),"",IF($F380="","창고전용",IF($G380&lt;&gt;"","매칭완료",IF($D380="반제품","반제품(창고없음)",IF($D380="완제품","완제품(창고없음)",IF($D380="원자재","⚠ 원자재_부서보관","미분류"))))))</f>
        <v/>
      </c>
      <c r="I380" s="79">
        <f>IFERROR(IF(INDIRECT("'"&amp;$O380&amp;"'!P"&amp;$N380)=0,"",INDIRECT("'"&amp;$O380&amp;"'!P"&amp;$N380)),"")</f>
        <v/>
      </c>
      <c r="J380" s="61" t="inlineStr">
        <is>
          <t>Carrier Mini BD 케이블 _ 하네스 9번  [ 12505HS-03 (100mm) ]</t>
        </is>
      </c>
      <c r="K380" s="65" t="inlineStr">
        <is>
          <t>ADX6000FB Carrier Mini BD 케이블 3핀 (12505HS-03) 100mm [하네스 9번]</t>
        </is>
      </c>
      <c r="L380" s="83">
        <f>HYPERLINK("#'"&amp;$O380&amp;"'!A"&amp;$N380,"→ 조립자재 R"&amp;$N380)</f>
        <v/>
      </c>
      <c r="M380" s="84" t="n"/>
      <c r="N380" s="80" t="n">
        <v>204</v>
      </c>
      <c r="O380" s="80" t="inlineStr">
        <is>
          <t>조립자재_재고현황</t>
        </is>
      </c>
    </row>
    <row r="381" ht="30" customHeight="1">
      <c r="A381" s="56" t="inlineStr">
        <is>
          <t>조립</t>
        </is>
      </c>
      <c r="B381" s="52" t="inlineStr">
        <is>
          <t>하네스</t>
        </is>
      </c>
      <c r="C381" s="52" t="inlineStr">
        <is>
          <t>ADX6000FB ADX6000s</t>
        </is>
      </c>
      <c r="D381" s="79">
        <f>IF(INDIRECT("'"&amp;$O381&amp;"'!F"&amp;$N381)="O","원자재",IF(INDIRECT("'"&amp;$O381&amp;"'!G"&amp;$N381)="O","반제품",IF(INDIRECT("'"&amp;$O381&amp;"'!H"&amp;$N381)="O","완제품","")))</f>
        <v/>
      </c>
      <c r="E381" s="79">
        <f>IFERROR(IF(INDIRECT("'"&amp;$O381&amp;"'!I"&amp;$N381)=0,"",INDIRECT("'"&amp;$O381&amp;"'!I"&amp;$N381)),"")</f>
        <v/>
      </c>
      <c r="F381" s="52" t="inlineStr">
        <is>
          <t>Carrier Mini BD 케이블 _ 하네스 9-1번  [ 12505HS-03 (100mm) ]</t>
        </is>
      </c>
      <c r="G381" s="86" t="inlineStr">
        <is>
          <t>하네스 9-1번 (12505HS-03 Carrier Mini BD 케이블 / 100mm (한쪽만 커넥터)) [ADX6000S]</t>
        </is>
      </c>
      <c r="H381" s="79">
        <f>IF(AND($F381="",$G381=""),"",IF($F381="","창고전용",IF($G381&lt;&gt;"","매칭완료",IF($D381="반제품","반제품(창고없음)",IF($D381="완제품","완제품(창고없음)",IF($D381="원자재","⚠ 원자재_부서보관","미분류"))))))</f>
        <v/>
      </c>
      <c r="I381" s="79">
        <f>IFERROR(IF(INDIRECT("'"&amp;$O381&amp;"'!P"&amp;$N381)=0,"",INDIRECT("'"&amp;$O381&amp;"'!P"&amp;$N381)),"")</f>
        <v/>
      </c>
      <c r="J381" s="61" t="inlineStr">
        <is>
          <t>Carrier Mini BD 케이블 _ 하네스 9-1번  [ 12505HS-03 (100mm) ]</t>
        </is>
      </c>
      <c r="K381" s="65" t="inlineStr">
        <is>
          <t>ADX6000FB Carrier Mini BD 케이블 3핀 (한쪽만 커넥터) (12505HS-03) 100mm [하네스 9-1번]</t>
        </is>
      </c>
      <c r="L381" s="83">
        <f>HYPERLINK("#'"&amp;$O381&amp;"'!A"&amp;$N381,"→ 조립자재 R"&amp;$N381)</f>
        <v/>
      </c>
      <c r="M381" s="84" t="n"/>
      <c r="N381" s="80" t="n">
        <v>205</v>
      </c>
      <c r="O381" s="80" t="inlineStr">
        <is>
          <t>조립자재_재고현황</t>
        </is>
      </c>
    </row>
    <row r="382" ht="30" customHeight="1">
      <c r="A382" s="56" t="inlineStr">
        <is>
          <t>조립</t>
        </is>
      </c>
      <c r="B382" s="52" t="inlineStr">
        <is>
          <t>하네스</t>
        </is>
      </c>
      <c r="C382" s="52" t="inlineStr">
        <is>
          <t>ADX6000FB ADX6000s</t>
        </is>
      </c>
      <c r="D382" s="79">
        <f>IF(INDIRECT("'"&amp;$O382&amp;"'!F"&amp;$N382)="O","원자재",IF(INDIRECT("'"&amp;$O382&amp;"'!G"&amp;$N382)="O","반제품",IF(INDIRECT("'"&amp;$O382&amp;"'!H"&amp;$N382)="O","완제품","")))</f>
        <v/>
      </c>
      <c r="E382" s="79">
        <f>IFERROR(IF(INDIRECT("'"&amp;$O382&amp;"'!I"&amp;$N382)=0,"",INDIRECT("'"&amp;$O382&amp;"'!I"&amp;$N382)),"")</f>
        <v/>
      </c>
      <c r="F382" s="52" t="inlineStr">
        <is>
          <t>PC, CTR BD 연결 _ 하네스 10번 [ CHW0640-03, 1205HS-03 (130mm) ]</t>
        </is>
      </c>
      <c r="G382" s="52" t="inlineStr">
        <is>
          <t>하네스 10번 (CHW0640-03, 1205HS-03 PC, CTR BD 연결 / 130mm) [ADX6000S]</t>
        </is>
      </c>
      <c r="H382" s="79">
        <f>IF(AND($F382="",$G382=""),"",IF($F382="","창고전용",IF($G382&lt;&gt;"","매칭완료",IF($D382="반제품","반제품(창고없음)",IF($D382="완제품","완제품(창고없음)",IF($D382="원자재","⚠ 원자재_부서보관","미분류"))))))</f>
        <v/>
      </c>
      <c r="I382" s="79">
        <f>IFERROR(IF(INDIRECT("'"&amp;$O382&amp;"'!P"&amp;$N382)=0,"",INDIRECT("'"&amp;$O382&amp;"'!P"&amp;$N382)),"")</f>
        <v/>
      </c>
      <c r="J382" s="61" t="inlineStr">
        <is>
          <t>PC, CTR BD 연결 _ 하네스 10번 [ CHW0640-03, 1205HS-03 (130mm) ]</t>
        </is>
      </c>
      <c r="K382" s="65" t="inlineStr">
        <is>
          <t>ADX6000FB PC, CTR BD 연결 3핀 (CHW0640-03, 1205HS-03) 130mm [하네스 10번]</t>
        </is>
      </c>
      <c r="L382" s="83">
        <f>HYPERLINK("#'"&amp;$O382&amp;"'!A"&amp;$N382,"→ 조립자재 R"&amp;$N382)</f>
        <v/>
      </c>
      <c r="M382" s="84" t="n"/>
      <c r="N382" s="80" t="n">
        <v>206</v>
      </c>
      <c r="O382" s="80" t="inlineStr">
        <is>
          <t>조립자재_재고현황</t>
        </is>
      </c>
    </row>
    <row r="383" ht="30" customHeight="1">
      <c r="A383" s="56" t="inlineStr">
        <is>
          <t>조립</t>
        </is>
      </c>
      <c r="B383" s="52" t="inlineStr">
        <is>
          <t>하네스</t>
        </is>
      </c>
      <c r="C383" s="52" t="inlineStr">
        <is>
          <t>ADX6000 공용</t>
        </is>
      </c>
      <c r="D383" s="79">
        <f>IF(INDIRECT("'"&amp;$O383&amp;"'!F"&amp;$N383)="O","원자재",IF(INDIRECT("'"&amp;$O383&amp;"'!G"&amp;$N383)="O","반제품",IF(INDIRECT("'"&amp;$O383&amp;"'!H"&amp;$N383)="O","완제품","")))</f>
        <v/>
      </c>
      <c r="E383" s="79">
        <f>IFERROR(IF(INDIRECT("'"&amp;$O383&amp;"'!I"&amp;$N383)=0,"",INDIRECT("'"&amp;$O383&amp;"'!I"&amp;$N383)),"")</f>
        <v/>
      </c>
      <c r="F383" s="52" t="inlineStr">
        <is>
          <t>Battery BD 02 Wire Harness [4pin,2pin,Dual] [90mm,80mm] 탈착, 외부 BAT BD 연결 (하네스 11번)</t>
        </is>
      </c>
      <c r="G383" s="52" t="inlineStr">
        <is>
          <t>하네스 11번 (Battery BD 02 [4핀,2핀,Dual] 탈착, 외부 BAT BD 연결 / 90mm, 80mm) [ADX6000]</t>
        </is>
      </c>
      <c r="H383" s="79">
        <f>IF(AND($F383="",$G383=""),"",IF($F383="","창고전용",IF($G383&lt;&gt;"","매칭완료",IF($D383="반제품","반제품(창고없음)",IF($D383="완제품","완제품(창고없음)",IF($D383="원자재","⚠ 원자재_부서보관","미분류"))))))</f>
        <v/>
      </c>
      <c r="I383" s="79">
        <f>IFERROR(IF(INDIRECT("'"&amp;$O383&amp;"'!P"&amp;$N383)=0,"",INDIRECT("'"&amp;$O383&amp;"'!P"&amp;$N383)),"")</f>
        <v/>
      </c>
      <c r="J383" s="61" t="inlineStr">
        <is>
          <t>Battery BD 02 Wire Harness [4pin,2pin,Dual] [90mm,80mm] 탈착, 외부 BAT BD 연결 (하네스 11번)</t>
        </is>
      </c>
      <c r="K383" s="65" t="inlineStr">
        <is>
          <t>ADX6000 Battery BD 02 Wire Harness [4pin,2pin,Dual] 90mm,80mm 탈착, 외부 BAT BD 연결 (하네스 11번)</t>
        </is>
      </c>
      <c r="L383" s="83">
        <f>HYPERLINK("#'"&amp;$O383&amp;"'!A"&amp;$N383,"→ 조립자재 R"&amp;$N383)</f>
        <v/>
      </c>
      <c r="M383" s="84" t="n"/>
      <c r="N383" s="80" t="n">
        <v>207</v>
      </c>
      <c r="O383" s="80" t="inlineStr">
        <is>
          <t>조립자재_재고현황</t>
        </is>
      </c>
    </row>
    <row r="384" ht="30" customHeight="1">
      <c r="A384" s="56" t="inlineStr">
        <is>
          <t>조립</t>
        </is>
      </c>
      <c r="B384" s="52" t="inlineStr">
        <is>
          <t>하네스</t>
        </is>
      </c>
      <c r="C384" s="52" t="inlineStr">
        <is>
          <t>ADX6000 공용</t>
        </is>
      </c>
      <c r="D384" s="79">
        <f>IF(INDIRECT("'"&amp;$O384&amp;"'!F"&amp;$N384)="O","원자재",IF(INDIRECT("'"&amp;$O384&amp;"'!G"&amp;$N384)="O","반제품",IF(INDIRECT("'"&amp;$O384&amp;"'!H"&amp;$N384)="O","완제품","")))</f>
        <v/>
      </c>
      <c r="E384" s="79">
        <f>IFERROR(IF(INDIRECT("'"&amp;$O384&amp;"'!I"&amp;$N384)=0,"",INDIRECT("'"&amp;$O384&amp;"'!I"&amp;$N384)),"")</f>
        <v/>
      </c>
      <c r="F384" s="86" t="inlineStr">
        <is>
          <t>Battery BD 02 Wire Harness [12505HS-06] [80mm] 탈착 BAT BD 연결 (하네스 11-1번)</t>
        </is>
      </c>
      <c r="G384" s="52" t="n"/>
      <c r="H384" s="79">
        <f>IF(AND($F384="",$G384=""),"",IF($F384="","창고전용",IF($G384&lt;&gt;"","매칭완료",IF($D384="반제품","반제품(창고없음)",IF($D384="완제품","완제품(창고없음)",IF($D384="원자재","⚠ 원자재_부서보관","미분류"))))))</f>
        <v/>
      </c>
      <c r="I384" s="79">
        <f>IFERROR(IF(INDIRECT("'"&amp;$O384&amp;"'!P"&amp;$N384)=0,"",INDIRECT("'"&amp;$O384&amp;"'!P"&amp;$N384)),"")</f>
        <v/>
      </c>
      <c r="J384" s="61" t="inlineStr">
        <is>
          <t>Battery BD 02 Wire Harness [12505HS-06] [80mm] 탈착 BAT BD 연결 (하네스 11-1번)</t>
        </is>
      </c>
      <c r="K384" s="86" t="inlineStr">
        <is>
          <t>ADX6000 탈착 BAT BD (Ver 4.0) 연결 6핀 (12505HS-06) 80mm [하네스 11-1번]</t>
        </is>
      </c>
      <c r="L384" s="83">
        <f>HYPERLINK("#'"&amp;$O384&amp;"'!A"&amp;$N384,"→ 조립자재 R"&amp;$N384)</f>
        <v/>
      </c>
      <c r="M384" s="84" t="n"/>
      <c r="N384" s="80" t="n">
        <v>208</v>
      </c>
      <c r="O384" s="80" t="inlineStr">
        <is>
          <t>조립자재_재고현황</t>
        </is>
      </c>
    </row>
    <row r="385" ht="30" customHeight="1">
      <c r="A385" s="56" t="inlineStr">
        <is>
          <t>조립</t>
        </is>
      </c>
      <c r="B385" s="52" t="inlineStr">
        <is>
          <t>하네스</t>
        </is>
      </c>
      <c r="C385" s="52" t="inlineStr">
        <is>
          <t>ADX6000FB ADX6000s</t>
        </is>
      </c>
      <c r="D385" s="79">
        <f>IF(INDIRECT("'"&amp;$O385&amp;"'!F"&amp;$N385)="O","원자재",IF(INDIRECT("'"&amp;$O385&amp;"'!G"&amp;$N385)="O","반제품",IF(INDIRECT("'"&amp;$O385&amp;"'!H"&amp;$N385)="O","완제품","")))</f>
        <v/>
      </c>
      <c r="E385" s="79">
        <f>IFERROR(IF(INDIRECT("'"&amp;$O385&amp;"'!I"&amp;$N385)=0,"",INDIRECT("'"&amp;$O385&amp;"'!I"&amp;$N385)),"")</f>
        <v/>
      </c>
      <c r="F385" s="52" t="inlineStr">
        <is>
          <t>40pin FFC Cable (50mm) _ 하네스 14번</t>
        </is>
      </c>
      <c r="G385" s="52" t="inlineStr">
        <is>
          <t>하네스 14번 (FFC Cable 40핀 / 50mm - 사용안함) [ADX6000S]</t>
        </is>
      </c>
      <c r="H385" s="79">
        <f>IF(AND($F385="",$G385=""),"",IF($F385="","창고전용",IF($G385&lt;&gt;"","매칭완료",IF($D385="반제품","반제품(창고없음)",IF($D385="완제품","완제품(창고없음)",IF($D385="원자재","⚠ 원자재_부서보관","미분류"))))))</f>
        <v/>
      </c>
      <c r="I385" s="79">
        <f>IFERROR(IF(INDIRECT("'"&amp;$O385&amp;"'!P"&amp;$N385)=0,"",INDIRECT("'"&amp;$O385&amp;"'!P"&amp;$N385)),"")</f>
        <v/>
      </c>
      <c r="J385" s="61" t="inlineStr">
        <is>
          <t>40pin FFC Cable (50mm) _ 하네스 14번</t>
        </is>
      </c>
      <c r="K385" s="65" t="inlineStr">
        <is>
          <t>ADX6000FB 40핀 FFC Cable 50mm [하네스 14번]</t>
        </is>
      </c>
      <c r="L385" s="83">
        <f>HYPERLINK("#'"&amp;$O385&amp;"'!A"&amp;$N385,"→ 조립자재 R"&amp;$N385)</f>
        <v/>
      </c>
      <c r="M385" s="84" t="n"/>
      <c r="N385" s="80" t="n">
        <v>209</v>
      </c>
      <c r="O385" s="80" t="inlineStr">
        <is>
          <t>조립자재_재고현황</t>
        </is>
      </c>
    </row>
    <row r="386" ht="30" customHeight="1">
      <c r="A386" s="56" t="inlineStr">
        <is>
          <t>조립</t>
        </is>
      </c>
      <c r="B386" s="52" t="inlineStr">
        <is>
          <t>하네스</t>
        </is>
      </c>
      <c r="C386" s="52" t="inlineStr">
        <is>
          <t>ADX6000 공용</t>
        </is>
      </c>
      <c r="D386" s="79">
        <f>IF(INDIRECT("'"&amp;$O386&amp;"'!F"&amp;$N386)="O","원자재",IF(INDIRECT("'"&amp;$O386&amp;"'!G"&amp;$N386)="O","반제품",IF(INDIRECT("'"&amp;$O386&amp;"'!H"&amp;$N386)="O","완제품","")))</f>
        <v/>
      </c>
      <c r="E386" s="79">
        <f>IFERROR(IF(INDIRECT("'"&amp;$O386&amp;"'!I"&amp;$N386)=0,"",INDIRECT("'"&amp;$O386&amp;"'!I"&amp;$N386)),"")</f>
        <v/>
      </c>
      <c r="F386" s="52" t="inlineStr">
        <is>
          <t>Battery BD 01 Wire Harness 2pin [80mm]</t>
        </is>
      </c>
      <c r="G386" s="52" t="inlineStr">
        <is>
          <t>Battery BD 01 Wire Harness (2핀) (80mm) [ADX6000]</t>
        </is>
      </c>
      <c r="H386" s="79">
        <f>IF(AND($F386="",$G386=""),"",IF($F386="","창고전용",IF($G386&lt;&gt;"","매칭완료",IF($D386="반제품","반제품(창고없음)",IF($D386="완제품","완제품(창고없음)",IF($D386="원자재","⚠ 원자재_부서보관","미분류"))))))</f>
        <v/>
      </c>
      <c r="I386" s="79">
        <f>IFERROR(IF(INDIRECT("'"&amp;$O386&amp;"'!P"&amp;$N386)=0,"",INDIRECT("'"&amp;$O386&amp;"'!P"&amp;$N386)),"")</f>
        <v/>
      </c>
      <c r="J386" s="61" t="inlineStr">
        <is>
          <t>Battery BD 01 Wire Harness 2pin [80mm]</t>
        </is>
      </c>
      <c r="K386" s="65" t="inlineStr">
        <is>
          <t>ADX6000 Battery BD 01 Wire Harness 2핀 80mm</t>
        </is>
      </c>
      <c r="L386" s="83">
        <f>HYPERLINK("#'"&amp;$O386&amp;"'!A"&amp;$N386,"→ 조립자재 R"&amp;$N386)</f>
        <v/>
      </c>
      <c r="M386" s="84" t="n"/>
      <c r="N386" s="80" t="n">
        <v>210</v>
      </c>
      <c r="O386" s="80" t="inlineStr">
        <is>
          <t>조립자재_재고현황</t>
        </is>
      </c>
    </row>
    <row r="387" ht="30" customHeight="1">
      <c r="A387" s="56" t="inlineStr">
        <is>
          <t>조립</t>
        </is>
      </c>
      <c r="B387" s="52" t="inlineStr">
        <is>
          <t>하네스</t>
        </is>
      </c>
      <c r="C387" s="52" t="inlineStr">
        <is>
          <t>ADX6000 ADX6000U</t>
        </is>
      </c>
      <c r="D387" s="79">
        <f>IF(INDIRECT("'"&amp;$O387&amp;"'!F"&amp;$N387)="O","원자재",IF(INDIRECT("'"&amp;$O387&amp;"'!G"&amp;$N387)="O","반제품",IF(INDIRECT("'"&amp;$O387&amp;"'!H"&amp;$N387)="O","완제품","")))</f>
        <v/>
      </c>
      <c r="E387" s="79">
        <f>IFERROR(IF(INDIRECT("'"&amp;$O387&amp;"'!I"&amp;$N387)=0,"",INDIRECT("'"&amp;$O387&amp;"'!I"&amp;$N387)),"")</f>
        <v/>
      </c>
      <c r="F387" s="52" t="inlineStr">
        <is>
          <t>PC Connector Wire Harness 7pin [100mm,140mm,200mm]</t>
        </is>
      </c>
      <c r="G387" s="52" t="inlineStr">
        <is>
          <t>PC Connector Wire Harness (7핀) (100mm, 140mm, 200mm) [ADX6000]</t>
        </is>
      </c>
      <c r="H387" s="79">
        <f>IF(AND($F387="",$G387=""),"",IF($F387="","창고전용",IF($G387&lt;&gt;"","매칭완료",IF($D387="반제품","반제품(창고없음)",IF($D387="완제품","완제품(창고없음)",IF($D387="원자재","⚠ 원자재_부서보관","미분류"))))))</f>
        <v/>
      </c>
      <c r="I387" s="79">
        <f>IFERROR(IF(INDIRECT("'"&amp;$O387&amp;"'!P"&amp;$N387)=0,"",INDIRECT("'"&amp;$O387&amp;"'!P"&amp;$N387)),"")</f>
        <v/>
      </c>
      <c r="J387" s="61" t="inlineStr">
        <is>
          <t>PC Connector Wire Harness 7pin [100mm,140mm,200mm]</t>
        </is>
      </c>
      <c r="K387" s="65" t="inlineStr">
        <is>
          <t>ADX6000 PC Connector Wire Harness 7핀 100mm,140mm,200mm</t>
        </is>
      </c>
      <c r="L387" s="83">
        <f>HYPERLINK("#'"&amp;$O387&amp;"'!A"&amp;$N387,"→ 조립자재 R"&amp;$N387)</f>
        <v/>
      </c>
      <c r="M387" s="84" t="n"/>
      <c r="N387" s="80" t="n">
        <v>211</v>
      </c>
      <c r="O387" s="80" t="inlineStr">
        <is>
          <t>조립자재_재고현황</t>
        </is>
      </c>
    </row>
    <row r="388" ht="30" customHeight="1">
      <c r="A388" s="56" t="inlineStr">
        <is>
          <t>조립</t>
        </is>
      </c>
      <c r="B388" s="52" t="inlineStr">
        <is>
          <t>하네스</t>
        </is>
      </c>
      <c r="C388" s="52" t="inlineStr">
        <is>
          <t>ADX6000 ADX6000U</t>
        </is>
      </c>
      <c r="D388" s="79">
        <f>IF(INDIRECT("'"&amp;$O388&amp;"'!F"&amp;$N388)="O","원자재",IF(INDIRECT("'"&amp;$O388&amp;"'!G"&amp;$N388)="O","반제품",IF(INDIRECT("'"&amp;$O388&amp;"'!H"&amp;$N388)="O","완제품","")))</f>
        <v/>
      </c>
      <c r="E388" s="79">
        <f>IFERROR(IF(INDIRECT("'"&amp;$O388&amp;"'!I"&amp;$N388)=0,"",INDIRECT("'"&amp;$O388&amp;"'!I"&amp;$N388)),"")</f>
        <v/>
      </c>
      <c r="F388" s="52" t="inlineStr">
        <is>
          <t>RS422 통신 Wire Harness 6pin [120mm]</t>
        </is>
      </c>
      <c r="G388" s="52" t="inlineStr">
        <is>
          <t>RS422 통신 Wire Harness (6핀) (120mm) [ADX6000]</t>
        </is>
      </c>
      <c r="H388" s="79">
        <f>IF(AND($F388="",$G388=""),"",IF($F388="","창고전용",IF($G388&lt;&gt;"","매칭완료",IF($D388="반제품","반제품(창고없음)",IF($D388="완제품","완제품(창고없음)",IF($D388="원자재","⚠ 원자재_부서보관","미분류"))))))</f>
        <v/>
      </c>
      <c r="I388" s="79">
        <f>IFERROR(IF(INDIRECT("'"&amp;$O388&amp;"'!P"&amp;$N388)=0,"",INDIRECT("'"&amp;$O388&amp;"'!P"&amp;$N388)),"")</f>
        <v/>
      </c>
      <c r="J388" s="61" t="inlineStr">
        <is>
          <t>RS422 통신 Wire Harness 6pin [120mm]</t>
        </is>
      </c>
      <c r="K388" s="65" t="inlineStr">
        <is>
          <t>ADX6000 RS422 통신 Wire Harness 6핀 120mm</t>
        </is>
      </c>
      <c r="L388" s="83">
        <f>HYPERLINK("#'"&amp;$O388&amp;"'!A"&amp;$N388,"→ 조립자재 R"&amp;$N388)</f>
        <v/>
      </c>
      <c r="M388" s="84" t="n"/>
      <c r="N388" s="80" t="n">
        <v>212</v>
      </c>
      <c r="O388" s="80" t="inlineStr">
        <is>
          <t>조립자재_재고현황</t>
        </is>
      </c>
    </row>
    <row r="389" ht="30" customHeight="1">
      <c r="A389" s="56" t="inlineStr">
        <is>
          <t>조립</t>
        </is>
      </c>
      <c r="B389" s="52" t="inlineStr">
        <is>
          <t>하네스</t>
        </is>
      </c>
      <c r="C389" s="52" t="inlineStr">
        <is>
          <t>ADX6000 ADX6000U</t>
        </is>
      </c>
      <c r="D389" s="79">
        <f>IF(INDIRECT("'"&amp;$O389&amp;"'!F"&amp;$N389)="O","원자재",IF(INDIRECT("'"&amp;$O389&amp;"'!G"&amp;$N389)="O","반제품",IF(INDIRECT("'"&amp;$O389&amp;"'!H"&amp;$N389)="O","완제품","")))</f>
        <v/>
      </c>
      <c r="E389" s="79">
        <f>IFERROR(IF(INDIRECT("'"&amp;$O389&amp;"'!I"&amp;$N389)=0,"",INDIRECT("'"&amp;$O389&amp;"'!I"&amp;$N389)),"")</f>
        <v/>
      </c>
      <c r="F389" s="52" t="inlineStr">
        <is>
          <t>USB Connector Wire Harness 4pin [100mm]</t>
        </is>
      </c>
      <c r="G389" s="52" t="inlineStr">
        <is>
          <t>USB Connector Wire Harness (4핀) (100mm) [ADX6000]</t>
        </is>
      </c>
      <c r="H389" s="79">
        <f>IF(AND($F389="",$G389=""),"",IF($F389="","창고전용",IF($G389&lt;&gt;"","매칭완료",IF($D389="반제품","반제품(창고없음)",IF($D389="완제품","완제품(창고없음)",IF($D389="원자재","⚠ 원자재_부서보관","미분류"))))))</f>
        <v/>
      </c>
      <c r="I389" s="79">
        <f>IFERROR(IF(INDIRECT("'"&amp;$O389&amp;"'!P"&amp;$N389)=0,"",INDIRECT("'"&amp;$O389&amp;"'!P"&amp;$N389)),"")</f>
        <v/>
      </c>
      <c r="J389" s="61" t="inlineStr">
        <is>
          <t>USB Connector Wire Harness 4pin [100mm]</t>
        </is>
      </c>
      <c r="K389" s="65" t="inlineStr">
        <is>
          <t>ADX6000 USB Connector Wire Harness 4핀 100mm</t>
        </is>
      </c>
      <c r="L389" s="83">
        <f>HYPERLINK("#'"&amp;$O389&amp;"'!A"&amp;$N389,"→ 조립자재 R"&amp;$N389)</f>
        <v/>
      </c>
      <c r="M389" s="84" t="n"/>
      <c r="N389" s="80" t="n">
        <v>213</v>
      </c>
      <c r="O389" s="80" t="inlineStr">
        <is>
          <t>조립자재_재고현황</t>
        </is>
      </c>
    </row>
    <row r="390" ht="30" customHeight="1">
      <c r="A390" s="56" t="inlineStr">
        <is>
          <t>조립</t>
        </is>
      </c>
      <c r="B390" s="52" t="inlineStr">
        <is>
          <t>하네스</t>
        </is>
      </c>
      <c r="C390" s="52" t="inlineStr">
        <is>
          <t>ADX6000 ADX6000U</t>
        </is>
      </c>
      <c r="D390" s="79">
        <f>IF(INDIRECT("'"&amp;$O390&amp;"'!F"&amp;$N390)="O","원자재",IF(INDIRECT("'"&amp;$O390&amp;"'!G"&amp;$N390)="O","반제품",IF(INDIRECT("'"&amp;$O390&amp;"'!H"&amp;$N390)="O","완제품","")))</f>
        <v/>
      </c>
      <c r="E390" s="79">
        <f>IFERROR(IF(INDIRECT("'"&amp;$O390&amp;"'!I"&amp;$N390)=0,"",INDIRECT("'"&amp;$O390&amp;"'!I"&amp;$N390)),"")</f>
        <v/>
      </c>
      <c r="F390" s="52" t="inlineStr">
        <is>
          <t>FFC 16pin [82mm] (ADX6000용)</t>
        </is>
      </c>
      <c r="G390" s="52" t="inlineStr">
        <is>
          <t>FFC (16핀) (82mm) [ADX6000]</t>
        </is>
      </c>
      <c r="H390" s="79">
        <f>IF(AND($F390="",$G390=""),"",IF($F390="","창고전용",IF($G390&lt;&gt;"","매칭완료",IF($D390="반제품","반제품(창고없음)",IF($D390="완제품","완제품(창고없음)",IF($D390="원자재","⚠ 원자재_부서보관","미분류"))))))</f>
        <v/>
      </c>
      <c r="I390" s="79">
        <f>IFERROR(IF(INDIRECT("'"&amp;$O390&amp;"'!P"&amp;$N390)=0,"",INDIRECT("'"&amp;$O390&amp;"'!P"&amp;$N390)),"")</f>
        <v/>
      </c>
      <c r="J390" s="61" t="inlineStr">
        <is>
          <t>FFC 16pin [82mm] (ADX6000용)</t>
        </is>
      </c>
      <c r="K390" s="65" t="inlineStr">
        <is>
          <t>ADX6000 16핀 FFC Cable 82mm</t>
        </is>
      </c>
      <c r="L390" s="83">
        <f>HYPERLINK("#'"&amp;$O390&amp;"'!A"&amp;$N390,"→ 조립자재 R"&amp;$N390)</f>
        <v/>
      </c>
      <c r="M390" s="84" t="n"/>
      <c r="N390" s="80" t="n">
        <v>214</v>
      </c>
      <c r="O390" s="80" t="inlineStr">
        <is>
          <t>조립자재_재고현황</t>
        </is>
      </c>
    </row>
    <row r="391" ht="30" customHeight="1">
      <c r="A391" s="56" t="inlineStr">
        <is>
          <t>조립</t>
        </is>
      </c>
      <c r="B391" s="52" t="inlineStr">
        <is>
          <t>하네스</t>
        </is>
      </c>
      <c r="C391" s="52" t="inlineStr">
        <is>
          <t>ADX6000 ADX6000U</t>
        </is>
      </c>
      <c r="D391" s="79">
        <f>IF(INDIRECT("'"&amp;$O391&amp;"'!F"&amp;$N391)="O","원자재",IF(INDIRECT("'"&amp;$O391&amp;"'!G"&amp;$N391)="O","반제품",IF(INDIRECT("'"&amp;$O391&amp;"'!H"&amp;$N391)="O","완제품","")))</f>
        <v/>
      </c>
      <c r="E391" s="79">
        <f>IFERROR(IF(INDIRECT("'"&amp;$O391&amp;"'!I"&amp;$N391)=0,"",INDIRECT("'"&amp;$O391&amp;"'!I"&amp;$N391)),"")</f>
        <v/>
      </c>
      <c r="F391" s="52" t="inlineStr">
        <is>
          <t>Front USB Wire Harness 4pin [80mm]</t>
        </is>
      </c>
      <c r="G391" s="52" t="inlineStr">
        <is>
          <t>Front USB Wire Harness (4핀) (80mm) [ADX6000]</t>
        </is>
      </c>
      <c r="H391" s="79">
        <f>IF(AND($F391="",$G391=""),"",IF($F391="","창고전용",IF($G391&lt;&gt;"","매칭완료",IF($D391="반제품","반제품(창고없음)",IF($D391="완제품","완제품(창고없음)",IF($D391="원자재","⚠ 원자재_부서보관","미분류"))))))</f>
        <v/>
      </c>
      <c r="I391" s="79">
        <f>IFERROR(IF(INDIRECT("'"&amp;$O391&amp;"'!P"&amp;$N391)=0,"",INDIRECT("'"&amp;$O391&amp;"'!P"&amp;$N391)),"")</f>
        <v/>
      </c>
      <c r="J391" s="61" t="inlineStr">
        <is>
          <t>Front USB Wire Harness 4pin [80mm]</t>
        </is>
      </c>
      <c r="K391" s="65" t="inlineStr">
        <is>
          <t>ADX6000 Front USB Wire Harness 4핀 80mm</t>
        </is>
      </c>
      <c r="L391" s="83">
        <f>HYPERLINK("#'"&amp;$O391&amp;"'!A"&amp;$N391,"→ 조립자재 R"&amp;$N391)</f>
        <v/>
      </c>
      <c r="M391" s="84" t="n"/>
      <c r="N391" s="80" t="n">
        <v>215</v>
      </c>
      <c r="O391" s="80" t="inlineStr">
        <is>
          <t>조립자재_재고현황</t>
        </is>
      </c>
    </row>
    <row r="392" ht="30" customHeight="1">
      <c r="A392" s="56" t="inlineStr">
        <is>
          <t>조립</t>
        </is>
      </c>
      <c r="B392" s="86" t="inlineStr">
        <is>
          <t>사출 ASS'Y</t>
        </is>
      </c>
      <c r="C392" s="52" t="inlineStr">
        <is>
          <t>ADX6000 공용</t>
        </is>
      </c>
      <c r="D392" s="79">
        <f>IF(INDIRECT("'"&amp;$O392&amp;"'!F"&amp;$N392)="O","원자재",IF(INDIRECT("'"&amp;$O392&amp;"'!G"&amp;$N392)="O","반제품",IF(INDIRECT("'"&amp;$O392&amp;"'!H"&amp;$N392)="O","완제품","")))</f>
        <v/>
      </c>
      <c r="E392" s="79">
        <f>IFERROR(IF(INDIRECT("'"&amp;$O392&amp;"'!I"&amp;$N392)=0,"",INDIRECT("'"&amp;$O392&amp;"'!I"&amp;$N392)),"")</f>
        <v/>
      </c>
      <c r="F392" s="52" t="inlineStr">
        <is>
          <t>콘 납 부착 ASS'Y</t>
        </is>
      </c>
      <c r="G392" s="52" t="n"/>
      <c r="H392" s="79">
        <f>IF(AND($F392="",$G392=""),"",IF($F392="","창고전용",IF($G392&lt;&gt;"","매칭완료",IF($D392="반제품","반제품(창고없음)",IF($D392="완제품","완제품(창고없음)",IF($D392="원자재","⚠ 원자재_부서보관","미분류"))))))</f>
        <v/>
      </c>
      <c r="I392" s="79">
        <f>IFERROR(IF(INDIRECT("'"&amp;$O392&amp;"'!P"&amp;$N392)=0,"",INDIRECT("'"&amp;$O392&amp;"'!P"&amp;$N392)),"")</f>
        <v/>
      </c>
      <c r="J392" s="61" t="inlineStr">
        <is>
          <t>콘 납 부착 ASS'Y</t>
        </is>
      </c>
      <c r="K392" s="65" t="inlineStr">
        <is>
          <t>ADX6000 콘 납 부착 ASS'Y</t>
        </is>
      </c>
      <c r="L392" s="83">
        <f>HYPERLINK("#'"&amp;$O392&amp;"'!A"&amp;$N392,"→ 조립자재 R"&amp;$N392)</f>
        <v/>
      </c>
      <c r="M392" s="84" t="n"/>
      <c r="N392" s="80" t="n">
        <v>216</v>
      </c>
      <c r="O392" s="80" t="inlineStr">
        <is>
          <t>조립자재_재고현황</t>
        </is>
      </c>
    </row>
    <row r="393" ht="30" customHeight="1">
      <c r="A393" s="56" t="inlineStr">
        <is>
          <t>조립</t>
        </is>
      </c>
      <c r="B393" s="86" t="inlineStr">
        <is>
          <t>사출 ASS'Y</t>
        </is>
      </c>
      <c r="C393" s="52" t="inlineStr">
        <is>
          <t>ADX6000 공용</t>
        </is>
      </c>
      <c r="D393" s="79">
        <f>IF(INDIRECT("'"&amp;$O393&amp;"'!F"&amp;$N393)="O","원자재",IF(INDIRECT("'"&amp;$O393&amp;"'!G"&amp;$N393)="O","반제품",IF(INDIRECT("'"&amp;$O393&amp;"'!H"&amp;$N393)="O","완제품","")))</f>
        <v/>
      </c>
      <c r="E393" s="79">
        <f>IFERROR(IF(INDIRECT("'"&amp;$O393&amp;"'!I"&amp;$N393)=0,"",INDIRECT("'"&amp;$O393&amp;"'!I"&amp;$N393)),"")</f>
        <v/>
      </c>
      <c r="F393" s="52" t="inlineStr">
        <is>
          <t>콘 컬리메이터 ASS'Y</t>
        </is>
      </c>
      <c r="G393" s="52" t="n"/>
      <c r="H393" s="79">
        <f>IF(AND($F393="",$G393=""),"",IF($F393="","창고전용",IF($G393&lt;&gt;"","매칭완료",IF($D393="반제품","반제품(창고없음)",IF($D393="완제품","완제품(창고없음)",IF($D393="원자재","⚠ 원자재_부서보관","미분류"))))))</f>
        <v/>
      </c>
      <c r="I393" s="79">
        <f>IFERROR(IF(INDIRECT("'"&amp;$O393&amp;"'!P"&amp;$N393)=0,"",INDIRECT("'"&amp;$O393&amp;"'!P"&amp;$N393)),"")</f>
        <v/>
      </c>
      <c r="J393" s="61" t="inlineStr">
        <is>
          <t>콘 컬리메이터 ASS'Y</t>
        </is>
      </c>
      <c r="K393" s="65" t="inlineStr">
        <is>
          <t>ADX6000 콘 컬리메이터 ASS'Y</t>
        </is>
      </c>
      <c r="L393" s="83">
        <f>HYPERLINK("#'"&amp;$O393&amp;"'!A"&amp;$N393,"→ 조립자재 R"&amp;$N393)</f>
        <v/>
      </c>
      <c r="M393" s="84" t="n"/>
      <c r="N393" s="80" t="n">
        <v>217</v>
      </c>
      <c r="O393" s="80" t="inlineStr">
        <is>
          <t>조립자재_재고현황</t>
        </is>
      </c>
    </row>
    <row r="394" ht="30" customHeight="1">
      <c r="A394" s="56" t="inlineStr">
        <is>
          <t>조립</t>
        </is>
      </c>
      <c r="B394" s="86" t="inlineStr">
        <is>
          <t>사출 ASS'Y</t>
        </is>
      </c>
      <c r="C394" s="52" t="inlineStr">
        <is>
          <t>ADX6000 공용</t>
        </is>
      </c>
      <c r="D394" s="79">
        <f>IF(INDIRECT("'"&amp;$O394&amp;"'!F"&amp;$N394)="O","원자재",IF(INDIRECT("'"&amp;$O394&amp;"'!G"&amp;$N394)="O","반제품",IF(INDIRECT("'"&amp;$O394&amp;"'!H"&amp;$N394)="O","완제품","")))</f>
        <v/>
      </c>
      <c r="E394" s="79">
        <f>IFERROR(IF(INDIRECT("'"&amp;$O394&amp;"'!I"&amp;$N394)=0,"",INDIRECT("'"&amp;$O394&amp;"'!I"&amp;$N394)),"")</f>
        <v/>
      </c>
      <c r="F394" s="52" t="inlineStr">
        <is>
          <t>콘 컬리메이터 ASS'Y + BOTTOM Base block</t>
        </is>
      </c>
      <c r="G394" s="52" t="n"/>
      <c r="H394" s="79">
        <f>IF(AND($F394="",$G394=""),"",IF($F394="","창고전용",IF($G394&lt;&gt;"","매칭완료",IF($D394="반제품","반제품(창고없음)",IF($D394="완제품","완제품(창고없음)",IF($D394="원자재","⚠ 원자재_부서보관","미분류"))))))</f>
        <v/>
      </c>
      <c r="I394" s="79">
        <f>IFERROR(IF(INDIRECT("'"&amp;$O394&amp;"'!P"&amp;$N394)=0,"",INDIRECT("'"&amp;$O394&amp;"'!P"&amp;$N394)),"")</f>
        <v/>
      </c>
      <c r="J394" s="61" t="inlineStr">
        <is>
          <t>콘 컬리메이터 ASS'Y + BOTTOM Base block</t>
        </is>
      </c>
      <c r="K394" s="65" t="inlineStr">
        <is>
          <t>ADX6000 콘 컬리메이터 ASS'Y + BOTTOM Base block</t>
        </is>
      </c>
      <c r="L394" s="83">
        <f>HYPERLINK("#'"&amp;$O394&amp;"'!A"&amp;$N394,"→ 조립자재 R"&amp;$N394)</f>
        <v/>
      </c>
      <c r="M394" s="84" t="n"/>
      <c r="N394" s="80" t="n">
        <v>218</v>
      </c>
      <c r="O394" s="80" t="inlineStr">
        <is>
          <t>조립자재_재고현황</t>
        </is>
      </c>
    </row>
    <row r="395" ht="30" customHeight="1">
      <c r="A395" s="56" t="inlineStr">
        <is>
          <t>조립</t>
        </is>
      </c>
      <c r="B395" s="86" t="inlineStr">
        <is>
          <t>사출 ASS'Y</t>
        </is>
      </c>
      <c r="C395" s="52" t="inlineStr">
        <is>
          <t>ADX6000 공용</t>
        </is>
      </c>
      <c r="D395" s="79">
        <f>IF(INDIRECT("'"&amp;$O395&amp;"'!F"&amp;$N395)="O","원자재",IF(INDIRECT("'"&amp;$O395&amp;"'!G"&amp;$N395)="O","반제품",IF(INDIRECT("'"&amp;$O395&amp;"'!H"&amp;$N395)="O","완제품","")))</f>
        <v/>
      </c>
      <c r="E395" s="79">
        <f>IFERROR(IF(INDIRECT("'"&amp;$O395&amp;"'!I"&amp;$N395)=0,"",INDIRECT("'"&amp;$O395&amp;"'!I"&amp;$N395)),"")</f>
        <v/>
      </c>
      <c r="F395" s="52" t="inlineStr">
        <is>
          <t>컬리메이터 ASS'Y</t>
        </is>
      </c>
      <c r="G395" s="52" t="n"/>
      <c r="H395" s="79">
        <f>IF(AND($F395="",$G395=""),"",IF($F395="","창고전용",IF($G395&lt;&gt;"","매칭완료",IF($D395="반제품","반제품(창고없음)",IF($D395="완제품","완제품(창고없음)",IF($D395="원자재","⚠ 원자재_부서보관","미분류"))))))</f>
        <v/>
      </c>
      <c r="I395" s="79">
        <f>IFERROR(IF(INDIRECT("'"&amp;$O395&amp;"'!P"&amp;$N395)=0,"",INDIRECT("'"&amp;$O395&amp;"'!P"&amp;$N395)),"")</f>
        <v/>
      </c>
      <c r="J395" s="61" t="inlineStr">
        <is>
          <t>컬리메이터 ASS'Y</t>
        </is>
      </c>
      <c r="K395" s="65" t="inlineStr">
        <is>
          <t>ADX6000 컬리메이터 ASS'Y</t>
        </is>
      </c>
      <c r="L395" s="83">
        <f>HYPERLINK("#'"&amp;$O395&amp;"'!A"&amp;$N395,"→ 조립자재 R"&amp;$N395)</f>
        <v/>
      </c>
      <c r="M395" s="84" t="n"/>
      <c r="N395" s="80" t="n">
        <v>219</v>
      </c>
      <c r="O395" s="80" t="inlineStr">
        <is>
          <t>조립자재_재고현황</t>
        </is>
      </c>
    </row>
    <row r="396" ht="30" customHeight="1">
      <c r="A396" s="56" t="inlineStr">
        <is>
          <t>조립</t>
        </is>
      </c>
      <c r="B396" s="86" t="inlineStr">
        <is>
          <t>사출 ASS'Y</t>
        </is>
      </c>
      <c r="C396" s="52" t="inlineStr">
        <is>
          <t>ADX6000 공용</t>
        </is>
      </c>
      <c r="D396" s="79">
        <f>IF(INDIRECT("'"&amp;$O396&amp;"'!F"&amp;$N396)="O","원자재",IF(INDIRECT("'"&amp;$O396&amp;"'!G"&amp;$N396)="O","반제품",IF(INDIRECT("'"&amp;$O396&amp;"'!H"&amp;$N396)="O","완제품","")))</f>
        <v/>
      </c>
      <c r="E396" s="79">
        <f>IFERROR(IF(INDIRECT("'"&amp;$O396&amp;"'!I"&amp;$N396)=0,"",INDIRECT("'"&amp;$O396&amp;"'!I"&amp;$N396)),"")</f>
        <v/>
      </c>
      <c r="F396" s="52" t="inlineStr">
        <is>
          <t>컬리메이터 ASS'Y + BOTTOM Base block (더 밝게 수정)</t>
        </is>
      </c>
      <c r="G396" s="52" t="n"/>
      <c r="H396" s="79">
        <f>IF(AND($F396="",$G396=""),"",IF($F396="","창고전용",IF($G396&lt;&gt;"","매칭완료",IF($D396="반제품","반제품(창고없음)",IF($D396="완제품","완제품(창고없음)",IF($D396="원자재","⚠ 원자재_부서보관","미분류"))))))</f>
        <v/>
      </c>
      <c r="I396" s="79">
        <f>IFERROR(IF(INDIRECT("'"&amp;$O396&amp;"'!P"&amp;$N396)=0,"",INDIRECT("'"&amp;$O396&amp;"'!P"&amp;$N396)),"")</f>
        <v/>
      </c>
      <c r="J396" s="61" t="inlineStr">
        <is>
          <t>컬리메이터 ASS'Y + BOTTOM Base block (더 밝게 수정)</t>
        </is>
      </c>
      <c r="K396" s="65" t="inlineStr">
        <is>
          <t>ADX6000 컬리메이터 ASS'Y + BOTTOM Base block (더 밝게 수정)</t>
        </is>
      </c>
      <c r="L396" s="83">
        <f>HYPERLINK("#'"&amp;$O396&amp;"'!A"&amp;$N396,"→ 조립자재 R"&amp;$N396)</f>
        <v/>
      </c>
      <c r="M396" s="84" t="n"/>
      <c r="N396" s="80" t="n">
        <v>220</v>
      </c>
      <c r="O396" s="80" t="inlineStr">
        <is>
          <t>조립자재_재고현황</t>
        </is>
      </c>
    </row>
    <row r="397" ht="30" customHeight="1">
      <c r="A397" s="56" t="inlineStr">
        <is>
          <t>조립</t>
        </is>
      </c>
      <c r="B397" s="86" t="inlineStr">
        <is>
          <t>사출 ASS'Y</t>
        </is>
      </c>
      <c r="C397" s="52" t="inlineStr">
        <is>
          <t>ADX6000 공용</t>
        </is>
      </c>
      <c r="D397" s="79">
        <f>IF(INDIRECT("'"&amp;$O397&amp;"'!F"&amp;$N397)="O","원자재",IF(INDIRECT("'"&amp;$O397&amp;"'!G"&amp;$N397)="O","반제품",IF(INDIRECT("'"&amp;$O397&amp;"'!H"&amp;$N397)="O","완제품","")))</f>
        <v/>
      </c>
      <c r="E397" s="79">
        <f>IFERROR(IF(INDIRECT("'"&amp;$O397&amp;"'!I"&amp;$N397)=0,"",INDIRECT("'"&amp;$O397&amp;"'!I"&amp;$N397)),"")</f>
        <v/>
      </c>
      <c r="F397" s="52" t="inlineStr">
        <is>
          <t>컬리메이터 ASS'Y + BOTTOM Base block</t>
        </is>
      </c>
      <c r="G397" s="52" t="n"/>
      <c r="H397" s="79">
        <f>IF(AND($F397="",$G397=""),"",IF($F397="","창고전용",IF($G397&lt;&gt;"","매칭완료",IF($D397="반제품","반제품(창고없음)",IF($D397="완제품","완제품(창고없음)",IF($D397="원자재","⚠ 원자재_부서보관","미분류"))))))</f>
        <v/>
      </c>
      <c r="I397" s="79">
        <f>IFERROR(IF(INDIRECT("'"&amp;$O397&amp;"'!P"&amp;$N397)=0,"",INDIRECT("'"&amp;$O397&amp;"'!P"&amp;$N397)),"")</f>
        <v/>
      </c>
      <c r="J397" s="61" t="inlineStr">
        <is>
          <t>컬리메이터 ASS'Y + BOTTOM Base block</t>
        </is>
      </c>
      <c r="K397" s="65" t="inlineStr">
        <is>
          <t>ADX6000 컬리메이터 ASS'Y + BOTTOM Base block</t>
        </is>
      </c>
      <c r="L397" s="83">
        <f>HYPERLINK("#'"&amp;$O397&amp;"'!A"&amp;$N397,"→ 조립자재 R"&amp;$N397)</f>
        <v/>
      </c>
      <c r="M397" s="84" t="n"/>
      <c r="N397" s="80" t="n">
        <v>221</v>
      </c>
      <c r="O397" s="80" t="inlineStr">
        <is>
          <t>조립자재_재고현황</t>
        </is>
      </c>
    </row>
    <row r="398" ht="30" customHeight="1">
      <c r="A398" s="56" t="inlineStr">
        <is>
          <t>조립</t>
        </is>
      </c>
      <c r="B398" s="86" t="inlineStr">
        <is>
          <t>사출 ASS'Y</t>
        </is>
      </c>
      <c r="C398" s="52" t="inlineStr">
        <is>
          <t>ADX6000 공용</t>
        </is>
      </c>
      <c r="D398" s="79">
        <f>IF(INDIRECT("'"&amp;$O398&amp;"'!F"&amp;$N398)="O","원자재",IF(INDIRECT("'"&amp;$O398&amp;"'!G"&amp;$N398)="O","반제품",IF(INDIRECT("'"&amp;$O398&amp;"'!H"&amp;$N398)="O","완제품","")))</f>
        <v/>
      </c>
      <c r="E398" s="79">
        <f>IFERROR(IF(INDIRECT("'"&amp;$O398&amp;"'!I"&amp;$N398)=0,"",INDIRECT("'"&amp;$O398&amp;"'!I"&amp;$N398)),"")</f>
        <v/>
      </c>
      <c r="F398" s="52" t="inlineStr">
        <is>
          <t>컬리메이터 ASS'Y + TOP, BOTTOM Base block</t>
        </is>
      </c>
      <c r="G398" s="52" t="n"/>
      <c r="H398" s="79">
        <f>IF(AND($F398="",$G398=""),"",IF($F398="","창고전용",IF($G398&lt;&gt;"","매칭완료",IF($D398="반제품","반제품(창고없음)",IF($D398="완제품","완제품(창고없음)",IF($D398="원자재","⚠ 원자재_부서보관","미분류"))))))</f>
        <v/>
      </c>
      <c r="I398" s="79">
        <f>IFERROR(IF(INDIRECT("'"&amp;$O398&amp;"'!P"&amp;$N398)=0,"",INDIRECT("'"&amp;$O398&amp;"'!P"&amp;$N398)),"")</f>
        <v/>
      </c>
      <c r="J398" s="61" t="inlineStr">
        <is>
          <t>컬리메이터 ASS'Y + TOP, BOTTOM Base block</t>
        </is>
      </c>
      <c r="K398" s="65" t="inlineStr">
        <is>
          <t>ADX6000 컬리메이터 ASS'Y + TOP, BOTTOM Base block</t>
        </is>
      </c>
      <c r="L398" s="83">
        <f>HYPERLINK("#'"&amp;$O398&amp;"'!A"&amp;$N398,"→ 조립자재 R"&amp;$N398)</f>
        <v/>
      </c>
      <c r="M398" s="84" t="n"/>
      <c r="N398" s="80" t="n">
        <v>222</v>
      </c>
      <c r="O398" s="80" t="inlineStr">
        <is>
          <t>조립자재_재고현황</t>
        </is>
      </c>
    </row>
    <row r="399" ht="30" customHeight="1">
      <c r="A399" s="56" t="inlineStr">
        <is>
          <t>조립</t>
        </is>
      </c>
      <c r="B399" s="86" t="inlineStr">
        <is>
          <t>사출 ASS'Y</t>
        </is>
      </c>
      <c r="C399" s="52" t="inlineStr">
        <is>
          <t>ADX6000 공용</t>
        </is>
      </c>
      <c r="D399" s="79">
        <f>IF(INDIRECT("'"&amp;$O399&amp;"'!F"&amp;$N399)="O","원자재",IF(INDIRECT("'"&amp;$O399&amp;"'!G"&amp;$N399)="O","반제품",IF(INDIRECT("'"&amp;$O399&amp;"'!H"&amp;$N399)="O","완제품","")))</f>
        <v/>
      </c>
      <c r="E399" s="79">
        <f>IFERROR(IF(INDIRECT("'"&amp;$O399&amp;"'!I"&amp;$N399)=0,"",INDIRECT("'"&amp;$O399&amp;"'!I"&amp;$N399)),"")</f>
        <v/>
      </c>
      <c r="F399" s="52" t="inlineStr">
        <is>
          <t>[CR-ADX] 크래들 ASS'Y</t>
        </is>
      </c>
      <c r="G399" s="52" t="n"/>
      <c r="H399" s="79">
        <f>IF(AND($F399="",$G399=""),"",IF($F399="","창고전용",IF($G399&lt;&gt;"","매칭완료",IF($D399="반제품","반제품(창고없음)",IF($D399="완제품","완제품(창고없음)",IF($D399="원자재","⚠ 원자재_부서보관","미분류"))))))</f>
        <v/>
      </c>
      <c r="I399" s="79">
        <f>IFERROR(IF(INDIRECT("'"&amp;$O399&amp;"'!P"&amp;$N399)=0,"",INDIRECT("'"&amp;$O399&amp;"'!P"&amp;$N399)),"")</f>
        <v/>
      </c>
      <c r="J399" s="61" t="inlineStr">
        <is>
          <t>[CR-ADX] 크래들 ASS'Y</t>
        </is>
      </c>
      <c r="K399" s="65" t="inlineStr">
        <is>
          <t>ADX6000 크래들 ASS'Y [CR-ADX]</t>
        </is>
      </c>
      <c r="L399" s="83">
        <f>HYPERLINK("#'"&amp;$O399&amp;"'!A"&amp;$N399,"→ 조립자재 R"&amp;$N399)</f>
        <v/>
      </c>
      <c r="M399" s="84" t="n"/>
      <c r="N399" s="80" t="n">
        <v>223</v>
      </c>
      <c r="O399" s="80" t="inlineStr">
        <is>
          <t>조립자재_재고현황</t>
        </is>
      </c>
    </row>
    <row r="400" ht="30" customHeight="1">
      <c r="A400" s="56" t="inlineStr">
        <is>
          <t>조립</t>
        </is>
      </c>
      <c r="B400" s="86" t="inlineStr">
        <is>
          <t>사출 ASS'Y</t>
        </is>
      </c>
      <c r="C400" s="52" t="inlineStr">
        <is>
          <t>ADX6000 ADX6000U</t>
        </is>
      </c>
      <c r="D400" s="79">
        <f>IF(INDIRECT("'"&amp;$O400&amp;"'!F"&amp;$N400)="O","원자재",IF(INDIRECT("'"&amp;$O400&amp;"'!G"&amp;$N400)="O","반제품",IF(INDIRECT("'"&amp;$O400&amp;"'!H"&amp;$N400)="O","완제품","")))</f>
        <v/>
      </c>
      <c r="E400" s="79">
        <f>IFERROR(IF(INDIRECT("'"&amp;$O400&amp;"'!I"&amp;$N400)=0,"",INDIRECT("'"&amp;$O400&amp;"'!I"&amp;$N400)),"")</f>
        <v/>
      </c>
      <c r="F400" s="52" t="inlineStr">
        <is>
          <t>LCD ASS'Y</t>
        </is>
      </c>
      <c r="G400" s="52" t="n"/>
      <c r="H400" s="79">
        <f>IF(AND($F400="",$G400=""),"",IF($F400="","창고전용",IF($G400&lt;&gt;"","매칭완료",IF($D400="반제품","반제품(창고없음)",IF($D400="완제품","완제품(창고없음)",IF($D400="원자재","⚠ 원자재_부서보관","미분류"))))))</f>
        <v/>
      </c>
      <c r="I400" s="79">
        <f>IFERROR(IF(INDIRECT("'"&amp;$O400&amp;"'!P"&amp;$N400)=0,"",INDIRECT("'"&amp;$O400&amp;"'!P"&amp;$N400)),"")</f>
        <v/>
      </c>
      <c r="J400" s="61" t="inlineStr">
        <is>
          <t>LCD ASS'Y</t>
        </is>
      </c>
      <c r="K400" s="65" t="inlineStr">
        <is>
          <t>ADX6000 LCD ASS'Y</t>
        </is>
      </c>
      <c r="L400" s="83">
        <f>HYPERLINK("#'"&amp;$O400&amp;"'!A"&amp;$N400,"→ 조립자재 R"&amp;$N400)</f>
        <v/>
      </c>
      <c r="M400" s="84" t="n"/>
      <c r="N400" s="80" t="n">
        <v>224</v>
      </c>
      <c r="O400" s="80" t="inlineStr">
        <is>
          <t>조립자재_재고현황</t>
        </is>
      </c>
    </row>
    <row r="401" ht="30" customHeight="1">
      <c r="A401" s="56" t="inlineStr">
        <is>
          <t>조립</t>
        </is>
      </c>
      <c r="B401" s="86" t="inlineStr">
        <is>
          <t>사출 ASS'Y</t>
        </is>
      </c>
      <c r="C401" s="52" t="inlineStr">
        <is>
          <t>ADX6000 ADX6000U</t>
        </is>
      </c>
      <c r="D401" s="79">
        <f>IF(INDIRECT("'"&amp;$O401&amp;"'!F"&amp;$N401)="O","원자재",IF(INDIRECT("'"&amp;$O401&amp;"'!G"&amp;$N401)="O","반제품",IF(INDIRECT("'"&amp;$O401&amp;"'!H"&amp;$N401)="O","완제품","")))</f>
        <v/>
      </c>
      <c r="E401" s="79">
        <f>IFERROR(IF(INDIRECT("'"&amp;$O401&amp;"'!I"&amp;$N401)=0,"",INDIRECT("'"&amp;$O401&amp;"'!I"&amp;$N401)),"")</f>
        <v/>
      </c>
      <c r="F401" s="52" t="inlineStr">
        <is>
          <t>탈착형 BODY LEFT ASS'Y</t>
        </is>
      </c>
      <c r="G401" s="52" t="n"/>
      <c r="H401" s="79">
        <f>IF(AND($F401="",$G401=""),"",IF($F401="","창고전용",IF($G401&lt;&gt;"","매칭완료",IF($D401="반제품","반제품(창고없음)",IF($D401="완제품","완제품(창고없음)",IF($D401="원자재","⚠ 원자재_부서보관","미분류"))))))</f>
        <v/>
      </c>
      <c r="I401" s="79">
        <f>IFERROR(IF(INDIRECT("'"&amp;$O401&amp;"'!P"&amp;$N401)=0,"",INDIRECT("'"&amp;$O401&amp;"'!P"&amp;$N401)),"")</f>
        <v/>
      </c>
      <c r="J401" s="61" t="inlineStr">
        <is>
          <t>탈착형 BODY LEFT ASS'Y</t>
        </is>
      </c>
      <c r="K401" s="65" t="inlineStr">
        <is>
          <t>ADX6000 탈착형 BODY LEFT ASS'Y</t>
        </is>
      </c>
      <c r="L401" s="83">
        <f>HYPERLINK("#'"&amp;$O401&amp;"'!A"&amp;$N401,"→ 조립자재 R"&amp;$N401)</f>
        <v/>
      </c>
      <c r="M401" s="84" t="n"/>
      <c r="N401" s="80" t="n">
        <v>225</v>
      </c>
      <c r="O401" s="80" t="inlineStr">
        <is>
          <t>조립자재_재고현황</t>
        </is>
      </c>
    </row>
    <row r="402" ht="30" customHeight="1">
      <c r="A402" s="56" t="inlineStr">
        <is>
          <t>조립</t>
        </is>
      </c>
      <c r="B402" s="86" t="inlineStr">
        <is>
          <t>사출 ASS'Y</t>
        </is>
      </c>
      <c r="C402" s="52" t="inlineStr">
        <is>
          <t>ADX6000 ADX6000U</t>
        </is>
      </c>
      <c r="D402" s="79">
        <f>IF(INDIRECT("'"&amp;$O402&amp;"'!F"&amp;$N402)="O","원자재",IF(INDIRECT("'"&amp;$O402&amp;"'!G"&amp;$N402)="O","반제품",IF(INDIRECT("'"&amp;$O402&amp;"'!H"&amp;$N402)="O","완제품","")))</f>
        <v/>
      </c>
      <c r="E402" s="79">
        <f>IFERROR(IF(INDIRECT("'"&amp;$O402&amp;"'!I"&amp;$N402)=0,"",INDIRECT("'"&amp;$O402&amp;"'!I"&amp;$N402)),"")</f>
        <v/>
      </c>
      <c r="F402" s="52" t="inlineStr">
        <is>
          <t>외부형 BODY LEFT ASS'Y</t>
        </is>
      </c>
      <c r="G402" s="52" t="n"/>
      <c r="H402" s="79">
        <f>IF(AND($F402="",$G402=""),"",IF($F402="","창고전용",IF($G402&lt;&gt;"","매칭완료",IF($D402="반제품","반제품(창고없음)",IF($D402="완제품","완제품(창고없음)",IF($D402="원자재","⚠ 원자재_부서보관","미분류"))))))</f>
        <v/>
      </c>
      <c r="I402" s="79">
        <f>IFERROR(IF(INDIRECT("'"&amp;$O402&amp;"'!P"&amp;$N402)=0,"",INDIRECT("'"&amp;$O402&amp;"'!P"&amp;$N402)),"")</f>
        <v/>
      </c>
      <c r="J402" s="61" t="inlineStr">
        <is>
          <t>외부형 BODY LEFT ASS'Y</t>
        </is>
      </c>
      <c r="K402" s="65" t="inlineStr">
        <is>
          <t>ADX6000 외부형 BODY LEFT ASS'Y</t>
        </is>
      </c>
      <c r="L402" s="83">
        <f>HYPERLINK("#'"&amp;$O402&amp;"'!A"&amp;$N402,"→ 조립자재 R"&amp;$N402)</f>
        <v/>
      </c>
      <c r="M402" s="84" t="n"/>
      <c r="N402" s="80" t="n">
        <v>226</v>
      </c>
      <c r="O402" s="80" t="inlineStr">
        <is>
          <t>조립자재_재고현황</t>
        </is>
      </c>
    </row>
    <row r="403" ht="30" customHeight="1">
      <c r="A403" s="56" t="inlineStr">
        <is>
          <t>조립</t>
        </is>
      </c>
      <c r="B403" s="86" t="inlineStr">
        <is>
          <t>사출 ASS'Y</t>
        </is>
      </c>
      <c r="C403" s="52" t="inlineStr">
        <is>
          <t>ADX6000FB ADX6000s</t>
        </is>
      </c>
      <c r="D403" s="79">
        <f>IF(INDIRECT("'"&amp;$O403&amp;"'!F"&amp;$N403)="O","원자재",IF(INDIRECT("'"&amp;$O403&amp;"'!G"&amp;$N403)="O","반제품",IF(INDIRECT("'"&amp;$O403&amp;"'!H"&amp;$N403)="O","완제품","")))</f>
        <v/>
      </c>
      <c r="E403" s="79">
        <f>IFERROR(IF(INDIRECT("'"&amp;$O403&amp;"'!I"&amp;$N403)=0,"",INDIRECT("'"&amp;$O403&amp;"'!I"&amp;$N403)),"")</f>
        <v/>
      </c>
      <c r="F403" s="52" t="inlineStr">
        <is>
          <t>LCD ASS'Y</t>
        </is>
      </c>
      <c r="G403" s="52" t="n"/>
      <c r="H403" s="79">
        <f>IF(AND($F403="",$G403=""),"",IF($F403="","창고전용",IF($G403&lt;&gt;"","매칭완료",IF($D403="반제품","반제품(창고없음)",IF($D403="완제품","완제품(창고없음)",IF($D403="원자재","⚠ 원자재_부서보관","미분류"))))))</f>
        <v/>
      </c>
      <c r="I403" s="79">
        <f>IFERROR(IF(INDIRECT("'"&amp;$O403&amp;"'!P"&amp;$N403)=0,"",INDIRECT("'"&amp;$O403&amp;"'!P"&amp;$N403)),"")</f>
        <v/>
      </c>
      <c r="J403" s="61" t="inlineStr">
        <is>
          <t>LCD ASS'Y</t>
        </is>
      </c>
      <c r="K403" s="65" t="inlineStr">
        <is>
          <t>ADX6000FB LCD ASS'Y</t>
        </is>
      </c>
      <c r="L403" s="83">
        <f>HYPERLINK("#'"&amp;$O403&amp;"'!A"&amp;$N403,"→ 조립자재 R"&amp;$N403)</f>
        <v/>
      </c>
      <c r="M403" s="84" t="n"/>
      <c r="N403" s="80" t="n">
        <v>227</v>
      </c>
      <c r="O403" s="80" t="inlineStr">
        <is>
          <t>조립자재_재고현황</t>
        </is>
      </c>
    </row>
    <row r="404" ht="30" customHeight="1">
      <c r="A404" s="56" t="inlineStr">
        <is>
          <t>조립</t>
        </is>
      </c>
      <c r="B404" s="86" t="inlineStr">
        <is>
          <t>모듈 ASS'Y</t>
        </is>
      </c>
      <c r="C404" s="52" t="inlineStr">
        <is>
          <t>ADX6000FB ADX6000s</t>
        </is>
      </c>
      <c r="D404" s="79">
        <f>IF(INDIRECT("'"&amp;$O404&amp;"'!F"&amp;$N404)="O","원자재",IF(INDIRECT("'"&amp;$O404&amp;"'!G"&amp;$N404)="O","반제품",IF(INDIRECT("'"&amp;$O404&amp;"'!H"&amp;$N404)="O","완제품","")))</f>
        <v/>
      </c>
      <c r="E404" s="79">
        <f>IFERROR(IF(INDIRECT("'"&amp;$O404&amp;"'!I"&amp;$N404)=0,"",INDIRECT("'"&amp;$O404&amp;"'!I"&amp;$N404)),"")</f>
        <v/>
      </c>
      <c r="F404" s="52" t="inlineStr">
        <is>
          <t>Main PC ASS'Y (IEC-266 구형)</t>
        </is>
      </c>
      <c r="G404" s="52" t="n"/>
      <c r="H404" s="79">
        <f>IF(AND($F404="",$G404=""),"",IF($F404="","창고전용",IF($G404&lt;&gt;"","매칭완료",IF($D404="반제품","반제품(창고없음)",IF($D404="완제품","완제품(창고없음)",IF($D404="원자재","⚠ 원자재_부서보관","미분류"))))))</f>
        <v/>
      </c>
      <c r="I404" s="79">
        <f>IFERROR(IF(INDIRECT("'"&amp;$O404&amp;"'!P"&amp;$N404)=0,"",INDIRECT("'"&amp;$O404&amp;"'!P"&amp;$N404)),"")</f>
        <v/>
      </c>
      <c r="J404" s="61" t="inlineStr">
        <is>
          <t>Main PC ASS'Y (IEC-266 구형)</t>
        </is>
      </c>
      <c r="K404" s="65" t="inlineStr">
        <is>
          <t>ADX6000FB Main PC ASS'Y [IEC-266 구형]</t>
        </is>
      </c>
      <c r="L404" s="83">
        <f>HYPERLINK("#'"&amp;$O404&amp;"'!A"&amp;$N404,"→ 조립자재 R"&amp;$N404)</f>
        <v/>
      </c>
      <c r="M404" s="84" t="n"/>
      <c r="N404" s="80" t="n">
        <v>228</v>
      </c>
      <c r="O404" s="80" t="inlineStr">
        <is>
          <t>조립자재_재고현황</t>
        </is>
      </c>
    </row>
    <row r="405" ht="30" customHeight="1">
      <c r="A405" s="56" t="inlineStr">
        <is>
          <t>조립</t>
        </is>
      </c>
      <c r="B405" s="86" t="inlineStr">
        <is>
          <t>모듈 ASS'Y</t>
        </is>
      </c>
      <c r="C405" s="52" t="inlineStr">
        <is>
          <t>ADX6000FB ADX6000s</t>
        </is>
      </c>
      <c r="D405" s="79">
        <f>IF(INDIRECT("'"&amp;$O405&amp;"'!F"&amp;$N405)="O","원자재",IF(INDIRECT("'"&amp;$O405&amp;"'!G"&amp;$N405)="O","반제품",IF(INDIRECT("'"&amp;$O405&amp;"'!H"&amp;$N405)="O","완제품","")))</f>
        <v/>
      </c>
      <c r="E405" s="79">
        <f>IFERROR(IF(INDIRECT("'"&amp;$O405&amp;"'!I"&amp;$N405)=0,"",INDIRECT("'"&amp;$O405&amp;"'!I"&amp;$N405)),"")</f>
        <v/>
      </c>
      <c r="F405" s="52" t="inlineStr">
        <is>
          <t>Main PC ASS'Y (IEC-1000 신형)</t>
        </is>
      </c>
      <c r="G405" s="52" t="n"/>
      <c r="H405" s="79">
        <f>IF(AND($F405="",$G405=""),"",IF($F405="","창고전용",IF($G405&lt;&gt;"","매칭완료",IF($D405="반제품","반제품(창고없음)",IF($D405="완제품","완제품(창고없음)",IF($D405="원자재","⚠ 원자재_부서보관","미분류"))))))</f>
        <v/>
      </c>
      <c r="I405" s="79">
        <f>IFERROR(IF(INDIRECT("'"&amp;$O405&amp;"'!P"&amp;$N405)=0,"",INDIRECT("'"&amp;$O405&amp;"'!P"&amp;$N405)),"")</f>
        <v/>
      </c>
      <c r="J405" s="61" t="inlineStr">
        <is>
          <t>Main PC ASS'Y (IEC-1000 신형)</t>
        </is>
      </c>
      <c r="K405" s="65" t="inlineStr">
        <is>
          <t>ADX6000FB Main PC ASS'Y [IEC-1000 신형]</t>
        </is>
      </c>
      <c r="L405" s="83">
        <f>HYPERLINK("#'"&amp;$O405&amp;"'!A"&amp;$N405,"→ 조립자재 R"&amp;$N405)</f>
        <v/>
      </c>
      <c r="M405" s="84" t="n"/>
      <c r="N405" s="80" t="n">
        <v>229</v>
      </c>
      <c r="O405" s="80" t="inlineStr">
        <is>
          <t>조립자재_재고현황</t>
        </is>
      </c>
    </row>
    <row r="406" ht="30" customHeight="1">
      <c r="A406" s="56" t="inlineStr">
        <is>
          <t>조립</t>
        </is>
      </c>
      <c r="B406" s="86" t="inlineStr">
        <is>
          <t>사출 ASS'Y</t>
        </is>
      </c>
      <c r="C406" s="52" t="inlineStr">
        <is>
          <t>ADX6000FB ADX6000s</t>
        </is>
      </c>
      <c r="D406" s="79">
        <f>IF(INDIRECT("'"&amp;$O406&amp;"'!F"&amp;$N406)="O","원자재",IF(INDIRECT("'"&amp;$O406&amp;"'!G"&amp;$N406)="O","반제품",IF(INDIRECT("'"&amp;$O406&amp;"'!H"&amp;$N406)="O","완제품","")))</f>
        <v/>
      </c>
      <c r="E406" s="79">
        <f>IFERROR(IF(INDIRECT("'"&amp;$O406&amp;"'!I"&amp;$N406)=0,"",INDIRECT("'"&amp;$O406&amp;"'!I"&amp;$N406)),"")</f>
        <v/>
      </c>
      <c r="F406" s="52" t="inlineStr">
        <is>
          <t>탈착형 BODY LEFT ASS'Y</t>
        </is>
      </c>
      <c r="G406" s="52" t="n"/>
      <c r="H406" s="79">
        <f>IF(AND($F406="",$G406=""),"",IF($F406="","창고전용",IF($G406&lt;&gt;"","매칭완료",IF($D406="반제품","반제품(창고없음)",IF($D406="완제품","완제품(창고없음)",IF($D406="원자재","⚠ 원자재_부서보관","미분류"))))))</f>
        <v/>
      </c>
      <c r="I406" s="79">
        <f>IFERROR(IF(INDIRECT("'"&amp;$O406&amp;"'!P"&amp;$N406)=0,"",INDIRECT("'"&amp;$O406&amp;"'!P"&amp;$N406)),"")</f>
        <v/>
      </c>
      <c r="J406" s="61" t="inlineStr">
        <is>
          <t>탈착형 BODY LEFT ASS'Y</t>
        </is>
      </c>
      <c r="K406" s="65" t="inlineStr">
        <is>
          <t>ADX6000FB 탈착형 BODY LEFT ASS'Y</t>
        </is>
      </c>
      <c r="L406" s="83">
        <f>HYPERLINK("#'"&amp;$O406&amp;"'!A"&amp;$N406,"→ 조립자재 R"&amp;$N406)</f>
        <v/>
      </c>
      <c r="M406" s="84" t="n"/>
      <c r="N406" s="80" t="n">
        <v>230</v>
      </c>
      <c r="O406" s="80" t="inlineStr">
        <is>
          <t>조립자재_재고현황</t>
        </is>
      </c>
    </row>
    <row r="407" ht="30" customHeight="1">
      <c r="A407" s="56" t="inlineStr">
        <is>
          <t>조립</t>
        </is>
      </c>
      <c r="B407" s="86" t="inlineStr">
        <is>
          <t>사출 ASS'Y</t>
        </is>
      </c>
      <c r="C407" s="52" t="inlineStr">
        <is>
          <t>ADX6000FB ADX6000s</t>
        </is>
      </c>
      <c r="D407" s="79">
        <f>IF(INDIRECT("'"&amp;$O407&amp;"'!F"&amp;$N407)="O","원자재",IF(INDIRECT("'"&amp;$O407&amp;"'!G"&amp;$N407)="O","반제품",IF(INDIRECT("'"&amp;$O407&amp;"'!H"&amp;$N407)="O","완제품","")))</f>
        <v/>
      </c>
      <c r="E407" s="79">
        <f>IFERROR(IF(INDIRECT("'"&amp;$O407&amp;"'!I"&amp;$N407)=0,"",INDIRECT("'"&amp;$O407&amp;"'!I"&amp;$N407)),"")</f>
        <v/>
      </c>
      <c r="F407" s="52" t="inlineStr">
        <is>
          <t>외부형 BODY LEFT ASS'Y</t>
        </is>
      </c>
      <c r="G407" s="52" t="n"/>
      <c r="H407" s="79">
        <f>IF(AND($F407="",$G407=""),"",IF($F407="","창고전용",IF($G407&lt;&gt;"","매칭완료",IF($D407="반제품","반제품(창고없음)",IF($D407="완제품","완제품(창고없음)",IF($D407="원자재","⚠ 원자재_부서보관","미분류"))))))</f>
        <v/>
      </c>
      <c r="I407" s="79">
        <f>IFERROR(IF(INDIRECT("'"&amp;$O407&amp;"'!P"&amp;$N407)=0,"",INDIRECT("'"&amp;$O407&amp;"'!P"&amp;$N407)),"")</f>
        <v/>
      </c>
      <c r="J407" s="61" t="inlineStr">
        <is>
          <t>외부형 BODY LEFT ASS'Y</t>
        </is>
      </c>
      <c r="K407" s="65" t="inlineStr">
        <is>
          <t>ADX6000FB 외부형 BODY LEFT ASS'Y</t>
        </is>
      </c>
      <c r="L407" s="83">
        <f>HYPERLINK("#'"&amp;$O407&amp;"'!A"&amp;$N407,"→ 조립자재 R"&amp;$N407)</f>
        <v/>
      </c>
      <c r="M407" s="84" t="n"/>
      <c r="N407" s="80" t="n">
        <v>231</v>
      </c>
      <c r="O407" s="80" t="inlineStr">
        <is>
          <t>조립자재_재고현황</t>
        </is>
      </c>
    </row>
    <row r="408" ht="30" customHeight="1">
      <c r="A408" s="56" t="inlineStr">
        <is>
          <t>조립</t>
        </is>
      </c>
      <c r="B408" s="86" t="inlineStr">
        <is>
          <t>사출 ASS'Y</t>
        </is>
      </c>
      <c r="C408" s="52" t="inlineStr">
        <is>
          <t>ADX6000 공용</t>
        </is>
      </c>
      <c r="D408" s="79">
        <f>IF(INDIRECT("'"&amp;$O408&amp;"'!F"&amp;$N408)="O","원자재",IF(INDIRECT("'"&amp;$O408&amp;"'!G"&amp;$N408)="O","반제품",IF(INDIRECT("'"&amp;$O408&amp;"'!H"&amp;$N408)="O","완제품","")))</f>
        <v/>
      </c>
      <c r="E408" s="79">
        <f>IFERROR(IF(INDIRECT("'"&amp;$O408&amp;"'!I"&amp;$N408)=0,"",INDIRECT("'"&amp;$O408&amp;"'!I"&amp;$N408)),"")</f>
        <v/>
      </c>
      <c r="F408" s="52" t="inlineStr">
        <is>
          <t>BODY RIGHT ASS'Y</t>
        </is>
      </c>
      <c r="G408" s="52" t="n"/>
      <c r="H408" s="79">
        <f>IF(AND($F408="",$G408=""),"",IF($F408="","창고전용",IF($G408&lt;&gt;"","매칭완료",IF($D408="반제품","반제품(창고없음)",IF($D408="완제품","완제품(창고없음)",IF($D408="원자재","⚠ 원자재_부서보관","미분류"))))))</f>
        <v/>
      </c>
      <c r="I408" s="79">
        <f>IFERROR(IF(INDIRECT("'"&amp;$O408&amp;"'!P"&amp;$N408)=0,"",INDIRECT("'"&amp;$O408&amp;"'!P"&amp;$N408)),"")</f>
        <v/>
      </c>
      <c r="J408" s="61" t="inlineStr">
        <is>
          <t>BODY RIGHT ASS'Y</t>
        </is>
      </c>
      <c r="K408" s="65" t="inlineStr">
        <is>
          <t>ADX6000 BODY RIGHT ASS'Y</t>
        </is>
      </c>
      <c r="L408" s="83">
        <f>HYPERLINK("#'"&amp;$O408&amp;"'!A"&amp;$N408,"→ 조립자재 R"&amp;$N408)</f>
        <v/>
      </c>
      <c r="M408" s="84" t="n"/>
      <c r="N408" s="80" t="n">
        <v>232</v>
      </c>
      <c r="O408" s="80" t="inlineStr">
        <is>
          <t>조립자재_재고현황</t>
        </is>
      </c>
    </row>
    <row r="409" ht="30" customHeight="1">
      <c r="A409" s="56" t="inlineStr">
        <is>
          <t>조립</t>
        </is>
      </c>
      <c r="B409" s="86" t="inlineStr">
        <is>
          <t>사출 ASS'Y</t>
        </is>
      </c>
      <c r="C409" s="52" t="inlineStr">
        <is>
          <t>ADX6000 공용</t>
        </is>
      </c>
      <c r="D409" s="79">
        <f>IF(INDIRECT("'"&amp;$O409&amp;"'!F"&amp;$N409)="O","원자재",IF(INDIRECT("'"&amp;$O409&amp;"'!G"&amp;$N409)="O","반제품",IF(INDIRECT("'"&amp;$O409&amp;"'!H"&amp;$N409)="O","완제품","")))</f>
        <v/>
      </c>
      <c r="E409" s="79">
        <f>IFERROR(IF(INDIRECT("'"&amp;$O409&amp;"'!I"&amp;$N409)=0,"",INDIRECT("'"&amp;$O409&amp;"'!I"&amp;$N409)),"")</f>
        <v/>
      </c>
      <c r="F409" s="52" t="inlineStr">
        <is>
          <t>BODY RIGHT ASS'Y (관전류 B/D 미포함)</t>
        </is>
      </c>
      <c r="G409" s="52" t="n"/>
      <c r="H409" s="79">
        <f>IF(AND($F409="",$G409=""),"",IF($F409="","창고전용",IF($G409&lt;&gt;"","매칭완료",IF($D409="반제품","반제품(창고없음)",IF($D409="완제품","완제품(창고없음)",IF($D409="원자재","⚠ 원자재_부서보관","미분류"))))))</f>
        <v/>
      </c>
      <c r="I409" s="79">
        <f>IFERROR(IF(INDIRECT("'"&amp;$O409&amp;"'!P"&amp;$N409)=0,"",INDIRECT("'"&amp;$O409&amp;"'!P"&amp;$N409)),"")</f>
        <v/>
      </c>
      <c r="J409" s="61" t="inlineStr">
        <is>
          <t>BODY RIGHT ASS'Y (관전류 B/D 미포함)</t>
        </is>
      </c>
      <c r="K409" s="65" t="inlineStr">
        <is>
          <t>ADX6000FB BODY RIGHT ASS'Y (관전류 B/D 미포함)</t>
        </is>
      </c>
      <c r="L409" s="83">
        <f>HYPERLINK("#'"&amp;$O409&amp;"'!A"&amp;$N409,"→ 조립자재 R"&amp;$N409)</f>
        <v/>
      </c>
      <c r="M409" s="84" t="n"/>
      <c r="N409" s="80" t="n">
        <v>233</v>
      </c>
      <c r="O409" s="80" t="inlineStr">
        <is>
          <t>조립자재_재고현황</t>
        </is>
      </c>
    </row>
    <row r="410" ht="30" customHeight="1">
      <c r="A410" s="56" t="inlineStr">
        <is>
          <t>조립</t>
        </is>
      </c>
      <c r="B410" s="52" t="inlineStr">
        <is>
          <t>판넬</t>
        </is>
      </c>
      <c r="C410" s="52" t="inlineStr">
        <is>
          <t>COCOON</t>
        </is>
      </c>
      <c r="D410" s="79">
        <f>IF(INDIRECT("'"&amp;$O410&amp;"'!F"&amp;$N410)="O","원자재",IF(INDIRECT("'"&amp;$O410&amp;"'!G"&amp;$N410)="O","반제품",IF(INDIRECT("'"&amp;$O410&amp;"'!H"&amp;$N410)="O","완제품","")))</f>
        <v/>
      </c>
      <c r="E410" s="79">
        <f>IFERROR(IF(INDIRECT("'"&amp;$O410&amp;"'!I"&amp;$N410)=0,"",INDIRECT("'"&amp;$O410&amp;"'!I"&amp;$N410)),"")</f>
        <v/>
      </c>
      <c r="F410" s="52" t="inlineStr">
        <is>
          <t>OLED PANEL</t>
        </is>
      </c>
      <c r="G410" s="52" t="inlineStr">
        <is>
          <t>OLED PANEL (UG-5664ASWEF01) [COCOON]</t>
        </is>
      </c>
      <c r="H410" s="79">
        <f>IF(AND($F410="",$G410=""),"",IF($F410="","창고전용",IF($G410&lt;&gt;"","매칭완료",IF($D410="반제품","반제품(창고없음)",IF($D410="완제품","완제품(창고없음)",IF($D410="원자재","⚠ 원자재_부서보관","미분류"))))))</f>
        <v/>
      </c>
      <c r="I410" s="79">
        <f>IFERROR(IF(INDIRECT("'"&amp;$O410&amp;"'!P"&amp;$N410)=0,"",INDIRECT("'"&amp;$O410&amp;"'!P"&amp;$N410)),"")</f>
        <v/>
      </c>
      <c r="J410" s="61" t="inlineStr">
        <is>
          <t>OLED PANEL</t>
        </is>
      </c>
      <c r="K410" s="65" t="inlineStr">
        <is>
          <t>COCOON 3.1" OLED 판넬 (UG-5664ASWEF01)</t>
        </is>
      </c>
      <c r="L410" s="83">
        <f>HYPERLINK("#'"&amp;$O410&amp;"'!A"&amp;$N410,"→ 조립자재 R"&amp;$N410)</f>
        <v/>
      </c>
      <c r="M410" s="84" t="n"/>
      <c r="N410" s="80" t="n">
        <v>259</v>
      </c>
      <c r="O410" s="80" t="inlineStr">
        <is>
          <t>조립자재_재고현황</t>
        </is>
      </c>
    </row>
    <row r="411" ht="30" customHeight="1">
      <c r="A411" s="56" t="inlineStr">
        <is>
          <t>조립</t>
        </is>
      </c>
      <c r="B411" s="52" t="inlineStr">
        <is>
          <t>판넬</t>
        </is>
      </c>
      <c r="C411" s="52" t="inlineStr">
        <is>
          <t>COCOON</t>
        </is>
      </c>
      <c r="D411" s="79">
        <f>IF(INDIRECT("'"&amp;$O411&amp;"'!F"&amp;$N411)="O","원자재",IF(INDIRECT("'"&amp;$O411&amp;"'!G"&amp;$N411)="O","반제품",IF(INDIRECT("'"&amp;$O411&amp;"'!H"&amp;$N411)="O","완제품","")))</f>
        <v/>
      </c>
      <c r="E411" s="79">
        <f>IFERROR(IF(INDIRECT("'"&amp;$O411&amp;"'!I"&amp;$N411)=0,"",INDIRECT("'"&amp;$O411&amp;"'!I"&amp;$N411)),"")</f>
        <v/>
      </c>
      <c r="F411" s="52" t="inlineStr">
        <is>
          <t>OLED GUIDE 사출</t>
        </is>
      </c>
      <c r="G411" s="52" t="inlineStr">
        <is>
          <t>OLED GUIDE (ABS 난연 화이트) [COCOON]</t>
        </is>
      </c>
      <c r="H411" s="79">
        <f>IF(AND($F411="",$G411=""),"",IF($F411="","창고전용",IF($G411&lt;&gt;"","매칭완료",IF($D411="반제품","반제품(창고없음)",IF($D411="완제품","완제품(창고없음)",IF($D411="원자재","⚠ 원자재_부서보관","미분류"))))))</f>
        <v/>
      </c>
      <c r="I411" s="79">
        <f>IFERROR(IF(INDIRECT("'"&amp;$O411&amp;"'!P"&amp;$N411)=0,"",INDIRECT("'"&amp;$O411&amp;"'!P"&amp;$N411)),"")</f>
        <v/>
      </c>
      <c r="J411" s="61" t="inlineStr">
        <is>
          <t>OLED GUIDE 사출</t>
        </is>
      </c>
      <c r="K411" s="65" t="inlineStr">
        <is>
          <t>COCOON OLED GUIDE 사출</t>
        </is>
      </c>
      <c r="L411" s="83">
        <f>HYPERLINK("#'"&amp;$O411&amp;"'!A"&amp;$N411,"→ 조립자재 R"&amp;$N411)</f>
        <v/>
      </c>
      <c r="M411" s="84" t="n"/>
      <c r="N411" s="80" t="n">
        <v>260</v>
      </c>
      <c r="O411" s="80" t="inlineStr">
        <is>
          <t>조립자재_재고현황</t>
        </is>
      </c>
    </row>
    <row r="412" ht="30" customHeight="1">
      <c r="A412" s="56" t="inlineStr">
        <is>
          <t>조립</t>
        </is>
      </c>
      <c r="B412" s="52" t="inlineStr">
        <is>
          <t>사출</t>
        </is>
      </c>
      <c r="C412" s="52" t="inlineStr">
        <is>
          <t>COCOON 메탈 실버 유광</t>
        </is>
      </c>
      <c r="D412" s="79">
        <f>IF(INDIRECT("'"&amp;$O412&amp;"'!F"&amp;$N412)="O","원자재",IF(INDIRECT("'"&amp;$O412&amp;"'!G"&amp;$N412)="O","반제품",IF(INDIRECT("'"&amp;$O412&amp;"'!H"&amp;$N412)="O","완제품","")))</f>
        <v/>
      </c>
      <c r="E412" s="79">
        <f>IFERROR(IF(INDIRECT("'"&amp;$O412&amp;"'!I"&amp;$N412)=0,"",INDIRECT("'"&amp;$O412&amp;"'!I"&amp;$N412)),"")</f>
        <v/>
      </c>
      <c r="F412" s="52" t="inlineStr">
        <is>
          <t>TOP BODY 사출</t>
        </is>
      </c>
      <c r="G412" s="52" t="inlineStr">
        <is>
          <t>TOP BODY (메탈 실버 유광) [COCOON]</t>
        </is>
      </c>
      <c r="H412" s="79">
        <f>IF(AND($F412="",$G412=""),"",IF($F412="","창고전용",IF($G412&lt;&gt;"","매칭완료",IF($D412="반제품","반제품(창고없음)",IF($D412="완제품","완제품(창고없음)",IF($D412="원자재","⚠ 원자재_부서보관","미분류"))))))</f>
        <v/>
      </c>
      <c r="I412" s="79">
        <f>IFERROR(IF(INDIRECT("'"&amp;$O412&amp;"'!P"&amp;$N412)=0,"",INDIRECT("'"&amp;$O412&amp;"'!P"&amp;$N412)),"")</f>
        <v/>
      </c>
      <c r="J412" s="61" t="inlineStr">
        <is>
          <t>TOP BODY 사출</t>
        </is>
      </c>
      <c r="K412" s="65" t="inlineStr">
        <is>
          <t>COCOON TOP BODY (S)</t>
        </is>
      </c>
      <c r="L412" s="83">
        <f>HYPERLINK("#'"&amp;$O412&amp;"'!A"&amp;$N412,"→ 조립자재 R"&amp;$N412)</f>
        <v/>
      </c>
      <c r="M412" s="84" t="n"/>
      <c r="N412" s="80" t="n">
        <v>261</v>
      </c>
      <c r="O412" s="80" t="inlineStr">
        <is>
          <t>조립자재_재고현황</t>
        </is>
      </c>
    </row>
    <row r="413" ht="30" customHeight="1">
      <c r="A413" s="56" t="inlineStr">
        <is>
          <t>조립</t>
        </is>
      </c>
      <c r="B413" s="52" t="inlineStr">
        <is>
          <t>사출</t>
        </is>
      </c>
      <c r="C413" s="52" t="inlineStr">
        <is>
          <t>COCOON 메탈 실버 유광</t>
        </is>
      </c>
      <c r="D413" s="79">
        <f>IF(INDIRECT("'"&amp;$O413&amp;"'!F"&amp;$N413)="O","원자재",IF(INDIRECT("'"&amp;$O413&amp;"'!G"&amp;$N413)="O","반제품",IF(INDIRECT("'"&amp;$O413&amp;"'!H"&amp;$N413)="O","완제품","")))</f>
        <v/>
      </c>
      <c r="E413" s="79">
        <f>IFERROR(IF(INDIRECT("'"&amp;$O413&amp;"'!I"&amp;$N413)=0,"",INDIRECT("'"&amp;$O413&amp;"'!I"&amp;$N413)),"")</f>
        <v/>
      </c>
      <c r="F413" s="52" t="inlineStr">
        <is>
          <t>TOP BODY 사출 (cocoon로고 없음)</t>
        </is>
      </c>
      <c r="G413" s="52" t="n"/>
      <c r="H413" s="79">
        <f>IF(AND($F413="",$G413=""),"",IF($F413="","창고전용",IF($G413&lt;&gt;"","매칭완료",IF($D413="반제품","반제품(창고없음)",IF($D413="완제품","완제품(창고없음)",IF($D413="원자재","⚠ 원자재_부서보관","미분류"))))))</f>
        <v/>
      </c>
      <c r="I413" s="79">
        <f>IFERROR(IF(INDIRECT("'"&amp;$O413&amp;"'!P"&amp;$N413)=0,"",INDIRECT("'"&amp;$O413&amp;"'!P"&amp;$N413)),"")</f>
        <v/>
      </c>
      <c r="J413" s="61" t="inlineStr">
        <is>
          <t>TOP BODY 사출 (cocoon로고 없음)</t>
        </is>
      </c>
      <c r="K413" s="65" t="inlineStr">
        <is>
          <t>COCOON TOP BODY (S) [COCOON 로고 없음]</t>
        </is>
      </c>
      <c r="L413" s="83">
        <f>HYPERLINK("#'"&amp;$O413&amp;"'!A"&amp;$N413,"→ 조립자재 R"&amp;$N413)</f>
        <v/>
      </c>
      <c r="M413" s="84" t="n"/>
      <c r="N413" s="80" t="n">
        <v>262</v>
      </c>
      <c r="O413" s="80" t="inlineStr">
        <is>
          <t>조립자재_재고현황</t>
        </is>
      </c>
    </row>
    <row r="414" ht="30" customHeight="1">
      <c r="A414" s="56" t="inlineStr">
        <is>
          <t>조립</t>
        </is>
      </c>
      <c r="B414" s="52" t="inlineStr">
        <is>
          <t>사출</t>
        </is>
      </c>
      <c r="C414" s="52" t="inlineStr">
        <is>
          <t>COCOON 블랙 유광</t>
        </is>
      </c>
      <c r="D414" s="79">
        <f>IF(INDIRECT("'"&amp;$O414&amp;"'!F"&amp;$N414)="O","원자재",IF(INDIRECT("'"&amp;$O414&amp;"'!G"&amp;$N414)="O","반제품",IF(INDIRECT("'"&amp;$O414&amp;"'!H"&amp;$N414)="O","완제품","")))</f>
        <v/>
      </c>
      <c r="E414" s="79">
        <f>IFERROR(IF(INDIRECT("'"&amp;$O414&amp;"'!I"&amp;$N414)=0,"",INDIRECT("'"&amp;$O414&amp;"'!I"&amp;$N414)),"")</f>
        <v/>
      </c>
      <c r="F414" s="52" t="inlineStr">
        <is>
          <t>BOTTOM BODY 사출</t>
        </is>
      </c>
      <c r="G414" s="52" t="inlineStr">
        <is>
          <t>BOTTOM BODY (블랙 유광) [COCOON]</t>
        </is>
      </c>
      <c r="H414" s="79">
        <f>IF(AND($F414="",$G414=""),"",IF($F414="","창고전용",IF($G414&lt;&gt;"","매칭완료",IF($D414="반제품","반제품(창고없음)",IF($D414="완제품","완제품(창고없음)",IF($D414="원자재","⚠ 원자재_부서보관","미분류"))))))</f>
        <v/>
      </c>
      <c r="I414" s="79">
        <f>IFERROR(IF(INDIRECT("'"&amp;$O414&amp;"'!P"&amp;$N414)=0,"",INDIRECT("'"&amp;$O414&amp;"'!P"&amp;$N414)),"")</f>
        <v/>
      </c>
      <c r="J414" s="61" t="inlineStr">
        <is>
          <t>BOTTOM BODY 사출</t>
        </is>
      </c>
      <c r="K414" s="65" t="inlineStr">
        <is>
          <t>COCOON BOTTOM BODY (B 유광)</t>
        </is>
      </c>
      <c r="L414" s="83">
        <f>HYPERLINK("#'"&amp;$O414&amp;"'!A"&amp;$N414,"→ 조립자재 R"&amp;$N414)</f>
        <v/>
      </c>
      <c r="M414" s="84" t="n"/>
      <c r="N414" s="80" t="n">
        <v>263</v>
      </c>
      <c r="O414" s="80" t="inlineStr">
        <is>
          <t>조립자재_재고현황</t>
        </is>
      </c>
    </row>
    <row r="415" ht="30" customHeight="1">
      <c r="A415" s="56" t="inlineStr">
        <is>
          <t>조립</t>
        </is>
      </c>
      <c r="B415" s="52" t="inlineStr">
        <is>
          <t>사출</t>
        </is>
      </c>
      <c r="C415" s="52" t="inlineStr">
        <is>
          <t>COCOON 메탈 실버 유광</t>
        </is>
      </c>
      <c r="D415" s="79">
        <f>IF(INDIRECT("'"&amp;$O415&amp;"'!F"&amp;$N415)="O","원자재",IF(INDIRECT("'"&amp;$O415&amp;"'!G"&amp;$N415)="O","반제품",IF(INDIRECT("'"&amp;$O415&amp;"'!H"&amp;$N415)="O","완제품","")))</f>
        <v/>
      </c>
      <c r="E415" s="79">
        <f>IFERROR(IF(INDIRECT("'"&amp;$O415&amp;"'!I"&amp;$N415)=0,"",INDIRECT("'"&amp;$O415&amp;"'!I"&amp;$N415)),"")</f>
        <v/>
      </c>
      <c r="F415" s="52" t="inlineStr">
        <is>
          <t>POWER BUTTON 사출</t>
        </is>
      </c>
      <c r="G415" s="52" t="inlineStr">
        <is>
          <t>POWER BUTTON (메탈 실버 유광) [COCOON]</t>
        </is>
      </c>
      <c r="H415" s="79">
        <f>IF(AND($F415="",$G415=""),"",IF($F415="","창고전용",IF($G415&lt;&gt;"","매칭완료",IF($D415="반제품","반제품(창고없음)",IF($D415="완제품","완제품(창고없음)",IF($D415="원자재","⚠ 원자재_부서보관","미분류"))))))</f>
        <v/>
      </c>
      <c r="I415" s="79">
        <f>IFERROR(IF(INDIRECT("'"&amp;$O415&amp;"'!P"&amp;$N415)=0,"",INDIRECT("'"&amp;$O415&amp;"'!P"&amp;$N415)),"")</f>
        <v/>
      </c>
      <c r="J415" s="61" t="inlineStr">
        <is>
          <t>POWER BUTTON 사출</t>
        </is>
      </c>
      <c r="K415" s="65" t="inlineStr">
        <is>
          <t>COCOON POWER BUTTON (S)</t>
        </is>
      </c>
      <c r="L415" s="83">
        <f>HYPERLINK("#'"&amp;$O415&amp;"'!A"&amp;$N415,"→ 조립자재 R"&amp;$N415)</f>
        <v/>
      </c>
      <c r="M415" s="84" t="n"/>
      <c r="N415" s="80" t="n">
        <v>264</v>
      </c>
      <c r="O415" s="80" t="inlineStr">
        <is>
          <t>조립자재_재고현황</t>
        </is>
      </c>
    </row>
    <row r="416" ht="30" customHeight="1">
      <c r="A416" s="56" t="inlineStr">
        <is>
          <t>조립</t>
        </is>
      </c>
      <c r="B416" s="52" t="inlineStr">
        <is>
          <t>사출</t>
        </is>
      </c>
      <c r="C416" s="52" t="inlineStr">
        <is>
          <t>COCOON</t>
        </is>
      </c>
      <c r="D416" s="79">
        <f>IF(INDIRECT("'"&amp;$O416&amp;"'!F"&amp;$N416)="O","원자재",IF(INDIRECT("'"&amp;$O416&amp;"'!G"&amp;$N416)="O","반제품",IF(INDIRECT("'"&amp;$O416&amp;"'!H"&amp;$N416)="O","완제품","")))</f>
        <v/>
      </c>
      <c r="E416" s="79">
        <f>IFERROR(IF(INDIRECT("'"&amp;$O416&amp;"'!I"&amp;$N416)=0,"",INDIRECT("'"&amp;$O416&amp;"'!I"&amp;$N416)),"")</f>
        <v/>
      </c>
      <c r="F416" s="52" t="inlineStr">
        <is>
          <t>BUTTON INDICATOR</t>
        </is>
      </c>
      <c r="G416" s="52" t="inlineStr">
        <is>
          <t>BUTTON INDICATOR (ABS 난연 화이트) [COCOON]</t>
        </is>
      </c>
      <c r="H416" s="79">
        <f>IF(AND($F416="",$G416=""),"",IF($F416="","창고전용",IF($G416&lt;&gt;"","매칭완료",IF($D416="반제품","반제품(창고없음)",IF($D416="완제품","완제품(창고없음)",IF($D416="원자재","⚠ 원자재_부서보관","미분류"))))))</f>
        <v/>
      </c>
      <c r="I416" s="79">
        <f>IFERROR(IF(INDIRECT("'"&amp;$O416&amp;"'!P"&amp;$N416)=0,"",INDIRECT("'"&amp;$O416&amp;"'!P"&amp;$N416)),"")</f>
        <v/>
      </c>
      <c r="J416" s="61" t="inlineStr">
        <is>
          <t>BUTTON INDICATOR</t>
        </is>
      </c>
      <c r="K416" s="65" t="inlineStr">
        <is>
          <t>COCOON BUTTON INDICATOR</t>
        </is>
      </c>
      <c r="L416" s="83">
        <f>HYPERLINK("#'"&amp;$O416&amp;"'!A"&amp;$N416,"→ 조립자재 R"&amp;$N416)</f>
        <v/>
      </c>
      <c r="M416" s="84" t="n"/>
      <c r="N416" s="80" t="n">
        <v>265</v>
      </c>
      <c r="O416" s="80" t="inlineStr">
        <is>
          <t>조립자재_재고현황</t>
        </is>
      </c>
    </row>
    <row r="417" ht="30" customHeight="1">
      <c r="A417" s="56" t="inlineStr">
        <is>
          <t>조립</t>
        </is>
      </c>
      <c r="B417" s="52" t="inlineStr">
        <is>
          <t>사출</t>
        </is>
      </c>
      <c r="C417" s="52" t="inlineStr">
        <is>
          <t>COCOON</t>
        </is>
      </c>
      <c r="D417" s="79">
        <f>IF(INDIRECT("'"&amp;$O417&amp;"'!F"&amp;$N417)="O","원자재",IF(INDIRECT("'"&amp;$O417&amp;"'!G"&amp;$N417)="O","반제품",IF(INDIRECT("'"&amp;$O417&amp;"'!H"&amp;$N417)="O","완제품","")))</f>
        <v/>
      </c>
      <c r="E417" s="79">
        <f>IFERROR(IF(INDIRECT("'"&amp;$O417&amp;"'!I"&amp;$N417)=0,"",INDIRECT("'"&amp;$O417&amp;"'!I"&amp;$N417)),"")</f>
        <v/>
      </c>
      <c r="F417" s="52" t="inlineStr">
        <is>
          <t>TOUCH DUMMY</t>
        </is>
      </c>
      <c r="G417" s="52" t="inlineStr">
        <is>
          <t>TOUCH DUMMY (확산 아크릴) [COCOON]</t>
        </is>
      </c>
      <c r="H417" s="79">
        <f>IF(AND($F417="",$G417=""),"",IF($F417="","창고전용",IF($G417&lt;&gt;"","매칭완료",IF($D417="반제품","반제품(창고없음)",IF($D417="완제품","완제품(창고없음)",IF($D417="원자재","⚠ 원자재_부서보관","미분류"))))))</f>
        <v/>
      </c>
      <c r="I417" s="79">
        <f>IFERROR(IF(INDIRECT("'"&amp;$O417&amp;"'!P"&amp;$N417)=0,"",INDIRECT("'"&amp;$O417&amp;"'!P"&amp;$N417)),"")</f>
        <v/>
      </c>
      <c r="J417" s="61" t="inlineStr">
        <is>
          <t>TOUCH DUMMY</t>
        </is>
      </c>
      <c r="K417" s="65" t="inlineStr">
        <is>
          <t>COCOON TOUCH DUMMY</t>
        </is>
      </c>
      <c r="L417" s="83">
        <f>HYPERLINK("#'"&amp;$O417&amp;"'!A"&amp;$N417,"→ 조립자재 R"&amp;$N417)</f>
        <v/>
      </c>
      <c r="M417" s="84" t="n"/>
      <c r="N417" s="80" t="n">
        <v>266</v>
      </c>
      <c r="O417" s="80" t="inlineStr">
        <is>
          <t>조립자재_재고현황</t>
        </is>
      </c>
    </row>
    <row r="418" ht="30" customHeight="1">
      <c r="A418" s="56" t="inlineStr">
        <is>
          <t>조립</t>
        </is>
      </c>
      <c r="B418" s="52" t="inlineStr">
        <is>
          <t>사출</t>
        </is>
      </c>
      <c r="C418" s="52" t="inlineStr">
        <is>
          <t>COCOON</t>
        </is>
      </c>
      <c r="D418" s="79">
        <f>IF(INDIRECT("'"&amp;$O418&amp;"'!F"&amp;$N418)="O","원자재",IF(INDIRECT("'"&amp;$O418&amp;"'!G"&amp;$N418)="O","반제품",IF(INDIRECT("'"&amp;$O418&amp;"'!H"&amp;$N418)="O","완제품","")))</f>
        <v/>
      </c>
      <c r="E418" s="79">
        <f>IFERROR(IF(INDIRECT("'"&amp;$O418&amp;"'!I"&amp;$N418)=0,"",INDIRECT("'"&amp;$O418&amp;"'!I"&amp;$N418)),"")</f>
        <v/>
      </c>
      <c r="F418" s="52" t="inlineStr">
        <is>
          <t>D링 고리</t>
        </is>
      </c>
      <c r="G418" s="52" t="inlineStr">
        <is>
          <t>고리 (니켈 도금 D링) [COCOON]</t>
        </is>
      </c>
      <c r="H418" s="79">
        <f>IF(AND($F418="",$G418=""),"",IF($F418="","창고전용",IF($G418&lt;&gt;"","매칭완료",IF($D418="반제품","반제품(창고없음)",IF($D418="완제품","완제품(창고없음)",IF($D418="원자재","⚠ 원자재_부서보관","미분류"))))))</f>
        <v/>
      </c>
      <c r="I418" s="79">
        <f>IFERROR(IF(INDIRECT("'"&amp;$O418&amp;"'!P"&amp;$N418)=0,"",INDIRECT("'"&amp;$O418&amp;"'!P"&amp;$N418)),"")</f>
        <v/>
      </c>
      <c r="J418" s="61" t="inlineStr">
        <is>
          <t>D링 고리</t>
        </is>
      </c>
      <c r="K418" s="65" t="inlineStr">
        <is>
          <t>COCOON D링 고리</t>
        </is>
      </c>
      <c r="L418" s="83">
        <f>HYPERLINK("#'"&amp;$O418&amp;"'!A"&amp;$N418,"→ 조립자재 R"&amp;$N418)</f>
        <v/>
      </c>
      <c r="M418" s="84" t="n"/>
      <c r="N418" s="80" t="n">
        <v>267</v>
      </c>
      <c r="O418" s="80" t="inlineStr">
        <is>
          <t>조립자재_재고현황</t>
        </is>
      </c>
    </row>
    <row r="419" ht="30" customHeight="1">
      <c r="A419" s="56" t="inlineStr">
        <is>
          <t>조립</t>
        </is>
      </c>
      <c r="B419" s="52" t="inlineStr">
        <is>
          <t>사출</t>
        </is>
      </c>
      <c r="C419" s="52" t="inlineStr">
        <is>
          <t>COCOON 메탈 실버</t>
        </is>
      </c>
      <c r="D419" s="79">
        <f>IF(INDIRECT("'"&amp;$O419&amp;"'!F"&amp;$N419)="O","원자재",IF(INDIRECT("'"&amp;$O419&amp;"'!G"&amp;$N419)="O","반제품",IF(INDIRECT("'"&amp;$O419&amp;"'!H"&amp;$N419)="O","완제품","")))</f>
        <v/>
      </c>
      <c r="E419" s="79">
        <f>IFERROR(IF(INDIRECT("'"&amp;$O419&amp;"'!I"&amp;$N419)=0,"",INDIRECT("'"&amp;$O419&amp;"'!I"&amp;$N419)),"")</f>
        <v/>
      </c>
      <c r="F419" s="52" t="inlineStr">
        <is>
          <t>LOCK KNOB</t>
        </is>
      </c>
      <c r="G419" s="52" t="inlineStr">
        <is>
          <t>LOCK KNOB (메탈 실버 유광) [COCOON]</t>
        </is>
      </c>
      <c r="H419" s="79">
        <f>IF(AND($F419="",$G419=""),"",IF($F419="","창고전용",IF($G419&lt;&gt;"","매칭완료",IF($D419="반제품","반제품(창고없음)",IF($D419="완제품","완제품(창고없음)",IF($D419="원자재","⚠ 원자재_부서보관","미분류"))))))</f>
        <v/>
      </c>
      <c r="I419" s="79">
        <f>IFERROR(IF(INDIRECT("'"&amp;$O419&amp;"'!P"&amp;$N419)=0,"",INDIRECT("'"&amp;$O419&amp;"'!P"&amp;$N419)),"")</f>
        <v/>
      </c>
      <c r="J419" s="61" t="inlineStr">
        <is>
          <t>LOCK KNOB</t>
        </is>
      </c>
      <c r="K419" s="65" t="inlineStr">
        <is>
          <t>COCOON LOCK KNOB (S)</t>
        </is>
      </c>
      <c r="L419" s="83">
        <f>HYPERLINK("#'"&amp;$O419&amp;"'!A"&amp;$N419,"→ 조립자재 R"&amp;$N419)</f>
        <v/>
      </c>
      <c r="M419" s="84" t="n"/>
      <c r="N419" s="80" t="n">
        <v>268</v>
      </c>
      <c r="O419" s="80" t="inlineStr">
        <is>
          <t>조립자재_재고현황</t>
        </is>
      </c>
    </row>
    <row r="420" ht="30" customHeight="1">
      <c r="A420" s="56" t="inlineStr">
        <is>
          <t>조립</t>
        </is>
      </c>
      <c r="B420" s="52" t="inlineStr">
        <is>
          <t>사출</t>
        </is>
      </c>
      <c r="C420" s="52" t="inlineStr">
        <is>
          <t>COCOON 메탈 실버</t>
        </is>
      </c>
      <c r="D420" s="79">
        <f>IF(INDIRECT("'"&amp;$O420&amp;"'!F"&amp;$N420)="O","원자재",IF(INDIRECT("'"&amp;$O420&amp;"'!G"&amp;$N420)="O","반제품",IF(INDIRECT("'"&amp;$O420&amp;"'!H"&amp;$N420)="O","완제품","")))</f>
        <v/>
      </c>
      <c r="E420" s="79">
        <f>IFERROR(IF(INDIRECT("'"&amp;$O420&amp;"'!I"&amp;$N420)=0,"",INDIRECT("'"&amp;$O420&amp;"'!I"&amp;$N420)),"")</f>
        <v/>
      </c>
      <c r="F420" s="52" t="inlineStr">
        <is>
          <t>LOCK INNER</t>
        </is>
      </c>
      <c r="G420" s="52" t="inlineStr">
        <is>
          <t>LOCK INNER (메탈 실버) [COCOON]</t>
        </is>
      </c>
      <c r="H420" s="79">
        <f>IF(AND($F420="",$G420=""),"",IF($F420="","창고전용",IF($G420&lt;&gt;"","매칭완료",IF($D420="반제품","반제품(창고없음)",IF($D420="완제품","완제품(창고없음)",IF($D420="원자재","⚠ 원자재_부서보관","미분류"))))))</f>
        <v/>
      </c>
      <c r="I420" s="79">
        <f>IFERROR(IF(INDIRECT("'"&amp;$O420&amp;"'!P"&amp;$N420)=0,"",INDIRECT("'"&amp;$O420&amp;"'!P"&amp;$N420)),"")</f>
        <v/>
      </c>
      <c r="J420" s="61" t="inlineStr">
        <is>
          <t>LOCK INNER</t>
        </is>
      </c>
      <c r="K420" s="65" t="inlineStr">
        <is>
          <t>COCOON LOCK INNER (S)</t>
        </is>
      </c>
      <c r="L420" s="83">
        <f>HYPERLINK("#'"&amp;$O420&amp;"'!A"&amp;$N420,"→ 조립자재 R"&amp;$N420)</f>
        <v/>
      </c>
      <c r="M420" s="84" t="n"/>
      <c r="N420" s="80" t="n">
        <v>269</v>
      </c>
      <c r="O420" s="80" t="inlineStr">
        <is>
          <t>조립자재_재고현황</t>
        </is>
      </c>
    </row>
    <row r="421" ht="30" customHeight="1">
      <c r="A421" s="56" t="inlineStr">
        <is>
          <t>조립</t>
        </is>
      </c>
      <c r="B421" s="52" t="inlineStr">
        <is>
          <t>손잡이</t>
        </is>
      </c>
      <c r="C421" s="52" t="inlineStr">
        <is>
          <t>COCOON 메탈 실버 유광</t>
        </is>
      </c>
      <c r="D421" s="79">
        <f>IF(INDIRECT("'"&amp;$O421&amp;"'!F"&amp;$N421)="O","원자재",IF(INDIRECT("'"&amp;$O421&amp;"'!G"&amp;$N421)="O","반제품",IF(INDIRECT("'"&amp;$O421&amp;"'!H"&amp;$N421)="O","완제품","")))</f>
        <v/>
      </c>
      <c r="E421" s="79">
        <f>IFERROR(IF(INDIRECT("'"&amp;$O421&amp;"'!I"&amp;$N421)=0,"",INDIRECT("'"&amp;$O421&amp;"'!I"&amp;$N421)),"")</f>
        <v/>
      </c>
      <c r="F421" s="52" t="inlineStr">
        <is>
          <t>HAND BODY 사출</t>
        </is>
      </c>
      <c r="G421" s="52" t="inlineStr">
        <is>
          <t>HAND BODY (메탈 실버 유광) [COCOON]</t>
        </is>
      </c>
      <c r="H421" s="79">
        <f>IF(AND($F421="",$G421=""),"",IF($F421="","창고전용",IF($G421&lt;&gt;"","매칭완료",IF($D421="반제품","반제품(창고없음)",IF($D421="완제품","완제품(창고없음)",IF($D421="원자재","⚠ 원자재_부서보관","미분류"))))))</f>
        <v/>
      </c>
      <c r="I421" s="79">
        <f>IFERROR(IF(INDIRECT("'"&amp;$O421&amp;"'!P"&amp;$N421)=0,"",INDIRECT("'"&amp;$O421&amp;"'!P"&amp;$N421)),"")</f>
        <v/>
      </c>
      <c r="J421" s="61" t="inlineStr">
        <is>
          <t>HAND BODY 사출</t>
        </is>
      </c>
      <c r="K421" s="65" t="inlineStr">
        <is>
          <t>COCOON HAND BODY (S)</t>
        </is>
      </c>
      <c r="L421" s="83">
        <f>HYPERLINK("#'"&amp;$O421&amp;"'!A"&amp;$N421,"→ 조립자재 R"&amp;$N421)</f>
        <v/>
      </c>
      <c r="M421" s="84" t="n"/>
      <c r="N421" s="80" t="n">
        <v>270</v>
      </c>
      <c r="O421" s="80" t="inlineStr">
        <is>
          <t>조립자재_재고현황</t>
        </is>
      </c>
    </row>
    <row r="422" ht="30" customHeight="1">
      <c r="A422" s="56" t="inlineStr">
        <is>
          <t>조립</t>
        </is>
      </c>
      <c r="B422" s="52" t="inlineStr">
        <is>
          <t>손잡이</t>
        </is>
      </c>
      <c r="C422" s="52" t="inlineStr">
        <is>
          <t>COCOON 메탈 실버</t>
        </is>
      </c>
      <c r="D422" s="79">
        <f>IF(INDIRECT("'"&amp;$O422&amp;"'!F"&amp;$N422)="O","원자재",IF(INDIRECT("'"&amp;$O422&amp;"'!G"&amp;$N422)="O","반제품",IF(INDIRECT("'"&amp;$O422&amp;"'!H"&amp;$N422)="O","완제품","")))</f>
        <v/>
      </c>
      <c r="E422" s="79">
        <f>IFERROR(IF(INDIRECT("'"&amp;$O422&amp;"'!I"&amp;$N422)=0,"",INDIRECT("'"&amp;$O422&amp;"'!I"&amp;$N422)),"")</f>
        <v/>
      </c>
      <c r="F422" s="52" t="inlineStr">
        <is>
          <t>HAND TOP COVER 사출</t>
        </is>
      </c>
      <c r="G422" s="52" t="inlineStr">
        <is>
          <t>HAND TOP COVER (메탈 실버) [COCOON]</t>
        </is>
      </c>
      <c r="H422" s="79">
        <f>IF(AND($F422="",$G422=""),"",IF($F422="","창고전용",IF($G422&lt;&gt;"","매칭완료",IF($D422="반제품","반제품(창고없음)",IF($D422="완제품","완제품(창고없음)",IF($D422="원자재","⚠ 원자재_부서보관","미분류"))))))</f>
        <v/>
      </c>
      <c r="I422" s="79">
        <f>IFERROR(IF(INDIRECT("'"&amp;$O422&amp;"'!P"&amp;$N422)=0,"",INDIRECT("'"&amp;$O422&amp;"'!P"&amp;$N422)),"")</f>
        <v/>
      </c>
      <c r="J422" s="61" t="inlineStr">
        <is>
          <t>HAND TOP COVER 사출</t>
        </is>
      </c>
      <c r="K422" s="65" t="inlineStr">
        <is>
          <t>COCOON HAND TOP COVER (S)</t>
        </is>
      </c>
      <c r="L422" s="83">
        <f>HYPERLINK("#'"&amp;$O422&amp;"'!A"&amp;$N422,"→ 조립자재 R"&amp;$N422)</f>
        <v/>
      </c>
      <c r="M422" s="84" t="n"/>
      <c r="N422" s="80" t="n">
        <v>271</v>
      </c>
      <c r="O422" s="80" t="inlineStr">
        <is>
          <t>조립자재_재고현황</t>
        </is>
      </c>
    </row>
    <row r="423" ht="30" customHeight="1">
      <c r="A423" s="56" t="inlineStr">
        <is>
          <t>조립</t>
        </is>
      </c>
      <c r="B423" s="52" t="inlineStr">
        <is>
          <t>손잡이</t>
        </is>
      </c>
      <c r="C423" s="52" t="inlineStr">
        <is>
          <t>COCOON</t>
        </is>
      </c>
      <c r="D423" s="79">
        <f>IF(INDIRECT("'"&amp;$O423&amp;"'!F"&amp;$N423)="O","원자재",IF(INDIRECT("'"&amp;$O423&amp;"'!G"&amp;$N423)="O","반제품",IF(INDIRECT("'"&amp;$O423&amp;"'!H"&amp;$N423)="O","완제품","")))</f>
        <v/>
      </c>
      <c r="E423" s="79">
        <f>IFERROR(IF(INDIRECT("'"&amp;$O423&amp;"'!I"&amp;$N423)=0,"",INDIRECT("'"&amp;$O423&amp;"'!I"&amp;$N423)),"")</f>
        <v/>
      </c>
      <c r="F423" s="52" t="inlineStr">
        <is>
          <t>SHOT BUTTON 사출</t>
        </is>
      </c>
      <c r="G423" s="52" t="inlineStr">
        <is>
          <t>SHOT BUTTON (ABS 난연 화이트 + 오렌지 유광) [COCOON]</t>
        </is>
      </c>
      <c r="H423" s="79">
        <f>IF(AND($F423="",$G423=""),"",IF($F423="","창고전용",IF($G423&lt;&gt;"","매칭완료",IF($D423="반제품","반제품(창고없음)",IF($D423="완제품","완제품(창고없음)",IF($D423="원자재","⚠ 원자재_부서보관","미분류"))))))</f>
        <v/>
      </c>
      <c r="I423" s="79">
        <f>IFERROR(IF(INDIRECT("'"&amp;$O423&amp;"'!P"&amp;$N423)=0,"",INDIRECT("'"&amp;$O423&amp;"'!P"&amp;$N423)),"")</f>
        <v/>
      </c>
      <c r="J423" s="61" t="inlineStr">
        <is>
          <t>SHOT BUTTON 사출</t>
        </is>
      </c>
      <c r="K423" s="65" t="inlineStr">
        <is>
          <t>COCOON SHOT BUTTON</t>
        </is>
      </c>
      <c r="L423" s="83">
        <f>HYPERLINK("#'"&amp;$O423&amp;"'!A"&amp;$N423,"→ 조립자재 R"&amp;$N423)</f>
        <v/>
      </c>
      <c r="M423" s="84" t="n"/>
      <c r="N423" s="80" t="n">
        <v>272</v>
      </c>
      <c r="O423" s="80" t="inlineStr">
        <is>
          <t>조립자재_재고현황</t>
        </is>
      </c>
    </row>
    <row r="424" ht="30" customHeight="1">
      <c r="A424" s="56" t="inlineStr">
        <is>
          <t>조립</t>
        </is>
      </c>
      <c r="B424" s="52" t="inlineStr">
        <is>
          <t>손잡이</t>
        </is>
      </c>
      <c r="C424" s="52" t="inlineStr">
        <is>
          <t>COCOON</t>
        </is>
      </c>
      <c r="D424" s="79">
        <f>IF(INDIRECT("'"&amp;$O424&amp;"'!F"&amp;$N424)="O","원자재",IF(INDIRECT("'"&amp;$O424&amp;"'!G"&amp;$N424)="O","반제품",IF(INDIRECT("'"&amp;$O424&amp;"'!H"&amp;$N424)="O","완제품","")))</f>
        <v/>
      </c>
      <c r="E424" s="79">
        <f>IFERROR(IF(INDIRECT("'"&amp;$O424&amp;"'!I"&amp;$N424)=0,"",INDIRECT("'"&amp;$O424&amp;"'!I"&amp;$N424)),"")</f>
        <v/>
      </c>
      <c r="F424" s="52" t="inlineStr">
        <is>
          <t>SHOT PCB GUIDE 사출</t>
        </is>
      </c>
      <c r="G424" s="52" t="inlineStr">
        <is>
          <t>SHOT PCB GUIDE (ABS 난연 화이트) [COCOON]</t>
        </is>
      </c>
      <c r="H424" s="79">
        <f>IF(AND($F424="",$G424=""),"",IF($F424="","창고전용",IF($G424&lt;&gt;"","매칭완료",IF($D424="반제품","반제품(창고없음)",IF($D424="완제품","완제품(창고없음)",IF($D424="원자재","⚠ 원자재_부서보관","미분류"))))))</f>
        <v/>
      </c>
      <c r="I424" s="79">
        <f>IFERROR(IF(INDIRECT("'"&amp;$O424&amp;"'!P"&amp;$N424)=0,"",INDIRECT("'"&amp;$O424&amp;"'!P"&amp;$N424)),"")</f>
        <v/>
      </c>
      <c r="J424" s="61" t="inlineStr">
        <is>
          <t>SHOT PCB GUIDE 사출</t>
        </is>
      </c>
      <c r="K424" s="65" t="inlineStr">
        <is>
          <t>COCOON SHOT PCB GUIDE</t>
        </is>
      </c>
      <c r="L424" s="83">
        <f>HYPERLINK("#'"&amp;$O424&amp;"'!A"&amp;$N424,"→ 조립자재 R"&amp;$N424)</f>
        <v/>
      </c>
      <c r="M424" s="84" t="n"/>
      <c r="N424" s="80" t="n">
        <v>273</v>
      </c>
      <c r="O424" s="80" t="inlineStr">
        <is>
          <t>조립자재_재고현황</t>
        </is>
      </c>
    </row>
    <row r="425" ht="30" customHeight="1">
      <c r="A425" s="56" t="inlineStr">
        <is>
          <t>조립</t>
        </is>
      </c>
      <c r="B425" s="52" t="inlineStr">
        <is>
          <t>손잡이</t>
        </is>
      </c>
      <c r="C425" s="52" t="inlineStr">
        <is>
          <t>COCOON 레드 유광</t>
        </is>
      </c>
      <c r="D425" s="79">
        <f>IF(INDIRECT("'"&amp;$O425&amp;"'!F"&amp;$N425)="O","원자재",IF(INDIRECT("'"&amp;$O425&amp;"'!G"&amp;$N425)="O","반제품",IF(INDIRECT("'"&amp;$O425&amp;"'!H"&amp;$N425)="O","완제품","")))</f>
        <v/>
      </c>
      <c r="E425" s="79">
        <f>IFERROR(IF(INDIRECT("'"&amp;$O425&amp;"'!I"&amp;$N425)=0,"",INDIRECT("'"&amp;$O425&amp;"'!I"&amp;$N425)),"")</f>
        <v/>
      </c>
      <c r="F425" s="52" t="inlineStr">
        <is>
          <t>SLIDE SWITCH 사출</t>
        </is>
      </c>
      <c r="G425" s="52" t="inlineStr">
        <is>
          <t>SLIDE SWITCH (ABS 난연 화이트 + 레드 유광) [COCOON]</t>
        </is>
      </c>
      <c r="H425" s="79">
        <f>IF(AND($F425="",$G425=""),"",IF($F425="","창고전용",IF($G425&lt;&gt;"","매칭완료",IF($D425="반제품","반제품(창고없음)",IF($D425="완제품","완제품(창고없음)",IF($D425="원자재","⚠ 원자재_부서보관","미분류"))))))</f>
        <v/>
      </c>
      <c r="I425" s="79">
        <f>IFERROR(IF(INDIRECT("'"&amp;$O425&amp;"'!P"&amp;$N425)=0,"",INDIRECT("'"&amp;$O425&amp;"'!P"&amp;$N425)),"")</f>
        <v/>
      </c>
      <c r="J425" s="61" t="inlineStr">
        <is>
          <t>SLIDE SWITCH 사출</t>
        </is>
      </c>
      <c r="K425" s="65" t="inlineStr">
        <is>
          <t>COCOON SLIDE SWITCH</t>
        </is>
      </c>
      <c r="L425" s="83">
        <f>HYPERLINK("#'"&amp;$O425&amp;"'!A"&amp;$N425,"→ 조립자재 R"&amp;$N425)</f>
        <v/>
      </c>
      <c r="M425" s="84" t="n"/>
      <c r="N425" s="80" t="n">
        <v>274</v>
      </c>
      <c r="O425" s="80" t="inlineStr">
        <is>
          <t>조립자재_재고현황</t>
        </is>
      </c>
    </row>
    <row r="426" ht="30" customHeight="1">
      <c r="A426" s="56" t="inlineStr">
        <is>
          <t>조립</t>
        </is>
      </c>
      <c r="B426" s="52" t="inlineStr">
        <is>
          <t>손잡이</t>
        </is>
      </c>
      <c r="C426" s="52" t="inlineStr">
        <is>
          <t>COCOON 레드 유광</t>
        </is>
      </c>
      <c r="D426" s="79">
        <f>IF(INDIRECT("'"&amp;$O426&amp;"'!F"&amp;$N426)="O","원자재",IF(INDIRECT("'"&amp;$O426&amp;"'!G"&amp;$N426)="O","반제품",IF(INDIRECT("'"&amp;$O426&amp;"'!H"&amp;$N426)="O","완제품","")))</f>
        <v/>
      </c>
      <c r="E426" s="79">
        <f>IFERROR(IF(INDIRECT("'"&amp;$O426&amp;"'!I"&amp;$N426)=0,"",INDIRECT("'"&amp;$O426&amp;"'!I"&amp;$N426)),"")</f>
        <v/>
      </c>
      <c r="F426" s="52" t="inlineStr">
        <is>
          <t>SLIDE CAP</t>
        </is>
      </c>
      <c r="G426" s="52" t="inlineStr">
        <is>
          <t>SLIDE CAP (ABS 난연 화이트 + 레드 유광) [COCOON]</t>
        </is>
      </c>
      <c r="H426" s="79">
        <f>IF(AND($F426="",$G426=""),"",IF($F426="","창고전용",IF($G426&lt;&gt;"","매칭완료",IF($D426="반제품","반제품(창고없음)",IF($D426="완제품","완제품(창고없음)",IF($D426="원자재","⚠ 원자재_부서보관","미분류"))))))</f>
        <v/>
      </c>
      <c r="I426" s="79">
        <f>IFERROR(IF(INDIRECT("'"&amp;$O426&amp;"'!P"&amp;$N426)=0,"",INDIRECT("'"&amp;$O426&amp;"'!P"&amp;$N426)),"")</f>
        <v/>
      </c>
      <c r="J426" s="61" t="inlineStr">
        <is>
          <t>SLIDE CAP</t>
        </is>
      </c>
      <c r="K426" s="65" t="inlineStr">
        <is>
          <t>COCOON SLIDE CAP</t>
        </is>
      </c>
      <c r="L426" s="83">
        <f>HYPERLINK("#'"&amp;$O426&amp;"'!A"&amp;$N426,"→ 조립자재 R"&amp;$N426)</f>
        <v/>
      </c>
      <c r="M426" s="84" t="n"/>
      <c r="N426" s="80" t="n">
        <v>275</v>
      </c>
      <c r="O426" s="80" t="inlineStr">
        <is>
          <t>조립자재_재고현황</t>
        </is>
      </c>
    </row>
    <row r="427" ht="30" customHeight="1">
      <c r="A427" s="56" t="inlineStr">
        <is>
          <t>조립</t>
        </is>
      </c>
      <c r="B427" s="52" t="inlineStr">
        <is>
          <t>손잡이</t>
        </is>
      </c>
      <c r="C427" s="52" t="inlineStr">
        <is>
          <t>COCOON  블랙 유광</t>
        </is>
      </c>
      <c r="D427" s="79">
        <f>IF(INDIRECT("'"&amp;$O427&amp;"'!F"&amp;$N427)="O","원자재",IF(INDIRECT("'"&amp;$O427&amp;"'!G"&amp;$N427)="O","반제품",IF(INDIRECT("'"&amp;$O427&amp;"'!H"&amp;$N427)="O","완제품","")))</f>
        <v/>
      </c>
      <c r="E427" s="79">
        <f>IFERROR(IF(INDIRECT("'"&amp;$O427&amp;"'!I"&amp;$N427)=0,"",INDIRECT("'"&amp;$O427&amp;"'!I"&amp;$N427)),"")</f>
        <v/>
      </c>
      <c r="F427" s="52" t="inlineStr">
        <is>
          <t>BAT BOTTOM</t>
        </is>
      </c>
      <c r="G427" s="52" t="inlineStr">
        <is>
          <t>BAT BOTTOM (블랙 유광) [COCOON]</t>
        </is>
      </c>
      <c r="H427" s="79">
        <f>IF(AND($F427="",$G427=""),"",IF($F427="","창고전용",IF($G427&lt;&gt;"","매칭완료",IF($D427="반제품","반제품(창고없음)",IF($D427="완제품","완제품(창고없음)",IF($D427="원자재","⚠ 원자재_부서보관","미분류"))))))</f>
        <v/>
      </c>
      <c r="I427" s="79">
        <f>IFERROR(IF(INDIRECT("'"&amp;$O427&amp;"'!P"&amp;$N427)=0,"",INDIRECT("'"&amp;$O427&amp;"'!P"&amp;$N427)),"")</f>
        <v/>
      </c>
      <c r="J427" s="61" t="inlineStr">
        <is>
          <t>BAT BOTTOM</t>
        </is>
      </c>
      <c r="K427" s="65" t="inlineStr">
        <is>
          <t>COCOON BAT BOTTOM (B 유광)</t>
        </is>
      </c>
      <c r="L427" s="83">
        <f>HYPERLINK("#'"&amp;$O427&amp;"'!A"&amp;$N427,"→ 조립자재 R"&amp;$N427)</f>
        <v/>
      </c>
      <c r="M427" s="84" t="n"/>
      <c r="N427" s="80" t="n">
        <v>276</v>
      </c>
      <c r="O427" s="80" t="inlineStr">
        <is>
          <t>조립자재_재고현황</t>
        </is>
      </c>
    </row>
    <row r="428" ht="30" customHeight="1">
      <c r="A428" s="56" t="inlineStr">
        <is>
          <t>조립</t>
        </is>
      </c>
      <c r="B428" s="52" t="inlineStr">
        <is>
          <t>손잡이</t>
        </is>
      </c>
      <c r="C428" s="52" t="inlineStr">
        <is>
          <t>COCOON</t>
        </is>
      </c>
      <c r="D428" s="79">
        <f>IF(INDIRECT("'"&amp;$O428&amp;"'!F"&amp;$N428)="O","원자재",IF(INDIRECT("'"&amp;$O428&amp;"'!G"&amp;$N428)="O","반제품",IF(INDIRECT("'"&amp;$O428&amp;"'!H"&amp;$N428)="O","완제품","")))</f>
        <v/>
      </c>
      <c r="E428" s="79">
        <f>IFERROR(IF(INDIRECT("'"&amp;$O428&amp;"'!I"&amp;$N428)=0,"",INDIRECT("'"&amp;$O428&amp;"'!I"&amp;$N428)),"")</f>
        <v/>
      </c>
      <c r="F428" s="52" t="inlineStr">
        <is>
          <t>EXP BUTTON 스프링</t>
        </is>
      </c>
      <c r="G428" s="52" t="inlineStr">
        <is>
          <t>EXP BUTTON 스프링 (스프링) [COCOON]</t>
        </is>
      </c>
      <c r="H428" s="79">
        <f>IF(AND($F428="",$G428=""),"",IF($F428="","창고전용",IF($G428&lt;&gt;"","매칭완료",IF($D428="반제품","반제품(창고없음)",IF($D428="완제품","완제품(창고없음)",IF($D428="원자재","⚠ 원자재_부서보관","미분류"))))))</f>
        <v/>
      </c>
      <c r="I428" s="79">
        <f>IFERROR(IF(INDIRECT("'"&amp;$O428&amp;"'!P"&amp;$N428)=0,"",INDIRECT("'"&amp;$O428&amp;"'!P"&amp;$N428)),"")</f>
        <v/>
      </c>
      <c r="J428" s="61" t="inlineStr">
        <is>
          <t>EXP BUTTON 스프링</t>
        </is>
      </c>
      <c r="K428" s="65" t="inlineStr">
        <is>
          <t>COCOON EXP BUTTON 스프링</t>
        </is>
      </c>
      <c r="L428" s="83">
        <f>HYPERLINK("#'"&amp;$O428&amp;"'!A"&amp;$N428,"→ 조립자재 R"&amp;$N428)</f>
        <v/>
      </c>
      <c r="M428" s="84" t="n"/>
      <c r="N428" s="80" t="n">
        <v>277</v>
      </c>
      <c r="O428" s="80" t="inlineStr">
        <is>
          <t>조립자재_재고현황</t>
        </is>
      </c>
    </row>
    <row r="429" ht="30" customHeight="1">
      <c r="A429" s="56" t="inlineStr">
        <is>
          <t>조립</t>
        </is>
      </c>
      <c r="B429" s="52" t="inlineStr">
        <is>
          <t>손잡이</t>
        </is>
      </c>
      <c r="C429" s="52" t="inlineStr">
        <is>
          <t>COCOON</t>
        </is>
      </c>
      <c r="D429" s="79">
        <f>IF(INDIRECT("'"&amp;$O429&amp;"'!F"&amp;$N429)="O","원자재",IF(INDIRECT("'"&amp;$O429&amp;"'!G"&amp;$N429)="O","반제품",IF(INDIRECT("'"&amp;$O429&amp;"'!H"&amp;$N429)="O","완제품","")))</f>
        <v/>
      </c>
      <c r="E429" s="79">
        <f>IFERROR(IF(INDIRECT("'"&amp;$O429&amp;"'!I"&amp;$N429)=0,"",INDIRECT("'"&amp;$O429&amp;"'!I"&amp;$N429)),"")</f>
        <v/>
      </c>
      <c r="F429" s="52" t="inlineStr">
        <is>
          <t>BAT BOTTOM RUBBER</t>
        </is>
      </c>
      <c r="G429" s="52" t="inlineStr">
        <is>
          <t>BAT BOTTOM RUBBER (RUBBER) [COCOON]</t>
        </is>
      </c>
      <c r="H429" s="79">
        <f>IF(AND($F429="",$G429=""),"",IF($F429="","창고전용",IF($G429&lt;&gt;"","매칭완료",IF($D429="반제품","반제품(창고없음)",IF($D429="완제품","완제품(창고없음)",IF($D429="원자재","⚠ 원자재_부서보관","미분류"))))))</f>
        <v/>
      </c>
      <c r="I429" s="79">
        <f>IFERROR(IF(INDIRECT("'"&amp;$O429&amp;"'!P"&amp;$N429)=0,"",INDIRECT("'"&amp;$O429&amp;"'!P"&amp;$N429)),"")</f>
        <v/>
      </c>
      <c r="J429" s="61" t="inlineStr">
        <is>
          <t>BAT BOTTOM RUBBER</t>
        </is>
      </c>
      <c r="K429" s="65" t="inlineStr">
        <is>
          <t>COCOON BAT BOTTOM RUBBER</t>
        </is>
      </c>
      <c r="L429" s="83">
        <f>HYPERLINK("#'"&amp;$O429&amp;"'!A"&amp;$N429,"→ 조립자재 R"&amp;$N429)</f>
        <v/>
      </c>
      <c r="M429" s="84" t="n"/>
      <c r="N429" s="80" t="n">
        <v>278</v>
      </c>
      <c r="O429" s="80" t="inlineStr">
        <is>
          <t>조립자재_재고현황</t>
        </is>
      </c>
    </row>
    <row r="430" ht="30" customHeight="1">
      <c r="A430" s="56" t="inlineStr">
        <is>
          <t>조립</t>
        </is>
      </c>
      <c r="B430" s="52" t="inlineStr">
        <is>
          <t>손잡이</t>
        </is>
      </c>
      <c r="C430" s="52" t="inlineStr">
        <is>
          <t>COCOON</t>
        </is>
      </c>
      <c r="D430" s="79">
        <f>IF(INDIRECT("'"&amp;$O430&amp;"'!F"&amp;$N430)="O","원자재",IF(INDIRECT("'"&amp;$O430&amp;"'!G"&amp;$N430)="O","반제품",IF(INDIRECT("'"&amp;$O430&amp;"'!H"&amp;$N430)="O","완제품","")))</f>
        <v/>
      </c>
      <c r="E430" s="79">
        <f>IFERROR(IF(INDIRECT("'"&amp;$O430&amp;"'!I"&amp;$N430)=0,"",INDIRECT("'"&amp;$O430&amp;"'!I"&amp;$N430)),"")</f>
        <v/>
      </c>
      <c r="F430" s="52" t="inlineStr">
        <is>
          <t>내부 배터리 [PF605060HP]</t>
        </is>
      </c>
      <c r="G430" s="52" t="inlineStr">
        <is>
          <t>내부 배터리 (PF605060HP) [COCOON]</t>
        </is>
      </c>
      <c r="H430" s="79">
        <f>IF(AND($F430="",$G430=""),"",IF($F430="","창고전용",IF($G430&lt;&gt;"","매칭완료",IF($D430="반제품","반제품(창고없음)",IF($D430="완제품","완제품(창고없음)",IF($D430="원자재","⚠ 원자재_부서보관","미분류"))))))</f>
        <v/>
      </c>
      <c r="I430" s="79">
        <f>IFERROR(IF(INDIRECT("'"&amp;$O430&amp;"'!P"&amp;$N430)=0,"",INDIRECT("'"&amp;$O430&amp;"'!P"&amp;$N430)),"")</f>
        <v/>
      </c>
      <c r="J430" s="61" t="inlineStr">
        <is>
          <t>내부 배터리 [PF605060HP]</t>
        </is>
      </c>
      <c r="K430" s="65" t="inlineStr">
        <is>
          <t>COCOON 내부 배터리 [COCOON-041 (PF605060HP)] (4ICP6/50/61)</t>
        </is>
      </c>
      <c r="L430" s="83">
        <f>HYPERLINK("#'"&amp;$O430&amp;"'!A"&amp;$N430,"→ 조립자재 R"&amp;$N430)</f>
        <v/>
      </c>
      <c r="M430" s="84" t="n"/>
      <c r="N430" s="80" t="n">
        <v>279</v>
      </c>
      <c r="O430" s="80" t="inlineStr">
        <is>
          <t>조립자재_재고현황</t>
        </is>
      </c>
    </row>
    <row r="431" ht="30" customHeight="1">
      <c r="A431" s="56" t="inlineStr">
        <is>
          <t>조립</t>
        </is>
      </c>
      <c r="B431" s="52" t="inlineStr">
        <is>
          <t>크래들</t>
        </is>
      </c>
      <c r="C431" s="52" t="inlineStr">
        <is>
          <t>COCOON 블랙 유광</t>
        </is>
      </c>
      <c r="D431" s="79">
        <f>IF(INDIRECT("'"&amp;$O431&amp;"'!F"&amp;$N431)="O","원자재",IF(INDIRECT("'"&amp;$O431&amp;"'!G"&amp;$N431)="O","반제품",IF(INDIRECT("'"&amp;$O431&amp;"'!H"&amp;$N431)="O","완제품","")))</f>
        <v/>
      </c>
      <c r="E431" s="79">
        <f>IFERROR(IF(INDIRECT("'"&amp;$O431&amp;"'!I"&amp;$N431)=0,"",INDIRECT("'"&amp;$O431&amp;"'!I"&amp;$N431)),"")</f>
        <v/>
      </c>
      <c r="F431" s="52" t="inlineStr">
        <is>
          <t>CRADLE BODY 사출</t>
        </is>
      </c>
      <c r="G431" s="52" t="inlineStr">
        <is>
          <t>CRADLE BODY BUTTON X (ABS 난연 블랙 + 블랙 유광) [COCOON]</t>
        </is>
      </c>
      <c r="H431" s="79">
        <f>IF(AND($F431="",$G431=""),"",IF($F431="","창고전용",IF($G431&lt;&gt;"","매칭완료",IF($D431="반제품","반제품(창고없음)",IF($D431="완제품","완제품(창고없음)",IF($D431="원자재","⚠ 원자재_부서보관","미분류"))))))</f>
        <v/>
      </c>
      <c r="I431" s="79">
        <f>IFERROR(IF(INDIRECT("'"&amp;$O431&amp;"'!P"&amp;$N431)=0,"",INDIRECT("'"&amp;$O431&amp;"'!P"&amp;$N431)),"")</f>
        <v/>
      </c>
      <c r="J431" s="61" t="inlineStr">
        <is>
          <t>CRADLE BODY 사출</t>
        </is>
      </c>
      <c r="K431" s="65" t="inlineStr">
        <is>
          <t>COCOON CRADLE BODY (B)</t>
        </is>
      </c>
      <c r="L431" s="83">
        <f>HYPERLINK("#'"&amp;$O431&amp;"'!A"&amp;$N431,"→ 조립자재 R"&amp;$N431)</f>
        <v/>
      </c>
      <c r="M431" s="84" t="n"/>
      <c r="N431" s="80" t="n">
        <v>280</v>
      </c>
      <c r="O431" s="80" t="inlineStr">
        <is>
          <t>조립자재_재고현황</t>
        </is>
      </c>
    </row>
    <row r="432" ht="30" customHeight="1">
      <c r="A432" s="56" t="inlineStr">
        <is>
          <t>조립</t>
        </is>
      </c>
      <c r="B432" s="52" t="inlineStr">
        <is>
          <t>크래들</t>
        </is>
      </c>
      <c r="C432" s="52" t="inlineStr">
        <is>
          <t>COCOON 블랙 유광</t>
        </is>
      </c>
      <c r="D432" s="79">
        <f>IF(INDIRECT("'"&amp;$O432&amp;"'!F"&amp;$N432)="O","원자재",IF(INDIRECT("'"&amp;$O432&amp;"'!G"&amp;$N432)="O","반제품",IF(INDIRECT("'"&amp;$O432&amp;"'!H"&amp;$N432)="O","완제품","")))</f>
        <v/>
      </c>
      <c r="E432" s="79">
        <f>IFERROR(IF(INDIRECT("'"&amp;$O432&amp;"'!I"&amp;$N432)=0,"",INDIRECT("'"&amp;$O432&amp;"'!I"&amp;$N432)),"")</f>
        <v/>
      </c>
      <c r="F432" s="52" t="inlineStr">
        <is>
          <t>CRADLE BOTTOM 사출</t>
        </is>
      </c>
      <c r="G432" s="52" t="inlineStr">
        <is>
          <t>CRADLE BOTTOM (블랙 유광) [COCOON]</t>
        </is>
      </c>
      <c r="H432" s="79">
        <f>IF(AND($F432="",$G432=""),"",IF($F432="","창고전용",IF($G432&lt;&gt;"","매칭완료",IF($D432="반제품","반제품(창고없음)",IF($D432="완제품","완제품(창고없음)",IF($D432="원자재","⚠ 원자재_부서보관","미분류"))))))</f>
        <v/>
      </c>
      <c r="I432" s="79">
        <f>IFERROR(IF(INDIRECT("'"&amp;$O432&amp;"'!P"&amp;$N432)=0,"",INDIRECT("'"&amp;$O432&amp;"'!P"&amp;$N432)),"")</f>
        <v/>
      </c>
      <c r="J432" s="61" t="inlineStr">
        <is>
          <t>CRADLE BOTTOM 사출</t>
        </is>
      </c>
      <c r="K432" s="65" t="inlineStr">
        <is>
          <t>COCOON CRADLE BOTTOM (B)</t>
        </is>
      </c>
      <c r="L432" s="83">
        <f>HYPERLINK("#'"&amp;$O432&amp;"'!A"&amp;$N432,"→ 조립자재 R"&amp;$N432)</f>
        <v/>
      </c>
      <c r="M432" s="84" t="n"/>
      <c r="N432" s="80" t="n">
        <v>281</v>
      </c>
      <c r="O432" s="80" t="inlineStr">
        <is>
          <t>조립자재_재고현황</t>
        </is>
      </c>
    </row>
    <row r="433" ht="30" customHeight="1">
      <c r="A433" s="56" t="inlineStr">
        <is>
          <t>조립</t>
        </is>
      </c>
      <c r="B433" s="52" t="inlineStr">
        <is>
          <t>크래들</t>
        </is>
      </c>
      <c r="C433" s="52" t="inlineStr">
        <is>
          <t>COCOON</t>
        </is>
      </c>
      <c r="D433" s="79">
        <f>IF(INDIRECT("'"&amp;$O433&amp;"'!F"&amp;$N433)="O","원자재",IF(INDIRECT("'"&amp;$O433&amp;"'!G"&amp;$N433)="O","반제품",IF(INDIRECT("'"&amp;$O433&amp;"'!H"&amp;$N433)="O","완제품","")))</f>
        <v/>
      </c>
      <c r="E433" s="79">
        <f>IFERROR(IF(INDIRECT("'"&amp;$O433&amp;"'!I"&amp;$N433)=0,"",INDIRECT("'"&amp;$O433&amp;"'!I"&amp;$N433)),"")</f>
        <v/>
      </c>
      <c r="F433" s="52" t="inlineStr">
        <is>
          <t>CRADLE FRAME</t>
        </is>
      </c>
      <c r="G433" s="52" t="inlineStr">
        <is>
          <t>CRADLE FRAME (도금용 사출 + 크롬 도금) [COCOON]</t>
        </is>
      </c>
      <c r="H433" s="79">
        <f>IF(AND($F433="",$G433=""),"",IF($F433="","창고전용",IF($G433&lt;&gt;"","매칭완료",IF($D433="반제품","반제품(창고없음)",IF($D433="완제품","완제품(창고없음)",IF($D433="원자재","⚠ 원자재_부서보관","미분류"))))))</f>
        <v/>
      </c>
      <c r="I433" s="79">
        <f>IFERROR(IF(INDIRECT("'"&amp;$O433&amp;"'!P"&amp;$N433)=0,"",INDIRECT("'"&amp;$O433&amp;"'!P"&amp;$N433)),"")</f>
        <v/>
      </c>
      <c r="J433" s="61" t="inlineStr">
        <is>
          <t>CRADLE FRAME</t>
        </is>
      </c>
      <c r="K433" s="65" t="inlineStr">
        <is>
          <t>COCOON CRADLE FRAME (S)</t>
        </is>
      </c>
      <c r="L433" s="83">
        <f>HYPERLINK("#'"&amp;$O433&amp;"'!A"&amp;$N433,"→ 조립자재 R"&amp;$N433)</f>
        <v/>
      </c>
      <c r="M433" s="84" t="n"/>
      <c r="N433" s="80" t="n">
        <v>282</v>
      </c>
      <c r="O433" s="80" t="inlineStr">
        <is>
          <t>조립자재_재고현황</t>
        </is>
      </c>
    </row>
    <row r="434" ht="30" customHeight="1">
      <c r="A434" s="56" t="inlineStr">
        <is>
          <t>조립</t>
        </is>
      </c>
      <c r="B434" s="52" t="inlineStr">
        <is>
          <t>크래들</t>
        </is>
      </c>
      <c r="C434" s="52" t="inlineStr">
        <is>
          <t>COCOON</t>
        </is>
      </c>
      <c r="D434" s="79">
        <f>IF(INDIRECT("'"&amp;$O434&amp;"'!F"&amp;$N434)="O","원자재",IF(INDIRECT("'"&amp;$O434&amp;"'!G"&amp;$N434)="O","반제품",IF(INDIRECT("'"&amp;$O434&amp;"'!H"&amp;$N434)="O","완제품","")))</f>
        <v/>
      </c>
      <c r="E434" s="79">
        <f>IFERROR(IF(INDIRECT("'"&amp;$O434&amp;"'!I"&amp;$N434)=0,"",INDIRECT("'"&amp;$O434&amp;"'!I"&amp;$N434)),"")</f>
        <v/>
      </c>
      <c r="F434" s="52" t="inlineStr">
        <is>
          <t>신주 핀</t>
        </is>
      </c>
      <c r="G434" s="52" t="inlineStr">
        <is>
          <t>CRADLE 신주 핀 (신주 가공 + 니켈 도금) [COCOON]</t>
        </is>
      </c>
      <c r="H434" s="79">
        <f>IF(AND($F434="",$G434=""),"",IF($F434="","창고전용",IF($G434&lt;&gt;"","매칭완료",IF($D434="반제품","반제품(창고없음)",IF($D434="완제품","완제품(창고없음)",IF($D434="원자재","⚠ 원자재_부서보관","미분류"))))))</f>
        <v/>
      </c>
      <c r="I434" s="79">
        <f>IFERROR(IF(INDIRECT("'"&amp;$O434&amp;"'!P"&amp;$N434)=0,"",INDIRECT("'"&amp;$O434&amp;"'!P"&amp;$N434)),"")</f>
        <v/>
      </c>
      <c r="J434" s="61" t="inlineStr">
        <is>
          <t>신주 핀</t>
        </is>
      </c>
      <c r="K434" s="65" t="inlineStr">
        <is>
          <t>COCOON CRADLE 신주 핀</t>
        </is>
      </c>
      <c r="L434" s="83">
        <f>HYPERLINK("#'"&amp;$O434&amp;"'!A"&amp;$N434,"→ 조립자재 R"&amp;$N434)</f>
        <v/>
      </c>
      <c r="M434" s="84" t="n"/>
      <c r="N434" s="80" t="n">
        <v>283</v>
      </c>
      <c r="O434" s="80" t="inlineStr">
        <is>
          <t>조립자재_재고현황</t>
        </is>
      </c>
    </row>
    <row r="435" ht="30" customHeight="1">
      <c r="A435" s="56" t="inlineStr">
        <is>
          <t>조립</t>
        </is>
      </c>
      <c r="B435" s="52" t="inlineStr">
        <is>
          <t>크래들</t>
        </is>
      </c>
      <c r="C435" s="52" t="inlineStr">
        <is>
          <t>COCOON</t>
        </is>
      </c>
      <c r="D435" s="79">
        <f>IF(INDIRECT("'"&amp;$O435&amp;"'!F"&amp;$N435)="O","원자재",IF(INDIRECT("'"&amp;$O435&amp;"'!G"&amp;$N435)="O","반제품",IF(INDIRECT("'"&amp;$O435&amp;"'!H"&amp;$N435)="O","완제품","")))</f>
        <v/>
      </c>
      <c r="E435" s="79">
        <f>IFERROR(IF(INDIRECT("'"&amp;$O435&amp;"'!I"&amp;$N435)=0,"",INDIRECT("'"&amp;$O435&amp;"'!I"&amp;$N435)),"")</f>
        <v/>
      </c>
      <c r="F435" s="52" t="inlineStr">
        <is>
          <t>크래들 충전단자 스프링</t>
        </is>
      </c>
      <c r="G435" s="52" t="inlineStr">
        <is>
          <t>CRADLE 충전단자 스프링 (스프링) [COCOON]</t>
        </is>
      </c>
      <c r="H435" s="79">
        <f>IF(AND($F435="",$G435=""),"",IF($F435="","창고전용",IF($G435&lt;&gt;"","매칭완료",IF($D435="반제품","반제품(창고없음)",IF($D435="완제품","완제품(창고없음)",IF($D435="원자재","⚠ 원자재_부서보관","미분류"))))))</f>
        <v/>
      </c>
      <c r="I435" s="79">
        <f>IFERROR(IF(INDIRECT("'"&amp;$O435&amp;"'!P"&amp;$N435)=0,"",INDIRECT("'"&amp;$O435&amp;"'!P"&amp;$N435)),"")</f>
        <v/>
      </c>
      <c r="J435" s="61" t="inlineStr">
        <is>
          <t>크래들 충전단자 스프링</t>
        </is>
      </c>
      <c r="K435" s="65" t="inlineStr">
        <is>
          <t>COCOON CRADLE 충전단자 스프링</t>
        </is>
      </c>
      <c r="L435" s="83">
        <f>HYPERLINK("#'"&amp;$O435&amp;"'!A"&amp;$N435,"→ 조립자재 R"&amp;$N435)</f>
        <v/>
      </c>
      <c r="M435" s="84" t="n"/>
      <c r="N435" s="80" t="n">
        <v>284</v>
      </c>
      <c r="O435" s="80" t="inlineStr">
        <is>
          <t>조립자재_재고현황</t>
        </is>
      </c>
    </row>
    <row r="436" ht="30" customHeight="1">
      <c r="A436" s="56" t="inlineStr">
        <is>
          <t>조립</t>
        </is>
      </c>
      <c r="B436" s="52" t="inlineStr">
        <is>
          <t>크래들</t>
        </is>
      </c>
      <c r="C436" s="52" t="inlineStr">
        <is>
          <t>COCOON</t>
        </is>
      </c>
      <c r="D436" s="79">
        <f>IF(INDIRECT("'"&amp;$O436&amp;"'!F"&amp;$N436)="O","원자재",IF(INDIRECT("'"&amp;$O436&amp;"'!G"&amp;$N436)="O","반제품",IF(INDIRECT("'"&amp;$O436&amp;"'!H"&amp;$N436)="O","완제품","")))</f>
        <v/>
      </c>
      <c r="E436" s="79">
        <f>IFERROR(IF(INDIRECT("'"&amp;$O436&amp;"'!I"&amp;$N436)=0,"",INDIRECT("'"&amp;$O436&amp;"'!I"&amp;$N436)),"")</f>
        <v/>
      </c>
      <c r="F436" s="52" t="inlineStr">
        <is>
          <t>CRADLE FOOT RUBBER</t>
        </is>
      </c>
      <c r="G436" s="52" t="inlineStr">
        <is>
          <t>CRADLE FOOT RUBBER (RUBBER) [COCOON]</t>
        </is>
      </c>
      <c r="H436" s="79">
        <f>IF(AND($F436="",$G436=""),"",IF($F436="","창고전용",IF($G436&lt;&gt;"","매칭완료",IF($D436="반제품","반제품(창고없음)",IF($D436="완제품","완제품(창고없음)",IF($D436="원자재","⚠ 원자재_부서보관","미분류"))))))</f>
        <v/>
      </c>
      <c r="I436" s="79">
        <f>IFERROR(IF(INDIRECT("'"&amp;$O436&amp;"'!P"&amp;$N436)=0,"",INDIRECT("'"&amp;$O436&amp;"'!P"&amp;$N436)),"")</f>
        <v/>
      </c>
      <c r="J436" s="61" t="inlineStr">
        <is>
          <t>CRADLE FOOT RUBBER</t>
        </is>
      </c>
      <c r="K436" s="65" t="inlineStr">
        <is>
          <t>COCOON CRADLE FOOT RUBBER</t>
        </is>
      </c>
      <c r="L436" s="83">
        <f>HYPERLINK("#'"&amp;$O436&amp;"'!A"&amp;$N436,"→ 조립자재 R"&amp;$N436)</f>
        <v/>
      </c>
      <c r="M436" s="84" t="n"/>
      <c r="N436" s="80" t="n">
        <v>285</v>
      </c>
      <c r="O436" s="80" t="inlineStr">
        <is>
          <t>조립자재_재고현황</t>
        </is>
      </c>
    </row>
    <row r="437" ht="30" customHeight="1">
      <c r="A437" s="56" t="inlineStr">
        <is>
          <t>조립</t>
        </is>
      </c>
      <c r="B437" s="52" t="inlineStr">
        <is>
          <t>케어스트림</t>
        </is>
      </c>
      <c r="C437" s="52" t="inlineStr">
        <is>
          <t>COCOON 화이트 케어스트림</t>
        </is>
      </c>
      <c r="D437" s="79">
        <f>IF(INDIRECT("'"&amp;$O437&amp;"'!F"&amp;$N437)="O","원자재",IF(INDIRECT("'"&amp;$O437&amp;"'!G"&amp;$N437)="O","반제품",IF(INDIRECT("'"&amp;$O437&amp;"'!H"&amp;$N437)="O","완제품","")))</f>
        <v/>
      </c>
      <c r="E437" s="79">
        <f>IFERROR(IF(INDIRECT("'"&amp;$O437&amp;"'!I"&amp;$N437)=0,"",INDIRECT("'"&amp;$O437&amp;"'!I"&amp;$N437)),"")</f>
        <v/>
      </c>
      <c r="F437" s="52" t="inlineStr">
        <is>
          <t>TOP BODY 사출 (케어스트림)</t>
        </is>
      </c>
      <c r="G437" s="52" t="n"/>
      <c r="H437" s="79">
        <f>IF(AND($F437="",$G437=""),"",IF($F437="","창고전용",IF($G437&lt;&gt;"","매칭완료",IF($D437="반제품","반제품(창고없음)",IF($D437="완제품","완제품(창고없음)",IF($D437="원자재","⚠ 원자재_부서보관","미분류"))))))</f>
        <v/>
      </c>
      <c r="I437" s="79">
        <f>IFERROR(IF(INDIRECT("'"&amp;$O437&amp;"'!P"&amp;$N437)=0,"",INDIRECT("'"&amp;$O437&amp;"'!P"&amp;$N437)),"")</f>
        <v/>
      </c>
      <c r="J437" s="61" t="inlineStr">
        <is>
          <t>TOP BODY 사출 (케어스트림)</t>
        </is>
      </c>
      <c r="K437" s="65" t="inlineStr">
        <is>
          <t>COCOON TOP BODY (W) [Carestream 로고]</t>
        </is>
      </c>
      <c r="L437" s="83">
        <f>HYPERLINK("#'"&amp;$O437&amp;"'!A"&amp;$N437,"→ 조립자재 R"&amp;$N437)</f>
        <v/>
      </c>
      <c r="M437" s="84" t="n"/>
      <c r="N437" s="80" t="n">
        <v>286</v>
      </c>
      <c r="O437" s="80" t="inlineStr">
        <is>
          <t>조립자재_재고현황</t>
        </is>
      </c>
    </row>
    <row r="438" ht="30" customHeight="1">
      <c r="A438" s="56" t="inlineStr">
        <is>
          <t>조립</t>
        </is>
      </c>
      <c r="B438" s="52" t="inlineStr">
        <is>
          <t>케어스트림</t>
        </is>
      </c>
      <c r="C438" s="52" t="inlineStr">
        <is>
          <t>COCOON 화이트 케어스트림</t>
        </is>
      </c>
      <c r="D438" s="79">
        <f>IF(INDIRECT("'"&amp;$O438&amp;"'!F"&amp;$N438)="O","원자재",IF(INDIRECT("'"&amp;$O438&amp;"'!G"&amp;$N438)="O","반제품",IF(INDIRECT("'"&amp;$O438&amp;"'!H"&amp;$N438)="O","완제품","")))</f>
        <v/>
      </c>
      <c r="E438" s="79">
        <f>IFERROR(IF(INDIRECT("'"&amp;$O438&amp;"'!I"&amp;$N438)=0,"",INDIRECT("'"&amp;$O438&amp;"'!I"&amp;$N438)),"")</f>
        <v/>
      </c>
      <c r="F438" s="52" t="inlineStr">
        <is>
          <t>POWER BUTTON 사출</t>
        </is>
      </c>
      <c r="G438" s="52" t="n"/>
      <c r="H438" s="79">
        <f>IF(AND($F438="",$G438=""),"",IF($F438="","창고전용",IF($G438&lt;&gt;"","매칭완료",IF($D438="반제품","반제품(창고없음)",IF($D438="완제품","완제품(창고없음)",IF($D438="원자재","⚠ 원자재_부서보관","미분류"))))))</f>
        <v/>
      </c>
      <c r="I438" s="79">
        <f>IFERROR(IF(INDIRECT("'"&amp;$O438&amp;"'!P"&amp;$N438)=0,"",INDIRECT("'"&amp;$O438&amp;"'!P"&amp;$N438)),"")</f>
        <v/>
      </c>
      <c r="J438" s="61" t="inlineStr">
        <is>
          <t>POWER BUTTON 사출</t>
        </is>
      </c>
      <c r="K438" s="65" t="inlineStr">
        <is>
          <t>COCOON POWER BUTTON (W)</t>
        </is>
      </c>
      <c r="L438" s="83">
        <f>HYPERLINK("#'"&amp;$O438&amp;"'!A"&amp;$N438,"→ 조립자재 R"&amp;$N438)</f>
        <v/>
      </c>
      <c r="M438" s="84" t="n"/>
      <c r="N438" s="80" t="n">
        <v>287</v>
      </c>
      <c r="O438" s="80" t="inlineStr">
        <is>
          <t>조립자재_재고현황</t>
        </is>
      </c>
    </row>
    <row r="439" ht="30" customHeight="1">
      <c r="A439" s="56" t="inlineStr">
        <is>
          <t>조립</t>
        </is>
      </c>
      <c r="B439" s="52" t="inlineStr">
        <is>
          <t>케어스트림</t>
        </is>
      </c>
      <c r="C439" s="52" t="inlineStr">
        <is>
          <t>COCOON 화이트 케어스트림</t>
        </is>
      </c>
      <c r="D439" s="79">
        <f>IF(INDIRECT("'"&amp;$O439&amp;"'!F"&amp;$N439)="O","원자재",IF(INDIRECT("'"&amp;$O439&amp;"'!G"&amp;$N439)="O","반제품",IF(INDIRECT("'"&amp;$O439&amp;"'!H"&amp;$N439)="O","완제품","")))</f>
        <v/>
      </c>
      <c r="E439" s="79">
        <f>IFERROR(IF(INDIRECT("'"&amp;$O439&amp;"'!I"&amp;$N439)=0,"",INDIRECT("'"&amp;$O439&amp;"'!I"&amp;$N439)),"")</f>
        <v/>
      </c>
      <c r="F439" s="52" t="inlineStr">
        <is>
          <t>BOTTOM BODY 사출</t>
        </is>
      </c>
      <c r="G439" s="52" t="n"/>
      <c r="H439" s="79">
        <f>IF(AND($F439="",$G439=""),"",IF($F439="","창고전용",IF($G439&lt;&gt;"","매칭완료",IF($D439="반제품","반제품(창고없음)",IF($D439="완제품","완제품(창고없음)",IF($D439="원자재","⚠ 원자재_부서보관","미분류"))))))</f>
        <v/>
      </c>
      <c r="I439" s="79">
        <f>IFERROR(IF(INDIRECT("'"&amp;$O439&amp;"'!P"&amp;$N439)=0,"",INDIRECT("'"&amp;$O439&amp;"'!P"&amp;$N439)),"")</f>
        <v/>
      </c>
      <c r="J439" s="61" t="inlineStr">
        <is>
          <t>BOTTOM BODY 사출</t>
        </is>
      </c>
      <c r="K439" s="65" t="inlineStr">
        <is>
          <t>COCOON BOTTOM BODY (W)</t>
        </is>
      </c>
      <c r="L439" s="83">
        <f>HYPERLINK("#'"&amp;$O439&amp;"'!A"&amp;$N439,"→ 조립자재 R"&amp;$N439)</f>
        <v/>
      </c>
      <c r="M439" s="84" t="n"/>
      <c r="N439" s="80" t="n">
        <v>288</v>
      </c>
      <c r="O439" s="80" t="inlineStr">
        <is>
          <t>조립자재_재고현황</t>
        </is>
      </c>
    </row>
    <row r="440" ht="30" customHeight="1">
      <c r="A440" s="56" t="inlineStr">
        <is>
          <t>조립</t>
        </is>
      </c>
      <c r="B440" s="52" t="inlineStr">
        <is>
          <t>케어스트림</t>
        </is>
      </c>
      <c r="C440" s="52" t="inlineStr">
        <is>
          <t>COCOON 화이트 케어스트림</t>
        </is>
      </c>
      <c r="D440" s="79">
        <f>IF(INDIRECT("'"&amp;$O440&amp;"'!F"&amp;$N440)="O","원자재",IF(INDIRECT("'"&amp;$O440&amp;"'!G"&amp;$N440)="O","반제품",IF(INDIRECT("'"&amp;$O440&amp;"'!H"&amp;$N440)="O","완제품","")))</f>
        <v/>
      </c>
      <c r="E440" s="79">
        <f>IFERROR(IF(INDIRECT("'"&amp;$O440&amp;"'!I"&amp;$N440)=0,"",INDIRECT("'"&amp;$O440&amp;"'!I"&amp;$N440)),"")</f>
        <v/>
      </c>
      <c r="F440" s="52" t="inlineStr">
        <is>
          <t>LOCK KNOB</t>
        </is>
      </c>
      <c r="G440" s="52" t="n"/>
      <c r="H440" s="79">
        <f>IF(AND($F440="",$G440=""),"",IF($F440="","창고전용",IF($G440&lt;&gt;"","매칭완료",IF($D440="반제품","반제품(창고없음)",IF($D440="완제품","완제품(창고없음)",IF($D440="원자재","⚠ 원자재_부서보관","미분류"))))))</f>
        <v/>
      </c>
      <c r="I440" s="79">
        <f>IFERROR(IF(INDIRECT("'"&amp;$O440&amp;"'!P"&amp;$N440)=0,"",INDIRECT("'"&amp;$O440&amp;"'!P"&amp;$N440)),"")</f>
        <v/>
      </c>
      <c r="J440" s="61" t="inlineStr">
        <is>
          <t>LOCK KNOB</t>
        </is>
      </c>
      <c r="K440" s="65" t="inlineStr">
        <is>
          <t>COCOON LOCK KNOB (W)</t>
        </is>
      </c>
      <c r="L440" s="83">
        <f>HYPERLINK("#'"&amp;$O440&amp;"'!A"&amp;$N440,"→ 조립자재 R"&amp;$N440)</f>
        <v/>
      </c>
      <c r="M440" s="84" t="n"/>
      <c r="N440" s="80" t="n">
        <v>289</v>
      </c>
      <c r="O440" s="80" t="inlineStr">
        <is>
          <t>조립자재_재고현황</t>
        </is>
      </c>
    </row>
    <row r="441" ht="30" customHeight="1">
      <c r="A441" s="56" t="inlineStr">
        <is>
          <t>조립</t>
        </is>
      </c>
      <c r="B441" s="52" t="inlineStr">
        <is>
          <t>케어스트림</t>
        </is>
      </c>
      <c r="C441" s="52" t="inlineStr">
        <is>
          <t>COCOON 화이트 케어스트림</t>
        </is>
      </c>
      <c r="D441" s="79">
        <f>IF(INDIRECT("'"&amp;$O441&amp;"'!F"&amp;$N441)="O","원자재",IF(INDIRECT("'"&amp;$O441&amp;"'!G"&amp;$N441)="O","반제품",IF(INDIRECT("'"&amp;$O441&amp;"'!H"&amp;$N441)="O","완제품","")))</f>
        <v/>
      </c>
      <c r="E441" s="79">
        <f>IFERROR(IF(INDIRECT("'"&amp;$O441&amp;"'!I"&amp;$N441)=0,"",INDIRECT("'"&amp;$O441&amp;"'!I"&amp;$N441)),"")</f>
        <v/>
      </c>
      <c r="F441" s="52" t="inlineStr">
        <is>
          <t>LOCK INNER</t>
        </is>
      </c>
      <c r="G441" s="52" t="n"/>
      <c r="H441" s="79">
        <f>IF(AND($F441="",$G441=""),"",IF($F441="","창고전용",IF($G441&lt;&gt;"","매칭완료",IF($D441="반제품","반제품(창고없음)",IF($D441="완제품","완제품(창고없음)",IF($D441="원자재","⚠ 원자재_부서보관","미분류"))))))</f>
        <v/>
      </c>
      <c r="I441" s="79">
        <f>IFERROR(IF(INDIRECT("'"&amp;$O441&amp;"'!P"&amp;$N441)=0,"",INDIRECT("'"&amp;$O441&amp;"'!P"&amp;$N441)),"")</f>
        <v/>
      </c>
      <c r="J441" s="61" t="inlineStr">
        <is>
          <t>LOCK INNER</t>
        </is>
      </c>
      <c r="K441" s="65" t="inlineStr">
        <is>
          <t>COCOON LOCK INNER (W)</t>
        </is>
      </c>
      <c r="L441" s="83">
        <f>HYPERLINK("#'"&amp;$O441&amp;"'!A"&amp;$N441,"→ 조립자재 R"&amp;$N441)</f>
        <v/>
      </c>
      <c r="M441" s="84" t="n"/>
      <c r="N441" s="80" t="n">
        <v>290</v>
      </c>
      <c r="O441" s="80" t="inlineStr">
        <is>
          <t>조립자재_재고현황</t>
        </is>
      </c>
    </row>
    <row r="442" ht="30" customHeight="1">
      <c r="A442" s="56" t="inlineStr">
        <is>
          <t>조립</t>
        </is>
      </c>
      <c r="B442" s="52" t="inlineStr">
        <is>
          <t>케어스트림</t>
        </is>
      </c>
      <c r="C442" s="52" t="inlineStr">
        <is>
          <t>COCOON 화이트 케어스트림</t>
        </is>
      </c>
      <c r="D442" s="79">
        <f>IF(INDIRECT("'"&amp;$O442&amp;"'!F"&amp;$N442)="O","원자재",IF(INDIRECT("'"&amp;$O442&amp;"'!G"&amp;$N442)="O","반제품",IF(INDIRECT("'"&amp;$O442&amp;"'!H"&amp;$N442)="O","완제품","")))</f>
        <v/>
      </c>
      <c r="E442" s="79">
        <f>IFERROR(IF(INDIRECT("'"&amp;$O442&amp;"'!I"&amp;$N442)=0,"",INDIRECT("'"&amp;$O442&amp;"'!I"&amp;$N442)),"")</f>
        <v/>
      </c>
      <c r="F442" s="52" t="inlineStr">
        <is>
          <t>HAND BODY 사출</t>
        </is>
      </c>
      <c r="G442" s="52" t="n"/>
      <c r="H442" s="79">
        <f>IF(AND($F442="",$G442=""),"",IF($F442="","창고전용",IF($G442&lt;&gt;"","매칭완료",IF($D442="반제품","반제품(창고없음)",IF($D442="완제품","완제품(창고없음)",IF($D442="원자재","⚠ 원자재_부서보관","미분류"))))))</f>
        <v/>
      </c>
      <c r="I442" s="79">
        <f>IFERROR(IF(INDIRECT("'"&amp;$O442&amp;"'!P"&amp;$N442)=0,"",INDIRECT("'"&amp;$O442&amp;"'!P"&amp;$N442)),"")</f>
        <v/>
      </c>
      <c r="J442" s="61" t="inlineStr">
        <is>
          <t>HAND BODY 사출</t>
        </is>
      </c>
      <c r="K442" s="65" t="inlineStr">
        <is>
          <t>COCOON HAND BODY (W)</t>
        </is>
      </c>
      <c r="L442" s="83">
        <f>HYPERLINK("#'"&amp;$O442&amp;"'!A"&amp;$N442,"→ 조립자재 R"&amp;$N442)</f>
        <v/>
      </c>
      <c r="M442" s="84" t="n"/>
      <c r="N442" s="80" t="n">
        <v>291</v>
      </c>
      <c r="O442" s="80" t="inlineStr">
        <is>
          <t>조립자재_재고현황</t>
        </is>
      </c>
    </row>
    <row r="443" ht="30" customHeight="1">
      <c r="A443" s="56" t="inlineStr">
        <is>
          <t>조립</t>
        </is>
      </c>
      <c r="B443" s="52" t="inlineStr">
        <is>
          <t>케어스트림</t>
        </is>
      </c>
      <c r="C443" s="52" t="inlineStr">
        <is>
          <t>COCOON 화이트 케어스트림</t>
        </is>
      </c>
      <c r="D443" s="79">
        <f>IF(INDIRECT("'"&amp;$O443&amp;"'!F"&amp;$N443)="O","원자재",IF(INDIRECT("'"&amp;$O443&amp;"'!G"&amp;$N443)="O","반제품",IF(INDIRECT("'"&amp;$O443&amp;"'!H"&amp;$N443)="O","완제품","")))</f>
        <v/>
      </c>
      <c r="E443" s="79">
        <f>IFERROR(IF(INDIRECT("'"&amp;$O443&amp;"'!I"&amp;$N443)=0,"",INDIRECT("'"&amp;$O443&amp;"'!I"&amp;$N443)),"")</f>
        <v/>
      </c>
      <c r="F443" s="52" t="inlineStr">
        <is>
          <t>HAND TOP COVER 사출</t>
        </is>
      </c>
      <c r="G443" s="52" t="n"/>
      <c r="H443" s="79">
        <f>IF(AND($F443="",$G443=""),"",IF($F443="","창고전용",IF($G443&lt;&gt;"","매칭완료",IF($D443="반제품","반제품(창고없음)",IF($D443="완제품","완제품(창고없음)",IF($D443="원자재","⚠ 원자재_부서보관","미분류"))))))</f>
        <v/>
      </c>
      <c r="I443" s="79">
        <f>IFERROR(IF(INDIRECT("'"&amp;$O443&amp;"'!P"&amp;$N443)=0,"",INDIRECT("'"&amp;$O443&amp;"'!P"&amp;$N443)),"")</f>
        <v/>
      </c>
      <c r="J443" s="61" t="inlineStr">
        <is>
          <t>HAND TOP COVER 사출</t>
        </is>
      </c>
      <c r="K443" s="65" t="inlineStr">
        <is>
          <t>COCOON HAND TOP COVER (W)</t>
        </is>
      </c>
      <c r="L443" s="83">
        <f>HYPERLINK("#'"&amp;$O443&amp;"'!A"&amp;$N443,"→ 조립자재 R"&amp;$N443)</f>
        <v/>
      </c>
      <c r="M443" s="84" t="n"/>
      <c r="N443" s="80" t="n">
        <v>292</v>
      </c>
      <c r="O443" s="80" t="inlineStr">
        <is>
          <t>조립자재_재고현황</t>
        </is>
      </c>
    </row>
    <row r="444" ht="30" customHeight="1">
      <c r="A444" s="56" t="inlineStr">
        <is>
          <t>조립</t>
        </is>
      </c>
      <c r="B444" s="52" t="inlineStr">
        <is>
          <t>케어스트림</t>
        </is>
      </c>
      <c r="C444" s="52" t="inlineStr">
        <is>
          <t>COCOON 화이트 케어스트림</t>
        </is>
      </c>
      <c r="D444" s="79">
        <f>IF(INDIRECT("'"&amp;$O444&amp;"'!F"&amp;$N444)="O","원자재",IF(INDIRECT("'"&amp;$O444&amp;"'!G"&amp;$N444)="O","반제품",IF(INDIRECT("'"&amp;$O444&amp;"'!H"&amp;$N444)="O","완제품","")))</f>
        <v/>
      </c>
      <c r="E444" s="79">
        <f>IFERROR(IF(INDIRECT("'"&amp;$O444&amp;"'!I"&amp;$N444)=0,"",INDIRECT("'"&amp;$O444&amp;"'!I"&amp;$N444)),"")</f>
        <v/>
      </c>
      <c r="F444" s="52" t="inlineStr">
        <is>
          <t>CRADLE FRAME</t>
        </is>
      </c>
      <c r="G444" s="52" t="n"/>
      <c r="H444" s="79">
        <f>IF(AND($F444="",$G444=""),"",IF($F444="","창고전용",IF($G444&lt;&gt;"","매칭완료",IF($D444="반제품","반제품(창고없음)",IF($D444="완제품","완제품(창고없음)",IF($D444="원자재","⚠ 원자재_부서보관","미분류"))))))</f>
        <v/>
      </c>
      <c r="I444" s="79">
        <f>IFERROR(IF(INDIRECT("'"&amp;$O444&amp;"'!P"&amp;$N444)=0,"",INDIRECT("'"&amp;$O444&amp;"'!P"&amp;$N444)),"")</f>
        <v/>
      </c>
      <c r="J444" s="61" t="inlineStr">
        <is>
          <t>CRADLE FRAME</t>
        </is>
      </c>
      <c r="K444" s="65" t="inlineStr">
        <is>
          <t>COCOON CRADLE FRAME (W)</t>
        </is>
      </c>
      <c r="L444" s="83">
        <f>HYPERLINK("#'"&amp;$O444&amp;"'!A"&amp;$N444,"→ 조립자재 R"&amp;$N444)</f>
        <v/>
      </c>
      <c r="M444" s="84" t="n"/>
      <c r="N444" s="80" t="n">
        <v>293</v>
      </c>
      <c r="O444" s="80" t="inlineStr">
        <is>
          <t>조립자재_재고현황</t>
        </is>
      </c>
    </row>
    <row r="445" ht="30" customHeight="1">
      <c r="A445" s="56" t="inlineStr">
        <is>
          <t>조립</t>
        </is>
      </c>
      <c r="B445" s="52" t="inlineStr">
        <is>
          <t>케어스트림</t>
        </is>
      </c>
      <c r="C445" s="52" t="inlineStr">
        <is>
          <t>COCOON 화이트 케어스트림</t>
        </is>
      </c>
      <c r="D445" s="79">
        <f>IF(INDIRECT("'"&amp;$O445&amp;"'!F"&amp;$N445)="O","원자재",IF(INDIRECT("'"&amp;$O445&amp;"'!G"&amp;$N445)="O","반제품",IF(INDIRECT("'"&amp;$O445&amp;"'!H"&amp;$N445)="O","완제품","")))</f>
        <v/>
      </c>
      <c r="E445" s="79">
        <f>IFERROR(IF(INDIRECT("'"&amp;$O445&amp;"'!I"&amp;$N445)=0,"",INDIRECT("'"&amp;$O445&amp;"'!I"&amp;$N445)),"")</f>
        <v/>
      </c>
      <c r="F445" s="52" t="inlineStr">
        <is>
          <t>CRADLE FRAME 실리콘 커버</t>
        </is>
      </c>
      <c r="G445" s="52" t="n"/>
      <c r="H445" s="79">
        <f>IF(AND($F445="",$G445=""),"",IF($F445="","창고전용",IF($G445&lt;&gt;"","매칭완료",IF($D445="반제품","반제품(창고없음)",IF($D445="완제품","완제품(창고없음)",IF($D445="원자재","⚠ 원자재_부서보관","미분류"))))))</f>
        <v/>
      </c>
      <c r="I445" s="79">
        <f>IFERROR(IF(INDIRECT("'"&amp;$O445&amp;"'!P"&amp;$N445)=0,"",INDIRECT("'"&amp;$O445&amp;"'!P"&amp;$N445)),"")</f>
        <v/>
      </c>
      <c r="J445" s="61" t="inlineStr">
        <is>
          <t>CRADLE FRAME 실리콘 커버</t>
        </is>
      </c>
      <c r="K445" s="65" t="inlineStr">
        <is>
          <t>COCOON CRADLE FRAME 실리콘 커버</t>
        </is>
      </c>
      <c r="L445" s="83">
        <f>HYPERLINK("#'"&amp;$O445&amp;"'!A"&amp;$N445,"→ 조립자재 R"&amp;$N445)</f>
        <v/>
      </c>
      <c r="M445" s="84" t="n"/>
      <c r="N445" s="80" t="n">
        <v>294</v>
      </c>
      <c r="O445" s="80" t="inlineStr">
        <is>
          <t>조립자재_재고현황</t>
        </is>
      </c>
    </row>
    <row r="446" ht="30" customHeight="1">
      <c r="A446" s="56" t="inlineStr">
        <is>
          <t>조립</t>
        </is>
      </c>
      <c r="B446" s="52" t="inlineStr">
        <is>
          <t>조립</t>
        </is>
      </c>
      <c r="C446" s="52" t="inlineStr">
        <is>
          <t>COCOON</t>
        </is>
      </c>
      <c r="D446" s="79">
        <f>IF(INDIRECT("'"&amp;$O446&amp;"'!F"&amp;$N446)="O","원자재",IF(INDIRECT("'"&amp;$O446&amp;"'!G"&amp;$N446)="O","반제품",IF(INDIRECT("'"&amp;$O446&amp;"'!H"&amp;$N446)="O","완제품","")))</f>
        <v/>
      </c>
      <c r="E446" s="79">
        <f>IFERROR(IF(INDIRECT("'"&amp;$O446&amp;"'!I"&amp;$N446)=0,"",INDIRECT("'"&amp;$O446&amp;"'!I"&amp;$N446)),"")</f>
        <v/>
      </c>
      <c r="F446" s="52" t="inlineStr">
        <is>
          <t>GER GUIDE</t>
        </is>
      </c>
      <c r="G446" s="52" t="inlineStr">
        <is>
          <t>GER GUIDE (ABS 난연 화이트) [COCOON]</t>
        </is>
      </c>
      <c r="H446" s="79">
        <f>IF(AND($F446="",$G446=""),"",IF($F446="","창고전용",IF($G446&lt;&gt;"","매칭완료",IF($D446="반제품","반제품(창고없음)",IF($D446="완제품","완제품(창고없음)",IF($D446="원자재","⚠ 원자재_부서보관","미분류"))))))</f>
        <v/>
      </c>
      <c r="I446" s="79">
        <f>IFERROR(IF(INDIRECT("'"&amp;$O446&amp;"'!P"&amp;$N446)=0,"",INDIRECT("'"&amp;$O446&amp;"'!P"&amp;$N446)),"")</f>
        <v/>
      </c>
      <c r="J446" s="61" t="inlineStr">
        <is>
          <t>GER GUIDE</t>
        </is>
      </c>
      <c r="K446" s="65" t="inlineStr">
        <is>
          <t>COCOON GER GUIDE</t>
        </is>
      </c>
      <c r="L446" s="83">
        <f>HYPERLINK("#'"&amp;$O446&amp;"'!A"&amp;$N446,"→ 조립자재 R"&amp;$N446)</f>
        <v/>
      </c>
      <c r="M446" s="84" t="n"/>
      <c r="N446" s="80" t="n">
        <v>295</v>
      </c>
      <c r="O446" s="80" t="inlineStr">
        <is>
          <t>조립자재_재고현황</t>
        </is>
      </c>
    </row>
    <row r="447" ht="30" customHeight="1">
      <c r="A447" s="56" t="inlineStr">
        <is>
          <t>조립</t>
        </is>
      </c>
      <c r="B447" s="52" t="inlineStr">
        <is>
          <t>조립</t>
        </is>
      </c>
      <c r="C447" s="52" t="inlineStr">
        <is>
          <t>COCOON 블랙 유광</t>
        </is>
      </c>
      <c r="D447" s="79">
        <f>IF(INDIRECT("'"&amp;$O447&amp;"'!F"&amp;$N447)="O","원자재",IF(INDIRECT("'"&amp;$O447&amp;"'!G"&amp;$N447)="O","반제품",IF(INDIRECT("'"&amp;$O447&amp;"'!H"&amp;$N447)="O","완제품","")))</f>
        <v/>
      </c>
      <c r="E447" s="79">
        <f>IFERROR(IF(INDIRECT("'"&amp;$O447&amp;"'!I"&amp;$N447)=0,"",INDIRECT("'"&amp;$O447&amp;"'!I"&amp;$N447)),"")</f>
        <v/>
      </c>
      <c r="F447" s="52" t="inlineStr">
        <is>
          <t>FRONT_S (18cm)</t>
        </is>
      </c>
      <c r="G447" s="52" t="inlineStr">
        <is>
          <t>FRONT_S (18cm) (블랙 유광) [COCOON]</t>
        </is>
      </c>
      <c r="H447" s="79">
        <f>IF(AND($F447="",$G447=""),"",IF($F447="","창고전용",IF($G447&lt;&gt;"","매칭완료",IF($D447="반제품","반제품(창고없음)",IF($D447="완제품","완제품(창고없음)",IF($D447="원자재","⚠ 원자재_부서보관","미분류"))))))</f>
        <v/>
      </c>
      <c r="I447" s="79">
        <f>IFERROR(IF(INDIRECT("'"&amp;$O447&amp;"'!P"&amp;$N447)=0,"",INDIRECT("'"&amp;$O447&amp;"'!P"&amp;$N447)),"")</f>
        <v/>
      </c>
      <c r="J447" s="61" t="inlineStr">
        <is>
          <t>FRONT_S (18cm)</t>
        </is>
      </c>
      <c r="K447" s="65" t="inlineStr">
        <is>
          <t>COCOON 18cm FRONT_S (B 유광)</t>
        </is>
      </c>
      <c r="L447" s="83">
        <f>HYPERLINK("#'"&amp;$O447&amp;"'!A"&amp;$N447,"→ 조립자재 R"&amp;$N447)</f>
        <v/>
      </c>
      <c r="M447" s="84" t="n"/>
      <c r="N447" s="80" t="n">
        <v>296</v>
      </c>
      <c r="O447" s="80" t="inlineStr">
        <is>
          <t>조립자재_재고현황</t>
        </is>
      </c>
    </row>
    <row r="448" ht="30" customHeight="1">
      <c r="A448" s="56" t="inlineStr">
        <is>
          <t>조립</t>
        </is>
      </c>
      <c r="B448" s="52" t="inlineStr">
        <is>
          <t>조립</t>
        </is>
      </c>
      <c r="C448" s="52" t="inlineStr">
        <is>
          <t>COCOON</t>
        </is>
      </c>
      <c r="D448" s="79">
        <f>IF(INDIRECT("'"&amp;$O448&amp;"'!F"&amp;$N448)="O","원자재",IF(INDIRECT("'"&amp;$O448&amp;"'!G"&amp;$N448)="O","반제품",IF(INDIRECT("'"&amp;$O448&amp;"'!H"&amp;$N448)="O","완제품","")))</f>
        <v/>
      </c>
      <c r="E448" s="79">
        <f>IFERROR(IF(INDIRECT("'"&amp;$O448&amp;"'!I"&amp;$N448)=0,"",INDIRECT("'"&amp;$O448&amp;"'!I"&amp;$N448)),"")</f>
        <v/>
      </c>
      <c r="F448" s="52" t="inlineStr">
        <is>
          <t>CONE GUIDE_S (18cm)</t>
        </is>
      </c>
      <c r="G448" s="52" t="inlineStr">
        <is>
          <t>CONE GUIDE_S (18cm) (ABS 난연 화이트) [COCOON]</t>
        </is>
      </c>
      <c r="H448" s="79">
        <f>IF(AND($F448="",$G448=""),"",IF($F448="","창고전용",IF($G448&lt;&gt;"","매칭완료",IF($D448="반제품","반제품(창고없음)",IF($D448="완제품","완제품(창고없음)",IF($D448="원자재","⚠ 원자재_부서보관","미분류"))))))</f>
        <v/>
      </c>
      <c r="I448" s="79">
        <f>IFERROR(IF(INDIRECT("'"&amp;$O448&amp;"'!P"&amp;$N448)=0,"",INDIRECT("'"&amp;$O448&amp;"'!P"&amp;$N448)),"")</f>
        <v/>
      </c>
      <c r="J448" s="61" t="inlineStr">
        <is>
          <t>CONE GUIDE_S (18cm)</t>
        </is>
      </c>
      <c r="K448" s="65" t="inlineStr">
        <is>
          <t>COCOON 18cm CONE GUIDE_S</t>
        </is>
      </c>
      <c r="L448" s="83">
        <f>HYPERLINK("#'"&amp;$O448&amp;"'!A"&amp;$N448,"→ 조립자재 R"&amp;$N448)</f>
        <v/>
      </c>
      <c r="M448" s="84" t="n"/>
      <c r="N448" s="80" t="n">
        <v>297</v>
      </c>
      <c r="O448" s="80" t="inlineStr">
        <is>
          <t>조립자재_재고현황</t>
        </is>
      </c>
    </row>
    <row r="449" ht="30" customHeight="1">
      <c r="A449" s="56" t="inlineStr">
        <is>
          <t>조립</t>
        </is>
      </c>
      <c r="B449" s="52" t="inlineStr">
        <is>
          <t>조립</t>
        </is>
      </c>
      <c r="C449" s="52" t="inlineStr">
        <is>
          <t>COCOON</t>
        </is>
      </c>
      <c r="D449" s="79">
        <f>IF(INDIRECT("'"&amp;$O449&amp;"'!F"&amp;$N449)="O","원자재",IF(INDIRECT("'"&amp;$O449&amp;"'!G"&amp;$N449)="O","반제품",IF(INDIRECT("'"&amp;$O449&amp;"'!H"&amp;$N449)="O","완제품","")))</f>
        <v/>
      </c>
      <c r="E449" s="79">
        <f>IFERROR(IF(INDIRECT("'"&amp;$O449&amp;"'!I"&amp;$N449)=0,"",INDIRECT("'"&amp;$O449&amp;"'!I"&amp;$N449)),"")</f>
        <v/>
      </c>
      <c r="F449" s="52" t="inlineStr">
        <is>
          <t>CONE GUIDE_L (20cm)</t>
        </is>
      </c>
      <c r="G449" s="52" t="inlineStr">
        <is>
          <t>CONE GUIDE_L (20cm) (ABS 난연 화이트) [COCOON]</t>
        </is>
      </c>
      <c r="H449" s="79">
        <f>IF(AND($F449="",$G449=""),"",IF($F449="","창고전용",IF($G449&lt;&gt;"","매칭완료",IF($D449="반제품","반제품(창고없음)",IF($D449="완제품","완제품(창고없음)",IF($D449="원자재","⚠ 원자재_부서보관","미분류"))))))</f>
        <v/>
      </c>
      <c r="I449" s="79">
        <f>IFERROR(IF(INDIRECT("'"&amp;$O449&amp;"'!P"&amp;$N449)=0,"",INDIRECT("'"&amp;$O449&amp;"'!P"&amp;$N449)),"")</f>
        <v/>
      </c>
      <c r="J449" s="61" t="inlineStr">
        <is>
          <t>CONE GUIDE_L (20cm)</t>
        </is>
      </c>
      <c r="K449" s="65" t="inlineStr">
        <is>
          <t>COCOON 20cm CONE GUIDE_L</t>
        </is>
      </c>
      <c r="L449" s="83">
        <f>HYPERLINK("#'"&amp;$O449&amp;"'!A"&amp;$N449,"→ 조립자재 R"&amp;$N449)</f>
        <v/>
      </c>
      <c r="M449" s="84" t="n"/>
      <c r="N449" s="80" t="n">
        <v>298</v>
      </c>
      <c r="O449" s="80" t="inlineStr">
        <is>
          <t>조립자재_재고현황</t>
        </is>
      </c>
    </row>
    <row r="450" ht="30" customHeight="1">
      <c r="A450" s="56" t="inlineStr">
        <is>
          <t>조립</t>
        </is>
      </c>
      <c r="B450" s="52" t="inlineStr">
        <is>
          <t>조립</t>
        </is>
      </c>
      <c r="C450" s="52" t="inlineStr">
        <is>
          <t>COCOON 블랙 유광</t>
        </is>
      </c>
      <c r="D450" s="79">
        <f>IF(INDIRECT("'"&amp;$O450&amp;"'!F"&amp;$N450)="O","원자재",IF(INDIRECT("'"&amp;$O450&amp;"'!G"&amp;$N450)="O","반제품",IF(INDIRECT("'"&amp;$O450&amp;"'!H"&amp;$N450)="O","완제품","")))</f>
        <v/>
      </c>
      <c r="E450" s="79">
        <f>IFERROR(IF(INDIRECT("'"&amp;$O450&amp;"'!I"&amp;$N450)=0,"",INDIRECT("'"&amp;$O450&amp;"'!I"&amp;$N450)),"")</f>
        <v/>
      </c>
      <c r="F450" s="52" t="inlineStr">
        <is>
          <t>FRONT_L (20cm)</t>
        </is>
      </c>
      <c r="G450" s="52" t="inlineStr">
        <is>
          <t>FRONT_L (20cm) (ABS 난연 블랙 + 블랙 유광) [COCOON]</t>
        </is>
      </c>
      <c r="H450" s="79">
        <f>IF(AND($F450="",$G450=""),"",IF($F450="","창고전용",IF($G450&lt;&gt;"","매칭완료",IF($D450="반제품","반제품(창고없음)",IF($D450="완제품","완제품(창고없음)",IF($D450="원자재","⚠ 원자재_부서보관","미분류"))))))</f>
        <v/>
      </c>
      <c r="I450" s="79">
        <f>IFERROR(IF(INDIRECT("'"&amp;$O450&amp;"'!P"&amp;$N450)=0,"",INDIRECT("'"&amp;$O450&amp;"'!P"&amp;$N450)),"")</f>
        <v/>
      </c>
      <c r="J450" s="61" t="inlineStr">
        <is>
          <t>FRONT_L (20cm)</t>
        </is>
      </c>
      <c r="K450" s="65" t="inlineStr">
        <is>
          <t>COCOON 20cm FRONT_L (B 유광)</t>
        </is>
      </c>
      <c r="L450" s="83">
        <f>HYPERLINK("#'"&amp;$O450&amp;"'!A"&amp;$N450,"→ 조립자재 R"&amp;$N450)</f>
        <v/>
      </c>
      <c r="M450" s="84" t="n"/>
      <c r="N450" s="80" t="n">
        <v>299</v>
      </c>
      <c r="O450" s="80" t="inlineStr">
        <is>
          <t>조립자재_재고현황</t>
        </is>
      </c>
    </row>
    <row r="451" ht="30" customHeight="1">
      <c r="A451" s="56" t="inlineStr">
        <is>
          <t>조립</t>
        </is>
      </c>
      <c r="B451" s="52" t="inlineStr">
        <is>
          <t>조립</t>
        </is>
      </c>
      <c r="C451" s="52" t="inlineStr">
        <is>
          <t>COCOON 블랙 유광</t>
        </is>
      </c>
      <c r="D451" s="79">
        <f>IF(INDIRECT("'"&amp;$O451&amp;"'!F"&amp;$N451)="O","원자재",IF(INDIRECT("'"&amp;$O451&amp;"'!G"&amp;$N451)="O","반제품",IF(INDIRECT("'"&amp;$O451&amp;"'!H"&amp;$N451)="O","완제품","")))</f>
        <v/>
      </c>
      <c r="E451" s="79">
        <f>IFERROR(IF(INDIRECT("'"&amp;$O451&amp;"'!I"&amp;$N451)=0,"",INDIRECT("'"&amp;$O451&amp;"'!I"&amp;$N451)),"")</f>
        <v/>
      </c>
      <c r="F451" s="52" t="inlineStr">
        <is>
          <t>FRONT_CAP</t>
        </is>
      </c>
      <c r="G451" s="52" t="inlineStr">
        <is>
          <t>FRONT_CAP (블랙 유광) [COCOON]</t>
        </is>
      </c>
      <c r="H451" s="79">
        <f>IF(AND($F451="",$G451=""),"",IF($F451="","창고전용",IF($G451&lt;&gt;"","매칭완료",IF($D451="반제품","반제품(창고없음)",IF($D451="완제품","완제품(창고없음)",IF($D451="원자재","⚠ 원자재_부서보관","미분류"))))))</f>
        <v/>
      </c>
      <c r="I451" s="79">
        <f>IFERROR(IF(INDIRECT("'"&amp;$O451&amp;"'!P"&amp;$N451)=0,"",INDIRECT("'"&amp;$O451&amp;"'!P"&amp;$N451)),"")</f>
        <v/>
      </c>
      <c r="J451" s="61" t="inlineStr">
        <is>
          <t>FRONT_CAP</t>
        </is>
      </c>
      <c r="K451" s="65" t="inlineStr">
        <is>
          <t>COCOON FRONT CAP (B 유광)</t>
        </is>
      </c>
      <c r="L451" s="83">
        <f>HYPERLINK("#'"&amp;$O451&amp;"'!A"&amp;$N451,"→ 조립자재 R"&amp;$N451)</f>
        <v/>
      </c>
      <c r="M451" s="84" t="n"/>
      <c r="N451" s="80" t="n">
        <v>300</v>
      </c>
      <c r="O451" s="80" t="inlineStr">
        <is>
          <t>조립자재_재고현황</t>
        </is>
      </c>
    </row>
    <row r="452" ht="30" customHeight="1">
      <c r="A452" s="56" t="inlineStr">
        <is>
          <t>조립</t>
        </is>
      </c>
      <c r="B452" s="52" t="inlineStr">
        <is>
          <t>조립</t>
        </is>
      </c>
      <c r="C452" s="52" t="inlineStr">
        <is>
          <t>COCOON</t>
        </is>
      </c>
      <c r="D452" s="79">
        <f>IF(INDIRECT("'"&amp;$O452&amp;"'!F"&amp;$N452)="O","원자재",IF(INDIRECT("'"&amp;$O452&amp;"'!G"&amp;$N452)="O","반제품",IF(INDIRECT("'"&amp;$O452&amp;"'!H"&amp;$N452)="O","완제품","")))</f>
        <v/>
      </c>
      <c r="E452" s="79">
        <f>IFERROR(IF(INDIRECT("'"&amp;$O452&amp;"'!I"&amp;$N452)=0,"",INDIRECT("'"&amp;$O452&amp;"'!I"&amp;$N452)),"")</f>
        <v/>
      </c>
      <c r="F452" s="52" t="inlineStr">
        <is>
          <t>WINDOW</t>
        </is>
      </c>
      <c r="G452" s="52" t="inlineStr">
        <is>
          <t>WINDOW (투명 아크릴 + 실크 인쇄 로고O) [COCOON]</t>
        </is>
      </c>
      <c r="H452" s="79">
        <f>IF(AND($F452="",$G452=""),"",IF($F452="","창고전용",IF($G452&lt;&gt;"","매칭완료",IF($D452="반제품","반제품(창고없음)",IF($D452="완제품","완제품(창고없음)",IF($D452="원자재","⚠ 원자재_부서보관","미분류"))))))</f>
        <v/>
      </c>
      <c r="I452" s="79">
        <f>IFERROR(IF(INDIRECT("'"&amp;$O452&amp;"'!P"&amp;$N452)=0,"",INDIRECT("'"&amp;$O452&amp;"'!P"&amp;$N452)),"")</f>
        <v/>
      </c>
      <c r="J452" s="61" t="inlineStr">
        <is>
          <t>WINDOW</t>
        </is>
      </c>
      <c r="K452" s="65" t="inlineStr">
        <is>
          <t>COCOON WINDOW</t>
        </is>
      </c>
      <c r="L452" s="83">
        <f>HYPERLINK("#'"&amp;$O452&amp;"'!A"&amp;$N452,"→ 조립자재 R"&amp;$N452)</f>
        <v/>
      </c>
      <c r="M452" s="84" t="n"/>
      <c r="N452" s="80" t="n">
        <v>301</v>
      </c>
      <c r="O452" s="80" t="inlineStr">
        <is>
          <t>조립자재_재고현황</t>
        </is>
      </c>
    </row>
    <row r="453" ht="30" customHeight="1">
      <c r="A453" s="56" t="inlineStr">
        <is>
          <t>조립</t>
        </is>
      </c>
      <c r="B453" s="52" t="inlineStr">
        <is>
          <t>조립</t>
        </is>
      </c>
      <c r="C453" s="52" t="inlineStr">
        <is>
          <t>COCOON</t>
        </is>
      </c>
      <c r="D453" s="79">
        <f>IF(INDIRECT("'"&amp;$O453&amp;"'!F"&amp;$N453)="O","원자재",IF(INDIRECT("'"&amp;$O453&amp;"'!G"&amp;$N453)="O","반제품",IF(INDIRECT("'"&amp;$O453&amp;"'!H"&amp;$N453)="O","완제품","")))</f>
        <v/>
      </c>
      <c r="E453" s="79">
        <f>IFERROR(IF(INDIRECT("'"&amp;$O453&amp;"'!I"&amp;$N453)=0,"",INDIRECT("'"&amp;$O453&amp;"'!I"&amp;$N453)),"")</f>
        <v/>
      </c>
      <c r="F453" s="52" t="inlineStr">
        <is>
          <t>WINDOW (cocoon로고 없음)</t>
        </is>
      </c>
      <c r="G453" s="52" t="inlineStr">
        <is>
          <t>WINDOW (투명 아크릴 + 실크 인쇄 로고X) [COCOON]</t>
        </is>
      </c>
      <c r="H453" s="79">
        <f>IF(AND($F453="",$G453=""),"",IF($F453="","창고전용",IF($G453&lt;&gt;"","매칭완료",IF($D453="반제품","반제품(창고없음)",IF($D453="완제품","완제품(창고없음)",IF($D453="원자재","⚠ 원자재_부서보관","미분류"))))))</f>
        <v/>
      </c>
      <c r="I453" s="79">
        <f>IFERROR(IF(INDIRECT("'"&amp;$O453&amp;"'!P"&amp;$N453)=0,"",INDIRECT("'"&amp;$O453&amp;"'!P"&amp;$N453)),"")</f>
        <v/>
      </c>
      <c r="J453" s="61" t="inlineStr">
        <is>
          <t>WINDOW (cocoon로고 없음)</t>
        </is>
      </c>
      <c r="K453" s="65" t="inlineStr">
        <is>
          <t>COCOON WINDOW [COCOON 로고 없음]</t>
        </is>
      </c>
      <c r="L453" s="83">
        <f>HYPERLINK("#'"&amp;$O453&amp;"'!A"&amp;$N453,"→ 조립자재 R"&amp;$N453)</f>
        <v/>
      </c>
      <c r="M453" s="84" t="n"/>
      <c r="N453" s="80" t="n">
        <v>302</v>
      </c>
      <c r="O453" s="80" t="inlineStr">
        <is>
          <t>조립자재_재고현황</t>
        </is>
      </c>
    </row>
    <row r="454" ht="30" customHeight="1">
      <c r="A454" s="56" t="inlineStr">
        <is>
          <t>조립</t>
        </is>
      </c>
      <c r="B454" s="52" t="inlineStr">
        <is>
          <t>조립</t>
        </is>
      </c>
      <c r="C454" s="52" t="inlineStr">
        <is>
          <t>COCOON</t>
        </is>
      </c>
      <c r="D454" s="79">
        <f>IF(INDIRECT("'"&amp;$O454&amp;"'!F"&amp;$N454)="O","원자재",IF(INDIRECT("'"&amp;$O454&amp;"'!G"&amp;$N454)="O","반제품",IF(INDIRECT("'"&amp;$O454&amp;"'!H"&amp;$N454)="O","완제품","")))</f>
        <v/>
      </c>
      <c r="E454" s="79">
        <f>IFERROR(IF(INDIRECT("'"&amp;$O454&amp;"'!I"&amp;$N454)=0,"",INDIRECT("'"&amp;$O454&amp;"'!I"&amp;$N454)),"")</f>
        <v/>
      </c>
      <c r="F454" s="52" t="inlineStr">
        <is>
          <t>자석 (네오디움 마그넷)</t>
        </is>
      </c>
      <c r="G454" s="52" t="inlineStr">
        <is>
          <t>자석 (네오디움 마그넷) [COCOON]</t>
        </is>
      </c>
      <c r="H454" s="79">
        <f>IF(AND($F454="",$G454=""),"",IF($F454="","창고전용",IF($G454&lt;&gt;"","매칭완료",IF($D454="반제품","반제품(창고없음)",IF($D454="완제품","완제품(창고없음)",IF($D454="원자재","⚠ 원자재_부서보관","미분류"))))))</f>
        <v/>
      </c>
      <c r="I454" s="79">
        <f>IFERROR(IF(INDIRECT("'"&amp;$O454&amp;"'!P"&amp;$N454)=0,"",INDIRECT("'"&amp;$O454&amp;"'!P"&amp;$N454)),"")</f>
        <v/>
      </c>
      <c r="J454" s="61" t="inlineStr">
        <is>
          <t>자석 (네오디움 마그넷)</t>
        </is>
      </c>
      <c r="K454" s="65" t="inlineStr">
        <is>
          <t>COCOON, ADX6000 자석 (네오디움 마그넷)</t>
        </is>
      </c>
      <c r="L454" s="83">
        <f>HYPERLINK("#'"&amp;$O454&amp;"'!A"&amp;$N454,"→ 조립자재 R"&amp;$N454)</f>
        <v/>
      </c>
      <c r="M454" s="84" t="n"/>
      <c r="N454" s="80" t="n">
        <v>303</v>
      </c>
      <c r="O454" s="80" t="inlineStr">
        <is>
          <t>조립자재_재고현황</t>
        </is>
      </c>
    </row>
    <row r="455" ht="30" customHeight="1">
      <c r="A455" s="56" t="inlineStr">
        <is>
          <t>조립</t>
        </is>
      </c>
      <c r="B455" s="52" t="inlineStr">
        <is>
          <t>조립</t>
        </is>
      </c>
      <c r="C455" s="52" t="inlineStr">
        <is>
          <t>COCOON</t>
        </is>
      </c>
      <c r="D455" s="79">
        <f>IF(INDIRECT("'"&amp;$O455&amp;"'!F"&amp;$N455)="O","원자재",IF(INDIRECT("'"&amp;$O455&amp;"'!G"&amp;$N455)="O","반제품",IF(INDIRECT("'"&amp;$O455&amp;"'!H"&amp;$N455)="O","완제품","")))</f>
        <v/>
      </c>
      <c r="E455" s="79">
        <f>IFERROR(IF(INDIRECT("'"&amp;$O455&amp;"'!I"&amp;$N455)=0,"",INDIRECT("'"&amp;$O455&amp;"'!I"&amp;$N455)),"")</f>
        <v/>
      </c>
      <c r="F455" s="52" t="inlineStr">
        <is>
          <t>알루미늄 필터 [ 0.5T * Φ63 ]</t>
        </is>
      </c>
      <c r="G455" s="52" t="inlineStr">
        <is>
          <t>알루미늄 필터 (0.5T * Φ63 코쿤 기본) [COCOON]</t>
        </is>
      </c>
      <c r="H455" s="79">
        <f>IF(AND($F455="",$G455=""),"",IF($F455="","창고전용",IF($G455&lt;&gt;"","매칭완료",IF($D455="반제품","반제품(창고없음)",IF($D455="완제품","완제품(창고없음)",IF($D455="원자재","⚠ 원자재_부서보관","미분류"))))))</f>
        <v/>
      </c>
      <c r="I455" s="79">
        <f>IFERROR(IF(INDIRECT("'"&amp;$O455&amp;"'!P"&amp;$N455)=0,"",INDIRECT("'"&amp;$O455&amp;"'!P"&amp;$N455)),"")</f>
        <v/>
      </c>
      <c r="J455" s="65" t="inlineStr">
        <is>
          <t>알루미늄 필터 [ 0.5T * Φ63 ]</t>
        </is>
      </c>
      <c r="K455" s="65" t="inlineStr">
        <is>
          <t>COCOON 알루미늄 필터 [63ɸ 0.5T]</t>
        </is>
      </c>
      <c r="L455" s="83">
        <f>HYPERLINK("#'"&amp;$O455&amp;"'!A"&amp;$N455,"→ 조립자재 R"&amp;$N455)</f>
        <v/>
      </c>
      <c r="M455" s="84" t="n"/>
      <c r="N455" s="80" t="n">
        <v>304</v>
      </c>
      <c r="O455" s="80" t="inlineStr">
        <is>
          <t>조립자재_재고현황</t>
        </is>
      </c>
    </row>
    <row r="456" ht="30" customHeight="1">
      <c r="A456" s="56" t="inlineStr">
        <is>
          <t>조립</t>
        </is>
      </c>
      <c r="B456" s="52" t="inlineStr">
        <is>
          <t>하네스</t>
        </is>
      </c>
      <c r="C456" s="52" t="inlineStr">
        <is>
          <t>COCOON</t>
        </is>
      </c>
      <c r="D456" s="79">
        <f>IF(INDIRECT("'"&amp;$O456&amp;"'!F"&amp;$N456)="O","원자재",IF(INDIRECT("'"&amp;$O456&amp;"'!G"&amp;$N456)="O","반제품",IF(INDIRECT("'"&amp;$O456&amp;"'!H"&amp;$N456)="O","완제품","")))</f>
        <v/>
      </c>
      <c r="E456" s="79">
        <f>IFERROR(IF(INDIRECT("'"&amp;$O456&amp;"'!I"&amp;$N456)=0,"",INDIRECT("'"&amp;$O456&amp;"'!I"&amp;$N456)),"")</f>
        <v/>
      </c>
      <c r="F456" s="52" t="inlineStr">
        <is>
          <t>CTR BD 외부단자 2핀 (TX30(FEMALE)+YH396-02100mm (하네스 1번)</t>
        </is>
      </c>
      <c r="G456" s="52" t="inlineStr">
        <is>
          <t>하네스 1번 (TX30(FEMALE)+YH396-02 100mm CTR BD 외부단자 2핀) [COCOON]</t>
        </is>
      </c>
      <c r="H456" s="79">
        <f>IF(AND($F456="",$G456=""),"",IF($F456="","창고전용",IF($G456&lt;&gt;"","매칭완료",IF($D456="반제품","반제품(창고없음)",IF($D456="완제품","완제품(창고없음)",IF($D456="원자재","⚠ 원자재_부서보관","미분류"))))))</f>
        <v/>
      </c>
      <c r="I456" s="79">
        <f>IFERROR(IF(INDIRECT("'"&amp;$O456&amp;"'!P"&amp;$N456)=0,"",INDIRECT("'"&amp;$O456&amp;"'!P"&amp;$N456)),"")</f>
        <v/>
      </c>
      <c r="J456" s="65" t="inlineStr">
        <is>
          <t>CTR BD 외부단자 2핀 (TX30(FEMALE)+YH396-02100mm (하네스 1번)</t>
        </is>
      </c>
      <c r="K456" s="65" t="inlineStr">
        <is>
          <t>COCOON CTR BD 외부단자 2핀 (TX30(FEMALE)+YH396-02) 100mm [하네스 1번]</t>
        </is>
      </c>
      <c r="L456" s="83">
        <f>HYPERLINK("#'"&amp;$O456&amp;"'!A"&amp;$N456,"→ 조립자재 R"&amp;$N456)</f>
        <v/>
      </c>
      <c r="M456" s="84" t="n"/>
      <c r="N456" s="80" t="n">
        <v>305</v>
      </c>
      <c r="O456" s="80" t="inlineStr">
        <is>
          <t>조립자재_재고현황</t>
        </is>
      </c>
    </row>
    <row r="457" ht="30" customHeight="1">
      <c r="A457" s="56" t="inlineStr">
        <is>
          <t>조립</t>
        </is>
      </c>
      <c r="B457" s="52" t="inlineStr">
        <is>
          <t>하네스</t>
        </is>
      </c>
      <c r="C457" s="52" t="inlineStr">
        <is>
          <t>COCOON</t>
        </is>
      </c>
      <c r="D457" s="79">
        <f>IF(INDIRECT("'"&amp;$O457&amp;"'!F"&amp;$N457)="O","원자재",IF(INDIRECT("'"&amp;$O457&amp;"'!G"&amp;$N457)="O","반제품",IF(INDIRECT("'"&amp;$O457&amp;"'!H"&amp;$N457)="O","완제품","")))</f>
        <v/>
      </c>
      <c r="E457" s="79">
        <f>IFERROR(IF(INDIRECT("'"&amp;$O457&amp;"'!I"&amp;$N457)=0,"",INDIRECT("'"&amp;$O457&amp;"'!I"&amp;$N457)),"")</f>
        <v/>
      </c>
      <c r="F457" s="52" t="inlineStr">
        <is>
          <t>TX30(MALE)+DC022(2.5) 80mm 전원 외부단자 2핀 (하네스 2번)</t>
        </is>
      </c>
      <c r="G457" s="52" t="inlineStr">
        <is>
          <t>하네스 2번 (TX30(MALE)+DC022(2.5) 80mm 전원 외부단자 2핀) [COCOON]</t>
        </is>
      </c>
      <c r="H457" s="79">
        <f>IF(AND($F457="",$G457=""),"",IF($F457="","창고전용",IF($G457&lt;&gt;"","매칭완료",IF($D457="반제품","반제품(창고없음)",IF($D457="완제품","완제품(창고없음)",IF($D457="원자재","⚠ 원자재_부서보관","미분류"))))))</f>
        <v/>
      </c>
      <c r="I457" s="79">
        <f>IFERROR(IF(INDIRECT("'"&amp;$O457&amp;"'!P"&amp;$N457)=0,"",INDIRECT("'"&amp;$O457&amp;"'!P"&amp;$N457)),"")</f>
        <v/>
      </c>
      <c r="J457" s="65" t="inlineStr">
        <is>
          <t>TX30(MALE)+DC022(2.5) 80mm 전원 외부단자 2핀 (하네스 2번)</t>
        </is>
      </c>
      <c r="K457" s="65" t="inlineStr">
        <is>
          <t>COCOON 전원 외부단자 2핀 (TX30(MALE)+DC022(2.5)) 80mm [하네스 2번]</t>
        </is>
      </c>
      <c r="L457" s="83">
        <f>HYPERLINK("#'"&amp;$O457&amp;"'!A"&amp;$N457,"→ 조립자재 R"&amp;$N457)</f>
        <v/>
      </c>
      <c r="M457" s="84" t="n"/>
      <c r="N457" s="80" t="n">
        <v>306</v>
      </c>
      <c r="O457" s="80" t="inlineStr">
        <is>
          <t>조립자재_재고현황</t>
        </is>
      </c>
    </row>
    <row r="458" ht="30" customHeight="1">
      <c r="A458" s="56" t="inlineStr">
        <is>
          <t>조립</t>
        </is>
      </c>
      <c r="B458" s="52" t="inlineStr">
        <is>
          <t>하네스</t>
        </is>
      </c>
      <c r="C458" s="52" t="inlineStr">
        <is>
          <t>COCOON</t>
        </is>
      </c>
      <c r="D458" s="79">
        <f>IF(INDIRECT("'"&amp;$O458&amp;"'!F"&amp;$N458)="O","원자재",IF(INDIRECT("'"&amp;$O458&amp;"'!G"&amp;$N458)="O","반제품",IF(INDIRECT("'"&amp;$O458&amp;"'!H"&amp;$N458)="O","완제품","")))</f>
        <v/>
      </c>
      <c r="E458" s="79">
        <f>IFERROR(IF(INDIRECT("'"&amp;$O458&amp;"'!I"&amp;$N458)=0,"",INDIRECT("'"&amp;$O458&amp;"'!I"&amp;$N458)),"")</f>
        <v/>
      </c>
      <c r="F458" s="52" t="inlineStr">
        <is>
          <t>30핀 FFC CABLE (하네스 3번)</t>
        </is>
      </c>
      <c r="G458" s="52" t="inlineStr">
        <is>
          <t>하네스 3번 (FFC CABLE 1mm*30P*200*B CTR BD*OP BD (다른방향)) [COCOON]</t>
        </is>
      </c>
      <c r="H458" s="79">
        <f>IF(AND($F458="",$G458=""),"",IF($F458="","창고전용",IF($G458&lt;&gt;"","매칭완료",IF($D458="반제품","반제품(창고없음)",IF($D458="완제품","완제품(창고없음)",IF($D458="원자재","⚠ 원자재_부서보관","미분류"))))))</f>
        <v/>
      </c>
      <c r="I458" s="79">
        <f>IFERROR(IF(INDIRECT("'"&amp;$O458&amp;"'!P"&amp;$N458)=0,"",INDIRECT("'"&amp;$O458&amp;"'!P"&amp;$N458)),"")</f>
        <v/>
      </c>
      <c r="J458" s="65" t="inlineStr">
        <is>
          <t>30핀 FFC CABLE (하네스 3번)</t>
        </is>
      </c>
      <c r="K458" s="65" t="inlineStr">
        <is>
          <t>COCOON 30핀 FFC CABLE 200mm [하네스 3번]</t>
        </is>
      </c>
      <c r="L458" s="83">
        <f>HYPERLINK("#'"&amp;$O458&amp;"'!A"&amp;$N458,"→ 조립자재 R"&amp;$N458)</f>
        <v/>
      </c>
      <c r="M458" s="84" t="n"/>
      <c r="N458" s="80" t="n">
        <v>307</v>
      </c>
      <c r="O458" s="80" t="inlineStr">
        <is>
          <t>조립자재_재고현황</t>
        </is>
      </c>
    </row>
    <row r="459" ht="30" customHeight="1">
      <c r="A459" s="56" t="inlineStr">
        <is>
          <t>조립</t>
        </is>
      </c>
      <c r="B459" s="52" t="inlineStr">
        <is>
          <t>하네스</t>
        </is>
      </c>
      <c r="C459" s="52" t="inlineStr">
        <is>
          <t>COCOON</t>
        </is>
      </c>
      <c r="D459" s="79">
        <f>IF(INDIRECT("'"&amp;$O459&amp;"'!F"&amp;$N459)="O","원자재",IF(INDIRECT("'"&amp;$O459&amp;"'!G"&amp;$N459)="O","반제품",IF(INDIRECT("'"&amp;$O459&amp;"'!H"&amp;$N459)="O","완제품","")))</f>
        <v/>
      </c>
      <c r="E459" s="79">
        <f>IFERROR(IF(INDIRECT("'"&amp;$O459&amp;"'!I"&amp;$N459)=0,"",INDIRECT("'"&amp;$O459&amp;"'!I"&amp;$N459)),"")</f>
        <v/>
      </c>
      <c r="F459" s="52" t="inlineStr">
        <is>
          <t>12505HS-02+SORDER 50mm 스피커 2핀 (하네스 4번)</t>
        </is>
      </c>
      <c r="G459" s="52" t="inlineStr">
        <is>
          <t>하네스 4번 (12505HS-02+SORDER 50mm - OP BD 2.20 전용 스피커 2핀) [COCOON]</t>
        </is>
      </c>
      <c r="H459" s="79">
        <f>IF(AND($F459="",$G459=""),"",IF($F459="","창고전용",IF($G459&lt;&gt;"","매칭완료",IF($D459="반제품","반제품(창고없음)",IF($D459="완제품","완제품(창고없음)",IF($D459="원자재","⚠ 원자재_부서보관","미분류"))))))</f>
        <v/>
      </c>
      <c r="I459" s="79">
        <f>IFERROR(IF(INDIRECT("'"&amp;$O459&amp;"'!P"&amp;$N459)=0,"",INDIRECT("'"&amp;$O459&amp;"'!P"&amp;$N459)),"")</f>
        <v/>
      </c>
      <c r="J459" s="65" t="inlineStr">
        <is>
          <t>12505HS-02+SORDER 50mm 스피커 2핀 (하네스 4번)</t>
        </is>
      </c>
      <c r="K459" s="65" t="inlineStr">
        <is>
          <t>COCOON 스피커 2핀 12505HS-02+SORDER 50mm [하네스 4번]</t>
        </is>
      </c>
      <c r="L459" s="83">
        <f>HYPERLINK("#'"&amp;$O459&amp;"'!A"&amp;$N459,"→ 조립자재 R"&amp;$N459)</f>
        <v/>
      </c>
      <c r="M459" s="84" t="n"/>
      <c r="N459" s="80" t="n">
        <v>308</v>
      </c>
      <c r="O459" s="80" t="inlineStr">
        <is>
          <t>조립자재_재고현황</t>
        </is>
      </c>
    </row>
    <row r="460" ht="30" customHeight="1">
      <c r="A460" s="56" t="inlineStr">
        <is>
          <t>조립</t>
        </is>
      </c>
      <c r="B460" s="52" t="inlineStr">
        <is>
          <t>하네스</t>
        </is>
      </c>
      <c r="C460" s="52" t="inlineStr">
        <is>
          <t>COCOON</t>
        </is>
      </c>
      <c r="D460" s="79">
        <f>IF(INDIRECT("'"&amp;$O460&amp;"'!F"&amp;$N460)="O","원자재",IF(INDIRECT("'"&amp;$O460&amp;"'!G"&amp;$N460)="O","반제품",IF(INDIRECT("'"&amp;$O460&amp;"'!H"&amp;$N460)="O","완제품","")))</f>
        <v/>
      </c>
      <c r="E460" s="79">
        <f>IFERROR(IF(INDIRECT("'"&amp;$O460&amp;"'!I"&amp;$N460)=0,"",INDIRECT("'"&amp;$O460&amp;"'!I"&amp;$N460)),"")</f>
        <v/>
      </c>
      <c r="F460" s="52" t="inlineStr">
        <is>
          <t>BATTERY BRIDGE BD 4핀 (YH396-04*2EA 150mm (하네스 5번)</t>
        </is>
      </c>
      <c r="G460" s="52" t="inlineStr">
        <is>
          <t>하네스 5번 (YH396-04*2EA 150mm BATTERY BRIDGE BD 4핀) [COCOON]</t>
        </is>
      </c>
      <c r="H460" s="79">
        <f>IF(AND($F460="",$G460=""),"",IF($F460="","창고전용",IF($G460&lt;&gt;"","매칭완료",IF($D460="반제품","반제품(창고없음)",IF($D460="완제품","완제품(창고없음)",IF($D460="원자재","⚠ 원자재_부서보관","미분류"))))))</f>
        <v/>
      </c>
      <c r="I460" s="79">
        <f>IFERROR(IF(INDIRECT("'"&amp;$O460&amp;"'!P"&amp;$N460)=0,"",INDIRECT("'"&amp;$O460&amp;"'!P"&amp;$N460)),"")</f>
        <v/>
      </c>
      <c r="J460" s="65" t="inlineStr">
        <is>
          <t>BATTERY BRIDGE BD 4핀 (YH396-04*2EA 150mm (하네스 5번)</t>
        </is>
      </c>
      <c r="K460" s="65" t="inlineStr">
        <is>
          <t>COCOON BATTERY BRIDGE BD 4핀 (YH396-04*2EA) 150mm [하네스 5번]</t>
        </is>
      </c>
      <c r="L460" s="83">
        <f>HYPERLINK("#'"&amp;$O460&amp;"'!A"&amp;$N460,"→ 조립자재 R"&amp;$N460)</f>
        <v/>
      </c>
      <c r="M460" s="84" t="n"/>
      <c r="N460" s="80" t="n">
        <v>309</v>
      </c>
      <c r="O460" s="80" t="inlineStr">
        <is>
          <t>조립자재_재고현황</t>
        </is>
      </c>
    </row>
    <row r="461" ht="30" customHeight="1">
      <c r="A461" s="56" t="inlineStr">
        <is>
          <t>조립</t>
        </is>
      </c>
      <c r="B461" s="52" t="inlineStr">
        <is>
          <t>하네스</t>
        </is>
      </c>
      <c r="C461" s="52" t="inlineStr">
        <is>
          <t>COCOON</t>
        </is>
      </c>
      <c r="D461" s="79">
        <f>IF(INDIRECT("'"&amp;$O461&amp;"'!F"&amp;$N461)="O","원자재",IF(INDIRECT("'"&amp;$O461&amp;"'!G"&amp;$N461)="O","반제품",IF(INDIRECT("'"&amp;$O461&amp;"'!H"&amp;$N461)="O","완제품","")))</f>
        <v/>
      </c>
      <c r="E461" s="79">
        <f>IFERROR(IF(INDIRECT("'"&amp;$O461&amp;"'!I"&amp;$N461)=0,"",INDIRECT("'"&amp;$O461&amp;"'!I"&amp;$N461)),"")</f>
        <v/>
      </c>
      <c r="F461" s="52" t="inlineStr">
        <is>
          <t>12505HS-05 125mm POWER SWITCH BD 5핀 (하네스 7번)</t>
        </is>
      </c>
      <c r="G461" s="52" t="inlineStr">
        <is>
          <t>하네스 7번 (12505HS-05 125mm POWER SWITCH BD 5핀) [COCOON]</t>
        </is>
      </c>
      <c r="H461" s="79">
        <f>IF(AND($F461="",$G461=""),"",IF($F461="","창고전용",IF($G461&lt;&gt;"","매칭완료",IF($D461="반제품","반제품(창고없음)",IF($D461="완제품","완제품(창고없음)",IF($D461="원자재","⚠ 원자재_부서보관","미분류"))))))</f>
        <v/>
      </c>
      <c r="I461" s="79">
        <f>IFERROR(IF(INDIRECT("'"&amp;$O461&amp;"'!P"&amp;$N461)=0,"",INDIRECT("'"&amp;$O461&amp;"'!P"&amp;$N461)),"")</f>
        <v/>
      </c>
      <c r="J461" s="65" t="inlineStr">
        <is>
          <t>12505HS-05 125mm POWER SWITCH BD 5핀 (하네스 7번)</t>
        </is>
      </c>
      <c r="K461" s="65" t="inlineStr">
        <is>
          <t>COCOON POWER SWITCH BD 5핀 12505HS-05 120mm [하네스 7번]</t>
        </is>
      </c>
      <c r="L461" s="83">
        <f>HYPERLINK("#'"&amp;$O461&amp;"'!A"&amp;$N461,"→ 조립자재 R"&amp;$N461)</f>
        <v/>
      </c>
      <c r="M461" s="84" t="n"/>
      <c r="N461" s="80" t="n">
        <v>310</v>
      </c>
      <c r="O461" s="80" t="inlineStr">
        <is>
          <t>조립자재_재고현황</t>
        </is>
      </c>
    </row>
    <row r="462" ht="30" customHeight="1">
      <c r="A462" s="56" t="inlineStr">
        <is>
          <t>조립</t>
        </is>
      </c>
      <c r="B462" s="52" t="inlineStr">
        <is>
          <t>하네스</t>
        </is>
      </c>
      <c r="C462" s="52" t="inlineStr">
        <is>
          <t>COCOON</t>
        </is>
      </c>
      <c r="D462" s="79">
        <f>IF(INDIRECT("'"&amp;$O462&amp;"'!F"&amp;$N462)="O","원자재",IF(INDIRECT("'"&amp;$O462&amp;"'!G"&amp;$N462)="O","반제품",IF(INDIRECT("'"&amp;$O462&amp;"'!H"&amp;$N462)="O","완제품","")))</f>
        <v/>
      </c>
      <c r="E462" s="79">
        <f>IFERROR(IF(INDIRECT("'"&amp;$O462&amp;"'!I"&amp;$N462)=0,"",INDIRECT("'"&amp;$O462&amp;"'!I"&amp;$N462)),"")</f>
        <v/>
      </c>
      <c r="F462" s="52" t="inlineStr">
        <is>
          <t>YH396-02+SORDER 80mm CRADLE 신주 연결 2핀 (하네스 11번)</t>
        </is>
      </c>
      <c r="G462" s="52" t="inlineStr">
        <is>
          <t>하네스 11번 (YH396-02+SORDER 80mm CRADLE 신주 연결 2핀) [COCOON]</t>
        </is>
      </c>
      <c r="H462" s="79">
        <f>IF(AND($F462="",$G462=""),"",IF($F462="","창고전용",IF($G462&lt;&gt;"","매칭완료",IF($D462="반제품","반제품(창고없음)",IF($D462="완제품","완제품(창고없음)",IF($D462="원자재","⚠ 원자재_부서보관","미분류"))))))</f>
        <v/>
      </c>
      <c r="I462" s="79">
        <f>IFERROR(IF(INDIRECT("'"&amp;$O462&amp;"'!P"&amp;$N462)=0,"",INDIRECT("'"&amp;$O462&amp;"'!P"&amp;$N462)),"")</f>
        <v/>
      </c>
      <c r="J462" s="65" t="inlineStr">
        <is>
          <t>YH396-02+SORDER 80mm CRADLE 신주 연결 2핀 (하네스 11번)</t>
        </is>
      </c>
      <c r="K462" s="65" t="inlineStr">
        <is>
          <t>COCOON CRADLE 신주 연결 2핀 YH396-02+SORDER 80mm [하네스 11번]</t>
        </is>
      </c>
      <c r="L462" s="83">
        <f>HYPERLINK("#'"&amp;$O462&amp;"'!A"&amp;$N462,"→ 조립자재 R"&amp;$N462)</f>
        <v/>
      </c>
      <c r="M462" s="84" t="n"/>
      <c r="N462" s="80" t="n">
        <v>311</v>
      </c>
      <c r="O462" s="80" t="inlineStr">
        <is>
          <t>조립자재_재고현황</t>
        </is>
      </c>
    </row>
    <row r="463" ht="30" customHeight="1">
      <c r="A463" s="56" t="inlineStr">
        <is>
          <t>조립</t>
        </is>
      </c>
      <c r="B463" s="52" t="inlineStr">
        <is>
          <t>보드</t>
        </is>
      </c>
      <c r="C463" s="52" t="inlineStr">
        <is>
          <t>COCOON</t>
        </is>
      </c>
      <c r="D463" s="79">
        <f>IF(INDIRECT("'"&amp;$O463&amp;"'!F"&amp;$N463)="O","원자재",IF(INDIRECT("'"&amp;$O463&amp;"'!G"&amp;$N463)="O","반제품",IF(INDIRECT("'"&amp;$O463&amp;"'!H"&amp;$N463)="O","완제품","")))</f>
        <v/>
      </c>
      <c r="E463" s="79">
        <f>IFERROR(IF(INDIRECT("'"&amp;$O463&amp;"'!I"&amp;$N463)=0,"",INDIRECT("'"&amp;$O463&amp;"'!I"&amp;$N463)),"")</f>
        <v/>
      </c>
      <c r="F463" s="52" t="inlineStr">
        <is>
          <t>POWER SWITCH BD</t>
        </is>
      </c>
      <c r="G463" s="52" t="inlineStr">
        <is>
          <t>POWER SWITCH BD [COCOON]</t>
        </is>
      </c>
      <c r="H463" s="79">
        <f>IF(AND($F463="",$G463=""),"",IF($F463="","창고전용",IF($G463&lt;&gt;"","매칭완료",IF($D463="반제품","반제품(창고없음)",IF($D463="완제품","완제품(창고없음)",IF($D463="원자재","⚠ 원자재_부서보관","미분류"))))))</f>
        <v/>
      </c>
      <c r="I463" s="79">
        <f>IFERROR(IF(INDIRECT("'"&amp;$O463&amp;"'!P"&amp;$N463)=0,"",INDIRECT("'"&amp;$O463&amp;"'!P"&amp;$N463)),"")</f>
        <v/>
      </c>
      <c r="J463" s="61" t="inlineStr">
        <is>
          <t>POWER SWITCH BD</t>
        </is>
      </c>
      <c r="K463" s="65" t="inlineStr">
        <is>
          <t>COCOON POWER SWITCH BD (Ver 1.0.3)</t>
        </is>
      </c>
      <c r="L463" s="83">
        <f>HYPERLINK("#'"&amp;$O463&amp;"'!A"&amp;$N463,"→ 조립자재 R"&amp;$N463)</f>
        <v/>
      </c>
      <c r="M463" s="84" t="n"/>
      <c r="N463" s="80" t="n">
        <v>312</v>
      </c>
      <c r="O463" s="80" t="inlineStr">
        <is>
          <t>조립자재_재고현황</t>
        </is>
      </c>
    </row>
    <row r="464" ht="30" customHeight="1">
      <c r="A464" s="56" t="inlineStr">
        <is>
          <t>조립</t>
        </is>
      </c>
      <c r="B464" s="52" t="inlineStr">
        <is>
          <t>보드</t>
        </is>
      </c>
      <c r="C464" s="52" t="inlineStr">
        <is>
          <t>COCOON</t>
        </is>
      </c>
      <c r="D464" s="79">
        <f>IF(INDIRECT("'"&amp;$O464&amp;"'!F"&amp;$N464)="O","원자재",IF(INDIRECT("'"&amp;$O464&amp;"'!G"&amp;$N464)="O","반제품",IF(INDIRECT("'"&amp;$O464&amp;"'!H"&amp;$N464)="O","완제품","")))</f>
        <v/>
      </c>
      <c r="E464" s="79">
        <f>IFERROR(IF(INDIRECT("'"&amp;$O464&amp;"'!I"&amp;$N464)=0,"",INDIRECT("'"&amp;$O464&amp;"'!I"&amp;$N464)),"")</f>
        <v/>
      </c>
      <c r="F464" s="52" t="inlineStr">
        <is>
          <t>CONNECTOR BD (신주 2핀)</t>
        </is>
      </c>
      <c r="G464" s="52" t="inlineStr">
        <is>
          <t>HANDLE CONNECTOR BD 신형 (신주 2핀) [COCOON]</t>
        </is>
      </c>
      <c r="H464" s="79">
        <f>IF(AND($F464="",$G464=""),"",IF($F464="","창고전용",IF($G464&lt;&gt;"","매칭완료",IF($D464="반제품","반제품(창고없음)",IF($D464="완제품","완제품(창고없음)",IF($D464="원자재","⚠ 원자재_부서보관","미분류"))))))</f>
        <v/>
      </c>
      <c r="I464" s="79">
        <f>IFERROR(IF(INDIRECT("'"&amp;$O464&amp;"'!P"&amp;$N464)=0,"",INDIRECT("'"&amp;$O464&amp;"'!P"&amp;$N464)),"")</f>
        <v/>
      </c>
      <c r="J464" s="61" t="inlineStr">
        <is>
          <t>CONNECTOR BD (신주 2핀)</t>
        </is>
      </c>
      <c r="K464" s="65" t="inlineStr">
        <is>
          <t>COCOON HANDLE CONNECTOR BD</t>
        </is>
      </c>
      <c r="L464" s="83">
        <f>HYPERLINK("#'"&amp;$O464&amp;"'!A"&amp;$N464,"→ 조립자재 R"&amp;$N464)</f>
        <v/>
      </c>
      <c r="M464" s="84" t="n"/>
      <c r="N464" s="80" t="n">
        <v>313</v>
      </c>
      <c r="O464" s="80" t="inlineStr">
        <is>
          <t>조립자재_재고현황</t>
        </is>
      </c>
    </row>
    <row r="465" ht="30" customHeight="1">
      <c r="A465" s="56" t="inlineStr">
        <is>
          <t>조립</t>
        </is>
      </c>
      <c r="B465" s="52" t="inlineStr">
        <is>
          <t>보드</t>
        </is>
      </c>
      <c r="C465" s="52" t="inlineStr">
        <is>
          <t>COCOON</t>
        </is>
      </c>
      <c r="D465" s="79">
        <f>IF(INDIRECT("'"&amp;$O465&amp;"'!F"&amp;$N465)="O","원자재",IF(INDIRECT("'"&amp;$O465&amp;"'!G"&amp;$N465)="O","반제품",IF(INDIRECT("'"&amp;$O465&amp;"'!H"&amp;$N465)="O","완제품","")))</f>
        <v/>
      </c>
      <c r="E465" s="79">
        <f>IFERROR(IF(INDIRECT("'"&amp;$O465&amp;"'!I"&amp;$N465)=0,"",INDIRECT("'"&amp;$O465&amp;"'!I"&amp;$N465)),"")</f>
        <v/>
      </c>
      <c r="F465" s="52" t="inlineStr">
        <is>
          <t>BATTERY BRIDGE BD</t>
        </is>
      </c>
      <c r="G465" s="52" t="inlineStr">
        <is>
          <t>BATTERY BRIDGE BD [COCOON]</t>
        </is>
      </c>
      <c r="H465" s="79">
        <f>IF(AND($F465="",$G465=""),"",IF($F465="","창고전용",IF($G465&lt;&gt;"","매칭완료",IF($D465="반제품","반제품(창고없음)",IF($D465="완제품","완제품(창고없음)",IF($D465="원자재","⚠ 원자재_부서보관","미분류"))))))</f>
        <v/>
      </c>
      <c r="I465" s="79">
        <f>IFERROR(IF(INDIRECT("'"&amp;$O465&amp;"'!P"&amp;$N465)=0,"",INDIRECT("'"&amp;$O465&amp;"'!P"&amp;$N465)),"")</f>
        <v/>
      </c>
      <c r="J465" s="61" t="inlineStr">
        <is>
          <t>BATTERY BRIDGE BD</t>
        </is>
      </c>
      <c r="K465" s="65" t="inlineStr">
        <is>
          <t>COCOON BATTERY BRIDGE BD</t>
        </is>
      </c>
      <c r="L465" s="83">
        <f>HYPERLINK("#'"&amp;$O465&amp;"'!A"&amp;$N465,"→ 조립자재 R"&amp;$N465)</f>
        <v/>
      </c>
      <c r="M465" s="84" t="n"/>
      <c r="N465" s="80" t="n">
        <v>314</v>
      </c>
      <c r="O465" s="80" t="inlineStr">
        <is>
          <t>조립자재_재고현황</t>
        </is>
      </c>
    </row>
    <row r="466" ht="30" customHeight="1">
      <c r="A466" s="56" t="inlineStr">
        <is>
          <t>조립</t>
        </is>
      </c>
      <c r="B466" s="52" t="inlineStr">
        <is>
          <t>보드</t>
        </is>
      </c>
      <c r="C466" s="52" t="inlineStr">
        <is>
          <t>COCOON</t>
        </is>
      </c>
      <c r="D466" s="79">
        <f>IF(INDIRECT("'"&amp;$O466&amp;"'!F"&amp;$N466)="O","원자재",IF(INDIRECT("'"&amp;$O466&amp;"'!G"&amp;$N466)="O","반제품",IF(INDIRECT("'"&amp;$O466&amp;"'!H"&amp;$N466)="O","완제품","")))</f>
        <v/>
      </c>
      <c r="E466" s="79">
        <f>IFERROR(IF(INDIRECT("'"&amp;$O466&amp;"'!I"&amp;$N466)=0,"",INDIRECT("'"&amp;$O466&amp;"'!I"&amp;$N466)),"")</f>
        <v/>
      </c>
      <c r="F466" s="52" t="inlineStr">
        <is>
          <t>CRADLE BD</t>
        </is>
      </c>
      <c r="G466" s="52" t="inlineStr">
        <is>
          <t>CRADLE BD [COCOON]</t>
        </is>
      </c>
      <c r="H466" s="79">
        <f>IF(AND($F466="",$G466=""),"",IF($F466="","창고전용",IF($G466&lt;&gt;"","매칭완료",IF($D466="반제품","반제품(창고없음)",IF($D466="완제품","완제품(창고없음)",IF($D466="원자재","⚠ 원자재_부서보관","미분류"))))))</f>
        <v/>
      </c>
      <c r="I466" s="79">
        <f>IFERROR(IF(INDIRECT("'"&amp;$O466&amp;"'!P"&amp;$N466)=0,"",INDIRECT("'"&amp;$O466&amp;"'!P"&amp;$N466)),"")</f>
        <v/>
      </c>
      <c r="J466" s="61" t="inlineStr">
        <is>
          <t>CRADLE BD</t>
        </is>
      </c>
      <c r="K466" s="65" t="inlineStr">
        <is>
          <t>COCOON CRADLE BD</t>
        </is>
      </c>
      <c r="L466" s="83">
        <f>HYPERLINK("#'"&amp;$O466&amp;"'!A"&amp;$N466,"→ 조립자재 R"&amp;$N466)</f>
        <v/>
      </c>
      <c r="M466" s="84" t="n"/>
      <c r="N466" s="80" t="n">
        <v>315</v>
      </c>
      <c r="O466" s="80" t="inlineStr">
        <is>
          <t>조립자재_재고현황</t>
        </is>
      </c>
    </row>
    <row r="467" ht="30" customHeight="1">
      <c r="A467" s="56" t="inlineStr">
        <is>
          <t>조립</t>
        </is>
      </c>
      <c r="B467" s="52" t="inlineStr">
        <is>
          <t>보드</t>
        </is>
      </c>
      <c r="C467" s="52" t="inlineStr">
        <is>
          <t>COCOON</t>
        </is>
      </c>
      <c r="D467" s="79">
        <f>IF(INDIRECT("'"&amp;$O467&amp;"'!F"&amp;$N467)="O","원자재",IF(INDIRECT("'"&amp;$O467&amp;"'!G"&amp;$N467)="O","반제품",IF(INDIRECT("'"&amp;$O467&amp;"'!H"&amp;$N467)="O","완제품","")))</f>
        <v/>
      </c>
      <c r="E467" s="79">
        <f>IFERROR(IF(INDIRECT("'"&amp;$O467&amp;"'!I"&amp;$N467)=0,"",INDIRECT("'"&amp;$O467&amp;"'!I"&amp;$N467)),"")</f>
        <v/>
      </c>
      <c r="F467" s="52" t="inlineStr">
        <is>
          <t>TOUCH BD (Atmega128)_FFC케이블 케넥트 수정 (신형)</t>
        </is>
      </c>
      <c r="G467" s="52" t="n"/>
      <c r="H467" s="79">
        <f>IF(AND($F467="",$G467=""),"",IF($F467="","창고전용",IF($G467&lt;&gt;"","매칭완료",IF($D467="반제품","반제품(창고없음)",IF($D467="완제품","완제품(창고없음)",IF($D467="원자재","⚠ 원자재_부서보관","미분류"))))))</f>
        <v/>
      </c>
      <c r="I467" s="79">
        <f>IFERROR(IF(INDIRECT("'"&amp;$O467&amp;"'!P"&amp;$N467)=0,"",INDIRECT("'"&amp;$O467&amp;"'!P"&amp;$N467)),"")</f>
        <v/>
      </c>
      <c r="J467" s="61" t="inlineStr">
        <is>
          <t>TOUCH BD (Atmega128)_FFC케이블 케넥트 수정 (신형)</t>
        </is>
      </c>
      <c r="K467" s="65" t="inlineStr">
        <is>
          <t>COCOON TOUCH BD (ATmega128) (Ver 2.14.5)</t>
        </is>
      </c>
      <c r="L467" s="83">
        <f>HYPERLINK("#'"&amp;$O467&amp;"'!A"&amp;$N467,"→ 조립자재 R"&amp;$N467)</f>
        <v/>
      </c>
      <c r="M467" s="84" t="n"/>
      <c r="N467" s="80" t="n">
        <v>316</v>
      </c>
      <c r="O467" s="80" t="inlineStr">
        <is>
          <t>조립자재_재고현황</t>
        </is>
      </c>
    </row>
    <row r="468" ht="30" customHeight="1">
      <c r="A468" s="56" t="inlineStr">
        <is>
          <t>조립</t>
        </is>
      </c>
      <c r="B468" s="52" t="inlineStr">
        <is>
          <t>보드</t>
        </is>
      </c>
      <c r="C468" s="52" t="inlineStr">
        <is>
          <t>COCOON</t>
        </is>
      </c>
      <c r="D468" s="79">
        <f>IF(INDIRECT("'"&amp;$O468&amp;"'!F"&amp;$N468)="O","원자재",IF(INDIRECT("'"&amp;$O468&amp;"'!G"&amp;$N468)="O","반제품",IF(INDIRECT("'"&amp;$O468&amp;"'!H"&amp;$N468)="O","완제품","")))</f>
        <v/>
      </c>
      <c r="E468" s="79">
        <f>IFERROR(IF(INDIRECT("'"&amp;$O468&amp;"'!I"&amp;$N468)=0,"",INDIRECT("'"&amp;$O468&amp;"'!I"&amp;$N468)),"")</f>
        <v/>
      </c>
      <c r="F468" s="52" t="inlineStr">
        <is>
          <t>OP BD (Atmega128)_FFC케이블 케넥트 수정 (신형)</t>
        </is>
      </c>
      <c r="G468" s="52" t="n"/>
      <c r="H468" s="79">
        <f>IF(AND($F468="",$G468=""),"",IF($F468="","창고전용",IF($G468&lt;&gt;"","매칭완료",IF($D468="반제품","반제품(창고없음)",IF($D468="완제품","완제품(창고없음)",IF($D468="원자재","⚠ 원자재_부서보관","미분류"))))))</f>
        <v/>
      </c>
      <c r="I468" s="79">
        <f>IFERROR(IF(INDIRECT("'"&amp;$O468&amp;"'!P"&amp;$N468)=0,"",INDIRECT("'"&amp;$O468&amp;"'!P"&amp;$N468)),"")</f>
        <v/>
      </c>
      <c r="J468" s="61" t="inlineStr">
        <is>
          <t>OP BD (Atmega128)_FFC케이블 케넥트 수정 (신형)</t>
        </is>
      </c>
      <c r="K468" s="65" t="inlineStr">
        <is>
          <t>COCOON OP BD (ATmega128) (Ver 2.20.3)</t>
        </is>
      </c>
      <c r="L468" s="83">
        <f>HYPERLINK("#'"&amp;$O468&amp;"'!A"&amp;$N468,"→ 조립자재 R"&amp;$N468)</f>
        <v/>
      </c>
      <c r="M468" s="84" t="n"/>
      <c r="N468" s="80" t="n">
        <v>317</v>
      </c>
      <c r="O468" s="80" t="inlineStr">
        <is>
          <t>조립자재_재고현황</t>
        </is>
      </c>
    </row>
    <row r="469" ht="30" customHeight="1">
      <c r="A469" s="56" t="inlineStr">
        <is>
          <t>조립</t>
        </is>
      </c>
      <c r="B469" s="52" t="inlineStr">
        <is>
          <t>보드</t>
        </is>
      </c>
      <c r="C469" s="52" t="inlineStr">
        <is>
          <t>COCOON</t>
        </is>
      </c>
      <c r="D469" s="79">
        <f>IF(INDIRECT("'"&amp;$O469&amp;"'!F"&amp;$N469)="O","원자재",IF(INDIRECT("'"&amp;$O469&amp;"'!G"&amp;$N469)="O","반제품",IF(INDIRECT("'"&amp;$O469&amp;"'!H"&amp;$N469)="O","완제품","")))</f>
        <v/>
      </c>
      <c r="E469" s="79">
        <f>IFERROR(IF(INDIRECT("'"&amp;$O469&amp;"'!I"&amp;$N469)=0,"",INDIRECT("'"&amp;$O469&amp;"'!I"&amp;$N469)),"")</f>
        <v/>
      </c>
      <c r="F469" s="52" t="inlineStr">
        <is>
          <t>OP BD+TOUCH BD_ Ass'y  (Atmega128)_FFC케이블 케넥트 수정 (신형)</t>
        </is>
      </c>
      <c r="G469" s="52" t="n"/>
      <c r="H469" s="79">
        <f>IF(AND($F469="",$G469=""),"",IF($F469="","창고전용",IF($G469&lt;&gt;"","매칭완료",IF($D469="반제품","반제품(창고없음)",IF($D469="완제품","완제품(창고없음)",IF($D469="원자재","⚠ 원자재_부서보관","미분류"))))))</f>
        <v/>
      </c>
      <c r="I469" s="79">
        <f>IFERROR(IF(INDIRECT("'"&amp;$O469&amp;"'!P"&amp;$N469)=0,"",INDIRECT("'"&amp;$O469&amp;"'!P"&amp;$N469)),"")</f>
        <v/>
      </c>
      <c r="J469" s="61" t="inlineStr">
        <is>
          <t>OP BD+TOUCH BD_ Ass'y  (Atmega128)_FFC케이블 케넥트 수정 (신형)</t>
        </is>
      </c>
      <c r="K469" s="65" t="inlineStr">
        <is>
          <t>COCOON OP BD ASS'Y (ATmega128) (Ver 2.20.3)</t>
        </is>
      </c>
      <c r="L469" s="83">
        <f>HYPERLINK("#'"&amp;$O469&amp;"'!A"&amp;$N469,"→ 조립자재 R"&amp;$N469)</f>
        <v/>
      </c>
      <c r="M469" s="84" t="n"/>
      <c r="N469" s="80" t="n">
        <v>318</v>
      </c>
      <c r="O469" s="80" t="inlineStr">
        <is>
          <t>조립자재_재고현황</t>
        </is>
      </c>
    </row>
    <row r="470" ht="30" customHeight="1">
      <c r="A470" s="56" t="inlineStr">
        <is>
          <t>조립</t>
        </is>
      </c>
      <c r="B470" s="52" t="inlineStr">
        <is>
          <t>ASS'Y</t>
        </is>
      </c>
      <c r="C470" s="52" t="inlineStr">
        <is>
          <t>COCOON 메탈 실버 유광</t>
        </is>
      </c>
      <c r="D470" s="79">
        <f>IF(INDIRECT("'"&amp;$O470&amp;"'!F"&amp;$N470)="O","원자재",IF(INDIRECT("'"&amp;$O470&amp;"'!G"&amp;$N470)="O","반제품",IF(INDIRECT("'"&amp;$O470&amp;"'!H"&amp;$N470)="O","완제품","")))</f>
        <v/>
      </c>
      <c r="E470" s="79">
        <f>IFERROR(IF(INDIRECT("'"&amp;$O470&amp;"'!I"&amp;$N470)=0,"",INDIRECT("'"&amp;$O470&amp;"'!I"&amp;$N470)),"")</f>
        <v/>
      </c>
      <c r="F470" s="52" t="inlineStr">
        <is>
          <t>TOP BODY ASS'Y</t>
        </is>
      </c>
      <c r="G470" s="52" t="n"/>
      <c r="H470" s="79">
        <f>IF(AND($F470="",$G470=""),"",IF($F470="","창고전용",IF($G470&lt;&gt;"","매칭완료",IF($D470="반제품","반제품(창고없음)",IF($D470="완제품","완제품(창고없음)",IF($D470="원자재","⚠ 원자재_부서보관","미분류"))))))</f>
        <v/>
      </c>
      <c r="I470" s="79">
        <f>IFERROR(IF(INDIRECT("'"&amp;$O470&amp;"'!P"&amp;$N470)=0,"",INDIRECT("'"&amp;$O470&amp;"'!P"&amp;$N470)),"")</f>
        <v/>
      </c>
      <c r="J470" s="61" t="inlineStr">
        <is>
          <t>TOP BODY ASS'Y</t>
        </is>
      </c>
      <c r="K470" s="65" t="inlineStr">
        <is>
          <t>COCOON TOP BODY ASS'Y (S)</t>
        </is>
      </c>
      <c r="L470" s="83">
        <f>HYPERLINK("#'"&amp;$O470&amp;"'!A"&amp;$N470,"→ 조립자재 R"&amp;$N470)</f>
        <v/>
      </c>
      <c r="M470" s="84" t="n"/>
      <c r="N470" s="80" t="n">
        <v>319</v>
      </c>
      <c r="O470" s="80" t="inlineStr">
        <is>
          <t>조립자재_재고현황</t>
        </is>
      </c>
    </row>
    <row r="471" ht="30" customHeight="1">
      <c r="A471" s="56" t="inlineStr">
        <is>
          <t>조립</t>
        </is>
      </c>
      <c r="B471" s="52" t="inlineStr">
        <is>
          <t>ASS'Y</t>
        </is>
      </c>
      <c r="C471" s="52" t="inlineStr">
        <is>
          <t>COCOON 메탈 실버 유광</t>
        </is>
      </c>
      <c r="D471" s="79">
        <f>IF(INDIRECT("'"&amp;$O471&amp;"'!F"&amp;$N471)="O","원자재",IF(INDIRECT("'"&amp;$O471&amp;"'!G"&amp;$N471)="O","반제품",IF(INDIRECT("'"&amp;$O471&amp;"'!H"&amp;$N471)="O","완제품","")))</f>
        <v/>
      </c>
      <c r="E471" s="79">
        <f>IFERROR(IF(INDIRECT("'"&amp;$O471&amp;"'!I"&amp;$N471)=0,"",INDIRECT("'"&amp;$O471&amp;"'!I"&amp;$N471)),"")</f>
        <v/>
      </c>
      <c r="F471" s="52" t="inlineStr">
        <is>
          <t>TOP BODY ASS'Y (cocoon 로고 없는것)</t>
        </is>
      </c>
      <c r="G471" s="52" t="n"/>
      <c r="H471" s="79">
        <f>IF(AND($F471="",$G471=""),"",IF($F471="","창고전용",IF($G471&lt;&gt;"","매칭완료",IF($D471="반제품","반제품(창고없음)",IF($D471="완제품","완제품(창고없음)",IF($D471="원자재","⚠ 원자재_부서보관","미분류"))))))</f>
        <v/>
      </c>
      <c r="I471" s="79">
        <f>IFERROR(IF(INDIRECT("'"&amp;$O471&amp;"'!P"&amp;$N471)=0,"",INDIRECT("'"&amp;$O471&amp;"'!P"&amp;$N471)),"")</f>
        <v/>
      </c>
      <c r="J471" s="61" t="inlineStr">
        <is>
          <t>TOP BODY ASS'Y (cocoon 로고 없는것)</t>
        </is>
      </c>
      <c r="K471" s="65" t="inlineStr">
        <is>
          <t>COCOON TOB BODY ASS'Y (S) [COCOON 로고 없음]</t>
        </is>
      </c>
      <c r="L471" s="83">
        <f>HYPERLINK("#'"&amp;$O471&amp;"'!A"&amp;$N471,"→ 조립자재 R"&amp;$N471)</f>
        <v/>
      </c>
      <c r="M471" s="84" t="n"/>
      <c r="N471" s="80" t="n">
        <v>320</v>
      </c>
      <c r="O471" s="80" t="inlineStr">
        <is>
          <t>조립자재_재고현황</t>
        </is>
      </c>
    </row>
    <row r="472" ht="30" customHeight="1">
      <c r="A472" s="56" t="inlineStr">
        <is>
          <t>조립</t>
        </is>
      </c>
      <c r="B472" s="52" t="inlineStr">
        <is>
          <t>ASS'Y</t>
        </is>
      </c>
      <c r="C472" s="52" t="inlineStr">
        <is>
          <t>COCOON 화이트 케어스트림</t>
        </is>
      </c>
      <c r="D472" s="79">
        <f>IF(INDIRECT("'"&amp;$O472&amp;"'!F"&amp;$N472)="O","원자재",IF(INDIRECT("'"&amp;$O472&amp;"'!G"&amp;$N472)="O","반제품",IF(INDIRECT("'"&amp;$O472&amp;"'!H"&amp;$N472)="O","완제품","")))</f>
        <v/>
      </c>
      <c r="E472" s="79">
        <f>IFERROR(IF(INDIRECT("'"&amp;$O472&amp;"'!I"&amp;$N472)=0,"",INDIRECT("'"&amp;$O472&amp;"'!I"&amp;$N472)),"")</f>
        <v/>
      </c>
      <c r="F472" s="52" t="inlineStr">
        <is>
          <t>TOP BODY ASS'Y</t>
        </is>
      </c>
      <c r="G472" s="52" t="n"/>
      <c r="H472" s="79">
        <f>IF(AND($F472="",$G472=""),"",IF($F472="","창고전용",IF($G472&lt;&gt;"","매칭완료",IF($D472="반제품","반제품(창고없음)",IF($D472="완제품","완제품(창고없음)",IF($D472="원자재","⚠ 원자재_부서보관","미분류"))))))</f>
        <v/>
      </c>
      <c r="I472" s="79">
        <f>IFERROR(IF(INDIRECT("'"&amp;$O472&amp;"'!P"&amp;$N472)=0,"",INDIRECT("'"&amp;$O472&amp;"'!P"&amp;$N472)),"")</f>
        <v/>
      </c>
      <c r="J472" s="61" t="inlineStr">
        <is>
          <t>TOP BODY ASS'Y</t>
        </is>
      </c>
      <c r="K472" s="65" t="inlineStr">
        <is>
          <t>COCOON TOP BODY ASS'Y (W) [Carestream 로고]</t>
        </is>
      </c>
      <c r="L472" s="83">
        <f>HYPERLINK("#'"&amp;$O472&amp;"'!A"&amp;$N472,"→ 조립자재 R"&amp;$N472)</f>
        <v/>
      </c>
      <c r="M472" s="84" t="n"/>
      <c r="N472" s="80" t="n">
        <v>321</v>
      </c>
      <c r="O472" s="80" t="inlineStr">
        <is>
          <t>조립자재_재고현황</t>
        </is>
      </c>
    </row>
    <row r="473" ht="30" customHeight="1">
      <c r="A473" s="56" t="inlineStr">
        <is>
          <t>조립</t>
        </is>
      </c>
      <c r="B473" s="52" t="inlineStr">
        <is>
          <t>ASS'Y</t>
        </is>
      </c>
      <c r="C473" s="52" t="inlineStr">
        <is>
          <t>COCOON 블랙 유광</t>
        </is>
      </c>
      <c r="D473" s="79">
        <f>IF(INDIRECT("'"&amp;$O473&amp;"'!F"&amp;$N473)="O","원자재",IF(INDIRECT("'"&amp;$O473&amp;"'!G"&amp;$N473)="O","반제품",IF(INDIRECT("'"&amp;$O473&amp;"'!H"&amp;$N473)="O","완제품","")))</f>
        <v/>
      </c>
      <c r="E473" s="79">
        <f>IFERROR(IF(INDIRECT("'"&amp;$O473&amp;"'!I"&amp;$N473)=0,"",INDIRECT("'"&amp;$O473&amp;"'!I"&amp;$N473)),"")</f>
        <v/>
      </c>
      <c r="F473" s="52" t="inlineStr">
        <is>
          <t>BOTTOM BODY ASS'Y</t>
        </is>
      </c>
      <c r="G473" s="52" t="n"/>
      <c r="H473" s="79">
        <f>IF(AND($F473="",$G473=""),"",IF($F473="","창고전용",IF($G473&lt;&gt;"","매칭완료",IF($D473="반제품","반제품(창고없음)",IF($D473="완제품","완제품(창고없음)",IF($D473="원자재","⚠ 원자재_부서보관","미분류"))))))</f>
        <v/>
      </c>
      <c r="I473" s="79">
        <f>IFERROR(IF(INDIRECT("'"&amp;$O473&amp;"'!P"&amp;$N473)=0,"",INDIRECT("'"&amp;$O473&amp;"'!P"&amp;$N473)),"")</f>
        <v/>
      </c>
      <c r="J473" s="61" t="inlineStr">
        <is>
          <t>BOTTOM BODY ASS'Y</t>
        </is>
      </c>
      <c r="K473" s="65" t="inlineStr">
        <is>
          <t>COCOON BOTTOM BODY ASS'Y (B 유광)</t>
        </is>
      </c>
      <c r="L473" s="83">
        <f>HYPERLINK("#'"&amp;$O473&amp;"'!A"&amp;$N473,"→ 조립자재 R"&amp;$N473)</f>
        <v/>
      </c>
      <c r="M473" s="84" t="n"/>
      <c r="N473" s="80" t="n">
        <v>322</v>
      </c>
      <c r="O473" s="80" t="inlineStr">
        <is>
          <t>조립자재_재고현황</t>
        </is>
      </c>
    </row>
    <row r="474" ht="30" customHeight="1">
      <c r="A474" s="56" t="inlineStr">
        <is>
          <t>조립</t>
        </is>
      </c>
      <c r="B474" s="52" t="inlineStr">
        <is>
          <t>ASS'Y</t>
        </is>
      </c>
      <c r="C474" s="52" t="inlineStr">
        <is>
          <t>COCOON 화이트 케어스트림</t>
        </is>
      </c>
      <c r="D474" s="79">
        <f>IF(INDIRECT("'"&amp;$O474&amp;"'!F"&amp;$N474)="O","원자재",IF(INDIRECT("'"&amp;$O474&amp;"'!G"&amp;$N474)="O","반제품",IF(INDIRECT("'"&amp;$O474&amp;"'!H"&amp;$N474)="O","완제품","")))</f>
        <v/>
      </c>
      <c r="E474" s="79">
        <f>IFERROR(IF(INDIRECT("'"&amp;$O474&amp;"'!I"&amp;$N474)=0,"",INDIRECT("'"&amp;$O474&amp;"'!I"&amp;$N474)),"")</f>
        <v/>
      </c>
      <c r="F474" s="52" t="inlineStr">
        <is>
          <t>BOTTOM BODY ASS'Y</t>
        </is>
      </c>
      <c r="G474" s="52" t="n"/>
      <c r="H474" s="79">
        <f>IF(AND($F474="",$G474=""),"",IF($F474="","창고전용",IF($G474&lt;&gt;"","매칭완료",IF($D474="반제품","반제품(창고없음)",IF($D474="완제품","완제품(창고없음)",IF($D474="원자재","⚠ 원자재_부서보관","미분류"))))))</f>
        <v/>
      </c>
      <c r="I474" s="79">
        <f>IFERROR(IF(INDIRECT("'"&amp;$O474&amp;"'!P"&amp;$N474)=0,"",INDIRECT("'"&amp;$O474&amp;"'!P"&amp;$N474)),"")</f>
        <v/>
      </c>
      <c r="J474" s="61" t="inlineStr">
        <is>
          <t>BOTTOM BODY ASS'Y</t>
        </is>
      </c>
      <c r="K474" s="65" t="inlineStr">
        <is>
          <t>COCOON BOTTOM BODY ASS'Y (W)</t>
        </is>
      </c>
      <c r="L474" s="83">
        <f>HYPERLINK("#'"&amp;$O474&amp;"'!A"&amp;$N474,"→ 조립자재 R"&amp;$N474)</f>
        <v/>
      </c>
      <c r="M474" s="84" t="n"/>
      <c r="N474" s="80" t="n">
        <v>323</v>
      </c>
      <c r="O474" s="80" t="inlineStr">
        <is>
          <t>조립자재_재고현황</t>
        </is>
      </c>
    </row>
    <row r="475" ht="30" customHeight="1">
      <c r="A475" s="56" t="inlineStr">
        <is>
          <t>조립</t>
        </is>
      </c>
      <c r="B475" s="52" t="inlineStr">
        <is>
          <t>ASS'Y</t>
        </is>
      </c>
      <c r="C475" s="52" t="inlineStr">
        <is>
          <t>COCOON</t>
        </is>
      </c>
      <c r="D475" s="79">
        <f>IF(INDIRECT("'"&amp;$O475&amp;"'!F"&amp;$N475)="O","원자재",IF(INDIRECT("'"&amp;$O475&amp;"'!G"&amp;$N475)="O","반제품",IF(INDIRECT("'"&amp;$O475&amp;"'!H"&amp;$N475)="O","완제품","")))</f>
        <v/>
      </c>
      <c r="E475" s="79">
        <f>IFERROR(IF(INDIRECT("'"&amp;$O475&amp;"'!I"&amp;$N475)=0,"",INDIRECT("'"&amp;$O475&amp;"'!I"&amp;$N475)),"")</f>
        <v/>
      </c>
      <c r="F475" s="52" t="inlineStr">
        <is>
          <t>에이밍 TOP BODY ASS'Y</t>
        </is>
      </c>
      <c r="G475" s="52" t="n"/>
      <c r="H475" s="79">
        <f>IF(AND($F475="",$G475=""),"",IF($F475="","창고전용",IF($G475&lt;&gt;"","매칭완료",IF($D475="반제품","반제품(창고없음)",IF($D475="완제품","완제품(창고없음)",IF($D475="원자재","⚠ 원자재_부서보관","미분류"))))))</f>
        <v/>
      </c>
      <c r="I475" s="79">
        <f>IFERROR(IF(INDIRECT("'"&amp;$O475&amp;"'!P"&amp;$N475)=0,"",INDIRECT("'"&amp;$O475&amp;"'!P"&amp;$N475)),"")</f>
        <v/>
      </c>
      <c r="J475" s="61" t="inlineStr">
        <is>
          <t>에이밍 TOP BODY ASS'Y</t>
        </is>
      </c>
      <c r="K475" s="65" t="inlineStr">
        <is>
          <t>COCOON TOP BODY ASS'Y (S) [스위치 에이밍]</t>
        </is>
      </c>
      <c r="L475" s="83">
        <f>HYPERLINK("#'"&amp;$O475&amp;"'!A"&amp;$N475,"→ 조립자재 R"&amp;$N475)</f>
        <v/>
      </c>
      <c r="M475" s="84" t="n"/>
      <c r="N475" s="80" t="n">
        <v>324</v>
      </c>
      <c r="O475" s="80" t="inlineStr">
        <is>
          <t>조립자재_재고현황</t>
        </is>
      </c>
    </row>
    <row r="476" ht="30" customHeight="1">
      <c r="A476" s="56" t="inlineStr">
        <is>
          <t>조립</t>
        </is>
      </c>
      <c r="B476" s="52" t="inlineStr">
        <is>
          <t>ASS'Y</t>
        </is>
      </c>
      <c r="C476" s="52" t="inlineStr">
        <is>
          <t>COCOON 메탈 실버 유광</t>
        </is>
      </c>
      <c r="D476" s="79">
        <f>IF(INDIRECT("'"&amp;$O476&amp;"'!F"&amp;$N476)="O","원자재",IF(INDIRECT("'"&amp;$O476&amp;"'!G"&amp;$N476)="O","반제품",IF(INDIRECT("'"&amp;$O476&amp;"'!H"&amp;$N476)="O","완제품","")))</f>
        <v/>
      </c>
      <c r="E476" s="79">
        <f>IFERROR(IF(INDIRECT("'"&amp;$O476&amp;"'!I"&amp;$N476)=0,"",INDIRECT("'"&amp;$O476&amp;"'!I"&amp;$N476)),"")</f>
        <v/>
      </c>
      <c r="F476" s="52" t="inlineStr">
        <is>
          <t>HANDLE ASS'Y</t>
        </is>
      </c>
      <c r="G476" s="52" t="n"/>
      <c r="H476" s="79">
        <f>IF(AND($F476="",$G476=""),"",IF($F476="","창고전용",IF($G476&lt;&gt;"","매칭완료",IF($D476="반제품","반제품(창고없음)",IF($D476="완제품","완제품(창고없음)",IF($D476="원자재","⚠ 원자재_부서보관","미분류"))))))</f>
        <v/>
      </c>
      <c r="I476" s="79">
        <f>IFERROR(IF(INDIRECT("'"&amp;$O476&amp;"'!P"&amp;$N476)=0,"",INDIRECT("'"&amp;$O476&amp;"'!P"&amp;$N476)),"")</f>
        <v/>
      </c>
      <c r="J476" s="61" t="inlineStr">
        <is>
          <t>HANDLE ASS'Y</t>
        </is>
      </c>
      <c r="K476" s="65" t="inlineStr">
        <is>
          <t>COCOON HANDLE ASS'Y (S)</t>
        </is>
      </c>
      <c r="L476" s="83">
        <f>HYPERLINK("#'"&amp;$O476&amp;"'!A"&amp;$N476,"→ 조립자재 R"&amp;$N476)</f>
        <v/>
      </c>
      <c r="M476" s="84" t="n"/>
      <c r="N476" s="80" t="n">
        <v>325</v>
      </c>
      <c r="O476" s="80" t="inlineStr">
        <is>
          <t>조립자재_재고현황</t>
        </is>
      </c>
    </row>
    <row r="477" ht="30" customHeight="1">
      <c r="A477" s="56" t="inlineStr">
        <is>
          <t>조립</t>
        </is>
      </c>
      <c r="B477" s="52" t="inlineStr">
        <is>
          <t>ASS'Y</t>
        </is>
      </c>
      <c r="C477" s="52" t="inlineStr">
        <is>
          <t>COCOON 메탈 실버 유광</t>
        </is>
      </c>
      <c r="D477" s="79">
        <f>IF(INDIRECT("'"&amp;$O477&amp;"'!F"&amp;$N477)="O","원자재",IF(INDIRECT("'"&amp;$O477&amp;"'!G"&amp;$N477)="O","반제품",IF(INDIRECT("'"&amp;$O477&amp;"'!H"&amp;$N477)="O","완제품","")))</f>
        <v/>
      </c>
      <c r="E477" s="79">
        <f>IFERROR(IF(INDIRECT("'"&amp;$O477&amp;"'!I"&amp;$N477)=0,"",INDIRECT("'"&amp;$O477&amp;"'!I"&amp;$N477)),"")</f>
        <v/>
      </c>
      <c r="F477" s="52" t="inlineStr">
        <is>
          <t>HANDLE ASS'Y (리모콘 적용 + BAT BOTTOM + 배터리 없는것)</t>
        </is>
      </c>
      <c r="G477" s="52" t="n"/>
      <c r="H477" s="79">
        <f>IF(AND($F477="",$G477=""),"",IF($F477="","창고전용",IF($G477&lt;&gt;"","매칭완료",IF($D477="반제품","반제품(창고없음)",IF($D477="완제품","완제품(창고없음)",IF($D477="원자재","⚠ 원자재_부서보관","미분류"))))))</f>
        <v/>
      </c>
      <c r="I477" s="79">
        <f>IFERROR(IF(INDIRECT("'"&amp;$O477&amp;"'!P"&amp;$N477)=0,"",INDIRECT("'"&amp;$O477&amp;"'!P"&amp;$N477)),"")</f>
        <v/>
      </c>
      <c r="J477" s="61" t="inlineStr">
        <is>
          <t>HANDLE ASS'Y (리모콘 적용 + BAT BOTTOM + 배터리 없는것)</t>
        </is>
      </c>
      <c r="K477" s="65" t="inlineStr">
        <is>
          <t>COCOON HANDLE ASS'Y (S) [리모콘 포트 적용]</t>
        </is>
      </c>
      <c r="L477" s="83">
        <f>HYPERLINK("#'"&amp;$O477&amp;"'!A"&amp;$N477,"→ 조립자재 R"&amp;$N477)</f>
        <v/>
      </c>
      <c r="M477" s="84" t="n"/>
      <c r="N477" s="80" t="n">
        <v>326</v>
      </c>
      <c r="O477" s="80" t="inlineStr">
        <is>
          <t>조립자재_재고현황</t>
        </is>
      </c>
    </row>
    <row r="478" ht="30" customHeight="1">
      <c r="A478" s="56" t="inlineStr">
        <is>
          <t>조립</t>
        </is>
      </c>
      <c r="B478" s="52" t="inlineStr">
        <is>
          <t>ASS'Y</t>
        </is>
      </c>
      <c r="C478" s="52" t="inlineStr">
        <is>
          <t>COCOON 화이트 케어스트림</t>
        </is>
      </c>
      <c r="D478" s="79">
        <f>IF(INDIRECT("'"&amp;$O478&amp;"'!F"&amp;$N478)="O","원자재",IF(INDIRECT("'"&amp;$O478&amp;"'!G"&amp;$N478)="O","반제품",IF(INDIRECT("'"&amp;$O478&amp;"'!H"&amp;$N478)="O","완제품","")))</f>
        <v/>
      </c>
      <c r="E478" s="79">
        <f>IFERROR(IF(INDIRECT("'"&amp;$O478&amp;"'!I"&amp;$N478)=0,"",INDIRECT("'"&amp;$O478&amp;"'!I"&amp;$N478)),"")</f>
        <v/>
      </c>
      <c r="F478" s="52" t="inlineStr">
        <is>
          <t>HANDLE ASS'Y</t>
        </is>
      </c>
      <c r="G478" s="52" t="n"/>
      <c r="H478" s="79">
        <f>IF(AND($F478="",$G478=""),"",IF($F478="","창고전용",IF($G478&lt;&gt;"","매칭완료",IF($D478="반제품","반제품(창고없음)",IF($D478="완제품","완제품(창고없음)",IF($D478="원자재","⚠ 원자재_부서보관","미분류"))))))</f>
        <v/>
      </c>
      <c r="I478" s="79">
        <f>IFERROR(IF(INDIRECT("'"&amp;$O478&amp;"'!P"&amp;$N478)=0,"",INDIRECT("'"&amp;$O478&amp;"'!P"&amp;$N478)),"")</f>
        <v/>
      </c>
      <c r="J478" s="61" t="inlineStr">
        <is>
          <t>HANDLE ASS'Y</t>
        </is>
      </c>
      <c r="K478" s="65" t="inlineStr">
        <is>
          <t>COCOON HANDLE ASS'Y (W)</t>
        </is>
      </c>
      <c r="L478" s="83">
        <f>HYPERLINK("#'"&amp;$O478&amp;"'!A"&amp;$N478,"→ 조립자재 R"&amp;$N478)</f>
        <v/>
      </c>
      <c r="M478" s="84" t="n"/>
      <c r="N478" s="80" t="n">
        <v>327</v>
      </c>
      <c r="O478" s="80" t="inlineStr">
        <is>
          <t>조립자재_재고현황</t>
        </is>
      </c>
    </row>
    <row r="479" ht="30" customHeight="1">
      <c r="A479" s="56" t="inlineStr">
        <is>
          <t>조립</t>
        </is>
      </c>
      <c r="B479" s="52" t="inlineStr">
        <is>
          <t>ASS'Y</t>
        </is>
      </c>
      <c r="C479" s="52" t="inlineStr">
        <is>
          <t>COCOON 블랙 유광</t>
        </is>
      </c>
      <c r="D479" s="79">
        <f>IF(INDIRECT("'"&amp;$O479&amp;"'!F"&amp;$N479)="O","원자재",IF(INDIRECT("'"&amp;$O479&amp;"'!G"&amp;$N479)="O","반제품",IF(INDIRECT("'"&amp;$O479&amp;"'!H"&amp;$N479)="O","완제품","")))</f>
        <v/>
      </c>
      <c r="E479" s="79">
        <f>IFERROR(IF(INDIRECT("'"&amp;$O479&amp;"'!I"&amp;$N479)=0,"",INDIRECT("'"&amp;$O479&amp;"'!I"&amp;$N479)),"")</f>
        <v/>
      </c>
      <c r="F479" s="52" t="inlineStr">
        <is>
          <t>CRADLE ASS'Y</t>
        </is>
      </c>
      <c r="G479" s="52" t="n"/>
      <c r="H479" s="79">
        <f>IF(AND($F479="",$G479=""),"",IF($F479="","창고전용",IF($G479&lt;&gt;"","매칭완료",IF($D479="반제품","반제품(창고없음)",IF($D479="완제품","완제품(창고없음)",IF($D479="원자재","⚠ 원자재_부서보관","미분류"))))))</f>
        <v/>
      </c>
      <c r="I479" s="79">
        <f>IFERROR(IF(INDIRECT("'"&amp;$O479&amp;"'!P"&amp;$N479)=0,"",INDIRECT("'"&amp;$O479&amp;"'!P"&amp;$N479)),"")</f>
        <v/>
      </c>
      <c r="J479" s="61" t="inlineStr">
        <is>
          <t>CRADLE ASS'Y</t>
        </is>
      </c>
      <c r="K479" s="65" t="inlineStr">
        <is>
          <t>COCOON CRADLE ASS'Y (B) [D-917 (Silver Frame)]</t>
        </is>
      </c>
      <c r="L479" s="83">
        <f>HYPERLINK("#'"&amp;$O479&amp;"'!A"&amp;$N479,"→ 조립자재 R"&amp;$N479)</f>
        <v/>
      </c>
      <c r="M479" s="84" t="n"/>
      <c r="N479" s="80" t="n">
        <v>328</v>
      </c>
      <c r="O479" s="80" t="inlineStr">
        <is>
          <t>조립자재_재고현황</t>
        </is>
      </c>
    </row>
    <row r="480" ht="30" customHeight="1">
      <c r="A480" s="56" t="inlineStr">
        <is>
          <t>조립</t>
        </is>
      </c>
      <c r="B480" s="52" t="inlineStr">
        <is>
          <t>ASS'Y</t>
        </is>
      </c>
      <c r="C480" s="52" t="inlineStr">
        <is>
          <t>COCOON 화이트 케어스트림</t>
        </is>
      </c>
      <c r="D480" s="79">
        <f>IF(INDIRECT("'"&amp;$O480&amp;"'!F"&amp;$N480)="O","원자재",IF(INDIRECT("'"&amp;$O480&amp;"'!G"&amp;$N480)="O","반제품",IF(INDIRECT("'"&amp;$O480&amp;"'!H"&amp;$N480)="O","완제품","")))</f>
        <v/>
      </c>
      <c r="E480" s="79">
        <f>IFERROR(IF(INDIRECT("'"&amp;$O480&amp;"'!I"&amp;$N480)=0,"",INDIRECT("'"&amp;$O480&amp;"'!I"&amp;$N480)),"")</f>
        <v/>
      </c>
      <c r="F480" s="52" t="inlineStr">
        <is>
          <t>CRADLE ASS'Y</t>
        </is>
      </c>
      <c r="G480" s="52" t="n"/>
      <c r="H480" s="79">
        <f>IF(AND($F480="",$G480=""),"",IF($F480="","창고전용",IF($G480&lt;&gt;"","매칭완료",IF($D480="반제품","반제품(창고없음)",IF($D480="완제품","완제품(창고없음)",IF($D480="원자재","⚠ 원자재_부서보관","미분류"))))))</f>
        <v/>
      </c>
      <c r="I480" s="79">
        <f>IFERROR(IF(INDIRECT("'"&amp;$O480&amp;"'!P"&amp;$N480)=0,"",INDIRECT("'"&amp;$O480&amp;"'!P"&amp;$N480)),"")</f>
        <v/>
      </c>
      <c r="J480" s="61" t="inlineStr">
        <is>
          <t>CRADLE ASS'Y</t>
        </is>
      </c>
      <c r="K480" s="65" t="inlineStr">
        <is>
          <t>COCOON CRADLE ASS'Y (B) [D-917 (White Frame)]</t>
        </is>
      </c>
      <c r="L480" s="83">
        <f>HYPERLINK("#'"&amp;$O480&amp;"'!A"&amp;$N480,"→ 조립자재 R"&amp;$N480)</f>
        <v/>
      </c>
      <c r="M480" s="84" t="n"/>
      <c r="N480" s="80" t="n">
        <v>329</v>
      </c>
      <c r="O480" s="80" t="inlineStr">
        <is>
          <t>조립자재_재고현황</t>
        </is>
      </c>
    </row>
    <row r="481" ht="30" customHeight="1">
      <c r="A481" s="56" t="inlineStr">
        <is>
          <t>조립</t>
        </is>
      </c>
      <c r="B481" s="52" t="inlineStr">
        <is>
          <t>에이밍</t>
        </is>
      </c>
      <c r="C481" s="52" t="inlineStr">
        <is>
          <t>COCOON</t>
        </is>
      </c>
      <c r="D481" s="79">
        <f>IF(INDIRECT("'"&amp;$O481&amp;"'!F"&amp;$N481)="O","원자재",IF(INDIRECT("'"&amp;$O481&amp;"'!G"&amp;$N481)="O","반제품",IF(INDIRECT("'"&amp;$O481&amp;"'!H"&amp;$N481)="O","완제품","")))</f>
        <v/>
      </c>
      <c r="E481" s="79">
        <f>IFERROR(IF(INDIRECT("'"&amp;$O481&amp;"'!I"&amp;$N481)=0,"",INDIRECT("'"&amp;$O481&amp;"'!I"&amp;$N481)),"")</f>
        <v/>
      </c>
      <c r="F481" s="52" t="inlineStr">
        <is>
          <t>코쿤 에이밍 십자 아크릴 (사각 모양)</t>
        </is>
      </c>
      <c r="G481" s="52" t="inlineStr">
        <is>
          <t>에이밍 십자 아크릴 (사각 모양) (투명 아크릴 + 인쇄) [COCOON]</t>
        </is>
      </c>
      <c r="H481" s="79">
        <f>IF(AND($F481="",$G481=""),"",IF($F481="","창고전용",IF($G481&lt;&gt;"","매칭완료",IF($D481="반제품","반제품(창고없음)",IF($D481="완제품","완제품(창고없음)",IF($D481="원자재","⚠ 원자재_부서보관","미분류"))))))</f>
        <v/>
      </c>
      <c r="I481" s="79">
        <f>IFERROR(IF(INDIRECT("'"&amp;$O481&amp;"'!P"&amp;$N481)=0,"",INDIRECT("'"&amp;$O481&amp;"'!P"&amp;$N481)),"")</f>
        <v/>
      </c>
      <c r="J481" s="61" t="inlineStr">
        <is>
          <t>코쿤 에이밍 십자 아크릴 (사각 모양)</t>
        </is>
      </c>
      <c r="K481" s="65" t="inlineStr">
        <is>
          <t>COCOON, SOLO 사각 에이밍 아크릴 (55.8ɸ 1.3T)</t>
        </is>
      </c>
      <c r="L481" s="83">
        <f>HYPERLINK("#'"&amp;$O481&amp;"'!A"&amp;$N481,"→ 조립자재 R"&amp;$N481)</f>
        <v/>
      </c>
      <c r="M481" s="84" t="n"/>
      <c r="N481" s="80" t="n">
        <v>330</v>
      </c>
      <c r="O481" s="80" t="inlineStr">
        <is>
          <t>조립자재_재고현황</t>
        </is>
      </c>
    </row>
    <row r="482" ht="30" customHeight="1">
      <c r="A482" s="56" t="inlineStr">
        <is>
          <t>조립</t>
        </is>
      </c>
      <c r="B482" s="52" t="inlineStr">
        <is>
          <t>에이밍</t>
        </is>
      </c>
      <c r="C482" s="52" t="inlineStr">
        <is>
          <t>COCOON</t>
        </is>
      </c>
      <c r="D482" s="79">
        <f>IF(INDIRECT("'"&amp;$O482&amp;"'!F"&amp;$N482)="O","원자재",IF(INDIRECT("'"&amp;$O482&amp;"'!G"&amp;$N482)="O","반제품",IF(INDIRECT("'"&amp;$O482&amp;"'!H"&amp;$N482)="O","완제품","")))</f>
        <v/>
      </c>
      <c r="E482" s="79">
        <f>IFERROR(IF(INDIRECT("'"&amp;$O482&amp;"'!I"&amp;$N482)=0,"",INDIRECT("'"&amp;$O482&amp;"'!I"&amp;$N482)),"")</f>
        <v/>
      </c>
      <c r="F482" s="52" t="inlineStr">
        <is>
          <t>원형 십자 아크릴 1 (테두리 두껍게 있는 것) 2.0T - 영국용</t>
        </is>
      </c>
      <c r="G482" s="52" t="inlineStr">
        <is>
          <t>에이밍 원형 십자 아크릴 (테두리 O) 2.0T (투명 아크릴 + 인쇄 2T - 영국용) [COCOON]</t>
        </is>
      </c>
      <c r="H482" s="79">
        <f>IF(AND($F482="",$G482=""),"",IF($F482="","창고전용",IF($G482&lt;&gt;"","매칭완료",IF($D482="반제품","반제품(창고없음)",IF($D482="완제품","완제품(창고없음)",IF($D482="원자재","⚠ 원자재_부서보관","미분류"))))))</f>
        <v/>
      </c>
      <c r="I482" s="79">
        <f>IFERROR(IF(INDIRECT("'"&amp;$O482&amp;"'!P"&amp;$N482)=0,"",INDIRECT("'"&amp;$O482&amp;"'!P"&amp;$N482)),"")</f>
        <v/>
      </c>
      <c r="J482" s="61" t="inlineStr">
        <is>
          <t>원형 십자 아크릴 1 (테두리 두껍게 있는 것) 2.0T - 영국용</t>
        </is>
      </c>
      <c r="K482" s="65" t="inlineStr">
        <is>
          <t>COCOON, SOLO 원형 에이밍 아크릴 (63ɸ 2T) [테두리 13ɸ]</t>
        </is>
      </c>
      <c r="L482" s="83">
        <f>HYPERLINK("#'"&amp;$O482&amp;"'!A"&amp;$N482,"→ 조립자재 R"&amp;$N482)</f>
        <v/>
      </c>
      <c r="M482" s="84" t="n"/>
      <c r="N482" s="80" t="n">
        <v>331</v>
      </c>
      <c r="O482" s="80" t="inlineStr">
        <is>
          <t>조립자재_재고현황</t>
        </is>
      </c>
    </row>
    <row r="483" ht="30" customHeight="1">
      <c r="A483" s="56" t="inlineStr">
        <is>
          <t>조립</t>
        </is>
      </c>
      <c r="B483" s="52" t="inlineStr">
        <is>
          <t>에이밍</t>
        </is>
      </c>
      <c r="C483" s="52" t="inlineStr">
        <is>
          <t>COCOON</t>
        </is>
      </c>
      <c r="D483" s="79">
        <f>IF(INDIRECT("'"&amp;$O483&amp;"'!F"&amp;$N483)="O","원자재",IF(INDIRECT("'"&amp;$O483&amp;"'!G"&amp;$N483)="O","반제품",IF(INDIRECT("'"&amp;$O483&amp;"'!H"&amp;$N483)="O","완제품","")))</f>
        <v/>
      </c>
      <c r="E483" s="79">
        <f>IFERROR(IF(INDIRECT("'"&amp;$O483&amp;"'!I"&amp;$N483)=0,"",INDIRECT("'"&amp;$O483&amp;"'!I"&amp;$N483)),"")</f>
        <v/>
      </c>
      <c r="F483" s="52" t="inlineStr">
        <is>
          <t>원형 십자 아크릴 1 (테두리 얇게 있는 것) 2.0T</t>
        </is>
      </c>
      <c r="G483" s="52" t="inlineStr">
        <is>
          <t>에이밍 원형 십자 아크릴 (테두리 O) 2.0T (투명 아크릴 + 인쇄 2T - 얇은 테두리) [COCOON]</t>
        </is>
      </c>
      <c r="H483" s="79">
        <f>IF(AND($F483="",$G483=""),"",IF($F483="","창고전용",IF($G483&lt;&gt;"","매칭완료",IF($D483="반제품","반제품(창고없음)",IF($D483="완제품","완제품(창고없음)",IF($D483="원자재","⚠ 원자재_부서보관","미분류"))))))</f>
        <v/>
      </c>
      <c r="I483" s="79">
        <f>IFERROR(IF(INDIRECT("'"&amp;$O483&amp;"'!P"&amp;$N483)=0,"",INDIRECT("'"&amp;$O483&amp;"'!P"&amp;$N483)),"")</f>
        <v/>
      </c>
      <c r="J483" s="61" t="inlineStr">
        <is>
          <t>원형 십자 아크릴 1 (테두리 얇게 있는 것) 2.0T</t>
        </is>
      </c>
      <c r="K483" s="65" t="inlineStr">
        <is>
          <t>COCOON, SOLO 원형 에이밍 아크릴 (63ɸ 2T) [테두리 8ɸ]</t>
        </is>
      </c>
      <c r="L483" s="83">
        <f>HYPERLINK("#'"&amp;$O483&amp;"'!A"&amp;$N483,"→ 조립자재 R"&amp;$N483)</f>
        <v/>
      </c>
      <c r="M483" s="84" t="n"/>
      <c r="N483" s="80" t="n">
        <v>332</v>
      </c>
      <c r="O483" s="80" t="inlineStr">
        <is>
          <t>조립자재_재고현황</t>
        </is>
      </c>
    </row>
    <row r="484" ht="30" customHeight="1">
      <c r="A484" s="56" t="inlineStr">
        <is>
          <t>조립</t>
        </is>
      </c>
      <c r="B484" s="52" t="inlineStr">
        <is>
          <t>에이밍</t>
        </is>
      </c>
      <c r="C484" s="52" t="inlineStr">
        <is>
          <t>COCOON</t>
        </is>
      </c>
      <c r="D484" s="79">
        <f>IF(INDIRECT("'"&amp;$O484&amp;"'!F"&amp;$N484)="O","원자재",IF(INDIRECT("'"&amp;$O484&amp;"'!G"&amp;$N484)="O","반제품",IF(INDIRECT("'"&amp;$O484&amp;"'!H"&amp;$N484)="O","완제품","")))</f>
        <v/>
      </c>
      <c r="E484" s="79">
        <f>IFERROR(IF(INDIRECT("'"&amp;$O484&amp;"'!I"&amp;$N484)=0,"",INDIRECT("'"&amp;$O484&amp;"'!I"&amp;$N484)),"")</f>
        <v/>
      </c>
      <c r="F484" s="52" t="inlineStr">
        <is>
          <t>원형 십자 아크릴 2 (테두리 없는 것) 2.0T - 사파리용</t>
        </is>
      </c>
      <c r="G484" s="52" t="inlineStr">
        <is>
          <t>에이밍 원형 십자 아크릴 (테두리 X) 2.0T (투명 아크릴 + 인쇄 2T -사파리용) [COCOON]</t>
        </is>
      </c>
      <c r="H484" s="79">
        <f>IF(AND($F484="",$G484=""),"",IF($F484="","창고전용",IF($G484&lt;&gt;"","매칭완료",IF($D484="반제품","반제품(창고없음)",IF($D484="완제품","완제품(창고없음)",IF($D484="원자재","⚠ 원자재_부서보관","미분류"))))))</f>
        <v/>
      </c>
      <c r="I484" s="79">
        <f>IFERROR(IF(INDIRECT("'"&amp;$O484&amp;"'!P"&amp;$N484)=0,"",INDIRECT("'"&amp;$O484&amp;"'!P"&amp;$N484)),"")</f>
        <v/>
      </c>
      <c r="J484" s="61" t="inlineStr">
        <is>
          <t>원형 십자 아크릴 2 (테두리 없는 것) 2.0T - 사파리용</t>
        </is>
      </c>
      <c r="K484" s="65" t="inlineStr">
        <is>
          <t>COCOON, SOLO 원형 에이밍 아크릴 (63ɸ 2T) [테두리 없음] (사파리용)</t>
        </is>
      </c>
      <c r="L484" s="83">
        <f>HYPERLINK("#'"&amp;$O484&amp;"'!A"&amp;$N484,"→ 조립자재 R"&amp;$N484)</f>
        <v/>
      </c>
      <c r="M484" s="84" t="n"/>
      <c r="N484" s="80" t="n">
        <v>333</v>
      </c>
      <c r="O484" s="80" t="inlineStr">
        <is>
          <t>조립자재_재고현황</t>
        </is>
      </c>
    </row>
    <row r="485" ht="30" customHeight="1">
      <c r="A485" s="56" t="inlineStr">
        <is>
          <t>조립</t>
        </is>
      </c>
      <c r="B485" s="52" t="inlineStr">
        <is>
          <t>에이밍</t>
        </is>
      </c>
      <c r="C485" s="52" t="inlineStr">
        <is>
          <t>COCOON 블랙 유광</t>
        </is>
      </c>
      <c r="D485" s="79">
        <f>IF(INDIRECT("'"&amp;$O485&amp;"'!F"&amp;$N485)="O","원자재",IF(INDIRECT("'"&amp;$O485&amp;"'!G"&amp;$N485)="O","반제품",IF(INDIRECT("'"&amp;$O485&amp;"'!H"&amp;$N485)="O","완제품","")))</f>
        <v/>
      </c>
      <c r="E485" s="79">
        <f>IFERROR(IF(INDIRECT("'"&amp;$O485&amp;"'!I"&amp;$N485)=0,"",INDIRECT("'"&amp;$O485&amp;"'!I"&amp;$N485)),"")</f>
        <v/>
      </c>
      <c r="F485" s="52" t="inlineStr">
        <is>
          <t>사각 앞사출</t>
        </is>
      </c>
      <c r="G485" s="52" t="inlineStr">
        <is>
          <t>에이밍 앞 사출 (블랙 유광) [COCOON]</t>
        </is>
      </c>
      <c r="H485" s="79">
        <f>IF(AND($F485="",$G485=""),"",IF($F485="","창고전용",IF($G485&lt;&gt;"","매칭완료",IF($D485="반제품","반제품(창고없음)",IF($D485="완제품","완제품(창고없음)",IF($D485="원자재","⚠ 원자재_부서보관","미분류"))))))</f>
        <v/>
      </c>
      <c r="I485" s="79">
        <f>IFERROR(IF(INDIRECT("'"&amp;$O485&amp;"'!P"&amp;$N485)=0,"",INDIRECT("'"&amp;$O485&amp;"'!P"&amp;$N485)),"")</f>
        <v/>
      </c>
      <c r="J485" s="61" t="inlineStr">
        <is>
          <t>사각 앞사출</t>
        </is>
      </c>
      <c r="K485" s="65" t="inlineStr">
        <is>
          <t>COCOON 에이밍 사각 앞 사출 (B 유광)</t>
        </is>
      </c>
      <c r="L485" s="83">
        <f>HYPERLINK("#'"&amp;$O485&amp;"'!A"&amp;$N485,"→ 조립자재 R"&amp;$N485)</f>
        <v/>
      </c>
      <c r="M485" s="84" t="n"/>
      <c r="N485" s="80" t="n">
        <v>334</v>
      </c>
      <c r="O485" s="80" t="inlineStr">
        <is>
          <t>조립자재_재고현황</t>
        </is>
      </c>
    </row>
    <row r="486" ht="30" customHeight="1">
      <c r="A486" s="56" t="inlineStr">
        <is>
          <t>조립</t>
        </is>
      </c>
      <c r="B486" s="52" t="inlineStr">
        <is>
          <t>에이밍</t>
        </is>
      </c>
      <c r="C486" s="52" t="inlineStr">
        <is>
          <t>COCOON</t>
        </is>
      </c>
      <c r="D486" s="79">
        <f>IF(INDIRECT("'"&amp;$O486&amp;"'!F"&amp;$N486)="O","원자재",IF(INDIRECT("'"&amp;$O486&amp;"'!G"&amp;$N486)="O","반제품",IF(INDIRECT("'"&amp;$O486&amp;"'!H"&amp;$N486)="O","완제품","")))</f>
        <v/>
      </c>
      <c r="E486" s="79">
        <f>IFERROR(IF(INDIRECT("'"&amp;$O486&amp;"'!I"&amp;$N486)=0,"",INDIRECT("'"&amp;$O486&amp;"'!I"&amp;$N486)),"")</f>
        <v/>
      </c>
      <c r="F486" s="52" t="inlineStr">
        <is>
          <t>에이밍 라이트 은경</t>
        </is>
      </c>
      <c r="G486" s="52" t="inlineStr">
        <is>
          <t>에이밍 아크릴 은경 (아크릴) [COCOON]</t>
        </is>
      </c>
      <c r="H486" s="79">
        <f>IF(AND($F486="",$G486=""),"",IF($F486="","창고전용",IF($G486&lt;&gt;"","매칭완료",IF($D486="반제품","반제품(창고없음)",IF($D486="완제품","완제품(창고없음)",IF($D486="원자재","⚠ 원자재_부서보관","미분류"))))))</f>
        <v/>
      </c>
      <c r="I486" s="79">
        <f>IFERROR(IF(INDIRECT("'"&amp;$O486&amp;"'!P"&amp;$N486)=0,"",INDIRECT("'"&amp;$O486&amp;"'!P"&amp;$N486)),"")</f>
        <v/>
      </c>
      <c r="J486" s="61" t="inlineStr">
        <is>
          <t>에이밍 라이트 은경</t>
        </is>
      </c>
      <c r="K486" s="65" t="inlineStr">
        <is>
          <t>COCOON 에이밍 아크릴 은경 (40ɸ)</t>
        </is>
      </c>
      <c r="L486" s="83">
        <f>HYPERLINK("#'"&amp;$O486&amp;"'!A"&amp;$N486,"→ 조립자재 R"&amp;$N486)</f>
        <v/>
      </c>
      <c r="M486" s="84" t="n"/>
      <c r="N486" s="80" t="n">
        <v>335</v>
      </c>
      <c r="O486" s="80" t="inlineStr">
        <is>
          <t>조립자재_재고현황</t>
        </is>
      </c>
    </row>
    <row r="487" ht="30" customHeight="1">
      <c r="A487" s="56" t="inlineStr">
        <is>
          <t>조립</t>
        </is>
      </c>
      <c r="B487" s="52" t="inlineStr">
        <is>
          <t>에이밍</t>
        </is>
      </c>
      <c r="C487" s="52" t="inlineStr">
        <is>
          <t>COCOON 블랙</t>
        </is>
      </c>
      <c r="D487" s="79">
        <f>IF(INDIRECT("'"&amp;$O487&amp;"'!F"&amp;$N487)="O","원자재",IF(INDIRECT("'"&amp;$O487&amp;"'!G"&amp;$N487)="O","반제품",IF(INDIRECT("'"&amp;$O487&amp;"'!H"&amp;$N487)="O","완제품","")))</f>
        <v/>
      </c>
      <c r="E487" s="79">
        <f>IFERROR(IF(INDIRECT("'"&amp;$O487&amp;"'!I"&amp;$N487)=0,"",INDIRECT("'"&amp;$O487&amp;"'!I"&amp;$N487)),"")</f>
        <v/>
      </c>
      <c r="F487" s="52" t="inlineStr">
        <is>
          <t>LED BODY A (블랙_원형)</t>
        </is>
      </c>
      <c r="G487" s="52" t="inlineStr">
        <is>
          <t>에이밍 LED BODY 신형 A [COCOON]</t>
        </is>
      </c>
      <c r="H487" s="79">
        <f>IF(AND($F487="",$G487=""),"",IF($F487="","창고전용",IF($G487&lt;&gt;"","매칭완료",IF($D487="반제품","반제품(창고없음)",IF($D487="완제품","완제품(창고없음)",IF($D487="원자재","⚠ 원자재_부서보관","미분류"))))))</f>
        <v/>
      </c>
      <c r="I487" s="79">
        <f>IFERROR(IF(INDIRECT("'"&amp;$O487&amp;"'!P"&amp;$N487)=0,"",INDIRECT("'"&amp;$O487&amp;"'!P"&amp;$N487)),"")</f>
        <v/>
      </c>
      <c r="J487" s="61" t="inlineStr">
        <is>
          <t>LED BODY A (블랙_원형)</t>
        </is>
      </c>
      <c r="K487" s="65" t="inlineStr">
        <is>
          <t>COCOON 에이밍 LED BODY A (B) [원형]</t>
        </is>
      </c>
      <c r="L487" s="83">
        <f>HYPERLINK("#'"&amp;$O487&amp;"'!A"&amp;$N487,"→ 조립자재 R"&amp;$N487)</f>
        <v/>
      </c>
      <c r="M487" s="84" t="n"/>
      <c r="N487" s="80" t="n">
        <v>336</v>
      </c>
      <c r="O487" s="80" t="inlineStr">
        <is>
          <t>조립자재_재고현황</t>
        </is>
      </c>
    </row>
    <row r="488" ht="30" customHeight="1">
      <c r="A488" s="56" t="inlineStr">
        <is>
          <t>조립</t>
        </is>
      </c>
      <c r="B488" s="52" t="inlineStr">
        <is>
          <t>에이밍</t>
        </is>
      </c>
      <c r="C488" s="52" t="inlineStr">
        <is>
          <t>COCOON 블랙</t>
        </is>
      </c>
      <c r="D488" s="79">
        <f>IF(INDIRECT("'"&amp;$O488&amp;"'!F"&amp;$N488)="O","원자재",IF(INDIRECT("'"&amp;$O488&amp;"'!G"&amp;$N488)="O","반제품",IF(INDIRECT("'"&amp;$O488&amp;"'!H"&amp;$N488)="O","완제품","")))</f>
        <v/>
      </c>
      <c r="E488" s="79">
        <f>IFERROR(IF(INDIRECT("'"&amp;$O488&amp;"'!I"&amp;$N488)=0,"",INDIRECT("'"&amp;$O488&amp;"'!I"&amp;$N488)),"")</f>
        <v/>
      </c>
      <c r="F488" s="52" t="inlineStr">
        <is>
          <t>LED BODY B (블랙_사각형)</t>
        </is>
      </c>
      <c r="G488" s="52" t="inlineStr">
        <is>
          <t>에이밍 LED BODY 신형 B [COCOON]</t>
        </is>
      </c>
      <c r="H488" s="79">
        <f>IF(AND($F488="",$G488=""),"",IF($F488="","창고전용",IF($G488&lt;&gt;"","매칭완료",IF($D488="반제품","반제품(창고없음)",IF($D488="완제품","완제품(창고없음)",IF($D488="원자재","⚠ 원자재_부서보관","미분류"))))))</f>
        <v/>
      </c>
      <c r="I488" s="79">
        <f>IFERROR(IF(INDIRECT("'"&amp;$O488&amp;"'!P"&amp;$N488)=0,"",INDIRECT("'"&amp;$O488&amp;"'!P"&amp;$N488)),"")</f>
        <v/>
      </c>
      <c r="J488" s="61" t="inlineStr">
        <is>
          <t>LED BODY B (블랙_사각형)</t>
        </is>
      </c>
      <c r="K488" s="65" t="inlineStr">
        <is>
          <t>COCOON 에이밍 LED BODY B (B) [사각형]</t>
        </is>
      </c>
      <c r="L488" s="83">
        <f>HYPERLINK("#'"&amp;$O488&amp;"'!A"&amp;$N488,"→ 조립자재 R"&amp;$N488)</f>
        <v/>
      </c>
      <c r="M488" s="84" t="n"/>
      <c r="N488" s="80" t="n">
        <v>337</v>
      </c>
      <c r="O488" s="80" t="inlineStr">
        <is>
          <t>조립자재_재고현황</t>
        </is>
      </c>
    </row>
    <row r="489" ht="30" customHeight="1">
      <c r="A489" s="56" t="inlineStr">
        <is>
          <t>조립</t>
        </is>
      </c>
      <c r="B489" s="52" t="inlineStr">
        <is>
          <t>에이밍</t>
        </is>
      </c>
      <c r="C489" s="52" t="inlineStr">
        <is>
          <t>COCOON</t>
        </is>
      </c>
      <c r="D489" s="79">
        <f>IF(INDIRECT("'"&amp;$O489&amp;"'!F"&amp;$N489)="O","원자재",IF(INDIRECT("'"&amp;$O489&amp;"'!G"&amp;$N489)="O","반제품",IF(INDIRECT("'"&amp;$O489&amp;"'!H"&amp;$N489)="O","완제품","")))</f>
        <v/>
      </c>
      <c r="E489" s="79">
        <f>IFERROR(IF(INDIRECT("'"&amp;$O489&amp;"'!I"&amp;$N489)=0,"",INDIRECT("'"&amp;$O489&amp;"'!I"&amp;$N489)),"")</f>
        <v/>
      </c>
      <c r="F489" s="52" t="inlineStr">
        <is>
          <t>에이밍 은경 + LED BD ASS'Y</t>
        </is>
      </c>
      <c r="G489" s="52" t="n"/>
      <c r="H489" s="79">
        <f>IF(AND($F489="",$G489=""),"",IF($F489="","창고전용",IF($G489&lt;&gt;"","매칭완료",IF($D489="반제품","반제품(창고없음)",IF($D489="완제품","완제품(창고없음)",IF($D489="원자재","⚠ 원자재_부서보관","미분류"))))))</f>
        <v/>
      </c>
      <c r="I489" s="79">
        <f>IFERROR(IF(INDIRECT("'"&amp;$O489&amp;"'!P"&amp;$N489)=0,"",INDIRECT("'"&amp;$O489&amp;"'!P"&amp;$N489)),"")</f>
        <v/>
      </c>
      <c r="J489" s="61" t="inlineStr">
        <is>
          <t>에이밍 은경 + LED BD ASS'Y</t>
        </is>
      </c>
      <c r="K489" s="65" t="inlineStr">
        <is>
          <t>COCOON 에이밍 BODY ASS'Y</t>
        </is>
      </c>
      <c r="L489" s="83">
        <f>HYPERLINK("#'"&amp;$O489&amp;"'!A"&amp;$N489,"→ 조립자재 R"&amp;$N489)</f>
        <v/>
      </c>
      <c r="M489" s="84" t="n"/>
      <c r="N489" s="80" t="n">
        <v>338</v>
      </c>
      <c r="O489" s="80" t="inlineStr">
        <is>
          <t>조립자재_재고현황</t>
        </is>
      </c>
    </row>
    <row r="490" ht="30" customHeight="1">
      <c r="A490" s="56" t="inlineStr">
        <is>
          <t>조립</t>
        </is>
      </c>
      <c r="B490" s="52" t="inlineStr">
        <is>
          <t>에이밍</t>
        </is>
      </c>
      <c r="C490" s="52" t="inlineStr">
        <is>
          <t>COCOON</t>
        </is>
      </c>
      <c r="D490" s="79">
        <f>IF(INDIRECT("'"&amp;$O490&amp;"'!F"&amp;$N490)="O","원자재",IF(INDIRECT("'"&amp;$O490&amp;"'!G"&amp;$N490)="O","반제품",IF(INDIRECT("'"&amp;$O490&amp;"'!H"&amp;$N490)="O","완제품","")))</f>
        <v/>
      </c>
      <c r="E490" s="79">
        <f>IFERROR(IF(INDIRECT("'"&amp;$O490&amp;"'!I"&amp;$N490)=0,"",INDIRECT("'"&amp;$O490&amp;"'!I"&amp;$N490)),"")</f>
        <v/>
      </c>
      <c r="F490" s="52" t="inlineStr">
        <is>
          <t>에이밍 젠더 (가공품)</t>
        </is>
      </c>
      <c r="G490" s="52" t="inlineStr">
        <is>
          <t>에이밍 방사구 젠더 [COCOON]</t>
        </is>
      </c>
      <c r="H490" s="79">
        <f>IF(AND($F490="",$G490=""),"",IF($F490="","창고전용",IF($G490&lt;&gt;"","매칭완료",IF($D490="반제품","반제품(창고없음)",IF($D490="완제품","완제품(창고없음)",IF($D490="원자재","⚠ 원자재_부서보관","미분류"))))))</f>
        <v/>
      </c>
      <c r="I490" s="79">
        <f>IFERROR(IF(INDIRECT("'"&amp;$O490&amp;"'!P"&amp;$N490)=0,"",INDIRECT("'"&amp;$O490&amp;"'!P"&amp;$N490)),"")</f>
        <v/>
      </c>
      <c r="J490" s="61" t="inlineStr">
        <is>
          <t>에이밍 젠더 (가공품)</t>
        </is>
      </c>
      <c r="K490" s="65" t="inlineStr">
        <is>
          <t>COCOON 에이밍 체결 젠더</t>
        </is>
      </c>
      <c r="L490" s="83">
        <f>HYPERLINK("#'"&amp;$O490&amp;"'!A"&amp;$N490,"→ 조립자재 R"&amp;$N490)</f>
        <v/>
      </c>
      <c r="M490" s="84" t="n"/>
      <c r="N490" s="80" t="n">
        <v>339</v>
      </c>
      <c r="O490" s="80" t="inlineStr">
        <is>
          <t>조립자재_재고현황</t>
        </is>
      </c>
    </row>
    <row r="491" ht="30" customHeight="1">
      <c r="A491" s="56" t="inlineStr">
        <is>
          <t>조립</t>
        </is>
      </c>
      <c r="B491" s="52" t="inlineStr">
        <is>
          <t>에이밍</t>
        </is>
      </c>
      <c r="C491" s="52" t="inlineStr">
        <is>
          <t>COCOON</t>
        </is>
      </c>
      <c r="D491" s="79">
        <f>IF(INDIRECT("'"&amp;$O491&amp;"'!F"&amp;$N491)="O","원자재",IF(INDIRECT("'"&amp;$O491&amp;"'!G"&amp;$N491)="O","반제품",IF(INDIRECT("'"&amp;$O491&amp;"'!H"&amp;$N491)="O","완제품","")))</f>
        <v/>
      </c>
      <c r="E491" s="79">
        <f>IFERROR(IF(INDIRECT("'"&amp;$O491&amp;"'!I"&amp;$N491)=0,"",INDIRECT("'"&amp;$O491&amp;"'!I"&amp;$N491)),"")</f>
        <v/>
      </c>
      <c r="F491" s="52" t="inlineStr">
        <is>
          <t>POWER SWITCH BD (에이밍용 V3.0.0)</t>
        </is>
      </c>
      <c r="G491" s="52" t="inlineStr">
        <is>
          <t>POWER SWITCH BD (Ver 3.0.0) [COCOON]</t>
        </is>
      </c>
      <c r="H491" s="79">
        <f>IF(AND($F491="",$G491=""),"",IF($F491="","창고전용",IF($G491&lt;&gt;"","매칭완료",IF($D491="반제품","반제품(창고없음)",IF($D491="완제품","완제품(창고없음)",IF($D491="원자재","⚠ 원자재_부서보관","미분류"))))))</f>
        <v/>
      </c>
      <c r="I491" s="79">
        <f>IFERROR(IF(INDIRECT("'"&amp;$O491&amp;"'!P"&amp;$N491)=0,"",INDIRECT("'"&amp;$O491&amp;"'!P"&amp;$N491)),"")</f>
        <v/>
      </c>
      <c r="J491" s="61" t="inlineStr">
        <is>
          <t>POWER SWITCH BD (에이밍용 V3.0.0)</t>
        </is>
      </c>
      <c r="K491" s="65" t="inlineStr">
        <is>
          <t>COCOON POWER SWITCH BD (Ver 3.0.0)</t>
        </is>
      </c>
      <c r="L491" s="83">
        <f>HYPERLINK("#'"&amp;$O491&amp;"'!A"&amp;$N491,"→ 조립자재 R"&amp;$N491)</f>
        <v/>
      </c>
      <c r="M491" s="84" t="n"/>
      <c r="N491" s="80" t="n">
        <v>340</v>
      </c>
      <c r="O491" s="80" t="inlineStr">
        <is>
          <t>조립자재_재고현황</t>
        </is>
      </c>
    </row>
    <row r="492" ht="30" customHeight="1">
      <c r="A492" s="56" t="inlineStr">
        <is>
          <t>조립</t>
        </is>
      </c>
      <c r="B492" s="52" t="inlineStr">
        <is>
          <t>에이밍</t>
        </is>
      </c>
      <c r="C492" s="52" t="inlineStr">
        <is>
          <t>COCOON</t>
        </is>
      </c>
      <c r="D492" s="79">
        <f>IF(INDIRECT("'"&amp;$O492&amp;"'!F"&amp;$N492)="O","원자재",IF(INDIRECT("'"&amp;$O492&amp;"'!G"&amp;$N492)="O","반제품",IF(INDIRECT("'"&amp;$O492&amp;"'!H"&amp;$N492)="O","완제품","")))</f>
        <v/>
      </c>
      <c r="E492" s="79">
        <f>IFERROR(IF(INDIRECT("'"&amp;$O492&amp;"'!I"&amp;$N492)=0,"",INDIRECT("'"&amp;$O492&amp;"'!I"&amp;$N492)),"")</f>
        <v/>
      </c>
      <c r="F492" s="52" t="inlineStr">
        <is>
          <t>CTR+Power BD 2핀 (코쿤 에이밍라이트용 하네스 1번 ) YHM025-02R 210mm</t>
        </is>
      </c>
      <c r="G492" s="52" t="inlineStr">
        <is>
          <t>에이밍 하네스 1번 (YHM025-02R 210mm, CTR + POWER BD 2핀) [COCOON]</t>
        </is>
      </c>
      <c r="H492" s="79">
        <f>IF(AND($F492="",$G492=""),"",IF($F492="","창고전용",IF($G492&lt;&gt;"","매칭완료",IF($D492="반제품","반제품(창고없음)",IF($D492="완제품","완제품(창고없음)",IF($D492="원자재","⚠ 원자재_부서보관","미분류"))))))</f>
        <v/>
      </c>
      <c r="I492" s="79">
        <f>IFERROR(IF(INDIRECT("'"&amp;$O492&amp;"'!P"&amp;$N492)=0,"",INDIRECT("'"&amp;$O492&amp;"'!P"&amp;$N492)),"")</f>
        <v/>
      </c>
      <c r="J492" s="61" t="inlineStr">
        <is>
          <t>CTR+Power BD 2핀 (코쿤 에이밍라이트용 하네스 1번 ) YHM025-02R 210mm</t>
        </is>
      </c>
      <c r="K492" s="65" t="inlineStr">
        <is>
          <t>COCOON CTR+Power BD 2핀 (YHM025-02R) 210mm [에이밍하네스 1번]</t>
        </is>
      </c>
      <c r="L492" s="83">
        <f>HYPERLINK("#'"&amp;$O492&amp;"'!A"&amp;$N492,"→ 조립자재 R"&amp;$N492)</f>
        <v/>
      </c>
      <c r="M492" s="84" t="n"/>
      <c r="N492" s="80" t="n">
        <v>341</v>
      </c>
      <c r="O492" s="80" t="inlineStr">
        <is>
          <t>조립자재_재고현황</t>
        </is>
      </c>
    </row>
    <row r="493" ht="30" customHeight="1">
      <c r="A493" s="56" t="inlineStr">
        <is>
          <t>조립</t>
        </is>
      </c>
      <c r="B493" s="52" t="inlineStr">
        <is>
          <t>에이밍</t>
        </is>
      </c>
      <c r="C493" s="52" t="inlineStr">
        <is>
          <t>COCOON</t>
        </is>
      </c>
      <c r="D493" s="79">
        <f>IF(INDIRECT("'"&amp;$O493&amp;"'!F"&amp;$N493)="O","원자재",IF(INDIRECT("'"&amp;$O493&amp;"'!G"&amp;$N493)="O","반제품",IF(INDIRECT("'"&amp;$O493&amp;"'!H"&amp;$N493)="O","완제품","")))</f>
        <v/>
      </c>
      <c r="E493" s="79">
        <f>IFERROR(IF(INDIRECT("'"&amp;$O493&amp;"'!I"&amp;$N493)=0,"",INDIRECT("'"&amp;$O493&amp;"'!I"&amp;$N493)),"")</f>
        <v/>
      </c>
      <c r="F493" s="52" t="inlineStr">
        <is>
          <t>LED BD 2핀 (코쿤 에이밍라이트용 하네스 2번) YHM025-02R 180mm</t>
        </is>
      </c>
      <c r="G493" s="52" t="inlineStr">
        <is>
          <t>에이밍 하네스 2번 (YHM025-02R 180mm, LED BD 2핀, 19+83(사출결합)) [COCOON]</t>
        </is>
      </c>
      <c r="H493" s="79">
        <f>IF(AND($F493="",$G493=""),"",IF($F493="","창고전용",IF($G493&lt;&gt;"","매칭완료",IF($D493="반제품","반제품(창고없음)",IF($D493="완제품","완제품(창고없음)",IF($D493="원자재","⚠ 원자재_부서보관","미분류"))))))</f>
        <v/>
      </c>
      <c r="I493" s="79">
        <f>IFERROR(IF(INDIRECT("'"&amp;$O493&amp;"'!P"&amp;$N493)=0,"",INDIRECT("'"&amp;$O493&amp;"'!P"&amp;$N493)),"")</f>
        <v/>
      </c>
      <c r="J493" s="61" t="inlineStr">
        <is>
          <t>LED BD 2핀 (코쿤 에이밍라이트용 하네스 2번) YHM025-02R 180mm</t>
        </is>
      </c>
      <c r="K493" s="65" t="inlineStr">
        <is>
          <t>COCOON LED BD 2핀 (YMH025-02R) 180mm [에이밍하네스 2번]</t>
        </is>
      </c>
      <c r="L493" s="83">
        <f>HYPERLINK("#'"&amp;$O493&amp;"'!A"&amp;$N493,"→ 조립자재 R"&amp;$N493)</f>
        <v/>
      </c>
      <c r="M493" s="84" t="n"/>
      <c r="N493" s="80" t="n">
        <v>342</v>
      </c>
      <c r="O493" s="80" t="inlineStr">
        <is>
          <t>조립자재_재고현황</t>
        </is>
      </c>
    </row>
    <row r="494" ht="30" customHeight="1">
      <c r="A494" s="56" t="inlineStr">
        <is>
          <t>조립</t>
        </is>
      </c>
      <c r="B494" s="52" t="inlineStr">
        <is>
          <t>에이밍</t>
        </is>
      </c>
      <c r="C494" s="52" t="inlineStr">
        <is>
          <t>COCOON</t>
        </is>
      </c>
      <c r="D494" s="79">
        <f>IF(INDIRECT("'"&amp;$O494&amp;"'!F"&amp;$N494)="O","원자재",IF(INDIRECT("'"&amp;$O494&amp;"'!G"&amp;$N494)="O","반제품",IF(INDIRECT("'"&amp;$O494&amp;"'!H"&amp;$N494)="O","완제품","")))</f>
        <v/>
      </c>
      <c r="E494" s="79">
        <f>IFERROR(IF(INDIRECT("'"&amp;$O494&amp;"'!I"&amp;$N494)=0,"",INDIRECT("'"&amp;$O494&amp;"'!I"&amp;$N494)),"")</f>
        <v/>
      </c>
      <c r="F494" s="52" t="inlineStr">
        <is>
          <t>락커스위치 2핀 ( YHM025-02R 100mm - Black 하네스 3번)</t>
        </is>
      </c>
      <c r="G494" s="52" t="n"/>
      <c r="H494" s="79">
        <f>IF(AND($F494="",$G494=""),"",IF($F494="","창고전용",IF($G494&lt;&gt;"","매칭완료",IF($D494="반제품","반제품(창고없음)",IF($D494="완제품","완제품(창고없음)",IF($D494="원자재","⚠ 원자재_부서보관","미분류"))))))</f>
        <v/>
      </c>
      <c r="I494" s="79">
        <f>IFERROR(IF(INDIRECT("'"&amp;$O494&amp;"'!P"&amp;$N494)=0,"",INDIRECT("'"&amp;$O494&amp;"'!P"&amp;$N494)),"")</f>
        <v/>
      </c>
      <c r="J494" s="61" t="inlineStr">
        <is>
          <t>락커스위치 2핀 ( YHM025-02R 100mm - Black 하네스 3번)</t>
        </is>
      </c>
      <c r="K494" s="65" t="inlineStr">
        <is>
          <t>COCOON 원형 락커스위치 2핀 (B) (YHM025-02R) 100mm [에이밍하네스 3번]</t>
        </is>
      </c>
      <c r="L494" s="83">
        <f>HYPERLINK("#'"&amp;$O494&amp;"'!A"&amp;$N494,"→ 조립자재 R"&amp;$N494)</f>
        <v/>
      </c>
      <c r="M494" s="84" t="n"/>
      <c r="N494" s="80" t="n">
        <v>343</v>
      </c>
      <c r="O494" s="80" t="inlineStr">
        <is>
          <t>조립자재_재고현황</t>
        </is>
      </c>
    </row>
    <row r="495" ht="30" customHeight="1">
      <c r="A495" s="56" t="inlineStr">
        <is>
          <t>조립</t>
        </is>
      </c>
      <c r="B495" s="52" t="inlineStr">
        <is>
          <t>에이밍</t>
        </is>
      </c>
      <c r="C495" s="52" t="inlineStr">
        <is>
          <t>COCOON</t>
        </is>
      </c>
      <c r="D495" s="79">
        <f>IF(INDIRECT("'"&amp;$O495&amp;"'!F"&amp;$N495)="O","원자재",IF(INDIRECT("'"&amp;$O495&amp;"'!G"&amp;$N495)="O","반제품",IF(INDIRECT("'"&amp;$O495&amp;"'!H"&amp;$N495)="O","완제품","")))</f>
        <v/>
      </c>
      <c r="E495" s="79">
        <f>IFERROR(IF(INDIRECT("'"&amp;$O495&amp;"'!I"&amp;$N495)=0,"",INDIRECT("'"&amp;$O495&amp;"'!I"&amp;$N495)),"")</f>
        <v/>
      </c>
      <c r="F495" s="52" t="inlineStr">
        <is>
          <t>COCOON 18cm Cone Ass'y (검정 부직포)</t>
        </is>
      </c>
      <c r="G495" s="52" t="n"/>
      <c r="H495" s="79">
        <f>IF(AND($F495="",$G495=""),"",IF($F495="","창고전용",IF($G495&lt;&gt;"","매칭완료",IF($D495="반제품","반제품(창고없음)",IF($D495="완제품","완제품(창고없음)",IF($D495="원자재","⚠ 원자재_부서보관","미분류"))))))</f>
        <v/>
      </c>
      <c r="I495" s="79">
        <f>IFERROR(IF(INDIRECT("'"&amp;$O495&amp;"'!P"&amp;$N495)=0,"",INDIRECT("'"&amp;$O495&amp;"'!P"&amp;$N495)),"")</f>
        <v/>
      </c>
      <c r="J495" s="65" t="inlineStr">
        <is>
          <t>COCOON 18cm Cone Ass'y (검정 부직포)</t>
        </is>
      </c>
      <c r="K495" s="65" t="inlineStr">
        <is>
          <t>COCOON 18cm Cone Ass'y (검정 부직포)</t>
        </is>
      </c>
      <c r="L495" s="83">
        <f>HYPERLINK("#'"&amp;$O495&amp;"'!A"&amp;$N495,"→ 조립자재 R"&amp;$N495)</f>
        <v/>
      </c>
      <c r="M495" s="84" t="n"/>
      <c r="N495" s="80" t="n">
        <v>344</v>
      </c>
      <c r="O495" s="80" t="inlineStr">
        <is>
          <t>조립자재_재고현황</t>
        </is>
      </c>
    </row>
    <row r="496" ht="30" customHeight="1">
      <c r="A496" s="56" t="inlineStr">
        <is>
          <t>조립</t>
        </is>
      </c>
      <c r="B496" s="52" t="inlineStr">
        <is>
          <t>에이밍</t>
        </is>
      </c>
      <c r="C496" s="52" t="inlineStr">
        <is>
          <t>COCOON</t>
        </is>
      </c>
      <c r="D496" s="79">
        <f>IF(INDIRECT("'"&amp;$O496&amp;"'!F"&amp;$N496)="O","원자재",IF(INDIRECT("'"&amp;$O496&amp;"'!G"&amp;$N496)="O","반제품",IF(INDIRECT("'"&amp;$O496&amp;"'!H"&amp;$N496)="O","완제품","")))</f>
        <v/>
      </c>
      <c r="E496" s="79">
        <f>IFERROR(IF(INDIRECT("'"&amp;$O496&amp;"'!I"&amp;$N496)=0,"",INDIRECT("'"&amp;$O496&amp;"'!I"&amp;$N496)),"")</f>
        <v/>
      </c>
      <c r="F496" s="52" t="inlineStr">
        <is>
          <t>COCOON 20cm Cone Ass'y (검정 부직포)</t>
        </is>
      </c>
      <c r="G496" s="52" t="n"/>
      <c r="H496" s="79">
        <f>IF(AND($F496="",$G496=""),"",IF($F496="","창고전용",IF($G496&lt;&gt;"","매칭완료",IF($D496="반제품","반제품(창고없음)",IF($D496="완제품","완제품(창고없음)",IF($D496="원자재","⚠ 원자재_부서보관","미분류"))))))</f>
        <v/>
      </c>
      <c r="I496" s="79">
        <f>IFERROR(IF(INDIRECT("'"&amp;$O496&amp;"'!P"&amp;$N496)=0,"",INDIRECT("'"&amp;$O496&amp;"'!P"&amp;$N496)),"")</f>
        <v/>
      </c>
      <c r="J496" s="61" t="inlineStr">
        <is>
          <t>COCOON 20cm Cone Ass'y (검정 부직포)</t>
        </is>
      </c>
      <c r="K496" s="65" t="inlineStr">
        <is>
          <t>COCOON 20cm Cone Ass'y (검정 부직포)</t>
        </is>
      </c>
      <c r="L496" s="83">
        <f>HYPERLINK("#'"&amp;$O496&amp;"'!A"&amp;$N496,"→ 조립자재 R"&amp;$N496)</f>
        <v/>
      </c>
      <c r="M496" s="84" t="n"/>
      <c r="N496" s="80" t="n">
        <v>345</v>
      </c>
      <c r="O496" s="80" t="inlineStr">
        <is>
          <t>조립자재_재고현황</t>
        </is>
      </c>
    </row>
    <row r="497" ht="30" customHeight="1">
      <c r="A497" s="56" t="inlineStr">
        <is>
          <t>조립</t>
        </is>
      </c>
      <c r="B497" s="52" t="inlineStr">
        <is>
          <t>에이밍</t>
        </is>
      </c>
      <c r="C497" s="52" t="inlineStr">
        <is>
          <t>COCOON White</t>
        </is>
      </c>
      <c r="D497" s="79">
        <f>IF(INDIRECT("'"&amp;$O497&amp;"'!F"&amp;$N497)="O","원자재",IF(INDIRECT("'"&amp;$O497&amp;"'!G"&amp;$N497)="O","반제품",IF(INDIRECT("'"&amp;$O497&amp;"'!H"&amp;$N497)="O","완제품","")))</f>
        <v/>
      </c>
      <c r="E497" s="79">
        <f>IFERROR(IF(INDIRECT("'"&amp;$O497&amp;"'!I"&amp;$N497)=0,"",INDIRECT("'"&amp;$O497&amp;"'!I"&amp;$N497)),"")</f>
        <v/>
      </c>
      <c r="F497" s="52" t="inlineStr">
        <is>
          <t>락커스위치 2핀 ( YHM025-02R 100mm - White 하네스 3번)</t>
        </is>
      </c>
      <c r="G497" s="52" t="n"/>
      <c r="H497" s="79">
        <f>IF(AND($F497="",$G497=""),"",IF($F497="","창고전용",IF($G497&lt;&gt;"","매칭완료",IF($D497="반제품","반제품(창고없음)",IF($D497="완제품","완제품(창고없음)",IF($D497="원자재","⚠ 원자재_부서보관","미분류"))))))</f>
        <v/>
      </c>
      <c r="I497" s="79">
        <f>IFERROR(IF(INDIRECT("'"&amp;$O497&amp;"'!P"&amp;$N497)=0,"",INDIRECT("'"&amp;$O497&amp;"'!P"&amp;$N497)),"")</f>
        <v/>
      </c>
      <c r="J497" s="61" t="inlineStr">
        <is>
          <t>락커스위치 2핀 ( YHM025-02R 100mm - White 하네스 3번)</t>
        </is>
      </c>
      <c r="K497" s="65" t="inlineStr">
        <is>
          <t>COCOON 원형 락커스위치 2핀 (W) (YHM025-02R) 100mm [에이밍하네스 3번]</t>
        </is>
      </c>
      <c r="L497" s="83">
        <f>HYPERLINK("#'"&amp;$O497&amp;"'!A"&amp;$N497,"→ 조립자재 R"&amp;$N497)</f>
        <v/>
      </c>
      <c r="M497" s="84" t="n"/>
      <c r="N497" s="80" t="n">
        <v>346</v>
      </c>
      <c r="O497" s="80" t="inlineStr">
        <is>
          <t>조립자재_재고현황</t>
        </is>
      </c>
    </row>
    <row r="498" ht="30" customHeight="1">
      <c r="A498" s="56" t="inlineStr">
        <is>
          <t>조립</t>
        </is>
      </c>
      <c r="B498" s="52" t="inlineStr">
        <is>
          <t>에이밍</t>
        </is>
      </c>
      <c r="C498" s="52" t="inlineStr">
        <is>
          <t>COCOON 블랙 무광</t>
        </is>
      </c>
      <c r="D498" s="79">
        <f>IF(INDIRECT("'"&amp;$O498&amp;"'!F"&amp;$N498)="O","원자재",IF(INDIRECT("'"&amp;$O498&amp;"'!G"&amp;$N498)="O","반제품",IF(INDIRECT("'"&amp;$O498&amp;"'!H"&amp;$N498)="O","완제품","")))</f>
        <v/>
      </c>
      <c r="E498" s="79">
        <f>IFERROR(IF(INDIRECT("'"&amp;$O498&amp;"'!I"&amp;$N498)=0,"",INDIRECT("'"&amp;$O498&amp;"'!I"&amp;$N498)),"")</f>
        <v/>
      </c>
      <c r="F498" s="52" t="inlineStr">
        <is>
          <t>BAT BOTTOM</t>
        </is>
      </c>
      <c r="G498" s="52" t="inlineStr">
        <is>
          <t>BAT BOTTOM (ABS 난연 블랙 + 블랙 무광) [COCOON]</t>
        </is>
      </c>
      <c r="H498" s="79">
        <f>IF(AND($F498="",$G498=""),"",IF($F498="","창고전용",IF($G498&lt;&gt;"","매칭완료",IF($D498="반제품","반제품(창고없음)",IF($D498="완제품","완제품(창고없음)",IF($D498="원자재","⚠ 원자재_부서보관","미분류"))))))</f>
        <v/>
      </c>
      <c r="I498" s="79">
        <f>IFERROR(IF(INDIRECT("'"&amp;$O498&amp;"'!P"&amp;$N498)=0,"",INDIRECT("'"&amp;$O498&amp;"'!P"&amp;$N498)),"")</f>
        <v/>
      </c>
      <c r="J498" s="61" t="inlineStr">
        <is>
          <t>BAT BOTTOM</t>
        </is>
      </c>
      <c r="K498" s="65" t="inlineStr">
        <is>
          <t>COCOON BAT BOTTOM (B 무광)</t>
        </is>
      </c>
      <c r="L498" s="83">
        <f>HYPERLINK("#'"&amp;$O498&amp;"'!A"&amp;$N498,"→ 조립자재 R"&amp;$N498)</f>
        <v/>
      </c>
      <c r="M498" s="84" t="n"/>
      <c r="N498" s="80" t="n">
        <v>347</v>
      </c>
      <c r="O498" s="80" t="inlineStr">
        <is>
          <t>조립자재_재고현황</t>
        </is>
      </c>
    </row>
    <row r="499" ht="30" customHeight="1">
      <c r="A499" s="56" t="inlineStr">
        <is>
          <t>조립</t>
        </is>
      </c>
      <c r="B499" s="52" t="inlineStr">
        <is>
          <t>에이밍</t>
        </is>
      </c>
      <c r="C499" s="52" t="inlineStr">
        <is>
          <t>COCOON 블랙 무광</t>
        </is>
      </c>
      <c r="D499" s="79">
        <f>IF(INDIRECT("'"&amp;$O499&amp;"'!F"&amp;$N499)="O","원자재",IF(INDIRECT("'"&amp;$O499&amp;"'!G"&amp;$N499)="O","반제품",IF(INDIRECT("'"&amp;$O499&amp;"'!H"&amp;$N499)="O","완제품","")))</f>
        <v/>
      </c>
      <c r="E499" s="79">
        <f>IFERROR(IF(INDIRECT("'"&amp;$O499&amp;"'!I"&amp;$N499)=0,"",INDIRECT("'"&amp;$O499&amp;"'!I"&amp;$N499)),"")</f>
        <v/>
      </c>
      <c r="F499" s="52" t="inlineStr">
        <is>
          <t>FRONT_L</t>
        </is>
      </c>
      <c r="G499" s="52" t="inlineStr">
        <is>
          <t>FRONT_L (20cm) (ABS 난연 블랙 + 블랙 무광) [COCOON]</t>
        </is>
      </c>
      <c r="H499" s="79">
        <f>IF(AND($F499="",$G499=""),"",IF($F499="","창고전용",IF($G499&lt;&gt;"","매칭완료",IF($D499="반제품","반제품(창고없음)",IF($D499="완제품","완제품(창고없음)",IF($D499="원자재","⚠ 원자재_부서보관","미분류"))))))</f>
        <v/>
      </c>
      <c r="I499" s="79">
        <f>IFERROR(IF(INDIRECT("'"&amp;$O499&amp;"'!P"&amp;$N499)=0,"",INDIRECT("'"&amp;$O499&amp;"'!P"&amp;$N499)),"")</f>
        <v/>
      </c>
      <c r="J499" s="61" t="inlineStr">
        <is>
          <t>FRONT_L</t>
        </is>
      </c>
      <c r="K499" s="65" t="inlineStr">
        <is>
          <t>COCOON 20cm FRONT_L (B 무광)</t>
        </is>
      </c>
      <c r="L499" s="83">
        <f>HYPERLINK("#'"&amp;$O499&amp;"'!A"&amp;$N499,"→ 조립자재 R"&amp;$N499)</f>
        <v/>
      </c>
      <c r="M499" s="84" t="n"/>
      <c r="N499" s="80" t="n">
        <v>348</v>
      </c>
      <c r="O499" s="80" t="inlineStr">
        <is>
          <t>조립자재_재고현황</t>
        </is>
      </c>
    </row>
    <row r="500" ht="30" customHeight="1">
      <c r="A500" s="56" t="inlineStr">
        <is>
          <t>조립</t>
        </is>
      </c>
      <c r="B500" s="52" t="inlineStr">
        <is>
          <t>에이밍</t>
        </is>
      </c>
      <c r="C500" s="52" t="inlineStr">
        <is>
          <t>COCOON 블랙 무광</t>
        </is>
      </c>
      <c r="D500" s="79">
        <f>IF(INDIRECT("'"&amp;$O500&amp;"'!F"&amp;$N500)="O","원자재",IF(INDIRECT("'"&amp;$O500&amp;"'!G"&amp;$N500)="O","반제품",IF(INDIRECT("'"&amp;$O500&amp;"'!H"&amp;$N500)="O","완제품","")))</f>
        <v/>
      </c>
      <c r="E500" s="79">
        <f>IFERROR(IF(INDIRECT("'"&amp;$O500&amp;"'!I"&amp;$N500)=0,"",INDIRECT("'"&amp;$O500&amp;"'!I"&amp;$N500)),"")</f>
        <v/>
      </c>
      <c r="F500" s="52" t="inlineStr">
        <is>
          <t>FRONT_CAP</t>
        </is>
      </c>
      <c r="G500" s="52" t="inlineStr">
        <is>
          <t>FRONT_CAP (ABS 난연 블랙 + 블랙 무광) [COCOON]</t>
        </is>
      </c>
      <c r="H500" s="79">
        <f>IF(AND($F500="",$G500=""),"",IF($F500="","창고전용",IF($G500&lt;&gt;"","매칭완료",IF($D500="반제품","반제품(창고없음)",IF($D500="완제품","완제품(창고없음)",IF($D500="원자재","⚠ 원자재_부서보관","미분류"))))))</f>
        <v/>
      </c>
      <c r="I500" s="79">
        <f>IFERROR(IF(INDIRECT("'"&amp;$O500&amp;"'!P"&amp;$N500)=0,"",INDIRECT("'"&amp;$O500&amp;"'!P"&amp;$N500)),"")</f>
        <v/>
      </c>
      <c r="J500" s="61" t="inlineStr">
        <is>
          <t>FRONT_CAP</t>
        </is>
      </c>
      <c r="K500" s="65" t="inlineStr">
        <is>
          <t>COCOON FRONT CAP (B 무광)</t>
        </is>
      </c>
      <c r="L500" s="83">
        <f>HYPERLINK("#'"&amp;$O500&amp;"'!A"&amp;$N500,"→ 조립자재 R"&amp;$N500)</f>
        <v/>
      </c>
      <c r="M500" s="84" t="n"/>
      <c r="N500" s="80" t="n">
        <v>349</v>
      </c>
      <c r="O500" s="80" t="inlineStr">
        <is>
          <t>조립자재_재고현황</t>
        </is>
      </c>
    </row>
    <row r="501" ht="30" customHeight="1">
      <c r="A501" s="56" t="inlineStr">
        <is>
          <t>조립</t>
        </is>
      </c>
      <c r="B501" s="52" t="inlineStr">
        <is>
          <t>에이밍</t>
        </is>
      </c>
      <c r="C501" s="52" t="inlineStr">
        <is>
          <t>COCOON 블랙 무광</t>
        </is>
      </c>
      <c r="D501" s="79">
        <f>IF(INDIRECT("'"&amp;$O501&amp;"'!F"&amp;$N501)="O","원자재",IF(INDIRECT("'"&amp;$O501&amp;"'!G"&amp;$N501)="O","반제품",IF(INDIRECT("'"&amp;$O501&amp;"'!H"&amp;$N501)="O","완제품","")))</f>
        <v/>
      </c>
      <c r="E501" s="79">
        <f>IFERROR(IF(INDIRECT("'"&amp;$O501&amp;"'!I"&amp;$N501)=0,"",INDIRECT("'"&amp;$O501&amp;"'!I"&amp;$N501)),"")</f>
        <v/>
      </c>
      <c r="F501" s="52" t="inlineStr">
        <is>
          <t>사각 앞사출</t>
        </is>
      </c>
      <c r="G501" s="52" t="inlineStr">
        <is>
          <t>에이밍 앞 사출 (블랙 무광) [COCOON]</t>
        </is>
      </c>
      <c r="H501" s="79">
        <f>IF(AND($F501="",$G501=""),"",IF($F501="","창고전용",IF($G501&lt;&gt;"","매칭완료",IF($D501="반제품","반제품(창고없음)",IF($D501="완제품","완제품(창고없음)",IF($D501="원자재","⚠ 원자재_부서보관","미분류"))))))</f>
        <v/>
      </c>
      <c r="I501" s="79">
        <f>IFERROR(IF(INDIRECT("'"&amp;$O501&amp;"'!P"&amp;$N501)=0,"",INDIRECT("'"&amp;$O501&amp;"'!P"&amp;$N501)),"")</f>
        <v/>
      </c>
      <c r="J501" s="61" t="inlineStr">
        <is>
          <t>사각 앞사출</t>
        </is>
      </c>
      <c r="K501" s="65" t="inlineStr">
        <is>
          <t>COCOON 에이밍 사각 앞 사출 (B 무광)</t>
        </is>
      </c>
      <c r="L501" s="83">
        <f>HYPERLINK("#'"&amp;$O501&amp;"'!A"&amp;$N501,"→ 조립자재 R"&amp;$N501)</f>
        <v/>
      </c>
      <c r="M501" s="84" t="n"/>
      <c r="N501" s="80" t="n">
        <v>350</v>
      </c>
      <c r="O501" s="80" t="inlineStr">
        <is>
          <t>조립자재_재고현황</t>
        </is>
      </c>
    </row>
    <row r="502" ht="30" customHeight="1">
      <c r="A502" s="56" t="inlineStr">
        <is>
          <t>조립</t>
        </is>
      </c>
      <c r="B502" s="52" t="inlineStr">
        <is>
          <t>에이밍</t>
        </is>
      </c>
      <c r="C502" s="52" t="inlineStr">
        <is>
          <t>COCOON 블랙 유광</t>
        </is>
      </c>
      <c r="D502" s="79">
        <f>IF(INDIRECT("'"&amp;$O502&amp;"'!F"&amp;$N502)="O","원자재",IF(INDIRECT("'"&amp;$O502&amp;"'!G"&amp;$N502)="O","반제품",IF(INDIRECT("'"&amp;$O502&amp;"'!H"&amp;$N502)="O","완제품","")))</f>
        <v/>
      </c>
      <c r="E502" s="79">
        <f>IFERROR(IF(INDIRECT("'"&amp;$O502&amp;"'!I"&amp;$N502)=0,"",INDIRECT("'"&amp;$O502&amp;"'!I"&amp;$N502)),"")</f>
        <v/>
      </c>
      <c r="F502" s="52" t="inlineStr">
        <is>
          <t>사각 앞사출 ASS'Y (앞사출+십자아크릴+납)</t>
        </is>
      </c>
      <c r="G502" s="52" t="n"/>
      <c r="H502" s="79">
        <f>IF(AND($F502="",$G502=""),"",IF($F502="","창고전용",IF($G502&lt;&gt;"","매칭완료",IF($D502="반제품","반제품(창고없음)",IF($D502="완제품","완제품(창고없음)",IF($D502="원자재","⚠ 원자재_부서보관","미분류"))))))</f>
        <v/>
      </c>
      <c r="I502" s="79">
        <f>IFERROR(IF(INDIRECT("'"&amp;$O502&amp;"'!P"&amp;$N502)=0,"",INDIRECT("'"&amp;$O502&amp;"'!P"&amp;$N502)),"")</f>
        <v/>
      </c>
      <c r="J502" s="61" t="inlineStr">
        <is>
          <t>사각 앞사출 ASS'Y (앞사출+십자아크릴+납)</t>
        </is>
      </c>
      <c r="K502" s="65" t="inlineStr">
        <is>
          <t>COCOON 에이밍 사각 앞 사출 ASS'Y (B 유광)</t>
        </is>
      </c>
      <c r="L502" s="83">
        <f>HYPERLINK("#'"&amp;$O502&amp;"'!A"&amp;$N502,"→ 조립자재 R"&amp;$N502)</f>
        <v/>
      </c>
      <c r="M502" s="84" t="n"/>
      <c r="N502" s="80" t="n">
        <v>351</v>
      </c>
      <c r="O502" s="80" t="inlineStr">
        <is>
          <t>조립자재_재고현황</t>
        </is>
      </c>
    </row>
    <row r="503" ht="30" customHeight="1">
      <c r="A503" s="56" t="inlineStr">
        <is>
          <t>조립</t>
        </is>
      </c>
      <c r="B503" s="52" t="inlineStr">
        <is>
          <t>에이밍</t>
        </is>
      </c>
      <c r="C503" s="52" t="inlineStr">
        <is>
          <t>COCOON 블랙 무광</t>
        </is>
      </c>
      <c r="D503" s="79">
        <f>IF(INDIRECT("'"&amp;$O503&amp;"'!F"&amp;$N503)="O","원자재",IF(INDIRECT("'"&amp;$O503&amp;"'!G"&amp;$N503)="O","반제품",IF(INDIRECT("'"&amp;$O503&amp;"'!H"&amp;$N503)="O","완제품","")))</f>
        <v/>
      </c>
      <c r="E503" s="79">
        <f>IFERROR(IF(INDIRECT("'"&amp;$O503&amp;"'!I"&amp;$N503)=0,"",INDIRECT("'"&amp;$O503&amp;"'!I"&amp;$N503)),"")</f>
        <v/>
      </c>
      <c r="F503" s="52" t="inlineStr">
        <is>
          <t>사각 앞사출 ASS'Y (앞사출+십자아크릴+납)</t>
        </is>
      </c>
      <c r="G503" s="52" t="n"/>
      <c r="H503" s="79">
        <f>IF(AND($F503="",$G503=""),"",IF($F503="","창고전용",IF($G503&lt;&gt;"","매칭완료",IF($D503="반제품","반제품(창고없음)",IF($D503="완제품","완제품(창고없음)",IF($D503="원자재","⚠ 원자재_부서보관","미분류"))))))</f>
        <v/>
      </c>
      <c r="I503" s="79">
        <f>IFERROR(IF(INDIRECT("'"&amp;$O503&amp;"'!P"&amp;$N503)=0,"",INDIRECT("'"&amp;$O503&amp;"'!P"&amp;$N503)),"")</f>
        <v/>
      </c>
      <c r="J503" s="61" t="inlineStr">
        <is>
          <t>사각 앞사출 ASS'Y (앞사출+십자아크릴+납)</t>
        </is>
      </c>
      <c r="K503" s="103" t="inlineStr">
        <is>
          <t>COCOON, SOLO 에이밍 사각 앞 사출 ASS'Y (B 무광)</t>
        </is>
      </c>
      <c r="L503" s="83">
        <f>HYPERLINK("#'"&amp;$O503&amp;"'!A"&amp;$N503,"→ 조립자재 R"&amp;$N503)</f>
        <v/>
      </c>
      <c r="M503" s="84" t="n"/>
      <c r="N503" s="80" t="n">
        <v>352</v>
      </c>
      <c r="O503" s="80" t="inlineStr">
        <is>
          <t>조립자재_재고현황</t>
        </is>
      </c>
    </row>
    <row r="504" ht="30" customHeight="1">
      <c r="A504" s="56" t="inlineStr">
        <is>
          <t>조립</t>
        </is>
      </c>
      <c r="B504" s="52" t="inlineStr">
        <is>
          <t>화이트 사출 아세이</t>
        </is>
      </c>
      <c r="C504" s="52" t="inlineStr">
        <is>
          <t>COCOON 화이트 유광</t>
        </is>
      </c>
      <c r="D504" s="79">
        <f>IF(INDIRECT("'"&amp;$O504&amp;"'!F"&amp;$N504)="O","원자재",IF(INDIRECT("'"&amp;$O504&amp;"'!G"&amp;$N504)="O","반제품",IF(INDIRECT("'"&amp;$O504&amp;"'!H"&amp;$N504)="O","완제품","")))</f>
        <v/>
      </c>
      <c r="E504" s="79">
        <f>IFERROR(IF(INDIRECT("'"&amp;$O504&amp;"'!I"&amp;$N504)=0,"",INDIRECT("'"&amp;$O504&amp;"'!I"&amp;$N504)),"")</f>
        <v/>
      </c>
      <c r="F504" s="52" t="inlineStr">
        <is>
          <t>TOP BODY ASS'Y (에이밍)</t>
        </is>
      </c>
      <c r="G504" s="52" t="n"/>
      <c r="H504" s="79">
        <f>IF(AND($F504="",$G504=""),"",IF($F504="","창고전용",IF($G504&lt;&gt;"","매칭완료",IF($D504="반제품","반제품(창고없음)",IF($D504="완제품","완제품(창고없음)",IF($D504="원자재","⚠ 원자재_부서보관","미분류"))))))</f>
        <v/>
      </c>
      <c r="I504" s="79">
        <f>IFERROR(IF(INDIRECT("'"&amp;$O504&amp;"'!P"&amp;$N504)=0,"",INDIRECT("'"&amp;$O504&amp;"'!P"&amp;$N504)),"")</f>
        <v/>
      </c>
      <c r="J504" s="61" t="inlineStr">
        <is>
          <t>TOP BODY ASS'Y (에이밍)</t>
        </is>
      </c>
      <c r="K504" s="103" t="inlineStr">
        <is>
          <t>COCOON TOP BODY ASS'Y (W) [스위치 에이밍]</t>
        </is>
      </c>
      <c r="L504" s="83">
        <f>HYPERLINK("#'"&amp;$O504&amp;"'!A"&amp;$N504,"→ 조립자재 R"&amp;$N504)</f>
        <v/>
      </c>
      <c r="M504" s="84" t="n"/>
      <c r="N504" s="80" t="n">
        <v>353</v>
      </c>
      <c r="O504" s="80" t="inlineStr">
        <is>
          <t>조립자재_재고현황</t>
        </is>
      </c>
    </row>
    <row r="505" ht="30" customHeight="1">
      <c r="A505" s="56" t="inlineStr">
        <is>
          <t>조립</t>
        </is>
      </c>
      <c r="B505" s="52" t="inlineStr">
        <is>
          <t>화이트 사출 아세이</t>
        </is>
      </c>
      <c r="C505" s="52" t="inlineStr">
        <is>
          <t>COCOON 블랙 무광</t>
        </is>
      </c>
      <c r="D505" s="79">
        <f>IF(INDIRECT("'"&amp;$O505&amp;"'!F"&amp;$N505)="O","원자재",IF(INDIRECT("'"&amp;$O505&amp;"'!G"&amp;$N505)="O","반제품",IF(INDIRECT("'"&amp;$O505&amp;"'!H"&amp;$N505)="O","완제품","")))</f>
        <v/>
      </c>
      <c r="E505" s="79">
        <f>IFERROR(IF(INDIRECT("'"&amp;$O505&amp;"'!I"&amp;$N505)=0,"",INDIRECT("'"&amp;$O505&amp;"'!I"&amp;$N505)),"")</f>
        <v/>
      </c>
      <c r="F505" s="52" t="inlineStr">
        <is>
          <t>BOTTOM BODY ASS'Y</t>
        </is>
      </c>
      <c r="G505" s="52" t="n"/>
      <c r="H505" s="79">
        <f>IF(AND($F505="",$G505=""),"",IF($F505="","창고전용",IF($G505&lt;&gt;"","매칭완료",IF($D505="반제품","반제품(창고없음)",IF($D505="완제품","완제품(창고없음)",IF($D505="원자재","⚠ 원자재_부서보관","미분류"))))))</f>
        <v/>
      </c>
      <c r="I505" s="79">
        <f>IFERROR(IF(INDIRECT("'"&amp;$O505&amp;"'!P"&amp;$N505)=0,"",INDIRECT("'"&amp;$O505&amp;"'!P"&amp;$N505)),"")</f>
        <v/>
      </c>
      <c r="J505" s="61" t="inlineStr">
        <is>
          <t>BOTTOM BODY ASS'Y</t>
        </is>
      </c>
      <c r="K505" s="103" t="inlineStr">
        <is>
          <t>COCOON BOTTOM BODY ASS'Y (B 무광)</t>
        </is>
      </c>
      <c r="L505" s="83">
        <f>HYPERLINK("#'"&amp;$O505&amp;"'!A"&amp;$N505,"→ 조립자재 R"&amp;$N505)</f>
        <v/>
      </c>
      <c r="M505" s="84" t="n"/>
      <c r="N505" s="80" t="n">
        <v>354</v>
      </c>
      <c r="O505" s="80" t="inlineStr">
        <is>
          <t>조립자재_재고현황</t>
        </is>
      </c>
    </row>
    <row r="506" ht="30" customHeight="1">
      <c r="A506" s="56" t="inlineStr">
        <is>
          <t>조립</t>
        </is>
      </c>
      <c r="B506" s="52" t="inlineStr">
        <is>
          <t>화이트 사출 아세이</t>
        </is>
      </c>
      <c r="C506" s="52" t="inlineStr">
        <is>
          <t>COCOON 화이트 유광</t>
        </is>
      </c>
      <c r="D506" s="79">
        <f>IF(INDIRECT("'"&amp;$O506&amp;"'!F"&amp;$N506)="O","원자재",IF(INDIRECT("'"&amp;$O506&amp;"'!G"&amp;$N506)="O","반제품",IF(INDIRECT("'"&amp;$O506&amp;"'!H"&amp;$N506)="O","완제품","")))</f>
        <v/>
      </c>
      <c r="E506" s="79">
        <f>IFERROR(IF(INDIRECT("'"&amp;$O506&amp;"'!I"&amp;$N506)=0,"",INDIRECT("'"&amp;$O506&amp;"'!I"&amp;$N506)),"")</f>
        <v/>
      </c>
      <c r="F506" s="52" t="inlineStr">
        <is>
          <t>HANDLE ASS'Y (리모콘 적용 + BAT BOTTOM + 배터리 없는것)</t>
        </is>
      </c>
      <c r="G506" s="52" t="n"/>
      <c r="H506" s="79">
        <f>IF(AND($F506="",$G506=""),"",IF($F506="","창고전용",IF($G506&lt;&gt;"","매칭완료",IF($D506="반제품","반제품(창고없음)",IF($D506="완제품","완제품(창고없음)",IF($D506="원자재","⚠ 원자재_부서보관","미분류"))))))</f>
        <v/>
      </c>
      <c r="I506" s="79">
        <f>IFERROR(IF(INDIRECT("'"&amp;$O506&amp;"'!P"&amp;$N506)=0,"",INDIRECT("'"&amp;$O506&amp;"'!P"&amp;$N506)),"")</f>
        <v/>
      </c>
      <c r="J506" s="61" t="inlineStr">
        <is>
          <t>HANDLE ASS'Y (리모콘 적용 + BAT BOTTOM + 배터리 없는것)</t>
        </is>
      </c>
      <c r="K506" s="103" t="inlineStr">
        <is>
          <t>COCOON HANDLE ASS'Y (W) [리모콘 포트 적용]</t>
        </is>
      </c>
      <c r="L506" s="83">
        <f>HYPERLINK("#'"&amp;$O506&amp;"'!A"&amp;$N506,"→ 조립자재 R"&amp;$N506)</f>
        <v/>
      </c>
      <c r="M506" s="84" t="n"/>
      <c r="N506" s="80" t="n">
        <v>355</v>
      </c>
      <c r="O506" s="80" t="inlineStr">
        <is>
          <t>조립자재_재고현황</t>
        </is>
      </c>
    </row>
    <row r="507" ht="30" customHeight="1">
      <c r="A507" s="56" t="inlineStr">
        <is>
          <t>조립</t>
        </is>
      </c>
      <c r="B507" s="52" t="inlineStr">
        <is>
          <t>화이트 사출 아세이</t>
        </is>
      </c>
      <c r="C507" s="52" t="inlineStr">
        <is>
          <t>COCOON 화이트 유광</t>
        </is>
      </c>
      <c r="D507" s="79">
        <f>IF(INDIRECT("'"&amp;$O507&amp;"'!F"&amp;$N507)="O","원자재",IF(INDIRECT("'"&amp;$O507&amp;"'!G"&amp;$N507)="O","반제품",IF(INDIRECT("'"&amp;$O507&amp;"'!H"&amp;$N507)="O","완제품","")))</f>
        <v/>
      </c>
      <c r="E507" s="79">
        <f>IFERROR(IF(INDIRECT("'"&amp;$O507&amp;"'!I"&amp;$N507)=0,"",INDIRECT("'"&amp;$O507&amp;"'!I"&amp;$N507)),"")</f>
        <v/>
      </c>
      <c r="F507" s="52" t="inlineStr">
        <is>
          <t>CRADLE ASS'Y (프레임 X)</t>
        </is>
      </c>
      <c r="G507" s="52" t="n"/>
      <c r="H507" s="79">
        <f>IF(AND($F507="",$G507=""),"",IF($F507="","창고전용",IF($G507&lt;&gt;"","매칭완료",IF($D507="반제품","반제품(창고없음)",IF($D507="완제품","완제품(창고없음)",IF($D507="원자재","⚠ 원자재_부서보관","미분류"))))))</f>
        <v/>
      </c>
      <c r="I507" s="79">
        <f>IFERROR(IF(INDIRECT("'"&amp;$O507&amp;"'!P"&amp;$N507)=0,"",INDIRECT("'"&amp;$O507&amp;"'!P"&amp;$N507)),"")</f>
        <v/>
      </c>
      <c r="J507" s="61" t="inlineStr">
        <is>
          <t>CRADLE ASS'Y (프레임 X)</t>
        </is>
      </c>
      <c r="K507" s="103" t="inlineStr">
        <is>
          <t>COCOON CRADLE ASS'Y (W) [D-917]</t>
        </is>
      </c>
      <c r="L507" s="83">
        <f>HYPERLINK("#'"&amp;$O507&amp;"'!A"&amp;$N507,"→ 조립자재 R"&amp;$N507)</f>
        <v/>
      </c>
      <c r="M507" s="84" t="n"/>
      <c r="N507" s="80" t="n">
        <v>356</v>
      </c>
      <c r="O507" s="80" t="inlineStr">
        <is>
          <t>조립자재_재고현황</t>
        </is>
      </c>
    </row>
    <row r="508" ht="30" customHeight="1">
      <c r="A508" s="56" t="inlineStr">
        <is>
          <t>조립</t>
        </is>
      </c>
      <c r="B508" s="52" t="inlineStr">
        <is>
          <t>사출_ 샌딩</t>
        </is>
      </c>
      <c r="C508" s="52" t="inlineStr">
        <is>
          <t>SOLO</t>
        </is>
      </c>
      <c r="D508" s="79">
        <f>IF(INDIRECT("'"&amp;$O508&amp;"'!F"&amp;$N508)="O","원자재",IF(INDIRECT("'"&amp;$O508&amp;"'!G"&amp;$N508)="O","반제품",IF(INDIRECT("'"&amp;$O508&amp;"'!H"&amp;$N508)="O","완제품","")))</f>
        <v/>
      </c>
      <c r="E508" s="79">
        <f>IFERROR(IF(INDIRECT("'"&amp;$O508&amp;"'!I"&amp;$N508)=0,"",INDIRECT("'"&amp;$O508&amp;"'!I"&amp;$N508)),"")</f>
        <v/>
      </c>
      <c r="F508" s="52" t="inlineStr">
        <is>
          <t>Top_body _ 블랙 샌딩</t>
        </is>
      </c>
      <c r="G508" s="52" t="inlineStr">
        <is>
          <t>TOP Body (ABS 블랙 샌딩) [SOLO]</t>
        </is>
      </c>
      <c r="H508" s="79">
        <f>IF(AND($F508="",$G508=""),"",IF($F508="","창고전용",IF($G508&lt;&gt;"","매칭완료",IF($D508="반제품","반제품(창고없음)",IF($D508="완제품","완제품(창고없음)",IF($D508="원자재","⚠ 원자재_부서보관","미분류"))))))</f>
        <v/>
      </c>
      <c r="I508" s="79">
        <f>IFERROR(IF(INDIRECT("'"&amp;$O508&amp;"'!P"&amp;$N508)=0,"",INDIRECT("'"&amp;$O508&amp;"'!P"&amp;$N508)),"")</f>
        <v/>
      </c>
      <c r="J508" s="61" t="inlineStr">
        <is>
          <t>Top_body _ 블랙 샌딩</t>
        </is>
      </c>
      <c r="K508" s="103" t="inlineStr">
        <is>
          <t>SOLO TOP BODY (B 샌딩)</t>
        </is>
      </c>
      <c r="L508" s="83">
        <f>HYPERLINK("#'"&amp;$O508&amp;"'!A"&amp;$N508,"→ 조립자재 R"&amp;$N508)</f>
        <v/>
      </c>
      <c r="M508" s="84" t="n"/>
      <c r="N508" s="80" t="n">
        <v>461</v>
      </c>
      <c r="O508" s="80" t="inlineStr">
        <is>
          <t>조립자재_재고현황</t>
        </is>
      </c>
    </row>
    <row r="509" ht="30" customHeight="1">
      <c r="A509" s="56" t="inlineStr">
        <is>
          <t>조립</t>
        </is>
      </c>
      <c r="B509" s="52" t="inlineStr">
        <is>
          <t>사출_ 샌딩</t>
        </is>
      </c>
      <c r="C509" s="52" t="inlineStr">
        <is>
          <t>SOLO</t>
        </is>
      </c>
      <c r="D509" s="79">
        <f>IF(INDIRECT("'"&amp;$O509&amp;"'!F"&amp;$N509)="O","원자재",IF(INDIRECT("'"&amp;$O509&amp;"'!G"&amp;$N509)="O","반제품",IF(INDIRECT("'"&amp;$O509&amp;"'!H"&amp;$N509)="O","완제품","")))</f>
        <v/>
      </c>
      <c r="E509" s="79">
        <f>IFERROR(IF(INDIRECT("'"&amp;$O509&amp;"'!I"&amp;$N509)=0,"",INDIRECT("'"&amp;$O509&amp;"'!I"&amp;$N509)),"")</f>
        <v/>
      </c>
      <c r="F509" s="52" t="inlineStr">
        <is>
          <t>Bottom Body _ 블랙 샌딩</t>
        </is>
      </c>
      <c r="G509" s="52" t="inlineStr">
        <is>
          <t>Bottom Body (ABS 블랙 샌딩) [SOLO]</t>
        </is>
      </c>
      <c r="H509" s="79">
        <f>IF(AND($F509="",$G509=""),"",IF($F509="","창고전용",IF($G509&lt;&gt;"","매칭완료",IF($D509="반제품","반제품(창고없음)",IF($D509="완제품","완제품(창고없음)",IF($D509="원자재","⚠ 원자재_부서보관","미분류"))))))</f>
        <v/>
      </c>
      <c r="I509" s="79">
        <f>IFERROR(IF(INDIRECT("'"&amp;$O509&amp;"'!P"&amp;$N509)=0,"",INDIRECT("'"&amp;$O509&amp;"'!P"&amp;$N509)),"")</f>
        <v/>
      </c>
      <c r="J509" s="61" t="inlineStr">
        <is>
          <t>Bottom Body _ 블랙 샌딩</t>
        </is>
      </c>
      <c r="K509" s="103" t="inlineStr">
        <is>
          <t>SOLO BOTTOM BODY (B 샌딩)</t>
        </is>
      </c>
      <c r="L509" s="83">
        <f>HYPERLINK("#'"&amp;$O509&amp;"'!A"&amp;$N509,"→ 조립자재 R"&amp;$N509)</f>
        <v/>
      </c>
      <c r="M509" s="84" t="n"/>
      <c r="N509" s="80" t="n">
        <v>462</v>
      </c>
      <c r="O509" s="80" t="inlineStr">
        <is>
          <t>조립자재_재고현황</t>
        </is>
      </c>
    </row>
    <row r="510" ht="30" customHeight="1">
      <c r="A510" s="56" t="inlineStr">
        <is>
          <t>조립</t>
        </is>
      </c>
      <c r="B510" s="52" t="inlineStr">
        <is>
          <t>사출_ 샌딩</t>
        </is>
      </c>
      <c r="C510" s="52" t="inlineStr">
        <is>
          <t>SOLO</t>
        </is>
      </c>
      <c r="D510" s="79">
        <f>IF(INDIRECT("'"&amp;$O510&amp;"'!F"&amp;$N510)="O","원자재",IF(INDIRECT("'"&amp;$O510&amp;"'!G"&amp;$N510)="O","반제품",IF(INDIRECT("'"&amp;$O510&amp;"'!H"&amp;$N510)="O","완제품","")))</f>
        <v/>
      </c>
      <c r="E510" s="79">
        <f>IFERROR(IF(INDIRECT("'"&amp;$O510&amp;"'!I"&amp;$N510)=0,"",INDIRECT("'"&amp;$O510&amp;"'!I"&amp;$N510)),"")</f>
        <v/>
      </c>
      <c r="F510" s="52" t="inlineStr">
        <is>
          <t>Hand_Body _ 블랙 샌딩</t>
        </is>
      </c>
      <c r="G510" s="52" t="inlineStr">
        <is>
          <t>Hand_Body (ABS 블랙 샌딩) [SOLO]</t>
        </is>
      </c>
      <c r="H510" s="79">
        <f>IF(AND($F510="",$G510=""),"",IF($F510="","창고전용",IF($G510&lt;&gt;"","매칭완료",IF($D510="반제품","반제품(창고없음)",IF($D510="완제품","완제품(창고없음)",IF($D510="원자재","⚠ 원자재_부서보관","미분류"))))))</f>
        <v/>
      </c>
      <c r="I510" s="79">
        <f>IFERROR(IF(INDIRECT("'"&amp;$O510&amp;"'!P"&amp;$N510)=0,"",INDIRECT("'"&amp;$O510&amp;"'!P"&amp;$N510)),"")</f>
        <v/>
      </c>
      <c r="J510" s="61" t="inlineStr">
        <is>
          <t>Hand_Body _ 블랙 샌딩</t>
        </is>
      </c>
      <c r="K510" s="103" t="inlineStr">
        <is>
          <t>SOLO HAND BODY (B 샌딩)</t>
        </is>
      </c>
      <c r="L510" s="83">
        <f>HYPERLINK("#'"&amp;$O510&amp;"'!A"&amp;$N510,"→ 조립자재 R"&amp;$N510)</f>
        <v/>
      </c>
      <c r="M510" s="84" t="n"/>
      <c r="N510" s="80" t="n">
        <v>463</v>
      </c>
      <c r="O510" s="80" t="inlineStr">
        <is>
          <t>조립자재_재고현황</t>
        </is>
      </c>
    </row>
    <row r="511" ht="30" customHeight="1">
      <c r="A511" s="56" t="inlineStr">
        <is>
          <t>조립</t>
        </is>
      </c>
      <c r="B511" s="52" t="inlineStr">
        <is>
          <t>사출_ 샌딩</t>
        </is>
      </c>
      <c r="C511" s="52" t="inlineStr">
        <is>
          <t>SOLO</t>
        </is>
      </c>
      <c r="D511" s="79">
        <f>IF(INDIRECT("'"&amp;$O511&amp;"'!F"&amp;$N511)="O","원자재",IF(INDIRECT("'"&amp;$O511&amp;"'!G"&amp;$N511)="O","반제품",IF(INDIRECT("'"&amp;$O511&amp;"'!H"&amp;$N511)="O","완제품","")))</f>
        <v/>
      </c>
      <c r="E511" s="79">
        <f>IFERROR(IF(INDIRECT("'"&amp;$O511&amp;"'!I"&amp;$N511)=0,"",INDIRECT("'"&amp;$O511&amp;"'!I"&amp;$N511)),"")</f>
        <v/>
      </c>
      <c r="F511" s="52" t="inlineStr">
        <is>
          <t>Bat_Bottom _ 블랙 샌딩</t>
        </is>
      </c>
      <c r="G511" s="52" t="inlineStr">
        <is>
          <t>Bat_Bottom (ABS 블랙 샌딩) [SOLO]</t>
        </is>
      </c>
      <c r="H511" s="79">
        <f>IF(AND($F511="",$G511=""),"",IF($F511="","창고전용",IF($G511&lt;&gt;"","매칭완료",IF($D511="반제품","반제품(창고없음)",IF($D511="완제품","완제품(창고없음)",IF($D511="원자재","⚠ 원자재_부서보관","미분류"))))))</f>
        <v/>
      </c>
      <c r="I511" s="79">
        <f>IFERROR(IF(INDIRECT("'"&amp;$O511&amp;"'!P"&amp;$N511)=0,"",INDIRECT("'"&amp;$O511&amp;"'!P"&amp;$N511)),"")</f>
        <v/>
      </c>
      <c r="J511" s="61" t="inlineStr">
        <is>
          <t>Bat_Bottom _ 블랙 샌딩</t>
        </is>
      </c>
      <c r="K511" s="103" t="inlineStr">
        <is>
          <t>SOLO BAT BOTTOM (B 샌딩)</t>
        </is>
      </c>
      <c r="L511" s="83">
        <f>HYPERLINK("#'"&amp;$O511&amp;"'!A"&amp;$N511,"→ 조립자재 R"&amp;$N511)</f>
        <v/>
      </c>
      <c r="M511" s="84" t="n"/>
      <c r="N511" s="80" t="n">
        <v>464</v>
      </c>
      <c r="O511" s="80" t="inlineStr">
        <is>
          <t>조립자재_재고현황</t>
        </is>
      </c>
    </row>
    <row r="512" ht="30" customHeight="1">
      <c r="A512" s="56" t="inlineStr">
        <is>
          <t>조립</t>
        </is>
      </c>
      <c r="B512" s="52" t="inlineStr">
        <is>
          <t>사출_ 샌딩</t>
        </is>
      </c>
      <c r="C512" s="52" t="inlineStr">
        <is>
          <t>SOLO</t>
        </is>
      </c>
      <c r="D512" s="79">
        <f>IF(INDIRECT("'"&amp;$O512&amp;"'!F"&amp;$N512)="O","원자재",IF(INDIRECT("'"&amp;$O512&amp;"'!G"&amp;$N512)="O","반제품",IF(INDIRECT("'"&amp;$O512&amp;"'!H"&amp;$N512)="O","완제품","")))</f>
        <v/>
      </c>
      <c r="E512" s="79">
        <f>IFERROR(IF(INDIRECT("'"&amp;$O512&amp;"'!I"&amp;$N512)=0,"",INDIRECT("'"&amp;$O512&amp;"'!I"&amp;$N512)),"")</f>
        <v/>
      </c>
      <c r="F512" s="52" t="inlineStr">
        <is>
          <t>Bat_Bottom_Cover _ 블랙 샌딩</t>
        </is>
      </c>
      <c r="G512" s="52" t="inlineStr">
        <is>
          <t>Bat_Bottom_Cover (ABS 블랙 샌딩) [SOLO]</t>
        </is>
      </c>
      <c r="H512" s="79">
        <f>IF(AND($F512="",$G512=""),"",IF($F512="","창고전용",IF($G512&lt;&gt;"","매칭완료",IF($D512="반제품","반제품(창고없음)",IF($D512="완제품","완제품(창고없음)",IF($D512="원자재","⚠ 원자재_부서보관","미분류"))))))</f>
        <v/>
      </c>
      <c r="I512" s="79">
        <f>IFERROR(IF(INDIRECT("'"&amp;$O512&amp;"'!P"&amp;$N512)=0,"",INDIRECT("'"&amp;$O512&amp;"'!P"&amp;$N512)),"")</f>
        <v/>
      </c>
      <c r="J512" s="61" t="inlineStr">
        <is>
          <t>Bat_Bottom_Cover _ 블랙 샌딩</t>
        </is>
      </c>
      <c r="K512" s="103" t="inlineStr">
        <is>
          <t>SOLO BAT BOTTOM COVER (B 샌딩)</t>
        </is>
      </c>
      <c r="L512" s="83">
        <f>HYPERLINK("#'"&amp;$O512&amp;"'!A"&amp;$N512,"→ 조립자재 R"&amp;$N512)</f>
        <v/>
      </c>
      <c r="M512" s="84" t="n"/>
      <c r="N512" s="80" t="n">
        <v>465</v>
      </c>
      <c r="O512" s="80" t="inlineStr">
        <is>
          <t>조립자재_재고현황</t>
        </is>
      </c>
    </row>
    <row r="513" ht="30" customHeight="1">
      <c r="A513" s="56" t="inlineStr">
        <is>
          <t>조립</t>
        </is>
      </c>
      <c r="B513" s="52" t="inlineStr">
        <is>
          <t>사출_ 샌딩</t>
        </is>
      </c>
      <c r="C513" s="52" t="inlineStr">
        <is>
          <t>SOLO</t>
        </is>
      </c>
      <c r="D513" s="79">
        <f>IF(INDIRECT("'"&amp;$O513&amp;"'!F"&amp;$N513)="O","원자재",IF(INDIRECT("'"&amp;$O513&amp;"'!G"&amp;$N513)="O","반제품",IF(INDIRECT("'"&amp;$O513&amp;"'!H"&amp;$N513)="O","완제품","")))</f>
        <v/>
      </c>
      <c r="E513" s="79">
        <f>IFERROR(IF(INDIRECT("'"&amp;$O513&amp;"'!I"&amp;$N513)=0,"",INDIRECT("'"&amp;$O513&amp;"'!I"&amp;$N513)),"")</f>
        <v/>
      </c>
      <c r="F513" s="52" t="inlineStr">
        <is>
          <t>Power Button _ 블랙 샌딩</t>
        </is>
      </c>
      <c r="G513" s="52" t="inlineStr">
        <is>
          <t>Power Button (ABS 블랙 샌딩) [SOLO]</t>
        </is>
      </c>
      <c r="H513" s="79">
        <f>IF(AND($F513="",$G513=""),"",IF($F513="","창고전용",IF($G513&lt;&gt;"","매칭완료",IF($D513="반제품","반제품(창고없음)",IF($D513="완제품","완제품(창고없음)",IF($D513="원자재","⚠ 원자재_부서보관","미분류"))))))</f>
        <v/>
      </c>
      <c r="I513" s="79">
        <f>IFERROR(IF(INDIRECT("'"&amp;$O513&amp;"'!P"&amp;$N513)=0,"",INDIRECT("'"&amp;$O513&amp;"'!P"&amp;$N513)),"")</f>
        <v/>
      </c>
      <c r="J513" s="61" t="inlineStr">
        <is>
          <t>Power Button _ 블랙 샌딩</t>
        </is>
      </c>
      <c r="K513" s="103" t="inlineStr">
        <is>
          <t>SOLO POWER BUTTON (B 샌딩)</t>
        </is>
      </c>
      <c r="L513" s="83">
        <f>HYPERLINK("#'"&amp;$O513&amp;"'!A"&amp;$N513,"→ 조립자재 R"&amp;$N513)</f>
        <v/>
      </c>
      <c r="M513" s="84" t="n"/>
      <c r="N513" s="80" t="n">
        <v>466</v>
      </c>
      <c r="O513" s="80" t="inlineStr">
        <is>
          <t>조립자재_재고현황</t>
        </is>
      </c>
    </row>
    <row r="514" ht="30" customHeight="1">
      <c r="A514" s="56" t="inlineStr">
        <is>
          <t>조립</t>
        </is>
      </c>
      <c r="B514" s="52" t="inlineStr">
        <is>
          <t>사출_ 샌딩</t>
        </is>
      </c>
      <c r="C514" s="52" t="inlineStr">
        <is>
          <t>SOLO</t>
        </is>
      </c>
      <c r="D514" s="79">
        <f>IF(INDIRECT("'"&amp;$O514&amp;"'!F"&amp;$N514)="O","원자재",IF(INDIRECT("'"&amp;$O514&amp;"'!G"&amp;$N514)="O","반제품",IF(INDIRECT("'"&amp;$O514&amp;"'!H"&amp;$N514)="O","완제품","")))</f>
        <v/>
      </c>
      <c r="E514" s="79">
        <f>IFERROR(IF(INDIRECT("'"&amp;$O514&amp;"'!I"&amp;$N514)=0,"",INDIRECT("'"&amp;$O514&amp;"'!I"&amp;$N514)),"")</f>
        <v/>
      </c>
      <c r="F514" s="52" t="inlineStr">
        <is>
          <t>Lock Knob _ 블랙 샌딩</t>
        </is>
      </c>
      <c r="G514" s="52" t="inlineStr">
        <is>
          <t>Lock Knob (ABS 블랙 샌딩) [SOLO]</t>
        </is>
      </c>
      <c r="H514" s="79">
        <f>IF(AND($F514="",$G514=""),"",IF($F514="","창고전용",IF($G514&lt;&gt;"","매칭완료",IF($D514="반제품","반제품(창고없음)",IF($D514="완제품","완제품(창고없음)",IF($D514="원자재","⚠ 원자재_부서보관","미분류"))))))</f>
        <v/>
      </c>
      <c r="I514" s="79">
        <f>IFERROR(IF(INDIRECT("'"&amp;$O514&amp;"'!P"&amp;$N514)=0,"",INDIRECT("'"&amp;$O514&amp;"'!P"&amp;$N514)),"")</f>
        <v/>
      </c>
      <c r="J514" s="61" t="inlineStr">
        <is>
          <t>Lock Knob _ 블랙 샌딩</t>
        </is>
      </c>
      <c r="K514" s="103" t="inlineStr">
        <is>
          <t>SOLO LOCK KNOB (B 샌딩)</t>
        </is>
      </c>
      <c r="L514" s="83">
        <f>HYPERLINK("#'"&amp;$O514&amp;"'!A"&amp;$N514,"→ 조립자재 R"&amp;$N514)</f>
        <v/>
      </c>
      <c r="M514" s="84" t="n"/>
      <c r="N514" s="80" t="n">
        <v>467</v>
      </c>
      <c r="O514" s="80" t="inlineStr">
        <is>
          <t>조립자재_재고현황</t>
        </is>
      </c>
    </row>
    <row r="515" ht="30" customHeight="1">
      <c r="A515" s="56" t="inlineStr">
        <is>
          <t>조립</t>
        </is>
      </c>
      <c r="B515" s="52" t="inlineStr">
        <is>
          <t>사출_ 도색</t>
        </is>
      </c>
      <c r="C515" s="52" t="inlineStr">
        <is>
          <t>SOLO</t>
        </is>
      </c>
      <c r="D515" s="79">
        <f>IF(INDIRECT("'"&amp;$O515&amp;"'!F"&amp;$N515)="O","원자재",IF(INDIRECT("'"&amp;$O515&amp;"'!G"&amp;$N515)="O","반제품",IF(INDIRECT("'"&amp;$O515&amp;"'!H"&amp;$N515)="O","완제품","")))</f>
        <v/>
      </c>
      <c r="E515" s="79">
        <f>IFERROR(IF(INDIRECT("'"&amp;$O515&amp;"'!I"&amp;$N515)=0,"",INDIRECT("'"&amp;$O515&amp;"'!I"&amp;$N515)),"")</f>
        <v/>
      </c>
      <c r="F515" s="52" t="inlineStr">
        <is>
          <t>Front_CAP _ 메탈릭 다크 그레이 도색</t>
        </is>
      </c>
      <c r="G515" s="52" t="inlineStr">
        <is>
          <t>Front_CAP (ABS 메탈릭 다크그레이) [SOLO]</t>
        </is>
      </c>
      <c r="H515" s="79">
        <f>IF(AND($F515="",$G515=""),"",IF($F515="","창고전용",IF($G515&lt;&gt;"","매칭완료",IF($D515="반제품","반제품(창고없음)",IF($D515="완제품","완제품(창고없음)",IF($D515="원자재","⚠ 원자재_부서보관","미분류"))))))</f>
        <v/>
      </c>
      <c r="I515" s="79">
        <f>IFERROR(IF(INDIRECT("'"&amp;$O515&amp;"'!P"&amp;$N515)=0,"",INDIRECT("'"&amp;$O515&amp;"'!P"&amp;$N515)),"")</f>
        <v/>
      </c>
      <c r="J515" s="61" t="inlineStr">
        <is>
          <t>Front_CAP _ 메탈릭 다크 그레이 도색</t>
        </is>
      </c>
      <c r="K515" s="103" t="inlineStr">
        <is>
          <t>SOLO FRONT CAP (G)</t>
        </is>
      </c>
      <c r="L515" s="83">
        <f>HYPERLINK("#'"&amp;$O515&amp;"'!A"&amp;$N515,"→ 조립자재 R"&amp;$N515)</f>
        <v/>
      </c>
      <c r="M515" s="84" t="n"/>
      <c r="N515" s="80" t="n">
        <v>468</v>
      </c>
      <c r="O515" s="80" t="inlineStr">
        <is>
          <t>조립자재_재고현황</t>
        </is>
      </c>
    </row>
    <row r="516" ht="30" customHeight="1">
      <c r="A516" s="56" t="inlineStr">
        <is>
          <t>조립</t>
        </is>
      </c>
      <c r="B516" s="52" t="inlineStr">
        <is>
          <t>사출_ 도색</t>
        </is>
      </c>
      <c r="C516" s="52" t="inlineStr">
        <is>
          <t>SOLO</t>
        </is>
      </c>
      <c r="D516" s="79">
        <f>IF(INDIRECT("'"&amp;$O516&amp;"'!F"&amp;$N516)="O","원자재",IF(INDIRECT("'"&amp;$O516&amp;"'!G"&amp;$N516)="O","반제품",IF(INDIRECT("'"&amp;$O516&amp;"'!H"&amp;$N516)="O","완제품","")))</f>
        <v/>
      </c>
      <c r="E516" s="79">
        <f>IFERROR(IF(INDIRECT("'"&amp;$O516&amp;"'!I"&amp;$N516)=0,"",INDIRECT("'"&amp;$O516&amp;"'!I"&amp;$N516)),"")</f>
        <v/>
      </c>
      <c r="F516" s="52" t="inlineStr">
        <is>
          <t>연장 Cone _ 메탈릭 다크 그레이 도색</t>
        </is>
      </c>
      <c r="G516" s="52" t="inlineStr">
        <is>
          <t>연장 Cone (ABS 메탈릭 다크그레이) [SOLO]</t>
        </is>
      </c>
      <c r="H516" s="79">
        <f>IF(AND($F516="",$G516=""),"",IF($F516="","창고전용",IF($G516&lt;&gt;"","매칭완료",IF($D516="반제품","반제품(창고없음)",IF($D516="완제품","완제품(창고없음)",IF($D516="원자재","⚠ 원자재_부서보관","미분류"))))))</f>
        <v/>
      </c>
      <c r="I516" s="79">
        <f>IFERROR(IF(INDIRECT("'"&amp;$O516&amp;"'!P"&amp;$N516)=0,"",INDIRECT("'"&amp;$O516&amp;"'!P"&amp;$N516)),"")</f>
        <v/>
      </c>
      <c r="J516" s="61" t="inlineStr">
        <is>
          <t>연장 Cone _ 메탈릭 다크 그레이 도색</t>
        </is>
      </c>
      <c r="K516" s="103" t="inlineStr">
        <is>
          <t>SOLO 연장 CONE (G)</t>
        </is>
      </c>
      <c r="L516" s="83">
        <f>HYPERLINK("#'"&amp;$O516&amp;"'!A"&amp;$N516,"→ 조립자재 R"&amp;$N516)</f>
        <v/>
      </c>
      <c r="M516" s="84" t="n"/>
      <c r="N516" s="80" t="n">
        <v>469</v>
      </c>
      <c r="O516" s="80" t="inlineStr">
        <is>
          <t>조립자재_재고현황</t>
        </is>
      </c>
    </row>
    <row r="517" ht="30" customHeight="1">
      <c r="A517" s="56" t="inlineStr">
        <is>
          <t>조립</t>
        </is>
      </c>
      <c r="B517" s="52" t="inlineStr">
        <is>
          <t>사출_ 도색</t>
        </is>
      </c>
      <c r="C517" s="52" t="inlineStr">
        <is>
          <t>SOLO</t>
        </is>
      </c>
      <c r="D517" s="79">
        <f>IF(INDIRECT("'"&amp;$O517&amp;"'!F"&amp;$N517)="O","원자재",IF(INDIRECT("'"&amp;$O517&amp;"'!G"&amp;$N517)="O","반제품",IF(INDIRECT("'"&amp;$O517&amp;"'!H"&amp;$N517)="O","완제품","")))</f>
        <v/>
      </c>
      <c r="E517" s="79">
        <f>IFERROR(IF(INDIRECT("'"&amp;$O517&amp;"'!I"&amp;$N517)=0,"",INDIRECT("'"&amp;$O517&amp;"'!I"&amp;$N517)),"")</f>
        <v/>
      </c>
      <c r="F517" s="52" t="inlineStr">
        <is>
          <t>Main_Cone _ 메탈릭 다크 그레이 도색</t>
        </is>
      </c>
      <c r="G517" s="52" t="inlineStr">
        <is>
          <t>Main_Cone (ABS 메탈릭 다크그레이) [SOLO]</t>
        </is>
      </c>
      <c r="H517" s="79">
        <f>IF(AND($F517="",$G517=""),"",IF($F517="","창고전용",IF($G517&lt;&gt;"","매칭완료",IF($D517="반제품","반제품(창고없음)",IF($D517="완제품","완제품(창고없음)",IF($D517="원자재","⚠ 원자재_부서보관","미분류"))))))</f>
        <v/>
      </c>
      <c r="I517" s="79">
        <f>IFERROR(IF(INDIRECT("'"&amp;$O517&amp;"'!P"&amp;$N517)=0,"",INDIRECT("'"&amp;$O517&amp;"'!P"&amp;$N517)),"")</f>
        <v/>
      </c>
      <c r="J517" s="61" t="inlineStr">
        <is>
          <t>Main_Cone _ 메탈릭 다크 그레이 도색</t>
        </is>
      </c>
      <c r="K517" s="103" t="inlineStr">
        <is>
          <t>SOLO MAIN CONE (G)</t>
        </is>
      </c>
      <c r="L517" s="83">
        <f>HYPERLINK("#'"&amp;$O517&amp;"'!A"&amp;$N517,"→ 조립자재 R"&amp;$N517)</f>
        <v/>
      </c>
      <c r="M517" s="84" t="n"/>
      <c r="N517" s="80" t="n">
        <v>470</v>
      </c>
      <c r="O517" s="80" t="inlineStr">
        <is>
          <t>조립자재_재고현황</t>
        </is>
      </c>
    </row>
    <row r="518" ht="30" customHeight="1">
      <c r="A518" s="56" t="inlineStr">
        <is>
          <t>조립</t>
        </is>
      </c>
      <c r="B518" s="52" t="inlineStr">
        <is>
          <t>사출_ 도색</t>
        </is>
      </c>
      <c r="C518" s="52" t="inlineStr">
        <is>
          <t>SOLO</t>
        </is>
      </c>
      <c r="D518" s="79">
        <f>IF(INDIRECT("'"&amp;$O518&amp;"'!F"&amp;$N518)="O","원자재",IF(INDIRECT("'"&amp;$O518&amp;"'!G"&amp;$N518)="O","반제품",IF(INDIRECT("'"&amp;$O518&amp;"'!H"&amp;$N518)="O","완제품","")))</f>
        <v/>
      </c>
      <c r="E518" s="79">
        <f>IFERROR(IF(INDIRECT("'"&amp;$O518&amp;"'!I"&amp;$N518)=0,"",INDIRECT("'"&amp;$O518&amp;"'!I"&amp;$N518)),"")</f>
        <v/>
      </c>
      <c r="F518" s="52" t="inlineStr">
        <is>
          <t>45cm_Cone _ 메탈릭 다크 그레이 도색</t>
        </is>
      </c>
      <c r="G518" s="52" t="n"/>
      <c r="H518" s="79">
        <f>IF(AND($F518="",$G518=""),"",IF($F518="","창고전용",IF($G518&lt;&gt;"","매칭완료",IF($D518="반제품","반제품(창고없음)",IF($D518="완제품","완제품(창고없음)",IF($D518="원자재","⚠ 원자재_부서보관","미분류"))))))</f>
        <v/>
      </c>
      <c r="I518" s="79">
        <f>IFERROR(IF(INDIRECT("'"&amp;$O518&amp;"'!P"&amp;$N518)=0,"",INDIRECT("'"&amp;$O518&amp;"'!P"&amp;$N518)),"")</f>
        <v/>
      </c>
      <c r="J518" s="61" t="inlineStr">
        <is>
          <t>45cm_Cone _ 메탈릭 다크 그레이 도색</t>
        </is>
      </c>
      <c r="K518" s="103" t="inlineStr">
        <is>
          <t>SOLO 45cm CONE (G)</t>
        </is>
      </c>
      <c r="L518" s="83">
        <f>HYPERLINK("#'"&amp;$O518&amp;"'!A"&amp;$N518,"→ 조립자재 R"&amp;$N518)</f>
        <v/>
      </c>
      <c r="M518" s="84" t="n"/>
      <c r="N518" s="80" t="n">
        <v>471</v>
      </c>
      <c r="O518" s="80" t="inlineStr">
        <is>
          <t>조립자재_재고현황</t>
        </is>
      </c>
    </row>
    <row r="519" ht="30" customHeight="1">
      <c r="A519" s="56" t="inlineStr">
        <is>
          <t>조립</t>
        </is>
      </c>
      <c r="B519" s="52" t="inlineStr">
        <is>
          <t>사출_ 도색</t>
        </is>
      </c>
      <c r="C519" s="52" t="inlineStr">
        <is>
          <t>SOLO</t>
        </is>
      </c>
      <c r="D519" s="79">
        <f>IF(INDIRECT("'"&amp;$O519&amp;"'!F"&amp;$N519)="O","원자재",IF(INDIRECT("'"&amp;$O519&amp;"'!G"&amp;$N519)="O","반제품",IF(INDIRECT("'"&amp;$O519&amp;"'!H"&amp;$N519)="O","완제품","")))</f>
        <v/>
      </c>
      <c r="E519" s="79">
        <f>IFERROR(IF(INDIRECT("'"&amp;$O519&amp;"'!I"&amp;$N519)=0,"",INDIRECT("'"&amp;$O519&amp;"'!I"&amp;$N519)),"")</f>
        <v/>
      </c>
      <c r="F519" s="52" t="inlineStr">
        <is>
          <t>Short_Button _ 메탈릭 다크 그레이 도색</t>
        </is>
      </c>
      <c r="G519" s="52" t="inlineStr">
        <is>
          <t>Shot_Button (ABS 메탈릭 다크그레이) [SOLO]</t>
        </is>
      </c>
      <c r="H519" s="79">
        <f>IF(AND($F519="",$G519=""),"",IF($F519="","창고전용",IF($G519&lt;&gt;"","매칭완료",IF($D519="반제품","반제품(창고없음)",IF($D519="완제품","완제품(창고없음)",IF($D519="원자재","⚠ 원자재_부서보관","미분류"))))))</f>
        <v/>
      </c>
      <c r="I519" s="79">
        <f>IFERROR(IF(INDIRECT("'"&amp;$O519&amp;"'!P"&amp;$N519)=0,"",INDIRECT("'"&amp;$O519&amp;"'!P"&amp;$N519)),"")</f>
        <v/>
      </c>
      <c r="J519" s="61" t="inlineStr">
        <is>
          <t>Short_Button _ 메탈릭 다크 그레이 도색</t>
        </is>
      </c>
      <c r="K519" s="103" t="inlineStr">
        <is>
          <t>SOLO SHORT BUTTON (G)</t>
        </is>
      </c>
      <c r="L519" s="83">
        <f>HYPERLINK("#'"&amp;$O519&amp;"'!A"&amp;$N519,"→ 조립자재 R"&amp;$N519)</f>
        <v/>
      </c>
      <c r="M519" s="84" t="n"/>
      <c r="N519" s="80" t="n">
        <v>472</v>
      </c>
      <c r="O519" s="80" t="inlineStr">
        <is>
          <t>조립자재_재고현황</t>
        </is>
      </c>
    </row>
    <row r="520" ht="30" customHeight="1">
      <c r="A520" s="56" t="inlineStr">
        <is>
          <t>조립</t>
        </is>
      </c>
      <c r="B520" s="52" t="inlineStr">
        <is>
          <t>사출_ 도색</t>
        </is>
      </c>
      <c r="C520" s="52" t="inlineStr">
        <is>
          <t>SOLO</t>
        </is>
      </c>
      <c r="D520" s="79">
        <f>IF(INDIRECT("'"&amp;$O520&amp;"'!F"&amp;$N520)="O","원자재",IF(INDIRECT("'"&amp;$O520&amp;"'!G"&amp;$N520)="O","반제품",IF(INDIRECT("'"&amp;$O520&amp;"'!H"&amp;$N520)="O","완제품","")))</f>
        <v/>
      </c>
      <c r="E520" s="79">
        <f>IFERROR(IF(INDIRECT("'"&amp;$O520&amp;"'!I"&amp;$N520)=0,"",INDIRECT("'"&amp;$O520&amp;"'!I"&amp;$N520)),"")</f>
        <v/>
      </c>
      <c r="F520" s="52" t="inlineStr">
        <is>
          <t>Slide Switch _ SKY BLUE 무광 도색</t>
        </is>
      </c>
      <c r="G520" s="52" t="inlineStr">
        <is>
          <t>Slide Switch (ABS 블루(PANTTON 660C) 무광) [SOLO]</t>
        </is>
      </c>
      <c r="H520" s="79">
        <f>IF(AND($F520="",$G520=""),"",IF($F520="","창고전용",IF($G520&lt;&gt;"","매칭완료",IF($D520="반제품","반제품(창고없음)",IF($D520="완제품","완제품(창고없음)",IF($D520="원자재","⚠ 원자재_부서보관","미분류"))))))</f>
        <v/>
      </c>
      <c r="I520" s="79">
        <f>IFERROR(IF(INDIRECT("'"&amp;$O520&amp;"'!P"&amp;$N520)=0,"",INDIRECT("'"&amp;$O520&amp;"'!P"&amp;$N520)),"")</f>
        <v/>
      </c>
      <c r="J520" s="61" t="inlineStr">
        <is>
          <t>Slide Switch _ SKY BLUE 무광 도색</t>
        </is>
      </c>
      <c r="K520" s="103" t="inlineStr">
        <is>
          <t>SOLO SLIDE SWITCH (SKY BLUE)</t>
        </is>
      </c>
      <c r="L520" s="83">
        <f>HYPERLINK("#'"&amp;$O520&amp;"'!A"&amp;$N520,"→ 조립자재 R"&amp;$N520)</f>
        <v/>
      </c>
      <c r="M520" s="84" t="n"/>
      <c r="N520" s="80" t="n">
        <v>473</v>
      </c>
      <c r="O520" s="80" t="inlineStr">
        <is>
          <t>조립자재_재고현황</t>
        </is>
      </c>
    </row>
    <row r="521" ht="30" customHeight="1">
      <c r="A521" s="56" t="inlineStr">
        <is>
          <t>조립</t>
        </is>
      </c>
      <c r="B521" s="52" t="inlineStr">
        <is>
          <t>사출_ 도색</t>
        </is>
      </c>
      <c r="C521" s="52" t="inlineStr">
        <is>
          <t>SOLO</t>
        </is>
      </c>
      <c r="D521" s="79">
        <f>IF(INDIRECT("'"&amp;$O521&amp;"'!F"&amp;$N521)="O","원자재",IF(INDIRECT("'"&amp;$O521&amp;"'!G"&amp;$N521)="O","반제품",IF(INDIRECT("'"&amp;$O521&amp;"'!H"&amp;$N521)="O","완제품","")))</f>
        <v/>
      </c>
      <c r="E521" s="79">
        <f>IFERROR(IF(INDIRECT("'"&amp;$O521&amp;"'!I"&amp;$N521)=0,"",INDIRECT("'"&amp;$O521&amp;"'!I"&amp;$N521)),"")</f>
        <v/>
      </c>
      <c r="F521" s="52" t="inlineStr">
        <is>
          <t>Slide Switch Cap _ 레드무광 도색</t>
        </is>
      </c>
      <c r="G521" s="52" t="inlineStr">
        <is>
          <t>Slide Switch Cap (ABS 레드 무광) [SOLO]</t>
        </is>
      </c>
      <c r="H521" s="79">
        <f>IF(AND($F521="",$G521=""),"",IF($F521="","창고전용",IF($G521&lt;&gt;"","매칭완료",IF($D521="반제품","반제품(창고없음)",IF($D521="완제품","완제품(창고없음)",IF($D521="원자재","⚠ 원자재_부서보관","미분류"))))))</f>
        <v/>
      </c>
      <c r="I521" s="79">
        <f>IFERROR(IF(INDIRECT("'"&amp;$O521&amp;"'!P"&amp;$N521)=0,"",INDIRECT("'"&amp;$O521&amp;"'!P"&amp;$N521)),"")</f>
        <v/>
      </c>
      <c r="J521" s="61" t="inlineStr">
        <is>
          <t>Slide Switch Cap _ 레드무광 도색</t>
        </is>
      </c>
      <c r="K521" s="103" t="inlineStr">
        <is>
          <t>SOLO SLIDE SWITCH CAP (RED)</t>
        </is>
      </c>
      <c r="L521" s="83">
        <f>HYPERLINK("#'"&amp;$O521&amp;"'!A"&amp;$N521,"→ 조립자재 R"&amp;$N521)</f>
        <v/>
      </c>
      <c r="M521" s="84" t="n"/>
      <c r="N521" s="80" t="n">
        <v>474</v>
      </c>
      <c r="O521" s="80" t="inlineStr">
        <is>
          <t>조립자재_재고현황</t>
        </is>
      </c>
    </row>
    <row r="522" ht="30" customHeight="1">
      <c r="A522" s="56" t="inlineStr">
        <is>
          <t>조립</t>
        </is>
      </c>
      <c r="B522" s="52" t="inlineStr">
        <is>
          <t>사출</t>
        </is>
      </c>
      <c r="C522" s="52" t="inlineStr">
        <is>
          <t>SOLO</t>
        </is>
      </c>
      <c r="D522" s="79">
        <f>IF(INDIRECT("'"&amp;$O522&amp;"'!F"&amp;$N522)="O","원자재",IF(INDIRECT("'"&amp;$O522&amp;"'!G"&amp;$N522)="O","반제품",IF(INDIRECT("'"&amp;$O522&amp;"'!H"&amp;$N522)="O","완제품","")))</f>
        <v/>
      </c>
      <c r="E522" s="79">
        <f>IFERROR(IF(INDIRECT("'"&amp;$O522&amp;"'!I"&amp;$N522)=0,"",INDIRECT("'"&amp;$O522&amp;"'!I"&amp;$N522)),"")</f>
        <v/>
      </c>
      <c r="F522" s="52" t="inlineStr">
        <is>
          <t>Lock Inner _ 블랙</t>
        </is>
      </c>
      <c r="G522" s="52" t="inlineStr">
        <is>
          <t>Lock Inner (ABS 블랙) [SOLO]</t>
        </is>
      </c>
      <c r="H522" s="79">
        <f>IF(AND($F522="",$G522=""),"",IF($F522="","창고전용",IF($G522&lt;&gt;"","매칭완료",IF($D522="반제품","반제품(창고없음)",IF($D522="완제품","완제품(창고없음)",IF($D522="원자재","⚠ 원자재_부서보관","미분류"))))))</f>
        <v/>
      </c>
      <c r="I522" s="79">
        <f>IFERROR(IF(INDIRECT("'"&amp;$O522&amp;"'!P"&amp;$N522)=0,"",INDIRECT("'"&amp;$O522&amp;"'!P"&amp;$N522)),"")</f>
        <v/>
      </c>
      <c r="J522" s="61" t="inlineStr">
        <is>
          <t>Lock Inner _ 블랙</t>
        </is>
      </c>
      <c r="K522" s="103" t="inlineStr">
        <is>
          <t>SOLO LOCK INNER (B)</t>
        </is>
      </c>
      <c r="L522" s="83">
        <f>HYPERLINK("#'"&amp;$O522&amp;"'!A"&amp;$N522,"→ 조립자재 R"&amp;$N522)</f>
        <v/>
      </c>
      <c r="M522" s="84" t="n"/>
      <c r="N522" s="80" t="n">
        <v>475</v>
      </c>
      <c r="O522" s="80" t="inlineStr">
        <is>
          <t>조립자재_재고현황</t>
        </is>
      </c>
    </row>
    <row r="523" ht="30" customHeight="1">
      <c r="A523" s="56" t="inlineStr">
        <is>
          <t>조립</t>
        </is>
      </c>
      <c r="B523" s="52" t="inlineStr">
        <is>
          <t>사출</t>
        </is>
      </c>
      <c r="C523" s="52" t="inlineStr">
        <is>
          <t>SOLO</t>
        </is>
      </c>
      <c r="D523" s="79">
        <f>IF(INDIRECT("'"&amp;$O523&amp;"'!F"&amp;$N523)="O","원자재",IF(INDIRECT("'"&amp;$O523&amp;"'!G"&amp;$N523)="O","반제품",IF(INDIRECT("'"&amp;$O523&amp;"'!H"&amp;$N523)="O","완제품","")))</f>
        <v/>
      </c>
      <c r="E523" s="79">
        <f>IFERROR(IF(INDIRECT("'"&amp;$O523&amp;"'!I"&amp;$N523)=0,"",INDIRECT("'"&amp;$O523&amp;"'!I"&amp;$N523)),"")</f>
        <v/>
      </c>
      <c r="F523" s="52" t="inlineStr">
        <is>
          <t>Hand_Topr Cover_ 블랙</t>
        </is>
      </c>
      <c r="G523" s="52" t="inlineStr">
        <is>
          <t>Hand Top Cover (ABS 블랙) [SOLO]</t>
        </is>
      </c>
      <c r="H523" s="79">
        <f>IF(AND($F523="",$G523=""),"",IF($F523="","창고전용",IF($G523&lt;&gt;"","매칭완료",IF($D523="반제품","반제품(창고없음)",IF($D523="완제품","완제품(창고없음)",IF($D523="원자재","⚠ 원자재_부서보관","미분류"))))))</f>
        <v/>
      </c>
      <c r="I523" s="79">
        <f>IFERROR(IF(INDIRECT("'"&amp;$O523&amp;"'!P"&amp;$N523)=0,"",INDIRECT("'"&amp;$O523&amp;"'!P"&amp;$N523)),"")</f>
        <v/>
      </c>
      <c r="J523" s="61" t="inlineStr">
        <is>
          <t>Hand_Topr Cover_ 블랙</t>
        </is>
      </c>
      <c r="K523" s="103" t="inlineStr">
        <is>
          <t>SOLO HAND TOP COVER (B)</t>
        </is>
      </c>
      <c r="L523" s="83">
        <f>HYPERLINK("#'"&amp;$O523&amp;"'!A"&amp;$N523,"→ 조립자재 R"&amp;$N523)</f>
        <v/>
      </c>
      <c r="M523" s="84" t="n"/>
      <c r="N523" s="80" t="n">
        <v>476</v>
      </c>
      <c r="O523" s="80" t="inlineStr">
        <is>
          <t>조립자재_재고현황</t>
        </is>
      </c>
    </row>
    <row r="524" ht="30" customHeight="1">
      <c r="A524" s="56" t="inlineStr">
        <is>
          <t>조립</t>
        </is>
      </c>
      <c r="B524" s="52" t="inlineStr">
        <is>
          <t>사출</t>
        </is>
      </c>
      <c r="C524" s="52" t="inlineStr">
        <is>
          <t>SOLO</t>
        </is>
      </c>
      <c r="D524" s="79">
        <f>IF(INDIRECT("'"&amp;$O524&amp;"'!F"&amp;$N524)="O","원자재",IF(INDIRECT("'"&amp;$O524&amp;"'!G"&amp;$N524)="O","반제품",IF(INDIRECT("'"&amp;$O524&amp;"'!H"&amp;$N524)="O","완제품","")))</f>
        <v/>
      </c>
      <c r="E524" s="79">
        <f>IFERROR(IF(INDIRECT("'"&amp;$O524&amp;"'!I"&amp;$N524)=0,"",INDIRECT("'"&amp;$O524&amp;"'!I"&amp;$N524)),"")</f>
        <v/>
      </c>
      <c r="F524" s="52" t="inlineStr">
        <is>
          <t>Short PCB Guider _ 블랙</t>
        </is>
      </c>
      <c r="G524" s="52" t="inlineStr">
        <is>
          <t>Shot_PCB_Guide [SOLO]</t>
        </is>
      </c>
      <c r="H524" s="79">
        <f>IF(AND($F524="",$G524=""),"",IF($F524="","창고전용",IF($G524&lt;&gt;"","매칭완료",IF($D524="반제품","반제품(창고없음)",IF($D524="완제품","완제품(창고없음)",IF($D524="원자재","⚠ 원자재_부서보관","미분류"))))))</f>
        <v/>
      </c>
      <c r="I524" s="79">
        <f>IFERROR(IF(INDIRECT("'"&amp;$O524&amp;"'!P"&amp;$N524)=0,"",INDIRECT("'"&amp;$O524&amp;"'!P"&amp;$N524)),"")</f>
        <v/>
      </c>
      <c r="J524" s="61" t="inlineStr">
        <is>
          <t>Short PCB Guider _ 블랙</t>
        </is>
      </c>
      <c r="K524" s="103" t="inlineStr">
        <is>
          <t>SOLO SHORT PCB GUIDE (B)</t>
        </is>
      </c>
      <c r="L524" s="83">
        <f>HYPERLINK("#'"&amp;$O524&amp;"'!A"&amp;$N524,"→ 조립자재 R"&amp;$N524)</f>
        <v/>
      </c>
      <c r="M524" s="84" t="n"/>
      <c r="N524" s="80" t="n">
        <v>477</v>
      </c>
      <c r="O524" s="80" t="inlineStr">
        <is>
          <t>조립자재_재고현황</t>
        </is>
      </c>
    </row>
    <row r="525" ht="30" customHeight="1">
      <c r="A525" s="56" t="inlineStr">
        <is>
          <t>조립</t>
        </is>
      </c>
      <c r="B525" s="52" t="inlineStr">
        <is>
          <t>사출</t>
        </is>
      </c>
      <c r="C525" s="52" t="inlineStr">
        <is>
          <t>SOLO</t>
        </is>
      </c>
      <c r="D525" s="79">
        <f>IF(INDIRECT("'"&amp;$O525&amp;"'!F"&amp;$N525)="O","원자재",IF(INDIRECT("'"&amp;$O525&amp;"'!G"&amp;$N525)="O","반제품",IF(INDIRECT("'"&amp;$O525&amp;"'!H"&amp;$N525)="O","완제품","")))</f>
        <v/>
      </c>
      <c r="E525" s="79">
        <f>IFERROR(IF(INDIRECT("'"&amp;$O525&amp;"'!I"&amp;$N525)=0,"",INDIRECT("'"&amp;$O525&amp;"'!I"&amp;$N525)),"")</f>
        <v/>
      </c>
      <c r="F525" s="52" t="inlineStr">
        <is>
          <t>발생부 Guide _ 블랙</t>
        </is>
      </c>
      <c r="G525" s="52" t="inlineStr">
        <is>
          <t>발생부_Guide (ABS 블랙) [SOLO]</t>
        </is>
      </c>
      <c r="H525" s="79">
        <f>IF(AND($F525="",$G525=""),"",IF($F525="","창고전용",IF($G525&lt;&gt;"","매칭완료",IF($D525="반제품","반제품(창고없음)",IF($D525="완제품","완제품(창고없음)",IF($D525="원자재","⚠ 원자재_부서보관","미분류"))))))</f>
        <v/>
      </c>
      <c r="I525" s="79">
        <f>IFERROR(IF(INDIRECT("'"&amp;$O525&amp;"'!P"&amp;$N525)=0,"",INDIRECT("'"&amp;$O525&amp;"'!P"&amp;$N525)),"")</f>
        <v/>
      </c>
      <c r="J525" s="61" t="inlineStr">
        <is>
          <t>발생부 Guide _ 블랙</t>
        </is>
      </c>
      <c r="K525" s="103" t="inlineStr">
        <is>
          <t>SOLO GER GUIDE (B)</t>
        </is>
      </c>
      <c r="L525" s="83">
        <f>HYPERLINK("#'"&amp;$O525&amp;"'!A"&amp;$N525,"→ 조립자재 R"&amp;$N525)</f>
        <v/>
      </c>
      <c r="M525" s="84" t="n"/>
      <c r="N525" s="80" t="n">
        <v>478</v>
      </c>
      <c r="O525" s="80" t="inlineStr">
        <is>
          <t>조립자재_재고현황</t>
        </is>
      </c>
    </row>
    <row r="526" ht="30" customHeight="1">
      <c r="A526" s="56" t="inlineStr">
        <is>
          <t>조립</t>
        </is>
      </c>
      <c r="B526" s="52" t="inlineStr">
        <is>
          <t>사출</t>
        </is>
      </c>
      <c r="C526" s="52" t="inlineStr">
        <is>
          <t>SOLO</t>
        </is>
      </c>
      <c r="D526" s="79">
        <f>IF(INDIRECT("'"&amp;$O526&amp;"'!F"&amp;$N526)="O","원자재",IF(INDIRECT("'"&amp;$O526&amp;"'!G"&amp;$N526)="O","반제품",IF(INDIRECT("'"&amp;$O526&amp;"'!H"&amp;$N526)="O","완제품","")))</f>
        <v/>
      </c>
      <c r="E526" s="79">
        <f>IFERROR(IF(INDIRECT("'"&amp;$O526&amp;"'!I"&amp;$N526)=0,"",INDIRECT("'"&amp;$O526&amp;"'!I"&amp;$N526)),"")</f>
        <v/>
      </c>
      <c r="F526" s="52" t="inlineStr">
        <is>
          <t>LCD 가이드 _ 블랙</t>
        </is>
      </c>
      <c r="G526" s="52" t="inlineStr">
        <is>
          <t>LCD GUIDE (ABS 블랙) [SOLO]</t>
        </is>
      </c>
      <c r="H526" s="79">
        <f>IF(AND($F526="",$G526=""),"",IF($F526="","창고전용",IF($G526&lt;&gt;"","매칭완료",IF($D526="반제품","반제품(창고없음)",IF($D526="완제품","완제품(창고없음)",IF($D526="원자재","⚠ 원자재_부서보관","미분류"))))))</f>
        <v/>
      </c>
      <c r="I526" s="79">
        <f>IFERROR(IF(INDIRECT("'"&amp;$O526&amp;"'!P"&amp;$N526)=0,"",INDIRECT("'"&amp;$O526&amp;"'!P"&amp;$N526)),"")</f>
        <v/>
      </c>
      <c r="J526" s="61" t="inlineStr">
        <is>
          <t>LCD 가이드 _ 블랙</t>
        </is>
      </c>
      <c r="K526" s="103" t="inlineStr">
        <is>
          <t>SOLO LCD GUIDE (B)</t>
        </is>
      </c>
      <c r="L526" s="83">
        <f>HYPERLINK("#'"&amp;$O526&amp;"'!A"&amp;$N526,"→ 조립자재 R"&amp;$N526)</f>
        <v/>
      </c>
      <c r="M526" s="84" t="n"/>
      <c r="N526" s="80" t="n">
        <v>479</v>
      </c>
      <c r="O526" s="80" t="inlineStr">
        <is>
          <t>조립자재_재고현황</t>
        </is>
      </c>
    </row>
    <row r="527" ht="30" customHeight="1">
      <c r="A527" s="56" t="inlineStr">
        <is>
          <t>조립</t>
        </is>
      </c>
      <c r="B527" s="52" t="inlineStr">
        <is>
          <t>SOLO- 확산 아크릴</t>
        </is>
      </c>
      <c r="C527" s="52" t="inlineStr">
        <is>
          <t>SOLO</t>
        </is>
      </c>
      <c r="D527" s="79">
        <f>IF(INDIRECT("'"&amp;$O527&amp;"'!F"&amp;$N527)="O","원자재",IF(INDIRECT("'"&amp;$O527&amp;"'!G"&amp;$N527)="O","반제품",IF(INDIRECT("'"&amp;$O527&amp;"'!H"&amp;$N527)="O","완제품","")))</f>
        <v/>
      </c>
      <c r="E527" s="79">
        <f>IFERROR(IF(INDIRECT("'"&amp;$O527&amp;"'!I"&amp;$N527)=0,"",INDIRECT("'"&amp;$O527&amp;"'!I"&amp;$N527)),"")</f>
        <v/>
      </c>
      <c r="F527" s="52" t="inlineStr">
        <is>
          <t>Aiming_Light _LED 확산 아크릴</t>
        </is>
      </c>
      <c r="G527" s="52" t="inlineStr">
        <is>
          <t>Aiming_Light_LED_아크릴 (확산 아크릴/ 화이트) [SOLO]</t>
        </is>
      </c>
      <c r="H527" s="79">
        <f>IF(AND($F527="",$G527=""),"",IF($F527="","창고전용",IF($G527&lt;&gt;"","매칭완료",IF($D527="반제품","반제품(창고없음)",IF($D527="완제품","완제품(창고없음)",IF($D527="원자재","⚠ 원자재_부서보관","미분류"))))))</f>
        <v/>
      </c>
      <c r="I527" s="79">
        <f>IFERROR(IF(INDIRECT("'"&amp;$O527&amp;"'!P"&amp;$N527)=0,"",INDIRECT("'"&amp;$O527&amp;"'!P"&amp;$N527)),"")</f>
        <v/>
      </c>
      <c r="J527" s="61" t="inlineStr">
        <is>
          <t>Aiming_Light _LED 확산 아크릴</t>
        </is>
      </c>
      <c r="K527" s="103" t="inlineStr">
        <is>
          <t>SOLO AIMING LIGHT LED (확산 아크릴)</t>
        </is>
      </c>
      <c r="L527" s="83">
        <f>HYPERLINK("#'"&amp;$O527&amp;"'!A"&amp;$N527,"→ 조립자재 R"&amp;$N527)</f>
        <v/>
      </c>
      <c r="M527" s="84" t="n"/>
      <c r="N527" s="80" t="n">
        <v>480</v>
      </c>
      <c r="O527" s="80" t="inlineStr">
        <is>
          <t>조립자재_재고현황</t>
        </is>
      </c>
    </row>
    <row r="528" ht="30" customHeight="1">
      <c r="A528" s="56" t="inlineStr">
        <is>
          <t>조립</t>
        </is>
      </c>
      <c r="B528" s="52" t="inlineStr">
        <is>
          <t>SOLO- 확산 아크릴</t>
        </is>
      </c>
      <c r="C528" s="52" t="inlineStr">
        <is>
          <t>SOLO</t>
        </is>
      </c>
      <c r="D528" s="79">
        <f>IF(INDIRECT("'"&amp;$O528&amp;"'!F"&amp;$N528)="O","원자재",IF(INDIRECT("'"&amp;$O528&amp;"'!G"&amp;$N528)="O","반제품",IF(INDIRECT("'"&amp;$O528&amp;"'!H"&amp;$N528)="O","완제품","")))</f>
        <v/>
      </c>
      <c r="E528" s="79">
        <f>IFERROR(IF(INDIRECT("'"&amp;$O528&amp;"'!I"&amp;$N528)=0,"",INDIRECT("'"&amp;$O528&amp;"'!I"&amp;$N528)),"")</f>
        <v/>
      </c>
      <c r="F528" s="52" t="inlineStr">
        <is>
          <t>BAT_LED 확산 아크릴</t>
        </is>
      </c>
      <c r="G528" s="52" t="inlineStr">
        <is>
          <t>BAT_LED_확산_아크릴 (확산 아크릴/ 화이트) [SOLO]</t>
        </is>
      </c>
      <c r="H528" s="79">
        <f>IF(AND($F528="",$G528=""),"",IF($F528="","창고전용",IF($G528&lt;&gt;"","매칭완료",IF($D528="반제품","반제품(창고없음)",IF($D528="완제품","완제품(창고없음)",IF($D528="원자재","⚠ 원자재_부서보관","미분류"))))))</f>
        <v/>
      </c>
      <c r="I528" s="79">
        <f>IFERROR(IF(INDIRECT("'"&amp;$O528&amp;"'!P"&amp;$N528)=0,"",INDIRECT("'"&amp;$O528&amp;"'!P"&amp;$N528)),"")</f>
        <v/>
      </c>
      <c r="J528" s="61" t="inlineStr">
        <is>
          <t>BAT_LED 확산 아크릴</t>
        </is>
      </c>
      <c r="K528" s="103" t="inlineStr">
        <is>
          <t>SOLO BAT LED (확산 아크릴)</t>
        </is>
      </c>
      <c r="L528" s="83">
        <f>HYPERLINK("#'"&amp;$O528&amp;"'!A"&amp;$N528,"→ 조립자재 R"&amp;$N528)</f>
        <v/>
      </c>
      <c r="M528" s="84" t="n"/>
      <c r="N528" s="80" t="n">
        <v>481</v>
      </c>
      <c r="O528" s="80" t="inlineStr">
        <is>
          <t>조립자재_재고현황</t>
        </is>
      </c>
    </row>
    <row r="529" ht="30" customHeight="1">
      <c r="A529" s="56" t="inlineStr">
        <is>
          <t>조립</t>
        </is>
      </c>
      <c r="B529" s="52" t="inlineStr">
        <is>
          <t>SOLO- 확산 아크릴</t>
        </is>
      </c>
      <c r="C529" s="52" t="inlineStr">
        <is>
          <t>SOLO</t>
        </is>
      </c>
      <c r="D529" s="79">
        <f>IF(INDIRECT("'"&amp;$O529&amp;"'!F"&amp;$N529)="O","원자재",IF(INDIRECT("'"&amp;$O529&amp;"'!G"&amp;$N529)="O","반제품",IF(INDIRECT("'"&amp;$O529&amp;"'!H"&amp;$N529)="O","완제품","")))</f>
        <v/>
      </c>
      <c r="E529" s="79">
        <f>IFERROR(IF(INDIRECT("'"&amp;$O529&amp;"'!I"&amp;$N529)=0,"",INDIRECT("'"&amp;$O529&amp;"'!I"&amp;$N529)),"")</f>
        <v/>
      </c>
      <c r="F529" s="52" t="inlineStr">
        <is>
          <t>LCD_LED 확산 아크릴</t>
        </is>
      </c>
      <c r="G529" s="52" t="inlineStr">
        <is>
          <t>LCD_LED_확산_아크릴 (확산 아크릴/ 화이트) [SOLO]</t>
        </is>
      </c>
      <c r="H529" s="79">
        <f>IF(AND($F529="",$G529=""),"",IF($F529="","창고전용",IF($G529&lt;&gt;"","매칭완료",IF($D529="반제품","반제품(창고없음)",IF($D529="완제품","완제품(창고없음)",IF($D529="원자재","⚠ 원자재_부서보관","미분류"))))))</f>
        <v/>
      </c>
      <c r="I529" s="79">
        <f>IFERROR(IF(INDIRECT("'"&amp;$O529&amp;"'!P"&amp;$N529)=0,"",INDIRECT("'"&amp;$O529&amp;"'!P"&amp;$N529)),"")</f>
        <v/>
      </c>
      <c r="J529" s="61" t="inlineStr">
        <is>
          <t>LCD_LED 확산 아크릴</t>
        </is>
      </c>
      <c r="K529" s="103" t="inlineStr">
        <is>
          <t>SOLO LCD LED (확산 아크릴)</t>
        </is>
      </c>
      <c r="L529" s="83">
        <f>HYPERLINK("#'"&amp;$O529&amp;"'!A"&amp;$N529,"→ 조립자재 R"&amp;$N529)</f>
        <v/>
      </c>
      <c r="M529" s="84" t="n"/>
      <c r="N529" s="80" t="n">
        <v>482</v>
      </c>
      <c r="O529" s="80" t="inlineStr">
        <is>
          <t>조립자재_재고현황</t>
        </is>
      </c>
    </row>
    <row r="530" ht="30" customHeight="1">
      <c r="A530" s="56" t="inlineStr">
        <is>
          <t>조립</t>
        </is>
      </c>
      <c r="B530" s="52" t="inlineStr">
        <is>
          <t>SOLO- 확산 아크릴</t>
        </is>
      </c>
      <c r="C530" s="52" t="inlineStr">
        <is>
          <t>SOLO</t>
        </is>
      </c>
      <c r="D530" s="79">
        <f>IF(INDIRECT("'"&amp;$O530&amp;"'!F"&amp;$N530)="O","원자재",IF(INDIRECT("'"&amp;$O530&amp;"'!G"&amp;$N530)="O","반제품",IF(INDIRECT("'"&amp;$O530&amp;"'!H"&amp;$N530)="O","완제품","")))</f>
        <v/>
      </c>
      <c r="E530" s="79">
        <f>IFERROR(IF(INDIRECT("'"&amp;$O530&amp;"'!I"&amp;$N530)=0,"",INDIRECT("'"&amp;$O530&amp;"'!I"&amp;$N530)),"")</f>
        <v/>
      </c>
      <c r="F530" s="52" t="inlineStr">
        <is>
          <t>LCD_창 (PC / 투명 )</t>
        </is>
      </c>
      <c r="G530" s="52" t="inlineStr">
        <is>
          <t>LCD_Window (PC / 투명 + (구형 26)) [SOLO]</t>
        </is>
      </c>
      <c r="H530" s="79">
        <f>IF(AND($F530="",$G530=""),"",IF($F530="","창고전용",IF($G530&lt;&gt;"","매칭완료",IF($D530="반제품","반제품(창고없음)",IF($D530="완제품","완제품(창고없음)",IF($D530="원자재","⚠ 원자재_부서보관","미분류"))))))</f>
        <v/>
      </c>
      <c r="I530" s="79">
        <f>IFERROR(IF(INDIRECT("'"&amp;$O530&amp;"'!P"&amp;$N530)=0,"",INDIRECT("'"&amp;$O530&amp;"'!P"&amp;$N530)),"")</f>
        <v/>
      </c>
      <c r="J530" s="61" t="inlineStr">
        <is>
          <t>LCD_창 (PC / 투명 )</t>
        </is>
      </c>
      <c r="K530" s="103" t="inlineStr">
        <is>
          <t>SOLO LCD WINDOW</t>
        </is>
      </c>
      <c r="L530" s="83">
        <f>HYPERLINK("#'"&amp;$O530&amp;"'!A"&amp;$N530,"→ 조립자재 R"&amp;$N530)</f>
        <v/>
      </c>
      <c r="M530" s="84" t="n"/>
      <c r="N530" s="80" t="n">
        <v>483</v>
      </c>
      <c r="O530" s="80" t="inlineStr">
        <is>
          <t>조립자재_재고현황</t>
        </is>
      </c>
    </row>
    <row r="531" ht="30" customHeight="1">
      <c r="A531" s="56" t="inlineStr">
        <is>
          <t>조립</t>
        </is>
      </c>
      <c r="B531" s="52" t="inlineStr">
        <is>
          <t>SOLO- 확산 아크릴</t>
        </is>
      </c>
      <c r="C531" s="52" t="inlineStr">
        <is>
          <t>SOLO</t>
        </is>
      </c>
      <c r="D531" s="79">
        <f>IF(INDIRECT("'"&amp;$O531&amp;"'!F"&amp;$N531)="O","원자재",IF(INDIRECT("'"&amp;$O531&amp;"'!G"&amp;$N531)="O","반제품",IF(INDIRECT("'"&amp;$O531&amp;"'!H"&amp;$N531)="O","완제품","")))</f>
        <v/>
      </c>
      <c r="E531" s="79">
        <f>IFERROR(IF(INDIRECT("'"&amp;$O531&amp;"'!I"&amp;$N531)=0,"",INDIRECT("'"&amp;$O531&amp;"'!I"&amp;$N531)),"")</f>
        <v/>
      </c>
      <c r="F531" s="52" t="inlineStr">
        <is>
          <t>광센서_유색_창 (PC/스모그/퍼플)</t>
        </is>
      </c>
      <c r="G531" s="52" t="inlineStr">
        <is>
          <t>광센서_유색_창 (PC/스모그/퍼플) [SOLO]</t>
        </is>
      </c>
      <c r="H531" s="79">
        <f>IF(AND($F531="",$G531=""),"",IF($F531="","창고전용",IF($G531&lt;&gt;"","매칭완료",IF($D531="반제품","반제품(창고없음)",IF($D531="완제품","완제품(창고없음)",IF($D531="원자재","⚠ 원자재_부서보관","미분류"))))))</f>
        <v/>
      </c>
      <c r="I531" s="79">
        <f>IFERROR(IF(INDIRECT("'"&amp;$O531&amp;"'!P"&amp;$N531)=0,"",INDIRECT("'"&amp;$O531&amp;"'!P"&amp;$N531)),"")</f>
        <v/>
      </c>
      <c r="J531" s="61" t="inlineStr">
        <is>
          <t>광센서_유색_창 (PC/스모그/퍼플)</t>
        </is>
      </c>
      <c r="K531" s="103" t="inlineStr">
        <is>
          <t>SOLO 광센서 유색 창</t>
        </is>
      </c>
      <c r="L531" s="83">
        <f>HYPERLINK("#'"&amp;$O531&amp;"'!A"&amp;$N531,"→ 조립자재 R"&amp;$N531)</f>
        <v/>
      </c>
      <c r="M531" s="84" t="n"/>
      <c r="N531" s="80" t="n">
        <v>484</v>
      </c>
      <c r="O531" s="80" t="inlineStr">
        <is>
          <t>조립자재_재고현황</t>
        </is>
      </c>
    </row>
    <row r="532" ht="30" customHeight="1">
      <c r="A532" s="56" t="inlineStr">
        <is>
          <t>조립</t>
        </is>
      </c>
      <c r="B532" s="52" t="inlineStr">
        <is>
          <t>알루미늄</t>
        </is>
      </c>
      <c r="C532" s="52" t="inlineStr">
        <is>
          <t>SOLO</t>
        </is>
      </c>
      <c r="D532" s="79">
        <f>IF(INDIRECT("'"&amp;$O532&amp;"'!F"&amp;$N532)="O","원자재",IF(INDIRECT("'"&amp;$O532&amp;"'!G"&amp;$N532)="O","반제품",IF(INDIRECT("'"&amp;$O532&amp;"'!H"&amp;$N532)="O","완제품","")))</f>
        <v/>
      </c>
      <c r="E532" s="79">
        <f>IFERROR(IF(INDIRECT("'"&amp;$O532&amp;"'!I"&amp;$N532)=0,"",INDIRECT("'"&amp;$O532&amp;"'!I"&amp;$N532)),"")</f>
        <v/>
      </c>
      <c r="F532" s="52" t="inlineStr">
        <is>
          <t>마운트 ( 알루미늄_1/4 PT 탭 x 12mm)</t>
        </is>
      </c>
      <c r="G532" s="52" t="inlineStr">
        <is>
          <t>마운트 (삼각대 고정홀) [SOLO]</t>
        </is>
      </c>
      <c r="H532" s="79">
        <f>IF(AND($F532="",$G532=""),"",IF($F532="","창고전용",IF($G532&lt;&gt;"","매칭완료",IF($D532="반제품","반제품(창고없음)",IF($D532="완제품","완제품(창고없음)",IF($D532="원자재","⚠ 원자재_부서보관","미분류"))))))</f>
        <v/>
      </c>
      <c r="I532" s="79">
        <f>IFERROR(IF(INDIRECT("'"&amp;$O532&amp;"'!P"&amp;$N532)=0,"",INDIRECT("'"&amp;$O532&amp;"'!P"&amp;$N532)),"")</f>
        <v/>
      </c>
      <c r="J532" s="61" t="inlineStr">
        <is>
          <t>마운트 ( 알루미늄_1/4 PT 탭 x 12mm)</t>
        </is>
      </c>
      <c r="K532" s="65" t="inlineStr">
        <is>
          <t>SOLO 마운트 (알루미늄 1/4 PT 탭x12mm)</t>
        </is>
      </c>
      <c r="L532" s="83">
        <f>HYPERLINK("#'"&amp;$O532&amp;"'!A"&amp;$N532,"→ 조립자재 R"&amp;$N532)</f>
        <v/>
      </c>
      <c r="M532" s="84" t="n"/>
      <c r="N532" s="80" t="n">
        <v>485</v>
      </c>
      <c r="O532" s="80" t="inlineStr">
        <is>
          <t>조립자재_재고현황</t>
        </is>
      </c>
    </row>
    <row r="533" ht="30" customHeight="1">
      <c r="A533" s="56" t="inlineStr">
        <is>
          <t>조립</t>
        </is>
      </c>
      <c r="B533" s="52" t="inlineStr">
        <is>
          <t>경첩</t>
        </is>
      </c>
      <c r="C533" s="52" t="inlineStr">
        <is>
          <t>SOLO</t>
        </is>
      </c>
      <c r="D533" s="79">
        <f>IF(INDIRECT("'"&amp;$O533&amp;"'!F"&amp;$N533)="O","원자재",IF(INDIRECT("'"&amp;$O533&amp;"'!G"&amp;$N533)="O","반제품",IF(INDIRECT("'"&amp;$O533&amp;"'!H"&amp;$N533)="O","완제품","")))</f>
        <v/>
      </c>
      <c r="E533" s="79">
        <f>IFERROR(IF(INDIRECT("'"&amp;$O533&amp;"'!I"&amp;$N533)=0,"",INDIRECT("'"&amp;$O533&amp;"'!I"&amp;$N533)),"")</f>
        <v/>
      </c>
      <c r="F533" s="52" t="inlineStr">
        <is>
          <t>Bat_경첩 ( 2Ø, 26.2mm )</t>
        </is>
      </c>
      <c r="G533" s="52" t="n"/>
      <c r="H533" s="79">
        <f>IF(AND($F533="",$G533=""),"",IF($F533="","창고전용",IF($G533&lt;&gt;"","매칭완료",IF($D533="반제품","반제품(창고없음)",IF($D533="완제품","완제품(창고없음)",IF($D533="원자재","⚠ 원자재_부서보관","미분류"))))))</f>
        <v/>
      </c>
      <c r="I533" s="79">
        <f>IFERROR(IF(INDIRECT("'"&amp;$O533&amp;"'!P"&amp;$N533)=0,"",INDIRECT("'"&amp;$O533&amp;"'!P"&amp;$N533)),"")</f>
        <v/>
      </c>
      <c r="J533" s="65" t="inlineStr">
        <is>
          <t>Bat_경첩 ( 2Ø, 26.2mm )</t>
        </is>
      </c>
      <c r="K533" s="103" t="inlineStr">
        <is>
          <t>SOLO BAT 경첩 [2ɸ 26.2mm]</t>
        </is>
      </c>
      <c r="L533" s="83">
        <f>HYPERLINK("#'"&amp;$O533&amp;"'!A"&amp;$N533,"→ 조립자재 R"&amp;$N533)</f>
        <v/>
      </c>
      <c r="M533" s="84" t="n"/>
      <c r="N533" s="80" t="n">
        <v>486</v>
      </c>
      <c r="O533" s="80" t="inlineStr">
        <is>
          <t>조립자재_재고현황</t>
        </is>
      </c>
    </row>
    <row r="534" ht="30" customHeight="1">
      <c r="A534" s="56" t="inlineStr">
        <is>
          <t>조립</t>
        </is>
      </c>
      <c r="B534" s="52" t="inlineStr">
        <is>
          <t>실리콘</t>
        </is>
      </c>
      <c r="C534" s="52" t="inlineStr">
        <is>
          <t>SOLO</t>
        </is>
      </c>
      <c r="D534" s="79">
        <f>IF(INDIRECT("'"&amp;$O534&amp;"'!F"&amp;$N534)="O","원자재",IF(INDIRECT("'"&amp;$O534&amp;"'!G"&amp;$N534)="O","반제품",IF(INDIRECT("'"&amp;$O534&amp;"'!H"&amp;$N534)="O","완제품","")))</f>
        <v/>
      </c>
      <c r="E534" s="79">
        <f>IFERROR(IF(INDIRECT("'"&amp;$O534&amp;"'!I"&amp;$N534)=0,"",INDIRECT("'"&amp;$O534&amp;"'!I"&amp;$N534)),"")</f>
        <v/>
      </c>
      <c r="F534" s="52" t="inlineStr">
        <is>
          <t>Bat_Rubber (실리콘/ 양면테잎 적용)</t>
        </is>
      </c>
      <c r="G534" s="52" t="inlineStr">
        <is>
          <t>BAT BOTTOM RUBBER (RUBBER (1T, 마운트 홀)) [SOLO]</t>
        </is>
      </c>
      <c r="H534" s="79">
        <f>IF(AND($F534="",$G534=""),"",IF($F534="","창고전용",IF($G534&lt;&gt;"","매칭완료",IF($D534="반제품","반제품(창고없음)",IF($D534="완제품","완제품(창고없음)",IF($D534="원자재","⚠ 원자재_부서보관","미분류"))))))</f>
        <v/>
      </c>
      <c r="I534" s="79">
        <f>IFERROR(IF(INDIRECT("'"&amp;$O534&amp;"'!P"&amp;$N534)=0,"",INDIRECT("'"&amp;$O534&amp;"'!P"&amp;$N534)),"")</f>
        <v/>
      </c>
      <c r="J534" s="61" t="inlineStr">
        <is>
          <t>Bat_Rubber (실리콘/ 양면테잎 적용)</t>
        </is>
      </c>
      <c r="K534" s="103" t="inlineStr">
        <is>
          <t>SOLO BAT RUBBER (삼각대 홀 적용)</t>
        </is>
      </c>
      <c r="L534" s="83">
        <f>HYPERLINK("#'"&amp;$O534&amp;"'!A"&amp;$N534,"→ 조립자재 R"&amp;$N534)</f>
        <v/>
      </c>
      <c r="M534" s="84" t="n"/>
      <c r="N534" s="80" t="n">
        <v>487</v>
      </c>
      <c r="O534" s="80" t="inlineStr">
        <is>
          <t>조립자재_재고현황</t>
        </is>
      </c>
    </row>
    <row r="535" ht="30" customHeight="1">
      <c r="A535" s="56" t="inlineStr">
        <is>
          <t>조립</t>
        </is>
      </c>
      <c r="B535" s="52" t="inlineStr">
        <is>
          <t>가스켓</t>
        </is>
      </c>
      <c r="C535" s="52" t="inlineStr">
        <is>
          <t>SOLO</t>
        </is>
      </c>
      <c r="D535" s="79">
        <f>IF(INDIRECT("'"&amp;$O535&amp;"'!F"&amp;$N535)="O","원자재",IF(INDIRECT("'"&amp;$O535&amp;"'!G"&amp;$N535)="O","반제품",IF(INDIRECT("'"&amp;$O535&amp;"'!H"&amp;$N535)="O","완제품","")))</f>
        <v/>
      </c>
      <c r="E535" s="79">
        <f>IFERROR(IF(INDIRECT("'"&amp;$O535&amp;"'!I"&amp;$N535)=0,"",INDIRECT("'"&amp;$O535&amp;"'!I"&amp;$N535)),"")</f>
        <v/>
      </c>
      <c r="F535" s="52" t="inlineStr">
        <is>
          <t>LCD 터치 가스켓 ( 8x8x7mm)</t>
        </is>
      </c>
      <c r="G535" s="52" t="inlineStr">
        <is>
          <t>LCD 터치가스켓 (8X8X7) [SOLO]</t>
        </is>
      </c>
      <c r="H535" s="79">
        <f>IF(AND($F535="",$G535=""),"",IF($F535="","창고전용",IF($G535&lt;&gt;"","매칭완료",IF($D535="반제품","반제품(창고없음)",IF($D535="완제품","완제품(창고없음)",IF($D535="원자재","⚠ 원자재_부서보관","미분류"))))))</f>
        <v/>
      </c>
      <c r="I535" s="79">
        <f>IFERROR(IF(INDIRECT("'"&amp;$O535&amp;"'!P"&amp;$N535)=0,"",INDIRECT("'"&amp;$O535&amp;"'!P"&amp;$N535)),"")</f>
        <v/>
      </c>
      <c r="J535" s="61" t="inlineStr">
        <is>
          <t>LCD 터치 가스켓 ( 8x8x7mm)</t>
        </is>
      </c>
      <c r="K535" s="103" t="inlineStr">
        <is>
          <t>SOLO LCD 터치 가스켓 (8x8x7 mm)</t>
        </is>
      </c>
      <c r="L535" s="83">
        <f>HYPERLINK("#'"&amp;$O535&amp;"'!A"&amp;$N535,"→ 조립자재 R"&amp;$N535)</f>
        <v/>
      </c>
      <c r="M535" s="84" t="n"/>
      <c r="N535" s="80" t="n">
        <v>488</v>
      </c>
      <c r="O535" s="80" t="inlineStr">
        <is>
          <t>조립자재_재고현황</t>
        </is>
      </c>
    </row>
    <row r="536" ht="30" customHeight="1">
      <c r="A536" s="56" t="inlineStr">
        <is>
          <t>조립</t>
        </is>
      </c>
      <c r="B536" s="52" t="inlineStr">
        <is>
          <t>황동</t>
        </is>
      </c>
      <c r="C536" s="52" t="inlineStr">
        <is>
          <t>SOLO</t>
        </is>
      </c>
      <c r="D536" s="79">
        <f>IF(INDIRECT("'"&amp;$O536&amp;"'!F"&amp;$N536)="O","원자재",IF(INDIRECT("'"&amp;$O536&amp;"'!G"&amp;$N536)="O","반제품",IF(INDIRECT("'"&amp;$O536&amp;"'!H"&amp;$N536)="O","완제품","")))</f>
        <v/>
      </c>
      <c r="E536" s="79">
        <f>IFERROR(IF(INDIRECT("'"&amp;$O536&amp;"'!I"&amp;$N536)=0,"",INDIRECT("'"&amp;$O536&amp;"'!I"&amp;$N536)),"")</f>
        <v/>
      </c>
      <c r="F536" s="52" t="inlineStr">
        <is>
          <t>배터리_단자대</t>
        </is>
      </c>
      <c r="G536" s="52" t="n"/>
      <c r="H536" s="79">
        <f>IF(AND($F536="",$G536=""),"",IF($F536="","창고전용",IF($G536&lt;&gt;"","매칭완료",IF($D536="반제품","반제품(창고없음)",IF($D536="완제품","완제품(창고없음)",IF($D536="원자재","⚠ 원자재_부서보관","미분류"))))))</f>
        <v/>
      </c>
      <c r="I536" s="79">
        <f>IFERROR(IF(INDIRECT("'"&amp;$O536&amp;"'!P"&amp;$N536)=0,"",INDIRECT("'"&amp;$O536&amp;"'!P"&amp;$N536)),"")</f>
        <v/>
      </c>
      <c r="J536" s="61" t="inlineStr">
        <is>
          <t>배터리_단자대</t>
        </is>
      </c>
      <c r="K536" s="65" t="inlineStr">
        <is>
          <t>SOLO BATTERY CN BD 배터리 단자대</t>
        </is>
      </c>
      <c r="L536" s="83">
        <f>HYPERLINK("#'"&amp;$O536&amp;"'!A"&amp;$N536,"→ 조립자재 R"&amp;$N536)</f>
        <v/>
      </c>
      <c r="M536" s="84" t="n"/>
      <c r="N536" s="80" t="n">
        <v>489</v>
      </c>
      <c r="O536" s="80" t="inlineStr">
        <is>
          <t>조립자재_재고현황</t>
        </is>
      </c>
    </row>
    <row r="537" ht="30" customHeight="1">
      <c r="A537" s="56" t="inlineStr">
        <is>
          <t>조립</t>
        </is>
      </c>
      <c r="B537" s="52" t="inlineStr">
        <is>
          <t>은경</t>
        </is>
      </c>
      <c r="C537" s="52" t="inlineStr">
        <is>
          <t>SOLO</t>
        </is>
      </c>
      <c r="D537" s="79">
        <f>IF(INDIRECT("'"&amp;$O537&amp;"'!F"&amp;$N537)="O","원자재",IF(INDIRECT("'"&amp;$O537&amp;"'!G"&amp;$N537)="O","반제품",IF(INDIRECT("'"&amp;$O537&amp;"'!H"&amp;$N537)="O","완제품","")))</f>
        <v/>
      </c>
      <c r="E537" s="79">
        <f>IFERROR(IF(INDIRECT("'"&amp;$O537&amp;"'!I"&amp;$N537)=0,"",INDIRECT("'"&amp;$O537&amp;"'!I"&amp;$N537)),"")</f>
        <v/>
      </c>
      <c r="F537" s="52" t="inlineStr">
        <is>
          <t>에이밍 라이트 은경</t>
        </is>
      </c>
      <c r="G537" s="52" t="n"/>
      <c r="H537" s="79">
        <f>IF(AND($F537="",$G537=""),"",IF($F537="","창고전용",IF($G537&lt;&gt;"","매칭완료",IF($D537="반제품","반제품(창고없음)",IF($D537="완제품","완제품(창고없음)",IF($D537="원자재","⚠ 원자재_부서보관","미분류"))))))</f>
        <v/>
      </c>
      <c r="I537" s="79">
        <f>IFERROR(IF(INDIRECT("'"&amp;$O537&amp;"'!P"&amp;$N537)=0,"",INDIRECT("'"&amp;$O537&amp;"'!P"&amp;$N537)),"")</f>
        <v/>
      </c>
      <c r="J537" s="61" t="inlineStr">
        <is>
          <t>에이밍 라이트 은경</t>
        </is>
      </c>
      <c r="K537" s="65" t="inlineStr">
        <is>
          <t>SOLO 에이밍 아크릴 은경 [40ɸ]</t>
        </is>
      </c>
      <c r="L537" s="83">
        <f>HYPERLINK("#'"&amp;$O537&amp;"'!A"&amp;$N537,"→ 조립자재 R"&amp;$N537)</f>
        <v/>
      </c>
      <c r="M537" s="84" t="n"/>
      <c r="N537" s="80" t="n">
        <v>490</v>
      </c>
      <c r="O537" s="80" t="inlineStr">
        <is>
          <t>조립자재_재고현황</t>
        </is>
      </c>
    </row>
    <row r="538" ht="30" customHeight="1">
      <c r="A538" s="56" t="inlineStr">
        <is>
          <t>조립</t>
        </is>
      </c>
      <c r="B538" s="52" t="inlineStr">
        <is>
          <t>알루미늄</t>
        </is>
      </c>
      <c r="C538" s="52" t="inlineStr">
        <is>
          <t>SOLO</t>
        </is>
      </c>
      <c r="D538" s="79">
        <f>IF(INDIRECT("'"&amp;$O538&amp;"'!F"&amp;$N538)="O","원자재",IF(INDIRECT("'"&amp;$O538&amp;"'!G"&amp;$N538)="O","반제품",IF(INDIRECT("'"&amp;$O538&amp;"'!H"&amp;$N538)="O","완제품","")))</f>
        <v/>
      </c>
      <c r="E538" s="79">
        <f>IFERROR(IF(INDIRECT("'"&amp;$O538&amp;"'!I"&amp;$N538)=0,"",INDIRECT("'"&amp;$O538&amp;"'!I"&amp;$N538)),"")</f>
        <v/>
      </c>
      <c r="F538" s="52" t="inlineStr">
        <is>
          <t>LED PCB 방열 가이드 _ 블랙</t>
        </is>
      </c>
      <c r="G538" s="52" t="n"/>
      <c r="H538" s="79">
        <f>IF(AND($F538="",$G538=""),"",IF($F538="","창고전용",IF($G538&lt;&gt;"","매칭완료",IF($D538="반제품","반제품(창고없음)",IF($D538="완제품","완제품(창고없음)",IF($D538="원자재","⚠ 원자재_부서보관","미분류"))))))</f>
        <v/>
      </c>
      <c r="I538" s="79">
        <f>IFERROR(IF(INDIRECT("'"&amp;$O538&amp;"'!P"&amp;$N538)=0,"",INDIRECT("'"&amp;$O538&amp;"'!P"&amp;$N538)),"")</f>
        <v/>
      </c>
      <c r="J538" s="61" t="inlineStr">
        <is>
          <t>LED PCB 방열 가이드 _ 블랙</t>
        </is>
      </c>
      <c r="K538" s="103" t="inlineStr">
        <is>
          <t>SOLO PCB 방열 가이드 (B)</t>
        </is>
      </c>
      <c r="L538" s="83">
        <f>HYPERLINK("#'"&amp;$O538&amp;"'!A"&amp;$N538,"→ 조립자재 R"&amp;$N538)</f>
        <v/>
      </c>
      <c r="M538" s="84" t="n"/>
      <c r="N538" s="80" t="n">
        <v>491</v>
      </c>
      <c r="O538" s="80" t="inlineStr">
        <is>
          <t>조립자재_재고현황</t>
        </is>
      </c>
    </row>
    <row r="539" ht="30" customHeight="1">
      <c r="A539" s="56" t="inlineStr">
        <is>
          <t>조립</t>
        </is>
      </c>
      <c r="B539" s="52" t="inlineStr">
        <is>
          <t>사출</t>
        </is>
      </c>
      <c r="C539" s="52" t="inlineStr">
        <is>
          <t>SOLO</t>
        </is>
      </c>
      <c r="D539" s="79">
        <f>IF(INDIRECT("'"&amp;$O539&amp;"'!F"&amp;$N539)="O","원자재",IF(INDIRECT("'"&amp;$O539&amp;"'!G"&amp;$N539)="O","반제품",IF(INDIRECT("'"&amp;$O539&amp;"'!H"&amp;$N539)="O","완제품","")))</f>
        <v/>
      </c>
      <c r="E539" s="79">
        <f>IFERROR(IF(INDIRECT("'"&amp;$O539&amp;"'!I"&amp;$N539)=0,"",INDIRECT("'"&amp;$O539&amp;"'!I"&amp;$N539)),"")</f>
        <v/>
      </c>
      <c r="F539" s="52" t="inlineStr">
        <is>
          <t>에이밍 BODY뭉치 _ 블랙</t>
        </is>
      </c>
      <c r="G539" s="52" t="n"/>
      <c r="H539" s="79">
        <f>IF(AND($F539="",$G539=""),"",IF($F539="","창고전용",IF($G539&lt;&gt;"","매칭완료",IF($D539="반제품","반제품(창고없음)",IF($D539="완제품","완제품(창고없음)",IF($D539="원자재","⚠ 원자재_부서보관","미분류"))))))</f>
        <v/>
      </c>
      <c r="I539" s="79">
        <f>IFERROR(IF(INDIRECT("'"&amp;$O539&amp;"'!P"&amp;$N539)=0,"",INDIRECT("'"&amp;$O539&amp;"'!P"&amp;$N539)),"")</f>
        <v/>
      </c>
      <c r="J539" s="61" t="inlineStr">
        <is>
          <t>에이밍 BODY뭉치 _ 블랙</t>
        </is>
      </c>
      <c r="K539" s="103" t="inlineStr">
        <is>
          <t>SOLO 에이밍 BODY 뭉치 (B)</t>
        </is>
      </c>
      <c r="L539" s="83">
        <f>HYPERLINK("#'"&amp;$O539&amp;"'!A"&amp;$N539,"→ 조립자재 R"&amp;$N539)</f>
        <v/>
      </c>
      <c r="M539" s="84" t="n"/>
      <c r="N539" s="80" t="n">
        <v>492</v>
      </c>
      <c r="O539" s="80" t="inlineStr">
        <is>
          <t>조립자재_재고현황</t>
        </is>
      </c>
    </row>
    <row r="540" ht="30" customHeight="1">
      <c r="A540" s="56" t="inlineStr">
        <is>
          <t>조립</t>
        </is>
      </c>
      <c r="B540" s="52" t="inlineStr">
        <is>
          <t>PCB BD</t>
        </is>
      </c>
      <c r="C540" s="52" t="inlineStr">
        <is>
          <t>SOLO</t>
        </is>
      </c>
      <c r="D540" s="79">
        <f>IF(INDIRECT("'"&amp;$O540&amp;"'!F"&amp;$N540)="O","원자재",IF(INDIRECT("'"&amp;$O540&amp;"'!G"&amp;$N540)="O","반제품",IF(INDIRECT("'"&amp;$O540&amp;"'!H"&amp;$N540)="O","완제품","")))</f>
        <v/>
      </c>
      <c r="E540" s="79">
        <f>IFERROR(IF(INDIRECT("'"&amp;$O540&amp;"'!I"&amp;$N540)=0,"",INDIRECT("'"&amp;$O540&amp;"'!I"&amp;$N540)),"")</f>
        <v/>
      </c>
      <c r="F540" s="52" t="inlineStr">
        <is>
          <t>에이밍 라이트 PCB 보드</t>
        </is>
      </c>
      <c r="G540" s="52" t="n"/>
      <c r="H540" s="79">
        <f>IF(AND($F540="",$G540=""),"",IF($F540="","창고전용",IF($G540&lt;&gt;"","매칭완료",IF($D540="반제품","반제품(창고없음)",IF($D540="완제품","완제품(창고없음)",IF($D540="원자재","⚠ 원자재_부서보관","미분류"))))))</f>
        <v/>
      </c>
      <c r="I540" s="79">
        <f>IFERROR(IF(INDIRECT("'"&amp;$O540&amp;"'!P"&amp;$N540)=0,"",INDIRECT("'"&amp;$O540&amp;"'!P"&amp;$N540)),"")</f>
        <v/>
      </c>
      <c r="J540" s="61" t="inlineStr">
        <is>
          <t>에이밍 라이트 PCB 보드</t>
        </is>
      </c>
      <c r="K540" s="103" t="inlineStr">
        <is>
          <t>SOLO 에이밍 라이트 PCB 보드</t>
        </is>
      </c>
      <c r="L540" s="83">
        <f>HYPERLINK("#'"&amp;$O540&amp;"'!A"&amp;$N540,"→ 조립자재 R"&amp;$N540)</f>
        <v/>
      </c>
      <c r="M540" s="84" t="n"/>
      <c r="N540" s="80" t="n">
        <v>493</v>
      </c>
      <c r="O540" s="80" t="inlineStr">
        <is>
          <t>조립자재_재고현황</t>
        </is>
      </c>
    </row>
    <row r="541" ht="30" customHeight="1">
      <c r="A541" s="56" t="inlineStr">
        <is>
          <t>조립</t>
        </is>
      </c>
      <c r="B541" s="52" t="inlineStr">
        <is>
          <t>PCB BD</t>
        </is>
      </c>
      <c r="C541" s="52" t="inlineStr">
        <is>
          <t>SOLO</t>
        </is>
      </c>
      <c r="D541" s="79">
        <f>IF(INDIRECT("'"&amp;$O541&amp;"'!F"&amp;$N541)="O","원자재",IF(INDIRECT("'"&amp;$O541&amp;"'!G"&amp;$N541)="O","반제품",IF(INDIRECT("'"&amp;$O541&amp;"'!H"&amp;$N541)="O","완제품","")))</f>
        <v/>
      </c>
      <c r="E541" s="79">
        <f>IFERROR(IF(INDIRECT("'"&amp;$O541&amp;"'!I"&amp;$N541)=0,"",INDIRECT("'"&amp;$O541&amp;"'!I"&amp;$N541)),"")</f>
        <v/>
      </c>
      <c r="F541" s="52" t="inlineStr">
        <is>
          <t>POWER_BD</t>
        </is>
      </c>
      <c r="G541" s="52" t="inlineStr">
        <is>
          <t>POWER_BD [SOLO]</t>
        </is>
      </c>
      <c r="H541" s="79">
        <f>IF(AND($F541="",$G541=""),"",IF($F541="","창고전용",IF($G541&lt;&gt;"","매칭완료",IF($D541="반제품","반제품(창고없음)",IF($D541="완제품","완제품(창고없음)",IF($D541="원자재","⚠ 원자재_부서보관","미분류"))))))</f>
        <v/>
      </c>
      <c r="I541" s="79">
        <f>IFERROR(IF(INDIRECT("'"&amp;$O541&amp;"'!P"&amp;$N541)=0,"",INDIRECT("'"&amp;$O541&amp;"'!P"&amp;$N541)),"")</f>
        <v/>
      </c>
      <c r="J541" s="61" t="inlineStr">
        <is>
          <t>POWER_BD</t>
        </is>
      </c>
      <c r="K541" s="103" t="inlineStr">
        <is>
          <t>SOLO POWER BD (Ver 1.0.0)</t>
        </is>
      </c>
      <c r="L541" s="83">
        <f>HYPERLINK("#'"&amp;$O541&amp;"'!A"&amp;$N541,"→ 조립자재 R"&amp;$N541)</f>
        <v/>
      </c>
      <c r="M541" s="84" t="n"/>
      <c r="N541" s="80" t="n">
        <v>494</v>
      </c>
      <c r="O541" s="80" t="inlineStr">
        <is>
          <t>조립자재_재고현황</t>
        </is>
      </c>
    </row>
    <row r="542" ht="30" customHeight="1">
      <c r="A542" s="56" t="inlineStr">
        <is>
          <t>조립</t>
        </is>
      </c>
      <c r="B542" s="52" t="inlineStr">
        <is>
          <t>PCB BD</t>
        </is>
      </c>
      <c r="C542" s="52" t="inlineStr">
        <is>
          <t>SOLO</t>
        </is>
      </c>
      <c r="D542" s="79">
        <f>IF(INDIRECT("'"&amp;$O542&amp;"'!F"&amp;$N542)="O","원자재",IF(INDIRECT("'"&amp;$O542&amp;"'!G"&amp;$N542)="O","반제품",IF(INDIRECT("'"&amp;$O542&amp;"'!H"&amp;$N542)="O","완제품","")))</f>
        <v/>
      </c>
      <c r="E542" s="79">
        <f>IFERROR(IF(INDIRECT("'"&amp;$O542&amp;"'!I"&amp;$N542)=0,"",INDIRECT("'"&amp;$O542&amp;"'!I"&amp;$N542)),"")</f>
        <v/>
      </c>
      <c r="F542" s="52" t="inlineStr">
        <is>
          <t>OP_BD</t>
        </is>
      </c>
      <c r="G542" s="52" t="inlineStr">
        <is>
          <t>OP_BD [SOLO]</t>
        </is>
      </c>
      <c r="H542" s="79">
        <f>IF(AND($F542="",$G542=""),"",IF($F542="","창고전용",IF($G542&lt;&gt;"","매칭완료",IF($D542="반제품","반제품(창고없음)",IF($D542="완제품","완제품(창고없음)",IF($D542="원자재","⚠ 원자재_부서보관","미분류"))))))</f>
        <v/>
      </c>
      <c r="I542" s="79">
        <f>IFERROR(IF(INDIRECT("'"&amp;$O542&amp;"'!P"&amp;$N542)=0,"",INDIRECT("'"&amp;$O542&amp;"'!P"&amp;$N542)),"")</f>
        <v/>
      </c>
      <c r="J542" s="61" t="inlineStr">
        <is>
          <t>OP_BD</t>
        </is>
      </c>
      <c r="K542" s="65" t="inlineStr">
        <is>
          <t>SOLO OP BD (Ver 1.0.0)</t>
        </is>
      </c>
      <c r="L542" s="83">
        <f>HYPERLINK("#'"&amp;$O542&amp;"'!A"&amp;$N542,"→ 조립자재 R"&amp;$N542)</f>
        <v/>
      </c>
      <c r="M542" s="84" t="n"/>
      <c r="N542" s="80" t="n">
        <v>495</v>
      </c>
      <c r="O542" s="80" t="inlineStr">
        <is>
          <t>조립자재_재고현황</t>
        </is>
      </c>
    </row>
    <row r="543" ht="30" customHeight="1">
      <c r="A543" s="56" t="inlineStr">
        <is>
          <t>조립</t>
        </is>
      </c>
      <c r="B543" s="52" t="inlineStr">
        <is>
          <t>PCB BD</t>
        </is>
      </c>
      <c r="C543" s="52" t="inlineStr">
        <is>
          <t>SOLO</t>
        </is>
      </c>
      <c r="D543" s="79">
        <f>IF(INDIRECT("'"&amp;$O543&amp;"'!F"&amp;$N543)="O","원자재",IF(INDIRECT("'"&amp;$O543&amp;"'!G"&amp;$N543)="O","반제품",IF(INDIRECT("'"&amp;$O543&amp;"'!H"&amp;$N543)="O","완제품","")))</f>
        <v/>
      </c>
      <c r="E543" s="79">
        <f>IFERROR(IF(INDIRECT("'"&amp;$O543&amp;"'!I"&amp;$N543)=0,"",INDIRECT("'"&amp;$O543&amp;"'!I"&amp;$N543)),"")</f>
        <v/>
      </c>
      <c r="F543" s="52" t="inlineStr">
        <is>
          <t>CTR _BD</t>
        </is>
      </c>
      <c r="G543" s="52" t="inlineStr">
        <is>
          <t>CTR _BD [SOLO]</t>
        </is>
      </c>
      <c r="H543" s="79">
        <f>IF(AND($F543="",$G543=""),"",IF($F543="","창고전용",IF($G543&lt;&gt;"","매칭완료",IF($D543="반제품","반제품(창고없음)",IF($D543="완제품","완제품(창고없음)",IF($D543="원자재","⚠ 원자재_부서보관","미분류"))))))</f>
        <v/>
      </c>
      <c r="I543" s="79">
        <f>IFERROR(IF(INDIRECT("'"&amp;$O543&amp;"'!P"&amp;$N543)=0,"",INDIRECT("'"&amp;$O543&amp;"'!P"&amp;$N543)),"")</f>
        <v/>
      </c>
      <c r="J543" s="61" t="inlineStr">
        <is>
          <t>CTR _BD</t>
        </is>
      </c>
      <c r="K543" s="103" t="inlineStr">
        <is>
          <t>SOLO CTR BD (Ver 1.0.0)</t>
        </is>
      </c>
      <c r="L543" s="83">
        <f>HYPERLINK("#'"&amp;$O543&amp;"'!A"&amp;$N543,"→ 조립자재 R"&amp;$N543)</f>
        <v/>
      </c>
      <c r="M543" s="84" t="n"/>
      <c r="N543" s="80" t="n">
        <v>496</v>
      </c>
      <c r="O543" s="80" t="inlineStr">
        <is>
          <t>조립자재_재고현황</t>
        </is>
      </c>
    </row>
    <row r="544" ht="30" customHeight="1">
      <c r="A544" s="56" t="inlineStr">
        <is>
          <t>조립</t>
        </is>
      </c>
      <c r="B544" s="52" t="inlineStr">
        <is>
          <t>PCB BD</t>
        </is>
      </c>
      <c r="C544" s="52" t="inlineStr">
        <is>
          <t>SOLO</t>
        </is>
      </c>
      <c r="D544" s="79">
        <f>IF(INDIRECT("'"&amp;$O544&amp;"'!F"&amp;$N544)="O","원자재",IF(INDIRECT("'"&amp;$O544&amp;"'!G"&amp;$N544)="O","반제품",IF(INDIRECT("'"&amp;$O544&amp;"'!H"&amp;$N544)="O","완제품","")))</f>
        <v/>
      </c>
      <c r="E544" s="79">
        <f>IFERROR(IF(INDIRECT("'"&amp;$O544&amp;"'!I"&amp;$N544)=0,"",INDIRECT("'"&amp;$O544&amp;"'!I"&amp;$N544)),"")</f>
        <v/>
      </c>
      <c r="F544" s="52" t="inlineStr">
        <is>
          <t>MAIN_BD</t>
        </is>
      </c>
      <c r="G544" s="52" t="inlineStr">
        <is>
          <t>MAIN_BD [SOLO]</t>
        </is>
      </c>
      <c r="H544" s="79">
        <f>IF(AND($F544="",$G544=""),"",IF($F544="","창고전용",IF($G544&lt;&gt;"","매칭완료",IF($D544="반제품","반제품(창고없음)",IF($D544="완제품","완제품(창고없음)",IF($D544="원자재","⚠ 원자재_부서보관","미분류"))))))</f>
        <v/>
      </c>
      <c r="I544" s="79">
        <f>IFERROR(IF(INDIRECT("'"&amp;$O544&amp;"'!P"&amp;$N544)=0,"",INDIRECT("'"&amp;$O544&amp;"'!P"&amp;$N544)),"")</f>
        <v/>
      </c>
      <c r="J544" s="61" t="inlineStr">
        <is>
          <t>MAIN_BD</t>
        </is>
      </c>
      <c r="K544" s="103" t="inlineStr">
        <is>
          <t>SOLO MAIN BD (Ver 1.0.0)</t>
        </is>
      </c>
      <c r="L544" s="83">
        <f>HYPERLINK("#'"&amp;$O544&amp;"'!A"&amp;$N544,"→ 조립자재 R"&amp;$N544)</f>
        <v/>
      </c>
      <c r="M544" s="84" t="n"/>
      <c r="N544" s="80" t="n">
        <v>497</v>
      </c>
      <c r="O544" s="80" t="inlineStr">
        <is>
          <t>조립자재_재고현황</t>
        </is>
      </c>
    </row>
    <row r="545" ht="30" customHeight="1">
      <c r="A545" s="56" t="inlineStr">
        <is>
          <t>조립</t>
        </is>
      </c>
      <c r="B545" s="52" t="inlineStr">
        <is>
          <t>PCB BD</t>
        </is>
      </c>
      <c r="C545" s="52" t="inlineStr">
        <is>
          <t>SOLO</t>
        </is>
      </c>
      <c r="D545" s="79">
        <f>IF(INDIRECT("'"&amp;$O545&amp;"'!F"&amp;$N545)="O","원자재",IF(INDIRECT("'"&amp;$O545&amp;"'!G"&amp;$N545)="O","반제품",IF(INDIRECT("'"&amp;$O545&amp;"'!H"&amp;$N545)="O","완제품","")))</f>
        <v/>
      </c>
      <c r="E545" s="79">
        <f>IFERROR(IF(INDIRECT("'"&amp;$O545&amp;"'!I"&amp;$N545)=0,"",INDIRECT("'"&amp;$O545&amp;"'!I"&amp;$N545)),"")</f>
        <v/>
      </c>
      <c r="F545" s="52" t="inlineStr">
        <is>
          <t>리모콘_BD</t>
        </is>
      </c>
      <c r="G545" s="52" t="inlineStr">
        <is>
          <t>리모콘_BD [SOLO]</t>
        </is>
      </c>
      <c r="H545" s="79">
        <f>IF(AND($F545="",$G545=""),"",IF($F545="","창고전용",IF($G545&lt;&gt;"","매칭완료",IF($D545="반제품","반제품(창고없음)",IF($D545="완제품","완제품(창고없음)",IF($D545="원자재","⚠ 원자재_부서보관","미분류"))))))</f>
        <v/>
      </c>
      <c r="I545" s="79">
        <f>IFERROR(IF(INDIRECT("'"&amp;$O545&amp;"'!P"&amp;$N545)=0,"",INDIRECT("'"&amp;$O545&amp;"'!P"&amp;$N545)),"")</f>
        <v/>
      </c>
      <c r="J545" s="61" t="inlineStr">
        <is>
          <t>리모콘_BD</t>
        </is>
      </c>
      <c r="K545" s="103" t="inlineStr">
        <is>
          <t>SOLO REMOTE BD (Ver 1.0.0)</t>
        </is>
      </c>
      <c r="L545" s="83">
        <f>HYPERLINK("#'"&amp;$O545&amp;"'!A"&amp;$N545,"→ 조립자재 R"&amp;$N545)</f>
        <v/>
      </c>
      <c r="M545" s="84" t="n"/>
      <c r="N545" s="80" t="n">
        <v>498</v>
      </c>
      <c r="O545" s="80" t="inlineStr">
        <is>
          <t>조립자재_재고현황</t>
        </is>
      </c>
    </row>
    <row r="546" ht="30" customHeight="1">
      <c r="A546" s="56" t="inlineStr">
        <is>
          <t>조립</t>
        </is>
      </c>
      <c r="B546" s="52" t="inlineStr">
        <is>
          <t>PCB BD</t>
        </is>
      </c>
      <c r="C546" s="52" t="inlineStr">
        <is>
          <t>SOLO</t>
        </is>
      </c>
      <c r="D546" s="79">
        <f>IF(INDIRECT("'"&amp;$O546&amp;"'!F"&amp;$N546)="O","원자재",IF(INDIRECT("'"&amp;$O546&amp;"'!G"&amp;$N546)="O","반제품",IF(INDIRECT("'"&amp;$O546&amp;"'!H"&amp;$N546)="O","완제품","")))</f>
        <v/>
      </c>
      <c r="E546" s="79">
        <f>IFERROR(IF(INDIRECT("'"&amp;$O546&amp;"'!I"&amp;$N546)=0,"",INDIRECT("'"&amp;$O546&amp;"'!I"&amp;$N546)),"")</f>
        <v/>
      </c>
      <c r="F546" s="52" t="inlineStr">
        <is>
          <t>EXP_BD</t>
        </is>
      </c>
      <c r="G546" s="52" t="inlineStr">
        <is>
          <t>EXP_BD [SOLO]</t>
        </is>
      </c>
      <c r="H546" s="79">
        <f>IF(AND($F546="",$G546=""),"",IF($F546="","창고전용",IF($G546&lt;&gt;"","매칭완료",IF($D546="반제품","반제품(창고없음)",IF($D546="완제품","완제품(창고없음)",IF($D546="원자재","⚠ 원자재_부서보관","미분류"))))))</f>
        <v/>
      </c>
      <c r="I546" s="79">
        <f>IFERROR(IF(INDIRECT("'"&amp;$O546&amp;"'!P"&amp;$N546)=0,"",INDIRECT("'"&amp;$O546&amp;"'!P"&amp;$N546)),"")</f>
        <v/>
      </c>
      <c r="J546" s="61" t="inlineStr">
        <is>
          <t>EXP_BD</t>
        </is>
      </c>
      <c r="K546" s="103" t="inlineStr">
        <is>
          <t>SOLO EXP SW BD (Ver 1.0.0)</t>
        </is>
      </c>
      <c r="L546" s="83">
        <f>HYPERLINK("#'"&amp;$O546&amp;"'!A"&amp;$N546,"→ 조립자재 R"&amp;$N546)</f>
        <v/>
      </c>
      <c r="M546" s="84" t="n"/>
      <c r="N546" s="80" t="n">
        <v>499</v>
      </c>
      <c r="O546" s="80" t="inlineStr">
        <is>
          <t>조립자재_재고현황</t>
        </is>
      </c>
    </row>
    <row r="547" ht="30" customHeight="1">
      <c r="A547" s="56" t="inlineStr">
        <is>
          <t>조립</t>
        </is>
      </c>
      <c r="B547" s="52" t="inlineStr">
        <is>
          <t>PCB BD</t>
        </is>
      </c>
      <c r="C547" s="52" t="inlineStr">
        <is>
          <t>SOLO</t>
        </is>
      </c>
      <c r="D547" s="79">
        <f>IF(INDIRECT("'"&amp;$O547&amp;"'!F"&amp;$N547)="O","원자재",IF(INDIRECT("'"&amp;$O547&amp;"'!G"&amp;$N547)="O","반제품",IF(INDIRECT("'"&amp;$O547&amp;"'!H"&amp;$N547)="O","완제품","")))</f>
        <v/>
      </c>
      <c r="E547" s="79">
        <f>IFERROR(IF(INDIRECT("'"&amp;$O547&amp;"'!I"&amp;$N547)=0,"",INDIRECT("'"&amp;$O547&amp;"'!I"&amp;$N547)),"")</f>
        <v/>
      </c>
      <c r="F547" s="52" t="inlineStr">
        <is>
          <t>BATCON_BD</t>
        </is>
      </c>
      <c r="G547" s="52" t="inlineStr">
        <is>
          <t>BATCON_BD [SOLO]</t>
        </is>
      </c>
      <c r="H547" s="79">
        <f>IF(AND($F547="",$G547=""),"",IF($F547="","창고전용",IF($G547&lt;&gt;"","매칭완료",IF($D547="반제품","반제품(창고없음)",IF($D547="완제품","완제품(창고없음)",IF($D547="원자재","⚠ 원자재_부서보관","미분류"))))))</f>
        <v/>
      </c>
      <c r="I547" s="79">
        <f>IFERROR(IF(INDIRECT("'"&amp;$O547&amp;"'!P"&amp;$N547)=0,"",INDIRECT("'"&amp;$O547&amp;"'!P"&amp;$N547)),"")</f>
        <v/>
      </c>
      <c r="J547" s="61" t="inlineStr">
        <is>
          <t>BATCON_BD</t>
        </is>
      </c>
      <c r="K547" s="103" t="inlineStr">
        <is>
          <t>SOLO BATTERY CN BD (Ver 1.0.0)</t>
        </is>
      </c>
      <c r="L547" s="83">
        <f>HYPERLINK("#'"&amp;$O547&amp;"'!A"&amp;$N547,"→ 조립자재 R"&amp;$N547)</f>
        <v/>
      </c>
      <c r="M547" s="84" t="n"/>
      <c r="N547" s="80" t="n">
        <v>500</v>
      </c>
      <c r="O547" s="80" t="inlineStr">
        <is>
          <t>조립자재_재고현황</t>
        </is>
      </c>
    </row>
    <row r="548" ht="30" customHeight="1">
      <c r="A548" s="56" t="inlineStr">
        <is>
          <t>조립</t>
        </is>
      </c>
      <c r="B548" s="52" t="inlineStr">
        <is>
          <t>하네스</t>
        </is>
      </c>
      <c r="C548" s="52" t="inlineStr">
        <is>
          <t>SOLO</t>
        </is>
      </c>
      <c r="D548" s="79">
        <f>IF(INDIRECT("'"&amp;$O548&amp;"'!F"&amp;$N548)="O","원자재",IF(INDIRECT("'"&amp;$O548&amp;"'!G"&amp;$N548)="O","반제품",IF(INDIRECT("'"&amp;$O548&amp;"'!H"&amp;$N548)="O","완제품","")))</f>
        <v/>
      </c>
      <c r="E548" s="79">
        <f>IFERROR(IF(INDIRECT("'"&amp;$O548&amp;"'!I"&amp;$N548)=0,"",INDIRECT("'"&amp;$O548&amp;"'!I"&amp;$N548)),"")</f>
        <v/>
      </c>
      <c r="F548" s="52" t="inlineStr">
        <is>
          <t>Harness-01 - COCOON과 공용 ( BATCON BD+EXP BD 연결 _16AWG 실리콘 / 150mm)</t>
        </is>
      </c>
      <c r="G548" s="52" t="inlineStr">
        <is>
          <t>SOLO 하네스 2번 (12505HS-03 Battery-Handle bridge 3핀) [SOLO]</t>
        </is>
      </c>
      <c r="H548" s="79">
        <f>IF(AND($F548="",$G548=""),"",IF($F548="","창고전용",IF($G548&lt;&gt;"","매칭완료",IF($D548="반제품","반제품(창고없음)",IF($D548="완제품","완제품(창고없음)",IF($D548="원자재","⚠ 원자재_부서보관","미분류"))))))</f>
        <v/>
      </c>
      <c r="I548" s="79">
        <f>IFERROR(IF(INDIRECT("'"&amp;$O548&amp;"'!P"&amp;$N548)=0,"",INDIRECT("'"&amp;$O548&amp;"'!P"&amp;$N548)),"")</f>
        <v/>
      </c>
      <c r="J548" s="61" t="inlineStr">
        <is>
          <t>Harness-01 - COCOON과 공용 ( BATCON BD+EXP BD 연결 _16AWG 실리콘 / 150mm)</t>
        </is>
      </c>
      <c r="K548" s="103" t="inlineStr">
        <is>
          <t>SOLO BATCON to EXP 4핀 (YH396-04V) 150mm [하네스 4-2번]</t>
        </is>
      </c>
      <c r="L548" s="83">
        <f>HYPERLINK("#'"&amp;$O548&amp;"'!A"&amp;$N548,"→ 조립자재 R"&amp;$N548)</f>
        <v/>
      </c>
      <c r="M548" s="84" t="n"/>
      <c r="N548" s="80" t="n">
        <v>501</v>
      </c>
      <c r="O548" s="80" t="inlineStr">
        <is>
          <t>조립자재_재고현황</t>
        </is>
      </c>
    </row>
    <row r="549" ht="30" customHeight="1">
      <c r="A549" s="56" t="inlineStr">
        <is>
          <t>조립</t>
        </is>
      </c>
      <c r="B549" s="52" t="inlineStr">
        <is>
          <t>하네스</t>
        </is>
      </c>
      <c r="C549" s="52" t="inlineStr">
        <is>
          <t>SOLO</t>
        </is>
      </c>
      <c r="D549" s="79">
        <f>IF(INDIRECT("'"&amp;$O549&amp;"'!F"&amp;$N549)="O","원자재",IF(INDIRECT("'"&amp;$O549&amp;"'!G"&amp;$N549)="O","반제품",IF(INDIRECT("'"&amp;$O549&amp;"'!H"&amp;$N549)="O","완제품","")))</f>
        <v/>
      </c>
      <c r="E549" s="79">
        <f>IFERROR(IF(INDIRECT("'"&amp;$O549&amp;"'!I"&amp;$N549)=0,"",INDIRECT("'"&amp;$O549&amp;"'!I"&amp;$N549)),"")</f>
        <v/>
      </c>
      <c r="F549" s="52" t="inlineStr">
        <is>
          <t>Harness-02 ( BATCON BD + EXP BD 연결 _26AWG / 190mm )</t>
        </is>
      </c>
      <c r="G549" s="52" t="inlineStr">
        <is>
          <t>SOLO 하네스 4번 (BATCON+EXP _ 190mm(Red1EA, White 2EA)-3핀) [SOLO]</t>
        </is>
      </c>
      <c r="H549" s="79">
        <f>IF(AND($F549="",$G549=""),"",IF($F549="","창고전용",IF($G549&lt;&gt;"","매칭완료",IF($D549="반제품","반제품(창고없음)",IF($D549="완제품","완제품(창고없음)",IF($D549="원자재","⚠ 원자재_부서보관","미분류"))))))</f>
        <v/>
      </c>
      <c r="I549" s="79">
        <f>IFERROR(IF(INDIRECT("'"&amp;$O549&amp;"'!P"&amp;$N549)=0,"",INDIRECT("'"&amp;$O549&amp;"'!P"&amp;$N549)),"")</f>
        <v/>
      </c>
      <c r="J549" s="61" t="inlineStr">
        <is>
          <t>Harness-02 ( BATCON BD + EXP BD 연결 _26AWG / 190mm )</t>
        </is>
      </c>
      <c r="K549" s="103" t="inlineStr">
        <is>
          <t>SOLO BATCON to EXP 3핀 (12505HS-03) 190mm [하네스 4-1번]</t>
        </is>
      </c>
      <c r="L549" s="83">
        <f>HYPERLINK("#'"&amp;$O549&amp;"'!A"&amp;$N549,"→ 조립자재 R"&amp;$N549)</f>
        <v/>
      </c>
      <c r="M549" s="84" t="n"/>
      <c r="N549" s="80" t="n">
        <v>502</v>
      </c>
      <c r="O549" s="80" t="inlineStr">
        <is>
          <t>조립자재_재고현황</t>
        </is>
      </c>
    </row>
    <row r="550" ht="30" customHeight="1">
      <c r="A550" s="56" t="inlineStr">
        <is>
          <t>조립</t>
        </is>
      </c>
      <c r="B550" s="52" t="inlineStr">
        <is>
          <t>하네스</t>
        </is>
      </c>
      <c r="C550" s="52" t="inlineStr">
        <is>
          <t>SOLO</t>
        </is>
      </c>
      <c r="D550" s="79">
        <f>IF(INDIRECT("'"&amp;$O550&amp;"'!F"&amp;$N550)="O","원자재",IF(INDIRECT("'"&amp;$O550&amp;"'!G"&amp;$N550)="O","반제품",IF(INDIRECT("'"&amp;$O550&amp;"'!H"&amp;$N550)="O","완제품","")))</f>
        <v/>
      </c>
      <c r="E550" s="79">
        <f>IFERROR(IF(INDIRECT("'"&amp;$O550&amp;"'!I"&amp;$N550)=0,"",INDIRECT("'"&amp;$O550&amp;"'!I"&amp;$N550)),"")</f>
        <v/>
      </c>
      <c r="F550" s="52" t="inlineStr">
        <is>
          <t>Harness-03 ( OP BD+POWER BD 연결_26AWG / 125mm(6번 제외) )</t>
        </is>
      </c>
      <c r="G550" s="52" t="inlineStr">
        <is>
          <t>SOLO 하네스 1번 (12505HS-12 (PowerBD - OP 12핀)) [SOLO]</t>
        </is>
      </c>
      <c r="H550" s="79">
        <f>IF(AND($F550="",$G550=""),"",IF($F550="","창고전용",IF($G550&lt;&gt;"","매칭완료",IF($D550="반제품","반제품(창고없음)",IF($D550="완제품","완제품(창고없음)",IF($D550="원자재","⚠ 원자재_부서보관","미분류"))))))</f>
        <v/>
      </c>
      <c r="I550" s="79">
        <f>IFERROR(IF(INDIRECT("'"&amp;$O550&amp;"'!P"&amp;$N550)=0,"",INDIRECT("'"&amp;$O550&amp;"'!P"&amp;$N550)),"")</f>
        <v/>
      </c>
      <c r="J550" s="61" t="inlineStr">
        <is>
          <t>Harness-03 ( OP BD+POWER BD 연결_26AWG / 125mm(6번 제외) )</t>
        </is>
      </c>
      <c r="K550" s="103" t="inlineStr">
        <is>
          <t>SOLO OP to POWER SWITCH 12핀 (12505HS-12) 100mm [하네스 2번]</t>
        </is>
      </c>
      <c r="L550" s="83">
        <f>HYPERLINK("#'"&amp;$O550&amp;"'!A"&amp;$N550,"→ 조립자재 R"&amp;$N550)</f>
        <v/>
      </c>
      <c r="M550" s="84" t="n"/>
      <c r="N550" s="80" t="n">
        <v>503</v>
      </c>
      <c r="O550" s="80" t="inlineStr">
        <is>
          <t>조립자재_재고현황</t>
        </is>
      </c>
    </row>
    <row r="551" ht="30" customHeight="1">
      <c r="A551" s="56" t="inlineStr">
        <is>
          <t>조립</t>
        </is>
      </c>
      <c r="B551" s="52" t="inlineStr">
        <is>
          <t>하네스</t>
        </is>
      </c>
      <c r="C551" s="52" t="inlineStr">
        <is>
          <t>SOLO</t>
        </is>
      </c>
      <c r="D551" s="79">
        <f>IF(INDIRECT("'"&amp;$O551&amp;"'!F"&amp;$N551)="O","원자재",IF(INDIRECT("'"&amp;$O551&amp;"'!G"&amp;$N551)="O","반제품",IF(INDIRECT("'"&amp;$O551&amp;"'!H"&amp;$N551)="O","완제품","")))</f>
        <v/>
      </c>
      <c r="E551" s="79">
        <f>IFERROR(IF(INDIRECT("'"&amp;$O551&amp;"'!I"&amp;$N551)=0,"",INDIRECT("'"&amp;$O551&amp;"'!I"&amp;$N551)),"")</f>
        <v/>
      </c>
      <c r="F551" s="52" t="inlineStr">
        <is>
          <t>Harness-04 ( OP BD + CTR BD 연결 _0.5mm FFC / 100mm )</t>
        </is>
      </c>
      <c r="G551" s="52" t="inlineStr">
        <is>
          <t>SOLO 하네스 3번 (0.5 * 40 * 100 * B (FFC 40핀)) [SOLO]</t>
        </is>
      </c>
      <c r="H551" s="79">
        <f>IF(AND($F551="",$G551=""),"",IF($F551="","창고전용",IF($G551&lt;&gt;"","매칭완료",IF($D551="반제품","반제품(창고없음)",IF($D551="완제품","완제품(창고없음)",IF($D551="원자재","⚠ 원자재_부서보관","미분류"))))))</f>
        <v/>
      </c>
      <c r="I551" s="79">
        <f>IFERROR(IF(INDIRECT("'"&amp;$O551&amp;"'!P"&amp;$N551)=0,"",INDIRECT("'"&amp;$O551&amp;"'!P"&amp;$N551)),"")</f>
        <v/>
      </c>
      <c r="J551" s="61" t="inlineStr">
        <is>
          <t>Harness-04 ( OP BD + CTR BD 연결 _0.5mm FFC / 100mm )</t>
        </is>
      </c>
      <c r="K551" s="103" t="inlineStr">
        <is>
          <t>SOLO OP to CTR 40핀 FFC CABLE 100mm [하네스 3번]</t>
        </is>
      </c>
      <c r="L551" s="83">
        <f>HYPERLINK("#'"&amp;$O551&amp;"'!A"&amp;$N551,"→ 조립자재 R"&amp;$N551)</f>
        <v/>
      </c>
      <c r="M551" s="84" t="n"/>
      <c r="N551" s="80" t="n">
        <v>504</v>
      </c>
      <c r="O551" s="80" t="inlineStr">
        <is>
          <t>조립자재_재고현황</t>
        </is>
      </c>
    </row>
    <row r="552" ht="30" customHeight="1">
      <c r="A552" s="56" t="inlineStr">
        <is>
          <t>조립</t>
        </is>
      </c>
      <c r="B552" s="52" t="inlineStr">
        <is>
          <t>하네스</t>
        </is>
      </c>
      <c r="C552" s="52" t="inlineStr">
        <is>
          <t>SOLO</t>
        </is>
      </c>
      <c r="D552" s="79">
        <f>IF(INDIRECT("'"&amp;$O552&amp;"'!F"&amp;$N552)="O","원자재",IF(INDIRECT("'"&amp;$O552&amp;"'!G"&amp;$N552)="O","반제품",IF(INDIRECT("'"&amp;$O552&amp;"'!H"&amp;$N552)="O","완제품","")))</f>
        <v/>
      </c>
      <c r="E552" s="79">
        <f>IFERROR(IF(INDIRECT("'"&amp;$O552&amp;"'!I"&amp;$N552)=0,"",INDIRECT("'"&amp;$O552&amp;"'!I"&amp;$N552)),"")</f>
        <v/>
      </c>
      <c r="F552" s="52" t="inlineStr">
        <is>
          <t>Harness-05 ( Main PCB + 리모콘 BD 연결 3핀 )</t>
        </is>
      </c>
      <c r="G552" s="52" t="n"/>
      <c r="H552" s="79">
        <f>IF(AND($F552="",$G552=""),"",IF($F552="","창고전용",IF($G552&lt;&gt;"","매칭완료",IF($D552="반제품","반제품(창고없음)",IF($D552="완제품","완제품(창고없음)",IF($D552="원자재","⚠ 원자재_부서보관","미분류"))))))</f>
        <v/>
      </c>
      <c r="I552" s="79">
        <f>IFERROR(IF(INDIRECT("'"&amp;$O552&amp;"'!P"&amp;$N552)=0,"",INDIRECT("'"&amp;$O552&amp;"'!P"&amp;$N552)),"")</f>
        <v/>
      </c>
      <c r="J552" s="61" t="inlineStr">
        <is>
          <t>Harness-05 ( Main PCB + 리모콘 BD 연결 3핀 )</t>
        </is>
      </c>
      <c r="K552" s="103" t="inlineStr">
        <is>
          <t>SOLO MAIN to REMOTE 3핀 (12505HS-03) 60mm [하네스 1번]</t>
        </is>
      </c>
      <c r="L552" s="83">
        <f>HYPERLINK("#'"&amp;$O552&amp;"'!A"&amp;$N552,"→ 조립자재 R"&amp;$N552)</f>
        <v/>
      </c>
      <c r="M552" s="84" t="n"/>
      <c r="N552" s="80" t="n">
        <v>505</v>
      </c>
      <c r="O552" s="80" t="inlineStr">
        <is>
          <t>조립자재_재고현황</t>
        </is>
      </c>
    </row>
    <row r="553" ht="30" customHeight="1">
      <c r="A553" s="56" t="inlineStr">
        <is>
          <t>조립</t>
        </is>
      </c>
      <c r="B553" s="52" t="inlineStr">
        <is>
          <t>SOLO ASS'Y</t>
        </is>
      </c>
      <c r="C553" s="52" t="inlineStr">
        <is>
          <t>SOLO</t>
        </is>
      </c>
      <c r="D553" s="79">
        <f>IF(INDIRECT("'"&amp;$O553&amp;"'!F"&amp;$N553)="O","원자재",IF(INDIRECT("'"&amp;$O553&amp;"'!G"&amp;$N553)="O","반제품",IF(INDIRECT("'"&amp;$O553&amp;"'!H"&amp;$N553)="O","완제품","")))</f>
        <v/>
      </c>
      <c r="E553" s="79">
        <f>IFERROR(IF(INDIRECT("'"&amp;$O553&amp;"'!I"&amp;$N553)=0,"",INDIRECT("'"&amp;$O553&amp;"'!I"&amp;$N553)),"")</f>
        <v/>
      </c>
      <c r="F553" s="52" t="inlineStr">
        <is>
          <t>SOLO _ TOP BODY ASS'Y</t>
        </is>
      </c>
      <c r="G553" s="52" t="n"/>
      <c r="H553" s="79">
        <f>IF(AND($F553="",$G553=""),"",IF($F553="","창고전용",IF($G553&lt;&gt;"","매칭완료",IF($D553="반제품","반제품(창고없음)",IF($D553="완제품","완제품(창고없음)",IF($D553="원자재","⚠ 원자재_부서보관","미분류"))))))</f>
        <v/>
      </c>
      <c r="I553" s="79">
        <f>IFERROR(IF(INDIRECT("'"&amp;$O553&amp;"'!P"&amp;$N553)=0,"",INDIRECT("'"&amp;$O553&amp;"'!P"&amp;$N553)),"")</f>
        <v/>
      </c>
      <c r="J553" s="61" t="inlineStr">
        <is>
          <t>SOLO _ TOP BODY ASS'Y</t>
        </is>
      </c>
      <c r="K553" s="103" t="inlineStr">
        <is>
          <t>SOLO TOP BODY ASS'Y</t>
        </is>
      </c>
      <c r="L553" s="83">
        <f>HYPERLINK("#'"&amp;$O553&amp;"'!A"&amp;$N553,"→ 조립자재 R"&amp;$N553)</f>
        <v/>
      </c>
      <c r="M553" s="84" t="n"/>
      <c r="N553" s="80" t="n">
        <v>506</v>
      </c>
      <c r="O553" s="80" t="inlineStr">
        <is>
          <t>조립자재_재고현황</t>
        </is>
      </c>
    </row>
    <row r="554" ht="30" customHeight="1">
      <c r="A554" s="56" t="inlineStr">
        <is>
          <t>조립</t>
        </is>
      </c>
      <c r="B554" s="52" t="inlineStr">
        <is>
          <t>SOLO ASS'Y</t>
        </is>
      </c>
      <c r="C554" s="52" t="inlineStr">
        <is>
          <t>SOLO</t>
        </is>
      </c>
      <c r="D554" s="79">
        <f>IF(INDIRECT("'"&amp;$O554&amp;"'!F"&amp;$N554)="O","원자재",IF(INDIRECT("'"&amp;$O554&amp;"'!G"&amp;$N554)="O","반제품",IF(INDIRECT("'"&amp;$O554&amp;"'!H"&amp;$N554)="O","완제품","")))</f>
        <v/>
      </c>
      <c r="E554" s="79">
        <f>IFERROR(IF(INDIRECT("'"&amp;$O554&amp;"'!I"&amp;$N554)=0,"",INDIRECT("'"&amp;$O554&amp;"'!I"&amp;$N554)),"")</f>
        <v/>
      </c>
      <c r="F554" s="52" t="inlineStr">
        <is>
          <t>SOLO _ BOTTOM BODY ASS'Y</t>
        </is>
      </c>
      <c r="G554" s="52" t="n"/>
      <c r="H554" s="79">
        <f>IF(AND($F554="",$G554=""),"",IF($F554="","창고전용",IF($G554&lt;&gt;"","매칭완료",IF($D554="반제품","반제품(창고없음)",IF($D554="완제품","완제품(창고없음)",IF($D554="원자재","⚠ 원자재_부서보관","미분류"))))))</f>
        <v/>
      </c>
      <c r="I554" s="79">
        <f>IFERROR(IF(INDIRECT("'"&amp;$O554&amp;"'!P"&amp;$N554)=0,"",INDIRECT("'"&amp;$O554&amp;"'!P"&amp;$N554)),"")</f>
        <v/>
      </c>
      <c r="J554" s="61" t="inlineStr">
        <is>
          <t>SOLO _ BOTTOM BODY ASS'Y</t>
        </is>
      </c>
      <c r="K554" s="103" t="inlineStr">
        <is>
          <t>SOLO BOTTOM BODY ASS'Y</t>
        </is>
      </c>
      <c r="L554" s="83">
        <f>HYPERLINK("#'"&amp;$O554&amp;"'!A"&amp;$N554,"→ 조립자재 R"&amp;$N554)</f>
        <v/>
      </c>
      <c r="M554" s="84" t="n"/>
      <c r="N554" s="80" t="n">
        <v>507</v>
      </c>
      <c r="O554" s="80" t="inlineStr">
        <is>
          <t>조립자재_재고현황</t>
        </is>
      </c>
    </row>
    <row r="555" ht="30" customHeight="1">
      <c r="A555" s="56" t="inlineStr">
        <is>
          <t>조립</t>
        </is>
      </c>
      <c r="B555" s="52" t="inlineStr">
        <is>
          <t>SOLO ASS'Y</t>
        </is>
      </c>
      <c r="C555" s="52" t="inlineStr">
        <is>
          <t>SOLO</t>
        </is>
      </c>
      <c r="D555" s="79">
        <f>IF(INDIRECT("'"&amp;$O555&amp;"'!F"&amp;$N555)="O","원자재",IF(INDIRECT("'"&amp;$O555&amp;"'!G"&amp;$N555)="O","반제품",IF(INDIRECT("'"&amp;$O555&amp;"'!H"&amp;$N555)="O","완제품","")))</f>
        <v/>
      </c>
      <c r="E555" s="79">
        <f>IFERROR(IF(INDIRECT("'"&amp;$O555&amp;"'!I"&amp;$N555)=0,"",INDIRECT("'"&amp;$O555&amp;"'!I"&amp;$N555)),"")</f>
        <v/>
      </c>
      <c r="F555" s="52" t="inlineStr">
        <is>
          <t>SOLO _ OP BD Ass'y</t>
        </is>
      </c>
      <c r="G555" s="52" t="n"/>
      <c r="H555" s="79">
        <f>IF(AND($F555="",$G555=""),"",IF($F555="","창고전용",IF($G555&lt;&gt;"","매칭완료",IF($D555="반제품","반제품(창고없음)",IF($D555="완제품","완제품(창고없음)",IF($D555="원자재","⚠ 원자재_부서보관","미분류"))))))</f>
        <v/>
      </c>
      <c r="I555" s="79">
        <f>IFERROR(IF(INDIRECT("'"&amp;$O555&amp;"'!P"&amp;$N555)=0,"",INDIRECT("'"&amp;$O555&amp;"'!P"&amp;$N555)),"")</f>
        <v/>
      </c>
      <c r="J555" s="61" t="inlineStr">
        <is>
          <t>SOLO _ OP BD Ass'y</t>
        </is>
      </c>
      <c r="K555" s="103" t="inlineStr">
        <is>
          <t>SOLO OP BD ASS'Y</t>
        </is>
      </c>
      <c r="L555" s="83">
        <f>HYPERLINK("#'"&amp;$O555&amp;"'!A"&amp;$N555,"→ 조립자재 R"&amp;$N555)</f>
        <v/>
      </c>
      <c r="M555" s="84" t="n"/>
      <c r="N555" s="80" t="n">
        <v>508</v>
      </c>
      <c r="O555" s="80" t="inlineStr">
        <is>
          <t>조립자재_재고현황</t>
        </is>
      </c>
    </row>
    <row r="556" ht="30" customHeight="1">
      <c r="A556" s="56" t="inlineStr">
        <is>
          <t>조립</t>
        </is>
      </c>
      <c r="B556" s="52" t="inlineStr">
        <is>
          <t>SOLO ASS'Y</t>
        </is>
      </c>
      <c r="C556" s="52" t="inlineStr">
        <is>
          <t>SOLO</t>
        </is>
      </c>
      <c r="D556" s="79">
        <f>IF(INDIRECT("'"&amp;$O556&amp;"'!F"&amp;$N556)="O","원자재",IF(INDIRECT("'"&amp;$O556&amp;"'!G"&amp;$N556)="O","반제품",IF(INDIRECT("'"&amp;$O556&amp;"'!H"&amp;$N556)="O","완제품","")))</f>
        <v/>
      </c>
      <c r="E556" s="79">
        <f>IFERROR(IF(INDIRECT("'"&amp;$O556&amp;"'!I"&amp;$N556)=0,"",INDIRECT("'"&amp;$O556&amp;"'!I"&amp;$N556)),"")</f>
        <v/>
      </c>
      <c r="F556" s="52" t="inlineStr">
        <is>
          <t>SOLO _ HANDLE ASS'Y</t>
        </is>
      </c>
      <c r="G556" s="52" t="n"/>
      <c r="H556" s="79">
        <f>IF(AND($F556="",$G556=""),"",IF($F556="","창고전용",IF($G556&lt;&gt;"","매칭완료",IF($D556="반제품","반제품(창고없음)",IF($D556="완제품","완제품(창고없음)",IF($D556="원자재","⚠ 원자재_부서보관","미분류"))))))</f>
        <v/>
      </c>
      <c r="I556" s="79">
        <f>IFERROR(IF(INDIRECT("'"&amp;$O556&amp;"'!P"&amp;$N556)=0,"",INDIRECT("'"&amp;$O556&amp;"'!P"&amp;$N556)),"")</f>
        <v/>
      </c>
      <c r="J556" s="61" t="inlineStr">
        <is>
          <t>SOLO _ HANDLE ASS'Y</t>
        </is>
      </c>
      <c r="K556" s="103" t="inlineStr">
        <is>
          <t>SOLO HANDLE ASS'Y</t>
        </is>
      </c>
      <c r="L556" s="83">
        <f>HYPERLINK("#'"&amp;$O556&amp;"'!A"&amp;$N556,"→ 조립자재 R"&amp;$N556)</f>
        <v/>
      </c>
      <c r="M556" s="84" t="n"/>
      <c r="N556" s="80" t="n">
        <v>509</v>
      </c>
      <c r="O556" s="80" t="inlineStr">
        <is>
          <t>조립자재_재고현황</t>
        </is>
      </c>
    </row>
    <row r="557" ht="30" customHeight="1">
      <c r="A557" s="56" t="inlineStr">
        <is>
          <t>조립</t>
        </is>
      </c>
      <c r="B557" s="52" t="inlineStr">
        <is>
          <t>SOLO ASS'Y</t>
        </is>
      </c>
      <c r="C557" s="52" t="inlineStr">
        <is>
          <t>SOLO</t>
        </is>
      </c>
      <c r="D557" s="79">
        <f>IF(INDIRECT("'"&amp;$O557&amp;"'!F"&amp;$N557)="O","원자재",IF(INDIRECT("'"&amp;$O557&amp;"'!G"&amp;$N557)="O","반제품",IF(INDIRECT("'"&amp;$O557&amp;"'!H"&amp;$N557)="O","완제품","")))</f>
        <v/>
      </c>
      <c r="E557" s="79">
        <f>IFERROR(IF(INDIRECT("'"&amp;$O557&amp;"'!I"&amp;$N557)=0,"",INDIRECT("'"&amp;$O557&amp;"'!I"&amp;$N557)),"")</f>
        <v/>
      </c>
      <c r="F557" s="52" t="inlineStr">
        <is>
          <t>SOLO _ 18cm Cone Ass'y</t>
        </is>
      </c>
      <c r="G557" s="52" t="n"/>
      <c r="H557" s="79">
        <f>IF(AND($F557="",$G557=""),"",IF($F557="","창고전용",IF($G557&lt;&gt;"","매칭완료",IF($D557="반제품","반제품(창고없음)",IF($D557="완제품","완제품(창고없음)",IF($D557="원자재","⚠ 원자재_부서보관","미분류"))))))</f>
        <v/>
      </c>
      <c r="I557" s="79">
        <f>IFERROR(IF(INDIRECT("'"&amp;$O557&amp;"'!P"&amp;$N557)=0,"",INDIRECT("'"&amp;$O557&amp;"'!P"&amp;$N557)),"")</f>
        <v/>
      </c>
      <c r="J557" s="61" t="inlineStr">
        <is>
          <t>SOLO _ 18cm Cone Ass'y</t>
        </is>
      </c>
      <c r="K557" s="103" t="inlineStr">
        <is>
          <t>SOLO 18cm CONE ASS'Y (검정 부직포)</t>
        </is>
      </c>
      <c r="L557" s="83">
        <f>HYPERLINK("#'"&amp;$O557&amp;"'!A"&amp;$N557,"→ 조립자재 R"&amp;$N557)</f>
        <v/>
      </c>
      <c r="M557" s="84" t="n"/>
      <c r="N557" s="80" t="n">
        <v>510</v>
      </c>
      <c r="O557" s="80" t="inlineStr">
        <is>
          <t>조립자재_재고현황</t>
        </is>
      </c>
    </row>
    <row r="558" ht="30" customHeight="1">
      <c r="A558" s="56" t="inlineStr">
        <is>
          <t>조립</t>
        </is>
      </c>
      <c r="B558" s="52" t="inlineStr">
        <is>
          <t>SOLO ASS'Y</t>
        </is>
      </c>
      <c r="C558" s="52" t="inlineStr">
        <is>
          <t>SOLO</t>
        </is>
      </c>
      <c r="D558" s="79">
        <f>IF(INDIRECT("'"&amp;$O558&amp;"'!F"&amp;$N558)="O","원자재",IF(INDIRECT("'"&amp;$O558&amp;"'!G"&amp;$N558)="O","반제품",IF(INDIRECT("'"&amp;$O558&amp;"'!H"&amp;$N558)="O","완제품","")))</f>
        <v/>
      </c>
      <c r="E558" s="79">
        <f>IFERROR(IF(INDIRECT("'"&amp;$O558&amp;"'!I"&amp;$N558)=0,"",INDIRECT("'"&amp;$O558&amp;"'!I"&amp;$N558)),"")</f>
        <v/>
      </c>
      <c r="F558" s="52" t="inlineStr">
        <is>
          <t>SOLO _ 20cm Cone Ass'y</t>
        </is>
      </c>
      <c r="G558" s="52" t="n"/>
      <c r="H558" s="79">
        <f>IF(AND($F558="",$G558=""),"",IF($F558="","창고전용",IF($G558&lt;&gt;"","매칭완료",IF($D558="반제품","반제품(창고없음)",IF($D558="완제품","완제품(창고없음)",IF($D558="원자재","⚠ 원자재_부서보관","미분류"))))))</f>
        <v/>
      </c>
      <c r="I558" s="79">
        <f>IFERROR(IF(INDIRECT("'"&amp;$O558&amp;"'!P"&amp;$N558)=0,"",INDIRECT("'"&amp;$O558&amp;"'!P"&amp;$N558)),"")</f>
        <v/>
      </c>
      <c r="J558" s="61" t="inlineStr">
        <is>
          <t>SOLO _ 20cm Cone Ass'y</t>
        </is>
      </c>
      <c r="K558" s="103" t="inlineStr">
        <is>
          <t>SOLO 20cm CONE ASS'Y (검정 부직포)</t>
        </is>
      </c>
      <c r="L558" s="83">
        <f>HYPERLINK("#'"&amp;$O558&amp;"'!A"&amp;$N558,"→ 조립자재 R"&amp;$N558)</f>
        <v/>
      </c>
      <c r="M558" s="84" t="n"/>
      <c r="N558" s="80" t="n">
        <v>511</v>
      </c>
      <c r="O558" s="80" t="inlineStr">
        <is>
          <t>조립자재_재고현황</t>
        </is>
      </c>
    </row>
    <row r="559" ht="30" customHeight="1">
      <c r="A559" s="56" t="inlineStr">
        <is>
          <t>조립</t>
        </is>
      </c>
      <c r="B559" s="52" t="inlineStr">
        <is>
          <t>SOLO ASS'Y</t>
        </is>
      </c>
      <c r="C559" s="52" t="inlineStr">
        <is>
          <t>SOLO</t>
        </is>
      </c>
      <c r="D559" s="79">
        <f>IF(INDIRECT("'"&amp;$O559&amp;"'!F"&amp;$N559)="O","원자재",IF(INDIRECT("'"&amp;$O559&amp;"'!G"&amp;$N559)="O","반제품",IF(INDIRECT("'"&amp;$O559&amp;"'!H"&amp;$N559)="O","완제품","")))</f>
        <v/>
      </c>
      <c r="E559" s="79">
        <f>IFERROR(IF(INDIRECT("'"&amp;$O559&amp;"'!I"&amp;$N559)=0,"",INDIRECT("'"&amp;$O559&amp;"'!I"&amp;$N559)),"")</f>
        <v/>
      </c>
      <c r="F559" s="52" t="inlineStr">
        <is>
          <t>SOLO _ 에이밍 라이트 ASS'Y</t>
        </is>
      </c>
      <c r="G559" s="52" t="n"/>
      <c r="H559" s="79">
        <f>IF(AND($F559="",$G559=""),"",IF($F559="","창고전용",IF($G559&lt;&gt;"","매칭완료",IF($D559="반제품","반제품(창고없음)",IF($D559="완제품","완제품(창고없음)",IF($D559="원자재","⚠ 원자재_부서보관","미분류"))))))</f>
        <v/>
      </c>
      <c r="I559" s="79">
        <f>IFERROR(IF(INDIRECT("'"&amp;$O559&amp;"'!P"&amp;$N559)=0,"",INDIRECT("'"&amp;$O559&amp;"'!P"&amp;$N559)),"")</f>
        <v/>
      </c>
      <c r="J559" s="61" t="inlineStr">
        <is>
          <t>SOLO _ 에이밍 라이트 ASS'Y</t>
        </is>
      </c>
      <c r="K559" s="103" t="inlineStr">
        <is>
          <t>SOLO 에이밍라이트 ASS'Y</t>
        </is>
      </c>
      <c r="L559" s="83">
        <f>HYPERLINK("#'"&amp;$O559&amp;"'!A"&amp;$N559,"→ 조립자재 R"&amp;$N559)</f>
        <v/>
      </c>
      <c r="M559" s="84" t="n"/>
      <c r="N559" s="80" t="n">
        <v>512</v>
      </c>
      <c r="O559" s="80" t="inlineStr">
        <is>
          <t>조립자재_재고현황</t>
        </is>
      </c>
    </row>
    <row r="560" ht="30" customHeight="1">
      <c r="A560" s="57" t="inlineStr">
        <is>
          <t>출하</t>
        </is>
      </c>
      <c r="B560" s="52" t="inlineStr">
        <is>
          <t>스탠드</t>
        </is>
      </c>
      <c r="C560" s="52" t="inlineStr">
        <is>
          <t>ADX6000 공용</t>
        </is>
      </c>
      <c r="D560" s="79">
        <f>IF(INDIRECT("'"&amp;$O560&amp;"'!F"&amp;$N560)="O","원자재",IF(INDIRECT("'"&amp;$O560&amp;"'!G"&amp;$N560)="O","반제품",IF(INDIRECT("'"&amp;$O560&amp;"'!H"&amp;$N560)="O","완제품","")))</f>
        <v/>
      </c>
      <c r="E560" s="79">
        <f>IFERROR(IF(INDIRECT("'"&amp;$O560&amp;"'!I"&amp;$N560)=0,"",INDIRECT("'"&amp;$O560&amp;"'!I"&amp;$N560)),"")</f>
        <v/>
      </c>
      <c r="F560" s="52" t="inlineStr">
        <is>
          <t>국내용 스탠드 브라켓 1. BLOCK</t>
        </is>
      </c>
      <c r="G560" s="52" t="inlineStr">
        <is>
          <t>국내용 스탠드 브라켓 1. BLOCK [ADX6000]</t>
        </is>
      </c>
      <c r="H560" s="79">
        <f>IF(AND($F560="",$G560=""),"",IF($F560="","창고전용",IF($G560&lt;&gt;"","매칭완료",IF($D560="반제품","반제품(창고없음)",IF($D560="완제품","완제품(창고없음)",IF($D560="원자재","⚠ 원자재_부서보관","미분류"))))))</f>
        <v/>
      </c>
      <c r="I560" s="79">
        <f>IFERROR(IF(INDIRECT("'"&amp;$O560&amp;"'!P"&amp;$N560)=0,"",INDIRECT("'"&amp;$O560&amp;"'!P"&amp;$N560)),"")</f>
        <v/>
      </c>
      <c r="J560" s="65" t="inlineStr">
        <is>
          <t>국내용 스탠드 브라켓 1. BLOCK</t>
        </is>
      </c>
      <c r="K560" s="103" t="inlineStr">
        <is>
          <t>ADX6000 국내용 스탠드 브라켓 1. BLOCK</t>
        </is>
      </c>
      <c r="L560" s="83">
        <f>HYPERLINK("#'"&amp;$O560&amp;"'!A"&amp;$N560,"→ 조립자재 R"&amp;$N560)</f>
        <v/>
      </c>
      <c r="M560" s="84" t="n"/>
      <c r="N560" s="80" t="n">
        <v>235</v>
      </c>
      <c r="O560" s="80" t="inlineStr">
        <is>
          <t>조립자재_재고현황</t>
        </is>
      </c>
    </row>
    <row r="561" ht="30" customHeight="1">
      <c r="A561" s="57" t="inlineStr">
        <is>
          <t>출하</t>
        </is>
      </c>
      <c r="B561" s="52" t="inlineStr">
        <is>
          <t>스탠드</t>
        </is>
      </c>
      <c r="C561" s="52" t="inlineStr">
        <is>
          <t>ADX6000 공용</t>
        </is>
      </c>
      <c r="D561" s="79">
        <f>IF(INDIRECT("'"&amp;$O561&amp;"'!F"&amp;$N561)="O","원자재",IF(INDIRECT("'"&amp;$O561&amp;"'!G"&amp;$N561)="O","반제품",IF(INDIRECT("'"&amp;$O561&amp;"'!H"&amp;$N561)="O","완제품","")))</f>
        <v/>
      </c>
      <c r="E561" s="79">
        <f>IFERROR(IF(INDIRECT("'"&amp;$O561&amp;"'!I"&amp;$N561)=0,"",INDIRECT("'"&amp;$O561&amp;"'!I"&amp;$N561)),"")</f>
        <v/>
      </c>
      <c r="F561" s="52" t="inlineStr">
        <is>
          <t>국내용 스탠드 브라켓 2. ARM</t>
        </is>
      </c>
      <c r="G561" s="52" t="inlineStr">
        <is>
          <t>국내용 스탠드 브라켓 2. ARM [ADX6000]</t>
        </is>
      </c>
      <c r="H561" s="79">
        <f>IF(AND($F561="",$G561=""),"",IF($F561="","창고전용",IF($G561&lt;&gt;"","매칭완료",IF($D561="반제품","반제품(창고없음)",IF($D561="완제품","완제품(창고없음)",IF($D561="원자재","⚠ 원자재_부서보관","미분류"))))))</f>
        <v/>
      </c>
      <c r="I561" s="79">
        <f>IFERROR(IF(INDIRECT("'"&amp;$O561&amp;"'!P"&amp;$N561)=0,"",INDIRECT("'"&amp;$O561&amp;"'!P"&amp;$N561)),"")</f>
        <v/>
      </c>
      <c r="J561" s="65" t="inlineStr">
        <is>
          <t>국내용 스탠드 브라켓 2. ARM</t>
        </is>
      </c>
      <c r="K561" s="103" t="inlineStr">
        <is>
          <t>ADX6000 국내용 스탠드 브라켓 2. ARM</t>
        </is>
      </c>
      <c r="L561" s="83">
        <f>HYPERLINK("#'"&amp;$O561&amp;"'!A"&amp;$N561,"→ 조립자재 R"&amp;$N561)</f>
        <v/>
      </c>
      <c r="M561" s="84" t="n"/>
      <c r="N561" s="80" t="n">
        <v>236</v>
      </c>
      <c r="O561" s="80" t="inlineStr">
        <is>
          <t>조립자재_재고현황</t>
        </is>
      </c>
    </row>
    <row r="562" ht="30" customHeight="1">
      <c r="A562" s="57" t="inlineStr">
        <is>
          <t>출하</t>
        </is>
      </c>
      <c r="B562" s="52" t="inlineStr">
        <is>
          <t>스탠드</t>
        </is>
      </c>
      <c r="C562" s="52" t="inlineStr">
        <is>
          <t>ADX6000 공용</t>
        </is>
      </c>
      <c r="D562" s="79">
        <f>IF(INDIRECT("'"&amp;$O562&amp;"'!F"&amp;$N562)="O","원자재",IF(INDIRECT("'"&amp;$O562&amp;"'!G"&amp;$N562)="O","반제품",IF(INDIRECT("'"&amp;$O562&amp;"'!H"&amp;$N562)="O","완제품","")))</f>
        <v/>
      </c>
      <c r="E562" s="79">
        <f>IFERROR(IF(INDIRECT("'"&amp;$O562&amp;"'!I"&amp;$N562)=0,"",INDIRECT("'"&amp;$O562&amp;"'!I"&amp;$N562)),"")</f>
        <v/>
      </c>
      <c r="F562" s="52" t="inlineStr">
        <is>
          <t>국내용 스탠드 브라켓 3. TILT BODY</t>
        </is>
      </c>
      <c r="G562" s="52" t="inlineStr">
        <is>
          <t>국내용 스탠드 브라켓 3. TILT BODY [ADX6000]</t>
        </is>
      </c>
      <c r="H562" s="79">
        <f>IF(AND($F562="",$G562=""),"",IF($F562="","창고전용",IF($G562&lt;&gt;"","매칭완료",IF($D562="반제품","반제품(창고없음)",IF($D562="완제품","완제품(창고없음)",IF($D562="원자재","⚠ 원자재_부서보관","미분류"))))))</f>
        <v/>
      </c>
      <c r="I562" s="79">
        <f>IFERROR(IF(INDIRECT("'"&amp;$O562&amp;"'!P"&amp;$N562)=0,"",INDIRECT("'"&amp;$O562&amp;"'!P"&amp;$N562)),"")</f>
        <v/>
      </c>
      <c r="J562" s="65" t="inlineStr">
        <is>
          <t>국내용 스탠드 브라켓 3. TILT BODY</t>
        </is>
      </c>
      <c r="K562" s="103" t="inlineStr">
        <is>
          <t>ADX6000 국내용 스탠드 브라켓 3. TILT BODY</t>
        </is>
      </c>
      <c r="L562" s="83">
        <f>HYPERLINK("#'"&amp;$O562&amp;"'!A"&amp;$N562,"→ 조립자재 R"&amp;$N562)</f>
        <v/>
      </c>
      <c r="M562" s="84" t="n"/>
      <c r="N562" s="80" t="n">
        <v>237</v>
      </c>
      <c r="O562" s="80" t="inlineStr">
        <is>
          <t>조립자재_재고현황</t>
        </is>
      </c>
    </row>
    <row r="563" ht="30" customHeight="1">
      <c r="A563" s="57" t="inlineStr">
        <is>
          <t>출하</t>
        </is>
      </c>
      <c r="B563" s="52" t="inlineStr">
        <is>
          <t>스탠드</t>
        </is>
      </c>
      <c r="C563" s="52" t="inlineStr">
        <is>
          <t>ADX6000 공용</t>
        </is>
      </c>
      <c r="D563" s="79">
        <f>IF(INDIRECT("'"&amp;$O563&amp;"'!F"&amp;$N563)="O","원자재",IF(INDIRECT("'"&amp;$O563&amp;"'!G"&amp;$N563)="O","반제품",IF(INDIRECT("'"&amp;$O563&amp;"'!H"&amp;$N563)="O","완제품","")))</f>
        <v/>
      </c>
      <c r="E563" s="79">
        <f>IFERROR(IF(INDIRECT("'"&amp;$O563&amp;"'!I"&amp;$N563)=0,"",INDIRECT("'"&amp;$O563&amp;"'!I"&amp;$N563)),"")</f>
        <v/>
      </c>
      <c r="F563" s="52" t="inlineStr">
        <is>
          <t>국내용 스탠드 브라켓 4. BASE</t>
        </is>
      </c>
      <c r="G563" s="52" t="inlineStr">
        <is>
          <t>국내용 스탠드 브라켓 4. BASE [ADX6000]</t>
        </is>
      </c>
      <c r="H563" s="79">
        <f>IF(AND($F563="",$G563=""),"",IF($F563="","창고전용",IF($G563&lt;&gt;"","매칭완료",IF($D563="반제품","반제품(창고없음)",IF($D563="완제품","완제품(창고없음)",IF($D563="원자재","⚠ 원자재_부서보관","미분류"))))))</f>
        <v/>
      </c>
      <c r="I563" s="79">
        <f>IFERROR(IF(INDIRECT("'"&amp;$O563&amp;"'!P"&amp;$N563)=0,"",INDIRECT("'"&amp;$O563&amp;"'!P"&amp;$N563)),"")</f>
        <v/>
      </c>
      <c r="J563" s="65" t="inlineStr">
        <is>
          <t>국내용 스탠드 브라켓 4. BASE</t>
        </is>
      </c>
      <c r="K563" s="103" t="inlineStr">
        <is>
          <t>ADX6000 국내용 스탠드 브라켓 4. BASE</t>
        </is>
      </c>
      <c r="L563" s="83">
        <f>HYPERLINK("#'"&amp;$O563&amp;"'!A"&amp;$N563,"→ 조립자재 R"&amp;$N563)</f>
        <v/>
      </c>
      <c r="M563" s="84" t="n"/>
      <c r="N563" s="80" t="n">
        <v>238</v>
      </c>
      <c r="O563" s="80" t="inlineStr">
        <is>
          <t>조립자재_재고현황</t>
        </is>
      </c>
    </row>
    <row r="564" ht="30" customHeight="1">
      <c r="A564" s="57" t="inlineStr">
        <is>
          <t>출하</t>
        </is>
      </c>
      <c r="B564" s="52" t="inlineStr">
        <is>
          <t>스탠드</t>
        </is>
      </c>
      <c r="C564" s="52" t="inlineStr">
        <is>
          <t>ADX6000 공용</t>
        </is>
      </c>
      <c r="D564" s="79">
        <f>IF(INDIRECT("'"&amp;$O564&amp;"'!F"&amp;$N564)="O","원자재",IF(INDIRECT("'"&amp;$O564&amp;"'!G"&amp;$N564)="O","반제품",IF(INDIRECT("'"&amp;$O564&amp;"'!H"&amp;$N564)="O","완제품","")))</f>
        <v/>
      </c>
      <c r="E564" s="79">
        <f>IFERROR(IF(INDIRECT("'"&amp;$O564&amp;"'!I"&amp;$N564)=0,"",INDIRECT("'"&amp;$O564&amp;"'!I"&amp;$N564)),"")</f>
        <v/>
      </c>
      <c r="F564" s="52" t="inlineStr">
        <is>
          <t>국내용 스탠드 브라켓 5. SHAFT</t>
        </is>
      </c>
      <c r="G564" s="52" t="inlineStr">
        <is>
          <t>국내용 스탠드 브라켓 5. SHAFT [ADX6000]</t>
        </is>
      </c>
      <c r="H564" s="79">
        <f>IF(AND($F564="",$G564=""),"",IF($F564="","창고전용",IF($G564&lt;&gt;"","매칭완료",IF($D564="반제품","반제품(창고없음)",IF($D564="완제품","완제품(창고없음)",IF($D564="원자재","⚠ 원자재_부서보관","미분류"))))))</f>
        <v/>
      </c>
      <c r="I564" s="79">
        <f>IFERROR(IF(INDIRECT("'"&amp;$O564&amp;"'!P"&amp;$N564)=0,"",INDIRECT("'"&amp;$O564&amp;"'!P"&amp;$N564)),"")</f>
        <v/>
      </c>
      <c r="J564" s="65" t="inlineStr">
        <is>
          <t>국내용 스탠드 브라켓 5. SHAFT</t>
        </is>
      </c>
      <c r="K564" s="103" t="inlineStr">
        <is>
          <t>ADX6000 국내용 스탠드 브라켓 5. SHAFT</t>
        </is>
      </c>
      <c r="L564" s="83">
        <f>HYPERLINK("#'"&amp;$O564&amp;"'!A"&amp;$N564,"→ 조립자재 R"&amp;$N564)</f>
        <v/>
      </c>
      <c r="M564" s="84" t="n"/>
      <c r="N564" s="80" t="n">
        <v>239</v>
      </c>
      <c r="O564" s="80" t="inlineStr">
        <is>
          <t>조립자재_재고현황</t>
        </is>
      </c>
    </row>
    <row r="565" ht="30" customHeight="1">
      <c r="A565" s="57" t="inlineStr">
        <is>
          <t>출하</t>
        </is>
      </c>
      <c r="B565" s="52" t="inlineStr">
        <is>
          <t>스탠드</t>
        </is>
      </c>
      <c r="C565" s="52" t="inlineStr">
        <is>
          <t>ADX6000 공용</t>
        </is>
      </c>
      <c r="D565" s="79">
        <f>IF(INDIRECT("'"&amp;$O565&amp;"'!F"&amp;$N565)="O","원자재",IF(INDIRECT("'"&amp;$O565&amp;"'!G"&amp;$N565)="O","반제품",IF(INDIRECT("'"&amp;$O565&amp;"'!H"&amp;$N565)="O","완제품","")))</f>
        <v/>
      </c>
      <c r="E565" s="79">
        <f>IFERROR(IF(INDIRECT("'"&amp;$O565&amp;"'!I"&amp;$N565)=0,"",INDIRECT("'"&amp;$O565&amp;"'!I"&amp;$N565)),"")</f>
        <v/>
      </c>
      <c r="F565" s="52" t="inlineStr">
        <is>
          <t>국내용 스탠드 브라켓 6. PUSH PLATE</t>
        </is>
      </c>
      <c r="G565" s="52" t="inlineStr">
        <is>
          <t>국내용 스탠드 브라켓 6. PUSH PLATE [ADX6000]</t>
        </is>
      </c>
      <c r="H565" s="79">
        <f>IF(AND($F565="",$G565=""),"",IF($F565="","창고전용",IF($G565&lt;&gt;"","매칭완료",IF($D565="반제품","반제품(창고없음)",IF($D565="완제품","완제품(창고없음)",IF($D565="원자재","⚠ 원자재_부서보관","미분류"))))))</f>
        <v/>
      </c>
      <c r="I565" s="79">
        <f>IFERROR(IF(INDIRECT("'"&amp;$O565&amp;"'!P"&amp;$N565)=0,"",INDIRECT("'"&amp;$O565&amp;"'!P"&amp;$N565)),"")</f>
        <v/>
      </c>
      <c r="J565" s="65" t="inlineStr">
        <is>
          <t>국내용 스탠드 브라켓 6. PUSH PLATE</t>
        </is>
      </c>
      <c r="K565" s="103" t="inlineStr">
        <is>
          <t>ADX6000 국내용 스탠드 브라켓 6. PUSH PLATE</t>
        </is>
      </c>
      <c r="L565" s="83">
        <f>HYPERLINK("#'"&amp;$O565&amp;"'!A"&amp;$N565,"→ 조립자재 R"&amp;$N565)</f>
        <v/>
      </c>
      <c r="M565" s="84" t="n"/>
      <c r="N565" s="80" t="n">
        <v>240</v>
      </c>
      <c r="O565" s="80" t="inlineStr">
        <is>
          <t>조립자재_재고현황</t>
        </is>
      </c>
    </row>
    <row r="566" ht="30" customHeight="1">
      <c r="A566" s="57" t="inlineStr">
        <is>
          <t>출하</t>
        </is>
      </c>
      <c r="B566" s="52" t="inlineStr">
        <is>
          <t>스탠드</t>
        </is>
      </c>
      <c r="C566" s="52" t="inlineStr">
        <is>
          <t>ADX6000 공용</t>
        </is>
      </c>
      <c r="D566" s="79">
        <f>IF(INDIRECT("'"&amp;$O566&amp;"'!F"&amp;$N566)="O","원자재",IF(INDIRECT("'"&amp;$O566&amp;"'!G"&amp;$N566)="O","반제품",IF(INDIRECT("'"&amp;$O566&amp;"'!H"&amp;$N566)="O","완제품","")))</f>
        <v/>
      </c>
      <c r="E566" s="79">
        <f>IFERROR(IF(INDIRECT("'"&amp;$O566&amp;"'!I"&amp;$N566)=0,"",INDIRECT("'"&amp;$O566&amp;"'!I"&amp;$N566)),"")</f>
        <v/>
      </c>
      <c r="F566" s="52" t="inlineStr">
        <is>
          <t>국내용 스탠드 브라켓 7. EASY LOCK PLATE</t>
        </is>
      </c>
      <c r="G566" s="52" t="inlineStr">
        <is>
          <t>국내용 스탠드 브라켓 7. EASY LOCK PLATE [ADX6000]</t>
        </is>
      </c>
      <c r="H566" s="79">
        <f>IF(AND($F566="",$G566=""),"",IF($F566="","창고전용",IF($G566&lt;&gt;"","매칭완료",IF($D566="반제품","반제품(창고없음)",IF($D566="완제품","완제품(창고없음)",IF($D566="원자재","⚠ 원자재_부서보관","미분류"))))))</f>
        <v/>
      </c>
      <c r="I566" s="79">
        <f>IFERROR(IF(INDIRECT("'"&amp;$O566&amp;"'!P"&amp;$N566)=0,"",INDIRECT("'"&amp;$O566&amp;"'!P"&amp;$N566)),"")</f>
        <v/>
      </c>
      <c r="J566" s="65" t="inlineStr">
        <is>
          <t>국내용 스탠드 브라켓 7. EASY LOCK PLATE</t>
        </is>
      </c>
      <c r="K566" s="103" t="inlineStr">
        <is>
          <t>ADX6000 국내용 스탠드 브라켓 7. EASY LOCK PLATE</t>
        </is>
      </c>
      <c r="L566" s="83">
        <f>HYPERLINK("#'"&amp;$O566&amp;"'!A"&amp;$N566,"→ 조립자재 R"&amp;$N566)</f>
        <v/>
      </c>
      <c r="M566" s="84" t="n"/>
      <c r="N566" s="80" t="n">
        <v>241</v>
      </c>
      <c r="O566" s="80" t="inlineStr">
        <is>
          <t>조립자재_재고현황</t>
        </is>
      </c>
    </row>
    <row r="567" ht="30" customHeight="1">
      <c r="A567" s="57" t="inlineStr">
        <is>
          <t>출하</t>
        </is>
      </c>
      <c r="B567" s="52" t="inlineStr">
        <is>
          <t>스탠드</t>
        </is>
      </c>
      <c r="C567" s="52" t="inlineStr">
        <is>
          <t>ADX6000 공용</t>
        </is>
      </c>
      <c r="D567" s="79">
        <f>IF(INDIRECT("'"&amp;$O567&amp;"'!F"&amp;$N567)="O","원자재",IF(INDIRECT("'"&amp;$O567&amp;"'!G"&amp;$N567)="O","반제품",IF(INDIRECT("'"&amp;$O567&amp;"'!H"&amp;$N567)="O","완제품","")))</f>
        <v/>
      </c>
      <c r="E567" s="79">
        <f>IFERROR(IF(INDIRECT("'"&amp;$O567&amp;"'!I"&amp;$N567)=0,"",INDIRECT("'"&amp;$O567&amp;"'!I"&amp;$N567)),"")</f>
        <v/>
      </c>
      <c r="F567" s="52" t="inlineStr">
        <is>
          <t>국내용 스탠드 브라켓 8. MOUNT</t>
        </is>
      </c>
      <c r="G567" s="52" t="inlineStr">
        <is>
          <t>국내용 스탠드 브라켓 8. MOUNT [ADX6000]</t>
        </is>
      </c>
      <c r="H567" s="79">
        <f>IF(AND($F567="",$G567=""),"",IF($F567="","창고전용",IF($G567&lt;&gt;"","매칭완료",IF($D567="반제품","반제품(창고없음)",IF($D567="완제품","완제품(창고없음)",IF($D567="원자재","⚠ 원자재_부서보관","미분류"))))))</f>
        <v/>
      </c>
      <c r="I567" s="79">
        <f>IFERROR(IF(INDIRECT("'"&amp;$O567&amp;"'!P"&amp;$N567)=0,"",INDIRECT("'"&amp;$O567&amp;"'!P"&amp;$N567)),"")</f>
        <v/>
      </c>
      <c r="J567" s="65" t="inlineStr">
        <is>
          <t>국내용 스탠드 브라켓 8. MOUNT</t>
        </is>
      </c>
      <c r="K567" s="103" t="inlineStr">
        <is>
          <t>ADX6000 국내용 스탠드 브라켓 8. MOUNT</t>
        </is>
      </c>
      <c r="L567" s="83">
        <f>HYPERLINK("#'"&amp;$O567&amp;"'!A"&amp;$N567,"→ 조립자재 R"&amp;$N567)</f>
        <v/>
      </c>
      <c r="M567" s="84" t="n"/>
      <c r="N567" s="80" t="n">
        <v>242</v>
      </c>
      <c r="O567" s="80" t="inlineStr">
        <is>
          <t>조립자재_재고현황</t>
        </is>
      </c>
    </row>
    <row r="568" ht="30" customHeight="1">
      <c r="A568" s="57" t="inlineStr">
        <is>
          <t>출하</t>
        </is>
      </c>
      <c r="B568" s="52" t="inlineStr">
        <is>
          <t>스탠드</t>
        </is>
      </c>
      <c r="C568" s="52" t="inlineStr">
        <is>
          <t>ADX6000 공용</t>
        </is>
      </c>
      <c r="D568" s="79">
        <f>IF(INDIRECT("'"&amp;$O568&amp;"'!F"&amp;$N568)="O","원자재",IF(INDIRECT("'"&amp;$O568&amp;"'!G"&amp;$N568)="O","반제품",IF(INDIRECT("'"&amp;$O568&amp;"'!H"&amp;$N568)="O","완제품","")))</f>
        <v/>
      </c>
      <c r="E568" s="79">
        <f>IFERROR(IF(INDIRECT("'"&amp;$O568&amp;"'!I"&amp;$N568)=0,"",INDIRECT("'"&amp;$O568&amp;"'!I"&amp;$N568)),"")</f>
        <v/>
      </c>
      <c r="F568" s="52" t="inlineStr">
        <is>
          <t>국내용 스탠드 브라켓 9. 조임 손잡이</t>
        </is>
      </c>
      <c r="G568" s="52" t="inlineStr">
        <is>
          <t>국내용 스탠드 브라켓 9. 조임 손잡이 [ADX6000]</t>
        </is>
      </c>
      <c r="H568" s="79">
        <f>IF(AND($F568="",$G568=""),"",IF($F568="","창고전용",IF($G568&lt;&gt;"","매칭완료",IF($D568="반제품","반제품(창고없음)",IF($D568="완제품","완제품(창고없음)",IF($D568="원자재","⚠ 원자재_부서보관","미분류"))))))</f>
        <v/>
      </c>
      <c r="I568" s="79">
        <f>IFERROR(IF(INDIRECT("'"&amp;$O568&amp;"'!P"&amp;$N568)=0,"",INDIRECT("'"&amp;$O568&amp;"'!P"&amp;$N568)),"")</f>
        <v/>
      </c>
      <c r="J568" s="65" t="inlineStr">
        <is>
          <t>국내용 스탠드 브라켓 9. 조임 손잡이</t>
        </is>
      </c>
      <c r="K568" s="65" t="inlineStr">
        <is>
          <t>ADX6000 국내용 스탠드 브라켓 9. 조임 손잡이</t>
        </is>
      </c>
      <c r="L568" s="83">
        <f>HYPERLINK("#'"&amp;$O568&amp;"'!A"&amp;$N568,"→ 조립자재 R"&amp;$N568)</f>
        <v/>
      </c>
      <c r="M568" s="84" t="n"/>
      <c r="N568" s="80" t="n">
        <v>243</v>
      </c>
      <c r="O568" s="80" t="inlineStr">
        <is>
          <t>조립자재_재고현황</t>
        </is>
      </c>
    </row>
    <row r="569" ht="30" customHeight="1">
      <c r="A569" s="57" t="inlineStr">
        <is>
          <t>출하</t>
        </is>
      </c>
      <c r="B569" s="52" t="inlineStr">
        <is>
          <t>스탠드</t>
        </is>
      </c>
      <c r="C569" s="52" t="inlineStr">
        <is>
          <t>ADX6000 공용</t>
        </is>
      </c>
      <c r="D569" s="79">
        <f>IF(INDIRECT("'"&amp;$O569&amp;"'!F"&amp;$N569)="O","원자재",IF(INDIRECT("'"&amp;$O569&amp;"'!G"&amp;$N569)="O","반제품",IF(INDIRECT("'"&amp;$O569&amp;"'!H"&amp;$N569)="O","완제품","")))</f>
        <v/>
      </c>
      <c r="E569" s="79">
        <f>IFERROR(IF(INDIRECT("'"&amp;$O569&amp;"'!I"&amp;$N569)=0,"",INDIRECT("'"&amp;$O569&amp;"'!I"&amp;$N569)),"")</f>
        <v/>
      </c>
      <c r="F569" s="52" t="inlineStr">
        <is>
          <t>스탠드 브라켓 조인트 셋트 (브라켓 1~9)</t>
        </is>
      </c>
      <c r="G569" s="52" t="n"/>
      <c r="H569" s="79">
        <f>IF(AND($F569="",$G569=""),"",IF($F569="","창고전용",IF($G569&lt;&gt;"","매칭완료",IF($D569="반제품","반제품(창고없음)",IF($D569="완제품","완제품(창고없음)",IF($D569="원자재","⚠ 원자재_부서보관","미분류"))))))</f>
        <v/>
      </c>
      <c r="I569" s="79">
        <f>IFERROR(IF(INDIRECT("'"&amp;$O569&amp;"'!P"&amp;$N569)=0,"",INDIRECT("'"&amp;$O569&amp;"'!P"&amp;$N569)),"")</f>
        <v/>
      </c>
      <c r="J569" s="65" t="inlineStr">
        <is>
          <t>스탠드 브라켓 조인트 셋트 (브라켓 1~9)</t>
        </is>
      </c>
      <c r="K569" s="103" t="inlineStr">
        <is>
          <t>ADX6000 스탠드 브라켓 조인트 ASS'Y</t>
        </is>
      </c>
      <c r="L569" s="83">
        <f>HYPERLINK("#'"&amp;$O569&amp;"'!A"&amp;$N569,"→ 조립자재 R"&amp;$N569)</f>
        <v/>
      </c>
      <c r="M569" s="84" t="n"/>
      <c r="N569" s="80" t="n">
        <v>244</v>
      </c>
      <c r="O569" s="80" t="inlineStr">
        <is>
          <t>조립자재_재고현황</t>
        </is>
      </c>
    </row>
    <row r="570" ht="30" customHeight="1">
      <c r="A570" s="57" t="inlineStr">
        <is>
          <t>출하</t>
        </is>
      </c>
      <c r="B570" s="52" t="inlineStr">
        <is>
          <t>스탠드</t>
        </is>
      </c>
      <c r="C570" s="52" t="inlineStr">
        <is>
          <t>공용</t>
        </is>
      </c>
      <c r="D570" s="79">
        <f>IF(INDIRECT("'"&amp;$O570&amp;"'!F"&amp;$N570)="O","원자재",IF(INDIRECT("'"&amp;$O570&amp;"'!G"&amp;$N570)="O","반제품",IF(INDIRECT("'"&amp;$O570&amp;"'!H"&amp;$N570)="O","완제품","")))</f>
        <v/>
      </c>
      <c r="E570" s="79">
        <f>IFERROR(IF(INDIRECT("'"&amp;$O570&amp;"'!I"&amp;$N570)=0,"",INDIRECT("'"&amp;$O570&amp;"'!I"&amp;$N570)),"")</f>
        <v/>
      </c>
      <c r="F570" s="52" t="inlineStr">
        <is>
          <t>AllMyT Stand Base</t>
        </is>
      </c>
      <c r="G570" s="52" t="inlineStr">
        <is>
          <t>AlmyT STAND BODY SET [공용]</t>
        </is>
      </c>
      <c r="H570" s="79">
        <f>IF(AND($F570="",$G570=""),"",IF($F570="","창고전용",IF($G570&lt;&gt;"","매칭완료",IF($D570="반제품","반제품(창고없음)",IF($D570="완제품","완제품(창고없음)",IF($D570="원자재","⚠ 원자재_부서보관","미분류"))))))</f>
        <v/>
      </c>
      <c r="I570" s="79">
        <f>IFERROR(IF(INDIRECT("'"&amp;$O570&amp;"'!P"&amp;$N570)=0,"",INDIRECT("'"&amp;$O570&amp;"'!P"&amp;$N570)),"")</f>
        <v/>
      </c>
      <c r="J570" s="61" t="inlineStr">
        <is>
          <t>AllMyT Stand Base</t>
        </is>
      </c>
      <c r="K570" s="103" t="inlineStr">
        <is>
          <t>AllMyT Stand Main Body</t>
        </is>
      </c>
      <c r="L570" s="83">
        <f>HYPERLINK("#'"&amp;$O570&amp;"'!A"&amp;$N570,"→ 조립자재 R"&amp;$N570)</f>
        <v/>
      </c>
      <c r="M570" s="84" t="n"/>
      <c r="N570" s="80" t="n">
        <v>245</v>
      </c>
      <c r="O570" s="80" t="inlineStr">
        <is>
          <t>조립자재_재고현황</t>
        </is>
      </c>
    </row>
    <row r="571" ht="30" customHeight="1">
      <c r="A571" s="57" t="inlineStr">
        <is>
          <t>출하</t>
        </is>
      </c>
      <c r="B571" s="52" t="inlineStr">
        <is>
          <t>스탠드</t>
        </is>
      </c>
      <c r="C571" s="52" t="inlineStr">
        <is>
          <t>공용</t>
        </is>
      </c>
      <c r="D571" s="79">
        <f>IF(INDIRECT("'"&amp;$O571&amp;"'!F"&amp;$N571)="O","원자재",IF(INDIRECT("'"&amp;$O571&amp;"'!G"&amp;$N571)="O","반제품",IF(INDIRECT("'"&amp;$O571&amp;"'!H"&amp;$N571)="O","완제품","")))</f>
        <v/>
      </c>
      <c r="E571" s="79">
        <f>IFERROR(IF(INDIRECT("'"&amp;$O571&amp;"'!I"&amp;$N571)=0,"",INDIRECT("'"&amp;$O571&amp;"'!I"&amp;$N571)),"")</f>
        <v/>
      </c>
      <c r="F571" s="52" t="inlineStr">
        <is>
          <t>AllMyT Stand Arm 및 Accessory</t>
        </is>
      </c>
      <c r="G571" s="52" t="inlineStr">
        <is>
          <t>AlmyT STAND ACC SET [공용]</t>
        </is>
      </c>
      <c r="H571" s="79">
        <f>IF(AND($F571="",$G571=""),"",IF($F571="","창고전용",IF($G571&lt;&gt;"","매칭완료",IF($D571="반제품","반제품(창고없음)",IF($D571="완제품","완제품(창고없음)",IF($D571="원자재","⚠ 원자재_부서보관","미분류"))))))</f>
        <v/>
      </c>
      <c r="I571" s="79">
        <f>IFERROR(IF(INDIRECT("'"&amp;$O571&amp;"'!P"&amp;$N571)=0,"",INDIRECT("'"&amp;$O571&amp;"'!P"&amp;$N571)),"")</f>
        <v/>
      </c>
      <c r="J571" s="61" t="inlineStr">
        <is>
          <t>AllMyT Stand Arm 및 Accessory</t>
        </is>
      </c>
      <c r="K571" s="103" t="inlineStr">
        <is>
          <t>AllMyT Stand Accessory</t>
        </is>
      </c>
      <c r="L571" s="83">
        <f>HYPERLINK("#'"&amp;$O571&amp;"'!A"&amp;$N571,"→ 조립자재 R"&amp;$N571)</f>
        <v/>
      </c>
      <c r="M571" s="84" t="n"/>
      <c r="N571" s="80" t="n">
        <v>246</v>
      </c>
      <c r="O571" s="80" t="inlineStr">
        <is>
          <t>조립자재_재고현황</t>
        </is>
      </c>
    </row>
    <row r="572" ht="30" customHeight="1">
      <c r="A572" s="57" t="inlineStr">
        <is>
          <t>출하</t>
        </is>
      </c>
      <c r="B572" s="52" t="inlineStr">
        <is>
          <t>스탠드</t>
        </is>
      </c>
      <c r="C572" s="52" t="inlineStr">
        <is>
          <t>ADX6000 공용</t>
        </is>
      </c>
      <c r="D572" s="79">
        <f>IF(INDIRECT("'"&amp;$O572&amp;"'!F"&amp;$N572)="O","원자재",IF(INDIRECT("'"&amp;$O572&amp;"'!G"&amp;$N572)="O","반제품",IF(INDIRECT("'"&amp;$O572&amp;"'!H"&amp;$N572)="O","완제품","")))</f>
        <v/>
      </c>
      <c r="E572" s="79">
        <f>IFERROR(IF(INDIRECT("'"&amp;$O572&amp;"'!I"&amp;$N572)=0,"",INDIRECT("'"&amp;$O572&amp;"'!I"&amp;$N572)),"")</f>
        <v/>
      </c>
      <c r="F572" s="52" t="inlineStr">
        <is>
          <t>체스트 &amp; 베드 STAND</t>
        </is>
      </c>
      <c r="G572" s="52" t="inlineStr">
        <is>
          <t>체스트 &amp; 베드 스탠드 [공용]</t>
        </is>
      </c>
      <c r="H572" s="79">
        <f>IF(AND($F572="",$G572=""),"",IF($F572="","창고전용",IF($G572&lt;&gt;"","매칭완료",IF($D572="반제품","반제품(창고없음)",IF($D572="완제품","완제품(창고없음)",IF($D572="원자재","⚠ 원자재_부서보관","미분류"))))))</f>
        <v/>
      </c>
      <c r="I572" s="79">
        <f>IFERROR(IF(INDIRECT("'"&amp;$O572&amp;"'!P"&amp;$N572)=0,"",INDIRECT("'"&amp;$O572&amp;"'!P"&amp;$N572)),"")</f>
        <v/>
      </c>
      <c r="J572" s="65" t="inlineStr">
        <is>
          <t>체스트 &amp; 베드 STAND</t>
        </is>
      </c>
      <c r="K572" s="65" t="inlineStr">
        <is>
          <t>ADX6000 체스트 &amp; 베드 STAND</t>
        </is>
      </c>
      <c r="L572" s="83">
        <f>HYPERLINK("#'"&amp;$O572&amp;"'!A"&amp;$N572,"→ 조립자재 R"&amp;$N572)</f>
        <v/>
      </c>
      <c r="M572" s="84" t="n"/>
      <c r="N572" s="80" t="n">
        <v>247</v>
      </c>
      <c r="O572" s="80" t="inlineStr">
        <is>
          <t>조립자재_재고현황</t>
        </is>
      </c>
    </row>
    <row r="573" ht="30" customHeight="1">
      <c r="A573" s="57" t="inlineStr">
        <is>
          <t>출하</t>
        </is>
      </c>
      <c r="B573" s="52" t="inlineStr">
        <is>
          <t>스탠드</t>
        </is>
      </c>
      <c r="C573" s="52" t="inlineStr">
        <is>
          <t>ADX6000 공용</t>
        </is>
      </c>
      <c r="D573" s="79">
        <f>IF(INDIRECT("'"&amp;$O573&amp;"'!F"&amp;$N573)="O","원자재",IF(INDIRECT("'"&amp;$O573&amp;"'!G"&amp;$N573)="O","반제품",IF(INDIRECT("'"&amp;$O573&amp;"'!H"&amp;$N573)="O","완제품","")))</f>
        <v/>
      </c>
      <c r="E573" s="79">
        <f>IFERROR(IF(INDIRECT("'"&amp;$O573&amp;"'!I"&amp;$N573)=0,"",INDIRECT("'"&amp;$O573&amp;"'!I"&amp;$N573)),"")</f>
        <v/>
      </c>
      <c r="F573" s="52" t="inlineStr">
        <is>
          <t>체스트 &amp; 베드 JOINT ARM</t>
        </is>
      </c>
      <c r="G573" s="52" t="inlineStr">
        <is>
          <t>체스트 &amp; 베드 조인트 암 [공용]</t>
        </is>
      </c>
      <c r="H573" s="79">
        <f>IF(AND($F573="",$G573=""),"",IF($F573="","창고전용",IF($G573&lt;&gt;"","매칭완료",IF($D573="반제품","반제품(창고없음)",IF($D573="완제품","완제품(창고없음)",IF($D573="원자재","⚠ 원자재_부서보관","미분류"))))))</f>
        <v/>
      </c>
      <c r="I573" s="79">
        <f>IFERROR(IF(INDIRECT("'"&amp;$O573&amp;"'!P"&amp;$N573)=0,"",INDIRECT("'"&amp;$O573&amp;"'!P"&amp;$N573)),"")</f>
        <v/>
      </c>
      <c r="J573" s="65" t="inlineStr">
        <is>
          <t>체스트 &amp; 베드 JOINT ARM</t>
        </is>
      </c>
      <c r="K573" s="65" t="inlineStr">
        <is>
          <t>ADX6000 체스트 &amp; 베드 JOINT ARM</t>
        </is>
      </c>
      <c r="L573" s="83">
        <f>HYPERLINK("#'"&amp;$O573&amp;"'!A"&amp;$N573,"→ 조립자재 R"&amp;$N573)</f>
        <v/>
      </c>
      <c r="M573" s="84" t="n"/>
      <c r="N573" s="80" t="n">
        <v>248</v>
      </c>
      <c r="O573" s="80" t="inlineStr">
        <is>
          <t>조립자재_재고현황</t>
        </is>
      </c>
    </row>
    <row r="574" ht="30" customHeight="1">
      <c r="A574" s="57" t="inlineStr">
        <is>
          <t>출하</t>
        </is>
      </c>
      <c r="B574" s="52" t="inlineStr">
        <is>
          <t>스탠드</t>
        </is>
      </c>
      <c r="C574" s="52" t="inlineStr">
        <is>
          <t>ADX6000 공용</t>
        </is>
      </c>
      <c r="D574" s="79">
        <f>IF(INDIRECT("'"&amp;$O574&amp;"'!F"&amp;$N574)="O","원자재",IF(INDIRECT("'"&amp;$O574&amp;"'!G"&amp;$N574)="O","반제품",IF(INDIRECT("'"&amp;$O574&amp;"'!H"&amp;$N574)="O","완제품","")))</f>
        <v/>
      </c>
      <c r="E574" s="79">
        <f>IFERROR(IF(INDIRECT("'"&amp;$O574&amp;"'!I"&amp;$N574)=0,"",INDIRECT("'"&amp;$O574&amp;"'!I"&amp;$N574)),"")</f>
        <v/>
      </c>
      <c r="F574" s="52" t="inlineStr">
        <is>
          <t>체스트 &amp; 베드 ARM PIPE</t>
        </is>
      </c>
      <c r="G574" s="52" t="inlineStr">
        <is>
          <t>체스트 &amp; 베드 암 파이프 [공용]</t>
        </is>
      </c>
      <c r="H574" s="79">
        <f>IF(AND($F574="",$G574=""),"",IF($F574="","창고전용",IF($G574&lt;&gt;"","매칭완료",IF($D574="반제품","반제품(창고없음)",IF($D574="완제품","완제품(창고없음)",IF($D574="원자재","⚠ 원자재_부서보관","미분류"))))))</f>
        <v/>
      </c>
      <c r="I574" s="79">
        <f>IFERROR(IF(INDIRECT("'"&amp;$O574&amp;"'!P"&amp;$N574)=0,"",INDIRECT("'"&amp;$O574&amp;"'!P"&amp;$N574)),"")</f>
        <v/>
      </c>
      <c r="J574" s="65" t="inlineStr">
        <is>
          <t>체스트 &amp; 베드 ARM PIPE</t>
        </is>
      </c>
      <c r="K574" s="65" t="inlineStr">
        <is>
          <t>ADX6000 체스트 &amp; 베드 ARM PIPE</t>
        </is>
      </c>
      <c r="L574" s="83">
        <f>HYPERLINK("#'"&amp;$O574&amp;"'!A"&amp;$N574,"→ 조립자재 R"&amp;$N574)</f>
        <v/>
      </c>
      <c r="M574" s="84" t="n"/>
      <c r="N574" s="80" t="n">
        <v>249</v>
      </c>
      <c r="O574" s="80" t="inlineStr">
        <is>
          <t>조립자재_재고현황</t>
        </is>
      </c>
    </row>
    <row r="575" ht="30" customHeight="1">
      <c r="A575" s="57" t="inlineStr">
        <is>
          <t>출하</t>
        </is>
      </c>
      <c r="B575" s="52" t="inlineStr">
        <is>
          <t>스탠드</t>
        </is>
      </c>
      <c r="C575" s="52" t="inlineStr">
        <is>
          <t>ADX6000 공용</t>
        </is>
      </c>
      <c r="D575" s="79">
        <f>IF(INDIRECT("'"&amp;$O575&amp;"'!F"&amp;$N575)="O","원자재",IF(INDIRECT("'"&amp;$O575&amp;"'!G"&amp;$N575)="O","반제품",IF(INDIRECT("'"&amp;$O575&amp;"'!H"&amp;$N575)="O","완제품","")))</f>
        <v/>
      </c>
      <c r="E575" s="79">
        <f>IFERROR(IF(INDIRECT("'"&amp;$O575&amp;"'!I"&amp;$N575)=0,"",INDIRECT("'"&amp;$O575&amp;"'!I"&amp;$N575)),"")</f>
        <v/>
      </c>
      <c r="F575" s="52" t="inlineStr">
        <is>
          <t>체스트 &amp; 베드 FIX BLOCK A, B</t>
        </is>
      </c>
      <c r="G575" s="52" t="inlineStr">
        <is>
          <t>체스트 &amp; 베드 픽스 블럭 A, B (육각 렌치 3, 5) [공용]</t>
        </is>
      </c>
      <c r="H575" s="79">
        <f>IF(AND($F575="",$G575=""),"",IF($F575="","창고전용",IF($G575&lt;&gt;"","매칭완료",IF($D575="반제품","반제품(창고없음)",IF($D575="완제품","완제품(창고없음)",IF($D575="원자재","⚠ 원자재_부서보관","미분류"))))))</f>
        <v/>
      </c>
      <c r="I575" s="79">
        <f>IFERROR(IF(INDIRECT("'"&amp;$O575&amp;"'!P"&amp;$N575)=0,"",INDIRECT("'"&amp;$O575&amp;"'!P"&amp;$N575)),"")</f>
        <v/>
      </c>
      <c r="J575" s="65" t="inlineStr">
        <is>
          <t>체스트 &amp; 베드 FIX BLOCK A, B</t>
        </is>
      </c>
      <c r="K575" s="103" t="inlineStr">
        <is>
          <t>ADX6000 체스트 &amp; 베드 FIX BLOCK A, B</t>
        </is>
      </c>
      <c r="L575" s="83">
        <f>HYPERLINK("#'"&amp;$O575&amp;"'!A"&amp;$N575,"→ 조립자재 R"&amp;$N575)</f>
        <v/>
      </c>
      <c r="M575" s="84" t="n"/>
      <c r="N575" s="80" t="n">
        <v>250</v>
      </c>
      <c r="O575" s="80" t="inlineStr">
        <is>
          <t>조립자재_재고현황</t>
        </is>
      </c>
    </row>
    <row r="576" ht="30" customHeight="1">
      <c r="A576" s="57" t="inlineStr">
        <is>
          <t>출하</t>
        </is>
      </c>
      <c r="B576" s="52" t="inlineStr">
        <is>
          <t>스탠드</t>
        </is>
      </c>
      <c r="C576" s="52" t="inlineStr">
        <is>
          <t>ADX6000 공용</t>
        </is>
      </c>
      <c r="D576" s="79">
        <f>IF(INDIRECT("'"&amp;$O576&amp;"'!F"&amp;$N576)="O","원자재",IF(INDIRECT("'"&amp;$O576&amp;"'!G"&amp;$N576)="O","반제품",IF(INDIRECT("'"&amp;$O576&amp;"'!H"&amp;$N576)="O","완제품","")))</f>
        <v/>
      </c>
      <c r="E576" s="79">
        <f>IFERROR(IF(INDIRECT("'"&amp;$O576&amp;"'!I"&amp;$N576)=0,"",INDIRECT("'"&amp;$O576&amp;"'!I"&amp;$N576)),"")</f>
        <v/>
      </c>
      <c r="F576" s="52" t="inlineStr">
        <is>
          <t>체스트 &amp; 베드 스탠드 박스 내장재 상, 하판 [230 * 130 * 30T]</t>
        </is>
      </c>
      <c r="G576" s="52" t="inlineStr">
        <is>
          <t>체스트 &amp; 베드 스탠드 박스 내장재 상, 하판 (230 * 130 * 30T) [공용]</t>
        </is>
      </c>
      <c r="H576" s="79">
        <f>IF(AND($F576="",$G576=""),"",IF($F576="","창고전용",IF($G576&lt;&gt;"","매칭완료",IF($D576="반제품","반제품(창고없음)",IF($D576="완제품","완제품(창고없음)",IF($D576="원자재","⚠ 원자재_부서보관","미분류"))))))</f>
        <v/>
      </c>
      <c r="I576" s="79">
        <f>IFERROR(IF(INDIRECT("'"&amp;$O576&amp;"'!P"&amp;$N576)=0,"",INDIRECT("'"&amp;$O576&amp;"'!P"&amp;$N576)),"")</f>
        <v/>
      </c>
      <c r="J576" s="61" t="inlineStr">
        <is>
          <t>체스트 &amp; 베드 스탠드 박스 내장재 상, 하판 [230 * 130 * 30T]</t>
        </is>
      </c>
      <c r="K576" s="65" t="inlineStr">
        <is>
          <t>ADX6000 체스트 &amp; 베드 Stand 박스 내장재 [상, 하판 230x130x30 mm]</t>
        </is>
      </c>
      <c r="L576" s="83">
        <f>HYPERLINK("#'"&amp;$O576&amp;"'!A"&amp;$N576,"→ 조립자재 R"&amp;$N576)</f>
        <v/>
      </c>
      <c r="M576" s="84" t="n"/>
      <c r="N576" s="80" t="n">
        <v>251</v>
      </c>
      <c r="O576" s="80" t="inlineStr">
        <is>
          <t>조립자재_재고현황</t>
        </is>
      </c>
    </row>
    <row r="577" ht="30" customHeight="1">
      <c r="A577" s="57" t="inlineStr">
        <is>
          <t>출하</t>
        </is>
      </c>
      <c r="B577" s="52" t="inlineStr">
        <is>
          <t>스탠드</t>
        </is>
      </c>
      <c r="C577" s="52" t="inlineStr">
        <is>
          <t>ADX6000 공용</t>
        </is>
      </c>
      <c r="D577" s="79">
        <f>IF(INDIRECT("'"&amp;$O577&amp;"'!F"&amp;$N577)="O","원자재",IF(INDIRECT("'"&amp;$O577&amp;"'!G"&amp;$N577)="O","반제품",IF(INDIRECT("'"&amp;$O577&amp;"'!H"&amp;$N577)="O","완제품","")))</f>
        <v/>
      </c>
      <c r="E577" s="79">
        <f>IFERROR(IF(INDIRECT("'"&amp;$O577&amp;"'!I"&amp;$N577)=0,"",INDIRECT("'"&amp;$O577&amp;"'!I"&amp;$N577)),"")</f>
        <v/>
      </c>
      <c r="F577" s="52" t="inlineStr">
        <is>
          <t>체스트 &amp; 베드 스탠드 박스 내장재 좌, 우판 [130 * 980 * 30T]</t>
        </is>
      </c>
      <c r="G577" s="52" t="inlineStr">
        <is>
          <t>체스트 &amp; 베드 스탠드 박스 내장재 좌, 우판 (130 * 980 * 30T) [공용]</t>
        </is>
      </c>
      <c r="H577" s="79">
        <f>IF(AND($F577="",$G577=""),"",IF($F577="","창고전용",IF($G577&lt;&gt;"","매칭완료",IF($D577="반제품","반제품(창고없음)",IF($D577="완제품","완제품(창고없음)",IF($D577="원자재","⚠ 원자재_부서보관","미분류"))))))</f>
        <v/>
      </c>
      <c r="I577" s="79">
        <f>IFERROR(IF(INDIRECT("'"&amp;$O577&amp;"'!P"&amp;$N577)=0,"",INDIRECT("'"&amp;$O577&amp;"'!P"&amp;$N577)),"")</f>
        <v/>
      </c>
      <c r="J577" s="61" t="inlineStr">
        <is>
          <t>체스트 &amp; 베드 스탠드 박스 내장재 좌, 우판 [130 * 980 * 30T]</t>
        </is>
      </c>
      <c r="K577" s="65" t="inlineStr">
        <is>
          <t>ADX6000 체스트 &amp; 베드 Stand 박스 내장재 [좌, 우판 130x980x30 mm]</t>
        </is>
      </c>
      <c r="L577" s="83">
        <f>HYPERLINK("#'"&amp;$O577&amp;"'!A"&amp;$N577,"→ 조립자재 R"&amp;$N577)</f>
        <v/>
      </c>
      <c r="M577" s="84" t="n"/>
      <c r="N577" s="80" t="n">
        <v>252</v>
      </c>
      <c r="O577" s="80" t="inlineStr">
        <is>
          <t>조립자재_재고현황</t>
        </is>
      </c>
    </row>
    <row r="578" ht="30" customHeight="1">
      <c r="A578" s="57" t="inlineStr">
        <is>
          <t>출하</t>
        </is>
      </c>
      <c r="B578" s="52" t="inlineStr">
        <is>
          <t>스탠드</t>
        </is>
      </c>
      <c r="C578" s="52" t="inlineStr">
        <is>
          <t>ADX6000 공용</t>
        </is>
      </c>
      <c r="D578" s="79">
        <f>IF(INDIRECT("'"&amp;$O578&amp;"'!F"&amp;$N578)="O","원자재",IF(INDIRECT("'"&amp;$O578&amp;"'!G"&amp;$N578)="O","반제품",IF(INDIRECT("'"&amp;$O578&amp;"'!H"&amp;$N578)="O","완제품","")))</f>
        <v/>
      </c>
      <c r="E578" s="79">
        <f>IFERROR(IF(INDIRECT("'"&amp;$O578&amp;"'!I"&amp;$N578)=0,"",INDIRECT("'"&amp;$O578&amp;"'!I"&amp;$N578)),"")</f>
        <v/>
      </c>
      <c r="F578" s="52" t="inlineStr">
        <is>
          <t>체스트 &amp; 베드 스탠드 박스 내장재 전, 후판 [230 * 920 * 30T]</t>
        </is>
      </c>
      <c r="G578" s="52" t="inlineStr">
        <is>
          <t>체스트 &amp; 베드 스탠드 박스 내장재 전, 후판 (230 * 920 * 30T) [공용]</t>
        </is>
      </c>
      <c r="H578" s="79">
        <f>IF(AND($F578="",$G578=""),"",IF($F578="","창고전용",IF($G578&lt;&gt;"","매칭완료",IF($D578="반제품","반제품(창고없음)",IF($D578="완제품","완제품(창고없음)",IF($D578="원자재","⚠ 원자재_부서보관","미분류"))))))</f>
        <v/>
      </c>
      <c r="I578" s="79">
        <f>IFERROR(IF(INDIRECT("'"&amp;$O578&amp;"'!P"&amp;$N578)=0,"",INDIRECT("'"&amp;$O578&amp;"'!P"&amp;$N578)),"")</f>
        <v/>
      </c>
      <c r="J578" s="61" t="inlineStr">
        <is>
          <t>체스트 &amp; 베드 스탠드 박스 내장재 전, 후판 [230 * 920 * 30T]</t>
        </is>
      </c>
      <c r="K578" s="65" t="inlineStr">
        <is>
          <t>ADX6000 체스트 &amp; 베드 Stand 박스 내장재 [전, 후판 230x920x30 mm]</t>
        </is>
      </c>
      <c r="L578" s="83">
        <f>HYPERLINK("#'"&amp;$O578&amp;"'!A"&amp;$N578,"→ 조립자재 R"&amp;$N578)</f>
        <v/>
      </c>
      <c r="M578" s="84" t="n"/>
      <c r="N578" s="80" t="n">
        <v>253</v>
      </c>
      <c r="O578" s="80" t="inlineStr">
        <is>
          <t>조립자재_재고현황</t>
        </is>
      </c>
    </row>
    <row r="579" ht="30" customHeight="1">
      <c r="A579" s="57" t="inlineStr">
        <is>
          <t>출하</t>
        </is>
      </c>
      <c r="B579" s="52" t="inlineStr">
        <is>
          <t>스탠드</t>
        </is>
      </c>
      <c r="C579" s="52" t="inlineStr">
        <is>
          <t>ADX6000 공용</t>
        </is>
      </c>
      <c r="D579" s="79">
        <f>IF(INDIRECT("'"&amp;$O579&amp;"'!F"&amp;$N579)="O","원자재",IF(INDIRECT("'"&amp;$O579&amp;"'!G"&amp;$N579)="O","반제품",IF(INDIRECT("'"&amp;$O579&amp;"'!H"&amp;$N579)="O","완제품","")))</f>
        <v/>
      </c>
      <c r="E579" s="79">
        <f>IFERROR(IF(INDIRECT("'"&amp;$O579&amp;"'!I"&amp;$N579)=0,"",INDIRECT("'"&amp;$O579&amp;"'!I"&amp;$N579)),"")</f>
        <v/>
      </c>
      <c r="F579" s="52" t="inlineStr">
        <is>
          <t>체스트 &amp; 베드 스탠드 박스 [1000 * 300 * 160]</t>
        </is>
      </c>
      <c r="G579" s="52" t="inlineStr">
        <is>
          <t>체스트 &amp; 베드 스탠드 박스 (1000 * 300 * 150) [공용]</t>
        </is>
      </c>
      <c r="H579" s="79">
        <f>IF(AND($F579="",$G579=""),"",IF($F579="","창고전용",IF($G579&lt;&gt;"","매칭완료",IF($D579="반제품","반제품(창고없음)",IF($D579="완제품","완제품(창고없음)",IF($D579="원자재","⚠ 원자재_부서보관","미분류"))))))</f>
        <v/>
      </c>
      <c r="I579" s="79">
        <f>IFERROR(IF(INDIRECT("'"&amp;$O579&amp;"'!P"&amp;$N579)=0,"",INDIRECT("'"&amp;$O579&amp;"'!P"&amp;$N579)),"")</f>
        <v/>
      </c>
      <c r="J579" s="61" t="inlineStr">
        <is>
          <t>체스트 &amp; 베드 스탠드 박스 [1000 * 300 * 160]</t>
        </is>
      </c>
      <c r="K579" s="65" t="inlineStr">
        <is>
          <t>ADX6000 체스트 &amp; 베드 Stand ACC 박스 [1000x300x160 mm]</t>
        </is>
      </c>
      <c r="L579" s="83">
        <f>HYPERLINK("#'"&amp;$O579&amp;"'!A"&amp;$N579,"→ 조립자재 R"&amp;$N579)</f>
        <v/>
      </c>
      <c r="M579" s="84" t="n"/>
      <c r="N579" s="80" t="n">
        <v>254</v>
      </c>
      <c r="O579" s="80" t="inlineStr">
        <is>
          <t>조립자재_재고현황</t>
        </is>
      </c>
    </row>
    <row r="580" ht="30" customHeight="1">
      <c r="A580" s="57" t="inlineStr">
        <is>
          <t>출하</t>
        </is>
      </c>
      <c r="B580" s="52" t="inlineStr">
        <is>
          <t>스탠드</t>
        </is>
      </c>
      <c r="C580" s="52" t="inlineStr">
        <is>
          <t>ADX6000 공용</t>
        </is>
      </c>
      <c r="D580" s="79">
        <f>IF(INDIRECT("'"&amp;$O580&amp;"'!F"&amp;$N580)="O","원자재",IF(INDIRECT("'"&amp;$O580&amp;"'!G"&amp;$N580)="O","반제품",IF(INDIRECT("'"&amp;$O580&amp;"'!H"&amp;$N580)="O","완제품","")))</f>
        <v/>
      </c>
      <c r="E580" s="79">
        <f>IFERROR(IF(INDIRECT("'"&amp;$O580&amp;"'!I"&amp;$N580)=0,"",INDIRECT("'"&amp;$O580&amp;"'!I"&amp;$N580)),"")</f>
        <v/>
      </c>
      <c r="F580" s="52" t="inlineStr">
        <is>
          <t>접이식 정형외과용 스탠드 세트</t>
        </is>
      </c>
      <c r="G580" s="52" t="inlineStr">
        <is>
          <t>접이식 스탠드 SET (정형외과용) [공용]</t>
        </is>
      </c>
      <c r="H580" s="79">
        <f>IF(AND($F580="",$G580=""),"",IF($F580="","창고전용",IF($G580&lt;&gt;"","매칭완료",IF($D580="반제품","반제품(창고없음)",IF($D580="완제품","완제품(창고없음)",IF($D580="원자재","⚠ 원자재_부서보관","미분류"))))))</f>
        <v/>
      </c>
      <c r="I580" s="79">
        <f>IFERROR(IF(INDIRECT("'"&amp;$O580&amp;"'!P"&amp;$N580)=0,"",INDIRECT("'"&amp;$O580&amp;"'!P"&amp;$N580)),"")</f>
        <v/>
      </c>
      <c r="J580" s="65" t="inlineStr">
        <is>
          <t>접이식 정형외과용 스탠드 세트</t>
        </is>
      </c>
      <c r="K580" s="65" t="inlineStr">
        <is>
          <t>ADX6000 접이식 정형외과용 스탠드 세트</t>
        </is>
      </c>
      <c r="L580" s="83">
        <f>HYPERLINK("#'"&amp;$O580&amp;"'!A"&amp;$N580,"→ 조립자재 R"&amp;$N580)</f>
        <v/>
      </c>
      <c r="M580" s="84" t="n"/>
      <c r="N580" s="80" t="n">
        <v>255</v>
      </c>
      <c r="O580" s="80" t="inlineStr">
        <is>
          <t>조립자재_재고현황</t>
        </is>
      </c>
    </row>
    <row r="581" ht="30" customHeight="1">
      <c r="A581" s="57" t="inlineStr">
        <is>
          <t>출하</t>
        </is>
      </c>
      <c r="B581" s="52" t="inlineStr">
        <is>
          <t>홀드</t>
        </is>
      </c>
      <c r="C581" s="52" t="inlineStr">
        <is>
          <t>DX3000</t>
        </is>
      </c>
      <c r="D581" s="79">
        <f>IF(INDIRECT("'"&amp;$O581&amp;"'!F"&amp;$N581)="O","원자재",IF(INDIRECT("'"&amp;$O581&amp;"'!G"&amp;$N581)="O","반제품",IF(INDIRECT("'"&amp;$O581&amp;"'!H"&amp;$N581)="O","완제품","")))</f>
        <v/>
      </c>
      <c r="E581" s="79">
        <f>IFERROR(IF(INDIRECT("'"&amp;$O581&amp;"'!I"&amp;$N581)=0,"",INDIRECT("'"&amp;$O581&amp;"'!I"&amp;$N581)),"")</f>
        <v/>
      </c>
      <c r="F581" s="52" t="inlineStr">
        <is>
          <t>스탠드 홀드 (메탈)</t>
        </is>
      </c>
      <c r="G581" s="52" t="inlineStr">
        <is>
          <t>스탠드홀드 [DX3000]</t>
        </is>
      </c>
      <c r="H581" s="79">
        <f>IF(AND($F581="",$G581=""),"",IF($F581="","창고전용",IF($G581&lt;&gt;"","매칭완료",IF($D581="반제품","반제품(창고없음)",IF($D581="완제품","완제품(창고없음)",IF($D581="원자재","⚠ 원자재_부서보관","미분류"))))))</f>
        <v/>
      </c>
      <c r="I581" s="79">
        <f>IFERROR(IF(INDIRECT("'"&amp;$O581&amp;"'!P"&amp;$N581)=0,"",INDIRECT("'"&amp;$O581&amp;"'!P"&amp;$N581)),"")</f>
        <v/>
      </c>
      <c r="J581" s="65" t="inlineStr">
        <is>
          <t>스탠드 홀드 (메탈)</t>
        </is>
      </c>
      <c r="K581" s="65" t="inlineStr">
        <is>
          <t>DX3000 스탠드 홀드 (메탈)</t>
        </is>
      </c>
      <c r="L581" s="83">
        <f>HYPERLINK("#'"&amp;$O581&amp;"'!A"&amp;$N581,"→ 조립자재 R"&amp;$N581)</f>
        <v/>
      </c>
      <c r="M581" s="84" t="n"/>
      <c r="N581" s="80" t="n">
        <v>256</v>
      </c>
      <c r="O581" s="80" t="inlineStr">
        <is>
          <t>조립자재_재고현황</t>
        </is>
      </c>
    </row>
    <row r="582" ht="30" customHeight="1">
      <c r="A582" s="57" t="inlineStr">
        <is>
          <t>출하</t>
        </is>
      </c>
      <c r="B582" s="52" t="inlineStr">
        <is>
          <t>홀드</t>
        </is>
      </c>
      <c r="C582" s="52" t="inlineStr">
        <is>
          <t>ADX4000W</t>
        </is>
      </c>
      <c r="D582" s="79">
        <f>IF(INDIRECT("'"&amp;$O582&amp;"'!F"&amp;$N582)="O","원자재",IF(INDIRECT("'"&amp;$O582&amp;"'!G"&amp;$N582)="O","반제품",IF(INDIRECT("'"&amp;$O582&amp;"'!H"&amp;$N582)="O","완제품","")))</f>
        <v/>
      </c>
      <c r="E582" s="79">
        <f>IFERROR(IF(INDIRECT("'"&amp;$O582&amp;"'!I"&amp;$N582)=0,"",INDIRECT("'"&amp;$O582&amp;"'!I"&amp;$N582)),"")</f>
        <v/>
      </c>
      <c r="F582" s="52" t="inlineStr">
        <is>
          <t>스탠드 홀드 (메탈)</t>
        </is>
      </c>
      <c r="G582" s="52" t="inlineStr">
        <is>
          <t>스탠드홀드 (은색) [ADX4000W]</t>
        </is>
      </c>
      <c r="H582" s="79">
        <f>IF(AND($F582="",$G582=""),"",IF($F582="","창고전용",IF($G582&lt;&gt;"","매칭완료",IF($D582="반제품","반제품(창고없음)",IF($D582="완제품","완제품(창고없음)",IF($D582="원자재","⚠ 원자재_부서보관","미분류"))))))</f>
        <v/>
      </c>
      <c r="I582" s="79">
        <f>IFERROR(IF(INDIRECT("'"&amp;$O582&amp;"'!P"&amp;$N582)=0,"",INDIRECT("'"&amp;$O582&amp;"'!P"&amp;$N582)),"")</f>
        <v/>
      </c>
      <c r="J582" s="65" t="inlineStr">
        <is>
          <t>스탠드 홀드 (메탈)</t>
        </is>
      </c>
      <c r="K582" s="103" t="inlineStr">
        <is>
          <t>ADX4000W 스탠드 홀드 (메탈)</t>
        </is>
      </c>
      <c r="L582" s="83">
        <f>HYPERLINK("#'"&amp;$O582&amp;"'!A"&amp;$N582,"→ 조립자재 R"&amp;$N582)</f>
        <v/>
      </c>
      <c r="M582" s="84" t="n"/>
      <c r="N582" s="80" t="n">
        <v>257</v>
      </c>
      <c r="O582" s="80" t="inlineStr">
        <is>
          <t>조립자재_재고현황</t>
        </is>
      </c>
    </row>
    <row r="583" ht="30" customHeight="1">
      <c r="A583" s="57" t="inlineStr">
        <is>
          <t>출하</t>
        </is>
      </c>
      <c r="B583" s="52" t="inlineStr">
        <is>
          <t>홀드</t>
        </is>
      </c>
      <c r="C583" s="52" t="inlineStr">
        <is>
          <t>ADX4000W</t>
        </is>
      </c>
      <c r="D583" s="79">
        <f>IF(INDIRECT("'"&amp;$O583&amp;"'!F"&amp;$N583)="O","원자재",IF(INDIRECT("'"&amp;$O583&amp;"'!G"&amp;$N583)="O","반제품",IF(INDIRECT("'"&amp;$O583&amp;"'!H"&amp;$N583)="O","완제품","")))</f>
        <v/>
      </c>
      <c r="E583" s="79">
        <f>IFERROR(IF(INDIRECT("'"&amp;$O583&amp;"'!I"&amp;$N583)=0,"",INDIRECT("'"&amp;$O583&amp;"'!I"&amp;$N583)),"")</f>
        <v/>
      </c>
      <c r="F583" s="52" t="inlineStr">
        <is>
          <t>스탠드 홀드 브라켓 (흰색)</t>
        </is>
      </c>
      <c r="G583" s="52" t="inlineStr">
        <is>
          <t>스탠드홀드(신형) (흰색) [ADX4000W]</t>
        </is>
      </c>
      <c r="H583" s="79">
        <f>IF(AND($F583="",$G583=""),"",IF($F583="","창고전용",IF($G583&lt;&gt;"","매칭완료",IF($D583="반제품","반제품(창고없음)",IF($D583="완제품","완제품(창고없음)",IF($D583="원자재","⚠ 원자재_부서보관","미분류"))))))</f>
        <v/>
      </c>
      <c r="I583" s="79">
        <f>IFERROR(IF(INDIRECT("'"&amp;$O583&amp;"'!P"&amp;$N583)=0,"",INDIRECT("'"&amp;$O583&amp;"'!P"&amp;$N583)),"")</f>
        <v/>
      </c>
      <c r="J583" s="61" t="inlineStr">
        <is>
          <t>스탠드 홀드 브라켓 (흰색)</t>
        </is>
      </c>
      <c r="K583" s="103" t="inlineStr">
        <is>
          <t>ADX4000W 스탠드 홀드 (흰색)</t>
        </is>
      </c>
      <c r="L583" s="83">
        <f>HYPERLINK("#'"&amp;$O583&amp;"'!A"&amp;$N583,"→ 조립자재 R"&amp;$N583)</f>
        <v/>
      </c>
      <c r="M583" s="84" t="n"/>
      <c r="N583" s="80" t="n">
        <v>258</v>
      </c>
      <c r="O583" s="80" t="inlineStr">
        <is>
          <t>조립자재_재고현황</t>
        </is>
      </c>
    </row>
    <row r="584" ht="30" customHeight="1">
      <c r="A584" s="57" t="inlineStr">
        <is>
          <t>출하</t>
        </is>
      </c>
      <c r="B584" s="52" t="inlineStr">
        <is>
          <t>배터리</t>
        </is>
      </c>
      <c r="C584" s="52" t="inlineStr">
        <is>
          <t>공용</t>
        </is>
      </c>
      <c r="D584" s="79">
        <f>IF(INDIRECT("'"&amp;$O584&amp;"'!F"&amp;$N584)="O","원자재",IF(INDIRECT("'"&amp;$O584&amp;"'!G"&amp;$N584)="O","반제품",IF(INDIRECT("'"&amp;$O584&amp;"'!H"&amp;$N584)="O","완제품","")))</f>
        <v/>
      </c>
      <c r="E584" s="79">
        <f>IFERROR(IF(INDIRECT("'"&amp;$O584&amp;"'!I"&amp;$N584)=0,"",INDIRECT("'"&amp;$O584&amp;"'!I"&amp;$N584)),"")</f>
        <v/>
      </c>
      <c r="F584" s="52" t="inlineStr">
        <is>
          <t>배터리 [PF435060HP]_DX3000,ADX4000W공용</t>
        </is>
      </c>
      <c r="G584" s="52" t="inlineStr">
        <is>
          <t>기본 배터리 (PF435060HP) [DX3000, ADX4000W]</t>
        </is>
      </c>
      <c r="H584" s="79">
        <f>IF(AND($F584="",$G584=""),"",IF($F584="","창고전용",IF($G584&lt;&gt;"","매칭완료",IF($D584="반제품","반제품(창고없음)",IF($D584="완제품","완제품(창고없음)",IF($D584="원자재","⚠ 원자재_부서보관","미분류"))))))</f>
        <v/>
      </c>
      <c r="I584" s="79">
        <f>IFERROR(IF(INDIRECT("'"&amp;$O584&amp;"'!P"&amp;$N584)=0,"",INDIRECT("'"&amp;$O584&amp;"'!P"&amp;$N584)),"")</f>
        <v/>
      </c>
      <c r="J584" s="65" t="inlineStr">
        <is>
          <t>배터리 [PF435060HP]_DX3000,ADX4000W공용</t>
        </is>
      </c>
      <c r="K584" s="103" t="inlineStr">
        <is>
          <t>DX3000, ADX4000W, SOLO 기본 배터리 [PF435060-4S] (4ICP4/50/60)</t>
        </is>
      </c>
      <c r="L584" s="83">
        <f>HYPERLINK("#'"&amp;$O584&amp;"'!A"&amp;$N584,"→ 조립자재 R"&amp;$N584)</f>
        <v/>
      </c>
      <c r="M584" s="84" t="n"/>
      <c r="N584" s="80" t="n">
        <v>357</v>
      </c>
      <c r="O584" s="80" t="inlineStr">
        <is>
          <t>조립자재_재고현황</t>
        </is>
      </c>
    </row>
    <row r="585" ht="30" customHeight="1">
      <c r="A585" s="57" t="inlineStr">
        <is>
          <t>출하</t>
        </is>
      </c>
      <c r="B585" s="52" t="inlineStr">
        <is>
          <t>배터리</t>
        </is>
      </c>
      <c r="C585" s="52" t="inlineStr">
        <is>
          <t>ADX6000 공용</t>
        </is>
      </c>
      <c r="D585" s="79">
        <f>IF(INDIRECT("'"&amp;$O585&amp;"'!F"&amp;$N585)="O","원자재",IF(INDIRECT("'"&amp;$O585&amp;"'!G"&amp;$N585)="O","반제품",IF(INDIRECT("'"&amp;$O585&amp;"'!H"&amp;$N585)="O","완제품","")))</f>
        <v/>
      </c>
      <c r="E585" s="79">
        <f>IFERROR(IF(INDIRECT("'"&amp;$O585&amp;"'!I"&amp;$N585)=0,"",INDIRECT("'"&amp;$O585&amp;"'!I"&amp;$N585)),"")</f>
        <v/>
      </c>
      <c r="F585" s="52" t="inlineStr">
        <is>
          <t>배터리_ 21.0V (5셀)</t>
        </is>
      </c>
      <c r="G585" s="52" t="inlineStr">
        <is>
          <t>기본 배터리 (LIP1902A 18.5V 5S 50C 2100mAh) [ADX6000]</t>
        </is>
      </c>
      <c r="H585" s="79">
        <f>IF(AND($F585="",$G585=""),"",IF($F585="","창고전용",IF($G585&lt;&gt;"","매칭완료",IF($D585="반제품","반제품(창고없음)",IF($D585="완제품","완제품(창고없음)",IF($D585="원자재","⚠ 원자재_부서보관","미분류"))))))</f>
        <v/>
      </c>
      <c r="I585" s="79">
        <f>IFERROR(IF(INDIRECT("'"&amp;$O585&amp;"'!P"&amp;$N585)=0,"",INDIRECT("'"&amp;$O585&amp;"'!P"&amp;$N585)),"")</f>
        <v/>
      </c>
      <c r="J585" s="65" t="inlineStr">
        <is>
          <t>배터리_ 21.0V (5셀)</t>
        </is>
      </c>
      <c r="K585" s="103" t="inlineStr">
        <is>
          <t>ADX6000 기본 배터리 [LIP1902A] (5ICP5/35/128)</t>
        </is>
      </c>
      <c r="L585" s="83">
        <f>HYPERLINK("#'"&amp;$O585&amp;"'!A"&amp;$N585,"→ 조립자재 R"&amp;$N585)</f>
        <v/>
      </c>
      <c r="M585" s="84" t="n"/>
      <c r="N585" s="80" t="n">
        <v>358</v>
      </c>
      <c r="O585" s="80" t="inlineStr">
        <is>
          <t>조립자재_재고현황</t>
        </is>
      </c>
    </row>
    <row r="586" ht="30" customHeight="1">
      <c r="A586" s="57" t="inlineStr">
        <is>
          <t>출하</t>
        </is>
      </c>
      <c r="B586" s="52" t="inlineStr">
        <is>
          <t>배터리</t>
        </is>
      </c>
      <c r="C586" s="52" t="inlineStr">
        <is>
          <t>공용</t>
        </is>
      </c>
      <c r="D586" s="79">
        <f>IF(INDIRECT("'"&amp;$O586&amp;"'!F"&amp;$N586)="O","원자재",IF(INDIRECT("'"&amp;$O586&amp;"'!G"&amp;$N586)="O","반제품",IF(INDIRECT("'"&amp;$O586&amp;"'!H"&amp;$N586)="O","완제품","")))</f>
        <v/>
      </c>
      <c r="E586" s="79">
        <f>IFERROR(IF(INDIRECT("'"&amp;$O586&amp;"'!I"&amp;$N586)=0,"",INDIRECT("'"&amp;$O586&amp;"'!I"&amp;$N586)),"")</f>
        <v/>
      </c>
      <c r="F586" s="52" t="inlineStr">
        <is>
          <t>소형 외부배터리 [PF435060HP]</t>
        </is>
      </c>
      <c r="G586" s="52" t="inlineStr">
        <is>
          <t>소형 외부배터리 (PF435060HP) [DX3000]</t>
        </is>
      </c>
      <c r="H586" s="79">
        <f>IF(AND($F586="",$G586=""),"",IF($F586="","창고전용",IF($G586&lt;&gt;"","매칭완료",IF($D586="반제품","반제품(창고없음)",IF($D586="완제품","완제품(창고없음)",IF($D586="원자재","⚠ 원자재_부서보관","미분류"))))))</f>
        <v/>
      </c>
      <c r="I586" s="79">
        <f>IFERROR(IF(INDIRECT("'"&amp;$O586&amp;"'!P"&amp;$N586)=0,"",INDIRECT("'"&amp;$O586&amp;"'!P"&amp;$N586)),"")</f>
        <v/>
      </c>
      <c r="J586" s="61" t="inlineStr">
        <is>
          <t>소형 외부배터리 [PF435060HP]</t>
        </is>
      </c>
      <c r="K586" s="103" t="inlineStr">
        <is>
          <t>COCOON 외부 배터리 [PF435060]</t>
        </is>
      </c>
      <c r="L586" s="83">
        <f>HYPERLINK("#'"&amp;$O586&amp;"'!A"&amp;$N586,"→ 조립자재 R"&amp;$N586)</f>
        <v/>
      </c>
      <c r="M586" s="84" t="n"/>
      <c r="N586" s="80" t="n">
        <v>359</v>
      </c>
      <c r="O586" s="80" t="inlineStr">
        <is>
          <t>조립자재_재고현황</t>
        </is>
      </c>
    </row>
    <row r="587" ht="30" customHeight="1">
      <c r="A587" s="57" t="inlineStr">
        <is>
          <t>출하</t>
        </is>
      </c>
      <c r="B587" s="52" t="inlineStr">
        <is>
          <t>충전기</t>
        </is>
      </c>
      <c r="C587" s="52" t="inlineStr">
        <is>
          <t>공용</t>
        </is>
      </c>
      <c r="D587" s="79">
        <f>IF(INDIRECT("'"&amp;$O587&amp;"'!F"&amp;$N587)="O","원자재",IF(INDIRECT("'"&amp;$O587&amp;"'!G"&amp;$N587)="O","반제품",IF(INDIRECT("'"&amp;$O587&amp;"'!H"&amp;$N587)="O","완제품","")))</f>
        <v/>
      </c>
      <c r="E587" s="79">
        <f>IFERROR(IF(INDIRECT("'"&amp;$O587&amp;"'!I"&amp;$N587)=0,"",INDIRECT("'"&amp;$O587&amp;"'!I"&amp;$N587)),"")</f>
        <v/>
      </c>
      <c r="F587" s="52" t="inlineStr">
        <is>
          <t>2구 충전기 [JBL910A1602K00]-220V</t>
        </is>
      </c>
      <c r="G587" s="52" t="inlineStr">
        <is>
          <t>2구 충전기 (BPL910S16N01, 220V) [공용]</t>
        </is>
      </c>
      <c r="H587" s="79">
        <f>IF(AND($F587="",$G587=""),"",IF($F587="","창고전용",IF($G587&lt;&gt;"","매칭완료",IF($D587="반제품","반제품(창고없음)",IF($D587="완제품","완제품(창고없음)",IF($D587="원자재","⚠ 원자재_부서보관","미분류"))))))</f>
        <v/>
      </c>
      <c r="I587" s="79">
        <f>IFERROR(IF(INDIRECT("'"&amp;$O587&amp;"'!P"&amp;$N587)=0,"",INDIRECT("'"&amp;$O587&amp;"'!P"&amp;$N587)),"")</f>
        <v/>
      </c>
      <c r="J587" s="61" t="inlineStr">
        <is>
          <t>2구 충전기 [JBL910A1602K00]-220V</t>
        </is>
      </c>
      <c r="K587" s="103" t="inlineStr">
        <is>
          <t>2구 16.8V 충전기 [BPL910S16N01]</t>
        </is>
      </c>
      <c r="L587" s="83">
        <f>HYPERLINK("#'"&amp;$O587&amp;"'!A"&amp;$N587,"→ 조립자재 R"&amp;$N587)</f>
        <v/>
      </c>
      <c r="M587" s="84" t="n"/>
      <c r="N587" s="80" t="n">
        <v>360</v>
      </c>
      <c r="O587" s="80" t="inlineStr">
        <is>
          <t>조립자재_재고현황</t>
        </is>
      </c>
    </row>
    <row r="588" ht="30" customHeight="1">
      <c r="A588" s="57" t="inlineStr">
        <is>
          <t>출하</t>
        </is>
      </c>
      <c r="B588" s="52" t="inlineStr">
        <is>
          <t>충전기</t>
        </is>
      </c>
      <c r="C588" s="52" t="inlineStr">
        <is>
          <t>공용</t>
        </is>
      </c>
      <c r="D588" s="79">
        <f>IF(INDIRECT("'"&amp;$O588&amp;"'!F"&amp;$N588)="O","원자재",IF(INDIRECT("'"&amp;$O588&amp;"'!G"&amp;$N588)="O","반제품",IF(INDIRECT("'"&amp;$O588&amp;"'!H"&amp;$N588)="O","완제품","")))</f>
        <v/>
      </c>
      <c r="E588" s="79">
        <f>IFERROR(IF(INDIRECT("'"&amp;$O588&amp;"'!I"&amp;$N588)=0,"",INDIRECT("'"&amp;$O588&amp;"'!I"&amp;$N588)),"")</f>
        <v/>
      </c>
      <c r="F588" s="52" t="inlineStr">
        <is>
          <t>3구 충전기 [미국,호주 공용]</t>
        </is>
      </c>
      <c r="G588" s="52" t="inlineStr">
        <is>
          <t>3구 충전기 (BPL910S16F01, (미국, 호주 공용)) [공용]</t>
        </is>
      </c>
      <c r="H588" s="79">
        <f>IF(AND($F588="",$G588=""),"",IF($F588="","창고전용",IF($G588&lt;&gt;"","매칭완료",IF($D588="반제품","반제품(창고없음)",IF($D588="완제품","완제품(창고없음)",IF($D588="원자재","⚠ 원자재_부서보관","미분류"))))))</f>
        <v/>
      </c>
      <c r="I588" s="79">
        <f>IFERROR(IF(INDIRECT("'"&amp;$O588&amp;"'!P"&amp;$N588)=0,"",INDIRECT("'"&amp;$O588&amp;"'!P"&amp;$N588)),"")</f>
        <v/>
      </c>
      <c r="J588" s="61" t="inlineStr">
        <is>
          <t>3구 충전기 [미국,호주 공용]</t>
        </is>
      </c>
      <c r="K588" s="103" t="inlineStr">
        <is>
          <t>3구 16.8V 충전기 [BPL910S16F01]</t>
        </is>
      </c>
      <c r="L588" s="83">
        <f>HYPERLINK("#'"&amp;$O588&amp;"'!A"&amp;$N588,"→ 조립자재 R"&amp;$N588)</f>
        <v/>
      </c>
      <c r="M588" s="84" t="n"/>
      <c r="N588" s="80" t="n">
        <v>361</v>
      </c>
      <c r="O588" s="80" t="inlineStr">
        <is>
          <t>조립자재_재고현황</t>
        </is>
      </c>
    </row>
    <row r="589" ht="30" customHeight="1">
      <c r="A589" s="57" t="inlineStr">
        <is>
          <t>출하</t>
        </is>
      </c>
      <c r="B589" s="52" t="inlineStr">
        <is>
          <t>충전기</t>
        </is>
      </c>
      <c r="C589" s="52" t="inlineStr">
        <is>
          <t>ADX6000 공용</t>
        </is>
      </c>
      <c r="D589" s="79">
        <f>IF(INDIRECT("'"&amp;$O589&amp;"'!F"&amp;$N589)="O","원자재",IF(INDIRECT("'"&amp;$O589&amp;"'!G"&amp;$N589)="O","반제품",IF(INDIRECT("'"&amp;$O589&amp;"'!H"&amp;$N589)="O","완제품","")))</f>
        <v/>
      </c>
      <c r="E589" s="79">
        <f>IFERROR(IF(INDIRECT("'"&amp;$O589&amp;"'!I"&amp;$N589)=0,"",INDIRECT("'"&amp;$O589&amp;"'!I"&amp;$N589)),"")</f>
        <v/>
      </c>
      <c r="F589" s="52" t="inlineStr">
        <is>
          <t>20V 2A 충전기</t>
        </is>
      </c>
      <c r="G589" s="52" t="inlineStr">
        <is>
          <t>20.7V 1.7A 충전기 (5S 어댑터) [ADX6000]</t>
        </is>
      </c>
      <c r="H589" s="79">
        <f>IF(AND($F589="",$G589=""),"",IF($F589="","창고전용",IF($G589&lt;&gt;"","매칭완료",IF($D589="반제품","반제품(창고없음)",IF($D589="완제품","완제품(창고없음)",IF($D589="원자재","⚠ 원자재_부서보관","미분류"))))))</f>
        <v/>
      </c>
      <c r="I589" s="79">
        <f>IFERROR(IF(INDIRECT("'"&amp;$O589&amp;"'!P"&amp;$N589)=0,"",INDIRECT("'"&amp;$O589&amp;"'!P"&amp;$N589)),"")</f>
        <v/>
      </c>
      <c r="J589" s="61" t="inlineStr">
        <is>
          <t>20V 2A 충전기</t>
        </is>
      </c>
      <c r="K589" s="103" t="inlineStr">
        <is>
          <t>3구 21.0V 충전기 [JBL7451212000302FJ]</t>
        </is>
      </c>
      <c r="L589" s="83">
        <f>HYPERLINK("#'"&amp;$O589&amp;"'!A"&amp;$N589,"→ 조립자재 R"&amp;$N589)</f>
        <v/>
      </c>
      <c r="M589" s="84" t="n"/>
      <c r="N589" s="80" t="n">
        <v>362</v>
      </c>
      <c r="O589" s="80" t="inlineStr">
        <is>
          <t>조립자재_재고현황</t>
        </is>
      </c>
    </row>
    <row r="590" ht="30" customHeight="1">
      <c r="A590" s="57" t="inlineStr">
        <is>
          <t>출하</t>
        </is>
      </c>
      <c r="B590" s="52" t="inlineStr">
        <is>
          <t>AC코드</t>
        </is>
      </c>
      <c r="C590" s="52" t="inlineStr">
        <is>
          <t>공용</t>
        </is>
      </c>
      <c r="D590" s="79">
        <f>IF(INDIRECT("'"&amp;$O590&amp;"'!F"&amp;$N590)="O","원자재",IF(INDIRECT("'"&amp;$O590&amp;"'!G"&amp;$N590)="O","반제품",IF(INDIRECT("'"&amp;$O590&amp;"'!H"&amp;$N590)="O","완제품","")))</f>
        <v/>
      </c>
      <c r="E590" s="79">
        <f>IFERROR(IF(INDIRECT("'"&amp;$O590&amp;"'!I"&amp;$N590)=0,"",INDIRECT("'"&amp;$O590&amp;"'!I"&amp;$N590)),"")</f>
        <v/>
      </c>
      <c r="F590" s="52" t="inlineStr">
        <is>
          <t>2구 AC코드 _ C 타입 [ 220V ]</t>
        </is>
      </c>
      <c r="G590" s="52" t="inlineStr">
        <is>
          <t>2구 AC코드 C타입 (220V) [공용]</t>
        </is>
      </c>
      <c r="H590" s="79">
        <f>IF(AND($F590="",$G590=""),"",IF($F590="","창고전용",IF($G590&lt;&gt;"","매칭완료",IF($D590="반제품","반제품(창고없음)",IF($D590="완제품","완제품(창고없음)",IF($D590="원자재","⚠ 원자재_부서보관","미분류"))))))</f>
        <v/>
      </c>
      <c r="I590" s="79">
        <f>IFERROR(IF(INDIRECT("'"&amp;$O590&amp;"'!P"&amp;$N590)=0,"",INDIRECT("'"&amp;$O590&amp;"'!P"&amp;$N590)),"")</f>
        <v/>
      </c>
      <c r="J590" s="65" t="inlineStr">
        <is>
          <t>2구 AC코드 _ C 타입 [ 220V ]</t>
        </is>
      </c>
      <c r="K590" s="103" t="inlineStr">
        <is>
          <t>2구 AC코드 C 타입 [220V]</t>
        </is>
      </c>
      <c r="L590" s="83">
        <f>HYPERLINK("#'"&amp;$O590&amp;"'!A"&amp;$N590,"→ 조립자재 R"&amp;$N590)</f>
        <v/>
      </c>
      <c r="M590" s="84" t="n"/>
      <c r="N590" s="80" t="n">
        <v>363</v>
      </c>
      <c r="O590" s="80" t="inlineStr">
        <is>
          <t>조립자재_재고현황</t>
        </is>
      </c>
    </row>
    <row r="591" ht="30" customHeight="1">
      <c r="A591" s="57" t="inlineStr">
        <is>
          <t>출하</t>
        </is>
      </c>
      <c r="B591" s="52" t="inlineStr">
        <is>
          <t>AC코드</t>
        </is>
      </c>
      <c r="C591" s="52" t="inlineStr">
        <is>
          <t>공용</t>
        </is>
      </c>
      <c r="D591" s="79">
        <f>IF(INDIRECT("'"&amp;$O591&amp;"'!F"&amp;$N591)="O","원자재",IF(INDIRECT("'"&amp;$O591&amp;"'!G"&amp;$N591)="O","반제품",IF(INDIRECT("'"&amp;$O591&amp;"'!H"&amp;$N591)="O","완제품","")))</f>
        <v/>
      </c>
      <c r="E591" s="79">
        <f>IFERROR(IF(INDIRECT("'"&amp;$O591&amp;"'!I"&amp;$N591)=0,"",INDIRECT("'"&amp;$O591&amp;"'!I"&amp;$N591)),"")</f>
        <v/>
      </c>
      <c r="F591" s="52" t="inlineStr">
        <is>
          <t>2구 AC코드 _ A 타입 [ 110V ]-일본향</t>
        </is>
      </c>
      <c r="G591" s="52" t="inlineStr">
        <is>
          <t>2구 AC코드 A타입 (일본용, 110V) [공용]</t>
        </is>
      </c>
      <c r="H591" s="79">
        <f>IF(AND($F591="",$G591=""),"",IF($F591="","창고전용",IF($G591&lt;&gt;"","매칭완료",IF($D591="반제품","반제품(창고없음)",IF($D591="완제품","완제품(창고없음)",IF($D591="원자재","⚠ 원자재_부서보관","미분류"))))))</f>
        <v/>
      </c>
      <c r="I591" s="79">
        <f>IFERROR(IF(INDIRECT("'"&amp;$O591&amp;"'!P"&amp;$N591)=0,"",INDIRECT("'"&amp;$O591&amp;"'!P"&amp;$N591)),"")</f>
        <v/>
      </c>
      <c r="J591" s="65" t="inlineStr">
        <is>
          <t>2구 AC코드 _ A 타입 [ 110V ]-일본향</t>
        </is>
      </c>
      <c r="K591" s="103" t="inlineStr">
        <is>
          <t>2구 AC코드 A 타입 [110V]-일본향</t>
        </is>
      </c>
      <c r="L591" s="83">
        <f>HYPERLINK("#'"&amp;$O591&amp;"'!A"&amp;$N591,"→ 조립자재 R"&amp;$N591)</f>
        <v/>
      </c>
      <c r="M591" s="84" t="n"/>
      <c r="N591" s="80" t="n">
        <v>364</v>
      </c>
      <c r="O591" s="80" t="inlineStr">
        <is>
          <t>조립자재_재고현황</t>
        </is>
      </c>
    </row>
    <row r="592" ht="30" customHeight="1">
      <c r="A592" s="57" t="inlineStr">
        <is>
          <t>출하</t>
        </is>
      </c>
      <c r="B592" s="52" t="inlineStr">
        <is>
          <t>AC코드</t>
        </is>
      </c>
      <c r="C592" s="52" t="inlineStr">
        <is>
          <t>공용</t>
        </is>
      </c>
      <c r="D592" s="79">
        <f>IF(INDIRECT("'"&amp;$O592&amp;"'!F"&amp;$N592)="O","원자재",IF(INDIRECT("'"&amp;$O592&amp;"'!G"&amp;$N592)="O","반제품",IF(INDIRECT("'"&amp;$O592&amp;"'!H"&amp;$N592)="O","완제품","")))</f>
        <v/>
      </c>
      <c r="E592" s="79">
        <f>IFERROR(IF(INDIRECT("'"&amp;$O592&amp;"'!I"&amp;$N592)=0,"",INDIRECT("'"&amp;$O592&amp;"'!I"&amp;$N592)),"")</f>
        <v/>
      </c>
      <c r="F592" s="52" t="inlineStr">
        <is>
          <t>3구 접지 AC 코드_ B 타입 [ 미국용 ]</t>
        </is>
      </c>
      <c r="G592" s="52" t="inlineStr">
        <is>
          <t>3구 접지 AC코드 B타입 (미국용) [공용]</t>
        </is>
      </c>
      <c r="H592" s="79">
        <f>IF(AND($F592="",$G592=""),"",IF($F592="","창고전용",IF($G592&lt;&gt;"","매칭완료",IF($D592="반제품","반제품(창고없음)",IF($D592="완제품","완제품(창고없음)",IF($D592="원자재","⚠ 원자재_부서보관","미분류"))))))</f>
        <v/>
      </c>
      <c r="I592" s="79">
        <f>IFERROR(IF(INDIRECT("'"&amp;$O592&amp;"'!P"&amp;$N592)=0,"",INDIRECT("'"&amp;$O592&amp;"'!P"&amp;$N592)),"")</f>
        <v/>
      </c>
      <c r="J592" s="65" t="inlineStr">
        <is>
          <t>3구 접지 AC 코드_ B 타입 [ 미국용 ]</t>
        </is>
      </c>
      <c r="K592" s="103" t="inlineStr">
        <is>
          <t>3구 접지 AC코드 B 타입 [110V]-미국향</t>
        </is>
      </c>
      <c r="L592" s="83">
        <f>HYPERLINK("#'"&amp;$O592&amp;"'!A"&amp;$N592,"→ 조립자재 R"&amp;$N592)</f>
        <v/>
      </c>
      <c r="M592" s="84" t="n"/>
      <c r="N592" s="80" t="n">
        <v>365</v>
      </c>
      <c r="O592" s="80" t="inlineStr">
        <is>
          <t>조립자재_재고현황</t>
        </is>
      </c>
    </row>
    <row r="593" ht="30" customHeight="1">
      <c r="A593" s="57" t="inlineStr">
        <is>
          <t>출하</t>
        </is>
      </c>
      <c r="B593" s="52" t="inlineStr">
        <is>
          <t>AC코드</t>
        </is>
      </c>
      <c r="C593" s="52" t="inlineStr">
        <is>
          <t>공용</t>
        </is>
      </c>
      <c r="D593" s="79">
        <f>IF(INDIRECT("'"&amp;$O593&amp;"'!F"&amp;$N593)="O","원자재",IF(INDIRECT("'"&amp;$O593&amp;"'!G"&amp;$N593)="O","반제품",IF(INDIRECT("'"&amp;$O593&amp;"'!H"&amp;$N593)="O","완제품","")))</f>
        <v/>
      </c>
      <c r="E593" s="79">
        <f>IFERROR(IF(INDIRECT("'"&amp;$O593&amp;"'!I"&amp;$N593)=0,"",INDIRECT("'"&amp;$O593&amp;"'!I"&amp;$N593)),"")</f>
        <v/>
      </c>
      <c r="F593" s="52" t="inlineStr">
        <is>
          <t>3구 접지 AC 코드_ I 타입 [ 호주,중국 공용 ]</t>
        </is>
      </c>
      <c r="G593" s="52" t="inlineStr">
        <is>
          <t>3구 접지 AC코드 I타입 (호주, 중국 공용) [공용]</t>
        </is>
      </c>
      <c r="H593" s="79">
        <f>IF(AND($F593="",$G593=""),"",IF($F593="","창고전용",IF($G593&lt;&gt;"","매칭완료",IF($D593="반제품","반제품(창고없음)",IF($D593="완제품","완제품(창고없음)",IF($D593="원자재","⚠ 원자재_부서보관","미분류"))))))</f>
        <v/>
      </c>
      <c r="I593" s="79">
        <f>IFERROR(IF(INDIRECT("'"&amp;$O593&amp;"'!P"&amp;$N593)=0,"",INDIRECT("'"&amp;$O593&amp;"'!P"&amp;$N593)),"")</f>
        <v/>
      </c>
      <c r="J593" s="65" t="inlineStr">
        <is>
          <t>3구 접지 AC 코드_ I 타입 [ 호주,중국 공용 ]</t>
        </is>
      </c>
      <c r="K593" s="103" t="inlineStr">
        <is>
          <t>3구 접지 AC코드 I 타입 [110-230V]-호주, 중국향</t>
        </is>
      </c>
      <c r="L593" s="83">
        <f>HYPERLINK("#'"&amp;$O593&amp;"'!A"&amp;$N593,"→ 조립자재 R"&amp;$N593)</f>
        <v/>
      </c>
      <c r="M593" s="84" t="n"/>
      <c r="N593" s="80" t="n">
        <v>366</v>
      </c>
      <c r="O593" s="80" t="inlineStr">
        <is>
          <t>조립자재_재고현황</t>
        </is>
      </c>
    </row>
    <row r="594" ht="30" customHeight="1">
      <c r="A594" s="57" t="inlineStr">
        <is>
          <t>출하</t>
        </is>
      </c>
      <c r="B594" s="52" t="inlineStr">
        <is>
          <t>AC코드</t>
        </is>
      </c>
      <c r="C594" s="52" t="inlineStr">
        <is>
          <t>공용</t>
        </is>
      </c>
      <c r="D594" s="79">
        <f>IF(INDIRECT("'"&amp;$O594&amp;"'!F"&amp;$N594)="O","원자재",IF(INDIRECT("'"&amp;$O594&amp;"'!G"&amp;$N594)="O","반제품",IF(INDIRECT("'"&amp;$O594&amp;"'!H"&amp;$N594)="O","완제품","")))</f>
        <v/>
      </c>
      <c r="E594" s="79">
        <f>IFERROR(IF(INDIRECT("'"&amp;$O594&amp;"'!I"&amp;$N594)=0,"",INDIRECT("'"&amp;$O594&amp;"'!I"&amp;$N594)),"")</f>
        <v/>
      </c>
      <c r="F594" s="52" t="inlineStr">
        <is>
          <t>3구 접지 AC 코드_ G 타입 [ 영국용 ]</t>
        </is>
      </c>
      <c r="G594" s="52" t="inlineStr">
        <is>
          <t>3구 접지 AC코드 G타입 (영국용) [공용]</t>
        </is>
      </c>
      <c r="H594" s="79">
        <f>IF(AND($F594="",$G594=""),"",IF($F594="","창고전용",IF($G594&lt;&gt;"","매칭완료",IF($D594="반제품","반제품(창고없음)",IF($D594="완제품","완제품(창고없음)",IF($D594="원자재","⚠ 원자재_부서보관","미분류"))))))</f>
        <v/>
      </c>
      <c r="I594" s="79">
        <f>IFERROR(IF(INDIRECT("'"&amp;$O594&amp;"'!P"&amp;$N594)=0,"",INDIRECT("'"&amp;$O594&amp;"'!P"&amp;$N594)),"")</f>
        <v/>
      </c>
      <c r="J594" s="65" t="inlineStr">
        <is>
          <t>3구 접지 AC 코드_ G 타입 [ 영국용 ]</t>
        </is>
      </c>
      <c r="K594" s="103" t="inlineStr">
        <is>
          <t>3구 접지 AC코드 G 타입 [230V]-영국향</t>
        </is>
      </c>
      <c r="L594" s="83">
        <f>HYPERLINK("#'"&amp;$O594&amp;"'!A"&amp;$N594,"→ 조립자재 R"&amp;$N594)</f>
        <v/>
      </c>
      <c r="M594" s="84" t="n"/>
      <c r="N594" s="80" t="n">
        <v>367</v>
      </c>
      <c r="O594" s="80" t="inlineStr">
        <is>
          <t>조립자재_재고현황</t>
        </is>
      </c>
    </row>
    <row r="595" ht="30" customHeight="1">
      <c r="A595" s="57" t="inlineStr">
        <is>
          <t>출하</t>
        </is>
      </c>
      <c r="B595" s="52" t="inlineStr">
        <is>
          <t>AC코드</t>
        </is>
      </c>
      <c r="C595" s="52" t="inlineStr">
        <is>
          <t>공용</t>
        </is>
      </c>
      <c r="D595" s="79">
        <f>IF(INDIRECT("'"&amp;$O595&amp;"'!F"&amp;$N595)="O","원자재",IF(INDIRECT("'"&amp;$O595&amp;"'!G"&amp;$N595)="O","반제품",IF(INDIRECT("'"&amp;$O595&amp;"'!H"&amp;$N595)="O","완제품","")))</f>
        <v/>
      </c>
      <c r="E595" s="79">
        <f>IFERROR(IF(INDIRECT("'"&amp;$O595&amp;"'!I"&amp;$N595)=0,"",INDIRECT("'"&amp;$O595&amp;"'!I"&amp;$N595)),"")</f>
        <v/>
      </c>
      <c r="F595" s="52" t="inlineStr">
        <is>
          <t>3구 접지 AC 코드_ F 타입 [ 220V 유럽용 ]</t>
        </is>
      </c>
      <c r="G595" s="52" t="inlineStr">
        <is>
          <t>3구 접지 AC 코드 (유럽용, 220V) [공용]</t>
        </is>
      </c>
      <c r="H595" s="79">
        <f>IF(AND($F595="",$G595=""),"",IF($F595="","창고전용",IF($G595&lt;&gt;"","매칭완료",IF($D595="반제품","반제품(창고없음)",IF($D595="완제품","완제품(창고없음)",IF($D595="원자재","⚠ 원자재_부서보관","미분류"))))))</f>
        <v/>
      </c>
      <c r="I595" s="79">
        <f>IFERROR(IF(INDIRECT("'"&amp;$O595&amp;"'!P"&amp;$N595)=0,"",INDIRECT("'"&amp;$O595&amp;"'!P"&amp;$N595)),"")</f>
        <v/>
      </c>
      <c r="J595" s="65" t="inlineStr">
        <is>
          <t>3구 접지 AC 코드_ F 타입 [ 220V 유럽용 ]</t>
        </is>
      </c>
      <c r="K595" s="103" t="inlineStr">
        <is>
          <t>3구 접지 AC코드 F 타입 [220V]</t>
        </is>
      </c>
      <c r="L595" s="83">
        <f>HYPERLINK("#'"&amp;$O595&amp;"'!A"&amp;$N595,"→ 조립자재 R"&amp;$N595)</f>
        <v/>
      </c>
      <c r="M595" s="84" t="n"/>
      <c r="N595" s="80" t="n">
        <v>368</v>
      </c>
      <c r="O595" s="80" t="inlineStr">
        <is>
          <t>조립자재_재고현황</t>
        </is>
      </c>
    </row>
    <row r="596" ht="30" customHeight="1">
      <c r="A596" s="57" t="inlineStr">
        <is>
          <t>출하</t>
        </is>
      </c>
      <c r="B596" s="52" t="inlineStr">
        <is>
          <t>AC코드</t>
        </is>
      </c>
      <c r="C596" s="52" t="inlineStr">
        <is>
          <t>공용</t>
        </is>
      </c>
      <c r="D596" s="79">
        <f>IF(INDIRECT("'"&amp;$O596&amp;"'!F"&amp;$N596)="O","원자재",IF(INDIRECT("'"&amp;$O596&amp;"'!G"&amp;$N596)="O","반제품",IF(INDIRECT("'"&amp;$O596&amp;"'!H"&amp;$N596)="O","완제품","")))</f>
        <v/>
      </c>
      <c r="E596" s="79">
        <f>IFERROR(IF(INDIRECT("'"&amp;$O596&amp;"'!I"&amp;$N596)=0,"",INDIRECT("'"&amp;$O596&amp;"'!I"&amp;$N596)),"")</f>
        <v/>
      </c>
      <c r="F596" s="52" t="inlineStr">
        <is>
          <t>3구 접지 AC코드 _ A 타입 [ 110V ]</t>
        </is>
      </c>
      <c r="G596" s="52" t="inlineStr">
        <is>
          <t>3구 접지 AC 코드 A타입 (일본용, 110V) [공용]</t>
        </is>
      </c>
      <c r="H596" s="79">
        <f>IF(AND($F596="",$G596=""),"",IF($F596="","창고전용",IF($G596&lt;&gt;"","매칭완료",IF($D596="반제품","반제품(창고없음)",IF($D596="완제품","완제품(창고없음)",IF($D596="원자재","⚠ 원자재_부서보관","미분류"))))))</f>
        <v/>
      </c>
      <c r="I596" s="79">
        <f>IFERROR(IF(INDIRECT("'"&amp;$O596&amp;"'!P"&amp;$N596)=0,"",INDIRECT("'"&amp;$O596&amp;"'!P"&amp;$N596)),"")</f>
        <v/>
      </c>
      <c r="J596" s="65" t="inlineStr">
        <is>
          <t>3구 접지 AC코드 _ A 타입 [ 110V ]</t>
        </is>
      </c>
      <c r="K596" s="103" t="inlineStr">
        <is>
          <t>3구 접지 AC코드 A 타입 [110V]</t>
        </is>
      </c>
      <c r="L596" s="83">
        <f>HYPERLINK("#'"&amp;$O596&amp;"'!A"&amp;$N596,"→ 조립자재 R"&amp;$N596)</f>
        <v/>
      </c>
      <c r="M596" s="84" t="n"/>
      <c r="N596" s="80" t="n">
        <v>369</v>
      </c>
      <c r="O596" s="80" t="inlineStr">
        <is>
          <t>조립자재_재고현황</t>
        </is>
      </c>
    </row>
    <row r="597" ht="30" customHeight="1">
      <c r="A597" s="57" t="inlineStr">
        <is>
          <t>출하</t>
        </is>
      </c>
      <c r="B597" s="52" t="inlineStr">
        <is>
          <t>거치대</t>
        </is>
      </c>
      <c r="C597" s="52" t="inlineStr">
        <is>
          <t>DX3000 ADX4000W 공용</t>
        </is>
      </c>
      <c r="D597" s="79">
        <f>IF(INDIRECT("'"&amp;$O597&amp;"'!F"&amp;$N597)="O","원자재",IF(INDIRECT("'"&amp;$O597&amp;"'!G"&amp;$N597)="O","반제품",IF(INDIRECT("'"&amp;$O597&amp;"'!H"&amp;$N597)="O","완제품","")))</f>
        <v/>
      </c>
      <c r="E597" s="79">
        <f>IFERROR(IF(INDIRECT("'"&amp;$O597&amp;"'!I"&amp;$N597)=0,"",INDIRECT("'"&amp;$O597&amp;"'!I"&amp;$N597)),"")</f>
        <v/>
      </c>
      <c r="F597" s="52" t="inlineStr">
        <is>
          <t>거치대 [ D-910 ]</t>
        </is>
      </c>
      <c r="G597" s="52" t="inlineStr">
        <is>
          <t>거치대 (D-910) [DX3000, ADX4000W]</t>
        </is>
      </c>
      <c r="H597" s="79">
        <f>IF(AND($F597="",$G597=""),"",IF($F597="","창고전용",IF($G597&lt;&gt;"","매칭완료",IF($D597="반제품","반제품(창고없음)",IF($D597="완제품","완제품(창고없음)",IF($D597="원자재","⚠ 원자재_부서보관","미분류"))))))</f>
        <v/>
      </c>
      <c r="I597" s="79">
        <f>IFERROR(IF(INDIRECT("'"&amp;$O597&amp;"'!P"&amp;$N597)=0,"",INDIRECT("'"&amp;$O597&amp;"'!P"&amp;$N597)),"")</f>
        <v/>
      </c>
      <c r="J597" s="65" t="inlineStr">
        <is>
          <t>거치대 [ D-910 ]</t>
        </is>
      </c>
      <c r="K597" s="103" t="inlineStr">
        <is>
          <t>크래들 [D-910]</t>
        </is>
      </c>
      <c r="L597" s="83">
        <f>HYPERLINK("#'"&amp;$O597&amp;"'!A"&amp;$N597,"→ 조립자재 R"&amp;$N597)</f>
        <v/>
      </c>
      <c r="M597" s="84" t="n"/>
      <c r="N597" s="80" t="n">
        <v>370</v>
      </c>
      <c r="O597" s="80" t="inlineStr">
        <is>
          <t>조립자재_재고현황</t>
        </is>
      </c>
    </row>
    <row r="598" ht="30" customHeight="1">
      <c r="A598" s="57" t="inlineStr">
        <is>
          <t>출하</t>
        </is>
      </c>
      <c r="B598" s="52" t="inlineStr">
        <is>
          <t>연 아크릴</t>
        </is>
      </c>
      <c r="C598" s="52" t="inlineStr">
        <is>
          <t>COCOON</t>
        </is>
      </c>
      <c r="D598" s="79">
        <f>IF(INDIRECT("'"&amp;$O598&amp;"'!F"&amp;$N598)="O","원자재",IF(INDIRECT("'"&amp;$O598&amp;"'!G"&amp;$N598)="O","반제품",IF(INDIRECT("'"&amp;$O598&amp;"'!H"&amp;$N598)="O","완제품","")))</f>
        <v/>
      </c>
      <c r="E598" s="79">
        <f>IFERROR(IF(INDIRECT("'"&amp;$O598&amp;"'!I"&amp;$N598)=0,"",INDIRECT("'"&amp;$O598&amp;"'!I"&amp;$N598)),"")</f>
        <v/>
      </c>
      <c r="F598" s="52" t="inlineStr">
        <is>
          <t>연아크릴 [65∮] - 8T</t>
        </is>
      </c>
      <c r="G598" s="52" t="inlineStr">
        <is>
          <t>연아크릴 쉴드 8T (153 * ∮65 * 8T) [공용] (선일쉴드텍)</t>
        </is>
      </c>
      <c r="H598" s="79">
        <f>IF(AND($F598="",$G598=""),"",IF($F598="","창고전용",IF($G598&lt;&gt;"","매칭완료",IF($D598="반제품","반제품(창고없음)",IF($D598="완제품","완제품(창고없음)",IF($D598="원자재","⚠ 원자재_부서보관","미분류"))))))</f>
        <v/>
      </c>
      <c r="I598" s="79">
        <f>IFERROR(IF(INDIRECT("'"&amp;$O598&amp;"'!P"&amp;$N598)=0,"",INDIRECT("'"&amp;$O598&amp;"'!P"&amp;$N598)),"")</f>
        <v/>
      </c>
      <c r="J598" s="61" t="inlineStr">
        <is>
          <t>연아크릴 [65∮] - 8T</t>
        </is>
      </c>
      <c r="K598" s="65" t="inlineStr">
        <is>
          <t>연아크릴 [65ɸ 8T] (선일쉴드텍)</t>
        </is>
      </c>
      <c r="L598" s="83">
        <f>HYPERLINK("#'"&amp;$O598&amp;"'!A"&amp;$N598,"→ 조립자재 R"&amp;$N598)</f>
        <v/>
      </c>
      <c r="M598" s="84" t="n"/>
      <c r="N598" s="80" t="n">
        <v>371</v>
      </c>
      <c r="O598" s="80" t="inlineStr">
        <is>
          <t>조립자재_재고현황</t>
        </is>
      </c>
    </row>
    <row r="599" ht="30" customHeight="1">
      <c r="A599" s="57" t="inlineStr">
        <is>
          <t>출하</t>
        </is>
      </c>
      <c r="B599" s="52" t="inlineStr">
        <is>
          <t>연 아크릴</t>
        </is>
      </c>
      <c r="C599" s="52" t="inlineStr">
        <is>
          <t>DX3000 ADX4000W</t>
        </is>
      </c>
      <c r="D599" s="79">
        <f>IF(INDIRECT("'"&amp;$O599&amp;"'!F"&amp;$N599)="O","원자재",IF(INDIRECT("'"&amp;$O599&amp;"'!G"&amp;$N599)="O","반제품",IF(INDIRECT("'"&amp;$O599&amp;"'!H"&amp;$N599)="O","완제품","")))</f>
        <v/>
      </c>
      <c r="E599" s="79">
        <f>IFERROR(IF(INDIRECT("'"&amp;$O599&amp;"'!I"&amp;$N599)=0,"",INDIRECT("'"&amp;$O599&amp;"'!I"&amp;$N599)),"")</f>
        <v/>
      </c>
      <c r="F599" s="52" t="inlineStr">
        <is>
          <t>연아크릴 [60∮] - 12T</t>
        </is>
      </c>
      <c r="G599" s="52" t="inlineStr">
        <is>
          <t>연아크릴 쉴드 12T (153 * ∮60 * 12T) [공용] (선일쉴드텍)</t>
        </is>
      </c>
      <c r="H599" s="79">
        <f>IF(AND($F599="",$G599=""),"",IF($F599="","창고전용",IF($G599&lt;&gt;"","매칭완료",IF($D599="반제품","반제품(창고없음)",IF($D599="완제품","완제품(창고없음)",IF($D599="원자재","⚠ 원자재_부서보관","미분류"))))))</f>
        <v/>
      </c>
      <c r="I599" s="79">
        <f>IFERROR(IF(INDIRECT("'"&amp;$O599&amp;"'!P"&amp;$N599)=0,"",INDIRECT("'"&amp;$O599&amp;"'!P"&amp;$N599)),"")</f>
        <v/>
      </c>
      <c r="J599" s="61" t="inlineStr">
        <is>
          <t>연아크릴 [60∮] - 12T</t>
        </is>
      </c>
      <c r="K599" s="65" t="inlineStr">
        <is>
          <t>연아크릴 [60ɸ 12T] (선일쉴드텍)</t>
        </is>
      </c>
      <c r="L599" s="83">
        <f>HYPERLINK("#'"&amp;$O599&amp;"'!A"&amp;$N599,"→ 조립자재 R"&amp;$N599)</f>
        <v/>
      </c>
      <c r="M599" s="84" t="n"/>
      <c r="N599" s="80" t="n">
        <v>372</v>
      </c>
      <c r="O599" s="80" t="inlineStr">
        <is>
          <t>조립자재_재고현황</t>
        </is>
      </c>
    </row>
    <row r="600" ht="30" customHeight="1">
      <c r="A600" s="57" t="inlineStr">
        <is>
          <t>출하</t>
        </is>
      </c>
      <c r="B600" s="52" t="inlineStr">
        <is>
          <t>연 아크릴</t>
        </is>
      </c>
      <c r="C600" s="52" t="inlineStr">
        <is>
          <t>공용</t>
        </is>
      </c>
      <c r="D600" s="79">
        <f>IF(INDIRECT("'"&amp;$O600&amp;"'!F"&amp;$N600)="O","원자재",IF(INDIRECT("'"&amp;$O600&amp;"'!G"&amp;$N600)="O","반제품",IF(INDIRECT("'"&amp;$O600&amp;"'!H"&amp;$N600)="O","완제품","")))</f>
        <v/>
      </c>
      <c r="E600" s="79">
        <f>IFERROR(IF(INDIRECT("'"&amp;$O600&amp;"'!I"&amp;$N600)=0,"",INDIRECT("'"&amp;$O600&amp;"'!I"&amp;$N600)),"")</f>
        <v/>
      </c>
      <c r="F600" s="52" t="inlineStr">
        <is>
          <t>연아크릴 [65∮] - 12T</t>
        </is>
      </c>
      <c r="G600" s="52" t="inlineStr">
        <is>
          <t>연아크릴 쉴드 12T (153 * ∮65 * 12T) [공용] (중국)</t>
        </is>
      </c>
      <c r="H600" s="79">
        <f>IF(AND($F600="",$G600=""),"",IF($F600="","창고전용",IF($G600&lt;&gt;"","매칭완료",IF($D600="반제품","반제품(창고없음)",IF($D600="완제품","완제품(창고없음)",IF($D600="원자재","⚠ 원자재_부서보관","미분류"))))))</f>
        <v/>
      </c>
      <c r="I600" s="79">
        <f>IFERROR(IF(INDIRECT("'"&amp;$O600&amp;"'!P"&amp;$N600)=0,"",INDIRECT("'"&amp;$O600&amp;"'!P"&amp;$N600)),"")</f>
        <v/>
      </c>
      <c r="J600" s="61" t="inlineStr">
        <is>
          <t>연아크릴 [65∮] - 12T</t>
        </is>
      </c>
      <c r="K600" s="65" t="inlineStr">
        <is>
          <t>연아크릴 [65ɸ 12T] (중국)</t>
        </is>
      </c>
      <c r="L600" s="83">
        <f>HYPERLINK("#'"&amp;$O600&amp;"'!A"&amp;$N600,"→ 조립자재 R"&amp;$N600)</f>
        <v/>
      </c>
      <c r="M600" s="84" t="n"/>
      <c r="N600" s="80" t="n">
        <v>373</v>
      </c>
      <c r="O600" s="80" t="inlineStr">
        <is>
          <t>조립자재_재고현황</t>
        </is>
      </c>
    </row>
    <row r="601" ht="30" customHeight="1">
      <c r="A601" s="57" t="inlineStr">
        <is>
          <t>출하</t>
        </is>
      </c>
      <c r="B601" s="52" t="inlineStr">
        <is>
          <t>연 아크릴</t>
        </is>
      </c>
      <c r="C601" s="52" t="inlineStr">
        <is>
          <t>공용</t>
        </is>
      </c>
      <c r="D601" s="79">
        <f>IF(INDIRECT("'"&amp;$O601&amp;"'!F"&amp;$N601)="O","원자재",IF(INDIRECT("'"&amp;$O601&amp;"'!G"&amp;$N601)="O","반제품",IF(INDIRECT("'"&amp;$O601&amp;"'!H"&amp;$N601)="O","완제품","")))</f>
        <v/>
      </c>
      <c r="E601" s="79">
        <f>IFERROR(IF(INDIRECT("'"&amp;$O601&amp;"'!I"&amp;$N601)=0,"",INDIRECT("'"&amp;$O601&amp;"'!I"&amp;$N601)),"")</f>
        <v/>
      </c>
      <c r="F601" s="52" t="inlineStr">
        <is>
          <t>연아크릴 [65∮] - 12T (선일 쉴드텍 - 일본만 사용)</t>
        </is>
      </c>
      <c r="G601" s="52" t="inlineStr">
        <is>
          <t>연아크릴 쉴드 12T (153 * ∮65 * 12T) [공용] (선일쉴드텍)</t>
        </is>
      </c>
      <c r="H601" s="79">
        <f>IF(AND($F601="",$G601=""),"",IF($F601="","창고전용",IF($G601&lt;&gt;"","매칭완료",IF($D601="반제품","반제품(창고없음)",IF($D601="완제품","완제품(창고없음)",IF($D601="원자재","⚠ 원자재_부서보관","미분류"))))))</f>
        <v/>
      </c>
      <c r="I601" s="79">
        <f>IFERROR(IF(INDIRECT("'"&amp;$O601&amp;"'!P"&amp;$N601)=0,"",INDIRECT("'"&amp;$O601&amp;"'!P"&amp;$N601)),"")</f>
        <v/>
      </c>
      <c r="J601" s="61" t="inlineStr">
        <is>
          <t>연아크릴 [65∮] - 12T (선일 쉴드텍 - 일본만 사용)</t>
        </is>
      </c>
      <c r="K601" s="65" t="inlineStr">
        <is>
          <t>연아크릴 [65ɸ 12T] (선일쉴드텍)</t>
        </is>
      </c>
      <c r="L601" s="83">
        <f>HYPERLINK("#'"&amp;$O601&amp;"'!A"&amp;$N601,"→ 조립자재 R"&amp;$N601)</f>
        <v/>
      </c>
      <c r="M601" s="84" t="n"/>
      <c r="N601" s="80" t="n">
        <v>374</v>
      </c>
      <c r="O601" s="80" t="inlineStr">
        <is>
          <t>조립자재_재고현황</t>
        </is>
      </c>
    </row>
    <row r="602" ht="30" customHeight="1">
      <c r="A602" s="57" t="inlineStr">
        <is>
          <t>출하</t>
        </is>
      </c>
      <c r="B602" s="52" t="inlineStr">
        <is>
          <t>연 아크릴</t>
        </is>
      </c>
      <c r="C602" s="52" t="inlineStr">
        <is>
          <t>공용</t>
        </is>
      </c>
      <c r="D602" s="79">
        <f>IF(INDIRECT("'"&amp;$O602&amp;"'!F"&amp;$N602)="O","원자재",IF(INDIRECT("'"&amp;$O602&amp;"'!G"&amp;$N602)="O","반제품",IF(INDIRECT("'"&amp;$O602&amp;"'!H"&amp;$N602)="O","완제품","")))</f>
        <v/>
      </c>
      <c r="E602" s="79">
        <f>IFERROR(IF(INDIRECT("'"&amp;$O602&amp;"'!I"&amp;$N602)=0,"",INDIRECT("'"&amp;$O602&amp;"'!I"&amp;$N602)),"")</f>
        <v/>
      </c>
      <c r="F602" s="52" t="inlineStr">
        <is>
          <t>연아크릴 [65∮] - 12T (8T 대용)</t>
        </is>
      </c>
      <c r="G602" s="52" t="n"/>
      <c r="H602" s="79">
        <f>IF(AND($F602="",$G602=""),"",IF($F602="","창고전용",IF($G602&lt;&gt;"","매칭완료",IF($D602="반제품","반제품(창고없음)",IF($D602="완제품","완제품(창고없음)",IF($D602="원자재","⚠ 원자재_부서보관","미분류"))))))</f>
        <v/>
      </c>
      <c r="I602" s="79">
        <f>IFERROR(IF(INDIRECT("'"&amp;$O602&amp;"'!P"&amp;$N602)=0,"",INDIRECT("'"&amp;$O602&amp;"'!P"&amp;$N602)),"")</f>
        <v/>
      </c>
      <c r="J602" s="61" t="inlineStr">
        <is>
          <t>연아크릴 [65∮] - 12T (8T 대용)</t>
        </is>
      </c>
      <c r="K602" s="65" t="inlineStr">
        <is>
          <t>연아크릴 [65ɸ 12T] (8T 대용)</t>
        </is>
      </c>
      <c r="L602" s="83">
        <f>HYPERLINK("#'"&amp;$O602&amp;"'!A"&amp;$N602,"→ 조립자재 R"&amp;$N602)</f>
        <v/>
      </c>
      <c r="M602" s="84" t="n"/>
      <c r="N602" s="80" t="n">
        <v>375</v>
      </c>
      <c r="O602" s="80" t="inlineStr">
        <is>
          <t>조립자재_재고현황</t>
        </is>
      </c>
    </row>
    <row r="603" ht="30" customHeight="1">
      <c r="A603" s="57" t="inlineStr">
        <is>
          <t>출하</t>
        </is>
      </c>
      <c r="B603" s="52" t="inlineStr">
        <is>
          <t>연 아크릴</t>
        </is>
      </c>
      <c r="C603" s="52" t="inlineStr">
        <is>
          <t>ADX6000 공용</t>
        </is>
      </c>
      <c r="D603" s="79">
        <f>IF(INDIRECT("'"&amp;$O603&amp;"'!F"&amp;$N603)="O","원자재",IF(INDIRECT("'"&amp;$O603&amp;"'!G"&amp;$N603)="O","반제품",IF(INDIRECT("'"&amp;$O603&amp;"'!H"&amp;$N603)="O","완제품","")))</f>
        <v/>
      </c>
      <c r="E603" s="79">
        <f>IFERROR(IF(INDIRECT("'"&amp;$O603&amp;"'!I"&amp;$N603)=0,"",INDIRECT("'"&amp;$O603&amp;"'!I"&amp;$N603)),"")</f>
        <v/>
      </c>
      <c r="F603" s="52" t="inlineStr">
        <is>
          <t>ADX6000_연아크릴 [직사각형 215*195mm] - 8T _하단 가공된 것</t>
        </is>
      </c>
      <c r="G603" s="52" t="inlineStr">
        <is>
          <t>사각 연아크릴 쉴드 (직사각형, 215 * 199mm 8T) [ADX6000] (선일쉴드텍)</t>
        </is>
      </c>
      <c r="H603" s="79">
        <f>IF(AND($F603="",$G603=""),"",IF($F603="","창고전용",IF($G603&lt;&gt;"","매칭완료",IF($D603="반제품","반제품(창고없음)",IF($D603="완제품","완제품(창고없음)",IF($D603="원자재","⚠ 원자재_부서보관","미분류"))))))</f>
        <v/>
      </c>
      <c r="I603" s="79">
        <f>IFERROR(IF(INDIRECT("'"&amp;$O603&amp;"'!P"&amp;$N603)=0,"",INDIRECT("'"&amp;$O603&amp;"'!P"&amp;$N603)),"")</f>
        <v/>
      </c>
      <c r="J603" s="65" t="inlineStr">
        <is>
          <t>ADX6000_연아크릴 [직사각형 215*195mm] - 8T _하단 가공된 것</t>
        </is>
      </c>
      <c r="K603" s="103" t="inlineStr">
        <is>
          <t>ADX6000 연아크릴 [215x195x8mm] 하단 가공된 것</t>
        </is>
      </c>
      <c r="L603" s="83">
        <f>HYPERLINK("#'"&amp;$O603&amp;"'!A"&amp;$N603,"→ 조립자재 R"&amp;$N603)</f>
        <v/>
      </c>
      <c r="M603" s="84" t="n"/>
      <c r="N603" s="80" t="n">
        <v>376</v>
      </c>
      <c r="O603" s="80" t="inlineStr">
        <is>
          <t>조립자재_재고현황</t>
        </is>
      </c>
    </row>
    <row r="604" ht="30" customHeight="1">
      <c r="A604" s="57" t="inlineStr">
        <is>
          <t>출하</t>
        </is>
      </c>
      <c r="B604" s="52" t="inlineStr">
        <is>
          <t>연 아크릴</t>
        </is>
      </c>
      <c r="C604" s="52" t="inlineStr">
        <is>
          <t>ADX6000 공용</t>
        </is>
      </c>
      <c r="D604" s="79">
        <f>IF(INDIRECT("'"&amp;$O604&amp;"'!F"&amp;$N604)="O","원자재",IF(INDIRECT("'"&amp;$O604&amp;"'!G"&amp;$N604)="O","반제품",IF(INDIRECT("'"&amp;$O604&amp;"'!H"&amp;$N604)="O","완제품","")))</f>
        <v/>
      </c>
      <c r="E604" s="79">
        <f>IFERROR(IF(INDIRECT("'"&amp;$O604&amp;"'!I"&amp;$N604)=0,"",INDIRECT("'"&amp;$O604&amp;"'!I"&amp;$N604)),"")</f>
        <v/>
      </c>
      <c r="F604" s="52" t="inlineStr">
        <is>
          <t>ADX6000_연아크릴 [직사각형 215*195mm] - 8T</t>
        </is>
      </c>
      <c r="G604" s="52" t="n"/>
      <c r="H604" s="79">
        <f>IF(AND($F604="",$G604=""),"",IF($F604="","창고전용",IF($G604&lt;&gt;"","매칭완료",IF($D604="반제품","반제품(창고없음)",IF($D604="완제품","완제품(창고없음)",IF($D604="원자재","⚠ 원자재_부서보관","미분류"))))))</f>
        <v/>
      </c>
      <c r="I604" s="79">
        <f>IFERROR(IF(INDIRECT("'"&amp;$O604&amp;"'!P"&amp;$N604)=0,"",INDIRECT("'"&amp;$O604&amp;"'!P"&amp;$N604)),"")</f>
        <v/>
      </c>
      <c r="J604" s="61" t="inlineStr">
        <is>
          <t>ADX6000_연아크릴 [직사각형 215*195mm] - 8T</t>
        </is>
      </c>
      <c r="K604" s="103" t="inlineStr">
        <is>
          <t>ADX6000 연아크릴 [215x195x8mm]</t>
        </is>
      </c>
      <c r="L604" s="83">
        <f>HYPERLINK("#'"&amp;$O604&amp;"'!A"&amp;$N604,"→ 조립자재 R"&amp;$N604)</f>
        <v/>
      </c>
      <c r="M604" s="84" t="n"/>
      <c r="N604" s="80" t="n">
        <v>377</v>
      </c>
      <c r="O604" s="80" t="inlineStr">
        <is>
          <t>조립자재_재고현황</t>
        </is>
      </c>
    </row>
    <row r="605" ht="30" customHeight="1">
      <c r="A605" s="57" t="inlineStr">
        <is>
          <t>출하</t>
        </is>
      </c>
      <c r="B605" s="52" t="inlineStr">
        <is>
          <t>실리콘</t>
        </is>
      </c>
      <c r="C605" s="52" t="inlineStr">
        <is>
          <t>공용</t>
        </is>
      </c>
      <c r="D605" s="79">
        <f>IF(INDIRECT("'"&amp;$O605&amp;"'!F"&amp;$N605)="O","원자재",IF(INDIRECT("'"&amp;$O605&amp;"'!G"&amp;$N605)="O","반제품",IF(INDIRECT("'"&amp;$O605&amp;"'!H"&amp;$N605)="O","완제품","")))</f>
        <v/>
      </c>
      <c r="E605" s="79">
        <f>IFERROR(IF(INDIRECT("'"&amp;$O605&amp;"'!I"&amp;$N605)=0,"",INDIRECT("'"&amp;$O605&amp;"'!I"&amp;$N605)),"")</f>
        <v/>
      </c>
      <c r="F605" s="52" t="inlineStr">
        <is>
          <t>실드 오링[60∮] _ AN-036</t>
        </is>
      </c>
      <c r="G605" s="52" t="inlineStr">
        <is>
          <t>쉴드 오링 (AN-036, 60∮) [공용]</t>
        </is>
      </c>
      <c r="H605" s="79">
        <f>IF(AND($F605="",$G605=""),"",IF($F605="","창고전용",IF($G605&lt;&gt;"","매칭완료",IF($D605="반제품","반제품(창고없음)",IF($D605="완제품","완제품(창고없음)",IF($D605="원자재","⚠ 원자재_부서보관","미분류"))))))</f>
        <v/>
      </c>
      <c r="I605" s="79">
        <f>IFERROR(IF(INDIRECT("'"&amp;$O605&amp;"'!P"&amp;$N605)=0,"",INDIRECT("'"&amp;$O605&amp;"'!P"&amp;$N605)),"")</f>
        <v/>
      </c>
      <c r="J605" s="65" t="inlineStr">
        <is>
          <t>실드 오링[60∮] _ AN-036</t>
        </is>
      </c>
      <c r="K605" s="65" t="inlineStr">
        <is>
          <t>실드 오링 [AN-036]</t>
        </is>
      </c>
      <c r="L605" s="83">
        <f>HYPERLINK("#'"&amp;$O605&amp;"'!A"&amp;$N605,"→ 조립자재 R"&amp;$N605)</f>
        <v/>
      </c>
      <c r="M605" s="84" t="n"/>
      <c r="N605" s="80" t="n">
        <v>378</v>
      </c>
      <c r="O605" s="80" t="inlineStr">
        <is>
          <t>조립자재_재고현황</t>
        </is>
      </c>
    </row>
    <row r="606" ht="30" customHeight="1">
      <c r="A606" s="57" t="inlineStr">
        <is>
          <t>출하</t>
        </is>
      </c>
      <c r="B606" s="52" t="inlineStr">
        <is>
          <t>실리콘</t>
        </is>
      </c>
      <c r="C606" s="52" t="inlineStr">
        <is>
          <t>공용</t>
        </is>
      </c>
      <c r="D606" s="79">
        <f>IF(INDIRECT("'"&amp;$O606&amp;"'!F"&amp;$N606)="O","원자재",IF(INDIRECT("'"&amp;$O606&amp;"'!G"&amp;$N606)="O","반제품",IF(INDIRECT("'"&amp;$O606&amp;"'!H"&amp;$N606)="O","완제품","")))</f>
        <v/>
      </c>
      <c r="E606" s="79">
        <f>IFERROR(IF(INDIRECT("'"&amp;$O606&amp;"'!I"&amp;$N606)=0,"",INDIRECT("'"&amp;$O606&amp;"'!I"&amp;$N606)),"")</f>
        <v/>
      </c>
      <c r="F606" s="52" t="inlineStr">
        <is>
          <t>실드 오링[60∮] _ AN-2.5   에이밍 사용</t>
        </is>
      </c>
      <c r="G606" s="52" t="n"/>
      <c r="H606" s="79">
        <f>IF(AND($F606="",$G606=""),"",IF($F606="","창고전용",IF($G606&lt;&gt;"","매칭완료",IF($D606="반제품","반제품(창고없음)",IF($D606="완제품","완제품(창고없음)",IF($D606="원자재","⚠ 원자재_부서보관","미분류"))))))</f>
        <v/>
      </c>
      <c r="I606" s="79">
        <f>IFERROR(IF(INDIRECT("'"&amp;$O606&amp;"'!P"&amp;$N606)=0,"",INDIRECT("'"&amp;$O606&amp;"'!P"&amp;$N606)),"")</f>
        <v/>
      </c>
      <c r="J606" s="65" t="inlineStr">
        <is>
          <t>실드 오링[60∮] _ AN-2.5   에이밍 사용</t>
        </is>
      </c>
      <c r="K606" s="103" t="inlineStr">
        <is>
          <t>실드 오링 [AN-2.5]</t>
        </is>
      </c>
      <c r="L606" s="83">
        <f>HYPERLINK("#'"&amp;$O606&amp;"'!A"&amp;$N606,"→ 조립자재 R"&amp;$N606)</f>
        <v/>
      </c>
      <c r="M606" s="84" t="n"/>
      <c r="N606" s="80" t="n">
        <v>379</v>
      </c>
      <c r="O606" s="80" t="inlineStr">
        <is>
          <t>조립자재_재고현황</t>
        </is>
      </c>
    </row>
    <row r="607" ht="30" customHeight="1">
      <c r="A607" s="57" t="inlineStr">
        <is>
          <t>출하</t>
        </is>
      </c>
      <c r="B607" s="52" t="inlineStr">
        <is>
          <t>실리콘</t>
        </is>
      </c>
      <c r="C607" s="52" t="inlineStr">
        <is>
          <t>DX3000</t>
        </is>
      </c>
      <c r="D607" s="79">
        <f>IF(INDIRECT("'"&amp;$O607&amp;"'!F"&amp;$N607)="O","원자재",IF(INDIRECT("'"&amp;$O607&amp;"'!G"&amp;$N607)="O","반제품",IF(INDIRECT("'"&amp;$O607&amp;"'!H"&amp;$N607)="O","완제품","")))</f>
        <v/>
      </c>
      <c r="E607" s="79">
        <f>IFERROR(IF(INDIRECT("'"&amp;$O607&amp;"'!I"&amp;$N607)=0,"",INDIRECT("'"&amp;$O607&amp;"'!I"&amp;$N607)),"")</f>
        <v/>
      </c>
      <c r="F607" s="52" t="inlineStr">
        <is>
          <t>DX3000용 연아크릴 실리콘 오링 3030</t>
        </is>
      </c>
      <c r="G607" s="52" t="inlineStr">
        <is>
          <t>연아크릴 실리콘 오링 [DX3000]</t>
        </is>
      </c>
      <c r="H607" s="79">
        <f>IF(AND($F607="",$G607=""),"",IF($F607="","창고전용",IF($G607&lt;&gt;"","매칭완료",IF($D607="반제품","반제품(창고없음)",IF($D607="완제품","완제품(창고없음)",IF($D607="원자재","⚠ 원자재_부서보관","미분류"))))))</f>
        <v/>
      </c>
      <c r="I607" s="79">
        <f>IFERROR(IF(INDIRECT("'"&amp;$O607&amp;"'!P"&amp;$N607)=0,"",INDIRECT("'"&amp;$O607&amp;"'!P"&amp;$N607)),"")</f>
        <v/>
      </c>
      <c r="J607" s="61" t="inlineStr">
        <is>
          <t>DX3000용 연아크릴 실리콘 오링 3030</t>
        </is>
      </c>
      <c r="K607" s="65" t="inlineStr">
        <is>
          <t>DX3000 연아크릴 실리콘 오링 [60ɸ 12T 3030]</t>
        </is>
      </c>
      <c r="L607" s="83">
        <f>HYPERLINK("#'"&amp;$O607&amp;"'!A"&amp;$N607,"→ 조립자재 R"&amp;$N607)</f>
        <v/>
      </c>
      <c r="M607" s="84" t="n"/>
      <c r="N607" s="80" t="n">
        <v>380</v>
      </c>
      <c r="O607" s="80" t="inlineStr">
        <is>
          <t>조립자재_재고현황</t>
        </is>
      </c>
    </row>
    <row r="608" ht="30" customHeight="1">
      <c r="A608" s="57" t="inlineStr">
        <is>
          <t>출하</t>
        </is>
      </c>
      <c r="B608" s="52" t="inlineStr">
        <is>
          <t>실리콘</t>
        </is>
      </c>
      <c r="C608" s="52" t="inlineStr">
        <is>
          <t>ADX4000W</t>
        </is>
      </c>
      <c r="D608" s="79">
        <f>IF(INDIRECT("'"&amp;$O608&amp;"'!F"&amp;$N608)="O","원자재",IF(INDIRECT("'"&amp;$O608&amp;"'!G"&amp;$N608)="O","반제품",IF(INDIRECT("'"&amp;$O608&amp;"'!H"&amp;$N608)="O","완제품","")))</f>
        <v/>
      </c>
      <c r="E608" s="79">
        <f>IFERROR(IF(INDIRECT("'"&amp;$O608&amp;"'!I"&amp;$N608)=0,"",INDIRECT("'"&amp;$O608&amp;"'!I"&amp;$N608)),"")</f>
        <v/>
      </c>
      <c r="F608" s="52" t="inlineStr">
        <is>
          <t>ADX4000용 연아크릴 실리콘 오링 4040</t>
        </is>
      </c>
      <c r="G608" s="52" t="inlineStr">
        <is>
          <t>연아크릴 실리콘 오링 [ADX4000W]</t>
        </is>
      </c>
      <c r="H608" s="79">
        <f>IF(AND($F608="",$G608=""),"",IF($F608="","창고전용",IF($G608&lt;&gt;"","매칭완료",IF($D608="반제품","반제품(창고없음)",IF($D608="완제품","완제품(창고없음)",IF($D608="원자재","⚠ 원자재_부서보관","미분류"))))))</f>
        <v/>
      </c>
      <c r="I608" s="79">
        <f>IFERROR(IF(INDIRECT("'"&amp;$O608&amp;"'!P"&amp;$N608)=0,"",INDIRECT("'"&amp;$O608&amp;"'!P"&amp;$N608)),"")</f>
        <v/>
      </c>
      <c r="J608" s="61" t="inlineStr">
        <is>
          <t>ADX4000용 연아크릴 실리콘 오링 4040</t>
        </is>
      </c>
      <c r="K608" s="65" t="inlineStr">
        <is>
          <t>ADX4000W 연아크릴 실리콘 오링 [60ɸ 12T 4040]</t>
        </is>
      </c>
      <c r="L608" s="83">
        <f>HYPERLINK("#'"&amp;$O608&amp;"'!A"&amp;$N608,"→ 조립자재 R"&amp;$N608)</f>
        <v/>
      </c>
      <c r="M608" s="84" t="n"/>
      <c r="N608" s="80" t="n">
        <v>381</v>
      </c>
      <c r="O608" s="80" t="inlineStr">
        <is>
          <t>조립자재_재고현황</t>
        </is>
      </c>
    </row>
    <row r="609" ht="30" customHeight="1">
      <c r="A609" s="57" t="inlineStr">
        <is>
          <t>출하</t>
        </is>
      </c>
      <c r="B609" s="52" t="inlineStr">
        <is>
          <t>실리콘</t>
        </is>
      </c>
      <c r="C609" s="52" t="inlineStr">
        <is>
          <t>ADX6000 공용</t>
        </is>
      </c>
      <c r="D609" s="79">
        <f>IF(INDIRECT("'"&amp;$O609&amp;"'!F"&amp;$N609)="O","원자재",IF(INDIRECT("'"&amp;$O609&amp;"'!G"&amp;$N609)="O","반제품",IF(INDIRECT("'"&amp;$O609&amp;"'!H"&amp;$N609)="O","완제품","")))</f>
        <v/>
      </c>
      <c r="E609" s="79">
        <f>IFERROR(IF(INDIRECT("'"&amp;$O609&amp;"'!I"&amp;$N609)=0,"",INDIRECT("'"&amp;$O609&amp;"'!I"&amp;$N609)),"")</f>
        <v/>
      </c>
      <c r="F609" s="52" t="inlineStr">
        <is>
          <t>ADX6000_연아크릴 실리콘 오링</t>
        </is>
      </c>
      <c r="G609" s="52" t="inlineStr">
        <is>
          <t>연아크릴 실리콘 오링 [ADX6000]</t>
        </is>
      </c>
      <c r="H609" s="79">
        <f>IF(AND($F609="",$G609=""),"",IF($F609="","창고전용",IF($G609&lt;&gt;"","매칭완료",IF($D609="반제품","반제품(창고없음)",IF($D609="완제품","완제품(창고없음)",IF($D609="원자재","⚠ 원자재_부서보관","미분류"))))))</f>
        <v/>
      </c>
      <c r="I609" s="79">
        <f>IFERROR(IF(INDIRECT("'"&amp;$O609&amp;"'!P"&amp;$N609)=0,"",INDIRECT("'"&amp;$O609&amp;"'!P"&amp;$N609)),"")</f>
        <v/>
      </c>
      <c r="J609" s="61" t="inlineStr">
        <is>
          <t>ADX6000_연아크릴 실리콘 오링</t>
        </is>
      </c>
      <c r="K609" s="61" t="inlineStr">
        <is>
          <t>ADX6000 연아크릴 실리콘 오링</t>
        </is>
      </c>
      <c r="L609" s="83">
        <f>HYPERLINK("#'"&amp;$O609&amp;"'!A"&amp;$N609,"→ 조립자재 R"&amp;$N609)</f>
        <v/>
      </c>
      <c r="M609" s="84" t="n"/>
      <c r="N609" s="80" t="n">
        <v>382</v>
      </c>
      <c r="O609" s="80" t="inlineStr">
        <is>
          <t>조립자재_재고현황</t>
        </is>
      </c>
    </row>
    <row r="610" ht="30" customHeight="1">
      <c r="A610" s="57" t="inlineStr">
        <is>
          <t>출하</t>
        </is>
      </c>
      <c r="B610" s="52" t="inlineStr">
        <is>
          <t>실리콘</t>
        </is>
      </c>
      <c r="C610" s="52" t="inlineStr">
        <is>
          <t>공용</t>
        </is>
      </c>
      <c r="D610" s="79">
        <f>IF(INDIRECT("'"&amp;$O610&amp;"'!F"&amp;$N610)="O","원자재",IF(INDIRECT("'"&amp;$O610&amp;"'!G"&amp;$N610)="O","반제품",IF(INDIRECT("'"&amp;$O610&amp;"'!H"&amp;$N610)="O","완제품","")))</f>
        <v/>
      </c>
      <c r="E610" s="79">
        <f>IFERROR(IF(INDIRECT("'"&amp;$O610&amp;"'!I"&amp;$N610)=0,"",INDIRECT("'"&amp;$O610&amp;"'!I"&amp;$N610)),"")</f>
        <v/>
      </c>
      <c r="F610" s="52" t="inlineStr">
        <is>
          <t>SCREW CAP</t>
        </is>
      </c>
      <c r="G610" s="52" t="inlineStr">
        <is>
          <t>SCREW CAP (RUBBER) [공용]</t>
        </is>
      </c>
      <c r="H610" s="79">
        <f>IF(AND($F610="",$G610=""),"",IF($F610="","창고전용",IF($G610&lt;&gt;"","매칭완료",IF($D610="반제품","반제품(창고없음)",IF($D610="완제품","완제품(창고없음)",IF($D610="원자재","⚠ 원자재_부서보관","미분류"))))))</f>
        <v/>
      </c>
      <c r="I610" s="79">
        <f>IFERROR(IF(INDIRECT("'"&amp;$O610&amp;"'!P"&amp;$N610)=0,"",INDIRECT("'"&amp;$O610&amp;"'!P"&amp;$N610)),"")</f>
        <v/>
      </c>
      <c r="J610" s="65" t="inlineStr">
        <is>
          <t>SCREW CAP</t>
        </is>
      </c>
      <c r="K610" s="103" t="inlineStr">
        <is>
          <t>SCREW CAP</t>
        </is>
      </c>
      <c r="L610" s="83">
        <f>HYPERLINK("#'"&amp;$O610&amp;"'!A"&amp;$N610,"→ 조립자재 R"&amp;$N610)</f>
        <v/>
      </c>
      <c r="M610" s="84" t="n"/>
      <c r="N610" s="80" t="n">
        <v>383</v>
      </c>
      <c r="O610" s="80" t="inlineStr">
        <is>
          <t>조립자재_재고현황</t>
        </is>
      </c>
    </row>
    <row r="611" ht="30" customHeight="1">
      <c r="A611" s="57" t="inlineStr">
        <is>
          <t>출하</t>
        </is>
      </c>
      <c r="B611" s="52" t="inlineStr">
        <is>
          <t>실리콘</t>
        </is>
      </c>
      <c r="C611" s="52" t="inlineStr">
        <is>
          <t>공용</t>
        </is>
      </c>
      <c r="D611" s="79">
        <f>IF(INDIRECT("'"&amp;$O611&amp;"'!F"&amp;$N611)="O","원자재",IF(INDIRECT("'"&amp;$O611&amp;"'!G"&amp;$N611)="O","반제품",IF(INDIRECT("'"&amp;$O611&amp;"'!H"&amp;$N611)="O","완제품","")))</f>
        <v/>
      </c>
      <c r="E611" s="79">
        <f>IFERROR(IF(INDIRECT("'"&amp;$O611&amp;"'!I"&amp;$N611)=0,"",INDIRECT("'"&amp;$O611&amp;"'!I"&amp;$N611)),"")</f>
        <v/>
      </c>
      <c r="F611" s="52" t="inlineStr">
        <is>
          <t>FOOT RUBBER</t>
        </is>
      </c>
      <c r="G611" s="52" t="n"/>
      <c r="H611" s="79">
        <f>IF(AND($F611="",$G611=""),"",IF($F611="","창고전용",IF($G611&lt;&gt;"","매칭완료",IF($D611="반제품","반제품(창고없음)",IF($D611="완제품","완제품(창고없음)",IF($D611="원자재","⚠ 원자재_부서보관","미분류"))))))</f>
        <v/>
      </c>
      <c r="I611" s="79">
        <f>IFERROR(IF(INDIRECT("'"&amp;$O611&amp;"'!P"&amp;$N611)=0,"",INDIRECT("'"&amp;$O611&amp;"'!P"&amp;$N611)),"")</f>
        <v/>
      </c>
      <c r="J611" s="65" t="inlineStr">
        <is>
          <t>FOOT RUBBER</t>
        </is>
      </c>
      <c r="K611" s="65" t="inlineStr">
        <is>
          <t>FOOT RUBBER</t>
        </is>
      </c>
      <c r="L611" s="83">
        <f>HYPERLINK("#'"&amp;$O611&amp;"'!A"&amp;$N611,"→ 조립자재 R"&amp;$N611)</f>
        <v/>
      </c>
      <c r="M611" s="84" t="n"/>
      <c r="N611" s="80" t="n">
        <v>384</v>
      </c>
      <c r="O611" s="80" t="inlineStr">
        <is>
          <t>조립자재_재고현황</t>
        </is>
      </c>
    </row>
    <row r="612" ht="30" customHeight="1">
      <c r="A612" s="57" t="inlineStr">
        <is>
          <t>출하</t>
        </is>
      </c>
      <c r="B612" s="52" t="inlineStr">
        <is>
          <t>실리콘</t>
        </is>
      </c>
      <c r="C612" s="52" t="inlineStr">
        <is>
          <t>DX3000</t>
        </is>
      </c>
      <c r="D612" s="79">
        <f>IF(INDIRECT("'"&amp;$O612&amp;"'!F"&amp;$N612)="O","원자재",IF(INDIRECT("'"&amp;$O612&amp;"'!G"&amp;$N612)="O","반제품",IF(INDIRECT("'"&amp;$O612&amp;"'!H"&amp;$N612)="O","완제품","")))</f>
        <v/>
      </c>
      <c r="E612" s="79">
        <f>IFERROR(IF(INDIRECT("'"&amp;$O612&amp;"'!I"&amp;$N612)=0,"",INDIRECT("'"&amp;$O612&amp;"'!I"&amp;$N612)),"")</f>
        <v/>
      </c>
      <c r="F612" s="52" t="inlineStr">
        <is>
          <t>실리콘 켑</t>
        </is>
      </c>
      <c r="G612" s="52" t="inlineStr">
        <is>
          <t>실리콘 캡 (LSR 투명 실리콘) [DX3000]</t>
        </is>
      </c>
      <c r="H612" s="79">
        <f>IF(AND($F612="",$G612=""),"",IF($F612="","창고전용",IF($G612&lt;&gt;"","매칭완료",IF($D612="반제품","반제품(창고없음)",IF($D612="완제품","완제품(창고없음)",IF($D612="원자재","⚠ 원자재_부서보관","미분류"))))))</f>
        <v/>
      </c>
      <c r="I612" s="79">
        <f>IFERROR(IF(INDIRECT("'"&amp;$O612&amp;"'!P"&amp;$N612)=0,"",INDIRECT("'"&amp;$O612&amp;"'!P"&amp;$N612)),"")</f>
        <v/>
      </c>
      <c r="J612" s="65" t="inlineStr">
        <is>
          <t>실리콘 켑</t>
        </is>
      </c>
      <c r="K612" s="103" t="inlineStr">
        <is>
          <t>DX3000 실리콘 켑</t>
        </is>
      </c>
      <c r="L612" s="83">
        <f>HYPERLINK("#'"&amp;$O612&amp;"'!A"&amp;$N612,"→ 조립자재 R"&amp;$N612)</f>
        <v/>
      </c>
      <c r="M612" s="84" t="n"/>
      <c r="N612" s="80" t="n">
        <v>385</v>
      </c>
      <c r="O612" s="80" t="inlineStr">
        <is>
          <t>조립자재_재고현황</t>
        </is>
      </c>
    </row>
    <row r="613" ht="30" customHeight="1">
      <c r="A613" s="57" t="inlineStr">
        <is>
          <t>출하</t>
        </is>
      </c>
      <c r="B613" s="52" t="inlineStr">
        <is>
          <t>네임 플레이트</t>
        </is>
      </c>
      <c r="C613" s="52" t="inlineStr">
        <is>
          <t>DX3000</t>
        </is>
      </c>
      <c r="D613" s="79">
        <f>IF(INDIRECT("'"&amp;$O613&amp;"'!F"&amp;$N613)="O","원자재",IF(INDIRECT("'"&amp;$O613&amp;"'!G"&amp;$N613)="O","반제품",IF(INDIRECT("'"&amp;$O613&amp;"'!H"&amp;$N613)="O","완제품","")))</f>
        <v/>
      </c>
      <c r="E613" s="79">
        <f>IFERROR(IF(INDIRECT("'"&amp;$O613&amp;"'!I"&amp;$N613)=0,"",INDIRECT("'"&amp;$O613&amp;"'!I"&amp;$N613)),"")</f>
        <v/>
      </c>
      <c r="F613" s="52" t="inlineStr">
        <is>
          <t>DX3000 NAME PLATE</t>
        </is>
      </c>
      <c r="G613" s="52" t="inlineStr">
        <is>
          <t>NAME PLATE [DX3000]</t>
        </is>
      </c>
      <c r="H613" s="79">
        <f>IF(AND($F613="",$G613=""),"",IF($F613="","창고전용",IF($G613&lt;&gt;"","매칭완료",IF($D613="반제품","반제품(창고없음)",IF($D613="완제품","완제품(창고없음)",IF($D613="원자재","⚠ 원자재_부서보관","미분류"))))))</f>
        <v/>
      </c>
      <c r="I613" s="79">
        <f>IFERROR(IF(INDIRECT("'"&amp;$O613&amp;"'!P"&amp;$N613)=0,"",INDIRECT("'"&amp;$O613&amp;"'!P"&amp;$N613)),"")</f>
        <v/>
      </c>
      <c r="J613" s="65" t="inlineStr">
        <is>
          <t>DX3000 NAME PLATE</t>
        </is>
      </c>
      <c r="K613" s="103" t="inlineStr">
        <is>
          <t>DX3000 NAME PLATE [DX3000]</t>
        </is>
      </c>
      <c r="L613" s="83">
        <f>HYPERLINK("#'"&amp;$O613&amp;"'!A"&amp;$N613,"→ 조립자재 R"&amp;$N613)</f>
        <v/>
      </c>
      <c r="M613" s="84" t="n"/>
      <c r="N613" s="80" t="n">
        <v>386</v>
      </c>
      <c r="O613" s="80" t="inlineStr">
        <is>
          <t>조립자재_재고현황</t>
        </is>
      </c>
    </row>
    <row r="614" ht="30" customHeight="1">
      <c r="A614" s="57" t="inlineStr">
        <is>
          <t>출하</t>
        </is>
      </c>
      <c r="B614" s="52" t="inlineStr">
        <is>
          <t>네임 플레이트</t>
        </is>
      </c>
      <c r="C614" s="52" t="inlineStr">
        <is>
          <t>DX3000</t>
        </is>
      </c>
      <c r="D614" s="79">
        <f>IF(INDIRECT("'"&amp;$O614&amp;"'!F"&amp;$N614)="O","원자재",IF(INDIRECT("'"&amp;$O614&amp;"'!G"&amp;$N614)="O","반제품",IF(INDIRECT("'"&amp;$O614&amp;"'!H"&amp;$N614)="O","완제품","")))</f>
        <v/>
      </c>
      <c r="E614" s="79">
        <f>IFERROR(IF(INDIRECT("'"&amp;$O614&amp;"'!I"&amp;$N614)=0,"",INDIRECT("'"&amp;$O614&amp;"'!I"&amp;$N614)),"")</f>
        <v/>
      </c>
      <c r="F614" s="52" t="inlineStr">
        <is>
          <t>iRay D3 NAME PLATE</t>
        </is>
      </c>
      <c r="G614" s="52" t="inlineStr">
        <is>
          <t>IRay D3 NAME PLATE [DX3000]</t>
        </is>
      </c>
      <c r="H614" s="79">
        <f>IF(AND($F614="",$G614=""),"",IF($F614="","창고전용",IF($G614&lt;&gt;"","매칭완료",IF($D614="반제품","반제품(창고없음)",IF($D614="완제품","완제품(창고없음)",IF($D614="원자재","⚠ 원자재_부서보관","미분류"))))))</f>
        <v/>
      </c>
      <c r="I614" s="79">
        <f>IFERROR(IF(INDIRECT("'"&amp;$O614&amp;"'!P"&amp;$N614)=0,"",INDIRECT("'"&amp;$O614&amp;"'!P"&amp;$N614)),"")</f>
        <v/>
      </c>
      <c r="J614" s="65" t="inlineStr">
        <is>
          <t>iRay D3 NAME PLATE</t>
        </is>
      </c>
      <c r="K614" s="103" t="inlineStr">
        <is>
          <t>DX3000 NAME PLATE [iRay D3]</t>
        </is>
      </c>
      <c r="L614" s="83">
        <f>HYPERLINK("#'"&amp;$O614&amp;"'!A"&amp;$N614,"→ 조립자재 R"&amp;$N614)</f>
        <v/>
      </c>
      <c r="M614" s="84" t="n"/>
      <c r="N614" s="80" t="n">
        <v>387</v>
      </c>
      <c r="O614" s="80" t="inlineStr">
        <is>
          <t>조립자재_재고현황</t>
        </is>
      </c>
    </row>
    <row r="615" ht="30" customHeight="1">
      <c r="A615" s="57" t="inlineStr">
        <is>
          <t>출하</t>
        </is>
      </c>
      <c r="B615" s="52" t="inlineStr">
        <is>
          <t>네임 플레이트</t>
        </is>
      </c>
      <c r="C615" s="52" t="inlineStr">
        <is>
          <t>DX3000</t>
        </is>
      </c>
      <c r="D615" s="79">
        <f>IF(INDIRECT("'"&amp;$O615&amp;"'!F"&amp;$N615)="O","원자재",IF(INDIRECT("'"&amp;$O615&amp;"'!G"&amp;$N615)="O","반제품",IF(INDIRECT("'"&amp;$O615&amp;"'!H"&amp;$N615)="O","완제품","")))</f>
        <v/>
      </c>
      <c r="E615" s="79">
        <f>IFERROR(IF(INDIRECT("'"&amp;$O615&amp;"'!I"&amp;$N615)=0,"",INDIRECT("'"&amp;$O615&amp;"'!I"&amp;$N615)),"")</f>
        <v/>
      </c>
      <c r="F615" s="52" t="inlineStr">
        <is>
          <t>우루과이 네임 플레이트</t>
        </is>
      </c>
      <c r="G615" s="52" t="inlineStr">
        <is>
          <t>우루과이 NAME PLATE [DX3000]</t>
        </is>
      </c>
      <c r="H615" s="79">
        <f>IF(AND($F615="",$G615=""),"",IF($F615="","창고전용",IF($G615&lt;&gt;"","매칭완료",IF($D615="반제품","반제품(창고없음)",IF($D615="완제품","완제품(창고없음)",IF($D615="원자재","⚠ 원자재_부서보관","미분류"))))))</f>
        <v/>
      </c>
      <c r="I615" s="79">
        <f>IFERROR(IF(INDIRECT("'"&amp;$O615&amp;"'!P"&amp;$N615)=0,"",INDIRECT("'"&amp;$O615&amp;"'!P"&amp;$N615)),"")</f>
        <v/>
      </c>
      <c r="J615" s="65" t="inlineStr">
        <is>
          <t>우루과이 네임 플레이트</t>
        </is>
      </c>
      <c r="K615" s="103" t="inlineStr">
        <is>
          <t>DX3000 NAME PLATE [iRix]</t>
        </is>
      </c>
      <c r="L615" s="83">
        <f>HYPERLINK("#'"&amp;$O615&amp;"'!A"&amp;$N615,"→ 조립자재 R"&amp;$N615)</f>
        <v/>
      </c>
      <c r="M615" s="84" t="n"/>
      <c r="N615" s="80" t="n">
        <v>388</v>
      </c>
      <c r="O615" s="80" t="inlineStr">
        <is>
          <t>조립자재_재고현황</t>
        </is>
      </c>
    </row>
    <row r="616" ht="30" customHeight="1">
      <c r="A616" s="57" t="inlineStr">
        <is>
          <t>출하</t>
        </is>
      </c>
      <c r="B616" s="52" t="inlineStr">
        <is>
          <t>네임 플레이트</t>
        </is>
      </c>
      <c r="C616" s="52" t="inlineStr">
        <is>
          <t>ADX4000W</t>
        </is>
      </c>
      <c r="D616" s="79">
        <f>IF(INDIRECT("'"&amp;$O616&amp;"'!F"&amp;$N616)="O","원자재",IF(INDIRECT("'"&amp;$O616&amp;"'!G"&amp;$N616)="O","반제품",IF(INDIRECT("'"&amp;$O616&amp;"'!H"&amp;$N616)="O","완제품","")))</f>
        <v/>
      </c>
      <c r="E616" s="79">
        <f>IFERROR(IF(INDIRECT("'"&amp;$O616&amp;"'!I"&amp;$N616)=0,"",INDIRECT("'"&amp;$O616&amp;"'!I"&amp;$N616)),"")</f>
        <v/>
      </c>
      <c r="F616" s="52" t="inlineStr">
        <is>
          <t>ADX4000 NAME PLATE</t>
        </is>
      </c>
      <c r="G616" s="52" t="inlineStr">
        <is>
          <t>NAME PLATE [ADX4000W]</t>
        </is>
      </c>
      <c r="H616" s="79">
        <f>IF(AND($F616="",$G616=""),"",IF($F616="","창고전용",IF($G616&lt;&gt;"","매칭완료",IF($D616="반제품","반제품(창고없음)",IF($D616="완제품","완제품(창고없음)",IF($D616="원자재","⚠ 원자재_부서보관","미분류"))))))</f>
        <v/>
      </c>
      <c r="I616" s="79">
        <f>IFERROR(IF(INDIRECT("'"&amp;$O616&amp;"'!P"&amp;$N616)=0,"",INDIRECT("'"&amp;$O616&amp;"'!P"&amp;$N616)),"")</f>
        <v/>
      </c>
      <c r="J616" s="65" t="inlineStr">
        <is>
          <t>ADX4000 NAME PLATE</t>
        </is>
      </c>
      <c r="K616" s="103" t="inlineStr">
        <is>
          <t>ADX4000 NAME PLATE [DEXCOWIN]</t>
        </is>
      </c>
      <c r="L616" s="83">
        <f>HYPERLINK("#'"&amp;$O616&amp;"'!A"&amp;$N616,"→ 조립자재 R"&amp;$N616)</f>
        <v/>
      </c>
      <c r="M616" s="84" t="n"/>
      <c r="N616" s="80" t="n">
        <v>389</v>
      </c>
      <c r="O616" s="80" t="inlineStr">
        <is>
          <t>조립자재_재고현황</t>
        </is>
      </c>
    </row>
    <row r="617" ht="30" customHeight="1">
      <c r="A617" s="57" t="inlineStr">
        <is>
          <t>출하</t>
        </is>
      </c>
      <c r="B617" s="52" t="inlineStr">
        <is>
          <t>포장 자재</t>
        </is>
      </c>
      <c r="C617" s="52" t="inlineStr">
        <is>
          <t>공용</t>
        </is>
      </c>
      <c r="D617" s="79">
        <f>IF(INDIRECT("'"&amp;$O617&amp;"'!F"&amp;$N617)="O","원자재",IF(INDIRECT("'"&amp;$O617&amp;"'!G"&amp;$N617)="O","반제품",IF(INDIRECT("'"&amp;$O617&amp;"'!H"&amp;$N617)="O","완제품","")))</f>
        <v/>
      </c>
      <c r="E617" s="79">
        <f>IFERROR(IF(INDIRECT("'"&amp;$O617&amp;"'!I"&amp;$N617)=0,"",INDIRECT("'"&amp;$O617&amp;"'!I"&amp;$N617)),"")</f>
        <v/>
      </c>
      <c r="F617" s="52" t="inlineStr">
        <is>
          <t>알루미늄 필터 [1.5T * Φ63] (일본 동물용)</t>
        </is>
      </c>
      <c r="G617" s="52" t="inlineStr">
        <is>
          <t>알루미늄 필터 (1.5T * Φ63 일본 동물용) [DX3000]</t>
        </is>
      </c>
      <c r="H617" s="79">
        <f>IF(AND($F617="",$G617=""),"",IF($F617="","창고전용",IF($G617&lt;&gt;"","매칭완료",IF($D617="반제품","반제품(창고없음)",IF($D617="완제품","완제품(창고없음)",IF($D617="원자재","⚠ 원자재_부서보관","미분류"))))))</f>
        <v/>
      </c>
      <c r="I617" s="79">
        <f>IFERROR(IF(INDIRECT("'"&amp;$O617&amp;"'!P"&amp;$N617)=0,"",INDIRECT("'"&amp;$O617&amp;"'!P"&amp;$N617)),"")</f>
        <v/>
      </c>
      <c r="J617" s="61" t="inlineStr">
        <is>
          <t>알루미늄 필터 [1.5T * Φ63] (일본 동물용)</t>
        </is>
      </c>
      <c r="K617" s="65" t="inlineStr">
        <is>
          <t>알루미늄 필터 [63ɸ 1.5T] (일본 동물용)</t>
        </is>
      </c>
      <c r="L617" s="83">
        <f>HYPERLINK("#'"&amp;$O617&amp;"'!A"&amp;$N617,"→ 조립자재 R"&amp;$N617)</f>
        <v/>
      </c>
      <c r="M617" s="84" t="n"/>
      <c r="N617" s="80" t="n">
        <v>390</v>
      </c>
      <c r="O617" s="80" t="inlineStr">
        <is>
          <t>조립자재_재고현황</t>
        </is>
      </c>
    </row>
    <row r="618" ht="30" customHeight="1">
      <c r="A618" s="57" t="inlineStr">
        <is>
          <t>출하</t>
        </is>
      </c>
      <c r="B618" s="52" t="inlineStr">
        <is>
          <t>포장 자재</t>
        </is>
      </c>
      <c r="C618" s="52" t="inlineStr">
        <is>
          <t>ADX4000W ADX6000</t>
        </is>
      </c>
      <c r="D618" s="79">
        <f>IF(INDIRECT("'"&amp;$O618&amp;"'!F"&amp;$N618)="O","원자재",IF(INDIRECT("'"&amp;$O618&amp;"'!G"&amp;$N618)="O","반제품",IF(INDIRECT("'"&amp;$O618&amp;"'!H"&amp;$N618)="O","완제품","")))</f>
        <v/>
      </c>
      <c r="E618" s="79">
        <f>IFERROR(IF(INDIRECT("'"&amp;$O618&amp;"'!I"&amp;$N618)=0,"",INDIRECT("'"&amp;$O618&amp;"'!I"&amp;$N618)),"")</f>
        <v/>
      </c>
      <c r="F618" s="52" t="inlineStr">
        <is>
          <t>OS라이센서 라벨</t>
        </is>
      </c>
      <c r="G618" s="52" t="inlineStr">
        <is>
          <t>OS라이센서 라벨 (Windows Embedded Standard 7 "E") [ADX4000W]</t>
        </is>
      </c>
      <c r="H618" s="79">
        <f>IF(AND($F618="",$G618=""),"",IF($F618="","창고전용",IF($G618&lt;&gt;"","매칭완료",IF($D618="반제품","반제품(창고없음)",IF($D618="완제품","완제품(창고없음)",IF($D618="원자재","⚠ 원자재_부서보관","미분류"))))))</f>
        <v/>
      </c>
      <c r="I618" s="79">
        <f>IFERROR(IF(INDIRECT("'"&amp;$O618&amp;"'!P"&amp;$N618)=0,"",INDIRECT("'"&amp;$O618&amp;"'!P"&amp;$N618)),"")</f>
        <v/>
      </c>
      <c r="J618" s="65" t="inlineStr">
        <is>
          <t>OS라이센서 라벨</t>
        </is>
      </c>
      <c r="K618" s="103" t="inlineStr">
        <is>
          <t>OS라이센스 라벨</t>
        </is>
      </c>
      <c r="L618" s="83">
        <f>HYPERLINK("#'"&amp;$O618&amp;"'!A"&amp;$N618,"→ 조립자재 R"&amp;$N618)</f>
        <v/>
      </c>
      <c r="M618" s="84" t="n"/>
      <c r="N618" s="80" t="n">
        <v>391</v>
      </c>
      <c r="O618" s="80" t="inlineStr">
        <is>
          <t>조립자재_재고현황</t>
        </is>
      </c>
    </row>
    <row r="619" ht="30" customHeight="1">
      <c r="A619" s="57" t="inlineStr">
        <is>
          <t>출하</t>
        </is>
      </c>
      <c r="B619" s="52" t="inlineStr">
        <is>
          <t>포장 자재</t>
        </is>
      </c>
      <c r="C619" s="52" t="inlineStr">
        <is>
          <t>ADX4000W ADX6000</t>
        </is>
      </c>
      <c r="D619" s="79">
        <f>IF(INDIRECT("'"&amp;$O619&amp;"'!F"&amp;$N619)="O","원자재",IF(INDIRECT("'"&amp;$O619&amp;"'!G"&amp;$N619)="O","반제품",IF(INDIRECT("'"&amp;$O619&amp;"'!H"&amp;$N619)="O","완제품","")))</f>
        <v/>
      </c>
      <c r="E619" s="79">
        <f>IFERROR(IF(INDIRECT("'"&amp;$O619&amp;"'!I"&amp;$N619)=0,"",INDIRECT("'"&amp;$O619&amp;"'!I"&amp;$N619)),"")</f>
        <v/>
      </c>
      <c r="F619" s="52" t="inlineStr">
        <is>
          <t>터치 팬</t>
        </is>
      </c>
      <c r="G619" s="52" t="n"/>
      <c r="H619" s="79">
        <f>IF(AND($F619="",$G619=""),"",IF($F619="","창고전용",IF($G619&lt;&gt;"","매칭완료",IF($D619="반제품","반제품(창고없음)",IF($D619="완제품","완제품(창고없음)",IF($D619="원자재","⚠ 원자재_부서보관","미분류"))))))</f>
        <v/>
      </c>
      <c r="I619" s="79">
        <f>IFERROR(IF(INDIRECT("'"&amp;$O619&amp;"'!P"&amp;$N619)=0,"",INDIRECT("'"&amp;$O619&amp;"'!P"&amp;$N619)),"")</f>
        <v/>
      </c>
      <c r="J619" s="65" t="inlineStr">
        <is>
          <t>터치 팬</t>
        </is>
      </c>
      <c r="K619" s="65" t="inlineStr">
        <is>
          <t>터치 펜</t>
        </is>
      </c>
      <c r="L619" s="83">
        <f>HYPERLINK("#'"&amp;$O619&amp;"'!A"&amp;$N619,"→ 조립자재 R"&amp;$N619)</f>
        <v/>
      </c>
      <c r="M619" s="84" t="n"/>
      <c r="N619" s="80" t="n">
        <v>392</v>
      </c>
      <c r="O619" s="80" t="inlineStr">
        <is>
          <t>조립자재_재고현황</t>
        </is>
      </c>
    </row>
    <row r="620" ht="30" customHeight="1">
      <c r="A620" s="57" t="inlineStr">
        <is>
          <t>출하</t>
        </is>
      </c>
      <c r="B620" s="52" t="inlineStr">
        <is>
          <t>포장 자재</t>
        </is>
      </c>
      <c r="C620" s="52" t="inlineStr">
        <is>
          <t>DX3000 COCOON</t>
        </is>
      </c>
      <c r="D620" s="79">
        <f>IF(INDIRECT("'"&amp;$O620&amp;"'!F"&amp;$N620)="O","원자재",IF(INDIRECT("'"&amp;$O620&amp;"'!G"&amp;$N620)="O","반제품",IF(INDIRECT("'"&amp;$O620&amp;"'!H"&amp;$N620)="O","완제품","")))</f>
        <v/>
      </c>
      <c r="E620" s="79">
        <f>IFERROR(IF(INDIRECT("'"&amp;$O620&amp;"'!I"&amp;$N620)=0,"",INDIRECT("'"&amp;$O620&amp;"'!I"&amp;$N620)),"")</f>
        <v/>
      </c>
      <c r="F620" s="52" t="inlineStr">
        <is>
          <t>넥스트랩(포켓)</t>
        </is>
      </c>
      <c r="G620" s="52" t="inlineStr">
        <is>
          <t>넥스트 랩 (포켓) [공용]</t>
        </is>
      </c>
      <c r="H620" s="79">
        <f>IF(AND($F620="",$G620=""),"",IF($F620="","창고전용",IF($G620&lt;&gt;"","매칭완료",IF($D620="반제품","반제품(창고없음)",IF($D620="완제품","완제품(창고없음)",IF($D620="원자재","⚠ 원자재_부서보관","미분류"))))))</f>
        <v/>
      </c>
      <c r="I620" s="79">
        <f>IFERROR(IF(INDIRECT("'"&amp;$O620&amp;"'!P"&amp;$N620)=0,"",INDIRECT("'"&amp;$O620&amp;"'!P"&amp;$N620)),"")</f>
        <v/>
      </c>
      <c r="J620" s="65" t="inlineStr">
        <is>
          <t>넥스트랩(포켓)</t>
        </is>
      </c>
      <c r="K620" s="61" t="inlineStr">
        <is>
          <t>넥스트랩 [포켓 O]</t>
        </is>
      </c>
      <c r="L620" s="83">
        <f>HYPERLINK("#'"&amp;$O620&amp;"'!A"&amp;$N620,"→ 조립자재 R"&amp;$N620)</f>
        <v/>
      </c>
      <c r="M620" s="84" t="n"/>
      <c r="N620" s="80" t="n">
        <v>393</v>
      </c>
      <c r="O620" s="80" t="inlineStr">
        <is>
          <t>조립자재_재고현황</t>
        </is>
      </c>
    </row>
    <row r="621" ht="30" customHeight="1">
      <c r="A621" s="57" t="inlineStr">
        <is>
          <t>출하</t>
        </is>
      </c>
      <c r="B621" s="52" t="inlineStr">
        <is>
          <t>포장 자재</t>
        </is>
      </c>
      <c r="C621" s="52" t="inlineStr">
        <is>
          <t>공용</t>
        </is>
      </c>
      <c r="D621" s="79">
        <f>IF(INDIRECT("'"&amp;$O621&amp;"'!F"&amp;$N621)="O","원자재",IF(INDIRECT("'"&amp;$O621&amp;"'!G"&amp;$N621)="O","반제품",IF(INDIRECT("'"&amp;$O621&amp;"'!H"&amp;$N621)="O","완제품","")))</f>
        <v/>
      </c>
      <c r="E621" s="79">
        <f>IFERROR(IF(INDIRECT("'"&amp;$O621&amp;"'!I"&amp;$N621)=0,"",INDIRECT("'"&amp;$O621&amp;"'!I"&amp;$N621)),"")</f>
        <v/>
      </c>
      <c r="F621" s="52" t="inlineStr">
        <is>
          <t>실리카겔 [부직포 20g]</t>
        </is>
      </c>
      <c r="G621" s="52" t="n"/>
      <c r="H621" s="79">
        <f>IF(AND($F621="",$G621=""),"",IF($F621="","창고전용",IF($G621&lt;&gt;"","매칭완료",IF($D621="반제품","반제품(창고없음)",IF($D621="완제품","완제품(창고없음)",IF($D621="원자재","⚠ 원자재_부서보관","미분류"))))))</f>
        <v/>
      </c>
      <c r="I621" s="79">
        <f>IFERROR(IF(INDIRECT("'"&amp;$O621&amp;"'!P"&amp;$N621)=0,"",INDIRECT("'"&amp;$O621&amp;"'!P"&amp;$N621)),"")</f>
        <v/>
      </c>
      <c r="J621" s="65" t="inlineStr">
        <is>
          <t>실리카겔 [부직포 20g]</t>
        </is>
      </c>
      <c r="K621" s="103" t="inlineStr">
        <is>
          <t>실리카겔 [20g]</t>
        </is>
      </c>
      <c r="L621" s="83">
        <f>HYPERLINK("#'"&amp;$O621&amp;"'!A"&amp;$N621,"→ 조립자재 R"&amp;$N621)</f>
        <v/>
      </c>
      <c r="M621" s="84" t="n"/>
      <c r="N621" s="80" t="n">
        <v>394</v>
      </c>
      <c r="O621" s="80" t="inlineStr">
        <is>
          <t>조립자재_재고현황</t>
        </is>
      </c>
    </row>
    <row r="622" ht="30" customHeight="1">
      <c r="A622" s="57" t="inlineStr">
        <is>
          <t>출하</t>
        </is>
      </c>
      <c r="B622" s="52" t="inlineStr">
        <is>
          <t>포장 자재</t>
        </is>
      </c>
      <c r="C622" s="52" t="inlineStr">
        <is>
          <t>공용</t>
        </is>
      </c>
      <c r="D622" s="79">
        <f>IF(INDIRECT("'"&amp;$O622&amp;"'!F"&amp;$N622)="O","원자재",IF(INDIRECT("'"&amp;$O622&amp;"'!G"&amp;$N622)="O","반제품",IF(INDIRECT("'"&amp;$O622&amp;"'!H"&amp;$N622)="O","완제품","")))</f>
        <v/>
      </c>
      <c r="E622" s="79">
        <f>IFERROR(IF(INDIRECT("'"&amp;$O622&amp;"'!I"&amp;$N622)=0,"",INDIRECT("'"&amp;$O622&amp;"'!I"&amp;$N622)),"")</f>
        <v/>
      </c>
      <c r="F622" s="52" t="inlineStr">
        <is>
          <t>가방끈(일본에 적용)</t>
        </is>
      </c>
      <c r="G622" s="52" t="inlineStr">
        <is>
          <t>가방끈 (일본용) [DX3000]</t>
        </is>
      </c>
      <c r="H622" s="79">
        <f>IF(AND($F622="",$G622=""),"",IF($F622="","창고전용",IF($G622&lt;&gt;"","매칭완료",IF($D622="반제품","반제품(창고없음)",IF($D622="완제품","완제품(창고없음)",IF($D622="원자재","⚠ 원자재_부서보관","미분류"))))))</f>
        <v/>
      </c>
      <c r="I622" s="79">
        <f>IFERROR(IF(INDIRECT("'"&amp;$O622&amp;"'!P"&amp;$N622)=0,"",INDIRECT("'"&amp;$O622&amp;"'!P"&amp;$N622)),"")</f>
        <v/>
      </c>
      <c r="J622" s="61" t="inlineStr">
        <is>
          <t>가방끈(일본에 적용)</t>
        </is>
      </c>
      <c r="K622" s="61" t="inlineStr">
        <is>
          <t>가방끈 [일본용]</t>
        </is>
      </c>
      <c r="L622" s="83">
        <f>HYPERLINK("#'"&amp;$O622&amp;"'!A"&amp;$N622,"→ 조립자재 R"&amp;$N622)</f>
        <v/>
      </c>
      <c r="M622" s="84" t="n"/>
      <c r="N622" s="80" t="n">
        <v>395</v>
      </c>
      <c r="O622" s="80" t="inlineStr">
        <is>
          <t>조립자재_재고현황</t>
        </is>
      </c>
    </row>
    <row r="623" ht="30" customHeight="1">
      <c r="A623" s="57" t="inlineStr">
        <is>
          <t>출하</t>
        </is>
      </c>
      <c r="B623" s="52" t="inlineStr">
        <is>
          <t>포장 자재</t>
        </is>
      </c>
      <c r="C623" s="52" t="inlineStr">
        <is>
          <t>공용</t>
        </is>
      </c>
      <c r="D623" s="79">
        <f>IF(INDIRECT("'"&amp;$O623&amp;"'!F"&amp;$N623)="O","원자재",IF(INDIRECT("'"&amp;$O623&amp;"'!G"&amp;$N623)="O","반제품",IF(INDIRECT("'"&amp;$O623&amp;"'!H"&amp;$N623)="O","완제품","")))</f>
        <v/>
      </c>
      <c r="E623" s="79">
        <f>IFERROR(IF(INDIRECT("'"&amp;$O623&amp;"'!I"&amp;$N623)=0,"",INDIRECT("'"&amp;$O623&amp;"'!I"&amp;$N623)),"")</f>
        <v/>
      </c>
      <c r="F623" s="52" t="inlineStr">
        <is>
          <t>제품 스트랩 (호주에 적용)</t>
        </is>
      </c>
      <c r="G623" s="52" t="inlineStr">
        <is>
          <t>제품 어깨끈 (구형) [DX3000]</t>
        </is>
      </c>
      <c r="H623" s="79">
        <f>IF(AND($F623="",$G623=""),"",IF($F623="","창고전용",IF($G623&lt;&gt;"","매칭완료",IF($D623="반제품","반제품(창고없음)",IF($D623="완제품","완제품(창고없음)",IF($D623="원자재","⚠ 원자재_부서보관","미분류"))))))</f>
        <v/>
      </c>
      <c r="I623" s="79">
        <f>IFERROR(IF(INDIRECT("'"&amp;$O623&amp;"'!P"&amp;$N623)=0,"",INDIRECT("'"&amp;$O623&amp;"'!P"&amp;$N623)),"")</f>
        <v/>
      </c>
      <c r="J623" s="61" t="inlineStr">
        <is>
          <t>제품 스트랩 (호주에 적용)</t>
        </is>
      </c>
      <c r="K623" s="61" t="inlineStr">
        <is>
          <t>DX3000 가죽 홀더 [호주용]</t>
        </is>
      </c>
      <c r="L623" s="83">
        <f>HYPERLINK("#'"&amp;$O623&amp;"'!A"&amp;$N623,"→ 조립자재 R"&amp;$N623)</f>
        <v/>
      </c>
      <c r="M623" s="84" t="n"/>
      <c r="N623" s="80" t="n">
        <v>396</v>
      </c>
      <c r="O623" s="80" t="inlineStr">
        <is>
          <t>조립자재_재고현황</t>
        </is>
      </c>
    </row>
    <row r="624" ht="30" customHeight="1">
      <c r="A624" s="57" t="inlineStr">
        <is>
          <t>출하</t>
        </is>
      </c>
      <c r="B624" s="52" t="inlineStr">
        <is>
          <t>포장 자재</t>
        </is>
      </c>
      <c r="C624" s="52" t="inlineStr">
        <is>
          <t>공용</t>
        </is>
      </c>
      <c r="D624" s="79">
        <f>IF(INDIRECT("'"&amp;$O624&amp;"'!F"&amp;$N624)="O","원자재",IF(INDIRECT("'"&amp;$O624&amp;"'!G"&amp;$N624)="O","반제품",IF(INDIRECT("'"&amp;$O624&amp;"'!H"&amp;$N624)="O","완제품","")))</f>
        <v/>
      </c>
      <c r="E624" s="79">
        <f>IFERROR(IF(INDIRECT("'"&amp;$O624&amp;"'!I"&amp;$N624)=0,"",INDIRECT("'"&amp;$O624&amp;"'!I"&amp;$N624)),"")</f>
        <v/>
      </c>
      <c r="F624" s="52" t="inlineStr">
        <is>
          <t>USB2.0 CABLE [PMM369-0200]-3M</t>
        </is>
      </c>
      <c r="G624" s="52" t="inlineStr">
        <is>
          <t>USB 2.0 CABLE (U-30136, 3m) [ADX4000W]</t>
        </is>
      </c>
      <c r="H624" s="79">
        <f>IF(AND($F624="",$G624=""),"",IF($F624="","창고전용",IF($G624&lt;&gt;"","매칭완료",IF($D624="반제품","반제품(창고없음)",IF($D624="완제품","완제품(창고없음)",IF($D624="원자재","⚠ 원자재_부서보관","미분류"))))))</f>
        <v/>
      </c>
      <c r="I624" s="79">
        <f>IFERROR(IF(INDIRECT("'"&amp;$O624&amp;"'!P"&amp;$N624)=0,"",INDIRECT("'"&amp;$O624&amp;"'!P"&amp;$N624)),"")</f>
        <v/>
      </c>
      <c r="J624" s="65" t="inlineStr">
        <is>
          <t>USB2.0 CABLE [PMM369-0200]-3M</t>
        </is>
      </c>
      <c r="K624" s="103" t="inlineStr">
        <is>
          <t>USB 2.0 CABLE [3M]</t>
        </is>
      </c>
      <c r="L624" s="83">
        <f>HYPERLINK("#'"&amp;$O624&amp;"'!A"&amp;$N624,"→ 조립자재 R"&amp;$N624)</f>
        <v/>
      </c>
      <c r="M624" s="84" t="n"/>
      <c r="N624" s="80" t="n">
        <v>397</v>
      </c>
      <c r="O624" s="80" t="inlineStr">
        <is>
          <t>조립자재_재고현황</t>
        </is>
      </c>
    </row>
    <row r="625" ht="30" customHeight="1">
      <c r="A625" s="57" t="inlineStr">
        <is>
          <t>출하</t>
        </is>
      </c>
      <c r="B625" s="52" t="inlineStr">
        <is>
          <t>포장 자재</t>
        </is>
      </c>
      <c r="C625" s="52" t="inlineStr">
        <is>
          <t>공용</t>
        </is>
      </c>
      <c r="D625" s="79">
        <f>IF(INDIRECT("'"&amp;$O625&amp;"'!F"&amp;$N625)="O","원자재",IF(INDIRECT("'"&amp;$O625&amp;"'!G"&amp;$N625)="O","반제품",IF(INDIRECT("'"&amp;$O625&amp;"'!H"&amp;$N625)="O","완제품","")))</f>
        <v/>
      </c>
      <c r="E625" s="79">
        <f>IFERROR(IF(INDIRECT("'"&amp;$O625&amp;"'!I"&amp;$N625)=0,"",INDIRECT("'"&amp;$O625&amp;"'!I"&amp;$N625)),"")</f>
        <v/>
      </c>
      <c r="F625" s="52" t="inlineStr">
        <is>
          <t>변환 젠더 _ 외부배터리 충전용(공용)</t>
        </is>
      </c>
      <c r="G625" s="52" t="inlineStr">
        <is>
          <t>외부배터리 충전용 잭 [공용]</t>
        </is>
      </c>
      <c r="H625" s="79">
        <f>IF(AND($F625="",$G625=""),"",IF($F625="","창고전용",IF($G625&lt;&gt;"","매칭완료",IF($D625="반제품","반제품(창고없음)",IF($D625="완제품","완제품(창고없음)",IF($D625="원자재","⚠ 원자재_부서보관","미분류"))))))</f>
        <v/>
      </c>
      <c r="I625" s="79">
        <f>IFERROR(IF(INDIRECT("'"&amp;$O625&amp;"'!P"&amp;$N625)=0,"",INDIRECT("'"&amp;$O625&amp;"'!P"&amp;$N625)),"")</f>
        <v/>
      </c>
      <c r="J625" s="65" t="inlineStr">
        <is>
          <t>변환 젠더 _ 외부배터리 충전용(공용)</t>
        </is>
      </c>
      <c r="K625" s="65" t="inlineStr">
        <is>
          <t>양암 변환 젠더 (COCOON 외부배터리 충전용)</t>
        </is>
      </c>
      <c r="L625" s="83">
        <f>HYPERLINK("#'"&amp;$O625&amp;"'!A"&amp;$N625,"→ 조립자재 R"&amp;$N625)</f>
        <v/>
      </c>
      <c r="M625" s="84" t="n"/>
      <c r="N625" s="80" t="n">
        <v>398</v>
      </c>
      <c r="O625" s="80" t="inlineStr">
        <is>
          <t>조립자재_재고현황</t>
        </is>
      </c>
    </row>
    <row r="626" ht="30" customHeight="1">
      <c r="A626" s="57" t="inlineStr">
        <is>
          <t>출하</t>
        </is>
      </c>
      <c r="B626" s="52" t="inlineStr">
        <is>
          <t>포장 자재</t>
        </is>
      </c>
      <c r="C626" s="52" t="inlineStr">
        <is>
          <t>공용</t>
        </is>
      </c>
      <c r="D626" s="79">
        <f>IF(INDIRECT("'"&amp;$O626&amp;"'!F"&amp;$N626)="O","원자재",IF(INDIRECT("'"&amp;$O626&amp;"'!G"&amp;$N626)="O","반제품",IF(INDIRECT("'"&amp;$O626&amp;"'!H"&amp;$N626)="O","완제품","")))</f>
        <v/>
      </c>
      <c r="E626" s="79">
        <f>IFERROR(IF(INDIRECT("'"&amp;$O626&amp;"'!I"&amp;$N626)=0,"",INDIRECT("'"&amp;$O626&amp;"'!I"&amp;$N626)),"")</f>
        <v/>
      </c>
      <c r="F626" s="52" t="inlineStr">
        <is>
          <t>REMOTE CONTROL [RW20]- 3M</t>
        </is>
      </c>
      <c r="G626" s="52" t="inlineStr">
        <is>
          <t>REMOTE CONTROL (RW20, 3m + 샘플 1EA) [공용]</t>
        </is>
      </c>
      <c r="H626" s="79">
        <f>IF(AND($F626="",$G626=""),"",IF($F626="","창고전용",IF($G626&lt;&gt;"","매칭완료",IF($D626="반제품","반제품(창고없음)",IF($D626="완제품","완제품(창고없음)",IF($D626="원자재","⚠ 원자재_부서보관","미분류"))))))</f>
        <v/>
      </c>
      <c r="I626" s="79">
        <f>IFERROR(IF(INDIRECT("'"&amp;$O626&amp;"'!P"&amp;$N626)=0,"",INDIRECT("'"&amp;$O626&amp;"'!P"&amp;$N626)),"")</f>
        <v/>
      </c>
      <c r="J626" s="65" t="inlineStr">
        <is>
          <t>REMOTE CONTROL [RW20]- 3M</t>
        </is>
      </c>
      <c r="K626" s="103" t="inlineStr">
        <is>
          <t>REMOTE CONTROL [3M]</t>
        </is>
      </c>
      <c r="L626" s="83">
        <f>HYPERLINK("#'"&amp;$O626&amp;"'!A"&amp;$N626,"→ 조립자재 R"&amp;$N626)</f>
        <v/>
      </c>
      <c r="M626" s="84" t="n"/>
      <c r="N626" s="80" t="n">
        <v>399</v>
      </c>
      <c r="O626" s="80" t="inlineStr">
        <is>
          <t>조립자재_재고현황</t>
        </is>
      </c>
    </row>
    <row r="627" ht="30" customHeight="1">
      <c r="A627" s="57" t="inlineStr">
        <is>
          <t>출하</t>
        </is>
      </c>
      <c r="B627" s="52" t="inlineStr">
        <is>
          <t>포장 자재</t>
        </is>
      </c>
      <c r="C627" s="52" t="inlineStr">
        <is>
          <t>ADX6000 공용</t>
        </is>
      </c>
      <c r="D627" s="79">
        <f>IF(INDIRECT("'"&amp;$O627&amp;"'!F"&amp;$N627)="O","원자재",IF(INDIRECT("'"&amp;$O627&amp;"'!G"&amp;$N627)="O","반제품",IF(INDIRECT("'"&amp;$O627&amp;"'!H"&amp;$N627)="O","완제품","")))</f>
        <v/>
      </c>
      <c r="E627" s="79">
        <f>IFERROR(IF(INDIRECT("'"&amp;$O627&amp;"'!I"&amp;$N627)=0,"",INDIRECT("'"&amp;$O627&amp;"'!I"&amp;$N627)),"")</f>
        <v/>
      </c>
      <c r="F627" s="52" t="inlineStr">
        <is>
          <t>ADX6000 name plate</t>
        </is>
      </c>
      <c r="G627" s="52" t="inlineStr">
        <is>
          <t>ADX6000 NAME PLATE [ADX6000]</t>
        </is>
      </c>
      <c r="H627" s="79">
        <f>IF(AND($F627="",$G627=""),"",IF($F627="","창고전용",IF($G627&lt;&gt;"","매칭완료",IF($D627="반제품","반제품(창고없음)",IF($D627="완제품","완제품(창고없음)",IF($D627="원자재","⚠ 원자재_부서보관","미분류"))))))</f>
        <v/>
      </c>
      <c r="I627" s="79">
        <f>IFERROR(IF(INDIRECT("'"&amp;$O627&amp;"'!P"&amp;$N627)=0,"",INDIRECT("'"&amp;$O627&amp;"'!P"&amp;$N627)),"")</f>
        <v/>
      </c>
      <c r="J627" s="65" t="inlineStr">
        <is>
          <t>ADX6000 name plate</t>
        </is>
      </c>
      <c r="K627" s="103" t="inlineStr">
        <is>
          <t>ADX6000 NAME PLATE [ADX6000]</t>
        </is>
      </c>
      <c r="L627" s="83">
        <f>HYPERLINK("#'"&amp;$O627&amp;"'!A"&amp;$N627,"→ 조립자재 R"&amp;$N627)</f>
        <v/>
      </c>
      <c r="M627" s="84" t="n"/>
      <c r="N627" s="80" t="n">
        <v>400</v>
      </c>
      <c r="O627" s="80" t="inlineStr">
        <is>
          <t>조립자재_재고현황</t>
        </is>
      </c>
    </row>
    <row r="628" ht="30" customHeight="1">
      <c r="A628" s="57" t="inlineStr">
        <is>
          <t>출하</t>
        </is>
      </c>
      <c r="B628" s="52" t="inlineStr">
        <is>
          <t>포장 자재</t>
        </is>
      </c>
      <c r="C628" s="52" t="inlineStr">
        <is>
          <t>ADX6000 공용</t>
        </is>
      </c>
      <c r="D628" s="79">
        <f>IF(INDIRECT("'"&amp;$O628&amp;"'!F"&amp;$N628)="O","원자재",IF(INDIRECT("'"&amp;$O628&amp;"'!G"&amp;$N628)="O","반제품",IF(INDIRECT("'"&amp;$O628&amp;"'!H"&amp;$N628)="O","완제품","")))</f>
        <v/>
      </c>
      <c r="E628" s="79">
        <f>IFERROR(IF(INDIRECT("'"&amp;$O628&amp;"'!I"&amp;$N628)=0,"",INDIRECT("'"&amp;$O628&amp;"'!I"&amp;$N628)),"")</f>
        <v/>
      </c>
      <c r="F628" s="52" t="inlineStr">
        <is>
          <t>IRay A6 name plate</t>
        </is>
      </c>
      <c r="G628" s="52" t="inlineStr">
        <is>
          <t>IRay A6 NAME PLATE [ADX6000]</t>
        </is>
      </c>
      <c r="H628" s="79">
        <f>IF(AND($F628="",$G628=""),"",IF($F628="","창고전용",IF($G628&lt;&gt;"","매칭완료",IF($D628="반제품","반제품(창고없음)",IF($D628="완제품","완제품(창고없음)",IF($D628="원자재","⚠ 원자재_부서보관","미분류"))))))</f>
        <v/>
      </c>
      <c r="I628" s="79">
        <f>IFERROR(IF(INDIRECT("'"&amp;$O628&amp;"'!P"&amp;$N628)=0,"",INDIRECT("'"&amp;$O628&amp;"'!P"&amp;$N628)),"")</f>
        <v/>
      </c>
      <c r="J628" s="65" t="inlineStr">
        <is>
          <t>IRay A6 name plate</t>
        </is>
      </c>
      <c r="K628" s="103" t="inlineStr">
        <is>
          <t>ADX6000 NAME PLATE [iRay A6]</t>
        </is>
      </c>
      <c r="L628" s="83">
        <f>HYPERLINK("#'"&amp;$O628&amp;"'!A"&amp;$N628,"→ 조립자재 R"&amp;$N628)</f>
        <v/>
      </c>
      <c r="M628" s="84" t="n"/>
      <c r="N628" s="80" t="n">
        <v>401</v>
      </c>
      <c r="O628" s="80" t="inlineStr">
        <is>
          <t>조립자재_재고현황</t>
        </is>
      </c>
    </row>
    <row r="629" ht="30" customHeight="1">
      <c r="A629" s="57" t="inlineStr">
        <is>
          <t>출하</t>
        </is>
      </c>
      <c r="B629" s="52" t="inlineStr">
        <is>
          <t>포장 자재</t>
        </is>
      </c>
      <c r="C629" s="52" t="inlineStr">
        <is>
          <t>ADX6000 공용</t>
        </is>
      </c>
      <c r="D629" s="79">
        <f>IF(INDIRECT("'"&amp;$O629&amp;"'!F"&amp;$N629)="O","원자재",IF(INDIRECT("'"&amp;$O629&amp;"'!G"&amp;$N629)="O","반제품",IF(INDIRECT("'"&amp;$O629&amp;"'!H"&amp;$N629)="O","완제품","")))</f>
        <v/>
      </c>
      <c r="E629" s="79">
        <f>IFERROR(IF(INDIRECT("'"&amp;$O629&amp;"'!I"&amp;$N629)=0,"",INDIRECT("'"&amp;$O629&amp;"'!I"&amp;$N629)),"")</f>
        <v/>
      </c>
      <c r="F629" s="52" t="inlineStr">
        <is>
          <t>사각 줄자 (White)</t>
        </is>
      </c>
      <c r="G629" s="52" t="n"/>
      <c r="H629" s="79">
        <f>IF(AND($F629="",$G629=""),"",IF($F629="","창고전용",IF($G629&lt;&gt;"","매칭완료",IF($D629="반제품","반제품(창고없음)",IF($D629="완제품","완제품(창고없음)",IF($D629="원자재","⚠ 원자재_부서보관","미분류"))))))</f>
        <v/>
      </c>
      <c r="I629" s="79">
        <f>IFERROR(IF(INDIRECT("'"&amp;$O629&amp;"'!P"&amp;$N629)=0,"",INDIRECT("'"&amp;$O629&amp;"'!P"&amp;$N629)),"")</f>
        <v/>
      </c>
      <c r="J629" s="65" t="inlineStr">
        <is>
          <t>사각 줄자 (White)</t>
        </is>
      </c>
      <c r="K629" s="103" t="inlineStr">
        <is>
          <t>사각 줄자</t>
        </is>
      </c>
      <c r="L629" s="83">
        <f>HYPERLINK("#'"&amp;$O629&amp;"'!A"&amp;$N629,"→ 조립자재 R"&amp;$N629)</f>
        <v/>
      </c>
      <c r="M629" s="84" t="n"/>
      <c r="N629" s="80" t="n">
        <v>402</v>
      </c>
      <c r="O629" s="80" t="inlineStr">
        <is>
          <t>조립자재_재고현황</t>
        </is>
      </c>
    </row>
    <row r="630" ht="30" customHeight="1">
      <c r="A630" s="57" t="inlineStr">
        <is>
          <t>출하</t>
        </is>
      </c>
      <c r="B630" s="52" t="inlineStr">
        <is>
          <t>포장 자재</t>
        </is>
      </c>
      <c r="C630" s="52" t="inlineStr">
        <is>
          <t>ADX6000 공용</t>
        </is>
      </c>
      <c r="D630" s="79">
        <f>IF(INDIRECT("'"&amp;$O630&amp;"'!F"&amp;$N630)="O","원자재",IF(INDIRECT("'"&amp;$O630&amp;"'!G"&amp;$N630)="O","반제품",IF(INDIRECT("'"&amp;$O630&amp;"'!H"&amp;$N630)="O","완제품","")))</f>
        <v/>
      </c>
      <c r="E630" s="79">
        <f>IFERROR(IF(INDIRECT("'"&amp;$O630&amp;"'!I"&amp;$N630)=0,"",INDIRECT("'"&amp;$O630&amp;"'!I"&amp;$N630)),"")</f>
        <v/>
      </c>
      <c r="F630" s="52" t="inlineStr">
        <is>
          <t>사각 줄자 가이드</t>
        </is>
      </c>
      <c r="G630" s="52" t="inlineStr">
        <is>
          <t>사각 줄자 가이드 [ADX6000S]</t>
        </is>
      </c>
      <c r="H630" s="79">
        <f>IF(AND($F630="",$G630=""),"",IF($F630="","창고전용",IF($G630&lt;&gt;"","매칭완료",IF($D630="반제품","반제품(창고없음)",IF($D630="완제품","완제품(창고없음)",IF($D630="원자재","⚠ 원자재_부서보관","미분류"))))))</f>
        <v/>
      </c>
      <c r="I630" s="79">
        <f>IFERROR(IF(INDIRECT("'"&amp;$O630&amp;"'!P"&amp;$N630)=0,"",INDIRECT("'"&amp;$O630&amp;"'!P"&amp;$N630)),"")</f>
        <v/>
      </c>
      <c r="J630" s="65" t="inlineStr">
        <is>
          <t>사각 줄자 가이드</t>
        </is>
      </c>
      <c r="K630" s="103" t="inlineStr">
        <is>
          <t>사각 줄자 아크릴 가이드</t>
        </is>
      </c>
      <c r="L630" s="83">
        <f>HYPERLINK("#'"&amp;$O630&amp;"'!A"&amp;$N630,"→ 조립자재 R"&amp;$N630)</f>
        <v/>
      </c>
      <c r="M630" s="84" t="n"/>
      <c r="N630" s="80" t="n">
        <v>403</v>
      </c>
      <c r="O630" s="80" t="inlineStr">
        <is>
          <t>조립자재_재고현황</t>
        </is>
      </c>
    </row>
    <row r="631" ht="30" customHeight="1">
      <c r="A631" s="57" t="inlineStr">
        <is>
          <t>출하</t>
        </is>
      </c>
      <c r="B631" s="52" t="inlineStr">
        <is>
          <t>포장 자재</t>
        </is>
      </c>
      <c r="C631" s="52" t="inlineStr">
        <is>
          <t>ADX6000</t>
        </is>
      </c>
      <c r="D631" s="79">
        <f>IF(INDIRECT("'"&amp;$O631&amp;"'!F"&amp;$N631)="O","원자재",IF(INDIRECT("'"&amp;$O631&amp;"'!G"&amp;$N631)="O","반제품",IF(INDIRECT("'"&amp;$O631&amp;"'!H"&amp;$N631)="O","완제품","")))</f>
        <v/>
      </c>
      <c r="E631" s="79">
        <f>IFERROR(IF(INDIRECT("'"&amp;$O631&amp;"'!I"&amp;$N631)=0,"",INDIRECT("'"&amp;$O631&amp;"'!I"&amp;$N631)),"")</f>
        <v/>
      </c>
      <c r="F631" s="52" t="inlineStr">
        <is>
          <t>PC Link Cable</t>
        </is>
      </c>
      <c r="G631" s="52" t="inlineStr">
        <is>
          <t>PC Link Cable [ADX6000]</t>
        </is>
      </c>
      <c r="H631" s="79">
        <f>IF(AND($F631="",$G631=""),"",IF($F631="","창고전용",IF($G631&lt;&gt;"","매칭완료",IF($D631="반제품","반제품(창고없음)",IF($D631="완제품","완제품(창고없음)",IF($D631="원자재","⚠ 원자재_부서보관","미분류"))))))</f>
        <v/>
      </c>
      <c r="I631" s="79">
        <f>IFERROR(IF(INDIRECT("'"&amp;$O631&amp;"'!P"&amp;$N631)=0,"",INDIRECT("'"&amp;$O631&amp;"'!P"&amp;$N631)),"")</f>
        <v/>
      </c>
      <c r="J631" s="65" t="inlineStr">
        <is>
          <t>PC Link Cable</t>
        </is>
      </c>
      <c r="K631" s="103" t="inlineStr">
        <is>
          <t>PC Link Cable</t>
        </is>
      </c>
      <c r="L631" s="83">
        <f>HYPERLINK("#'"&amp;$O631&amp;"'!A"&amp;$N631,"→ 조립자재 R"&amp;$N631)</f>
        <v/>
      </c>
      <c r="M631" s="84" t="n"/>
      <c r="N631" s="80" t="n">
        <v>404</v>
      </c>
      <c r="O631" s="80" t="inlineStr">
        <is>
          <t>조립자재_재고현황</t>
        </is>
      </c>
    </row>
    <row r="632" ht="30" customHeight="1">
      <c r="A632" s="57" t="inlineStr">
        <is>
          <t>출하</t>
        </is>
      </c>
      <c r="B632" s="52" t="inlineStr">
        <is>
          <t>포장 자재</t>
        </is>
      </c>
      <c r="C632" s="52" t="inlineStr">
        <is>
          <t>ADX6000 공용</t>
        </is>
      </c>
      <c r="D632" s="79">
        <f>IF(INDIRECT("'"&amp;$O632&amp;"'!F"&amp;$N632)="O","원자재",IF(INDIRECT("'"&amp;$O632&amp;"'!G"&amp;$N632)="O","반제품",IF(INDIRECT("'"&amp;$O632&amp;"'!H"&amp;$N632)="O","완제품","")))</f>
        <v/>
      </c>
      <c r="E632" s="79">
        <f>IFERROR(IF(INDIRECT("'"&amp;$O632&amp;"'!I"&amp;$N632)=0,"",INDIRECT("'"&amp;$O632&amp;"'!I"&amp;$N632)),"")</f>
        <v/>
      </c>
      <c r="F632" s="52" t="inlineStr">
        <is>
          <t>스킨가드(밸크로)</t>
        </is>
      </c>
      <c r="G632" s="52" t="n"/>
      <c r="H632" s="79">
        <f>IF(AND($F632="",$G632=""),"",IF($F632="","창고전용",IF($G632&lt;&gt;"","매칭완료",IF($D632="반제품","반제품(창고없음)",IF($D632="완제품","완제품(창고없음)",IF($D632="원자재","⚠ 원자재_부서보관","미분류"))))))</f>
        <v/>
      </c>
      <c r="I632" s="79">
        <f>IFERROR(IF(INDIRECT("'"&amp;$O632&amp;"'!P"&amp;$N632)=0,"",INDIRECT("'"&amp;$O632&amp;"'!P"&amp;$N632)),"")</f>
        <v/>
      </c>
      <c r="J632" s="65" t="inlineStr">
        <is>
          <t>스킨가드(밸크로)</t>
        </is>
      </c>
      <c r="K632" s="103" t="inlineStr">
        <is>
          <t>스킨가드 (밸크로)</t>
        </is>
      </c>
      <c r="L632" s="83">
        <f>HYPERLINK("#'"&amp;$O632&amp;"'!A"&amp;$N632,"→ 조립자재 R"&amp;$N632)</f>
        <v/>
      </c>
      <c r="M632" s="84" t="n"/>
      <c r="N632" s="80" t="n">
        <v>405</v>
      </c>
      <c r="O632" s="80" t="inlineStr">
        <is>
          <t>조립자재_재고현황</t>
        </is>
      </c>
    </row>
    <row r="633" ht="30" customHeight="1">
      <c r="A633" s="57" t="inlineStr">
        <is>
          <t>출하</t>
        </is>
      </c>
      <c r="B633" s="52" t="inlineStr">
        <is>
          <t>포장 자재</t>
        </is>
      </c>
      <c r="C633" s="52" t="inlineStr">
        <is>
          <t>ADX6000 공용</t>
        </is>
      </c>
      <c r="D633" s="79">
        <f>IF(INDIRECT("'"&amp;$O633&amp;"'!F"&amp;$N633)="O","원자재",IF(INDIRECT("'"&amp;$O633&amp;"'!G"&amp;$N633)="O","반제품",IF(INDIRECT("'"&amp;$O633&amp;"'!H"&amp;$N633)="O","완제품","")))</f>
        <v/>
      </c>
      <c r="E633" s="79">
        <f>IFERROR(IF(INDIRECT("'"&amp;$O633&amp;"'!I"&amp;$N633)=0,"",INDIRECT("'"&amp;$O633&amp;"'!I"&amp;$N633)),"")</f>
        <v/>
      </c>
      <c r="F633" s="52" t="inlineStr">
        <is>
          <t>전자 각도기</t>
        </is>
      </c>
      <c r="G633" s="52" t="inlineStr">
        <is>
          <t>전자 각도기 [ADX6000S]</t>
        </is>
      </c>
      <c r="H633" s="79">
        <f>IF(AND($F633="",$G633=""),"",IF($F633="","창고전용",IF($G633&lt;&gt;"","매칭완료",IF($D633="반제품","반제품(창고없음)",IF($D633="완제품","완제품(창고없음)",IF($D633="원자재","⚠ 원자재_부서보관","미분류"))))))</f>
        <v/>
      </c>
      <c r="I633" s="79">
        <f>IFERROR(IF(INDIRECT("'"&amp;$O633&amp;"'!P"&amp;$N633)=0,"",INDIRECT("'"&amp;$O633&amp;"'!P"&amp;$N633)),"")</f>
        <v/>
      </c>
      <c r="J633" s="65" t="inlineStr">
        <is>
          <t>전자 각도기</t>
        </is>
      </c>
      <c r="K633" s="103" t="inlineStr">
        <is>
          <t>전자 각도기</t>
        </is>
      </c>
      <c r="L633" s="83">
        <f>HYPERLINK("#'"&amp;$O633&amp;"'!A"&amp;$N633,"→ 조립자재 R"&amp;$N633)</f>
        <v/>
      </c>
      <c r="M633" s="84" t="n"/>
      <c r="N633" s="80" t="n">
        <v>406</v>
      </c>
      <c r="O633" s="80" t="inlineStr">
        <is>
          <t>조립자재_재고현황</t>
        </is>
      </c>
    </row>
    <row r="634" ht="30" customHeight="1">
      <c r="A634" s="57" t="inlineStr">
        <is>
          <t>출하</t>
        </is>
      </c>
      <c r="B634" s="52" t="inlineStr">
        <is>
          <t>포장 자재</t>
        </is>
      </c>
      <c r="C634" s="52" t="inlineStr">
        <is>
          <t>ADX6000 공용</t>
        </is>
      </c>
      <c r="D634" s="79">
        <f>IF(INDIRECT("'"&amp;$O634&amp;"'!F"&amp;$N634)="O","원자재",IF(INDIRECT("'"&amp;$O634&amp;"'!G"&amp;$N634)="O","반제품",IF(INDIRECT("'"&amp;$O634&amp;"'!H"&amp;$N634)="O","완제품","")))</f>
        <v/>
      </c>
      <c r="E634" s="79">
        <f>IFERROR(IF(INDIRECT("'"&amp;$O634&amp;"'!I"&amp;$N634)=0,"",INDIRECT("'"&amp;$O634&amp;"'!I"&amp;$N634)),"")</f>
        <v/>
      </c>
      <c r="F634" s="52" t="inlineStr">
        <is>
          <t>각도기 거치대</t>
        </is>
      </c>
      <c r="G634" s="52" t="inlineStr">
        <is>
          <t>각도기 거치대 [ADX6000]</t>
        </is>
      </c>
      <c r="H634" s="79">
        <f>IF(AND($F634="",$G634=""),"",IF($F634="","창고전용",IF($G634&lt;&gt;"","매칭완료",IF($D634="반제품","반제품(창고없음)",IF($D634="완제품","완제품(창고없음)",IF($D634="원자재","⚠ 원자재_부서보관","미분류"))))))</f>
        <v/>
      </c>
      <c r="I634" s="79">
        <f>IFERROR(IF(INDIRECT("'"&amp;$O634&amp;"'!P"&amp;$N634)=0,"",INDIRECT("'"&amp;$O634&amp;"'!P"&amp;$N634)),"")</f>
        <v/>
      </c>
      <c r="J634" s="65" t="inlineStr">
        <is>
          <t>각도기 거치대</t>
        </is>
      </c>
      <c r="K634" s="103" t="inlineStr">
        <is>
          <t>각도기 거치대</t>
        </is>
      </c>
      <c r="L634" s="83">
        <f>HYPERLINK("#'"&amp;$O634&amp;"'!A"&amp;$N634,"→ 조립자재 R"&amp;$N634)</f>
        <v/>
      </c>
      <c r="M634" s="84" t="n"/>
      <c r="N634" s="80" t="n">
        <v>407</v>
      </c>
      <c r="O634" s="80" t="inlineStr">
        <is>
          <t>조립자재_재고현황</t>
        </is>
      </c>
    </row>
    <row r="635" ht="30" customHeight="1">
      <c r="A635" s="57" t="inlineStr">
        <is>
          <t>출하</t>
        </is>
      </c>
      <c r="B635" s="52" t="inlineStr">
        <is>
          <t>포장 자재</t>
        </is>
      </c>
      <c r="C635" s="52" t="inlineStr">
        <is>
          <t>ADX6000 공용</t>
        </is>
      </c>
      <c r="D635" s="79">
        <f>IF(INDIRECT("'"&amp;$O635&amp;"'!F"&amp;$N635)="O","원자재",IF(INDIRECT("'"&amp;$O635&amp;"'!G"&amp;$N635)="O","반제품",IF(INDIRECT("'"&amp;$O635&amp;"'!H"&amp;$N635)="O","완제품","")))</f>
        <v/>
      </c>
      <c r="E635" s="79">
        <f>IFERROR(IF(INDIRECT("'"&amp;$O635&amp;"'!I"&amp;$N635)=0,"",INDIRECT("'"&amp;$O635&amp;"'!I"&amp;$N635)),"")</f>
        <v/>
      </c>
      <c r="F635" s="52" t="inlineStr">
        <is>
          <t>각도기 내부 철판</t>
        </is>
      </c>
      <c r="G635" s="52" t="inlineStr">
        <is>
          <t>각도기 내부 철판 [ADX6000]</t>
        </is>
      </c>
      <c r="H635" s="79">
        <f>IF(AND($F635="",$G635=""),"",IF($F635="","창고전용",IF($G635&lt;&gt;"","매칭완료",IF($D635="반제품","반제품(창고없음)",IF($D635="완제품","완제품(창고없음)",IF($D635="원자재","⚠ 원자재_부서보관","미분류"))))))</f>
        <v/>
      </c>
      <c r="I635" s="79">
        <f>IFERROR(IF(INDIRECT("'"&amp;$O635&amp;"'!P"&amp;$N635)=0,"",INDIRECT("'"&amp;$O635&amp;"'!P"&amp;$N635)),"")</f>
        <v/>
      </c>
      <c r="J635" s="65" t="inlineStr">
        <is>
          <t>각도기 내부 철판</t>
        </is>
      </c>
      <c r="K635" s="65" t="inlineStr">
        <is>
          <t>각도기 내부 철판</t>
        </is>
      </c>
      <c r="L635" s="83">
        <f>HYPERLINK("#'"&amp;$O635&amp;"'!A"&amp;$N635,"→ 조립자재 R"&amp;$N635)</f>
        <v/>
      </c>
      <c r="M635" s="84" t="n"/>
      <c r="N635" s="80" t="n">
        <v>408</v>
      </c>
      <c r="O635" s="80" t="inlineStr">
        <is>
          <t>조립자재_재고현황</t>
        </is>
      </c>
    </row>
    <row r="636" ht="30" customHeight="1">
      <c r="A636" s="57" t="inlineStr">
        <is>
          <t>출하</t>
        </is>
      </c>
      <c r="B636" s="52" t="inlineStr">
        <is>
          <t>박스</t>
        </is>
      </c>
      <c r="C636" s="52" t="inlineStr">
        <is>
          <t>공용</t>
        </is>
      </c>
      <c r="D636" s="79">
        <f>IF(INDIRECT("'"&amp;$O636&amp;"'!F"&amp;$N636)="O","원자재",IF(INDIRECT("'"&amp;$O636&amp;"'!G"&amp;$N636)="O","반제품",IF(INDIRECT("'"&amp;$O636&amp;"'!H"&amp;$N636)="O","완제품","")))</f>
        <v/>
      </c>
      <c r="E636" s="79">
        <f>IFERROR(IF(INDIRECT("'"&amp;$O636&amp;"'!I"&amp;$N636)=0,"",INDIRECT("'"&amp;$O636&amp;"'!I"&amp;$N636)),"")</f>
        <v/>
      </c>
      <c r="F636" s="52" t="inlineStr">
        <is>
          <t>i cam 구강 카메라 박스</t>
        </is>
      </c>
      <c r="G636" s="52" t="inlineStr">
        <is>
          <t>Rex 구강 카메라 박스 [공용]</t>
        </is>
      </c>
      <c r="H636" s="79">
        <f>IF(AND($F636="",$G636=""),"",IF($F636="","창고전용",IF($G636&lt;&gt;"","매칭완료",IF($D636="반제품","반제품(창고없음)",IF($D636="완제품","완제품(창고없음)",IF($D636="원자재","⚠ 원자재_부서보관","미분류"))))))</f>
        <v/>
      </c>
      <c r="I636" s="79">
        <f>IFERROR(IF(INDIRECT("'"&amp;$O636&amp;"'!P"&amp;$N636)=0,"",INDIRECT("'"&amp;$O636&amp;"'!P"&amp;$N636)),"")</f>
        <v/>
      </c>
      <c r="J636" s="61" t="inlineStr">
        <is>
          <t>i cam 구강 카메라 박스</t>
        </is>
      </c>
      <c r="K636" s="61" t="inlineStr">
        <is>
          <t>iCam 구강 카메라 박스</t>
        </is>
      </c>
      <c r="L636" s="83">
        <f>HYPERLINK("#'"&amp;$O636&amp;"'!A"&amp;$N636,"→ 조립자재 R"&amp;$N636)</f>
        <v/>
      </c>
      <c r="M636" s="84" t="n"/>
      <c r="N636" s="80" t="n">
        <v>409</v>
      </c>
      <c r="O636" s="80" t="inlineStr">
        <is>
          <t>조립자재_재고현황</t>
        </is>
      </c>
    </row>
    <row r="637" ht="30" customHeight="1">
      <c r="A637" s="57" t="inlineStr">
        <is>
          <t>출하</t>
        </is>
      </c>
      <c r="B637" s="52" t="inlineStr">
        <is>
          <t>박스</t>
        </is>
      </c>
      <c r="C637" s="52" t="inlineStr">
        <is>
          <t>공용</t>
        </is>
      </c>
      <c r="D637" s="79">
        <f>IF(INDIRECT("'"&amp;$O637&amp;"'!F"&amp;$N637)="O","원자재",IF(INDIRECT("'"&amp;$O637&amp;"'!G"&amp;$N637)="O","반제품",IF(INDIRECT("'"&amp;$O637&amp;"'!H"&amp;$N637)="O","완제품","")))</f>
        <v/>
      </c>
      <c r="E637" s="79">
        <f>IFERROR(IF(INDIRECT("'"&amp;$O637&amp;"'!I"&amp;$N637)=0,"",INDIRECT("'"&amp;$O637&amp;"'!I"&amp;$N637)),"")</f>
        <v/>
      </c>
      <c r="F637" s="52" t="inlineStr">
        <is>
          <t>REX2 센서박스</t>
        </is>
      </c>
      <c r="G637" s="52" t="inlineStr">
        <is>
          <t>Rex2 센서 박스 [공용]</t>
        </is>
      </c>
      <c r="H637" s="79">
        <f>IF(AND($F637="",$G637=""),"",IF($F637="","창고전용",IF($G637&lt;&gt;"","매칭완료",IF($D637="반제품","반제품(창고없음)",IF($D637="완제품","완제품(창고없음)",IF($D637="원자재","⚠ 원자재_부서보관","미분류"))))))</f>
        <v/>
      </c>
      <c r="I637" s="79">
        <f>IFERROR(IF(INDIRECT("'"&amp;$O637&amp;"'!P"&amp;$N637)=0,"",INDIRECT("'"&amp;$O637&amp;"'!P"&amp;$N637)),"")</f>
        <v/>
      </c>
      <c r="J637" s="61" t="inlineStr">
        <is>
          <t>REX2 센서박스</t>
        </is>
      </c>
      <c r="K637" s="61" t="inlineStr">
        <is>
          <t>Rex2 Premium 센서 박스</t>
        </is>
      </c>
      <c r="L637" s="83">
        <f>HYPERLINK("#'"&amp;$O637&amp;"'!A"&amp;$N637,"→ 조립자재 R"&amp;$N637)</f>
        <v/>
      </c>
      <c r="M637" s="84" t="n"/>
      <c r="N637" s="80" t="n">
        <v>410</v>
      </c>
      <c r="O637" s="80" t="inlineStr">
        <is>
          <t>조립자재_재고현황</t>
        </is>
      </c>
    </row>
    <row r="638" ht="30" customHeight="1">
      <c r="A638" s="57" t="inlineStr">
        <is>
          <t>출하</t>
        </is>
      </c>
      <c r="B638" s="52" t="inlineStr">
        <is>
          <t>센서</t>
        </is>
      </c>
      <c r="C638" s="52" t="inlineStr">
        <is>
          <t>공용</t>
        </is>
      </c>
      <c r="D638" s="79">
        <f>IF(INDIRECT("'"&amp;$O638&amp;"'!F"&amp;$N638)="O","원자재",IF(INDIRECT("'"&amp;$O638&amp;"'!G"&amp;$N638)="O","반제품",IF(INDIRECT("'"&amp;$O638&amp;"'!H"&amp;$N638)="O","완제품","")))</f>
        <v/>
      </c>
      <c r="E638" s="79">
        <f>IFERROR(IF(INDIRECT("'"&amp;$O638&amp;"'!I"&amp;$N638)=0,"",INDIRECT("'"&amp;$O638&amp;"'!I"&amp;$N638)),"")</f>
        <v/>
      </c>
      <c r="F638" s="52" t="inlineStr">
        <is>
          <t>i cam 구강 카메라</t>
        </is>
      </c>
      <c r="G638" s="52" t="inlineStr">
        <is>
          <t>구강 카메라 [공용]</t>
        </is>
      </c>
      <c r="H638" s="79">
        <f>IF(AND($F638="",$G638=""),"",IF($F638="","창고전용",IF($G638&lt;&gt;"","매칭완료",IF($D638="반제품","반제품(창고없음)",IF($D638="완제품","완제품(창고없음)",IF($D638="원자재","⚠ 원자재_부서보관","미분류"))))))</f>
        <v/>
      </c>
      <c r="I638" s="79">
        <f>IFERROR(IF(INDIRECT("'"&amp;$O638&amp;"'!P"&amp;$N638)=0,"",INDIRECT("'"&amp;$O638&amp;"'!P"&amp;$N638)),"")</f>
        <v/>
      </c>
      <c r="J638" s="61" t="inlineStr">
        <is>
          <t>i cam 구강 카메라</t>
        </is>
      </c>
      <c r="K638" s="61" t="inlineStr">
        <is>
          <t>iCam 구강 카메라</t>
        </is>
      </c>
      <c r="L638" s="83">
        <f>HYPERLINK("#'"&amp;$O638&amp;"'!A"&amp;$N638,"→ 조립자재 R"&amp;$N638)</f>
        <v/>
      </c>
      <c r="M638" s="84" t="n"/>
      <c r="N638" s="80" t="n">
        <v>411</v>
      </c>
      <c r="O638" s="80" t="inlineStr">
        <is>
          <t>조립자재_재고현황</t>
        </is>
      </c>
    </row>
    <row r="639" ht="30" customHeight="1">
      <c r="A639" s="57" t="inlineStr">
        <is>
          <t>출하</t>
        </is>
      </c>
      <c r="B639" s="52" t="inlineStr">
        <is>
          <t>센서</t>
        </is>
      </c>
      <c r="C639" s="52" t="inlineStr">
        <is>
          <t>공용</t>
        </is>
      </c>
      <c r="D639" s="79">
        <f>IF(INDIRECT("'"&amp;$O639&amp;"'!F"&amp;$N639)="O","원자재",IF(INDIRECT("'"&amp;$O639&amp;"'!G"&amp;$N639)="O","반제품",IF(INDIRECT("'"&amp;$O639&amp;"'!H"&amp;$N639)="O","완제품","")))</f>
        <v/>
      </c>
      <c r="E639" s="79">
        <f>IFERROR(IF(INDIRECT("'"&amp;$O639&amp;"'!I"&amp;$N639)=0,"",INDIRECT("'"&amp;$O639&amp;"'!I"&amp;$N639)),"")</f>
        <v/>
      </c>
      <c r="F639" s="52" t="inlineStr">
        <is>
          <t>330N DRTECH 센서</t>
        </is>
      </c>
      <c r="G639" s="52" t="inlineStr">
        <is>
          <t>330N DRTECH 센서 [공용]</t>
        </is>
      </c>
      <c r="H639" s="79">
        <f>IF(AND($F639="",$G639=""),"",IF($F639="","창고전용",IF($G639&lt;&gt;"","매칭완료",IF($D639="반제품","반제품(창고없음)",IF($D639="완제품","완제품(창고없음)",IF($D639="원자재","⚠ 원자재_부서보관","미분류"))))))</f>
        <v/>
      </c>
      <c r="I639" s="79">
        <f>IFERROR(IF(INDIRECT("'"&amp;$O639&amp;"'!P"&amp;$N639)=0,"",INDIRECT("'"&amp;$O639&amp;"'!P"&amp;$N639)),"")</f>
        <v/>
      </c>
      <c r="J639" s="61" t="inlineStr">
        <is>
          <t>330N DRTECH 센서</t>
        </is>
      </c>
      <c r="K639" s="61" t="inlineStr">
        <is>
          <t>DRTech [330N/10"x8"]</t>
        </is>
      </c>
      <c r="L639" s="83">
        <f>HYPERLINK("#'"&amp;$O639&amp;"'!A"&amp;$N639,"→ 조립자재 R"&amp;$N639)</f>
        <v/>
      </c>
      <c r="M639" s="84" t="n"/>
      <c r="N639" s="80" t="n">
        <v>412</v>
      </c>
      <c r="O639" s="80" t="inlineStr">
        <is>
          <t>조립자재_재고현황</t>
        </is>
      </c>
    </row>
    <row r="640" ht="30" customHeight="1">
      <c r="A640" s="57" t="inlineStr">
        <is>
          <t>출하</t>
        </is>
      </c>
      <c r="B640" s="52" t="inlineStr">
        <is>
          <t>센서</t>
        </is>
      </c>
      <c r="C640" s="52" t="inlineStr">
        <is>
          <t>공용</t>
        </is>
      </c>
      <c r="D640" s="79">
        <f>IF(INDIRECT("'"&amp;$O640&amp;"'!F"&amp;$N640)="O","원자재",IF(INDIRECT("'"&amp;$O640&amp;"'!G"&amp;$N640)="O","반제품",IF(INDIRECT("'"&amp;$O640&amp;"'!H"&amp;$N640)="O","완제품","")))</f>
        <v/>
      </c>
      <c r="E640" s="79">
        <f>IFERROR(IF(INDIRECT("'"&amp;$O640&amp;"'!I"&amp;$N640)=0,"",INDIRECT("'"&amp;$O640&amp;"'!I"&amp;$N640)),"")</f>
        <v/>
      </c>
      <c r="F640" s="52" t="inlineStr">
        <is>
          <t>Rex2 Elite [XVS2530] Size 1.5</t>
        </is>
      </c>
      <c r="G640" s="52" t="n"/>
      <c r="H640" s="79">
        <f>IF(AND($F640="",$G640=""),"",IF($F640="","창고전용",IF($G640&lt;&gt;"","매칭완료",IF($D640="반제품","반제품(창고없음)",IF($D640="완제품","완제품(창고없음)",IF($D640="원자재","⚠ 원자재_부서보관","미분류"))))))</f>
        <v/>
      </c>
      <c r="I640" s="79">
        <f>IFERROR(IF(INDIRECT("'"&amp;$O640&amp;"'!P"&amp;$N640)=0,"",INDIRECT("'"&amp;$O640&amp;"'!P"&amp;$N640)),"")</f>
        <v/>
      </c>
      <c r="J640" s="61" t="inlineStr">
        <is>
          <t>Rex2 Elite [XVS2530] Size 1.5</t>
        </is>
      </c>
      <c r="K640" s="61" t="inlineStr">
        <is>
          <t>Rex2 Elite [XVS2530] Size 1.5</t>
        </is>
      </c>
      <c r="L640" s="83">
        <f>HYPERLINK("#'"&amp;$O640&amp;"'!A"&amp;$N640,"→ 조립자재 R"&amp;$N640)</f>
        <v/>
      </c>
      <c r="M640" s="84" t="n"/>
      <c r="N640" s="80" t="n">
        <v>413</v>
      </c>
      <c r="O640" s="80" t="inlineStr">
        <is>
          <t>조립자재_재고현황</t>
        </is>
      </c>
    </row>
    <row r="641" ht="30" customHeight="1">
      <c r="A641" s="57" t="inlineStr">
        <is>
          <t>출하</t>
        </is>
      </c>
      <c r="B641" s="52" t="inlineStr">
        <is>
          <t>센서</t>
        </is>
      </c>
      <c r="C641" s="52" t="inlineStr">
        <is>
          <t>공용</t>
        </is>
      </c>
      <c r="D641" s="79">
        <f>IF(INDIRECT("'"&amp;$O641&amp;"'!F"&amp;$N641)="O","원자재",IF(INDIRECT("'"&amp;$O641&amp;"'!G"&amp;$N641)="O","반제품",IF(INDIRECT("'"&amp;$O641&amp;"'!H"&amp;$N641)="O","완제품","")))</f>
        <v/>
      </c>
      <c r="E641" s="79">
        <f>IFERROR(IF(INDIRECT("'"&amp;$O641&amp;"'!I"&amp;$N641)=0,"",INDIRECT("'"&amp;$O641&amp;"'!I"&amp;$N641)),"")</f>
        <v/>
      </c>
      <c r="F641" s="52" t="inlineStr">
        <is>
          <t>Rex2 Elite [iRay] Size 2.0</t>
        </is>
      </c>
      <c r="G641" s="52" t="n"/>
      <c r="H641" s="79">
        <f>IF(AND($F641="",$G641=""),"",IF($F641="","창고전용",IF($G641&lt;&gt;"","매칭완료",IF($D641="반제품","반제품(창고없음)",IF($D641="완제품","완제품(창고없음)",IF($D641="원자재","⚠ 원자재_부서보관","미분류"))))))</f>
        <v/>
      </c>
      <c r="I641" s="79">
        <f>IFERROR(IF(INDIRECT("'"&amp;$O641&amp;"'!P"&amp;$N641)=0,"",INDIRECT("'"&amp;$O641&amp;"'!P"&amp;$N641)),"")</f>
        <v/>
      </c>
      <c r="J641" s="61" t="inlineStr">
        <is>
          <t>Rex2 Elite [iRay] Size 2.0</t>
        </is>
      </c>
      <c r="K641" s="61" t="inlineStr">
        <is>
          <t>Rex2 Elite [iRay] Size 2.0</t>
        </is>
      </c>
      <c r="L641" s="83">
        <f>HYPERLINK("#'"&amp;$O641&amp;"'!A"&amp;$N641,"→ 조립자재 R"&amp;$N641)</f>
        <v/>
      </c>
      <c r="M641" s="84" t="n"/>
      <c r="N641" s="80" t="n">
        <v>414</v>
      </c>
      <c r="O641" s="80" t="inlineStr">
        <is>
          <t>조립자재_재고현황</t>
        </is>
      </c>
    </row>
    <row r="642" ht="30" customHeight="1">
      <c r="A642" s="57" t="inlineStr">
        <is>
          <t>출하</t>
        </is>
      </c>
      <c r="B642" s="52" t="inlineStr">
        <is>
          <t>센서</t>
        </is>
      </c>
      <c r="C642" s="52" t="inlineStr">
        <is>
          <t>공용</t>
        </is>
      </c>
      <c r="D642" s="79">
        <f>IF(INDIRECT("'"&amp;$O642&amp;"'!F"&amp;$N642)="O","원자재",IF(INDIRECT("'"&amp;$O642&amp;"'!G"&amp;$N642)="O","반제품",IF(INDIRECT("'"&amp;$O642&amp;"'!H"&amp;$N642)="O","완제품","")))</f>
        <v/>
      </c>
      <c r="E642" s="79">
        <f>IFERROR(IF(INDIRECT("'"&amp;$O642&amp;"'!I"&amp;$N642)=0,"",INDIRECT("'"&amp;$O642&amp;"'!I"&amp;$N642)),"")</f>
        <v/>
      </c>
      <c r="F642" s="52" t="inlineStr">
        <is>
          <t>HDI 2000 [Rex2 Premium/1.5]</t>
        </is>
      </c>
      <c r="G642" s="52" t="inlineStr">
        <is>
          <t>HDI 2000 [Rex2 Premium/1.5] [공용]</t>
        </is>
      </c>
      <c r="H642" s="79">
        <f>IF(AND($F642="",$G642=""),"",IF($F642="","창고전용",IF($G642&lt;&gt;"","매칭완료",IF($D642="반제품","반제품(창고없음)",IF($D642="완제품","완제품(창고없음)",IF($D642="원자재","⚠ 원자재_부서보관","미분류"))))))</f>
        <v/>
      </c>
      <c r="I642" s="79">
        <f>IFERROR(IF(INDIRECT("'"&amp;$O642&amp;"'!P"&amp;$N642)=0,"",INDIRECT("'"&amp;$O642&amp;"'!P"&amp;$N642)),"")</f>
        <v/>
      </c>
      <c r="J642" s="61" t="inlineStr">
        <is>
          <t>HDI 2000 [Rex2 Premium/1.5]</t>
        </is>
      </c>
      <c r="K642" s="61" t="inlineStr">
        <is>
          <t>HDI-2000 [Rex2 Premium/1.5]</t>
        </is>
      </c>
      <c r="L642" s="83">
        <f>HYPERLINK("#'"&amp;$O642&amp;"'!A"&amp;$N642,"→ 조립자재 R"&amp;$N642)</f>
        <v/>
      </c>
      <c r="M642" s="84" t="n"/>
      <c r="N642" s="80" t="n">
        <v>415</v>
      </c>
      <c r="O642" s="80" t="inlineStr">
        <is>
          <t>조립자재_재고현황</t>
        </is>
      </c>
    </row>
    <row r="643" ht="30" customHeight="1">
      <c r="A643" s="57" t="inlineStr">
        <is>
          <t>출하</t>
        </is>
      </c>
      <c r="B643" s="52" t="inlineStr">
        <is>
          <t>센서</t>
        </is>
      </c>
      <c r="C643" s="52" t="inlineStr">
        <is>
          <t>공용</t>
        </is>
      </c>
      <c r="D643" s="79">
        <f>IF(INDIRECT("'"&amp;$O643&amp;"'!F"&amp;$N643)="O","원자재",IF(INDIRECT("'"&amp;$O643&amp;"'!G"&amp;$N643)="O","반제품",IF(INDIRECT("'"&amp;$O643&amp;"'!H"&amp;$N643)="O","완제품","")))</f>
        <v/>
      </c>
      <c r="E643" s="79">
        <f>IFERROR(IF(INDIRECT("'"&amp;$O643&amp;"'!I"&amp;$N643)=0,"",INDIRECT("'"&amp;$O643&amp;"'!I"&amp;$N643)),"")</f>
        <v/>
      </c>
      <c r="F643" s="52" t="inlineStr">
        <is>
          <t>HDI 2000 [Rex2 Premium/2.0]</t>
        </is>
      </c>
      <c r="G643" s="52" t="inlineStr">
        <is>
          <t>HDI 2000 [Rex2 Premium/2.0] [공용]</t>
        </is>
      </c>
      <c r="H643" s="79">
        <f>IF(AND($F643="",$G643=""),"",IF($F643="","창고전용",IF($G643&lt;&gt;"","매칭완료",IF($D643="반제품","반제품(창고없음)",IF($D643="완제품","완제품(창고없음)",IF($D643="원자재","⚠ 원자재_부서보관","미분류"))))))</f>
        <v/>
      </c>
      <c r="I643" s="79">
        <f>IFERROR(IF(INDIRECT("'"&amp;$O643&amp;"'!P"&amp;$N643)=0,"",INDIRECT("'"&amp;$O643&amp;"'!P"&amp;$N643)),"")</f>
        <v/>
      </c>
      <c r="J643" s="61" t="inlineStr">
        <is>
          <t>HDI 2000 [Rex2 Premium/2.0]</t>
        </is>
      </c>
      <c r="K643" s="61" t="inlineStr">
        <is>
          <t>HDI-2000 [Rex2 Premium/2.0]</t>
        </is>
      </c>
      <c r="L643" s="83">
        <f>HYPERLINK("#'"&amp;$O643&amp;"'!A"&amp;$N643,"→ 조립자재 R"&amp;$N643)</f>
        <v/>
      </c>
      <c r="M643" s="84" t="n"/>
      <c r="N643" s="80" t="n">
        <v>416</v>
      </c>
      <c r="O643" s="80" t="inlineStr">
        <is>
          <t>조립자재_재고현황</t>
        </is>
      </c>
    </row>
    <row r="644" ht="30" customHeight="1">
      <c r="A644" s="57" t="inlineStr">
        <is>
          <t>출하</t>
        </is>
      </c>
      <c r="B644" s="52" t="inlineStr">
        <is>
          <t>센서</t>
        </is>
      </c>
      <c r="C644" s="52" t="inlineStr">
        <is>
          <t>공용</t>
        </is>
      </c>
      <c r="D644" s="79">
        <f>IF(INDIRECT("'"&amp;$O644&amp;"'!F"&amp;$N644)="O","원자재",IF(INDIRECT("'"&amp;$O644&amp;"'!G"&amp;$N644)="O","반제품",IF(INDIRECT("'"&amp;$O644&amp;"'!H"&amp;$N644)="O","완제품","")))</f>
        <v/>
      </c>
      <c r="E644" s="79">
        <f>IFERROR(IF(INDIRECT("'"&amp;$O644&amp;"'!I"&amp;$N644)=0,"",INDIRECT("'"&amp;$O644&amp;"'!I"&amp;$N644)),"")</f>
        <v/>
      </c>
      <c r="F644" s="52" t="inlineStr">
        <is>
          <t>HDI-S [Rex2 Premium/1.0]</t>
        </is>
      </c>
      <c r="G644" s="52" t="inlineStr">
        <is>
          <t>HDI-S [Rex2 Premium/1.0] [공용]</t>
        </is>
      </c>
      <c r="H644" s="79">
        <f>IF(AND($F644="",$G644=""),"",IF($F644="","창고전용",IF($G644&lt;&gt;"","매칭완료",IF($D644="반제품","반제품(창고없음)",IF($D644="완제품","완제품(창고없음)",IF($D644="원자재","⚠ 원자재_부서보관","미분류"))))))</f>
        <v/>
      </c>
      <c r="I644" s="79">
        <f>IFERROR(IF(INDIRECT("'"&amp;$O644&amp;"'!P"&amp;$N644)=0,"",INDIRECT("'"&amp;$O644&amp;"'!P"&amp;$N644)),"")</f>
        <v/>
      </c>
      <c r="J644" s="61" t="inlineStr">
        <is>
          <t>HDI-S [Rex2 Premium/1.0]</t>
        </is>
      </c>
      <c r="K644" s="61" t="inlineStr">
        <is>
          <t>HDI-S [Rex2 Premium/1.0]</t>
        </is>
      </c>
      <c r="L644" s="83">
        <f>HYPERLINK("#'"&amp;$O644&amp;"'!A"&amp;$N644,"→ 조립자재 R"&amp;$N644)</f>
        <v/>
      </c>
      <c r="M644" s="84" t="n"/>
      <c r="N644" s="80" t="n">
        <v>417</v>
      </c>
      <c r="O644" s="80" t="inlineStr">
        <is>
          <t>조립자재_재고현황</t>
        </is>
      </c>
    </row>
    <row r="645" ht="30" customHeight="1">
      <c r="A645" s="57" t="inlineStr">
        <is>
          <t>출하</t>
        </is>
      </c>
      <c r="B645" s="52" t="inlineStr">
        <is>
          <t>센서</t>
        </is>
      </c>
      <c r="C645" s="52" t="inlineStr">
        <is>
          <t>공용</t>
        </is>
      </c>
      <c r="D645" s="79">
        <f>IF(INDIRECT("'"&amp;$O645&amp;"'!F"&amp;$N645)="O","원자재",IF(INDIRECT("'"&amp;$O645&amp;"'!G"&amp;$N645)="O","반제품",IF(INDIRECT("'"&amp;$O645&amp;"'!H"&amp;$N645)="O","완제품","")))</f>
        <v/>
      </c>
      <c r="E645" s="79">
        <f>IFERROR(IF(INDIRECT("'"&amp;$O645&amp;"'!I"&amp;$N645)=0,"",INDIRECT("'"&amp;$O645&amp;"'!I"&amp;$N645)),"")</f>
        <v/>
      </c>
      <c r="F645" s="52" t="inlineStr">
        <is>
          <t>HDI-S [Rex2 Premium/1.5]</t>
        </is>
      </c>
      <c r="G645" s="52" t="inlineStr">
        <is>
          <t>HDI-S [Rex2 Premium/1.5] [공용]</t>
        </is>
      </c>
      <c r="H645" s="79">
        <f>IF(AND($F645="",$G645=""),"",IF($F645="","창고전용",IF($G645&lt;&gt;"","매칭완료",IF($D645="반제품","반제품(창고없음)",IF($D645="완제품","완제품(창고없음)",IF($D645="원자재","⚠ 원자재_부서보관","미분류"))))))</f>
        <v/>
      </c>
      <c r="I645" s="79">
        <f>IFERROR(IF(INDIRECT("'"&amp;$O645&amp;"'!P"&amp;$N645)=0,"",INDIRECT("'"&amp;$O645&amp;"'!P"&amp;$N645)),"")</f>
        <v/>
      </c>
      <c r="J645" s="61" t="inlineStr">
        <is>
          <t>HDI-S [Rex2 Premium/1.5]</t>
        </is>
      </c>
      <c r="K645" s="61" t="inlineStr">
        <is>
          <t>HDI-S [Rex2 Premium/1.5]</t>
        </is>
      </c>
      <c r="L645" s="83">
        <f>HYPERLINK("#'"&amp;$O645&amp;"'!A"&amp;$N645,"→ 조립자재 R"&amp;$N645)</f>
        <v/>
      </c>
      <c r="M645" s="84" t="n"/>
      <c r="N645" s="80" t="n">
        <v>418</v>
      </c>
      <c r="O645" s="80" t="inlineStr">
        <is>
          <t>조립자재_재고현황</t>
        </is>
      </c>
    </row>
    <row r="646" ht="30" customHeight="1">
      <c r="A646" s="57" t="inlineStr">
        <is>
          <t>출하</t>
        </is>
      </c>
      <c r="B646" s="52" t="inlineStr">
        <is>
          <t>센서</t>
        </is>
      </c>
      <c r="C646" s="52" t="inlineStr">
        <is>
          <t>공용</t>
        </is>
      </c>
      <c r="D646" s="79">
        <f>IF(INDIRECT("'"&amp;$O646&amp;"'!F"&amp;$N646)="O","원자재",IF(INDIRECT("'"&amp;$O646&amp;"'!G"&amp;$N646)="O","반제품",IF(INDIRECT("'"&amp;$O646&amp;"'!H"&amp;$N646)="O","완제품","")))</f>
        <v/>
      </c>
      <c r="E646" s="79">
        <f>IFERROR(IF(INDIRECT("'"&amp;$O646&amp;"'!I"&amp;$N646)=0,"",INDIRECT("'"&amp;$O646&amp;"'!I"&amp;$N646)),"")</f>
        <v/>
      </c>
      <c r="F646" s="52" t="inlineStr">
        <is>
          <t>HDI-S [Rex2 Premium/2.0]</t>
        </is>
      </c>
      <c r="G646" s="52" t="inlineStr">
        <is>
          <t>HDI-S [Rex2 Premium/2.0] [공용]</t>
        </is>
      </c>
      <c r="H646" s="79">
        <f>IF(AND($F646="",$G646=""),"",IF($F646="","창고전용",IF($G646&lt;&gt;"","매칭완료",IF($D646="반제품","반제품(창고없음)",IF($D646="완제품","완제품(창고없음)",IF($D646="원자재","⚠ 원자재_부서보관","미분류"))))))</f>
        <v/>
      </c>
      <c r="I646" s="79">
        <f>IFERROR(IF(INDIRECT("'"&amp;$O646&amp;"'!P"&amp;$N646)=0,"",INDIRECT("'"&amp;$O646&amp;"'!P"&amp;$N646)),"")</f>
        <v/>
      </c>
      <c r="J646" s="61" t="inlineStr">
        <is>
          <t>HDI-S [Rex2 Premium/2.0]</t>
        </is>
      </c>
      <c r="K646" s="61" t="inlineStr">
        <is>
          <t>HDI-S [Rex2 Premium/2.0]</t>
        </is>
      </c>
      <c r="L646" s="83">
        <f>HYPERLINK("#'"&amp;$O646&amp;"'!A"&amp;$N646,"→ 조립자재 R"&amp;$N646)</f>
        <v/>
      </c>
      <c r="M646" s="84" t="n"/>
      <c r="N646" s="80" t="n">
        <v>419</v>
      </c>
      <c r="O646" s="80" t="inlineStr">
        <is>
          <t>조립자재_재고현황</t>
        </is>
      </c>
    </row>
    <row r="647" ht="30" customHeight="1">
      <c r="A647" s="57" t="inlineStr">
        <is>
          <t>출하</t>
        </is>
      </c>
      <c r="B647" s="52" t="inlineStr">
        <is>
          <t>센서</t>
        </is>
      </c>
      <c r="C647" s="52" t="inlineStr">
        <is>
          <t>공용</t>
        </is>
      </c>
      <c r="D647" s="79">
        <f>IF(INDIRECT("'"&amp;$O647&amp;"'!F"&amp;$N647)="O","원자재",IF(INDIRECT("'"&amp;$O647&amp;"'!G"&amp;$N647)="O","반제품",IF(INDIRECT("'"&amp;$O647&amp;"'!H"&amp;$N647)="O","완제품","")))</f>
        <v/>
      </c>
      <c r="E647" s="79">
        <f>IFERROR(IF(INDIRECT("'"&amp;$O647&amp;"'!I"&amp;$N647)=0,"",INDIRECT("'"&amp;$O647&amp;"'!I"&amp;$N647)),"")</f>
        <v/>
      </c>
      <c r="F647" s="52" t="inlineStr">
        <is>
          <t>CMOS 센서-EV71JU215A-C-00B1(#1)</t>
        </is>
      </c>
      <c r="G647" s="52" t="inlineStr">
        <is>
          <t>CMOS 센서 (#1) (EV71JU215A-C-00B1) [공용]</t>
        </is>
      </c>
      <c r="H647" s="79">
        <f>IF(AND($F647="",$G647=""),"",IF($F647="","창고전용",IF($G647&lt;&gt;"","매칭완료",IF($D647="반제품","반제품(창고없음)",IF($D647="완제품","완제품(창고없음)",IF($D647="원자재","⚠ 원자재_부서보관","미분류"))))))</f>
        <v/>
      </c>
      <c r="I647" s="79">
        <f>IFERROR(IF(INDIRECT("'"&amp;$O647&amp;"'!P"&amp;$N647)=0,"",INDIRECT("'"&amp;$O647&amp;"'!P"&amp;$N647)),"")</f>
        <v/>
      </c>
      <c r="J647" s="61" t="inlineStr">
        <is>
          <t>CMOS 센서-EV71JU215A-C-00B1(#1)</t>
        </is>
      </c>
      <c r="K647" s="61" t="inlineStr">
        <is>
          <t>E2V CMOS [EV71JU215A-C-00B1/1.0]</t>
        </is>
      </c>
      <c r="L647" s="83">
        <f>HYPERLINK("#'"&amp;$O647&amp;"'!A"&amp;$N647,"→ 조립자재 R"&amp;$N647)</f>
        <v/>
      </c>
      <c r="M647" s="84" t="n"/>
      <c r="N647" s="80" t="n">
        <v>420</v>
      </c>
      <c r="O647" s="80" t="inlineStr">
        <is>
          <t>조립자재_재고현황</t>
        </is>
      </c>
    </row>
    <row r="648" ht="30" customHeight="1">
      <c r="A648" s="57" t="inlineStr">
        <is>
          <t>출하</t>
        </is>
      </c>
      <c r="B648" s="52" t="inlineStr">
        <is>
          <t>센서</t>
        </is>
      </c>
      <c r="C648" s="52" t="inlineStr">
        <is>
          <t>공용</t>
        </is>
      </c>
      <c r="D648" s="79">
        <f>IF(INDIRECT("'"&amp;$O648&amp;"'!F"&amp;$N648)="O","원자재",IF(INDIRECT("'"&amp;$O648&amp;"'!G"&amp;$N648)="O","반제품",IF(INDIRECT("'"&amp;$O648&amp;"'!H"&amp;$N648)="O","완제품","")))</f>
        <v/>
      </c>
      <c r="E648" s="79">
        <f>IFERROR(IF(INDIRECT("'"&amp;$O648&amp;"'!I"&amp;$N648)=0,"",INDIRECT("'"&amp;$O648&amp;"'!I"&amp;$N648)),"")</f>
        <v/>
      </c>
      <c r="F648" s="52" t="inlineStr">
        <is>
          <t>CMOS 센서-EV71JU213A-C-00B1(#2)</t>
        </is>
      </c>
      <c r="G648" s="52" t="inlineStr">
        <is>
          <t>CMOS 센서 (#2) (EV71JU213A-C-00B1) [공용]</t>
        </is>
      </c>
      <c r="H648" s="79">
        <f>IF(AND($F648="",$G648=""),"",IF($F648="","창고전용",IF($G648&lt;&gt;"","매칭완료",IF($D648="반제품","반제품(창고없음)",IF($D648="완제품","완제품(창고없음)",IF($D648="원자재","⚠ 원자재_부서보관","미분류"))))))</f>
        <v/>
      </c>
      <c r="I648" s="79">
        <f>IFERROR(IF(INDIRECT("'"&amp;$O648&amp;"'!P"&amp;$N648)=0,"",INDIRECT("'"&amp;$O648&amp;"'!P"&amp;$N648)),"")</f>
        <v/>
      </c>
      <c r="J648" s="61" t="inlineStr">
        <is>
          <t>CMOS 센서-EV71JU213A-C-00B1(#2)</t>
        </is>
      </c>
      <c r="K648" s="61" t="inlineStr">
        <is>
          <t>E2V CMOS [EV71JU213A-C-00B1/2.0]</t>
        </is>
      </c>
      <c r="L648" s="83">
        <f>HYPERLINK("#'"&amp;$O648&amp;"'!A"&amp;$N648,"→ 조립자재 R"&amp;$N648)</f>
        <v/>
      </c>
      <c r="M648" s="84" t="n"/>
      <c r="N648" s="80" t="n">
        <v>421</v>
      </c>
      <c r="O648" s="80" t="inlineStr">
        <is>
          <t>조립자재_재고현황</t>
        </is>
      </c>
    </row>
    <row r="649" ht="30" customHeight="1">
      <c r="A649" s="57" t="inlineStr">
        <is>
          <t>출하</t>
        </is>
      </c>
      <c r="B649" s="52" t="inlineStr">
        <is>
          <t>센서</t>
        </is>
      </c>
      <c r="C649" s="52" t="inlineStr">
        <is>
          <t>공용</t>
        </is>
      </c>
      <c r="D649" s="79">
        <f>IF(INDIRECT("'"&amp;$O649&amp;"'!F"&amp;$N649)="O","원자재",IF(INDIRECT("'"&amp;$O649&amp;"'!G"&amp;$N649)="O","반제품",IF(INDIRECT("'"&amp;$O649&amp;"'!H"&amp;$N649)="O","완제품","")))</f>
        <v/>
      </c>
      <c r="E649" s="79">
        <f>IFERROR(IF(INDIRECT("'"&amp;$O649&amp;"'!I"&amp;$N649)=0,"",INDIRECT("'"&amp;$O649&amp;"'!I"&amp;$N649)),"")</f>
        <v/>
      </c>
      <c r="F649" s="52" t="inlineStr">
        <is>
          <t>PIXXGEN_ PIXX1717W (Size 17"x17")</t>
        </is>
      </c>
      <c r="G649" s="52" t="n"/>
      <c r="H649" s="79">
        <f>IF(AND($F649="",$G649=""),"",IF($F649="","창고전용",IF($G649&lt;&gt;"","매칭완료",IF($D649="반제품","반제품(창고없음)",IF($D649="완제품","완제품(창고없음)",IF($D649="원자재","⚠ 원자재_부서보관","미분류"))))))</f>
        <v/>
      </c>
      <c r="I649" s="79">
        <f>IFERROR(IF(INDIRECT("'"&amp;$O649&amp;"'!P"&amp;$N649)=0,"",INDIRECT("'"&amp;$O649&amp;"'!P"&amp;$N649)),"")</f>
        <v/>
      </c>
      <c r="J649" s="61" t="inlineStr">
        <is>
          <t>PIXXGEN_ PIXX1717W (Size 17"x17")</t>
        </is>
      </c>
      <c r="K649" s="61" t="inlineStr">
        <is>
          <t>PIXXGEN [PIXX1717W/17"x17"]</t>
        </is>
      </c>
      <c r="L649" s="83">
        <f>HYPERLINK("#'"&amp;$O649&amp;"'!A"&amp;$N649,"→ 조립자재 R"&amp;$N649)</f>
        <v/>
      </c>
      <c r="M649" s="84" t="n"/>
      <c r="N649" s="80" t="n">
        <v>422</v>
      </c>
      <c r="O649" s="80" t="inlineStr">
        <is>
          <t>조립자재_재고현황</t>
        </is>
      </c>
    </row>
    <row r="650" ht="30" customHeight="1">
      <c r="A650" s="57" t="inlineStr">
        <is>
          <t>출하</t>
        </is>
      </c>
      <c r="B650" s="52" t="inlineStr">
        <is>
          <t>센서</t>
        </is>
      </c>
      <c r="C650" s="52" t="inlineStr">
        <is>
          <t>공용</t>
        </is>
      </c>
      <c r="D650" s="79">
        <f>IF(INDIRECT("'"&amp;$O650&amp;"'!F"&amp;$N650)="O","원자재",IF(INDIRECT("'"&amp;$O650&amp;"'!G"&amp;$N650)="O","반제품",IF(INDIRECT("'"&amp;$O650&amp;"'!H"&amp;$N650)="O","완제품","")))</f>
        <v/>
      </c>
      <c r="E650" s="79">
        <f>IFERROR(IF(INDIRECT("'"&amp;$O650&amp;"'!I"&amp;$N650)=0,"",INDIRECT("'"&amp;$O650&amp;"'!I"&amp;$N650)),"")</f>
        <v/>
      </c>
      <c r="F650" s="52" t="inlineStr">
        <is>
          <t>CareRay_ CareView1800Cwe (Size 17"x17")</t>
        </is>
      </c>
      <c r="G650" s="52" t="n"/>
      <c r="H650" s="79">
        <f>IF(AND($F650="",$G650=""),"",IF($F650="","창고전용",IF($G650&lt;&gt;"","매칭완료",IF($D650="반제품","반제품(창고없음)",IF($D650="완제품","완제품(창고없음)",IF($D650="원자재","⚠ 원자재_부서보관","미분류"))))))</f>
        <v/>
      </c>
      <c r="I650" s="79">
        <f>IFERROR(IF(INDIRECT("'"&amp;$O650&amp;"'!P"&amp;$N650)=0,"",INDIRECT("'"&amp;$O650&amp;"'!P"&amp;$N650)),"")</f>
        <v/>
      </c>
      <c r="J650" s="61" t="inlineStr">
        <is>
          <t>CareRay_ CareView1800Cwe (Size 17"x17")</t>
        </is>
      </c>
      <c r="K650" s="61" t="inlineStr">
        <is>
          <t>CareRay [CareView1800Cwe/17"x17"]</t>
        </is>
      </c>
      <c r="L650" s="83">
        <f>HYPERLINK("#'"&amp;$O650&amp;"'!A"&amp;$N650,"→ 조립자재 R"&amp;$N650)</f>
        <v/>
      </c>
      <c r="M650" s="84" t="n"/>
      <c r="N650" s="80" t="n">
        <v>423</v>
      </c>
      <c r="O650" s="80" t="inlineStr">
        <is>
          <t>조립자재_재고현황</t>
        </is>
      </c>
    </row>
    <row r="651" ht="30" customFormat="1" customHeight="1" s="64">
      <c r="A651" s="62" t="inlineStr">
        <is>
          <t>출하</t>
        </is>
      </c>
      <c r="B651" s="63" t="inlineStr">
        <is>
          <t>가방</t>
        </is>
      </c>
      <c r="C651" s="63" t="inlineStr">
        <is>
          <t>DX3000 ADX4000W</t>
        </is>
      </c>
      <c r="D651" s="79">
        <f>IF(INDIRECT("'"&amp;$O651&amp;"'!F"&amp;$N651)="O","원자재",IF(INDIRECT("'"&amp;$O651&amp;"'!G"&amp;$N651)="O","반제품",IF(INDIRECT("'"&amp;$O651&amp;"'!H"&amp;$N651)="O","완제품","")))</f>
        <v/>
      </c>
      <c r="E651" s="79">
        <f>IFERROR(IF(INDIRECT("'"&amp;$O651&amp;"'!I"&amp;$N651)=0,"",INDIRECT("'"&amp;$O651&amp;"'!I"&amp;$N651)),"")</f>
        <v/>
      </c>
      <c r="F651" s="63" t="inlineStr">
        <is>
          <t>DX3000, ADX4000W 가방 [로고 O]</t>
        </is>
      </c>
      <c r="G651" s="63" t="inlineStr">
        <is>
          <t>DX3000, ADX4000W 가방 [로고 O]</t>
        </is>
      </c>
      <c r="H651" s="79">
        <f>IF(AND($F651="",$G651=""),"",IF($F651="","창고전용",IF($G651&lt;&gt;"","매칭완료",IF($D651="반제품","반제품(창고없음)",IF($D651="완제품","완제품(창고없음)",IF($D651="원자재","⚠ 원자재_부서보관","미분류"))))))</f>
        <v/>
      </c>
      <c r="I651" s="79">
        <f>IFERROR(IF(INDIRECT("'"&amp;$O651&amp;"'!P"&amp;$N651)=0,"",INDIRECT("'"&amp;$O651&amp;"'!P"&amp;$N651)),"")</f>
        <v/>
      </c>
      <c r="J651" s="63" t="inlineStr">
        <is>
          <t>DX3000, ADX4000W 가방 [로고 O]</t>
        </is>
      </c>
      <c r="K651" s="61" t="inlineStr">
        <is>
          <t>DX3000, ADX4000W 가방 [로고 O]</t>
        </is>
      </c>
      <c r="L651" s="83">
        <f>HYPERLINK("#'"&amp;$O651&amp;"'!A"&amp;$N651,"→ 조립자재 R"&amp;$N651)</f>
        <v/>
      </c>
      <c r="M651" s="84" t="n"/>
      <c r="N651" s="80" t="n">
        <v>424</v>
      </c>
      <c r="O651" s="80" t="inlineStr">
        <is>
          <t>조립자재_재고현황</t>
        </is>
      </c>
      <c r="P651" s="105" t="n"/>
    </row>
    <row r="652" ht="30" customFormat="1" customHeight="1" s="64">
      <c r="A652" s="62" t="inlineStr">
        <is>
          <t>출하</t>
        </is>
      </c>
      <c r="B652" s="63" t="inlineStr">
        <is>
          <t>가방</t>
        </is>
      </c>
      <c r="C652" s="63" t="inlineStr">
        <is>
          <t>DX3000 ADX4000W</t>
        </is>
      </c>
      <c r="D652" s="79">
        <f>IF(INDIRECT("'"&amp;$O652&amp;"'!F"&amp;$N652)="O","원자재",IF(INDIRECT("'"&amp;$O652&amp;"'!G"&amp;$N652)="O","반제품",IF(INDIRECT("'"&amp;$O652&amp;"'!H"&amp;$N652)="O","완제품","")))</f>
        <v/>
      </c>
      <c r="E652" s="79">
        <f>IFERROR(IF(INDIRECT("'"&amp;$O652&amp;"'!I"&amp;$N652)=0,"",INDIRECT("'"&amp;$O652&amp;"'!I"&amp;$N652)),"")</f>
        <v/>
      </c>
      <c r="F652" s="63" t="inlineStr">
        <is>
          <t>DX3000, ADX4000W 가방 [로고 X]</t>
        </is>
      </c>
      <c r="G652" s="63" t="inlineStr">
        <is>
          <t>DX3000, ADX4000W 가방 [로고 X]</t>
        </is>
      </c>
      <c r="H652" s="79">
        <f>IF(AND($F652="",$G652=""),"",IF($F652="","창고전용",IF($G652&lt;&gt;"","매칭완료",IF($D652="반제품","반제품(창고없음)",IF($D652="완제품","완제품(창고없음)",IF($D652="원자재","⚠ 원자재_부서보관","미분류"))))))</f>
        <v/>
      </c>
      <c r="I652" s="79">
        <f>IFERROR(IF(INDIRECT("'"&amp;$O652&amp;"'!P"&amp;$N652)=0,"",INDIRECT("'"&amp;$O652&amp;"'!P"&amp;$N652)),"")</f>
        <v/>
      </c>
      <c r="J652" s="63" t="inlineStr">
        <is>
          <t>DX3000, ADX4000W 가방 [로고 X]</t>
        </is>
      </c>
      <c r="K652" s="65" t="inlineStr">
        <is>
          <t>DX3000, ADX4000W 가방 [로고 X]</t>
        </is>
      </c>
      <c r="L652" s="83">
        <f>HYPERLINK("#'"&amp;$O652&amp;"'!A"&amp;$N652,"→ 조립자재 R"&amp;$N652)</f>
        <v/>
      </c>
      <c r="M652" s="84" t="n"/>
      <c r="N652" s="80" t="n">
        <v>425</v>
      </c>
      <c r="O652" s="80" t="inlineStr">
        <is>
          <t>조립자재_재고현황</t>
        </is>
      </c>
      <c r="P652" s="105" t="n"/>
    </row>
    <row r="653" ht="30" customFormat="1" customHeight="1" s="64">
      <c r="A653" s="62" t="inlineStr">
        <is>
          <t>출하</t>
        </is>
      </c>
      <c r="B653" s="63" t="inlineStr">
        <is>
          <t>가방</t>
        </is>
      </c>
      <c r="C653" s="63" t="inlineStr">
        <is>
          <t>COCOON ADX6000</t>
        </is>
      </c>
      <c r="D653" s="79">
        <f>IF(INDIRECT("'"&amp;$O653&amp;"'!F"&amp;$N653)="O","원자재",IF(INDIRECT("'"&amp;$O653&amp;"'!G"&amp;$N653)="O","반제품",IF(INDIRECT("'"&amp;$O653&amp;"'!H"&amp;$N653)="O","완제품","")))</f>
        <v/>
      </c>
      <c r="E653" s="79">
        <f>IFERROR(IF(INDIRECT("'"&amp;$O653&amp;"'!I"&amp;$N653)=0,"",INDIRECT("'"&amp;$O653&amp;"'!I"&amp;$N653)),"")</f>
        <v/>
      </c>
      <c r="F653" s="63" t="inlineStr">
        <is>
          <t>COCOON, ADX6000FB 가방 [로고 O]</t>
        </is>
      </c>
      <c r="G653" s="63" t="inlineStr">
        <is>
          <t>COCOON, ADX6000FB 가방 [로고 O]</t>
        </is>
      </c>
      <c r="H653" s="79">
        <f>IF(AND($F653="",$G653=""),"",IF($F653="","창고전용",IF($G653&lt;&gt;"","매칭완료",IF($D653="반제품","반제품(창고없음)",IF($D653="완제품","완제품(창고없음)",IF($D653="원자재","⚠ 원자재_부서보관","미분류"))))))</f>
        <v/>
      </c>
      <c r="I653" s="79">
        <f>IFERROR(IF(INDIRECT("'"&amp;$O653&amp;"'!P"&amp;$N653)=0,"",INDIRECT("'"&amp;$O653&amp;"'!P"&amp;$N653)),"")</f>
        <v/>
      </c>
      <c r="J653" s="63" t="inlineStr">
        <is>
          <t>COCOON, ADX6000FB 가방 [로고 O]</t>
        </is>
      </c>
      <c r="K653" s="61" t="inlineStr">
        <is>
          <t>COCOON, ADX6000FB 가방 [로고 O]</t>
        </is>
      </c>
      <c r="L653" s="83">
        <f>HYPERLINK("#'"&amp;$O653&amp;"'!A"&amp;$N653,"→ 조립자재 R"&amp;$N653)</f>
        <v/>
      </c>
      <c r="M653" s="84" t="n"/>
      <c r="N653" s="80" t="n">
        <v>426</v>
      </c>
      <c r="O653" s="80" t="inlineStr">
        <is>
          <t>조립자재_재고현황</t>
        </is>
      </c>
      <c r="P653" s="105" t="n"/>
    </row>
    <row r="654" ht="30" customFormat="1" customHeight="1" s="64">
      <c r="A654" s="62" t="inlineStr">
        <is>
          <t>출하</t>
        </is>
      </c>
      <c r="B654" s="63" t="inlineStr">
        <is>
          <t>가방</t>
        </is>
      </c>
      <c r="C654" s="63" t="inlineStr">
        <is>
          <t>COCOON ADX6000</t>
        </is>
      </c>
      <c r="D654" s="79">
        <f>IF(INDIRECT("'"&amp;$O654&amp;"'!F"&amp;$N654)="O","원자재",IF(INDIRECT("'"&amp;$O654&amp;"'!G"&amp;$N654)="O","반제품",IF(INDIRECT("'"&amp;$O654&amp;"'!H"&amp;$N654)="O","완제품","")))</f>
        <v/>
      </c>
      <c r="E654" s="79">
        <f>IFERROR(IF(INDIRECT("'"&amp;$O654&amp;"'!I"&amp;$N654)=0,"",INDIRECT("'"&amp;$O654&amp;"'!I"&amp;$N654)),"")</f>
        <v/>
      </c>
      <c r="F654" s="63" t="inlineStr">
        <is>
          <t>COCOON, ADX6000FB 가방 [로고 X]</t>
        </is>
      </c>
      <c r="G654" s="63" t="inlineStr">
        <is>
          <t>COCOON, ADX6000FB 가방 [로고 X]</t>
        </is>
      </c>
      <c r="H654" s="79">
        <f>IF(AND($F654="",$G654=""),"",IF($F654="","창고전용",IF($G654&lt;&gt;"","매칭완료",IF($D654="반제품","반제품(창고없음)",IF($D654="완제품","완제품(창고없음)",IF($D654="원자재","⚠ 원자재_부서보관","미분류"))))))</f>
        <v/>
      </c>
      <c r="I654" s="79">
        <f>IFERROR(IF(INDIRECT("'"&amp;$O654&amp;"'!P"&amp;$N654)=0,"",INDIRECT("'"&amp;$O654&amp;"'!P"&amp;$N654)),"")</f>
        <v/>
      </c>
      <c r="J654" s="63" t="inlineStr">
        <is>
          <t>COCOON, ADX6000FB 가방 [로고 X]</t>
        </is>
      </c>
      <c r="K654" s="61" t="inlineStr">
        <is>
          <t>COCOON, ADX6000FB 가방 [로고 X]</t>
        </is>
      </c>
      <c r="L654" s="83">
        <f>HYPERLINK("#'"&amp;$O654&amp;"'!A"&amp;$N654,"→ 조립자재 R"&amp;$N654)</f>
        <v/>
      </c>
      <c r="M654" s="84" t="n"/>
      <c r="N654" s="80" t="n">
        <v>427</v>
      </c>
      <c r="O654" s="80" t="inlineStr">
        <is>
          <t>조립자재_재고현황</t>
        </is>
      </c>
      <c r="P654" s="105" t="n"/>
    </row>
    <row r="655" ht="30" customFormat="1" customHeight="1" s="64">
      <c r="A655" s="62" t="inlineStr">
        <is>
          <t>출하</t>
        </is>
      </c>
      <c r="B655" s="63" t="inlineStr">
        <is>
          <t>가방</t>
        </is>
      </c>
      <c r="C655" s="63" t="inlineStr">
        <is>
          <t>COCOON 케어스트림</t>
        </is>
      </c>
      <c r="D655" s="79">
        <f>IF(INDIRECT("'"&amp;$O655&amp;"'!F"&amp;$N655)="O","원자재",IF(INDIRECT("'"&amp;$O655&amp;"'!G"&amp;$N655)="O","반제품",IF(INDIRECT("'"&amp;$O655&amp;"'!H"&amp;$N655)="O","완제품","")))</f>
        <v/>
      </c>
      <c r="E655" s="79">
        <f>IFERROR(IF(INDIRECT("'"&amp;$O655&amp;"'!I"&amp;$N655)=0,"",INDIRECT("'"&amp;$O655&amp;"'!I"&amp;$N655)),"")</f>
        <v/>
      </c>
      <c r="F655" s="63" t="inlineStr">
        <is>
          <t>COCOON 가방 [케어스트림 로고]</t>
        </is>
      </c>
      <c r="G655" s="63" t="inlineStr">
        <is>
          <t>COCOON 가방 [케어스트림 로고]</t>
        </is>
      </c>
      <c r="H655" s="79">
        <f>IF(AND($F655="",$G655=""),"",IF($F655="","창고전용",IF($G655&lt;&gt;"","매칭완료",IF($D655="반제품","반제품(창고없음)",IF($D655="완제품","완제품(창고없음)",IF($D655="원자재","⚠ 원자재_부서보관","미분류"))))))</f>
        <v/>
      </c>
      <c r="I655" s="79">
        <f>IFERROR(IF(INDIRECT("'"&amp;$O655&amp;"'!P"&amp;$N655)=0,"",INDIRECT("'"&amp;$O655&amp;"'!P"&amp;$N655)),"")</f>
        <v/>
      </c>
      <c r="J655" s="63" t="inlineStr">
        <is>
          <t>COCOON 가방 [케어스트림 로고]</t>
        </is>
      </c>
      <c r="K655" s="61" t="inlineStr">
        <is>
          <t>COCOON 가방 [케어스트림 로고]</t>
        </is>
      </c>
      <c r="L655" s="83">
        <f>HYPERLINK("#'"&amp;$O655&amp;"'!A"&amp;$N655,"→ 조립자재 R"&amp;$N655)</f>
        <v/>
      </c>
      <c r="M655" s="84" t="n"/>
      <c r="N655" s="80" t="n">
        <v>428</v>
      </c>
      <c r="O655" s="80" t="inlineStr">
        <is>
          <t>조립자재_재고현황</t>
        </is>
      </c>
      <c r="P655" s="105" t="n"/>
    </row>
    <row r="656" ht="30" customHeight="1">
      <c r="A656" s="57" t="inlineStr">
        <is>
          <t>출하</t>
        </is>
      </c>
      <c r="B656" s="52" t="inlineStr">
        <is>
          <t>가방</t>
        </is>
      </c>
      <c r="C656" s="52" t="inlineStr">
        <is>
          <t>공용</t>
        </is>
      </c>
      <c r="D656" s="79">
        <f>IF(INDIRECT("'"&amp;$O656&amp;"'!F"&amp;$N656)="O","원자재",IF(INDIRECT("'"&amp;$O656&amp;"'!G"&amp;$N656)="O","반제품",IF(INDIRECT("'"&amp;$O656&amp;"'!H"&amp;$N656)="O","완제품","")))</f>
        <v/>
      </c>
      <c r="E656" s="79">
        <f>IFERROR(IF(INDIRECT("'"&amp;$O656&amp;"'!I"&amp;$N656)=0,"",INDIRECT("'"&amp;$O656&amp;"'!I"&amp;$N656)),"")</f>
        <v/>
      </c>
      <c r="F656" s="52" t="inlineStr">
        <is>
          <t>디텍터 가방</t>
        </is>
      </c>
      <c r="G656" s="52" t="n"/>
      <c r="H656" s="79">
        <f>IF(AND($F656="",$G656=""),"",IF($F656="","창고전용",IF($G656&lt;&gt;"","매칭완료",IF($D656="반제품","반제품(창고없음)",IF($D656="완제품","완제품(창고없음)",IF($D656="원자재","⚠ 원자재_부서보관","미분류"))))))</f>
        <v/>
      </c>
      <c r="I656" s="79">
        <f>IFERROR(IF(INDIRECT("'"&amp;$O656&amp;"'!P"&amp;$N656)=0,"",INDIRECT("'"&amp;$O656&amp;"'!P"&amp;$N656)),"")</f>
        <v/>
      </c>
      <c r="J656" s="61" t="inlineStr">
        <is>
          <t>디텍터 가방</t>
        </is>
      </c>
      <c r="K656" s="61" t="inlineStr">
        <is>
          <t>디텍터 가방 [로고 O]</t>
        </is>
      </c>
      <c r="L656" s="83">
        <f>HYPERLINK("#'"&amp;$O656&amp;"'!A"&amp;$N656,"→ 조립자재 R"&amp;$N656)</f>
        <v/>
      </c>
      <c r="M656" s="84" t="n"/>
      <c r="N656" s="80" t="n">
        <v>429</v>
      </c>
      <c r="O656" s="80" t="inlineStr">
        <is>
          <t>조립자재_재고현황</t>
        </is>
      </c>
    </row>
    <row r="657" ht="30" customFormat="1" customHeight="1" s="64">
      <c r="A657" s="62" t="inlineStr">
        <is>
          <t>출하</t>
        </is>
      </c>
      <c r="B657" s="63" t="inlineStr">
        <is>
          <t>내부 폼</t>
        </is>
      </c>
      <c r="C657" s="63" t="inlineStr">
        <is>
          <t>DX3000</t>
        </is>
      </c>
      <c r="D657" s="79">
        <f>IF(INDIRECT("'"&amp;$O657&amp;"'!F"&amp;$N657)="O","원자재",IF(INDIRECT("'"&amp;$O657&amp;"'!G"&amp;$N657)="O","반제품",IF(INDIRECT("'"&amp;$O657&amp;"'!H"&amp;$N657)="O","완제품","")))</f>
        <v/>
      </c>
      <c r="E657" s="79">
        <f>IFERROR(IF(INDIRECT("'"&amp;$O657&amp;"'!I"&amp;$N657)=0,"",INDIRECT("'"&amp;$O657&amp;"'!I"&amp;$N657)),"")</f>
        <v/>
      </c>
      <c r="F657" s="63" t="inlineStr">
        <is>
          <t>DX3000 _ [15cm cone용] 내부 FOAM (상판 ,하판,계란판)</t>
        </is>
      </c>
      <c r="G657" s="63" t="inlineStr">
        <is>
          <t>가방 내부 폼 (15cm cone) [DX3000]</t>
        </is>
      </c>
      <c r="H657" s="79">
        <f>IF(AND($F657="",$G657=""),"",IF($F657="","창고전용",IF($G657&lt;&gt;"","매칭완료",IF($D657="반제품","반제품(창고없음)",IF($D657="완제품","완제품(창고없음)",IF($D657="원자재","⚠ 원자재_부서보관","미분류"))))))</f>
        <v/>
      </c>
      <c r="I657" s="79">
        <f>IFERROR(IF(INDIRECT("'"&amp;$O657&amp;"'!P"&amp;$N657)=0,"",INDIRECT("'"&amp;$O657&amp;"'!P"&amp;$N657)),"")</f>
        <v/>
      </c>
      <c r="J657" s="65" t="inlineStr">
        <is>
          <t>DX3000 _ [15cm cone용] 내부 FOAM (상판 ,하판,계란판)</t>
        </is>
      </c>
      <c r="K657" s="65" t="inlineStr">
        <is>
          <t>DX3000 15cm 내부폼</t>
        </is>
      </c>
      <c r="L657" s="83">
        <f>HYPERLINK("#'"&amp;$O657&amp;"'!A"&amp;$N657,"→ 조립자재 R"&amp;$N657)</f>
        <v/>
      </c>
      <c r="M657" s="84" t="n"/>
      <c r="N657" s="80" t="n">
        <v>430</v>
      </c>
      <c r="O657" s="80" t="inlineStr">
        <is>
          <t>조립자재_재고현황</t>
        </is>
      </c>
      <c r="P657" s="105" t="n"/>
    </row>
    <row r="658" ht="30" customFormat="1" customHeight="1" s="64">
      <c r="A658" s="62" t="inlineStr">
        <is>
          <t>출하</t>
        </is>
      </c>
      <c r="B658" s="63" t="inlineStr">
        <is>
          <t>내부 폼</t>
        </is>
      </c>
      <c r="C658" s="63" t="inlineStr">
        <is>
          <t>DX3000</t>
        </is>
      </c>
      <c r="D658" s="79">
        <f>IF(INDIRECT("'"&amp;$O658&amp;"'!F"&amp;$N658)="O","원자재",IF(INDIRECT("'"&amp;$O658&amp;"'!G"&amp;$N658)="O","반제품",IF(INDIRECT("'"&amp;$O658&amp;"'!H"&amp;$N658)="O","완제품","")))</f>
        <v/>
      </c>
      <c r="E658" s="79">
        <f>IFERROR(IF(INDIRECT("'"&amp;$O658&amp;"'!I"&amp;$N658)=0,"",INDIRECT("'"&amp;$O658&amp;"'!I"&amp;$N658)),"")</f>
        <v/>
      </c>
      <c r="F658" s="63" t="inlineStr">
        <is>
          <t>DX3000 _ [20cm cone용] 내부 FOAM (상판 ,하판,계란판)</t>
        </is>
      </c>
      <c r="G658" s="63" t="inlineStr">
        <is>
          <t>가방 내부 폼 (20cm cone용, 20 * 80) [DX3000]</t>
        </is>
      </c>
      <c r="H658" s="79">
        <f>IF(AND($F658="",$G658=""),"",IF($F658="","창고전용",IF($G658&lt;&gt;"","매칭완료",IF($D658="반제품","반제품(창고없음)",IF($D658="완제품","완제품(창고없음)",IF($D658="원자재","⚠ 원자재_부서보관","미분류"))))))</f>
        <v/>
      </c>
      <c r="I658" s="79">
        <f>IFERROR(IF(INDIRECT("'"&amp;$O658&amp;"'!P"&amp;$N658)=0,"",INDIRECT("'"&amp;$O658&amp;"'!P"&amp;$N658)),"")</f>
        <v/>
      </c>
      <c r="J658" s="65" t="inlineStr">
        <is>
          <t>DX3000 _ [20cm cone용] 내부 FOAM (상판 ,하판,계란판)</t>
        </is>
      </c>
      <c r="K658" s="65" t="inlineStr">
        <is>
          <t>DX3000 20cm 내부폼</t>
        </is>
      </c>
      <c r="L658" s="83">
        <f>HYPERLINK("#'"&amp;$O658&amp;"'!A"&amp;$N658,"→ 조립자재 R"&amp;$N658)</f>
        <v/>
      </c>
      <c r="M658" s="84" t="n"/>
      <c r="N658" s="80" t="n">
        <v>431</v>
      </c>
      <c r="O658" s="80" t="inlineStr">
        <is>
          <t>조립자재_재고현황</t>
        </is>
      </c>
      <c r="P658" s="105" t="n"/>
    </row>
    <row r="659" ht="30" customFormat="1" customHeight="1" s="64">
      <c r="A659" s="62" t="inlineStr">
        <is>
          <t>출하</t>
        </is>
      </c>
      <c r="B659" s="63" t="inlineStr">
        <is>
          <t>내부 폼</t>
        </is>
      </c>
      <c r="C659" s="63" t="inlineStr">
        <is>
          <t>ADX4000W</t>
        </is>
      </c>
      <c r="D659" s="79">
        <f>IF(INDIRECT("'"&amp;$O659&amp;"'!F"&amp;$N659)="O","원자재",IF(INDIRECT("'"&amp;$O659&amp;"'!G"&amp;$N659)="O","반제품",IF(INDIRECT("'"&amp;$O659&amp;"'!H"&amp;$N659)="O","완제품","")))</f>
        <v/>
      </c>
      <c r="E659" s="79">
        <f>IFERROR(IF(INDIRECT("'"&amp;$O659&amp;"'!I"&amp;$N659)=0,"",INDIRECT("'"&amp;$O659&amp;"'!I"&amp;$N659)),"")</f>
        <v/>
      </c>
      <c r="F659" s="63" t="inlineStr">
        <is>
          <t>ADX4000W _ [15cm cone용] 내부 FOAM (상판 ,하판,계란판)</t>
        </is>
      </c>
      <c r="G659" s="63" t="inlineStr">
        <is>
          <t>가방 내부 폼 (15cm cone) [ADX4000W]</t>
        </is>
      </c>
      <c r="H659" s="79">
        <f>IF(AND($F659="",$G659=""),"",IF($F659="","창고전용",IF($G659&lt;&gt;"","매칭완료",IF($D659="반제품","반제품(창고없음)",IF($D659="완제품","완제품(창고없음)",IF($D659="원자재","⚠ 원자재_부서보관","미분류"))))))</f>
        <v/>
      </c>
      <c r="I659" s="79">
        <f>IFERROR(IF(INDIRECT("'"&amp;$O659&amp;"'!P"&amp;$N659)=0,"",INDIRECT("'"&amp;$O659&amp;"'!P"&amp;$N659)),"")</f>
        <v/>
      </c>
      <c r="J659" s="65" t="inlineStr">
        <is>
          <t>ADX4000W _ [15cm cone용] 내부 FOAM (상판 ,하판,계란판)</t>
        </is>
      </c>
      <c r="K659" s="103" t="inlineStr">
        <is>
          <t>ADX4000W 15cm 내부폼</t>
        </is>
      </c>
      <c r="L659" s="83">
        <f>HYPERLINK("#'"&amp;$O659&amp;"'!A"&amp;$N659,"→ 조립자재 R"&amp;$N659)</f>
        <v/>
      </c>
      <c r="M659" s="84" t="n"/>
      <c r="N659" s="80" t="n">
        <v>432</v>
      </c>
      <c r="O659" s="80" t="inlineStr">
        <is>
          <t>조립자재_재고현황</t>
        </is>
      </c>
      <c r="P659" s="105" t="n"/>
    </row>
    <row r="660" ht="30" customFormat="1" customHeight="1" s="64">
      <c r="A660" s="62" t="inlineStr">
        <is>
          <t>출하</t>
        </is>
      </c>
      <c r="B660" s="63" t="inlineStr">
        <is>
          <t>내부 폼</t>
        </is>
      </c>
      <c r="C660" s="63" t="inlineStr">
        <is>
          <t>ADX4000W</t>
        </is>
      </c>
      <c r="D660" s="79">
        <f>IF(INDIRECT("'"&amp;$O660&amp;"'!F"&amp;$N660)="O","원자재",IF(INDIRECT("'"&amp;$O660&amp;"'!G"&amp;$N660)="O","반제품",IF(INDIRECT("'"&amp;$O660&amp;"'!H"&amp;$N660)="O","완제품","")))</f>
        <v/>
      </c>
      <c r="E660" s="79">
        <f>IFERROR(IF(INDIRECT("'"&amp;$O660&amp;"'!I"&amp;$N660)=0,"",INDIRECT("'"&amp;$O660&amp;"'!I"&amp;$N660)),"")</f>
        <v/>
      </c>
      <c r="F660" s="63" t="inlineStr">
        <is>
          <t>ADX4000W _ [20cm cone용] 내부 FOAM (상판 ,하판,계란판)</t>
        </is>
      </c>
      <c r="G660" s="63" t="inlineStr">
        <is>
          <t>가방 내부 폼 (20cm cone용, 40 * 60) [ADX4000W]</t>
        </is>
      </c>
      <c r="H660" s="79">
        <f>IF(AND($F660="",$G660=""),"",IF($F660="","창고전용",IF($G660&lt;&gt;"","매칭완료",IF($D660="반제품","반제품(창고없음)",IF($D660="완제품","완제품(창고없음)",IF($D660="원자재","⚠ 원자재_부서보관","미분류"))))))</f>
        <v/>
      </c>
      <c r="I660" s="79">
        <f>IFERROR(IF(INDIRECT("'"&amp;$O660&amp;"'!P"&amp;$N660)=0,"",INDIRECT("'"&amp;$O660&amp;"'!P"&amp;$N660)),"")</f>
        <v/>
      </c>
      <c r="J660" s="65" t="inlineStr">
        <is>
          <t>ADX4000W _ [20cm cone용] 내부 FOAM (상판 ,하판,계란판)</t>
        </is>
      </c>
      <c r="K660" s="103" t="inlineStr">
        <is>
          <t>ADX4000W 20cm 내부폼</t>
        </is>
      </c>
      <c r="L660" s="83">
        <f>HYPERLINK("#'"&amp;$O660&amp;"'!A"&amp;$N660,"→ 조립자재 R"&amp;$N660)</f>
        <v/>
      </c>
      <c r="M660" s="84" t="n"/>
      <c r="N660" s="80" t="n">
        <v>433</v>
      </c>
      <c r="O660" s="80" t="inlineStr">
        <is>
          <t>조립자재_재고현황</t>
        </is>
      </c>
      <c r="P660" s="105" t="n"/>
    </row>
    <row r="661" ht="30" customFormat="1" customHeight="1" s="64">
      <c r="A661" s="62" t="inlineStr">
        <is>
          <t>출하</t>
        </is>
      </c>
      <c r="B661" s="63" t="inlineStr">
        <is>
          <t>내부 폼</t>
        </is>
      </c>
      <c r="C661" s="63" t="inlineStr">
        <is>
          <t>COCOON</t>
        </is>
      </c>
      <c r="D661" s="79">
        <f>IF(INDIRECT("'"&amp;$O661&amp;"'!F"&amp;$N661)="O","원자재",IF(INDIRECT("'"&amp;$O661&amp;"'!G"&amp;$N661)="O","반제품",IF(INDIRECT("'"&amp;$O661&amp;"'!H"&amp;$N661)="O","완제품","")))</f>
        <v/>
      </c>
      <c r="E661" s="79">
        <f>IFERROR(IF(INDIRECT("'"&amp;$O661&amp;"'!I"&amp;$N661)=0,"",INDIRECT("'"&amp;$O661&amp;"'!I"&amp;$N661)),"")</f>
        <v/>
      </c>
      <c r="F661" s="63" t="inlineStr">
        <is>
          <t>가방 내부 폼 상판 (18cm) [COCOON]</t>
        </is>
      </c>
      <c r="G661" s="63" t="inlineStr">
        <is>
          <t>가방 내부 폼 상판 (18cm) [COCOON]</t>
        </is>
      </c>
      <c r="H661" s="79">
        <f>IF(AND($F661="",$G661=""),"",IF($F661="","창고전용",IF($G661&lt;&gt;"","매칭완료",IF($D661="반제품","반제품(창고없음)",IF($D661="완제품","완제품(창고없음)",IF($D661="원자재","⚠ 원자재_부서보관","미분류"))))))</f>
        <v/>
      </c>
      <c r="I661" s="79">
        <f>IFERROR(IF(INDIRECT("'"&amp;$O661&amp;"'!P"&amp;$N661)=0,"",INDIRECT("'"&amp;$O661&amp;"'!P"&amp;$N661)),"")</f>
        <v/>
      </c>
      <c r="J661" s="65" t="inlineStr">
        <is>
          <t>가방 내부 폼 상판 (18cm) [COCOON]</t>
        </is>
      </c>
      <c r="K661" s="65" t="inlineStr">
        <is>
          <t>COCOON 18cm 내부폼 상판</t>
        </is>
      </c>
      <c r="L661" s="83">
        <f>HYPERLINK("#'"&amp;$O661&amp;"'!A"&amp;$N661,"→ 조립자재 R"&amp;$N661)</f>
        <v/>
      </c>
      <c r="M661" s="84" t="n"/>
      <c r="N661" s="80" t="n">
        <v>434</v>
      </c>
      <c r="O661" s="80" t="inlineStr">
        <is>
          <t>조립자재_재고현황</t>
        </is>
      </c>
      <c r="P661" s="105" t="n"/>
    </row>
    <row r="662" ht="30" customFormat="1" customHeight="1" s="64">
      <c r="A662" s="62" t="inlineStr">
        <is>
          <t>출하</t>
        </is>
      </c>
      <c r="B662" s="63" t="inlineStr">
        <is>
          <t>내부 폼</t>
        </is>
      </c>
      <c r="C662" s="63" t="inlineStr">
        <is>
          <t>COCOON</t>
        </is>
      </c>
      <c r="D662" s="79">
        <f>IF(INDIRECT("'"&amp;$O662&amp;"'!F"&amp;$N662)="O","원자재",IF(INDIRECT("'"&amp;$O662&amp;"'!G"&amp;$N662)="O","반제품",IF(INDIRECT("'"&amp;$O662&amp;"'!H"&amp;$N662)="O","완제품","")))</f>
        <v/>
      </c>
      <c r="E662" s="79">
        <f>IFERROR(IF(INDIRECT("'"&amp;$O662&amp;"'!I"&amp;$N662)=0,"",INDIRECT("'"&amp;$O662&amp;"'!I"&amp;$N662)),"")</f>
        <v/>
      </c>
      <c r="F662" s="63" t="inlineStr">
        <is>
          <t>가방 내부 폼 하판 (18cm) [COCOON]</t>
        </is>
      </c>
      <c r="G662" s="63" t="inlineStr">
        <is>
          <t>가방 내부 폼 하판 (18cm) [COCOON]</t>
        </is>
      </c>
      <c r="H662" s="79">
        <f>IF(AND($F662="",$G662=""),"",IF($F662="","창고전용",IF($G662&lt;&gt;"","매칭완료",IF($D662="반제품","반제품(창고없음)",IF($D662="완제품","완제품(창고없음)",IF($D662="원자재","⚠ 원자재_부서보관","미분류"))))))</f>
        <v/>
      </c>
      <c r="I662" s="79">
        <f>IFERROR(IF(INDIRECT("'"&amp;$O662&amp;"'!P"&amp;$N662)=0,"",INDIRECT("'"&amp;$O662&amp;"'!P"&amp;$N662)),"")</f>
        <v/>
      </c>
      <c r="J662" s="65" t="inlineStr">
        <is>
          <t>가방 내부 폼 하판 (18cm) [COCOON]</t>
        </is>
      </c>
      <c r="K662" s="65" t="inlineStr">
        <is>
          <t>COCOON 18cm 내부폼  하판</t>
        </is>
      </c>
      <c r="L662" s="83">
        <f>HYPERLINK("#'"&amp;$O662&amp;"'!A"&amp;$N662,"→ 조립자재 R"&amp;$N662)</f>
        <v/>
      </c>
      <c r="M662" s="84" t="n"/>
      <c r="N662" s="80" t="n">
        <v>435</v>
      </c>
      <c r="O662" s="80" t="inlineStr">
        <is>
          <t>조립자재_재고현황</t>
        </is>
      </c>
      <c r="P662" s="105" t="n"/>
    </row>
    <row r="663" ht="30" customFormat="1" customHeight="1" s="64">
      <c r="A663" s="62" t="inlineStr">
        <is>
          <t>출하</t>
        </is>
      </c>
      <c r="B663" s="63" t="inlineStr">
        <is>
          <t>내부 폼</t>
        </is>
      </c>
      <c r="C663" s="63" t="inlineStr">
        <is>
          <t>COCOON</t>
        </is>
      </c>
      <c r="D663" s="79">
        <f>IF(INDIRECT("'"&amp;$O663&amp;"'!F"&amp;$N663)="O","원자재",IF(INDIRECT("'"&amp;$O663&amp;"'!G"&amp;$N663)="O","반제품",IF(INDIRECT("'"&amp;$O663&amp;"'!H"&amp;$N663)="O","완제품","")))</f>
        <v/>
      </c>
      <c r="E663" s="79">
        <f>IFERROR(IF(INDIRECT("'"&amp;$O663&amp;"'!I"&amp;$N663)=0,"",INDIRECT("'"&amp;$O663&amp;"'!I"&amp;$N663)),"")</f>
        <v/>
      </c>
      <c r="F663" s="63" t="inlineStr">
        <is>
          <t>가방 내부 폼 상판 (20cm) [COCOON]</t>
        </is>
      </c>
      <c r="G663" s="63" t="inlineStr">
        <is>
          <t>가방 내부 폼 상판 (20cm) [COCOON]</t>
        </is>
      </c>
      <c r="H663" s="79">
        <f>IF(AND($F663="",$G663=""),"",IF($F663="","창고전용",IF($G663&lt;&gt;"","매칭완료",IF($D663="반제품","반제품(창고없음)",IF($D663="완제품","완제품(창고없음)",IF($D663="원자재","⚠ 원자재_부서보관","미분류"))))))</f>
        <v/>
      </c>
      <c r="I663" s="79">
        <f>IFERROR(IF(INDIRECT("'"&amp;$O663&amp;"'!P"&amp;$N663)=0,"",INDIRECT("'"&amp;$O663&amp;"'!P"&amp;$N663)),"")</f>
        <v/>
      </c>
      <c r="J663" s="65" t="inlineStr">
        <is>
          <t>가방 내부 폼 상판 (20cm) [COCOON]</t>
        </is>
      </c>
      <c r="K663" s="65" t="inlineStr">
        <is>
          <t>COCOON 20cm 내부폼 상판</t>
        </is>
      </c>
      <c r="L663" s="83">
        <f>HYPERLINK("#'"&amp;$O663&amp;"'!A"&amp;$N663,"→ 조립자재 R"&amp;$N663)</f>
        <v/>
      </c>
      <c r="M663" s="84" t="n"/>
      <c r="N663" s="80" t="n">
        <v>436</v>
      </c>
      <c r="O663" s="80" t="inlineStr">
        <is>
          <t>조립자재_재고현황</t>
        </is>
      </c>
      <c r="P663" s="105" t="n"/>
    </row>
    <row r="664" ht="30" customFormat="1" customHeight="1" s="64">
      <c r="A664" s="62" t="inlineStr">
        <is>
          <t>출하</t>
        </is>
      </c>
      <c r="B664" s="63" t="inlineStr">
        <is>
          <t>내부 폼</t>
        </is>
      </c>
      <c r="C664" s="63" t="inlineStr">
        <is>
          <t>COCOON</t>
        </is>
      </c>
      <c r="D664" s="79">
        <f>IF(INDIRECT("'"&amp;$O664&amp;"'!F"&amp;$N664)="O","원자재",IF(INDIRECT("'"&amp;$O664&amp;"'!G"&amp;$N664)="O","반제품",IF(INDIRECT("'"&amp;$O664&amp;"'!H"&amp;$N664)="O","완제품","")))</f>
        <v/>
      </c>
      <c r="E664" s="79">
        <f>IFERROR(IF(INDIRECT("'"&amp;$O664&amp;"'!I"&amp;$N664)=0,"",INDIRECT("'"&amp;$O664&amp;"'!I"&amp;$N664)),"")</f>
        <v/>
      </c>
      <c r="F664" s="63" t="inlineStr">
        <is>
          <t>가방 내부 폼 하판 (20cm) [COCOON]</t>
        </is>
      </c>
      <c r="G664" s="63" t="inlineStr">
        <is>
          <t>가방 내부 폼 하판 (20cm) [COCOON]</t>
        </is>
      </c>
      <c r="H664" s="79">
        <f>IF(AND($F664="",$G664=""),"",IF($F664="","창고전용",IF($G664&lt;&gt;"","매칭완료",IF($D664="반제품","반제품(창고없음)",IF($D664="완제품","완제품(창고없음)",IF($D664="원자재","⚠ 원자재_부서보관","미분류"))))))</f>
        <v/>
      </c>
      <c r="I664" s="79">
        <f>IFERROR(IF(INDIRECT("'"&amp;$O664&amp;"'!P"&amp;$N664)=0,"",INDIRECT("'"&amp;$O664&amp;"'!P"&amp;$N664)),"")</f>
        <v/>
      </c>
      <c r="J664" s="65" t="inlineStr">
        <is>
          <t>가방 내부 폼 하판 (20cm) [COCOON]</t>
        </is>
      </c>
      <c r="K664" s="65" t="inlineStr">
        <is>
          <t>COCOON 20cm 내부폼 하판</t>
        </is>
      </c>
      <c r="L664" s="83">
        <f>HYPERLINK("#'"&amp;$O664&amp;"'!A"&amp;$N664,"→ 조립자재 R"&amp;$N664)</f>
        <v/>
      </c>
      <c r="M664" s="84" t="n"/>
      <c r="N664" s="80" t="n">
        <v>437</v>
      </c>
      <c r="O664" s="80" t="inlineStr">
        <is>
          <t>조립자재_재고현황</t>
        </is>
      </c>
      <c r="P664" s="105" t="n"/>
    </row>
    <row r="665" ht="30" customFormat="1" customHeight="1" s="64">
      <c r="A665" s="62" t="inlineStr">
        <is>
          <t>출하</t>
        </is>
      </c>
      <c r="B665" s="63" t="inlineStr">
        <is>
          <t>내부 폼</t>
        </is>
      </c>
      <c r="C665" s="63" t="inlineStr">
        <is>
          <t>ADX6000FB</t>
        </is>
      </c>
      <c r="D665" s="79">
        <f>IF(INDIRECT("'"&amp;$O665&amp;"'!F"&amp;$N665)="O","원자재",IF(INDIRECT("'"&amp;$O665&amp;"'!G"&amp;$N665)="O","반제품",IF(INDIRECT("'"&amp;$O665&amp;"'!H"&amp;$N665)="O","완제품","")))</f>
        <v/>
      </c>
      <c r="E665" s="79">
        <f>IFERROR(IF(INDIRECT("'"&amp;$O665&amp;"'!I"&amp;$N665)=0,"",INDIRECT("'"&amp;$O665&amp;"'!I"&amp;$N665)),"")</f>
        <v/>
      </c>
      <c r="F665" s="63" t="inlineStr">
        <is>
          <t>가방 내부 폼 상판 (신형) [ADX6000FB]</t>
        </is>
      </c>
      <c r="G665" s="63" t="inlineStr">
        <is>
          <t>가방 내부 폼 상판 (신형) [ADX6000FB]</t>
        </is>
      </c>
      <c r="H665" s="79">
        <f>IF(AND($F665="",$G665=""),"",IF($F665="","창고전용",IF($G665&lt;&gt;"","매칭완료",IF($D665="반제품","반제품(창고없음)",IF($D665="완제품","완제품(창고없음)",IF($D665="원자재","⚠ 원자재_부서보관","미분류"))))))</f>
        <v/>
      </c>
      <c r="I665" s="79">
        <f>IFERROR(IF(INDIRECT("'"&amp;$O665&amp;"'!P"&amp;$N665)=0,"",INDIRECT("'"&amp;$O665&amp;"'!P"&amp;$N665)),"")</f>
        <v/>
      </c>
      <c r="J665" s="65" t="inlineStr">
        <is>
          <t>가방 내부 폼 상판 (신형) [ADX6000FB]</t>
        </is>
      </c>
      <c r="K665" s="103" t="inlineStr">
        <is>
          <t>ADX6000 내부폼 상판</t>
        </is>
      </c>
      <c r="L665" s="83">
        <f>HYPERLINK("#'"&amp;$O665&amp;"'!A"&amp;$N665,"→ 조립자재 R"&amp;$N665)</f>
        <v/>
      </c>
      <c r="M665" s="84" t="n"/>
      <c r="N665" s="80" t="n">
        <v>438</v>
      </c>
      <c r="O665" s="80" t="inlineStr">
        <is>
          <t>조립자재_재고현황</t>
        </is>
      </c>
      <c r="P665" s="105" t="n"/>
    </row>
    <row r="666" ht="30" customFormat="1" customHeight="1" s="64">
      <c r="A666" s="62" t="inlineStr">
        <is>
          <t>출하</t>
        </is>
      </c>
      <c r="B666" s="63" t="inlineStr">
        <is>
          <t>내부 폼</t>
        </is>
      </c>
      <c r="C666" s="63" t="inlineStr">
        <is>
          <t>ADX6000FB</t>
        </is>
      </c>
      <c r="D666" s="79">
        <f>IF(INDIRECT("'"&amp;$O666&amp;"'!F"&amp;$N666)="O","원자재",IF(INDIRECT("'"&amp;$O666&amp;"'!G"&amp;$N666)="O","반제품",IF(INDIRECT("'"&amp;$O666&amp;"'!H"&amp;$N666)="O","완제품","")))</f>
        <v/>
      </c>
      <c r="E666" s="79">
        <f>IFERROR(IF(INDIRECT("'"&amp;$O666&amp;"'!I"&amp;$N666)=0,"",INDIRECT("'"&amp;$O666&amp;"'!I"&amp;$N666)),"")</f>
        <v/>
      </c>
      <c r="F666" s="63" t="inlineStr">
        <is>
          <t>가방 내부 폼 중간판 (신형) [ADX6000FB]</t>
        </is>
      </c>
      <c r="G666" s="63" t="inlineStr">
        <is>
          <t>가방 내부 폼 중간판 (신형) [ADX6000FB]</t>
        </is>
      </c>
      <c r="H666" s="79">
        <f>IF(AND($F666="",$G666=""),"",IF($F666="","창고전용",IF($G666&lt;&gt;"","매칭완료",IF($D666="반제품","반제품(창고없음)",IF($D666="완제품","완제품(창고없음)",IF($D666="원자재","⚠ 원자재_부서보관","미분류"))))))</f>
        <v/>
      </c>
      <c r="I666" s="79">
        <f>IFERROR(IF(INDIRECT("'"&amp;$O666&amp;"'!P"&amp;$N666)=0,"",INDIRECT("'"&amp;$O666&amp;"'!P"&amp;$N666)),"")</f>
        <v/>
      </c>
      <c r="J666" s="65" t="inlineStr">
        <is>
          <t>가방 내부 폼 중간판 (신형) [ADX6000FB]</t>
        </is>
      </c>
      <c r="K666" s="103" t="inlineStr">
        <is>
          <t>ADX6000 내부폼 중간판</t>
        </is>
      </c>
      <c r="L666" s="83">
        <f>HYPERLINK("#'"&amp;$O666&amp;"'!A"&amp;$N666,"→ 조립자재 R"&amp;$N666)</f>
        <v/>
      </c>
      <c r="M666" s="84" t="n"/>
      <c r="N666" s="80" t="n">
        <v>439</v>
      </c>
      <c r="O666" s="80" t="inlineStr">
        <is>
          <t>조립자재_재고현황</t>
        </is>
      </c>
      <c r="P666" s="105" t="n"/>
    </row>
    <row r="667" ht="30" customFormat="1" customHeight="1" s="64">
      <c r="A667" s="62" t="inlineStr">
        <is>
          <t>출하</t>
        </is>
      </c>
      <c r="B667" s="63" t="inlineStr">
        <is>
          <t>내부 폼</t>
        </is>
      </c>
      <c r="C667" s="63" t="inlineStr">
        <is>
          <t>ADX6000FB</t>
        </is>
      </c>
      <c r="D667" s="79">
        <f>IF(INDIRECT("'"&amp;$O667&amp;"'!F"&amp;$N667)="O","원자재",IF(INDIRECT("'"&amp;$O667&amp;"'!G"&amp;$N667)="O","반제품",IF(INDIRECT("'"&amp;$O667&amp;"'!H"&amp;$N667)="O","완제품","")))</f>
        <v/>
      </c>
      <c r="E667" s="79">
        <f>IFERROR(IF(INDIRECT("'"&amp;$O667&amp;"'!I"&amp;$N667)=0,"",INDIRECT("'"&amp;$O667&amp;"'!I"&amp;$N667)),"")</f>
        <v/>
      </c>
      <c r="F667" s="63" t="inlineStr">
        <is>
          <t>가방 내부 폼 하판 (신형) [ADX6000FB]</t>
        </is>
      </c>
      <c r="G667" s="63" t="inlineStr">
        <is>
          <t>가방 내부 폼 하판 (신형) [ADX6000FB]</t>
        </is>
      </c>
      <c r="H667" s="79">
        <f>IF(AND($F667="",$G667=""),"",IF($F667="","창고전용",IF($G667&lt;&gt;"","매칭완료",IF($D667="반제품","반제품(창고없음)",IF($D667="완제품","완제품(창고없음)",IF($D667="원자재","⚠ 원자재_부서보관","미분류"))))))</f>
        <v/>
      </c>
      <c r="I667" s="79">
        <f>IFERROR(IF(INDIRECT("'"&amp;$O667&amp;"'!P"&amp;$N667)=0,"",INDIRECT("'"&amp;$O667&amp;"'!P"&amp;$N667)),"")</f>
        <v/>
      </c>
      <c r="J667" s="65" t="inlineStr">
        <is>
          <t>가방 내부 폼 하판 (신형) [ADX6000FB]</t>
        </is>
      </c>
      <c r="K667" s="103" t="inlineStr">
        <is>
          <t>ADX6000 내부폼 하판</t>
        </is>
      </c>
      <c r="L667" s="83">
        <f>HYPERLINK("#'"&amp;$O667&amp;"'!A"&amp;$N667,"→ 조립자재 R"&amp;$N667)</f>
        <v/>
      </c>
      <c r="M667" s="84" t="n"/>
      <c r="N667" s="80" t="n">
        <v>440</v>
      </c>
      <c r="O667" s="80" t="inlineStr">
        <is>
          <t>조립자재_재고현황</t>
        </is>
      </c>
      <c r="P667" s="105" t="n"/>
    </row>
    <row r="668" ht="30" customHeight="1">
      <c r="A668" s="57" t="inlineStr">
        <is>
          <t>출하</t>
        </is>
      </c>
      <c r="B668" s="52" t="inlineStr">
        <is>
          <t>내부 폼</t>
        </is>
      </c>
      <c r="C668" s="52" t="inlineStr">
        <is>
          <t>SOLO</t>
        </is>
      </c>
      <c r="D668" s="79">
        <f>IF(INDIRECT("'"&amp;$O668&amp;"'!F"&amp;$N668)="O","원자재",IF(INDIRECT("'"&amp;$O668&amp;"'!G"&amp;$N668)="O","반제품",IF(INDIRECT("'"&amp;$O668&amp;"'!H"&amp;$N668)="O","완제품","")))</f>
        <v/>
      </c>
      <c r="E668" s="79">
        <f>IFERROR(IF(INDIRECT("'"&amp;$O668&amp;"'!I"&amp;$N668)=0,"",INDIRECT("'"&amp;$O668&amp;"'!I"&amp;$N668)),"")</f>
        <v/>
      </c>
      <c r="F668" s="52" t="inlineStr">
        <is>
          <t>SOLO _ [18cm cone용] 내부 FOAM (상판, 하판) Forensic용 손잡이 분리형</t>
        </is>
      </c>
      <c r="G668" s="52" t="n"/>
      <c r="H668" s="79">
        <f>IF(AND($F668="",$G668=""),"",IF($F668="","창고전용",IF($G668&lt;&gt;"","매칭완료",IF($D668="반제품","반제품(창고없음)",IF($D668="완제품","완제품(창고없음)",IF($D668="원자재","⚠ 원자재_부서보관","미분류"))))))</f>
        <v/>
      </c>
      <c r="I668" s="79">
        <f>IFERROR(IF(INDIRECT("'"&amp;$O668&amp;"'!P"&amp;$N668)=0,"",INDIRECT("'"&amp;$O668&amp;"'!P"&amp;$N668)),"")</f>
        <v/>
      </c>
      <c r="J668" s="61" t="inlineStr">
        <is>
          <t>SOLO _ [18cm cone용] 내부 FOAM (상판, 하판) Forensic용 손잡이 분리형</t>
        </is>
      </c>
      <c r="K668" s="61" t="inlineStr">
        <is>
          <t>SOLO 내부폼 [손잡이 분리형]</t>
        </is>
      </c>
      <c r="L668" s="83">
        <f>HYPERLINK("#'"&amp;$O668&amp;"'!A"&amp;$N668,"→ 조립자재 R"&amp;$N668)</f>
        <v/>
      </c>
      <c r="M668" s="84" t="n"/>
      <c r="N668" s="80" t="n">
        <v>441</v>
      </c>
      <c r="O668" s="80" t="inlineStr">
        <is>
          <t>조립자재_재고현황</t>
        </is>
      </c>
    </row>
    <row r="669" ht="30" customHeight="1">
      <c r="A669" s="57" t="inlineStr">
        <is>
          <t>출하</t>
        </is>
      </c>
      <c r="B669" s="52" t="inlineStr">
        <is>
          <t>내부 폼</t>
        </is>
      </c>
      <c r="C669" s="52" t="inlineStr">
        <is>
          <t>SOLO</t>
        </is>
      </c>
      <c r="D669" s="79">
        <f>IF(INDIRECT("'"&amp;$O669&amp;"'!F"&amp;$N669)="O","원자재",IF(INDIRECT("'"&amp;$O669&amp;"'!G"&amp;$N669)="O","반제품",IF(INDIRECT("'"&amp;$O669&amp;"'!H"&amp;$N669)="O","완제품","")))</f>
        <v/>
      </c>
      <c r="E669" s="79">
        <f>IFERROR(IF(INDIRECT("'"&amp;$O669&amp;"'!I"&amp;$N669)=0,"",INDIRECT("'"&amp;$O669&amp;"'!I"&amp;$N669)),"")</f>
        <v/>
      </c>
      <c r="F669" s="52" t="inlineStr">
        <is>
          <t>SOLO _ 제품 박스 Forensic용 [530*300*190]</t>
        </is>
      </c>
      <c r="G669" s="52" t="n"/>
      <c r="H669" s="79">
        <f>IF(AND($F669="",$G669=""),"",IF($F669="","창고전용",IF($G669&lt;&gt;"","매칭완료",IF($D669="반제품","반제품(창고없음)",IF($D669="완제품","완제품(창고없음)",IF($D669="원자재","⚠ 원자재_부서보관","미분류"))))))</f>
        <v/>
      </c>
      <c r="I669" s="79">
        <f>IFERROR(IF(INDIRECT("'"&amp;$O669&amp;"'!P"&amp;$N669)=0,"",INDIRECT("'"&amp;$O669&amp;"'!P"&amp;$N669)),"")</f>
        <v/>
      </c>
      <c r="J669" s="61" t="inlineStr">
        <is>
          <t>SOLO _ 제품 박스 Forensic용 [530*300*190]</t>
        </is>
      </c>
      <c r="K669" s="61" t="inlineStr">
        <is>
          <t>SOLO 제품 박스 [손잡이 분리형 530x300x190 mm]</t>
        </is>
      </c>
      <c r="L669" s="83">
        <f>HYPERLINK("#'"&amp;$O669&amp;"'!A"&amp;$N669,"→ 조립자재 R"&amp;$N669)</f>
        <v/>
      </c>
      <c r="M669" s="84" t="n"/>
      <c r="N669" s="80" t="n">
        <v>442</v>
      </c>
      <c r="O669" s="80" t="inlineStr">
        <is>
          <t>조립자재_재고현황</t>
        </is>
      </c>
    </row>
    <row r="670" ht="30" customHeight="1">
      <c r="A670" s="57" t="inlineStr">
        <is>
          <t>출하</t>
        </is>
      </c>
      <c r="B670" s="52" t="inlineStr">
        <is>
          <t>내부 폼</t>
        </is>
      </c>
      <c r="C670" s="52" t="inlineStr">
        <is>
          <t>SOLO</t>
        </is>
      </c>
      <c r="D670" s="79">
        <f>IF(INDIRECT("'"&amp;$O670&amp;"'!F"&amp;$N670)="O","원자재",IF(INDIRECT("'"&amp;$O670&amp;"'!G"&amp;$N670)="O","반제품",IF(INDIRECT("'"&amp;$O670&amp;"'!H"&amp;$N670)="O","완제품","")))</f>
        <v/>
      </c>
      <c r="E670" s="79">
        <f>IFERROR(IF(INDIRECT("'"&amp;$O670&amp;"'!I"&amp;$N670)=0,"",INDIRECT("'"&amp;$O670&amp;"'!I"&amp;$N670)),"")</f>
        <v/>
      </c>
      <c r="F670" s="52" t="inlineStr">
        <is>
          <t>SOLO _ 카톤 박스 Forensic용 [550*400*330]</t>
        </is>
      </c>
      <c r="G670" s="52" t="n"/>
      <c r="H670" s="79">
        <f>IF(AND($F670="",$G670=""),"",IF($F670="","창고전용",IF($G670&lt;&gt;"","매칭완료",IF($D670="반제품","반제품(창고없음)",IF($D670="완제품","완제품(창고없음)",IF($D670="원자재","⚠ 원자재_부서보관","미분류"))))))</f>
        <v/>
      </c>
      <c r="I670" s="79">
        <f>IFERROR(IF(INDIRECT("'"&amp;$O670&amp;"'!P"&amp;$N670)=0,"",INDIRECT("'"&amp;$O670&amp;"'!P"&amp;$N670)),"")</f>
        <v/>
      </c>
      <c r="J670" s="61" t="inlineStr">
        <is>
          <t>SOLO _ 카톤 박스 Forensic용 [550*400*330]</t>
        </is>
      </c>
      <c r="K670" s="61" t="inlineStr">
        <is>
          <t>SOLO 카톤 박스 [손잡이 분리형 550x400x330 mm]</t>
        </is>
      </c>
      <c r="L670" s="83">
        <f>HYPERLINK("#'"&amp;$O670&amp;"'!A"&amp;$N670,"→ 조립자재 R"&amp;$N670)</f>
        <v/>
      </c>
      <c r="M670" s="84" t="n"/>
      <c r="N670" s="80" t="n">
        <v>443</v>
      </c>
      <c r="O670" s="80" t="inlineStr">
        <is>
          <t>조립자재_재고현황</t>
        </is>
      </c>
    </row>
    <row r="671" ht="30" customHeight="1">
      <c r="A671" s="57" t="inlineStr">
        <is>
          <t>출하</t>
        </is>
      </c>
      <c r="B671" s="52" t="inlineStr">
        <is>
          <t>내부 폼</t>
        </is>
      </c>
      <c r="C671" s="52" t="inlineStr">
        <is>
          <t>SOLO</t>
        </is>
      </c>
      <c r="D671" s="79">
        <f>IF(INDIRECT("'"&amp;$O671&amp;"'!F"&amp;$N671)="O","원자재",IF(INDIRECT("'"&amp;$O671&amp;"'!G"&amp;$N671)="O","반제품",IF(INDIRECT("'"&amp;$O671&amp;"'!H"&amp;$N671)="O","완제품","")))</f>
        <v/>
      </c>
      <c r="E671" s="79">
        <f>IFERROR(IF(INDIRECT("'"&amp;$O671&amp;"'!I"&amp;$N671)=0,"",INDIRECT("'"&amp;$O671&amp;"'!I"&amp;$N671)),"")</f>
        <v/>
      </c>
      <c r="F671" s="52" t="inlineStr">
        <is>
          <t>SOLO _ [20cm cone용] 내부 FOAM (상판, 하판) 손잡이 체결형</t>
        </is>
      </c>
      <c r="G671" s="52" t="inlineStr">
        <is>
          <t>내부폼 (가교 PAD) SET [SOLO]</t>
        </is>
      </c>
      <c r="H671" s="79">
        <f>IF(AND($F671="",$G671=""),"",IF($F671="","창고전용",IF($G671&lt;&gt;"","매칭완료",IF($D671="반제품","반제품(창고없음)",IF($D671="완제품","완제품(창고없음)",IF($D671="원자재","⚠ 원자재_부서보관","미분류"))))))</f>
        <v/>
      </c>
      <c r="I671" s="79">
        <f>IFERROR(IF(INDIRECT("'"&amp;$O671&amp;"'!P"&amp;$N671)=0,"",INDIRECT("'"&amp;$O671&amp;"'!P"&amp;$N671)),"")</f>
        <v/>
      </c>
      <c r="J671" s="61" t="inlineStr">
        <is>
          <t>SOLO _ [20cm cone용] 내부 FOAM (상판, 하판) 손잡이 체결형</t>
        </is>
      </c>
      <c r="K671" s="103" t="inlineStr">
        <is>
          <t>SOLO 내부폼 [손잡이 체결형]</t>
        </is>
      </c>
      <c r="L671" s="83">
        <f>HYPERLINK("#'"&amp;$O671&amp;"'!A"&amp;$N671,"→ 조립자재 R"&amp;$N671)</f>
        <v/>
      </c>
      <c r="M671" s="84" t="n"/>
      <c r="N671" s="80" t="n">
        <v>444</v>
      </c>
      <c r="O671" s="80" t="inlineStr">
        <is>
          <t>조립자재_재고현황</t>
        </is>
      </c>
    </row>
    <row r="672" ht="30" customHeight="1">
      <c r="A672" s="57" t="inlineStr">
        <is>
          <t>출하</t>
        </is>
      </c>
      <c r="B672" s="52" t="inlineStr">
        <is>
          <t>내부 폼</t>
        </is>
      </c>
      <c r="C672" s="52" t="inlineStr">
        <is>
          <t>SOLO</t>
        </is>
      </c>
      <c r="D672" s="79">
        <f>IF(INDIRECT("'"&amp;$O672&amp;"'!F"&amp;$N672)="O","원자재",IF(INDIRECT("'"&amp;$O672&amp;"'!G"&amp;$N672)="O","반제품",IF(INDIRECT("'"&amp;$O672&amp;"'!H"&amp;$N672)="O","완제품","")))</f>
        <v/>
      </c>
      <c r="E672" s="79">
        <f>IFERROR(IF(INDIRECT("'"&amp;$O672&amp;"'!I"&amp;$N672)=0,"",INDIRECT("'"&amp;$O672&amp;"'!I"&amp;$N672)),"")</f>
        <v/>
      </c>
      <c r="F672" s="52" t="inlineStr">
        <is>
          <t>SOLO _ 제품 박스 [420*400*180]</t>
        </is>
      </c>
      <c r="G672" s="52" t="inlineStr">
        <is>
          <t>제품박스(I/N BOX) (KLB.K.KLB (B) 410 * 390 *180) [SOLO]</t>
        </is>
      </c>
      <c r="H672" s="79">
        <f>IF(AND($F672="",$G672=""),"",IF($F672="","창고전용",IF($G672&lt;&gt;"","매칭완료",IF($D672="반제품","반제품(창고없음)",IF($D672="완제품","완제품(창고없음)",IF($D672="원자재","⚠ 원자재_부서보관","미분류"))))))</f>
        <v/>
      </c>
      <c r="I672" s="79">
        <f>IFERROR(IF(INDIRECT("'"&amp;$O672&amp;"'!P"&amp;$N672)=0,"",INDIRECT("'"&amp;$O672&amp;"'!P"&amp;$N672)),"")</f>
        <v/>
      </c>
      <c r="J672" s="61" t="inlineStr">
        <is>
          <t>SOLO _ 제품 박스 [420*400*180]</t>
        </is>
      </c>
      <c r="K672" s="61" t="inlineStr">
        <is>
          <t>SOLO 제품 박스 [손잡이 체결형 420x400x180 mm]</t>
        </is>
      </c>
      <c r="L672" s="83">
        <f>HYPERLINK("#'"&amp;$O672&amp;"'!A"&amp;$N672,"→ 조립자재 R"&amp;$N672)</f>
        <v/>
      </c>
      <c r="M672" s="84" t="n"/>
      <c r="N672" s="80" t="n">
        <v>445</v>
      </c>
      <c r="O672" s="80" t="inlineStr">
        <is>
          <t>조립자재_재고현황</t>
        </is>
      </c>
    </row>
    <row r="673" ht="30" customHeight="1">
      <c r="A673" s="57" t="inlineStr">
        <is>
          <t>출하</t>
        </is>
      </c>
      <c r="B673" s="52" t="inlineStr">
        <is>
          <t>내부 폼</t>
        </is>
      </c>
      <c r="C673" s="52" t="inlineStr">
        <is>
          <t>SOLO</t>
        </is>
      </c>
      <c r="D673" s="79">
        <f>IF(INDIRECT("'"&amp;$O673&amp;"'!F"&amp;$N673)="O","원자재",IF(INDIRECT("'"&amp;$O673&amp;"'!G"&amp;$N673)="O","반제품",IF(INDIRECT("'"&amp;$O673&amp;"'!H"&amp;$N673)="O","완제품","")))</f>
        <v/>
      </c>
      <c r="E673" s="79">
        <f>IFERROR(IF(INDIRECT("'"&amp;$O673&amp;"'!I"&amp;$N673)=0,"",INDIRECT("'"&amp;$O673&amp;"'!I"&amp;$N673)),"")</f>
        <v/>
      </c>
      <c r="F673" s="52" t="inlineStr">
        <is>
          <t>SOLO _ 카톤 박스 [440*390*420]</t>
        </is>
      </c>
      <c r="G673" s="52" t="inlineStr">
        <is>
          <t>카톤박스(C/T BOX) (KLB.4K (BA/W) 430 * 380 * 420) [SOLO]</t>
        </is>
      </c>
      <c r="H673" s="79">
        <f>IF(AND($F673="",$G673=""),"",IF($F673="","창고전용",IF($G673&lt;&gt;"","매칭완료",IF($D673="반제품","반제품(창고없음)",IF($D673="완제품","완제품(창고없음)",IF($D673="원자재","⚠ 원자재_부서보관","미분류"))))))</f>
        <v/>
      </c>
      <c r="I673" s="79">
        <f>IFERROR(IF(INDIRECT("'"&amp;$O673&amp;"'!P"&amp;$N673)=0,"",INDIRECT("'"&amp;$O673&amp;"'!P"&amp;$N673)),"")</f>
        <v/>
      </c>
      <c r="J673" s="61" t="inlineStr">
        <is>
          <t>SOLO _ 카톤 박스 [440*390*420]</t>
        </is>
      </c>
      <c r="K673" s="61" t="inlineStr">
        <is>
          <t>SOLO 카톤 박스 [손잡이 체결형 440x390x420 mm]</t>
        </is>
      </c>
      <c r="L673" s="83">
        <f>HYPERLINK("#'"&amp;$O673&amp;"'!A"&amp;$N673,"→ 조립자재 R"&amp;$N673)</f>
        <v/>
      </c>
      <c r="M673" s="84" t="n"/>
      <c r="N673" s="80" t="n">
        <v>446</v>
      </c>
      <c r="O673" s="80" t="inlineStr">
        <is>
          <t>조립자재_재고현황</t>
        </is>
      </c>
    </row>
    <row r="674" ht="30" customHeight="1">
      <c r="A674" s="57" t="inlineStr">
        <is>
          <t>출하</t>
        </is>
      </c>
      <c r="B674" s="52" t="inlineStr">
        <is>
          <t>제품 박스</t>
        </is>
      </c>
      <c r="C674" s="52" t="inlineStr">
        <is>
          <t>DX3000 ADX4000W</t>
        </is>
      </c>
      <c r="D674" s="79">
        <f>IF(INDIRECT("'"&amp;$O674&amp;"'!F"&amp;$N674)="O","원자재",IF(INDIRECT("'"&amp;$O674&amp;"'!G"&amp;$N674)="O","반제품",IF(INDIRECT("'"&amp;$O674&amp;"'!H"&amp;$N674)="O","완제품","")))</f>
        <v/>
      </c>
      <c r="E674" s="79">
        <f>IFERROR(IF(INDIRECT("'"&amp;$O674&amp;"'!I"&amp;$N674)=0,"",INDIRECT("'"&amp;$O674&amp;"'!I"&amp;$N674)),"")</f>
        <v/>
      </c>
      <c r="F674" s="52" t="inlineStr">
        <is>
          <t>DX3000,ADX4000W _ 제품 박스 [450*240*360] 공용</t>
        </is>
      </c>
      <c r="G674" s="52" t="inlineStr">
        <is>
          <t>영문 박스 (450 * 240 * 360) [DX3000, ADX4000W]</t>
        </is>
      </c>
      <c r="H674" s="79">
        <f>IF(AND($F674="",$G674=""),"",IF($F674="","창고전용",IF($G674&lt;&gt;"","매칭완료",IF($D674="반제품","반제품(창고없음)",IF($D674="완제품","완제품(창고없음)",IF($D674="원자재","⚠ 원자재_부서보관","미분류"))))))</f>
        <v/>
      </c>
      <c r="I674" s="79">
        <f>IFERROR(IF(INDIRECT("'"&amp;$O674&amp;"'!P"&amp;$N674)=0,"",INDIRECT("'"&amp;$O674&amp;"'!P"&amp;$N674)),"")</f>
        <v/>
      </c>
      <c r="J674" s="61" t="inlineStr">
        <is>
          <t>DX3000,ADX4000W _ 제품 박스 [450*240*360] 공용</t>
        </is>
      </c>
      <c r="K674" s="61" t="inlineStr">
        <is>
          <t>DX3000, ADX4000W 제품 박스 [450x240x360 mm]</t>
        </is>
      </c>
      <c r="L674" s="83">
        <f>HYPERLINK("#'"&amp;$O674&amp;"'!A"&amp;$N674,"→ 조립자재 R"&amp;$N674)</f>
        <v/>
      </c>
      <c r="M674" s="84" t="n"/>
      <c r="N674" s="80" t="n">
        <v>447</v>
      </c>
      <c r="O674" s="80" t="inlineStr">
        <is>
          <t>조립자재_재고현황</t>
        </is>
      </c>
    </row>
    <row r="675" ht="30" customHeight="1">
      <c r="A675" s="57" t="inlineStr">
        <is>
          <t>출하</t>
        </is>
      </c>
      <c r="B675" s="52" t="inlineStr">
        <is>
          <t>제품 박스</t>
        </is>
      </c>
      <c r="C675" s="52" t="inlineStr">
        <is>
          <t>COCOON</t>
        </is>
      </c>
      <c r="D675" s="79">
        <f>IF(INDIRECT("'"&amp;$O675&amp;"'!F"&amp;$N675)="O","원자재",IF(INDIRECT("'"&amp;$O675&amp;"'!G"&amp;$N675)="O","반제품",IF(INDIRECT("'"&amp;$O675&amp;"'!H"&amp;$N675)="O","완제품","")))</f>
        <v/>
      </c>
      <c r="E675" s="79">
        <f>IFERROR(IF(INDIRECT("'"&amp;$O675&amp;"'!I"&amp;$N675)=0,"",INDIRECT("'"&amp;$O675&amp;"'!I"&amp;$N675)),"")</f>
        <v/>
      </c>
      <c r="F675" s="52" t="inlineStr">
        <is>
          <t>COCOON _ 제품 박스 [450*240*490]</t>
        </is>
      </c>
      <c r="G675" s="52" t="inlineStr">
        <is>
          <t>영문 박스 (450 * 240 * 490) [COCOON]</t>
        </is>
      </c>
      <c r="H675" s="79">
        <f>IF(AND($F675="",$G675=""),"",IF($F675="","창고전용",IF($G675&lt;&gt;"","매칭완료",IF($D675="반제품","반제품(창고없음)",IF($D675="완제품","완제품(창고없음)",IF($D675="원자재","⚠ 원자재_부서보관","미분류"))))))</f>
        <v/>
      </c>
      <c r="I675" s="79">
        <f>IFERROR(IF(INDIRECT("'"&amp;$O675&amp;"'!P"&amp;$N675)=0,"",INDIRECT("'"&amp;$O675&amp;"'!P"&amp;$N675)),"")</f>
        <v/>
      </c>
      <c r="J675" s="61" t="inlineStr">
        <is>
          <t>COCOON _ 제품 박스 [450*240*490]</t>
        </is>
      </c>
      <c r="K675" s="61" t="inlineStr">
        <is>
          <t>COCOON 제품 박스 [450x240x490 mm]</t>
        </is>
      </c>
      <c r="L675" s="83">
        <f>HYPERLINK("#'"&amp;$O675&amp;"'!A"&amp;$N675,"→ 조립자재 R"&amp;$N675)</f>
        <v/>
      </c>
      <c r="M675" s="84" t="n"/>
      <c r="N675" s="80" t="n">
        <v>448</v>
      </c>
      <c r="O675" s="80" t="inlineStr">
        <is>
          <t>조립자재_재고현황</t>
        </is>
      </c>
    </row>
    <row r="676" ht="30" customHeight="1">
      <c r="A676" s="57" t="inlineStr">
        <is>
          <t>출하</t>
        </is>
      </c>
      <c r="B676" s="52" t="inlineStr">
        <is>
          <t>제품 박스</t>
        </is>
      </c>
      <c r="C676" s="52" t="inlineStr">
        <is>
          <t>ADX6000 공용</t>
        </is>
      </c>
      <c r="D676" s="79">
        <f>IF(INDIRECT("'"&amp;$O676&amp;"'!F"&amp;$N676)="O","원자재",IF(INDIRECT("'"&amp;$O676&amp;"'!G"&amp;$N676)="O","반제품",IF(INDIRECT("'"&amp;$O676&amp;"'!H"&amp;$N676)="O","완제품","")))</f>
        <v/>
      </c>
      <c r="E676" s="79">
        <f>IFERROR(IF(INDIRECT("'"&amp;$O676&amp;"'!I"&amp;$N676)=0,"",INDIRECT("'"&amp;$O676&amp;"'!I"&amp;$N676)),"")</f>
        <v/>
      </c>
      <c r="F676" s="52" t="inlineStr">
        <is>
          <t>ADX6000s _ 제품 박스 [450*240*490]</t>
        </is>
      </c>
      <c r="G676" s="52" t="inlineStr">
        <is>
          <t>제품 박스 [ADX6000S]</t>
        </is>
      </c>
      <c r="H676" s="79">
        <f>IF(AND($F676="",$G676=""),"",IF($F676="","창고전용",IF($G676&lt;&gt;"","매칭완료",IF($D676="반제품","반제품(창고없음)",IF($D676="완제품","완제품(창고없음)",IF($D676="원자재","⚠ 원자재_부서보관","미분류"))))))</f>
        <v/>
      </c>
      <c r="I676" s="79">
        <f>IFERROR(IF(INDIRECT("'"&amp;$O676&amp;"'!P"&amp;$N676)=0,"",INDIRECT("'"&amp;$O676&amp;"'!P"&amp;$N676)),"")</f>
        <v/>
      </c>
      <c r="J676" s="61" t="inlineStr">
        <is>
          <t>ADX6000s _ 제품 박스 [450*240*490]</t>
        </is>
      </c>
      <c r="K676" s="61" t="inlineStr">
        <is>
          <t>ADX6000FB 제품 박스 [450x240x490 mm]</t>
        </is>
      </c>
      <c r="L676" s="83">
        <f>HYPERLINK("#'"&amp;$O676&amp;"'!A"&amp;$N676,"→ 조립자재 R"&amp;$N676)</f>
        <v/>
      </c>
      <c r="M676" s="84" t="n"/>
      <c r="N676" s="80" t="n">
        <v>449</v>
      </c>
      <c r="O676" s="80" t="inlineStr">
        <is>
          <t>조립자재_재고현황</t>
        </is>
      </c>
    </row>
    <row r="677" ht="30" customHeight="1">
      <c r="A677" s="57" t="inlineStr">
        <is>
          <t>출하</t>
        </is>
      </c>
      <c r="B677" s="52" t="inlineStr">
        <is>
          <t>제품 박스</t>
        </is>
      </c>
      <c r="C677" s="52" t="inlineStr">
        <is>
          <t>DX3000 ADX4000W</t>
        </is>
      </c>
      <c r="D677" s="79">
        <f>IF(INDIRECT("'"&amp;$O677&amp;"'!F"&amp;$N677)="O","원자재",IF(INDIRECT("'"&amp;$O677&amp;"'!G"&amp;$N677)="O","반제품",IF(INDIRECT("'"&amp;$O677&amp;"'!H"&amp;$N677)="O","완제품","")))</f>
        <v/>
      </c>
      <c r="E677" s="79">
        <f>IFERROR(IF(INDIRECT("'"&amp;$O677&amp;"'!I"&amp;$N677)=0,"",INDIRECT("'"&amp;$O677&amp;"'!I"&amp;$N677)),"")</f>
        <v/>
      </c>
      <c r="F677" s="52" t="inlineStr">
        <is>
          <t>DX3000,ADX4000W _ 카톤 박스 [490*460*370]</t>
        </is>
      </c>
      <c r="G677" s="52" t="inlineStr">
        <is>
          <t>카톤 박스 (495 * 472 * 380) [DX3000, ADX4000W]</t>
        </is>
      </c>
      <c r="H677" s="79">
        <f>IF(AND($F677="",$G677=""),"",IF($F677="","창고전용",IF($G677&lt;&gt;"","매칭완료",IF($D677="반제품","반제품(창고없음)",IF($D677="완제품","완제품(창고없음)",IF($D677="원자재","⚠ 원자재_부서보관","미분류"))))))</f>
        <v/>
      </c>
      <c r="I677" s="79">
        <f>IFERROR(IF(INDIRECT("'"&amp;$O677&amp;"'!P"&amp;$N677)=0,"",INDIRECT("'"&amp;$O677&amp;"'!P"&amp;$N677)),"")</f>
        <v/>
      </c>
      <c r="J677" s="61" t="inlineStr">
        <is>
          <t>DX3000,ADX4000W _ 카톤 박스 [490*460*370]</t>
        </is>
      </c>
      <c r="K677" s="61" t="inlineStr">
        <is>
          <t>DX3000, ADX4000W 카톤 박스 [490x460x370 mm]</t>
        </is>
      </c>
      <c r="L677" s="83">
        <f>HYPERLINK("#'"&amp;$O677&amp;"'!A"&amp;$N677,"→ 조립자재 R"&amp;$N677)</f>
        <v/>
      </c>
      <c r="M677" s="84" t="n"/>
      <c r="N677" s="80" t="n">
        <v>450</v>
      </c>
      <c r="O677" s="80" t="inlineStr">
        <is>
          <t>조립자재_재고현황</t>
        </is>
      </c>
    </row>
    <row r="678" ht="30" customHeight="1">
      <c r="A678" s="57" t="inlineStr">
        <is>
          <t>출하</t>
        </is>
      </c>
      <c r="B678" s="52" t="inlineStr">
        <is>
          <t>제품 박스</t>
        </is>
      </c>
      <c r="C678" s="52" t="inlineStr">
        <is>
          <t>COCOON</t>
        </is>
      </c>
      <c r="D678" s="79">
        <f>IF(INDIRECT("'"&amp;$O678&amp;"'!F"&amp;$N678)="O","원자재",IF(INDIRECT("'"&amp;$O678&amp;"'!G"&amp;$N678)="O","반제품",IF(INDIRECT("'"&amp;$O678&amp;"'!H"&amp;$N678)="O","완제품","")))</f>
        <v/>
      </c>
      <c r="E678" s="79">
        <f>IFERROR(IF(INDIRECT("'"&amp;$O678&amp;"'!I"&amp;$N678)=0,"",INDIRECT("'"&amp;$O678&amp;"'!I"&amp;$N678)),"")</f>
        <v/>
      </c>
      <c r="F678" s="52" t="inlineStr">
        <is>
          <t>COCOON _ 카톤 박스 [500*460*520]</t>
        </is>
      </c>
      <c r="G678" s="52" t="inlineStr">
        <is>
          <t>카톤 박스 (500 * 460 * 520) [COCOON]</t>
        </is>
      </c>
      <c r="H678" s="79">
        <f>IF(AND($F678="",$G678=""),"",IF($F678="","창고전용",IF($G678&lt;&gt;"","매칭완료",IF($D678="반제품","반제품(창고없음)",IF($D678="완제품","완제품(창고없음)",IF($D678="원자재","⚠ 원자재_부서보관","미분류"))))))</f>
        <v/>
      </c>
      <c r="I678" s="79">
        <f>IFERROR(IF(INDIRECT("'"&amp;$O678&amp;"'!P"&amp;$N678)=0,"",INDIRECT("'"&amp;$O678&amp;"'!P"&amp;$N678)),"")</f>
        <v/>
      </c>
      <c r="J678" s="61" t="inlineStr">
        <is>
          <t>COCOON _ 카톤 박스 [500*460*520]</t>
        </is>
      </c>
      <c r="K678" s="61" t="inlineStr">
        <is>
          <t>COCOON 카톤 박스 [500x460x520 mm]</t>
        </is>
      </c>
      <c r="L678" s="83">
        <f>HYPERLINK("#'"&amp;$O678&amp;"'!A"&amp;$N678,"→ 조립자재 R"&amp;$N678)</f>
        <v/>
      </c>
      <c r="M678" s="84" t="n"/>
      <c r="N678" s="80" t="n">
        <v>451</v>
      </c>
      <c r="O678" s="80" t="inlineStr">
        <is>
          <t>조립자재_재고현황</t>
        </is>
      </c>
    </row>
    <row r="679" ht="30" customHeight="1">
      <c r="A679" s="57" t="inlineStr">
        <is>
          <t>출하</t>
        </is>
      </c>
      <c r="B679" s="52" t="inlineStr">
        <is>
          <t>제품 박스</t>
        </is>
      </c>
      <c r="C679" s="52" t="inlineStr">
        <is>
          <t>ADX6000 공용</t>
        </is>
      </c>
      <c r="D679" s="79">
        <f>IF(INDIRECT("'"&amp;$O679&amp;"'!F"&amp;$N679)="O","원자재",IF(INDIRECT("'"&amp;$O679&amp;"'!G"&amp;$N679)="O","반제품",IF(INDIRECT("'"&amp;$O679&amp;"'!H"&amp;$N679)="O","완제품","")))</f>
        <v/>
      </c>
      <c r="E679" s="79">
        <f>IFERROR(IF(INDIRECT("'"&amp;$O679&amp;"'!I"&amp;$N679)=0,"",INDIRECT("'"&amp;$O679&amp;"'!I"&amp;$N679)),"")</f>
        <v/>
      </c>
      <c r="F679" s="52" t="inlineStr">
        <is>
          <t>ADX6000s _ 카톤 박스 [500*460*520]</t>
        </is>
      </c>
      <c r="G679" s="52" t="inlineStr">
        <is>
          <t>카톤 박스 [ADX6000S]</t>
        </is>
      </c>
      <c r="H679" s="79">
        <f>IF(AND($F679="",$G679=""),"",IF($F679="","창고전용",IF($G679&lt;&gt;"","매칭완료",IF($D679="반제품","반제품(창고없음)",IF($D679="완제품","완제품(창고없음)",IF($D679="원자재","⚠ 원자재_부서보관","미분류"))))))</f>
        <v/>
      </c>
      <c r="I679" s="79">
        <f>IFERROR(IF(INDIRECT("'"&amp;$O679&amp;"'!P"&amp;$N679)=0,"",INDIRECT("'"&amp;$O679&amp;"'!P"&amp;$N679)),"")</f>
        <v/>
      </c>
      <c r="J679" s="61" t="inlineStr">
        <is>
          <t>ADX6000s _ 카톤 박스 [500*460*520]</t>
        </is>
      </c>
      <c r="K679" s="61" t="inlineStr">
        <is>
          <t>ADX6000FB 카톤 박스 [500x460x520 mm]</t>
        </is>
      </c>
      <c r="L679" s="83">
        <f>HYPERLINK("#'"&amp;$O679&amp;"'!A"&amp;$N679,"→ 조립자재 R"&amp;$N679)</f>
        <v/>
      </c>
      <c r="M679" s="84" t="n"/>
      <c r="N679" s="80" t="n">
        <v>452</v>
      </c>
      <c r="O679" s="80" t="inlineStr">
        <is>
          <t>조립자재_재고현황</t>
        </is>
      </c>
    </row>
    <row r="680" ht="30" customHeight="1">
      <c r="A680" s="57" t="inlineStr">
        <is>
          <t>출하</t>
        </is>
      </c>
      <c r="B680" s="52" t="inlineStr">
        <is>
          <t>제품 박스</t>
        </is>
      </c>
      <c r="C680" s="52" t="inlineStr">
        <is>
          <t>DX3000</t>
        </is>
      </c>
      <c r="D680" s="79">
        <f>IF(INDIRECT("'"&amp;$O680&amp;"'!F"&amp;$N680)="O","원자재",IF(INDIRECT("'"&amp;$O680&amp;"'!G"&amp;$N680)="O","반제품",IF(INDIRECT("'"&amp;$O680&amp;"'!H"&amp;$N680)="O","완제품","")))</f>
        <v/>
      </c>
      <c r="E680" s="79">
        <f>IFERROR(IF(INDIRECT("'"&amp;$O680&amp;"'!I"&amp;$N680)=0,"",INDIRECT("'"&amp;$O680&amp;"'!I"&amp;$N680)),"")</f>
        <v/>
      </c>
      <c r="F680" s="52" t="inlineStr">
        <is>
          <t>저가 제품 박스(小)</t>
        </is>
      </c>
      <c r="G680" s="52" t="inlineStr">
        <is>
          <t>저가 제품 박스 (小) [공용]</t>
        </is>
      </c>
      <c r="H680" s="79">
        <f>IF(AND($F680="",$G680=""),"",IF($F680="","창고전용",IF($G680&lt;&gt;"","매칭완료",IF($D680="반제품","반제품(창고없음)",IF($D680="완제품","완제품(창고없음)",IF($D680="원자재","⚠ 원자재_부서보관","미분류"))))))</f>
        <v/>
      </c>
      <c r="I680" s="79">
        <f>IFERROR(IF(INDIRECT("'"&amp;$O680&amp;"'!P"&amp;$N680)=0,"",INDIRECT("'"&amp;$O680&amp;"'!P"&amp;$N680)),"")</f>
        <v/>
      </c>
      <c r="J680" s="61" t="inlineStr">
        <is>
          <t>저가 제품 박스(小)</t>
        </is>
      </c>
      <c r="K680" s="61" t="inlineStr">
        <is>
          <t>DX3000 저가 박스 [280x220x200 mm]</t>
        </is>
      </c>
      <c r="L680" s="83">
        <f>HYPERLINK("#'"&amp;$O680&amp;"'!A"&amp;$N680,"→ 조립자재 R"&amp;$N680)</f>
        <v/>
      </c>
      <c r="M680" s="84" t="n"/>
      <c r="N680" s="80" t="n">
        <v>453</v>
      </c>
      <c r="O680" s="80" t="inlineStr">
        <is>
          <t>조립자재_재고현황</t>
        </is>
      </c>
    </row>
    <row r="681" ht="30" customHeight="1">
      <c r="A681" s="57" t="inlineStr">
        <is>
          <t>출하</t>
        </is>
      </c>
      <c r="B681" s="52" t="inlineStr">
        <is>
          <t>에어셀</t>
        </is>
      </c>
      <c r="C681" s="52" t="inlineStr">
        <is>
          <t>에어셀</t>
        </is>
      </c>
      <c r="D681" s="79">
        <f>IF(INDIRECT("'"&amp;$O681&amp;"'!F"&amp;$N681)="O","원자재",IF(INDIRECT("'"&amp;$O681&amp;"'!G"&amp;$N681)="O","반제품",IF(INDIRECT("'"&amp;$O681&amp;"'!H"&amp;$N681)="O","완제품","")))</f>
        <v/>
      </c>
      <c r="E681" s="79">
        <f>IFERROR(IF(INDIRECT("'"&amp;$O681&amp;"'!I"&amp;$N681)=0,"",INDIRECT("'"&amp;$O681&amp;"'!I"&amp;$N681)),"")</f>
        <v/>
      </c>
      <c r="F681" s="52" t="inlineStr">
        <is>
          <t>저가 박스 에어셀_Main (JD010411-01)</t>
        </is>
      </c>
      <c r="G681" s="52" t="inlineStr">
        <is>
          <t>저가 박스 에어셀 Main (JD010411-01) [공용]</t>
        </is>
      </c>
      <c r="H681" s="79">
        <f>IF(AND($F681="",$G681=""),"",IF($F681="","창고전용",IF($G681&lt;&gt;"","매칭완료",IF($D681="반제품","반제품(창고없음)",IF($D681="완제품","완제품(창고없음)",IF($D681="원자재","⚠ 원자재_부서보관","미분류"))))))</f>
        <v/>
      </c>
      <c r="I681" s="79">
        <f>IFERROR(IF(INDIRECT("'"&amp;$O681&amp;"'!P"&amp;$N681)=0,"",INDIRECT("'"&amp;$O681&amp;"'!P"&amp;$N681)),"")</f>
        <v/>
      </c>
      <c r="J681" s="61" t="inlineStr">
        <is>
          <t>저가 박스 에어셀_Main (JD010411-01)</t>
        </is>
      </c>
      <c r="K681" s="61" t="inlineStr">
        <is>
          <t>DX3000 저가 박스 에어셀 [Main]</t>
        </is>
      </c>
      <c r="L681" s="83">
        <f>HYPERLINK("#'"&amp;$O681&amp;"'!A"&amp;$N681,"→ 조립자재 R"&amp;$N681)</f>
        <v/>
      </c>
      <c r="M681" s="84" t="n"/>
      <c r="N681" s="80" t="n">
        <v>454</v>
      </c>
      <c r="O681" s="80" t="inlineStr">
        <is>
          <t>조립자재_재고현황</t>
        </is>
      </c>
    </row>
    <row r="682" ht="30" customHeight="1">
      <c r="A682" s="57" t="inlineStr">
        <is>
          <t>출하</t>
        </is>
      </c>
      <c r="B682" s="52" t="inlineStr">
        <is>
          <t>에어셀</t>
        </is>
      </c>
      <c r="C682" s="52" t="inlineStr">
        <is>
          <t>에어셀</t>
        </is>
      </c>
      <c r="D682" s="79">
        <f>IF(INDIRECT("'"&amp;$O682&amp;"'!F"&amp;$N682)="O","원자재",IF(INDIRECT("'"&amp;$O682&amp;"'!G"&amp;$N682)="O","반제품",IF(INDIRECT("'"&amp;$O682&amp;"'!H"&amp;$N682)="O","완제품","")))</f>
        <v/>
      </c>
      <c r="E682" s="79">
        <f>IFERROR(IF(INDIRECT("'"&amp;$O682&amp;"'!I"&amp;$N682)=0,"",INDIRECT("'"&amp;$O682&amp;"'!I"&amp;$N682)),"")</f>
        <v/>
      </c>
      <c r="F682" s="52" t="inlineStr">
        <is>
          <t>저가 박스 에어셀_ACC (JD010412-01)</t>
        </is>
      </c>
      <c r="G682" s="52" t="n"/>
      <c r="H682" s="79">
        <f>IF(AND($F682="",$G682=""),"",IF($F682="","창고전용",IF($G682&lt;&gt;"","매칭완료",IF($D682="반제품","반제품(창고없음)",IF($D682="완제품","완제품(창고없음)",IF($D682="원자재","⚠ 원자재_부서보관","미분류"))))))</f>
        <v/>
      </c>
      <c r="I682" s="79">
        <f>IFERROR(IF(INDIRECT("'"&amp;$O682&amp;"'!P"&amp;$N682)=0,"",INDIRECT("'"&amp;$O682&amp;"'!P"&amp;$N682)),"")</f>
        <v/>
      </c>
      <c r="J682" s="61" t="inlineStr">
        <is>
          <t>저가 박스 에어셀_ACC (JD010412-01)</t>
        </is>
      </c>
      <c r="K682" s="61" t="inlineStr">
        <is>
          <t>DX3000 저가 박스 에어셀 [Accessories]</t>
        </is>
      </c>
      <c r="L682" s="83">
        <f>HYPERLINK("#'"&amp;$O682&amp;"'!A"&amp;$N682,"→ 조립자재 R"&amp;$N682)</f>
        <v/>
      </c>
      <c r="M682" s="84" t="n"/>
      <c r="N682" s="80" t="n">
        <v>455</v>
      </c>
      <c r="O682" s="80" t="inlineStr">
        <is>
          <t>조립자재_재고현황</t>
        </is>
      </c>
    </row>
    <row r="683" ht="30" customHeight="1">
      <c r="A683" s="57" t="inlineStr">
        <is>
          <t>출하</t>
        </is>
      </c>
      <c r="B683" s="52" t="inlineStr">
        <is>
          <t>에어셀</t>
        </is>
      </c>
      <c r="C683" s="52" t="inlineStr">
        <is>
          <t>에어셀</t>
        </is>
      </c>
      <c r="D683" s="79">
        <f>IF(INDIRECT("'"&amp;$O683&amp;"'!F"&amp;$N683)="O","원자재",IF(INDIRECT("'"&amp;$O683&amp;"'!G"&amp;$N683)="O","반제품",IF(INDIRECT("'"&amp;$O683&amp;"'!H"&amp;$N683)="O","완제품","")))</f>
        <v/>
      </c>
      <c r="E683" s="79">
        <f>IFERROR(IF(INDIRECT("'"&amp;$O683&amp;"'!I"&amp;$N683)=0,"",INDIRECT("'"&amp;$O683&amp;"'!I"&amp;$N683)),"")</f>
        <v/>
      </c>
      <c r="F683" s="52" t="inlineStr">
        <is>
          <t>DX3000 에어셀_TOP (JD010211-02)</t>
        </is>
      </c>
      <c r="G683" s="52" t="n"/>
      <c r="H683" s="79">
        <f>IF(AND($F683="",$G683=""),"",IF($F683="","창고전용",IF($G683&lt;&gt;"","매칭완료",IF($D683="반제품","반제품(창고없음)",IF($D683="완제품","완제품(창고없음)",IF($D683="원자재","⚠ 원자재_부서보관","미분류"))))))</f>
        <v/>
      </c>
      <c r="I683" s="79">
        <f>IFERROR(IF(INDIRECT("'"&amp;$O683&amp;"'!P"&amp;$N683)=0,"",INDIRECT("'"&amp;$O683&amp;"'!P"&amp;$N683)),"")</f>
        <v/>
      </c>
      <c r="J683" s="61" t="inlineStr">
        <is>
          <t>DX3000 에어셀_TOP (JD010211-02)</t>
        </is>
      </c>
      <c r="K683" s="61" t="inlineStr">
        <is>
          <t>DX3000, ADX4000W 에어셀 [Top 얇은 것]</t>
        </is>
      </c>
      <c r="L683" s="83">
        <f>HYPERLINK("#'"&amp;$O683&amp;"'!A"&amp;$N683,"→ 조립자재 R"&amp;$N683)</f>
        <v/>
      </c>
      <c r="M683" s="84" t="n"/>
      <c r="N683" s="80" t="n">
        <v>456</v>
      </c>
      <c r="O683" s="80" t="inlineStr">
        <is>
          <t>조립자재_재고현황</t>
        </is>
      </c>
    </row>
    <row r="684" ht="30" customHeight="1">
      <c r="A684" s="57" t="inlineStr">
        <is>
          <t>출하</t>
        </is>
      </c>
      <c r="B684" s="52" t="inlineStr">
        <is>
          <t>에어셀</t>
        </is>
      </c>
      <c r="C684" s="52" t="inlineStr">
        <is>
          <t>에어셀</t>
        </is>
      </c>
      <c r="D684" s="79">
        <f>IF(INDIRECT("'"&amp;$O684&amp;"'!F"&amp;$N684)="O","원자재",IF(INDIRECT("'"&amp;$O684&amp;"'!G"&amp;$N684)="O","반제품",IF(INDIRECT("'"&amp;$O684&amp;"'!H"&amp;$N684)="O","완제품","")))</f>
        <v/>
      </c>
      <c r="E684" s="79">
        <f>IFERROR(IF(INDIRECT("'"&amp;$O684&amp;"'!I"&amp;$N684)=0,"",INDIRECT("'"&amp;$O684&amp;"'!I"&amp;$N684)),"")</f>
        <v/>
      </c>
      <c r="F684" s="52" t="inlineStr">
        <is>
          <t>DX3000 에어셀_BOTTOM (JD010212-02)</t>
        </is>
      </c>
      <c r="G684" s="52" t="n"/>
      <c r="H684" s="79">
        <f>IF(AND($F684="",$G684=""),"",IF($F684="","창고전용",IF($G684&lt;&gt;"","매칭완료",IF($D684="반제품","반제품(창고없음)",IF($D684="완제품","완제품(창고없음)",IF($D684="원자재","⚠ 원자재_부서보관","미분류"))))))</f>
        <v/>
      </c>
      <c r="I684" s="79">
        <f>IFERROR(IF(INDIRECT("'"&amp;$O684&amp;"'!P"&amp;$N684)=0,"",INDIRECT("'"&amp;$O684&amp;"'!P"&amp;$N684)),"")</f>
        <v/>
      </c>
      <c r="J684" s="61" t="inlineStr">
        <is>
          <t>DX3000 에어셀_BOTTOM (JD010212-02)</t>
        </is>
      </c>
      <c r="K684" s="61" t="inlineStr">
        <is>
          <t>DX3000, ADX4000W 에어셀 [Bottom 두꺼운 것]</t>
        </is>
      </c>
      <c r="L684" s="83">
        <f>HYPERLINK("#'"&amp;$O684&amp;"'!A"&amp;$N684,"→ 조립자재 R"&amp;$N684)</f>
        <v/>
      </c>
      <c r="M684" s="84" t="n"/>
      <c r="N684" s="80" t="n">
        <v>457</v>
      </c>
      <c r="O684" s="80" t="inlineStr">
        <is>
          <t>조립자재_재고현황</t>
        </is>
      </c>
    </row>
    <row r="685" ht="30" customHeight="1">
      <c r="A685" s="57" t="inlineStr">
        <is>
          <t>출하</t>
        </is>
      </c>
      <c r="B685" s="52" t="inlineStr">
        <is>
          <t>에어셀</t>
        </is>
      </c>
      <c r="C685" s="52" t="inlineStr">
        <is>
          <t>에어셀</t>
        </is>
      </c>
      <c r="D685" s="79">
        <f>IF(INDIRECT("'"&amp;$O685&amp;"'!F"&amp;$N685)="O","원자재",IF(INDIRECT("'"&amp;$O685&amp;"'!G"&amp;$N685)="O","반제품",IF(INDIRECT("'"&amp;$O685&amp;"'!H"&amp;$N685)="O","완제품","")))</f>
        <v/>
      </c>
      <c r="E685" s="79">
        <f>IFERROR(IF(INDIRECT("'"&amp;$O685&amp;"'!I"&amp;$N685)=0,"",INDIRECT("'"&amp;$O685&amp;"'!I"&amp;$N685)),"")</f>
        <v/>
      </c>
      <c r="F685" s="52" t="inlineStr">
        <is>
          <t>COCOON 에어셀_TOP (JD010311-01)</t>
        </is>
      </c>
      <c r="G685" s="52" t="n"/>
      <c r="H685" s="79">
        <f>IF(AND($F685="",$G685=""),"",IF($F685="","창고전용",IF($G685&lt;&gt;"","매칭완료",IF($D685="반제품","반제품(창고없음)",IF($D685="완제품","완제품(창고없음)",IF($D685="원자재","⚠ 원자재_부서보관","미분류"))))))</f>
        <v/>
      </c>
      <c r="I685" s="79">
        <f>IFERROR(IF(INDIRECT("'"&amp;$O685&amp;"'!P"&amp;$N685)=0,"",INDIRECT("'"&amp;$O685&amp;"'!P"&amp;$N685)),"")</f>
        <v/>
      </c>
      <c r="J685" s="61" t="inlineStr">
        <is>
          <t>COCOON 에어셀_TOP (JD010311-01)</t>
        </is>
      </c>
      <c r="K685" s="61" t="inlineStr">
        <is>
          <t>COCOON, ADX6000FB 에어셀 [Top+Bottom 긴 것]</t>
        </is>
      </c>
      <c r="L685" s="83">
        <f>HYPERLINK("#'"&amp;$O685&amp;"'!A"&amp;$N685,"→ 조립자재 R"&amp;$N685)</f>
        <v/>
      </c>
      <c r="M685" s="84" t="n"/>
      <c r="N685" s="80" t="n">
        <v>458</v>
      </c>
      <c r="O685" s="80" t="inlineStr">
        <is>
          <t>조립자재_재고현황</t>
        </is>
      </c>
    </row>
    <row r="686" ht="30" customHeight="1">
      <c r="A686" s="57" t="inlineStr">
        <is>
          <t>출하</t>
        </is>
      </c>
      <c r="B686" s="52" t="inlineStr">
        <is>
          <t>에어셀</t>
        </is>
      </c>
      <c r="C686" s="52" t="inlineStr">
        <is>
          <t>에어셀</t>
        </is>
      </c>
      <c r="D686" s="79">
        <f>IF(INDIRECT("'"&amp;$O686&amp;"'!F"&amp;$N686)="O","원자재",IF(INDIRECT("'"&amp;$O686&amp;"'!G"&amp;$N686)="O","반제품",IF(INDIRECT("'"&amp;$O686&amp;"'!H"&amp;$N686)="O","완제품","")))</f>
        <v/>
      </c>
      <c r="E686" s="79">
        <f>IFERROR(IF(INDIRECT("'"&amp;$O686&amp;"'!I"&amp;$N686)=0,"",INDIRECT("'"&amp;$O686&amp;"'!I"&amp;$N686)),"")</f>
        <v/>
      </c>
      <c r="F686" s="52" t="inlineStr">
        <is>
          <t>COCOON 에어셀_BOTTOM (JD010312-01)</t>
        </is>
      </c>
      <c r="G686" s="52" t="n"/>
      <c r="H686" s="79">
        <f>IF(AND($F686="",$G686=""),"",IF($F686="","창고전용",IF($G686&lt;&gt;"","매칭완료",IF($D686="반제품","반제품(창고없음)",IF($D686="완제품","완제품(창고없음)",IF($D686="원자재","⚠ 원자재_부서보관","미분류"))))))</f>
        <v/>
      </c>
      <c r="I686" s="79">
        <f>IFERROR(IF(INDIRECT("'"&amp;$O686&amp;"'!P"&amp;$N686)=0,"",INDIRECT("'"&amp;$O686&amp;"'!P"&amp;$N686)),"")</f>
        <v/>
      </c>
      <c r="J686" s="61" t="inlineStr">
        <is>
          <t>COCOON 에어셀_BOTTOM (JD010312-01)</t>
        </is>
      </c>
      <c r="K686" s="61" t="inlineStr">
        <is>
          <t>COCOON, ADX6000FB 에어셀 [Side 짧은 것]</t>
        </is>
      </c>
      <c r="L686" s="83">
        <f>HYPERLINK("#'"&amp;$O686&amp;"'!A"&amp;$N686,"→ 조립자재 R"&amp;$N686)</f>
        <v/>
      </c>
      <c r="M686" s="84" t="n"/>
      <c r="N686" s="80" t="n">
        <v>459</v>
      </c>
      <c r="O686" s="80" t="inlineStr">
        <is>
          <t>조립자재_재고현황</t>
        </is>
      </c>
    </row>
    <row r="687" ht="30" customHeight="1">
      <c r="A687" s="57" t="inlineStr">
        <is>
          <t>출하</t>
        </is>
      </c>
      <c r="B687" s="52" t="inlineStr">
        <is>
          <t>에어셀</t>
        </is>
      </c>
      <c r="C687" s="52" t="inlineStr">
        <is>
          <t>에어셀</t>
        </is>
      </c>
      <c r="D687" s="79">
        <f>IF(INDIRECT("'"&amp;$O687&amp;"'!F"&amp;$N687)="O","원자재",IF(INDIRECT("'"&amp;$O687&amp;"'!G"&amp;$N687)="O","반제품",IF(INDIRECT("'"&amp;$O687&amp;"'!H"&amp;$N687)="O","완제품","")))</f>
        <v/>
      </c>
      <c r="E687" s="79">
        <f>IFERROR(IF(INDIRECT("'"&amp;$O687&amp;"'!I"&amp;$N687)=0,"",INDIRECT("'"&amp;$O687&amp;"'!I"&amp;$N687)),"")</f>
        <v/>
      </c>
      <c r="F687" s="52" t="inlineStr">
        <is>
          <t>DX3000M 저가형 에어셀</t>
        </is>
      </c>
      <c r="G687" s="52" t="n"/>
      <c r="H687" s="79">
        <f>IF(AND($F687="",$G687=""),"",IF($F687="","창고전용",IF($G687&lt;&gt;"","매칭완료",IF($D687="반제품","반제품(창고없음)",IF($D687="완제품","완제품(창고없음)",IF($D687="원자재","⚠ 원자재_부서보관","미분류"))))))</f>
        <v/>
      </c>
      <c r="I687" s="79">
        <f>IFERROR(IF(INDIRECT("'"&amp;$O687&amp;"'!P"&amp;$N687)=0,"",INDIRECT("'"&amp;$O687&amp;"'!P"&amp;$N687)),"")</f>
        <v/>
      </c>
      <c r="J687" s="61" t="inlineStr">
        <is>
          <t>DX3000M 저가형 에어셀</t>
        </is>
      </c>
      <c r="K687" s="61" t="inlineStr">
        <is>
          <t>DX3000M 저가 박스 에어셀 [Main]</t>
        </is>
      </c>
      <c r="L687" s="83">
        <f>HYPERLINK("#'"&amp;$O687&amp;"'!A"&amp;$N687,"→ 조립자재 R"&amp;$N687)</f>
        <v/>
      </c>
      <c r="M687" s="84" t="n"/>
      <c r="N687" s="80" t="n">
        <v>460</v>
      </c>
      <c r="O687" s="80" t="inlineStr">
        <is>
          <t>조립자재_재고현황</t>
        </is>
      </c>
    </row>
    <row r="688" ht="30" customHeight="1">
      <c r="A688" s="58" t="inlineStr">
        <is>
          <t>기타</t>
        </is>
      </c>
      <c r="B688" s="52" t="inlineStr">
        <is>
          <t>6000S</t>
        </is>
      </c>
      <c r="C688" s="52" t="inlineStr">
        <is>
          <t>A6CB(8핀)</t>
        </is>
      </c>
      <c r="D688" s="79">
        <f>IF(INDIRECT("'"&amp;$O688&amp;"'!F"&amp;$N688)="O","원자재",IF(INDIRECT("'"&amp;$O688&amp;"'!G"&amp;$N688)="O","반제품",IF(INDIRECT("'"&amp;$O688&amp;"'!H"&amp;$N688)="O","완제품","")))</f>
        <v/>
      </c>
      <c r="E688" s="79">
        <f>IFERROR(IF(INDIRECT("'"&amp;$O688&amp;"'!I"&amp;$N688)=0,"",INDIRECT("'"&amp;$O688&amp;"'!I"&amp;$N688)),"")</f>
        <v/>
      </c>
      <c r="F688" s="52" t="inlineStr">
        <is>
          <t>V1.1.1</t>
        </is>
      </c>
      <c r="G688" s="52" t="n"/>
      <c r="H688" s="79">
        <f>IF(AND($F688="",$G688=""),"",IF($F688="","창고전용",IF($G688&lt;&gt;"","매칭완료",IF($D688="반제품","반제품(창고없음)",IF($D688="완제품","완제품(창고없음)",IF($D688="원자재","⚠ 원자재_부서보관","미분류"))))))</f>
        <v/>
      </c>
      <c r="I688" s="79">
        <f>IFERROR(IF(INDIRECT("'"&amp;$O688&amp;"'!P"&amp;$N688)=0,"",INDIRECT("'"&amp;$O688&amp;"'!P"&amp;$N688)),"")</f>
        <v/>
      </c>
      <c r="J688" s="61" t="inlineStr">
        <is>
          <t>V1.1.1</t>
        </is>
      </c>
      <c r="K688" s="65" t="inlineStr">
        <is>
          <t>ADX6000s CTR BD (Ver 1.1.1) - 8핀용</t>
        </is>
      </c>
      <c r="L688" s="83">
        <f>HYPERLINK("#'"&amp;$O688&amp;"'!A"&amp;$N688,"→ 고압진공 R"&amp;$N688)</f>
        <v/>
      </c>
      <c r="M688" s="84" t="n"/>
      <c r="N688" s="80" t="n">
        <v>159</v>
      </c>
      <c r="O688" s="80" t="inlineStr">
        <is>
          <t>고압진공_재고현황</t>
        </is>
      </c>
    </row>
    <row r="689" ht="30" customHeight="1">
      <c r="A689" s="58" t="inlineStr">
        <is>
          <t>기타</t>
        </is>
      </c>
      <c r="B689" s="52" t="inlineStr">
        <is>
          <t>6000</t>
        </is>
      </c>
      <c r="C689" s="52" t="inlineStr">
        <is>
          <t>A6CTR(6000 CTR)</t>
        </is>
      </c>
      <c r="D689" s="79">
        <f>IF(INDIRECT("'"&amp;$O689&amp;"'!F"&amp;$N689)="O","원자재",IF(INDIRECT("'"&amp;$O689&amp;"'!G"&amp;$N689)="O","반제품",IF(INDIRECT("'"&amp;$O689&amp;"'!H"&amp;$N689)="O","완제품","")))</f>
        <v/>
      </c>
      <c r="E689" s="79">
        <f>IFERROR(IF(INDIRECT("'"&amp;$O689&amp;"'!I"&amp;$N689)=0,"",INDIRECT("'"&amp;$O689&amp;"'!I"&amp;$N689)),"")</f>
        <v/>
      </c>
      <c r="F689" s="52" t="inlineStr">
        <is>
          <t>V1.5</t>
        </is>
      </c>
      <c r="G689" s="52" t="n"/>
      <c r="H689" s="79">
        <f>IF(AND($F689="",$G689=""),"",IF($F689="","창고전용",IF($G689&lt;&gt;"","매칭완료",IF($D689="반제품","반제품(창고없음)",IF($D689="완제품","완제품(창고없음)",IF($D689="원자재","⚠ 원자재_부서보관","미분류"))))))</f>
        <v/>
      </c>
      <c r="I689" s="79">
        <f>IFERROR(IF(INDIRECT("'"&amp;$O689&amp;"'!P"&amp;$N689)=0,"",INDIRECT("'"&amp;$O689&amp;"'!P"&amp;$N689)),"")</f>
        <v/>
      </c>
      <c r="J689" s="61" t="inlineStr">
        <is>
          <t>V1.5</t>
        </is>
      </c>
      <c r="K689" s="65" t="inlineStr">
        <is>
          <t>ADX6000 CTR BD (Ver 1.5)</t>
        </is>
      </c>
      <c r="L689" s="83">
        <f>HYPERLINK("#'"&amp;$O689&amp;"'!A"&amp;$N689,"→ 고압진공 R"&amp;$N689)</f>
        <v/>
      </c>
      <c r="M689" s="84" t="n"/>
      <c r="N689" s="80" t="n">
        <v>160</v>
      </c>
      <c r="O689" s="80" t="inlineStr">
        <is>
          <t>고압진공_재고현황</t>
        </is>
      </c>
    </row>
    <row r="690" ht="30" customHeight="1">
      <c r="A690" s="58" t="inlineStr">
        <is>
          <t>기타</t>
        </is>
      </c>
      <c r="B690" s="52" t="inlineStr">
        <is>
          <t>COCOON</t>
        </is>
      </c>
      <c r="C690" s="52" t="inlineStr">
        <is>
          <t>COCB(핸들공용 이전)</t>
        </is>
      </c>
      <c r="D690" s="79">
        <f>IF(INDIRECT("'"&amp;$O690&amp;"'!F"&amp;$N690)="O","원자재",IF(INDIRECT("'"&amp;$O690&amp;"'!G"&amp;$N690)="O","반제품",IF(INDIRECT("'"&amp;$O690&amp;"'!H"&amp;$N690)="O","완제품","")))</f>
        <v/>
      </c>
      <c r="E690" s="79">
        <f>IFERROR(IF(INDIRECT("'"&amp;$O690&amp;"'!I"&amp;$N690)=0,"",INDIRECT("'"&amp;$O690&amp;"'!I"&amp;$N690)),"")</f>
        <v/>
      </c>
      <c r="F690" s="52" t="inlineStr">
        <is>
          <t>v2.20.5</t>
        </is>
      </c>
      <c r="G690" s="52" t="n"/>
      <c r="H690" s="79">
        <f>IF(AND($F690="",$G690=""),"",IF($F690="","창고전용",IF($G690&lt;&gt;"","매칭완료",IF($D690="반제품","반제품(창고없음)",IF($D690="완제품","완제품(창고없음)",IF($D690="원자재","⚠ 원자재_부서보관","미분류"))))))</f>
        <v/>
      </c>
      <c r="I690" s="79">
        <f>IFERROR(IF(INDIRECT("'"&amp;$O690&amp;"'!P"&amp;$N690)=0,"",INDIRECT("'"&amp;$O690&amp;"'!P"&amp;$N690)),"")</f>
        <v/>
      </c>
      <c r="J690" s="61" t="inlineStr">
        <is>
          <t>v2.20.5</t>
        </is>
      </c>
      <c r="K690" s="65" t="inlineStr">
        <is>
          <t>COCOON CTR BD (Ver 2.20.5)</t>
        </is>
      </c>
      <c r="L690" s="83">
        <f>HYPERLINK("#'"&amp;$O690&amp;"'!A"&amp;$N690,"→ 고압진공 R"&amp;$N690)</f>
        <v/>
      </c>
      <c r="M690" s="84" t="n"/>
      <c r="N690" s="80" t="n">
        <v>161</v>
      </c>
      <c r="O690" s="80" t="inlineStr">
        <is>
          <t>고압진공_재고현황</t>
        </is>
      </c>
    </row>
    <row r="691" ht="30" customHeight="1">
      <c r="A691" s="58" t="inlineStr">
        <is>
          <t>기타</t>
        </is>
      </c>
      <c r="B691" s="52" t="inlineStr">
        <is>
          <t>6000</t>
        </is>
      </c>
      <c r="C691" s="52" t="inlineStr">
        <is>
          <t>INNER_USB_BD (6000 커넥터)</t>
        </is>
      </c>
      <c r="D691" s="79">
        <f>IF(INDIRECT("'"&amp;$O691&amp;"'!F"&amp;$N691)="O","원자재",IF(INDIRECT("'"&amp;$O691&amp;"'!G"&amp;$N691)="O","반제품",IF(INDIRECT("'"&amp;$O691&amp;"'!H"&amp;$N691)="O","완제품","")))</f>
        <v/>
      </c>
      <c r="E691" s="79">
        <f>IFERROR(IF(INDIRECT("'"&amp;$O691&amp;"'!I"&amp;$N691)=0,"",INDIRECT("'"&amp;$O691&amp;"'!I"&amp;$N691)),"")</f>
        <v/>
      </c>
      <c r="F691" s="52" t="inlineStr">
        <is>
          <t>V2.1</t>
        </is>
      </c>
      <c r="G691" s="52" t="n"/>
      <c r="H691" s="79">
        <f>IF(AND($F691="",$G691=""),"",IF($F691="","창고전용",IF($G691&lt;&gt;"","매칭완료",IF($D691="반제품","반제품(창고없음)",IF($D691="완제품","완제품(창고없음)",IF($D691="원자재","⚠ 원자재_부서보관","미분류"))))))</f>
        <v/>
      </c>
      <c r="I691" s="79">
        <f>IFERROR(IF(INDIRECT("'"&amp;$O691&amp;"'!P"&amp;$N691)=0,"",INDIRECT("'"&amp;$O691&amp;"'!P"&amp;$N691)),"")</f>
        <v/>
      </c>
      <c r="J691" s="61" t="inlineStr">
        <is>
          <t>V2.1</t>
        </is>
      </c>
      <c r="K691" s="65" t="inlineStr">
        <is>
          <t>ADX6000 INNER USB BD (Ver 2.1)</t>
        </is>
      </c>
      <c r="L691" s="83">
        <f>HYPERLINK("#'"&amp;$O691&amp;"'!A"&amp;$N691,"→ 고압진공 R"&amp;$N691)</f>
        <v/>
      </c>
      <c r="M691" s="84" t="n"/>
      <c r="N691" s="80" t="n">
        <v>162</v>
      </c>
      <c r="O691" s="80" t="inlineStr">
        <is>
          <t>고압진공_재고현황</t>
        </is>
      </c>
    </row>
    <row r="692" ht="30" customHeight="1">
      <c r="A692" s="58" t="inlineStr">
        <is>
          <t>기타</t>
        </is>
      </c>
      <c r="B692" s="52" t="inlineStr">
        <is>
          <t>6000S</t>
        </is>
      </c>
      <c r="C692" s="52" t="inlineStr">
        <is>
          <t>CTR_to_GEN BD (8핀 커넥터)</t>
        </is>
      </c>
      <c r="D692" s="79">
        <f>IF(INDIRECT("'"&amp;$O692&amp;"'!F"&amp;$N692)="O","원자재",IF(INDIRECT("'"&amp;$O692&amp;"'!G"&amp;$N692)="O","반제품",IF(INDIRECT("'"&amp;$O692&amp;"'!H"&amp;$N692)="O","완제품","")))</f>
        <v/>
      </c>
      <c r="E692" s="79">
        <f>IFERROR(IF(INDIRECT("'"&amp;$O692&amp;"'!I"&amp;$N692)=0,"",INDIRECT("'"&amp;$O692&amp;"'!I"&amp;$N692)),"")</f>
        <v/>
      </c>
      <c r="F692" s="52" t="inlineStr">
        <is>
          <t>V2.0.0</t>
        </is>
      </c>
      <c r="G692" s="52" t="n"/>
      <c r="H692" s="79">
        <f>IF(AND($F692="",$G692=""),"",IF($F692="","창고전용",IF($G692&lt;&gt;"","매칭완료",IF($D692="반제품","반제품(창고없음)",IF($D692="완제품","완제품(창고없음)",IF($D692="원자재","⚠ 원자재_부서보관","미분류"))))))</f>
        <v/>
      </c>
      <c r="I692" s="79">
        <f>IFERROR(IF(INDIRECT("'"&amp;$O692&amp;"'!P"&amp;$N692)=0,"",INDIRECT("'"&amp;$O692&amp;"'!P"&amp;$N692)),"")</f>
        <v/>
      </c>
      <c r="J692" s="61" t="inlineStr">
        <is>
          <t>V2.0.0</t>
        </is>
      </c>
      <c r="K692" s="65" t="inlineStr">
        <is>
          <t>ADX6000s CTR to GEN BD (Ver 2.0.0) - 8핀용</t>
        </is>
      </c>
      <c r="L692" s="83">
        <f>HYPERLINK("#'"&amp;$O692&amp;"'!A"&amp;$N692,"→ 고압진공 R"&amp;$N692)</f>
        <v/>
      </c>
      <c r="M692" s="84" t="n"/>
      <c r="N692" s="80" t="n">
        <v>163</v>
      </c>
      <c r="O692" s="80" t="inlineStr">
        <is>
          <t>고압진공_재고현황</t>
        </is>
      </c>
    </row>
    <row r="693" ht="30" customHeight="1">
      <c r="A693" s="58" t="inlineStr">
        <is>
          <t>기타</t>
        </is>
      </c>
      <c r="B693" s="52" t="inlineStr">
        <is>
          <t>6000S</t>
        </is>
      </c>
      <c r="C693" s="52" t="inlineStr">
        <is>
          <t>AIM_LIGHT_DRIVER BD (9핀 커넥터)</t>
        </is>
      </c>
      <c r="D693" s="79">
        <f>IF(INDIRECT("'"&amp;$O693&amp;"'!F"&amp;$N693)="O","원자재",IF(INDIRECT("'"&amp;$O693&amp;"'!G"&amp;$N693)="O","반제품",IF(INDIRECT("'"&amp;$O693&amp;"'!H"&amp;$N693)="O","완제품","")))</f>
        <v/>
      </c>
      <c r="E693" s="79">
        <f>IFERROR(IF(INDIRECT("'"&amp;$O693&amp;"'!I"&amp;$N693)=0,"",INDIRECT("'"&amp;$O693&amp;"'!I"&amp;$N693)),"")</f>
        <v/>
      </c>
      <c r="F693" s="52" t="inlineStr">
        <is>
          <t>V1.0.0</t>
        </is>
      </c>
      <c r="G693" s="52" t="n"/>
      <c r="H693" s="79">
        <f>IF(AND($F693="",$G693=""),"",IF($F693="","창고전용",IF($G693&lt;&gt;"","매칭완료",IF($D693="반제품","반제품(창고없음)",IF($D693="완제품","완제품(창고없음)",IF($D693="원자재","⚠ 원자재_부서보관","미분류"))))))</f>
        <v/>
      </c>
      <c r="I693" s="79">
        <f>IFERROR(IF(INDIRECT("'"&amp;$O693&amp;"'!P"&amp;$N693)=0,"",INDIRECT("'"&amp;$O693&amp;"'!P"&amp;$N693)),"")</f>
        <v/>
      </c>
      <c r="J693" s="61" t="inlineStr">
        <is>
          <t>V1.0.0</t>
        </is>
      </c>
      <c r="K693" s="65" t="inlineStr">
        <is>
          <t>ADX6000s AIM LIGHT DRIVER BD (Ver 1.0.0) - 9핀용</t>
        </is>
      </c>
      <c r="L693" s="83">
        <f>HYPERLINK("#'"&amp;$O693&amp;"'!A"&amp;$N693,"→ 고압진공 R"&amp;$N693)</f>
        <v/>
      </c>
      <c r="M693" s="84" t="n"/>
      <c r="N693" s="80" t="n">
        <v>164</v>
      </c>
      <c r="O693" s="80" t="inlineStr">
        <is>
          <t>고압진공_재고현황</t>
        </is>
      </c>
    </row>
    <row r="694" ht="30" customHeight="1">
      <c r="A694" s="58" t="inlineStr">
        <is>
          <t>기타</t>
        </is>
      </c>
      <c r="B694" s="52" t="inlineStr">
        <is>
          <t>6000FB</t>
        </is>
      </c>
      <c r="C694" s="52" t="inlineStr">
        <is>
          <t>CTR_to_GEN BD (10핀 커넥터)</t>
        </is>
      </c>
      <c r="D694" s="79">
        <f>IF(INDIRECT("'"&amp;$O694&amp;"'!F"&amp;$N694)="O","원자재",IF(INDIRECT("'"&amp;$O694&amp;"'!G"&amp;$N694)="O","반제품",IF(INDIRECT("'"&amp;$O694&amp;"'!H"&amp;$N694)="O","완제품","")))</f>
        <v/>
      </c>
      <c r="E694" s="79">
        <f>IFERROR(IF(INDIRECT("'"&amp;$O694&amp;"'!I"&amp;$N694)=0,"",INDIRECT("'"&amp;$O694&amp;"'!I"&amp;$N694)),"")</f>
        <v/>
      </c>
      <c r="F694" s="52" t="inlineStr">
        <is>
          <t>V2.0.1</t>
        </is>
      </c>
      <c r="G694" s="52" t="n"/>
      <c r="H694" s="79">
        <f>IF(AND($F694="",$G694=""),"",IF($F694="","창고전용",IF($G694&lt;&gt;"","매칭완료",IF($D694="반제품","반제품(창고없음)",IF($D694="완제품","완제품(창고없음)",IF($D694="원자재","⚠ 원자재_부서보관","미분류"))))))</f>
        <v/>
      </c>
      <c r="I694" s="79">
        <f>IFERROR(IF(INDIRECT("'"&amp;$O694&amp;"'!P"&amp;$N694)=0,"",INDIRECT("'"&amp;$O694&amp;"'!P"&amp;$N694)),"")</f>
        <v/>
      </c>
      <c r="J694" s="61" t="inlineStr">
        <is>
          <t>V2.0.1</t>
        </is>
      </c>
      <c r="K694" s="65" t="inlineStr">
        <is>
          <t>ADX6000FB CTR to GEN BD (Ver 2.0.1) - 10핀용</t>
        </is>
      </c>
      <c r="L694" s="83">
        <f>HYPERLINK("#'"&amp;$O694&amp;"'!A"&amp;$N694,"→ 고압진공 R"&amp;$N694)</f>
        <v/>
      </c>
      <c r="M694" s="84" t="n"/>
      <c r="N694" s="80" t="n">
        <v>165</v>
      </c>
      <c r="O694" s="80" t="inlineStr">
        <is>
          <t>고압진공_재고현황</t>
        </is>
      </c>
    </row>
    <row r="695" ht="30" customHeight="1">
      <c r="A695" s="59" t="inlineStr">
        <is>
          <t>완제품</t>
        </is>
      </c>
      <c r="B695" s="52" t="inlineStr">
        <is>
          <t>완제품 본체</t>
        </is>
      </c>
      <c r="C695" s="52" t="inlineStr">
        <is>
          <t>DX3000</t>
        </is>
      </c>
      <c r="D695" s="79">
        <f>IF(INDIRECT("'"&amp;$O695&amp;"'!F"&amp;$N695)="O","원자재",IF(INDIRECT("'"&amp;$O695&amp;"'!G"&amp;$N695)="O","반제품",IF(INDIRECT("'"&amp;$O695&amp;"'!H"&amp;$N695)="O","완제품","")))</f>
        <v/>
      </c>
      <c r="E695" s="79">
        <f>IFERROR(IF(INDIRECT("'"&amp;$O695&amp;"'!I"&amp;$N695)=0,"",INDIRECT("'"&amp;$O695&amp;"'!I"&amp;$N695)),"")</f>
        <v/>
      </c>
      <c r="F695" s="52" t="inlineStr">
        <is>
          <t>60kV 2mA / 10cm 기본 (Black)</t>
        </is>
      </c>
      <c r="G695" s="52" t="n"/>
      <c r="H695" s="79">
        <f>IF(AND($F695="",$G695=""),"",IF($F695="","창고전용",IF($G695&lt;&gt;"","매칭완료",IF($D695="반제품","반제품(창고없음)",IF($D695="완제품","완제품(창고없음)",IF($D695="원자재","⚠ 원자재_부서보관","미분류"))))))</f>
        <v/>
      </c>
      <c r="I695" s="79">
        <f>IFERROR(IF(INDIRECT("'"&amp;$O695&amp;"'!P"&amp;$N695)=0,"",INDIRECT("'"&amp;$O695&amp;"'!P"&amp;$N695)),"")</f>
        <v/>
      </c>
      <c r="J695" s="61" t="inlineStr">
        <is>
          <t>60kV 2mA / 10cm 기본 (Black)</t>
        </is>
      </c>
      <c r="K695" s="61" t="inlineStr">
        <is>
          <t>DX3000 60KV 2mA / 10cm Black [기본]</t>
        </is>
      </c>
      <c r="L695" s="83">
        <f>HYPERLINK("#'"&amp;$O695&amp;"'!A"&amp;$N695,"→ 조립완제품 R"&amp;$N695)</f>
        <v/>
      </c>
      <c r="M695" s="84" t="n"/>
      <c r="N695" s="80" t="n">
        <v>2</v>
      </c>
      <c r="O695" s="80" t="inlineStr">
        <is>
          <t>조립완제품_재고현황</t>
        </is>
      </c>
    </row>
    <row r="696" ht="30" customHeight="1">
      <c r="A696" s="59" t="inlineStr">
        <is>
          <t>완제품</t>
        </is>
      </c>
      <c r="B696" s="52" t="inlineStr">
        <is>
          <t>완제품 본체</t>
        </is>
      </c>
      <c r="C696" s="52" t="inlineStr">
        <is>
          <t>DX3000</t>
        </is>
      </c>
      <c r="D696" s="79">
        <f>IF(INDIRECT("'"&amp;$O696&amp;"'!F"&amp;$N696)="O","원자재",IF(INDIRECT("'"&amp;$O696&amp;"'!G"&amp;$N696)="O","반제품",IF(INDIRECT("'"&amp;$O696&amp;"'!H"&amp;$N696)="O","완제품","")))</f>
        <v/>
      </c>
      <c r="E696" s="79">
        <f>IFERROR(IF(INDIRECT("'"&amp;$O696&amp;"'!I"&amp;$N696)=0,"",INDIRECT("'"&amp;$O696&amp;"'!I"&amp;$N696)),"")</f>
        <v/>
      </c>
      <c r="F696" s="52" t="inlineStr">
        <is>
          <t>60kV 2mA (White)</t>
        </is>
      </c>
      <c r="G696" s="52" t="n"/>
      <c r="H696" s="79">
        <f>IF(AND($F696="",$G696=""),"",IF($F696="","창고전용",IF($G696&lt;&gt;"","매칭완료",IF($D696="반제품","반제품(창고없음)",IF($D696="완제품","완제품(창고없음)",IF($D696="원자재","⚠ 원자재_부서보관","미분류"))))))</f>
        <v/>
      </c>
      <c r="I696" s="79">
        <f>IFERROR(IF(INDIRECT("'"&amp;$O696&amp;"'!P"&amp;$N696)=0,"",INDIRECT("'"&amp;$O696&amp;"'!P"&amp;$N696)),"")</f>
        <v/>
      </c>
      <c r="J696" s="61" t="inlineStr">
        <is>
          <t>60kV 2mA (White)</t>
        </is>
      </c>
      <c r="K696" s="61" t="inlineStr">
        <is>
          <t>DX3000 60KV 2mA / 10cm White [기본]</t>
        </is>
      </c>
      <c r="L696" s="83">
        <f>HYPERLINK("#'"&amp;$O696&amp;"'!A"&amp;$N696,"→ 조립완제품 R"&amp;$N696)</f>
        <v/>
      </c>
      <c r="M696" s="84" t="n"/>
      <c r="N696" s="80" t="n">
        <v>3</v>
      </c>
      <c r="O696" s="80" t="inlineStr">
        <is>
          <t>조립완제품_재고현황</t>
        </is>
      </c>
    </row>
    <row r="697" ht="30" customHeight="1">
      <c r="A697" s="59" t="inlineStr">
        <is>
          <t>완제품</t>
        </is>
      </c>
      <c r="B697" s="52" t="inlineStr">
        <is>
          <t>완제품 본체</t>
        </is>
      </c>
      <c r="C697" s="52" t="inlineStr">
        <is>
          <t>DX3000</t>
        </is>
      </c>
      <c r="D697" s="79">
        <f>IF(INDIRECT("'"&amp;$O697&amp;"'!F"&amp;$N697)="O","원자재",IF(INDIRECT("'"&amp;$O697&amp;"'!G"&amp;$N697)="O","반제품",IF(INDIRECT("'"&amp;$O697&amp;"'!H"&amp;$N697)="O","완제품","")))</f>
        <v/>
      </c>
      <c r="E697" s="79">
        <f>IFERROR(IF(INDIRECT("'"&amp;$O697&amp;"'!I"&amp;$N697)=0,"",INDIRECT("'"&amp;$O697&amp;"'!I"&amp;$N697)),"")</f>
        <v/>
      </c>
      <c r="F697" s="52" t="inlineStr">
        <is>
          <t>60kV 2mA / 15cm (일본) (White 양손잡이)</t>
        </is>
      </c>
      <c r="G697" s="52" t="n"/>
      <c r="H697" s="79">
        <f>IF(AND($F697="",$G697=""),"",IF($F697="","창고전용",IF($G697&lt;&gt;"","매칭완료",IF($D697="반제품","반제품(창고없음)",IF($D697="완제품","완제품(창고없음)",IF($D697="원자재","⚠ 원자재_부서보관","미분류"))))))</f>
        <v/>
      </c>
      <c r="I697" s="79">
        <f>IFERROR(IF(INDIRECT("'"&amp;$O697&amp;"'!P"&amp;$N697)=0,"",INDIRECT("'"&amp;$O697&amp;"'!P"&amp;$N697)),"")</f>
        <v/>
      </c>
      <c r="J697" s="61" t="inlineStr">
        <is>
          <t>60kV 2mA / 15cm (일본) (White 양손잡이)</t>
        </is>
      </c>
      <c r="K697" s="61" t="inlineStr">
        <is>
          <t>DX3000 60KV 2mA / 15cm White [일본 덴탈용 / 양쪽 손잡이]</t>
        </is>
      </c>
      <c r="L697" s="83">
        <f>HYPERLINK("#'"&amp;$O697&amp;"'!A"&amp;$N697,"→ 조립완제품 R"&amp;$N697)</f>
        <v/>
      </c>
      <c r="M697" s="84" t="n"/>
      <c r="N697" s="80" t="n">
        <v>4</v>
      </c>
      <c r="O697" s="80" t="inlineStr">
        <is>
          <t>조립완제품_재고현황</t>
        </is>
      </c>
    </row>
    <row r="698" ht="30" customHeight="1">
      <c r="A698" s="59" t="inlineStr">
        <is>
          <t>완제품</t>
        </is>
      </c>
      <c r="B698" s="52" t="inlineStr">
        <is>
          <t>완제품 본체</t>
        </is>
      </c>
      <c r="C698" s="52" t="inlineStr">
        <is>
          <t>DX3000</t>
        </is>
      </c>
      <c r="D698" s="79">
        <f>IF(INDIRECT("'"&amp;$O698&amp;"'!F"&amp;$N698)="O","원자재",IF(INDIRECT("'"&amp;$O698&amp;"'!G"&amp;$N698)="O","반제품",IF(INDIRECT("'"&amp;$O698&amp;"'!H"&amp;$N698)="O","완제품","")))</f>
        <v/>
      </c>
      <c r="E698" s="79">
        <f>IFERROR(IF(INDIRECT("'"&amp;$O698&amp;"'!I"&amp;$N698)=0,"",INDIRECT("'"&amp;$O698&amp;"'!I"&amp;$N698)),"")</f>
        <v/>
      </c>
      <c r="F698" s="52" t="inlineStr">
        <is>
          <t>60kV 2mA / 15cm (일본 동물용) (White 양손잡이)</t>
        </is>
      </c>
      <c r="G698" s="52" t="n"/>
      <c r="H698" s="79">
        <f>IF(AND($F698="",$G698=""),"",IF($F698="","창고전용",IF($G698&lt;&gt;"","매칭완료",IF($D698="반제품","반제품(창고없음)",IF($D698="완제품","완제품(창고없음)",IF($D698="원자재","⚠ 원자재_부서보관","미분류"))))))</f>
        <v/>
      </c>
      <c r="I698" s="79">
        <f>IFERROR(IF(INDIRECT("'"&amp;$O698&amp;"'!P"&amp;$N698)=0,"",INDIRECT("'"&amp;$O698&amp;"'!P"&amp;$N698)),"")</f>
        <v/>
      </c>
      <c r="J698" s="61" t="inlineStr">
        <is>
          <t>60kV 2mA / 15cm (일본 동물용) (White 양손잡이)</t>
        </is>
      </c>
      <c r="K698" s="61" t="inlineStr">
        <is>
          <t>DX3000 60KV 2mA / 15cm White [일본 동물용 / 양쪽 손잡이]</t>
        </is>
      </c>
      <c r="L698" s="83">
        <f>HYPERLINK("#'"&amp;$O698&amp;"'!A"&amp;$N698,"→ 조립완제품 R"&amp;$N698)</f>
        <v/>
      </c>
      <c r="M698" s="84" t="n"/>
      <c r="N698" s="80" t="n">
        <v>5</v>
      </c>
      <c r="O698" s="80" t="inlineStr">
        <is>
          <t>조립완제품_재고현황</t>
        </is>
      </c>
    </row>
    <row r="699" ht="30" customHeight="1">
      <c r="A699" s="59" t="inlineStr">
        <is>
          <t>완제품</t>
        </is>
      </c>
      <c r="B699" s="52" t="inlineStr">
        <is>
          <t>완제품 본체</t>
        </is>
      </c>
      <c r="C699" s="52" t="inlineStr">
        <is>
          <t>DX3000</t>
        </is>
      </c>
      <c r="D699" s="79">
        <f>IF(INDIRECT("'"&amp;$O699&amp;"'!F"&amp;$N699)="O","원자재",IF(INDIRECT("'"&amp;$O699&amp;"'!G"&amp;$N699)="O","반제품",IF(INDIRECT("'"&amp;$O699&amp;"'!H"&amp;$N699)="O","완제품","")))</f>
        <v/>
      </c>
      <c r="E699" s="79">
        <f>IFERROR(IF(INDIRECT("'"&amp;$O699&amp;"'!I"&amp;$N699)=0,"",INDIRECT("'"&amp;$O699&amp;"'!I"&amp;$N699)),"")</f>
        <v/>
      </c>
      <c r="F699" s="52" t="inlineStr">
        <is>
          <t>60kV 2mA / 20cm 기본 (White)</t>
        </is>
      </c>
      <c r="G699" s="52" t="n"/>
      <c r="H699" s="79">
        <f>IF(AND($F699="",$G699=""),"",IF($F699="","창고전용",IF($G699&lt;&gt;"","매칭완료",IF($D699="반제품","반제품(창고없음)",IF($D699="완제품","완제품(창고없음)",IF($D699="원자재","⚠ 원자재_부서보관","미분류"))))))</f>
        <v/>
      </c>
      <c r="I699" s="79">
        <f>IFERROR(IF(INDIRECT("'"&amp;$O699&amp;"'!P"&amp;$N699)=0,"",INDIRECT("'"&amp;$O699&amp;"'!P"&amp;$N699)),"")</f>
        <v/>
      </c>
      <c r="J699" s="61" t="inlineStr">
        <is>
          <t>60kV 2mA / 20cm 기본 (White)</t>
        </is>
      </c>
      <c r="K699" s="61" t="inlineStr">
        <is>
          <t>DX3000 60KV 2mA / 20cm White [기본]</t>
        </is>
      </c>
      <c r="L699" s="83">
        <f>HYPERLINK("#'"&amp;$O699&amp;"'!A"&amp;$N699,"→ 조립완제품 R"&amp;$N699)</f>
        <v/>
      </c>
      <c r="M699" s="84" t="n"/>
      <c r="N699" s="80" t="n">
        <v>6</v>
      </c>
      <c r="O699" s="80" t="inlineStr">
        <is>
          <t>조립완제품_재고현황</t>
        </is>
      </c>
    </row>
    <row r="700" ht="30" customHeight="1">
      <c r="A700" s="59" t="inlineStr">
        <is>
          <t>완제품</t>
        </is>
      </c>
      <c r="B700" s="52" t="inlineStr">
        <is>
          <t>완제품 본체</t>
        </is>
      </c>
      <c r="C700" s="52" t="inlineStr">
        <is>
          <t>DX3000</t>
        </is>
      </c>
      <c r="D700" s="79">
        <f>IF(INDIRECT("'"&amp;$O700&amp;"'!F"&amp;$N700)="O","원자재",IF(INDIRECT("'"&amp;$O700&amp;"'!G"&amp;$N700)="O","반제품",IF(INDIRECT("'"&amp;$O700&amp;"'!H"&amp;$N700)="O","완제품","")))</f>
        <v/>
      </c>
      <c r="E700" s="79">
        <f>IFERROR(IF(INDIRECT("'"&amp;$O700&amp;"'!I"&amp;$N700)=0,"",INDIRECT("'"&amp;$O700&amp;"'!I"&amp;$N700)),"")</f>
        <v/>
      </c>
      <c r="F700" s="52" t="inlineStr">
        <is>
          <t>60kV 2mA / 10cm (인도 네시아) (White 양손잡이)</t>
        </is>
      </c>
      <c r="G700" s="52" t="n"/>
      <c r="H700" s="79">
        <f>IF(AND($F700="",$G700=""),"",IF($F700="","창고전용",IF($G700&lt;&gt;"","매칭완료",IF($D700="반제품","반제품(창고없음)",IF($D700="완제품","완제품(창고없음)",IF($D700="원자재","⚠ 원자재_부서보관","미분류"))))))</f>
        <v/>
      </c>
      <c r="I700" s="79">
        <f>IFERROR(IF(INDIRECT("'"&amp;$O700&amp;"'!P"&amp;$N700)=0,"",INDIRECT("'"&amp;$O700&amp;"'!P"&amp;$N700)),"")</f>
        <v/>
      </c>
      <c r="J700" s="61" t="inlineStr">
        <is>
          <t>60kV 2mA / 10cm (인도 네시아) (White 양손잡이)</t>
        </is>
      </c>
      <c r="K700" s="61" t="inlineStr">
        <is>
          <t>DX3000 60KV 2mA / 10cm White [인도네시아 / 양쪽 손잡이]</t>
        </is>
      </c>
      <c r="L700" s="83">
        <f>HYPERLINK("#'"&amp;$O700&amp;"'!A"&amp;$N700,"→ 조립완제품 R"&amp;$N700)</f>
        <v/>
      </c>
      <c r="M700" s="84" t="n"/>
      <c r="N700" s="80" t="n">
        <v>7</v>
      </c>
      <c r="O700" s="80" t="inlineStr">
        <is>
          <t>조립완제품_재고현황</t>
        </is>
      </c>
    </row>
    <row r="701" ht="30" customHeight="1">
      <c r="A701" s="59" t="inlineStr">
        <is>
          <t>완제품</t>
        </is>
      </c>
      <c r="B701" s="52" t="inlineStr">
        <is>
          <t>완제품 본체</t>
        </is>
      </c>
      <c r="C701" s="52" t="inlineStr">
        <is>
          <t>DX3000</t>
        </is>
      </c>
      <c r="D701" s="79">
        <f>IF(INDIRECT("'"&amp;$O701&amp;"'!F"&amp;$N701)="O","원자재",IF(INDIRECT("'"&amp;$O701&amp;"'!G"&amp;$N701)="O","반제품",IF(INDIRECT("'"&amp;$O701&amp;"'!H"&amp;$N701)="O","완제품","")))</f>
        <v/>
      </c>
      <c r="E701" s="79">
        <f>IFERROR(IF(INDIRECT("'"&amp;$O701&amp;"'!I"&amp;$N701)=0,"",INDIRECT("'"&amp;$O701&amp;"'!I"&amp;$N701)),"")</f>
        <v/>
      </c>
      <c r="F701" s="52" t="inlineStr">
        <is>
          <t>60kV 2mA / 10cm (이미지 웍스) (Black 양손잡이)</t>
        </is>
      </c>
      <c r="G701" s="52" t="n"/>
      <c r="H701" s="79">
        <f>IF(AND($F701="",$G701=""),"",IF($F701="","창고전용",IF($G701&lt;&gt;"","매칭완료",IF($D701="반제품","반제품(창고없음)",IF($D701="완제품","완제품(창고없음)",IF($D701="원자재","⚠ 원자재_부서보관","미분류"))))))</f>
        <v/>
      </c>
      <c r="I701" s="79">
        <f>IFERROR(IF(INDIRECT("'"&amp;$O701&amp;"'!P"&amp;$N701)=0,"",INDIRECT("'"&amp;$O701&amp;"'!P"&amp;$N701)),"")</f>
        <v/>
      </c>
      <c r="J701" s="61" t="inlineStr">
        <is>
          <t>60kV 2mA / 10cm (이미지 웍스) (Black 양손잡이)</t>
        </is>
      </c>
      <c r="K701" s="61" t="inlineStr">
        <is>
          <t>DX3000 60KV 2mA / 10cm Black [이미지웍스 / 양쪽 손잡이]</t>
        </is>
      </c>
      <c r="L701" s="83">
        <f>HYPERLINK("#'"&amp;$O701&amp;"'!A"&amp;$N701,"→ 조립완제품 R"&amp;$N701)</f>
        <v/>
      </c>
      <c r="M701" s="84" t="n"/>
      <c r="N701" s="80" t="n">
        <v>8</v>
      </c>
      <c r="O701" s="80" t="inlineStr">
        <is>
          <t>조립완제품_재고현황</t>
        </is>
      </c>
    </row>
    <row r="702" ht="30" customHeight="1">
      <c r="A702" s="59" t="inlineStr">
        <is>
          <t>완제품</t>
        </is>
      </c>
      <c r="B702" s="52" t="inlineStr">
        <is>
          <t>완제품 본체</t>
        </is>
      </c>
      <c r="C702" s="52" t="inlineStr">
        <is>
          <t>DX3000</t>
        </is>
      </c>
      <c r="D702" s="79">
        <f>IF(INDIRECT("'"&amp;$O702&amp;"'!F"&amp;$N702)="O","원자재",IF(INDIRECT("'"&amp;$O702&amp;"'!G"&amp;$N702)="O","반제품",IF(INDIRECT("'"&amp;$O702&amp;"'!H"&amp;$N702)="O","완제품","")))</f>
        <v/>
      </c>
      <c r="E702" s="79">
        <f>IFERROR(IF(INDIRECT("'"&amp;$O702&amp;"'!I"&amp;$N702)=0,"",INDIRECT("'"&amp;$O702&amp;"'!I"&amp;$N702)),"")</f>
        <v/>
      </c>
      <c r="F702" s="52" t="inlineStr">
        <is>
          <t>60kV 2mA / 10cm (우루과이 &amp; 푸에르토 리코) (Black)</t>
        </is>
      </c>
      <c r="G702" s="52" t="n"/>
      <c r="H702" s="79">
        <f>IF(AND($F702="",$G702=""),"",IF($F702="","창고전용",IF($G702&lt;&gt;"","매칭완료",IF($D702="반제품","반제품(창고없음)",IF($D702="완제품","완제품(창고없음)",IF($D702="원자재","⚠ 원자재_부서보관","미분류"))))))</f>
        <v/>
      </c>
      <c r="I702" s="79">
        <f>IFERROR(IF(INDIRECT("'"&amp;$O702&amp;"'!P"&amp;$N702)=0,"",INDIRECT("'"&amp;$O702&amp;"'!P"&amp;$N702)),"")</f>
        <v/>
      </c>
      <c r="J702" s="61" t="inlineStr">
        <is>
          <t>60kV 2mA / 10cm (우루과이 &amp; 푸에르토 리코) (Black)</t>
        </is>
      </c>
      <c r="K702" s="61" t="inlineStr">
        <is>
          <t>DX3000 60KV 2mA / 10cm Black [우루과이 / 기본]</t>
        </is>
      </c>
      <c r="L702" s="83">
        <f>HYPERLINK("#'"&amp;$O702&amp;"'!A"&amp;$N702,"→ 조립완제품 R"&amp;$N702)</f>
        <v/>
      </c>
      <c r="M702" s="84" t="n"/>
      <c r="N702" s="80" t="n">
        <v>9</v>
      </c>
      <c r="O702" s="80" t="inlineStr">
        <is>
          <t>조립완제품_재고현황</t>
        </is>
      </c>
    </row>
    <row r="703" ht="30" customHeight="1">
      <c r="A703" s="59" t="inlineStr">
        <is>
          <t>완제품</t>
        </is>
      </c>
      <c r="B703" s="52" t="inlineStr">
        <is>
          <t>완제품 본체</t>
        </is>
      </c>
      <c r="C703" s="52" t="inlineStr">
        <is>
          <t>DX3000</t>
        </is>
      </c>
      <c r="D703" s="79">
        <f>IF(INDIRECT("'"&amp;$O703&amp;"'!F"&amp;$N703)="O","원자재",IF(INDIRECT("'"&amp;$O703&amp;"'!G"&amp;$N703)="O","반제품",IF(INDIRECT("'"&amp;$O703&amp;"'!H"&amp;$N703)="O","완제품","")))</f>
        <v/>
      </c>
      <c r="E703" s="79">
        <f>IFERROR(IF(INDIRECT("'"&amp;$O703&amp;"'!I"&amp;$N703)=0,"",INDIRECT("'"&amp;$O703&amp;"'!I"&amp;$N703)),"")</f>
        <v/>
      </c>
      <c r="F703" s="52" t="inlineStr">
        <is>
          <t>60kV 2mA / 20cm (우루과이 용) (Black)</t>
        </is>
      </c>
      <c r="G703" s="52" t="n"/>
      <c r="H703" s="79">
        <f>IF(AND($F703="",$G703=""),"",IF($F703="","창고전용",IF($G703&lt;&gt;"","매칭완료",IF($D703="반제품","반제품(창고없음)",IF($D703="완제품","완제품(창고없음)",IF($D703="원자재","⚠ 원자재_부서보관","미분류"))))))</f>
        <v/>
      </c>
      <c r="I703" s="79">
        <f>IFERROR(IF(INDIRECT("'"&amp;$O703&amp;"'!P"&amp;$N703)=0,"",INDIRECT("'"&amp;$O703&amp;"'!P"&amp;$N703)),"")</f>
        <v/>
      </c>
      <c r="J703" s="61" t="inlineStr">
        <is>
          <t>60kV 2mA / 20cm (우루과이 용) (Black)</t>
        </is>
      </c>
      <c r="K703" s="61" t="inlineStr">
        <is>
          <t>DX3000 60KV 2mA / 20cm Black [우루과이 / 기본]</t>
        </is>
      </c>
      <c r="L703" s="83">
        <f>HYPERLINK("#'"&amp;$O703&amp;"'!A"&amp;$N703,"→ 조립완제품 R"&amp;$N703)</f>
        <v/>
      </c>
      <c r="M703" s="84" t="n"/>
      <c r="N703" s="80" t="n">
        <v>10</v>
      </c>
      <c r="O703" s="80" t="inlineStr">
        <is>
          <t>조립완제품_재고현황</t>
        </is>
      </c>
    </row>
    <row r="704" ht="30" customHeight="1">
      <c r="A704" s="59" t="inlineStr">
        <is>
          <t>완제품</t>
        </is>
      </c>
      <c r="B704" s="52" t="inlineStr">
        <is>
          <t>완제품 본체</t>
        </is>
      </c>
      <c r="C704" s="52" t="inlineStr">
        <is>
          <t>DX3000</t>
        </is>
      </c>
      <c r="D704" s="79">
        <f>IF(INDIRECT("'"&amp;$O704&amp;"'!F"&amp;$N704)="O","원자재",IF(INDIRECT("'"&amp;$O704&amp;"'!G"&amp;$N704)="O","반제품",IF(INDIRECT("'"&amp;$O704&amp;"'!H"&amp;$N704)="O","완제품","")))</f>
        <v/>
      </c>
      <c r="E704" s="79">
        <f>IFERROR(IF(INDIRECT("'"&amp;$O704&amp;"'!I"&amp;$N704)=0,"",INDIRECT("'"&amp;$O704&amp;"'!I"&amp;$N704)),"")</f>
        <v/>
      </c>
      <c r="F704" s="52" t="inlineStr">
        <is>
          <t>60kV 2mA / 20cm (사파리 덴탈 용) (White)</t>
        </is>
      </c>
      <c r="G704" s="52" t="n"/>
      <c r="H704" s="79">
        <f>IF(AND($F704="",$G704=""),"",IF($F704="","창고전용",IF($G704&lt;&gt;"","매칭완료",IF($D704="반제품","반제품(창고없음)",IF($D704="완제품","완제품(창고없음)",IF($D704="원자재","⚠ 원자재_부서보관","미분류"))))))</f>
        <v/>
      </c>
      <c r="I704" s="79">
        <f>IFERROR(IF(INDIRECT("'"&amp;$O704&amp;"'!P"&amp;$N704)=0,"",INDIRECT("'"&amp;$O704&amp;"'!P"&amp;$N704)),"")</f>
        <v/>
      </c>
      <c r="J704" s="61" t="inlineStr">
        <is>
          <t>60kV 2mA / 20cm (사파리 덴탈 용) (White)</t>
        </is>
      </c>
      <c r="K704" s="61" t="inlineStr">
        <is>
          <t>DX3000 60KV 2mA / 20cm White [사파리 덴탈 / 기본]</t>
        </is>
      </c>
      <c r="L704" s="83">
        <f>HYPERLINK("#'"&amp;$O704&amp;"'!A"&amp;$N704,"→ 조립완제품 R"&amp;$N704)</f>
        <v/>
      </c>
      <c r="M704" s="84" t="n"/>
      <c r="N704" s="80" t="n">
        <v>11</v>
      </c>
      <c r="O704" s="80" t="inlineStr">
        <is>
          <t>조립완제품_재고현황</t>
        </is>
      </c>
    </row>
    <row r="705" ht="30" customHeight="1">
      <c r="A705" s="59" t="inlineStr">
        <is>
          <t>완제품</t>
        </is>
      </c>
      <c r="B705" s="52" t="inlineStr">
        <is>
          <t>완제품 본체</t>
        </is>
      </c>
      <c r="C705" s="52" t="inlineStr">
        <is>
          <t>DX3000</t>
        </is>
      </c>
      <c r="D705" s="79">
        <f>IF(INDIRECT("'"&amp;$O705&amp;"'!F"&amp;$N705)="O","원자재",IF(INDIRECT("'"&amp;$O705&amp;"'!G"&amp;$N705)="O","반제품",IF(INDIRECT("'"&amp;$O705&amp;"'!H"&amp;$N705)="O","완제품","")))</f>
        <v/>
      </c>
      <c r="E705" s="79">
        <f>IFERROR(IF(INDIRECT("'"&amp;$O705&amp;"'!I"&amp;$N705)=0,"",INDIRECT("'"&amp;$O705&amp;"'!I"&amp;$N705)),"")</f>
        <v/>
      </c>
      <c r="F705" s="52" t="inlineStr">
        <is>
          <t>65kV 1.7mA / 20cm 기본 (지사 용) (White 양손잡이)</t>
        </is>
      </c>
      <c r="G705" s="52" t="n"/>
      <c r="H705" s="79">
        <f>IF(AND($F705="",$G705=""),"",IF($F705="","창고전용",IF($G705&lt;&gt;"","매칭완료",IF($D705="반제품","반제품(창고없음)",IF($D705="완제품","완제품(창고없음)",IF($D705="원자재","⚠ 원자재_부서보관","미분류"))))))</f>
        <v/>
      </c>
      <c r="I705" s="79">
        <f>IFERROR(IF(INDIRECT("'"&amp;$O705&amp;"'!P"&amp;$N705)=0,"",INDIRECT("'"&amp;$O705&amp;"'!P"&amp;$N705)),"")</f>
        <v/>
      </c>
      <c r="J705" s="61" t="inlineStr">
        <is>
          <t>65kV 1.7mA / 20cm 기본 (지사 용) (White 양손잡이)</t>
        </is>
      </c>
      <c r="K705" s="61" t="inlineStr">
        <is>
          <t>DX3000 65KV 1.7mA / 20cm White [지사 / 양쪽손잡이]</t>
        </is>
      </c>
      <c r="L705" s="83">
        <f>HYPERLINK("#'"&amp;$O705&amp;"'!A"&amp;$N705,"→ 조립완제품 R"&amp;$N705)</f>
        <v/>
      </c>
      <c r="M705" s="84" t="n"/>
      <c r="N705" s="80" t="n">
        <v>12</v>
      </c>
      <c r="O705" s="80" t="inlineStr">
        <is>
          <t>조립완제품_재고현황</t>
        </is>
      </c>
    </row>
    <row r="706" ht="30" customHeight="1">
      <c r="A706" s="59" t="inlineStr">
        <is>
          <t>완제품</t>
        </is>
      </c>
      <c r="B706" s="52" t="inlineStr">
        <is>
          <t>완제품 본체</t>
        </is>
      </c>
      <c r="C706" s="52" t="inlineStr">
        <is>
          <t>DX3000</t>
        </is>
      </c>
      <c r="D706" s="79">
        <f>IF(INDIRECT("'"&amp;$O706&amp;"'!F"&amp;$N706)="O","원자재",IF(INDIRECT("'"&amp;$O706&amp;"'!G"&amp;$N706)="O","반제품",IF(INDIRECT("'"&amp;$O706&amp;"'!H"&amp;$N706)="O","완제품","")))</f>
        <v/>
      </c>
      <c r="E706" s="79">
        <f>IFERROR(IF(INDIRECT("'"&amp;$O706&amp;"'!I"&amp;$N706)=0,"",INDIRECT("'"&amp;$O706&amp;"'!I"&amp;$N706)),"")</f>
        <v/>
      </c>
      <c r="F706" s="52" t="inlineStr">
        <is>
          <t>65kV 1.7mA / 20cm (MaxRay) (White 양손잡이)</t>
        </is>
      </c>
      <c r="G706" s="52" t="n"/>
      <c r="H706" s="79">
        <f>IF(AND($F706="",$G706=""),"",IF($F706="","창고전용",IF($G706&lt;&gt;"","매칭완료",IF($D706="반제품","반제품(창고없음)",IF($D706="완제품","완제품(창고없음)",IF($D706="원자재","⚠ 원자재_부서보관","미분류"))))))</f>
        <v/>
      </c>
      <c r="I706" s="79">
        <f>IFERROR(IF(INDIRECT("'"&amp;$O706&amp;"'!P"&amp;$N706)=0,"",INDIRECT("'"&amp;$O706&amp;"'!P"&amp;$N706)),"")</f>
        <v/>
      </c>
      <c r="J706" s="61" t="inlineStr">
        <is>
          <t>65kV 1.7mA / 20cm (MaxRay) (White 양손잡이)</t>
        </is>
      </c>
      <c r="K706" s="61" t="inlineStr">
        <is>
          <t>DX3000 65KV 1.7mA / 20cm White [Vector / 양쪽손잡이]</t>
        </is>
      </c>
      <c r="L706" s="83">
        <f>HYPERLINK("#'"&amp;$O706&amp;"'!A"&amp;$N706,"→ 조립완제품 R"&amp;$N706)</f>
        <v/>
      </c>
      <c r="M706" s="84" t="n"/>
      <c r="N706" s="80" t="n">
        <v>13</v>
      </c>
      <c r="O706" s="80" t="inlineStr">
        <is>
          <t>조립완제품_재고현황</t>
        </is>
      </c>
    </row>
    <row r="707" ht="30" customHeight="1">
      <c r="A707" s="59" t="inlineStr">
        <is>
          <t>완제품</t>
        </is>
      </c>
      <c r="B707" s="52" t="inlineStr">
        <is>
          <t>완제품 본체</t>
        </is>
      </c>
      <c r="C707" s="52" t="inlineStr">
        <is>
          <t>DX3000</t>
        </is>
      </c>
      <c r="D707" s="79">
        <f>IF(INDIRECT("'"&amp;$O707&amp;"'!F"&amp;$N707)="O","원자재",IF(INDIRECT("'"&amp;$O707&amp;"'!G"&amp;$N707)="O","반제품",IF(INDIRECT("'"&amp;$O707&amp;"'!H"&amp;$N707)="O","완제품","")))</f>
        <v/>
      </c>
      <c r="E707" s="79">
        <f>IFERROR(IF(INDIRECT("'"&amp;$O707&amp;"'!I"&amp;$N707)=0,"",INDIRECT("'"&amp;$O707&amp;"'!I"&amp;$N707)),"")</f>
        <v/>
      </c>
      <c r="F707" s="52" t="inlineStr">
        <is>
          <t>65kV 1.7mA (Black 양손잡이)</t>
        </is>
      </c>
      <c r="G707" s="52" t="n"/>
      <c r="H707" s="79">
        <f>IF(AND($F707="",$G707=""),"",IF($F707="","창고전용",IF($G707&lt;&gt;"","매칭완료",IF($D707="반제품","반제품(창고없음)",IF($D707="완제품","완제품(창고없음)",IF($D707="원자재","⚠ 원자재_부서보관","미분류"))))))</f>
        <v/>
      </c>
      <c r="I707" s="79">
        <f>IFERROR(IF(INDIRECT("'"&amp;$O707&amp;"'!P"&amp;$N707)=0,"",INDIRECT("'"&amp;$O707&amp;"'!P"&amp;$N707)),"")</f>
        <v/>
      </c>
      <c r="J707" s="61" t="inlineStr">
        <is>
          <t>65kV 1.7mA (Black 양손잡이)</t>
        </is>
      </c>
      <c r="K707" s="61" t="inlineStr">
        <is>
          <t>DX3000 65KV 1.7mA / 20cm Black [Vector / 양쪽손잡이]</t>
        </is>
      </c>
      <c r="L707" s="83">
        <f>HYPERLINK("#'"&amp;$O707&amp;"'!A"&amp;$N707,"→ 조립완제품 R"&amp;$N707)</f>
        <v/>
      </c>
      <c r="M707" s="84" t="n"/>
      <c r="N707" s="80" t="n">
        <v>14</v>
      </c>
      <c r="O707" s="80" t="inlineStr">
        <is>
          <t>조립완제품_재고현황</t>
        </is>
      </c>
    </row>
    <row r="708" ht="30" customHeight="1">
      <c r="A708" s="59" t="inlineStr">
        <is>
          <t>완제품</t>
        </is>
      </c>
      <c r="B708" s="52" t="inlineStr">
        <is>
          <t>완제품 본체</t>
        </is>
      </c>
      <c r="C708" s="52" t="inlineStr">
        <is>
          <t>DX3000</t>
        </is>
      </c>
      <c r="D708" s="79">
        <f>IF(INDIRECT("'"&amp;$O708&amp;"'!F"&amp;$N708)="O","원자재",IF(INDIRECT("'"&amp;$O708&amp;"'!G"&amp;$N708)="O","반제품",IF(INDIRECT("'"&amp;$O708&amp;"'!H"&amp;$N708)="O","완제품","")))</f>
        <v/>
      </c>
      <c r="E708" s="79">
        <f>IFERROR(IF(INDIRECT("'"&amp;$O708&amp;"'!I"&amp;$N708)=0,"",INDIRECT("'"&amp;$O708&amp;"'!I"&amp;$N708)),"")</f>
        <v/>
      </c>
      <c r="F708" s="52" t="inlineStr">
        <is>
          <t>65kV 1.7mA / 10cm _USA(medicatech 동물용) (White,Black 양손잡이)</t>
        </is>
      </c>
      <c r="G708" s="52" t="n"/>
      <c r="H708" s="79">
        <f>IF(AND($F708="",$G708=""),"",IF($F708="","창고전용",IF($G708&lt;&gt;"","매칭완료",IF($D708="반제품","반제품(창고없음)",IF($D708="완제품","완제품(창고없음)",IF($D708="원자재","⚠ 원자재_부서보관","미분류"))))))</f>
        <v/>
      </c>
      <c r="I708" s="79">
        <f>IFERROR(IF(INDIRECT("'"&amp;$O708&amp;"'!P"&amp;$N708)=0,"",INDIRECT("'"&amp;$O708&amp;"'!P"&amp;$N708)),"")</f>
        <v/>
      </c>
      <c r="J708" s="61" t="inlineStr">
        <is>
          <t>65kV 1.7mA / 10cm _USA(medicatech 동물용) (White,Black 양손잡이)</t>
        </is>
      </c>
      <c r="K708" s="61" t="inlineStr">
        <is>
          <t>DX3000 65KV 1.7mA / 10cm White [Medicatech 동물용 / 양쪽손잡이]</t>
        </is>
      </c>
      <c r="L708" s="83">
        <f>HYPERLINK("#'"&amp;$O708&amp;"'!A"&amp;$N708,"→ 조립완제품 R"&amp;$N708)</f>
        <v/>
      </c>
      <c r="M708" s="84" t="n"/>
      <c r="N708" s="80" t="n">
        <v>15</v>
      </c>
      <c r="O708" s="80" t="inlineStr">
        <is>
          <t>조립완제품_재고현황</t>
        </is>
      </c>
    </row>
    <row r="709" ht="30" customHeight="1">
      <c r="A709" s="59" t="inlineStr">
        <is>
          <t>완제품</t>
        </is>
      </c>
      <c r="B709" s="52" t="inlineStr">
        <is>
          <t>완제품 본체</t>
        </is>
      </c>
      <c r="C709" s="52" t="inlineStr">
        <is>
          <t>DX3000</t>
        </is>
      </c>
      <c r="D709" s="79">
        <f>IF(INDIRECT("'"&amp;$O709&amp;"'!F"&amp;$N709)="O","원자재",IF(INDIRECT("'"&amp;$O709&amp;"'!G"&amp;$N709)="O","반제품",IF(INDIRECT("'"&amp;$O709&amp;"'!H"&amp;$N709)="O","완제품","")))</f>
        <v/>
      </c>
      <c r="E709" s="79">
        <f>IFERROR(IF(INDIRECT("'"&amp;$O709&amp;"'!I"&amp;$N709)=0,"",INDIRECT("'"&amp;$O709&amp;"'!I"&amp;$N709)),"")</f>
        <v/>
      </c>
      <c r="F709" s="52" t="inlineStr">
        <is>
          <t>65kV 1.7mA / 10cm _CBI용 (동물용) (Black 양손잡이)</t>
        </is>
      </c>
      <c r="G709" s="52" t="n"/>
      <c r="H709" s="79">
        <f>IF(AND($F709="",$G709=""),"",IF($F709="","창고전용",IF($G709&lt;&gt;"","매칭완료",IF($D709="반제품","반제품(창고없음)",IF($D709="완제품","완제품(창고없음)",IF($D709="원자재","⚠ 원자재_부서보관","미분류"))))))</f>
        <v/>
      </c>
      <c r="I709" s="79">
        <f>IFERROR(IF(INDIRECT("'"&amp;$O709&amp;"'!P"&amp;$N709)=0,"",INDIRECT("'"&amp;$O709&amp;"'!P"&amp;$N709)),"")</f>
        <v/>
      </c>
      <c r="J709" s="61" t="inlineStr">
        <is>
          <t>65kV 1.7mA / 10cm _CBI용 (동물용) (Black 양손잡이)</t>
        </is>
      </c>
      <c r="K709" s="61" t="inlineStr">
        <is>
          <t>DX3000 65KV 1.7mA / 10cm Black [CBi 동물용 / 양쪽손잡이]</t>
        </is>
      </c>
      <c r="L709" s="83">
        <f>HYPERLINK("#'"&amp;$O709&amp;"'!A"&amp;$N709,"→ 조립완제품 R"&amp;$N709)</f>
        <v/>
      </c>
      <c r="M709" s="84" t="n"/>
      <c r="N709" s="80" t="n">
        <v>16</v>
      </c>
      <c r="O709" s="80" t="inlineStr">
        <is>
          <t>조립완제품_재고현황</t>
        </is>
      </c>
    </row>
    <row r="710" ht="30" customHeight="1">
      <c r="A710" s="59" t="inlineStr">
        <is>
          <t>완제품</t>
        </is>
      </c>
      <c r="B710" s="52" t="inlineStr">
        <is>
          <t>완제품 본체</t>
        </is>
      </c>
      <c r="C710" s="52" t="inlineStr">
        <is>
          <t>DX3000M</t>
        </is>
      </c>
      <c r="D710" s="79">
        <f>IF(INDIRECT("'"&amp;$O710&amp;"'!F"&amp;$N710)="O","원자재",IF(INDIRECT("'"&amp;$O710&amp;"'!G"&amp;$N710)="O","반제품",IF(INDIRECT("'"&amp;$O710&amp;"'!H"&amp;$N710)="O","완제품","")))</f>
        <v/>
      </c>
      <c r="E710" s="79">
        <f>IFERROR(IF(INDIRECT("'"&amp;$O710&amp;"'!I"&amp;$N710)=0,"",INDIRECT("'"&amp;$O710&amp;"'!I"&amp;$N710)),"")</f>
        <v/>
      </c>
      <c r="F710" s="52" t="inlineStr">
        <is>
          <t>70KV 3mA TFT용 / 원형_컬리메이터 적용 _ 메디컬 용 (Black)</t>
        </is>
      </c>
      <c r="G710" s="52" t="n"/>
      <c r="H710" s="79">
        <f>IF(AND($F710="",$G710=""),"",IF($F710="","창고전용",IF($G710&lt;&gt;"","매칭완료",IF($D710="반제품","반제품(창고없음)",IF($D710="완제품","완제품(창고없음)",IF($D710="원자재","⚠ 원자재_부서보관","미분류"))))))</f>
        <v/>
      </c>
      <c r="I710" s="79">
        <f>IFERROR(IF(INDIRECT("'"&amp;$O710&amp;"'!P"&amp;$N710)=0,"",INDIRECT("'"&amp;$O710&amp;"'!P"&amp;$N710)),"")</f>
        <v/>
      </c>
      <c r="J710" s="61" t="inlineStr">
        <is>
          <t>70KV 3mA TFT용 / 원형_컬리메이터 적용 _ 메디컬 용 (Black)</t>
        </is>
      </c>
      <c r="K710" s="61" t="inlineStr">
        <is>
          <t>DX3000M 70KV 3mA / 15cm Black [원형 컬리메이터]</t>
        </is>
      </c>
      <c r="L710" s="83">
        <f>HYPERLINK("#'"&amp;$O710&amp;"'!A"&amp;$N710,"→ 조립완제품 R"&amp;$N710)</f>
        <v/>
      </c>
      <c r="M710" s="84" t="n"/>
      <c r="N710" s="80" t="n">
        <v>17</v>
      </c>
      <c r="O710" s="80" t="inlineStr">
        <is>
          <t>조립완제품_재고현황</t>
        </is>
      </c>
    </row>
    <row r="711" ht="30" customHeight="1">
      <c r="A711" s="59" t="inlineStr">
        <is>
          <t>완제품</t>
        </is>
      </c>
      <c r="B711" s="52" t="inlineStr">
        <is>
          <t>완제품 본체</t>
        </is>
      </c>
      <c r="C711" s="52" t="inlineStr">
        <is>
          <t>DX3000M</t>
        </is>
      </c>
      <c r="D711" s="79">
        <f>IF(INDIRECT("'"&amp;$O711&amp;"'!F"&amp;$N711)="O","원자재",IF(INDIRECT("'"&amp;$O711&amp;"'!G"&amp;$N711)="O","반제품",IF(INDIRECT("'"&amp;$O711&amp;"'!H"&amp;$N711)="O","완제품","")))</f>
        <v/>
      </c>
      <c r="E711" s="79">
        <f>IFERROR(IF(INDIRECT("'"&amp;$O711&amp;"'!I"&amp;$N711)=0,"",INDIRECT("'"&amp;$O711&amp;"'!I"&amp;$N711)),"")</f>
        <v/>
      </c>
      <c r="F711" s="52" t="inlineStr">
        <is>
          <t>70KV 3mA TFT용 / 사각_컬리메이터 적용 _ 메디컬 용 (Black)</t>
        </is>
      </c>
      <c r="G711" s="52" t="n"/>
      <c r="H711" s="79">
        <f>IF(AND($F711="",$G711=""),"",IF($F711="","창고전용",IF($G711&lt;&gt;"","매칭완료",IF($D711="반제품","반제품(창고없음)",IF($D711="완제품","완제품(창고없음)",IF($D711="원자재","⚠ 원자재_부서보관","미분류"))))))</f>
        <v/>
      </c>
      <c r="I711" s="79">
        <f>IFERROR(IF(INDIRECT("'"&amp;$O711&amp;"'!P"&amp;$N711)=0,"",INDIRECT("'"&amp;$O711&amp;"'!P"&amp;$N711)),"")</f>
        <v/>
      </c>
      <c r="J711" s="61" t="inlineStr">
        <is>
          <t>70KV 3mA TFT용 / 사각_컬리메이터 적용 _ 메디컬 용 (Black)</t>
        </is>
      </c>
      <c r="K711" s="61" t="inlineStr">
        <is>
          <t>DX3000M 70KV 3mA / 15cm Black [사각 컬리메이터]</t>
        </is>
      </c>
      <c r="L711" s="83">
        <f>HYPERLINK("#'"&amp;$O711&amp;"'!A"&amp;$N711,"→ 조립완제품 R"&amp;$N711)</f>
        <v/>
      </c>
      <c r="M711" s="84" t="n"/>
      <c r="N711" s="80" t="n">
        <v>18</v>
      </c>
      <c r="O711" s="80" t="inlineStr">
        <is>
          <t>조립완제품_재고현황</t>
        </is>
      </c>
    </row>
    <row r="712" ht="30" customHeight="1">
      <c r="A712" s="59" t="inlineStr">
        <is>
          <t>완제품</t>
        </is>
      </c>
      <c r="B712" s="52" t="inlineStr">
        <is>
          <t>완제품 본체</t>
        </is>
      </c>
      <c r="C712" s="52" t="inlineStr">
        <is>
          <t>DX3000M</t>
        </is>
      </c>
      <c r="D712" s="79">
        <f>IF(INDIRECT("'"&amp;$O712&amp;"'!F"&amp;$N712)="O","원자재",IF(INDIRECT("'"&amp;$O712&amp;"'!G"&amp;$N712)="O","반제품",IF(INDIRECT("'"&amp;$O712&amp;"'!H"&amp;$N712)="O","완제품","")))</f>
        <v/>
      </c>
      <c r="E712" s="79">
        <f>IFERROR(IF(INDIRECT("'"&amp;$O712&amp;"'!I"&amp;$N712)=0,"",INDIRECT("'"&amp;$O712&amp;"'!I"&amp;$N712)),"")</f>
        <v/>
      </c>
      <c r="F712" s="52" t="inlineStr">
        <is>
          <t>60KV 2mA TFT용 / 컬리메이터 적용 _ 동물 용 (Black)</t>
        </is>
      </c>
      <c r="G712" s="52" t="n"/>
      <c r="H712" s="79">
        <f>IF(AND($F712="",$G712=""),"",IF($F712="","창고전용",IF($G712&lt;&gt;"","매칭완료",IF($D712="반제품","반제품(창고없음)",IF($D712="완제품","완제품(창고없음)",IF($D712="원자재","⚠ 원자재_부서보관","미분류"))))))</f>
        <v/>
      </c>
      <c r="I712" s="79">
        <f>IFERROR(IF(INDIRECT("'"&amp;$O712&amp;"'!P"&amp;$N712)=0,"",INDIRECT("'"&amp;$O712&amp;"'!P"&amp;$N712)),"")</f>
        <v/>
      </c>
      <c r="J712" s="61" t="inlineStr">
        <is>
          <t>60KV 2mA TFT용 / 컬리메이터 적용 _ 동물 용 (Black)</t>
        </is>
      </c>
      <c r="K712" s="61" t="inlineStr">
        <is>
          <t>DX3000M 60KV 2mA / 15cm Black [원형 컬리메이터]</t>
        </is>
      </c>
      <c r="L712" s="83">
        <f>HYPERLINK("#'"&amp;$O712&amp;"'!A"&amp;$N712,"→ 조립완제품 R"&amp;$N712)</f>
        <v/>
      </c>
      <c r="M712" s="84" t="n"/>
      <c r="N712" s="80" t="n">
        <v>19</v>
      </c>
      <c r="O712" s="80" t="inlineStr">
        <is>
          <t>조립완제품_재고현황</t>
        </is>
      </c>
    </row>
    <row r="713" ht="30" customHeight="1">
      <c r="A713" s="59" t="inlineStr">
        <is>
          <t>완제품</t>
        </is>
      </c>
      <c r="B713" s="52" t="inlineStr">
        <is>
          <t>완제품 본체</t>
        </is>
      </c>
      <c r="C713" s="52" t="inlineStr">
        <is>
          <t>DX3000M</t>
        </is>
      </c>
      <c r="D713" s="79">
        <f>IF(INDIRECT("'"&amp;$O713&amp;"'!F"&amp;$N713)="O","원자재",IF(INDIRECT("'"&amp;$O713&amp;"'!G"&amp;$N713)="O","반제품",IF(INDIRECT("'"&amp;$O713&amp;"'!H"&amp;$N713)="O","완제품","")))</f>
        <v/>
      </c>
      <c r="E713" s="79">
        <f>IFERROR(IF(INDIRECT("'"&amp;$O713&amp;"'!I"&amp;$N713)=0,"",INDIRECT("'"&amp;$O713&amp;"'!I"&amp;$N713)),"")</f>
        <v/>
      </c>
      <c r="F713" s="52" t="inlineStr">
        <is>
          <t>60KV 2mA TFT용 / 10cm 기본 (White)</t>
        </is>
      </c>
      <c r="G713" s="52" t="n"/>
      <c r="H713" s="79">
        <f>IF(AND($F713="",$G713=""),"",IF($F713="","창고전용",IF($G713&lt;&gt;"","매칭완료",IF($D713="반제품","반제품(창고없음)",IF($D713="완제품","완제품(창고없음)",IF($D713="원자재","⚠ 원자재_부서보관","미분류"))))))</f>
        <v/>
      </c>
      <c r="I713" s="79">
        <f>IFERROR(IF(INDIRECT("'"&amp;$O713&amp;"'!P"&amp;$N713)=0,"",INDIRECT("'"&amp;$O713&amp;"'!P"&amp;$N713)),"")</f>
        <v/>
      </c>
      <c r="J713" s="61" t="inlineStr">
        <is>
          <t>60KV 2mA TFT용 / 10cm 기본 (White)</t>
        </is>
      </c>
      <c r="K713" s="61" t="inlineStr">
        <is>
          <t>DX3000 60KV 2mA / 10cm White [TFT / 기본]</t>
        </is>
      </c>
      <c r="L713" s="83">
        <f>HYPERLINK("#'"&amp;$O713&amp;"'!A"&amp;$N713,"→ 조립완제품 R"&amp;$N713)</f>
        <v/>
      </c>
      <c r="M713" s="84" t="n"/>
      <c r="N713" s="80" t="n">
        <v>20</v>
      </c>
      <c r="O713" s="80" t="inlineStr">
        <is>
          <t>조립완제품_재고현황</t>
        </is>
      </c>
    </row>
    <row r="714" ht="30" customHeight="1">
      <c r="A714" s="59" t="inlineStr">
        <is>
          <t>완제품</t>
        </is>
      </c>
      <c r="B714" s="52" t="inlineStr">
        <is>
          <t>완제품 본체</t>
        </is>
      </c>
      <c r="C714" s="52" t="inlineStr">
        <is>
          <t>ADX4000W</t>
        </is>
      </c>
      <c r="D714" s="79">
        <f>IF(INDIRECT("'"&amp;$O714&amp;"'!F"&amp;$N714)="O","원자재",IF(INDIRECT("'"&amp;$O714&amp;"'!G"&amp;$N714)="O","반제품",IF(INDIRECT("'"&amp;$O714&amp;"'!H"&amp;$N714)="O","완제품","")))</f>
        <v/>
      </c>
      <c r="E714" s="79">
        <f>IFERROR(IF(INDIRECT("'"&amp;$O714&amp;"'!I"&amp;$N714)=0,"",INDIRECT("'"&amp;$O714&amp;"'!I"&amp;$N714)),"")</f>
        <v/>
      </c>
      <c r="F714" s="52" t="inlineStr">
        <is>
          <t>60kV 2mA / 기본 (White)</t>
        </is>
      </c>
      <c r="G714" s="52" t="n"/>
      <c r="H714" s="79">
        <f>IF(AND($F714="",$G714=""),"",IF($F714="","창고전용",IF($G714&lt;&gt;"","매칭완료",IF($D714="반제품","반제품(창고없음)",IF($D714="완제품","완제품(창고없음)",IF($D714="원자재","⚠ 원자재_부서보관","미분류"))))))</f>
        <v/>
      </c>
      <c r="I714" s="79">
        <f>IFERROR(IF(INDIRECT("'"&amp;$O714&amp;"'!P"&amp;$N714)=0,"",INDIRECT("'"&amp;$O714&amp;"'!P"&amp;$N714)),"")</f>
        <v/>
      </c>
      <c r="J714" s="61" t="inlineStr">
        <is>
          <t>60kV 2mA / 기본 (White)</t>
        </is>
      </c>
      <c r="K714" s="61" t="inlineStr">
        <is>
          <t>ADX4000W 60KV 2mA / 10cm White [기본]</t>
        </is>
      </c>
      <c r="L714" s="83">
        <f>HYPERLINK("#'"&amp;$O714&amp;"'!A"&amp;$N714,"→ 조립완제품 R"&amp;$N714)</f>
        <v/>
      </c>
      <c r="M714" s="84" t="n"/>
      <c r="N714" s="80" t="n">
        <v>21</v>
      </c>
      <c r="O714" s="80" t="inlineStr">
        <is>
          <t>조립완제품_재고현황</t>
        </is>
      </c>
    </row>
    <row r="715" ht="30" customHeight="1">
      <c r="A715" s="59" t="inlineStr">
        <is>
          <t>완제품</t>
        </is>
      </c>
      <c r="B715" s="52" t="inlineStr">
        <is>
          <t>완제품 본체</t>
        </is>
      </c>
      <c r="C715" s="52" t="inlineStr">
        <is>
          <t>ADX4000W</t>
        </is>
      </c>
      <c r="D715" s="79">
        <f>IF(INDIRECT("'"&amp;$O715&amp;"'!F"&amp;$N715)="O","원자재",IF(INDIRECT("'"&amp;$O715&amp;"'!G"&amp;$N715)="O","반제품",IF(INDIRECT("'"&amp;$O715&amp;"'!H"&amp;$N715)="O","완제품","")))</f>
        <v/>
      </c>
      <c r="E715" s="79">
        <f>IFERROR(IF(INDIRECT("'"&amp;$O715&amp;"'!I"&amp;$N715)=0,"",INDIRECT("'"&amp;$O715&amp;"'!I"&amp;$N715)),"")</f>
        <v/>
      </c>
      <c r="F715" s="52" t="inlineStr">
        <is>
          <t>60kV 2mA / 15cm (white)</t>
        </is>
      </c>
      <c r="G715" s="52" t="n"/>
      <c r="H715" s="79">
        <f>IF(AND($F715="",$G715=""),"",IF($F715="","창고전용",IF($G715&lt;&gt;"","매칭완료",IF($D715="반제품","반제품(창고없음)",IF($D715="완제품","완제품(창고없음)",IF($D715="원자재","⚠ 원자재_부서보관","미분류"))))))</f>
        <v/>
      </c>
      <c r="I715" s="79">
        <f>IFERROR(IF(INDIRECT("'"&amp;$O715&amp;"'!P"&amp;$N715)=0,"",INDIRECT("'"&amp;$O715&amp;"'!P"&amp;$N715)),"")</f>
        <v/>
      </c>
      <c r="J715" s="61" t="inlineStr">
        <is>
          <t>60kV 2mA / 15cm (white)</t>
        </is>
      </c>
      <c r="K715" s="61" t="inlineStr">
        <is>
          <t>ADX4000W 60KV 2mA / 15cm White [일본]</t>
        </is>
      </c>
      <c r="L715" s="83">
        <f>HYPERLINK("#'"&amp;$O715&amp;"'!A"&amp;$N715,"→ 조립완제품 R"&amp;$N715)</f>
        <v/>
      </c>
      <c r="M715" s="84" t="n"/>
      <c r="N715" s="80" t="n">
        <v>22</v>
      </c>
      <c r="O715" s="80" t="inlineStr">
        <is>
          <t>조립완제품_재고현황</t>
        </is>
      </c>
    </row>
    <row r="716" ht="30" customHeight="1">
      <c r="A716" s="59" t="inlineStr">
        <is>
          <t>완제품</t>
        </is>
      </c>
      <c r="B716" s="52" t="inlineStr">
        <is>
          <t>완제품 본체</t>
        </is>
      </c>
      <c r="C716" s="52" t="inlineStr">
        <is>
          <t>ADX4000W</t>
        </is>
      </c>
      <c r="D716" s="79">
        <f>IF(INDIRECT("'"&amp;$O716&amp;"'!F"&amp;$N716)="O","원자재",IF(INDIRECT("'"&amp;$O716&amp;"'!G"&amp;$N716)="O","반제품",IF(INDIRECT("'"&amp;$O716&amp;"'!H"&amp;$N716)="O","완제품","")))</f>
        <v/>
      </c>
      <c r="E716" s="79">
        <f>IFERROR(IF(INDIRECT("'"&amp;$O716&amp;"'!I"&amp;$N716)=0,"",INDIRECT("'"&amp;$O716&amp;"'!I"&amp;$N716)),"")</f>
        <v/>
      </c>
      <c r="F716" s="52" t="inlineStr">
        <is>
          <t>60kV 2mA / 20cm (white)</t>
        </is>
      </c>
      <c r="G716" s="52" t="n"/>
      <c r="H716" s="79">
        <f>IF(AND($F716="",$G716=""),"",IF($F716="","창고전용",IF($G716&lt;&gt;"","매칭완료",IF($D716="반제품","반제품(창고없음)",IF($D716="완제품","완제품(창고없음)",IF($D716="원자재","⚠ 원자재_부서보관","미분류"))))))</f>
        <v/>
      </c>
      <c r="I716" s="79">
        <f>IFERROR(IF(INDIRECT("'"&amp;$O716&amp;"'!P"&amp;$N716)=0,"",INDIRECT("'"&amp;$O716&amp;"'!P"&amp;$N716)),"")</f>
        <v/>
      </c>
      <c r="J716" s="61" t="inlineStr">
        <is>
          <t>60kV 2mA / 20cm (white)</t>
        </is>
      </c>
      <c r="K716" s="61" t="inlineStr">
        <is>
          <t>ADX4000W 60KV 2mA / 20cm White [기본]</t>
        </is>
      </c>
      <c r="L716" s="83">
        <f>HYPERLINK("#'"&amp;$O716&amp;"'!A"&amp;$N716,"→ 조립완제품 R"&amp;$N716)</f>
        <v/>
      </c>
      <c r="M716" s="84" t="n"/>
      <c r="N716" s="80" t="n">
        <v>23</v>
      </c>
      <c r="O716" s="80" t="inlineStr">
        <is>
          <t>조립완제품_재고현황</t>
        </is>
      </c>
    </row>
    <row r="717" ht="30" customHeight="1">
      <c r="A717" s="59" t="inlineStr">
        <is>
          <t>완제품</t>
        </is>
      </c>
      <c r="B717" s="52" t="inlineStr">
        <is>
          <t>완제품 본체</t>
        </is>
      </c>
      <c r="C717" s="52" t="inlineStr">
        <is>
          <t>ADX4000W</t>
        </is>
      </c>
      <c r="D717" s="79">
        <f>IF(INDIRECT("'"&amp;$O717&amp;"'!F"&amp;$N717)="O","원자재",IF(INDIRECT("'"&amp;$O717&amp;"'!G"&amp;$N717)="O","반제품",IF(INDIRECT("'"&amp;$O717&amp;"'!H"&amp;$N717)="O","완제품","")))</f>
        <v/>
      </c>
      <c r="E717" s="79">
        <f>IFERROR(IF(INDIRECT("'"&amp;$O717&amp;"'!I"&amp;$N717)=0,"",INDIRECT("'"&amp;$O717&amp;"'!I"&amp;$N717)),"")</f>
        <v/>
      </c>
      <c r="F717" s="52" t="inlineStr">
        <is>
          <t>60kV 2mA / 20cm (사파리 덴탈용) (white)</t>
        </is>
      </c>
      <c r="G717" s="52" t="n"/>
      <c r="H717" s="79">
        <f>IF(AND($F717="",$G717=""),"",IF($F717="","창고전용",IF($G717&lt;&gt;"","매칭완료",IF($D717="반제품","반제품(창고없음)",IF($D717="완제품","완제품(창고없음)",IF($D717="원자재","⚠ 원자재_부서보관","미분류"))))))</f>
        <v/>
      </c>
      <c r="I717" s="79">
        <f>IFERROR(IF(INDIRECT("'"&amp;$O717&amp;"'!P"&amp;$N717)=0,"",INDIRECT("'"&amp;$O717&amp;"'!P"&amp;$N717)),"")</f>
        <v/>
      </c>
      <c r="J717" s="61" t="inlineStr">
        <is>
          <t>60kV 2mA / 20cm (사파리 덴탈용) (white)</t>
        </is>
      </c>
      <c r="K717" s="61" t="inlineStr">
        <is>
          <t>ADX4000W 60KV 2mA / 20cm White [사파리 덴탈]</t>
        </is>
      </c>
      <c r="L717" s="83">
        <f>HYPERLINK("#'"&amp;$O717&amp;"'!A"&amp;$N717,"→ 조립완제품 R"&amp;$N717)</f>
        <v/>
      </c>
      <c r="M717" s="84" t="n"/>
      <c r="N717" s="80" t="n">
        <v>24</v>
      </c>
      <c r="O717" s="80" t="inlineStr">
        <is>
          <t>조립완제품_재고현황</t>
        </is>
      </c>
    </row>
    <row r="718" ht="30" customHeight="1">
      <c r="A718" s="59" t="inlineStr">
        <is>
          <t>완제품</t>
        </is>
      </c>
      <c r="B718" s="52" t="inlineStr">
        <is>
          <t>완제품 본체</t>
        </is>
      </c>
      <c r="C718" s="52" t="inlineStr">
        <is>
          <t>ADX6000</t>
        </is>
      </c>
      <c r="D718" s="79">
        <f>IF(INDIRECT("'"&amp;$O718&amp;"'!F"&amp;$N718)="O","원자재",IF(INDIRECT("'"&amp;$O718&amp;"'!G"&amp;$N718)="O","반제품",IF(INDIRECT("'"&amp;$O718&amp;"'!H"&amp;$N718)="O","완제품","")))</f>
        <v/>
      </c>
      <c r="E718" s="79">
        <f>IFERROR(IF(INDIRECT("'"&amp;$O718&amp;"'!I"&amp;$N718)=0,"",INDIRECT("'"&amp;$O718&amp;"'!I"&amp;$N718)),"")</f>
        <v/>
      </c>
      <c r="F718" s="52" t="inlineStr">
        <is>
          <t>ADX6000 / 탈착용[80kv,5mA] (white)</t>
        </is>
      </c>
      <c r="G718" s="52" t="n"/>
      <c r="H718" s="79">
        <f>IF(AND($F718="",$G718=""),"",IF($F718="","창고전용",IF($G718&lt;&gt;"","매칭완료",IF($D718="반제품","반제품(창고없음)",IF($D718="완제품","완제품(창고없음)",IF($D718="원자재","⚠ 원자재_부서보관","미분류"))))))</f>
        <v/>
      </c>
      <c r="I718" s="79">
        <f>IFERROR(IF(INDIRECT("'"&amp;$O718&amp;"'!P"&amp;$N718)=0,"",INDIRECT("'"&amp;$O718&amp;"'!P"&amp;$N718)),"")</f>
        <v/>
      </c>
      <c r="J718" s="61" t="inlineStr">
        <is>
          <t>ADX6000 / 탈착용[80kv,5mA] (white)</t>
        </is>
      </c>
      <c r="K718" s="61" t="inlineStr">
        <is>
          <t>ADX6000 80KV 5mA / White</t>
        </is>
      </c>
      <c r="L718" s="83">
        <f>HYPERLINK("#'"&amp;$O718&amp;"'!A"&amp;$N718,"→ 조립완제품 R"&amp;$N718)</f>
        <v/>
      </c>
      <c r="M718" s="84" t="n"/>
      <c r="N718" s="80" t="n">
        <v>25</v>
      </c>
      <c r="O718" s="80" t="inlineStr">
        <is>
          <t>조립완제품_재고현황</t>
        </is>
      </c>
    </row>
    <row r="719" ht="30" customHeight="1">
      <c r="A719" s="59" t="inlineStr">
        <is>
          <t>완제품</t>
        </is>
      </c>
      <c r="B719" s="52" t="inlineStr">
        <is>
          <t>완제품 본체</t>
        </is>
      </c>
      <c r="C719" s="52" t="inlineStr">
        <is>
          <t>ADX6000</t>
        </is>
      </c>
      <c r="D719" s="79">
        <f>IF(INDIRECT("'"&amp;$O719&amp;"'!F"&amp;$N719)="O","원자재",IF(INDIRECT("'"&amp;$O719&amp;"'!G"&amp;$N719)="O","반제품",IF(INDIRECT("'"&amp;$O719&amp;"'!H"&amp;$N719)="O","완제품","")))</f>
        <v/>
      </c>
      <c r="E719" s="79">
        <f>IFERROR(IF(INDIRECT("'"&amp;$O719&amp;"'!I"&amp;$N719)=0,"",INDIRECT("'"&amp;$O719&amp;"'!I"&amp;$N719)),"")</f>
        <v/>
      </c>
      <c r="F719" s="52" t="inlineStr">
        <is>
          <t>ADX6000S / 탈착용[80kv,5mA] (white)</t>
        </is>
      </c>
      <c r="G719" s="52" t="n"/>
      <c r="H719" s="79">
        <f>IF(AND($F719="",$G719=""),"",IF($F719="","창고전용",IF($G719&lt;&gt;"","매칭완료",IF($D719="반제품","반제품(창고없음)",IF($D719="완제품","완제품(창고없음)",IF($D719="원자재","⚠ 원자재_부서보관","미분류"))))))</f>
        <v/>
      </c>
      <c r="I719" s="79">
        <f>IFERROR(IF(INDIRECT("'"&amp;$O719&amp;"'!P"&amp;$N719)=0,"",INDIRECT("'"&amp;$O719&amp;"'!P"&amp;$N719)),"")</f>
        <v/>
      </c>
      <c r="J719" s="61" t="inlineStr">
        <is>
          <t>ADX6000S / 탈착용[80kv,5mA] (white)</t>
        </is>
      </c>
      <c r="K719" s="61" t="inlineStr">
        <is>
          <t>ADX6000s 80KV 5mA / White [외부 배터리]</t>
        </is>
      </c>
      <c r="L719" s="83">
        <f>HYPERLINK("#'"&amp;$O719&amp;"'!A"&amp;$N719,"→ 조립완제품 R"&amp;$N719)</f>
        <v/>
      </c>
      <c r="M719" s="84" t="n"/>
      <c r="N719" s="80" t="n">
        <v>26</v>
      </c>
      <c r="O719" s="80" t="inlineStr">
        <is>
          <t>조립완제품_재고현황</t>
        </is>
      </c>
    </row>
    <row r="720" ht="30" customHeight="1">
      <c r="A720" s="59" t="inlineStr">
        <is>
          <t>완제품</t>
        </is>
      </c>
      <c r="B720" s="52" t="inlineStr">
        <is>
          <t>완제품 본체</t>
        </is>
      </c>
      <c r="C720" s="52" t="inlineStr">
        <is>
          <t>ADX6000</t>
        </is>
      </c>
      <c r="D720" s="79">
        <f>IF(INDIRECT("'"&amp;$O720&amp;"'!F"&amp;$N720)="O","원자재",IF(INDIRECT("'"&amp;$O720&amp;"'!G"&amp;$N720)="O","반제품",IF(INDIRECT("'"&amp;$O720&amp;"'!H"&amp;$N720)="O","완제품","")))</f>
        <v/>
      </c>
      <c r="E720" s="79">
        <f>IFERROR(IF(INDIRECT("'"&amp;$O720&amp;"'!I"&amp;$N720)=0,"",INDIRECT("'"&amp;$O720&amp;"'!I"&amp;$N720)),"")</f>
        <v/>
      </c>
      <c r="F720" s="52" t="inlineStr">
        <is>
          <t>ADX6000FB / 탈착용[80kv,5mA] (white)</t>
        </is>
      </c>
      <c r="G720" s="52" t="n"/>
      <c r="H720" s="79">
        <f>IF(AND($F720="",$G720=""),"",IF($F720="","창고전용",IF($G720&lt;&gt;"","매칭완료",IF($D720="반제품","반제품(창고없음)",IF($D720="완제품","완제품(창고없음)",IF($D720="원자재","⚠ 원자재_부서보관","미분류"))))))</f>
        <v/>
      </c>
      <c r="I720" s="79">
        <f>IFERROR(IF(INDIRECT("'"&amp;$O720&amp;"'!P"&amp;$N720)=0,"",INDIRECT("'"&amp;$O720&amp;"'!P"&amp;$N720)),"")</f>
        <v/>
      </c>
      <c r="J720" s="61" t="inlineStr">
        <is>
          <t>ADX6000FB / 탈착용[80kv,5mA] (white)</t>
        </is>
      </c>
      <c r="K720" s="61" t="inlineStr">
        <is>
          <t>ADX6000FB 80KV 5mA / White</t>
        </is>
      </c>
      <c r="L720" s="83">
        <f>HYPERLINK("#'"&amp;$O720&amp;"'!A"&amp;$N720,"→ 조립완제품 R"&amp;$N720)</f>
        <v/>
      </c>
      <c r="M720" s="84" t="n"/>
      <c r="N720" s="80" t="n">
        <v>27</v>
      </c>
      <c r="O720" s="80" t="inlineStr">
        <is>
          <t>조립완제품_재고현황</t>
        </is>
      </c>
    </row>
    <row r="721" ht="30" customHeight="1">
      <c r="A721" s="59" t="inlineStr">
        <is>
          <t>완제품</t>
        </is>
      </c>
      <c r="B721" s="52" t="inlineStr">
        <is>
          <t>완제품 본체</t>
        </is>
      </c>
      <c r="C721" s="52" t="inlineStr">
        <is>
          <t>COCOON</t>
        </is>
      </c>
      <c r="D721" s="79">
        <f>IF(INDIRECT("'"&amp;$O721&amp;"'!F"&amp;$N721)="O","원자재",IF(INDIRECT("'"&amp;$O721&amp;"'!G"&amp;$N721)="O","반제품",IF(INDIRECT("'"&amp;$O721&amp;"'!H"&amp;$N721)="O","완제품","")))</f>
        <v/>
      </c>
      <c r="E721" s="79">
        <f>IFERROR(IF(INDIRECT("'"&amp;$O721&amp;"'!I"&amp;$N721)=0,"",INDIRECT("'"&amp;$O721&amp;"'!I"&amp;$N721)),"")</f>
        <v/>
      </c>
      <c r="F721" s="52" t="inlineStr">
        <is>
          <t>DX-7017 / 18cm 기본 덴탈 용 (gray)</t>
        </is>
      </c>
      <c r="G721" s="52" t="n"/>
      <c r="H721" s="79">
        <f>IF(AND($F721="",$G721=""),"",IF($F721="","창고전용",IF($G721&lt;&gt;"","매칭완료",IF($D721="반제품","반제품(창고없음)",IF($D721="완제품","완제품(창고없음)",IF($D721="원자재","⚠ 원자재_부서보관","미분류"))))))</f>
        <v/>
      </c>
      <c r="I721" s="79">
        <f>IFERROR(IF(INDIRECT("'"&amp;$O721&amp;"'!P"&amp;$N721)=0,"",INDIRECT("'"&amp;$O721&amp;"'!P"&amp;$N721)),"")</f>
        <v/>
      </c>
      <c r="J721" s="61" t="inlineStr">
        <is>
          <t>DX-7017 / 18cm 기본 덴탈 용 (gray)</t>
        </is>
      </c>
      <c r="K721" s="61" t="inlineStr">
        <is>
          <t>COCOON 70KV 1.7mA / 18cm Gray [기본]</t>
        </is>
      </c>
      <c r="L721" s="83">
        <f>HYPERLINK("#'"&amp;$O721&amp;"'!A"&amp;$N721,"→ 조립완제품 R"&amp;$N721)</f>
        <v/>
      </c>
      <c r="M721" s="84" t="n"/>
      <c r="N721" s="80" t="n">
        <v>28</v>
      </c>
      <c r="O721" s="80" t="inlineStr">
        <is>
          <t>조립완제품_재고현황</t>
        </is>
      </c>
    </row>
    <row r="722" ht="30" customHeight="1">
      <c r="A722" s="59" t="inlineStr">
        <is>
          <t>완제품</t>
        </is>
      </c>
      <c r="B722" s="52" t="inlineStr">
        <is>
          <t>완제품 본체</t>
        </is>
      </c>
      <c r="C722" s="52" t="inlineStr">
        <is>
          <t>COCOON</t>
        </is>
      </c>
      <c r="D722" s="79">
        <f>IF(INDIRECT("'"&amp;$O722&amp;"'!F"&amp;$N722)="O","원자재",IF(INDIRECT("'"&amp;$O722&amp;"'!G"&amp;$N722)="O","반제품",IF(INDIRECT("'"&amp;$O722&amp;"'!H"&amp;$N722)="O","완제품","")))</f>
        <v/>
      </c>
      <c r="E722" s="79">
        <f>IFERROR(IF(INDIRECT("'"&amp;$O722&amp;"'!I"&amp;$N722)=0,"",INDIRECT("'"&amp;$O722&amp;"'!I"&amp;$N722)),"")</f>
        <v/>
      </c>
      <c r="F722" s="52" t="inlineStr">
        <is>
          <t>DX-7017 / 20cm 기본 덴탈 용 (gray)</t>
        </is>
      </c>
      <c r="G722" s="52" t="n"/>
      <c r="H722" s="79">
        <f>IF(AND($F722="",$G722=""),"",IF($F722="","창고전용",IF($G722&lt;&gt;"","매칭완료",IF($D722="반제품","반제품(창고없음)",IF($D722="완제품","완제품(창고없음)",IF($D722="원자재","⚠ 원자재_부서보관","미분류"))))))</f>
        <v/>
      </c>
      <c r="I722" s="79">
        <f>IFERROR(IF(INDIRECT("'"&amp;$O722&amp;"'!P"&amp;$N722)=0,"",INDIRECT("'"&amp;$O722&amp;"'!P"&amp;$N722)),"")</f>
        <v/>
      </c>
      <c r="J722" s="61" t="inlineStr">
        <is>
          <t>DX-7017 / 20cm 기본 덴탈 용 (gray)</t>
        </is>
      </c>
      <c r="K722" s="61" t="inlineStr">
        <is>
          <t>COCOON 70KV 1.7mA / 20cm Gray [기본]</t>
        </is>
      </c>
      <c r="L722" s="83">
        <f>HYPERLINK("#'"&amp;$O722&amp;"'!A"&amp;$N722,"→ 조립완제품 R"&amp;$N722)</f>
        <v/>
      </c>
      <c r="M722" s="84" t="n"/>
      <c r="N722" s="80" t="n">
        <v>29</v>
      </c>
      <c r="O722" s="80" t="inlineStr">
        <is>
          <t>조립완제품_재고현황</t>
        </is>
      </c>
    </row>
    <row r="723" ht="30" customHeight="1">
      <c r="A723" s="59" t="inlineStr">
        <is>
          <t>완제품</t>
        </is>
      </c>
      <c r="B723" s="52" t="inlineStr">
        <is>
          <t>완제품 본체</t>
        </is>
      </c>
      <c r="C723" s="52" t="inlineStr">
        <is>
          <t>COCOON</t>
        </is>
      </c>
      <c r="D723" s="79">
        <f>IF(INDIRECT("'"&amp;$O723&amp;"'!F"&amp;$N723)="O","원자재",IF(INDIRECT("'"&amp;$O723&amp;"'!G"&amp;$N723)="O","반제품",IF(INDIRECT("'"&amp;$O723&amp;"'!H"&amp;$N723)="O","완제품","")))</f>
        <v/>
      </c>
      <c r="E723" s="79">
        <f>IFERROR(IF(INDIRECT("'"&amp;$O723&amp;"'!I"&amp;$N723)=0,"",INDIRECT("'"&amp;$O723&amp;"'!I"&amp;$N723)),"")</f>
        <v/>
      </c>
      <c r="F723" s="52" t="inlineStr">
        <is>
          <t>DX-7020 / 18cm 기본 덴탈 용 (덱스코윈 로고) (gray)</t>
        </is>
      </c>
      <c r="G723" s="52" t="n"/>
      <c r="H723" s="79">
        <f>IF(AND($F723="",$G723=""),"",IF($F723="","창고전용",IF($G723&lt;&gt;"","매칭완료",IF($D723="반제품","반제품(창고없음)",IF($D723="완제품","완제품(창고없음)",IF($D723="원자재","⚠ 원자재_부서보관","미분류"))))))</f>
        <v/>
      </c>
      <c r="I723" s="79">
        <f>IFERROR(IF(INDIRECT("'"&amp;$O723&amp;"'!P"&amp;$N723)=0,"",INDIRECT("'"&amp;$O723&amp;"'!P"&amp;$N723)),"")</f>
        <v/>
      </c>
      <c r="J723" s="61" t="inlineStr">
        <is>
          <t>DX-7020 / 18cm 기본 덴탈 용 (덱스코윈 로고) (gray)</t>
        </is>
      </c>
      <c r="K723" s="61" t="inlineStr">
        <is>
          <t>COCOON 70KV 2mA / 18cm Gray [기본]</t>
        </is>
      </c>
      <c r="L723" s="83">
        <f>HYPERLINK("#'"&amp;$O723&amp;"'!A"&amp;$N723,"→ 조립완제품 R"&amp;$N723)</f>
        <v/>
      </c>
      <c r="M723" s="84" t="n"/>
      <c r="N723" s="80" t="n">
        <v>30</v>
      </c>
      <c r="O723" s="80" t="inlineStr">
        <is>
          <t>조립완제품_재고현황</t>
        </is>
      </c>
    </row>
    <row r="724" ht="30" customHeight="1">
      <c r="A724" s="59" t="inlineStr">
        <is>
          <t>완제품</t>
        </is>
      </c>
      <c r="B724" s="52" t="inlineStr">
        <is>
          <t>완제품 본체</t>
        </is>
      </c>
      <c r="C724" s="52" t="inlineStr">
        <is>
          <t>COCOON</t>
        </is>
      </c>
      <c r="D724" s="79">
        <f>IF(INDIRECT("'"&amp;$O724&amp;"'!F"&amp;$N724)="O","원자재",IF(INDIRECT("'"&amp;$O724&amp;"'!G"&amp;$N724)="O","반제품",IF(INDIRECT("'"&amp;$O724&amp;"'!H"&amp;$N724)="O","완제품","")))</f>
        <v/>
      </c>
      <c r="E724" s="79">
        <f>IFERROR(IF(INDIRECT("'"&amp;$O724&amp;"'!I"&amp;$N724)=0,"",INDIRECT("'"&amp;$O724&amp;"'!I"&amp;$N724)),"")</f>
        <v/>
      </c>
      <c r="F724" s="52" t="inlineStr">
        <is>
          <t>DX-7020 / 18cm Aming Light 트리거 식 _ 덴탈 용 (gray)</t>
        </is>
      </c>
      <c r="G724" s="52" t="n"/>
      <c r="H724" s="79">
        <f>IF(AND($F724="",$G724=""),"",IF($F724="","창고전용",IF($G724&lt;&gt;"","매칭완료",IF($D724="반제품","반제품(창고없음)",IF($D724="완제품","완제품(창고없음)",IF($D724="원자재","⚠ 원자재_부서보관","미분류"))))))</f>
        <v/>
      </c>
      <c r="I724" s="79">
        <f>IFERROR(IF(INDIRECT("'"&amp;$O724&amp;"'!P"&amp;$N724)=0,"",INDIRECT("'"&amp;$O724&amp;"'!P"&amp;$N724)),"")</f>
        <v/>
      </c>
      <c r="J724" s="61" t="inlineStr">
        <is>
          <t>DX-7020 / 18cm Aming Light 트리거 식 _ 덴탈 용 (gray)</t>
        </is>
      </c>
      <c r="K724" s="61" t="inlineStr">
        <is>
          <t>COCOON 70KV 2mA / 18cm Gray [덴탈 / 트리거 에이밍라이트]</t>
        </is>
      </c>
      <c r="L724" s="83">
        <f>HYPERLINK("#'"&amp;$O724&amp;"'!A"&amp;$N724,"→ 조립완제품 R"&amp;$N724)</f>
        <v/>
      </c>
      <c r="M724" s="84" t="n"/>
      <c r="N724" s="80" t="n">
        <v>31</v>
      </c>
      <c r="O724" s="80" t="inlineStr">
        <is>
          <t>조립완제품_재고현황</t>
        </is>
      </c>
    </row>
    <row r="725" ht="30" customHeight="1">
      <c r="A725" s="59" t="inlineStr">
        <is>
          <t>완제품</t>
        </is>
      </c>
      <c r="B725" s="52" t="inlineStr">
        <is>
          <t>완제품 본체</t>
        </is>
      </c>
      <c r="C725" s="52" t="inlineStr">
        <is>
          <t>COCOON</t>
        </is>
      </c>
      <c r="D725" s="79">
        <f>IF(INDIRECT("'"&amp;$O725&amp;"'!F"&amp;$N725)="O","원자재",IF(INDIRECT("'"&amp;$O725&amp;"'!G"&amp;$N725)="O","반제품",IF(INDIRECT("'"&amp;$O725&amp;"'!H"&amp;$N725)="O","완제품","")))</f>
        <v/>
      </c>
      <c r="E725" s="79">
        <f>IFERROR(IF(INDIRECT("'"&amp;$O725&amp;"'!I"&amp;$N725)=0,"",INDIRECT("'"&amp;$O725&amp;"'!I"&amp;$N725)),"")</f>
        <v/>
      </c>
      <c r="F725" s="52" t="inlineStr">
        <is>
          <t>DX-7020 / 18cm Aming Light 트리거 식 _ 덴탈 (댄티맥스) (gray)</t>
        </is>
      </c>
      <c r="G725" s="52" t="n"/>
      <c r="H725" s="79">
        <f>IF(AND($F725="",$G725=""),"",IF($F725="","창고전용",IF($G725&lt;&gt;"","매칭완료",IF($D725="반제품","반제품(창고없음)",IF($D725="완제품","완제품(창고없음)",IF($D725="원자재","⚠ 원자재_부서보관","미분류"))))))</f>
        <v/>
      </c>
      <c r="I725" s="79">
        <f>IFERROR(IF(INDIRECT("'"&amp;$O725&amp;"'!P"&amp;$N725)=0,"",INDIRECT("'"&amp;$O725&amp;"'!P"&amp;$N725)),"")</f>
        <v/>
      </c>
      <c r="J725" s="61" t="inlineStr">
        <is>
          <t>DX-7020 / 18cm Aming Light 트리거 식 _ 덴탈 (댄티맥스) (gray)</t>
        </is>
      </c>
      <c r="K725" s="61" t="inlineStr">
        <is>
          <t>COCOON 70KV 2mA / 18cm Gray [Dentimax / 트리거 에이밍라이트]</t>
        </is>
      </c>
      <c r="L725" s="83">
        <f>HYPERLINK("#'"&amp;$O725&amp;"'!A"&amp;$N725,"→ 조립완제품 R"&amp;$N725)</f>
        <v/>
      </c>
      <c r="M725" s="84" t="n"/>
      <c r="N725" s="80" t="n">
        <v>32</v>
      </c>
      <c r="O725" s="80" t="inlineStr">
        <is>
          <t>조립완제품_재고현황</t>
        </is>
      </c>
    </row>
    <row r="726" ht="30" customHeight="1">
      <c r="A726" s="59" t="inlineStr">
        <is>
          <t>완제품</t>
        </is>
      </c>
      <c r="B726" s="52" t="inlineStr">
        <is>
          <t>완제품 본체</t>
        </is>
      </c>
      <c r="C726" s="52" t="inlineStr">
        <is>
          <t>COCOON</t>
        </is>
      </c>
      <c r="D726" s="79">
        <f>IF(INDIRECT("'"&amp;$O726&amp;"'!F"&amp;$N726)="O","원자재",IF(INDIRECT("'"&amp;$O726&amp;"'!G"&amp;$N726)="O","반제품",IF(INDIRECT("'"&amp;$O726&amp;"'!H"&amp;$N726)="O","완제품","")))</f>
        <v/>
      </c>
      <c r="E726" s="79">
        <f>IFERROR(IF(INDIRECT("'"&amp;$O726&amp;"'!I"&amp;$N726)=0,"",INDIRECT("'"&amp;$O726&amp;"'!I"&amp;$N726)),"")</f>
        <v/>
      </c>
      <c r="F726" s="52" t="inlineStr">
        <is>
          <t>DX-7020 / 18cm Aming Light 트리거 식 _ 동물 용 (CBi 용) (gray)</t>
        </is>
      </c>
      <c r="G726" s="52" t="n"/>
      <c r="H726" s="79">
        <f>IF(AND($F726="",$G726=""),"",IF($F726="","창고전용",IF($G726&lt;&gt;"","매칭완료",IF($D726="반제품","반제품(창고없음)",IF($D726="완제품","완제품(창고없음)",IF($D726="원자재","⚠ 원자재_부서보관","미분류"))))))</f>
        <v/>
      </c>
      <c r="I726" s="79">
        <f>IFERROR(IF(INDIRECT("'"&amp;$O726&amp;"'!P"&amp;$N726)=0,"",INDIRECT("'"&amp;$O726&amp;"'!P"&amp;$N726)),"")</f>
        <v/>
      </c>
      <c r="J726" s="61" t="inlineStr">
        <is>
          <t>DX-7020 / 18cm Aming Light 트리거 식 _ 동물 용 (CBi 용) (gray)</t>
        </is>
      </c>
      <c r="K726" s="61" t="inlineStr">
        <is>
          <t>COCOON 70KV 2mA / 18cm Gray [CBi / 트리거 에이밍라이트]</t>
        </is>
      </c>
      <c r="L726" s="83">
        <f>HYPERLINK("#'"&amp;$O726&amp;"'!A"&amp;$N726,"→ 조립완제품 R"&amp;$N726)</f>
        <v/>
      </c>
      <c r="M726" s="84" t="n"/>
      <c r="N726" s="80" t="n">
        <v>33</v>
      </c>
      <c r="O726" s="80" t="inlineStr">
        <is>
          <t>조립완제품_재고현황</t>
        </is>
      </c>
    </row>
    <row r="727" ht="30" customHeight="1">
      <c r="A727" s="59" t="inlineStr">
        <is>
          <t>완제품</t>
        </is>
      </c>
      <c r="B727" s="52" t="inlineStr">
        <is>
          <t>완제품 본체</t>
        </is>
      </c>
      <c r="C727" s="52" t="inlineStr">
        <is>
          <t>COCOON</t>
        </is>
      </c>
      <c r="D727" s="79">
        <f>IF(INDIRECT("'"&amp;$O727&amp;"'!F"&amp;$N727)="O","원자재",IF(INDIRECT("'"&amp;$O727&amp;"'!G"&amp;$N727)="O","반제품",IF(INDIRECT("'"&amp;$O727&amp;"'!H"&amp;$N727)="O","완제품","")))</f>
        <v/>
      </c>
      <c r="E727" s="79">
        <f>IFERROR(IF(INDIRECT("'"&amp;$O727&amp;"'!I"&amp;$N727)=0,"",INDIRECT("'"&amp;$O727&amp;"'!I"&amp;$N727)),"")</f>
        <v/>
      </c>
      <c r="F727" s="52" t="inlineStr">
        <is>
          <t>DX-7020 / 18cm Aming Light 스위치식 _동뭉 용 (미국지사) (gray)</t>
        </is>
      </c>
      <c r="G727" s="52" t="n"/>
      <c r="H727" s="79">
        <f>IF(AND($F727="",$G727=""),"",IF($F727="","창고전용",IF($G727&lt;&gt;"","매칭완료",IF($D727="반제품","반제품(창고없음)",IF($D727="완제품","완제품(창고없음)",IF($D727="원자재","⚠ 원자재_부서보관","미분류"))))))</f>
        <v/>
      </c>
      <c r="I727" s="79">
        <f>IFERROR(IF(INDIRECT("'"&amp;$O727&amp;"'!P"&amp;$N727)=0,"",INDIRECT("'"&amp;$O727&amp;"'!P"&amp;$N727)),"")</f>
        <v/>
      </c>
      <c r="J727" s="61" t="inlineStr">
        <is>
          <t>DX-7020 / 18cm Aming Light 스위치식 _동뭉 용 (미국지사) (gray)</t>
        </is>
      </c>
      <c r="K727" s="61" t="inlineStr">
        <is>
          <t>COCOON 70KV 2mA / 18cm Gray [동물 / 스위치 에이밍라이트]</t>
        </is>
      </c>
      <c r="L727" s="83">
        <f>HYPERLINK("#'"&amp;$O727&amp;"'!A"&amp;$N727,"→ 조립완제품 R"&amp;$N727)</f>
        <v/>
      </c>
      <c r="M727" s="84" t="n"/>
      <c r="N727" s="80" t="n">
        <v>34</v>
      </c>
      <c r="O727" s="80" t="inlineStr">
        <is>
          <t>조립완제품_재고현황</t>
        </is>
      </c>
    </row>
    <row r="728" ht="30" customHeight="1">
      <c r="A728" s="59" t="inlineStr">
        <is>
          <t>완제품</t>
        </is>
      </c>
      <c r="B728" s="52" t="inlineStr">
        <is>
          <t>완제품 본체</t>
        </is>
      </c>
      <c r="C728" s="52" t="inlineStr">
        <is>
          <t>COCOON</t>
        </is>
      </c>
      <c r="D728" s="79">
        <f>IF(INDIRECT("'"&amp;$O728&amp;"'!F"&amp;$N728)="O","원자재",IF(INDIRECT("'"&amp;$O728&amp;"'!G"&amp;$N728)="O","반제품",IF(INDIRECT("'"&amp;$O728&amp;"'!H"&amp;$N728)="O","완제품","")))</f>
        <v/>
      </c>
      <c r="E728" s="79">
        <f>IFERROR(IF(INDIRECT("'"&amp;$O728&amp;"'!I"&amp;$N728)=0,"",INDIRECT("'"&amp;$O728&amp;"'!I"&amp;$N728)),"")</f>
        <v/>
      </c>
      <c r="F728" s="52" t="inlineStr">
        <is>
          <t>DX-7020 / 20cm 기본 덴탈 용 (덱스코윈 로고) (gray)</t>
        </is>
      </c>
      <c r="G728" s="52" t="n"/>
      <c r="H728" s="79">
        <f>IF(AND($F728="",$G728=""),"",IF($F728="","창고전용",IF($G728&lt;&gt;"","매칭완료",IF($D728="반제품","반제품(창고없음)",IF($D728="완제품","완제품(창고없음)",IF($D728="원자재","⚠ 원자재_부서보관","미분류"))))))</f>
        <v/>
      </c>
      <c r="I728" s="79">
        <f>IFERROR(IF(INDIRECT("'"&amp;$O728&amp;"'!P"&amp;$N728)=0,"",INDIRECT("'"&amp;$O728&amp;"'!P"&amp;$N728)),"")</f>
        <v/>
      </c>
      <c r="J728" s="61" t="inlineStr">
        <is>
          <t>DX-7020 / 20cm 기본 덴탈 용 (덱스코윈 로고) (gray)</t>
        </is>
      </c>
      <c r="K728" s="61" t="inlineStr">
        <is>
          <t>COCOON 70KV 2mA / 20cm Gray [기본]</t>
        </is>
      </c>
      <c r="L728" s="83">
        <f>HYPERLINK("#'"&amp;$O728&amp;"'!A"&amp;$N728,"→ 조립완제품 R"&amp;$N728)</f>
        <v/>
      </c>
      <c r="M728" s="84" t="n"/>
      <c r="N728" s="80" t="n">
        <v>35</v>
      </c>
      <c r="O728" s="80" t="inlineStr">
        <is>
          <t>조립완제품_재고현황</t>
        </is>
      </c>
    </row>
    <row r="729" ht="30" customHeight="1">
      <c r="A729" s="59" t="inlineStr">
        <is>
          <t>완제품</t>
        </is>
      </c>
      <c r="B729" s="52" t="inlineStr">
        <is>
          <t>완제품 본체</t>
        </is>
      </c>
      <c r="C729" s="52" t="inlineStr">
        <is>
          <t>COCOON</t>
        </is>
      </c>
      <c r="D729" s="79">
        <f>IF(INDIRECT("'"&amp;$O729&amp;"'!F"&amp;$N729)="O","원자재",IF(INDIRECT("'"&amp;$O729&amp;"'!G"&amp;$N729)="O","반제품",IF(INDIRECT("'"&amp;$O729&amp;"'!H"&amp;$N729)="O","완제품","")))</f>
        <v/>
      </c>
      <c r="E729" s="79">
        <f>IFERROR(IF(INDIRECT("'"&amp;$O729&amp;"'!I"&amp;$N729)=0,"",INDIRECT("'"&amp;$O729&amp;"'!I"&amp;$N729)),"")</f>
        <v/>
      </c>
      <c r="F729" s="52" t="inlineStr">
        <is>
          <t>DX-7020 / 20cm 기본 덴탈 용_ 페루 (스페인어 음성 적용) (gray)</t>
        </is>
      </c>
      <c r="G729" s="52" t="n"/>
      <c r="H729" s="79">
        <f>IF(AND($F729="",$G729=""),"",IF($F729="","창고전용",IF($G729&lt;&gt;"","매칭완료",IF($D729="반제품","반제품(창고없음)",IF($D729="완제품","완제품(창고없음)",IF($D729="원자재","⚠ 원자재_부서보관","미분류"))))))</f>
        <v/>
      </c>
      <c r="I729" s="79">
        <f>IFERROR(IF(INDIRECT("'"&amp;$O729&amp;"'!P"&amp;$N729)=0,"",INDIRECT("'"&amp;$O729&amp;"'!P"&amp;$N729)),"")</f>
        <v/>
      </c>
      <c r="J729" s="61" t="inlineStr">
        <is>
          <t>DX-7020 / 20cm 기본 덴탈 용_ 페루 (스페인어 음성 적용) (gray)</t>
        </is>
      </c>
      <c r="K729" s="61" t="inlineStr">
        <is>
          <t>COCOON 70KV 2mA / 20cm Gray [페루 / 기본]</t>
        </is>
      </c>
      <c r="L729" s="83">
        <f>HYPERLINK("#'"&amp;$O729&amp;"'!A"&amp;$N729,"→ 조립완제품 R"&amp;$N729)</f>
        <v/>
      </c>
      <c r="M729" s="84" t="n"/>
      <c r="N729" s="80" t="n">
        <v>36</v>
      </c>
      <c r="O729" s="80" t="inlineStr">
        <is>
          <t>조립완제품_재고현황</t>
        </is>
      </c>
    </row>
    <row r="730" ht="30" customHeight="1">
      <c r="A730" s="59" t="inlineStr">
        <is>
          <t>완제품</t>
        </is>
      </c>
      <c r="B730" s="52" t="inlineStr">
        <is>
          <t>완제품 본체</t>
        </is>
      </c>
      <c r="C730" s="52" t="inlineStr">
        <is>
          <t>COCOON</t>
        </is>
      </c>
      <c r="D730" s="79">
        <f>IF(INDIRECT("'"&amp;$O730&amp;"'!F"&amp;$N730)="O","원자재",IF(INDIRECT("'"&amp;$O730&amp;"'!G"&amp;$N730)="O","반제품",IF(INDIRECT("'"&amp;$O730&amp;"'!H"&amp;$N730)="O","완제품","")))</f>
        <v/>
      </c>
      <c r="E730" s="79">
        <f>IFERROR(IF(INDIRECT("'"&amp;$O730&amp;"'!I"&amp;$N730)=0,"",INDIRECT("'"&amp;$O730&amp;"'!I"&amp;$N730)),"")</f>
        <v/>
      </c>
      <c r="F730" s="52" t="inlineStr">
        <is>
          <t>DX-7020 / 20cm 기본 덴탈 _사파리 덴탈 (케나다용 덴티맥스) (gray)</t>
        </is>
      </c>
      <c r="G730" s="52" t="n"/>
      <c r="H730" s="79">
        <f>IF(AND($F730="",$G730=""),"",IF($F730="","창고전용",IF($G730&lt;&gt;"","매칭완료",IF($D730="반제품","반제품(창고없음)",IF($D730="완제품","완제품(창고없음)",IF($D730="원자재","⚠ 원자재_부서보관","미분류"))))))</f>
        <v/>
      </c>
      <c r="I730" s="79">
        <f>IFERROR(IF(INDIRECT("'"&amp;$O730&amp;"'!P"&amp;$N730)=0,"",INDIRECT("'"&amp;$O730&amp;"'!P"&amp;$N730)),"")</f>
        <v/>
      </c>
      <c r="J730" s="61" t="inlineStr">
        <is>
          <t>DX-7020 / 20cm 기본 덴탈 _사파리 덴탈 (케나다용 덴티맥스) (gray)</t>
        </is>
      </c>
      <c r="K730" s="61" t="inlineStr">
        <is>
          <t>COCOON 70KV 2mA / 20cm Gray [Dentimax Canada / 기본]</t>
        </is>
      </c>
      <c r="L730" s="83">
        <f>HYPERLINK("#'"&amp;$O730&amp;"'!A"&amp;$N730,"→ 조립완제품 R"&amp;$N730)</f>
        <v/>
      </c>
      <c r="M730" s="84" t="n"/>
      <c r="N730" s="80" t="n">
        <v>37</v>
      </c>
      <c r="O730" s="80" t="inlineStr">
        <is>
          <t>조립완제품_재고현황</t>
        </is>
      </c>
    </row>
    <row r="731" ht="30" customHeight="1">
      <c r="A731" s="59" t="inlineStr">
        <is>
          <t>완제품</t>
        </is>
      </c>
      <c r="B731" s="52" t="inlineStr">
        <is>
          <t>완제품 본체</t>
        </is>
      </c>
      <c r="C731" s="52" t="inlineStr">
        <is>
          <t>COCOON</t>
        </is>
      </c>
      <c r="D731" s="79">
        <f>IF(INDIRECT("'"&amp;$O731&amp;"'!F"&amp;$N731)="O","원자재",IF(INDIRECT("'"&amp;$O731&amp;"'!G"&amp;$N731)="O","반제품",IF(INDIRECT("'"&amp;$O731&amp;"'!H"&amp;$N731)="O","완제품","")))</f>
        <v/>
      </c>
      <c r="E731" s="79">
        <f>IFERROR(IF(INDIRECT("'"&amp;$O731&amp;"'!I"&amp;$N731)=0,"",INDIRECT("'"&amp;$O731&amp;"'!I"&amp;$N731)),"")</f>
        <v/>
      </c>
      <c r="F731" s="52" t="inlineStr">
        <is>
          <t>DX-7020 / 20cm Aming Light 스위치식_덴탈용 (사파리덴탈 용) (white)</t>
        </is>
      </c>
      <c r="G731" s="52" t="n"/>
      <c r="H731" s="79">
        <f>IF(AND($F731="",$G731=""),"",IF($F731="","창고전용",IF($G731&lt;&gt;"","매칭완료",IF($D731="반제품","반제품(창고없음)",IF($D731="완제품","완제품(창고없음)",IF($D731="원자재","⚠ 원자재_부서보관","미분류"))))))</f>
        <v/>
      </c>
      <c r="I731" s="79">
        <f>IFERROR(IF(INDIRECT("'"&amp;$O731&amp;"'!P"&amp;$N731)=0,"",INDIRECT("'"&amp;$O731&amp;"'!P"&amp;$N731)),"")</f>
        <v/>
      </c>
      <c r="J731" s="61" t="inlineStr">
        <is>
          <t>DX-7020 / 20cm Aming Light 스위치식_덴탈용 (사파리덴탈 용) (white)</t>
        </is>
      </c>
      <c r="K731" s="65" t="inlineStr">
        <is>
          <t>COCOON 70KV 2mA / 20cm White [사파리 덴탈 / 스위치 에이밍라이트]</t>
        </is>
      </c>
      <c r="L731" s="83">
        <f>HYPERLINK("#'"&amp;$O731&amp;"'!A"&amp;$N731,"→ 조립완제품 R"&amp;$N731)</f>
        <v/>
      </c>
      <c r="M731" s="84" t="n"/>
      <c r="N731" s="80" t="n">
        <v>38</v>
      </c>
      <c r="O731" s="80" t="inlineStr">
        <is>
          <t>조립완제품_재고현황</t>
        </is>
      </c>
    </row>
    <row r="732" ht="30" customHeight="1">
      <c r="A732" s="59" t="inlineStr">
        <is>
          <t>완제품</t>
        </is>
      </c>
      <c r="B732" s="52" t="inlineStr">
        <is>
          <t>완제품 본체</t>
        </is>
      </c>
      <c r="C732" s="52" t="inlineStr">
        <is>
          <t>COCOON</t>
        </is>
      </c>
      <c r="D732" s="79">
        <f>IF(INDIRECT("'"&amp;$O732&amp;"'!F"&amp;$N732)="O","원자재",IF(INDIRECT("'"&amp;$O732&amp;"'!G"&amp;$N732)="O","반제품",IF(INDIRECT("'"&amp;$O732&amp;"'!H"&amp;$N732)="O","완제품","")))</f>
        <v/>
      </c>
      <c r="E732" s="79">
        <f>IFERROR(IF(INDIRECT("'"&amp;$O732&amp;"'!I"&amp;$N732)=0,"",INDIRECT("'"&amp;$O732&amp;"'!I"&amp;$N732)),"")</f>
        <v/>
      </c>
      <c r="F732" s="52" t="inlineStr">
        <is>
          <t>DX-7020 / 20cm Aming Light 트리거 식 _ 동물 용 (gray)</t>
        </is>
      </c>
      <c r="G732" s="52" t="n"/>
      <c r="H732" s="79">
        <f>IF(AND($F732="",$G732=""),"",IF($F732="","창고전용",IF($G732&lt;&gt;"","매칭완료",IF($D732="반제품","반제품(창고없음)",IF($D732="완제품","완제품(창고없음)",IF($D732="원자재","⚠ 원자재_부서보관","미분류"))))))</f>
        <v/>
      </c>
      <c r="I732" s="79">
        <f>IFERROR(IF(INDIRECT("'"&amp;$O732&amp;"'!P"&amp;$N732)=0,"",INDIRECT("'"&amp;$O732&amp;"'!P"&amp;$N732)),"")</f>
        <v/>
      </c>
      <c r="J732" s="61" t="inlineStr">
        <is>
          <t>DX-7020 / 20cm Aming Light 트리거 식 _ 동물 용 (gray)</t>
        </is>
      </c>
      <c r="K732" s="61" t="inlineStr">
        <is>
          <t>COCOON 70KV 2mA / 20cm Gray [동물 / 트리거 에이밍라이트]</t>
        </is>
      </c>
      <c r="L732" s="83">
        <f>HYPERLINK("#'"&amp;$O732&amp;"'!A"&amp;$N732,"→ 조립완제품 R"&amp;$N732)</f>
        <v/>
      </c>
      <c r="M732" s="84" t="n"/>
      <c r="N732" s="80" t="n">
        <v>39</v>
      </c>
      <c r="O732" s="80" t="inlineStr">
        <is>
          <t>조립완제품_재고현황</t>
        </is>
      </c>
    </row>
    <row r="733" ht="30" customHeight="1">
      <c r="A733" s="59" t="inlineStr">
        <is>
          <t>완제품</t>
        </is>
      </c>
      <c r="B733" s="52" t="inlineStr">
        <is>
          <t>완제품 본체</t>
        </is>
      </c>
      <c r="C733" s="52" t="inlineStr">
        <is>
          <t>COCOON</t>
        </is>
      </c>
      <c r="D733" s="79">
        <f>IF(INDIRECT("'"&amp;$O733&amp;"'!F"&amp;$N733)="O","원자재",IF(INDIRECT("'"&amp;$O733&amp;"'!G"&amp;$N733)="O","반제품",IF(INDIRECT("'"&amp;$O733&amp;"'!H"&amp;$N733)="O","완제품","")))</f>
        <v/>
      </c>
      <c r="E733" s="79">
        <f>IFERROR(IF(INDIRECT("'"&amp;$O733&amp;"'!I"&amp;$N733)=0,"",INDIRECT("'"&amp;$O733&amp;"'!I"&amp;$N733)),"")</f>
        <v/>
      </c>
      <c r="F733" s="52" t="inlineStr">
        <is>
          <t>DX-7020 / 20cm Aming Light 트리거 식 _ 덴탈 용 (영국용) (gray)</t>
        </is>
      </c>
      <c r="G733" s="52" t="n"/>
      <c r="H733" s="79">
        <f>IF(AND($F733="",$G733=""),"",IF($F733="","창고전용",IF($G733&lt;&gt;"","매칭완료",IF($D733="반제품","반제품(창고없음)",IF($D733="완제품","완제품(창고없음)",IF($D733="원자재","⚠ 원자재_부서보관","미분류"))))))</f>
        <v/>
      </c>
      <c r="I733" s="79">
        <f>IFERROR(IF(INDIRECT("'"&amp;$O733&amp;"'!P"&amp;$N733)=0,"",INDIRECT("'"&amp;$O733&amp;"'!P"&amp;$N733)),"")</f>
        <v/>
      </c>
      <c r="J733" s="61" t="inlineStr">
        <is>
          <t>DX-7020 / 20cm Aming Light 트리거 식 _ 덴탈 용 (영국용) (gray)</t>
        </is>
      </c>
      <c r="K733" s="61" t="inlineStr">
        <is>
          <t>COCOON 70KV 2mA / 20cm Gray [덴탈 / 트리거 에이밍라이트]</t>
        </is>
      </c>
      <c r="L733" s="83">
        <f>HYPERLINK("#'"&amp;$O733&amp;"'!A"&amp;$N733,"→ 조립완제품 R"&amp;$N733)</f>
        <v/>
      </c>
      <c r="M733" s="84" t="n"/>
      <c r="N733" s="80" t="n">
        <v>40</v>
      </c>
      <c r="O733" s="80" t="inlineStr">
        <is>
          <t>조립완제품_재고현황</t>
        </is>
      </c>
    </row>
    <row r="734" ht="30" customHeight="1">
      <c r="A734" s="59" t="inlineStr">
        <is>
          <t>완제품</t>
        </is>
      </c>
      <c r="B734" s="52" t="inlineStr">
        <is>
          <t>완제품 본체</t>
        </is>
      </c>
      <c r="C734" s="52" t="inlineStr">
        <is>
          <t>COCOON</t>
        </is>
      </c>
      <c r="D734" s="79">
        <f>IF(INDIRECT("'"&amp;$O734&amp;"'!F"&amp;$N734)="O","원자재",IF(INDIRECT("'"&amp;$O734&amp;"'!G"&amp;$N734)="O","반제품",IF(INDIRECT("'"&amp;$O734&amp;"'!H"&amp;$N734)="O","완제품","")))</f>
        <v/>
      </c>
      <c r="E734" s="79">
        <f>IFERROR(IF(INDIRECT("'"&amp;$O734&amp;"'!I"&amp;$N734)=0,"",INDIRECT("'"&amp;$O734&amp;"'!I"&amp;$N734)),"")</f>
        <v/>
      </c>
      <c r="F734" s="52" t="inlineStr">
        <is>
          <t>DX-7020 / 18cm Aming Light 트리거 식 _ Carestream</t>
        </is>
      </c>
      <c r="G734" s="52" t="n"/>
      <c r="H734" s="79">
        <f>IF(AND($F734="",$G734=""),"",IF($F734="","창고전용",IF($G734&lt;&gt;"","매칭완료",IF($D734="반제품","반제품(창고없음)",IF($D734="완제품","완제품(창고없음)",IF($D734="원자재","⚠ 원자재_부서보관","미분류"))))))</f>
        <v/>
      </c>
      <c r="I734" s="79">
        <f>IFERROR(IF(INDIRECT("'"&amp;$O734&amp;"'!P"&amp;$N734)=0,"",INDIRECT("'"&amp;$O734&amp;"'!P"&amp;$N734)),"")</f>
        <v/>
      </c>
      <c r="J734" s="65" t="inlineStr">
        <is>
          <t>DX-7020 / 18cm Aming Light 트리거 식 _ Carestream</t>
        </is>
      </c>
      <c r="K734" s="65" t="inlineStr">
        <is>
          <t>COCOON 70KV 2mA / 18cm White [Carestream 덴탈 / 트리거 에이밍라이트]</t>
        </is>
      </c>
      <c r="L734" s="83">
        <f>HYPERLINK("#'"&amp;$O734&amp;"'!A"&amp;$N734,"→ 조립완제품 R"&amp;$N734)</f>
        <v/>
      </c>
      <c r="M734" s="84" t="n"/>
      <c r="N734" s="80" t="n">
        <v>41</v>
      </c>
      <c r="O734" s="80" t="inlineStr">
        <is>
          <t>조립완제품_재고현황</t>
        </is>
      </c>
    </row>
    <row r="735" ht="30" customHeight="1">
      <c r="A735" s="59" t="inlineStr">
        <is>
          <t>완제품</t>
        </is>
      </c>
      <c r="B735" s="52" t="inlineStr">
        <is>
          <t>완제품 본체</t>
        </is>
      </c>
      <c r="C735" s="52" t="inlineStr">
        <is>
          <t>SOLO</t>
        </is>
      </c>
      <c r="D735" s="79">
        <f>IF(INDIRECT("'"&amp;$O735&amp;"'!F"&amp;$N735)="O","원자재",IF(INDIRECT("'"&amp;$O735&amp;"'!G"&amp;$N735)="O","반제품",IF(INDIRECT("'"&amp;$O735&amp;"'!H"&amp;$N735)="O","완제품","")))</f>
        <v/>
      </c>
      <c r="E735" s="79">
        <f>IFERROR(IF(INDIRECT("'"&amp;$O735&amp;"'!I"&amp;$N735)=0,"",INDIRECT("'"&amp;$O735&amp;"'!I"&amp;$N735)),"")</f>
        <v/>
      </c>
      <c r="F735" s="52" t="inlineStr">
        <is>
          <t>DX-7020s / 18cm 덴탈_Aming Light_트리거식 (Black)</t>
        </is>
      </c>
      <c r="G735" s="52" t="n"/>
      <c r="H735" s="79">
        <f>IF(AND($F735="",$G735=""),"",IF($F735="","창고전용",IF($G735&lt;&gt;"","매칭완료",IF($D735="반제품","반제품(창고없음)",IF($D735="완제품","완제품(창고없음)",IF($D735="원자재","⚠ 원자재_부서보관","미분류"))))))</f>
        <v/>
      </c>
      <c r="I735" s="79">
        <f>IFERROR(IF(INDIRECT("'"&amp;$O735&amp;"'!P"&amp;$N735)=0,"",INDIRECT("'"&amp;$O735&amp;"'!P"&amp;$N735)),"")</f>
        <v/>
      </c>
      <c r="J735" s="61" t="inlineStr">
        <is>
          <t>DX-7020s / 18cm 덴탈_Aming Light_트리거식 (Black)</t>
        </is>
      </c>
      <c r="K735" s="61" t="inlineStr">
        <is>
          <t>SOLO 70KV, 2mA / 18cm Black [트리거 에이밍라이트]</t>
        </is>
      </c>
      <c r="L735" s="83">
        <f>HYPERLINK("#'"&amp;$O735&amp;"'!A"&amp;$N735,"→ 조립완제품 R"&amp;$N735)</f>
        <v/>
      </c>
      <c r="M735" s="84" t="n"/>
      <c r="N735" s="80" t="n">
        <v>42</v>
      </c>
      <c r="O735" s="80" t="inlineStr">
        <is>
          <t>조립완제품_재고현황</t>
        </is>
      </c>
    </row>
    <row r="736" ht="30" customHeight="1">
      <c r="A736" s="59" t="inlineStr">
        <is>
          <t>완제품</t>
        </is>
      </c>
      <c r="B736" s="52" t="inlineStr">
        <is>
          <t>완제품 본체</t>
        </is>
      </c>
      <c r="C736" s="52" t="inlineStr">
        <is>
          <t>SOLO</t>
        </is>
      </c>
      <c r="D736" s="79">
        <f>IF(INDIRECT("'"&amp;$O736&amp;"'!F"&amp;$N736)="O","원자재",IF(INDIRECT("'"&amp;$O736&amp;"'!G"&amp;$N736)="O","반제품",IF(INDIRECT("'"&amp;$O736&amp;"'!H"&amp;$N736)="O","완제품","")))</f>
        <v/>
      </c>
      <c r="E736" s="79">
        <f>IFERROR(IF(INDIRECT("'"&amp;$O736&amp;"'!I"&amp;$N736)=0,"",INDIRECT("'"&amp;$O736&amp;"'!I"&amp;$N736)),"")</f>
        <v/>
      </c>
      <c r="F736" s="52" t="inlineStr">
        <is>
          <t>DX-7020s / 20cm 덴탈_Aming Light_트리거식 (Black)</t>
        </is>
      </c>
      <c r="G736" s="52" t="n"/>
      <c r="H736" s="79">
        <f>IF(AND($F736="",$G736=""),"",IF($F736="","창고전용",IF($G736&lt;&gt;"","매칭완료",IF($D736="반제품","반제품(창고없음)",IF($D736="완제품","완제품(창고없음)",IF($D736="원자재","⚠ 원자재_부서보관","미분류"))))))</f>
        <v/>
      </c>
      <c r="I736" s="79">
        <f>IFERROR(IF(INDIRECT("'"&amp;$O736&amp;"'!P"&amp;$N736)=0,"",INDIRECT("'"&amp;$O736&amp;"'!P"&amp;$N736)),"")</f>
        <v/>
      </c>
      <c r="J736" s="61" t="inlineStr">
        <is>
          <t>DX-7020s / 20cm 덴탈_Aming Light_트리거식 (Black)</t>
        </is>
      </c>
      <c r="K736" s="65" t="inlineStr">
        <is>
          <t>SOLO 70KV, 2mA / 20cm Black [트리거 에이밍라이트]</t>
        </is>
      </c>
      <c r="L736" s="83">
        <f>HYPERLINK("#'"&amp;$O736&amp;"'!A"&amp;$N736,"→ 조립완제품 R"&amp;$N736)</f>
        <v/>
      </c>
      <c r="M736" s="84" t="n"/>
      <c r="N736" s="80" t="n">
        <v>43</v>
      </c>
      <c r="O736" s="80" t="inlineStr">
        <is>
          <t>조립완제품_재고현황</t>
        </is>
      </c>
    </row>
    <row r="737" ht="30" customHeight="1">
      <c r="A737" s="53" t="inlineStr">
        <is>
          <t>창고전용</t>
        </is>
      </c>
      <c r="B737" s="52" t="inlineStr">
        <is>
          <t>필라멘트</t>
        </is>
      </c>
      <c r="C737" s="52" t="inlineStr">
        <is>
          <t>DXDR-100</t>
        </is>
      </c>
      <c r="D737" s="79">
        <f>IF(INDIRECT("'"&amp;$O737&amp;"'!F"&amp;$N737)="O","원자재",IF(INDIRECT("'"&amp;$O737&amp;"'!G"&amp;$N737)="O","반제품",IF(INDIRECT("'"&amp;$O737&amp;"'!H"&amp;$N737)="O","완제품","")))</f>
        <v/>
      </c>
      <c r="E737" s="79">
        <f>IFERROR(IF(INDIRECT("'"&amp;$O737&amp;"'!I"&amp;$N737)=0,"",INDIRECT("'"&amp;$O737&amp;"'!I"&amp;$N737)),"")</f>
        <v/>
      </c>
      <c r="F737" s="52" t="n"/>
      <c r="G737" s="52" t="inlineStr">
        <is>
          <t>텅스텐 필라멘트 [DXDR-100]</t>
        </is>
      </c>
      <c r="H737" s="79">
        <f>IF(AND($F737="",$G737=""),"",IF($F737="","창고전용",IF($G737&lt;&gt;"","매칭완료",IF($D737="반제품","반제품(창고없음)",IF($D737="완제품","완제품(창고없음)",IF($D737="원자재","⚠ 원자재_부서보관","미분류"))))))</f>
        <v/>
      </c>
      <c r="I737" s="79">
        <f>IFERROR(IF(INDIRECT("'"&amp;$O737&amp;"'!P"&amp;$N737)=0,"",INDIRECT("'"&amp;$O737&amp;"'!P"&amp;$N737)),"")</f>
        <v/>
      </c>
      <c r="J737" s="61" t="inlineStr">
        <is>
          <t>텅스텐 필라멘트 [DXDR-100]</t>
        </is>
      </c>
      <c r="K737" s="65" t="inlineStr">
        <is>
          <t>텅스텐 필라멘트 [DXDR-100]</t>
        </is>
      </c>
      <c r="L737" s="106">
        <f>HYPERLINK("#'"&amp;$O737&amp;"'!A"&amp;$N737,"→ 창고 R"&amp;$N737)</f>
        <v/>
      </c>
      <c r="M737" s="84" t="n"/>
      <c r="N737" s="107" t="n">
        <v>155</v>
      </c>
      <c r="O737" s="107" t="inlineStr">
        <is>
          <t>창고_재고현황</t>
        </is>
      </c>
    </row>
    <row r="738" ht="30" customHeight="1">
      <c r="A738" s="53" t="inlineStr">
        <is>
          <t>창고전용</t>
        </is>
      </c>
      <c r="B738" s="52" t="inlineStr">
        <is>
          <t>세라믹</t>
        </is>
      </c>
      <c r="C738" s="52" t="inlineStr">
        <is>
          <t>COCOON, ADX6000</t>
        </is>
      </c>
      <c r="D738" s="79">
        <f>IF(INDIRECT("'"&amp;$O738&amp;"'!F"&amp;$N738)="O","원자재",IF(INDIRECT("'"&amp;$O738&amp;"'!G"&amp;$N738)="O","반제품",IF(INDIRECT("'"&amp;$O738&amp;"'!H"&amp;$N738)="O","완제품","")))</f>
        <v/>
      </c>
      <c r="E738" s="79">
        <f>IFERROR(IF(INDIRECT("'"&amp;$O738&amp;"'!I"&amp;$N738)=0,"",INDIRECT("'"&amp;$O738&amp;"'!I"&amp;$N738)),"")</f>
        <v/>
      </c>
      <c r="F738" s="52" t="n"/>
      <c r="G738" s="52" t="inlineStr">
        <is>
          <t>세라믹 작은 콘덴서 Vishay (HVCC203Y6P681MCAX) [COCOON, ADX6000]</t>
        </is>
      </c>
      <c r="H738" s="79">
        <f>IF(AND($F738="",$G738=""),"",IF($F738="","창고전용",IF($G738&lt;&gt;"","매칭완료",IF($D738="반제품","반제품(창고없음)",IF($D738="완제품","완제품(창고없음)",IF($D738="원자재","⚠ 원자재_부서보관","미분류"))))))</f>
        <v/>
      </c>
      <c r="I738" s="79">
        <f>IFERROR(IF(INDIRECT("'"&amp;$O738&amp;"'!P"&amp;$N738)=0,"",INDIRECT("'"&amp;$O738&amp;"'!P"&amp;$N738)),"")</f>
        <v/>
      </c>
      <c r="J738" s="65" t="inlineStr">
        <is>
          <t>세라믹 작은 콘덴서 Vishay (HVCC203Y6P681MCAX) [COCOON, ADX6000]</t>
        </is>
      </c>
      <c r="K738" s="65" t="inlineStr">
        <is>
          <t>세라믹 작은 콘덴서 Vishay (HVCC203Y6P681MCAX) [COCOON, ADX6000]</t>
        </is>
      </c>
      <c r="L738" s="106">
        <f>HYPERLINK("#'"&amp;$O738&amp;"'!A"&amp;$N738,"→ 창고 R"&amp;$N738)</f>
        <v/>
      </c>
      <c r="M738" s="84" t="n"/>
      <c r="N738" s="107" t="n">
        <v>172</v>
      </c>
      <c r="O738" s="107" t="inlineStr">
        <is>
          <t>창고_재고현황</t>
        </is>
      </c>
    </row>
    <row r="739" ht="30" customHeight="1">
      <c r="A739" s="53" t="inlineStr">
        <is>
          <t>창고전용</t>
        </is>
      </c>
      <c r="B739" s="52" t="inlineStr">
        <is>
          <t>CABLE</t>
        </is>
      </c>
      <c r="C739" s="52" t="inlineStr">
        <is>
          <t>SOLO</t>
        </is>
      </c>
      <c r="D739" s="79">
        <f>IF(INDIRECT("'"&amp;$O739&amp;"'!F"&amp;$N739)="O","원자재",IF(INDIRECT("'"&amp;$O739&amp;"'!G"&amp;$N739)="O","반제품",IF(INDIRECT("'"&amp;$O739&amp;"'!H"&amp;$N739)="O","완제품","")))</f>
        <v/>
      </c>
      <c r="E739" s="79">
        <f>IFERROR(IF(INDIRECT("'"&amp;$O739&amp;"'!I"&amp;$N739)=0,"",INDIRECT("'"&amp;$O739&amp;"'!I"&amp;$N739)),"")</f>
        <v/>
      </c>
      <c r="F739" s="52" t="n"/>
      <c r="G739" s="52" t="inlineStr">
        <is>
          <t>히터트랜스용 고압선(흰색) (DSI HV CABLE 2178) [SOLO]</t>
        </is>
      </c>
      <c r="H739" s="79">
        <f>IF(AND($F739="",$G739=""),"",IF($F739="","창고전용",IF($G739&lt;&gt;"","매칭완료",IF($D739="반제품","반제품(창고없음)",IF($D739="완제품","완제품(창고없음)",IF($D739="원자재","⚠ 원자재_부서보관","미분류"))))))</f>
        <v/>
      </c>
      <c r="I739" s="79">
        <f>IFERROR(IF(INDIRECT("'"&amp;$O739&amp;"'!P"&amp;$N739)=0,"",INDIRECT("'"&amp;$O739&amp;"'!P"&amp;$N739)),"")</f>
        <v/>
      </c>
      <c r="J739" s="65" t="inlineStr">
        <is>
          <t>히터트랜스용 고압선(흰색) (DSI HV CABLE 2178) [SOLO]</t>
        </is>
      </c>
      <c r="K739" s="65" t="inlineStr">
        <is>
          <t>히터트랜스용 고압선(흰색) (DSI HV CABLE 2178) [SOLO]</t>
        </is>
      </c>
      <c r="L739" s="106">
        <f>HYPERLINK("#'"&amp;$O739&amp;"'!A"&amp;$N739,"→ 창고 R"&amp;$N739)</f>
        <v/>
      </c>
      <c r="M739" s="84" t="n"/>
      <c r="N739" s="107" t="n">
        <v>178</v>
      </c>
      <c r="O739" s="107" t="inlineStr">
        <is>
          <t>창고_재고현황</t>
        </is>
      </c>
    </row>
    <row r="740" ht="30" customHeight="1">
      <c r="A740" s="53" t="inlineStr">
        <is>
          <t>창고전용</t>
        </is>
      </c>
      <c r="B740" s="52" t="inlineStr">
        <is>
          <t>PCB</t>
        </is>
      </c>
      <c r="C740" s="52" t="inlineStr">
        <is>
          <t>DX3000</t>
        </is>
      </c>
      <c r="D740" s="79">
        <f>IF(INDIRECT("'"&amp;$O740&amp;"'!F"&amp;$N740)="O","원자재",IF(INDIRECT("'"&amp;$O740&amp;"'!G"&amp;$N740)="O","반제품",IF(INDIRECT("'"&amp;$O740&amp;"'!H"&amp;$N740)="O","완제품","")))</f>
        <v/>
      </c>
      <c r="E740" s="79">
        <f>IFERROR(IF(INDIRECT("'"&amp;$O740&amp;"'!I"&amp;$N740)=0,"",INDIRECT("'"&amp;$O740&amp;"'!I"&amp;$N740)),"")</f>
        <v/>
      </c>
      <c r="F740" s="52" t="n"/>
      <c r="G740" s="52" t="inlineStr">
        <is>
          <t>OLED B/D (듀얼) [DX3000]</t>
        </is>
      </c>
      <c r="H740" s="79">
        <f>IF(AND($F740="",$G740=""),"",IF($F740="","창고전용",IF($G740&lt;&gt;"","매칭완료",IF($D740="반제품","반제품(창고없음)",IF($D740="완제품","완제품(창고없음)",IF($D740="원자재","⚠ 원자재_부서보관","미분류"))))))</f>
        <v/>
      </c>
      <c r="I740" s="79">
        <f>IFERROR(IF(INDIRECT("'"&amp;$O740&amp;"'!P"&amp;$N740)=0,"",INDIRECT("'"&amp;$O740&amp;"'!P"&amp;$N740)),"")</f>
        <v/>
      </c>
      <c r="J740" s="61" t="inlineStr">
        <is>
          <t>OLED B/D (듀얼) [DX3000]</t>
        </is>
      </c>
      <c r="K740" s="65" t="inlineStr">
        <is>
          <t>DX3000 OLED BD (듀얼 슬라이드)</t>
        </is>
      </c>
      <c r="L740" s="106">
        <f>HYPERLINK("#'"&amp;$O740&amp;"'!A"&amp;$N740,"→ 창고 R"&amp;$N740)</f>
        <v/>
      </c>
      <c r="M740" s="84" t="n"/>
      <c r="N740" s="107" t="n">
        <v>200</v>
      </c>
      <c r="O740" s="107" t="inlineStr">
        <is>
          <t>창고_재고현황</t>
        </is>
      </c>
    </row>
    <row r="741" ht="30" customHeight="1">
      <c r="A741" s="53" t="inlineStr">
        <is>
          <t>창고전용</t>
        </is>
      </c>
      <c r="B741" s="52" t="inlineStr">
        <is>
          <t>PCB</t>
        </is>
      </c>
      <c r="C741" s="52" t="inlineStr">
        <is>
          <t>DX3000</t>
        </is>
      </c>
      <c r="D741" s="79">
        <f>IF(INDIRECT("'"&amp;$O741&amp;"'!F"&amp;$N741)="O","원자재",IF(INDIRECT("'"&amp;$O741&amp;"'!G"&amp;$N741)="O","반제품",IF(INDIRECT("'"&amp;$O741&amp;"'!H"&amp;$N741)="O","완제품","")))</f>
        <v/>
      </c>
      <c r="E741" s="79">
        <f>IFERROR(IF(INDIRECT("'"&amp;$O741&amp;"'!I"&amp;$N741)=0,"",INDIRECT("'"&amp;$O741&amp;"'!I"&amp;$N741)),"")</f>
        <v/>
      </c>
      <c r="F741" s="52" t="n"/>
      <c r="G741" s="52" t="inlineStr">
        <is>
          <t>RELAY 쪽 보드 [DX3000]</t>
        </is>
      </c>
      <c r="H741" s="79">
        <f>IF(AND($F741="",$G741=""),"",IF($F741="","창고전용",IF($G741&lt;&gt;"","매칭완료",IF($D741="반제품","반제품(창고없음)",IF($D741="완제품","완제품(창고없음)",IF($D741="원자재","⚠ 원자재_부서보관","미분류"))))))</f>
        <v/>
      </c>
      <c r="I741" s="79">
        <f>IFERROR(IF(INDIRECT("'"&amp;$O741&amp;"'!P"&amp;$N741)=0,"",INDIRECT("'"&amp;$O741&amp;"'!P"&amp;$N741)),"")</f>
        <v/>
      </c>
      <c r="J741" s="61" t="inlineStr">
        <is>
          <t>RELAY 쪽 보드 [DX3000]</t>
        </is>
      </c>
      <c r="K741" s="65" t="inlineStr">
        <is>
          <t>DX3000 RELAY 쪽보드</t>
        </is>
      </c>
      <c r="L741" s="106">
        <f>HYPERLINK("#'"&amp;$O741&amp;"'!A"&amp;$N741,"→ 창고 R"&amp;$N741)</f>
        <v/>
      </c>
      <c r="M741" s="84" t="n"/>
      <c r="N741" s="107" t="n">
        <v>201</v>
      </c>
      <c r="O741" s="107" t="inlineStr">
        <is>
          <t>창고_재고현황</t>
        </is>
      </c>
    </row>
    <row r="742" ht="30" customHeight="1">
      <c r="A742" s="53" t="inlineStr">
        <is>
          <t>창고전용</t>
        </is>
      </c>
      <c r="B742" s="52" t="inlineStr">
        <is>
          <t>CABLE</t>
        </is>
      </c>
      <c r="C742" s="52" t="inlineStr">
        <is>
          <t>DX3000</t>
        </is>
      </c>
      <c r="D742" s="79">
        <f>IF(INDIRECT("'"&amp;$O742&amp;"'!F"&amp;$N742)="O","원자재",IF(INDIRECT("'"&amp;$O742&amp;"'!G"&amp;$N742)="O","반제품",IF(INDIRECT("'"&amp;$O742&amp;"'!H"&amp;$N742)="O","완제품","")))</f>
        <v/>
      </c>
      <c r="E742" s="79">
        <f>IFERROR(IF(INDIRECT("'"&amp;$O742&amp;"'!I"&amp;$N742)=0,"",INDIRECT("'"&amp;$O742&amp;"'!I"&amp;$N742)),"")</f>
        <v/>
      </c>
      <c r="F742" s="52" t="n"/>
      <c r="G742" s="52" t="inlineStr">
        <is>
          <t>하네스 4번 (후면 전원 Wire - DC 잭) [DX3000]</t>
        </is>
      </c>
      <c r="H742" s="79">
        <f>IF(AND($F742="",$G742=""),"",IF($F742="","창고전용",IF($G742&lt;&gt;"","매칭완료",IF($D742="반제품","반제품(창고없음)",IF($D742="완제품","완제품(창고없음)",IF($D742="원자재","⚠ 원자재_부서보관","미분류"))))))</f>
        <v/>
      </c>
      <c r="I742" s="79">
        <f>IFERROR(IF(INDIRECT("'"&amp;$O742&amp;"'!P"&amp;$N742)=0,"",INDIRECT("'"&amp;$O742&amp;"'!P"&amp;$N742)),"")</f>
        <v/>
      </c>
      <c r="J742" s="61" t="inlineStr">
        <is>
          <t>하네스 4번 (후면 전원 Wire - DC 잭) [DX3000]</t>
        </is>
      </c>
      <c r="K742" s="65" t="inlineStr">
        <is>
          <t>DX3000 후면전원 DC 잭 2핀 (YH369-02JR) 65mm [하네스 4번]</t>
        </is>
      </c>
      <c r="L742" s="106">
        <f>HYPERLINK("#'"&amp;$O742&amp;"'!A"&amp;$N742,"→ 창고 R"&amp;$N742)</f>
        <v/>
      </c>
      <c r="M742" s="84" t="n"/>
      <c r="N742" s="107" t="n">
        <v>202</v>
      </c>
      <c r="O742" s="107" t="inlineStr">
        <is>
          <t>창고_재고현황</t>
        </is>
      </c>
    </row>
    <row r="743" ht="30" customHeight="1">
      <c r="A743" s="53" t="inlineStr">
        <is>
          <t>창고전용</t>
        </is>
      </c>
      <c r="B743" s="52" t="inlineStr">
        <is>
          <t>CABLE</t>
        </is>
      </c>
      <c r="C743" s="52" t="inlineStr">
        <is>
          <t>DX3000</t>
        </is>
      </c>
      <c r="D743" s="79">
        <f>IF(INDIRECT("'"&amp;$O743&amp;"'!F"&amp;$N743)="O","원자재",IF(INDIRECT("'"&amp;$O743&amp;"'!G"&amp;$N743)="O","반제품",IF(INDIRECT("'"&amp;$O743&amp;"'!H"&amp;$N743)="O","완제품","")))</f>
        <v/>
      </c>
      <c r="E743" s="79">
        <f>IFERROR(IF(INDIRECT("'"&amp;$O743&amp;"'!I"&amp;$N743)=0,"",INDIRECT("'"&amp;$O743&amp;"'!I"&amp;$N743)),"")</f>
        <v/>
      </c>
      <c r="F743" s="52" t="n"/>
      <c r="G743" s="52" t="inlineStr">
        <is>
          <t>하네스 7번 (마그네틱보드 연결 4핀) [DX3000]</t>
        </is>
      </c>
      <c r="H743" s="79">
        <f>IF(AND($F743="",$G743=""),"",IF($F743="","창고전용",IF($G743&lt;&gt;"","매칭완료",IF($D743="반제품","반제품(창고없음)",IF($D743="완제품","완제품(창고없음)",IF($D743="원자재","⚠ 원자재_부서보관","미분류"))))))</f>
        <v/>
      </c>
      <c r="I743" s="79">
        <f>IFERROR(IF(INDIRECT("'"&amp;$O743&amp;"'!P"&amp;$N743)=0,"",INDIRECT("'"&amp;$O743&amp;"'!P"&amp;$N743)),"")</f>
        <v/>
      </c>
      <c r="J743" s="61" t="inlineStr">
        <is>
          <t>하네스 7번 (마그네틱보드 연결 4핀) [DX3000]</t>
        </is>
      </c>
      <c r="K743" s="65" t="inlineStr">
        <is>
          <t>DX3000 마그네틱보드 연결 4핀 (12505HS-04 2EA) 123mm [하네스 7번]</t>
        </is>
      </c>
      <c r="L743" s="106">
        <f>HYPERLINK("#'"&amp;$O743&amp;"'!A"&amp;$N743,"→ 창고 R"&amp;$N743)</f>
        <v/>
      </c>
      <c r="M743" s="84" t="n"/>
      <c r="N743" s="107" t="n">
        <v>203</v>
      </c>
      <c r="O743" s="107" t="inlineStr">
        <is>
          <t>창고_재고현황</t>
        </is>
      </c>
    </row>
    <row r="744" ht="30" customHeight="1">
      <c r="A744" s="53" t="inlineStr">
        <is>
          <t>창고전용</t>
        </is>
      </c>
      <c r="B744" s="52" t="inlineStr">
        <is>
          <t>ABS 난연</t>
        </is>
      </c>
      <c r="C744" s="52" t="inlineStr">
        <is>
          <t>DX3000</t>
        </is>
      </c>
      <c r="D744" s="79">
        <f>IF(INDIRECT("'"&amp;$O744&amp;"'!F"&amp;$N744)="O","원자재",IF(INDIRECT("'"&amp;$O744&amp;"'!G"&amp;$N744)="O","반제품",IF(INDIRECT("'"&amp;$O744&amp;"'!H"&amp;$N744)="O","완제품","")))</f>
        <v/>
      </c>
      <c r="E744" s="79">
        <f>IFERROR(IF(INDIRECT("'"&amp;$O744&amp;"'!I"&amp;$N744)=0,"",INDIRECT("'"&amp;$O744&amp;"'!I"&amp;$N744)),"")</f>
        <v/>
      </c>
      <c r="F744" s="52" t="n"/>
      <c r="G744" s="52" t="inlineStr">
        <is>
          <t>LCD GUIDE (사파리) [DX3000]</t>
        </is>
      </c>
      <c r="H744" s="79">
        <f>IF(AND($F744="",$G744=""),"",IF($F744="","창고전용",IF($G744&lt;&gt;"","매칭완료",IF($D744="반제품","반제품(창고없음)",IF($D744="완제품","완제품(창고없음)",IF($D744="원자재","⚠ 원자재_부서보관","미분류"))))))</f>
        <v/>
      </c>
      <c r="I744" s="79">
        <f>IFERROR(IF(INDIRECT("'"&amp;$O744&amp;"'!P"&amp;$N744)=0,"",INDIRECT("'"&amp;$O744&amp;"'!P"&amp;$N744)),"")</f>
        <v/>
      </c>
      <c r="J744" s="61" t="inlineStr">
        <is>
          <t>LCD GUIDE (사파리) [DX3000]</t>
        </is>
      </c>
      <c r="K744" s="65" t="inlineStr">
        <is>
          <t>DX3000 LCD GUIDE (반투명) - 사파리 덴탈용</t>
        </is>
      </c>
      <c r="L744" s="106">
        <f>HYPERLINK("#'"&amp;$O744&amp;"'!A"&amp;$N744,"→ 창고 R"&amp;$N744)</f>
        <v/>
      </c>
      <c r="M744" s="84" t="n"/>
      <c r="N744" s="107" t="n">
        <v>204</v>
      </c>
      <c r="O744" s="107" t="inlineStr">
        <is>
          <t>창고_재고현황</t>
        </is>
      </c>
    </row>
    <row r="745" ht="30" customHeight="1">
      <c r="A745" s="53" t="inlineStr">
        <is>
          <t>창고전용</t>
        </is>
      </c>
      <c r="B745" s="52" t="inlineStr">
        <is>
          <t>ABS 난연</t>
        </is>
      </c>
      <c r="C745" s="52" t="inlineStr">
        <is>
          <t>DX3000</t>
        </is>
      </c>
      <c r="D745" s="79">
        <f>IF(INDIRECT("'"&amp;$O745&amp;"'!F"&amp;$N745)="O","원자재",IF(INDIRECT("'"&amp;$O745&amp;"'!G"&amp;$N745)="O","반제품",IF(INDIRECT("'"&amp;$O745&amp;"'!H"&amp;$N745)="O","완제품","")))</f>
        <v/>
      </c>
      <c r="E745" s="79">
        <f>IFERROR(IF(INDIRECT("'"&amp;$O745&amp;"'!I"&amp;$N745)=0,"",INDIRECT("'"&amp;$O745&amp;"'!I"&amp;$N745)),"")</f>
        <v/>
      </c>
      <c r="F745" s="52" t="n"/>
      <c r="G745" s="52" t="inlineStr">
        <is>
          <t>FRONT COVER (듀얼 슬라이드) (ABS 난연 블랙 (홀작업 완료)) [DX3000]</t>
        </is>
      </c>
      <c r="H745" s="79">
        <f>IF(AND($F745="",$G745=""),"",IF($F745="","창고전용",IF($G745&lt;&gt;"","매칭완료",IF($D745="반제품","반제품(창고없음)",IF($D745="완제품","완제품(창고없음)",IF($D745="원자재","⚠ 원자재_부서보관","미분류"))))))</f>
        <v/>
      </c>
      <c r="I745" s="79">
        <f>IFERROR(IF(INDIRECT("'"&amp;$O745&amp;"'!P"&amp;$N745)=0,"",INDIRECT("'"&amp;$O745&amp;"'!P"&amp;$N745)),"")</f>
        <v/>
      </c>
      <c r="J745" s="61" t="inlineStr">
        <is>
          <t>FRONT COVER (듀얼 슬라이드) (ABS 난연 블랙 (홀작업 완료)) [DX3000]</t>
        </is>
      </c>
      <c r="K745" s="65" t="inlineStr">
        <is>
          <t>DX3000 FRONT COVER (듀얼 슬라이드 (외부배터리용 홀)) AS용</t>
        </is>
      </c>
      <c r="L745" s="106">
        <f>HYPERLINK("#'"&amp;$O745&amp;"'!A"&amp;$N745,"→ 창고 R"&amp;$N745)</f>
        <v/>
      </c>
      <c r="M745" s="84" t="n"/>
      <c r="N745" s="107" t="n">
        <v>205</v>
      </c>
      <c r="O745" s="107" t="inlineStr">
        <is>
          <t>창고_재고현황</t>
        </is>
      </c>
    </row>
    <row r="746" ht="30" customHeight="1">
      <c r="A746" s="53" t="inlineStr">
        <is>
          <t>창고전용</t>
        </is>
      </c>
      <c r="B746" s="52" t="inlineStr">
        <is>
          <t>ABS 난연</t>
        </is>
      </c>
      <c r="C746" s="52" t="inlineStr">
        <is>
          <t>DX3000</t>
        </is>
      </c>
      <c r="D746" s="79">
        <f>IF(INDIRECT("'"&amp;$O746&amp;"'!F"&amp;$N746)="O","원자재",IF(INDIRECT("'"&amp;$O746&amp;"'!G"&amp;$N746)="O","반제품",IF(INDIRECT("'"&amp;$O746&amp;"'!H"&amp;$N746)="O","완제품","")))</f>
        <v/>
      </c>
      <c r="E746" s="79">
        <f>IFERROR(IF(INDIRECT("'"&amp;$O746&amp;"'!I"&amp;$N746)=0,"",INDIRECT("'"&amp;$O746&amp;"'!I"&amp;$N746)),"")</f>
        <v/>
      </c>
      <c r="F746" s="52" t="n"/>
      <c r="G746" s="52" t="inlineStr">
        <is>
          <t>X-CAP 체결형 (구형, 일본용) (ABS 난연 화이트 + 진한 회색) [DX3000]</t>
        </is>
      </c>
      <c r="H746" s="79">
        <f>IF(AND($F746="",$G746=""),"",IF($F746="","창고전용",IF($G746&lt;&gt;"","매칭완료",IF($D746="반제품","반제품(창고없음)",IF($D746="완제품","완제품(창고없음)",IF($D746="원자재","⚠ 원자재_부서보관","미분류"))))))</f>
        <v/>
      </c>
      <c r="I746" s="79">
        <f>IFERROR(IF(INDIRECT("'"&amp;$O746&amp;"'!P"&amp;$N746)=0,"",INDIRECT("'"&amp;$O746&amp;"'!P"&amp;$N746)),"")</f>
        <v/>
      </c>
      <c r="J746" s="61" t="inlineStr">
        <is>
          <t>X-CAP 체결형 (구형, 일본용) (ABS 난연 화이트 + 진한 회색) [DX3000]</t>
        </is>
      </c>
      <c r="K746" s="65" t="inlineStr">
        <is>
          <t>DX3000 X-CAP 체결형 (구형 폭 좁음) AS용</t>
        </is>
      </c>
      <c r="L746" s="106">
        <f>HYPERLINK("#'"&amp;$O746&amp;"'!A"&amp;$N746,"→ 창고 R"&amp;$N746)</f>
        <v/>
      </c>
      <c r="M746" s="84" t="n"/>
      <c r="N746" s="107" t="n">
        <v>206</v>
      </c>
      <c r="O746" s="107" t="inlineStr">
        <is>
          <t>창고_재고현황</t>
        </is>
      </c>
    </row>
    <row r="747" ht="30" customHeight="1">
      <c r="A747" s="53" t="inlineStr">
        <is>
          <t>창고전용</t>
        </is>
      </c>
      <c r="B747" s="52" t="inlineStr">
        <is>
          <t>ABS 난연</t>
        </is>
      </c>
      <c r="C747" s="52" t="inlineStr">
        <is>
          <t>DX3000</t>
        </is>
      </c>
      <c r="D747" s="79">
        <f>IF(INDIRECT("'"&amp;$O747&amp;"'!F"&amp;$N747)="O","원자재",IF(INDIRECT("'"&amp;$O747&amp;"'!G"&amp;$N747)="O","반제품",IF(INDIRECT("'"&amp;$O747&amp;"'!H"&amp;$N747)="O","완제품","")))</f>
        <v/>
      </c>
      <c r="E747" s="79">
        <f>IFERROR(IF(INDIRECT("'"&amp;$O747&amp;"'!I"&amp;$N747)=0,"",INDIRECT("'"&amp;$O747&amp;"'!I"&amp;$N747)),"")</f>
        <v/>
      </c>
      <c r="F747" s="52" t="n"/>
      <c r="G747" s="52" t="inlineStr">
        <is>
          <t>X-CAP 체결형 스프레이 X (구형, 일본용) (ABS 난연 화이트) [DX3000]</t>
        </is>
      </c>
      <c r="H747" s="79">
        <f>IF(AND($F747="",$G747=""),"",IF($F747="","창고전용",IF($G747&lt;&gt;"","매칭완료",IF($D747="반제품","반제품(창고없음)",IF($D747="완제품","완제품(창고없음)",IF($D747="원자재","⚠ 원자재_부서보관","미분류"))))))</f>
        <v/>
      </c>
      <c r="I747" s="79">
        <f>IFERROR(IF(INDIRECT("'"&amp;$O747&amp;"'!P"&amp;$N747)=0,"",INDIRECT("'"&amp;$O747&amp;"'!P"&amp;$N747)),"")</f>
        <v/>
      </c>
      <c r="J747" s="61" t="inlineStr">
        <is>
          <t>X-CAP 체결형 스프레이 X (구형, 일본용) (ABS 난연 화이트) [DX3000]</t>
        </is>
      </c>
      <c r="K747" s="65" t="inlineStr">
        <is>
          <t>DX3000 X-CAP 체결형 (구형 폭 좁음) AS용 - 스프레이 X</t>
        </is>
      </c>
      <c r="L747" s="106">
        <f>HYPERLINK("#'"&amp;$O747&amp;"'!A"&amp;$N747,"→ 창고 R"&amp;$N747)</f>
        <v/>
      </c>
      <c r="M747" s="84" t="n"/>
      <c r="N747" s="107" t="n">
        <v>207</v>
      </c>
      <c r="O747" s="107" t="inlineStr">
        <is>
          <t>창고_재고현황</t>
        </is>
      </c>
    </row>
    <row r="748" ht="30" customHeight="1">
      <c r="A748" s="53" t="inlineStr">
        <is>
          <t>창고전용</t>
        </is>
      </c>
      <c r="B748" s="52" t="inlineStr">
        <is>
          <t>ABS 난연</t>
        </is>
      </c>
      <c r="C748" s="52" t="inlineStr">
        <is>
          <t>DX3000</t>
        </is>
      </c>
      <c r="D748" s="79">
        <f>IF(INDIRECT("'"&amp;$O748&amp;"'!F"&amp;$N748)="O","원자재",IF(INDIRECT("'"&amp;$O748&amp;"'!G"&amp;$N748)="O","반제품",IF(INDIRECT("'"&amp;$O748&amp;"'!H"&amp;$N748)="O","완제품","")))</f>
        <v/>
      </c>
      <c r="E748" s="79">
        <f>IFERROR(IF(INDIRECT("'"&amp;$O748&amp;"'!I"&amp;$N748)=0,"",INDIRECT("'"&amp;$O748&amp;"'!I"&amp;$N748)),"")</f>
        <v/>
      </c>
      <c r="F748" s="52" t="n"/>
      <c r="G748" s="52" t="inlineStr">
        <is>
          <t>CONE 젠더 (ABS 난연 블랙 + 블랙 무광) [DX3000]</t>
        </is>
      </c>
      <c r="H748" s="79">
        <f>IF(AND($F748="",$G748=""),"",IF($F748="","창고전용",IF($G748&lt;&gt;"","매칭완료",IF($D748="반제품","반제품(창고없음)",IF($D748="완제품","완제품(창고없음)",IF($D748="원자재","⚠ 원자재_부서보관","미분류"))))))</f>
        <v/>
      </c>
      <c r="I748" s="79">
        <f>IFERROR(IF(INDIRECT("'"&amp;$O748&amp;"'!P"&amp;$N748)=0,"",INDIRECT("'"&amp;$O748&amp;"'!P"&amp;$N748)),"")</f>
        <v/>
      </c>
      <c r="J748" s="61" t="inlineStr">
        <is>
          <t>CONE 젠더 (ABS 난연 블랙 + 블랙 무광) [DX3000]</t>
        </is>
      </c>
      <c r="K748" s="65" t="inlineStr">
        <is>
          <t>DX3000M CONE 젠더</t>
        </is>
      </c>
      <c r="L748" s="106">
        <f>HYPERLINK("#'"&amp;$O748&amp;"'!A"&amp;$N748,"→ 창고 R"&amp;$N748)</f>
        <v/>
      </c>
      <c r="M748" s="84" t="n"/>
      <c r="N748" s="107" t="n">
        <v>208</v>
      </c>
      <c r="O748" s="107" t="inlineStr">
        <is>
          <t>창고_재고현황</t>
        </is>
      </c>
    </row>
    <row r="749" ht="30" customHeight="1">
      <c r="A749" s="53" t="inlineStr">
        <is>
          <t>창고전용</t>
        </is>
      </c>
      <c r="B749" s="52" t="inlineStr">
        <is>
          <t>PCB</t>
        </is>
      </c>
      <c r="C749" s="52" t="inlineStr">
        <is>
          <t>COCOON</t>
        </is>
      </c>
      <c r="D749" s="79">
        <f>IF(INDIRECT("'"&amp;$O749&amp;"'!F"&amp;$N749)="O","원자재",IF(INDIRECT("'"&amp;$O749&amp;"'!G"&amp;$N749)="O","반제품",IF(INDIRECT("'"&amp;$O749&amp;"'!H"&amp;$N749)="O","완제품","")))</f>
        <v/>
      </c>
      <c r="E749" s="79">
        <f>IFERROR(IF(INDIRECT("'"&amp;$O749&amp;"'!I"&amp;$N749)=0,"",INDIRECT("'"&amp;$O749&amp;"'!I"&amp;$N749)),"")</f>
        <v/>
      </c>
      <c r="F749" s="52" t="n"/>
      <c r="G749" s="52" t="inlineStr">
        <is>
          <t>FET B/D (+ 56 (교체전)) [COCOON]</t>
        </is>
      </c>
      <c r="H749" s="79">
        <f>IF(AND($F749="",$G749=""),"",IF($F749="","창고전용",IF($G749&lt;&gt;"","매칭완료",IF($D749="반제품","반제품(창고없음)",IF($D749="완제품","완제품(창고없음)",IF($D749="원자재","⚠ 원자재_부서보관","미분류"))))))</f>
        <v/>
      </c>
      <c r="I749" s="79">
        <f>IFERROR(IF(INDIRECT("'"&amp;$O749&amp;"'!P"&amp;$N749)=0,"",INDIRECT("'"&amp;$O749&amp;"'!P"&amp;$N749)),"")</f>
        <v/>
      </c>
      <c r="J749" s="61" t="inlineStr">
        <is>
          <t>FET B/D (+ 56 (교체전)) [COCOON]</t>
        </is>
      </c>
      <c r="K749" s="65" t="inlineStr">
        <is>
          <t>COCOON FET BD (+56 교체전)</t>
        </is>
      </c>
      <c r="L749" s="106">
        <f>HYPERLINK("#'"&amp;$O749&amp;"'!A"&amp;$N749,"→ 창고 R"&amp;$N749)</f>
        <v/>
      </c>
      <c r="M749" s="84" t="n"/>
      <c r="N749" s="107" t="n">
        <v>210</v>
      </c>
      <c r="O749" s="107" t="inlineStr">
        <is>
          <t>창고_재고현황</t>
        </is>
      </c>
    </row>
    <row r="750" ht="30" customHeight="1">
      <c r="A750" s="53" t="inlineStr">
        <is>
          <t>창고전용</t>
        </is>
      </c>
      <c r="B750" s="52" t="inlineStr">
        <is>
          <t>PCB</t>
        </is>
      </c>
      <c r="C750" s="52" t="inlineStr">
        <is>
          <t>COCOON</t>
        </is>
      </c>
      <c r="D750" s="79">
        <f>IF(INDIRECT("'"&amp;$O750&amp;"'!F"&amp;$N750)="O","원자재",IF(INDIRECT("'"&amp;$O750&amp;"'!G"&amp;$N750)="O","반제품",IF(INDIRECT("'"&amp;$O750&amp;"'!H"&amp;$N750)="O","완제품","")))</f>
        <v/>
      </c>
      <c r="E750" s="79">
        <f>IFERROR(IF(INDIRECT("'"&amp;$O750&amp;"'!I"&amp;$N750)=0,"",INDIRECT("'"&amp;$O750&amp;"'!I"&amp;$N750)),"")</f>
        <v/>
      </c>
      <c r="F750" s="52" t="n"/>
      <c r="G750" s="52" t="inlineStr">
        <is>
          <t>OP &amp; TOUCH BD [COCOON]</t>
        </is>
      </c>
      <c r="H750" s="79">
        <f>IF(AND($F750="",$G750=""),"",IF($F750="","창고전용",IF($G750&lt;&gt;"","매칭완료",IF($D750="반제품","반제품(창고없음)",IF($D750="완제품","완제품(창고없음)",IF($D750="원자재","⚠ 원자재_부서보관","미분류"))))))</f>
        <v/>
      </c>
      <c r="I750" s="79">
        <f>IFERROR(IF(INDIRECT("'"&amp;$O750&amp;"'!P"&amp;$N750)=0,"",INDIRECT("'"&amp;$O750&amp;"'!P"&amp;$N750)),"")</f>
        <v/>
      </c>
      <c r="J750" s="61" t="inlineStr">
        <is>
          <t>OP &amp; TOUCH BD [COCOON]</t>
        </is>
      </c>
      <c r="K750" s="65" t="inlineStr">
        <is>
          <t>COCOON OP &amp; TOUCH BD (FFC Cable 방향 변경 전)</t>
        </is>
      </c>
      <c r="L750" s="106">
        <f>HYPERLINK("#'"&amp;$O750&amp;"'!A"&amp;$N750,"→ 창고 R"&amp;$N750)</f>
        <v/>
      </c>
      <c r="M750" s="84" t="n"/>
      <c r="N750" s="107" t="n">
        <v>216</v>
      </c>
      <c r="O750" s="107" t="inlineStr">
        <is>
          <t>창고_재고현황</t>
        </is>
      </c>
    </row>
    <row r="751" ht="30" customHeight="1">
      <c r="A751" s="53" t="inlineStr">
        <is>
          <t>창고전용</t>
        </is>
      </c>
      <c r="B751" s="52" t="inlineStr">
        <is>
          <t>ABS 난연</t>
        </is>
      </c>
      <c r="C751" s="52" t="inlineStr">
        <is>
          <t>COCOON</t>
        </is>
      </c>
      <c r="D751" s="79">
        <f>IF(INDIRECT("'"&amp;$O751&amp;"'!F"&amp;$N751)="O","원자재",IF(INDIRECT("'"&amp;$O751&amp;"'!G"&amp;$N751)="O","반제품",IF(INDIRECT("'"&amp;$O751&amp;"'!H"&amp;$N751)="O","완제품","")))</f>
        <v/>
      </c>
      <c r="E751" s="79">
        <f>IFERROR(IF(INDIRECT("'"&amp;$O751&amp;"'!I"&amp;$N751)=0,"",INDIRECT("'"&amp;$O751&amp;"'!I"&amp;$N751)),"")</f>
        <v/>
      </c>
      <c r="F751" s="52" t="n"/>
      <c r="G751" s="52" t="inlineStr">
        <is>
          <t>FRONT_S (18cm) (ABS 난연 블랙 + 블랙 무광) [COCOON]</t>
        </is>
      </c>
      <c r="H751" s="79">
        <f>IF(AND($F751="",$G751=""),"",IF($F751="","창고전용",IF($G751&lt;&gt;"","매칭완료",IF($D751="반제품","반제품(창고없음)",IF($D751="완제품","완제품(창고없음)",IF($D751="원자재","⚠ 원자재_부서보관","미분류"))))))</f>
        <v/>
      </c>
      <c r="I751" s="79">
        <f>IFERROR(IF(INDIRECT("'"&amp;$O751&amp;"'!P"&amp;$N751)=0,"",INDIRECT("'"&amp;$O751&amp;"'!P"&amp;$N751)),"")</f>
        <v/>
      </c>
      <c r="J751" s="61" t="inlineStr">
        <is>
          <t>FRONT_S (18cm) (ABS 난연 블랙 + 블랙 무광) [COCOON]</t>
        </is>
      </c>
      <c r="K751" s="65" t="inlineStr">
        <is>
          <t>COCOON 18cm FRONT_S (B 무광)</t>
        </is>
      </c>
      <c r="L751" s="106">
        <f>HYPERLINK("#'"&amp;$O751&amp;"'!A"&amp;$N751,"→ 창고 R"&amp;$N751)</f>
        <v/>
      </c>
      <c r="M751" s="84" t="n"/>
      <c r="N751" s="107" t="n">
        <v>273</v>
      </c>
      <c r="O751" s="107" t="inlineStr">
        <is>
          <t>창고_재고현황</t>
        </is>
      </c>
    </row>
    <row r="752" ht="30" customHeight="1">
      <c r="A752" s="53" t="inlineStr">
        <is>
          <t>창고전용</t>
        </is>
      </c>
      <c r="B752" s="52" t="inlineStr">
        <is>
          <t>ABS 난연</t>
        </is>
      </c>
      <c r="C752" s="52" t="inlineStr">
        <is>
          <t>SOLO</t>
        </is>
      </c>
      <c r="D752" s="79">
        <f>IF(INDIRECT("'"&amp;$O752&amp;"'!F"&amp;$N752)="O","원자재",IF(INDIRECT("'"&amp;$O752&amp;"'!G"&amp;$N752)="O","반제품",IF(INDIRECT("'"&amp;$O752&amp;"'!H"&amp;$N752)="O","완제품","")))</f>
        <v/>
      </c>
      <c r="E752" s="79">
        <f>IFERROR(IF(INDIRECT("'"&amp;$O752&amp;"'!I"&amp;$N752)=0,"",INDIRECT("'"&amp;$O752&amp;"'!I"&amp;$N752)),"")</f>
        <v/>
      </c>
      <c r="F752" s="52" t="n"/>
      <c r="G752" s="52" t="inlineStr">
        <is>
          <t>Button Indicator (ABS 블랙) [SOLO]</t>
        </is>
      </c>
      <c r="H752" s="79">
        <f>IF(AND($F752="",$G752=""),"",IF($F752="","창고전용",IF($G752&lt;&gt;"","매칭완료",IF($D752="반제품","반제품(창고없음)",IF($D752="완제품","완제품(창고없음)",IF($D752="원자재","⚠ 원자재_부서보관","미분류"))))))</f>
        <v/>
      </c>
      <c r="I752" s="79">
        <f>IFERROR(IF(INDIRECT("'"&amp;$O752&amp;"'!P"&amp;$N752)=0,"",INDIRECT("'"&amp;$O752&amp;"'!P"&amp;$N752)),"")</f>
        <v/>
      </c>
      <c r="J752" s="61" t="inlineStr">
        <is>
          <t>Button Indicator (ABS 블랙) [SOLO]</t>
        </is>
      </c>
      <c r="K752" s="65" t="inlineStr">
        <is>
          <t>SOLO BUTTON INDICATOR (B)</t>
        </is>
      </c>
      <c r="L752" s="106">
        <f>HYPERLINK("#'"&amp;$O752&amp;"'!A"&amp;$N752,"→ 창고 R"&amp;$N752)</f>
        <v/>
      </c>
      <c r="M752" s="84" t="n"/>
      <c r="N752" s="107" t="n">
        <v>295</v>
      </c>
      <c r="O752" s="107" t="inlineStr">
        <is>
          <t>창고_재고현황</t>
        </is>
      </c>
    </row>
    <row r="753" ht="30" customHeight="1">
      <c r="A753" s="53" t="inlineStr">
        <is>
          <t>창고전용</t>
        </is>
      </c>
      <c r="B753" s="52" t="inlineStr">
        <is>
          <t>ABS 난연</t>
        </is>
      </c>
      <c r="C753" s="52" t="inlineStr">
        <is>
          <t>ADX4000W</t>
        </is>
      </c>
      <c r="D753" s="79">
        <f>IF(INDIRECT("'"&amp;$O753&amp;"'!F"&amp;$N753)="O","원자재",IF(INDIRECT("'"&amp;$O753&amp;"'!G"&amp;$N753)="O","반제품",IF(INDIRECT("'"&amp;$O753&amp;"'!H"&amp;$N753)="O","완제품","")))</f>
        <v/>
      </c>
      <c r="E753" s="79">
        <f>IFERROR(IF(INDIRECT("'"&amp;$O753&amp;"'!I"&amp;$N753)=0,"",INDIRECT("'"&amp;$O753&amp;"'!I"&amp;$N753)),"")</f>
        <v/>
      </c>
      <c r="F753" s="52" t="n"/>
      <c r="G753" s="52" t="inlineStr">
        <is>
          <t>GUIDE 스프레이 X (ABS 난연 화이트) [ADX4000W]</t>
        </is>
      </c>
      <c r="H753" s="79">
        <f>IF(AND($F753="",$G753=""),"",IF($F753="","창고전용",IF($G753&lt;&gt;"","매칭완료",IF($D753="반제품","반제품(창고없음)",IF($D753="완제품","완제품(창고없음)",IF($D753="원자재","⚠ 원자재_부서보관","미분류"))))))</f>
        <v/>
      </c>
      <c r="I753" s="79">
        <f>IFERROR(IF(INDIRECT("'"&amp;$O753&amp;"'!P"&amp;$N753)=0,"",INDIRECT("'"&amp;$O753&amp;"'!P"&amp;$N753)),"")</f>
        <v/>
      </c>
      <c r="J753" s="61" t="inlineStr">
        <is>
          <t>GUIDE 스프레이 X (ABS 난연 화이트) [ADX4000W]</t>
        </is>
      </c>
      <c r="K753" s="65" t="inlineStr">
        <is>
          <t>ADX4000W 데코 가이드 - 스프레이 X</t>
        </is>
      </c>
      <c r="L753" s="106">
        <f>HYPERLINK("#'"&amp;$O753&amp;"'!A"&amp;$N753,"→ 창고 R"&amp;$N753)</f>
        <v/>
      </c>
      <c r="M753" s="84" t="n"/>
      <c r="N753" s="107" t="n">
        <v>316</v>
      </c>
      <c r="O753" s="107" t="inlineStr">
        <is>
          <t>창고_재고현황</t>
        </is>
      </c>
    </row>
    <row r="754" ht="30" customHeight="1">
      <c r="A754" s="53" t="inlineStr">
        <is>
          <t>창고전용</t>
        </is>
      </c>
      <c r="B754" s="52" t="inlineStr">
        <is>
          <t>ABS 난연</t>
        </is>
      </c>
      <c r="C754" s="52" t="inlineStr">
        <is>
          <t>ADX4000W</t>
        </is>
      </c>
      <c r="D754" s="79">
        <f>IF(INDIRECT("'"&amp;$O754&amp;"'!F"&amp;$N754)="O","원자재",IF(INDIRECT("'"&amp;$O754&amp;"'!G"&amp;$N754)="O","반제품",IF(INDIRECT("'"&amp;$O754&amp;"'!H"&amp;$N754)="O","완제품","")))</f>
        <v/>
      </c>
      <c r="E754" s="79">
        <f>IFERROR(IF(INDIRECT("'"&amp;$O754&amp;"'!I"&amp;$N754)=0,"",INDIRECT("'"&amp;$O754&amp;"'!I"&amp;$N754)),"")</f>
        <v/>
      </c>
      <c r="F754" s="52" t="n"/>
      <c r="G754" s="52" t="inlineStr">
        <is>
          <t>POWER BUTTON 스프레이 X (ABS 난연 화이트) [ADX4000W]</t>
        </is>
      </c>
      <c r="H754" s="79">
        <f>IF(AND($F754="",$G754=""),"",IF($F754="","창고전용",IF($G754&lt;&gt;"","매칭완료",IF($D754="반제품","반제품(창고없음)",IF($D754="완제품","완제품(창고없음)",IF($D754="원자재","⚠ 원자재_부서보관","미분류"))))))</f>
        <v/>
      </c>
      <c r="I754" s="79">
        <f>IFERROR(IF(INDIRECT("'"&amp;$O754&amp;"'!P"&amp;$N754)=0,"",INDIRECT("'"&amp;$O754&amp;"'!P"&amp;$N754)),"")</f>
        <v/>
      </c>
      <c r="J754" s="61" t="inlineStr">
        <is>
          <t>POWER BUTTON 스프레이 X (ABS 난연 화이트) [ADX4000W]</t>
        </is>
      </c>
      <c r="K754" s="65" t="inlineStr">
        <is>
          <t>ADX4000W POWER BUTTON - 스프레이 X</t>
        </is>
      </c>
      <c r="L754" s="106">
        <f>HYPERLINK("#'"&amp;$O754&amp;"'!A"&amp;$N754,"→ 창고 R"&amp;$N754)</f>
        <v/>
      </c>
      <c r="M754" s="84" t="n"/>
      <c r="N754" s="107" t="n">
        <v>317</v>
      </c>
      <c r="O754" s="107" t="inlineStr">
        <is>
          <t>창고_재고현황</t>
        </is>
      </c>
    </row>
    <row r="755" ht="30" customHeight="1">
      <c r="A755" s="53" t="inlineStr">
        <is>
          <t>창고전용</t>
        </is>
      </c>
      <c r="B755" s="52" t="inlineStr">
        <is>
          <t>ABS 난연</t>
        </is>
      </c>
      <c r="C755" s="52" t="inlineStr">
        <is>
          <t>ADX4000W</t>
        </is>
      </c>
      <c r="D755" s="79">
        <f>IF(INDIRECT("'"&amp;$O755&amp;"'!F"&amp;$N755)="O","원자재",IF(INDIRECT("'"&amp;$O755&amp;"'!G"&amp;$N755)="O","반제품",IF(INDIRECT("'"&amp;$O755&amp;"'!H"&amp;$N755)="O","완제품","")))</f>
        <v/>
      </c>
      <c r="E755" s="79">
        <f>IFERROR(IF(INDIRECT("'"&amp;$O755&amp;"'!I"&amp;$N755)=0,"",INDIRECT("'"&amp;$O755&amp;"'!I"&amp;$N755)),"")</f>
        <v/>
      </c>
      <c r="F755" s="52" t="n"/>
      <c r="G755" s="52" t="inlineStr">
        <is>
          <t>EXPOSE BUTTON 스프레이 X (ABS 난연 화이트) [ADX4000W]</t>
        </is>
      </c>
      <c r="H755" s="79">
        <f>IF(AND($F755="",$G755=""),"",IF($F755="","창고전용",IF($G755&lt;&gt;"","매칭완료",IF($D755="반제품","반제품(창고없음)",IF($D755="완제품","완제품(창고없음)",IF($D755="원자재","⚠ 원자재_부서보관","미분류"))))))</f>
        <v/>
      </c>
      <c r="I755" s="79">
        <f>IFERROR(IF(INDIRECT("'"&amp;$O755&amp;"'!P"&amp;$N755)=0,"",INDIRECT("'"&amp;$O755&amp;"'!P"&amp;$N755)),"")</f>
        <v/>
      </c>
      <c r="J755" s="61" t="inlineStr">
        <is>
          <t>EXPOSE BUTTON 스프레이 X (ABS 난연 화이트) [ADX4000W]</t>
        </is>
      </c>
      <c r="K755" s="65" t="inlineStr">
        <is>
          <t>ADX4000W EXPOSE BUTTON - 스프레이 X</t>
        </is>
      </c>
      <c r="L755" s="106">
        <f>HYPERLINK("#'"&amp;$O755&amp;"'!A"&amp;$N755,"→ 창고 R"&amp;$N755)</f>
        <v/>
      </c>
      <c r="M755" s="84" t="n"/>
      <c r="N755" s="107" t="n">
        <v>318</v>
      </c>
      <c r="O755" s="107" t="inlineStr">
        <is>
          <t>창고_재고현황</t>
        </is>
      </c>
    </row>
    <row r="756" ht="30" customHeight="1">
      <c r="A756" s="53" t="inlineStr">
        <is>
          <t>창고전용</t>
        </is>
      </c>
      <c r="B756" s="52" t="inlineStr">
        <is>
          <t>ABS 난연</t>
        </is>
      </c>
      <c r="C756" s="52" t="inlineStr">
        <is>
          <t>ADX4000W</t>
        </is>
      </c>
      <c r="D756" s="79">
        <f>IF(INDIRECT("'"&amp;$O756&amp;"'!F"&amp;$N756)="O","원자재",IF(INDIRECT("'"&amp;$O756&amp;"'!G"&amp;$N756)="O","반제품",IF(INDIRECT("'"&amp;$O756&amp;"'!H"&amp;$N756)="O","완제품","")))</f>
        <v/>
      </c>
      <c r="E756" s="79">
        <f>IFERROR(IF(INDIRECT("'"&amp;$O756&amp;"'!I"&amp;$N756)=0,"",INDIRECT("'"&amp;$O756&amp;"'!I"&amp;$N756)),"")</f>
        <v/>
      </c>
      <c r="F756" s="52" t="n"/>
      <c r="G756" s="52" t="inlineStr">
        <is>
          <t>NAVI BUTTON 스프레이 X (가운데) (ABS 난연 화이트) [ADX4000W]</t>
        </is>
      </c>
      <c r="H756" s="79">
        <f>IF(AND($F756="",$G756=""),"",IF($F756="","창고전용",IF($G756&lt;&gt;"","매칭완료",IF($D756="반제품","반제품(창고없음)",IF($D756="완제품","완제품(창고없음)",IF($D756="원자재","⚠ 원자재_부서보관","미분류"))))))</f>
        <v/>
      </c>
      <c r="I756" s="79">
        <f>IFERROR(IF(INDIRECT("'"&amp;$O756&amp;"'!P"&amp;$N756)=0,"",INDIRECT("'"&amp;$O756&amp;"'!P"&amp;$N756)),"")</f>
        <v/>
      </c>
      <c r="J756" s="61" t="inlineStr">
        <is>
          <t>NAVI BUTTON 스프레이 X (가운데) (ABS 난연 화이트) [ADX4000W]</t>
        </is>
      </c>
      <c r="K756" s="65" t="inlineStr">
        <is>
          <t>ADX4000W NAVI BUTTON (가운데) - 스프레이 X</t>
        </is>
      </c>
      <c r="L756" s="106">
        <f>HYPERLINK("#'"&amp;$O756&amp;"'!A"&amp;$N756,"→ 창고 R"&amp;$N756)</f>
        <v/>
      </c>
      <c r="M756" s="84" t="n"/>
      <c r="N756" s="107" t="n">
        <v>319</v>
      </c>
      <c r="O756" s="107" t="inlineStr">
        <is>
          <t>창고_재고현황</t>
        </is>
      </c>
    </row>
    <row r="757" ht="30" customHeight="1">
      <c r="A757" s="53" t="inlineStr">
        <is>
          <t>창고전용</t>
        </is>
      </c>
      <c r="B757" s="52" t="inlineStr">
        <is>
          <t>ABS 난연</t>
        </is>
      </c>
      <c r="C757" s="52" t="inlineStr">
        <is>
          <t>ADX4000W</t>
        </is>
      </c>
      <c r="D757" s="79">
        <f>IF(INDIRECT("'"&amp;$O757&amp;"'!F"&amp;$N757)="O","원자재",IF(INDIRECT("'"&amp;$O757&amp;"'!G"&amp;$N757)="O","반제품",IF(INDIRECT("'"&amp;$O757&amp;"'!H"&amp;$N757)="O","완제품","")))</f>
        <v/>
      </c>
      <c r="E757" s="79">
        <f>IFERROR(IF(INDIRECT("'"&amp;$O757&amp;"'!I"&amp;$N757)=0,"",INDIRECT("'"&amp;$O757&amp;"'!I"&amp;$N757)),"")</f>
        <v/>
      </c>
      <c r="F757" s="52" t="n"/>
      <c r="G757" s="52" t="inlineStr">
        <is>
          <t>NAVI KEY 스프레이 X (방향) (ABS 난연 화이트) [ADX4000W]</t>
        </is>
      </c>
      <c r="H757" s="79">
        <f>IF(AND($F757="",$G757=""),"",IF($F757="","창고전용",IF($G757&lt;&gt;"","매칭완료",IF($D757="반제품","반제품(창고없음)",IF($D757="완제품","완제품(창고없음)",IF($D757="원자재","⚠ 원자재_부서보관","미분류"))))))</f>
        <v/>
      </c>
      <c r="I757" s="79">
        <f>IFERROR(IF(INDIRECT("'"&amp;$O757&amp;"'!P"&amp;$N757)=0,"",INDIRECT("'"&amp;$O757&amp;"'!P"&amp;$N757)),"")</f>
        <v/>
      </c>
      <c r="J757" s="61" t="inlineStr">
        <is>
          <t>NAVI KEY 스프레이 X (방향) (ABS 난연 화이트) [ADX4000W]</t>
        </is>
      </c>
      <c r="K757" s="65" t="inlineStr">
        <is>
          <t>ADX4000W NAVI KEY (방향) - 스프레이 X</t>
        </is>
      </c>
      <c r="L757" s="106">
        <f>HYPERLINK("#'"&amp;$O757&amp;"'!A"&amp;$N757,"→ 창고 R"&amp;$N757)</f>
        <v/>
      </c>
      <c r="M757" s="84" t="n"/>
      <c r="N757" s="107" t="n">
        <v>320</v>
      </c>
      <c r="O757" s="107" t="inlineStr">
        <is>
          <t>창고_재고현황</t>
        </is>
      </c>
    </row>
    <row r="758" ht="30" customHeight="1">
      <c r="A758" s="53" t="inlineStr">
        <is>
          <t>창고전용</t>
        </is>
      </c>
      <c r="B758" s="52" t="inlineStr">
        <is>
          <t>클립</t>
        </is>
      </c>
      <c r="C758" s="52" t="inlineStr">
        <is>
          <t>ADX4000W</t>
        </is>
      </c>
      <c r="D758" s="79">
        <f>IF(INDIRECT("'"&amp;$O758&amp;"'!F"&amp;$N758)="O","원자재",IF(INDIRECT("'"&amp;$O758&amp;"'!G"&amp;$N758)="O","반제품",IF(INDIRECT("'"&amp;$O758&amp;"'!H"&amp;$N758)="O","완제품","")))</f>
        <v/>
      </c>
      <c r="E758" s="79">
        <f>IFERROR(IF(INDIRECT("'"&amp;$O758&amp;"'!I"&amp;$N758)=0,"",INDIRECT("'"&amp;$O758&amp;"'!I"&amp;$N758)),"")</f>
        <v/>
      </c>
      <c r="F758" s="52" t="n"/>
      <c r="G758" s="52" t="inlineStr">
        <is>
          <t>Q 클립 [ADX4000W]</t>
        </is>
      </c>
      <c r="H758" s="79">
        <f>IF(AND($F758="",$G758=""),"",IF($F758="","창고전용",IF($G758&lt;&gt;"","매칭완료",IF($D758="반제품","반제품(창고없음)",IF($D758="완제품","완제품(창고없음)",IF($D758="원자재","⚠ 원자재_부서보관","미분류"))))))</f>
        <v/>
      </c>
      <c r="I758" s="79">
        <f>IFERROR(IF(INDIRECT("'"&amp;$O758&amp;"'!P"&amp;$N758)=0,"",INDIRECT("'"&amp;$O758&amp;"'!P"&amp;$N758)),"")</f>
        <v/>
      </c>
      <c r="J758" s="61" t="inlineStr">
        <is>
          <t>Q 클립 [ADX4000W]</t>
        </is>
      </c>
      <c r="K758" s="65" t="inlineStr">
        <is>
          <t>ADX4000 Q클립</t>
        </is>
      </c>
      <c r="L758" s="106">
        <f>HYPERLINK("#'"&amp;$O758&amp;"'!A"&amp;$N758,"→ 창고 R"&amp;$N758)</f>
        <v/>
      </c>
      <c r="M758" s="84" t="n"/>
      <c r="N758" s="107" t="n">
        <v>321</v>
      </c>
      <c r="O758" s="107" t="inlineStr">
        <is>
          <t>창고_재고현황</t>
        </is>
      </c>
    </row>
    <row r="759" ht="30" customHeight="1">
      <c r="A759" s="53" t="inlineStr">
        <is>
          <t>창고전용</t>
        </is>
      </c>
      <c r="B759" s="52" t="inlineStr">
        <is>
          <t>클립</t>
        </is>
      </c>
      <c r="C759" s="52" t="inlineStr">
        <is>
          <t>ADX4000W</t>
        </is>
      </c>
      <c r="D759" s="79">
        <f>IF(INDIRECT("'"&amp;$O759&amp;"'!F"&amp;$N759)="O","원자재",IF(INDIRECT("'"&amp;$O759&amp;"'!G"&amp;$N759)="O","반제품",IF(INDIRECT("'"&amp;$O759&amp;"'!H"&amp;$N759)="O","완제품","")))</f>
        <v/>
      </c>
      <c r="E759" s="79">
        <f>IFERROR(IF(INDIRECT("'"&amp;$O759&amp;"'!I"&amp;$N759)=0,"",INDIRECT("'"&amp;$O759&amp;"'!I"&amp;$N759)),"")</f>
        <v/>
      </c>
      <c r="F759" s="52" t="n"/>
      <c r="G759" s="52" t="inlineStr">
        <is>
          <t>L 클립 [ADX4000W]</t>
        </is>
      </c>
      <c r="H759" s="79">
        <f>IF(AND($F759="",$G759=""),"",IF($F759="","창고전용",IF($G759&lt;&gt;"","매칭완료",IF($D759="반제품","반제품(창고없음)",IF($D759="완제품","완제품(창고없음)",IF($D759="원자재","⚠ 원자재_부서보관","미분류"))))))</f>
        <v/>
      </c>
      <c r="I759" s="79">
        <f>IFERROR(IF(INDIRECT("'"&amp;$O759&amp;"'!P"&amp;$N759)=0,"",INDIRECT("'"&amp;$O759&amp;"'!P"&amp;$N759)),"")</f>
        <v/>
      </c>
      <c r="J759" s="61" t="inlineStr">
        <is>
          <t>L 클립 [ADX4000W]</t>
        </is>
      </c>
      <c r="K759" s="65" t="inlineStr">
        <is>
          <t>ADX4000W L클립</t>
        </is>
      </c>
      <c r="L759" s="106">
        <f>HYPERLINK("#'"&amp;$O759&amp;"'!A"&amp;$N759,"→ 창고 R"&amp;$N759)</f>
        <v/>
      </c>
      <c r="M759" s="84" t="n"/>
      <c r="N759" s="107" t="n">
        <v>322</v>
      </c>
      <c r="O759" s="107" t="inlineStr">
        <is>
          <t>창고_재고현황</t>
        </is>
      </c>
    </row>
    <row r="760" ht="30" customHeight="1">
      <c r="A760" s="53" t="inlineStr">
        <is>
          <t>창고전용</t>
        </is>
      </c>
      <c r="B760" s="52" t="inlineStr">
        <is>
          <t>인조가죽</t>
        </is>
      </c>
      <c r="C760" s="52" t="inlineStr">
        <is>
          <t>ADX4000W</t>
        </is>
      </c>
      <c r="D760" s="79">
        <f>IF(INDIRECT("'"&amp;$O760&amp;"'!F"&amp;$N760)="O","원자재",IF(INDIRECT("'"&amp;$O760&amp;"'!G"&amp;$N760)="O","반제품",IF(INDIRECT("'"&amp;$O760&amp;"'!H"&amp;$N760)="O","완제품","")))</f>
        <v/>
      </c>
      <c r="E760" s="79">
        <f>IFERROR(IF(INDIRECT("'"&amp;$O760&amp;"'!I"&amp;$N760)=0,"",INDIRECT("'"&amp;$O760&amp;"'!I"&amp;$N760)),"")</f>
        <v/>
      </c>
      <c r="F760" s="52" t="n"/>
      <c r="G760" s="52" t="inlineStr">
        <is>
          <t>HAND STRAP -손잡이(터치펜)(유럽용) (인조 가죽, AL(Cr도금), SUS Φ2.0) [ADX4000W]</t>
        </is>
      </c>
      <c r="H760" s="79">
        <f>IF(AND($F760="",$G760=""),"",IF($F760="","창고전용",IF($G760&lt;&gt;"","매칭완료",IF($D760="반제품","반제품(창고없음)",IF($D760="완제품","완제품(창고없음)",IF($D760="원자재","⚠ 원자재_부서보관","미분류"))))))</f>
        <v/>
      </c>
      <c r="I760" s="79">
        <f>IFERROR(IF(INDIRECT("'"&amp;$O760&amp;"'!P"&amp;$N760)=0,"",INDIRECT("'"&amp;$O760&amp;"'!P"&amp;$N760)),"")</f>
        <v/>
      </c>
      <c r="J760" s="61" t="inlineStr">
        <is>
          <t>HAND STRAP -손잡이(터치펜)(유럽용) (인조 가죽, AL(Cr도금), SUS Φ2.0) [ADX4000W]</t>
        </is>
      </c>
      <c r="K760" s="65" t="inlineStr">
        <is>
          <t>ADX4000W HAND STRAP [AL(Cr도금), SUS Φ2.0]-손잡이(터치펜) (유럽용 알코올 번짐)</t>
        </is>
      </c>
      <c r="L760" s="106">
        <f>HYPERLINK("#'"&amp;$O760&amp;"'!A"&amp;$N760,"→ 창고 R"&amp;$N760)</f>
        <v/>
      </c>
      <c r="M760" s="84" t="n"/>
      <c r="N760" s="107" t="n">
        <v>323</v>
      </c>
      <c r="O760" s="107" t="inlineStr">
        <is>
          <t>창고_재고현황</t>
        </is>
      </c>
    </row>
    <row r="761" ht="30" customHeight="1">
      <c r="A761" s="53" t="inlineStr">
        <is>
          <t>창고전용</t>
        </is>
      </c>
      <c r="B761" s="52" t="inlineStr">
        <is>
          <t>RUBBER</t>
        </is>
      </c>
      <c r="C761" s="52" t="inlineStr">
        <is>
          <t>ADX6000</t>
        </is>
      </c>
      <c r="D761" s="79">
        <f>IF(INDIRECT("'"&amp;$O761&amp;"'!F"&amp;$N761)="O","원자재",IF(INDIRECT("'"&amp;$O761&amp;"'!G"&amp;$N761)="O","반제품",IF(INDIRECT("'"&amp;$O761&amp;"'!H"&amp;$N761)="O","완제품","")))</f>
        <v/>
      </c>
      <c r="E761" s="79">
        <f>IFERROR(IF(INDIRECT("'"&amp;$O761&amp;"'!I"&amp;$N761)=0,"",INDIRECT("'"&amp;$O761&amp;"'!I"&amp;$N761)),"")</f>
        <v/>
      </c>
      <c r="F761" s="52" t="n"/>
      <c r="G761" s="52" t="inlineStr">
        <is>
          <t>CRADLE FOOT RUBBER (RUBBER) [ADX6000]</t>
        </is>
      </c>
      <c r="H761" s="79">
        <f>IF(AND($F761="",$G761=""),"",IF($F761="","창고전용",IF($G761&lt;&gt;"","매칭완료",IF($D761="반제품","반제품(창고없음)",IF($D761="완제품","완제품(창고없음)",IF($D761="원자재","⚠ 원자재_부서보관","미분류"))))))</f>
        <v/>
      </c>
      <c r="I761" s="79">
        <f>IFERROR(IF(INDIRECT("'"&amp;$O761&amp;"'!P"&amp;$N761)=0,"",INDIRECT("'"&amp;$O761&amp;"'!P"&amp;$N761)),"")</f>
        <v/>
      </c>
      <c r="J761" s="61" t="inlineStr">
        <is>
          <t>CRADLE FOOT RUBBER (RUBBER) [ADX6000]</t>
        </is>
      </c>
      <c r="K761" s="65" t="inlineStr">
        <is>
          <t>ADX6000 CRADLE FOOT RUBBER</t>
        </is>
      </c>
      <c r="L761" s="106">
        <f>HYPERLINK("#'"&amp;$O761&amp;"'!A"&amp;$N761,"→ 창고 R"&amp;$N761)</f>
        <v/>
      </c>
      <c r="M761" s="84" t="n"/>
      <c r="N761" s="107" t="n">
        <v>375</v>
      </c>
      <c r="O761" s="107" t="inlineStr">
        <is>
          <t>창고_재고현황</t>
        </is>
      </c>
    </row>
    <row r="762" ht="30" customHeight="1">
      <c r="A762" s="53" t="inlineStr">
        <is>
          <t>창고전용</t>
        </is>
      </c>
      <c r="B762" s="52" t="inlineStr">
        <is>
          <t>배터리</t>
        </is>
      </c>
      <c r="C762" s="52" t="inlineStr">
        <is>
          <t>DX3000</t>
        </is>
      </c>
      <c r="D762" s="79">
        <f>IF(INDIRECT("'"&amp;$O762&amp;"'!F"&amp;$N762)="O","원자재",IF(INDIRECT("'"&amp;$O762&amp;"'!G"&amp;$N762)="O","반제품",IF(INDIRECT("'"&amp;$O762&amp;"'!H"&amp;$N762)="O","완제품","")))</f>
        <v/>
      </c>
      <c r="E762" s="79">
        <f>IFERROR(IF(INDIRECT("'"&amp;$O762&amp;"'!I"&amp;$N762)=0,"",INDIRECT("'"&amp;$O762&amp;"'!I"&amp;$N762)),"")</f>
        <v/>
      </c>
      <c r="F762" s="52" t="n"/>
      <c r="G762" s="52" t="inlineStr">
        <is>
          <t>내부 배터리 (PF435060HP) [DX3000]</t>
        </is>
      </c>
      <c r="H762" s="79">
        <f>IF(AND($F762="",$G762=""),"",IF($F762="","창고전용",IF($G762&lt;&gt;"","매칭완료",IF($D762="반제품","반제품(창고없음)",IF($D762="완제품","완제품(창고없음)",IF($D762="원자재","⚠ 원자재_부서보관","미분류"))))))</f>
        <v/>
      </c>
      <c r="I762" s="79">
        <f>IFERROR(IF(INDIRECT("'"&amp;$O762&amp;"'!P"&amp;$N762)=0,"",INDIRECT("'"&amp;$O762&amp;"'!P"&amp;$N762)),"")</f>
        <v/>
      </c>
      <c r="J762" s="61" t="inlineStr">
        <is>
          <t>내부 배터리 (PF435060HP) [DX3000]</t>
        </is>
      </c>
      <c r="K762" s="65" t="inlineStr">
        <is>
          <t>DX3000 내부 배터리 [PF435060]</t>
        </is>
      </c>
      <c r="L762" s="106">
        <f>HYPERLINK("#'"&amp;$O762&amp;"'!A"&amp;$N762,"→ 창고 R"&amp;$N762)</f>
        <v/>
      </c>
      <c r="M762" s="84" t="n"/>
      <c r="N762" s="107" t="n">
        <v>392</v>
      </c>
      <c r="O762" s="107" t="inlineStr">
        <is>
          <t>창고_재고현황</t>
        </is>
      </c>
    </row>
    <row r="763" ht="30" customHeight="1">
      <c r="A763" s="53" t="inlineStr">
        <is>
          <t>창고전용</t>
        </is>
      </c>
      <c r="B763" s="52" t="inlineStr">
        <is>
          <t>배터리</t>
        </is>
      </c>
      <c r="C763" s="52" t="inlineStr">
        <is>
          <t>COCOON</t>
        </is>
      </c>
      <c r="D763" s="79">
        <f>IF(INDIRECT("'"&amp;$O763&amp;"'!F"&amp;$N763)="O","원자재",IF(INDIRECT("'"&amp;$O763&amp;"'!G"&amp;$N763)="O","반제품",IF(INDIRECT("'"&amp;$O763&amp;"'!H"&amp;$N763)="O","완제품","")))</f>
        <v/>
      </c>
      <c r="E763" s="79">
        <f>IFERROR(IF(INDIRECT("'"&amp;$O763&amp;"'!I"&amp;$N763)=0,"",INDIRECT("'"&amp;$O763&amp;"'!I"&amp;$N763)),"")</f>
        <v/>
      </c>
      <c r="F763" s="52" t="n"/>
      <c r="G763" s="52" t="inlineStr">
        <is>
          <t>외부 배터리 (PF605060HP) [COCOON]</t>
        </is>
      </c>
      <c r="H763" s="79">
        <f>IF(AND($F763="",$G763=""),"",IF($F763="","창고전용",IF($G763&lt;&gt;"","매칭완료",IF($D763="반제품","반제품(창고없음)",IF($D763="완제품","완제품(창고없음)",IF($D763="원자재","⚠ 원자재_부서보관","미분류"))))))</f>
        <v/>
      </c>
      <c r="I763" s="79">
        <f>IFERROR(IF(INDIRECT("'"&amp;$O763&amp;"'!P"&amp;$N763)=0,"",INDIRECT("'"&amp;$O763&amp;"'!P"&amp;$N763)),"")</f>
        <v/>
      </c>
      <c r="J763" s="61" t="inlineStr">
        <is>
          <t>외부 배터리 (PF605060HP) [COCOON]</t>
        </is>
      </c>
      <c r="K763" s="65" t="inlineStr">
        <is>
          <t>COCOON 외부 배터리 [PF605060]</t>
        </is>
      </c>
      <c r="L763" s="106">
        <f>HYPERLINK("#'"&amp;$O763&amp;"'!A"&amp;$N763,"→ 창고 R"&amp;$N763)</f>
        <v/>
      </c>
      <c r="M763" s="84" t="n"/>
      <c r="N763" s="107" t="n">
        <v>396</v>
      </c>
      <c r="O763" s="107" t="inlineStr">
        <is>
          <t>창고_재고현황</t>
        </is>
      </c>
    </row>
    <row r="764" ht="30" customHeight="1">
      <c r="A764" s="53" t="inlineStr">
        <is>
          <t>창고전용</t>
        </is>
      </c>
      <c r="B764" s="52" t="inlineStr">
        <is>
          <t>배터리</t>
        </is>
      </c>
      <c r="C764" s="52" t="inlineStr">
        <is>
          <t>ADX6000</t>
        </is>
      </c>
      <c r="D764" s="79">
        <f>IF(INDIRECT("'"&amp;$O764&amp;"'!F"&amp;$N764)="O","원자재",IF(INDIRECT("'"&amp;$O764&amp;"'!G"&amp;$N764)="O","반제품",IF(INDIRECT("'"&amp;$O764&amp;"'!H"&amp;$N764)="O","완제품","")))</f>
        <v/>
      </c>
      <c r="E764" s="79">
        <f>IFERROR(IF(INDIRECT("'"&amp;$O764&amp;"'!I"&amp;$N764)=0,"",INDIRECT("'"&amp;$O764&amp;"'!I"&amp;$N764)),"")</f>
        <v/>
      </c>
      <c r="F764" s="52" t="n"/>
      <c r="G764" s="52" t="inlineStr">
        <is>
          <t>외부 배터리 (LIP1902A_5035127SH25) [ADX6000]</t>
        </is>
      </c>
      <c r="H764" s="79">
        <f>IF(AND($F764="",$G764=""),"",IF($F764="","창고전용",IF($G764&lt;&gt;"","매칭완료",IF($D764="반제품","반제품(창고없음)",IF($D764="완제품","완제품(창고없음)",IF($D764="원자재","⚠ 원자재_부서보관","미분류"))))))</f>
        <v/>
      </c>
      <c r="I764" s="79">
        <f>IFERROR(IF(INDIRECT("'"&amp;$O764&amp;"'!P"&amp;$N764)=0,"",INDIRECT("'"&amp;$O764&amp;"'!P"&amp;$N764)),"")</f>
        <v/>
      </c>
      <c r="J764" s="61" t="inlineStr">
        <is>
          <t>외부 배터리 (LIP1902A_5035127SH25) [ADX6000]</t>
        </is>
      </c>
      <c r="K764" s="65" t="inlineStr">
        <is>
          <t>ADX6000 외부 배터리 [LIP1902A_5035127SH25]</t>
        </is>
      </c>
      <c r="L764" s="106">
        <f>HYPERLINK("#'"&amp;$O764&amp;"'!A"&amp;$N764,"→ 창고 R"&amp;$N764)</f>
        <v/>
      </c>
      <c r="M764" s="84" t="n"/>
      <c r="N764" s="107" t="n">
        <v>398</v>
      </c>
      <c r="O764" s="107" t="inlineStr">
        <is>
          <t>창고_재고현황</t>
        </is>
      </c>
    </row>
    <row r="765" ht="30" customHeight="1">
      <c r="A765" s="53" t="inlineStr">
        <is>
          <t>창고전용</t>
        </is>
      </c>
      <c r="B765" s="52" t="inlineStr">
        <is>
          <t>ADAPTER</t>
        </is>
      </c>
      <c r="C765" s="52" t="inlineStr">
        <is>
          <t>ADX6000</t>
        </is>
      </c>
      <c r="D765" s="79">
        <f>IF(INDIRECT("'"&amp;$O765&amp;"'!F"&amp;$N765)="O","원자재",IF(INDIRECT("'"&amp;$O765&amp;"'!G"&amp;$N765)="O","반제품",IF(INDIRECT("'"&amp;$O765&amp;"'!H"&amp;$N765)="O","완제품","")))</f>
        <v/>
      </c>
      <c r="E765" s="79">
        <f>IFERROR(IF(INDIRECT("'"&amp;$O765&amp;"'!I"&amp;$N765)=0,"",INDIRECT("'"&amp;$O765&amp;"'!I"&amp;$N765)),"")</f>
        <v/>
      </c>
      <c r="F765" s="52" t="n"/>
      <c r="G765" s="52" t="inlineStr">
        <is>
          <t>25.2V 1.7A 충전기 (6S 어댑터 (중국용)) [ADX6000]</t>
        </is>
      </c>
      <c r="H765" s="79">
        <f>IF(AND($F765="",$G765=""),"",IF($F765="","창고전용",IF($G765&lt;&gt;"","매칭완료",IF($D765="반제품","반제품(창고없음)",IF($D765="완제품","완제품(창고없음)",IF($D765="원자재","⚠ 원자재_부서보관","미분류"))))))</f>
        <v/>
      </c>
      <c r="I765" s="79">
        <f>IFERROR(IF(INDIRECT("'"&amp;$O765&amp;"'!P"&amp;$N765)=0,"",INDIRECT("'"&amp;$O765&amp;"'!P"&amp;$N765)),"")</f>
        <v/>
      </c>
      <c r="J765" s="61" t="inlineStr">
        <is>
          <t>25.2V 1.7A 충전기 (6S 어댑터 (중국용)) [ADX6000]</t>
        </is>
      </c>
      <c r="K765" s="65" t="inlineStr">
        <is>
          <t>3구 25.2V 1.7A 충전기 [JBL7451251700002FJ]</t>
        </is>
      </c>
      <c r="L765" s="106">
        <f>HYPERLINK("#'"&amp;$O765&amp;"'!A"&amp;$N765,"→ 창고 R"&amp;$N765)</f>
        <v/>
      </c>
      <c r="M765" s="84" t="n"/>
      <c r="N765" s="107" t="n">
        <v>400</v>
      </c>
      <c r="O765" s="107" t="inlineStr">
        <is>
          <t>창고_재고현황</t>
        </is>
      </c>
    </row>
    <row r="766" ht="30" customHeight="1">
      <c r="A766" s="53" t="inlineStr">
        <is>
          <t>창고전용</t>
        </is>
      </c>
      <c r="B766" s="52" t="inlineStr">
        <is>
          <t>ADAPTER</t>
        </is>
      </c>
      <c r="C766" s="52" t="inlineStr">
        <is>
          <t>공용</t>
        </is>
      </c>
      <c r="D766" s="79">
        <f>IF(INDIRECT("'"&amp;$O766&amp;"'!F"&amp;$N766)="O","원자재",IF(INDIRECT("'"&amp;$O766&amp;"'!G"&amp;$N766)="O","반제품",IF(INDIRECT("'"&amp;$O766&amp;"'!H"&amp;$N766)="O","완제품","")))</f>
        <v/>
      </c>
      <c r="E766" s="79">
        <f>IFERROR(IF(INDIRECT("'"&amp;$O766&amp;"'!I"&amp;$N766)=0,"",INDIRECT("'"&amp;$O766&amp;"'!I"&amp;$N766)),"")</f>
        <v/>
      </c>
      <c r="F766" s="52" t="n"/>
      <c r="G766" s="52" t="inlineStr">
        <is>
          <t>15V 1.0A 충전기 (220V) [공용]</t>
        </is>
      </c>
      <c r="H766" s="79">
        <f>IF(AND($F766="",$G766=""),"",IF($F766="","창고전용",IF($G766&lt;&gt;"","매칭완료",IF($D766="반제품","반제품(창고없음)",IF($D766="완제품","완제품(창고없음)",IF($D766="원자재","⚠ 원자재_부서보관","미분류"))))))</f>
        <v/>
      </c>
      <c r="I766" s="79">
        <f>IFERROR(IF(INDIRECT("'"&amp;$O766&amp;"'!P"&amp;$N766)=0,"",INDIRECT("'"&amp;$O766&amp;"'!P"&amp;$N766)),"")</f>
        <v/>
      </c>
      <c r="J766" s="61" t="inlineStr">
        <is>
          <t>15V 1.0A 충전기 (220V) [공용]</t>
        </is>
      </c>
      <c r="K766" s="65" t="inlineStr">
        <is>
          <t>DRTech 15.0V 충전기 (220V)</t>
        </is>
      </c>
      <c r="L766" s="106">
        <f>HYPERLINK("#'"&amp;$O766&amp;"'!A"&amp;$N766,"→ 창고 R"&amp;$N766)</f>
        <v/>
      </c>
      <c r="M766" s="84" t="n"/>
      <c r="N766" s="107" t="n">
        <v>401</v>
      </c>
      <c r="O766" s="107" t="inlineStr">
        <is>
          <t>창고_재고현황</t>
        </is>
      </c>
    </row>
    <row r="767" ht="30" customHeight="1">
      <c r="A767" s="53" t="inlineStr">
        <is>
          <t>창고전용</t>
        </is>
      </c>
      <c r="B767" s="52" t="inlineStr">
        <is>
          <t>ADAPTER</t>
        </is>
      </c>
      <c r="C767" s="52" t="inlineStr">
        <is>
          <t>공용</t>
        </is>
      </c>
      <c r="D767" s="79">
        <f>IF(INDIRECT("'"&amp;$O767&amp;"'!F"&amp;$N767)="O","원자재",IF(INDIRECT("'"&amp;$O767&amp;"'!G"&amp;$N767)="O","반제품",IF(INDIRECT("'"&amp;$O767&amp;"'!H"&amp;$N767)="O","완제품","")))</f>
        <v/>
      </c>
      <c r="E767" s="79">
        <f>IFERROR(IF(INDIRECT("'"&amp;$O767&amp;"'!I"&amp;$N767)=0,"",INDIRECT("'"&amp;$O767&amp;"'!I"&amp;$N767)),"")</f>
        <v/>
      </c>
      <c r="F767" s="52" t="n"/>
      <c r="G767" s="52" t="inlineStr">
        <is>
          <t>15V 1.0A 충전기 (110V) [공용]</t>
        </is>
      </c>
      <c r="H767" s="79">
        <f>IF(AND($F767="",$G767=""),"",IF($F767="","창고전용",IF($G767&lt;&gt;"","매칭완료",IF($D767="반제품","반제품(창고없음)",IF($D767="완제품","완제품(창고없음)",IF($D767="원자재","⚠ 원자재_부서보관","미분류"))))))</f>
        <v/>
      </c>
      <c r="I767" s="79">
        <f>IFERROR(IF(INDIRECT("'"&amp;$O767&amp;"'!P"&amp;$N767)=0,"",INDIRECT("'"&amp;$O767&amp;"'!P"&amp;$N767)),"")</f>
        <v/>
      </c>
      <c r="J767" s="61" t="inlineStr">
        <is>
          <t>15V 1.0A 충전기 (110V) [공용]</t>
        </is>
      </c>
      <c r="K767" s="65" t="inlineStr">
        <is>
          <t>DRTech 15.0V 충전기 (110V)</t>
        </is>
      </c>
      <c r="L767" s="106">
        <f>HYPERLINK("#'"&amp;$O767&amp;"'!A"&amp;$N767,"→ 창고 R"&amp;$N767)</f>
        <v/>
      </c>
      <c r="M767" s="84" t="n"/>
      <c r="N767" s="107" t="n">
        <v>402</v>
      </c>
      <c r="O767" s="107" t="inlineStr">
        <is>
          <t>창고_재고현황</t>
        </is>
      </c>
    </row>
    <row r="768" ht="30" customHeight="1">
      <c r="A768" s="53" t="inlineStr">
        <is>
          <t>창고전용</t>
        </is>
      </c>
      <c r="B768" s="52" t="inlineStr">
        <is>
          <t>CABLE</t>
        </is>
      </c>
      <c r="C768" s="52" t="inlineStr">
        <is>
          <t>공용</t>
        </is>
      </c>
      <c r="D768" s="79">
        <f>IF(INDIRECT("'"&amp;$O768&amp;"'!F"&amp;$N768)="O","원자재",IF(INDIRECT("'"&amp;$O768&amp;"'!G"&amp;$N768)="O","반제품",IF(INDIRECT("'"&amp;$O768&amp;"'!H"&amp;$N768)="O","완제품","")))</f>
        <v/>
      </c>
      <c r="E768" s="79">
        <f>IFERROR(IF(INDIRECT("'"&amp;$O768&amp;"'!I"&amp;$N768)=0,"",INDIRECT("'"&amp;$O768&amp;"'!I"&amp;$N768)),"")</f>
        <v/>
      </c>
      <c r="F768" s="52" t="n"/>
      <c r="G768" s="52" t="inlineStr">
        <is>
          <t>외부 배터리 와이어 케이블 [공용]</t>
        </is>
      </c>
      <c r="H768" s="79">
        <f>IF(AND($F768="",$G768=""),"",IF($F768="","창고전용",IF($G768&lt;&gt;"","매칭완료",IF($D768="반제품","반제품(창고없음)",IF($D768="완제품","완제품(창고없음)",IF($D768="원자재","⚠ 원자재_부서보관","미분류"))))))</f>
        <v/>
      </c>
      <c r="I768" s="79">
        <f>IFERROR(IF(INDIRECT("'"&amp;$O768&amp;"'!P"&amp;$N768)=0,"",INDIRECT("'"&amp;$O768&amp;"'!P"&amp;$N768)),"")</f>
        <v/>
      </c>
      <c r="J768" s="61" t="inlineStr">
        <is>
          <t>외부 배터리 와이어 케이블 [공용]</t>
        </is>
      </c>
      <c r="K768" s="65" t="inlineStr">
        <is>
          <t>외부 배터리 와이어 케이블</t>
        </is>
      </c>
      <c r="L768" s="106">
        <f>HYPERLINK("#'"&amp;$O768&amp;"'!A"&amp;$N768,"→ 창고 R"&amp;$N768)</f>
        <v/>
      </c>
      <c r="M768" s="84" t="n"/>
      <c r="N768" s="107" t="n">
        <v>403</v>
      </c>
      <c r="O768" s="107" t="inlineStr">
        <is>
          <t>창고_재고현황</t>
        </is>
      </c>
    </row>
    <row r="769" ht="30" customHeight="1">
      <c r="A769" s="53" t="inlineStr">
        <is>
          <t>창고전용</t>
        </is>
      </c>
      <c r="B769" s="52" t="inlineStr">
        <is>
          <t>CABLE</t>
        </is>
      </c>
      <c r="C769" s="52" t="inlineStr">
        <is>
          <t>ADX4000W</t>
        </is>
      </c>
      <c r="D769" s="79">
        <f>IF(INDIRECT("'"&amp;$O769&amp;"'!F"&amp;$N769)="O","원자재",IF(INDIRECT("'"&amp;$O769&amp;"'!G"&amp;$N769)="O","반제품",IF(INDIRECT("'"&amp;$O769&amp;"'!H"&amp;$N769)="O","완제품","")))</f>
        <v/>
      </c>
      <c r="E769" s="79">
        <f>IFERROR(IF(INDIRECT("'"&amp;$O769&amp;"'!I"&amp;$N769)=0,"",INDIRECT("'"&amp;$O769&amp;"'!I"&amp;$N769)),"")</f>
        <v/>
      </c>
      <c r="F769" s="52" t="n"/>
      <c r="G769" s="52" t="inlineStr">
        <is>
          <t>USB 2.0 CABLE (PMM369-0200, 2m) [ADX4000W]</t>
        </is>
      </c>
      <c r="H769" s="79">
        <f>IF(AND($F769="",$G769=""),"",IF($F769="","창고전용",IF($G769&lt;&gt;"","매칭완료",IF($D769="반제품","반제품(창고없음)",IF($D769="완제품","완제품(창고없음)",IF($D769="원자재","⚠ 원자재_부서보관","미분류"))))))</f>
        <v/>
      </c>
      <c r="I769" s="79">
        <f>IFERROR(IF(INDIRECT("'"&amp;$O769&amp;"'!P"&amp;$N769)=0,"",INDIRECT("'"&amp;$O769&amp;"'!P"&amp;$N769)),"")</f>
        <v/>
      </c>
      <c r="J769" s="61" t="inlineStr">
        <is>
          <t>USB 2.0 CABLE (PMM369-0200, 2m) [ADX4000W]</t>
        </is>
      </c>
      <c r="K769" s="65" t="inlineStr">
        <is>
          <t>ADX4000W USB 2.0 CABLE (PMM369-0200) 2M</t>
        </is>
      </c>
      <c r="L769" s="106">
        <f>HYPERLINK("#'"&amp;$O769&amp;"'!A"&amp;$N769,"→ 창고 R"&amp;$N769)</f>
        <v/>
      </c>
      <c r="M769" s="84" t="n"/>
      <c r="N769" s="107" t="n">
        <v>404</v>
      </c>
      <c r="O769" s="107" t="inlineStr">
        <is>
          <t>창고_재고현황</t>
        </is>
      </c>
    </row>
    <row r="770" ht="30" customHeight="1">
      <c r="A770" s="53" t="inlineStr">
        <is>
          <t>창고전용</t>
        </is>
      </c>
      <c r="B770" s="52" t="inlineStr">
        <is>
          <t>CABLE</t>
        </is>
      </c>
      <c r="C770" s="52" t="inlineStr">
        <is>
          <t>ADX4000W</t>
        </is>
      </c>
      <c r="D770" s="79">
        <f>IF(INDIRECT("'"&amp;$O770&amp;"'!F"&amp;$N770)="O","원자재",IF(INDIRECT("'"&amp;$O770&amp;"'!G"&amp;$N770)="O","반제품",IF(INDIRECT("'"&amp;$O770&amp;"'!H"&amp;$N770)="O","완제품","")))</f>
        <v/>
      </c>
      <c r="E770" s="79">
        <f>IFERROR(IF(INDIRECT("'"&amp;$O770&amp;"'!I"&amp;$N770)=0,"",INDIRECT("'"&amp;$O770&amp;"'!I"&amp;$N770)),"")</f>
        <v/>
      </c>
      <c r="F770" s="52" t="n"/>
      <c r="G770" s="52" t="inlineStr">
        <is>
          <t>USB 2.0 CABLE (PMM369-0100, 1m) [ADX4000W]</t>
        </is>
      </c>
      <c r="H770" s="79">
        <f>IF(AND($F770="",$G770=""),"",IF($F770="","창고전용",IF($G770&lt;&gt;"","매칭완료",IF($D770="반제품","반제품(창고없음)",IF($D770="완제품","완제품(창고없음)",IF($D770="원자재","⚠ 원자재_부서보관","미분류"))))))</f>
        <v/>
      </c>
      <c r="I770" s="79">
        <f>IFERROR(IF(INDIRECT("'"&amp;$O770&amp;"'!P"&amp;$N770)=0,"",INDIRECT("'"&amp;$O770&amp;"'!P"&amp;$N770)),"")</f>
        <v/>
      </c>
      <c r="J770" s="61" t="inlineStr">
        <is>
          <t>USB 2.0 CABLE (PMM369-0100, 1m) [ADX4000W]</t>
        </is>
      </c>
      <c r="K770" s="65" t="inlineStr">
        <is>
          <t>ADX4000W USB 2.0 CABLE (PMM369-0100) 1M</t>
        </is>
      </c>
      <c r="L770" s="106">
        <f>HYPERLINK("#'"&amp;$O770&amp;"'!A"&amp;$N770,"→ 창고 R"&amp;$N770)</f>
        <v/>
      </c>
      <c r="M770" s="84" t="n"/>
      <c r="N770" s="107" t="n">
        <v>405</v>
      </c>
      <c r="O770" s="107" t="inlineStr">
        <is>
          <t>창고_재고현황</t>
        </is>
      </c>
    </row>
    <row r="771" ht="30" customHeight="1">
      <c r="A771" s="53" t="inlineStr">
        <is>
          <t>창고전용</t>
        </is>
      </c>
      <c r="B771" s="52" t="inlineStr">
        <is>
          <t>PCB</t>
        </is>
      </c>
      <c r="C771" s="52" t="inlineStr">
        <is>
          <t>공용</t>
        </is>
      </c>
      <c r="D771" s="79">
        <f>IF(INDIRECT("'"&amp;$O771&amp;"'!F"&amp;$N771)="O","원자재",IF(INDIRECT("'"&amp;$O771&amp;"'!G"&amp;$N771)="O","반제품",IF(INDIRECT("'"&amp;$O771&amp;"'!H"&amp;$N771)="O","완제품","")))</f>
        <v/>
      </c>
      <c r="E771" s="79">
        <f>IFERROR(IF(INDIRECT("'"&amp;$O771&amp;"'!I"&amp;$N771)=0,"",INDIRECT("'"&amp;$O771&amp;"'!I"&amp;$N771)),"")</f>
        <v/>
      </c>
      <c r="F771" s="52" t="n"/>
      <c r="G771" s="52" t="inlineStr">
        <is>
          <t>외부 배터리 쪽 보드 (EX BATTERY BD) [공용]</t>
        </is>
      </c>
      <c r="H771" s="79">
        <f>IF(AND($F771="",$G771=""),"",IF($F771="","창고전용",IF($G771&lt;&gt;"","매칭완료",IF($D771="반제품","반제품(창고없음)",IF($D771="완제품","완제품(창고없음)",IF($D771="원자재","⚠ 원자재_부서보관","미분류"))))))</f>
        <v/>
      </c>
      <c r="I771" s="79">
        <f>IFERROR(IF(INDIRECT("'"&amp;$O771&amp;"'!P"&amp;$N771)=0,"",INDIRECT("'"&amp;$O771&amp;"'!P"&amp;$N771)),"")</f>
        <v/>
      </c>
      <c r="J771" s="61" t="inlineStr">
        <is>
          <t>외부 배터리 쪽 보드 (EX BATTERY BD) [공용]</t>
        </is>
      </c>
      <c r="K771" s="65" t="inlineStr">
        <is>
          <t>DX3000 외부배터리용 쪽보드</t>
        </is>
      </c>
      <c r="L771" s="106">
        <f>HYPERLINK("#'"&amp;$O771&amp;"'!A"&amp;$N771,"→ 창고 R"&amp;$N771)</f>
        <v/>
      </c>
      <c r="M771" s="84" t="n"/>
      <c r="N771" s="107" t="n">
        <v>407</v>
      </c>
      <c r="O771" s="107" t="inlineStr">
        <is>
          <t>창고_재고현황</t>
        </is>
      </c>
    </row>
    <row r="772" ht="30" customHeight="1">
      <c r="A772" s="53" t="inlineStr">
        <is>
          <t>창고전용</t>
        </is>
      </c>
      <c r="B772" s="52" t="inlineStr">
        <is>
          <t>가방</t>
        </is>
      </c>
      <c r="C772" s="52" t="inlineStr">
        <is>
          <t>ADX6000</t>
        </is>
      </c>
      <c r="D772" s="79">
        <f>IF(INDIRECT("'"&amp;$O772&amp;"'!F"&amp;$N772)="O","원자재",IF(INDIRECT("'"&amp;$O772&amp;"'!G"&amp;$N772)="O","반제품",IF(INDIRECT("'"&amp;$O772&amp;"'!H"&amp;$N772)="O","완제품","")))</f>
        <v/>
      </c>
      <c r="E772" s="79">
        <f>IFERROR(IF(INDIRECT("'"&amp;$O772&amp;"'!I"&amp;$N772)=0,"",INDIRECT("'"&amp;$O772&amp;"'!I"&amp;$N772)),"")</f>
        <v/>
      </c>
      <c r="F772" s="52" t="n"/>
      <c r="G772" s="52" t="inlineStr">
        <is>
          <t>가방 (뱅가드) [ADX6000]</t>
        </is>
      </c>
      <c r="H772" s="79">
        <f>IF(AND($F772="",$G772=""),"",IF($F772="","창고전용",IF($G772&lt;&gt;"","매칭완료",IF($D772="반제품","반제품(창고없음)",IF($D772="완제품","완제품(창고없음)",IF($D772="원자재","⚠ 원자재_부서보관","미분류"))))))</f>
        <v/>
      </c>
      <c r="I772" s="79">
        <f>IFERROR(IF(INDIRECT("'"&amp;$O772&amp;"'!P"&amp;$N772)=0,"",INDIRECT("'"&amp;$O772&amp;"'!P"&amp;$N772)),"")</f>
        <v/>
      </c>
      <c r="J772" s="61" t="inlineStr">
        <is>
          <t>가방 (뱅가드) [ADX6000]</t>
        </is>
      </c>
      <c r="K772" s="61" t="inlineStr">
        <is>
          <t>뱅가드 46F [ADX6000]</t>
        </is>
      </c>
      <c r="L772" s="106">
        <f>HYPERLINK("#'"&amp;$O772&amp;"'!A"&amp;$N772,"→ 창고 R"&amp;$N772)</f>
        <v/>
      </c>
      <c r="M772" s="84" t="n"/>
      <c r="N772" s="107" t="n">
        <v>415</v>
      </c>
      <c r="O772" s="107" t="inlineStr">
        <is>
          <t>창고_재고현황</t>
        </is>
      </c>
    </row>
    <row r="773" ht="30" customHeight="1">
      <c r="A773" s="53" t="inlineStr">
        <is>
          <t>창고전용</t>
        </is>
      </c>
      <c r="B773" s="52" t="inlineStr">
        <is>
          <t>가방</t>
        </is>
      </c>
      <c r="C773" s="52" t="inlineStr">
        <is>
          <t>ADX6000</t>
        </is>
      </c>
      <c r="D773" s="79">
        <f>IF(INDIRECT("'"&amp;$O773&amp;"'!F"&amp;$N773)="O","원자재",IF(INDIRECT("'"&amp;$O773&amp;"'!G"&amp;$N773)="O","반제품",IF(INDIRECT("'"&amp;$O773&amp;"'!H"&amp;$N773)="O","완제품","")))</f>
        <v/>
      </c>
      <c r="E773" s="79">
        <f>IFERROR(IF(INDIRECT("'"&amp;$O773&amp;"'!I"&amp;$N773)=0,"",INDIRECT("'"&amp;$O773&amp;"'!I"&amp;$N773)),"")</f>
        <v/>
      </c>
      <c r="F773" s="52" t="n"/>
      <c r="G773" s="52" t="inlineStr">
        <is>
          <t>FDXD-810 센서 가방 (뱅가드) [ADX6000]</t>
        </is>
      </c>
      <c r="H773" s="79">
        <f>IF(AND($F773="",$G773=""),"",IF($F773="","창고전용",IF($G773&lt;&gt;"","매칭완료",IF($D773="반제품","반제품(창고없음)",IF($D773="완제품","완제품(창고없음)",IF($D773="원자재","⚠ 원자재_부서보관","미분류"))))))</f>
        <v/>
      </c>
      <c r="I773" s="79">
        <f>IFERROR(IF(INDIRECT("'"&amp;$O773&amp;"'!P"&amp;$N773)=0,"",INDIRECT("'"&amp;$O773&amp;"'!P"&amp;$N773)),"")</f>
        <v/>
      </c>
      <c r="J773" s="61" t="inlineStr">
        <is>
          <t>FDXD-810 센서 가방 (뱅가드) [ADX6000]</t>
        </is>
      </c>
      <c r="K773" s="61" t="inlineStr">
        <is>
          <t>뱅가드 53F [FDXD-810]</t>
        </is>
      </c>
      <c r="L773" s="106">
        <f>HYPERLINK("#'"&amp;$O773&amp;"'!A"&amp;$N773,"→ 창고 R"&amp;$N773)</f>
        <v/>
      </c>
      <c r="M773" s="84" t="n"/>
      <c r="N773" s="107" t="n">
        <v>416</v>
      </c>
      <c r="O773" s="107" t="inlineStr">
        <is>
          <t>창고_재고현황</t>
        </is>
      </c>
    </row>
    <row r="774" ht="30" customHeight="1">
      <c r="A774" s="53" t="inlineStr">
        <is>
          <t>창고전용</t>
        </is>
      </c>
      <c r="B774" s="52" t="inlineStr">
        <is>
          <t>PU FOAM</t>
        </is>
      </c>
      <c r="C774" s="52" t="inlineStr">
        <is>
          <t>DX3000, ADX4000W</t>
        </is>
      </c>
      <c r="D774" s="79">
        <f>IF(INDIRECT("'"&amp;$O774&amp;"'!F"&amp;$N774)="O","원자재",IF(INDIRECT("'"&amp;$O774&amp;"'!G"&amp;$N774)="O","반제품",IF(INDIRECT("'"&amp;$O774&amp;"'!H"&amp;$N774)="O","완제품","")))</f>
        <v/>
      </c>
      <c r="E774" s="79">
        <f>IFERROR(IF(INDIRECT("'"&amp;$O774&amp;"'!I"&amp;$N774)=0,"",INDIRECT("'"&amp;$O774&amp;"'!I"&amp;$N774)),"")</f>
        <v/>
      </c>
      <c r="F774" s="52" t="n"/>
      <c r="G774" s="52" t="inlineStr">
        <is>
          <t>계란판 [DX3000, ADX4000W]</t>
        </is>
      </c>
      <c r="H774" s="79">
        <f>IF(AND($F774="",$G774=""),"",IF($F774="","창고전용",IF($G774&lt;&gt;"","매칭완료",IF($D774="반제품","반제품(창고없음)",IF($D774="완제품","완제품(창고없음)",IF($D774="원자재","⚠ 원자재_부서보관","미분류"))))))</f>
        <v/>
      </c>
      <c r="I774" s="79">
        <f>IFERROR(IF(INDIRECT("'"&amp;$O774&amp;"'!P"&amp;$N774)=0,"",INDIRECT("'"&amp;$O774&amp;"'!P"&amp;$N774)),"")</f>
        <v/>
      </c>
      <c r="J774" s="61" t="inlineStr">
        <is>
          <t>계란판 [DX3000, ADX4000W]</t>
        </is>
      </c>
      <c r="K774" s="61" t="inlineStr">
        <is>
          <t>DX3000, ADX4000W 계란판</t>
        </is>
      </c>
      <c r="L774" s="106">
        <f>HYPERLINK("#'"&amp;$O774&amp;"'!A"&amp;$N774,"→ 창고 R"&amp;$N774)</f>
        <v/>
      </c>
      <c r="M774" s="84" t="n"/>
      <c r="N774" s="107" t="n">
        <v>417</v>
      </c>
      <c r="O774" s="107" t="inlineStr">
        <is>
          <t>창고_재고현황</t>
        </is>
      </c>
    </row>
    <row r="775" ht="30" customHeight="1">
      <c r="A775" s="53" t="inlineStr">
        <is>
          <t>창고전용</t>
        </is>
      </c>
      <c r="B775" s="52" t="inlineStr">
        <is>
          <t>PU FOAM</t>
        </is>
      </c>
      <c r="C775" s="52" t="inlineStr">
        <is>
          <t>COCOON, ADX6000</t>
        </is>
      </c>
      <c r="D775" s="79">
        <f>IF(INDIRECT("'"&amp;$O775&amp;"'!F"&amp;$N775)="O","원자재",IF(INDIRECT("'"&amp;$O775&amp;"'!G"&amp;$N775)="O","반제품",IF(INDIRECT("'"&amp;$O775&amp;"'!H"&amp;$N775)="O","완제품","")))</f>
        <v/>
      </c>
      <c r="E775" s="79">
        <f>IFERROR(IF(INDIRECT("'"&amp;$O775&amp;"'!I"&amp;$N775)=0,"",INDIRECT("'"&amp;$O775&amp;"'!I"&amp;$N775)),"")</f>
        <v/>
      </c>
      <c r="F775" s="52" t="n"/>
      <c r="G775" s="52" t="inlineStr">
        <is>
          <t>계란판 [COCOON, ADX6000]</t>
        </is>
      </c>
      <c r="H775" s="79">
        <f>IF(AND($F775="",$G775=""),"",IF($F775="","창고전용",IF($G775&lt;&gt;"","매칭완료",IF($D775="반제품","반제품(창고없음)",IF($D775="완제품","완제품(창고없음)",IF($D775="원자재","⚠ 원자재_부서보관","미분류"))))))</f>
        <v/>
      </c>
      <c r="I775" s="79">
        <f>IFERROR(IF(INDIRECT("'"&amp;$O775&amp;"'!P"&amp;$N775)=0,"",INDIRECT("'"&amp;$O775&amp;"'!P"&amp;$N775)),"")</f>
        <v/>
      </c>
      <c r="J775" s="61" t="inlineStr">
        <is>
          <t>계란판 [COCOON, ADX6000]</t>
        </is>
      </c>
      <c r="K775" s="61" t="inlineStr">
        <is>
          <t>COCOON, ADX6000 계란판</t>
        </is>
      </c>
      <c r="L775" s="106">
        <f>HYPERLINK("#'"&amp;$O775&amp;"'!A"&amp;$N775,"→ 창고 R"&amp;$N775)</f>
        <v/>
      </c>
      <c r="M775" s="84" t="n"/>
      <c r="N775" s="107" t="n">
        <v>418</v>
      </c>
      <c r="O775" s="107" t="inlineStr">
        <is>
          <t>창고_재고현황</t>
        </is>
      </c>
    </row>
    <row r="776" ht="30" customHeight="1">
      <c r="A776" s="53" t="inlineStr">
        <is>
          <t>창고전용</t>
        </is>
      </c>
      <c r="B776" s="52" t="inlineStr">
        <is>
          <t>PU FOAM</t>
        </is>
      </c>
      <c r="C776" s="52" t="inlineStr">
        <is>
          <t>공용</t>
        </is>
      </c>
      <c r="D776" s="79">
        <f>IF(INDIRECT("'"&amp;$O776&amp;"'!F"&amp;$N776)="O","원자재",IF(INDIRECT("'"&amp;$O776&amp;"'!G"&amp;$N776)="O","반제품",IF(INDIRECT("'"&amp;$O776&amp;"'!H"&amp;$N776)="O","완제품","")))</f>
        <v/>
      </c>
      <c r="E776" s="79">
        <f>IFERROR(IF(INDIRECT("'"&amp;$O776&amp;"'!I"&amp;$N776)=0,"",INDIRECT("'"&amp;$O776&amp;"'!I"&amp;$N776)),"")</f>
        <v/>
      </c>
      <c r="F776" s="52" t="n"/>
      <c r="G776" s="52" t="inlineStr">
        <is>
          <t>센서 내장재 상단 (45 * 55.5 * 2T, 접착 O) [공용]</t>
        </is>
      </c>
      <c r="H776" s="79">
        <f>IF(AND($F776="",$G776=""),"",IF($F776="","창고전용",IF($G776&lt;&gt;"","매칭완료",IF($D776="반제품","반제품(창고없음)",IF($D776="완제품","완제품(창고없음)",IF($D776="원자재","⚠ 원자재_부서보관","미분류"))))))</f>
        <v/>
      </c>
      <c r="I776" s="79">
        <f>IFERROR(IF(INDIRECT("'"&amp;$O776&amp;"'!P"&amp;$N776)=0,"",INDIRECT("'"&amp;$O776&amp;"'!P"&amp;$N776)),"")</f>
        <v/>
      </c>
      <c r="J776" s="61" t="inlineStr">
        <is>
          <t>센서 내장재 상단 (45 * 55.5 * 2T, 접착 O) [공용]</t>
        </is>
      </c>
      <c r="K776" s="61" t="inlineStr">
        <is>
          <t>디텍터 내부폼 상판 [45x55.5x2 mm 접착 O] (뱅가드 53F용)</t>
        </is>
      </c>
      <c r="L776" s="106">
        <f>HYPERLINK("#'"&amp;$O776&amp;"'!A"&amp;$N776,"→ 창고 R"&amp;$N776)</f>
        <v/>
      </c>
      <c r="M776" s="84" t="n"/>
      <c r="N776" s="107" t="n">
        <v>429</v>
      </c>
      <c r="O776" s="107" t="inlineStr">
        <is>
          <t>창고_재고현황</t>
        </is>
      </c>
    </row>
    <row r="777" ht="30" customHeight="1">
      <c r="A777" s="53" t="inlineStr">
        <is>
          <t>창고전용</t>
        </is>
      </c>
      <c r="B777" s="52" t="inlineStr">
        <is>
          <t>PU FOAM</t>
        </is>
      </c>
      <c r="C777" s="52" t="inlineStr">
        <is>
          <t>공용</t>
        </is>
      </c>
      <c r="D777" s="79">
        <f>IF(INDIRECT("'"&amp;$O777&amp;"'!F"&amp;$N777)="O","원자재",IF(INDIRECT("'"&amp;$O777&amp;"'!G"&amp;$N777)="O","반제품",IF(INDIRECT("'"&amp;$O777&amp;"'!H"&amp;$N777)="O","완제품","")))</f>
        <v/>
      </c>
      <c r="E777" s="79">
        <f>IFERROR(IF(INDIRECT("'"&amp;$O777&amp;"'!I"&amp;$N777)=0,"",INDIRECT("'"&amp;$O777&amp;"'!I"&amp;$N777)),"")</f>
        <v/>
      </c>
      <c r="F777" s="52" t="n"/>
      <c r="G777" s="52" t="inlineStr">
        <is>
          <t>센서 내장재 중간 (45 * 55.5 * 2T, 접착 X) [공용]</t>
        </is>
      </c>
      <c r="H777" s="79">
        <f>IF(AND($F777="",$G777=""),"",IF($F777="","창고전용",IF($G777&lt;&gt;"","매칭완료",IF($D777="반제품","반제품(창고없음)",IF($D777="완제품","완제품(창고없음)",IF($D777="원자재","⚠ 원자재_부서보관","미분류"))))))</f>
        <v/>
      </c>
      <c r="I777" s="79">
        <f>IFERROR(IF(INDIRECT("'"&amp;$O777&amp;"'!P"&amp;$N777)=0,"",INDIRECT("'"&amp;$O777&amp;"'!P"&amp;$N777)),"")</f>
        <v/>
      </c>
      <c r="J777" s="61" t="inlineStr">
        <is>
          <t>센서 내장재 중간 (45 * 55.5 * 2T, 접착 X) [공용]</t>
        </is>
      </c>
      <c r="K777" s="61" t="inlineStr">
        <is>
          <t>디텍터 내부폼 중판 [45x55.5x2 mm 접착 X] (뱅가드 53F용)</t>
        </is>
      </c>
      <c r="L777" s="106">
        <f>HYPERLINK("#'"&amp;$O777&amp;"'!A"&amp;$N777,"→ 창고 R"&amp;$N777)</f>
        <v/>
      </c>
      <c r="M777" s="84" t="n"/>
      <c r="N777" s="107" t="n">
        <v>432</v>
      </c>
      <c r="O777" s="107" t="inlineStr">
        <is>
          <t>창고_재고현황</t>
        </is>
      </c>
    </row>
    <row r="778" ht="30" customHeight="1">
      <c r="A778" s="53" t="inlineStr">
        <is>
          <t>창고전용</t>
        </is>
      </c>
      <c r="B778" s="52" t="inlineStr">
        <is>
          <t>PU FOAM</t>
        </is>
      </c>
      <c r="C778" s="52" t="inlineStr">
        <is>
          <t>공용</t>
        </is>
      </c>
      <c r="D778" s="79">
        <f>IF(INDIRECT("'"&amp;$O778&amp;"'!F"&amp;$N778)="O","원자재",IF(INDIRECT("'"&amp;$O778&amp;"'!G"&amp;$N778)="O","반제품",IF(INDIRECT("'"&amp;$O778&amp;"'!H"&amp;$N778)="O","완제품","")))</f>
        <v/>
      </c>
      <c r="E778" s="79">
        <f>IFERROR(IF(INDIRECT("'"&amp;$O778&amp;"'!I"&amp;$N778)=0,"",INDIRECT("'"&amp;$O778&amp;"'!I"&amp;$N778)),"")</f>
        <v/>
      </c>
      <c r="F778" s="52" t="n"/>
      <c r="G778" s="52" t="inlineStr">
        <is>
          <t>센서 내장재 하단 (45 * 55.5 * 8T) [공용]</t>
        </is>
      </c>
      <c r="H778" s="79">
        <f>IF(AND($F778="",$G778=""),"",IF($F778="","창고전용",IF($G778&lt;&gt;"","매칭완료",IF($D778="반제품","반제품(창고없음)",IF($D778="완제품","완제품(창고없음)",IF($D778="원자재","⚠ 원자재_부서보관","미분류"))))))</f>
        <v/>
      </c>
      <c r="I778" s="79">
        <f>IFERROR(IF(INDIRECT("'"&amp;$O778&amp;"'!P"&amp;$N778)=0,"",INDIRECT("'"&amp;$O778&amp;"'!P"&amp;$N778)),"")</f>
        <v/>
      </c>
      <c r="J778" s="61" t="inlineStr">
        <is>
          <t>센서 내장재 하단 (45 * 55.5 * 8T) [공용]</t>
        </is>
      </c>
      <c r="K778" s="61" t="inlineStr">
        <is>
          <t>디텍터 내부폼 하판 [45x55.5x8 mm] (뱅가드 53F용)</t>
        </is>
      </c>
      <c r="L778" s="106">
        <f>HYPERLINK("#'"&amp;$O778&amp;"'!A"&amp;$N778,"→ 창고 R"&amp;$N778)</f>
        <v/>
      </c>
      <c r="M778" s="84" t="n"/>
      <c r="N778" s="107" t="n">
        <v>433</v>
      </c>
      <c r="O778" s="107" t="inlineStr">
        <is>
          <t>창고_재고현황</t>
        </is>
      </c>
    </row>
    <row r="779" ht="30" customHeight="1">
      <c r="A779" s="53" t="inlineStr">
        <is>
          <t>창고전용</t>
        </is>
      </c>
      <c r="B779" s="52" t="inlineStr">
        <is>
          <t>BOX</t>
        </is>
      </c>
      <c r="C779" s="52" t="inlineStr">
        <is>
          <t>ADX6000</t>
        </is>
      </c>
      <c r="D779" s="79">
        <f>IF(INDIRECT("'"&amp;$O779&amp;"'!F"&amp;$N779)="O","원자재",IF(INDIRECT("'"&amp;$O779&amp;"'!G"&amp;$N779)="O","반제품",IF(INDIRECT("'"&amp;$O779&amp;"'!H"&amp;$N779)="O","완제품","")))</f>
        <v/>
      </c>
      <c r="E779" s="79">
        <f>IFERROR(IF(INDIRECT("'"&amp;$O779&amp;"'!I"&amp;$N779)=0,"",INDIRECT("'"&amp;$O779&amp;"'!I"&amp;$N779)),"")</f>
        <v/>
      </c>
      <c r="F779" s="52" t="n"/>
      <c r="G779" s="52" t="inlineStr">
        <is>
          <t>카톤 박스 [ADX6000]</t>
        </is>
      </c>
      <c r="H779" s="79">
        <f>IF(AND($F779="",$G779=""),"",IF($F779="","창고전용",IF($G779&lt;&gt;"","매칭완료",IF($D779="반제품","반제품(창고없음)",IF($D779="완제품","완제품(창고없음)",IF($D779="원자재","⚠ 원자재_부서보관","미분류"))))))</f>
        <v/>
      </c>
      <c r="I779" s="79">
        <f>IFERROR(IF(INDIRECT("'"&amp;$O779&amp;"'!P"&amp;$N779)=0,"",INDIRECT("'"&amp;$O779&amp;"'!P"&amp;$N779)),"")</f>
        <v/>
      </c>
      <c r="J779" s="61" t="inlineStr">
        <is>
          <t>카톤 박스 [ADX6000]</t>
        </is>
      </c>
      <c r="K779" s="61" t="inlineStr">
        <is>
          <t>ADX6000 제품 박스</t>
        </is>
      </c>
      <c r="L779" s="106">
        <f>HYPERLINK("#'"&amp;$O779&amp;"'!A"&amp;$N779,"→ 창고 R"&amp;$N779)</f>
        <v/>
      </c>
      <c r="M779" s="84" t="n"/>
      <c r="N779" s="107" t="n">
        <v>442</v>
      </c>
      <c r="O779" s="107" t="inlineStr">
        <is>
          <t>창고_재고현황</t>
        </is>
      </c>
    </row>
    <row r="780" ht="30" customHeight="1">
      <c r="A780" s="53" t="inlineStr">
        <is>
          <t>창고전용</t>
        </is>
      </c>
      <c r="B780" s="52" t="inlineStr">
        <is>
          <t>BOX</t>
        </is>
      </c>
      <c r="C780" s="52" t="inlineStr">
        <is>
          <t>공용</t>
        </is>
      </c>
      <c r="D780" s="79">
        <f>IF(INDIRECT("'"&amp;$O780&amp;"'!F"&amp;$N780)="O","원자재",IF(INDIRECT("'"&amp;$O780&amp;"'!G"&amp;$N780)="O","반제품",IF(INDIRECT("'"&amp;$O780&amp;"'!H"&amp;$N780)="O","완제품","")))</f>
        <v/>
      </c>
      <c r="E780" s="79">
        <f>IFERROR(IF(INDIRECT("'"&amp;$O780&amp;"'!I"&amp;$N780)=0,"",INDIRECT("'"&amp;$O780&amp;"'!I"&amp;$N780)),"")</f>
        <v/>
      </c>
      <c r="F780" s="52" t="n"/>
      <c r="G780" s="52" t="inlineStr">
        <is>
          <t>무지 박스 1개 (450 * 260 * 510(H)mm) [공용]</t>
        </is>
      </c>
      <c r="H780" s="79">
        <f>IF(AND($F780="",$G780=""),"",IF($F780="","창고전용",IF($G780&lt;&gt;"","매칭완료",IF($D780="반제품","반제품(창고없음)",IF($D780="완제품","완제품(창고없음)",IF($D780="원자재","⚠ 원자재_부서보관","미분류"))))))</f>
        <v/>
      </c>
      <c r="I780" s="79">
        <f>IFERROR(IF(INDIRECT("'"&amp;$O780&amp;"'!P"&amp;$N780)=0,"",INDIRECT("'"&amp;$O780&amp;"'!P"&amp;$N780)),"")</f>
        <v/>
      </c>
      <c r="J780" s="61" t="inlineStr">
        <is>
          <t>무지 박스 1개 (450 * 260 * 510(H)mm) [공용]</t>
        </is>
      </c>
      <c r="K780" s="61" t="inlineStr">
        <is>
          <t>제품 박스용 무지 박스 [450x260x510 mm] (1개 포장용)</t>
        </is>
      </c>
      <c r="L780" s="106">
        <f>HYPERLINK("#'"&amp;$O780&amp;"'!A"&amp;$N780,"→ 창고 R"&amp;$N780)</f>
        <v/>
      </c>
      <c r="M780" s="84" t="n"/>
      <c r="N780" s="107" t="n">
        <v>445</v>
      </c>
      <c r="O780" s="107" t="inlineStr">
        <is>
          <t>창고_재고현황</t>
        </is>
      </c>
    </row>
    <row r="781" ht="30" customHeight="1">
      <c r="A781" s="53" t="inlineStr">
        <is>
          <t>창고전용</t>
        </is>
      </c>
      <c r="B781" s="52" t="inlineStr">
        <is>
          <t>BOX</t>
        </is>
      </c>
      <c r="C781" s="52" t="inlineStr">
        <is>
          <t>공용</t>
        </is>
      </c>
      <c r="D781" s="79">
        <f>IF(INDIRECT("'"&amp;$O781&amp;"'!F"&amp;$N781)="O","원자재",IF(INDIRECT("'"&amp;$O781&amp;"'!G"&amp;$N781)="O","반제품",IF(INDIRECT("'"&amp;$O781&amp;"'!H"&amp;$N781)="O","완제품","")))</f>
        <v/>
      </c>
      <c r="E781" s="79">
        <f>IFERROR(IF(INDIRECT("'"&amp;$O781&amp;"'!I"&amp;$N781)=0,"",INDIRECT("'"&amp;$O781&amp;"'!I"&amp;$N781)),"")</f>
        <v/>
      </c>
      <c r="F781" s="52" t="n"/>
      <c r="G781" s="52" t="inlineStr">
        <is>
          <t>무지 박스 2개 (475 * 295 * 220(H)mm) [공용]</t>
        </is>
      </c>
      <c r="H781" s="79">
        <f>IF(AND($F781="",$G781=""),"",IF($F781="","창고전용",IF($G781&lt;&gt;"","매칭완료",IF($D781="반제품","반제품(창고없음)",IF($D781="완제품","완제품(창고없음)",IF($D781="원자재","⚠ 원자재_부서보관","미분류"))))))</f>
        <v/>
      </c>
      <c r="I781" s="79">
        <f>IFERROR(IF(INDIRECT("'"&amp;$O781&amp;"'!P"&amp;$N781)=0,"",INDIRECT("'"&amp;$O781&amp;"'!P"&amp;$N781)),"")</f>
        <v/>
      </c>
      <c r="J781" s="61" t="inlineStr">
        <is>
          <t>무지 박스 2개 (475 * 295 * 220(H)mm) [공용]</t>
        </is>
      </c>
      <c r="K781" s="61" t="inlineStr">
        <is>
          <t>저가 박스용 무지 박스 [475x295x220 mm] (2개 포장용)</t>
        </is>
      </c>
      <c r="L781" s="106">
        <f>HYPERLINK("#'"&amp;$O781&amp;"'!A"&amp;$N781,"→ 창고 R"&amp;$N781)</f>
        <v/>
      </c>
      <c r="M781" s="84" t="n"/>
      <c r="N781" s="107" t="n">
        <v>446</v>
      </c>
      <c r="O781" s="107" t="inlineStr">
        <is>
          <t>창고_재고현황</t>
        </is>
      </c>
    </row>
    <row r="782" ht="30" customHeight="1">
      <c r="A782" s="53" t="inlineStr">
        <is>
          <t>창고전용</t>
        </is>
      </c>
      <c r="B782" s="52" t="inlineStr">
        <is>
          <t>BOX</t>
        </is>
      </c>
      <c r="C782" s="52" t="inlineStr">
        <is>
          <t>공용</t>
        </is>
      </c>
      <c r="D782" s="79">
        <f>IF(INDIRECT("'"&amp;$O782&amp;"'!F"&amp;$N782)="O","원자재",IF(INDIRECT("'"&amp;$O782&amp;"'!G"&amp;$N782)="O","반제품",IF(INDIRECT("'"&amp;$O782&amp;"'!H"&amp;$N782)="O","완제품","")))</f>
        <v/>
      </c>
      <c r="E782" s="79">
        <f>IFERROR(IF(INDIRECT("'"&amp;$O782&amp;"'!I"&amp;$N782)=0,"",INDIRECT("'"&amp;$O782&amp;"'!I"&amp;$N782)),"")</f>
        <v/>
      </c>
      <c r="F782" s="52" t="n"/>
      <c r="G782" s="52" t="inlineStr">
        <is>
          <t>무지 박스 4개 (475 * 295 * 430(H)mm) [공용]</t>
        </is>
      </c>
      <c r="H782" s="79">
        <f>IF(AND($F782="",$G782=""),"",IF($F782="","창고전용",IF($G782&lt;&gt;"","매칭완료",IF($D782="반제품","반제품(창고없음)",IF($D782="완제품","완제품(창고없음)",IF($D782="원자재","⚠ 원자재_부서보관","미분류"))))))</f>
        <v/>
      </c>
      <c r="I782" s="79">
        <f>IFERROR(IF(INDIRECT("'"&amp;$O782&amp;"'!P"&amp;$N782)=0,"",INDIRECT("'"&amp;$O782&amp;"'!P"&amp;$N782)),"")</f>
        <v/>
      </c>
      <c r="J782" s="61" t="inlineStr">
        <is>
          <t>무지 박스 4개 (475 * 295 * 430(H)mm) [공용]</t>
        </is>
      </c>
      <c r="K782" s="61" t="inlineStr">
        <is>
          <t>저가 박스용 무지 박스 [475x295x430 mm] (4개 포장용)</t>
        </is>
      </c>
      <c r="L782" s="106">
        <f>HYPERLINK("#'"&amp;$O782&amp;"'!A"&amp;$N782,"→ 창고 R"&amp;$N782)</f>
        <v/>
      </c>
      <c r="M782" s="84" t="n"/>
      <c r="N782" s="107" t="n">
        <v>447</v>
      </c>
      <c r="O782" s="107" t="inlineStr">
        <is>
          <t>창고_재고현황</t>
        </is>
      </c>
    </row>
    <row r="783" ht="30" customHeight="1">
      <c r="A783" s="53" t="inlineStr">
        <is>
          <t>창고전용</t>
        </is>
      </c>
      <c r="B783" s="52" t="inlineStr">
        <is>
          <t>BOX</t>
        </is>
      </c>
      <c r="C783" s="52" t="inlineStr">
        <is>
          <t>공용</t>
        </is>
      </c>
      <c r="D783" s="79">
        <f>IF(INDIRECT("'"&amp;$O783&amp;"'!F"&amp;$N783)="O","원자재",IF(INDIRECT("'"&amp;$O783&amp;"'!G"&amp;$N783)="O","반제품",IF(INDIRECT("'"&amp;$O783&amp;"'!H"&amp;$N783)="O","완제품","")))</f>
        <v/>
      </c>
      <c r="E783" s="79">
        <f>IFERROR(IF(INDIRECT("'"&amp;$O783&amp;"'!I"&amp;$N783)=0,"",INDIRECT("'"&amp;$O783&amp;"'!I"&amp;$N783)),"")</f>
        <v/>
      </c>
      <c r="F783" s="52" t="n"/>
      <c r="G783" s="52" t="inlineStr">
        <is>
          <t>무지 박스 6개 (700 * 300 * 430(H)mm) [공용]</t>
        </is>
      </c>
      <c r="H783" s="79">
        <f>IF(AND($F783="",$G783=""),"",IF($F783="","창고전용",IF($G783&lt;&gt;"","매칭완료",IF($D783="반제품","반제품(창고없음)",IF($D783="완제품","완제품(창고없음)",IF($D783="원자재","⚠ 원자재_부서보관","미분류"))))))</f>
        <v/>
      </c>
      <c r="I783" s="79">
        <f>IFERROR(IF(INDIRECT("'"&amp;$O783&amp;"'!P"&amp;$N783)=0,"",INDIRECT("'"&amp;$O783&amp;"'!P"&amp;$N783)),"")</f>
        <v/>
      </c>
      <c r="J783" s="61" t="inlineStr">
        <is>
          <t>무지 박스 6개 (700 * 300 * 430(H)mm) [공용]</t>
        </is>
      </c>
      <c r="K783" s="61" t="inlineStr">
        <is>
          <t>저가 박스용 무지 박스 [700x300x430 mm] (6개 포장용)</t>
        </is>
      </c>
      <c r="L783" s="106">
        <f>HYPERLINK("#'"&amp;$O783&amp;"'!A"&amp;$N783,"→ 창고 R"&amp;$N783)</f>
        <v/>
      </c>
      <c r="M783" s="84" t="n"/>
      <c r="N783" s="107" t="n">
        <v>448</v>
      </c>
      <c r="O783" s="107" t="inlineStr">
        <is>
          <t>창고_재고현황</t>
        </is>
      </c>
    </row>
    <row r="784" ht="30" customHeight="1">
      <c r="A784" s="53" t="inlineStr">
        <is>
          <t>창고전용</t>
        </is>
      </c>
      <c r="B784" s="52" t="inlineStr">
        <is>
          <t>BOX</t>
        </is>
      </c>
      <c r="C784" s="52" t="inlineStr">
        <is>
          <t>공용</t>
        </is>
      </c>
      <c r="D784" s="79">
        <f>IF(INDIRECT("'"&amp;$O784&amp;"'!F"&amp;$N784)="O","원자재",IF(INDIRECT("'"&amp;$O784&amp;"'!G"&amp;$N784)="O","반제품",IF(INDIRECT("'"&amp;$O784&amp;"'!H"&amp;$N784)="O","완제품","")))</f>
        <v/>
      </c>
      <c r="E784" s="79">
        <f>IFERROR(IF(INDIRECT("'"&amp;$O784&amp;"'!I"&amp;$N784)=0,"",INDIRECT("'"&amp;$O784&amp;"'!I"&amp;$N784)),"")</f>
        <v/>
      </c>
      <c r="F784" s="52" t="n"/>
      <c r="G784" s="52" t="inlineStr">
        <is>
          <t>ADX6000 센서 무지 박스 [공용]</t>
        </is>
      </c>
      <c r="H784" s="79">
        <f>IF(AND($F784="",$G784=""),"",IF($F784="","창고전용",IF($G784&lt;&gt;"","매칭완료",IF($D784="반제품","반제품(창고없음)",IF($D784="완제품","완제품(창고없음)",IF($D784="원자재","⚠ 원자재_부서보관","미분류"))))))</f>
        <v/>
      </c>
      <c r="I784" s="79">
        <f>IFERROR(IF(INDIRECT("'"&amp;$O784&amp;"'!P"&amp;$N784)=0,"",INDIRECT("'"&amp;$O784&amp;"'!P"&amp;$N784)),"")</f>
        <v/>
      </c>
      <c r="J784" s="61" t="inlineStr">
        <is>
          <t>ADX6000 센서 무지 박스 [공용]</t>
        </is>
      </c>
      <c r="K784" s="65" t="inlineStr">
        <is>
          <t>뱅가드 46F 포장용 무지 박스</t>
        </is>
      </c>
      <c r="L784" s="106">
        <f>HYPERLINK("#'"&amp;$O784&amp;"'!A"&amp;$N784,"→ 창고 R"&amp;$N784)</f>
        <v/>
      </c>
      <c r="M784" s="84" t="n"/>
      <c r="N784" s="107" t="n">
        <v>451</v>
      </c>
      <c r="O784" s="107" t="inlineStr">
        <is>
          <t>창고_재고현황</t>
        </is>
      </c>
    </row>
    <row r="785" ht="30" customHeight="1">
      <c r="A785" s="53" t="inlineStr">
        <is>
          <t>창고전용</t>
        </is>
      </c>
      <c r="B785" s="52" t="inlineStr">
        <is>
          <t>스티로폼</t>
        </is>
      </c>
      <c r="C785" s="52" t="inlineStr">
        <is>
          <t>ADX6000</t>
        </is>
      </c>
      <c r="D785" s="79">
        <f>IF(INDIRECT("'"&amp;$O785&amp;"'!F"&amp;$N785)="O","원자재",IF(INDIRECT("'"&amp;$O785&amp;"'!G"&amp;$N785)="O","반제품",IF(INDIRECT("'"&amp;$O785&amp;"'!H"&amp;$N785)="O","완제품","")))</f>
        <v/>
      </c>
      <c r="E785" s="79">
        <f>IFERROR(IF(INDIRECT("'"&amp;$O785&amp;"'!I"&amp;$N785)=0,"",INDIRECT("'"&amp;$O785&amp;"'!I"&amp;$N785)),"")</f>
        <v/>
      </c>
      <c r="F785" s="52" t="n"/>
      <c r="G785" s="52" t="inlineStr">
        <is>
          <t>제품박스 상, 하 스티로폼 (60.5 * 27.5 * 3T) [ADX6000]</t>
        </is>
      </c>
      <c r="H785" s="79">
        <f>IF(AND($F785="",$G785=""),"",IF($F785="","창고전용",IF($G785&lt;&gt;"","매칭완료",IF($D785="반제품","반제품(창고없음)",IF($D785="완제품","완제품(창고없음)",IF($D785="원자재","⚠ 원자재_부서보관","미분류"))))))</f>
        <v/>
      </c>
      <c r="I785" s="79">
        <f>IFERROR(IF(INDIRECT("'"&amp;$O785&amp;"'!P"&amp;$N785)=0,"",INDIRECT("'"&amp;$O785&amp;"'!P"&amp;$N785)),"")</f>
        <v/>
      </c>
      <c r="J785" s="61" t="inlineStr">
        <is>
          <t>제품박스 상, 하 스티로폼 (60.5 * 27.5 * 3T) [ADX6000]</t>
        </is>
      </c>
      <c r="K785" s="65" t="inlineStr">
        <is>
          <t>ADX6000 박스 내장재 [상, 하판 60.5x27.5x30 mm] (뱅가드 46F용)</t>
        </is>
      </c>
      <c r="L785" s="106">
        <f>HYPERLINK("#'"&amp;$O785&amp;"'!A"&amp;$N785,"→ 창고 R"&amp;$N785)</f>
        <v/>
      </c>
      <c r="M785" s="84" t="n"/>
      <c r="N785" s="107" t="n">
        <v>455</v>
      </c>
      <c r="O785" s="107" t="inlineStr">
        <is>
          <t>창고_재고현황</t>
        </is>
      </c>
    </row>
    <row r="786" ht="30" customHeight="1">
      <c r="A786" s="53" t="inlineStr">
        <is>
          <t>창고전용</t>
        </is>
      </c>
      <c r="B786" s="52" t="inlineStr">
        <is>
          <t>스티로폼</t>
        </is>
      </c>
      <c r="C786" s="52" t="inlineStr">
        <is>
          <t>ADX6000</t>
        </is>
      </c>
      <c r="D786" s="79">
        <f>IF(INDIRECT("'"&amp;$O786&amp;"'!F"&amp;$N786)="O","원자재",IF(INDIRECT("'"&amp;$O786&amp;"'!G"&amp;$N786)="O","반제품",IF(INDIRECT("'"&amp;$O786&amp;"'!H"&amp;$N786)="O","완제품","")))</f>
        <v/>
      </c>
      <c r="E786" s="79">
        <f>IFERROR(IF(INDIRECT("'"&amp;$O786&amp;"'!I"&amp;$N786)=0,"",INDIRECT("'"&amp;$O786&amp;"'!I"&amp;$N786)),"")</f>
        <v/>
      </c>
      <c r="F786" s="52" t="n"/>
      <c r="G786" s="52" t="inlineStr">
        <is>
          <t>제품박스 좁은 스티로폼 (42.5 * 27.5 * 3T) [ADX6000]</t>
        </is>
      </c>
      <c r="H786" s="79">
        <f>IF(AND($F786="",$G786=""),"",IF($F786="","창고전용",IF($G786&lt;&gt;"","매칭완료",IF($D786="반제품","반제품(창고없음)",IF($D786="완제품","완제품(창고없음)",IF($D786="원자재","⚠ 원자재_부서보관","미분류"))))))</f>
        <v/>
      </c>
      <c r="I786" s="79">
        <f>IFERROR(IF(INDIRECT("'"&amp;$O786&amp;"'!P"&amp;$N786)=0,"",INDIRECT("'"&amp;$O786&amp;"'!P"&amp;$N786)),"")</f>
        <v/>
      </c>
      <c r="J786" s="61" t="inlineStr">
        <is>
          <t>제품박스 좁은 스티로폼 (42.5 * 27.5 * 3T) [ADX6000]</t>
        </is>
      </c>
      <c r="K786" s="65" t="inlineStr">
        <is>
          <t>ADX6000 박스 내장재 [좌, 우판 42.5x27.5x30 mm] (뱅가드 46F용)</t>
        </is>
      </c>
      <c r="L786" s="106">
        <f>HYPERLINK("#'"&amp;$O786&amp;"'!A"&amp;$N786,"→ 창고 R"&amp;$N786)</f>
        <v/>
      </c>
      <c r="M786" s="84" t="n"/>
      <c r="N786" s="107" t="n">
        <v>456</v>
      </c>
      <c r="O786" s="107" t="inlineStr">
        <is>
          <t>창고_재고현황</t>
        </is>
      </c>
    </row>
    <row r="787" ht="30" customHeight="1">
      <c r="A787" s="53" t="inlineStr">
        <is>
          <t>창고전용</t>
        </is>
      </c>
      <c r="B787" s="52" t="inlineStr">
        <is>
          <t>스티로폼</t>
        </is>
      </c>
      <c r="C787" s="52" t="inlineStr">
        <is>
          <t>ADX6000</t>
        </is>
      </c>
      <c r="D787" s="79">
        <f>IF(INDIRECT("'"&amp;$O787&amp;"'!F"&amp;$N787)="O","원자재",IF(INDIRECT("'"&amp;$O787&amp;"'!G"&amp;$N787)="O","반제품",IF(INDIRECT("'"&amp;$O787&amp;"'!H"&amp;$N787)="O","완제품","")))</f>
        <v/>
      </c>
      <c r="E787" s="79">
        <f>IFERROR(IF(INDIRECT("'"&amp;$O787&amp;"'!I"&amp;$N787)=0,"",INDIRECT("'"&amp;$O787&amp;"'!I"&amp;$N787)),"")</f>
        <v/>
      </c>
      <c r="F787" s="52" t="n"/>
      <c r="G787" s="52" t="inlineStr">
        <is>
          <t>제품박스 넒은 스티로폼 (42.5 * 55 * 3.5T) [ADX6000]</t>
        </is>
      </c>
      <c r="H787" s="79">
        <f>IF(AND($F787="",$G787=""),"",IF($F787="","창고전용",IF($G787&lt;&gt;"","매칭완료",IF($D787="반제품","반제품(창고없음)",IF($D787="완제품","완제품(창고없음)",IF($D787="원자재","⚠ 원자재_부서보관","미분류"))))))</f>
        <v/>
      </c>
      <c r="I787" s="79">
        <f>IFERROR(IF(INDIRECT("'"&amp;$O787&amp;"'!P"&amp;$N787)=0,"",INDIRECT("'"&amp;$O787&amp;"'!P"&amp;$N787)),"")</f>
        <v/>
      </c>
      <c r="J787" s="61" t="inlineStr">
        <is>
          <t>제품박스 넒은 스티로폼 (42.5 * 55 * 3.5T) [ADX6000]</t>
        </is>
      </c>
      <c r="K787" s="65" t="inlineStr">
        <is>
          <t>ADX6000 박스 내장재 [전, 후판 42.5x55x35 mm] (뱅가드 46F용)</t>
        </is>
      </c>
      <c r="L787" s="106">
        <f>HYPERLINK("#'"&amp;$O787&amp;"'!A"&amp;$N787,"→ 창고 R"&amp;$N787)</f>
        <v/>
      </c>
      <c r="M787" s="84" t="n"/>
      <c r="N787" s="107" t="n">
        <v>459</v>
      </c>
      <c r="O787" s="107" t="inlineStr">
        <is>
          <t>창고_재고현황</t>
        </is>
      </c>
    </row>
    <row r="788" ht="30" customHeight="1">
      <c r="A788" s="53" t="inlineStr">
        <is>
          <t>창고전용</t>
        </is>
      </c>
      <c r="B788" s="52" t="inlineStr">
        <is>
          <t>스티로폼</t>
        </is>
      </c>
      <c r="C788" s="52" t="inlineStr">
        <is>
          <t>공용</t>
        </is>
      </c>
      <c r="D788" s="79">
        <f>IF(INDIRECT("'"&amp;$O788&amp;"'!F"&amp;$N788)="O","원자재",IF(INDIRECT("'"&amp;$O788&amp;"'!G"&amp;$N788)="O","반제품",IF(INDIRECT("'"&amp;$O788&amp;"'!H"&amp;$N788)="O","완제품","")))</f>
        <v/>
      </c>
      <c r="E788" s="79">
        <f>IFERROR(IF(INDIRECT("'"&amp;$O788&amp;"'!I"&amp;$N788)=0,"",INDIRECT("'"&amp;$O788&amp;"'!I"&amp;$N788)),"")</f>
        <v/>
      </c>
      <c r="F788" s="52" t="n"/>
      <c r="G788" s="52" t="inlineStr">
        <is>
          <t>DR Tech 센서 상, 하 스티로폼 (45.5 * 42 * 3T) [공용]</t>
        </is>
      </c>
      <c r="H788" s="79">
        <f>IF(AND($F788="",$G788=""),"",IF($F788="","창고전용",IF($G788&lt;&gt;"","매칭완료",IF($D788="반제품","반제품(창고없음)",IF($D788="완제품","완제품(창고없음)",IF($D788="원자재","⚠ 원자재_부서보관","미분류"))))))</f>
        <v/>
      </c>
      <c r="I788" s="79">
        <f>IFERROR(IF(INDIRECT("'"&amp;$O788&amp;"'!P"&amp;$N788)=0,"",INDIRECT("'"&amp;$O788&amp;"'!P"&amp;$N788)),"")</f>
        <v/>
      </c>
      <c r="J788" s="61" t="inlineStr">
        <is>
          <t>DR Tech 센서 상, 하 스티로폼 (45.5 * 42 * 3T) [공용]</t>
        </is>
      </c>
      <c r="K788" s="65" t="inlineStr">
        <is>
          <t>DRTech 센서 박스 내장재 [상, 하판 45.5x42x30 mm] (뱅가드 53F용)</t>
        </is>
      </c>
      <c r="L788" s="106">
        <f>HYPERLINK("#'"&amp;$O788&amp;"'!A"&amp;$N788,"→ 창고 R"&amp;$N788)</f>
        <v/>
      </c>
      <c r="M788" s="84" t="n"/>
      <c r="N788" s="107" t="n">
        <v>460</v>
      </c>
      <c r="O788" s="107" t="inlineStr">
        <is>
          <t>창고_재고현황</t>
        </is>
      </c>
    </row>
    <row r="789" ht="30" customHeight="1">
      <c r="A789" s="53" t="inlineStr">
        <is>
          <t>창고전용</t>
        </is>
      </c>
      <c r="B789" s="52" t="inlineStr">
        <is>
          <t>넥스트랩</t>
        </is>
      </c>
      <c r="C789" s="52" t="inlineStr">
        <is>
          <t>공용</t>
        </is>
      </c>
      <c r="D789" s="79">
        <f>IF(INDIRECT("'"&amp;$O789&amp;"'!F"&amp;$N789)="O","원자재",IF(INDIRECT("'"&amp;$O789&amp;"'!G"&amp;$N789)="O","반제품",IF(INDIRECT("'"&amp;$O789&amp;"'!H"&amp;$N789)="O","완제품","")))</f>
        <v/>
      </c>
      <c r="E789" s="79">
        <f>IFERROR(IF(INDIRECT("'"&amp;$O789&amp;"'!I"&amp;$N789)=0,"",INDIRECT("'"&amp;$O789&amp;"'!I"&amp;$N789)),"")</f>
        <v/>
      </c>
      <c r="F789" s="52" t="n"/>
      <c r="G789" s="52" t="inlineStr">
        <is>
          <t>넥스트 랩 (포켓 구형) [공용]</t>
        </is>
      </c>
      <c r="H789" s="79">
        <f>IF(AND($F789="",$G789=""),"",IF($F789="","창고전용",IF($G789&lt;&gt;"","매칭완료",IF($D789="반제품","반제품(창고없음)",IF($D789="완제품","완제품(창고없음)",IF($D789="원자재","⚠ 원자재_부서보관","미분류"))))))</f>
        <v/>
      </c>
      <c r="I789" s="79">
        <f>IFERROR(IF(INDIRECT("'"&amp;$O789&amp;"'!P"&amp;$N789)=0,"",INDIRECT("'"&amp;$O789&amp;"'!P"&amp;$N789)),"")</f>
        <v/>
      </c>
      <c r="J789" s="61" t="inlineStr">
        <is>
          <t>넥스트 랩 (포켓 구형) [공용]</t>
        </is>
      </c>
      <c r="K789" s="65" t="inlineStr">
        <is>
          <t>넥스트랩 [포켓 구형]</t>
        </is>
      </c>
      <c r="L789" s="106">
        <f>HYPERLINK("#'"&amp;$O789&amp;"'!A"&amp;$N789,"→ 창고 R"&amp;$N789)</f>
        <v/>
      </c>
      <c r="M789" s="84" t="n"/>
      <c r="N789" s="107" t="n">
        <v>465</v>
      </c>
      <c r="O789" s="107" t="inlineStr">
        <is>
          <t>창고_재고현황</t>
        </is>
      </c>
    </row>
    <row r="790" ht="30" customHeight="1">
      <c r="A790" s="53" t="inlineStr">
        <is>
          <t>창고전용</t>
        </is>
      </c>
      <c r="B790" s="52" t="inlineStr">
        <is>
          <t>넥스트랩</t>
        </is>
      </c>
      <c r="C790" s="52" t="inlineStr">
        <is>
          <t>공용</t>
        </is>
      </c>
      <c r="D790" s="79">
        <f>IF(INDIRECT("'"&amp;$O790&amp;"'!F"&amp;$N790)="O","원자재",IF(INDIRECT("'"&amp;$O790&amp;"'!G"&amp;$N790)="O","반제품",IF(INDIRECT("'"&amp;$O790&amp;"'!H"&amp;$N790)="O","완제품","")))</f>
        <v/>
      </c>
      <c r="E790" s="79">
        <f>IFERROR(IF(INDIRECT("'"&amp;$O790&amp;"'!I"&amp;$N790)=0,"",INDIRECT("'"&amp;$O790&amp;"'!I"&amp;$N790)),"")</f>
        <v/>
      </c>
      <c r="F790" s="52" t="n"/>
      <c r="G790" s="52" t="inlineStr">
        <is>
          <t>넥스트 랩 (포켓 X) [공용]</t>
        </is>
      </c>
      <c r="H790" s="79">
        <f>IF(AND($F790="",$G790=""),"",IF($F790="","창고전용",IF($G790&lt;&gt;"","매칭완료",IF($D790="반제품","반제품(창고없음)",IF($D790="완제품","완제품(창고없음)",IF($D790="원자재","⚠ 원자재_부서보관","미분류"))))))</f>
        <v/>
      </c>
      <c r="I790" s="79">
        <f>IFERROR(IF(INDIRECT("'"&amp;$O790&amp;"'!P"&amp;$N790)=0,"",INDIRECT("'"&amp;$O790&amp;"'!P"&amp;$N790)),"")</f>
        <v/>
      </c>
      <c r="J790" s="61" t="inlineStr">
        <is>
          <t>넥스트 랩 (포켓 X) [공용]</t>
        </is>
      </c>
      <c r="K790" s="65" t="inlineStr">
        <is>
          <t>넥스트랩 [포켓 X]</t>
        </is>
      </c>
      <c r="L790" s="106">
        <f>HYPERLINK("#'"&amp;$O790&amp;"'!A"&amp;$N790,"→ 창고 R"&amp;$N790)</f>
        <v/>
      </c>
      <c r="M790" s="84" t="n"/>
      <c r="N790" s="107" t="n">
        <v>466</v>
      </c>
      <c r="O790" s="107" t="inlineStr">
        <is>
          <t>창고_재고현황</t>
        </is>
      </c>
    </row>
    <row r="791" ht="30" customHeight="1">
      <c r="A791" s="53" t="inlineStr">
        <is>
          <t>창고전용</t>
        </is>
      </c>
      <c r="B791" s="52" t="inlineStr">
        <is>
          <t>스트랩</t>
        </is>
      </c>
      <c r="C791" s="52" t="inlineStr">
        <is>
          <t>DX3000</t>
        </is>
      </c>
      <c r="D791" s="79">
        <f>IF(INDIRECT("'"&amp;$O791&amp;"'!F"&amp;$N791)="O","원자재",IF(INDIRECT("'"&amp;$O791&amp;"'!G"&amp;$N791)="O","반제품",IF(INDIRECT("'"&amp;$O791&amp;"'!H"&amp;$N791)="O","완제품","")))</f>
        <v/>
      </c>
      <c r="E791" s="79">
        <f>IFERROR(IF(INDIRECT("'"&amp;$O791&amp;"'!I"&amp;$N791)=0,"",INDIRECT("'"&amp;$O791&amp;"'!I"&amp;$N791)),"")</f>
        <v/>
      </c>
      <c r="F791" s="52" t="n"/>
      <c r="G791" s="52" t="inlineStr">
        <is>
          <t>DX3000 핸드 스트랩 [DX3000]</t>
        </is>
      </c>
      <c r="H791" s="79">
        <f>IF(AND($F791="",$G791=""),"",IF($F791="","창고전용",IF($G791&lt;&gt;"","매칭완료",IF($D791="반제품","반제품(창고없음)",IF($D791="완제품","완제품(창고없음)",IF($D791="원자재","⚠ 원자재_부서보관","미분류"))))))</f>
        <v/>
      </c>
      <c r="I791" s="79">
        <f>IFERROR(IF(INDIRECT("'"&amp;$O791&amp;"'!P"&amp;$N791)=0,"",INDIRECT("'"&amp;$O791&amp;"'!P"&amp;$N791)),"")</f>
        <v/>
      </c>
      <c r="J791" s="61" t="inlineStr">
        <is>
          <t>DX3000 핸드 스트랩 [DX3000]</t>
        </is>
      </c>
      <c r="K791" s="65" t="inlineStr">
        <is>
          <t>DX3000 포켓 핸드 스트랩</t>
        </is>
      </c>
      <c r="L791" s="106">
        <f>HYPERLINK("#'"&amp;$O791&amp;"'!A"&amp;$N791,"→ 창고 R"&amp;$N791)</f>
        <v/>
      </c>
      <c r="M791" s="84" t="n"/>
      <c r="N791" s="107" t="n">
        <v>467</v>
      </c>
      <c r="O791" s="107" t="inlineStr">
        <is>
          <t>창고_재고현황</t>
        </is>
      </c>
    </row>
    <row r="792" ht="30" customHeight="1">
      <c r="A792" s="53" t="inlineStr">
        <is>
          <t>창고전용</t>
        </is>
      </c>
      <c r="B792" s="52" t="inlineStr">
        <is>
          <t>연아크릴</t>
        </is>
      </c>
      <c r="C792" s="52" t="inlineStr">
        <is>
          <t>공용</t>
        </is>
      </c>
      <c r="D792" s="79">
        <f>IF(INDIRECT("'"&amp;$O792&amp;"'!F"&amp;$N792)="O","원자재",IF(INDIRECT("'"&amp;$O792&amp;"'!G"&amp;$N792)="O","반제품",IF(INDIRECT("'"&amp;$O792&amp;"'!H"&amp;$N792)="O","완제품","")))</f>
        <v/>
      </c>
      <c r="E792" s="79">
        <f>IFERROR(IF(INDIRECT("'"&amp;$O792&amp;"'!I"&amp;$N792)=0,"",INDIRECT("'"&amp;$O792&amp;"'!I"&amp;$N792)),"")</f>
        <v/>
      </c>
      <c r="F792" s="52" t="n"/>
      <c r="G792" s="52" t="inlineStr">
        <is>
          <t>연아크릴 쉴드 8T (153 * ∮65 * 8T) [공용] (중국)</t>
        </is>
      </c>
      <c r="H792" s="79">
        <f>IF(AND($F792="",$G792=""),"",IF($F792="","창고전용",IF($G792&lt;&gt;"","매칭완료",IF($D792="반제품","반제품(창고없음)",IF($D792="완제품","완제품(창고없음)",IF($D792="원자재","⚠ 원자재_부서보관","미분류"))))))</f>
        <v/>
      </c>
      <c r="I792" s="79">
        <f>IFERROR(IF(INDIRECT("'"&amp;$O792&amp;"'!P"&amp;$N792)=0,"",INDIRECT("'"&amp;$O792&amp;"'!P"&amp;$N792)),"")</f>
        <v/>
      </c>
      <c r="J792" s="61" t="inlineStr">
        <is>
          <t>연아크릴 쉴드 8T (153 * ∮65 * 8T) [공용] (중국)</t>
        </is>
      </c>
      <c r="K792" s="65" t="inlineStr">
        <is>
          <t>연아크릴 [65ɸ 8T] (중국)</t>
        </is>
      </c>
      <c r="L792" s="106">
        <f>HYPERLINK("#'"&amp;$O792&amp;"'!A"&amp;$N792,"→ 창고 R"&amp;$N792)</f>
        <v/>
      </c>
      <c r="M792" s="84" t="n"/>
      <c r="N792" s="107" t="n">
        <v>469</v>
      </c>
      <c r="O792" s="107" t="inlineStr">
        <is>
          <t>창고_재고현황</t>
        </is>
      </c>
    </row>
    <row r="793" ht="30" customHeight="1">
      <c r="A793" s="53" t="inlineStr">
        <is>
          <t>창고전용</t>
        </is>
      </c>
      <c r="B793" s="52" t="inlineStr">
        <is>
          <t>연아크릴</t>
        </is>
      </c>
      <c r="C793" s="52" t="inlineStr">
        <is>
          <t>공용</t>
        </is>
      </c>
      <c r="D793" s="79">
        <f>IF(INDIRECT("'"&amp;$O793&amp;"'!F"&amp;$N793)="O","원자재",IF(INDIRECT("'"&amp;$O793&amp;"'!G"&amp;$N793)="O","반제품",IF(INDIRECT("'"&amp;$O793&amp;"'!H"&amp;$N793)="O","완제품","")))</f>
        <v/>
      </c>
      <c r="E793" s="79">
        <f>IFERROR(IF(INDIRECT("'"&amp;$O793&amp;"'!I"&amp;$N793)=0,"",INDIRECT("'"&amp;$O793&amp;"'!I"&amp;$N793)),"")</f>
        <v/>
      </c>
      <c r="F793" s="52" t="n"/>
      <c r="G793" s="52" t="inlineStr">
        <is>
          <t>연아크릴 쉴드 12T (153 * ∮60 * 12T) [공용] (중국)</t>
        </is>
      </c>
      <c r="H793" s="79">
        <f>IF(AND($F793="",$G793=""),"",IF($F793="","창고전용",IF($G793&lt;&gt;"","매칭완료",IF($D793="반제품","반제품(창고없음)",IF($D793="완제품","완제품(창고없음)",IF($D793="원자재","⚠ 원자재_부서보관","미분류"))))))</f>
        <v/>
      </c>
      <c r="I793" s="79">
        <f>IFERROR(IF(INDIRECT("'"&amp;$O793&amp;"'!P"&amp;$N793)=0,"",INDIRECT("'"&amp;$O793&amp;"'!P"&amp;$N793)),"")</f>
        <v/>
      </c>
      <c r="J793" s="61" t="inlineStr">
        <is>
          <t>연아크릴 쉴드 12T (153 * ∮60 * 12T) [공용] (중국)</t>
        </is>
      </c>
      <c r="K793" s="65" t="inlineStr">
        <is>
          <t>연아크릴 [60ɸ 12T] (중국)</t>
        </is>
      </c>
      <c r="L793" s="106">
        <f>HYPERLINK("#'"&amp;$O793&amp;"'!A"&amp;$N793,"→ 창고 R"&amp;$N793)</f>
        <v/>
      </c>
      <c r="M793" s="84" t="n"/>
      <c r="N793" s="107" t="n">
        <v>471</v>
      </c>
      <c r="O793" s="107" t="inlineStr">
        <is>
          <t>창고_재고현황</t>
        </is>
      </c>
    </row>
    <row r="794" ht="30" customHeight="1">
      <c r="A794" s="53" t="inlineStr">
        <is>
          <t>창고전용</t>
        </is>
      </c>
      <c r="B794" s="52" t="inlineStr">
        <is>
          <t>연아크릴</t>
        </is>
      </c>
      <c r="C794" s="52" t="inlineStr">
        <is>
          <t>ADX6000</t>
        </is>
      </c>
      <c r="D794" s="79">
        <f>IF(INDIRECT("'"&amp;$O794&amp;"'!F"&amp;$N794)="O","원자재",IF(INDIRECT("'"&amp;$O794&amp;"'!G"&amp;$N794)="O","반제품",IF(INDIRECT("'"&amp;$O794&amp;"'!H"&amp;$N794)="O","완제품","")))</f>
        <v/>
      </c>
      <c r="E794" s="79">
        <f>IFERROR(IF(INDIRECT("'"&amp;$O794&amp;"'!I"&amp;$N794)=0,"",INDIRECT("'"&amp;$O794&amp;"'!I"&amp;$N794)),"")</f>
        <v/>
      </c>
      <c r="F794" s="52" t="n"/>
      <c r="G794" s="52" t="inlineStr">
        <is>
          <t>사각 연아크릴 쉴드 (직사각형, 215 * 199mm 8T) [ADX6000] (중국)</t>
        </is>
      </c>
      <c r="H794" s="79">
        <f>IF(AND($F794="",$G794=""),"",IF($F794="","창고전용",IF($G794&lt;&gt;"","매칭완료",IF($D794="반제품","반제품(창고없음)",IF($D794="완제품","완제품(창고없음)",IF($D794="원자재","⚠ 원자재_부서보관","미분류"))))))</f>
        <v/>
      </c>
      <c r="I794" s="79">
        <f>IFERROR(IF(INDIRECT("'"&amp;$O794&amp;"'!P"&amp;$N794)=0,"",INDIRECT("'"&amp;$O794&amp;"'!P"&amp;$N794)),"")</f>
        <v/>
      </c>
      <c r="J794" s="61" t="inlineStr">
        <is>
          <t>사각 연아크릴 쉴드 (직사각형, 215 * 199mm 8T) [ADX6000] (중국)</t>
        </is>
      </c>
      <c r="K794" s="65" t="inlineStr">
        <is>
          <t>ADX6000 연아크릴 [215x195x8mm] 하단 가공된 것 (중국)</t>
        </is>
      </c>
      <c r="L794" s="106">
        <f>HYPERLINK("#'"&amp;$O794&amp;"'!A"&amp;$N794,"→ 창고 R"&amp;$N794)</f>
        <v/>
      </c>
      <c r="M794" s="84" t="n"/>
      <c r="N794" s="107" t="n">
        <v>476</v>
      </c>
      <c r="O794" s="107" t="inlineStr">
        <is>
          <t>창고_재고현황</t>
        </is>
      </c>
    </row>
    <row r="795" ht="30" customHeight="1">
      <c r="A795" s="53" t="inlineStr">
        <is>
          <t>창고전용</t>
        </is>
      </c>
      <c r="B795" s="52" t="inlineStr">
        <is>
          <t>연아크릴</t>
        </is>
      </c>
      <c r="C795" s="52" t="inlineStr">
        <is>
          <t>ADX6000</t>
        </is>
      </c>
      <c r="D795" s="79">
        <f>IF(INDIRECT("'"&amp;$O795&amp;"'!F"&amp;$N795)="O","원자재",IF(INDIRECT("'"&amp;$O795&amp;"'!G"&amp;$N795)="O","반제품",IF(INDIRECT("'"&amp;$O795&amp;"'!H"&amp;$N795)="O","완제품","")))</f>
        <v/>
      </c>
      <c r="E795" s="79">
        <f>IFERROR(IF(INDIRECT("'"&amp;$O795&amp;"'!I"&amp;$N795)=0,"",INDIRECT("'"&amp;$O795&amp;"'!I"&amp;$N795)),"")</f>
        <v/>
      </c>
      <c r="F795" s="52" t="n"/>
      <c r="G795" s="52" t="inlineStr">
        <is>
          <t>사각 연아크릴 쉴드 (정사각형, 215 * 205mm) [ADX6000]</t>
        </is>
      </c>
      <c r="H795" s="79">
        <f>IF(AND($F795="",$G795=""),"",IF($F795="","창고전용",IF($G795&lt;&gt;"","매칭완료",IF($D795="반제품","반제품(창고없음)",IF($D795="완제품","완제품(창고없음)",IF($D795="원자재","⚠ 원자재_부서보관","미분류"))))))</f>
        <v/>
      </c>
      <c r="I795" s="79">
        <f>IFERROR(IF(INDIRECT("'"&amp;$O795&amp;"'!P"&amp;$N795)=0,"",INDIRECT("'"&amp;$O795&amp;"'!P"&amp;$N795)),"")</f>
        <v/>
      </c>
      <c r="J795" s="61" t="inlineStr">
        <is>
          <t>사각 연아크릴 쉴드 (정사각형, 215 * 205mm) [ADX6000]</t>
        </is>
      </c>
      <c r="K795" s="65" t="inlineStr">
        <is>
          <t>ADX6000 연아크릴 [215x215x8mm] 정사각형-오레곤주용</t>
        </is>
      </c>
      <c r="L795" s="106">
        <f>HYPERLINK("#'"&amp;$O795&amp;"'!A"&amp;$N795,"→ 창고 R"&amp;$N795)</f>
        <v/>
      </c>
      <c r="M795" s="84" t="n"/>
      <c r="N795" s="107" t="n">
        <v>477</v>
      </c>
      <c r="O795" s="107" t="inlineStr">
        <is>
          <t>창고_재고현황</t>
        </is>
      </c>
    </row>
    <row r="796" ht="30" customHeight="1">
      <c r="A796" s="53" t="inlineStr">
        <is>
          <t>창고전용</t>
        </is>
      </c>
      <c r="B796" s="52" t="inlineStr">
        <is>
          <t>AL 스티커</t>
        </is>
      </c>
      <c r="C796" s="52" t="inlineStr">
        <is>
          <t>ADX6000</t>
        </is>
      </c>
      <c r="D796" s="79">
        <f>IF(INDIRECT("'"&amp;$O796&amp;"'!F"&amp;$N796)="O","원자재",IF(INDIRECT("'"&amp;$O796&amp;"'!G"&amp;$N796)="O","반제품",IF(INDIRECT("'"&amp;$O796&amp;"'!H"&amp;$N796)="O","완제품","")))</f>
        <v/>
      </c>
      <c r="E796" s="79">
        <f>IFERROR(IF(INDIRECT("'"&amp;$O796&amp;"'!I"&amp;$N796)=0,"",INDIRECT("'"&amp;$O796&amp;"'!I"&amp;$N796)),"")</f>
        <v/>
      </c>
      <c r="F796" s="52" t="n"/>
      <c r="G796" s="52" t="inlineStr">
        <is>
          <t>IRay A6S NAME PLATE [ADX6000]</t>
        </is>
      </c>
      <c r="H796" s="79">
        <f>IF(AND($F796="",$G796=""),"",IF($F796="","창고전용",IF($G796&lt;&gt;"","매칭완료",IF($D796="반제품","반제품(창고없음)",IF($D796="완제품","완제품(창고없음)",IF($D796="원자재","⚠ 원자재_부서보관","미분류"))))))</f>
        <v/>
      </c>
      <c r="I796" s="79">
        <f>IFERROR(IF(INDIRECT("'"&amp;$O796&amp;"'!P"&amp;$N796)=0,"",INDIRECT("'"&amp;$O796&amp;"'!P"&amp;$N796)),"")</f>
        <v/>
      </c>
      <c r="J796" s="61" t="inlineStr">
        <is>
          <t>IRay A6S NAME PLATE [ADX6000]</t>
        </is>
      </c>
      <c r="K796" s="65" t="inlineStr">
        <is>
          <t>ADX6000s NAME PLATE [iRay A6s]</t>
        </is>
      </c>
      <c r="L796" s="106">
        <f>HYPERLINK("#'"&amp;$O796&amp;"'!A"&amp;$N796,"→ 창고 R"&amp;$N796)</f>
        <v/>
      </c>
      <c r="M796" s="84" t="n"/>
      <c r="N796" s="107" t="n">
        <v>481</v>
      </c>
      <c r="O796" s="107" t="inlineStr">
        <is>
          <t>창고_재고현황</t>
        </is>
      </c>
    </row>
    <row r="797" ht="30" customHeight="1">
      <c r="A797" s="53" t="inlineStr">
        <is>
          <t>창고전용</t>
        </is>
      </c>
      <c r="B797" s="52" t="inlineStr">
        <is>
          <t>AL 스티커</t>
        </is>
      </c>
      <c r="C797" s="52" t="inlineStr">
        <is>
          <t>ADX6000</t>
        </is>
      </c>
      <c r="D797" s="79">
        <f>IF(INDIRECT("'"&amp;$O797&amp;"'!F"&amp;$N797)="O","원자재",IF(INDIRECT("'"&amp;$O797&amp;"'!G"&amp;$N797)="O","반제품",IF(INDIRECT("'"&amp;$O797&amp;"'!H"&amp;$N797)="O","완제품","")))</f>
        <v/>
      </c>
      <c r="E797" s="79">
        <f>IFERROR(IF(INDIRECT("'"&amp;$O797&amp;"'!I"&amp;$N797)=0,"",INDIRECT("'"&amp;$O797&amp;"'!I"&amp;$N797)),"")</f>
        <v/>
      </c>
      <c r="F797" s="52" t="n"/>
      <c r="G797" s="52" t="inlineStr">
        <is>
          <t>DEXCOWIN NAME PLATE (FDXD-810 디텍터용) [ADX6000]</t>
        </is>
      </c>
      <c r="H797" s="79">
        <f>IF(AND($F797="",$G797=""),"",IF($F797="","창고전용",IF($G797&lt;&gt;"","매칭완료",IF($D797="반제품","반제품(창고없음)",IF($D797="완제품","완제품(창고없음)",IF($D797="원자재","⚠ 원자재_부서보관","미분류"))))))</f>
        <v/>
      </c>
      <c r="I797" s="79">
        <f>IFERROR(IF(INDIRECT("'"&amp;$O797&amp;"'!P"&amp;$N797)=0,"",INDIRECT("'"&amp;$O797&amp;"'!P"&amp;$N797)),"")</f>
        <v/>
      </c>
      <c r="J797" s="61" t="inlineStr">
        <is>
          <t>DEXCOWIN NAME PLATE (FDXD-810 디텍터용) [ADX6000]</t>
        </is>
      </c>
      <c r="K797" s="65" t="inlineStr">
        <is>
          <t>뱅가드 53F NAME PLATE [DEXCOWIN]</t>
        </is>
      </c>
      <c r="L797" s="106">
        <f>HYPERLINK("#'"&amp;$O797&amp;"'!A"&amp;$N797,"→ 창고 R"&amp;$N797)</f>
        <v/>
      </c>
      <c r="M797" s="84" t="n"/>
      <c r="N797" s="107" t="n">
        <v>482</v>
      </c>
      <c r="O797" s="107" t="inlineStr">
        <is>
          <t>창고_재고현황</t>
        </is>
      </c>
    </row>
    <row r="798" ht="30" customHeight="1">
      <c r="A798" s="53" t="inlineStr">
        <is>
          <t>창고전용</t>
        </is>
      </c>
      <c r="B798" s="52" t="inlineStr">
        <is>
          <t>AL 스티커</t>
        </is>
      </c>
      <c r="C798" s="52" t="inlineStr">
        <is>
          <t>ADX6000</t>
        </is>
      </c>
      <c r="D798" s="79">
        <f>IF(INDIRECT("'"&amp;$O798&amp;"'!F"&amp;$N798)="O","원자재",IF(INDIRECT("'"&amp;$O798&amp;"'!G"&amp;$N798)="O","반제품",IF(INDIRECT("'"&amp;$O798&amp;"'!H"&amp;$N798)="O","완제품","")))</f>
        <v/>
      </c>
      <c r="E798" s="79">
        <f>IFERROR(IF(INDIRECT("'"&amp;$O798&amp;"'!I"&amp;$N798)=0,"",INDIRECT("'"&amp;$O798&amp;"'!I"&amp;$N798)),"")</f>
        <v/>
      </c>
      <c r="F798" s="52" t="n"/>
      <c r="G798" s="52" t="inlineStr">
        <is>
          <t>DEXCOWIN NAME PLATE (뱅가드 가방용) [ADX6000]</t>
        </is>
      </c>
      <c r="H798" s="79">
        <f>IF(AND($F798="",$G798=""),"",IF($F798="","창고전용",IF($G798&lt;&gt;"","매칭완료",IF($D798="반제품","반제품(창고없음)",IF($D798="완제품","완제품(창고없음)",IF($D798="원자재","⚠ 원자재_부서보관","미분류"))))))</f>
        <v/>
      </c>
      <c r="I798" s="79">
        <f>IFERROR(IF(INDIRECT("'"&amp;$O798&amp;"'!P"&amp;$N798)=0,"",INDIRECT("'"&amp;$O798&amp;"'!P"&amp;$N798)),"")</f>
        <v/>
      </c>
      <c r="J798" s="61" t="inlineStr">
        <is>
          <t>DEXCOWIN NAME PLATE (뱅가드 가방용) [ADX6000]</t>
        </is>
      </c>
      <c r="K798" s="65" t="inlineStr">
        <is>
          <t>뱅가드 46F NAME PLATE [DEXCOWIN]</t>
        </is>
      </c>
      <c r="L798" s="106">
        <f>HYPERLINK("#'"&amp;$O798&amp;"'!A"&amp;$N798,"→ 창고 R"&amp;$N798)</f>
        <v/>
      </c>
      <c r="M798" s="84" t="n"/>
      <c r="N798" s="107" t="n">
        <v>483</v>
      </c>
      <c r="O798" s="107" t="inlineStr">
        <is>
          <t>창고_재고현황</t>
        </is>
      </c>
    </row>
    <row r="799" ht="30" customHeight="1">
      <c r="A799" s="53" t="inlineStr">
        <is>
          <t>창고전용</t>
        </is>
      </c>
      <c r="B799" s="52" t="inlineStr">
        <is>
          <t>에폭시 스티커</t>
        </is>
      </c>
      <c r="C799" s="52" t="inlineStr">
        <is>
          <t>ADX6000S</t>
        </is>
      </c>
      <c r="D799" s="79">
        <f>IF(INDIRECT("'"&amp;$O799&amp;"'!F"&amp;$N799)="O","원자재",IF(INDIRECT("'"&amp;$O799&amp;"'!G"&amp;$N799)="O","반제품",IF(INDIRECT("'"&amp;$O799&amp;"'!H"&amp;$N799)="O","완제품","")))</f>
        <v/>
      </c>
      <c r="E799" s="79">
        <f>IFERROR(IF(INDIRECT("'"&amp;$O799&amp;"'!I"&amp;$N799)=0,"",INDIRECT("'"&amp;$O799&amp;"'!I"&amp;$N799)),"")</f>
        <v/>
      </c>
      <c r="F799" s="52" t="n"/>
      <c r="G799" s="52" t="inlineStr">
        <is>
          <t>손잡이 에폭시 스티커 [ADX6000S]</t>
        </is>
      </c>
      <c r="H799" s="79">
        <f>IF(AND($F799="",$G799=""),"",IF($F799="","창고전용",IF($G799&lt;&gt;"","매칭완료",IF($D799="반제품","반제품(창고없음)",IF($D799="완제품","완제품(창고없음)",IF($D799="원자재","⚠ 원자재_부서보관","미분류"))))))</f>
        <v/>
      </c>
      <c r="I799" s="79">
        <f>IFERROR(IF(INDIRECT("'"&amp;$O799&amp;"'!P"&amp;$N799)=0,"",INDIRECT("'"&amp;$O799&amp;"'!P"&amp;$N799)),"")</f>
        <v/>
      </c>
      <c r="J799" s="61" t="inlineStr">
        <is>
          <t>손잡이 에폭시 스티커 [ADX6000S]</t>
        </is>
      </c>
      <c r="K799" s="65" t="inlineStr">
        <is>
          <t>ADX6000s NAME PLATE [ADX6000s]</t>
        </is>
      </c>
      <c r="L799" s="106">
        <f>HYPERLINK("#'"&amp;$O799&amp;"'!A"&amp;$N799,"→ 창고 R"&amp;$N799)</f>
        <v/>
      </c>
      <c r="M799" s="84" t="n"/>
      <c r="N799" s="107" t="n">
        <v>484</v>
      </c>
      <c r="O799" s="107" t="inlineStr">
        <is>
          <t>창고_재고현황</t>
        </is>
      </c>
    </row>
    <row r="800" ht="30" customHeight="1">
      <c r="A800" s="53" t="inlineStr">
        <is>
          <t>창고전용</t>
        </is>
      </c>
      <c r="B800" s="52" t="inlineStr">
        <is>
          <t>패드</t>
        </is>
      </c>
      <c r="C800" s="52" t="inlineStr">
        <is>
          <t>공용</t>
        </is>
      </c>
      <c r="D800" s="79">
        <f>IF(INDIRECT("'"&amp;$O800&amp;"'!F"&amp;$N800)="O","원자재",IF(INDIRECT("'"&amp;$O800&amp;"'!G"&amp;$N800)="O","반제품",IF(INDIRECT("'"&amp;$O800&amp;"'!H"&amp;$N800)="O","완제품","")))</f>
        <v/>
      </c>
      <c r="E800" s="79">
        <f>IFERROR(IF(INDIRECT("'"&amp;$O800&amp;"'!I"&amp;$N800)=0,"",INDIRECT("'"&amp;$O800&amp;"'!I"&amp;$N800)),"")</f>
        <v/>
      </c>
      <c r="F800" s="52" t="n"/>
      <c r="G800" s="52" t="inlineStr">
        <is>
          <t>패드 [공용]</t>
        </is>
      </c>
      <c r="H800" s="79">
        <f>IF(AND($F800="",$G800=""),"",IF($F800="","창고전용",IF($G800&lt;&gt;"","매칭완료",IF($D800="반제품","반제품(창고없음)",IF($D800="완제품","완제품(창고없음)",IF($D800="원자재","⚠ 원자재_부서보관","미분류"))))))</f>
        <v/>
      </c>
      <c r="I800" s="79">
        <f>IFERROR(IF(INDIRECT("'"&amp;$O800&amp;"'!P"&amp;$N800)=0,"",INDIRECT("'"&amp;$O800&amp;"'!P"&amp;$N800)),"")</f>
        <v/>
      </c>
      <c r="J800" s="61" t="inlineStr">
        <is>
          <t>패드 [공용]</t>
        </is>
      </c>
      <c r="K800" s="65" t="inlineStr">
        <is>
          <t>DX3000 패드</t>
        </is>
      </c>
      <c r="L800" s="106">
        <f>HYPERLINK("#'"&amp;$O800&amp;"'!A"&amp;$N800,"→ 창고 R"&amp;$N800)</f>
        <v/>
      </c>
      <c r="M800" s="84" t="n"/>
      <c r="N800" s="107" t="n">
        <v>485</v>
      </c>
      <c r="O800" s="107" t="inlineStr">
        <is>
          <t>창고_재고현황</t>
        </is>
      </c>
    </row>
    <row r="801" ht="30" customHeight="1">
      <c r="A801" s="53" t="inlineStr">
        <is>
          <t>창고전용</t>
        </is>
      </c>
      <c r="B801" s="52" t="inlineStr">
        <is>
          <t>센서 케이스</t>
        </is>
      </c>
      <c r="C801" s="52" t="inlineStr">
        <is>
          <t>공용</t>
        </is>
      </c>
      <c r="D801" s="79">
        <f>IF(INDIRECT("'"&amp;$O801&amp;"'!F"&amp;$N801)="O","원자재",IF(INDIRECT("'"&amp;$O801&amp;"'!G"&amp;$N801)="O","반제품",IF(INDIRECT("'"&amp;$O801&amp;"'!H"&amp;$N801)="O","완제품","")))</f>
        <v/>
      </c>
      <c r="E801" s="79">
        <f>IFERROR(IF(INDIRECT("'"&amp;$O801&amp;"'!I"&amp;$N801)=0,"",INDIRECT("'"&amp;$O801&amp;"'!I"&amp;$N801)),"")</f>
        <v/>
      </c>
      <c r="F801" s="52" t="n"/>
      <c r="G801" s="52" t="inlineStr">
        <is>
          <t>330N 센서 케이스 [공용]</t>
        </is>
      </c>
      <c r="H801" s="79">
        <f>IF(AND($F801="",$G801=""),"",IF($F801="","창고전용",IF($G801&lt;&gt;"","매칭완료",IF($D801="반제품","반제품(창고없음)",IF($D801="완제품","완제품(창고없음)",IF($D801="원자재","⚠ 원자재_부서보관","미분류"))))))</f>
        <v/>
      </c>
      <c r="I801" s="79">
        <f>IFERROR(IF(INDIRECT("'"&amp;$O801&amp;"'!P"&amp;$N801)=0,"",INDIRECT("'"&amp;$O801&amp;"'!P"&amp;$N801)),"")</f>
        <v/>
      </c>
      <c r="J801" s="61" t="inlineStr">
        <is>
          <t>330N 센서 케이스 [공용]</t>
        </is>
      </c>
      <c r="K801" s="65" t="inlineStr">
        <is>
          <t>PLAATZ 330N 센서 케이스</t>
        </is>
      </c>
      <c r="L801" s="106">
        <f>HYPERLINK("#'"&amp;$O801&amp;"'!A"&amp;$N801,"→ 창고 R"&amp;$N801)</f>
        <v/>
      </c>
      <c r="M801" s="84" t="n"/>
      <c r="N801" s="107" t="n">
        <v>487</v>
      </c>
      <c r="O801" s="107" t="inlineStr">
        <is>
          <t>창고_재고현황</t>
        </is>
      </c>
    </row>
    <row r="802" ht="30" customHeight="1">
      <c r="A802" s="53" t="inlineStr">
        <is>
          <t>창고전용</t>
        </is>
      </c>
      <c r="B802" s="52" t="inlineStr">
        <is>
          <t>센서</t>
        </is>
      </c>
      <c r="C802" s="52" t="inlineStr">
        <is>
          <t>공용</t>
        </is>
      </c>
      <c r="D802" s="79">
        <f>IF(INDIRECT("'"&amp;$O802&amp;"'!F"&amp;$N802)="O","원자재",IF(INDIRECT("'"&amp;$O802&amp;"'!G"&amp;$N802)="O","반제품",IF(INDIRECT("'"&amp;$O802&amp;"'!H"&amp;$N802)="O","완제품","")))</f>
        <v/>
      </c>
      <c r="E802" s="79">
        <f>IFERROR(IF(INDIRECT("'"&amp;$O802&amp;"'!I"&amp;$N802)=0,"",INDIRECT("'"&amp;$O802&amp;"'!I"&amp;$N802)),"")</f>
        <v/>
      </c>
      <c r="F802" s="52" t="n"/>
      <c r="G802" s="52" t="inlineStr">
        <is>
          <t>17*17 DRTECH 센서 [공용]</t>
        </is>
      </c>
      <c r="H802" s="79">
        <f>IF(AND($F802="",$G802=""),"",IF($F802="","창고전용",IF($G802&lt;&gt;"","매칭완료",IF($D802="반제품","반제품(창고없음)",IF($D802="완제품","완제품(창고없음)",IF($D802="원자재","⚠ 원자재_부서보관","미분류"))))))</f>
        <v/>
      </c>
      <c r="I802" s="79">
        <f>IFERROR(IF(INDIRECT("'"&amp;$O802&amp;"'!P"&amp;$N802)=0,"",INDIRECT("'"&amp;$O802&amp;"'!P"&amp;$N802)),"")</f>
        <v/>
      </c>
      <c r="J802" s="61" t="inlineStr">
        <is>
          <t>17*17 DRTECH 센서 [공용]</t>
        </is>
      </c>
      <c r="K802" s="65" t="inlineStr">
        <is>
          <t>DRTech [FLAATZ 760/17"x17"]</t>
        </is>
      </c>
      <c r="L802" s="106">
        <f>HYPERLINK("#'"&amp;$O802&amp;"'!A"&amp;$N802,"→ 창고 R"&amp;$N802)</f>
        <v/>
      </c>
      <c r="M802" s="84" t="n"/>
      <c r="N802" s="107" t="n">
        <v>488</v>
      </c>
      <c r="O802" s="107" t="inlineStr">
        <is>
          <t>창고_재고현황</t>
        </is>
      </c>
    </row>
    <row r="803" ht="30" customHeight="1">
      <c r="A803" s="53" t="inlineStr">
        <is>
          <t>창고전용</t>
        </is>
      </c>
      <c r="B803" s="52" t="inlineStr">
        <is>
          <t>센서</t>
        </is>
      </c>
      <c r="C803" s="52" t="inlineStr">
        <is>
          <t>공용</t>
        </is>
      </c>
      <c r="D803" s="79">
        <f>IF(INDIRECT("'"&amp;$O803&amp;"'!F"&amp;$N803)="O","원자재",IF(INDIRECT("'"&amp;$O803&amp;"'!G"&amp;$N803)="O","반제품",IF(INDIRECT("'"&amp;$O803&amp;"'!H"&amp;$N803)="O","완제품","")))</f>
        <v/>
      </c>
      <c r="E803" s="79">
        <f>IFERROR(IF(INDIRECT("'"&amp;$O803&amp;"'!I"&amp;$N803)=0,"",INDIRECT("'"&amp;$O803&amp;"'!I"&amp;$N803)),"")</f>
        <v/>
      </c>
      <c r="F803" s="52" t="n"/>
      <c r="G803" s="52" t="inlineStr">
        <is>
          <t>810 DRTECH 센서 [공용]</t>
        </is>
      </c>
      <c r="H803" s="79">
        <f>IF(AND($F803="",$G803=""),"",IF($F803="","창고전용",IF($G803&lt;&gt;"","매칭완료",IF($D803="반제품","반제품(창고없음)",IF($D803="완제품","완제품(창고없음)",IF($D803="원자재","⚠ 원자재_부서보관","미분류"))))))</f>
        <v/>
      </c>
      <c r="I803" s="79">
        <f>IFERROR(IF(INDIRECT("'"&amp;$O803&amp;"'!P"&amp;$N803)=0,"",INDIRECT("'"&amp;$O803&amp;"'!P"&amp;$N803)),"")</f>
        <v/>
      </c>
      <c r="J803" s="61" t="inlineStr">
        <is>
          <t>810 DRTECH 센서 [공용]</t>
        </is>
      </c>
      <c r="K803" s="65" t="inlineStr">
        <is>
          <t>DRTech [FDXD-810/10"x8"]</t>
        </is>
      </c>
      <c r="L803" s="106">
        <f>HYPERLINK("#'"&amp;$O803&amp;"'!A"&amp;$N803,"→ 창고 R"&amp;$N803)</f>
        <v/>
      </c>
      <c r="M803" s="84" t="n"/>
      <c r="N803" s="107" t="n">
        <v>490</v>
      </c>
      <c r="O803" s="107" t="inlineStr">
        <is>
          <t>창고_재고현황</t>
        </is>
      </c>
    </row>
    <row r="804" ht="30" customHeight="1">
      <c r="A804" s="53" t="inlineStr">
        <is>
          <t>창고전용</t>
        </is>
      </c>
      <c r="B804" s="52" t="inlineStr">
        <is>
          <t>센서</t>
        </is>
      </c>
      <c r="C804" s="52" t="inlineStr">
        <is>
          <t>공용</t>
        </is>
      </c>
      <c r="D804" s="79">
        <f>IF(INDIRECT("'"&amp;$O804&amp;"'!F"&amp;$N804)="O","원자재",IF(INDIRECT("'"&amp;$O804&amp;"'!G"&amp;$N804)="O","반제품",IF(INDIRECT("'"&amp;$O804&amp;"'!H"&amp;$N804)="O","완제품","")))</f>
        <v/>
      </c>
      <c r="E804" s="79">
        <f>IFERROR(IF(INDIRECT("'"&amp;$O804&amp;"'!I"&amp;$N804)=0,"",INDIRECT("'"&amp;$O804&amp;"'!I"&amp;$N804)),"")</f>
        <v/>
      </c>
      <c r="F804" s="52" t="n"/>
      <c r="G804" s="52" t="inlineStr">
        <is>
          <t>HDI 1000 [Rex2 Classic/1.5] [공용]</t>
        </is>
      </c>
      <c r="H804" s="79">
        <f>IF(AND($F804="",$G804=""),"",IF($F804="","창고전용",IF($G804&lt;&gt;"","매칭완료",IF($D804="반제품","반제품(창고없음)",IF($D804="완제품","완제품(창고없음)",IF($D804="원자재","⚠ 원자재_부서보관","미분류"))))))</f>
        <v/>
      </c>
      <c r="I804" s="79">
        <f>IFERROR(IF(INDIRECT("'"&amp;$O804&amp;"'!P"&amp;$N804)=0,"",INDIRECT("'"&amp;$O804&amp;"'!P"&amp;$N804)),"")</f>
        <v/>
      </c>
      <c r="J804" s="61" t="inlineStr">
        <is>
          <t>HDI 1000 [Rex2 Classic/1.5] [공용]</t>
        </is>
      </c>
      <c r="K804" s="65" t="inlineStr">
        <is>
          <t>HDI-1000 [Rex2 Classic/1.5]</t>
        </is>
      </c>
      <c r="L804" s="106">
        <f>HYPERLINK("#'"&amp;$O804&amp;"'!A"&amp;$N804,"→ 창고 R"&amp;$N804)</f>
        <v/>
      </c>
      <c r="M804" s="84" t="n"/>
      <c r="N804" s="107" t="n">
        <v>491</v>
      </c>
      <c r="O804" s="107" t="inlineStr">
        <is>
          <t>창고_재고현황</t>
        </is>
      </c>
    </row>
    <row r="805" ht="30" customHeight="1">
      <c r="A805" s="53" t="inlineStr">
        <is>
          <t>창고전용</t>
        </is>
      </c>
      <c r="B805" s="52" t="inlineStr">
        <is>
          <t>신주</t>
        </is>
      </c>
      <c r="C805" s="52" t="inlineStr">
        <is>
          <t>DX3000, ADX4000W</t>
        </is>
      </c>
      <c r="D805" s="79">
        <f>IF(INDIRECT("'"&amp;$O805&amp;"'!F"&amp;$N805)="O","원자재",IF(INDIRECT("'"&amp;$O805&amp;"'!G"&amp;$N805)="O","반제품",IF(INDIRECT("'"&amp;$O805&amp;"'!H"&amp;$N805)="O","완제품","")))</f>
        <v/>
      </c>
      <c r="E805" s="79">
        <f>IFERROR(IF(INDIRECT("'"&amp;$O805&amp;"'!I"&amp;$N805)=0,"",INDIRECT("'"&amp;$O805&amp;"'!I"&amp;$N805)),"")</f>
        <v/>
      </c>
      <c r="F805" s="52" t="n"/>
      <c r="G805" s="52" t="inlineStr">
        <is>
          <t>배터리 거치대용 신주핀 [DX3000, ADX4000W]</t>
        </is>
      </c>
      <c r="H805" s="79">
        <f>IF(AND($F805="",$G805=""),"",IF($F805="","창고전용",IF($G805&lt;&gt;"","매칭완료",IF($D805="반제품","반제품(창고없음)",IF($D805="완제품","완제품(창고없음)",IF($D805="원자재","⚠ 원자재_부서보관","미분류"))))))</f>
        <v/>
      </c>
      <c r="I805" s="79">
        <f>IFERROR(IF(INDIRECT("'"&amp;$O805&amp;"'!P"&amp;$N805)=0,"",INDIRECT("'"&amp;$O805&amp;"'!P"&amp;$N805)),"")</f>
        <v/>
      </c>
      <c r="J805" s="61" t="inlineStr">
        <is>
          <t>배터리 거치대용 신주핀 [DX3000, ADX4000W]</t>
        </is>
      </c>
      <c r="K805" s="65" t="inlineStr">
        <is>
          <t>DX3000, ADX4000W, SOLO 배터리 거치대용 신주핀 (D-910)</t>
        </is>
      </c>
      <c r="L805" s="106">
        <f>HYPERLINK("#'"&amp;$O805&amp;"'!A"&amp;$N805,"→ 창고 R"&amp;$N805)</f>
        <v/>
      </c>
      <c r="M805" s="84" t="n"/>
      <c r="N805" s="107" t="n">
        <v>501</v>
      </c>
      <c r="O805" s="107" t="inlineStr">
        <is>
          <t>창고_재고현황</t>
        </is>
      </c>
    </row>
    <row r="806" ht="30" customHeight="1">
      <c r="A806" s="53" t="inlineStr">
        <is>
          <t>창고전용</t>
        </is>
      </c>
      <c r="B806" s="52" t="inlineStr">
        <is>
          <t>브라켓</t>
        </is>
      </c>
      <c r="C806" s="52" t="inlineStr">
        <is>
          <t>공용</t>
        </is>
      </c>
      <c r="D806" s="79">
        <f>IF(INDIRECT("'"&amp;$O806&amp;"'!F"&amp;$N806)="O","원자재",IF(INDIRECT("'"&amp;$O806&amp;"'!G"&amp;$N806)="O","반제품",IF(INDIRECT("'"&amp;$O806&amp;"'!H"&amp;$N806)="O","완제품","")))</f>
        <v/>
      </c>
      <c r="E806" s="79">
        <f>IFERROR(IF(INDIRECT("'"&amp;$O806&amp;"'!I"&amp;$N806)=0,"",INDIRECT("'"&amp;$O806&amp;"'!I"&amp;$N806)),"")</f>
        <v/>
      </c>
      <c r="F806" s="52" t="n"/>
      <c r="G806" s="52" t="inlineStr">
        <is>
          <t>스탠드 브라켓 족의학용 [공용]</t>
        </is>
      </c>
      <c r="H806" s="79">
        <f>IF(AND($F806="",$G806=""),"",IF($F806="","창고전용",IF($G806&lt;&gt;"","매칭완료",IF($D806="반제품","반제품(창고없음)",IF($D806="완제품","완제품(창고없음)",IF($D806="원자재","⚠ 원자재_부서보관","미분류"))))))</f>
        <v/>
      </c>
      <c r="I806" s="79">
        <f>IFERROR(IF(INDIRECT("'"&amp;$O806&amp;"'!P"&amp;$N806)=0,"",INDIRECT("'"&amp;$O806&amp;"'!P"&amp;$N806)),"")</f>
        <v/>
      </c>
      <c r="J806" s="61" t="inlineStr">
        <is>
          <t>스탠드 브라켓 족의학용 [공용]</t>
        </is>
      </c>
      <c r="K806" s="65" t="inlineStr">
        <is>
          <t>스탠드 브라켓 족의학용</t>
        </is>
      </c>
      <c r="L806" s="106">
        <f>HYPERLINK("#'"&amp;$O806&amp;"'!A"&amp;$N806,"→ 창고 R"&amp;$N806)</f>
        <v/>
      </c>
      <c r="M806" s="84" t="n"/>
      <c r="N806" s="107" t="n">
        <v>502</v>
      </c>
      <c r="O806" s="107" t="inlineStr">
        <is>
          <t>창고_재고현황</t>
        </is>
      </c>
    </row>
    <row r="807" ht="30" customHeight="1">
      <c r="A807" s="53" t="inlineStr">
        <is>
          <t>창고전용</t>
        </is>
      </c>
      <c r="B807" s="52" t="inlineStr">
        <is>
          <t>ABS 난연</t>
        </is>
      </c>
      <c r="C807" s="52" t="inlineStr">
        <is>
          <t>ADX6000</t>
        </is>
      </c>
      <c r="D807" s="79">
        <f>IF(INDIRECT("'"&amp;$O807&amp;"'!F"&amp;$N807)="O","원자재",IF(INDIRECT("'"&amp;$O807&amp;"'!G"&amp;$N807)="O","반제품",IF(INDIRECT("'"&amp;$O807&amp;"'!H"&amp;$N807)="O","완제품","")))</f>
        <v/>
      </c>
      <c r="E807" s="79">
        <f>IFERROR(IF(INDIRECT("'"&amp;$O807&amp;"'!I"&amp;$N807)=0,"",INDIRECT("'"&amp;$O807&amp;"'!I"&amp;$N807)),"")</f>
        <v/>
      </c>
      <c r="F807" s="52" t="n"/>
      <c r="G807" s="52" t="inlineStr">
        <is>
          <t>각도기 홀더 [ADX6000]</t>
        </is>
      </c>
      <c r="H807" s="79">
        <f>IF(AND($F807="",$G807=""),"",IF($F807="","창고전용",IF($G807&lt;&gt;"","매칭완료",IF($D807="반제품","반제품(창고없음)",IF($D807="완제품","완제품(창고없음)",IF($D807="원자재","⚠ 원자재_부서보관","미분류"))))))</f>
        <v/>
      </c>
      <c r="I807" s="79">
        <f>IFERROR(IF(INDIRECT("'"&amp;$O807&amp;"'!P"&amp;$N807)=0,"",INDIRECT("'"&amp;$O807&amp;"'!P"&amp;$N807)),"")</f>
        <v/>
      </c>
      <c r="J807" s="61" t="inlineStr">
        <is>
          <t>각도기 홀더 [ADX6000]</t>
        </is>
      </c>
      <c r="K807" s="65" t="inlineStr">
        <is>
          <t>ADX6000 각도기 홀더</t>
        </is>
      </c>
      <c r="L807" s="106">
        <f>HYPERLINK("#'"&amp;$O807&amp;"'!A"&amp;$N807,"→ 창고 R"&amp;$N807)</f>
        <v/>
      </c>
      <c r="M807" s="84" t="n"/>
      <c r="N807" s="107" t="n">
        <v>515</v>
      </c>
      <c r="O807" s="107" t="inlineStr">
        <is>
          <t>창고_재고현황</t>
        </is>
      </c>
    </row>
    <row r="808" ht="30" customHeight="1">
      <c r="A808" s="53" t="inlineStr">
        <is>
          <t>창고전용</t>
        </is>
      </c>
      <c r="B808" s="52" t="inlineStr">
        <is>
          <t>유선리모콘</t>
        </is>
      </c>
      <c r="C808" s="52" t="inlineStr">
        <is>
          <t>공용</t>
        </is>
      </c>
      <c r="D808" s="79">
        <f>IF(INDIRECT("'"&amp;$O808&amp;"'!F"&amp;$N808)="O","원자재",IF(INDIRECT("'"&amp;$O808&amp;"'!G"&amp;$N808)="O","반제품",IF(INDIRECT("'"&amp;$O808&amp;"'!H"&amp;$N808)="O","완제품","")))</f>
        <v/>
      </c>
      <c r="E808" s="79">
        <f>IFERROR(IF(INDIRECT("'"&amp;$O808&amp;"'!I"&amp;$N808)=0,"",INDIRECT("'"&amp;$O808&amp;"'!I"&amp;$N808)),"")</f>
        <v/>
      </c>
      <c r="F808" s="52" t="n"/>
      <c r="G808" s="52" t="inlineStr">
        <is>
          <t>FOOT SWITCH [공용]</t>
        </is>
      </c>
      <c r="H808" s="79">
        <f>IF(AND($F808="",$G808=""),"",IF($F808="","창고전용",IF($G808&lt;&gt;"","매칭완료",IF($D808="반제품","반제품(창고없음)",IF($D808="완제품","완제품(창고없음)",IF($D808="원자재","⚠ 원자재_부서보관","미분류"))))))</f>
        <v/>
      </c>
      <c r="I808" s="79">
        <f>IFERROR(IF(INDIRECT("'"&amp;$O808&amp;"'!P"&amp;$N808)=0,"",INDIRECT("'"&amp;$O808&amp;"'!P"&amp;$N808)),"")</f>
        <v/>
      </c>
      <c r="J808" s="61" t="inlineStr">
        <is>
          <t>FOOT SWITCH [공용]</t>
        </is>
      </c>
      <c r="K808" s="65" t="inlineStr">
        <is>
          <t>FOOT SWITCH</t>
        </is>
      </c>
      <c r="L808" s="106">
        <f>HYPERLINK("#'"&amp;$O808&amp;"'!A"&amp;$N808,"→ 창고 R"&amp;$N808)</f>
        <v/>
      </c>
      <c r="M808" s="84" t="n"/>
      <c r="N808" s="107" t="n">
        <v>525</v>
      </c>
      <c r="O808" s="107" t="inlineStr">
        <is>
          <t>창고_재고현황</t>
        </is>
      </c>
    </row>
    <row r="809" ht="30" customHeight="1">
      <c r="A809" s="53" t="inlineStr">
        <is>
          <t>창고전용</t>
        </is>
      </c>
      <c r="B809" s="52" t="inlineStr">
        <is>
          <t>스위치</t>
        </is>
      </c>
      <c r="C809" s="52" t="inlineStr">
        <is>
          <t>공용</t>
        </is>
      </c>
      <c r="D809" s="79">
        <f>IF(INDIRECT("'"&amp;$O809&amp;"'!F"&amp;$N809)="O","원자재",IF(INDIRECT("'"&amp;$O809&amp;"'!G"&amp;$N809)="O","반제품",IF(INDIRECT("'"&amp;$O809&amp;"'!H"&amp;$N809)="O","완제품","")))</f>
        <v/>
      </c>
      <c r="E809" s="79">
        <f>IFERROR(IF(INDIRECT("'"&amp;$O809&amp;"'!I"&amp;$N809)=0,"",INDIRECT("'"&amp;$O809&amp;"'!I"&amp;$N809)),"")</f>
        <v/>
      </c>
      <c r="F809" s="52" t="n"/>
      <c r="G809" s="52" t="inlineStr">
        <is>
          <t>리드스위치 [공용]</t>
        </is>
      </c>
      <c r="H809" s="79">
        <f>IF(AND($F809="",$G809=""),"",IF($F809="","창고전용",IF($G809&lt;&gt;"","매칭완료",IF($D809="반제품","반제품(창고없음)",IF($D809="완제품","완제품(창고없음)",IF($D809="원자재","⚠ 원자재_부서보관","미분류"))))))</f>
        <v/>
      </c>
      <c r="I809" s="79">
        <f>IFERROR(IF(INDIRECT("'"&amp;$O809&amp;"'!P"&amp;$N809)=0,"",INDIRECT("'"&amp;$O809&amp;"'!P"&amp;$N809)),"")</f>
        <v/>
      </c>
      <c r="J809" s="61" t="inlineStr">
        <is>
          <t>리드스위치 [공용]</t>
        </is>
      </c>
      <c r="K809" s="65" t="inlineStr">
        <is>
          <t>리드스위치</t>
        </is>
      </c>
      <c r="L809" s="106">
        <f>HYPERLINK("#'"&amp;$O809&amp;"'!A"&amp;$N809,"→ 창고 R"&amp;$N809)</f>
        <v/>
      </c>
      <c r="M809" s="84" t="n"/>
      <c r="N809" s="107" t="n">
        <v>527</v>
      </c>
      <c r="O809" s="107" t="inlineStr">
        <is>
          <t>창고_재고현황</t>
        </is>
      </c>
    </row>
    <row r="810" ht="30" customHeight="1">
      <c r="A810" s="53" t="inlineStr">
        <is>
          <t>창고전용</t>
        </is>
      </c>
      <c r="B810" s="52" t="inlineStr">
        <is>
          <t>ABS 난연</t>
        </is>
      </c>
      <c r="C810" s="52" t="inlineStr">
        <is>
          <t>DX3000</t>
        </is>
      </c>
      <c r="D810" s="79">
        <f>IF(INDIRECT("'"&amp;$O810&amp;"'!F"&amp;$N810)="O","원자재",IF(INDIRECT("'"&amp;$O810&amp;"'!G"&amp;$N810)="O","반제품",IF(INDIRECT("'"&amp;$O810&amp;"'!H"&amp;$N810)="O","완제품","")))</f>
        <v/>
      </c>
      <c r="E810" s="79">
        <f>IFERROR(IF(INDIRECT("'"&amp;$O810&amp;"'!I"&amp;$N810)=0,"",INDIRECT("'"&amp;$O810&amp;"'!I"&amp;$N810)),"")</f>
        <v/>
      </c>
      <c r="F810" s="52" t="n"/>
      <c r="G810" s="52" t="inlineStr">
        <is>
          <t>Battery Pack (사급자재) [DX3000]</t>
        </is>
      </c>
      <c r="H810" s="79">
        <f>IF(AND($F810="",$G810=""),"",IF($F810="","창고전용",IF($G810&lt;&gt;"","매칭완료",IF($D810="반제품","반제품(창고없음)",IF($D810="완제품","완제품(창고없음)",IF($D810="원자재","⚠ 원자재_부서보관","미분류"))))))</f>
        <v/>
      </c>
      <c r="I810" s="79">
        <f>IFERROR(IF(INDIRECT("'"&amp;$O810&amp;"'!P"&amp;$N810)=0,"",INDIRECT("'"&amp;$O810&amp;"'!P"&amp;$N810)),"")</f>
        <v/>
      </c>
      <c r="J810" s="61" t="inlineStr">
        <is>
          <t>Battery Pack (사급자재) [DX3000]</t>
        </is>
      </c>
      <c r="K810" s="65" t="inlineStr">
        <is>
          <t>DX3000 기본 Battery Pack (사급자재)</t>
        </is>
      </c>
      <c r="L810" s="106">
        <f>HYPERLINK("#'창고_재고현황'!A529","→ 창고 R529")</f>
        <v/>
      </c>
      <c r="M810" s="84" t="n"/>
      <c r="N810" s="107" t="n">
        <v>529</v>
      </c>
      <c r="O810" s="107" t="inlineStr">
        <is>
          <t>창고_재고현황</t>
        </is>
      </c>
    </row>
    <row r="811" ht="30" customHeight="1">
      <c r="A811" s="53" t="inlineStr">
        <is>
          <t>창고전용</t>
        </is>
      </c>
      <c r="B811" s="52" t="inlineStr">
        <is>
          <t>ABS 난연</t>
        </is>
      </c>
      <c r="C811" s="52" t="inlineStr">
        <is>
          <t>DX3000</t>
        </is>
      </c>
      <c r="D811" s="79">
        <f>IF(INDIRECT("'"&amp;$O811&amp;"'!F"&amp;$N811)="O","원자재",IF(INDIRECT("'"&amp;$O811&amp;"'!G"&amp;$N811)="O","반제품",IF(INDIRECT("'"&amp;$O811&amp;"'!H"&amp;$N811)="O","완제품","")))</f>
        <v/>
      </c>
      <c r="E811" s="79">
        <f>IFERROR(IF(INDIRECT("'"&amp;$O811&amp;"'!I"&amp;$N811)=0,"",INDIRECT("'"&amp;$O811&amp;"'!I"&amp;$N811)),"")</f>
        <v/>
      </c>
      <c r="F811" s="52" t="n"/>
      <c r="G811" s="52" t="inlineStr">
        <is>
          <t>Battery Case (사급자재) [DX3000]</t>
        </is>
      </c>
      <c r="H811" s="79">
        <f>IF(AND($F811="",$G811=""),"",IF($F811="","창고전용",IF($G811&lt;&gt;"","매칭완료",IF($D811="반제품","반제품(창고없음)",IF($D811="완제품","완제품(창고없음)",IF($D811="원자재","⚠ 원자재_부서보관","미분류"))))))</f>
        <v/>
      </c>
      <c r="I811" s="79">
        <f>IFERROR(IF(INDIRECT("'"&amp;$O811&amp;"'!P"&amp;$N811)=0,"",INDIRECT("'"&amp;$O811&amp;"'!P"&amp;$N811)),"")</f>
        <v/>
      </c>
      <c r="J811" s="61" t="inlineStr">
        <is>
          <t>Battery Case (사급자재) [DX3000]</t>
        </is>
      </c>
      <c r="K811" s="65" t="inlineStr">
        <is>
          <t>DX3000 기본 Battery Case (사급자재)</t>
        </is>
      </c>
      <c r="L811" s="106">
        <f>HYPERLINK("#'창고_재고현황'!A530","→ 창고 R530")</f>
        <v/>
      </c>
      <c r="M811" s="84" t="n"/>
      <c r="N811" s="107" t="n">
        <v>530</v>
      </c>
      <c r="O811" s="107" t="inlineStr">
        <is>
          <t>창고_재고현황</t>
        </is>
      </c>
    </row>
    <row r="812" ht="30" customHeight="1">
      <c r="A812" s="53" t="inlineStr">
        <is>
          <t>창고전용</t>
        </is>
      </c>
      <c r="B812" s="52" t="inlineStr">
        <is>
          <t>신주</t>
        </is>
      </c>
      <c r="C812" s="52" t="inlineStr">
        <is>
          <t>공용</t>
        </is>
      </c>
      <c r="D812" s="79">
        <f>IF(INDIRECT("'"&amp;$O812&amp;"'!F"&amp;$N812)="O","원자재",IF(INDIRECT("'"&amp;$O812&amp;"'!G"&amp;$N812)="O","반제품",IF(INDIRECT("'"&amp;$O812&amp;"'!H"&amp;$N812)="O","완제품","")))</f>
        <v/>
      </c>
      <c r="E812" s="79">
        <f>IFERROR(IF(INDIRECT("'"&amp;$O812&amp;"'!I"&amp;$N812)=0,"",INDIRECT("'"&amp;$O812&amp;"'!I"&amp;$N812)),"")</f>
        <v/>
      </c>
      <c r="F812" s="52" t="n"/>
      <c r="G812" s="52" t="inlineStr">
        <is>
          <t>배터리 내부 단자 (사급자재) [공용]</t>
        </is>
      </c>
      <c r="H812" s="79">
        <f>IF(AND($F812="",$G812=""),"",IF($F812="","창고전용",IF($G812&lt;&gt;"","매칭완료",IF($D812="반제품","반제품(창고없음)",IF($D812="완제품","완제품(창고없음)",IF($D812="원자재","⚠ 원자재_부서보관","미분류"))))))</f>
        <v/>
      </c>
      <c r="I812" s="79">
        <f>IFERROR(IF(INDIRECT("'"&amp;$O812&amp;"'!P"&amp;$N812)=0,"",INDIRECT("'"&amp;$O812&amp;"'!P"&amp;$N812)),"")</f>
        <v/>
      </c>
      <c r="J812" s="61" t="inlineStr">
        <is>
          <t>배터리 내부 단자 (사급자재) [공용]</t>
        </is>
      </c>
      <c r="K812" s="65" t="inlineStr">
        <is>
          <t>DX3000 기본 배터리 내부 단자대 (사급자재)</t>
        </is>
      </c>
      <c r="L812" s="106">
        <f>HYPERLINK("#'창고_재고현황'!A531","→ 창고 R531")</f>
        <v/>
      </c>
      <c r="M812" s="84" t="n"/>
      <c r="N812" s="107" t="n">
        <v>531</v>
      </c>
      <c r="O812" s="107" t="inlineStr">
        <is>
          <t>창고_재고현황</t>
        </is>
      </c>
    </row>
    <row r="813" ht="30" customHeight="1">
      <c r="A813" s="53" t="inlineStr">
        <is>
          <t>창고전용</t>
        </is>
      </c>
      <c r="B813" s="52" t="inlineStr">
        <is>
          <t>BOARD</t>
        </is>
      </c>
      <c r="C813" s="52" t="inlineStr">
        <is>
          <t>ADX6000</t>
        </is>
      </c>
      <c r="D813" s="79">
        <f>IF(INDIRECT("'"&amp;$O813&amp;"'!F"&amp;$N813)="O","원자재",IF(INDIRECT("'"&amp;$O813&amp;"'!G"&amp;$N813)="O","반제품",IF(INDIRECT("'"&amp;$O813&amp;"'!H"&amp;$N813)="O","완제품","")))</f>
        <v/>
      </c>
      <c r="E813" s="79">
        <f>IFERROR(IF(INDIRECT("'"&amp;$O813&amp;"'!I"&amp;$N813)=0,"",INDIRECT("'"&amp;$O813&amp;"'!I"&amp;$N813)),"")</f>
        <v/>
      </c>
      <c r="F813" s="52" t="n"/>
      <c r="G813" s="52" t="inlineStr">
        <is>
          <t>고압베어 B/D (구형 고압보드) [ADX6000]</t>
        </is>
      </c>
      <c r="H813" s="79">
        <f>IF(AND($F813="",$G813=""),"",IF($F813="","창고전용",IF($G813&lt;&gt;"","매칭완료",IF($D813="반제품","반제품(창고없음)",IF($D813="완제품","완제품(창고없음)",IF($D813="원자재","⚠ 원자재_부서보관","미분류"))))))</f>
        <v/>
      </c>
      <c r="I813" s="79">
        <f>IFERROR(IF(INDIRECT("'"&amp;$O813&amp;"'!P"&amp;$N813)=0,"",INDIRECT("'"&amp;$O813&amp;"'!P"&amp;$N813)),"")</f>
        <v/>
      </c>
      <c r="J813" s="61" t="inlineStr">
        <is>
          <t>고압베어 B/D (구형 고압보드) [ADX6000]</t>
        </is>
      </c>
      <c r="K813" s="65" t="inlineStr">
        <is>
          <t>ADX6000 고압베어 BD</t>
        </is>
      </c>
      <c r="L813" s="106">
        <f>HYPERLINK("#'창고_재고현황'!A532","→ 창고 R532")</f>
        <v/>
      </c>
      <c r="M813" s="84" t="n"/>
      <c r="N813" s="107" t="n">
        <v>532</v>
      </c>
      <c r="O813" s="107" t="inlineStr">
        <is>
          <t>창고_재고현황</t>
        </is>
      </c>
    </row>
    <row r="814" ht="30" customHeight="1">
      <c r="A814" s="53" t="inlineStr">
        <is>
          <t>창고전용</t>
        </is>
      </c>
      <c r="B814" s="52" t="inlineStr">
        <is>
          <t>다이오드</t>
        </is>
      </c>
      <c r="C814" s="52" t="inlineStr">
        <is>
          <t>SOLO</t>
        </is>
      </c>
      <c r="D814" s="79">
        <f>IF(INDIRECT("'"&amp;$O814&amp;"'!F"&amp;$N814)="O","원자재",IF(INDIRECT("'"&amp;$O814&amp;"'!G"&amp;$N814)="O","반제품",IF(INDIRECT("'"&amp;$O814&amp;"'!H"&amp;$N814)="O","완제품","")))</f>
        <v/>
      </c>
      <c r="E814" s="79">
        <f>IFERROR(IF(INDIRECT("'"&amp;$O814&amp;"'!I"&amp;$N814)=0,"",INDIRECT("'"&amp;$O814&amp;"'!I"&amp;$N814)),"")</f>
        <v/>
      </c>
      <c r="F814" s="52" t="n"/>
      <c r="G814" s="52" t="inlineStr">
        <is>
          <t>고압 다이오드 (SPF01-15) [SOLO]</t>
        </is>
      </c>
      <c r="H814" s="79">
        <f>IF(AND($F814="",$G814=""),"",IF($F814="","창고전용",IF($G814&lt;&gt;"","매칭완료",IF($D814="반제품","반제품(창고없음)",IF($D814="완제품","완제품(창고없음)",IF($D814="원자재","⚠ 원자재_부서보관","미분류"))))))</f>
        <v/>
      </c>
      <c r="I814" s="79">
        <f>IFERROR(IF(INDIRECT("'"&amp;$O814&amp;"'!P"&amp;$N814)=0,"",INDIRECT("'"&amp;$O814&amp;"'!P"&amp;$N814)),"")</f>
        <v/>
      </c>
      <c r="J814" s="61" t="inlineStr">
        <is>
          <t>고압 다이오드 (SPF01-15) [SOLO]</t>
        </is>
      </c>
      <c r="K814" s="65" t="inlineStr">
        <is>
          <t>SOLO 고압 다이오드 (SPF01-15)</t>
        </is>
      </c>
      <c r="L814" s="106">
        <f>HYPERLINK("#'창고_재고현황'!A534","→ 창고 R534")</f>
        <v/>
      </c>
      <c r="M814" s="84" t="n"/>
      <c r="N814" s="107" t="n">
        <v>534</v>
      </c>
      <c r="O814" s="107" t="inlineStr">
        <is>
          <t>창고_재고현황</t>
        </is>
      </c>
    </row>
    <row r="815" ht="30" customHeight="1">
      <c r="A815" s="53" t="inlineStr">
        <is>
          <t>창고전용</t>
        </is>
      </c>
      <c r="B815" s="52" t="inlineStr">
        <is>
          <t>세라믹</t>
        </is>
      </c>
      <c r="C815" s="52" t="inlineStr">
        <is>
          <t>SOLO</t>
        </is>
      </c>
      <c r="D815" s="79">
        <f>IF(INDIRECT("'"&amp;$O815&amp;"'!F"&amp;$N815)="O","원자재",IF(INDIRECT("'"&amp;$O815&amp;"'!G"&amp;$N815)="O","반제품",IF(INDIRECT("'"&amp;$O815&amp;"'!H"&amp;$N815)="O","완제품","")))</f>
        <v/>
      </c>
      <c r="E815" s="79">
        <f>IFERROR(IF(INDIRECT("'"&amp;$O815&amp;"'!I"&amp;$N815)=0,"",INDIRECT("'"&amp;$O815&amp;"'!I"&amp;$N815)),"")</f>
        <v/>
      </c>
      <c r="F815" s="52" t="n"/>
      <c r="G815" s="52" t="inlineStr">
        <is>
          <t>고압용 칩 세라믹 콘덴서 (2220J6K00222KXT) [SOLO]</t>
        </is>
      </c>
      <c r="H815" s="79">
        <f>IF(AND($F815="",$G815=""),"",IF($F815="","창고전용",IF($G815&lt;&gt;"","매칭완료",IF($D815="반제품","반제품(창고없음)",IF($D815="완제품","완제품(창고없음)",IF($D815="원자재","⚠ 원자재_부서보관","미분류"))))))</f>
        <v/>
      </c>
      <c r="I815" s="79">
        <f>IFERROR(IF(INDIRECT("'"&amp;$O815&amp;"'!P"&amp;$N815)=0,"",INDIRECT("'"&amp;$O815&amp;"'!P"&amp;$N815)),"")</f>
        <v/>
      </c>
      <c r="J815" s="61" t="inlineStr">
        <is>
          <t>고압용 칩 세라믹 콘덴서 (2220J6K00222KXT) [SOLO]</t>
        </is>
      </c>
      <c r="K815" s="65" t="inlineStr">
        <is>
          <t>SOLO 고압용 칩 세라믹 콘덴서 (2220J6K00222KXT)</t>
        </is>
      </c>
      <c r="L815" s="106">
        <f>HYPERLINK("#'창고_재고현황'!A535","→ 창고 R535")</f>
        <v/>
      </c>
      <c r="M815" s="84" t="n"/>
      <c r="N815" s="107" t="n">
        <v>535</v>
      </c>
      <c r="O815" s="107" t="inlineStr">
        <is>
          <t>창고_재고현황</t>
        </is>
      </c>
    </row>
    <row r="816" ht="30" customHeight="1">
      <c r="A816" s="53" t="inlineStr">
        <is>
          <t>창고전용</t>
        </is>
      </c>
      <c r="B816" s="52" t="inlineStr">
        <is>
          <t>HDPE</t>
        </is>
      </c>
      <c r="C816" s="52" t="inlineStr">
        <is>
          <t>SOLO</t>
        </is>
      </c>
      <c r="D816" s="79">
        <f>IF(INDIRECT("'"&amp;$O816&amp;"'!F"&amp;$N816)="O","원자재",IF(INDIRECT("'"&amp;$O816&amp;"'!G"&amp;$N816)="O","반제품",IF(INDIRECT("'"&amp;$O816&amp;"'!H"&amp;$N816)="O","완제품","")))</f>
        <v/>
      </c>
      <c r="E816" s="79">
        <f>IFERROR(IF(INDIRECT("'"&amp;$O816&amp;"'!I"&amp;$N816)=0,"",INDIRECT("'"&amp;$O816&amp;"'!I"&amp;$N816)),"")</f>
        <v/>
      </c>
      <c r="F816" s="52" t="n"/>
      <c r="G816" s="52" t="inlineStr">
        <is>
          <t>내부 케이스 (HDPE) [SOLO]</t>
        </is>
      </c>
      <c r="H816" s="79">
        <f>IF(AND($F816="",$G816=""),"",IF($F816="","창고전용",IF($G816&lt;&gt;"","매칭완료",IF($D816="반제품","반제품(창고없음)",IF($D816="완제품","완제품(창고없음)",IF($D816="원자재","⚠ 원자재_부서보관","미분류"))))))</f>
        <v/>
      </c>
      <c r="I816" s="79">
        <f>IFERROR(IF(INDIRECT("'"&amp;$O816&amp;"'!P"&amp;$N816)=0,"",INDIRECT("'"&amp;$O816&amp;"'!P"&amp;$N816)),"")</f>
        <v/>
      </c>
      <c r="J816" s="61" t="inlineStr">
        <is>
          <t>내부 케이스 (HDPE) [SOLO]</t>
        </is>
      </c>
      <c r="K816" s="65" t="inlineStr">
        <is>
          <t>SOLO 내부 케이스 (HDPE)</t>
        </is>
      </c>
      <c r="L816" s="106">
        <f>HYPERLINK("#'창고_재고현황'!A537","→ 창고 R537")</f>
        <v/>
      </c>
      <c r="M816" s="84" t="n"/>
      <c r="N816" s="107" t="n">
        <v>537</v>
      </c>
      <c r="O816" s="107" t="inlineStr">
        <is>
          <t>창고_재고현황</t>
        </is>
      </c>
    </row>
    <row r="817" ht="30" customHeight="1">
      <c r="A817" s="53" t="inlineStr">
        <is>
          <t>창고전용</t>
        </is>
      </c>
      <c r="B817" s="52" t="inlineStr">
        <is>
          <t>HDPE</t>
        </is>
      </c>
      <c r="C817" s="52" t="inlineStr">
        <is>
          <t>SOLO</t>
        </is>
      </c>
      <c r="D817" s="79">
        <f>IF(INDIRECT("'"&amp;$O817&amp;"'!F"&amp;$N817)="O","원자재",IF(INDIRECT("'"&amp;$O817&amp;"'!G"&amp;$N817)="O","반제품",IF(INDIRECT("'"&amp;$O817&amp;"'!H"&amp;$N817)="O","완제품","")))</f>
        <v/>
      </c>
      <c r="E817" s="79">
        <f>IFERROR(IF(INDIRECT("'"&amp;$O817&amp;"'!I"&amp;$N817)=0,"",INDIRECT("'"&amp;$O817&amp;"'!I"&amp;$N817)),"")</f>
        <v/>
      </c>
      <c r="F817" s="52" t="n"/>
      <c r="G817" s="52" t="inlineStr">
        <is>
          <t>고압 격벽 (HDPE) [SOLO]</t>
        </is>
      </c>
      <c r="H817" s="79">
        <f>IF(AND($F817="",$G817=""),"",IF($F817="","창고전용",IF($G817&lt;&gt;"","매칭완료",IF($D817="반제품","반제품(창고없음)",IF($D817="완제품","완제품(창고없음)",IF($D817="원자재","⚠ 원자재_부서보관","미분류"))))))</f>
        <v/>
      </c>
      <c r="I817" s="79">
        <f>IFERROR(IF(INDIRECT("'"&amp;$O817&amp;"'!P"&amp;$N817)=0,"",INDIRECT("'"&amp;$O817&amp;"'!P"&amp;$N817)),"")</f>
        <v/>
      </c>
      <c r="J817" s="61" t="inlineStr">
        <is>
          <t>고압 격벽 (HDPE) [SOLO]</t>
        </is>
      </c>
      <c r="K817" s="65" t="inlineStr">
        <is>
          <t>SOLO 고압 격벽 (HDPE)</t>
        </is>
      </c>
      <c r="L817" s="106">
        <f>HYPERLINK("#'창고_재고현황'!A538","→ 창고 R538")</f>
        <v/>
      </c>
      <c r="M817" s="84" t="n"/>
      <c r="N817" s="107" t="n">
        <v>538</v>
      </c>
      <c r="O817" s="107" t="inlineStr">
        <is>
          <t>창고_재고현황</t>
        </is>
      </c>
    </row>
    <row r="818" ht="30" customHeight="1">
      <c r="A818" s="53" t="inlineStr">
        <is>
          <t>창고전용</t>
        </is>
      </c>
      <c r="B818" s="52" t="inlineStr">
        <is>
          <t>AL</t>
        </is>
      </c>
      <c r="C818" s="52" t="inlineStr">
        <is>
          <t>SOLO</t>
        </is>
      </c>
      <c r="D818" s="79">
        <f>IF(INDIRECT("'"&amp;$O818&amp;"'!F"&amp;$N818)="O","원자재",IF(INDIRECT("'"&amp;$O818&amp;"'!G"&amp;$N818)="O","반제품",IF(INDIRECT("'"&amp;$O818&amp;"'!H"&amp;$N818)="O","완제품","")))</f>
        <v/>
      </c>
      <c r="E818" s="79">
        <f>IFERROR(IF(INDIRECT("'"&amp;$O818&amp;"'!I"&amp;$N818)=0,"",INDIRECT("'"&amp;$O818&amp;"'!I"&amp;$N818)),"")</f>
        <v/>
      </c>
      <c r="F818" s="52" t="n"/>
      <c r="G818" s="52" t="inlineStr">
        <is>
          <t>에이밍 필터 (0.5T * Φ40 에이밍 은경 추가 필터) [SOLO]</t>
        </is>
      </c>
      <c r="H818" s="79">
        <f>IF(AND($F818="",$G818=""),"",IF($F818="","창고전용",IF($G818&lt;&gt;"","매칭완료",IF($D818="반제품","반제품(창고없음)",IF($D818="완제품","완제품(창고없음)",IF($D818="원자재","⚠ 원자재_부서보관","미분류"))))))</f>
        <v/>
      </c>
      <c r="I818" s="79">
        <f>IFERROR(IF(INDIRECT("'"&amp;$O818&amp;"'!P"&amp;$N818)=0,"",INDIRECT("'"&amp;$O818&amp;"'!P"&amp;$N818)),"")</f>
        <v/>
      </c>
      <c r="J818" s="61" t="inlineStr">
        <is>
          <t>에이밍 필터 (0.5T * Φ40 에이밍 은경 추가 필터) [SOLO]</t>
        </is>
      </c>
      <c r="K818" s="65" t="inlineStr">
        <is>
          <t>SOLO 에이밍 은경 필터 [40ɸ 0.5T]</t>
        </is>
      </c>
      <c r="L818" s="106">
        <f>HYPERLINK("#'창고_재고현황'!A539","→ 창고 R539")</f>
        <v/>
      </c>
      <c r="M818" s="84" t="n"/>
      <c r="N818" s="107" t="n">
        <v>539</v>
      </c>
      <c r="O818" s="107" t="inlineStr">
        <is>
          <t>창고_재고현황</t>
        </is>
      </c>
    </row>
    <row r="819" ht="30" customHeight="1">
      <c r="A819" s="53" t="inlineStr">
        <is>
          <t>창고전용</t>
        </is>
      </c>
      <c r="B819" s="52" t="inlineStr">
        <is>
          <t>PCB</t>
        </is>
      </c>
      <c r="C819" s="52" t="inlineStr">
        <is>
          <t>COCOON</t>
        </is>
      </c>
      <c r="D819" s="79">
        <f>IF(INDIRECT("'"&amp;$O819&amp;"'!F"&amp;$N819)="O","원자재",IF(INDIRECT("'"&amp;$O819&amp;"'!G"&amp;$N819)="O","반제품",IF(INDIRECT("'"&amp;$O819&amp;"'!H"&amp;$N819)="O","완제품","")))</f>
        <v/>
      </c>
      <c r="E819" s="79">
        <f>IFERROR(IF(INDIRECT("'"&amp;$O819&amp;"'!I"&amp;$N819)=0,"",INDIRECT("'"&amp;$O819&amp;"'!I"&amp;$N819)),"")</f>
        <v/>
      </c>
      <c r="F819" s="52" t="n"/>
      <c r="G819" s="52" t="inlineStr">
        <is>
          <t>CTR B/D (ST용) [COCOON]</t>
        </is>
      </c>
      <c r="H819" s="79">
        <f>IF(AND($F819="",$G819=""),"",IF($F819="","창고전용",IF($G819&lt;&gt;"","매칭완료",IF($D819="반제품","반제품(창고없음)",IF($D819="완제품","완제품(창고없음)",IF($D819="원자재","⚠ 원자재_부서보관","미분류"))))))</f>
        <v/>
      </c>
      <c r="I819" s="79">
        <f>IFERROR(IF(INDIRECT("'"&amp;$O819&amp;"'!P"&amp;$N819)=0,"",INDIRECT("'"&amp;$O819&amp;"'!P"&amp;$N819)),"")</f>
        <v/>
      </c>
      <c r="J819" s="61" t="inlineStr">
        <is>
          <t>CTR B/D (ST용) [COCOON]</t>
        </is>
      </c>
      <c r="K819" s="65" t="inlineStr">
        <is>
          <t>COCOON ST CTR BD</t>
        </is>
      </c>
      <c r="L819" s="106">
        <f>HYPERLINK("#'창고_재고현황'!A540","→ 창고 R540")</f>
        <v/>
      </c>
      <c r="M819" s="84" t="n"/>
      <c r="N819" s="107" t="n">
        <v>540</v>
      </c>
      <c r="O819" s="107" t="inlineStr">
        <is>
          <t>창고_재고현황</t>
        </is>
      </c>
    </row>
    <row r="820" ht="30" customHeight="1">
      <c r="A820" s="53" t="inlineStr">
        <is>
          <t>창고전용</t>
        </is>
      </c>
      <c r="B820" s="52" t="inlineStr">
        <is>
          <t>PANEL</t>
        </is>
      </c>
      <c r="C820" s="52" t="inlineStr">
        <is>
          <t>DX3000</t>
        </is>
      </c>
      <c r="D820" s="79">
        <f>IF(INDIRECT("'"&amp;$O820&amp;"'!F"&amp;$N820)="O","원자재",IF(INDIRECT("'"&amp;$O820&amp;"'!G"&amp;$N820)="O","반제품",IF(INDIRECT("'"&amp;$O820&amp;"'!H"&amp;$N820)="O","완제품","")))</f>
        <v/>
      </c>
      <c r="E820" s="79">
        <f>IFERROR(IF(INDIRECT("'"&amp;$O820&amp;"'!I"&amp;$N820)=0,"",INDIRECT("'"&amp;$O820&amp;"'!I"&amp;$N820)),"")</f>
        <v/>
      </c>
      <c r="F820" s="52" t="n"/>
      <c r="G820" s="52" t="inlineStr">
        <is>
          <t>OLED PANEL [DX3000]</t>
        </is>
      </c>
      <c r="H820" s="79">
        <f>IF(AND($F820="",$G820=""),"",IF($F820="","창고전용",IF($G820&lt;&gt;"","매칭완료",IF($D820="반제품","반제품(창고없음)",IF($D820="완제품","완제품(창고없음)",IF($D820="원자재","⚠ 원자재_부서보관","미분류"))))))</f>
        <v/>
      </c>
      <c r="I820" s="79">
        <f>IFERROR(IF(INDIRECT("'"&amp;$O820&amp;"'!P"&amp;$N820)=0,"",INDIRECT("'"&amp;$O820&amp;"'!P"&amp;$N820)),"")</f>
        <v/>
      </c>
      <c r="J820" s="61" t="inlineStr">
        <is>
          <t>OLED PANEL [DX3000]</t>
        </is>
      </c>
      <c r="K820" s="65" t="inlineStr">
        <is>
          <t>DX3000 2.42" OLED PANEL (UG-2864ASWPG01)</t>
        </is>
      </c>
      <c r="L820" s="106">
        <f>HYPERLINK("#'창고_재고현황'!A541","→ 창고 R541")</f>
        <v/>
      </c>
      <c r="M820" s="84" t="n"/>
      <c r="N820" s="107" t="n">
        <v>541</v>
      </c>
      <c r="O820" s="107" t="inlineStr">
        <is>
          <t>창고_재고현황</t>
        </is>
      </c>
    </row>
    <row r="821" ht="30" customHeight="1">
      <c r="A821" s="53" t="inlineStr">
        <is>
          <t>창고전용</t>
        </is>
      </c>
      <c r="B821" s="52" t="inlineStr">
        <is>
          <t>ABS 난연</t>
        </is>
      </c>
      <c r="C821" s="52" t="inlineStr">
        <is>
          <t>DX3000</t>
        </is>
      </c>
      <c r="D821" s="79">
        <f>IF(INDIRECT("'"&amp;$O821&amp;"'!F"&amp;$N821)="O","원자재",IF(INDIRECT("'"&amp;$O821&amp;"'!G"&amp;$N821)="O","반제품",IF(INDIRECT("'"&amp;$O821&amp;"'!H"&amp;$N821)="O","완제품","")))</f>
        <v/>
      </c>
      <c r="E821" s="79">
        <f>IFERROR(IF(INDIRECT("'"&amp;$O821&amp;"'!I"&amp;$N821)=0,"",INDIRECT("'"&amp;$O821&amp;"'!I"&amp;$N821)),"")</f>
        <v/>
      </c>
      <c r="F821" s="52" t="n"/>
      <c r="G821" s="52" t="inlineStr">
        <is>
          <t>OLED GUIDE (ABS 난연 블랙) [DX3000]</t>
        </is>
      </c>
      <c r="H821" s="79">
        <f>IF(AND($F821="",$G821=""),"",IF($F821="","창고전용",IF($G821&lt;&gt;"","매칭완료",IF($D821="반제품","반제품(창고없음)",IF($D821="완제품","완제품(창고없음)",IF($D821="원자재","⚠ 원자재_부서보관","미분류"))))))</f>
        <v/>
      </c>
      <c r="I821" s="79">
        <f>IFERROR(IF(INDIRECT("'"&amp;$O821&amp;"'!P"&amp;$N821)=0,"",INDIRECT("'"&amp;$O821&amp;"'!P"&amp;$N821)),"")</f>
        <v/>
      </c>
      <c r="J821" s="61" t="inlineStr">
        <is>
          <t>OLED GUIDE (ABS 난연 블랙) [DX3000]</t>
        </is>
      </c>
      <c r="K821" s="65" t="inlineStr">
        <is>
          <t>DX3000 OLED GUIDE</t>
        </is>
      </c>
      <c r="L821" s="106">
        <f>HYPERLINK("#'창고_재고현황'!A542","→ 창고 R542")</f>
        <v/>
      </c>
      <c r="M821" s="84" t="n"/>
      <c r="N821" s="107" t="n">
        <v>542</v>
      </c>
      <c r="O821" s="107" t="inlineStr">
        <is>
          <t>창고_재고현황</t>
        </is>
      </c>
    </row>
    <row r="822" ht="30" customHeight="1">
      <c r="A822" s="53" t="inlineStr">
        <is>
          <t>창고전용</t>
        </is>
      </c>
      <c r="B822" s="52" t="inlineStr">
        <is>
          <t>CABLE</t>
        </is>
      </c>
      <c r="C822" s="52" t="inlineStr">
        <is>
          <t>DX3000</t>
        </is>
      </c>
      <c r="D822" s="79">
        <f>IF(INDIRECT("'"&amp;$O822&amp;"'!F"&amp;$N822)="O","원자재",IF(INDIRECT("'"&amp;$O822&amp;"'!G"&amp;$N822)="O","반제품",IF(INDIRECT("'"&amp;$O822&amp;"'!H"&amp;$N822)="O","완제품","")))</f>
        <v/>
      </c>
      <c r="E822" s="79">
        <f>IFERROR(IF(INDIRECT("'"&amp;$O822&amp;"'!I"&amp;$N822)=0,"",INDIRECT("'"&amp;$O822&amp;"'!I"&amp;$N822)),"")</f>
        <v/>
      </c>
      <c r="F822" s="52" t="n"/>
      <c r="G822" s="52" t="inlineStr">
        <is>
          <t>FFC 10핀 [DX3000]</t>
        </is>
      </c>
      <c r="H822" s="79">
        <f>IF(AND($F822="",$G822=""),"",IF($F822="","창고전용",IF($G822&lt;&gt;"","매칭완료",IF($D822="반제품","반제품(창고없음)",IF($D822="완제품","완제품(창고없음)",IF($D822="원자재","⚠ 원자재_부서보관","미분류"))))))</f>
        <v/>
      </c>
      <c r="I822" s="79">
        <f>IFERROR(IF(INDIRECT("'"&amp;$O822&amp;"'!P"&amp;$N822)=0,"",INDIRECT("'"&amp;$O822&amp;"'!P"&amp;$N822)),"")</f>
        <v/>
      </c>
      <c r="J822" s="61" t="inlineStr">
        <is>
          <t>FFC 10핀 [DX3000]</t>
        </is>
      </c>
      <c r="K822" s="65" t="inlineStr">
        <is>
          <t>DX3000 EX BD FFC CABLE 10핀</t>
        </is>
      </c>
      <c r="L822" s="106">
        <f>HYPERLINK("#'창고_재고현황'!A543","→ 창고 R543")</f>
        <v/>
      </c>
      <c r="M822" s="84" t="n"/>
      <c r="N822" s="107" t="n">
        <v>543</v>
      </c>
      <c r="O822" s="107" t="inlineStr">
        <is>
          <t>창고_재고현황</t>
        </is>
      </c>
    </row>
    <row r="823" ht="30" customHeight="1">
      <c r="A823" s="53" t="inlineStr">
        <is>
          <t>창고전용</t>
        </is>
      </c>
      <c r="B823" s="52" t="inlineStr">
        <is>
          <t>CABLE</t>
        </is>
      </c>
      <c r="C823" s="52" t="inlineStr">
        <is>
          <t>COCOON</t>
        </is>
      </c>
      <c r="D823" s="79">
        <f>IF(INDIRECT("'"&amp;$O823&amp;"'!F"&amp;$N823)="O","원자재",IF(INDIRECT("'"&amp;$O823&amp;"'!G"&amp;$N823)="O","반제품",IF(INDIRECT("'"&amp;$O823&amp;"'!H"&amp;$N823)="O","완제품","")))</f>
        <v/>
      </c>
      <c r="E823" s="79">
        <f>IFERROR(IF(INDIRECT("'"&amp;$O823&amp;"'!I"&amp;$N823)=0,"",INDIRECT("'"&amp;$O823&amp;"'!I"&amp;$N823)),"")</f>
        <v/>
      </c>
      <c r="F823" s="52" t="n"/>
      <c r="G823" s="52" t="inlineStr">
        <is>
          <t>하네스 3-1번 (FFC CABLE 1mm*30P*200*A CTR BD*OP BD FFC CABLE (같은 방향) (구형, 신형)) [COCOON]</t>
        </is>
      </c>
      <c r="H823" s="79">
        <f>IF(AND($F823="",$G823=""),"",IF($F823="","창고전용",IF($G823&lt;&gt;"","매칭완료",IF($D823="반제품","반제품(창고없음)",IF($D823="완제품","완제품(창고없음)",IF($D823="원자재","⚠ 원자재_부서보관","미분류"))))))</f>
        <v/>
      </c>
      <c r="I823" s="79">
        <f>IFERROR(IF(INDIRECT("'"&amp;$O823&amp;"'!P"&amp;$N823)=0,"",INDIRECT("'"&amp;$O823&amp;"'!P"&amp;$N823)),"")</f>
        <v/>
      </c>
      <c r="J823" s="65" t="inlineStr">
        <is>
          <t>하네스 3-1번 (FFC CABLE 1mm*30P*200*A CTR BD*OP BD FFC CABLE (같은 방향) (구형, 신형)) [COCOON]</t>
        </is>
      </c>
      <c r="K823" s="65" t="inlineStr">
        <is>
          <t>COCOON FFC CABLE (1mm*30P*A) 200mm [하네스 3-1번] (같은 방향)</t>
        </is>
      </c>
      <c r="L823" s="106">
        <f>HYPERLINK("#'창고_재고현황'!A544","→ 창고 R544")</f>
        <v/>
      </c>
      <c r="M823" s="84" t="n"/>
      <c r="N823" s="107" t="n">
        <v>544</v>
      </c>
      <c r="O823" s="107" t="inlineStr">
        <is>
          <t>창고_재고현황</t>
        </is>
      </c>
    </row>
    <row r="824" ht="30" customHeight="1">
      <c r="A824" s="53" t="inlineStr">
        <is>
          <t>창고전용</t>
        </is>
      </c>
      <c r="B824" s="52" t="inlineStr">
        <is>
          <t>CABLE</t>
        </is>
      </c>
      <c r="C824" s="52" t="inlineStr">
        <is>
          <t>COCOON</t>
        </is>
      </c>
      <c r="D824" s="79">
        <f>IF(INDIRECT("'"&amp;$O824&amp;"'!F"&amp;$N824)="O","원자재",IF(INDIRECT("'"&amp;$O824&amp;"'!G"&amp;$N824)="O","반제품",IF(INDIRECT("'"&amp;$O824&amp;"'!H"&amp;$N824)="O","완제품","")))</f>
        <v/>
      </c>
      <c r="E824" s="79">
        <f>IFERROR(IF(INDIRECT("'"&amp;$O824&amp;"'!I"&amp;$N824)=0,"",INDIRECT("'"&amp;$O824&amp;"'!I"&amp;$N824)),"")</f>
        <v/>
      </c>
      <c r="F824" s="52" t="n"/>
      <c r="G824" s="52" t="inlineStr">
        <is>
          <t>하네스 12번 (FLAT 30P 2.0mm, L=205mm, 1:1 CTR BD * OP BD 연결 30핀) [COCOON]</t>
        </is>
      </c>
      <c r="H824" s="79">
        <f>IF(AND($F824="",$G824=""),"",IF($F824="","창고전용",IF($G824&lt;&gt;"","매칭완료",IF($D824="반제품","반제품(창고없음)",IF($D824="완제품","완제품(창고없음)",IF($D824="원자재","⚠ 원자재_부서보관","미분류"))))))</f>
        <v/>
      </c>
      <c r="I824" s="79">
        <f>IFERROR(IF(INDIRECT("'"&amp;$O824&amp;"'!P"&amp;$N824)=0,"",INDIRECT("'"&amp;$O824&amp;"'!P"&amp;$N824)),"")</f>
        <v/>
      </c>
      <c r="J824" s="61" t="inlineStr">
        <is>
          <t>하네스 12번 (FLAT 30P 2.0mm, L=205mm, 1:1 CTR BD * OP BD 연결 30핀) [COCOON]</t>
        </is>
      </c>
      <c r="K824" s="65" t="inlineStr">
        <is>
          <t>COCOON ST CTR to OP 케이블 (FLAT 30P 2.0mm 1:1) 205mm [하네스 12번]</t>
        </is>
      </c>
      <c r="L824" s="106">
        <f>HYPERLINK("#'창고_재고현황'!A545","→ 창고 R545")</f>
        <v/>
      </c>
      <c r="M824" s="84" t="n"/>
      <c r="N824" s="107" t="n">
        <v>545</v>
      </c>
      <c r="O824" s="107" t="inlineStr">
        <is>
          <t>창고_재고현황</t>
        </is>
      </c>
    </row>
    <row r="825" ht="30" customHeight="1">
      <c r="A825" s="53" t="inlineStr">
        <is>
          <t>창고전용</t>
        </is>
      </c>
      <c r="B825" s="52" t="inlineStr">
        <is>
          <t>CABLE</t>
        </is>
      </c>
      <c r="C825" s="52" t="inlineStr">
        <is>
          <t>COCOON</t>
        </is>
      </c>
      <c r="D825" s="79">
        <f>IF(INDIRECT("'"&amp;$O825&amp;"'!F"&amp;$N825)="O","원자재",IF(INDIRECT("'"&amp;$O825&amp;"'!G"&amp;$N825)="O","반제품",IF(INDIRECT("'"&amp;$O825&amp;"'!H"&amp;$N825)="O","완제품","")))</f>
        <v/>
      </c>
      <c r="E825" s="79">
        <f>IFERROR(IF(INDIRECT("'"&amp;$O825&amp;"'!I"&amp;$N825)=0,"",INDIRECT("'"&amp;$O825&amp;"'!I"&amp;$N825)),"")</f>
        <v/>
      </c>
      <c r="F825" s="52" t="n"/>
      <c r="G825" s="52" t="inlineStr">
        <is>
          <t>하네스 7-1번 (12505HS-05 70mm OP BD+TOUCH BD 5핀) [COCOON]</t>
        </is>
      </c>
      <c r="H825" s="79">
        <f>IF(AND($F825="",$G825=""),"",IF($F825="","창고전용",IF($G825&lt;&gt;"","매칭완료",IF($D825="반제품","반제품(창고없음)",IF($D825="완제품","완제품(창고없음)",IF($D825="원자재","⚠ 원자재_부서보관","미분류"))))))</f>
        <v/>
      </c>
      <c r="I825" s="79">
        <f>IFERROR(IF(INDIRECT("'"&amp;$O825&amp;"'!P"&amp;$N825)=0,"",INDIRECT("'"&amp;$O825&amp;"'!P"&amp;$N825)),"")</f>
        <v/>
      </c>
      <c r="J825" s="61" t="inlineStr">
        <is>
          <t>하네스 7-1번 (12505HS-05 70mm OP BD+TOUCH BD 5핀) [COCOON]</t>
        </is>
      </c>
      <c r="K825" s="65" t="inlineStr">
        <is>
          <t>COCOON ST OP to TOUCH 케이블 (12505HS-05) 70mm [하네스 7-1번]</t>
        </is>
      </c>
      <c r="L825" s="106">
        <f>HYPERLINK("#'창고_재고현황'!A546","→ 창고 R546")</f>
        <v/>
      </c>
      <c r="M825" s="84" t="n"/>
      <c r="N825" s="107" t="n">
        <v>546</v>
      </c>
      <c r="O825" s="107" t="inlineStr">
        <is>
          <t>창고_재고현황</t>
        </is>
      </c>
    </row>
    <row r="826" ht="30" customHeight="1">
      <c r="A826" s="53" t="inlineStr">
        <is>
          <t>창고전용</t>
        </is>
      </c>
      <c r="B826" s="52" t="inlineStr">
        <is>
          <t>PCB</t>
        </is>
      </c>
      <c r="C826" s="52" t="inlineStr">
        <is>
          <t>ADX6000S</t>
        </is>
      </c>
      <c r="D826" s="79">
        <f>IF(INDIRECT("'"&amp;$O826&amp;"'!F"&amp;$N826)="O","원자재",IF(INDIRECT("'"&amp;$O826&amp;"'!G"&amp;$N826)="O","반제품",IF(INDIRECT("'"&amp;$O826&amp;"'!H"&amp;$N826)="O","완제품","")))</f>
        <v/>
      </c>
      <c r="E826" s="79">
        <f>IFERROR(IF(INDIRECT("'"&amp;$O826&amp;"'!I"&amp;$N826)=0,"",INDIRECT("'"&amp;$O826&amp;"'!I"&amp;$N826)),"")</f>
        <v/>
      </c>
      <c r="F826" s="52" t="n"/>
      <c r="G826" s="52" t="inlineStr">
        <is>
          <t>ETC FRONT BD [ADX6000S]</t>
        </is>
      </c>
      <c r="H826" s="79">
        <f>IF(AND($F826="",$G826=""),"",IF($F826="","창고전용",IF($G826&lt;&gt;"","매칭완료",IF($D826="반제품","반제품(창고없음)",IF($D826="완제품","완제품(창고없음)",IF($D826="원자재","⚠ 원자재_부서보관","미분류"))))))</f>
        <v/>
      </c>
      <c r="I826" s="79">
        <f>IFERROR(IF(INDIRECT("'"&amp;$O826&amp;"'!P"&amp;$N826)=0,"",INDIRECT("'"&amp;$O826&amp;"'!P"&amp;$N826)),"")</f>
        <v/>
      </c>
      <c r="J826" s="61" t="inlineStr">
        <is>
          <t>ETC FRONT BD [ADX6000S]</t>
        </is>
      </c>
      <c r="K826" s="65" t="inlineStr">
        <is>
          <t>ADX6000FB ETC FRONT BD (리모콘 포트 수정 전)</t>
        </is>
      </c>
      <c r="L826" s="106">
        <f>HYPERLINK("#'창고_재고현황'!A554","→ 창고 R554")</f>
        <v/>
      </c>
      <c r="M826" s="84" t="n"/>
      <c r="N826" s="107" t="n">
        <v>553</v>
      </c>
      <c r="O826" s="107" t="inlineStr">
        <is>
          <t>창고_재고현황</t>
        </is>
      </c>
    </row>
    <row r="827" ht="30" customHeight="1">
      <c r="A827" s="53" t="inlineStr">
        <is>
          <t>창고전용</t>
        </is>
      </c>
      <c r="B827" s="52" t="inlineStr">
        <is>
          <t>PCB</t>
        </is>
      </c>
      <c r="C827" s="52" t="inlineStr">
        <is>
          <t>ADX6000S</t>
        </is>
      </c>
      <c r="D827" s="79">
        <f>IF(INDIRECT("'"&amp;$O827&amp;"'!F"&amp;$N827)="O","원자재",IF(INDIRECT("'"&amp;$O827&amp;"'!G"&amp;$N827)="O","반제품",IF(INDIRECT("'"&amp;$O827&amp;"'!H"&amp;$N827)="O","완제품","")))</f>
        <v/>
      </c>
      <c r="E827" s="79">
        <f>IFERROR(IF(INDIRECT("'"&amp;$O827&amp;"'!I"&amp;$N827)=0,"",INDIRECT("'"&amp;$O827&amp;"'!I"&amp;$N827)),"")</f>
        <v/>
      </c>
      <c r="F827" s="52" t="n"/>
      <c r="G827" s="52" t="inlineStr">
        <is>
          <t>ETC FRONT BD (리모콘 포트 수정 신형) [ADX6000S]</t>
        </is>
      </c>
      <c r="H827" s="79">
        <f>IF(AND($F827="",$G827=""),"",IF($F827="","창고전용",IF($G827&lt;&gt;"","매칭완료",IF($D827="반제품","반제품(창고없음)",IF($D827="완제품","완제품(창고없음)",IF($D827="원자재","⚠ 원자재_부서보관","미분류"))))))</f>
        <v/>
      </c>
      <c r="I827" s="79">
        <f>IFERROR(IF(INDIRECT("'"&amp;$O827&amp;"'!P"&amp;$N827)=0,"",INDIRECT("'"&amp;$O827&amp;"'!P"&amp;$N827)),"")</f>
        <v/>
      </c>
      <c r="J827" s="61" t="inlineStr">
        <is>
          <t>ETC FRONT BD (리모콘 포트 수정 신형) [ADX6000S]</t>
        </is>
      </c>
      <c r="K827" s="65" t="inlineStr">
        <is>
          <t>ADX6000FB ETC FRONT BD (리모콘 포트 수정 두꺼운 것)</t>
        </is>
      </c>
      <c r="L827" s="106">
        <f>HYPERLINK("#'창고_재고현황'!A555","→ 창고 R555")</f>
        <v/>
      </c>
      <c r="M827" s="84" t="n"/>
      <c r="N827" s="107" t="n">
        <v>554</v>
      </c>
      <c r="O827" s="107" t="inlineStr">
        <is>
          <t>창고_재고현황</t>
        </is>
      </c>
    </row>
    <row r="828" ht="30" customHeight="1">
      <c r="A828" s="53" t="inlineStr">
        <is>
          <t>창고전용</t>
        </is>
      </c>
      <c r="B828" s="52" t="inlineStr">
        <is>
          <t>PCB</t>
        </is>
      </c>
      <c r="C828" s="52" t="inlineStr">
        <is>
          <t>ADX6000</t>
        </is>
      </c>
      <c r="D828" s="79">
        <f>IF(INDIRECT("'"&amp;$O828&amp;"'!F"&amp;$N828)="O","원자재",IF(INDIRECT("'"&amp;$O828&amp;"'!G"&amp;$N828)="O","반제품",IF(INDIRECT("'"&amp;$O828&amp;"'!H"&amp;$N828)="O","완제품","")))</f>
        <v/>
      </c>
      <c r="E828" s="79">
        <f>IFERROR(IF(INDIRECT("'"&amp;$O828&amp;"'!I"&amp;$N828)=0,"",INDIRECT("'"&amp;$O828&amp;"'!I"&amp;$N828)),"")</f>
        <v/>
      </c>
      <c r="F828" s="52" t="n"/>
      <c r="G828" s="52" t="inlineStr">
        <is>
          <t>ETC EX BATTERY BD [ADX6000]</t>
        </is>
      </c>
      <c r="H828" s="79">
        <f>IF(AND($F828="",$G828=""),"",IF($F828="","창고전용",IF($G828&lt;&gt;"","매칭완료",IF($D828="반제품","반제품(창고없음)",IF($D828="완제품","완제품(창고없음)",IF($D828="원자재","⚠ 원자재_부서보관","미분류"))))))</f>
        <v/>
      </c>
      <c r="I828" s="79">
        <f>IFERROR(IF(INDIRECT("'"&amp;$O828&amp;"'!P"&amp;$N828)=0,"",INDIRECT("'"&amp;$O828&amp;"'!P"&amp;$N828)),"")</f>
        <v/>
      </c>
      <c r="J828" s="61" t="inlineStr">
        <is>
          <t>ETC EX BATTERY BD [ADX6000]</t>
        </is>
      </c>
      <c r="K828" s="65" t="inlineStr">
        <is>
          <t>ADX6000 ETC EX BATTERY BD</t>
        </is>
      </c>
      <c r="L828" s="106">
        <f>HYPERLINK("#'창고_재고현황'!A557","→ 창고 R557")</f>
        <v/>
      </c>
      <c r="M828" s="84" t="n"/>
      <c r="N828" s="107" t="n">
        <v>556</v>
      </c>
      <c r="O828" s="107" t="inlineStr">
        <is>
          <t>창고_재고현황</t>
        </is>
      </c>
    </row>
    <row r="829" ht="30" customHeight="1">
      <c r="A829" s="53" t="inlineStr">
        <is>
          <t>창고전용</t>
        </is>
      </c>
      <c r="B829" s="52" t="inlineStr">
        <is>
          <t>PCB</t>
        </is>
      </c>
      <c r="C829" s="52" t="inlineStr">
        <is>
          <t>ADX6000</t>
        </is>
      </c>
      <c r="D829" s="79">
        <f>IF(INDIRECT("'"&amp;$O829&amp;"'!F"&amp;$N829)="O","원자재",IF(INDIRECT("'"&amp;$O829&amp;"'!G"&amp;$N829)="O","반제품",IF(INDIRECT("'"&amp;$O829&amp;"'!H"&amp;$N829)="O","완제품","")))</f>
        <v/>
      </c>
      <c r="E829" s="79">
        <f>IFERROR(IF(INDIRECT("'"&amp;$O829&amp;"'!I"&amp;$N829)=0,"",INDIRECT("'"&amp;$O829&amp;"'!I"&amp;$N829)),"")</f>
        <v/>
      </c>
      <c r="F829" s="52" t="n"/>
      <c r="G829" s="52" t="inlineStr">
        <is>
          <t>ETC RESIST BD [ADX6000]</t>
        </is>
      </c>
      <c r="H829" s="79">
        <f>IF(AND($F829="",$G829=""),"",IF($F829="","창고전용",IF($G829&lt;&gt;"","매칭완료",IF($D829="반제품","반제품(창고없음)",IF($D829="완제품","완제품(창고없음)",IF($D829="원자재","⚠ 원자재_부서보관","미분류"))))))</f>
        <v/>
      </c>
      <c r="I829" s="79">
        <f>IFERROR(IF(INDIRECT("'"&amp;$O829&amp;"'!P"&amp;$N829)=0,"",INDIRECT("'"&amp;$O829&amp;"'!P"&amp;$N829)),"")</f>
        <v/>
      </c>
      <c r="J829" s="61" t="inlineStr">
        <is>
          <t>ETC RESIST BD [ADX6000]</t>
        </is>
      </c>
      <c r="K829" s="65" t="inlineStr">
        <is>
          <t>ADX6000 ETC RESIST BD</t>
        </is>
      </c>
      <c r="L829" s="106">
        <f>HYPERLINK("#'창고_재고현황'!A558","→ 창고 R558")</f>
        <v/>
      </c>
      <c r="M829" s="84" t="n"/>
      <c r="N829" s="107" t="n">
        <v>557</v>
      </c>
      <c r="O829" s="107" t="inlineStr">
        <is>
          <t>창고_재고현황</t>
        </is>
      </c>
    </row>
    <row r="830" ht="30" customHeight="1">
      <c r="A830" s="53" t="inlineStr">
        <is>
          <t>창고전용</t>
        </is>
      </c>
      <c r="B830" s="52" t="inlineStr">
        <is>
          <t>PCB</t>
        </is>
      </c>
      <c r="C830" s="52" t="inlineStr">
        <is>
          <t>ADX6000</t>
        </is>
      </c>
      <c r="D830" s="79">
        <f>IF(INDIRECT("'"&amp;$O830&amp;"'!F"&amp;$N830)="O","원자재",IF(INDIRECT("'"&amp;$O830&amp;"'!G"&amp;$N830)="O","반제품",IF(INDIRECT("'"&amp;$O830&amp;"'!H"&amp;$N830)="O","완제품","")))</f>
        <v/>
      </c>
      <c r="E830" s="79">
        <f>IFERROR(IF(INDIRECT("'"&amp;$O830&amp;"'!I"&amp;$N830)=0,"",INDIRECT("'"&amp;$O830&amp;"'!I"&amp;$N830)),"")</f>
        <v/>
      </c>
      <c r="F830" s="52" t="n"/>
      <c r="G830" s="52" t="inlineStr">
        <is>
          <t>ETC CAP BANK BD [ADX6000]</t>
        </is>
      </c>
      <c r="H830" s="79">
        <f>IF(AND($F830="",$G830=""),"",IF($F830="","창고전용",IF($G830&lt;&gt;"","매칭완료",IF($D830="반제품","반제품(창고없음)",IF($D830="완제품","완제품(창고없음)",IF($D830="원자재","⚠ 원자재_부서보관","미분류"))))))</f>
        <v/>
      </c>
      <c r="I830" s="79">
        <f>IFERROR(IF(INDIRECT("'"&amp;$O830&amp;"'!P"&amp;$N830)=0,"",INDIRECT("'"&amp;$O830&amp;"'!P"&amp;$N830)),"")</f>
        <v/>
      </c>
      <c r="J830" s="61" t="inlineStr">
        <is>
          <t>ETC CAP BANK BD [ADX6000]</t>
        </is>
      </c>
      <c r="K830" s="65" t="inlineStr">
        <is>
          <t>ADX6000 ETC CAP BANK BD</t>
        </is>
      </c>
      <c r="L830" s="106">
        <f>HYPERLINK("#'창고_재고현황'!A559","→ 창고 R559")</f>
        <v/>
      </c>
      <c r="M830" s="84" t="n"/>
      <c r="N830" s="107" t="n">
        <v>558</v>
      </c>
      <c r="O830" s="107" t="inlineStr">
        <is>
          <t>창고_재고현황</t>
        </is>
      </c>
    </row>
    <row r="831" ht="30" customHeight="1">
      <c r="A831" s="53" t="inlineStr">
        <is>
          <t>창고전용</t>
        </is>
      </c>
      <c r="B831" s="52" t="inlineStr">
        <is>
          <t>PCB</t>
        </is>
      </c>
      <c r="C831" s="52" t="inlineStr">
        <is>
          <t>ADX6000</t>
        </is>
      </c>
      <c r="D831" s="79">
        <f>IF(INDIRECT("'"&amp;$O831&amp;"'!F"&amp;$N831)="O","원자재",IF(INDIRECT("'"&amp;$O831&amp;"'!G"&amp;$N831)="O","반제품",IF(INDIRECT("'"&amp;$O831&amp;"'!H"&amp;$N831)="O","완제품","")))</f>
        <v/>
      </c>
      <c r="E831" s="79">
        <f>IFERROR(IF(INDIRECT("'"&amp;$O831&amp;"'!I"&amp;$N831)=0,"",INDIRECT("'"&amp;$O831&amp;"'!I"&amp;$N831)),"")</f>
        <v/>
      </c>
      <c r="F831" s="52" t="n"/>
      <c r="G831" s="52" t="inlineStr">
        <is>
          <t>DRTech FDXD-810, FLAATZ-N330 CTR Battery B/D (구형) [ADX6000]</t>
        </is>
      </c>
      <c r="H831" s="79">
        <f>IF(AND($F831="",$G831=""),"",IF($F831="","창고전용",IF($G831&lt;&gt;"","매칭완료",IF($D831="반제품","반제품(창고없음)",IF($D831="완제품","완제품(창고없음)",IF($D831="원자재","⚠ 원자재_부서보관","미분류"))))))</f>
        <v/>
      </c>
      <c r="I831" s="79">
        <f>IFERROR(IF(INDIRECT("'"&amp;$O831&amp;"'!P"&amp;$N831)=0,"",INDIRECT("'"&amp;$O831&amp;"'!P"&amp;$N831)),"")</f>
        <v/>
      </c>
      <c r="J831" s="65" t="inlineStr">
        <is>
          <t>DRTech FDXD-810, FLAATZ-N330 CTR Battery B/D (구형) [ADX6000]</t>
        </is>
      </c>
      <c r="K831" s="65" t="inlineStr">
        <is>
          <t xml:space="preserve">DRTech FDXD-810, FLAATZ-N330 CTR Battery B/D (구형) </t>
        </is>
      </c>
      <c r="L831" s="106">
        <f>HYPERLINK("#'창고_재고현황'!A560","→ 창고 R560")</f>
        <v/>
      </c>
      <c r="M831" s="84" t="n"/>
      <c r="N831" s="107" t="n">
        <v>559</v>
      </c>
      <c r="O831" s="107" t="inlineStr">
        <is>
          <t>창고_재고현황</t>
        </is>
      </c>
    </row>
    <row r="832" ht="30" customHeight="1">
      <c r="A832" s="53" t="inlineStr">
        <is>
          <t>창고전용</t>
        </is>
      </c>
      <c r="B832" s="52" t="inlineStr">
        <is>
          <t>PCB</t>
        </is>
      </c>
      <c r="C832" s="52" t="inlineStr">
        <is>
          <t>ADX6000</t>
        </is>
      </c>
      <c r="D832" s="79">
        <f>IF(INDIRECT("'"&amp;$O832&amp;"'!F"&amp;$N832)="O","원자재",IF(INDIRECT("'"&amp;$O832&amp;"'!G"&amp;$N832)="O","반제품",IF(INDIRECT("'"&amp;$O832&amp;"'!H"&amp;$N832)="O","완제품","")))</f>
        <v/>
      </c>
      <c r="E832" s="79">
        <f>IFERROR(IF(INDIRECT("'"&amp;$O832&amp;"'!I"&amp;$N832)=0,"",INDIRECT("'"&amp;$O832&amp;"'!I"&amp;$N832)),"")</f>
        <v/>
      </c>
      <c r="F832" s="52" t="n"/>
      <c r="G832" s="52" t="inlineStr">
        <is>
          <t>DRTech FDXD-810, FLAATZ-N330 CTR Battery B/D (신형) [ADX6000]</t>
        </is>
      </c>
      <c r="H832" s="79">
        <f>IF(AND($F832="",$G832=""),"",IF($F832="","창고전용",IF($G832&lt;&gt;"","매칭완료",IF($D832="반제품","반제품(창고없음)",IF($D832="완제품","완제품(창고없음)",IF($D832="원자재","⚠ 원자재_부서보관","미분류"))))))</f>
        <v/>
      </c>
      <c r="I832" s="79">
        <f>IFERROR(IF(INDIRECT("'"&amp;$O832&amp;"'!P"&amp;$N832)=0,"",INDIRECT("'"&amp;$O832&amp;"'!P"&amp;$N832)),"")</f>
        <v/>
      </c>
      <c r="J832" s="65" t="inlineStr">
        <is>
          <t>DRTech FDXD-810, FLAATZ-N330 CTR Battery B/D (신형) [ADX6000]</t>
        </is>
      </c>
      <c r="K832" s="65" t="inlineStr">
        <is>
          <t>DRTech FDXD-810, FLAATZ-N330 CTR Battery B/D (신형)</t>
        </is>
      </c>
      <c r="L832" s="106">
        <f>HYPERLINK("#'창고_재고현황'!A561","→ 창고 R561")</f>
        <v/>
      </c>
      <c r="M832" s="84" t="n"/>
      <c r="N832" s="107" t="n">
        <v>560</v>
      </c>
      <c r="O832" s="107" t="inlineStr">
        <is>
          <t>창고_재고현황</t>
        </is>
      </c>
    </row>
    <row r="833" ht="30" customHeight="1">
      <c r="A833" s="53" t="inlineStr">
        <is>
          <t>창고전용</t>
        </is>
      </c>
      <c r="B833" s="52" t="inlineStr">
        <is>
          <t>CABLE</t>
        </is>
      </c>
      <c r="C833" s="52" t="inlineStr">
        <is>
          <t>ADX6000</t>
        </is>
      </c>
      <c r="D833" s="79">
        <f>IF(INDIRECT("'"&amp;$O833&amp;"'!F"&amp;$N833)="O","원자재",IF(INDIRECT("'"&amp;$O833&amp;"'!G"&amp;$N833)="O","반제품",IF(INDIRECT("'"&amp;$O833&amp;"'!H"&amp;$N833)="O","완제품","")))</f>
        <v/>
      </c>
      <c r="E833" s="79">
        <f>IFERROR(IF(INDIRECT("'"&amp;$O833&amp;"'!I"&amp;$N833)=0,"",INDIRECT("'"&amp;$O833&amp;"'!I"&amp;$N833)),"")</f>
        <v/>
      </c>
      <c r="F833" s="52" t="n"/>
      <c r="G833" s="52" t="inlineStr">
        <is>
          <t>하네스 8번 (YH396-04V - 2EA CAP BANK 케이블 / 120mm) [ADX6000]</t>
        </is>
      </c>
      <c r="H833" s="79">
        <f>IF(AND($F833="",$G833=""),"",IF($F833="","창고전용",IF($G833&lt;&gt;"","매칭완료",IF($D833="반제품","반제품(창고없음)",IF($D833="완제품","완제품(창고없음)",IF($D833="원자재","⚠ 원자재_부서보관","미분류"))))))</f>
        <v/>
      </c>
      <c r="I833" s="79">
        <f>IFERROR(IF(INDIRECT("'"&amp;$O833&amp;"'!P"&amp;$N833)=0,"",INDIRECT("'"&amp;$O833&amp;"'!P"&amp;$N833)),"")</f>
        <v/>
      </c>
      <c r="J833" s="61" t="inlineStr">
        <is>
          <t>하네스 8번 (YH396-04V - 2EA CAP BANK 케이블 / 120mm) [ADX6000]</t>
        </is>
      </c>
      <c r="K833" s="65" t="inlineStr">
        <is>
          <t>ADX6000FB CAP BANK 케이블 (YH396-04V-2EA) 120mm [하네스 8번]</t>
        </is>
      </c>
      <c r="L833" s="106">
        <f>HYPERLINK("#'창고_재고현황'!A563","→ 창고 R563")</f>
        <v/>
      </c>
      <c r="M833" s="84" t="n"/>
      <c r="N833" s="107" t="n">
        <v>562</v>
      </c>
      <c r="O833" s="107" t="inlineStr">
        <is>
          <t>창고_재고현황</t>
        </is>
      </c>
    </row>
    <row r="834" ht="30" customHeight="1">
      <c r="A834" s="53" t="inlineStr">
        <is>
          <t>창고전용</t>
        </is>
      </c>
      <c r="B834" s="52" t="inlineStr">
        <is>
          <t>CABLE</t>
        </is>
      </c>
      <c r="C834" s="52" t="inlineStr">
        <is>
          <t>ADX6000</t>
        </is>
      </c>
      <c r="D834" s="79">
        <f>IF(INDIRECT("'"&amp;$O834&amp;"'!F"&amp;$N834)="O","원자재",IF(INDIRECT("'"&amp;$O834&amp;"'!G"&amp;$N834)="O","반제품",IF(INDIRECT("'"&amp;$O834&amp;"'!H"&amp;$N834)="O","완제품","")))</f>
        <v/>
      </c>
      <c r="E834" s="79">
        <f>IFERROR(IF(INDIRECT("'"&amp;$O834&amp;"'!I"&amp;$N834)=0,"",INDIRECT("'"&amp;$O834&amp;"'!I"&amp;$N834)),"")</f>
        <v/>
      </c>
      <c r="F834" s="52" t="n"/>
      <c r="G834" s="52" t="inlineStr">
        <is>
          <t>하네스 12번 (YH396-04V - 1EA 외부단자 케이블 / 200mm) [ADX6000]</t>
        </is>
      </c>
      <c r="H834" s="79">
        <f>IF(AND($F834="",$G834=""),"",IF($F834="","창고전용",IF($G834&lt;&gt;"","매칭완료",IF($D834="반제품","반제품(창고없음)",IF($D834="완제품","완제품(창고없음)",IF($D834="원자재","⚠ 원자재_부서보관","미분류"))))))</f>
        <v/>
      </c>
      <c r="I834" s="79">
        <f>IFERROR(IF(INDIRECT("'"&amp;$O834&amp;"'!P"&amp;$N834)=0,"",INDIRECT("'"&amp;$O834&amp;"'!P"&amp;$N834)),"")</f>
        <v/>
      </c>
      <c r="J834" s="61" t="inlineStr">
        <is>
          <t>하네스 12번 (YH396-04V - 1EA 외부단자 케이블 / 200mm) [ADX6000]</t>
        </is>
      </c>
      <c r="K834" s="65" t="inlineStr">
        <is>
          <t>ADX6000FB 외부단자 케이블 (YH396-04V-1EA) 200mm [하네스 12번]</t>
        </is>
      </c>
      <c r="L834" s="106">
        <f>HYPERLINK("#'창고_재고현황'!A565","→ 창고 R565")</f>
        <v/>
      </c>
      <c r="M834" s="84" t="n"/>
      <c r="N834" s="107" t="n">
        <v>564</v>
      </c>
      <c r="O834" s="107" t="inlineStr">
        <is>
          <t>창고_재고현황</t>
        </is>
      </c>
    </row>
    <row r="835" ht="30" customHeight="1">
      <c r="A835" s="53" t="inlineStr">
        <is>
          <t>창고전용</t>
        </is>
      </c>
      <c r="B835" s="52" t="inlineStr">
        <is>
          <t>CABLE</t>
        </is>
      </c>
      <c r="C835" s="52" t="inlineStr">
        <is>
          <t>ADX6000</t>
        </is>
      </c>
      <c r="D835" s="79">
        <f>IF(INDIRECT("'"&amp;$O835&amp;"'!F"&amp;$N835)="O","원자재",IF(INDIRECT("'"&amp;$O835&amp;"'!G"&amp;$N835)="O","반제품",IF(INDIRECT("'"&amp;$O835&amp;"'!H"&amp;$N835)="O","완제품","")))</f>
        <v/>
      </c>
      <c r="E835" s="79">
        <f>IFERROR(IF(INDIRECT("'"&amp;$O835&amp;"'!I"&amp;$N835)=0,"",INDIRECT("'"&amp;$O835&amp;"'!I"&amp;$N835)),"")</f>
        <v/>
      </c>
      <c r="F835" s="52" t="n"/>
      <c r="G835" s="52" t="inlineStr">
        <is>
          <t>하네스 13번 (DC Connector Cable 외부배터리 케이블 / 360mm) [ADX6000]</t>
        </is>
      </c>
      <c r="H835" s="79">
        <f>IF(AND($F835="",$G835=""),"",IF($F835="","창고전용",IF($G835&lt;&gt;"","매칭완료",IF($D835="반제품","반제품(창고없음)",IF($D835="완제품","완제품(창고없음)",IF($D835="원자재","⚠ 원자재_부서보관","미분류"))))))</f>
        <v/>
      </c>
      <c r="I835" s="79">
        <f>IFERROR(IF(INDIRECT("'"&amp;$O835&amp;"'!P"&amp;$N835)=0,"",INDIRECT("'"&amp;$O835&amp;"'!P"&amp;$N835)),"")</f>
        <v/>
      </c>
      <c r="J835" s="61" t="inlineStr">
        <is>
          <t>하네스 13번 (DC Connector Cable 외부배터리 케이블 / 360mm) [ADX6000]</t>
        </is>
      </c>
      <c r="K835" s="65" t="inlineStr">
        <is>
          <t>ADX6000FB 외부배터리 케이블 (DC Connector Cable) 360mm [하네스 13번]</t>
        </is>
      </c>
      <c r="L835" s="106">
        <f>HYPERLINK("#'창고_재고현황'!A566","→ 창고 R566")</f>
        <v/>
      </c>
      <c r="M835" s="84" t="n"/>
      <c r="N835" s="107" t="n">
        <v>565</v>
      </c>
      <c r="O835" s="107" t="inlineStr">
        <is>
          <t>창고_재고현황</t>
        </is>
      </c>
    </row>
    <row r="836" ht="28.5" customHeight="1">
      <c r="A836" s="53" t="inlineStr">
        <is>
          <t>창고전용</t>
        </is>
      </c>
      <c r="B836" s="52" t="inlineStr">
        <is>
          <t>ABS 난연</t>
        </is>
      </c>
      <c r="C836" s="52" t="inlineStr">
        <is>
          <t>ADX6000</t>
        </is>
      </c>
      <c r="D836" s="79">
        <f>IF(INDIRECT("'"&amp;$O836&amp;"'!F"&amp;$N836)="O","원자재",IF(INDIRECT("'"&amp;$O836&amp;"'!G"&amp;$N836)="O","반제품",IF(INDIRECT("'"&amp;$O836&amp;"'!H"&amp;$N836)="O","완제품","")))</f>
        <v/>
      </c>
      <c r="E836" s="79">
        <f>IFERROR(IF(INDIRECT("'"&amp;$O836&amp;"'!I"&amp;$N836)=0,"",INDIRECT("'"&amp;$O836&amp;"'!I"&amp;$N836)),"")</f>
        <v/>
      </c>
      <c r="F836" s="52" t="n"/>
      <c r="G836" s="52" t="inlineStr">
        <is>
          <t>컬리메이터 REAR 사출 (ABS 난연 화이트 + 스프레이) [ADX6000]</t>
        </is>
      </c>
      <c r="H836" s="79">
        <f>IF(AND($F836="",$G836=""),"",IF($F836="","창고전용",IF($G836&lt;&gt;"","매칭완료",IF($D836="반제품","반제품(창고없음)",IF($D836="완제품","완제품(창고없음)",IF($D836="원자재","⚠ 원자재_부서보관","미분류"))))))</f>
        <v/>
      </c>
      <c r="I836" s="79">
        <f>IFERROR(IF(INDIRECT("'"&amp;$O836&amp;"'!P"&amp;$N836)=0,"",INDIRECT("'"&amp;$O836&amp;"'!P"&amp;$N836)),"")</f>
        <v/>
      </c>
      <c r="J836" s="61" t="inlineStr">
        <is>
          <t>컬리메이터 REAR 사출 (ABS 난연 화이트 + 스프레이) [ADX6000]</t>
        </is>
      </c>
      <c r="K836" s="65" t="inlineStr">
        <is>
          <t>ADX6000 컬리메이터 REAR</t>
        </is>
      </c>
      <c r="L836" s="106">
        <f>HYPERLINK("#'창고_재고현황'!A572","→ 창고 R572")</f>
        <v/>
      </c>
      <c r="M836" s="84" t="n"/>
      <c r="N836" s="107" t="n">
        <v>571</v>
      </c>
      <c r="O836" s="107" t="inlineStr">
        <is>
          <t>창고_재고현황</t>
        </is>
      </c>
    </row>
    <row r="837" ht="30" customHeight="1">
      <c r="A837" s="53" t="inlineStr">
        <is>
          <t>창고전용</t>
        </is>
      </c>
      <c r="B837" s="52" t="inlineStr">
        <is>
          <t>AL + STEEL</t>
        </is>
      </c>
      <c r="C837" s="52" t="inlineStr">
        <is>
          <t>ADX6000</t>
        </is>
      </c>
      <c r="D837" s="79">
        <f>IF(INDIRECT("'"&amp;$O837&amp;"'!F"&amp;$N837)="O","원자재",IF(INDIRECT("'"&amp;$O837&amp;"'!G"&amp;$N837)="O","반제품",IF(INDIRECT("'"&amp;$O837&amp;"'!H"&amp;$N837)="O","완제품","")))</f>
        <v/>
      </c>
      <c r="E837" s="79">
        <f>IFERROR(IF(INDIRECT("'"&amp;$O837&amp;"'!I"&amp;$N837)=0,"",INDIRECT("'"&amp;$O837&amp;"'!I"&amp;$N837)),"")</f>
        <v/>
      </c>
      <c r="F837" s="52" t="n"/>
      <c r="G837" s="52" t="inlineStr">
        <is>
          <t>스킨가드 FRAME (AL 가공 + 흑색 아노다이징) [ADX6000]</t>
        </is>
      </c>
      <c r="H837" s="79">
        <f>IF(AND($F837="",$G837=""),"",IF($F837="","창고전용",IF($G837&lt;&gt;"","매칭완료",IF($D837="반제품","반제품(창고없음)",IF($D837="완제품","완제품(창고없음)",IF($D837="원자재","⚠ 원자재_부서보관","미분류"))))))</f>
        <v/>
      </c>
      <c r="I837" s="79">
        <f>IFERROR(IF(INDIRECT("'"&amp;$O837&amp;"'!P"&amp;$N837)=0,"",INDIRECT("'"&amp;$O837&amp;"'!P"&amp;$N837)),"")</f>
        <v/>
      </c>
      <c r="J837" s="61" t="inlineStr">
        <is>
          <t>스킨가드 FRAME (AL 가공 + 흑색 아노다이징) [ADX6000]</t>
        </is>
      </c>
      <c r="K837" s="65" t="inlineStr">
        <is>
          <t>ADX6000 밸크로 스킨가드 FRAME</t>
        </is>
      </c>
      <c r="L837" s="106">
        <f>HYPERLINK("#'창고_재고현황'!A578","→ 창고 R578")</f>
        <v/>
      </c>
      <c r="M837" s="84" t="n"/>
      <c r="N837" s="107" t="n">
        <v>577</v>
      </c>
      <c r="O837" s="107" t="inlineStr">
        <is>
          <t>창고_재고현황</t>
        </is>
      </c>
    </row>
    <row r="838" ht="30" customHeight="1">
      <c r="A838" s="53" t="inlineStr">
        <is>
          <t>창고전용</t>
        </is>
      </c>
      <c r="B838" s="52" t="inlineStr">
        <is>
          <t>AL + STEEL</t>
        </is>
      </c>
      <c r="C838" s="52" t="inlineStr">
        <is>
          <t>ADX6000</t>
        </is>
      </c>
      <c r="D838" s="79">
        <f>IF(INDIRECT("'"&amp;$O838&amp;"'!F"&amp;$N838)="O","원자재",IF(INDIRECT("'"&amp;$O838&amp;"'!G"&amp;$N838)="O","반제품",IF(INDIRECT("'"&amp;$O838&amp;"'!H"&amp;$N838)="O","완제품","")))</f>
        <v/>
      </c>
      <c r="E838" s="79">
        <f>IFERROR(IF(INDIRECT("'"&amp;$O838&amp;"'!I"&amp;$N838)=0,"",INDIRECT("'"&amp;$O838&amp;"'!I"&amp;$N838)),"")</f>
        <v/>
      </c>
      <c r="F838" s="52" t="n"/>
      <c r="G838" s="52" t="inlineStr">
        <is>
          <t>스킨가드 BODY (벨크로, AL 가공) [ADX6000]</t>
        </is>
      </c>
      <c r="H838" s="79">
        <f>IF(AND($F838="",$G838=""),"",IF($F838="","창고전용",IF($G838&lt;&gt;"","매칭완료",IF($D838="반제품","반제품(창고없음)",IF($D838="완제품","완제품(창고없음)",IF($D838="원자재","⚠ 원자재_부서보관","미분류"))))))</f>
        <v/>
      </c>
      <c r="I838" s="79">
        <f>IFERROR(IF(INDIRECT("'"&amp;$O838&amp;"'!P"&amp;$N838)=0,"",INDIRECT("'"&amp;$O838&amp;"'!P"&amp;$N838)),"")</f>
        <v/>
      </c>
      <c r="J838" s="61" t="inlineStr">
        <is>
          <t>스킨가드 BODY (벨크로, AL 가공) [ADX6000]</t>
        </is>
      </c>
      <c r="K838" s="65" t="inlineStr">
        <is>
          <t>ADX6000 밸크로 스킨가드 BODY</t>
        </is>
      </c>
      <c r="L838" s="106">
        <f>HYPERLINK("#'창고_재고현황'!A579","→ 창고 R579")</f>
        <v/>
      </c>
      <c r="M838" s="84" t="n"/>
      <c r="N838" s="107" t="n">
        <v>578</v>
      </c>
      <c r="O838" s="107" t="inlineStr">
        <is>
          <t>창고_재고현황</t>
        </is>
      </c>
    </row>
    <row r="839" ht="30" customHeight="1">
      <c r="A839" s="53" t="inlineStr">
        <is>
          <t>창고전용</t>
        </is>
      </c>
      <c r="B839" s="52" t="inlineStr">
        <is>
          <t>AL + STEEL</t>
        </is>
      </c>
      <c r="C839" s="52" t="inlineStr">
        <is>
          <t>ADX6000</t>
        </is>
      </c>
      <c r="D839" s="79">
        <f>IF(INDIRECT("'"&amp;$O839&amp;"'!F"&amp;$N839)="O","원자재",IF(INDIRECT("'"&amp;$O839&amp;"'!G"&amp;$N839)="O","반제품",IF(INDIRECT("'"&amp;$O839&amp;"'!H"&amp;$N839)="O","완제품","")))</f>
        <v/>
      </c>
      <c r="E839" s="79">
        <f>IFERROR(IF(INDIRECT("'"&amp;$O839&amp;"'!I"&amp;$N839)=0,"",INDIRECT("'"&amp;$O839&amp;"'!I"&amp;$N839)),"")</f>
        <v/>
      </c>
      <c r="F839" s="52" t="n"/>
      <c r="G839" s="52" t="inlineStr">
        <is>
          <t>스킨가드 구형 [ADX6000]</t>
        </is>
      </c>
      <c r="H839" s="79">
        <f>IF(AND($F839="",$G839=""),"",IF($F839="","창고전용",IF($G839&lt;&gt;"","매칭완료",IF($D839="반제품","반제품(창고없음)",IF($D839="완제품","완제품(창고없음)",IF($D839="원자재","⚠ 원자재_부서보관","미분류"))))))</f>
        <v/>
      </c>
      <c r="I839" s="79">
        <f>IFERROR(IF(INDIRECT("'"&amp;$O839&amp;"'!P"&amp;$N839)=0,"",INDIRECT("'"&amp;$O839&amp;"'!P"&amp;$N839)),"")</f>
        <v/>
      </c>
      <c r="J839" s="61" t="inlineStr">
        <is>
          <t>스킨가드 구형 [ADX6000]</t>
        </is>
      </c>
      <c r="K839" s="65" t="inlineStr">
        <is>
          <t>ADX6000 밸크로 스킨가드 STICK</t>
        </is>
      </c>
      <c r="L839" s="106">
        <f>HYPERLINK("#'창고_재고현황'!A580","→ 창고 R580")</f>
        <v/>
      </c>
      <c r="M839" s="84" t="n"/>
      <c r="N839" s="107" t="n">
        <v>579</v>
      </c>
      <c r="O839" s="107" t="inlineStr">
        <is>
          <t>창고_재고현황</t>
        </is>
      </c>
    </row>
    <row r="840" ht="30" customHeight="1">
      <c r="A840" s="53" t="inlineStr">
        <is>
          <t>창고전용</t>
        </is>
      </c>
      <c r="B840" s="52" t="inlineStr">
        <is>
          <t>AL</t>
        </is>
      </c>
      <c r="C840" s="52" t="inlineStr">
        <is>
          <t>ADX6000</t>
        </is>
      </c>
      <c r="D840" s="79">
        <f>IF(INDIRECT("'"&amp;$O840&amp;"'!F"&amp;$N840)="O","원자재",IF(INDIRECT("'"&amp;$O840&amp;"'!G"&amp;$N840)="O","반제품",IF(INDIRECT("'"&amp;$O840&amp;"'!H"&amp;$N840)="O","완제품","")))</f>
        <v/>
      </c>
      <c r="E840" s="79">
        <f>IFERROR(IF(INDIRECT("'"&amp;$O840&amp;"'!I"&amp;$N840)=0,"",INDIRECT("'"&amp;$O840&amp;"'!I"&amp;$N840)),"")</f>
        <v/>
      </c>
      <c r="F840" s="52" t="n"/>
      <c r="G840" s="52" t="inlineStr">
        <is>
          <t>알루미늄 브라켓 4 hole (AL 가공 + 백색 아노다이징) [ADX6000]</t>
        </is>
      </c>
      <c r="H840" s="79">
        <f>IF(AND($F840="",$G840=""),"",IF($F840="","창고전용",IF($G840&lt;&gt;"","매칭완료",IF($D840="반제품","반제품(창고없음)",IF($D840="완제품","완제품(창고없음)",IF($D840="원자재","⚠ 원자재_부서보관","미분류"))))))</f>
        <v/>
      </c>
      <c r="I840" s="79">
        <f>IFERROR(IF(INDIRECT("'"&amp;$O840&amp;"'!P"&amp;$N840)=0,"",INDIRECT("'"&amp;$O840&amp;"'!P"&amp;$N840)),"")</f>
        <v/>
      </c>
      <c r="J840" s="61" t="inlineStr">
        <is>
          <t>알루미늄 브라켓 4 hole (AL 가공 + 백색 아노다이징) [ADX6000]</t>
        </is>
      </c>
      <c r="K840" s="65" t="inlineStr">
        <is>
          <t>ADX6000 알루미늄 브라켓 4 HOLE</t>
        </is>
      </c>
      <c r="L840" s="106">
        <f>HYPERLINK("#'창고_재고현황'!A582","→ 창고 R582")</f>
        <v/>
      </c>
      <c r="M840" s="84" t="n"/>
      <c r="N840" s="107" t="n">
        <v>581</v>
      </c>
      <c r="O840" s="107" t="inlineStr">
        <is>
          <t>창고_재고현황</t>
        </is>
      </c>
    </row>
    <row r="841" ht="30" customHeight="1">
      <c r="A841" s="53" t="inlineStr">
        <is>
          <t>창고전용</t>
        </is>
      </c>
      <c r="B841" s="52" t="inlineStr">
        <is>
          <t>RUBBER</t>
        </is>
      </c>
      <c r="C841" s="52" t="inlineStr">
        <is>
          <t>ADX6000</t>
        </is>
      </c>
      <c r="D841" s="79">
        <f>IF(INDIRECT("'"&amp;$O841&amp;"'!F"&amp;$N841)="O","원자재",IF(INDIRECT("'"&amp;$O841&amp;"'!G"&amp;$N841)="O","반제품",IF(INDIRECT("'"&amp;$O841&amp;"'!H"&amp;$N841)="O","완제품","")))</f>
        <v/>
      </c>
      <c r="E841" s="79">
        <f>IFERROR(IF(INDIRECT("'"&amp;$O841&amp;"'!I"&amp;$N841)=0,"",INDIRECT("'"&amp;$O841&amp;"'!I"&amp;$N841)),"")</f>
        <v/>
      </c>
      <c r="F841" s="52" t="n"/>
      <c r="G841" s="52" t="inlineStr">
        <is>
          <t>외부전원 연결 DC잭 고무링 (RUBBER) [ADX6000]</t>
        </is>
      </c>
      <c r="H841" s="79">
        <f>IF(AND($F841="",$G841=""),"",IF($F841="","창고전용",IF($G841&lt;&gt;"","매칭완료",IF($D841="반제품","반제품(창고없음)",IF($D841="완제품","완제품(창고없음)",IF($D841="원자재","⚠ 원자재_부서보관","미분류"))))))</f>
        <v/>
      </c>
      <c r="I841" s="79">
        <f>IFERROR(IF(INDIRECT("'"&amp;$O841&amp;"'!P"&amp;$N841)=0,"",INDIRECT("'"&amp;$O841&amp;"'!P"&amp;$N841)),"")</f>
        <v/>
      </c>
      <c r="J841" s="61" t="inlineStr">
        <is>
          <t>외부전원 연결 DC잭 고무링 (RUBBER) [ADX6000]</t>
        </is>
      </c>
      <c r="K841" s="65" t="inlineStr">
        <is>
          <t>ADX6000 외부단자 연결 DC잭 고무링</t>
        </is>
      </c>
      <c r="L841" s="106">
        <f>HYPERLINK("#'창고_재고현황'!A584","→ 창고 R584")</f>
        <v/>
      </c>
      <c r="M841" s="84" t="n"/>
      <c r="N841" s="107" t="n">
        <v>583</v>
      </c>
      <c r="O841" s="107" t="inlineStr">
        <is>
          <t>창고_재고현황</t>
        </is>
      </c>
    </row>
    <row r="842" ht="30" customHeight="1">
      <c r="A842" s="53" t="inlineStr">
        <is>
          <t>창고전용</t>
        </is>
      </c>
      <c r="B842" s="52" t="inlineStr">
        <is>
          <t>RUBBER</t>
        </is>
      </c>
      <c r="C842" s="52" t="inlineStr">
        <is>
          <t>ADX6000</t>
        </is>
      </c>
      <c r="D842" s="79">
        <f>IF(INDIRECT("'"&amp;$O842&amp;"'!F"&amp;$N842)="O","원자재",IF(INDIRECT("'"&amp;$O842&amp;"'!G"&amp;$N842)="O","반제품",IF(INDIRECT("'"&amp;$O842&amp;"'!H"&amp;$N842)="O","완제품","")))</f>
        <v/>
      </c>
      <c r="E842" s="79">
        <f>IFERROR(IF(INDIRECT("'"&amp;$O842&amp;"'!I"&amp;$N842)=0,"",INDIRECT("'"&amp;$O842&amp;"'!I"&amp;$N842)),"")</f>
        <v/>
      </c>
      <c r="F842" s="52" t="n"/>
      <c r="G842" s="52" t="inlineStr">
        <is>
          <t>외부전원 연결 DC잭 너트 [ADX6000]</t>
        </is>
      </c>
      <c r="H842" s="79">
        <f>IF(AND($F842="",$G842=""),"",IF($F842="","창고전용",IF($G842&lt;&gt;"","매칭완료",IF($D842="반제품","반제품(창고없음)",IF($D842="완제품","완제품(창고없음)",IF($D842="원자재","⚠ 원자재_부서보관","미분류"))))))</f>
        <v/>
      </c>
      <c r="I842" s="79">
        <f>IFERROR(IF(INDIRECT("'"&amp;$O842&amp;"'!P"&amp;$N842)=0,"",INDIRECT("'"&amp;$O842&amp;"'!P"&amp;$N842)),"")</f>
        <v/>
      </c>
      <c r="J842" s="61" t="inlineStr">
        <is>
          <t>외부전원 연결 DC잭 너트 [ADX6000]</t>
        </is>
      </c>
      <c r="K842" s="65" t="inlineStr">
        <is>
          <t>ADX6000 외부단자 연결 DC잭 너트</t>
        </is>
      </c>
      <c r="L842" s="106">
        <f>HYPERLINK("#'창고_재고현황'!A585","→ 창고 R585")</f>
        <v/>
      </c>
      <c r="M842" s="84" t="n"/>
      <c r="N842" s="107" t="n">
        <v>584</v>
      </c>
      <c r="O842" s="107" t="inlineStr">
        <is>
          <t>창고_재고현황</t>
        </is>
      </c>
    </row>
    <row r="843" ht="30" customHeight="1">
      <c r="A843" s="53" t="inlineStr">
        <is>
          <t>창고전용</t>
        </is>
      </c>
      <c r="B843" s="52" t="inlineStr">
        <is>
          <t>스티커</t>
        </is>
      </c>
      <c r="C843" s="52" t="inlineStr">
        <is>
          <t>ADX6000S</t>
        </is>
      </c>
      <c r="D843" s="79">
        <f>IF(INDIRECT("'"&amp;$O843&amp;"'!F"&amp;$N843)="O","원자재",IF(INDIRECT("'"&amp;$O843&amp;"'!G"&amp;$N843)="O","반제품",IF(INDIRECT("'"&amp;$O843&amp;"'!H"&amp;$N843)="O","완제품","")))</f>
        <v/>
      </c>
      <c r="E843" s="79">
        <f>IFERROR(IF(INDIRECT("'"&amp;$O843&amp;"'!I"&amp;$N843)=0,"",INDIRECT("'"&amp;$O843&amp;"'!I"&amp;$N843)),"")</f>
        <v/>
      </c>
      <c r="F843" s="52" t="n"/>
      <c r="G843" s="52" t="inlineStr">
        <is>
          <t>Front Port Sticker [ADX6000S]</t>
        </is>
      </c>
      <c r="H843" s="79">
        <f>IF(AND($F843="",$G843=""),"",IF($F843="","창고전용",IF($G843&lt;&gt;"","매칭완료",IF($D843="반제품","반제품(창고없음)",IF($D843="완제품","완제품(창고없음)",IF($D843="원자재","⚠ 원자재_부서보관","미분류"))))))</f>
        <v/>
      </c>
      <c r="I843" s="79">
        <f>IFERROR(IF(INDIRECT("'"&amp;$O843&amp;"'!P"&amp;$N843)=0,"",INDIRECT("'"&amp;$O843&amp;"'!P"&amp;$N843)),"")</f>
        <v/>
      </c>
      <c r="J843" s="61" t="inlineStr">
        <is>
          <t>Front Port Sticker [ADX6000S]</t>
        </is>
      </c>
      <c r="K843" s="65" t="inlineStr">
        <is>
          <t>ADX6000FB Front Port Sticker (수정전 리모콘 위치 상단)</t>
        </is>
      </c>
      <c r="L843" s="106">
        <f>HYPERLINK("#'창고_재고현황'!A587","→ 창고 R587")</f>
        <v/>
      </c>
      <c r="M843" s="84" t="n"/>
      <c r="N843" s="107" t="n">
        <v>586</v>
      </c>
      <c r="O843" s="107" t="inlineStr">
        <is>
          <t>창고_재고현황</t>
        </is>
      </c>
    </row>
    <row r="844" ht="30" customHeight="1">
      <c r="A844" s="53" t="inlineStr">
        <is>
          <t>창고전용</t>
        </is>
      </c>
      <c r="B844" s="52" t="inlineStr">
        <is>
          <t>인조가죽</t>
        </is>
      </c>
      <c r="C844" s="52" t="inlineStr">
        <is>
          <t>ADX6000</t>
        </is>
      </c>
      <c r="D844" s="79">
        <f>IF(INDIRECT("'"&amp;$O844&amp;"'!F"&amp;$N844)="O","원자재",IF(INDIRECT("'"&amp;$O844&amp;"'!G"&amp;$N844)="O","반제품",IF(INDIRECT("'"&amp;$O844&amp;"'!H"&amp;$N844)="O","완제품","")))</f>
        <v/>
      </c>
      <c r="E844" s="79">
        <f>IFERROR(IF(INDIRECT("'"&amp;$O844&amp;"'!I"&amp;$N844)=0,"",INDIRECT("'"&amp;$O844&amp;"'!I"&amp;$N844)),"")</f>
        <v/>
      </c>
      <c r="F844" s="52" t="n"/>
      <c r="G844" s="52" t="inlineStr">
        <is>
          <t>가죽 손잡이 (외부배터리) (인조 가죽) [ADX6000]</t>
        </is>
      </c>
      <c r="H844" s="79">
        <f>IF(AND($F844="",$G844=""),"",IF($F844="","창고전용",IF($G844&lt;&gt;"","매칭완료",IF($D844="반제품","반제품(창고없음)",IF($D844="완제품","완제품(창고없음)",IF($D844="원자재","⚠ 원자재_부서보관","미분류"))))))</f>
        <v/>
      </c>
      <c r="I844" s="79">
        <f>IFERROR(IF(INDIRECT("'"&amp;$O844&amp;"'!P"&amp;$N844)=0,"",INDIRECT("'"&amp;$O844&amp;"'!P"&amp;$N844)),"")</f>
        <v/>
      </c>
      <c r="J844" s="61" t="inlineStr">
        <is>
          <t>가죽 손잡이 (외부배터리) (인조 가죽) [ADX6000]</t>
        </is>
      </c>
      <c r="K844" s="65" t="inlineStr">
        <is>
          <t>ADX6000 가죽 손잡이 (외부배터리용) AS용</t>
        </is>
      </c>
      <c r="L844" s="106">
        <f>HYPERLINK("#'창고_재고현황'!A590","→ 창고 R590")</f>
        <v/>
      </c>
      <c r="M844" s="84" t="n"/>
      <c r="N844" s="107" t="n">
        <v>589</v>
      </c>
      <c r="O844" s="107" t="inlineStr">
        <is>
          <t>창고_재고현황</t>
        </is>
      </c>
    </row>
    <row r="845" ht="30" customHeight="1">
      <c r="A845" s="53" t="inlineStr">
        <is>
          <t>창고전용</t>
        </is>
      </c>
      <c r="B845" s="52" t="inlineStr">
        <is>
          <t>ABS 난연</t>
        </is>
      </c>
      <c r="C845" s="52" t="inlineStr">
        <is>
          <t>ADX6000</t>
        </is>
      </c>
      <c r="D845" s="79">
        <f>IF(INDIRECT("'"&amp;$O845&amp;"'!F"&amp;$N845)="O","원자재",IF(INDIRECT("'"&amp;$O845&amp;"'!G"&amp;$N845)="O","반제품",IF(INDIRECT("'"&amp;$O845&amp;"'!H"&amp;$N845)="O","완제품","")))</f>
        <v/>
      </c>
      <c r="E845" s="79">
        <f>IFERROR(IF(INDIRECT("'"&amp;$O845&amp;"'!I"&amp;$N845)=0,"",INDIRECT("'"&amp;$O845&amp;"'!I"&amp;$N845)),"")</f>
        <v/>
      </c>
      <c r="F845" s="52" t="n"/>
      <c r="G845" s="52" t="inlineStr">
        <is>
          <t>BODY LEFT 사출(외부배터리 사출커팅) (ABS 난연 화이트 + 스프레이 AS용) [ADX6000]</t>
        </is>
      </c>
      <c r="H845" s="79">
        <f>IF(AND($F845="",$G845=""),"",IF($F845="","창고전용",IF($G845&lt;&gt;"","매칭완료",IF($D845="반제품","반제품(창고없음)",IF($D845="완제품","완제품(창고없음)",IF($D845="원자재","⚠ 원자재_부서보관","미분류"))))))</f>
        <v/>
      </c>
      <c r="I845" s="79">
        <f>IFERROR(IF(INDIRECT("'"&amp;$O845&amp;"'!P"&amp;$N845)=0,"",INDIRECT("'"&amp;$O845&amp;"'!P"&amp;$N845)),"")</f>
        <v/>
      </c>
      <c r="J845" s="65" t="inlineStr">
        <is>
          <t>BODY LEFT 사출(외부배터리 사출커팅) (ABS 난연 화이트 + 스프레이 AS용) [ADX6000]</t>
        </is>
      </c>
      <c r="K845" s="65" t="inlineStr">
        <is>
          <t>ADX6000 BODY LEFT 사출(외부배터리용 단자대 사출커팅) AS용</t>
        </is>
      </c>
      <c r="L845" s="106">
        <f>HYPERLINK("#'창고_재고현황'!A591","→ 창고 R591")</f>
        <v/>
      </c>
      <c r="M845" s="84" t="n"/>
      <c r="N845" s="107" t="n">
        <v>590</v>
      </c>
      <c r="O845" s="107" t="inlineStr">
        <is>
          <t>창고_재고현황</t>
        </is>
      </c>
    </row>
    <row r="846" ht="30" customHeight="1">
      <c r="A846" s="53" t="inlineStr">
        <is>
          <t>창고전용</t>
        </is>
      </c>
      <c r="B846" s="52" t="inlineStr">
        <is>
          <t>ABS 난연</t>
        </is>
      </c>
      <c r="C846" s="52" t="inlineStr">
        <is>
          <t>ADX6000</t>
        </is>
      </c>
      <c r="D846" s="79">
        <f>IF(INDIRECT("'"&amp;$O846&amp;"'!F"&amp;$N846)="O","원자재",IF(INDIRECT("'"&amp;$O846&amp;"'!G"&amp;$N846)="O","반제품",IF(INDIRECT("'"&amp;$O846&amp;"'!H"&amp;$N846)="O","완제품","")))</f>
        <v/>
      </c>
      <c r="E846" s="79">
        <f>IFERROR(IF(INDIRECT("'"&amp;$O846&amp;"'!I"&amp;$N846)=0,"",INDIRECT("'"&amp;$O846&amp;"'!I"&amp;$N846)),"")</f>
        <v/>
      </c>
      <c r="F846" s="52" t="n"/>
      <c r="G846" s="52" t="inlineStr">
        <is>
          <t>BODY RIGHT 사출(외부배터리용) (ABS 난연 화이트 + 스프레이 AS용) [ADX6000]</t>
        </is>
      </c>
      <c r="H846" s="79">
        <f>IF(AND($F846="",$G846=""),"",IF($F846="","창고전용",IF($G846&lt;&gt;"","매칭완료",IF($D846="반제품","반제품(창고없음)",IF($D846="완제품","완제품(창고없음)",IF($D846="원자재","⚠ 원자재_부서보관","미분류"))))))</f>
        <v/>
      </c>
      <c r="I846" s="79">
        <f>IFERROR(IF(INDIRECT("'"&amp;$O846&amp;"'!P"&amp;$N846)=0,"",INDIRECT("'"&amp;$O846&amp;"'!P"&amp;$N846)),"")</f>
        <v/>
      </c>
      <c r="J846" s="65" t="inlineStr">
        <is>
          <t>BODY RIGHT 사출(외부배터리용) (ABS 난연 화이트 + 스프레이 AS용) [ADX6000]</t>
        </is>
      </c>
      <c r="K846" s="65" t="inlineStr">
        <is>
          <t>ADX6000 BODY RIGHT 사출(외부배터리용) AS용</t>
        </is>
      </c>
      <c r="L846" s="106">
        <f>HYPERLINK("#'창고_재고현황'!A592","→ 창고 R592")</f>
        <v/>
      </c>
      <c r="M846" s="84" t="n"/>
      <c r="N846" s="107" t="n">
        <v>591</v>
      </c>
      <c r="O846" s="107" t="inlineStr">
        <is>
          <t>창고_재고현황</t>
        </is>
      </c>
    </row>
    <row r="847" ht="30" customHeight="1">
      <c r="A847" s="53" t="inlineStr">
        <is>
          <t>창고전용</t>
        </is>
      </c>
      <c r="B847" s="52" t="inlineStr">
        <is>
          <t>재공품</t>
        </is>
      </c>
      <c r="C847" s="52" t="inlineStr">
        <is>
          <t>ADX6000S</t>
        </is>
      </c>
      <c r="D847" s="79">
        <f>IF(INDIRECT("'"&amp;$O847&amp;"'!F"&amp;$N847)="O","원자재",IF(INDIRECT("'"&amp;$O847&amp;"'!G"&amp;$N847)="O","반제품",IF(INDIRECT("'"&amp;$O847&amp;"'!H"&amp;$N847)="O","완제품","")))</f>
        <v/>
      </c>
      <c r="E847" s="79">
        <f>IFERROR(IF(INDIRECT("'"&amp;$O847&amp;"'!I"&amp;$N847)=0,"",INDIRECT("'"&amp;$O847&amp;"'!I"&amp;$N847)),"")</f>
        <v/>
      </c>
      <c r="F847" s="52" t="n"/>
      <c r="G847" s="52" t="inlineStr">
        <is>
          <t>RIGHT Ass'y [ADX6000S]</t>
        </is>
      </c>
      <c r="H847" s="79">
        <f>IF(AND($F847="",$G847=""),"",IF($F847="","창고전용",IF($G847&lt;&gt;"","매칭완료",IF($D847="반제품","반제품(창고없음)",IF($D847="완제품","완제품(창고없음)",IF($D847="원자재","⚠ 원자재_부서보관","미분류"))))))</f>
        <v/>
      </c>
      <c r="I847" s="79">
        <f>IFERROR(IF(INDIRECT("'"&amp;$O847&amp;"'!P"&amp;$N847)=0,"",INDIRECT("'"&amp;$O847&amp;"'!P"&amp;$N847)),"")</f>
        <v/>
      </c>
      <c r="J847" s="65" t="inlineStr">
        <is>
          <t>RIGHT Ass'y [ADX6000S]</t>
        </is>
      </c>
      <c r="K847" s="65" t="inlineStr">
        <is>
          <t>ADX6000s RIGHT ASS'Y</t>
        </is>
      </c>
      <c r="L847" s="106">
        <f>HYPERLINK("#'창고_재고현황'!A593","→ 창고 R593")</f>
        <v/>
      </c>
      <c r="M847" s="84" t="n"/>
      <c r="N847" s="107" t="n">
        <v>592</v>
      </c>
      <c r="O847" s="107" t="inlineStr">
        <is>
          <t>창고_재고현황</t>
        </is>
      </c>
    </row>
    <row r="848" ht="30" customHeight="1">
      <c r="A848" s="53" t="inlineStr">
        <is>
          <t>창고전용</t>
        </is>
      </c>
      <c r="B848" s="52" t="inlineStr">
        <is>
          <t>재공품</t>
        </is>
      </c>
      <c r="C848" s="52" t="inlineStr">
        <is>
          <t>ADX6000S</t>
        </is>
      </c>
      <c r="D848" s="79">
        <f>IF(INDIRECT("'"&amp;$O848&amp;"'!F"&amp;$N848)="O","원자재",IF(INDIRECT("'"&amp;$O848&amp;"'!G"&amp;$N848)="O","반제품",IF(INDIRECT("'"&amp;$O848&amp;"'!H"&amp;$N848)="O","완제품","")))</f>
        <v/>
      </c>
      <c r="E848" s="79">
        <f>IFERROR(IF(INDIRECT("'"&amp;$O848&amp;"'!I"&amp;$N848)=0,"",INDIRECT("'"&amp;$O848&amp;"'!I"&amp;$N848)),"")</f>
        <v/>
      </c>
      <c r="F848" s="52" t="n"/>
      <c r="G848" s="52" t="inlineStr">
        <is>
          <t>컬리메이터 내부하우징 사출 + 납 [ADX6000S]</t>
        </is>
      </c>
      <c r="H848" s="79">
        <f>IF(AND($F848="",$G848=""),"",IF($F848="","창고전용",IF($G848&lt;&gt;"","매칭완료",IF($D848="반제품","반제품(창고없음)",IF($D848="완제품","완제품(창고없음)",IF($D848="원자재","⚠ 원자재_부서보관","미분류"))))))</f>
        <v/>
      </c>
      <c r="I848" s="79">
        <f>IFERROR(IF(INDIRECT("'"&amp;$O848&amp;"'!P"&amp;$N848)=0,"",INDIRECT("'"&amp;$O848&amp;"'!P"&amp;$N848)),"")</f>
        <v/>
      </c>
      <c r="J848" s="65" t="inlineStr">
        <is>
          <t>컬리메이터 내부하우징 사출 + 납 [ADX6000S]</t>
        </is>
      </c>
      <c r="K848" s="65" t="inlineStr">
        <is>
          <t>ADX6000 컬리메이터 내부하우징 사출 + 납</t>
        </is>
      </c>
      <c r="L848" s="106">
        <f>HYPERLINK("#'창고_재고현황'!A594","→ 창고 R594")</f>
        <v/>
      </c>
      <c r="M848" s="84" t="n"/>
      <c r="N848" s="107" t="n">
        <v>593</v>
      </c>
      <c r="O848" s="107" t="inlineStr">
        <is>
          <t>창고_재고현황</t>
        </is>
      </c>
    </row>
    <row r="849" ht="30" customHeight="1">
      <c r="A849" s="53" t="inlineStr">
        <is>
          <t>창고전용</t>
        </is>
      </c>
      <c r="B849" s="52" t="inlineStr">
        <is>
          <t>AL + STEEL</t>
        </is>
      </c>
      <c r="C849" s="52" t="inlineStr">
        <is>
          <t>DX3000</t>
        </is>
      </c>
      <c r="D849" s="79">
        <f>IF(INDIRECT("'"&amp;$O849&amp;"'!F"&amp;$N849)="O","원자재",IF(INDIRECT("'"&amp;$O849&amp;"'!G"&amp;$N849)="O","반제품",IF(INDIRECT("'"&amp;$O849&amp;"'!H"&amp;$N849)="O","완제품","")))</f>
        <v/>
      </c>
      <c r="E849" s="79">
        <f>IFERROR(IF(INDIRECT("'"&amp;$O849&amp;"'!I"&amp;$N849)=0,"",INDIRECT("'"&amp;$O849&amp;"'!I"&amp;$N849)),"")</f>
        <v/>
      </c>
      <c r="F849" s="52" t="n"/>
      <c r="G849" s="52" t="inlineStr">
        <is>
          <t>BOTTOM BLOCK [DX3000]</t>
        </is>
      </c>
      <c r="H849" s="79">
        <f>IF(AND($F849="",$G849=""),"",IF($F849="","창고전용",IF($G849&lt;&gt;"","매칭완료",IF($D849="반제품","반제품(창고없음)",IF($D849="완제품","완제품(창고없음)",IF($D849="원자재","⚠ 원자재_부서보관","미분류"))))))</f>
        <v/>
      </c>
      <c r="I849" s="79">
        <f>IFERROR(IF(INDIRECT("'"&amp;$O849&amp;"'!P"&amp;$N849)=0,"",INDIRECT("'"&amp;$O849&amp;"'!P"&amp;$N849)),"")</f>
        <v/>
      </c>
      <c r="J849" s="65" t="inlineStr">
        <is>
          <t>BOTTOM BLOCK [DX3000]</t>
        </is>
      </c>
      <c r="K849" s="65" t="inlineStr">
        <is>
          <t>ADX6000 BOTTOM BLOCK</t>
        </is>
      </c>
      <c r="L849" s="106">
        <f>HYPERLINK("#'창고_재고현황'!A596","→ 창고 R596")</f>
        <v/>
      </c>
      <c r="M849" s="84" t="n"/>
      <c r="N849" s="107" t="n">
        <v>594</v>
      </c>
      <c r="O849" s="107" t="inlineStr">
        <is>
          <t>창고_재고현황</t>
        </is>
      </c>
    </row>
    <row r="850" ht="30" customHeight="1"/>
    <row r="851" ht="30" customHeight="1"/>
  </sheetData>
  <autoFilter ref="A1:O851"/>
  <conditionalFormatting sqref="H2:H851">
    <cfRule type="cellIs" priority="1" operator="equal" dxfId="4">
      <formula>"매칭완료"</formula>
    </cfRule>
    <cfRule type="cellIs" priority="2" operator="equal" dxfId="2">
      <formula>"반제품(창고없음)"</formula>
    </cfRule>
    <cfRule type="cellIs" priority="3" operator="equal" dxfId="2">
      <formula>"완제품(창고없음)"</formula>
    </cfRule>
    <cfRule type="cellIs" priority="4" operator="equal" dxfId="1">
      <formula>"⚠ 원자재_부서보관"</formula>
    </cfRule>
    <cfRule type="cellIs" priority="5" operator="equal" dxfId="0">
      <formula>"창고전용"</formula>
    </cfRule>
  </conditionalFormatting>
  <pageMargins left="0.75" right="0.75" top="1" bottom="1" header="0.5" footer="0.5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8"/>
  <sheetViews>
    <sheetView topLeftCell="A1" zoomScale="90" zoomScaleNormal="90" workbookViewId="0">
      <pane ySplit="1" topLeftCell="A2" activePane="bottomLeft" state="frozen"/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13" customWidth="1" min="4" max="4"/>
    <col width="10" customWidth="1" min="5" max="5"/>
    <col width="22" customWidth="1" min="6" max="6"/>
    <col width="36" customWidth="1" min="7" max="7"/>
    <col width="38" customWidth="1" min="8" max="8"/>
    <col width="38" customWidth="1" min="9" max="9"/>
    <col width="30" customWidth="1" min="10" max="10"/>
    <col width="50" customWidth="1" min="11" max="11"/>
  </cols>
  <sheetData>
    <row r="1" ht="35" customHeight="1">
      <c r="A1" s="155" t="inlineStr">
        <is>
          <t>No</t>
        </is>
      </c>
      <c r="B1" s="155" t="inlineStr">
        <is>
          <t>단계</t>
        </is>
      </c>
      <c r="C1" s="155" t="inlineStr">
        <is>
          <t>단계 설명</t>
        </is>
      </c>
      <c r="D1" s="155" t="inlineStr">
        <is>
          <t>옛 마스터 행</t>
        </is>
      </c>
      <c r="E1" s="155" t="inlineStr">
        <is>
          <t>그룹</t>
        </is>
      </c>
      <c r="F1" s="155" t="inlineStr">
        <is>
          <t>모델</t>
        </is>
      </c>
      <c r="G1" s="155" t="inlineStr">
        <is>
          <t>생산부 품명 (F)</t>
        </is>
      </c>
      <c r="H1" s="155" t="inlineStr">
        <is>
          <t>창고 품명 (G)</t>
        </is>
      </c>
      <c r="I1" s="155" t="inlineStr">
        <is>
          <t>확정 품명 (K)</t>
        </is>
      </c>
      <c r="J1" s="155" t="inlineStr">
        <is>
          <t>비고</t>
        </is>
      </c>
      <c r="K1" s="155" t="inlineStr">
        <is>
          <t>추정 중복 원본 (현재 위치)</t>
        </is>
      </c>
    </row>
    <row r="2">
      <c r="A2" s="156" t="n">
        <v>1</v>
      </c>
      <c r="B2" s="156" t="inlineStr">
        <is>
          <t>1차: 가방/내장재 정리 단계</t>
        </is>
      </c>
      <c r="C2" s="156" t="inlineStr">
        <is>
          <t>가방 + 내부 FOAM 옛 이름을 모델별로 분리 정리하면서 옛 행 삭제</t>
        </is>
      </c>
      <c r="D2" s="156" t="n">
        <v>660</v>
      </c>
      <c r="E2" s="156" t="inlineStr">
        <is>
          <t>출하</t>
        </is>
      </c>
      <c r="F2" s="156" t="inlineStr">
        <is>
          <t>DX3000 ADX4000W</t>
        </is>
      </c>
      <c r="G2" s="156" t="inlineStr">
        <is>
          <t>가방+내부FOAM(계란판) 공용</t>
        </is>
      </c>
      <c r="H2" s="156" t="inlineStr">
        <is>
          <t>가방+내부 FOAM(계란판) [DX3000]</t>
        </is>
      </c>
      <c r="I2" s="156">
        <f>IFERROR(IF(VLOOKUP($F660,매칭결과_통합!$I:$M,5,FALSE)=0,"",VLOOKUP($F660,매칭결과_통합!$I:$M,5,FALSE)),"")</f>
        <v/>
      </c>
      <c r="J2" s="156" t="inlineStr"/>
      <c r="K2" s="160" t="inlineStr">
        <is>
          <t>(원본 미상 - 수동 확인 필요)</t>
        </is>
      </c>
    </row>
    <row r="3">
      <c r="A3" s="156" t="n">
        <v>2</v>
      </c>
      <c r="B3" s="156" t="inlineStr">
        <is>
          <t>1차: 가방/내장재 정리 단계</t>
        </is>
      </c>
      <c r="C3" s="156" t="inlineStr">
        <is>
          <t>가방 + 내부 FOAM 옛 이름을 모델별로 분리 정리하면서 옛 행 삭제</t>
        </is>
      </c>
      <c r="D3" s="156" t="n">
        <v>343</v>
      </c>
      <c r="E3" s="156" t="inlineStr">
        <is>
          <t>조립</t>
        </is>
      </c>
      <c r="F3" s="156" t="inlineStr">
        <is>
          <t>ADX6000FB ADX6000s</t>
        </is>
      </c>
      <c r="G3" s="156" t="inlineStr">
        <is>
          <t>Front Port Sticker (리모콘 포트 수정 신형)</t>
        </is>
      </c>
      <c r="H3" s="156" t="inlineStr"/>
      <c r="I3" s="156" t="inlineStr"/>
      <c r="J3" s="156" t="inlineStr"/>
      <c r="K3" s="160" t="inlineStr">
        <is>
          <t>[조립/ADX6000 ADX6000U] Front Port Sticker (전면 포트 스티커) (ERP 6-AR) / [조립/ADX6000FB ADX6000s] Front Port Sticker (USB 포트 제거형) (ERP 6-AR)</t>
        </is>
      </c>
    </row>
    <row r="4">
      <c r="A4" s="156" t="n">
        <v>3</v>
      </c>
      <c r="B4" s="156" t="inlineStr">
        <is>
          <t>1차: 가방/내장재 정리 단계</t>
        </is>
      </c>
      <c r="C4" s="156" t="inlineStr">
        <is>
          <t>가방 + 내부 FOAM 옛 이름을 모델별로 분리 정리하면서 옛 행 삭제</t>
        </is>
      </c>
      <c r="D4" s="156" t="n">
        <v>727</v>
      </c>
      <c r="E4" s="156" t="inlineStr">
        <is>
          <t>완제품</t>
        </is>
      </c>
      <c r="F4" s="156" t="inlineStr">
        <is>
          <t>ADX6000</t>
        </is>
      </c>
      <c r="G4" s="156" t="inlineStr">
        <is>
          <t>ADX6000FB / 탈착용[90kv,6mA] (white)</t>
        </is>
      </c>
      <c r="H4" s="156" t="inlineStr"/>
      <c r="I4" s="156" t="inlineStr">
        <is>
          <t>ADX6000FB 90KV 6mA / White</t>
        </is>
      </c>
      <c r="J4" s="156" t="inlineStr"/>
      <c r="K4" s="160" t="inlineStr">
        <is>
          <t>(원본 미상 - 수동 확인 필요)</t>
        </is>
      </c>
    </row>
    <row r="5">
      <c r="A5" s="156" t="n">
        <v>4</v>
      </c>
      <c r="B5" s="156" t="inlineStr">
        <is>
          <t>1차: 가방/내장재 정리 단계</t>
        </is>
      </c>
      <c r="C5" s="156" t="inlineStr">
        <is>
          <t>가방 + 내부 FOAM 옛 이름을 모델별로 분리 정리하면서 옛 행 삭제</t>
        </is>
      </c>
      <c r="D5" s="156" t="n">
        <v>799</v>
      </c>
      <c r="E5" s="156" t="inlineStr">
        <is>
          <t>창고전용</t>
        </is>
      </c>
      <c r="F5" s="156" t="inlineStr">
        <is>
          <t>COCOON</t>
        </is>
      </c>
      <c r="G5" s="156" t="inlineStr"/>
      <c r="H5" s="156" t="inlineStr">
        <is>
          <t>가방 내부 폼 상판 (20cm) [COCOON]</t>
        </is>
      </c>
      <c r="I5" s="156" t="inlineStr">
        <is>
          <t>COCOON 20cm 내부폼 상판</t>
        </is>
      </c>
      <c r="J5" s="156" t="inlineStr"/>
      <c r="K5" s="160" t="inlineStr">
        <is>
          <t>[출하/COCOON] 가방 내부 폼 상판 (20cm) [COCOON] (ERP 7-PR) / [출하/COCOON] 가방 내부 폼 상판 (18cm) [COCOON] (ERP 7-PR)</t>
        </is>
      </c>
    </row>
    <row r="6">
      <c r="A6" s="156" t="n">
        <v>5</v>
      </c>
      <c r="B6" s="156" t="inlineStr">
        <is>
          <t>1차: 가방/내장재 정리 단계</t>
        </is>
      </c>
      <c r="C6" s="156" t="inlineStr">
        <is>
          <t>가방 + 내부 FOAM 옛 이름을 모델별로 분리 정리하면서 옛 행 삭제</t>
        </is>
      </c>
      <c r="D6" s="156" t="n">
        <v>389</v>
      </c>
      <c r="E6" s="156" t="inlineStr">
        <is>
          <t>조립</t>
        </is>
      </c>
      <c r="F6" s="156" t="inlineStr">
        <is>
          <t>ADX6000 공용</t>
        </is>
      </c>
      <c r="G6" s="156" t="inlineStr">
        <is>
          <t>Battery BD 01 Wire Harness 2pin [80mm]</t>
        </is>
      </c>
      <c r="H6" s="156" t="inlineStr"/>
      <c r="I6" s="156" t="inlineStr"/>
      <c r="J6" s="156" t="inlineStr"/>
      <c r="K6" s="160" t="inlineStr">
        <is>
          <t>(원본 미상 - 수동 확인 필요)</t>
        </is>
      </c>
    </row>
    <row r="7">
      <c r="A7" s="156" t="n">
        <v>6</v>
      </c>
      <c r="B7" s="156" t="inlineStr">
        <is>
          <t>1차: 가방/내장재 정리 단계</t>
        </is>
      </c>
      <c r="C7" s="156" t="inlineStr">
        <is>
          <t>가방 + 내부 FOAM 옛 이름을 모델별로 분리 정리하면서 옛 행 삭제</t>
        </is>
      </c>
      <c r="D7" s="156" t="n">
        <v>798</v>
      </c>
      <c r="E7" s="156" t="inlineStr">
        <is>
          <t>창고전용</t>
        </is>
      </c>
      <c r="F7" s="156" t="inlineStr">
        <is>
          <t>COCOON</t>
        </is>
      </c>
      <c r="G7" s="156" t="inlineStr"/>
      <c r="H7" s="156" t="inlineStr">
        <is>
          <t>가방 내부 폼 하판 (18cm) [COCOON]</t>
        </is>
      </c>
      <c r="I7" s="156" t="inlineStr">
        <is>
          <t>COCOON 18cm 내부폼 하판</t>
        </is>
      </c>
      <c r="J7" s="156" t="inlineStr"/>
      <c r="K7" s="160" t="inlineStr">
        <is>
          <t>[출하/COCOON] 가방 내부 폼 하판 (18cm) [COCOON] (ERP 7-PR) / [출하/COCOON] 가방 내부 폼 하판 (20cm) [COCOON] (ERP 7-PR)</t>
        </is>
      </c>
    </row>
    <row r="8">
      <c r="A8" s="156" t="n">
        <v>7</v>
      </c>
      <c r="B8" s="156" t="inlineStr">
        <is>
          <t>1차: 가방/내장재 정리 단계</t>
        </is>
      </c>
      <c r="C8" s="156" t="inlineStr">
        <is>
          <t>가방 + 내부 FOAM 옛 이름을 모델별로 분리 정리하면서 옛 행 삭제</t>
        </is>
      </c>
      <c r="D8" s="156" t="n">
        <v>801</v>
      </c>
      <c r="E8" s="156" t="inlineStr">
        <is>
          <t>창고전용</t>
        </is>
      </c>
      <c r="F8" s="156" t="inlineStr">
        <is>
          <t>ADX6000FB</t>
        </is>
      </c>
      <c r="G8" s="156" t="inlineStr"/>
      <c r="H8" s="156" t="inlineStr">
        <is>
          <t>가방 내부 폼 상판 (신형) [ADX6000FB]</t>
        </is>
      </c>
      <c r="I8" s="156" t="inlineStr">
        <is>
          <t>ADX6000FB 내부폼 상판</t>
        </is>
      </c>
      <c r="J8" s="156" t="inlineStr"/>
      <c r="K8" s="160" t="inlineStr">
        <is>
          <t>[출하/ADX6000FB] 가방 내부 폼 상판 (신형) [ADX6000FB] (ERP 6-PR) / [출하/COCOON] 가방 내부 폼 상판 (18cm) [COCOON] (ERP 7-PR)</t>
        </is>
      </c>
    </row>
    <row r="9">
      <c r="A9" s="156" t="n">
        <v>8</v>
      </c>
      <c r="B9" s="156" t="inlineStr">
        <is>
          <t>1차: 가방/내장재 정리 단계</t>
        </is>
      </c>
      <c r="C9" s="156" t="inlineStr">
        <is>
          <t>가방 + 내부 FOAM 옛 이름을 모델별로 분리 정리하면서 옛 행 삭제</t>
        </is>
      </c>
      <c r="D9" s="156" t="n">
        <v>672</v>
      </c>
      <c r="E9" s="156" t="inlineStr">
        <is>
          <t>출하</t>
        </is>
      </c>
      <c r="F9" s="156" t="inlineStr">
        <is>
          <t>COCOON</t>
        </is>
      </c>
      <c r="G9" s="156" t="inlineStr">
        <is>
          <t>COCOON _ [20cm cone용] 내부 FOAM (상판 ,하판,계란판)</t>
        </is>
      </c>
      <c r="H9" s="156" t="inlineStr"/>
      <c r="I9" s="156" t="inlineStr">
        <is>
          <t>COCOON 20cm 내부폼</t>
        </is>
      </c>
      <c r="J9" s="156" t="inlineStr"/>
      <c r="K9" s="160" t="inlineStr">
        <is>
          <t>(원본 미상 - 수동 확인 필요)</t>
        </is>
      </c>
    </row>
    <row r="10">
      <c r="A10" s="156" t="n">
        <v>9</v>
      </c>
      <c r="B10" s="156" t="inlineStr">
        <is>
          <t>1차: 가방/내장재 정리 단계</t>
        </is>
      </c>
      <c r="C10" s="156" t="inlineStr">
        <is>
          <t>가방 + 내부 FOAM 옛 이름을 모델별로 분리 정리하면서 옛 행 삭제</t>
        </is>
      </c>
      <c r="D10" s="156" t="n">
        <v>665</v>
      </c>
      <c r="E10" s="156" t="inlineStr">
        <is>
          <t>출하</t>
        </is>
      </c>
      <c r="F10" s="156" t="inlineStr">
        <is>
          <t>COCOON 공용</t>
        </is>
      </c>
      <c r="G10" s="156" t="inlineStr">
        <is>
          <t>가방(로고 없는것 )+내부FOAM(계란판)</t>
        </is>
      </c>
      <c r="H10" s="156" t="inlineStr">
        <is>
          <t>가방(로고 없는것)+내부 FOAM(계란판) [COCOON]</t>
        </is>
      </c>
      <c r="I10" s="156">
        <f>IFERROR(IF(VLOOKUP($F665,매칭결과_통합!$I:$M,5,FALSE)=0,"",VLOOKUP($F665,매칭결과_통합!$I:$M,5,FALSE)),"")</f>
        <v/>
      </c>
      <c r="J10" s="156" t="inlineStr"/>
      <c r="K10" s="160" t="inlineStr">
        <is>
          <t>(원본 미상 - 수동 확인 필요)</t>
        </is>
      </c>
    </row>
    <row r="11">
      <c r="A11" s="156" t="n">
        <v>10</v>
      </c>
      <c r="B11" s="156" t="inlineStr">
        <is>
          <t>1차: 가방/내장재 정리 단계</t>
        </is>
      </c>
      <c r="C11" s="156" t="inlineStr">
        <is>
          <t>가방 + 내부 FOAM 옛 이름을 모델별로 분리 정리하면서 옛 행 삭제</t>
        </is>
      </c>
      <c r="D11" s="156" t="n">
        <v>804</v>
      </c>
      <c r="E11" s="156" t="inlineStr">
        <is>
          <t>창고전용</t>
        </is>
      </c>
      <c r="F11" s="156" t="inlineStr">
        <is>
          <t>ADX6000</t>
        </is>
      </c>
      <c r="G11" s="156" t="inlineStr"/>
      <c r="H11" s="156" t="inlineStr">
        <is>
          <t>가방 내장재 (47 * 36.5 * 2.5T) [ADX6000]</t>
        </is>
      </c>
      <c r="I11" s="156" t="inlineStr">
        <is>
          <t>ADX6000 내부폼 상판 [47x36.5x2.5 mm] (뱅가드 46F용)</t>
        </is>
      </c>
      <c r="J11" s="156" t="inlineStr"/>
      <c r="K11" s="160" t="inlineStr">
        <is>
          <t>(원본 미상 - 수동 확인 필요)</t>
        </is>
      </c>
    </row>
    <row r="12">
      <c r="A12" s="156" t="n">
        <v>11</v>
      </c>
      <c r="B12" s="156" t="inlineStr">
        <is>
          <t>1차: 가방/내장재 정리 단계</t>
        </is>
      </c>
      <c r="C12" s="156" t="inlineStr">
        <is>
          <t>가방 + 내부 FOAM 옛 이름을 모델별로 분리 정리하면서 옛 행 삭제</t>
        </is>
      </c>
      <c r="D12" s="156" t="n">
        <v>387</v>
      </c>
      <c r="E12" s="156" t="inlineStr">
        <is>
          <t>조립</t>
        </is>
      </c>
      <c r="F12" s="156" t="inlineStr">
        <is>
          <t>ADX6000 공용</t>
        </is>
      </c>
      <c r="G12" s="156" t="inlineStr">
        <is>
          <t>Battery BD 02 Wire Harness [12505HS-06] [80mm] 탈착 BAT BD 연결 (하네스 11-1번)</t>
        </is>
      </c>
      <c r="H12" s="156" t="inlineStr">
        <is>
          <t>Battery BD 01 Wire Harness (2핀) (80mm) [ADX6000]</t>
        </is>
      </c>
      <c r="I12" s="156">
        <f>IFERROR(IF(VLOOKUP($F387,매칭결과_통합!$I:$M,5,FALSE)=0,"",VLOOKUP($F387,매칭결과_통합!$I:$M,5,FALSE)),"")</f>
        <v/>
      </c>
      <c r="J12" s="156" t="inlineStr"/>
      <c r="K12" s="160" t="inlineStr">
        <is>
          <t>(원본 미상 - 수동 확인 필요)</t>
        </is>
      </c>
    </row>
    <row r="13">
      <c r="A13" s="156" t="n">
        <v>12</v>
      </c>
      <c r="B13" s="156" t="inlineStr">
        <is>
          <t>1차: 가방/내장재 정리 단계</t>
        </is>
      </c>
      <c r="C13" s="156" t="inlineStr">
        <is>
          <t>가방 + 내부 FOAM 옛 이름을 모델별로 분리 정리하면서 옛 행 삭제</t>
        </is>
      </c>
      <c r="D13" s="156" t="n">
        <v>664</v>
      </c>
      <c r="E13" s="156" t="inlineStr">
        <is>
          <t>출하</t>
        </is>
      </c>
      <c r="F13" s="156" t="inlineStr">
        <is>
          <t>DX3000 ADX4000W</t>
        </is>
      </c>
      <c r="G13" s="156" t="inlineStr">
        <is>
          <t>가방(로고 없는것 )+내부FOAM(계란판)</t>
        </is>
      </c>
      <c r="H13" s="156" t="inlineStr">
        <is>
          <t>가방(로고 없는것)+내부 FOAM(계란판) [DX3000]</t>
        </is>
      </c>
      <c r="I13" s="156">
        <f>IFERROR(IF(VLOOKUP($F664,매칭결과_통합!$I:$M,5,FALSE)=0,"",VLOOKUP($F664,매칭결과_통합!$I:$M,5,FALSE)),"")</f>
        <v/>
      </c>
      <c r="J13" s="156" t="inlineStr"/>
      <c r="K13" s="160" t="inlineStr">
        <is>
          <t>(원본 미상 - 수동 확인 필요)</t>
        </is>
      </c>
    </row>
    <row r="14">
      <c r="A14" s="156" t="n">
        <v>13</v>
      </c>
      <c r="B14" s="156" t="inlineStr">
        <is>
          <t>1차: 가방/내장재 정리 단계</t>
        </is>
      </c>
      <c r="C14" s="156" t="inlineStr">
        <is>
          <t>가방 + 내부 FOAM 옛 이름을 모델별로 분리 정리하면서 옛 행 삭제</t>
        </is>
      </c>
      <c r="D14" s="156" t="n">
        <v>662</v>
      </c>
      <c r="E14" s="156" t="inlineStr">
        <is>
          <t>출하</t>
        </is>
      </c>
      <c r="F14" s="156" t="inlineStr">
        <is>
          <t>COCOON 케어스트림</t>
        </is>
      </c>
      <c r="G14" s="156" t="inlineStr">
        <is>
          <t>가방+내부FOAM(계란판) 공용</t>
        </is>
      </c>
      <c r="H14" s="156" t="inlineStr"/>
      <c r="I14" s="156" t="inlineStr">
        <is>
          <t>COCOON 가방 [Carestream 로고]</t>
        </is>
      </c>
      <c r="J14" s="156" t="inlineStr"/>
      <c r="K14" s="160" t="inlineStr">
        <is>
          <t>(원본 미상 - 수동 확인 필요)</t>
        </is>
      </c>
    </row>
    <row r="15">
      <c r="A15" s="156" t="n">
        <v>14</v>
      </c>
      <c r="B15" s="156" t="inlineStr">
        <is>
          <t>1차: 가방/내장재 정리 단계</t>
        </is>
      </c>
      <c r="C15" s="156" t="inlineStr">
        <is>
          <t>가방 + 내부 FOAM 옛 이름을 모델별로 분리 정리하면서 옛 행 삭제</t>
        </is>
      </c>
      <c r="D15" s="156" t="n">
        <v>671</v>
      </c>
      <c r="E15" s="156" t="inlineStr">
        <is>
          <t>출하</t>
        </is>
      </c>
      <c r="F15" s="156" t="inlineStr">
        <is>
          <t>COCOON</t>
        </is>
      </c>
      <c r="G15" s="156" t="inlineStr">
        <is>
          <t>COCOON _ [18cm cone용] 내부 FOAM (상판 ,하판,계란판)</t>
        </is>
      </c>
      <c r="H15" s="156" t="inlineStr"/>
      <c r="I15" s="156" t="inlineStr">
        <is>
          <t>COCOON 18cm 내부폼</t>
        </is>
      </c>
      <c r="J15" s="156" t="inlineStr"/>
      <c r="K15" s="160" t="inlineStr">
        <is>
          <t>(원본 미상 - 수동 확인 필요)</t>
        </is>
      </c>
    </row>
    <row r="16">
      <c r="A16" s="156" t="n">
        <v>15</v>
      </c>
      <c r="B16" s="156" t="inlineStr">
        <is>
          <t>1차: 가방/내장재 정리 단계</t>
        </is>
      </c>
      <c r="C16" s="156" t="inlineStr">
        <is>
          <t>가방 + 내부 FOAM 옛 이름을 모델별로 분리 정리하면서 옛 행 삭제</t>
        </is>
      </c>
      <c r="D16" s="156" t="n">
        <v>661</v>
      </c>
      <c r="E16" s="156" t="inlineStr">
        <is>
          <t>출하</t>
        </is>
      </c>
      <c r="F16" s="156" t="inlineStr">
        <is>
          <t>COCOON 공용</t>
        </is>
      </c>
      <c r="G16" s="156" t="inlineStr">
        <is>
          <t>가방+내부FOAM(계란판) 공용</t>
        </is>
      </c>
      <c r="H16" s="156" t="inlineStr">
        <is>
          <t>가방+내부FOAM(계란판)_공용 [COCOON]</t>
        </is>
      </c>
      <c r="I16" s="156">
        <f>IFERROR(IF(VLOOKUP($F661,매칭결과_통합!$I:$M,5,FALSE)=0,"",VLOOKUP($F661,매칭결과_통합!$I:$M,5,FALSE)),"")</f>
        <v/>
      </c>
      <c r="J16" s="156" t="inlineStr"/>
      <c r="K16" s="160" t="inlineStr">
        <is>
          <t>(원본 미상 - 수동 확인 필요)</t>
        </is>
      </c>
    </row>
    <row r="17">
      <c r="A17" s="156" t="n">
        <v>16</v>
      </c>
      <c r="B17" s="156" t="inlineStr">
        <is>
          <t>1차: 가방/내장재 정리 단계</t>
        </is>
      </c>
      <c r="C17" s="156" t="inlineStr">
        <is>
          <t>가방 + 내부 FOAM 옛 이름을 모델별로 분리 정리하면서 옛 행 삭제</t>
        </is>
      </c>
      <c r="D17" s="156" t="n">
        <v>341</v>
      </c>
      <c r="E17" s="156" t="inlineStr">
        <is>
          <t>조립</t>
        </is>
      </c>
      <c r="F17" s="156" t="inlineStr">
        <is>
          <t>ADX6000FB ADX6000s</t>
        </is>
      </c>
      <c r="G17" s="156" t="inlineStr">
        <is>
          <t>ETC FRONT BD (리모콘 포트 수정 신형 얇은것)</t>
        </is>
      </c>
      <c r="H17" s="156" t="inlineStr">
        <is>
          <t>Front Port Sticker (리모콘 포트 수정 신형) [ADX6000S]</t>
        </is>
      </c>
      <c r="I17" s="156">
        <f>IFERROR(IF(VLOOKUP($F341,매칭결과_통합!$I:$M,5,FALSE)=0,"",VLOOKUP($F341,매칭결과_통합!$I:$M,5,FALSE)),"")</f>
        <v/>
      </c>
      <c r="J17" s="156" t="inlineStr"/>
      <c r="K17" s="160" t="inlineStr">
        <is>
          <t>[창고전용/ADX6000S] ETC FRONT BD [ADX6000S] (ERP 6-AR) / [창고전용/ADX6000S] ETC FRONT BD (리모콘 포트 수정 신형) [ADX6000S] (ERP 6-AR)</t>
        </is>
      </c>
    </row>
    <row r="18">
      <c r="A18" s="156" t="n">
        <v>17</v>
      </c>
      <c r="B18" s="156" t="inlineStr">
        <is>
          <t>1차: 가방/내장재 정리 단계</t>
        </is>
      </c>
      <c r="C18" s="156" t="inlineStr">
        <is>
          <t>가방 + 내부 FOAM 옛 이름을 모델별로 분리 정리하면서 옛 행 삭제</t>
        </is>
      </c>
      <c r="D18" s="156" t="n">
        <v>800</v>
      </c>
      <c r="E18" s="156" t="inlineStr">
        <is>
          <t>창고전용</t>
        </is>
      </c>
      <c r="F18" s="156" t="inlineStr">
        <is>
          <t>COCOON</t>
        </is>
      </c>
      <c r="G18" s="156" t="inlineStr"/>
      <c r="H18" s="156" t="inlineStr">
        <is>
          <t>가방 내부 폼 하판 (20cm) [COCOON]</t>
        </is>
      </c>
      <c r="I18" s="156" t="inlineStr">
        <is>
          <t>COCOON 20cm 내부폼 하판</t>
        </is>
      </c>
      <c r="J18" s="156" t="inlineStr"/>
      <c r="K18" s="160" t="inlineStr">
        <is>
          <t>[출하/COCOON] 가방 내부 폼 하판 (20cm) [COCOON] (ERP 7-PR) / [출하/COCOON] 가방 내부 폼 하판 (18cm) [COCOON] (ERP 7-PR)</t>
        </is>
      </c>
    </row>
    <row r="19">
      <c r="A19" s="156" t="n">
        <v>18</v>
      </c>
      <c r="B19" s="156" t="inlineStr">
        <is>
          <t>1차: 가방/내장재 정리 단계</t>
        </is>
      </c>
      <c r="C19" s="156" t="inlineStr">
        <is>
          <t>가방 + 내부 FOAM 옛 이름을 모델별로 분리 정리하면서 옛 행 삭제</t>
        </is>
      </c>
      <c r="D19" s="156" t="n">
        <v>803</v>
      </c>
      <c r="E19" s="156" t="inlineStr">
        <is>
          <t>창고전용</t>
        </is>
      </c>
      <c r="F19" s="156" t="inlineStr">
        <is>
          <t>ADX6000FB</t>
        </is>
      </c>
      <c r="G19" s="156" t="inlineStr"/>
      <c r="H19" s="156" t="inlineStr">
        <is>
          <t>가방 내부 폼 하판 (신형) [ADX6000FB]</t>
        </is>
      </c>
      <c r="I19" s="156" t="inlineStr">
        <is>
          <t>ADX6000FB 내부폼 하판</t>
        </is>
      </c>
      <c r="J19" s="156" t="inlineStr"/>
      <c r="K19" s="160" t="inlineStr">
        <is>
          <t>[출하/ADX6000FB] 가방 내부 폼 하판 (신형) [ADX6000FB] (ERP 6-PR) / [출하/COCOON] 가방 내부 폼 하판 (18cm) [COCOON] (ERP 7-PR)</t>
        </is>
      </c>
    </row>
    <row r="20">
      <c r="A20" s="156" t="n">
        <v>19</v>
      </c>
      <c r="B20" s="156" t="inlineStr">
        <is>
          <t>1차: 가방/내장재 정리 단계</t>
        </is>
      </c>
      <c r="C20" s="156" t="inlineStr">
        <is>
          <t>가방 + 내부 FOAM 옛 이름을 모델별로 분리 정리하면서 옛 행 삭제</t>
        </is>
      </c>
      <c r="D20" s="156" t="n">
        <v>806</v>
      </c>
      <c r="E20" s="156" t="inlineStr">
        <is>
          <t>창고전용</t>
        </is>
      </c>
      <c r="F20" s="156" t="inlineStr">
        <is>
          <t>ADX6000</t>
        </is>
      </c>
      <c r="G20" s="156" t="inlineStr"/>
      <c r="H20" s="156" t="inlineStr">
        <is>
          <t>가방 내장재 (47 * 36.5 * 7.5T) [ADX6000]</t>
        </is>
      </c>
      <c r="I20" s="156" t="inlineStr">
        <is>
          <t>ADX6000 내부폼 하판 [47x36.5x7.5 mm] (뱅가드 46F용)</t>
        </is>
      </c>
      <c r="J20" s="156" t="inlineStr"/>
      <c r="K20" s="160" t="inlineStr">
        <is>
          <t>(원본 미상 - 수동 확인 필요)</t>
        </is>
      </c>
    </row>
    <row r="21">
      <c r="A21" s="156" t="n">
        <v>20</v>
      </c>
      <c r="B21" s="156" t="inlineStr">
        <is>
          <t>1차: 가방/내장재 정리 단계</t>
        </is>
      </c>
      <c r="C21" s="156" t="inlineStr">
        <is>
          <t>가방 + 내부 FOAM 옛 이름을 모델별로 분리 정리하면서 옛 행 삭제</t>
        </is>
      </c>
      <c r="D21" s="156" t="n">
        <v>805</v>
      </c>
      <c r="E21" s="156" t="inlineStr">
        <is>
          <t>창고전용</t>
        </is>
      </c>
      <c r="F21" s="156" t="inlineStr">
        <is>
          <t>ADX6000</t>
        </is>
      </c>
      <c r="G21" s="156" t="inlineStr"/>
      <c r="H21" s="156" t="inlineStr">
        <is>
          <t>가방 내장재 (47 * 36.5 * 5.5T) [ADX6000]</t>
        </is>
      </c>
      <c r="I21" s="156" t="inlineStr">
        <is>
          <t>ADX6000 내부폼 중판 [47x36.5x5.5 mm] (뱅가드 46F용)</t>
        </is>
      </c>
      <c r="J21" s="156" t="inlineStr"/>
      <c r="K21" s="160" t="inlineStr">
        <is>
          <t>(원본 미상 - 수동 확인 필요)</t>
        </is>
      </c>
    </row>
    <row r="22">
      <c r="A22" s="156" t="n">
        <v>21</v>
      </c>
      <c r="B22" s="156" t="inlineStr">
        <is>
          <t>1차: 가방/내장재 정리 단계</t>
        </is>
      </c>
      <c r="C22" s="156" t="inlineStr">
        <is>
          <t>가방 + 내부 FOAM 옛 이름을 모델별로 분리 정리하면서 옛 행 삭제</t>
        </is>
      </c>
      <c r="D22" s="156" t="n">
        <v>802</v>
      </c>
      <c r="E22" s="156" t="inlineStr">
        <is>
          <t>창고전용</t>
        </is>
      </c>
      <c r="F22" s="156" t="inlineStr">
        <is>
          <t>ADX6000FB</t>
        </is>
      </c>
      <c r="G22" s="156" t="inlineStr"/>
      <c r="H22" s="156" t="inlineStr">
        <is>
          <t>가방 내부 폼 중간판 (신형) [ADX6000FB]</t>
        </is>
      </c>
      <c r="I22" s="156" t="inlineStr">
        <is>
          <t>ADX6000FB 내부폼 중간판</t>
        </is>
      </c>
      <c r="J22" s="156" t="inlineStr"/>
      <c r="K22" s="160" t="inlineStr">
        <is>
          <t>[출하/ADX6000FB] 가방 내부 폼 중간판 (신형) [ADX6000FB] (ERP 6-PR)</t>
        </is>
      </c>
    </row>
    <row r="23">
      <c r="A23" s="156" t="n">
        <v>22</v>
      </c>
      <c r="B23" s="156" t="inlineStr">
        <is>
          <t>1차: 가방/내장재 정리 단계</t>
        </is>
      </c>
      <c r="C23" s="156" t="inlineStr">
        <is>
          <t>가방 + 내부 FOAM 옛 이름을 모델별로 분리 정리하면서 옛 행 삭제</t>
        </is>
      </c>
      <c r="D23" s="156" t="n">
        <v>663</v>
      </c>
      <c r="E23" s="156" t="inlineStr">
        <is>
          <t>출하</t>
        </is>
      </c>
      <c r="F23" s="156" t="inlineStr">
        <is>
          <t>ADX6000 공용</t>
        </is>
      </c>
      <c r="G23" s="156" t="inlineStr">
        <is>
          <t>가방+내부FOAM(계란판) 공용</t>
        </is>
      </c>
      <c r="H23" s="156" t="inlineStr">
        <is>
          <t>가방+내부FOAM(계란판)_공용 [ADX6000]</t>
        </is>
      </c>
      <c r="I23" s="156">
        <f>IFERROR(IF(VLOOKUP($F663,매칭결과_통합!$I:$M,5,FALSE)=0,"",VLOOKUP($F663,매칭결과_통합!$I:$M,5,FALSE)),"")</f>
        <v/>
      </c>
      <c r="J23" s="156" t="inlineStr"/>
      <c r="K23" s="160" t="inlineStr">
        <is>
          <t>(원본 미상 - 수동 확인 필요)</t>
        </is>
      </c>
    </row>
    <row r="24">
      <c r="A24" s="156" t="n">
        <v>23</v>
      </c>
      <c r="B24" s="156" t="inlineStr">
        <is>
          <t>1차: 가방/내장재 정리 단계</t>
        </is>
      </c>
      <c r="C24" s="156" t="inlineStr">
        <is>
          <t>가방 + 내부 FOAM 옛 이름을 모델별로 분리 정리하면서 옛 행 삭제</t>
        </is>
      </c>
      <c r="D24" s="156" t="n">
        <v>673</v>
      </c>
      <c r="E24" s="156" t="inlineStr">
        <is>
          <t>출하</t>
        </is>
      </c>
      <c r="F24" s="156" t="inlineStr">
        <is>
          <t>ADX6000 공용</t>
        </is>
      </c>
      <c r="G24" s="156" t="inlineStr">
        <is>
          <t>ADX6000 _ 내부 FOAM (상판 ,하판,계란판)</t>
        </is>
      </c>
      <c r="H24" s="156" t="inlineStr"/>
      <c r="I24" s="156" t="inlineStr">
        <is>
          <t>ADX6000FB 내부폼</t>
        </is>
      </c>
      <c r="J24" s="156" t="inlineStr"/>
      <c r="K24" s="160" t="inlineStr">
        <is>
          <t>(원본 미상 - 수동 확인 필요)</t>
        </is>
      </c>
    </row>
    <row r="25">
      <c r="A25" s="156" t="n">
        <v>24</v>
      </c>
      <c r="B25" s="156" t="inlineStr">
        <is>
          <t>1차: 가방/내장재 정리 단계</t>
        </is>
      </c>
      <c r="C25" s="156" t="inlineStr">
        <is>
          <t>가방 + 내부 FOAM 옛 이름을 모델별로 분리 정리하면서 옛 행 삭제</t>
        </is>
      </c>
      <c r="D25" s="156" t="n">
        <v>368</v>
      </c>
      <c r="E25" s="156" t="inlineStr">
        <is>
          <t>조립</t>
        </is>
      </c>
      <c r="F25" s="156" t="inlineStr">
        <is>
          <t>ADX6000 ADX6000U</t>
        </is>
      </c>
      <c r="G25" s="156" t="inlineStr">
        <is>
          <t>FRONT CONNECTOR B/D (ADX6000용)</t>
        </is>
      </c>
      <c r="H25" s="156" t="inlineStr">
        <is>
          <t>ETC FRONT BD (리모콘 포트 수정 신형 얇은 것) [ADX6000S]</t>
        </is>
      </c>
      <c r="I25" s="156">
        <f>IFERROR(IF(VLOOKUP($F368,매칭결과_통합!$I:$M,5,FALSE)=0,"",VLOOKUP($F368,매칭결과_통합!$I:$M,5,FALSE)),"")</f>
        <v/>
      </c>
      <c r="J25" s="156" t="inlineStr"/>
      <c r="K25" s="160" t="inlineStr">
        <is>
          <t>(원본 미상 - 수동 확인 필요)</t>
        </is>
      </c>
    </row>
    <row r="26">
      <c r="A26" s="156" t="n">
        <v>25</v>
      </c>
      <c r="B26" s="156" t="inlineStr">
        <is>
          <t>1차: 가방/내장재 정리 단계</t>
        </is>
      </c>
      <c r="C26" s="156" t="inlineStr">
        <is>
          <t>가방 + 내부 FOAM 옛 이름을 모델별로 분리 정리하면서 옛 행 삭제</t>
        </is>
      </c>
      <c r="D26" s="156" t="n">
        <v>797</v>
      </c>
      <c r="E26" s="156" t="inlineStr">
        <is>
          <t>창고전용</t>
        </is>
      </c>
      <c r="F26" s="156" t="inlineStr">
        <is>
          <t>COCOON</t>
        </is>
      </c>
      <c r="G26" s="156" t="inlineStr"/>
      <c r="H26" s="156" t="inlineStr">
        <is>
          <t>가방 내부 폼 상판 (18cm) [COCOON]</t>
        </is>
      </c>
      <c r="I26" s="156" t="inlineStr">
        <is>
          <t>COCOON 18cm 내부폼 상판</t>
        </is>
      </c>
      <c r="J26" s="156" t="inlineStr"/>
      <c r="K26" s="160" t="inlineStr">
        <is>
          <t>[출하/COCOON] 가방 내부 폼 상판 (18cm) [COCOON] (ERP 7-PR) / [출하/COCOON] 가방 내부 폼 상판 (20cm) [COCOON] (ERP 7-PR)</t>
        </is>
      </c>
    </row>
    <row r="27">
      <c r="A27" s="157" t="n">
        <v>26</v>
      </c>
      <c r="B27" s="157" t="inlineStr">
        <is>
          <t>2차: GH 중복 제거</t>
        </is>
      </c>
      <c r="C27" s="157" t="inlineStr">
        <is>
          <t>마스터 시트에서 노랑/빨강으로 표시한 행 정리 (창고전용 + 조립 부서 미사용)</t>
        </is>
      </c>
      <c r="D27" s="157" t="n">
        <v>763</v>
      </c>
      <c r="E27" s="157" t="inlineStr">
        <is>
          <t>창고전용</t>
        </is>
      </c>
      <c r="F27" s="157" t="inlineStr">
        <is>
          <t>COCOON</t>
        </is>
      </c>
      <c r="G27" s="157" t="inlineStr"/>
      <c r="H27" s="157" t="inlineStr">
        <is>
          <t>LOCK KNOB (ABS 난연 화이트 유광) [COCOON]</t>
        </is>
      </c>
      <c r="I27" s="157" t="inlineStr"/>
      <c r="J27" s="157" t="inlineStr"/>
      <c r="K27" s="160" t="inlineStr">
        <is>
          <t>[조립/COCOON 메탈 실버] LOCK KNOB (ERP 7-AR) / [조립/COCOON 화이트 케어스트림] LOCK KNOB (ERP 7-AR)</t>
        </is>
      </c>
    </row>
    <row r="28">
      <c r="A28" s="157" t="n">
        <v>27</v>
      </c>
      <c r="B28" s="157" t="inlineStr">
        <is>
          <t>2차: GH 중복 제거</t>
        </is>
      </c>
      <c r="C28" s="157" t="inlineStr">
        <is>
          <t>마스터 시트에서 노랑/빨강으로 표시한 행 정리 (창고전용 + 조립 부서 미사용)</t>
        </is>
      </c>
      <c r="D28" s="157" t="n">
        <v>794</v>
      </c>
      <c r="E28" s="157" t="inlineStr">
        <is>
          <t>창고전용</t>
        </is>
      </c>
      <c r="F28" s="157" t="inlineStr">
        <is>
          <t>COCOON</t>
        </is>
      </c>
      <c r="G28" s="157" t="inlineStr"/>
      <c r="H28" s="157" t="inlineStr">
        <is>
          <t>가방(로고 없는것)+내장재 X [COCOON]</t>
        </is>
      </c>
      <c r="I28" s="157" t="inlineStr"/>
      <c r="J28" s="157" t="inlineStr"/>
      <c r="K28" s="160" t="inlineStr">
        <is>
          <t>(원본 미상 - 수동 확인 필요)</t>
        </is>
      </c>
    </row>
    <row r="29">
      <c r="A29" s="157" t="n">
        <v>28</v>
      </c>
      <c r="B29" s="157" t="inlineStr">
        <is>
          <t>2차: GH 중복 제거</t>
        </is>
      </c>
      <c r="C29" s="157" t="inlineStr">
        <is>
          <t>마스터 시트에서 노랑/빨강으로 표시한 행 정리 (창고전용 + 조립 부서 미사용)</t>
        </is>
      </c>
      <c r="D29" s="157" t="n">
        <v>514</v>
      </c>
      <c r="E29" s="157" t="inlineStr">
        <is>
          <t>조립</t>
        </is>
      </c>
      <c r="F29" s="157" t="inlineStr">
        <is>
          <t>COCOON 화이트 유광</t>
        </is>
      </c>
      <c r="G29" s="157" t="inlineStr">
        <is>
          <t>HANDLE ASS'Y (BAT BOTTOM + 배터리 없는것)</t>
        </is>
      </c>
      <c r="H29" s="157" t="inlineStr"/>
      <c r="I29" s="157" t="inlineStr"/>
      <c r="J29" s="157" t="inlineStr"/>
      <c r="K29" s="160" t="inlineStr">
        <is>
          <t>[조립/COCOON 메탈 실버 유광] HANDLE ASS'Y (ERP 7-AA) / [조립/COCOON 메탈 실버 유광] HANDLE ASS'Y (리모콘 적용 + BAT BOTTOM + 배터리 없는것) (ERP 7-AA)</t>
        </is>
      </c>
    </row>
    <row r="30">
      <c r="A30" s="157" t="n">
        <v>29</v>
      </c>
      <c r="B30" s="157" t="inlineStr">
        <is>
          <t>2차: GH 중복 제거</t>
        </is>
      </c>
      <c r="C30" s="157" t="inlineStr">
        <is>
          <t>마스터 시트에서 노랑/빨강으로 표시한 행 정리 (창고전용 + 조립 부서 미사용)</t>
        </is>
      </c>
      <c r="D30" s="157" t="n">
        <v>812</v>
      </c>
      <c r="E30" s="157" t="inlineStr">
        <is>
          <t>창고전용</t>
        </is>
      </c>
      <c r="F30" s="157" t="inlineStr">
        <is>
          <t>DX3000</t>
        </is>
      </c>
      <c r="G30" s="157" t="inlineStr"/>
      <c r="H30" s="157" t="inlineStr">
        <is>
          <t>에어셀 TOP (JD010211-02) [DX3000]</t>
        </is>
      </c>
      <c r="I30" s="157" t="inlineStr"/>
      <c r="J30" s="157" t="inlineStr"/>
      <c r="K30" s="160" t="inlineStr">
        <is>
          <t>(원본 미상 - 수동 확인 필요)</t>
        </is>
      </c>
    </row>
    <row r="31">
      <c r="A31" s="157" t="n">
        <v>30</v>
      </c>
      <c r="B31" s="157" t="inlineStr">
        <is>
          <t>2차: GH 중복 제거</t>
        </is>
      </c>
      <c r="C31" s="157" t="inlineStr">
        <is>
          <t>마스터 시트에서 노랑/빨강으로 표시한 행 정리 (창고전용 + 조립 부서 미사용)</t>
        </is>
      </c>
      <c r="D31" s="157" t="n">
        <v>828</v>
      </c>
      <c r="E31" s="157" t="inlineStr">
        <is>
          <t>창고전용</t>
        </is>
      </c>
      <c r="F31" s="157" t="inlineStr">
        <is>
          <t>공용</t>
        </is>
      </c>
      <c r="G31" s="157" t="inlineStr"/>
      <c r="H31" s="157" t="inlineStr">
        <is>
          <t>DEXCOWIN NAME PLATE (DR Tech 센서용) [공용]</t>
        </is>
      </c>
      <c r="I31" s="157" t="inlineStr"/>
      <c r="J31" s="157" t="inlineStr"/>
      <c r="K31" s="160" t="inlineStr">
        <is>
          <t>[창고전용/ADX6000] DEXCOWIN NAME PLATE (FDXD-810 디텍터용) [ADX6000] (ERP 34678-PR) / [창고전용/ADX6000] DEXCOWIN NAME PLATE (뱅가드 가방용) [ADX6000] (ERP 6-PR)</t>
        </is>
      </c>
    </row>
    <row r="32">
      <c r="A32" s="157" t="n">
        <v>31</v>
      </c>
      <c r="B32" s="157" t="inlineStr">
        <is>
          <t>2차: GH 중복 제거</t>
        </is>
      </c>
      <c r="C32" s="157" t="inlineStr">
        <is>
          <t>마스터 시트에서 노랑/빨강으로 표시한 행 정리 (창고전용 + 조립 부서 미사용)</t>
        </is>
      </c>
      <c r="D32" s="157" t="n">
        <v>511</v>
      </c>
      <c r="E32" s="157" t="inlineStr">
        <is>
          <t>조립</t>
        </is>
      </c>
      <c r="F32" s="157" t="inlineStr">
        <is>
          <t>COCOON 케어스트림</t>
        </is>
      </c>
      <c r="G32" s="157" t="inlineStr">
        <is>
          <t>크래들 실리콘 커버</t>
        </is>
      </c>
      <c r="H32" s="157" t="inlineStr"/>
      <c r="I32" s="157" t="inlineStr"/>
      <c r="J32" s="157" t="inlineStr"/>
      <c r="K32" s="160" t="inlineStr">
        <is>
          <t>(원본 미상 - 수동 확인 필요)</t>
        </is>
      </c>
    </row>
    <row r="33">
      <c r="A33" s="157" t="n">
        <v>32</v>
      </c>
      <c r="B33" s="157" t="inlineStr">
        <is>
          <t>2차: GH 중복 제거</t>
        </is>
      </c>
      <c r="C33" s="157" t="inlineStr">
        <is>
          <t>마스터 시트에서 노랑/빨강으로 표시한 행 정리 (창고전용 + 조립 부서 미사용)</t>
        </is>
      </c>
      <c r="D33" s="157" t="n">
        <v>203</v>
      </c>
      <c r="E33" s="157" t="inlineStr">
        <is>
          <t>조립</t>
        </is>
      </c>
      <c r="F33" s="157" t="inlineStr">
        <is>
          <t>DX3000 화이트</t>
        </is>
      </c>
      <c r="G33" s="157" t="inlineStr">
        <is>
          <t>배터리커버</t>
        </is>
      </c>
      <c r="H33" s="157" t="inlineStr">
        <is>
          <t>BATTERY COVER (ABS 난연 화이트) [DX3000]</t>
        </is>
      </c>
      <c r="I33" s="157" t="inlineStr"/>
      <c r="J33" s="157" t="inlineStr"/>
      <c r="K33" s="160" t="inlineStr">
        <is>
          <t>[조립/DX3000 회색] 배터리커버 (ERP 3-AR) / [조립/DX3000 블랙] 배터리커버 (ERP 3-AR)</t>
        </is>
      </c>
    </row>
    <row r="34">
      <c r="A34" s="157" t="n">
        <v>33</v>
      </c>
      <c r="B34" s="157" t="inlineStr">
        <is>
          <t>2차: GH 중복 제거</t>
        </is>
      </c>
      <c r="C34" s="157" t="inlineStr">
        <is>
          <t>마스터 시트에서 노랑/빨강으로 표시한 행 정리 (창고전용 + 조립 부서 미사용)</t>
        </is>
      </c>
      <c r="D34" s="157" t="n">
        <v>844</v>
      </c>
      <c r="E34" s="157" t="inlineStr">
        <is>
          <t>창고전용</t>
        </is>
      </c>
      <c r="F34" s="157" t="inlineStr">
        <is>
          <t>공용</t>
        </is>
      </c>
      <c r="G34" s="157" t="inlineStr"/>
      <c r="H34" s="157" t="inlineStr">
        <is>
          <t>스탠드 브라켓 조인트 셋트 [공용]</t>
        </is>
      </c>
      <c r="I34" s="157" t="inlineStr"/>
      <c r="J34" s="157" t="inlineStr"/>
      <c r="K34" s="160" t="inlineStr">
        <is>
          <t>[출하/ADX6000 공용] 스탠드 브라켓 조인트 셋트 (브라켓 1~9) (ERP 6-PA)</t>
        </is>
      </c>
    </row>
    <row r="35">
      <c r="A35" s="157" t="n">
        <v>34</v>
      </c>
      <c r="B35" s="157" t="inlineStr">
        <is>
          <t>2차: GH 중복 제거</t>
        </is>
      </c>
      <c r="C35" s="157" t="inlineStr">
        <is>
          <t>마스터 시트에서 노랑/빨강으로 표시한 행 정리 (창고전용 + 조립 부서 미사용)</t>
        </is>
      </c>
      <c r="D35" s="157" t="n">
        <v>859</v>
      </c>
      <c r="E35" s="157" t="inlineStr">
        <is>
          <t>창고전용</t>
        </is>
      </c>
      <c r="F35" s="157" t="inlineStr">
        <is>
          <t>ADX4000W</t>
        </is>
      </c>
      <c r="G35" s="157" t="inlineStr"/>
      <c r="H35" s="157" t="inlineStr">
        <is>
          <t>CTR B/D (구형) [ADX4000W]</t>
        </is>
      </c>
      <c r="I35" s="157" t="inlineStr"/>
      <c r="J35" s="157" t="inlineStr"/>
      <c r="K35" s="160" t="inlineStr">
        <is>
          <t>[진공/DX3000] D3CT (TFT용) (ERP 3-VR) / [진공/DX3000] DC3D (유럽용) (ERP 3-VR)</t>
        </is>
      </c>
    </row>
    <row r="36">
      <c r="A36" s="157" t="n">
        <v>35</v>
      </c>
      <c r="B36" s="157" t="inlineStr">
        <is>
          <t>2차: GH 중복 제거</t>
        </is>
      </c>
      <c r="C36" s="157" t="inlineStr">
        <is>
          <t>마스터 시트에서 노랑/빨강으로 표시한 행 정리 (창고전용 + 조립 부서 미사용)</t>
        </is>
      </c>
      <c r="D36" s="157" t="n">
        <v>815</v>
      </c>
      <c r="E36" s="157" t="inlineStr">
        <is>
          <t>창고전용</t>
        </is>
      </c>
      <c r="F36" s="157" t="inlineStr">
        <is>
          <t>COCOON</t>
        </is>
      </c>
      <c r="G36" s="157" t="inlineStr"/>
      <c r="H36" s="157" t="inlineStr">
        <is>
          <t>에어셀 BOTTOM (JD010312-01) [COCOON]</t>
        </is>
      </c>
      <c r="I36" s="157" t="inlineStr"/>
      <c r="J36" s="157" t="inlineStr"/>
      <c r="K36" s="160" t="inlineStr">
        <is>
          <t>(원본 미상 - 수동 확인 필요)</t>
        </is>
      </c>
    </row>
    <row r="37">
      <c r="A37" s="157" t="n">
        <v>36</v>
      </c>
      <c r="B37" s="157" t="inlineStr">
        <is>
          <t>2차: GH 중복 제거</t>
        </is>
      </c>
      <c r="C37" s="157" t="inlineStr">
        <is>
          <t>마스터 시트에서 노랑/빨강으로 표시한 행 정리 (창고전용 + 조립 부서 미사용)</t>
        </is>
      </c>
      <c r="D37" s="157" t="n">
        <v>404</v>
      </c>
      <c r="E37" s="157" t="inlineStr">
        <is>
          <t>조립</t>
        </is>
      </c>
      <c r="F37" s="157" t="inlineStr">
        <is>
          <t>ADX6000 ADX6000U</t>
        </is>
      </c>
      <c r="G37" s="157" t="inlineStr">
        <is>
          <t>Main PC ASS'Y</t>
        </is>
      </c>
      <c r="H37" s="157" t="inlineStr"/>
      <c r="I37" s="157" t="inlineStr">
        <is>
          <t>Main PC ASS'Y [ADX6000]</t>
        </is>
      </c>
      <c r="J37" s="157" t="inlineStr"/>
      <c r="K37" s="160" t="inlineStr">
        <is>
          <t>[조립/ADX6000FB ADX6000s] Main PC ASS'Y (IEC-266 구형) (ERP 6-AA) / [조립/ADX6000FB ADX6000s] Main PC ASS'Y (IEC-1000 신형) (ERP 6-AA)</t>
        </is>
      </c>
    </row>
    <row r="38">
      <c r="A38" s="157" t="n">
        <v>37</v>
      </c>
      <c r="B38" s="157" t="inlineStr">
        <is>
          <t>2차: GH 중복 제거</t>
        </is>
      </c>
      <c r="C38" s="157" t="inlineStr">
        <is>
          <t>마스터 시트에서 노랑/빨강으로 표시한 행 정리 (창고전용 + 조립 부서 미사용)</t>
        </is>
      </c>
      <c r="D38" s="157" t="n">
        <v>501</v>
      </c>
      <c r="E38" s="157" t="inlineStr">
        <is>
          <t>조립</t>
        </is>
      </c>
      <c r="F38" s="157" t="inlineStr">
        <is>
          <t>COCOON</t>
        </is>
      </c>
      <c r="G38" s="157" t="inlineStr">
        <is>
          <t>코쿤 에이밍라이트 오링 [60∮ * 25]</t>
        </is>
      </c>
      <c r="H38" s="157" t="inlineStr"/>
      <c r="I38" s="157" t="inlineStr"/>
      <c r="J38" s="157" t="inlineStr"/>
      <c r="K38" s="160" t="inlineStr">
        <is>
          <t>(원본 미상 - 수동 확인 필요)</t>
        </is>
      </c>
    </row>
    <row r="39">
      <c r="A39" s="157" t="n">
        <v>38</v>
      </c>
      <c r="B39" s="157" t="inlineStr">
        <is>
          <t>2차: GH 중복 제거</t>
        </is>
      </c>
      <c r="C39" s="157" t="inlineStr">
        <is>
          <t>마스터 시트에서 노랑/빨강으로 표시한 행 정리 (창고전용 + 조립 부서 미사용)</t>
        </is>
      </c>
      <c r="D39" s="157" t="n">
        <v>862</v>
      </c>
      <c r="E39" s="157" t="inlineStr">
        <is>
          <t>창고전용</t>
        </is>
      </c>
      <c r="F39" s="157" t="inlineStr">
        <is>
          <t>DX3000</t>
        </is>
      </c>
      <c r="G39" s="157" t="inlineStr"/>
      <c r="H39" s="157" t="inlineStr">
        <is>
          <t>EX B/D (원버턴) [DX3000]</t>
        </is>
      </c>
      <c r="I39" s="157" t="inlineStr"/>
      <c r="J39" s="157" t="inlineStr"/>
      <c r="K39" s="160" t="inlineStr">
        <is>
          <t>[조립/DX3000] EX BD (듀얼) - 왼쪽 (ERP 3-AR) / [조립/DX3000] EX BD (듀얼) - 오른쪽 (ERP 3-AR)</t>
        </is>
      </c>
    </row>
    <row r="40">
      <c r="A40" s="157" t="n">
        <v>39</v>
      </c>
      <c r="B40" s="157" t="inlineStr">
        <is>
          <t>2차: GH 중복 제거</t>
        </is>
      </c>
      <c r="C40" s="157" t="inlineStr">
        <is>
          <t>마스터 시트에서 노랑/빨강으로 표시한 행 정리 (창고전용 + 조립 부서 미사용)</t>
        </is>
      </c>
      <c r="D40" s="157" t="n">
        <v>836</v>
      </c>
      <c r="E40" s="157" t="inlineStr">
        <is>
          <t>창고전용</t>
        </is>
      </c>
      <c r="F40" s="157" t="inlineStr">
        <is>
          <t>ADX6000</t>
        </is>
      </c>
      <c r="G40" s="157" t="inlineStr"/>
      <c r="H40" s="157" t="inlineStr">
        <is>
          <t>Cradle RUBBER (FOOT RUBBER) [ADX6000]</t>
        </is>
      </c>
      <c r="I40" s="157" t="inlineStr"/>
      <c r="J40" s="157" t="inlineStr"/>
      <c r="K40" s="160" t="inlineStr">
        <is>
          <t>(원본 미상 - 수동 확인 필요)</t>
        </is>
      </c>
    </row>
    <row r="41">
      <c r="A41" s="157" t="n">
        <v>40</v>
      </c>
      <c r="B41" s="157" t="inlineStr">
        <is>
          <t>2차: GH 중복 제거</t>
        </is>
      </c>
      <c r="C41" s="157" t="inlineStr">
        <is>
          <t>마스터 시트에서 노랑/빨강으로 표시한 행 정리 (창고전용 + 조립 부서 미사용)</t>
        </is>
      </c>
      <c r="D41" s="157" t="n">
        <v>764</v>
      </c>
      <c r="E41" s="157" t="inlineStr">
        <is>
          <t>창고전용</t>
        </is>
      </c>
      <c r="F41" s="157" t="inlineStr">
        <is>
          <t>COCOON</t>
        </is>
      </c>
      <c r="G41" s="157" t="inlineStr"/>
      <c r="H41" s="157" t="inlineStr">
        <is>
          <t>LOCK INNER (ABS 난연 화이트) [COCOON]</t>
        </is>
      </c>
      <c r="I41" s="157" t="inlineStr"/>
      <c r="J41" s="157" t="inlineStr"/>
      <c r="K41" s="160" t="inlineStr">
        <is>
          <t>[조립/COCOON 메탈 실버] LOCK INNER (ERP 7-AR) / [조립/COCOON 화이트 케어스트림] LOCK INNER (ERP 7-AR)</t>
        </is>
      </c>
    </row>
    <row r="42">
      <c r="A42" s="157" t="n">
        <v>41</v>
      </c>
      <c r="B42" s="157" t="inlineStr">
        <is>
          <t>2차: GH 중복 제거</t>
        </is>
      </c>
      <c r="C42" s="157" t="inlineStr">
        <is>
          <t>마스터 시트에서 노랑/빨강으로 표시한 행 정리 (창고전용 + 조립 부서 미사용)</t>
        </is>
      </c>
      <c r="D42" s="157" t="n">
        <v>777</v>
      </c>
      <c r="E42" s="157" t="inlineStr">
        <is>
          <t>창고전용</t>
        </is>
      </c>
      <c r="F42" s="157" t="inlineStr">
        <is>
          <t>ADX6000S</t>
        </is>
      </c>
      <c r="G42" s="157" t="inlineStr"/>
      <c r="H42" s="157" t="inlineStr">
        <is>
          <t>CTR B/D [ADX6000S]</t>
        </is>
      </c>
      <c r="I42" s="157" t="inlineStr"/>
      <c r="J42" s="157" t="inlineStr"/>
      <c r="K42" s="160" t="inlineStr">
        <is>
          <t>[진공/DX3000] D3CT (TFT용) (ERP 3-VR) / [진공/DX3000] DC3D (유럽용) (ERP 3-VR)</t>
        </is>
      </c>
    </row>
    <row r="43">
      <c r="A43" s="157" t="n">
        <v>42</v>
      </c>
      <c r="B43" s="157" t="inlineStr">
        <is>
          <t>2차: GH 중복 제거</t>
        </is>
      </c>
      <c r="C43" s="157" t="inlineStr">
        <is>
          <t>마스터 시트에서 노랑/빨강으로 표시한 행 정리 (창고전용 + 조립 부서 미사용)</t>
        </is>
      </c>
      <c r="D43" s="157" t="n">
        <v>225</v>
      </c>
      <c r="E43" s="157" t="inlineStr">
        <is>
          <t>조립</t>
        </is>
      </c>
      <c r="F43" s="157" t="inlineStr">
        <is>
          <t>DX3000 블랙</t>
        </is>
      </c>
      <c r="G43" s="157" t="inlineStr">
        <is>
          <t>기본 사출 ASS'Y _ CBI</t>
        </is>
      </c>
      <c r="H43" s="157" t="inlineStr"/>
      <c r="I43" s="157" t="inlineStr"/>
      <c r="J43" s="157" t="inlineStr"/>
      <c r="K43" s="160" t="inlineStr">
        <is>
          <t>(원본 미상 - 수동 확인 필요)</t>
        </is>
      </c>
    </row>
    <row r="44">
      <c r="A44" s="157" t="n">
        <v>43</v>
      </c>
      <c r="B44" s="157" t="inlineStr">
        <is>
          <t>2차: GH 중복 제거</t>
        </is>
      </c>
      <c r="C44" s="157" t="inlineStr">
        <is>
          <t>마스터 시트에서 노랑/빨강으로 표시한 행 정리 (창고전용 + 조립 부서 미사용)</t>
        </is>
      </c>
      <c r="D44" s="157" t="n">
        <v>827</v>
      </c>
      <c r="E44" s="157" t="inlineStr">
        <is>
          <t>창고전용</t>
        </is>
      </c>
      <c r="F44" s="157" t="inlineStr">
        <is>
          <t>공용</t>
        </is>
      </c>
      <c r="G44" s="157" t="inlineStr"/>
      <c r="H44" s="157" t="inlineStr">
        <is>
          <t>SUS PLATE [공용]</t>
        </is>
      </c>
      <c r="I44" s="157" t="inlineStr"/>
      <c r="J44" s="157" t="inlineStr"/>
      <c r="K44" s="160" t="inlineStr">
        <is>
          <t>(원본 미상 - 수동 확인 필요)</t>
        </is>
      </c>
    </row>
    <row r="45">
      <c r="A45" s="157" t="n">
        <v>44</v>
      </c>
      <c r="B45" s="157" t="inlineStr">
        <is>
          <t>2차: GH 중복 제거</t>
        </is>
      </c>
      <c r="C45" s="157" t="inlineStr">
        <is>
          <t>마스터 시트에서 노랑/빨강으로 표시한 행 정리 (창고전용 + 조립 부서 미사용)</t>
        </is>
      </c>
      <c r="D45" s="157" t="n">
        <v>768</v>
      </c>
      <c r="E45" s="157" t="inlineStr">
        <is>
          <t>창고전용</t>
        </is>
      </c>
      <c r="F45" s="157" t="inlineStr">
        <is>
          <t>ADX4000W</t>
        </is>
      </c>
      <c r="G45" s="157" t="inlineStr"/>
      <c r="H45" s="157" t="inlineStr">
        <is>
          <t>CTR B/D (+ 12(AS용)) [ADX4000W]</t>
        </is>
      </c>
      <c r="I45" s="157" t="inlineStr"/>
      <c r="J45" s="157" t="inlineStr"/>
      <c r="K45" s="160" t="inlineStr">
        <is>
          <t>(원본 미상 - 수동 확인 필요)</t>
        </is>
      </c>
    </row>
    <row r="46">
      <c r="A46" s="157" t="n">
        <v>45</v>
      </c>
      <c r="B46" s="157" t="inlineStr">
        <is>
          <t>2차: GH 중복 제거</t>
        </is>
      </c>
      <c r="C46" s="157" t="inlineStr">
        <is>
          <t>마스터 시트에서 노랑/빨강으로 표시한 행 정리 (창고전용 + 조립 부서 미사용)</t>
        </is>
      </c>
      <c r="D46" s="157" t="n">
        <v>873</v>
      </c>
      <c r="E46" s="157" t="inlineStr">
        <is>
          <t>창고전용</t>
        </is>
      </c>
      <c r="F46" s="157" t="inlineStr">
        <is>
          <t>ADX6000</t>
        </is>
      </c>
      <c r="G46" s="157" t="inlineStr"/>
      <c r="H46" s="157" t="inlineStr">
        <is>
          <t>컬리메이터 LED B/D (신형 LED 작은것) [ADX6000]</t>
        </is>
      </c>
      <c r="I46" s="157" t="inlineStr"/>
      <c r="J46" s="157" t="inlineStr"/>
      <c r="K46" s="160" t="inlineStr">
        <is>
          <t>[조립/ADX6000 공용] 컬리메이터 LED B/D (신형 LED 밝기 수정한 것) (ERP 6-AR)</t>
        </is>
      </c>
    </row>
    <row r="47">
      <c r="A47" s="157" t="n">
        <v>46</v>
      </c>
      <c r="B47" s="157" t="inlineStr">
        <is>
          <t>2차: GH 중복 제거</t>
        </is>
      </c>
      <c r="C47" s="157" t="inlineStr">
        <is>
          <t>마스터 시트에서 노랑/빨강으로 표시한 행 정리 (창고전용 + 조립 부서 미사용)</t>
        </is>
      </c>
      <c r="D47" s="157" t="n">
        <v>749</v>
      </c>
      <c r="E47" s="157" t="inlineStr">
        <is>
          <t>창고전용</t>
        </is>
      </c>
      <c r="F47" s="157" t="inlineStr">
        <is>
          <t>COCOON</t>
        </is>
      </c>
      <c r="G47" s="157" t="inlineStr"/>
      <c r="H47" s="157" t="inlineStr">
        <is>
          <t>8핀 B/D [COCOON]</t>
        </is>
      </c>
      <c r="I47" s="157" t="inlineStr"/>
      <c r="J47" s="157" t="inlineStr"/>
      <c r="K47" s="160" t="inlineStr">
        <is>
          <t>[진공/ADX6000] 8핀 BD (ERP 6-VR)</t>
        </is>
      </c>
    </row>
    <row r="48">
      <c r="A48" s="157" t="n">
        <v>47</v>
      </c>
      <c r="B48" s="157" t="inlineStr">
        <is>
          <t>2차: GH 중복 제거</t>
        </is>
      </c>
      <c r="C48" s="157" t="inlineStr">
        <is>
          <t>마스터 시트에서 노랑/빨강으로 표시한 행 정리 (창고전용 + 조립 부서 미사용)</t>
        </is>
      </c>
      <c r="D48" s="157" t="n">
        <v>792</v>
      </c>
      <c r="E48" s="157" t="inlineStr">
        <is>
          <t>창고전용</t>
        </is>
      </c>
      <c r="F48" s="157" t="inlineStr">
        <is>
          <t>DX3000</t>
        </is>
      </c>
      <c r="G48" s="157" t="inlineStr"/>
      <c r="H48" s="157" t="inlineStr">
        <is>
          <t>가방+내장재 X [DX3000]</t>
        </is>
      </c>
      <c r="I48" s="157" t="inlineStr"/>
      <c r="J48" s="157" t="inlineStr"/>
      <c r="K48" s="160" t="inlineStr">
        <is>
          <t>(원본 미상 - 수동 확인 필요)</t>
        </is>
      </c>
    </row>
    <row r="49">
      <c r="A49" s="157" t="n">
        <v>48</v>
      </c>
      <c r="B49" s="157" t="inlineStr">
        <is>
          <t>2차: GH 중복 제거</t>
        </is>
      </c>
      <c r="C49" s="157" t="inlineStr">
        <is>
          <t>마스터 시트에서 노랑/빨강으로 표시한 행 정리 (창고전용 + 조립 부서 미사용)</t>
        </is>
      </c>
      <c r="D49" s="157" t="n">
        <v>765</v>
      </c>
      <c r="E49" s="157" t="inlineStr">
        <is>
          <t>창고전용</t>
        </is>
      </c>
      <c r="F49" s="157" t="inlineStr">
        <is>
          <t>COCOON</t>
        </is>
      </c>
      <c r="G49" s="157" t="inlineStr"/>
      <c r="H49" s="157" t="inlineStr">
        <is>
          <t>HAND BODY (ABS 난연 화이트 + 화이트 유광) [COCOON]</t>
        </is>
      </c>
      <c r="I49" s="157" t="inlineStr"/>
      <c r="J49" s="157" t="inlineStr"/>
      <c r="K49" s="160" t="inlineStr">
        <is>
          <t>[조립/COCOON 메탈 실버 유광] HAND BODY 사출 (ERP 7-AR)</t>
        </is>
      </c>
    </row>
    <row r="50">
      <c r="A50" s="157" t="n">
        <v>49</v>
      </c>
      <c r="B50" s="157" t="inlineStr">
        <is>
          <t>2차: GH 중복 제거</t>
        </is>
      </c>
      <c r="C50" s="157" t="inlineStr">
        <is>
          <t>마스터 시트에서 노랑/빨강으로 표시한 행 정리 (창고전용 + 조립 부서 미사용)</t>
        </is>
      </c>
      <c r="D50" s="157" t="n">
        <v>415</v>
      </c>
      <c r="E50" s="157" t="inlineStr">
        <is>
          <t>조립</t>
        </is>
      </c>
      <c r="F50" s="157" t="inlineStr">
        <is>
          <t>ADX6000 공용</t>
        </is>
      </c>
      <c r="G50" s="157" t="inlineStr">
        <is>
          <t>컬리메이터 콘 가이드 ASS'Y (납 부착)</t>
        </is>
      </c>
      <c r="H50" s="157" t="inlineStr"/>
      <c r="I50" s="157" t="inlineStr">
        <is>
          <t>컬리메이터 콘 가이드 ASS'Y (납 부착)</t>
        </is>
      </c>
      <c r="J50" s="157" t="inlineStr"/>
      <c r="K50" s="160" t="inlineStr">
        <is>
          <t>(원본 미상 - 수동 확인 필요)</t>
        </is>
      </c>
    </row>
    <row r="51">
      <c r="A51" s="157" t="n">
        <v>50</v>
      </c>
      <c r="B51" s="157" t="inlineStr">
        <is>
          <t>2차: GH 중복 제거</t>
        </is>
      </c>
      <c r="C51" s="157" t="inlineStr">
        <is>
          <t>마스터 시트에서 노랑/빨강으로 표시한 행 정리 (창고전용 + 조립 부서 미사용)</t>
        </is>
      </c>
      <c r="D51" s="157" t="n">
        <v>779</v>
      </c>
      <c r="E51" s="157" t="inlineStr">
        <is>
          <t>창고전용</t>
        </is>
      </c>
      <c r="F51" s="157" t="inlineStr">
        <is>
          <t>ADX6000</t>
        </is>
      </c>
      <c r="G51" s="157" t="inlineStr"/>
      <c r="H51" s="157" t="inlineStr">
        <is>
          <t>컬리메이터 FRONT 사출 (ABS 난연 화이트 + 스프레이(블랙무광)) [ADX6000]</t>
        </is>
      </c>
      <c r="I51" s="157" t="inlineStr"/>
      <c r="J51" s="157" t="inlineStr"/>
      <c r="K51" s="160" t="inlineStr">
        <is>
          <t>(원본 미상 - 수동 확인 필요)</t>
        </is>
      </c>
    </row>
    <row r="52">
      <c r="A52" s="157" t="n">
        <v>51</v>
      </c>
      <c r="B52" s="157" t="inlineStr">
        <is>
          <t>2차: GH 중복 제거</t>
        </is>
      </c>
      <c r="C52" s="157" t="inlineStr">
        <is>
          <t>마스터 시트에서 노랑/빨강으로 표시한 행 정리 (창고전용 + 조립 부서 미사용)</t>
        </is>
      </c>
      <c r="D52" s="157" t="n">
        <v>842</v>
      </c>
      <c r="E52" s="157" t="inlineStr">
        <is>
          <t>창고전용</t>
        </is>
      </c>
      <c r="F52" s="157" t="inlineStr">
        <is>
          <t>DX3000, ADX4000W</t>
        </is>
      </c>
      <c r="G52" s="157" t="inlineStr"/>
      <c r="H52" s="157" t="inlineStr">
        <is>
          <t>배터리 거치대 사출 SETS [DX3000, ADX4000W]</t>
        </is>
      </c>
      <c r="I52" s="157" t="inlineStr"/>
      <c r="J52" s="157" t="inlineStr"/>
      <c r="K52" s="160" t="inlineStr">
        <is>
          <t>(원본 미상 - 수동 확인 필요)</t>
        </is>
      </c>
    </row>
    <row r="53">
      <c r="A53" s="157" t="n">
        <v>52</v>
      </c>
      <c r="B53" s="157" t="inlineStr">
        <is>
          <t>2차: GH 중복 제거</t>
        </is>
      </c>
      <c r="C53" s="157" t="inlineStr">
        <is>
          <t>마스터 시트에서 노랑/빨강으로 표시한 행 정리 (창고전용 + 조립 부서 미사용)</t>
        </is>
      </c>
      <c r="D53" s="157" t="n">
        <v>762</v>
      </c>
      <c r="E53" s="157" t="inlineStr">
        <is>
          <t>창고전용</t>
        </is>
      </c>
      <c r="F53" s="157" t="inlineStr">
        <is>
          <t>COCOON</t>
        </is>
      </c>
      <c r="G53" s="157" t="inlineStr"/>
      <c r="H53" s="157" t="inlineStr">
        <is>
          <t>POWER BUTTON (ABS 난연 화이트 유광) [COCOON]</t>
        </is>
      </c>
      <c r="I53" s="157" t="inlineStr"/>
      <c r="J53" s="157" t="inlineStr"/>
      <c r="K53" s="160" t="inlineStr">
        <is>
          <t>[조립/DX3000] POWER BUTTON (ERP 3-AR) / [조립/ADX4000W] POWER BUTTON (ERP 4-AR)</t>
        </is>
      </c>
    </row>
    <row r="54">
      <c r="A54" s="157" t="n">
        <v>53</v>
      </c>
      <c r="B54" s="157" t="inlineStr">
        <is>
          <t>2차: GH 중복 제거</t>
        </is>
      </c>
      <c r="C54" s="157" t="inlineStr">
        <is>
          <t>마스터 시트에서 노랑/빨강으로 표시한 행 정리 (창고전용 + 조립 부서 미사용)</t>
        </is>
      </c>
      <c r="D54" s="157" t="n">
        <v>233</v>
      </c>
      <c r="E54" s="157" t="inlineStr">
        <is>
          <t>조립</t>
        </is>
      </c>
      <c r="F54" s="157" t="inlineStr">
        <is>
          <t>DX3000 블랙</t>
        </is>
      </c>
      <c r="G54" s="157" t="inlineStr">
        <is>
          <t>기본 사출 ASS'Y _ SMPS용</t>
        </is>
      </c>
      <c r="H54" s="157" t="inlineStr"/>
      <c r="I54" s="157" t="inlineStr"/>
      <c r="J54" s="157" t="inlineStr"/>
      <c r="K54" s="160" t="inlineStr">
        <is>
          <t>(원본 미상 - 수동 확인 필요)</t>
        </is>
      </c>
    </row>
    <row r="55">
      <c r="A55" s="157" t="n">
        <v>54</v>
      </c>
      <c r="B55" s="157" t="inlineStr">
        <is>
          <t>2차: GH 중복 제거</t>
        </is>
      </c>
      <c r="C55" s="157" t="inlineStr">
        <is>
          <t>마스터 시트에서 노랑/빨강으로 표시한 행 정리 (창고전용 + 조립 부서 미사용)</t>
        </is>
      </c>
      <c r="D55" s="157" t="n">
        <v>778</v>
      </c>
      <c r="E55" s="157" t="inlineStr">
        <is>
          <t>창고전용</t>
        </is>
      </c>
      <c r="F55" s="157" t="inlineStr">
        <is>
          <t>ADX6000</t>
        </is>
      </c>
      <c r="G55" s="157" t="inlineStr"/>
      <c r="H55" s="157" t="inlineStr">
        <is>
          <t>CON BD (V2.0.1) [ADX6000]</t>
        </is>
      </c>
      <c r="I55" s="157" t="inlineStr"/>
      <c r="J55" s="157" t="inlineStr"/>
      <c r="K55" s="160" t="inlineStr">
        <is>
          <t>(원본 미상 - 수동 확인 필요)</t>
        </is>
      </c>
    </row>
    <row r="56">
      <c r="A56" s="157" t="n">
        <v>55</v>
      </c>
      <c r="B56" s="157" t="inlineStr">
        <is>
          <t>2차: GH 중복 제거</t>
        </is>
      </c>
      <c r="C56" s="157" t="inlineStr">
        <is>
          <t>마스터 시트에서 노랑/빨강으로 표시한 행 정리 (창고전용 + 조립 부서 미사용)</t>
        </is>
      </c>
      <c r="D56" s="157" t="n">
        <v>883</v>
      </c>
      <c r="E56" s="157" t="inlineStr">
        <is>
          <t>창고전용</t>
        </is>
      </c>
      <c r="F56" s="157" t="inlineStr">
        <is>
          <t>ADX6000S</t>
        </is>
      </c>
      <c r="G56" s="157" t="inlineStr"/>
      <c r="H56" s="157" t="inlineStr">
        <is>
          <t>4.3" LCD (IEC266lite-43, OS 영문) [ADX6000S]</t>
        </is>
      </c>
      <c r="I56" s="157" t="inlineStr"/>
      <c r="J56" s="157" t="inlineStr"/>
      <c r="K56" s="160" t="inlineStr">
        <is>
          <t>[조립/ADX6000FB ADX6000s] 4.3" LCD 판넬 (IEC-266 &amp; IEC-1000 공용) (ERP 6-AR)</t>
        </is>
      </c>
    </row>
    <row r="57">
      <c r="A57" s="157" t="n">
        <v>56</v>
      </c>
      <c r="B57" s="157" t="inlineStr">
        <is>
          <t>2차: GH 중복 제거</t>
        </is>
      </c>
      <c r="C57" s="157" t="inlineStr">
        <is>
          <t>마스터 시트에서 노랑/빨강으로 표시한 행 정리 (창고전용 + 조립 부서 미사용)</t>
        </is>
      </c>
      <c r="D57" s="157" t="n">
        <v>793</v>
      </c>
      <c r="E57" s="157" t="inlineStr">
        <is>
          <t>창고전용</t>
        </is>
      </c>
      <c r="F57" s="157" t="inlineStr">
        <is>
          <t>DX3000</t>
        </is>
      </c>
      <c r="G57" s="157" t="inlineStr"/>
      <c r="H57" s="157" t="inlineStr">
        <is>
          <t>가방(로고 없는것)+내장재 X [DX3000]</t>
        </is>
      </c>
      <c r="I57" s="157" t="inlineStr"/>
      <c r="J57" s="157" t="inlineStr"/>
      <c r="K57" s="160" t="inlineStr">
        <is>
          <t>(원본 미상 - 수동 확인 필요)</t>
        </is>
      </c>
    </row>
    <row r="58">
      <c r="A58" s="157" t="n">
        <v>57</v>
      </c>
      <c r="B58" s="157" t="inlineStr">
        <is>
          <t>2차: GH 중복 제거</t>
        </is>
      </c>
      <c r="C58" s="157" t="inlineStr">
        <is>
          <t>마스터 시트에서 노랑/빨강으로 표시한 행 정리 (창고전용 + 조립 부서 미사용)</t>
        </is>
      </c>
      <c r="D58" s="157" t="n">
        <v>838</v>
      </c>
      <c r="E58" s="157" t="inlineStr">
        <is>
          <t>창고전용</t>
        </is>
      </c>
      <c r="F58" s="157" t="inlineStr">
        <is>
          <t>ADX6000</t>
        </is>
      </c>
      <c r="G58" s="157" t="inlineStr"/>
      <c r="H58" s="157" t="inlineStr">
        <is>
          <t>스탠드 부속품 (바-부쉬) [ADX6000]</t>
        </is>
      </c>
      <c r="I58" s="157" t="inlineStr"/>
      <c r="J58" s="157" t="inlineStr"/>
      <c r="K58" s="160" t="inlineStr">
        <is>
          <t>(원본 미상 - 수동 확인 필요)</t>
        </is>
      </c>
    </row>
    <row r="59">
      <c r="A59" s="157" t="n">
        <v>58</v>
      </c>
      <c r="B59" s="157" t="inlineStr">
        <is>
          <t>2차: GH 중복 제거</t>
        </is>
      </c>
      <c r="C59" s="157" t="inlineStr">
        <is>
          <t>마스터 시트에서 노랑/빨강으로 표시한 행 정리 (창고전용 + 조립 부서 미사용)</t>
        </is>
      </c>
      <c r="D59" s="157" t="n">
        <v>869</v>
      </c>
      <c r="E59" s="157" t="inlineStr">
        <is>
          <t>창고전용</t>
        </is>
      </c>
      <c r="F59" s="157" t="inlineStr">
        <is>
          <t>ADX6000</t>
        </is>
      </c>
      <c r="G59" s="157" t="inlineStr"/>
      <c r="H59" s="157" t="inlineStr">
        <is>
          <t>INNER USB B/D [ADX6000]</t>
        </is>
      </c>
      <c r="I59" s="157" t="inlineStr"/>
      <c r="J59" s="157" t="inlineStr"/>
      <c r="K59" s="160" t="inlineStr">
        <is>
          <t>(원본 미상 - 수동 확인 필요)</t>
        </is>
      </c>
    </row>
    <row r="60">
      <c r="A60" s="157" t="n">
        <v>59</v>
      </c>
      <c r="B60" s="157" t="inlineStr">
        <is>
          <t>2차: GH 중복 제거</t>
        </is>
      </c>
      <c r="C60" s="157" t="inlineStr">
        <is>
          <t>마스터 시트에서 노랑/빨강으로 표시한 행 정리 (창고전용 + 조립 부서 미사용)</t>
        </is>
      </c>
      <c r="D60" s="157" t="n">
        <v>877</v>
      </c>
      <c r="E60" s="157" t="inlineStr">
        <is>
          <t>창고전용</t>
        </is>
      </c>
      <c r="F60" s="157" t="inlineStr">
        <is>
          <t>ADX6000</t>
        </is>
      </c>
      <c r="G60" s="157" t="inlineStr"/>
      <c r="H60" s="157" t="inlineStr">
        <is>
          <t>LED DRIVER B/D (V1.0.0) [ADX6000]</t>
        </is>
      </c>
      <c r="I60" s="157" t="inlineStr"/>
      <c r="J60" s="157" t="inlineStr"/>
      <c r="K60" s="160" t="inlineStr">
        <is>
          <t>(원본 미상 - 수동 확인 필요)</t>
        </is>
      </c>
    </row>
    <row r="61">
      <c r="A61" s="157" t="n">
        <v>60</v>
      </c>
      <c r="B61" s="157" t="inlineStr">
        <is>
          <t>2차: GH 중복 제거</t>
        </is>
      </c>
      <c r="C61" s="157" t="inlineStr">
        <is>
          <t>마스터 시트에서 노랑/빨강으로 표시한 행 정리 (창고전용 + 조립 부서 미사용)</t>
        </is>
      </c>
      <c r="D61" s="157" t="n">
        <v>816</v>
      </c>
      <c r="E61" s="157" t="inlineStr">
        <is>
          <t>창고전용</t>
        </is>
      </c>
      <c r="F61" s="157" t="inlineStr">
        <is>
          <t>공용</t>
        </is>
      </c>
      <c r="G61" s="157" t="inlineStr"/>
      <c r="H61" s="157" t="inlineStr">
        <is>
          <t>저가 박스 에어셀 ACC (JD010412-01) [공용]</t>
        </is>
      </c>
      <c r="I61" s="157" t="inlineStr"/>
      <c r="J61" s="157" t="inlineStr"/>
      <c r="K61" s="160" t="inlineStr">
        <is>
          <t>(원본 미상 - 수동 확인 필요)</t>
        </is>
      </c>
    </row>
    <row r="62">
      <c r="A62" s="157" t="n">
        <v>61</v>
      </c>
      <c r="B62" s="157" t="inlineStr">
        <is>
          <t>2차: GH 중복 제거</t>
        </is>
      </c>
      <c r="C62" s="157" t="inlineStr">
        <is>
          <t>마스터 시트에서 노랑/빨강으로 표시한 행 정리 (창고전용 + 조립 부서 미사용)</t>
        </is>
      </c>
      <c r="D62" s="157" t="n">
        <v>867</v>
      </c>
      <c r="E62" s="157" t="inlineStr">
        <is>
          <t>창고전용</t>
        </is>
      </c>
      <c r="F62" s="157" t="inlineStr">
        <is>
          <t>COCOON</t>
        </is>
      </c>
      <c r="G62" s="157" t="inlineStr"/>
      <c r="H62" s="157" t="inlineStr">
        <is>
          <t>POWER BD [COCOON]</t>
        </is>
      </c>
      <c r="I62" s="157" t="inlineStr"/>
      <c r="J62" s="157" t="inlineStr"/>
      <c r="K62" s="160" t="inlineStr">
        <is>
          <t>[조립/ADX4000W] POWER BD (ERP 4-AR)</t>
        </is>
      </c>
    </row>
    <row r="63">
      <c r="A63" s="157" t="n">
        <v>62</v>
      </c>
      <c r="B63" s="157" t="inlineStr">
        <is>
          <t>2차: GH 중복 제거</t>
        </is>
      </c>
      <c r="C63" s="157" t="inlineStr">
        <is>
          <t>마스터 시트에서 노랑/빨강으로 표시한 행 정리 (창고전용 + 조립 부서 미사용)</t>
        </is>
      </c>
      <c r="D63" s="157" t="n">
        <v>829</v>
      </c>
      <c r="E63" s="157" t="inlineStr">
        <is>
          <t>창고전용</t>
        </is>
      </c>
      <c r="F63" s="157" t="inlineStr">
        <is>
          <t>공용</t>
        </is>
      </c>
      <c r="G63" s="157" t="inlineStr"/>
      <c r="H63" s="157" t="inlineStr">
        <is>
          <t>DEXCOWIN NAME PLATE (가방용) [공용]</t>
        </is>
      </c>
      <c r="I63" s="157" t="inlineStr"/>
      <c r="J63" s="157" t="inlineStr"/>
      <c r="K63" s="160" t="inlineStr">
        <is>
          <t>[창고전용/ADX6000] DEXCOWIN NAME PLATE (FDXD-810 디텍터용) [ADX6000] (ERP 34678-PR) / [창고전용/ADX6000] DEXCOWIN NAME PLATE (뱅가드 가방용) [ADX6000] (ERP 6-PR)</t>
        </is>
      </c>
    </row>
    <row r="64">
      <c r="A64" s="157" t="n">
        <v>63</v>
      </c>
      <c r="B64" s="157" t="inlineStr">
        <is>
          <t>2차: GH 중복 제거</t>
        </is>
      </c>
      <c r="C64" s="157" t="inlineStr">
        <is>
          <t>마스터 시트에서 노랑/빨강으로 표시한 행 정리 (창고전용 + 조립 부서 미사용)</t>
        </is>
      </c>
      <c r="D64" s="157" t="n">
        <v>813</v>
      </c>
      <c r="E64" s="157" t="inlineStr">
        <is>
          <t>창고전용</t>
        </is>
      </c>
      <c r="F64" s="157" t="inlineStr">
        <is>
          <t>DX3000</t>
        </is>
      </c>
      <c r="G64" s="157" t="inlineStr"/>
      <c r="H64" s="157" t="inlineStr">
        <is>
          <t>에어셀 BOTTOM (JD010212-02) [DX3000]</t>
        </is>
      </c>
      <c r="I64" s="157" t="inlineStr"/>
      <c r="J64" s="157" t="inlineStr"/>
      <c r="K64" s="160" t="inlineStr">
        <is>
          <t>(원본 미상 - 수동 확인 필요)</t>
        </is>
      </c>
    </row>
    <row r="65">
      <c r="A65" s="157" t="n">
        <v>64</v>
      </c>
      <c r="B65" s="157" t="inlineStr">
        <is>
          <t>2차: GH 중복 제거</t>
        </is>
      </c>
      <c r="C65" s="157" t="inlineStr">
        <is>
          <t>마스터 시트에서 노랑/빨강으로 표시한 행 정리 (창고전용 + 조립 부서 미사용)</t>
        </is>
      </c>
      <c r="D65" s="157" t="n">
        <v>840</v>
      </c>
      <c r="E65" s="157" t="inlineStr">
        <is>
          <t>창고전용</t>
        </is>
      </c>
      <c r="F65" s="157" t="inlineStr">
        <is>
          <t>ADX6000</t>
        </is>
      </c>
      <c r="G65" s="157" t="inlineStr"/>
      <c r="H65" s="157" t="inlineStr">
        <is>
          <t>스탠드 브라켓(암연결용) [ADX6000]</t>
        </is>
      </c>
      <c r="I65" s="157" t="inlineStr"/>
      <c r="J65" s="157" t="inlineStr"/>
      <c r="K65" s="160" t="inlineStr">
        <is>
          <t>(원본 미상 - 수동 확인 필요)</t>
        </is>
      </c>
    </row>
    <row r="66">
      <c r="A66" s="157" t="n">
        <v>65</v>
      </c>
      <c r="B66" s="157" t="inlineStr">
        <is>
          <t>2차: GH 중복 제거</t>
        </is>
      </c>
      <c r="C66" s="157" t="inlineStr">
        <is>
          <t>마스터 시트에서 노랑/빨강으로 표시한 행 정리 (창고전용 + 조립 부서 미사용)</t>
        </is>
      </c>
      <c r="D66" s="157" t="n">
        <v>837</v>
      </c>
      <c r="E66" s="157" t="inlineStr">
        <is>
          <t>창고전용</t>
        </is>
      </c>
      <c r="F66" s="157" t="inlineStr">
        <is>
          <t>공용</t>
        </is>
      </c>
      <c r="G66" s="157" t="inlineStr"/>
      <c r="H66" s="157" t="inlineStr">
        <is>
          <t>볼트마개 [공용]</t>
        </is>
      </c>
      <c r="I66" s="157" t="inlineStr"/>
      <c r="J66" s="157" t="inlineStr"/>
      <c r="K66" s="160" t="inlineStr">
        <is>
          <t>(원본 미상 - 수동 확인 필요)</t>
        </is>
      </c>
    </row>
    <row r="67">
      <c r="A67" s="157" t="n">
        <v>66</v>
      </c>
      <c r="B67" s="157" t="inlineStr">
        <is>
          <t>2차: GH 중복 제거</t>
        </is>
      </c>
      <c r="C67" s="157" t="inlineStr">
        <is>
          <t>마스터 시트에서 노랑/빨강으로 표시한 행 정리 (창고전용 + 조립 부서 미사용)</t>
        </is>
      </c>
      <c r="D67" s="157" t="n">
        <v>839</v>
      </c>
      <c r="E67" s="157" t="inlineStr">
        <is>
          <t>창고전용</t>
        </is>
      </c>
      <c r="F67" s="157" t="inlineStr">
        <is>
          <t>ADX6000</t>
        </is>
      </c>
      <c r="G67" s="157" t="inlineStr"/>
      <c r="H67" s="157" t="inlineStr">
        <is>
          <t>스탠드 부속품 (바-부쉬링) [ADX6000]</t>
        </is>
      </c>
      <c r="I67" s="157" t="inlineStr"/>
      <c r="J67" s="157" t="inlineStr"/>
      <c r="K67" s="160" t="inlineStr">
        <is>
          <t>(원본 미상 - 수동 확인 필요)</t>
        </is>
      </c>
    </row>
    <row r="68">
      <c r="A68" s="157" t="n">
        <v>67</v>
      </c>
      <c r="B68" s="157" t="inlineStr">
        <is>
          <t>2차: GH 중복 제거</t>
        </is>
      </c>
      <c r="C68" s="157" t="inlineStr">
        <is>
          <t>마스터 시트에서 노랑/빨강으로 표시한 행 정리 (창고전용 + 조립 부서 미사용)</t>
        </is>
      </c>
      <c r="D68" s="157" t="n">
        <v>868</v>
      </c>
      <c r="E68" s="157" t="inlineStr">
        <is>
          <t>창고전용</t>
        </is>
      </c>
      <c r="F68" s="157" t="inlineStr">
        <is>
          <t>ADX6000</t>
        </is>
      </c>
      <c r="G68" s="157" t="inlineStr"/>
      <c r="H68" s="157" t="inlineStr">
        <is>
          <t>CTR B/D [ADX6000]</t>
        </is>
      </c>
      <c r="I68" s="157" t="inlineStr"/>
      <c r="J68" s="157" t="inlineStr"/>
      <c r="K68" s="160" t="inlineStr">
        <is>
          <t>[진공/DX3000] D3CT (TFT용) (ERP 3-VR) / [진공/DX3000] DC3D (유럽용) (ERP 3-VR)</t>
        </is>
      </c>
    </row>
    <row r="69">
      <c r="A69" s="157" t="n">
        <v>68</v>
      </c>
      <c r="B69" s="157" t="inlineStr">
        <is>
          <t>2차: GH 중복 제거</t>
        </is>
      </c>
      <c r="C69" s="157" t="inlineStr">
        <is>
          <t>마스터 시트에서 노랑/빨강으로 표시한 행 정리 (창고전용 + 조립 부서 미사용)</t>
        </is>
      </c>
      <c r="D69" s="157" t="n">
        <v>766</v>
      </c>
      <c r="E69" s="157" t="inlineStr">
        <is>
          <t>창고전용</t>
        </is>
      </c>
      <c r="F69" s="157" t="inlineStr">
        <is>
          <t>COCOON</t>
        </is>
      </c>
      <c r="G69" s="157" t="inlineStr"/>
      <c r="H69" s="157" t="inlineStr">
        <is>
          <t>HAND TOP COVER (ABS 난연 화이트 유광) [COCOON]</t>
        </is>
      </c>
      <c r="I69" s="157" t="inlineStr"/>
      <c r="J69" s="157" t="inlineStr"/>
      <c r="K69" s="160" t="inlineStr">
        <is>
          <t>[조립/COCOON 메탈 실버] HAND TOP COVER 사출 (ERP 7-AR)</t>
        </is>
      </c>
    </row>
    <row r="70">
      <c r="A70" s="157" t="n">
        <v>69</v>
      </c>
      <c r="B70" s="157" t="inlineStr">
        <is>
          <t>2차: GH 중복 제거</t>
        </is>
      </c>
      <c r="C70" s="157" t="inlineStr">
        <is>
          <t>마스터 시트에서 노랑/빨강으로 표시한 행 정리 (창고전용 + 조립 부서 미사용)</t>
        </is>
      </c>
      <c r="D70" s="157" t="n">
        <v>841</v>
      </c>
      <c r="E70" s="157" t="inlineStr">
        <is>
          <t>창고전용</t>
        </is>
      </c>
      <c r="F70" s="157" t="inlineStr">
        <is>
          <t>ADX6000</t>
        </is>
      </c>
      <c r="G70" s="157" t="inlineStr"/>
      <c r="H70" s="157" t="inlineStr">
        <is>
          <t>스탠드 브라켓(제품용) [ADX6000]</t>
        </is>
      </c>
      <c r="I70" s="157" t="inlineStr"/>
      <c r="J70" s="157" t="inlineStr"/>
      <c r="K70" s="160" t="inlineStr">
        <is>
          <t>(원본 미상 - 수동 확인 필요)</t>
        </is>
      </c>
    </row>
    <row r="71">
      <c r="A71" s="157" t="n">
        <v>70</v>
      </c>
      <c r="B71" s="157" t="inlineStr">
        <is>
          <t>2차: GH 중복 제거</t>
        </is>
      </c>
      <c r="C71" s="157" t="inlineStr">
        <is>
          <t>마스터 시트에서 노랑/빨강으로 표시한 행 정리 (창고전용 + 조립 부서 미사용)</t>
        </is>
      </c>
      <c r="D71" s="157" t="n">
        <v>781</v>
      </c>
      <c r="E71" s="157" t="inlineStr">
        <is>
          <t>창고전용</t>
        </is>
      </c>
      <c r="F71" s="157" t="inlineStr">
        <is>
          <t>ADX6000</t>
        </is>
      </c>
      <c r="G71" s="157" t="inlineStr"/>
      <c r="H71" s="157" t="inlineStr">
        <is>
          <t>자석 [ADX6000]</t>
        </is>
      </c>
      <c r="I71" s="157" t="inlineStr"/>
      <c r="J71" s="157" t="inlineStr"/>
      <c r="K71" s="160" t="inlineStr">
        <is>
          <t>[조립/COCOON] 자석 (네오디움 마그넷) (ERP 67-AR)</t>
        </is>
      </c>
    </row>
    <row r="72">
      <c r="A72" s="157" t="n">
        <v>71</v>
      </c>
      <c r="B72" s="157" t="inlineStr">
        <is>
          <t>2차: GH 중복 제거</t>
        </is>
      </c>
      <c r="C72" s="157" t="inlineStr">
        <is>
          <t>마스터 시트에서 노랑/빨강으로 표시한 행 정리 (창고전용 + 조립 부서 미사용)</t>
        </is>
      </c>
      <c r="D72" s="157" t="n">
        <v>814</v>
      </c>
      <c r="E72" s="157" t="inlineStr">
        <is>
          <t>창고전용</t>
        </is>
      </c>
      <c r="F72" s="157" t="inlineStr">
        <is>
          <t>COCOON</t>
        </is>
      </c>
      <c r="G72" s="157" t="inlineStr"/>
      <c r="H72" s="157" t="inlineStr">
        <is>
          <t>에어셀 TOP (JD010311-01) [COCOON]</t>
        </is>
      </c>
      <c r="I72" s="157" t="inlineStr"/>
      <c r="J72" s="157" t="inlineStr"/>
      <c r="K72" s="160" t="inlineStr">
        <is>
          <t>(원본 미상 - 수동 확인 필요)</t>
        </is>
      </c>
    </row>
    <row r="73">
      <c r="A73" s="158" t="n">
        <v>72</v>
      </c>
      <c r="B73" s="158" t="inlineStr">
        <is>
          <t>3차: 최종 정리</t>
        </is>
      </c>
      <c r="C73" s="158" t="inlineStr">
        <is>
          <t>FRONT CONNECTOR B/D, SKIN GUARD FRAME 중복 항목 정리</t>
        </is>
      </c>
      <c r="D73" s="158" t="n">
        <v>826</v>
      </c>
      <c r="E73" s="158" t="inlineStr">
        <is>
          <t>창고전용</t>
        </is>
      </c>
      <c r="F73" s="158" t="inlineStr">
        <is>
          <t>ADX6000</t>
        </is>
      </c>
      <c r="G73" s="158" t="inlineStr"/>
      <c r="H73" s="158" t="inlineStr">
        <is>
          <t>Front Connector B/D [ADX6000]</t>
        </is>
      </c>
      <c r="I73" s="158" t="inlineStr">
        <is>
          <t>ADX6000 FRONT CONNECTOR BD</t>
        </is>
      </c>
      <c r="J73" s="158" t="inlineStr"/>
      <c r="K73" s="160" t="inlineStr">
        <is>
          <t>(원본 미상 - 수동 확인 필요)</t>
        </is>
      </c>
    </row>
    <row r="74">
      <c r="A74" s="158" t="n">
        <v>73</v>
      </c>
      <c r="B74" s="158" t="inlineStr">
        <is>
          <t>3차: 최종 정리</t>
        </is>
      </c>
      <c r="C74" s="158" t="inlineStr">
        <is>
          <t>FRONT CONNECTOR B/D, SKIN GUARD FRAME 중복 항목 정리</t>
        </is>
      </c>
      <c r="D74" s="158" t="n">
        <v>850</v>
      </c>
      <c r="E74" s="158" t="inlineStr">
        <is>
          <t>창고전용</t>
        </is>
      </c>
      <c r="F74" s="158" t="inlineStr">
        <is>
          <t>DX3000</t>
        </is>
      </c>
      <c r="G74" s="158" t="inlineStr"/>
      <c r="H74" s="158" t="inlineStr">
        <is>
          <t>SKIN GUARD FRAME [DX3000]</t>
        </is>
      </c>
      <c r="I74" s="158" t="inlineStr">
        <is>
          <t>ADX6000 SKIN GUARD FRAME</t>
        </is>
      </c>
      <c r="J74" s="158" t="inlineStr"/>
      <c r="K74" s="160" t="inlineStr">
        <is>
          <t>(원본 미상 - 수동 확인 필요)</t>
        </is>
      </c>
    </row>
    <row r="75">
      <c r="A75" s="159" t="n">
        <v>74</v>
      </c>
      <c r="B75" s="159" t="inlineStr">
        <is>
          <t>0차: 자재_재고현황_2 정리에서 누락</t>
        </is>
      </c>
      <c r="C75" s="159" t="inlineStr">
        <is>
          <t>F704 원본에는 있었으나 처음 자재 재고 현황 정리 시점에 매칭작업 엑셀로 들어오지 않은 항목</t>
        </is>
      </c>
      <c r="D75" s="159" t="inlineStr">
        <is>
          <t>F704 R525</t>
        </is>
      </c>
      <c r="E75" s="159" t="inlineStr"/>
      <c r="F75" s="159" t="inlineStr"/>
      <c r="G75" s="159" t="inlineStr">
        <is>
          <t>CD 케이스 (COCOON)</t>
        </is>
      </c>
      <c r="H75" s="159" t="inlineStr"/>
      <c r="I75" s="159" t="inlineStr"/>
      <c r="J75" s="159" t="inlineStr">
        <is>
          <t>0차 정리 단계에서 누락된 이유 확인 필요</t>
        </is>
      </c>
      <c r="K75" s="160" t="inlineStr">
        <is>
          <t>(원본 미상 - 수동 확인 필요)</t>
        </is>
      </c>
    </row>
    <row r="76">
      <c r="A76" s="159" t="n">
        <v>75</v>
      </c>
      <c r="B76" s="159" t="inlineStr">
        <is>
          <t>0차: 자재_재고현황_2 정리에서 누락</t>
        </is>
      </c>
      <c r="C76" s="159" t="inlineStr">
        <is>
          <t>F704 원본에는 있었으나 처음 자재 재고 현황 정리 시점에 매칭작업 엑셀로 들어오지 않은 항목</t>
        </is>
      </c>
      <c r="D76" s="159" t="inlineStr">
        <is>
          <t>F704 R526</t>
        </is>
      </c>
      <c r="E76" s="159" t="inlineStr"/>
      <c r="F76" s="159" t="inlineStr"/>
      <c r="G76" s="159" t="inlineStr">
        <is>
          <t>공 CD</t>
        </is>
      </c>
      <c r="H76" s="159" t="inlineStr"/>
      <c r="I76" s="159" t="inlineStr"/>
      <c r="J76" s="159" t="inlineStr">
        <is>
          <t>0차 정리 단계에서 누락된 이유 확인 필요</t>
        </is>
      </c>
      <c r="K76" s="160" t="inlineStr">
        <is>
          <t>(원본 미상 - 수동 확인 필요)</t>
        </is>
      </c>
    </row>
    <row r="77">
      <c r="A77" s="159" t="n">
        <v>76</v>
      </c>
      <c r="B77" s="159" t="inlineStr">
        <is>
          <t>0차: 자재_재고현황_2 정리에서 누락</t>
        </is>
      </c>
      <c r="C77" s="159" t="inlineStr">
        <is>
          <t>F704 원본에는 있었으나 처음 자재 재고 현황 정리 시점에 매칭작업 엑셀로 들어오지 않은 항목</t>
        </is>
      </c>
      <c r="D77" s="159" t="inlineStr">
        <is>
          <t>F704 R527</t>
        </is>
      </c>
      <c r="E77" s="159" t="inlineStr"/>
      <c r="F77" s="159" t="inlineStr"/>
      <c r="G77" s="159" t="inlineStr">
        <is>
          <t>터치 팬</t>
        </is>
      </c>
      <c r="H77" s="159" t="inlineStr"/>
      <c r="I77" s="159" t="inlineStr"/>
      <c r="J77" s="159" t="inlineStr">
        <is>
          <t>0차 정리 단계에서 누락된 이유 확인 필요</t>
        </is>
      </c>
      <c r="K77" s="160" t="inlineStr">
        <is>
          <t>[출하/ADX4000W ADX6000] 터치 팬 (ERP 4-PR)</t>
        </is>
      </c>
    </row>
    <row r="78">
      <c r="A78" s="159" t="n">
        <v>77</v>
      </c>
      <c r="B78" s="159" t="inlineStr">
        <is>
          <t>0차: 자재_재고현황_2 정리에서 누락</t>
        </is>
      </c>
      <c r="C78" s="159" t="inlineStr">
        <is>
          <t>F704 원본에는 있었으나 처음 자재 재고 현황 정리 시점에 매칭작업 엑셀로 들어오지 않은 항목</t>
        </is>
      </c>
      <c r="D78" s="159" t="inlineStr">
        <is>
          <t>F704 R528</t>
        </is>
      </c>
      <c r="E78" s="159" t="inlineStr"/>
      <c r="F78" s="159" t="inlineStr"/>
      <c r="G78" s="159" t="inlineStr">
        <is>
          <t>틸트 암 부쉬</t>
        </is>
      </c>
      <c r="H78" s="159" t="inlineStr"/>
      <c r="I78" s="159" t="inlineStr"/>
      <c r="J78" s="159" t="inlineStr">
        <is>
          <t>0차 정리 단계에서 누락된 이유 확인 필요</t>
        </is>
      </c>
      <c r="K78" s="160" t="inlineStr">
        <is>
          <t>(원본 미상 - 수동 확인 필요)</t>
        </is>
      </c>
    </row>
    <row r="79">
      <c r="A79" s="159" t="n">
        <v>78</v>
      </c>
      <c r="B79" s="159" t="inlineStr">
        <is>
          <t>0차: 자재_재고현황_2 정리에서 누락</t>
        </is>
      </c>
      <c r="C79" s="159" t="inlineStr">
        <is>
          <t>F704 원본에는 있었으나 처음 자재 재고 현황 정리 시점에 매칭작업 엑셀로 들어오지 않은 항목</t>
        </is>
      </c>
      <c r="D79" s="159" t="inlineStr">
        <is>
          <t>F704 R642</t>
        </is>
      </c>
      <c r="E79" s="159" t="inlineStr"/>
      <c r="F79" s="159" t="inlineStr"/>
      <c r="G79" s="159" t="inlineStr">
        <is>
          <t>330N 센서 하네스 1번 (배터리팩 4핀)</t>
        </is>
      </c>
      <c r="H79" s="159" t="inlineStr"/>
      <c r="I79" s="159" t="inlineStr"/>
      <c r="J79" s="159" t="inlineStr">
        <is>
          <t>0차 정리 단계에서 누락된 이유 확인 필요</t>
        </is>
      </c>
      <c r="K79" s="160" t="inlineStr">
        <is>
          <t>(원본 미상 - 수동 확인 필요)</t>
        </is>
      </c>
    </row>
    <row r="80">
      <c r="A80" s="159" t="n">
        <v>79</v>
      </c>
      <c r="B80" s="159" t="inlineStr">
        <is>
          <t>0차: 자재_재고현황_2 정리에서 누락</t>
        </is>
      </c>
      <c r="C80" s="159" t="inlineStr">
        <is>
          <t>F704 원본에는 있었으나 처음 자재 재고 현황 정리 시점에 매칭작업 엑셀로 들어오지 않은 항목</t>
        </is>
      </c>
      <c r="D80" s="159" t="inlineStr">
        <is>
          <t>F704 R643</t>
        </is>
      </c>
      <c r="E80" s="159" t="inlineStr"/>
      <c r="F80" s="159" t="inlineStr"/>
      <c r="G80" s="159" t="inlineStr">
        <is>
          <t>330N 센서 하네스 2번 (전원 스위치 2핀)</t>
        </is>
      </c>
      <c r="H80" s="159" t="inlineStr"/>
      <c r="I80" s="159" t="inlineStr"/>
      <c r="J80" s="159" t="inlineStr">
        <is>
          <t>0차 정리 단계에서 누락된 이유 확인 필요</t>
        </is>
      </c>
      <c r="K80" s="160" t="inlineStr">
        <is>
          <t>(원본 미상 - 수동 확인 필요)</t>
        </is>
      </c>
    </row>
    <row r="81">
      <c r="A81" s="159" t="n">
        <v>80</v>
      </c>
      <c r="B81" s="159" t="inlineStr">
        <is>
          <t>0차: 자재_재고현황_2 정리에서 누락</t>
        </is>
      </c>
      <c r="C81" s="159" t="inlineStr">
        <is>
          <t>F704 원본에는 있었으나 처음 자재 재고 현황 정리 시점에 매칭작업 엑셀로 들어오지 않은 항목</t>
        </is>
      </c>
      <c r="D81" s="159" t="inlineStr">
        <is>
          <t>F704 R644</t>
        </is>
      </c>
      <c r="E81" s="159" t="inlineStr"/>
      <c r="F81" s="159" t="inlineStr"/>
      <c r="G81" s="159" t="inlineStr">
        <is>
          <t>330N 센서 하네스 3번 (플랫 24핀)</t>
        </is>
      </c>
      <c r="H81" s="159" t="inlineStr"/>
      <c r="I81" s="159" t="inlineStr"/>
      <c r="J81" s="159" t="inlineStr">
        <is>
          <t>0차 정리 단계에서 누락된 이유 확인 필요</t>
        </is>
      </c>
      <c r="K81" s="160" t="inlineStr">
        <is>
          <t>(원본 미상 - 수동 확인 필요)</t>
        </is>
      </c>
    </row>
    <row r="82">
      <c r="A82" s="159" t="n">
        <v>81</v>
      </c>
      <c r="B82" s="159" t="inlineStr">
        <is>
          <t>0차: 자재_재고현황_2 정리에서 누락</t>
        </is>
      </c>
      <c r="C82" s="159" t="inlineStr">
        <is>
          <t>F704 원본에는 있었으나 처음 자재 재고 현황 정리 시점에 매칭작업 엑셀로 들어오지 않은 항목</t>
        </is>
      </c>
      <c r="D82" s="159" t="inlineStr">
        <is>
          <t>F704 R645</t>
        </is>
      </c>
      <c r="E82" s="159" t="inlineStr"/>
      <c r="F82" s="159" t="inlineStr"/>
      <c r="G82" s="159" t="inlineStr">
        <is>
          <t>330N 센서 하네스 4번 (8핀)</t>
        </is>
      </c>
      <c r="H82" s="159" t="inlineStr"/>
      <c r="I82" s="159" t="inlineStr"/>
      <c r="J82" s="159" t="inlineStr">
        <is>
          <t>0차 정리 단계에서 누락된 이유 확인 필요</t>
        </is>
      </c>
      <c r="K82" s="160" t="inlineStr">
        <is>
          <t>(원본 미상 - 수동 확인 필요)</t>
        </is>
      </c>
    </row>
    <row r="83">
      <c r="A83" s="159" t="n">
        <v>82</v>
      </c>
      <c r="B83" s="159" t="inlineStr">
        <is>
          <t>0차: 자재_재고현황_2 정리에서 누락</t>
        </is>
      </c>
      <c r="C83" s="159" t="inlineStr">
        <is>
          <t>F704 원본에는 있었으나 처음 자재 재고 현황 정리 시점에 매칭작업 엑셀로 들어오지 않은 항목</t>
        </is>
      </c>
      <c r="D83" s="159" t="inlineStr">
        <is>
          <t>F704 R646</t>
        </is>
      </c>
      <c r="E83" s="159" t="inlineStr"/>
      <c r="F83" s="159" t="inlineStr"/>
      <c r="G83" s="159" t="inlineStr">
        <is>
          <t>330N 센서 하네스 5번 (인터페이스 케이블)</t>
        </is>
      </c>
      <c r="H83" s="159" t="inlineStr"/>
      <c r="I83" s="159" t="inlineStr"/>
      <c r="J83" s="159" t="inlineStr">
        <is>
          <t>0차 정리 단계에서 누락된 이유 확인 필요</t>
        </is>
      </c>
      <c r="K83" s="160" t="inlineStr">
        <is>
          <t>(원본 미상 - 수동 확인 필요)</t>
        </is>
      </c>
    </row>
    <row r="84">
      <c r="A84" s="159" t="n">
        <v>83</v>
      </c>
      <c r="B84" s="159" t="inlineStr">
        <is>
          <t>0차: 자재_재고현황_2 정리에서 누락</t>
        </is>
      </c>
      <c r="C84" s="159" t="inlineStr">
        <is>
          <t>F704 원본에는 있었으나 처음 자재 재고 현황 정리 시점에 매칭작업 엑셀로 들어오지 않은 항목</t>
        </is>
      </c>
      <c r="D84" s="159" t="inlineStr">
        <is>
          <t>F704 R647</t>
        </is>
      </c>
      <c r="E84" s="159" t="inlineStr"/>
      <c r="F84" s="159" t="inlineStr"/>
      <c r="G84" s="159" t="inlineStr">
        <is>
          <t>330N 센서 고무발</t>
        </is>
      </c>
      <c r="H84" s="159" t="inlineStr"/>
      <c r="I84" s="159" t="inlineStr"/>
      <c r="J84" s="159" t="inlineStr">
        <is>
          <t>0차 정리 단계에서 누락된 이유 확인 필요</t>
        </is>
      </c>
      <c r="K84" s="160" t="inlineStr">
        <is>
          <t>(원본 미상 - 수동 확인 필요)</t>
        </is>
      </c>
    </row>
    <row r="85">
      <c r="A85" s="159" t="n">
        <v>84</v>
      </c>
      <c r="B85" s="159" t="inlineStr">
        <is>
          <t>0차: 자재_재고현황_2 정리에서 누락</t>
        </is>
      </c>
      <c r="C85" s="159" t="inlineStr">
        <is>
          <t>F704 원본에는 있었으나 처음 자재 재고 현황 정리 시점에 매칭작업 엑셀로 들어오지 않은 항목</t>
        </is>
      </c>
      <c r="D85" s="159" t="inlineStr">
        <is>
          <t>F704 R650</t>
        </is>
      </c>
      <c r="E85" s="159" t="inlineStr"/>
      <c r="F85" s="159" t="inlineStr"/>
      <c r="G85" s="159" t="inlineStr">
        <is>
          <t>SMPS (PSU) (DEX-A085-M, 17V,5A(85W))</t>
        </is>
      </c>
      <c r="H85" s="159" t="inlineStr"/>
      <c r="I85" s="159" t="inlineStr"/>
      <c r="J85" s="159" t="inlineStr">
        <is>
          <t>0차 정리 단계에서 누락된 이유 확인 필요</t>
        </is>
      </c>
      <c r="K85" s="160" t="inlineStr">
        <is>
          <t>(원본 미상 - 수동 확인 필요)</t>
        </is>
      </c>
    </row>
    <row r="86">
      <c r="A86" s="159" t="n">
        <v>85</v>
      </c>
      <c r="B86" s="159" t="inlineStr">
        <is>
          <t>0차: 자재_재고현황_2 정리에서 누락</t>
        </is>
      </c>
      <c r="C86" s="159" t="inlineStr">
        <is>
          <t>F704 원본에는 있었으나 처음 자재 재고 현황 정리 시점에 매칭작업 엑셀로 들어오지 않은 항목</t>
        </is>
      </c>
      <c r="D86" s="159" t="inlineStr">
        <is>
          <t>F704 R651</t>
        </is>
      </c>
      <c r="E86" s="159" t="inlineStr"/>
      <c r="F86" s="159" t="inlineStr"/>
      <c r="G86" s="159" t="inlineStr">
        <is>
          <t>마그네틱 젠더</t>
        </is>
      </c>
      <c r="H86" s="159" t="inlineStr"/>
      <c r="I86" s="159" t="inlineStr"/>
      <c r="J86" s="159" t="inlineStr">
        <is>
          <t>0차 정리 단계에서 누락된 이유 확인 필요</t>
        </is>
      </c>
      <c r="K86" s="160" t="inlineStr">
        <is>
          <t>(원본 미상 - 수동 확인 필요)</t>
        </is>
      </c>
    </row>
    <row r="87">
      <c r="A87" s="159" t="n">
        <v>86</v>
      </c>
      <c r="B87" s="159" t="inlineStr">
        <is>
          <t>0차: 자재_재고현황_2 정리에서 누락</t>
        </is>
      </c>
      <c r="C87" s="159" t="inlineStr">
        <is>
          <t>F704 원본에는 있었으나 처음 자재 재고 현황 정리 시점에 매칭작업 엑셀로 들어오지 않은 항목</t>
        </is>
      </c>
      <c r="D87" s="159" t="inlineStr">
        <is>
          <t>F704 R652</t>
        </is>
      </c>
      <c r="E87" s="159" t="inlineStr"/>
      <c r="F87" s="159" t="inlineStr"/>
      <c r="G87" s="159" t="inlineStr">
        <is>
          <t>스킨가드 (구형, AL 가공 + 흑색 아노다이징)</t>
        </is>
      </c>
      <c r="H87" s="159" t="inlineStr"/>
      <c r="I87" s="159" t="inlineStr"/>
      <c r="J87" s="159" t="inlineStr">
        <is>
          <t>0차 정리 단계에서 누락된 이유 확인 필요</t>
        </is>
      </c>
      <c r="K87" s="160" t="inlineStr">
        <is>
          <t>[출하/ADX6000 공용] 스킨가드(밸크로) (ERP 6-PR)</t>
        </is>
      </c>
    </row>
    <row r="88">
      <c r="A88" s="159" t="n">
        <v>87</v>
      </c>
      <c r="B88" s="159" t="inlineStr">
        <is>
          <t>0차: 자재_재고현황_2 정리에서 누락</t>
        </is>
      </c>
      <c r="C88" s="159" t="inlineStr">
        <is>
          <t>F704 원본에는 있었으나 처음 자재 재고 현황 정리 시점에 매칭작업 엑셀로 들어오지 않은 항목</t>
        </is>
      </c>
      <c r="D88" s="159" t="inlineStr">
        <is>
          <t>F704 R653</t>
        </is>
      </c>
      <c r="E88" s="159" t="inlineStr"/>
      <c r="F88" s="159" t="inlineStr"/>
      <c r="G88" s="159" t="inlineStr">
        <is>
          <t>와이어 몰드</t>
        </is>
      </c>
      <c r="H88" s="159" t="inlineStr"/>
      <c r="I88" s="159" t="inlineStr"/>
      <c r="J88" s="159" t="inlineStr">
        <is>
          <t>0차 정리 단계에서 누락된 이유 확인 필요</t>
        </is>
      </c>
      <c r="K88" s="160" t="inlineStr">
        <is>
          <t>(원본 미상 - 수동 확인 필요)</t>
        </is>
      </c>
    </row>
  </sheetData>
  <autoFilter ref="A1:J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2026-04-24T01:58:39Z</dcterms:created>
  <dcterms:modified xmlns:dcterms="http://purl.org/dc/terms/" xmlns:xsi="http://www.w3.org/2001/XMLSchema-instance" xsi:type="dcterms:W3CDTF">2026-05-21T01:38:07Z</dcterms:modified>
  <cp:lastModifiedBy>승범 유</cp:lastModifiedBy>
</cp:coreProperties>
</file>