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RP\_attic\data\0520 권동환 사원님 재고\"/>
    </mc:Choice>
  </mc:AlternateContent>
  <xr:revisionPtr revIDLastSave="0" documentId="13_ncr:1_{6B08A661-E902-437A-A4E1-55B158B89425}" xr6:coauthVersionLast="47" xr6:coauthVersionMax="47" xr10:uidLastSave="{00000000-0000-0000-0000-000000000000}"/>
  <bookViews>
    <workbookView xWindow="-28920" yWindow="-120" windowWidth="29040" windowHeight="15720" tabRatio="590" activeTab="1" xr2:uid="{00000000-000D-0000-FFFF-FFFF00000000}"/>
  </bookViews>
  <sheets>
    <sheet name="전체" sheetId="1" r:id="rId1"/>
    <sheet name="26.05월_수정본" sheetId="2" r:id="rId2"/>
    <sheet name="수정본" sheetId="3" r:id="rId3"/>
  </sheets>
  <externalReferences>
    <externalReference r:id="rId4"/>
    <externalReference r:id="rId5"/>
  </externalReferences>
  <definedNames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'26.05월_수정본'!$A$3:$BG$683</definedName>
    <definedName name="_xlnm._FilterDatabase" localSheetId="0" hidden="1">전체!$A$3:$BE$654</definedName>
    <definedName name="ex" hidden="1">[1]부품표!$A$4:$A$4</definedName>
    <definedName name="ss" localSheetId="1" hidden="1">#REF!</definedName>
    <definedName name="ss" localSheetId="0" hidden="1">#REF!</definedName>
    <definedName name="ss" hidden="1">#REF!</definedName>
    <definedName name="고객사">[2]통합!$I$3:$J$8</definedName>
    <definedName name="모델" localSheetId="1">#REF!</definedName>
    <definedName name="모델" localSheetId="0">#REF!</definedName>
    <definedName name="모델">#REF!</definedName>
    <definedName name="수주">[2]통합!$J$11:$J$1671</definedName>
    <definedName name="수주월">[2]통합!$B$11:$B$1679</definedName>
    <definedName name="수주월모델">[2]통합!$Y$11:$Y$1665</definedName>
    <definedName name="ㅇㅇ" localSheetId="1" hidden="1">#REF!</definedName>
    <definedName name="ㅇㅇ" localSheetId="0" hidden="1">#REF!</definedName>
    <definedName name="ㅇㅇ" hidden="1">#REF!</definedName>
    <definedName name="인치">[2]통합!$G$11:$G$1671</definedName>
    <definedName name="접수자">[2]통합!$D$4:$E$5</definedName>
    <definedName name="주문">[2]통합!$A$11:$AB$1656</definedName>
    <definedName name="출고">[2]통합!$O$11:$O$1671</definedName>
    <definedName name="출고대기">[2]통합!$M$11:$M$1671</definedName>
    <definedName name="출고요청월" localSheetId="1">#REF!</definedName>
    <definedName name="출고요청월" localSheetId="0">#REF!</definedName>
    <definedName name="출고요청월">#REF!</definedName>
    <definedName name="출고월" localSheetId="1">#REF!</definedName>
    <definedName name="출고월" localSheetId="0">#REF!</definedName>
    <definedName name="출고월">#REF!</definedName>
    <definedName name="출고월모델">[2]통합!$AA$11:$AA$1665</definedName>
    <definedName name="타입">[2]타입!$C$4:$F$211</definedName>
    <definedName name="현황" localSheetId="1">#REF!</definedName>
    <definedName name="현황" localSheetId="0">#REF!</definedName>
    <definedName name="현황">#REF!</definedName>
  </definedNames>
  <calcPr calcId="191029" iterateDelta="1E-4"/>
</workbook>
</file>

<file path=xl/calcChain.xml><?xml version="1.0" encoding="utf-8"?>
<calcChain xmlns="http://schemas.openxmlformats.org/spreadsheetml/2006/main">
  <c r="BE651" i="3" l="1"/>
  <c r="AZ651" i="3"/>
  <c r="AE651" i="3"/>
  <c r="V651" i="3"/>
  <c r="O651" i="3" s="1"/>
  <c r="BE650" i="3"/>
  <c r="AZ650" i="3"/>
  <c r="AE650" i="3"/>
  <c r="V650" i="3"/>
  <c r="O650" i="3" s="1"/>
  <c r="BE649" i="3"/>
  <c r="AZ649" i="3"/>
  <c r="AE649" i="3"/>
  <c r="V649" i="3"/>
  <c r="O649" i="3"/>
  <c r="BE648" i="3"/>
  <c r="AZ648" i="3"/>
  <c r="AE648" i="3"/>
  <c r="V648" i="3"/>
  <c r="O648" i="3"/>
  <c r="BE647" i="3"/>
  <c r="AZ647" i="3"/>
  <c r="AE647" i="3"/>
  <c r="O647" i="3" s="1"/>
  <c r="V647" i="3"/>
  <c r="BE646" i="3"/>
  <c r="AZ646" i="3"/>
  <c r="AE646" i="3"/>
  <c r="O646" i="3" s="1"/>
  <c r="V646" i="3"/>
  <c r="BE645" i="3"/>
  <c r="AZ645" i="3"/>
  <c r="AE645" i="3"/>
  <c r="V645" i="3"/>
  <c r="O645" i="3" s="1"/>
  <c r="BE644" i="3"/>
  <c r="AZ644" i="3"/>
  <c r="AE644" i="3"/>
  <c r="V644" i="3"/>
  <c r="O644" i="3"/>
  <c r="BE643" i="3"/>
  <c r="AZ643" i="3"/>
  <c r="AE643" i="3"/>
  <c r="V643" i="3"/>
  <c r="O643" i="3" s="1"/>
  <c r="BE642" i="3"/>
  <c r="AZ642" i="3"/>
  <c r="AE642" i="3"/>
  <c r="V642" i="3"/>
  <c r="O642" i="3"/>
  <c r="BE641" i="3"/>
  <c r="AZ641" i="3"/>
  <c r="AE641" i="3"/>
  <c r="V641" i="3"/>
  <c r="O641" i="3" s="1"/>
  <c r="BE640" i="3"/>
  <c r="AZ640" i="3"/>
  <c r="AE640" i="3"/>
  <c r="V640" i="3"/>
  <c r="O640" i="3" s="1"/>
  <c r="BE639" i="3"/>
  <c r="AZ639" i="3"/>
  <c r="AE639" i="3"/>
  <c r="V639" i="3"/>
  <c r="O639" i="3" s="1"/>
  <c r="BE638" i="3"/>
  <c r="AZ638" i="3"/>
  <c r="AE638" i="3"/>
  <c r="V638" i="3"/>
  <c r="O638" i="3" s="1"/>
  <c r="BE637" i="3"/>
  <c r="AZ637" i="3"/>
  <c r="AE637" i="3"/>
  <c r="V637" i="3"/>
  <c r="O637" i="3"/>
  <c r="BE636" i="3"/>
  <c r="AZ636" i="3"/>
  <c r="AE636" i="3"/>
  <c r="V636" i="3"/>
  <c r="O636" i="3"/>
  <c r="BE635" i="3"/>
  <c r="AZ635" i="3"/>
  <c r="AE635" i="3"/>
  <c r="V635" i="3"/>
  <c r="O635" i="3" s="1"/>
  <c r="BE634" i="3"/>
  <c r="AZ634" i="3"/>
  <c r="AE634" i="3"/>
  <c r="O634" i="3" s="1"/>
  <c r="V634" i="3"/>
  <c r="BE633" i="3"/>
  <c r="AZ633" i="3"/>
  <c r="AE633" i="3"/>
  <c r="V633" i="3"/>
  <c r="O633" i="3" s="1"/>
  <c r="BE632" i="3"/>
  <c r="AZ632" i="3"/>
  <c r="AE632" i="3"/>
  <c r="V632" i="3"/>
  <c r="O632" i="3"/>
  <c r="BE631" i="3"/>
  <c r="AZ631" i="3"/>
  <c r="AE631" i="3"/>
  <c r="V631" i="3"/>
  <c r="O631" i="3" s="1"/>
  <c r="BE630" i="3"/>
  <c r="AZ630" i="3"/>
  <c r="AE630" i="3"/>
  <c r="V630" i="3"/>
  <c r="O630" i="3"/>
  <c r="BE629" i="3"/>
  <c r="AZ629" i="3"/>
  <c r="AE629" i="3"/>
  <c r="V629" i="3"/>
  <c r="O629" i="3" s="1"/>
  <c r="BE628" i="3"/>
  <c r="AZ628" i="3"/>
  <c r="AE628" i="3"/>
  <c r="V628" i="3"/>
  <c r="O628" i="3" s="1"/>
  <c r="BE627" i="3"/>
  <c r="AZ627" i="3"/>
  <c r="AE627" i="3"/>
  <c r="V627" i="3"/>
  <c r="O627" i="3" s="1"/>
  <c r="BE626" i="3"/>
  <c r="AZ626" i="3"/>
  <c r="AE626" i="3"/>
  <c r="V626" i="3"/>
  <c r="O626" i="3" s="1"/>
  <c r="BE625" i="3"/>
  <c r="AZ625" i="3"/>
  <c r="AE625" i="3"/>
  <c r="V625" i="3"/>
  <c r="O625" i="3"/>
  <c r="BE624" i="3"/>
  <c r="AZ624" i="3"/>
  <c r="AE624" i="3"/>
  <c r="V624" i="3"/>
  <c r="O624" i="3"/>
  <c r="BE623" i="3"/>
  <c r="AZ623" i="3"/>
  <c r="AE623" i="3"/>
  <c r="V623" i="3"/>
  <c r="O623" i="3" s="1"/>
  <c r="BE622" i="3"/>
  <c r="AZ622" i="3"/>
  <c r="AE622" i="3"/>
  <c r="O622" i="3" s="1"/>
  <c r="V622" i="3"/>
  <c r="BE621" i="3"/>
  <c r="AZ621" i="3"/>
  <c r="AE621" i="3"/>
  <c r="V621" i="3"/>
  <c r="O621" i="3" s="1"/>
  <c r="BE620" i="3"/>
  <c r="AZ620" i="3"/>
  <c r="AE620" i="3"/>
  <c r="V620" i="3"/>
  <c r="O620" i="3"/>
  <c r="BE619" i="3"/>
  <c r="AZ619" i="3"/>
  <c r="AE619" i="3"/>
  <c r="V619" i="3"/>
  <c r="O619" i="3" s="1"/>
  <c r="BE618" i="3"/>
  <c r="AZ618" i="3"/>
  <c r="AE618" i="3"/>
  <c r="V618" i="3"/>
  <c r="O618" i="3"/>
  <c r="BE617" i="3"/>
  <c r="AZ617" i="3"/>
  <c r="AE617" i="3"/>
  <c r="V617" i="3"/>
  <c r="O617" i="3" s="1"/>
  <c r="BE616" i="3"/>
  <c r="AZ616" i="3"/>
  <c r="AE616" i="3"/>
  <c r="V616" i="3"/>
  <c r="O616" i="3" s="1"/>
  <c r="BE615" i="3"/>
  <c r="AZ615" i="3"/>
  <c r="AE615" i="3"/>
  <c r="V615" i="3"/>
  <c r="O615" i="3" s="1"/>
  <c r="BE614" i="3"/>
  <c r="AZ614" i="3"/>
  <c r="AE614" i="3"/>
  <c r="V614" i="3"/>
  <c r="O614" i="3" s="1"/>
  <c r="BE613" i="3"/>
  <c r="AZ613" i="3"/>
  <c r="AE613" i="3"/>
  <c r="V613" i="3"/>
  <c r="O613" i="3"/>
  <c r="BE612" i="3"/>
  <c r="AZ612" i="3"/>
  <c r="AE612" i="3"/>
  <c r="V612" i="3"/>
  <c r="O612" i="3"/>
  <c r="BE611" i="3"/>
  <c r="AZ611" i="3"/>
  <c r="AE611" i="3"/>
  <c r="V611" i="3"/>
  <c r="O611" i="3" s="1"/>
  <c r="BE610" i="3"/>
  <c r="AZ610" i="3"/>
  <c r="AE610" i="3"/>
  <c r="O610" i="3" s="1"/>
  <c r="V610" i="3"/>
  <c r="BE609" i="3"/>
  <c r="AZ609" i="3"/>
  <c r="AE609" i="3"/>
  <c r="V609" i="3"/>
  <c r="O609" i="3" s="1"/>
  <c r="BE608" i="3"/>
  <c r="AZ608" i="3"/>
  <c r="AE608" i="3"/>
  <c r="V608" i="3"/>
  <c r="O608" i="3"/>
  <c r="BE607" i="3"/>
  <c r="AZ607" i="3"/>
  <c r="AE607" i="3"/>
  <c r="V607" i="3"/>
  <c r="O607" i="3" s="1"/>
  <c r="BE606" i="3"/>
  <c r="AZ606" i="3"/>
  <c r="AE606" i="3"/>
  <c r="V606" i="3"/>
  <c r="O606" i="3"/>
  <c r="BE605" i="3"/>
  <c r="AZ605" i="3"/>
  <c r="AE605" i="3"/>
  <c r="V605" i="3"/>
  <c r="O605" i="3" s="1"/>
  <c r="BE604" i="3"/>
  <c r="AZ604" i="3"/>
  <c r="AE604" i="3"/>
  <c r="V604" i="3"/>
  <c r="O604" i="3" s="1"/>
  <c r="BE603" i="3"/>
  <c r="AZ603" i="3"/>
  <c r="AE603" i="3"/>
  <c r="V603" i="3"/>
  <c r="O603" i="3" s="1"/>
  <c r="BE602" i="3"/>
  <c r="AZ602" i="3"/>
  <c r="AE602" i="3"/>
  <c r="V602" i="3"/>
  <c r="O602" i="3" s="1"/>
  <c r="BE601" i="3"/>
  <c r="AZ601" i="3"/>
  <c r="AE601" i="3"/>
  <c r="V601" i="3"/>
  <c r="O601" i="3"/>
  <c r="BE600" i="3"/>
  <c r="AZ600" i="3"/>
  <c r="AE600" i="3"/>
  <c r="V600" i="3"/>
  <c r="O600" i="3"/>
  <c r="BE599" i="3"/>
  <c r="AZ599" i="3"/>
  <c r="AE599" i="3"/>
  <c r="V599" i="3"/>
  <c r="O599" i="3" s="1"/>
  <c r="BE598" i="3"/>
  <c r="AZ598" i="3"/>
  <c r="AE598" i="3"/>
  <c r="O598" i="3" s="1"/>
  <c r="V598" i="3"/>
  <c r="BE597" i="3"/>
  <c r="AZ597" i="3"/>
  <c r="AE597" i="3"/>
  <c r="V597" i="3"/>
  <c r="O597" i="3" s="1"/>
  <c r="BE596" i="3"/>
  <c r="AZ596" i="3"/>
  <c r="AE596" i="3"/>
  <c r="V596" i="3"/>
  <c r="O596" i="3"/>
  <c r="BE595" i="3"/>
  <c r="AZ595" i="3"/>
  <c r="AE595" i="3"/>
  <c r="V595" i="3"/>
  <c r="O595" i="3" s="1"/>
  <c r="BE594" i="3"/>
  <c r="AZ594" i="3"/>
  <c r="AE594" i="3"/>
  <c r="V594" i="3"/>
  <c r="O594" i="3"/>
  <c r="BE593" i="3"/>
  <c r="AZ593" i="3"/>
  <c r="AE593" i="3"/>
  <c r="V593" i="3"/>
  <c r="O593" i="3" s="1"/>
  <c r="BE592" i="3"/>
  <c r="AZ592" i="3"/>
  <c r="AE592" i="3"/>
  <c r="V592" i="3"/>
  <c r="O592" i="3" s="1"/>
  <c r="BE591" i="3"/>
  <c r="AZ591" i="3"/>
  <c r="AE591" i="3"/>
  <c r="V591" i="3"/>
  <c r="O591" i="3" s="1"/>
  <c r="BE590" i="3"/>
  <c r="AZ590" i="3"/>
  <c r="AE590" i="3"/>
  <c r="V590" i="3"/>
  <c r="O590" i="3" s="1"/>
  <c r="BE589" i="3"/>
  <c r="AZ589" i="3"/>
  <c r="AE589" i="3"/>
  <c r="V589" i="3"/>
  <c r="O589" i="3"/>
  <c r="BE588" i="3"/>
  <c r="AZ588" i="3"/>
  <c r="AE588" i="3"/>
  <c r="V588" i="3"/>
  <c r="O588" i="3"/>
  <c r="BE587" i="3"/>
  <c r="AZ587" i="3"/>
  <c r="AE587" i="3"/>
  <c r="V587" i="3"/>
  <c r="O587" i="3" s="1"/>
  <c r="BE586" i="3"/>
  <c r="AZ586" i="3"/>
  <c r="AE586" i="3"/>
  <c r="O586" i="3" s="1"/>
  <c r="V586" i="3"/>
  <c r="BE585" i="3"/>
  <c r="AZ585" i="3"/>
  <c r="AE585" i="3"/>
  <c r="V585" i="3"/>
  <c r="O585" i="3" s="1"/>
  <c r="BE584" i="3"/>
  <c r="AZ584" i="3"/>
  <c r="AE584" i="3"/>
  <c r="V584" i="3"/>
  <c r="O584" i="3"/>
  <c r="BE583" i="3"/>
  <c r="AZ583" i="3"/>
  <c r="AE583" i="3"/>
  <c r="V583" i="3"/>
  <c r="O583" i="3" s="1"/>
  <c r="BE582" i="3"/>
  <c r="AZ582" i="3"/>
  <c r="AE582" i="3"/>
  <c r="V582" i="3"/>
  <c r="O582" i="3"/>
  <c r="BE581" i="3"/>
  <c r="AZ581" i="3"/>
  <c r="AE581" i="3"/>
  <c r="V581" i="3"/>
  <c r="O581" i="3" s="1"/>
  <c r="BE580" i="3"/>
  <c r="AZ580" i="3"/>
  <c r="AE580" i="3"/>
  <c r="V580" i="3"/>
  <c r="O580" i="3" s="1"/>
  <c r="BE579" i="3"/>
  <c r="AZ579" i="3"/>
  <c r="AE579" i="3"/>
  <c r="V579" i="3"/>
  <c r="O579" i="3" s="1"/>
  <c r="O578" i="3"/>
  <c r="BE577" i="3"/>
  <c r="AZ577" i="3"/>
  <c r="AE577" i="3"/>
  <c r="V577" i="3"/>
  <c r="O577" i="3" s="1"/>
  <c r="BE576" i="3"/>
  <c r="AZ576" i="3"/>
  <c r="AE576" i="3"/>
  <c r="V576" i="3"/>
  <c r="O576" i="3"/>
  <c r="BE575" i="3"/>
  <c r="AZ575" i="3"/>
  <c r="AE575" i="3"/>
  <c r="V575" i="3"/>
  <c r="O575" i="3" s="1"/>
  <c r="BE574" i="3"/>
  <c r="AZ574" i="3"/>
  <c r="AE574" i="3"/>
  <c r="V574" i="3"/>
  <c r="O574" i="3"/>
  <c r="BE573" i="3"/>
  <c r="AZ573" i="3"/>
  <c r="AE573" i="3"/>
  <c r="V573" i="3"/>
  <c r="O573" i="3" s="1"/>
  <c r="BE572" i="3"/>
  <c r="AZ572" i="3"/>
  <c r="AE572" i="3"/>
  <c r="V572" i="3"/>
  <c r="O572" i="3" s="1"/>
  <c r="BE571" i="3"/>
  <c r="AZ571" i="3"/>
  <c r="AE571" i="3"/>
  <c r="V571" i="3"/>
  <c r="O571" i="3" s="1"/>
  <c r="BE570" i="3"/>
  <c r="AZ570" i="3"/>
  <c r="AE570" i="3"/>
  <c r="V570" i="3"/>
  <c r="O570" i="3" s="1"/>
  <c r="BE569" i="3"/>
  <c r="AZ569" i="3"/>
  <c r="AE569" i="3"/>
  <c r="V569" i="3"/>
  <c r="O569" i="3"/>
  <c r="BE568" i="3"/>
  <c r="AZ568" i="3"/>
  <c r="AE568" i="3"/>
  <c r="V568" i="3"/>
  <c r="O568" i="3"/>
  <c r="BE567" i="3"/>
  <c r="AZ567" i="3"/>
  <c r="AE567" i="3"/>
  <c r="V567" i="3"/>
  <c r="O567" i="3" s="1"/>
  <c r="BE566" i="3"/>
  <c r="AZ566" i="3"/>
  <c r="AE566" i="3"/>
  <c r="O566" i="3" s="1"/>
  <c r="V566" i="3"/>
  <c r="BE564" i="3"/>
  <c r="AZ564" i="3"/>
  <c r="AE564" i="3"/>
  <c r="V564" i="3"/>
  <c r="O564" i="3" s="1"/>
  <c r="BE563" i="3"/>
  <c r="AZ563" i="3"/>
  <c r="AE563" i="3"/>
  <c r="V563" i="3"/>
  <c r="O563" i="3"/>
  <c r="BE562" i="3"/>
  <c r="AZ562" i="3"/>
  <c r="AE562" i="3"/>
  <c r="V562" i="3"/>
  <c r="O562" i="3" s="1"/>
  <c r="BE561" i="3"/>
  <c r="AZ561" i="3"/>
  <c r="AE561" i="3"/>
  <c r="V561" i="3"/>
  <c r="O561" i="3"/>
  <c r="BE560" i="3"/>
  <c r="AZ560" i="3"/>
  <c r="AE560" i="3"/>
  <c r="V560" i="3"/>
  <c r="O560" i="3" s="1"/>
  <c r="BE559" i="3"/>
  <c r="AZ559" i="3"/>
  <c r="AE559" i="3"/>
  <c r="V559" i="3"/>
  <c r="O559" i="3" s="1"/>
  <c r="BE558" i="3"/>
  <c r="AZ558" i="3"/>
  <c r="AE558" i="3"/>
  <c r="V558" i="3"/>
  <c r="O558" i="3" s="1"/>
  <c r="BE557" i="3"/>
  <c r="AZ557" i="3"/>
  <c r="AE557" i="3"/>
  <c r="V557" i="3"/>
  <c r="O557" i="3" s="1"/>
  <c r="BE556" i="3"/>
  <c r="AZ556" i="3"/>
  <c r="AE556" i="3"/>
  <c r="V556" i="3"/>
  <c r="O556" i="3"/>
  <c r="BE555" i="3"/>
  <c r="AZ555" i="3"/>
  <c r="AE555" i="3"/>
  <c r="V555" i="3"/>
  <c r="O555" i="3"/>
  <c r="BE554" i="3"/>
  <c r="AZ554" i="3"/>
  <c r="AE554" i="3"/>
  <c r="O554" i="3" s="1"/>
  <c r="V554" i="3"/>
  <c r="BE553" i="3"/>
  <c r="AZ553" i="3"/>
  <c r="AE553" i="3"/>
  <c r="O553" i="3" s="1"/>
  <c r="V553" i="3"/>
  <c r="BE552" i="3"/>
  <c r="AZ552" i="3"/>
  <c r="AE552" i="3"/>
  <c r="V552" i="3"/>
  <c r="O552" i="3" s="1"/>
  <c r="BE551" i="3"/>
  <c r="AZ551" i="3"/>
  <c r="AE551" i="3"/>
  <c r="V551" i="3"/>
  <c r="O551" i="3"/>
  <c r="BE550" i="3"/>
  <c r="AZ550" i="3"/>
  <c r="AE550" i="3"/>
  <c r="V550" i="3"/>
  <c r="O550" i="3" s="1"/>
  <c r="BE549" i="3"/>
  <c r="AZ549" i="3"/>
  <c r="AE549" i="3"/>
  <c r="V549" i="3"/>
  <c r="O549" i="3"/>
  <c r="BE548" i="3"/>
  <c r="AZ548" i="3"/>
  <c r="AE548" i="3"/>
  <c r="V548" i="3"/>
  <c r="O548" i="3" s="1"/>
  <c r="BE547" i="3"/>
  <c r="AZ547" i="3"/>
  <c r="AE547" i="3"/>
  <c r="V547" i="3"/>
  <c r="O547" i="3" s="1"/>
  <c r="BE546" i="3"/>
  <c r="AZ546" i="3"/>
  <c r="AE546" i="3"/>
  <c r="V546" i="3"/>
  <c r="O546" i="3" s="1"/>
  <c r="BE545" i="3"/>
  <c r="AZ545" i="3"/>
  <c r="AE545" i="3"/>
  <c r="V545" i="3"/>
  <c r="O545" i="3" s="1"/>
  <c r="BE544" i="3"/>
  <c r="AZ544" i="3"/>
  <c r="AE544" i="3"/>
  <c r="V544" i="3"/>
  <c r="O544" i="3"/>
  <c r="BE543" i="3"/>
  <c r="AZ543" i="3"/>
  <c r="AE543" i="3"/>
  <c r="V543" i="3"/>
  <c r="O543" i="3"/>
  <c r="BE542" i="3"/>
  <c r="AZ542" i="3"/>
  <c r="AE542" i="3"/>
  <c r="V542" i="3"/>
  <c r="O542" i="3" s="1"/>
  <c r="BE541" i="3"/>
  <c r="AZ541" i="3"/>
  <c r="AE541" i="3"/>
  <c r="O541" i="3" s="1"/>
  <c r="V541" i="3"/>
  <c r="BE540" i="3"/>
  <c r="AZ540" i="3"/>
  <c r="AE540" i="3"/>
  <c r="V540" i="3"/>
  <c r="O540" i="3" s="1"/>
  <c r="BE539" i="3"/>
  <c r="AZ539" i="3"/>
  <c r="AE539" i="3"/>
  <c r="V539" i="3"/>
  <c r="O539" i="3"/>
  <c r="BE538" i="3"/>
  <c r="AZ538" i="3"/>
  <c r="AE538" i="3"/>
  <c r="V538" i="3"/>
  <c r="O538" i="3" s="1"/>
  <c r="BE537" i="3"/>
  <c r="AZ537" i="3"/>
  <c r="AE537" i="3"/>
  <c r="V537" i="3"/>
  <c r="O537" i="3"/>
  <c r="BE536" i="3"/>
  <c r="AZ536" i="3"/>
  <c r="AE536" i="3"/>
  <c r="V536" i="3"/>
  <c r="O536" i="3" s="1"/>
  <c r="BE535" i="3"/>
  <c r="AZ535" i="3"/>
  <c r="AE535" i="3"/>
  <c r="V535" i="3"/>
  <c r="O535" i="3" s="1"/>
  <c r="BE534" i="3"/>
  <c r="AZ534" i="3"/>
  <c r="AE534" i="3"/>
  <c r="V534" i="3"/>
  <c r="O534" i="3" s="1"/>
  <c r="BE533" i="3"/>
  <c r="AZ533" i="3"/>
  <c r="AE533" i="3"/>
  <c r="V533" i="3"/>
  <c r="O533" i="3" s="1"/>
  <c r="BE532" i="3"/>
  <c r="AZ532" i="3"/>
  <c r="AE532" i="3"/>
  <c r="V532" i="3"/>
  <c r="O532" i="3"/>
  <c r="BE531" i="3"/>
  <c r="AZ531" i="3"/>
  <c r="AE531" i="3"/>
  <c r="V531" i="3"/>
  <c r="O531" i="3"/>
  <c r="BE530" i="3"/>
  <c r="AZ530" i="3"/>
  <c r="AE530" i="3"/>
  <c r="V530" i="3"/>
  <c r="O530" i="3" s="1"/>
  <c r="BE529" i="3"/>
  <c r="AZ529" i="3"/>
  <c r="AE529" i="3"/>
  <c r="O529" i="3" s="1"/>
  <c r="V529" i="3"/>
  <c r="BE528" i="3"/>
  <c r="AZ528" i="3"/>
  <c r="AE528" i="3"/>
  <c r="V528" i="3"/>
  <c r="O528" i="3" s="1"/>
  <c r="BE527" i="3"/>
  <c r="AZ527" i="3"/>
  <c r="AE527" i="3"/>
  <c r="V527" i="3"/>
  <c r="O527" i="3"/>
  <c r="BE526" i="3"/>
  <c r="AZ526" i="3"/>
  <c r="AE526" i="3"/>
  <c r="V526" i="3"/>
  <c r="O526" i="3" s="1"/>
  <c r="BE525" i="3"/>
  <c r="AZ525" i="3"/>
  <c r="AE525" i="3"/>
  <c r="V525" i="3"/>
  <c r="O525" i="3"/>
  <c r="BE524" i="3"/>
  <c r="AZ524" i="3"/>
  <c r="AE524" i="3"/>
  <c r="V524" i="3"/>
  <c r="O524" i="3" s="1"/>
  <c r="BE523" i="3"/>
  <c r="AZ523" i="3"/>
  <c r="AE523" i="3"/>
  <c r="V523" i="3"/>
  <c r="O523" i="3" s="1"/>
  <c r="BE522" i="3"/>
  <c r="AZ522" i="3"/>
  <c r="AE522" i="3"/>
  <c r="V522" i="3"/>
  <c r="O522" i="3" s="1"/>
  <c r="BE521" i="3"/>
  <c r="AZ521" i="3"/>
  <c r="AE521" i="3"/>
  <c r="V521" i="3"/>
  <c r="O521" i="3" s="1"/>
  <c r="BE520" i="3"/>
  <c r="AZ520" i="3"/>
  <c r="AE520" i="3"/>
  <c r="V520" i="3"/>
  <c r="O520" i="3"/>
  <c r="BE519" i="3"/>
  <c r="AZ519" i="3"/>
  <c r="AE519" i="3"/>
  <c r="V519" i="3"/>
  <c r="O519" i="3"/>
  <c r="BE518" i="3"/>
  <c r="AZ518" i="3"/>
  <c r="AE518" i="3"/>
  <c r="V518" i="3"/>
  <c r="O518" i="3" s="1"/>
  <c r="BE517" i="3"/>
  <c r="AZ517" i="3"/>
  <c r="AE517" i="3"/>
  <c r="O517" i="3" s="1"/>
  <c r="V517" i="3"/>
  <c r="BE516" i="3"/>
  <c r="AZ516" i="3"/>
  <c r="AE516" i="3"/>
  <c r="V516" i="3"/>
  <c r="O516" i="3" s="1"/>
  <c r="BE515" i="3"/>
  <c r="AZ515" i="3"/>
  <c r="AE515" i="3"/>
  <c r="V515" i="3"/>
  <c r="O515" i="3"/>
  <c r="BE514" i="3"/>
  <c r="AZ514" i="3"/>
  <c r="AE514" i="3"/>
  <c r="V514" i="3"/>
  <c r="O514" i="3" s="1"/>
  <c r="BE513" i="3"/>
  <c r="AZ513" i="3"/>
  <c r="AE513" i="3"/>
  <c r="V513" i="3"/>
  <c r="O513" i="3"/>
  <c r="BE512" i="3"/>
  <c r="AZ512" i="3"/>
  <c r="AE512" i="3"/>
  <c r="V512" i="3"/>
  <c r="O512" i="3" s="1"/>
  <c r="BE511" i="3"/>
  <c r="AZ511" i="3"/>
  <c r="AE511" i="3"/>
  <c r="V511" i="3"/>
  <c r="O511" i="3" s="1"/>
  <c r="BE510" i="3"/>
  <c r="AZ510" i="3"/>
  <c r="AE510" i="3"/>
  <c r="V510" i="3"/>
  <c r="O510" i="3" s="1"/>
  <c r="BE509" i="3"/>
  <c r="AZ509" i="3"/>
  <c r="AE509" i="3"/>
  <c r="V509" i="3"/>
  <c r="O509" i="3" s="1"/>
  <c r="BE508" i="3"/>
  <c r="AZ508" i="3"/>
  <c r="AE508" i="3"/>
  <c r="V508" i="3"/>
  <c r="O508" i="3"/>
  <c r="BE507" i="3"/>
  <c r="AZ507" i="3"/>
  <c r="AE507" i="3"/>
  <c r="V507" i="3"/>
  <c r="O507" i="3"/>
  <c r="BE506" i="3"/>
  <c r="AZ506" i="3"/>
  <c r="AE506" i="3"/>
  <c r="V506" i="3"/>
  <c r="O506" i="3" s="1"/>
  <c r="BE505" i="3"/>
  <c r="AZ505" i="3"/>
  <c r="AE505" i="3"/>
  <c r="O505" i="3" s="1"/>
  <c r="V505" i="3"/>
  <c r="BE504" i="3"/>
  <c r="AZ504" i="3"/>
  <c r="AE504" i="3"/>
  <c r="V504" i="3"/>
  <c r="O504" i="3" s="1"/>
  <c r="BE503" i="3"/>
  <c r="AZ503" i="3"/>
  <c r="AE503" i="3"/>
  <c r="V503" i="3"/>
  <c r="O503" i="3"/>
  <c r="BE502" i="3"/>
  <c r="AZ502" i="3"/>
  <c r="AE502" i="3"/>
  <c r="V502" i="3"/>
  <c r="O502" i="3" s="1"/>
  <c r="BE501" i="3"/>
  <c r="AZ501" i="3"/>
  <c r="AE501" i="3"/>
  <c r="V501" i="3"/>
  <c r="O501" i="3"/>
  <c r="BE500" i="3"/>
  <c r="AZ500" i="3"/>
  <c r="AE500" i="3"/>
  <c r="V500" i="3"/>
  <c r="O500" i="3" s="1"/>
  <c r="BE499" i="3"/>
  <c r="AZ499" i="3"/>
  <c r="AE499" i="3"/>
  <c r="V499" i="3"/>
  <c r="O499" i="3" s="1"/>
  <c r="BE498" i="3"/>
  <c r="AZ498" i="3"/>
  <c r="AE498" i="3"/>
  <c r="V498" i="3"/>
  <c r="O498" i="3" s="1"/>
  <c r="BE497" i="3"/>
  <c r="AZ497" i="3"/>
  <c r="AE497" i="3"/>
  <c r="V497" i="3"/>
  <c r="O497" i="3" s="1"/>
  <c r="BE496" i="3"/>
  <c r="AZ496" i="3"/>
  <c r="AE496" i="3"/>
  <c r="V496" i="3"/>
  <c r="O496" i="3"/>
  <c r="BE495" i="3"/>
  <c r="AZ495" i="3"/>
  <c r="AE495" i="3"/>
  <c r="V495" i="3"/>
  <c r="O495" i="3"/>
  <c r="BE494" i="3"/>
  <c r="AZ494" i="3"/>
  <c r="AE494" i="3"/>
  <c r="V494" i="3"/>
  <c r="O494" i="3" s="1"/>
  <c r="BE493" i="3"/>
  <c r="AZ493" i="3"/>
  <c r="AE493" i="3"/>
  <c r="O493" i="3" s="1"/>
  <c r="V493" i="3"/>
  <c r="BE492" i="3"/>
  <c r="AZ492" i="3"/>
  <c r="AE492" i="3"/>
  <c r="V492" i="3"/>
  <c r="O492" i="3" s="1"/>
  <c r="BE491" i="3"/>
  <c r="AZ491" i="3"/>
  <c r="AE491" i="3"/>
  <c r="V491" i="3"/>
  <c r="O491" i="3"/>
  <c r="BE490" i="3"/>
  <c r="AZ490" i="3"/>
  <c r="AE490" i="3"/>
  <c r="V490" i="3"/>
  <c r="O490" i="3" s="1"/>
  <c r="BE489" i="3"/>
  <c r="AZ489" i="3"/>
  <c r="AE489" i="3"/>
  <c r="V489" i="3"/>
  <c r="O489" i="3"/>
  <c r="BE488" i="3"/>
  <c r="AZ488" i="3"/>
  <c r="AE488" i="3"/>
  <c r="V488" i="3"/>
  <c r="O488" i="3" s="1"/>
  <c r="BE487" i="3"/>
  <c r="AZ487" i="3"/>
  <c r="AE487" i="3"/>
  <c r="V487" i="3"/>
  <c r="O487" i="3" s="1"/>
  <c r="BE486" i="3"/>
  <c r="AZ486" i="3"/>
  <c r="AE486" i="3"/>
  <c r="V486" i="3"/>
  <c r="O486" i="3" s="1"/>
  <c r="BE485" i="3"/>
  <c r="AZ485" i="3"/>
  <c r="AE485" i="3"/>
  <c r="V485" i="3"/>
  <c r="O485" i="3" s="1"/>
  <c r="BE484" i="3"/>
  <c r="AZ484" i="3"/>
  <c r="AE484" i="3"/>
  <c r="V484" i="3"/>
  <c r="O484" i="3"/>
  <c r="BE483" i="3"/>
  <c r="AZ483" i="3"/>
  <c r="AE483" i="3"/>
  <c r="V483" i="3"/>
  <c r="O483" i="3"/>
  <c r="BE482" i="3"/>
  <c r="AZ482" i="3"/>
  <c r="AE482" i="3"/>
  <c r="V482" i="3"/>
  <c r="O482" i="3" s="1"/>
  <c r="BE481" i="3"/>
  <c r="AZ481" i="3"/>
  <c r="AE481" i="3"/>
  <c r="O481" i="3" s="1"/>
  <c r="V481" i="3"/>
  <c r="BE480" i="3"/>
  <c r="AZ480" i="3"/>
  <c r="AE480" i="3"/>
  <c r="V480" i="3"/>
  <c r="O480" i="3" s="1"/>
  <c r="BE479" i="3"/>
  <c r="AZ479" i="3"/>
  <c r="AE479" i="3"/>
  <c r="V479" i="3"/>
  <c r="O479" i="3"/>
  <c r="BE478" i="3"/>
  <c r="AZ478" i="3"/>
  <c r="AE478" i="3"/>
  <c r="V478" i="3"/>
  <c r="O478" i="3" s="1"/>
  <c r="BE477" i="3"/>
  <c r="AZ477" i="3"/>
  <c r="AE477" i="3"/>
  <c r="V477" i="3"/>
  <c r="O477" i="3"/>
  <c r="BE476" i="3"/>
  <c r="AZ476" i="3"/>
  <c r="AE476" i="3"/>
  <c r="V476" i="3"/>
  <c r="O476" i="3" s="1"/>
  <c r="BE475" i="3"/>
  <c r="AZ475" i="3"/>
  <c r="O475" i="3" s="1"/>
  <c r="AE475" i="3"/>
  <c r="V475" i="3"/>
  <c r="BE474" i="3"/>
  <c r="AZ474" i="3"/>
  <c r="AE474" i="3"/>
  <c r="V474" i="3"/>
  <c r="O474" i="3" s="1"/>
  <c r="BE473" i="3"/>
  <c r="AZ473" i="3"/>
  <c r="AE473" i="3"/>
  <c r="V473" i="3"/>
  <c r="O473" i="3" s="1"/>
  <c r="BE472" i="3"/>
  <c r="AZ472" i="3"/>
  <c r="AE472" i="3"/>
  <c r="V472" i="3"/>
  <c r="O472" i="3"/>
  <c r="BE471" i="3"/>
  <c r="AZ471" i="3"/>
  <c r="AE471" i="3"/>
  <c r="V471" i="3"/>
  <c r="O471" i="3"/>
  <c r="BE470" i="3"/>
  <c r="AZ470" i="3"/>
  <c r="AE470" i="3"/>
  <c r="V470" i="3"/>
  <c r="O470" i="3" s="1"/>
  <c r="BE469" i="3"/>
  <c r="AZ469" i="3"/>
  <c r="AE469" i="3"/>
  <c r="O469" i="3" s="1"/>
  <c r="V469" i="3"/>
  <c r="BE468" i="3"/>
  <c r="AZ468" i="3"/>
  <c r="AE468" i="3"/>
  <c r="V468" i="3"/>
  <c r="O468" i="3" s="1"/>
  <c r="BE467" i="3"/>
  <c r="AZ467" i="3"/>
  <c r="AE467" i="3"/>
  <c r="V467" i="3"/>
  <c r="O467" i="3"/>
  <c r="BE466" i="3"/>
  <c r="AZ466" i="3"/>
  <c r="AE466" i="3"/>
  <c r="V466" i="3"/>
  <c r="O466" i="3" s="1"/>
  <c r="BE465" i="3"/>
  <c r="AZ465" i="3"/>
  <c r="AE465" i="3"/>
  <c r="V465" i="3"/>
  <c r="O465" i="3"/>
  <c r="BE464" i="3"/>
  <c r="AZ464" i="3"/>
  <c r="AE464" i="3"/>
  <c r="V464" i="3"/>
  <c r="O464" i="3" s="1"/>
  <c r="BE463" i="3"/>
  <c r="AZ463" i="3"/>
  <c r="O463" i="3" s="1"/>
  <c r="AE463" i="3"/>
  <c r="V463" i="3"/>
  <c r="BE462" i="3"/>
  <c r="AZ462" i="3"/>
  <c r="AE462" i="3"/>
  <c r="V462" i="3"/>
  <c r="O462" i="3" s="1"/>
  <c r="BE461" i="3"/>
  <c r="AZ461" i="3"/>
  <c r="AE461" i="3"/>
  <c r="V461" i="3"/>
  <c r="O461" i="3" s="1"/>
  <c r="BE460" i="3"/>
  <c r="AZ460" i="3"/>
  <c r="AE460" i="3"/>
  <c r="V460" i="3"/>
  <c r="O460" i="3"/>
  <c r="BE459" i="3"/>
  <c r="AZ459" i="3"/>
  <c r="AE459" i="3"/>
  <c r="V459" i="3"/>
  <c r="O459" i="3"/>
  <c r="BE458" i="3"/>
  <c r="AZ458" i="3"/>
  <c r="AE458" i="3"/>
  <c r="V458" i="3"/>
  <c r="O458" i="3" s="1"/>
  <c r="BE457" i="3"/>
  <c r="AZ457" i="3"/>
  <c r="AE457" i="3"/>
  <c r="O457" i="3" s="1"/>
  <c r="V457" i="3"/>
  <c r="BE456" i="3"/>
  <c r="AZ456" i="3"/>
  <c r="AE456" i="3"/>
  <c r="V456" i="3"/>
  <c r="O456" i="3" s="1"/>
  <c r="BE455" i="3"/>
  <c r="AZ455" i="3"/>
  <c r="AE455" i="3"/>
  <c r="V455" i="3"/>
  <c r="O455" i="3"/>
  <c r="BE454" i="3"/>
  <c r="AZ454" i="3"/>
  <c r="AE454" i="3"/>
  <c r="V454" i="3"/>
  <c r="O454" i="3" s="1"/>
  <c r="BE453" i="3"/>
  <c r="AZ453" i="3"/>
  <c r="AE453" i="3"/>
  <c r="V453" i="3"/>
  <c r="O453" i="3"/>
  <c r="BE452" i="3"/>
  <c r="AZ452" i="3"/>
  <c r="AE452" i="3"/>
  <c r="V452" i="3"/>
  <c r="O452" i="3" s="1"/>
  <c r="BE451" i="3"/>
  <c r="AZ451" i="3"/>
  <c r="AE451" i="3"/>
  <c r="V451" i="3"/>
  <c r="O451" i="3" s="1"/>
  <c r="BE450" i="3"/>
  <c r="AZ450" i="3"/>
  <c r="AE450" i="3"/>
  <c r="V450" i="3"/>
  <c r="O450" i="3" s="1"/>
  <c r="BE449" i="3"/>
  <c r="AZ449" i="3"/>
  <c r="AE449" i="3"/>
  <c r="V449" i="3"/>
  <c r="O449" i="3" s="1"/>
  <c r="BE448" i="3"/>
  <c r="AZ448" i="3"/>
  <c r="AE448" i="3"/>
  <c r="V448" i="3"/>
  <c r="O448" i="3"/>
  <c r="BE447" i="3"/>
  <c r="AZ447" i="3"/>
  <c r="AE447" i="3"/>
  <c r="V447" i="3"/>
  <c r="O447" i="3"/>
  <c r="BE446" i="3"/>
  <c r="AZ446" i="3"/>
  <c r="AE446" i="3"/>
  <c r="V446" i="3"/>
  <c r="O446" i="3" s="1"/>
  <c r="BE445" i="3"/>
  <c r="AZ445" i="3"/>
  <c r="AE445" i="3"/>
  <c r="O445" i="3" s="1"/>
  <c r="V445" i="3"/>
  <c r="BE444" i="3"/>
  <c r="AZ444" i="3"/>
  <c r="AE444" i="3"/>
  <c r="V444" i="3"/>
  <c r="O444" i="3" s="1"/>
  <c r="BE443" i="3"/>
  <c r="AZ443" i="3"/>
  <c r="AE443" i="3"/>
  <c r="V443" i="3"/>
  <c r="O443" i="3"/>
  <c r="BE442" i="3"/>
  <c r="AZ442" i="3"/>
  <c r="AE442" i="3"/>
  <c r="V442" i="3"/>
  <c r="O442" i="3" s="1"/>
  <c r="BE441" i="3"/>
  <c r="AZ441" i="3"/>
  <c r="AE441" i="3"/>
  <c r="V441" i="3"/>
  <c r="O441" i="3"/>
  <c r="BE440" i="3"/>
  <c r="AZ440" i="3"/>
  <c r="AE440" i="3"/>
  <c r="V440" i="3"/>
  <c r="O440" i="3" s="1"/>
  <c r="BE439" i="3"/>
  <c r="AZ439" i="3"/>
  <c r="AE439" i="3"/>
  <c r="V439" i="3"/>
  <c r="O439" i="3" s="1"/>
  <c r="BE438" i="3"/>
  <c r="AZ438" i="3"/>
  <c r="AE438" i="3"/>
  <c r="V438" i="3"/>
  <c r="O438" i="3" s="1"/>
  <c r="BE437" i="3"/>
  <c r="AZ437" i="3"/>
  <c r="AE437" i="3"/>
  <c r="V437" i="3"/>
  <c r="O437" i="3" s="1"/>
  <c r="BE436" i="3"/>
  <c r="AZ436" i="3"/>
  <c r="AE436" i="3"/>
  <c r="V436" i="3"/>
  <c r="O436" i="3"/>
  <c r="BE435" i="3"/>
  <c r="AZ435" i="3"/>
  <c r="AE435" i="3"/>
  <c r="V435" i="3"/>
  <c r="O435" i="3"/>
  <c r="BE434" i="3"/>
  <c r="AZ434" i="3"/>
  <c r="AE434" i="3"/>
  <c r="V434" i="3"/>
  <c r="O434" i="3" s="1"/>
  <c r="BE433" i="3"/>
  <c r="AZ433" i="3"/>
  <c r="AE433" i="3"/>
  <c r="O433" i="3" s="1"/>
  <c r="V433" i="3"/>
  <c r="BE432" i="3"/>
  <c r="AZ432" i="3"/>
  <c r="AE432" i="3"/>
  <c r="V432" i="3"/>
  <c r="O432" i="3" s="1"/>
  <c r="BE431" i="3"/>
  <c r="AZ431" i="3"/>
  <c r="AE431" i="3"/>
  <c r="V431" i="3"/>
  <c r="O431" i="3"/>
  <c r="BE430" i="3"/>
  <c r="AZ430" i="3"/>
  <c r="AE430" i="3"/>
  <c r="V430" i="3"/>
  <c r="O430" i="3" s="1"/>
  <c r="BE429" i="3"/>
  <c r="AZ429" i="3"/>
  <c r="AE429" i="3"/>
  <c r="V429" i="3"/>
  <c r="O429" i="3"/>
  <c r="BE428" i="3"/>
  <c r="AZ428" i="3"/>
  <c r="AE428" i="3"/>
  <c r="V428" i="3"/>
  <c r="O428" i="3" s="1"/>
  <c r="BE427" i="3"/>
  <c r="AZ427" i="3"/>
  <c r="AE427" i="3"/>
  <c r="V427" i="3"/>
  <c r="O427" i="3" s="1"/>
  <c r="BE426" i="3"/>
  <c r="AZ426" i="3"/>
  <c r="AE426" i="3"/>
  <c r="V426" i="3"/>
  <c r="O426" i="3" s="1"/>
  <c r="BE425" i="3"/>
  <c r="AZ425" i="3"/>
  <c r="AE425" i="3"/>
  <c r="V425" i="3"/>
  <c r="O425" i="3" s="1"/>
  <c r="BE424" i="3"/>
  <c r="AZ424" i="3"/>
  <c r="AE424" i="3"/>
  <c r="V424" i="3"/>
  <c r="O424" i="3" s="1"/>
  <c r="BE423" i="3"/>
  <c r="AZ423" i="3"/>
  <c r="AE423" i="3"/>
  <c r="V423" i="3"/>
  <c r="O423" i="3"/>
  <c r="BE422" i="3"/>
  <c r="AZ422" i="3"/>
  <c r="AE422" i="3"/>
  <c r="V422" i="3"/>
  <c r="O422" i="3" s="1"/>
  <c r="BE421" i="3"/>
  <c r="AZ421" i="3"/>
  <c r="AE421" i="3"/>
  <c r="O421" i="3" s="1"/>
  <c r="V421" i="3"/>
  <c r="BE420" i="3"/>
  <c r="AZ420" i="3"/>
  <c r="AE420" i="3"/>
  <c r="V420" i="3"/>
  <c r="O420" i="3" s="1"/>
  <c r="BE419" i="3"/>
  <c r="AZ419" i="3"/>
  <c r="AE419" i="3"/>
  <c r="V419" i="3"/>
  <c r="O419" i="3"/>
  <c r="BE418" i="3"/>
  <c r="AZ418" i="3"/>
  <c r="AE418" i="3"/>
  <c r="V418" i="3"/>
  <c r="O418" i="3" s="1"/>
  <c r="BE417" i="3"/>
  <c r="AZ417" i="3"/>
  <c r="AE417" i="3"/>
  <c r="V417" i="3"/>
  <c r="O417" i="3"/>
  <c r="BE416" i="3"/>
  <c r="AZ416" i="3"/>
  <c r="AE416" i="3"/>
  <c r="V416" i="3"/>
  <c r="BE415" i="3"/>
  <c r="AZ415" i="3"/>
  <c r="AE415" i="3"/>
  <c r="V415" i="3"/>
  <c r="O415" i="3" s="1"/>
  <c r="BE414" i="3"/>
  <c r="AZ414" i="3"/>
  <c r="AE414" i="3"/>
  <c r="V414" i="3"/>
  <c r="O414" i="3" s="1"/>
  <c r="BE413" i="3"/>
  <c r="AZ413" i="3"/>
  <c r="AE413" i="3"/>
  <c r="V413" i="3"/>
  <c r="O413" i="3" s="1"/>
  <c r="BE412" i="3"/>
  <c r="AZ412" i="3"/>
  <c r="AE412" i="3"/>
  <c r="V412" i="3"/>
  <c r="O412" i="3" s="1"/>
  <c r="BE411" i="3"/>
  <c r="AZ411" i="3"/>
  <c r="AE411" i="3"/>
  <c r="V411" i="3"/>
  <c r="O411" i="3"/>
  <c r="BE410" i="3"/>
  <c r="AZ410" i="3"/>
  <c r="AE410" i="3"/>
  <c r="V410" i="3"/>
  <c r="O410" i="3" s="1"/>
  <c r="BE409" i="3"/>
  <c r="AZ409" i="3"/>
  <c r="AE409" i="3"/>
  <c r="O409" i="3" s="1"/>
  <c r="V409" i="3"/>
  <c r="BE408" i="3"/>
  <c r="AZ408" i="3"/>
  <c r="AE408" i="3"/>
  <c r="V408" i="3"/>
  <c r="O408" i="3" s="1"/>
  <c r="BE407" i="3"/>
  <c r="AZ407" i="3"/>
  <c r="AE407" i="3"/>
  <c r="V407" i="3"/>
  <c r="O407" i="3"/>
  <c r="BE406" i="3"/>
  <c r="AZ406" i="3"/>
  <c r="AE406" i="3"/>
  <c r="V406" i="3"/>
  <c r="O406" i="3" s="1"/>
  <c r="BE405" i="3"/>
  <c r="AZ405" i="3"/>
  <c r="AE405" i="3"/>
  <c r="V405" i="3"/>
  <c r="O405" i="3"/>
  <c r="BE404" i="3"/>
  <c r="AZ404" i="3"/>
  <c r="AE404" i="3"/>
  <c r="V404" i="3"/>
  <c r="O404" i="3" s="1"/>
  <c r="BE403" i="3"/>
  <c r="AZ403" i="3"/>
  <c r="AE403" i="3"/>
  <c r="V403" i="3"/>
  <c r="O403" i="3" s="1"/>
  <c r="BE402" i="3"/>
  <c r="AZ402" i="3"/>
  <c r="AE402" i="3"/>
  <c r="V402" i="3"/>
  <c r="O402" i="3" s="1"/>
  <c r="BE401" i="3"/>
  <c r="AZ401" i="3"/>
  <c r="AE401" i="3"/>
  <c r="V401" i="3"/>
  <c r="O401" i="3" s="1"/>
  <c r="BE400" i="3"/>
  <c r="AZ400" i="3"/>
  <c r="AE400" i="3"/>
  <c r="V400" i="3"/>
  <c r="O400" i="3" s="1"/>
  <c r="BE399" i="3"/>
  <c r="AZ399" i="3"/>
  <c r="AE399" i="3"/>
  <c r="V399" i="3"/>
  <c r="O399" i="3"/>
  <c r="BE398" i="3"/>
  <c r="AZ398" i="3"/>
  <c r="AE398" i="3"/>
  <c r="V398" i="3"/>
  <c r="O398" i="3" s="1"/>
  <c r="BE397" i="3"/>
  <c r="AZ397" i="3"/>
  <c r="AE397" i="3"/>
  <c r="O397" i="3" s="1"/>
  <c r="V397" i="3"/>
  <c r="BE396" i="3"/>
  <c r="AZ396" i="3"/>
  <c r="AE396" i="3"/>
  <c r="V396" i="3"/>
  <c r="O396" i="3" s="1"/>
  <c r="BE395" i="3"/>
  <c r="AZ395" i="3"/>
  <c r="AE395" i="3"/>
  <c r="V395" i="3"/>
  <c r="O395" i="3"/>
  <c r="BE394" i="3"/>
  <c r="AZ394" i="3"/>
  <c r="AE394" i="3"/>
  <c r="V394" i="3"/>
  <c r="O394" i="3" s="1"/>
  <c r="BE393" i="3"/>
  <c r="AZ393" i="3"/>
  <c r="AE393" i="3"/>
  <c r="V393" i="3"/>
  <c r="O393" i="3"/>
  <c r="BE392" i="3"/>
  <c r="AZ392" i="3"/>
  <c r="AE392" i="3"/>
  <c r="V392" i="3"/>
  <c r="O392" i="3" s="1"/>
  <c r="BE391" i="3"/>
  <c r="AZ391" i="3"/>
  <c r="AE391" i="3"/>
  <c r="V391" i="3"/>
  <c r="O391" i="3" s="1"/>
  <c r="BE390" i="3"/>
  <c r="AZ390" i="3"/>
  <c r="AE390" i="3"/>
  <c r="V390" i="3"/>
  <c r="O390" i="3" s="1"/>
  <c r="BE389" i="3"/>
  <c r="AZ389" i="3"/>
  <c r="AE389" i="3"/>
  <c r="V389" i="3"/>
  <c r="O389" i="3" s="1"/>
  <c r="BE388" i="3"/>
  <c r="AZ388" i="3"/>
  <c r="AE388" i="3"/>
  <c r="V388" i="3"/>
  <c r="O388" i="3" s="1"/>
  <c r="BE387" i="3"/>
  <c r="AZ387" i="3"/>
  <c r="AE387" i="3"/>
  <c r="V387" i="3"/>
  <c r="O387" i="3"/>
  <c r="BE386" i="3"/>
  <c r="AZ386" i="3"/>
  <c r="O386" i="3" s="1"/>
  <c r="AE386" i="3"/>
  <c r="V386" i="3"/>
  <c r="BE385" i="3"/>
  <c r="AZ385" i="3"/>
  <c r="AE385" i="3"/>
  <c r="O385" i="3" s="1"/>
  <c r="V385" i="3"/>
  <c r="BE384" i="3"/>
  <c r="AZ384" i="3"/>
  <c r="AE384" i="3"/>
  <c r="V384" i="3"/>
  <c r="O384" i="3" s="1"/>
  <c r="BE383" i="3"/>
  <c r="AZ383" i="3"/>
  <c r="AE383" i="3"/>
  <c r="V383" i="3"/>
  <c r="O383" i="3"/>
  <c r="BE382" i="3"/>
  <c r="AZ382" i="3"/>
  <c r="AE382" i="3"/>
  <c r="V382" i="3"/>
  <c r="O382" i="3" s="1"/>
  <c r="BE381" i="3"/>
  <c r="AZ381" i="3"/>
  <c r="AE381" i="3"/>
  <c r="V381" i="3"/>
  <c r="O381" i="3"/>
  <c r="BE380" i="3"/>
  <c r="AZ380" i="3"/>
  <c r="AE380" i="3"/>
  <c r="V380" i="3"/>
  <c r="O380" i="3" s="1"/>
  <c r="BE379" i="3"/>
  <c r="AZ379" i="3"/>
  <c r="AE379" i="3"/>
  <c r="V379" i="3"/>
  <c r="O379" i="3" s="1"/>
  <c r="BE378" i="3"/>
  <c r="AZ378" i="3"/>
  <c r="AE378" i="3"/>
  <c r="V378" i="3"/>
  <c r="O378" i="3" s="1"/>
  <c r="BE377" i="3"/>
  <c r="AZ377" i="3"/>
  <c r="AE377" i="3"/>
  <c r="V377" i="3"/>
  <c r="O377" i="3" s="1"/>
  <c r="BE376" i="3"/>
  <c r="AZ376" i="3"/>
  <c r="AE376" i="3"/>
  <c r="V376" i="3"/>
  <c r="O376" i="3" s="1"/>
  <c r="BE375" i="3"/>
  <c r="AZ375" i="3"/>
  <c r="AE375" i="3"/>
  <c r="V375" i="3"/>
  <c r="O375" i="3"/>
  <c r="BE374" i="3"/>
  <c r="AZ374" i="3"/>
  <c r="AE374" i="3"/>
  <c r="V374" i="3"/>
  <c r="O374" i="3" s="1"/>
  <c r="BE373" i="3"/>
  <c r="AZ373" i="3"/>
  <c r="AE373" i="3"/>
  <c r="O373" i="3" s="1"/>
  <c r="V373" i="3"/>
  <c r="BE372" i="3"/>
  <c r="AZ372" i="3"/>
  <c r="AE372" i="3"/>
  <c r="V372" i="3"/>
  <c r="O372" i="3" s="1"/>
  <c r="BE371" i="3"/>
  <c r="AZ371" i="3"/>
  <c r="AE371" i="3"/>
  <c r="V371" i="3"/>
  <c r="O371" i="3"/>
  <c r="BE370" i="3"/>
  <c r="AZ370" i="3"/>
  <c r="AE370" i="3"/>
  <c r="V370" i="3"/>
  <c r="O370" i="3" s="1"/>
  <c r="BE369" i="3"/>
  <c r="AZ369" i="3"/>
  <c r="AE369" i="3"/>
  <c r="V369" i="3"/>
  <c r="O369" i="3"/>
  <c r="BE368" i="3"/>
  <c r="AZ368" i="3"/>
  <c r="AE368" i="3"/>
  <c r="V368" i="3"/>
  <c r="BE367" i="3"/>
  <c r="AZ367" i="3"/>
  <c r="AE367" i="3"/>
  <c r="V367" i="3"/>
  <c r="O367" i="3"/>
  <c r="BE366" i="3"/>
  <c r="AZ366" i="3"/>
  <c r="AE366" i="3"/>
  <c r="V366" i="3"/>
  <c r="O366" i="3" s="1"/>
  <c r="BE365" i="3"/>
  <c r="AZ365" i="3"/>
  <c r="AE365" i="3"/>
  <c r="V365" i="3"/>
  <c r="O365" i="3" s="1"/>
  <c r="BE364" i="3"/>
  <c r="AZ364" i="3"/>
  <c r="AE364" i="3"/>
  <c r="V364" i="3"/>
  <c r="O364" i="3" s="1"/>
  <c r="BE363" i="3"/>
  <c r="AZ363" i="3"/>
  <c r="AE363" i="3"/>
  <c r="V363" i="3"/>
  <c r="O363" i="3"/>
  <c r="BE362" i="3"/>
  <c r="AZ362" i="3"/>
  <c r="AE362" i="3"/>
  <c r="V362" i="3"/>
  <c r="O362" i="3" s="1"/>
  <c r="BE361" i="3"/>
  <c r="AZ361" i="3"/>
  <c r="AE361" i="3"/>
  <c r="O361" i="3" s="1"/>
  <c r="V361" i="3"/>
  <c r="BE360" i="3"/>
  <c r="AZ360" i="3"/>
  <c r="AE360" i="3"/>
  <c r="O360" i="3" s="1"/>
  <c r="V360" i="3"/>
  <c r="BE359" i="3"/>
  <c r="AZ359" i="3"/>
  <c r="AE359" i="3"/>
  <c r="V359" i="3"/>
  <c r="O359" i="3"/>
  <c r="BE358" i="3"/>
  <c r="AZ358" i="3"/>
  <c r="AE358" i="3"/>
  <c r="V358" i="3"/>
  <c r="O358" i="3" s="1"/>
  <c r="BE357" i="3"/>
  <c r="AZ357" i="3"/>
  <c r="AE357" i="3"/>
  <c r="V357" i="3"/>
  <c r="O357" i="3"/>
  <c r="BE356" i="3"/>
  <c r="AZ356" i="3"/>
  <c r="AE356" i="3"/>
  <c r="V356" i="3"/>
  <c r="O356" i="3" s="1"/>
  <c r="BE355" i="3"/>
  <c r="AZ355" i="3"/>
  <c r="AE355" i="3"/>
  <c r="V355" i="3"/>
  <c r="O355" i="3"/>
  <c r="BE354" i="3"/>
  <c r="AZ354" i="3"/>
  <c r="AE354" i="3"/>
  <c r="V354" i="3"/>
  <c r="O354" i="3" s="1"/>
  <c r="BE353" i="3"/>
  <c r="AZ353" i="3"/>
  <c r="AE353" i="3"/>
  <c r="V353" i="3"/>
  <c r="O353" i="3" s="1"/>
  <c r="BE352" i="3"/>
  <c r="AZ352" i="3"/>
  <c r="AE352" i="3"/>
  <c r="V352" i="3"/>
  <c r="O352" i="3" s="1"/>
  <c r="BE351" i="3"/>
  <c r="AZ351" i="3"/>
  <c r="AE351" i="3"/>
  <c r="V351" i="3"/>
  <c r="O351" i="3"/>
  <c r="BE350" i="3"/>
  <c r="AZ350" i="3"/>
  <c r="AE350" i="3"/>
  <c r="V350" i="3"/>
  <c r="O350" i="3" s="1"/>
  <c r="BE349" i="3"/>
  <c r="AZ349" i="3"/>
  <c r="AE349" i="3"/>
  <c r="O349" i="3" s="1"/>
  <c r="V349" i="3"/>
  <c r="BE348" i="3"/>
  <c r="AZ348" i="3"/>
  <c r="AE348" i="3"/>
  <c r="O348" i="3" s="1"/>
  <c r="V348" i="3"/>
  <c r="BE347" i="3"/>
  <c r="AZ347" i="3"/>
  <c r="AE347" i="3"/>
  <c r="V347" i="3"/>
  <c r="O347" i="3"/>
  <c r="BE346" i="3"/>
  <c r="AZ346" i="3"/>
  <c r="AE346" i="3"/>
  <c r="V346" i="3"/>
  <c r="O346" i="3" s="1"/>
  <c r="BE345" i="3"/>
  <c r="AZ345" i="3"/>
  <c r="AE345" i="3"/>
  <c r="V345" i="3"/>
  <c r="O345" i="3"/>
  <c r="BE344" i="3"/>
  <c r="AZ344" i="3"/>
  <c r="AE344" i="3"/>
  <c r="V344" i="3"/>
  <c r="BE343" i="3"/>
  <c r="AZ343" i="3"/>
  <c r="AE343" i="3"/>
  <c r="V343" i="3"/>
  <c r="O343" i="3"/>
  <c r="BE342" i="3"/>
  <c r="AZ342" i="3"/>
  <c r="AE342" i="3"/>
  <c r="V342" i="3"/>
  <c r="O342" i="3" s="1"/>
  <c r="BE341" i="3"/>
  <c r="AZ341" i="3"/>
  <c r="AE341" i="3"/>
  <c r="V341" i="3"/>
  <c r="O341" i="3" s="1"/>
  <c r="BE340" i="3"/>
  <c r="AZ340" i="3"/>
  <c r="AE340" i="3"/>
  <c r="V340" i="3"/>
  <c r="O340" i="3" s="1"/>
  <c r="BE339" i="3"/>
  <c r="AZ339" i="3"/>
  <c r="AE339" i="3"/>
  <c r="V339" i="3"/>
  <c r="O339" i="3"/>
  <c r="BE338" i="3"/>
  <c r="AZ338" i="3"/>
  <c r="AE338" i="3"/>
  <c r="V338" i="3"/>
  <c r="O338" i="3" s="1"/>
  <c r="BE337" i="3"/>
  <c r="AZ337" i="3"/>
  <c r="AE337" i="3"/>
  <c r="O337" i="3" s="1"/>
  <c r="V337" i="3"/>
  <c r="BE336" i="3"/>
  <c r="AZ336" i="3"/>
  <c r="AE336" i="3"/>
  <c r="O336" i="3" s="1"/>
  <c r="V336" i="3"/>
  <c r="BE335" i="3"/>
  <c r="AZ335" i="3"/>
  <c r="AE335" i="3"/>
  <c r="V335" i="3"/>
  <c r="O335" i="3"/>
  <c r="BE334" i="3"/>
  <c r="AZ334" i="3"/>
  <c r="AE334" i="3"/>
  <c r="V334" i="3"/>
  <c r="O334" i="3" s="1"/>
  <c r="BE333" i="3"/>
  <c r="AZ333" i="3"/>
  <c r="AE333" i="3"/>
  <c r="V333" i="3"/>
  <c r="O333" i="3"/>
  <c r="BE332" i="3"/>
  <c r="AZ332" i="3"/>
  <c r="AE332" i="3"/>
  <c r="V332" i="3"/>
  <c r="BE331" i="3"/>
  <c r="AZ331" i="3"/>
  <c r="AE331" i="3"/>
  <c r="V331" i="3"/>
  <c r="O331" i="3"/>
  <c r="BE330" i="3"/>
  <c r="AZ330" i="3"/>
  <c r="AE330" i="3"/>
  <c r="V330" i="3"/>
  <c r="O330" i="3" s="1"/>
  <c r="BE329" i="3"/>
  <c r="AZ329" i="3"/>
  <c r="AE329" i="3"/>
  <c r="V329" i="3"/>
  <c r="O329" i="3" s="1"/>
  <c r="BE328" i="3"/>
  <c r="AZ328" i="3"/>
  <c r="AE328" i="3"/>
  <c r="V328" i="3"/>
  <c r="O328" i="3" s="1"/>
  <c r="BE327" i="3"/>
  <c r="AZ327" i="3"/>
  <c r="AE327" i="3"/>
  <c r="V327" i="3"/>
  <c r="O327" i="3"/>
  <c r="BE326" i="3"/>
  <c r="AZ326" i="3"/>
  <c r="AE326" i="3"/>
  <c r="V326" i="3"/>
  <c r="O326" i="3" s="1"/>
  <c r="BE325" i="3"/>
  <c r="AZ325" i="3"/>
  <c r="AE325" i="3"/>
  <c r="O325" i="3" s="1"/>
  <c r="V325" i="3"/>
  <c r="BE324" i="3"/>
  <c r="AZ324" i="3"/>
  <c r="AE324" i="3"/>
  <c r="O324" i="3" s="1"/>
  <c r="V324" i="3"/>
  <c r="BE323" i="3"/>
  <c r="AZ323" i="3"/>
  <c r="AE323" i="3"/>
  <c r="V323" i="3"/>
  <c r="O323" i="3"/>
  <c r="BE322" i="3"/>
  <c r="AZ322" i="3"/>
  <c r="AE322" i="3"/>
  <c r="V322" i="3"/>
  <c r="O322" i="3" s="1"/>
  <c r="BE321" i="3"/>
  <c r="AZ321" i="3"/>
  <c r="AE321" i="3"/>
  <c r="V321" i="3"/>
  <c r="O321" i="3"/>
  <c r="BE320" i="3"/>
  <c r="AZ320" i="3"/>
  <c r="AE320" i="3"/>
  <c r="V320" i="3"/>
  <c r="BE319" i="3"/>
  <c r="AZ319" i="3"/>
  <c r="AE319" i="3"/>
  <c r="V319" i="3"/>
  <c r="O319" i="3"/>
  <c r="BE318" i="3"/>
  <c r="AZ318" i="3"/>
  <c r="AE318" i="3"/>
  <c r="V318" i="3"/>
  <c r="O318" i="3" s="1"/>
  <c r="BE317" i="3"/>
  <c r="AZ317" i="3"/>
  <c r="AE317" i="3"/>
  <c r="V317" i="3"/>
  <c r="O317" i="3" s="1"/>
  <c r="BE316" i="3"/>
  <c r="AZ316" i="3"/>
  <c r="AE316" i="3"/>
  <c r="V316" i="3"/>
  <c r="O316" i="3" s="1"/>
  <c r="BE315" i="3"/>
  <c r="AZ315" i="3"/>
  <c r="AE315" i="3"/>
  <c r="V315" i="3"/>
  <c r="O315" i="3"/>
  <c r="BE314" i="3"/>
  <c r="AZ314" i="3"/>
  <c r="AE314" i="3"/>
  <c r="V314" i="3"/>
  <c r="O314" i="3" s="1"/>
  <c r="BE313" i="3"/>
  <c r="AZ313" i="3"/>
  <c r="AE313" i="3"/>
  <c r="O313" i="3" s="1"/>
  <c r="V313" i="3"/>
  <c r="BE312" i="3"/>
  <c r="AZ312" i="3"/>
  <c r="O312" i="3" s="1"/>
  <c r="AE312" i="3"/>
  <c r="V312" i="3"/>
  <c r="BE311" i="3"/>
  <c r="AZ311" i="3"/>
  <c r="AE311" i="3"/>
  <c r="V311" i="3"/>
  <c r="O311" i="3"/>
  <c r="BE310" i="3"/>
  <c r="AZ310" i="3"/>
  <c r="AE310" i="3"/>
  <c r="V310" i="3"/>
  <c r="O310" i="3" s="1"/>
  <c r="BE309" i="3"/>
  <c r="AZ309" i="3"/>
  <c r="AE309" i="3"/>
  <c r="V309" i="3"/>
  <c r="O309" i="3"/>
  <c r="BE308" i="3"/>
  <c r="AZ308" i="3"/>
  <c r="AE308" i="3"/>
  <c r="V308" i="3"/>
  <c r="BE307" i="3"/>
  <c r="AZ307" i="3"/>
  <c r="AE307" i="3"/>
  <c r="V307" i="3"/>
  <c r="O307" i="3"/>
  <c r="BE306" i="3"/>
  <c r="AZ306" i="3"/>
  <c r="AE306" i="3"/>
  <c r="V306" i="3"/>
  <c r="O306" i="3" s="1"/>
  <c r="BE305" i="3"/>
  <c r="AZ305" i="3"/>
  <c r="AE305" i="3"/>
  <c r="V305" i="3"/>
  <c r="O305" i="3" s="1"/>
  <c r="BE304" i="3"/>
  <c r="AZ304" i="3"/>
  <c r="AE304" i="3"/>
  <c r="V304" i="3"/>
  <c r="O304" i="3" s="1"/>
  <c r="BE303" i="3"/>
  <c r="AZ303" i="3"/>
  <c r="AE303" i="3"/>
  <c r="V303" i="3"/>
  <c r="O303" i="3"/>
  <c r="BE302" i="3"/>
  <c r="AZ302" i="3"/>
  <c r="AE302" i="3"/>
  <c r="V302" i="3"/>
  <c r="O302" i="3" s="1"/>
  <c r="BE301" i="3"/>
  <c r="AZ301" i="3"/>
  <c r="AE301" i="3"/>
  <c r="O301" i="3" s="1"/>
  <c r="V301" i="3"/>
  <c r="BE300" i="3"/>
  <c r="AZ300" i="3"/>
  <c r="AE300" i="3"/>
  <c r="O300" i="3" s="1"/>
  <c r="V300" i="3"/>
  <c r="BE299" i="3"/>
  <c r="AZ299" i="3"/>
  <c r="AE299" i="3"/>
  <c r="V299" i="3"/>
  <c r="O299" i="3"/>
  <c r="BE298" i="3"/>
  <c r="AZ298" i="3"/>
  <c r="AE298" i="3"/>
  <c r="V298" i="3"/>
  <c r="O298" i="3" s="1"/>
  <c r="BE297" i="3"/>
  <c r="AZ297" i="3"/>
  <c r="AE297" i="3"/>
  <c r="V297" i="3"/>
  <c r="O297" i="3"/>
  <c r="BE296" i="3"/>
  <c r="AZ296" i="3"/>
  <c r="AE296" i="3"/>
  <c r="V296" i="3"/>
  <c r="BE295" i="3"/>
  <c r="AZ295" i="3"/>
  <c r="AE295" i="3"/>
  <c r="V295" i="3"/>
  <c r="O295" i="3"/>
  <c r="BE294" i="3"/>
  <c r="AZ294" i="3"/>
  <c r="AE294" i="3"/>
  <c r="V294" i="3"/>
  <c r="O294" i="3" s="1"/>
  <c r="BE293" i="3"/>
  <c r="AZ293" i="3"/>
  <c r="AE293" i="3"/>
  <c r="V293" i="3"/>
  <c r="O293" i="3" s="1"/>
  <c r="BE292" i="3"/>
  <c r="AZ292" i="3"/>
  <c r="AE292" i="3"/>
  <c r="V292" i="3"/>
  <c r="O292" i="3" s="1"/>
  <c r="BE291" i="3"/>
  <c r="AZ291" i="3"/>
  <c r="AE291" i="3"/>
  <c r="V291" i="3"/>
  <c r="O291" i="3"/>
  <c r="BE290" i="3"/>
  <c r="AZ290" i="3"/>
  <c r="AE290" i="3"/>
  <c r="V290" i="3"/>
  <c r="O290" i="3" s="1"/>
  <c r="BE289" i="3"/>
  <c r="AZ289" i="3"/>
  <c r="AE289" i="3"/>
  <c r="O289" i="3" s="1"/>
  <c r="V289" i="3"/>
  <c r="BE288" i="3"/>
  <c r="AZ288" i="3"/>
  <c r="AE288" i="3"/>
  <c r="O288" i="3" s="1"/>
  <c r="V288" i="3"/>
  <c r="BE287" i="3"/>
  <c r="AZ287" i="3"/>
  <c r="AE287" i="3"/>
  <c r="V287" i="3"/>
  <c r="O287" i="3"/>
  <c r="BE286" i="3"/>
  <c r="AZ286" i="3"/>
  <c r="AE286" i="3"/>
  <c r="V286" i="3"/>
  <c r="O286" i="3" s="1"/>
  <c r="BE285" i="3"/>
  <c r="AZ285" i="3"/>
  <c r="AE285" i="3"/>
  <c r="V285" i="3"/>
  <c r="O285" i="3"/>
  <c r="BE284" i="3"/>
  <c r="AZ284" i="3"/>
  <c r="AE284" i="3"/>
  <c r="V284" i="3"/>
  <c r="BE283" i="3"/>
  <c r="AZ283" i="3"/>
  <c r="AE283" i="3"/>
  <c r="V283" i="3"/>
  <c r="O283" i="3"/>
  <c r="BE282" i="3"/>
  <c r="AZ282" i="3"/>
  <c r="AE282" i="3"/>
  <c r="V282" i="3"/>
  <c r="O282" i="3" s="1"/>
  <c r="BE281" i="3"/>
  <c r="AZ281" i="3"/>
  <c r="AE281" i="3"/>
  <c r="V281" i="3"/>
  <c r="O281" i="3" s="1"/>
  <c r="BE280" i="3"/>
  <c r="AZ280" i="3"/>
  <c r="AE280" i="3"/>
  <c r="V280" i="3"/>
  <c r="O280" i="3" s="1"/>
  <c r="BE279" i="3"/>
  <c r="AZ279" i="3"/>
  <c r="AE279" i="3"/>
  <c r="V279" i="3"/>
  <c r="O279" i="3"/>
  <c r="BE278" i="3"/>
  <c r="AZ278" i="3"/>
  <c r="AE278" i="3"/>
  <c r="V278" i="3"/>
  <c r="O278" i="3" s="1"/>
  <c r="BE277" i="3"/>
  <c r="AZ277" i="3"/>
  <c r="AE277" i="3"/>
  <c r="O277" i="3" s="1"/>
  <c r="V277" i="3"/>
  <c r="BE276" i="3"/>
  <c r="AZ276" i="3"/>
  <c r="AE276" i="3"/>
  <c r="O276" i="3" s="1"/>
  <c r="V276" i="3"/>
  <c r="BE275" i="3"/>
  <c r="AZ275" i="3"/>
  <c r="AE275" i="3"/>
  <c r="V275" i="3"/>
  <c r="O275" i="3"/>
  <c r="BE274" i="3"/>
  <c r="AZ274" i="3"/>
  <c r="AE274" i="3"/>
  <c r="V274" i="3"/>
  <c r="O274" i="3" s="1"/>
  <c r="BE273" i="3"/>
  <c r="AZ273" i="3"/>
  <c r="AE273" i="3"/>
  <c r="V273" i="3"/>
  <c r="O273" i="3"/>
  <c r="BE272" i="3"/>
  <c r="AZ272" i="3"/>
  <c r="AE272" i="3"/>
  <c r="V272" i="3"/>
  <c r="BE271" i="3"/>
  <c r="AZ271" i="3"/>
  <c r="AE271" i="3"/>
  <c r="V271" i="3"/>
  <c r="O271" i="3"/>
  <c r="BE270" i="3"/>
  <c r="AZ270" i="3"/>
  <c r="AE270" i="3"/>
  <c r="V270" i="3"/>
  <c r="O270" i="3" s="1"/>
  <c r="BE269" i="3"/>
  <c r="AZ269" i="3"/>
  <c r="AE269" i="3"/>
  <c r="V269" i="3"/>
  <c r="O269" i="3" s="1"/>
  <c r="BE268" i="3"/>
  <c r="AZ268" i="3"/>
  <c r="AE268" i="3"/>
  <c r="V268" i="3"/>
  <c r="O268" i="3" s="1"/>
  <c r="BE267" i="3"/>
  <c r="AZ267" i="3"/>
  <c r="AE267" i="3"/>
  <c r="V267" i="3"/>
  <c r="O267" i="3"/>
  <c r="BE266" i="3"/>
  <c r="AZ266" i="3"/>
  <c r="AE266" i="3"/>
  <c r="V266" i="3"/>
  <c r="O266" i="3" s="1"/>
  <c r="BE265" i="3"/>
  <c r="AZ265" i="3"/>
  <c r="AE265" i="3"/>
  <c r="O265" i="3" s="1"/>
  <c r="V265" i="3"/>
  <c r="BE264" i="3"/>
  <c r="AZ264" i="3"/>
  <c r="AE264" i="3"/>
  <c r="O264" i="3" s="1"/>
  <c r="V264" i="3"/>
  <c r="BE263" i="3"/>
  <c r="AZ263" i="3"/>
  <c r="AE263" i="3"/>
  <c r="V263" i="3"/>
  <c r="O263" i="3"/>
  <c r="BE262" i="3"/>
  <c r="AZ262" i="3"/>
  <c r="AE262" i="3"/>
  <c r="V262" i="3"/>
  <c r="O262" i="3" s="1"/>
  <c r="BE261" i="3"/>
  <c r="AZ261" i="3"/>
  <c r="AE261" i="3"/>
  <c r="V261" i="3"/>
  <c r="O261" i="3"/>
  <c r="BE260" i="3"/>
  <c r="AZ260" i="3"/>
  <c r="AE260" i="3"/>
  <c r="V260" i="3"/>
  <c r="BE259" i="3"/>
  <c r="AZ259" i="3"/>
  <c r="AE259" i="3"/>
  <c r="V259" i="3"/>
  <c r="O259" i="3"/>
  <c r="BE258" i="3"/>
  <c r="AZ258" i="3"/>
  <c r="AE258" i="3"/>
  <c r="V258" i="3"/>
  <c r="O258" i="3" s="1"/>
  <c r="BE257" i="3"/>
  <c r="AZ257" i="3"/>
  <c r="AE257" i="3"/>
  <c r="V257" i="3"/>
  <c r="O257" i="3" s="1"/>
  <c r="BE256" i="3"/>
  <c r="AZ256" i="3"/>
  <c r="AE256" i="3"/>
  <c r="V256" i="3"/>
  <c r="O256" i="3" s="1"/>
  <c r="BE255" i="3"/>
  <c r="AZ255" i="3"/>
  <c r="AE255" i="3"/>
  <c r="V255" i="3"/>
  <c r="O255" i="3"/>
  <c r="BE254" i="3"/>
  <c r="AZ254" i="3"/>
  <c r="AE254" i="3"/>
  <c r="V254" i="3"/>
  <c r="O254" i="3" s="1"/>
  <c r="BE253" i="3"/>
  <c r="AZ253" i="3"/>
  <c r="AE253" i="3"/>
  <c r="O253" i="3" s="1"/>
  <c r="V253" i="3"/>
  <c r="BE252" i="3"/>
  <c r="AZ252" i="3"/>
  <c r="AE252" i="3"/>
  <c r="O252" i="3" s="1"/>
  <c r="V252" i="3"/>
  <c r="BE251" i="3"/>
  <c r="AZ251" i="3"/>
  <c r="AE251" i="3"/>
  <c r="V251" i="3"/>
  <c r="O251" i="3"/>
  <c r="BE250" i="3"/>
  <c r="AZ250" i="3"/>
  <c r="AE250" i="3"/>
  <c r="V250" i="3"/>
  <c r="O250" i="3" s="1"/>
  <c r="BE249" i="3"/>
  <c r="AZ249" i="3"/>
  <c r="AE249" i="3"/>
  <c r="V249" i="3"/>
  <c r="O249" i="3"/>
  <c r="BE248" i="3"/>
  <c r="AZ248" i="3"/>
  <c r="AE248" i="3"/>
  <c r="V248" i="3"/>
  <c r="BE247" i="3"/>
  <c r="AZ247" i="3"/>
  <c r="AE247" i="3"/>
  <c r="V247" i="3"/>
  <c r="O247" i="3"/>
  <c r="BE246" i="3"/>
  <c r="AZ246" i="3"/>
  <c r="AE246" i="3"/>
  <c r="V246" i="3"/>
  <c r="O246" i="3" s="1"/>
  <c r="BE245" i="3"/>
  <c r="AZ245" i="3"/>
  <c r="AE245" i="3"/>
  <c r="V245" i="3"/>
  <c r="O245" i="3" s="1"/>
  <c r="BE244" i="3"/>
  <c r="AZ244" i="3"/>
  <c r="AE244" i="3"/>
  <c r="V244" i="3"/>
  <c r="O244" i="3" s="1"/>
  <c r="BE243" i="3"/>
  <c r="AZ243" i="3"/>
  <c r="AE243" i="3"/>
  <c r="V243" i="3"/>
  <c r="O243" i="3"/>
  <c r="BE242" i="3"/>
  <c r="AZ242" i="3"/>
  <c r="AE242" i="3"/>
  <c r="V242" i="3"/>
  <c r="O242" i="3" s="1"/>
  <c r="BE241" i="3"/>
  <c r="AZ241" i="3"/>
  <c r="AE241" i="3"/>
  <c r="O241" i="3" s="1"/>
  <c r="V241" i="3"/>
  <c r="BE240" i="3"/>
  <c r="AZ240" i="3"/>
  <c r="O240" i="3" s="1"/>
  <c r="AE240" i="3"/>
  <c r="V240" i="3"/>
  <c r="BE239" i="3"/>
  <c r="AZ239" i="3"/>
  <c r="AE239" i="3"/>
  <c r="V239" i="3"/>
  <c r="O239" i="3"/>
  <c r="BE238" i="3"/>
  <c r="AZ238" i="3"/>
  <c r="AE238" i="3"/>
  <c r="V238" i="3"/>
  <c r="O238" i="3" s="1"/>
  <c r="BE237" i="3"/>
  <c r="AZ237" i="3"/>
  <c r="AE237" i="3"/>
  <c r="V237" i="3"/>
  <c r="O237" i="3"/>
  <c r="BE236" i="3"/>
  <c r="AZ236" i="3"/>
  <c r="AE236" i="3"/>
  <c r="V236" i="3"/>
  <c r="BE235" i="3"/>
  <c r="AZ235" i="3"/>
  <c r="AE235" i="3"/>
  <c r="V235" i="3"/>
  <c r="O235" i="3"/>
  <c r="BE234" i="3"/>
  <c r="AZ234" i="3"/>
  <c r="AE234" i="3"/>
  <c r="V234" i="3"/>
  <c r="O234" i="3" s="1"/>
  <c r="BE233" i="3"/>
  <c r="AZ233" i="3"/>
  <c r="AE233" i="3"/>
  <c r="V233" i="3"/>
  <c r="O233" i="3" s="1"/>
  <c r="BE232" i="3"/>
  <c r="AZ232" i="3"/>
  <c r="AE232" i="3"/>
  <c r="V232" i="3"/>
  <c r="O232" i="3" s="1"/>
  <c r="BE231" i="3"/>
  <c r="AZ231" i="3"/>
  <c r="AE231" i="3"/>
  <c r="V231" i="3"/>
  <c r="O231" i="3"/>
  <c r="BE230" i="3"/>
  <c r="AZ230" i="3"/>
  <c r="AE230" i="3"/>
  <c r="V230" i="3"/>
  <c r="O230" i="3" s="1"/>
  <c r="BE229" i="3"/>
  <c r="AZ229" i="3"/>
  <c r="AE229" i="3"/>
  <c r="O229" i="3" s="1"/>
  <c r="V229" i="3"/>
  <c r="BE228" i="3"/>
  <c r="AZ228" i="3"/>
  <c r="O228" i="3" s="1"/>
  <c r="AE228" i="3"/>
  <c r="V228" i="3"/>
  <c r="BE227" i="3"/>
  <c r="AZ227" i="3"/>
  <c r="AE227" i="3"/>
  <c r="V227" i="3"/>
  <c r="O227" i="3"/>
  <c r="BE226" i="3"/>
  <c r="AZ226" i="3"/>
  <c r="AE226" i="3"/>
  <c r="V226" i="3"/>
  <c r="O226" i="3" s="1"/>
  <c r="BE225" i="3"/>
  <c r="AZ225" i="3"/>
  <c r="AE225" i="3"/>
  <c r="V225" i="3"/>
  <c r="O225" i="3"/>
  <c r="BE224" i="3"/>
  <c r="AZ224" i="3"/>
  <c r="AE224" i="3"/>
  <c r="V224" i="3"/>
  <c r="BE223" i="3"/>
  <c r="AZ223" i="3"/>
  <c r="AE223" i="3"/>
  <c r="V223" i="3"/>
  <c r="O223" i="3"/>
  <c r="BE222" i="3"/>
  <c r="AZ222" i="3"/>
  <c r="AE222" i="3"/>
  <c r="V222" i="3"/>
  <c r="O222" i="3" s="1"/>
  <c r="BE221" i="3"/>
  <c r="AZ221" i="3"/>
  <c r="AE221" i="3"/>
  <c r="V221" i="3"/>
  <c r="O221" i="3" s="1"/>
  <c r="BE220" i="3"/>
  <c r="AZ220" i="3"/>
  <c r="AE220" i="3"/>
  <c r="V220" i="3"/>
  <c r="O220" i="3" s="1"/>
  <c r="BE219" i="3"/>
  <c r="AZ219" i="3"/>
  <c r="AE219" i="3"/>
  <c r="V219" i="3"/>
  <c r="O219" i="3"/>
  <c r="BE218" i="3"/>
  <c r="AZ218" i="3"/>
  <c r="AE218" i="3"/>
  <c r="V218" i="3"/>
  <c r="O218" i="3" s="1"/>
  <c r="BE217" i="3"/>
  <c r="AZ217" i="3"/>
  <c r="AE217" i="3"/>
  <c r="O217" i="3" s="1"/>
  <c r="V217" i="3"/>
  <c r="BE216" i="3"/>
  <c r="AZ216" i="3"/>
  <c r="O216" i="3" s="1"/>
  <c r="AE216" i="3"/>
  <c r="V216" i="3"/>
  <c r="BE215" i="3"/>
  <c r="AZ215" i="3"/>
  <c r="AE215" i="3"/>
  <c r="V215" i="3"/>
  <c r="O215" i="3"/>
  <c r="BE214" i="3"/>
  <c r="AZ214" i="3"/>
  <c r="AE214" i="3"/>
  <c r="V214" i="3"/>
  <c r="O214" i="3" s="1"/>
  <c r="BE213" i="3"/>
  <c r="AZ213" i="3"/>
  <c r="AE213" i="3"/>
  <c r="V213" i="3"/>
  <c r="O213" i="3"/>
  <c r="BE212" i="3"/>
  <c r="AZ212" i="3"/>
  <c r="AE212" i="3"/>
  <c r="V212" i="3"/>
  <c r="BE211" i="3"/>
  <c r="AZ211" i="3"/>
  <c r="AE211" i="3"/>
  <c r="V211" i="3"/>
  <c r="O211" i="3"/>
  <c r="BE210" i="3"/>
  <c r="AZ210" i="3"/>
  <c r="AE210" i="3"/>
  <c r="V210" i="3"/>
  <c r="O210" i="3" s="1"/>
  <c r="BE209" i="3"/>
  <c r="AZ209" i="3"/>
  <c r="AE209" i="3"/>
  <c r="V209" i="3"/>
  <c r="O209" i="3" s="1"/>
  <c r="BE208" i="3"/>
  <c r="AZ208" i="3"/>
  <c r="AE208" i="3"/>
  <c r="V208" i="3"/>
  <c r="O208" i="3" s="1"/>
  <c r="BE207" i="3"/>
  <c r="AZ207" i="3"/>
  <c r="AE207" i="3"/>
  <c r="V207" i="3"/>
  <c r="O207" i="3"/>
  <c r="BE206" i="3"/>
  <c r="AZ206" i="3"/>
  <c r="AE206" i="3"/>
  <c r="V206" i="3"/>
  <c r="O206" i="3" s="1"/>
  <c r="BE205" i="3"/>
  <c r="AZ205" i="3"/>
  <c r="AE205" i="3"/>
  <c r="O205" i="3" s="1"/>
  <c r="V205" i="3"/>
  <c r="BE204" i="3"/>
  <c r="AZ204" i="3"/>
  <c r="O204" i="3" s="1"/>
  <c r="AE204" i="3"/>
  <c r="V204" i="3"/>
  <c r="BE203" i="3"/>
  <c r="AZ203" i="3"/>
  <c r="AE203" i="3"/>
  <c r="V203" i="3"/>
  <c r="O203" i="3"/>
  <c r="BE202" i="3"/>
  <c r="AZ202" i="3"/>
  <c r="AE202" i="3"/>
  <c r="V202" i="3"/>
  <c r="O202" i="3" s="1"/>
  <c r="BE201" i="3"/>
  <c r="AZ201" i="3"/>
  <c r="AE201" i="3"/>
  <c r="V201" i="3"/>
  <c r="O201" i="3"/>
  <c r="BE200" i="3"/>
  <c r="AZ200" i="3"/>
  <c r="AE200" i="3"/>
  <c r="V200" i="3"/>
  <c r="BE199" i="3"/>
  <c r="AZ199" i="3"/>
  <c r="AE199" i="3"/>
  <c r="V199" i="3"/>
  <c r="O199" i="3"/>
  <c r="BE198" i="3"/>
  <c r="AZ198" i="3"/>
  <c r="AE198" i="3"/>
  <c r="V198" i="3"/>
  <c r="O198" i="3" s="1"/>
  <c r="BE197" i="3"/>
  <c r="AZ197" i="3"/>
  <c r="AE197" i="3"/>
  <c r="V197" i="3"/>
  <c r="O197" i="3" s="1"/>
  <c r="BE196" i="3"/>
  <c r="AZ196" i="3"/>
  <c r="AE196" i="3"/>
  <c r="V196" i="3"/>
  <c r="O196" i="3" s="1"/>
  <c r="BE195" i="3"/>
  <c r="AZ195" i="3"/>
  <c r="AE195" i="3"/>
  <c r="V195" i="3"/>
  <c r="O195" i="3"/>
  <c r="BE194" i="3"/>
  <c r="AZ194" i="3"/>
  <c r="AE194" i="3"/>
  <c r="V194" i="3"/>
  <c r="O194" i="3" s="1"/>
  <c r="BE193" i="3"/>
  <c r="AZ193" i="3"/>
  <c r="AE193" i="3"/>
  <c r="O193" i="3" s="1"/>
  <c r="V193" i="3"/>
  <c r="BE192" i="3"/>
  <c r="AZ192" i="3"/>
  <c r="AE192" i="3"/>
  <c r="O192" i="3" s="1"/>
  <c r="V192" i="3"/>
  <c r="BE191" i="3"/>
  <c r="AZ191" i="3"/>
  <c r="AE191" i="3"/>
  <c r="V191" i="3"/>
  <c r="O191" i="3"/>
  <c r="BE190" i="3"/>
  <c r="AZ190" i="3"/>
  <c r="AE190" i="3"/>
  <c r="V190" i="3"/>
  <c r="O190" i="3" s="1"/>
  <c r="BE189" i="3"/>
  <c r="AZ189" i="3"/>
  <c r="AE189" i="3"/>
  <c r="V189" i="3"/>
  <c r="O189" i="3"/>
  <c r="BE188" i="3"/>
  <c r="AZ188" i="3"/>
  <c r="AE188" i="3"/>
  <c r="V188" i="3"/>
  <c r="BE187" i="3"/>
  <c r="AZ187" i="3"/>
  <c r="AE187" i="3"/>
  <c r="V187" i="3"/>
  <c r="O187" i="3"/>
  <c r="BE186" i="3"/>
  <c r="AZ186" i="3"/>
  <c r="AE186" i="3"/>
  <c r="V186" i="3"/>
  <c r="O186" i="3" s="1"/>
  <c r="BE185" i="3"/>
  <c r="AZ185" i="3"/>
  <c r="AE185" i="3"/>
  <c r="V185" i="3"/>
  <c r="O185" i="3" s="1"/>
  <c r="BE184" i="3"/>
  <c r="AZ184" i="3"/>
  <c r="AE184" i="3"/>
  <c r="V184" i="3"/>
  <c r="O184" i="3" s="1"/>
  <c r="BE183" i="3"/>
  <c r="AZ183" i="3"/>
  <c r="AE183" i="3"/>
  <c r="V183" i="3"/>
  <c r="O183" i="3"/>
  <c r="BE182" i="3"/>
  <c r="AZ182" i="3"/>
  <c r="AE182" i="3"/>
  <c r="V182" i="3"/>
  <c r="O182" i="3" s="1"/>
  <c r="BE181" i="3"/>
  <c r="AZ181" i="3"/>
  <c r="AE181" i="3"/>
  <c r="O181" i="3" s="1"/>
  <c r="V181" i="3"/>
  <c r="BE180" i="3"/>
  <c r="AZ180" i="3"/>
  <c r="AE180" i="3"/>
  <c r="O180" i="3" s="1"/>
  <c r="V180" i="3"/>
  <c r="BE179" i="3"/>
  <c r="AZ179" i="3"/>
  <c r="AE179" i="3"/>
  <c r="V179" i="3"/>
  <c r="O179" i="3"/>
  <c r="BE178" i="3"/>
  <c r="AZ178" i="3"/>
  <c r="AE178" i="3"/>
  <c r="V178" i="3"/>
  <c r="O178" i="3" s="1"/>
  <c r="BE177" i="3"/>
  <c r="AZ177" i="3"/>
  <c r="AE177" i="3"/>
  <c r="V177" i="3"/>
  <c r="O177" i="3"/>
  <c r="BE176" i="3"/>
  <c r="AZ176" i="3"/>
  <c r="AE176" i="3"/>
  <c r="V176" i="3"/>
  <c r="BE175" i="3"/>
  <c r="AZ175" i="3"/>
  <c r="AE175" i="3"/>
  <c r="V175" i="3"/>
  <c r="O175" i="3"/>
  <c r="BE174" i="3"/>
  <c r="AZ174" i="3"/>
  <c r="AE174" i="3"/>
  <c r="V174" i="3"/>
  <c r="O174" i="3" s="1"/>
  <c r="BE173" i="3"/>
  <c r="AZ173" i="3"/>
  <c r="AE173" i="3"/>
  <c r="V173" i="3"/>
  <c r="O173" i="3" s="1"/>
  <c r="BE172" i="3"/>
  <c r="AZ172" i="3"/>
  <c r="AE172" i="3"/>
  <c r="V172" i="3"/>
  <c r="O172" i="3" s="1"/>
  <c r="BE171" i="3"/>
  <c r="AZ171" i="3"/>
  <c r="AE171" i="3"/>
  <c r="V171" i="3"/>
  <c r="O171" i="3"/>
  <c r="BE170" i="3"/>
  <c r="AZ170" i="3"/>
  <c r="AE170" i="3"/>
  <c r="V170" i="3"/>
  <c r="O170" i="3" s="1"/>
  <c r="BE169" i="3"/>
  <c r="AZ169" i="3"/>
  <c r="AE169" i="3"/>
  <c r="O169" i="3" s="1"/>
  <c r="V169" i="3"/>
  <c r="BE168" i="3"/>
  <c r="AZ168" i="3"/>
  <c r="AE168" i="3"/>
  <c r="V168" i="3"/>
  <c r="O168" i="3" s="1"/>
  <c r="BE167" i="3"/>
  <c r="AZ167" i="3"/>
  <c r="AE167" i="3"/>
  <c r="V167" i="3"/>
  <c r="O167" i="3"/>
  <c r="BE166" i="3"/>
  <c r="AZ166" i="3"/>
  <c r="AE166" i="3"/>
  <c r="V166" i="3"/>
  <c r="O166" i="3" s="1"/>
  <c r="BE165" i="3"/>
  <c r="AZ165" i="3"/>
  <c r="AE165" i="3"/>
  <c r="V165" i="3"/>
  <c r="O165" i="3"/>
  <c r="BE164" i="3"/>
  <c r="AZ164" i="3"/>
  <c r="AE164" i="3"/>
  <c r="V164" i="3"/>
  <c r="BE163" i="3"/>
  <c r="AZ163" i="3"/>
  <c r="AE163" i="3"/>
  <c r="V163" i="3"/>
  <c r="O163" i="3"/>
  <c r="BE162" i="3"/>
  <c r="AZ162" i="3"/>
  <c r="AE162" i="3"/>
  <c r="V162" i="3"/>
  <c r="O162" i="3" s="1"/>
  <c r="BE161" i="3"/>
  <c r="AZ161" i="3"/>
  <c r="AE161" i="3"/>
  <c r="V161" i="3"/>
  <c r="O161" i="3" s="1"/>
  <c r="BE160" i="3"/>
  <c r="AZ160" i="3"/>
  <c r="AE160" i="3"/>
  <c r="V160" i="3"/>
  <c r="O160" i="3" s="1"/>
  <c r="BE159" i="3"/>
  <c r="AZ159" i="3"/>
  <c r="AE159" i="3"/>
  <c r="V159" i="3"/>
  <c r="O159" i="3"/>
  <c r="BE158" i="3"/>
  <c r="AZ158" i="3"/>
  <c r="AE158" i="3"/>
  <c r="V158" i="3"/>
  <c r="O158" i="3" s="1"/>
  <c r="BE157" i="3"/>
  <c r="AZ157" i="3"/>
  <c r="AE157" i="3"/>
  <c r="O157" i="3" s="1"/>
  <c r="V157" i="3"/>
  <c r="BE156" i="3"/>
  <c r="AZ156" i="3"/>
  <c r="AE156" i="3"/>
  <c r="V156" i="3"/>
  <c r="O156" i="3" s="1"/>
  <c r="BE155" i="3"/>
  <c r="AZ155" i="3"/>
  <c r="AE155" i="3"/>
  <c r="V155" i="3"/>
  <c r="O155" i="3"/>
  <c r="BE154" i="3"/>
  <c r="AZ154" i="3"/>
  <c r="AE154" i="3"/>
  <c r="V154" i="3"/>
  <c r="O154" i="3" s="1"/>
  <c r="BE153" i="3"/>
  <c r="AZ153" i="3"/>
  <c r="AE153" i="3"/>
  <c r="V153" i="3"/>
  <c r="O153" i="3"/>
  <c r="BE152" i="3"/>
  <c r="AZ152" i="3"/>
  <c r="AE152" i="3"/>
  <c r="V152" i="3"/>
  <c r="BE151" i="3"/>
  <c r="AZ151" i="3"/>
  <c r="AE151" i="3"/>
  <c r="V151" i="3"/>
  <c r="O151" i="3"/>
  <c r="BE150" i="3"/>
  <c r="AZ150" i="3"/>
  <c r="AE150" i="3"/>
  <c r="V150" i="3"/>
  <c r="O150" i="3" s="1"/>
  <c r="BE149" i="3"/>
  <c r="AZ149" i="3"/>
  <c r="AE149" i="3"/>
  <c r="V149" i="3"/>
  <c r="O149" i="3" s="1"/>
  <c r="BE148" i="3"/>
  <c r="AZ148" i="3"/>
  <c r="AE148" i="3"/>
  <c r="V148" i="3"/>
  <c r="O148" i="3" s="1"/>
  <c r="BE147" i="3"/>
  <c r="AZ147" i="3"/>
  <c r="AE147" i="3"/>
  <c r="V147" i="3"/>
  <c r="O147" i="3"/>
  <c r="BE146" i="3"/>
  <c r="AZ146" i="3"/>
  <c r="AE146" i="3"/>
  <c r="V146" i="3"/>
  <c r="O146" i="3" s="1"/>
  <c r="BE145" i="3"/>
  <c r="AZ145" i="3"/>
  <c r="AE145" i="3"/>
  <c r="O145" i="3" s="1"/>
  <c r="V145" i="3"/>
  <c r="BE144" i="3"/>
  <c r="AZ144" i="3"/>
  <c r="AE144" i="3"/>
  <c r="V144" i="3"/>
  <c r="O144" i="3" s="1"/>
  <c r="BE143" i="3"/>
  <c r="AZ143" i="3"/>
  <c r="AE143" i="3"/>
  <c r="V143" i="3"/>
  <c r="O143" i="3"/>
  <c r="BE142" i="3"/>
  <c r="AZ142" i="3"/>
  <c r="AE142" i="3"/>
  <c r="V142" i="3"/>
  <c r="O142" i="3" s="1"/>
  <c r="BE141" i="3"/>
  <c r="AZ141" i="3"/>
  <c r="AE141" i="3"/>
  <c r="V141" i="3"/>
  <c r="O141" i="3"/>
  <c r="BE140" i="3"/>
  <c r="AZ140" i="3"/>
  <c r="AE140" i="3"/>
  <c r="V140" i="3"/>
  <c r="BE139" i="3"/>
  <c r="AZ139" i="3"/>
  <c r="AE139" i="3"/>
  <c r="V139" i="3"/>
  <c r="O139" i="3"/>
  <c r="BE138" i="3"/>
  <c r="AZ138" i="3"/>
  <c r="AE138" i="3"/>
  <c r="V138" i="3"/>
  <c r="O138" i="3" s="1"/>
  <c r="BE137" i="3"/>
  <c r="AZ137" i="3"/>
  <c r="AE137" i="3"/>
  <c r="V137" i="3"/>
  <c r="O137" i="3" s="1"/>
  <c r="BE136" i="3"/>
  <c r="AZ136" i="3"/>
  <c r="AE136" i="3"/>
  <c r="V136" i="3"/>
  <c r="O136" i="3" s="1"/>
  <c r="BE135" i="3"/>
  <c r="AZ135" i="3"/>
  <c r="AE135" i="3"/>
  <c r="V135" i="3"/>
  <c r="O135" i="3"/>
  <c r="BE134" i="3"/>
  <c r="AZ134" i="3"/>
  <c r="AE134" i="3"/>
  <c r="V134" i="3"/>
  <c r="O134" i="3" s="1"/>
  <c r="BE133" i="3"/>
  <c r="AZ133" i="3"/>
  <c r="AE133" i="3"/>
  <c r="O133" i="3" s="1"/>
  <c r="V133" i="3"/>
  <c r="BE132" i="3"/>
  <c r="AZ132" i="3"/>
  <c r="AE132" i="3"/>
  <c r="V132" i="3"/>
  <c r="O132" i="3" s="1"/>
  <c r="BE131" i="3"/>
  <c r="AZ131" i="3"/>
  <c r="AE131" i="3"/>
  <c r="V131" i="3"/>
  <c r="O131" i="3"/>
  <c r="BE130" i="3"/>
  <c r="AZ130" i="3"/>
  <c r="AE130" i="3"/>
  <c r="V130" i="3"/>
  <c r="O130" i="3" s="1"/>
  <c r="BE129" i="3"/>
  <c r="AZ129" i="3"/>
  <c r="AE129" i="3"/>
  <c r="V129" i="3"/>
  <c r="O129" i="3"/>
  <c r="BE128" i="3"/>
  <c r="AZ128" i="3"/>
  <c r="AE128" i="3"/>
  <c r="V128" i="3"/>
  <c r="BE127" i="3"/>
  <c r="AZ127" i="3"/>
  <c r="AE127" i="3"/>
  <c r="V127" i="3"/>
  <c r="O127" i="3"/>
  <c r="BE126" i="3"/>
  <c r="AZ126" i="3"/>
  <c r="AE126" i="3"/>
  <c r="V126" i="3"/>
  <c r="O126" i="3" s="1"/>
  <c r="BE125" i="3"/>
  <c r="AZ125" i="3"/>
  <c r="AE125" i="3"/>
  <c r="V125" i="3"/>
  <c r="O125" i="3" s="1"/>
  <c r="BE124" i="3"/>
  <c r="AZ124" i="3"/>
  <c r="AE124" i="3"/>
  <c r="V124" i="3"/>
  <c r="O124" i="3" s="1"/>
  <c r="BE123" i="3"/>
  <c r="AZ123" i="3"/>
  <c r="AE123" i="3"/>
  <c r="V123" i="3"/>
  <c r="O123" i="3"/>
  <c r="BE122" i="3"/>
  <c r="AZ122" i="3"/>
  <c r="AE122" i="3"/>
  <c r="V122" i="3"/>
  <c r="O122" i="3" s="1"/>
  <c r="BE121" i="3"/>
  <c r="AZ121" i="3"/>
  <c r="AE121" i="3"/>
  <c r="O121" i="3" s="1"/>
  <c r="V121" i="3"/>
  <c r="BE120" i="3"/>
  <c r="AZ120" i="3"/>
  <c r="AE120" i="3"/>
  <c r="V120" i="3"/>
  <c r="O120" i="3" s="1"/>
  <c r="BE119" i="3"/>
  <c r="AZ119" i="3"/>
  <c r="AE119" i="3"/>
  <c r="V119" i="3"/>
  <c r="O119" i="3"/>
  <c r="BE118" i="3"/>
  <c r="AZ118" i="3"/>
  <c r="AE118" i="3"/>
  <c r="V118" i="3"/>
  <c r="O118" i="3" s="1"/>
  <c r="BE117" i="3"/>
  <c r="AZ117" i="3"/>
  <c r="AE117" i="3"/>
  <c r="V117" i="3"/>
  <c r="O117" i="3"/>
  <c r="BE116" i="3"/>
  <c r="AZ116" i="3"/>
  <c r="AE116" i="3"/>
  <c r="V116" i="3"/>
  <c r="BE115" i="3"/>
  <c r="AZ115" i="3"/>
  <c r="AE115" i="3"/>
  <c r="V115" i="3"/>
  <c r="O115" i="3"/>
  <c r="BE114" i="3"/>
  <c r="AZ114" i="3"/>
  <c r="AE114" i="3"/>
  <c r="V114" i="3"/>
  <c r="O114" i="3" s="1"/>
  <c r="BE113" i="3"/>
  <c r="AZ113" i="3"/>
  <c r="AE113" i="3"/>
  <c r="V113" i="3"/>
  <c r="O113" i="3" s="1"/>
  <c r="BE112" i="3"/>
  <c r="AZ112" i="3"/>
  <c r="AE112" i="3"/>
  <c r="V112" i="3"/>
  <c r="O112" i="3" s="1"/>
  <c r="BE111" i="3"/>
  <c r="AZ111" i="3"/>
  <c r="AE111" i="3"/>
  <c r="V111" i="3"/>
  <c r="O111" i="3"/>
  <c r="BE110" i="3"/>
  <c r="AZ110" i="3"/>
  <c r="AE110" i="3"/>
  <c r="V110" i="3"/>
  <c r="O110" i="3" s="1"/>
  <c r="BE109" i="3"/>
  <c r="AZ109" i="3"/>
  <c r="AE109" i="3"/>
  <c r="O109" i="3" s="1"/>
  <c r="V109" i="3"/>
  <c r="BE108" i="3"/>
  <c r="AZ108" i="3"/>
  <c r="AE108" i="3"/>
  <c r="V108" i="3"/>
  <c r="O108" i="3" s="1"/>
  <c r="BE107" i="3"/>
  <c r="AZ107" i="3"/>
  <c r="AE107" i="3"/>
  <c r="V107" i="3"/>
  <c r="O107" i="3"/>
  <c r="BE106" i="3"/>
  <c r="AZ106" i="3"/>
  <c r="AE106" i="3"/>
  <c r="V106" i="3"/>
  <c r="O106" i="3" s="1"/>
  <c r="BE105" i="3"/>
  <c r="AZ105" i="3"/>
  <c r="AE105" i="3"/>
  <c r="V105" i="3"/>
  <c r="O105" i="3"/>
  <c r="BE104" i="3"/>
  <c r="AZ104" i="3"/>
  <c r="AE104" i="3"/>
  <c r="V104" i="3"/>
  <c r="BE103" i="3"/>
  <c r="AZ103" i="3"/>
  <c r="AE103" i="3"/>
  <c r="V103" i="3"/>
  <c r="O103" i="3"/>
  <c r="BE102" i="3"/>
  <c r="AZ102" i="3"/>
  <c r="AE102" i="3"/>
  <c r="V102" i="3"/>
  <c r="O102" i="3" s="1"/>
  <c r="BE101" i="3"/>
  <c r="AZ101" i="3"/>
  <c r="AE101" i="3"/>
  <c r="V101" i="3"/>
  <c r="O101" i="3" s="1"/>
  <c r="BE100" i="3"/>
  <c r="AZ100" i="3"/>
  <c r="AE100" i="3"/>
  <c r="V100" i="3"/>
  <c r="O100" i="3" s="1"/>
  <c r="BE99" i="3"/>
  <c r="AZ99" i="3"/>
  <c r="AE99" i="3"/>
  <c r="V99" i="3"/>
  <c r="O99" i="3"/>
  <c r="BE98" i="3"/>
  <c r="AZ98" i="3"/>
  <c r="AE98" i="3"/>
  <c r="V98" i="3"/>
  <c r="O98" i="3" s="1"/>
  <c r="BE97" i="3"/>
  <c r="AZ97" i="3"/>
  <c r="AE97" i="3"/>
  <c r="O97" i="3" s="1"/>
  <c r="V97" i="3"/>
  <c r="BE96" i="3"/>
  <c r="AZ96" i="3"/>
  <c r="AE96" i="3"/>
  <c r="V96" i="3"/>
  <c r="O96" i="3" s="1"/>
  <c r="BE95" i="3"/>
  <c r="AZ95" i="3"/>
  <c r="AE95" i="3"/>
  <c r="V95" i="3"/>
  <c r="O95" i="3"/>
  <c r="AZ94" i="3"/>
  <c r="AE94" i="3"/>
  <c r="V94" i="3"/>
  <c r="O94" i="3"/>
  <c r="BE93" i="3"/>
  <c r="AZ93" i="3"/>
  <c r="AE93" i="3"/>
  <c r="V93" i="3"/>
  <c r="O93" i="3" s="1"/>
  <c r="BE92" i="3"/>
  <c r="AZ92" i="3"/>
  <c r="AE92" i="3"/>
  <c r="O92" i="3" s="1"/>
  <c r="V92" i="3"/>
  <c r="BE91" i="3"/>
  <c r="AZ91" i="3"/>
  <c r="AE91" i="3"/>
  <c r="V91" i="3"/>
  <c r="O91" i="3" s="1"/>
  <c r="BE90" i="3"/>
  <c r="AZ90" i="3"/>
  <c r="AE90" i="3"/>
  <c r="V90" i="3"/>
  <c r="O90" i="3"/>
  <c r="BE89" i="3"/>
  <c r="AZ89" i="3"/>
  <c r="AE89" i="3"/>
  <c r="V89" i="3"/>
  <c r="O89" i="3" s="1"/>
  <c r="BE88" i="3"/>
  <c r="AZ88" i="3"/>
  <c r="AE88" i="3"/>
  <c r="V88" i="3"/>
  <c r="O88" i="3"/>
  <c r="BE87" i="3"/>
  <c r="AZ87" i="3"/>
  <c r="AE87" i="3"/>
  <c r="V87" i="3"/>
  <c r="O87" i="3" s="1"/>
  <c r="BE86" i="3"/>
  <c r="AZ86" i="3"/>
  <c r="AE86" i="3"/>
  <c r="V86" i="3"/>
  <c r="O86" i="3"/>
  <c r="BE85" i="3"/>
  <c r="AZ85" i="3"/>
  <c r="AE85" i="3"/>
  <c r="V85" i="3"/>
  <c r="O85" i="3" s="1"/>
  <c r="BE84" i="3"/>
  <c r="AZ84" i="3"/>
  <c r="AE84" i="3"/>
  <c r="V84" i="3"/>
  <c r="O84" i="3" s="1"/>
  <c r="BE83" i="3"/>
  <c r="AZ83" i="3"/>
  <c r="AE83" i="3"/>
  <c r="V83" i="3"/>
  <c r="O83" i="3" s="1"/>
  <c r="BE82" i="3"/>
  <c r="AZ82" i="3"/>
  <c r="AE82" i="3"/>
  <c r="V82" i="3"/>
  <c r="O82" i="3"/>
  <c r="BE81" i="3"/>
  <c r="AZ81" i="3"/>
  <c r="AE81" i="3"/>
  <c r="V81" i="3"/>
  <c r="O81" i="3" s="1"/>
  <c r="BE80" i="3"/>
  <c r="AZ80" i="3"/>
  <c r="AE80" i="3"/>
  <c r="O80" i="3" s="1"/>
  <c r="V80" i="3"/>
  <c r="BE79" i="3"/>
  <c r="AZ79" i="3"/>
  <c r="AE79" i="3"/>
  <c r="V79" i="3"/>
  <c r="O79" i="3" s="1"/>
  <c r="BE78" i="3"/>
  <c r="AZ78" i="3"/>
  <c r="AE78" i="3"/>
  <c r="V78" i="3"/>
  <c r="O78" i="3"/>
  <c r="BE77" i="3"/>
  <c r="AZ77" i="3"/>
  <c r="AE77" i="3"/>
  <c r="V77" i="3"/>
  <c r="O77" i="3" s="1"/>
  <c r="BE76" i="3"/>
  <c r="AZ76" i="3"/>
  <c r="AE76" i="3"/>
  <c r="V76" i="3"/>
  <c r="O76" i="3"/>
  <c r="BE75" i="3"/>
  <c r="AZ75" i="3"/>
  <c r="AE75" i="3"/>
  <c r="V75" i="3"/>
  <c r="O75" i="3" s="1"/>
  <c r="BE74" i="3"/>
  <c r="AZ74" i="3"/>
  <c r="AE74" i="3"/>
  <c r="V74" i="3"/>
  <c r="O74" i="3"/>
  <c r="BE73" i="3"/>
  <c r="AZ73" i="3"/>
  <c r="AE73" i="3"/>
  <c r="V73" i="3"/>
  <c r="O73" i="3" s="1"/>
  <c r="BE72" i="3"/>
  <c r="AZ72" i="3"/>
  <c r="AE72" i="3"/>
  <c r="V72" i="3"/>
  <c r="O72" i="3" s="1"/>
  <c r="BE71" i="3"/>
  <c r="AZ71" i="3"/>
  <c r="AE71" i="3"/>
  <c r="V71" i="3"/>
  <c r="O71" i="3" s="1"/>
  <c r="BE70" i="3"/>
  <c r="AZ70" i="3"/>
  <c r="AE70" i="3"/>
  <c r="V70" i="3"/>
  <c r="O70" i="3"/>
  <c r="BE69" i="3"/>
  <c r="AZ69" i="3"/>
  <c r="AE69" i="3"/>
  <c r="V69" i="3"/>
  <c r="O69" i="3" s="1"/>
  <c r="BE68" i="3"/>
  <c r="AZ68" i="3"/>
  <c r="AE68" i="3"/>
  <c r="O68" i="3" s="1"/>
  <c r="V68" i="3"/>
  <c r="BE67" i="3"/>
  <c r="AZ67" i="3"/>
  <c r="AE67" i="3"/>
  <c r="V67" i="3"/>
  <c r="O67" i="3" s="1"/>
  <c r="BE66" i="3"/>
  <c r="AZ66" i="3"/>
  <c r="AE66" i="3"/>
  <c r="V66" i="3"/>
  <c r="O66" i="3"/>
  <c r="BE65" i="3"/>
  <c r="AZ65" i="3"/>
  <c r="AE65" i="3"/>
  <c r="V65" i="3"/>
  <c r="O65" i="3" s="1"/>
  <c r="BE64" i="3"/>
  <c r="AZ64" i="3"/>
  <c r="AE64" i="3"/>
  <c r="V64" i="3"/>
  <c r="O64" i="3"/>
  <c r="BE63" i="3"/>
  <c r="AZ63" i="3"/>
  <c r="AE63" i="3"/>
  <c r="V63" i="3"/>
  <c r="O63" i="3" s="1"/>
  <c r="BE62" i="3"/>
  <c r="AZ62" i="3"/>
  <c r="AE62" i="3"/>
  <c r="V62" i="3"/>
  <c r="O62" i="3"/>
  <c r="BE61" i="3"/>
  <c r="AZ61" i="3"/>
  <c r="AE61" i="3"/>
  <c r="V61" i="3"/>
  <c r="O61" i="3" s="1"/>
  <c r="BE60" i="3"/>
  <c r="AZ60" i="3"/>
  <c r="AE60" i="3"/>
  <c r="V60" i="3"/>
  <c r="O60" i="3" s="1"/>
  <c r="BE59" i="3"/>
  <c r="AZ59" i="3"/>
  <c r="AE59" i="3"/>
  <c r="V59" i="3"/>
  <c r="O59" i="3" s="1"/>
  <c r="BE58" i="3"/>
  <c r="AZ58" i="3"/>
  <c r="AE58" i="3"/>
  <c r="V58" i="3"/>
  <c r="O58" i="3"/>
  <c r="BE57" i="3"/>
  <c r="AZ57" i="3"/>
  <c r="AE57" i="3"/>
  <c r="V57" i="3"/>
  <c r="O57" i="3" s="1"/>
  <c r="BE56" i="3"/>
  <c r="AZ56" i="3"/>
  <c r="AE56" i="3"/>
  <c r="O56" i="3" s="1"/>
  <c r="V56" i="3"/>
  <c r="BE55" i="3"/>
  <c r="AZ55" i="3"/>
  <c r="AE55" i="3"/>
  <c r="V55" i="3"/>
  <c r="O55" i="3" s="1"/>
  <c r="BE54" i="3"/>
  <c r="AZ54" i="3"/>
  <c r="AE54" i="3"/>
  <c r="V54" i="3"/>
  <c r="O54" i="3"/>
  <c r="BE53" i="3"/>
  <c r="AZ53" i="3"/>
  <c r="AE53" i="3"/>
  <c r="V53" i="3"/>
  <c r="O53" i="3" s="1"/>
  <c r="BE52" i="3"/>
  <c r="AZ52" i="3"/>
  <c r="AE52" i="3"/>
  <c r="V52" i="3"/>
  <c r="O52" i="3"/>
  <c r="BE51" i="3"/>
  <c r="AZ51" i="3"/>
  <c r="AE51" i="3"/>
  <c r="V51" i="3"/>
  <c r="O51" i="3" s="1"/>
  <c r="BE50" i="3"/>
  <c r="AZ50" i="3"/>
  <c r="AE50" i="3"/>
  <c r="V50" i="3"/>
  <c r="O50" i="3"/>
  <c r="BE49" i="3"/>
  <c r="AZ49" i="3"/>
  <c r="AE49" i="3"/>
  <c r="V49" i="3"/>
  <c r="O49" i="3" s="1"/>
  <c r="BE48" i="3"/>
  <c r="AZ48" i="3"/>
  <c r="AE48" i="3"/>
  <c r="V48" i="3"/>
  <c r="O48" i="3" s="1"/>
  <c r="BE47" i="3"/>
  <c r="AZ47" i="3"/>
  <c r="AE47" i="3"/>
  <c r="V47" i="3"/>
  <c r="O47" i="3" s="1"/>
  <c r="BE46" i="3"/>
  <c r="AZ46" i="3"/>
  <c r="AE46" i="3"/>
  <c r="V46" i="3"/>
  <c r="O46" i="3"/>
  <c r="BE45" i="3"/>
  <c r="AZ45" i="3"/>
  <c r="AE45" i="3"/>
  <c r="V45" i="3"/>
  <c r="O45" i="3" s="1"/>
  <c r="BE44" i="3"/>
  <c r="AZ44" i="3"/>
  <c r="AE44" i="3"/>
  <c r="O44" i="3" s="1"/>
  <c r="V44" i="3"/>
  <c r="BE43" i="3"/>
  <c r="AZ43" i="3"/>
  <c r="AE43" i="3"/>
  <c r="V43" i="3"/>
  <c r="O43" i="3" s="1"/>
  <c r="BE42" i="3"/>
  <c r="AZ42" i="3"/>
  <c r="AE42" i="3"/>
  <c r="V42" i="3"/>
  <c r="O42" i="3"/>
  <c r="BE41" i="3"/>
  <c r="AZ41" i="3"/>
  <c r="AE41" i="3"/>
  <c r="V41" i="3"/>
  <c r="O41" i="3" s="1"/>
  <c r="BE40" i="3"/>
  <c r="AZ40" i="3"/>
  <c r="AE40" i="3"/>
  <c r="V40" i="3"/>
  <c r="O40" i="3"/>
  <c r="BE39" i="3"/>
  <c r="AZ39" i="3"/>
  <c r="AE39" i="3"/>
  <c r="V39" i="3"/>
  <c r="O39" i="3" s="1"/>
  <c r="BE38" i="3"/>
  <c r="AZ38" i="3"/>
  <c r="AE38" i="3"/>
  <c r="V38" i="3"/>
  <c r="O38" i="3"/>
  <c r="BE37" i="3"/>
  <c r="AZ37" i="3"/>
  <c r="AE37" i="3"/>
  <c r="V37" i="3"/>
  <c r="O37" i="3" s="1"/>
  <c r="BE36" i="3"/>
  <c r="AZ36" i="3"/>
  <c r="AE36" i="3"/>
  <c r="V36" i="3"/>
  <c r="O36" i="3" s="1"/>
  <c r="BE35" i="3"/>
  <c r="AZ35" i="3"/>
  <c r="AE35" i="3"/>
  <c r="V35" i="3"/>
  <c r="O35" i="3" s="1"/>
  <c r="BE34" i="3"/>
  <c r="AZ34" i="3"/>
  <c r="AE34" i="3"/>
  <c r="V34" i="3"/>
  <c r="O34" i="3"/>
  <c r="BE33" i="3"/>
  <c r="AZ33" i="3"/>
  <c r="AE33" i="3"/>
  <c r="V33" i="3"/>
  <c r="O33" i="3" s="1"/>
  <c r="BE32" i="3"/>
  <c r="AZ32" i="3"/>
  <c r="AE32" i="3"/>
  <c r="O32" i="3" s="1"/>
  <c r="V32" i="3"/>
  <c r="BE31" i="3"/>
  <c r="AZ31" i="3"/>
  <c r="AE31" i="3"/>
  <c r="O31" i="3" s="1"/>
  <c r="V31" i="3"/>
  <c r="BE30" i="3"/>
  <c r="AZ30" i="3"/>
  <c r="AE30" i="3"/>
  <c r="V30" i="3"/>
  <c r="O30" i="3"/>
  <c r="BE29" i="3"/>
  <c r="AZ29" i="3"/>
  <c r="AE29" i="3"/>
  <c r="V29" i="3"/>
  <c r="O29" i="3" s="1"/>
  <c r="BE28" i="3"/>
  <c r="AZ28" i="3"/>
  <c r="AE28" i="3"/>
  <c r="V28" i="3"/>
  <c r="O28" i="3"/>
  <c r="BE27" i="3"/>
  <c r="AZ27" i="3"/>
  <c r="AE27" i="3"/>
  <c r="V27" i="3"/>
  <c r="O27" i="3" s="1"/>
  <c r="BE26" i="3"/>
  <c r="AZ26" i="3"/>
  <c r="AE26" i="3"/>
  <c r="V26" i="3"/>
  <c r="O26" i="3"/>
  <c r="BE25" i="3"/>
  <c r="AZ25" i="3"/>
  <c r="AE25" i="3"/>
  <c r="V25" i="3"/>
  <c r="O25" i="3" s="1"/>
  <c r="BE24" i="3"/>
  <c r="AZ24" i="3"/>
  <c r="AE24" i="3"/>
  <c r="V24" i="3"/>
  <c r="O24" i="3" s="1"/>
  <c r="BE23" i="3"/>
  <c r="AZ23" i="3"/>
  <c r="AE23" i="3"/>
  <c r="V23" i="3"/>
  <c r="O23" i="3" s="1"/>
  <c r="BE22" i="3"/>
  <c r="AZ22" i="3"/>
  <c r="AE22" i="3"/>
  <c r="V22" i="3"/>
  <c r="O22" i="3"/>
  <c r="BE21" i="3"/>
  <c r="AZ21" i="3"/>
  <c r="AE21" i="3"/>
  <c r="V21" i="3"/>
  <c r="O21" i="3" s="1"/>
  <c r="BE20" i="3"/>
  <c r="AZ20" i="3"/>
  <c r="AE20" i="3"/>
  <c r="O20" i="3" s="1"/>
  <c r="V20" i="3"/>
  <c r="BE19" i="3"/>
  <c r="AZ19" i="3"/>
  <c r="AE19" i="3"/>
  <c r="V19" i="3"/>
  <c r="O19" i="3" s="1"/>
  <c r="BE18" i="3"/>
  <c r="AZ18" i="3"/>
  <c r="AE18" i="3"/>
  <c r="V18" i="3"/>
  <c r="O18" i="3"/>
  <c r="BE17" i="3"/>
  <c r="AZ17" i="3"/>
  <c r="AE17" i="3"/>
  <c r="V17" i="3"/>
  <c r="O17" i="3" s="1"/>
  <c r="BE16" i="3"/>
  <c r="AZ16" i="3"/>
  <c r="AE16" i="3"/>
  <c r="V16" i="3"/>
  <c r="O16" i="3"/>
  <c r="BE15" i="3"/>
  <c r="AZ15" i="3"/>
  <c r="AE15" i="3"/>
  <c r="V15" i="3"/>
  <c r="O15" i="3" s="1"/>
  <c r="BE14" i="3"/>
  <c r="AZ14" i="3"/>
  <c r="AE14" i="3"/>
  <c r="V14" i="3"/>
  <c r="O14" i="3"/>
  <c r="BE13" i="3"/>
  <c r="AZ13" i="3"/>
  <c r="AE13" i="3"/>
  <c r="V13" i="3"/>
  <c r="O13" i="3" s="1"/>
  <c r="BE12" i="3"/>
  <c r="AZ12" i="3"/>
  <c r="AE12" i="3"/>
  <c r="V12" i="3"/>
  <c r="O12" i="3" s="1"/>
  <c r="BE11" i="3"/>
  <c r="AZ11" i="3"/>
  <c r="AE11" i="3"/>
  <c r="V11" i="3"/>
  <c r="O11" i="3" s="1"/>
  <c r="BE10" i="3"/>
  <c r="AZ10" i="3"/>
  <c r="AE10" i="3"/>
  <c r="V10" i="3"/>
  <c r="O10" i="3"/>
  <c r="BE9" i="3"/>
  <c r="AZ9" i="3"/>
  <c r="AE9" i="3"/>
  <c r="V9" i="3"/>
  <c r="O9" i="3" s="1"/>
  <c r="BE8" i="3"/>
  <c r="AZ8" i="3"/>
  <c r="AE8" i="3"/>
  <c r="O8" i="3" s="1"/>
  <c r="V8" i="3"/>
  <c r="BE7" i="3"/>
  <c r="AZ7" i="3"/>
  <c r="AE7" i="3"/>
  <c r="V7" i="3"/>
  <c r="O7" i="3" s="1"/>
  <c r="BE6" i="3"/>
  <c r="AZ6" i="3"/>
  <c r="AE6" i="3"/>
  <c r="V6" i="3"/>
  <c r="O6" i="3"/>
  <c r="BE5" i="3"/>
  <c r="AZ5" i="3"/>
  <c r="AE5" i="3"/>
  <c r="V5" i="3"/>
  <c r="O5" i="3" s="1"/>
  <c r="BE4" i="3"/>
  <c r="AZ4" i="3"/>
  <c r="AE4" i="3"/>
  <c r="V4" i="3"/>
  <c r="O4" i="3"/>
  <c r="BE3" i="3"/>
  <c r="AZ3" i="3"/>
  <c r="AE3" i="3"/>
  <c r="V3" i="3"/>
  <c r="O3" i="3" s="1"/>
  <c r="AE2" i="3"/>
  <c r="V2" i="3"/>
  <c r="O2" i="3" s="1"/>
  <c r="BG683" i="2"/>
  <c r="BB683" i="2"/>
  <c r="AG683" i="2"/>
  <c r="X683" i="2"/>
  <c r="Q683" i="2" s="1"/>
  <c r="BG682" i="2"/>
  <c r="BB682" i="2"/>
  <c r="AG682" i="2"/>
  <c r="X682" i="2"/>
  <c r="Q682" i="2" s="1"/>
  <c r="AG681" i="2"/>
  <c r="X681" i="2"/>
  <c r="Q681" i="2" s="1"/>
  <c r="AG680" i="2"/>
  <c r="X680" i="2"/>
  <c r="Q680" i="2" s="1"/>
  <c r="BG679" i="2"/>
  <c r="BB679" i="2"/>
  <c r="AG679" i="2"/>
  <c r="X679" i="2"/>
  <c r="AG678" i="2"/>
  <c r="X678" i="2"/>
  <c r="X677" i="2"/>
  <c r="X676" i="2"/>
  <c r="X675" i="2"/>
  <c r="X674" i="2"/>
  <c r="Q674" i="2"/>
  <c r="BG673" i="2"/>
  <c r="BB673" i="2"/>
  <c r="AG673" i="2"/>
  <c r="X673" i="2"/>
  <c r="Q673" i="2"/>
  <c r="BG672" i="2"/>
  <c r="BB672" i="2"/>
  <c r="AG672" i="2"/>
  <c r="X672" i="2"/>
  <c r="Q672" i="2"/>
  <c r="BG671" i="2"/>
  <c r="BB671" i="2"/>
  <c r="AG671" i="2"/>
  <c r="X671" i="2"/>
  <c r="Q671" i="2"/>
  <c r="BG670" i="2"/>
  <c r="BB670" i="2"/>
  <c r="AG670" i="2"/>
  <c r="X670" i="2"/>
  <c r="Q670" i="2"/>
  <c r="BG669" i="2"/>
  <c r="BB669" i="2"/>
  <c r="AG669" i="2"/>
  <c r="X669" i="2"/>
  <c r="Q669" i="2"/>
  <c r="BG668" i="2"/>
  <c r="BB668" i="2"/>
  <c r="AG668" i="2"/>
  <c r="X668" i="2"/>
  <c r="Q668" i="2"/>
  <c r="BG667" i="2"/>
  <c r="BB667" i="2"/>
  <c r="AG667" i="2"/>
  <c r="X667" i="2"/>
  <c r="Q667" i="2"/>
  <c r="BG666" i="2"/>
  <c r="BB666" i="2"/>
  <c r="AG666" i="2"/>
  <c r="X666" i="2"/>
  <c r="Q666" i="2"/>
  <c r="BG665" i="2"/>
  <c r="BB665" i="2"/>
  <c r="AG665" i="2"/>
  <c r="X665" i="2"/>
  <c r="Q665" i="2"/>
  <c r="BG664" i="2"/>
  <c r="BB664" i="2"/>
  <c r="AG664" i="2"/>
  <c r="X664" i="2"/>
  <c r="Q664" i="2"/>
  <c r="BG663" i="2"/>
  <c r="BB663" i="2"/>
  <c r="AG663" i="2"/>
  <c r="X663" i="2"/>
  <c r="Q663" i="2"/>
  <c r="BG662" i="2"/>
  <c r="BB662" i="2"/>
  <c r="AG662" i="2"/>
  <c r="X662" i="2"/>
  <c r="Q662" i="2"/>
  <c r="BG660" i="2"/>
  <c r="BB660" i="2"/>
  <c r="AG660" i="2"/>
  <c r="X660" i="2"/>
  <c r="BG659" i="2"/>
  <c r="BB659" i="2"/>
  <c r="AG659" i="2"/>
  <c r="X659" i="2"/>
  <c r="AG658" i="2"/>
  <c r="X658" i="2"/>
  <c r="AG657" i="2"/>
  <c r="X657" i="2"/>
  <c r="BG656" i="2"/>
  <c r="BB656" i="2"/>
  <c r="AG656" i="2"/>
  <c r="X656" i="2"/>
  <c r="BG655" i="2"/>
  <c r="BB655" i="2"/>
  <c r="AG655" i="2"/>
  <c r="X655" i="2"/>
  <c r="BG654" i="2"/>
  <c r="BB654" i="2"/>
  <c r="AG654" i="2"/>
  <c r="X654" i="2"/>
  <c r="Q676" i="2" s="1"/>
  <c r="BG653" i="2"/>
  <c r="BB653" i="2"/>
  <c r="AG653" i="2"/>
  <c r="X653" i="2"/>
  <c r="BG633" i="2"/>
  <c r="BB633" i="2"/>
  <c r="AG633" i="2"/>
  <c r="Q633" i="2" s="1"/>
  <c r="X633" i="2"/>
  <c r="AG632" i="2"/>
  <c r="X632" i="2"/>
  <c r="Q632" i="2" s="1"/>
  <c r="BG631" i="2"/>
  <c r="BB631" i="2"/>
  <c r="AG631" i="2"/>
  <c r="X631" i="2"/>
  <c r="Q631" i="2" s="1"/>
  <c r="BG630" i="2"/>
  <c r="BB630" i="2"/>
  <c r="AG630" i="2"/>
  <c r="X630" i="2"/>
  <c r="BG629" i="2"/>
  <c r="BB629" i="2"/>
  <c r="AG629" i="2"/>
  <c r="X629" i="2"/>
  <c r="Q629" i="2" s="1"/>
  <c r="BG628" i="2"/>
  <c r="BB628" i="2"/>
  <c r="AG628" i="2"/>
  <c r="X628" i="2"/>
  <c r="Q628" i="2" s="1"/>
  <c r="BG627" i="2"/>
  <c r="BB627" i="2"/>
  <c r="AG627" i="2"/>
  <c r="X627" i="2"/>
  <c r="BG626" i="2"/>
  <c r="BB626" i="2"/>
  <c r="AG626" i="2"/>
  <c r="X626" i="2"/>
  <c r="BG625" i="2"/>
  <c r="BB625" i="2"/>
  <c r="AG625" i="2"/>
  <c r="X625" i="2"/>
  <c r="Q625" i="2" s="1"/>
  <c r="BG624" i="2"/>
  <c r="BB624" i="2"/>
  <c r="AG624" i="2"/>
  <c r="X624" i="2"/>
  <c r="BG623" i="2"/>
  <c r="BB623" i="2"/>
  <c r="AG623" i="2"/>
  <c r="X623" i="2"/>
  <c r="BG622" i="2"/>
  <c r="BB622" i="2"/>
  <c r="AG622" i="2"/>
  <c r="X622" i="2"/>
  <c r="BG621" i="2"/>
  <c r="BB621" i="2"/>
  <c r="AG621" i="2"/>
  <c r="X621" i="2"/>
  <c r="AG620" i="2"/>
  <c r="X620" i="2"/>
  <c r="BG619" i="2"/>
  <c r="BB619" i="2"/>
  <c r="AG619" i="2"/>
  <c r="X619" i="2"/>
  <c r="Q619" i="2"/>
  <c r="BG618" i="2"/>
  <c r="BB618" i="2"/>
  <c r="AG618" i="2"/>
  <c r="X618" i="2"/>
  <c r="Q617" i="2"/>
  <c r="BG616" i="2"/>
  <c r="BB616" i="2"/>
  <c r="AG616" i="2"/>
  <c r="X616" i="2"/>
  <c r="BG615" i="2"/>
  <c r="BB615" i="2"/>
  <c r="AG615" i="2"/>
  <c r="X615" i="2"/>
  <c r="BG614" i="2"/>
  <c r="BB614" i="2"/>
  <c r="AG614" i="2"/>
  <c r="X614" i="2"/>
  <c r="BG613" i="2"/>
  <c r="BB613" i="2"/>
  <c r="AG613" i="2"/>
  <c r="X613" i="2"/>
  <c r="BG612" i="2"/>
  <c r="BB612" i="2"/>
  <c r="AG612" i="2"/>
  <c r="X612" i="2"/>
  <c r="BG611" i="2"/>
  <c r="BB611" i="2"/>
  <c r="AG611" i="2"/>
  <c r="X611" i="2"/>
  <c r="Q611" i="2" s="1"/>
  <c r="BG610" i="2"/>
  <c r="BB610" i="2"/>
  <c r="AG610" i="2"/>
  <c r="X610" i="2"/>
  <c r="Q610" i="2" s="1"/>
  <c r="BG609" i="2"/>
  <c r="BB609" i="2"/>
  <c r="AG609" i="2"/>
  <c r="X609" i="2"/>
  <c r="BG608" i="2"/>
  <c r="BB608" i="2"/>
  <c r="AG608" i="2"/>
  <c r="X608" i="2"/>
  <c r="Q608" i="2" s="1"/>
  <c r="BG607" i="2"/>
  <c r="BB607" i="2"/>
  <c r="AG607" i="2"/>
  <c r="X607" i="2"/>
  <c r="Q607" i="2"/>
  <c r="BG606" i="2"/>
  <c r="BB606" i="2"/>
  <c r="AG606" i="2"/>
  <c r="X606" i="2"/>
  <c r="BG605" i="2"/>
  <c r="BB605" i="2"/>
  <c r="AG605" i="2"/>
  <c r="X605" i="2"/>
  <c r="BG604" i="2"/>
  <c r="BB604" i="2"/>
  <c r="AG604" i="2"/>
  <c r="X604" i="2"/>
  <c r="Q604" i="2" s="1"/>
  <c r="BG603" i="2"/>
  <c r="BB603" i="2"/>
  <c r="AG603" i="2"/>
  <c r="X603" i="2"/>
  <c r="BG602" i="2"/>
  <c r="BB602" i="2"/>
  <c r="AG602" i="2"/>
  <c r="X602" i="2"/>
  <c r="BG601" i="2"/>
  <c r="BB601" i="2"/>
  <c r="AG601" i="2"/>
  <c r="X601" i="2"/>
  <c r="Q601" i="2" s="1"/>
  <c r="BG600" i="2"/>
  <c r="BB600" i="2"/>
  <c r="AG600" i="2"/>
  <c r="X600" i="2"/>
  <c r="BG599" i="2"/>
  <c r="BB599" i="2"/>
  <c r="AG599" i="2"/>
  <c r="Q599" i="2" s="1"/>
  <c r="X599" i="2"/>
  <c r="BG598" i="2"/>
  <c r="BB598" i="2"/>
  <c r="AG598" i="2"/>
  <c r="X598" i="2"/>
  <c r="BG597" i="2"/>
  <c r="BB597" i="2"/>
  <c r="AG597" i="2"/>
  <c r="X597" i="2"/>
  <c r="BG596" i="2"/>
  <c r="BB596" i="2"/>
  <c r="AG596" i="2"/>
  <c r="X596" i="2"/>
  <c r="BG595" i="2"/>
  <c r="BB595" i="2"/>
  <c r="AG595" i="2"/>
  <c r="X595" i="2"/>
  <c r="Q595" i="2" s="1"/>
  <c r="BG594" i="2"/>
  <c r="BB594" i="2"/>
  <c r="AG594" i="2"/>
  <c r="X594" i="2"/>
  <c r="AG593" i="2"/>
  <c r="X593" i="2"/>
  <c r="AG592" i="2"/>
  <c r="X592" i="2"/>
  <c r="BG590" i="2"/>
  <c r="BB590" i="2"/>
  <c r="AG590" i="2"/>
  <c r="X590" i="2"/>
  <c r="Q590" i="2" s="1"/>
  <c r="BG589" i="2"/>
  <c r="BB589" i="2"/>
  <c r="AG589" i="2"/>
  <c r="X589" i="2"/>
  <c r="BG588" i="2"/>
  <c r="BB588" i="2"/>
  <c r="AG588" i="2"/>
  <c r="X588" i="2"/>
  <c r="Q588" i="2" s="1"/>
  <c r="AG587" i="2"/>
  <c r="X587" i="2"/>
  <c r="AG586" i="2"/>
  <c r="X586" i="2"/>
  <c r="BG585" i="2"/>
  <c r="BB585" i="2"/>
  <c r="AG585" i="2"/>
  <c r="X585" i="2"/>
  <c r="BG584" i="2"/>
  <c r="BB584" i="2"/>
  <c r="AG584" i="2"/>
  <c r="X584" i="2"/>
  <c r="BG583" i="2"/>
  <c r="BB583" i="2"/>
  <c r="AG583" i="2"/>
  <c r="X583" i="2"/>
  <c r="BG582" i="2"/>
  <c r="BB582" i="2"/>
  <c r="AG582" i="2"/>
  <c r="X582" i="2"/>
  <c r="BG581" i="2"/>
  <c r="BB581" i="2"/>
  <c r="AG581" i="2"/>
  <c r="X581" i="2"/>
  <c r="Q581" i="2" s="1"/>
  <c r="BG580" i="2"/>
  <c r="BB580" i="2"/>
  <c r="AG580" i="2"/>
  <c r="X580" i="2"/>
  <c r="BG579" i="2"/>
  <c r="BB579" i="2"/>
  <c r="AG579" i="2"/>
  <c r="X579" i="2"/>
  <c r="BG578" i="2"/>
  <c r="BB578" i="2"/>
  <c r="AG578" i="2"/>
  <c r="X578" i="2"/>
  <c r="Q578" i="2" s="1"/>
  <c r="AG577" i="2"/>
  <c r="X577" i="2"/>
  <c r="AG576" i="2"/>
  <c r="X576" i="2"/>
  <c r="BG575" i="2"/>
  <c r="BB575" i="2"/>
  <c r="AG575" i="2"/>
  <c r="X575" i="2"/>
  <c r="BG574" i="2"/>
  <c r="BB574" i="2"/>
  <c r="AG574" i="2"/>
  <c r="X574" i="2"/>
  <c r="Q574" i="2" s="1"/>
  <c r="BG573" i="2"/>
  <c r="BB573" i="2"/>
  <c r="AG573" i="2"/>
  <c r="X573" i="2"/>
  <c r="Q573" i="2" s="1"/>
  <c r="BG572" i="2"/>
  <c r="BB572" i="2"/>
  <c r="AG572" i="2"/>
  <c r="X572" i="2"/>
  <c r="BG571" i="2"/>
  <c r="BB571" i="2"/>
  <c r="AG571" i="2"/>
  <c r="X571" i="2"/>
  <c r="BG570" i="2"/>
  <c r="BB570" i="2"/>
  <c r="AG570" i="2"/>
  <c r="X570" i="2"/>
  <c r="Q570" i="2" s="1"/>
  <c r="BG569" i="2"/>
  <c r="BB569" i="2"/>
  <c r="AG569" i="2"/>
  <c r="X569" i="2"/>
  <c r="BG568" i="2"/>
  <c r="BB568" i="2"/>
  <c r="AG568" i="2"/>
  <c r="X568" i="2"/>
  <c r="BG567" i="2"/>
  <c r="BB567" i="2"/>
  <c r="AG567" i="2"/>
  <c r="X567" i="2"/>
  <c r="BG566" i="2"/>
  <c r="BB566" i="2"/>
  <c r="AG566" i="2"/>
  <c r="X566" i="2"/>
  <c r="BG565" i="2"/>
  <c r="BB565" i="2"/>
  <c r="AG565" i="2"/>
  <c r="X565" i="2"/>
  <c r="Q565" i="2" s="1"/>
  <c r="BG564" i="2"/>
  <c r="BB564" i="2"/>
  <c r="AG564" i="2"/>
  <c r="X564" i="2"/>
  <c r="BG563" i="2"/>
  <c r="BB563" i="2"/>
  <c r="AG563" i="2"/>
  <c r="X563" i="2"/>
  <c r="BG562" i="2"/>
  <c r="BB562" i="2"/>
  <c r="AG562" i="2"/>
  <c r="X562" i="2"/>
  <c r="Q562" i="2" s="1"/>
  <c r="BG561" i="2"/>
  <c r="BB561" i="2"/>
  <c r="AG561" i="2"/>
  <c r="X561" i="2"/>
  <c r="Q561" i="2" s="1"/>
  <c r="BG560" i="2"/>
  <c r="BB560" i="2"/>
  <c r="AG560" i="2"/>
  <c r="X560" i="2"/>
  <c r="BG559" i="2"/>
  <c r="BB559" i="2"/>
  <c r="AG559" i="2"/>
  <c r="X559" i="2"/>
  <c r="BG558" i="2"/>
  <c r="BB558" i="2"/>
  <c r="AG558" i="2"/>
  <c r="X558" i="2"/>
  <c r="Q558" i="2" s="1"/>
  <c r="BG557" i="2"/>
  <c r="BB557" i="2"/>
  <c r="AG557" i="2"/>
  <c r="X557" i="2"/>
  <c r="BG556" i="2"/>
  <c r="BB556" i="2"/>
  <c r="AG556" i="2"/>
  <c r="X556" i="2"/>
  <c r="BG555" i="2"/>
  <c r="BB555" i="2"/>
  <c r="AG555" i="2"/>
  <c r="X555" i="2"/>
  <c r="BG554" i="2"/>
  <c r="BB554" i="2"/>
  <c r="AG554" i="2"/>
  <c r="X554" i="2"/>
  <c r="BG553" i="2"/>
  <c r="BB553" i="2"/>
  <c r="AG553" i="2"/>
  <c r="X553" i="2"/>
  <c r="BG552" i="2"/>
  <c r="BB552" i="2"/>
  <c r="AG552" i="2"/>
  <c r="X552" i="2"/>
  <c r="BG551" i="2"/>
  <c r="BB551" i="2"/>
  <c r="AG551" i="2"/>
  <c r="X551" i="2"/>
  <c r="BG550" i="2"/>
  <c r="BB550" i="2"/>
  <c r="AG550" i="2"/>
  <c r="X550" i="2"/>
  <c r="BG549" i="2"/>
  <c r="BB549" i="2"/>
  <c r="AG549" i="2"/>
  <c r="X549" i="2"/>
  <c r="BG548" i="2"/>
  <c r="BB548" i="2"/>
  <c r="AG548" i="2"/>
  <c r="X548" i="2"/>
  <c r="BG547" i="2"/>
  <c r="BB547" i="2"/>
  <c r="AG547" i="2"/>
  <c r="X547" i="2"/>
  <c r="BG546" i="2"/>
  <c r="BB546" i="2"/>
  <c r="AG546" i="2"/>
  <c r="X546" i="2"/>
  <c r="BG545" i="2"/>
  <c r="BB545" i="2"/>
  <c r="AG545" i="2"/>
  <c r="X545" i="2"/>
  <c r="BG544" i="2"/>
  <c r="BB544" i="2"/>
  <c r="Q544" i="2" s="1"/>
  <c r="AG544" i="2"/>
  <c r="X544" i="2"/>
  <c r="BG543" i="2"/>
  <c r="BB543" i="2"/>
  <c r="AG543" i="2"/>
  <c r="X543" i="2"/>
  <c r="BG542" i="2"/>
  <c r="BB542" i="2"/>
  <c r="AG542" i="2"/>
  <c r="X542" i="2"/>
  <c r="BG541" i="2"/>
  <c r="BB541" i="2"/>
  <c r="AG541" i="2"/>
  <c r="X541" i="2"/>
  <c r="BG540" i="2"/>
  <c r="BB540" i="2"/>
  <c r="AG540" i="2"/>
  <c r="X540" i="2"/>
  <c r="BG539" i="2"/>
  <c r="BB539" i="2"/>
  <c r="AG539" i="2"/>
  <c r="X539" i="2"/>
  <c r="BG538" i="2"/>
  <c r="BB538" i="2"/>
  <c r="AG538" i="2"/>
  <c r="X538" i="2"/>
  <c r="Q538" i="2"/>
  <c r="BG537" i="2"/>
  <c r="BB537" i="2"/>
  <c r="AG537" i="2"/>
  <c r="X537" i="2"/>
  <c r="BG536" i="2"/>
  <c r="BB536" i="2"/>
  <c r="AG536" i="2"/>
  <c r="X536" i="2"/>
  <c r="BG535" i="2"/>
  <c r="BB535" i="2"/>
  <c r="AG535" i="2"/>
  <c r="X535" i="2"/>
  <c r="Q535" i="2" s="1"/>
  <c r="BG534" i="2"/>
  <c r="BB534" i="2"/>
  <c r="AG534" i="2"/>
  <c r="X534" i="2"/>
  <c r="Q534" i="2" s="1"/>
  <c r="BG533" i="2"/>
  <c r="BB533" i="2"/>
  <c r="AG533" i="2"/>
  <c r="X533" i="2"/>
  <c r="BG532" i="2"/>
  <c r="BB532" i="2"/>
  <c r="AG532" i="2"/>
  <c r="X532" i="2"/>
  <c r="Q532" i="2"/>
  <c r="BG531" i="2"/>
  <c r="BB531" i="2"/>
  <c r="AG531" i="2"/>
  <c r="X531" i="2"/>
  <c r="BG530" i="2"/>
  <c r="BB530" i="2"/>
  <c r="AG530" i="2"/>
  <c r="X530" i="2"/>
  <c r="BG529" i="2"/>
  <c r="BB529" i="2"/>
  <c r="AG529" i="2"/>
  <c r="X529" i="2"/>
  <c r="BG528" i="2"/>
  <c r="BB528" i="2"/>
  <c r="AG528" i="2"/>
  <c r="X528" i="2"/>
  <c r="BG527" i="2"/>
  <c r="BB527" i="2"/>
  <c r="AG527" i="2"/>
  <c r="X527" i="2"/>
  <c r="BG526" i="2"/>
  <c r="BB526" i="2"/>
  <c r="AG526" i="2"/>
  <c r="X526" i="2"/>
  <c r="Q526" i="2" s="1"/>
  <c r="BG525" i="2"/>
  <c r="BB525" i="2"/>
  <c r="AG525" i="2"/>
  <c r="X525" i="2"/>
  <c r="BG524" i="2"/>
  <c r="BB524" i="2"/>
  <c r="AG524" i="2"/>
  <c r="X524" i="2"/>
  <c r="BG523" i="2"/>
  <c r="BB523" i="2"/>
  <c r="AG523" i="2"/>
  <c r="X523" i="2"/>
  <c r="BG522" i="2"/>
  <c r="BB522" i="2"/>
  <c r="AG522" i="2"/>
  <c r="X522" i="2"/>
  <c r="Q522" i="2" s="1"/>
  <c r="BG521" i="2"/>
  <c r="BB521" i="2"/>
  <c r="AG521" i="2"/>
  <c r="X521" i="2"/>
  <c r="BG520" i="2"/>
  <c r="BB520" i="2"/>
  <c r="AG520" i="2"/>
  <c r="X520" i="2"/>
  <c r="Q520" i="2" s="1"/>
  <c r="BG519" i="2"/>
  <c r="BB519" i="2"/>
  <c r="AG519" i="2"/>
  <c r="X519" i="2"/>
  <c r="BG518" i="2"/>
  <c r="BB518" i="2"/>
  <c r="AG518" i="2"/>
  <c r="X518" i="2"/>
  <c r="Q518" i="2"/>
  <c r="BG517" i="2"/>
  <c r="BB517" i="2"/>
  <c r="AG517" i="2"/>
  <c r="X517" i="2"/>
  <c r="BG516" i="2"/>
  <c r="BB516" i="2"/>
  <c r="AG516" i="2"/>
  <c r="X516" i="2"/>
  <c r="BG515" i="2"/>
  <c r="BB515" i="2"/>
  <c r="AG515" i="2"/>
  <c r="X515" i="2"/>
  <c r="Q515" i="2" s="1"/>
  <c r="BG514" i="2"/>
  <c r="BB514" i="2"/>
  <c r="AG514" i="2"/>
  <c r="X514" i="2"/>
  <c r="BG513" i="2"/>
  <c r="BB513" i="2"/>
  <c r="AG513" i="2"/>
  <c r="X513" i="2"/>
  <c r="BG512" i="2"/>
  <c r="BB512" i="2"/>
  <c r="AG512" i="2"/>
  <c r="X512" i="2"/>
  <c r="BG511" i="2"/>
  <c r="BB511" i="2"/>
  <c r="AG511" i="2"/>
  <c r="X511" i="2"/>
  <c r="Q511" i="2" s="1"/>
  <c r="BG510" i="2"/>
  <c r="BB510" i="2"/>
  <c r="AG510" i="2"/>
  <c r="X510" i="2"/>
  <c r="Q510" i="2" s="1"/>
  <c r="BG509" i="2"/>
  <c r="BB509" i="2"/>
  <c r="AG509" i="2"/>
  <c r="X509" i="2"/>
  <c r="BG508" i="2"/>
  <c r="BB508" i="2"/>
  <c r="AG508" i="2"/>
  <c r="X508" i="2"/>
  <c r="Q508" i="2" s="1"/>
  <c r="BG507" i="2"/>
  <c r="BB507" i="2"/>
  <c r="AG507" i="2"/>
  <c r="X507" i="2"/>
  <c r="BG506" i="2"/>
  <c r="BB506" i="2"/>
  <c r="AG506" i="2"/>
  <c r="X506" i="2"/>
  <c r="BG505" i="2"/>
  <c r="BB505" i="2"/>
  <c r="AG505" i="2"/>
  <c r="X505" i="2"/>
  <c r="BG504" i="2"/>
  <c r="BB504" i="2"/>
  <c r="AG504" i="2"/>
  <c r="X504" i="2"/>
  <c r="BG503" i="2"/>
  <c r="BB503" i="2"/>
  <c r="AG503" i="2"/>
  <c r="X503" i="2"/>
  <c r="Q503" i="2" s="1"/>
  <c r="BG502" i="2"/>
  <c r="BB502" i="2"/>
  <c r="AG502" i="2"/>
  <c r="X502" i="2"/>
  <c r="BG501" i="2"/>
  <c r="BB501" i="2"/>
  <c r="AG501" i="2"/>
  <c r="X501" i="2"/>
  <c r="BG500" i="2"/>
  <c r="BB500" i="2"/>
  <c r="AG500" i="2"/>
  <c r="X500" i="2"/>
  <c r="BG499" i="2"/>
  <c r="BB499" i="2"/>
  <c r="AG499" i="2"/>
  <c r="X499" i="2"/>
  <c r="Q499" i="2" s="1"/>
  <c r="BG498" i="2"/>
  <c r="BB498" i="2"/>
  <c r="AG498" i="2"/>
  <c r="X498" i="2"/>
  <c r="BG497" i="2"/>
  <c r="BB497" i="2"/>
  <c r="AG497" i="2"/>
  <c r="X497" i="2"/>
  <c r="Q497" i="2" s="1"/>
  <c r="BG496" i="2"/>
  <c r="BB496" i="2"/>
  <c r="AG496" i="2"/>
  <c r="X496" i="2"/>
  <c r="Q496" i="2" s="1"/>
  <c r="BG495" i="2"/>
  <c r="BB495" i="2"/>
  <c r="AG495" i="2"/>
  <c r="X495" i="2"/>
  <c r="BG494" i="2"/>
  <c r="BB494" i="2"/>
  <c r="AG494" i="2"/>
  <c r="X494" i="2"/>
  <c r="Q494" i="2" s="1"/>
  <c r="BG493" i="2"/>
  <c r="BB493" i="2"/>
  <c r="AG493" i="2"/>
  <c r="X493" i="2"/>
  <c r="BG492" i="2"/>
  <c r="BB492" i="2"/>
  <c r="AG492" i="2"/>
  <c r="X492" i="2"/>
  <c r="BG491" i="2"/>
  <c r="BB491" i="2"/>
  <c r="AG491" i="2"/>
  <c r="X491" i="2"/>
  <c r="BG490" i="2"/>
  <c r="BB490" i="2"/>
  <c r="AG490" i="2"/>
  <c r="X490" i="2"/>
  <c r="BG489" i="2"/>
  <c r="BB489" i="2"/>
  <c r="AG489" i="2"/>
  <c r="X489" i="2"/>
  <c r="BG488" i="2"/>
  <c r="BB488" i="2"/>
  <c r="AG488" i="2"/>
  <c r="X488" i="2"/>
  <c r="BG487" i="2"/>
  <c r="BB487" i="2"/>
  <c r="AG487" i="2"/>
  <c r="X487" i="2"/>
  <c r="BG486" i="2"/>
  <c r="BB486" i="2"/>
  <c r="Q486" i="2" s="1"/>
  <c r="AG486" i="2"/>
  <c r="X486" i="2"/>
  <c r="BG485" i="2"/>
  <c r="BB485" i="2"/>
  <c r="AG485" i="2"/>
  <c r="X485" i="2"/>
  <c r="Q485" i="2" s="1"/>
  <c r="BG484" i="2"/>
  <c r="BB484" i="2"/>
  <c r="AG484" i="2"/>
  <c r="X484" i="2"/>
  <c r="BG483" i="2"/>
  <c r="BB483" i="2"/>
  <c r="AG483" i="2"/>
  <c r="X483" i="2"/>
  <c r="BG482" i="2"/>
  <c r="BB482" i="2"/>
  <c r="AG482" i="2"/>
  <c r="X482" i="2"/>
  <c r="Q482" i="2" s="1"/>
  <c r="BG481" i="2"/>
  <c r="BB481" i="2"/>
  <c r="AG481" i="2"/>
  <c r="X481" i="2"/>
  <c r="BG480" i="2"/>
  <c r="BB480" i="2"/>
  <c r="AG480" i="2"/>
  <c r="X480" i="2"/>
  <c r="BG479" i="2"/>
  <c r="BB479" i="2"/>
  <c r="AG479" i="2"/>
  <c r="X479" i="2"/>
  <c r="Q479" i="2" s="1"/>
  <c r="BG478" i="2"/>
  <c r="BB478" i="2"/>
  <c r="Q478" i="2" s="1"/>
  <c r="AG478" i="2"/>
  <c r="X478" i="2"/>
  <c r="BG477" i="2"/>
  <c r="BB477" i="2"/>
  <c r="AG477" i="2"/>
  <c r="X477" i="2"/>
  <c r="BG476" i="2"/>
  <c r="BB476" i="2"/>
  <c r="AG476" i="2"/>
  <c r="X476" i="2"/>
  <c r="BG475" i="2"/>
  <c r="BB475" i="2"/>
  <c r="AG475" i="2"/>
  <c r="X475" i="2"/>
  <c r="BG474" i="2"/>
  <c r="BB474" i="2"/>
  <c r="AG474" i="2"/>
  <c r="X474" i="2"/>
  <c r="BG473" i="2"/>
  <c r="BB473" i="2"/>
  <c r="AG473" i="2"/>
  <c r="X473" i="2"/>
  <c r="Q473" i="2" s="1"/>
  <c r="BG472" i="2"/>
  <c r="BB472" i="2"/>
  <c r="AG472" i="2"/>
  <c r="X472" i="2"/>
  <c r="BG471" i="2"/>
  <c r="BB471" i="2"/>
  <c r="AG471" i="2"/>
  <c r="X471" i="2"/>
  <c r="Q471" i="2" s="1"/>
  <c r="BG470" i="2"/>
  <c r="BB470" i="2"/>
  <c r="AG470" i="2"/>
  <c r="X470" i="2"/>
  <c r="BG469" i="2"/>
  <c r="BB469" i="2"/>
  <c r="AG469" i="2"/>
  <c r="X469" i="2"/>
  <c r="BG468" i="2"/>
  <c r="BB468" i="2"/>
  <c r="AG468" i="2"/>
  <c r="X468" i="2"/>
  <c r="BG467" i="2"/>
  <c r="BB467" i="2"/>
  <c r="AG467" i="2"/>
  <c r="X467" i="2"/>
  <c r="BG466" i="2"/>
  <c r="BB466" i="2"/>
  <c r="AG466" i="2"/>
  <c r="Q466" i="2" s="1"/>
  <c r="X466" i="2"/>
  <c r="BG465" i="2"/>
  <c r="BB465" i="2"/>
  <c r="AG465" i="2"/>
  <c r="X465" i="2"/>
  <c r="BG464" i="2"/>
  <c r="BB464" i="2"/>
  <c r="AG464" i="2"/>
  <c r="X464" i="2"/>
  <c r="BG463" i="2"/>
  <c r="BB463" i="2"/>
  <c r="AG463" i="2"/>
  <c r="X463" i="2"/>
  <c r="BG462" i="2"/>
  <c r="BB462" i="2"/>
  <c r="AG462" i="2"/>
  <c r="X462" i="2"/>
  <c r="BG461" i="2"/>
  <c r="BB461" i="2"/>
  <c r="AG461" i="2"/>
  <c r="X461" i="2"/>
  <c r="BG460" i="2"/>
  <c r="BB460" i="2"/>
  <c r="AG460" i="2"/>
  <c r="X460" i="2"/>
  <c r="BG459" i="2"/>
  <c r="BB459" i="2"/>
  <c r="AG459" i="2"/>
  <c r="X459" i="2"/>
  <c r="BG458" i="2"/>
  <c r="BB458" i="2"/>
  <c r="AG458" i="2"/>
  <c r="X458" i="2"/>
  <c r="BG457" i="2"/>
  <c r="BB457" i="2"/>
  <c r="AG457" i="2"/>
  <c r="X457" i="2"/>
  <c r="BG456" i="2"/>
  <c r="BB456" i="2"/>
  <c r="AG456" i="2"/>
  <c r="X456" i="2"/>
  <c r="BG455" i="2"/>
  <c r="BB455" i="2"/>
  <c r="AG455" i="2"/>
  <c r="X455" i="2"/>
  <c r="BG454" i="2"/>
  <c r="BB454" i="2"/>
  <c r="AG454" i="2"/>
  <c r="X454" i="2"/>
  <c r="BG453" i="2"/>
  <c r="BB453" i="2"/>
  <c r="AG453" i="2"/>
  <c r="X453" i="2"/>
  <c r="BG452" i="2"/>
  <c r="BB452" i="2"/>
  <c r="AG452" i="2"/>
  <c r="X452" i="2"/>
  <c r="BG451" i="2"/>
  <c r="BB451" i="2"/>
  <c r="AG451" i="2"/>
  <c r="X451" i="2"/>
  <c r="BG450" i="2"/>
  <c r="BB450" i="2"/>
  <c r="AG450" i="2"/>
  <c r="X450" i="2"/>
  <c r="BG449" i="2"/>
  <c r="BB449" i="2"/>
  <c r="AG449" i="2"/>
  <c r="X449" i="2"/>
  <c r="BG448" i="2"/>
  <c r="BB448" i="2"/>
  <c r="AG448" i="2"/>
  <c r="X448" i="2"/>
  <c r="Q448" i="2" s="1"/>
  <c r="BG447" i="2"/>
  <c r="BB447" i="2"/>
  <c r="AG447" i="2"/>
  <c r="X447" i="2"/>
  <c r="BG446" i="2"/>
  <c r="BB446" i="2"/>
  <c r="AG446" i="2"/>
  <c r="X446" i="2"/>
  <c r="BG445" i="2"/>
  <c r="BB445" i="2"/>
  <c r="AG445" i="2"/>
  <c r="X445" i="2"/>
  <c r="BG444" i="2"/>
  <c r="BB444" i="2"/>
  <c r="AG444" i="2"/>
  <c r="X444" i="2"/>
  <c r="BG443" i="2"/>
  <c r="BB443" i="2"/>
  <c r="AG443" i="2"/>
  <c r="X443" i="2"/>
  <c r="BG442" i="2"/>
  <c r="BB442" i="2"/>
  <c r="AG442" i="2"/>
  <c r="Q442" i="2" s="1"/>
  <c r="X442" i="2"/>
  <c r="BG441" i="2"/>
  <c r="BB441" i="2"/>
  <c r="AG441" i="2"/>
  <c r="X441" i="2"/>
  <c r="Q441" i="2" s="1"/>
  <c r="BG440" i="2"/>
  <c r="BB440" i="2"/>
  <c r="AG440" i="2"/>
  <c r="X440" i="2"/>
  <c r="BG439" i="2"/>
  <c r="BB439" i="2"/>
  <c r="AG439" i="2"/>
  <c r="X439" i="2"/>
  <c r="Q439" i="2" s="1"/>
  <c r="BG438" i="2"/>
  <c r="BB438" i="2"/>
  <c r="AG438" i="2"/>
  <c r="X438" i="2"/>
  <c r="Q438" i="2" s="1"/>
  <c r="BG437" i="2"/>
  <c r="BB437" i="2"/>
  <c r="AG437" i="2"/>
  <c r="X437" i="2"/>
  <c r="BG436" i="2"/>
  <c r="BB436" i="2"/>
  <c r="AG436" i="2"/>
  <c r="X436" i="2"/>
  <c r="BG435" i="2"/>
  <c r="BB435" i="2"/>
  <c r="AG435" i="2"/>
  <c r="X435" i="2"/>
  <c r="BG434" i="2"/>
  <c r="BB434" i="2"/>
  <c r="AG434" i="2"/>
  <c r="X434" i="2"/>
  <c r="BG433" i="2"/>
  <c r="BB433" i="2"/>
  <c r="AG433" i="2"/>
  <c r="X433" i="2"/>
  <c r="BG432" i="2"/>
  <c r="BB432" i="2"/>
  <c r="AG432" i="2"/>
  <c r="X432" i="2"/>
  <c r="Q432" i="2" s="1"/>
  <c r="BG431" i="2"/>
  <c r="BB431" i="2"/>
  <c r="AG431" i="2"/>
  <c r="X431" i="2"/>
  <c r="BG430" i="2"/>
  <c r="BB430" i="2"/>
  <c r="AG430" i="2"/>
  <c r="X430" i="2"/>
  <c r="BG429" i="2"/>
  <c r="BB429" i="2"/>
  <c r="AG429" i="2"/>
  <c r="X429" i="2"/>
  <c r="BG428" i="2"/>
  <c r="BB428" i="2"/>
  <c r="AG428" i="2"/>
  <c r="X428" i="2"/>
  <c r="BG427" i="2"/>
  <c r="BB427" i="2"/>
  <c r="AG427" i="2"/>
  <c r="X427" i="2"/>
  <c r="BG426" i="2"/>
  <c r="BB426" i="2"/>
  <c r="AG426" i="2"/>
  <c r="X426" i="2"/>
  <c r="Q426" i="2" s="1"/>
  <c r="BG425" i="2"/>
  <c r="BB425" i="2"/>
  <c r="AG425" i="2"/>
  <c r="X425" i="2"/>
  <c r="BG424" i="2"/>
  <c r="BB424" i="2"/>
  <c r="AG424" i="2"/>
  <c r="X424" i="2"/>
  <c r="BG423" i="2"/>
  <c r="BB423" i="2"/>
  <c r="AG423" i="2"/>
  <c r="X423" i="2"/>
  <c r="Q423" i="2" s="1"/>
  <c r="BG422" i="2"/>
  <c r="BB422" i="2"/>
  <c r="AG422" i="2"/>
  <c r="X422" i="2"/>
  <c r="BG421" i="2"/>
  <c r="BB421" i="2"/>
  <c r="AG421" i="2"/>
  <c r="X421" i="2"/>
  <c r="BG420" i="2"/>
  <c r="BB420" i="2"/>
  <c r="AG420" i="2"/>
  <c r="X420" i="2"/>
  <c r="Q420" i="2" s="1"/>
  <c r="BG419" i="2"/>
  <c r="BB419" i="2"/>
  <c r="AG419" i="2"/>
  <c r="X419" i="2"/>
  <c r="BG418" i="2"/>
  <c r="BB418" i="2"/>
  <c r="AG418" i="2"/>
  <c r="X418" i="2"/>
  <c r="Q418" i="2" s="1"/>
  <c r="BG417" i="2"/>
  <c r="BB417" i="2"/>
  <c r="AG417" i="2"/>
  <c r="X417" i="2"/>
  <c r="BG416" i="2"/>
  <c r="BB416" i="2"/>
  <c r="AG416" i="2"/>
  <c r="X416" i="2"/>
  <c r="BG415" i="2"/>
  <c r="BB415" i="2"/>
  <c r="AG415" i="2"/>
  <c r="X415" i="2"/>
  <c r="BG414" i="2"/>
  <c r="BB414" i="2"/>
  <c r="AG414" i="2"/>
  <c r="X414" i="2"/>
  <c r="BG413" i="2"/>
  <c r="BB413" i="2"/>
  <c r="AG413" i="2"/>
  <c r="X413" i="2"/>
  <c r="BG412" i="2"/>
  <c r="BB412" i="2"/>
  <c r="AG412" i="2"/>
  <c r="X412" i="2"/>
  <c r="BG411" i="2"/>
  <c r="BB411" i="2"/>
  <c r="AG411" i="2"/>
  <c r="X411" i="2"/>
  <c r="BG410" i="2"/>
  <c r="BB410" i="2"/>
  <c r="AG410" i="2"/>
  <c r="X410" i="2"/>
  <c r="BG409" i="2"/>
  <c r="BB409" i="2"/>
  <c r="AG409" i="2"/>
  <c r="X409" i="2"/>
  <c r="BG408" i="2"/>
  <c r="BB408" i="2"/>
  <c r="AG408" i="2"/>
  <c r="X408" i="2"/>
  <c r="BG407" i="2"/>
  <c r="BB407" i="2"/>
  <c r="AG407" i="2"/>
  <c r="X407" i="2"/>
  <c r="BG406" i="2"/>
  <c r="BB406" i="2"/>
  <c r="AG406" i="2"/>
  <c r="X406" i="2"/>
  <c r="BG405" i="2"/>
  <c r="BB405" i="2"/>
  <c r="AG405" i="2"/>
  <c r="X405" i="2"/>
  <c r="BG404" i="2"/>
  <c r="BB404" i="2"/>
  <c r="AG404" i="2"/>
  <c r="X404" i="2"/>
  <c r="BG403" i="2"/>
  <c r="BB403" i="2"/>
  <c r="AG403" i="2"/>
  <c r="X403" i="2"/>
  <c r="BG402" i="2"/>
  <c r="BB402" i="2"/>
  <c r="AG402" i="2"/>
  <c r="X402" i="2"/>
  <c r="BG401" i="2"/>
  <c r="BB401" i="2"/>
  <c r="AG401" i="2"/>
  <c r="X401" i="2"/>
  <c r="BG400" i="2"/>
  <c r="BB400" i="2"/>
  <c r="AG400" i="2"/>
  <c r="Q400" i="2" s="1"/>
  <c r="X400" i="2"/>
  <c r="BG399" i="2"/>
  <c r="BB399" i="2"/>
  <c r="Q399" i="2" s="1"/>
  <c r="AG399" i="2"/>
  <c r="X399" i="2"/>
  <c r="BG398" i="2"/>
  <c r="BB398" i="2"/>
  <c r="AG398" i="2"/>
  <c r="X398" i="2"/>
  <c r="BG397" i="2"/>
  <c r="BB397" i="2"/>
  <c r="AG397" i="2"/>
  <c r="X397" i="2"/>
  <c r="BG396" i="2"/>
  <c r="BB396" i="2"/>
  <c r="AG396" i="2"/>
  <c r="X396" i="2"/>
  <c r="BG395" i="2"/>
  <c r="BB395" i="2"/>
  <c r="AG395" i="2"/>
  <c r="X395" i="2"/>
  <c r="BG394" i="2"/>
  <c r="BB394" i="2"/>
  <c r="AG394" i="2"/>
  <c r="X394" i="2"/>
  <c r="Q394" i="2"/>
  <c r="BG393" i="2"/>
  <c r="BB393" i="2"/>
  <c r="AG393" i="2"/>
  <c r="X393" i="2"/>
  <c r="BG392" i="2"/>
  <c r="BB392" i="2"/>
  <c r="AG392" i="2"/>
  <c r="X392" i="2"/>
  <c r="BG391" i="2"/>
  <c r="BB391" i="2"/>
  <c r="AG391" i="2"/>
  <c r="X391" i="2"/>
  <c r="Q391" i="2" s="1"/>
  <c r="BG390" i="2"/>
  <c r="BB390" i="2"/>
  <c r="AG390" i="2"/>
  <c r="X390" i="2"/>
  <c r="BG389" i="2"/>
  <c r="BB389" i="2"/>
  <c r="AG389" i="2"/>
  <c r="X389" i="2"/>
  <c r="BG388" i="2"/>
  <c r="BB388" i="2"/>
  <c r="AG388" i="2"/>
  <c r="X388" i="2"/>
  <c r="Q388" i="2" s="1"/>
  <c r="BG387" i="2"/>
  <c r="BB387" i="2"/>
  <c r="AG387" i="2"/>
  <c r="X387" i="2"/>
  <c r="BG386" i="2"/>
  <c r="BB386" i="2"/>
  <c r="AG386" i="2"/>
  <c r="X386" i="2"/>
  <c r="BG385" i="2"/>
  <c r="BB385" i="2"/>
  <c r="AG385" i="2"/>
  <c r="X385" i="2"/>
  <c r="BG384" i="2"/>
  <c r="BB384" i="2"/>
  <c r="AG384" i="2"/>
  <c r="X384" i="2"/>
  <c r="BG383" i="2"/>
  <c r="BB383" i="2"/>
  <c r="AG383" i="2"/>
  <c r="X383" i="2"/>
  <c r="BG382" i="2"/>
  <c r="BB382" i="2"/>
  <c r="AG382" i="2"/>
  <c r="X382" i="2"/>
  <c r="Q382" i="2" s="1"/>
  <c r="BG381" i="2"/>
  <c r="BB381" i="2"/>
  <c r="AG381" i="2"/>
  <c r="X381" i="2"/>
  <c r="Q381" i="2" s="1"/>
  <c r="BG380" i="2"/>
  <c r="BB380" i="2"/>
  <c r="AG380" i="2"/>
  <c r="X380" i="2"/>
  <c r="BG379" i="2"/>
  <c r="BB379" i="2"/>
  <c r="AG379" i="2"/>
  <c r="X379" i="2"/>
  <c r="BG378" i="2"/>
  <c r="BB378" i="2"/>
  <c r="AG378" i="2"/>
  <c r="X378" i="2"/>
  <c r="Q378" i="2" s="1"/>
  <c r="BG377" i="2"/>
  <c r="BB377" i="2"/>
  <c r="AG377" i="2"/>
  <c r="X377" i="2"/>
  <c r="BG376" i="2"/>
  <c r="BB376" i="2"/>
  <c r="AG376" i="2"/>
  <c r="X376" i="2"/>
  <c r="BG375" i="2"/>
  <c r="BB375" i="2"/>
  <c r="AG375" i="2"/>
  <c r="X375" i="2"/>
  <c r="BG374" i="2"/>
  <c r="BB374" i="2"/>
  <c r="AG374" i="2"/>
  <c r="X374" i="2"/>
  <c r="BG373" i="2"/>
  <c r="BB373" i="2"/>
  <c r="AG373" i="2"/>
  <c r="X373" i="2"/>
  <c r="Q373" i="2" s="1"/>
  <c r="BG372" i="2"/>
  <c r="BB372" i="2"/>
  <c r="AG372" i="2"/>
  <c r="X372" i="2"/>
  <c r="BG371" i="2"/>
  <c r="BB371" i="2"/>
  <c r="AG371" i="2"/>
  <c r="X371" i="2"/>
  <c r="Q371" i="2" s="1"/>
  <c r="BG370" i="2"/>
  <c r="BB370" i="2"/>
  <c r="AG370" i="2"/>
  <c r="X370" i="2"/>
  <c r="Q370" i="2" s="1"/>
  <c r="BG369" i="2"/>
  <c r="BB369" i="2"/>
  <c r="AG369" i="2"/>
  <c r="X369" i="2"/>
  <c r="Q369" i="2" s="1"/>
  <c r="BG368" i="2"/>
  <c r="BB368" i="2"/>
  <c r="AG368" i="2"/>
  <c r="X368" i="2"/>
  <c r="BG367" i="2"/>
  <c r="BB367" i="2"/>
  <c r="AG367" i="2"/>
  <c r="X367" i="2"/>
  <c r="BG366" i="2"/>
  <c r="BB366" i="2"/>
  <c r="AG366" i="2"/>
  <c r="X366" i="2"/>
  <c r="BG365" i="2"/>
  <c r="BB365" i="2"/>
  <c r="AG365" i="2"/>
  <c r="X365" i="2"/>
  <c r="AG364" i="2"/>
  <c r="X364" i="2"/>
  <c r="BG363" i="2"/>
  <c r="BB363" i="2"/>
  <c r="AG363" i="2"/>
  <c r="X363" i="2"/>
  <c r="BG362" i="2"/>
  <c r="BB362" i="2"/>
  <c r="AG362" i="2"/>
  <c r="X362" i="2"/>
  <c r="BG361" i="2"/>
  <c r="BB361" i="2"/>
  <c r="AG361" i="2"/>
  <c r="X361" i="2"/>
  <c r="BG360" i="2"/>
  <c r="BB360" i="2"/>
  <c r="AG360" i="2"/>
  <c r="X360" i="2"/>
  <c r="Q360" i="2" s="1"/>
  <c r="BG359" i="2"/>
  <c r="BB359" i="2"/>
  <c r="AG359" i="2"/>
  <c r="X359" i="2"/>
  <c r="BG358" i="2"/>
  <c r="BB358" i="2"/>
  <c r="AG358" i="2"/>
  <c r="X358" i="2"/>
  <c r="BG357" i="2"/>
  <c r="BB357" i="2"/>
  <c r="AG357" i="2"/>
  <c r="X357" i="2"/>
  <c r="BG356" i="2"/>
  <c r="BB356" i="2"/>
  <c r="AG356" i="2"/>
  <c r="X356" i="2"/>
  <c r="BG355" i="2"/>
  <c r="BB355" i="2"/>
  <c r="AG355" i="2"/>
  <c r="X355" i="2"/>
  <c r="BG354" i="2"/>
  <c r="BB354" i="2"/>
  <c r="Q354" i="2" s="1"/>
  <c r="AG354" i="2"/>
  <c r="X354" i="2"/>
  <c r="BG353" i="2"/>
  <c r="BB353" i="2"/>
  <c r="AG353" i="2"/>
  <c r="X353" i="2"/>
  <c r="BG352" i="2"/>
  <c r="BB352" i="2"/>
  <c r="AG352" i="2"/>
  <c r="X352" i="2"/>
  <c r="BG351" i="2"/>
  <c r="BB351" i="2"/>
  <c r="AG351" i="2"/>
  <c r="X351" i="2"/>
  <c r="BG350" i="2"/>
  <c r="BB350" i="2"/>
  <c r="AG350" i="2"/>
  <c r="X350" i="2"/>
  <c r="BG349" i="2"/>
  <c r="BB349" i="2"/>
  <c r="AG349" i="2"/>
  <c r="X349" i="2"/>
  <c r="BG348" i="2"/>
  <c r="BB348" i="2"/>
  <c r="AG348" i="2"/>
  <c r="X348" i="2"/>
  <c r="Q348" i="2" s="1"/>
  <c r="BG347" i="2"/>
  <c r="BB347" i="2"/>
  <c r="AG347" i="2"/>
  <c r="X347" i="2"/>
  <c r="BG346" i="2"/>
  <c r="BB346" i="2"/>
  <c r="AG346" i="2"/>
  <c r="X346" i="2"/>
  <c r="BG345" i="2"/>
  <c r="BB345" i="2"/>
  <c r="AG345" i="2"/>
  <c r="X345" i="2"/>
  <c r="BG344" i="2"/>
  <c r="BB344" i="2"/>
  <c r="AG344" i="2"/>
  <c r="X344" i="2"/>
  <c r="BG343" i="2"/>
  <c r="BB343" i="2"/>
  <c r="AG343" i="2"/>
  <c r="X343" i="2"/>
  <c r="BG342" i="2"/>
  <c r="BB342" i="2"/>
  <c r="AG342" i="2"/>
  <c r="X342" i="2"/>
  <c r="Q342" i="2"/>
  <c r="BG341" i="2"/>
  <c r="BB341" i="2"/>
  <c r="AG341" i="2"/>
  <c r="X341" i="2"/>
  <c r="BG340" i="2"/>
  <c r="BB340" i="2"/>
  <c r="AG340" i="2"/>
  <c r="X340" i="2"/>
  <c r="BG339" i="2"/>
  <c r="BB339" i="2"/>
  <c r="AG339" i="2"/>
  <c r="X339" i="2"/>
  <c r="BG338" i="2"/>
  <c r="BB338" i="2"/>
  <c r="AG338" i="2"/>
  <c r="X338" i="2"/>
  <c r="BG337" i="2"/>
  <c r="BB337" i="2"/>
  <c r="AG337" i="2"/>
  <c r="X337" i="2"/>
  <c r="BG336" i="2"/>
  <c r="BB336" i="2"/>
  <c r="AG336" i="2"/>
  <c r="X336" i="2"/>
  <c r="Q336" i="2" s="1"/>
  <c r="BG335" i="2"/>
  <c r="BB335" i="2"/>
  <c r="AG335" i="2"/>
  <c r="X335" i="2"/>
  <c r="BG334" i="2"/>
  <c r="BB334" i="2"/>
  <c r="AG334" i="2"/>
  <c r="X334" i="2"/>
  <c r="BG333" i="2"/>
  <c r="BB333" i="2"/>
  <c r="AG333" i="2"/>
  <c r="X333" i="2"/>
  <c r="BG332" i="2"/>
  <c r="BB332" i="2"/>
  <c r="AG332" i="2"/>
  <c r="X332" i="2"/>
  <c r="BG331" i="2"/>
  <c r="BB331" i="2"/>
  <c r="AG331" i="2"/>
  <c r="X331" i="2"/>
  <c r="BG330" i="2"/>
  <c r="BB330" i="2"/>
  <c r="AG330" i="2"/>
  <c r="X330" i="2"/>
  <c r="BG329" i="2"/>
  <c r="BB329" i="2"/>
  <c r="AG329" i="2"/>
  <c r="X329" i="2"/>
  <c r="BG328" i="2"/>
  <c r="BB328" i="2"/>
  <c r="AG328" i="2"/>
  <c r="X328" i="2"/>
  <c r="BG327" i="2"/>
  <c r="BB327" i="2"/>
  <c r="AG327" i="2"/>
  <c r="X327" i="2"/>
  <c r="BG326" i="2"/>
  <c r="BB326" i="2"/>
  <c r="AG326" i="2"/>
  <c r="X326" i="2"/>
  <c r="BG325" i="2"/>
  <c r="BB325" i="2"/>
  <c r="AG325" i="2"/>
  <c r="X325" i="2"/>
  <c r="BG324" i="2"/>
  <c r="BB324" i="2"/>
  <c r="AG324" i="2"/>
  <c r="X324" i="2"/>
  <c r="BG323" i="2"/>
  <c r="BB323" i="2"/>
  <c r="AG323" i="2"/>
  <c r="Q323" i="2" s="1"/>
  <c r="X323" i="2"/>
  <c r="BG322" i="2"/>
  <c r="BB322" i="2"/>
  <c r="AG322" i="2"/>
  <c r="X322" i="2"/>
  <c r="BG321" i="2"/>
  <c r="BB321" i="2"/>
  <c r="AG321" i="2"/>
  <c r="X321" i="2"/>
  <c r="BG320" i="2"/>
  <c r="BB320" i="2"/>
  <c r="AG320" i="2"/>
  <c r="X320" i="2"/>
  <c r="BG319" i="2"/>
  <c r="BB319" i="2"/>
  <c r="AG319" i="2"/>
  <c r="X319" i="2"/>
  <c r="BG318" i="2"/>
  <c r="BB318" i="2"/>
  <c r="AG318" i="2"/>
  <c r="X318" i="2"/>
  <c r="Q318" i="2" s="1"/>
  <c r="BG317" i="2"/>
  <c r="BB317" i="2"/>
  <c r="AG317" i="2"/>
  <c r="X317" i="2"/>
  <c r="BG316" i="2"/>
  <c r="BB316" i="2"/>
  <c r="AG316" i="2"/>
  <c r="X316" i="2"/>
  <c r="BG315" i="2"/>
  <c r="BB315" i="2"/>
  <c r="AG315" i="2"/>
  <c r="X315" i="2"/>
  <c r="BG314" i="2"/>
  <c r="BB314" i="2"/>
  <c r="AG314" i="2"/>
  <c r="X314" i="2"/>
  <c r="BG313" i="2"/>
  <c r="BB313" i="2"/>
  <c r="AG313" i="2"/>
  <c r="X313" i="2"/>
  <c r="BG312" i="2"/>
  <c r="BB312" i="2"/>
  <c r="AG312" i="2"/>
  <c r="X312" i="2"/>
  <c r="BG311" i="2"/>
  <c r="BB311" i="2"/>
  <c r="AG311" i="2"/>
  <c r="X311" i="2"/>
  <c r="BG310" i="2"/>
  <c r="BB310" i="2"/>
  <c r="AG310" i="2"/>
  <c r="X310" i="2"/>
  <c r="BG309" i="2"/>
  <c r="BB309" i="2"/>
  <c r="AG309" i="2"/>
  <c r="X309" i="2"/>
  <c r="BG308" i="2"/>
  <c r="BB308" i="2"/>
  <c r="AG308" i="2"/>
  <c r="X308" i="2"/>
  <c r="Q308" i="2" s="1"/>
  <c r="BG307" i="2"/>
  <c r="BB307" i="2"/>
  <c r="AG307" i="2"/>
  <c r="X307" i="2"/>
  <c r="BG306" i="2"/>
  <c r="BB306" i="2"/>
  <c r="Q306" i="2" s="1"/>
  <c r="AG306" i="2"/>
  <c r="X306" i="2"/>
  <c r="BG305" i="2"/>
  <c r="BB305" i="2"/>
  <c r="AG305" i="2"/>
  <c r="X305" i="2"/>
  <c r="BG304" i="2"/>
  <c r="BB304" i="2"/>
  <c r="AG304" i="2"/>
  <c r="X304" i="2"/>
  <c r="BG303" i="2"/>
  <c r="BB303" i="2"/>
  <c r="AG303" i="2"/>
  <c r="X303" i="2"/>
  <c r="BG302" i="2"/>
  <c r="BB302" i="2"/>
  <c r="AG302" i="2"/>
  <c r="Q302" i="2" s="1"/>
  <c r="X302" i="2"/>
  <c r="BG301" i="2"/>
  <c r="BB301" i="2"/>
  <c r="AG301" i="2"/>
  <c r="X301" i="2"/>
  <c r="BG300" i="2"/>
  <c r="BB300" i="2"/>
  <c r="Q300" i="2" s="1"/>
  <c r="AG300" i="2"/>
  <c r="X300" i="2"/>
  <c r="BG299" i="2"/>
  <c r="BB299" i="2"/>
  <c r="AG299" i="2"/>
  <c r="X299" i="2"/>
  <c r="BG298" i="2"/>
  <c r="BB298" i="2"/>
  <c r="AG298" i="2"/>
  <c r="X298" i="2"/>
  <c r="BG297" i="2"/>
  <c r="BB297" i="2"/>
  <c r="AG297" i="2"/>
  <c r="X297" i="2"/>
  <c r="Q297" i="2" s="1"/>
  <c r="BG296" i="2"/>
  <c r="BB296" i="2"/>
  <c r="AG296" i="2"/>
  <c r="X296" i="2"/>
  <c r="BG295" i="2"/>
  <c r="BB295" i="2"/>
  <c r="AG295" i="2"/>
  <c r="X295" i="2"/>
  <c r="Q295" i="2" s="1"/>
  <c r="BG294" i="2"/>
  <c r="BB294" i="2"/>
  <c r="AG294" i="2"/>
  <c r="X294" i="2"/>
  <c r="Q294" i="2" s="1"/>
  <c r="BG293" i="2"/>
  <c r="BB293" i="2"/>
  <c r="AG293" i="2"/>
  <c r="X293" i="2"/>
  <c r="BG292" i="2"/>
  <c r="BB292" i="2"/>
  <c r="AG292" i="2"/>
  <c r="X292" i="2"/>
  <c r="BG291" i="2"/>
  <c r="BB291" i="2"/>
  <c r="AG291" i="2"/>
  <c r="X291" i="2"/>
  <c r="Q291" i="2" s="1"/>
  <c r="BG290" i="2"/>
  <c r="BB290" i="2"/>
  <c r="AG290" i="2"/>
  <c r="X290" i="2"/>
  <c r="BG289" i="2"/>
  <c r="BB289" i="2"/>
  <c r="AG289" i="2"/>
  <c r="X289" i="2"/>
  <c r="BG288" i="2"/>
  <c r="BB288" i="2"/>
  <c r="AG288" i="2"/>
  <c r="X288" i="2"/>
  <c r="Q288" i="2" s="1"/>
  <c r="BG287" i="2"/>
  <c r="BB287" i="2"/>
  <c r="AG287" i="2"/>
  <c r="X287" i="2"/>
  <c r="BG286" i="2"/>
  <c r="BB286" i="2"/>
  <c r="AG286" i="2"/>
  <c r="X286" i="2"/>
  <c r="BG285" i="2"/>
  <c r="BB285" i="2"/>
  <c r="AG285" i="2"/>
  <c r="X285" i="2"/>
  <c r="BG284" i="2"/>
  <c r="BB284" i="2"/>
  <c r="AG284" i="2"/>
  <c r="X284" i="2"/>
  <c r="BG283" i="2"/>
  <c r="BB283" i="2"/>
  <c r="AG283" i="2"/>
  <c r="X283" i="2"/>
  <c r="BG282" i="2"/>
  <c r="BB282" i="2"/>
  <c r="AG282" i="2"/>
  <c r="X282" i="2"/>
  <c r="BG281" i="2"/>
  <c r="BB281" i="2"/>
  <c r="AG281" i="2"/>
  <c r="X281" i="2"/>
  <c r="BG280" i="2"/>
  <c r="BB280" i="2"/>
  <c r="AG280" i="2"/>
  <c r="X280" i="2"/>
  <c r="BG279" i="2"/>
  <c r="BB279" i="2"/>
  <c r="AG279" i="2"/>
  <c r="X279" i="2"/>
  <c r="BG278" i="2"/>
  <c r="BB278" i="2"/>
  <c r="AG278" i="2"/>
  <c r="X278" i="2"/>
  <c r="Q278" i="2" s="1"/>
  <c r="BG277" i="2"/>
  <c r="BB277" i="2"/>
  <c r="Q277" i="2" s="1"/>
  <c r="AG277" i="2"/>
  <c r="X277" i="2"/>
  <c r="BG276" i="2"/>
  <c r="BB276" i="2"/>
  <c r="AG276" i="2"/>
  <c r="X276" i="2"/>
  <c r="Q276" i="2" s="1"/>
  <c r="BG275" i="2"/>
  <c r="BB275" i="2"/>
  <c r="AG275" i="2"/>
  <c r="X275" i="2"/>
  <c r="BG274" i="2"/>
  <c r="BB274" i="2"/>
  <c r="AG274" i="2"/>
  <c r="X274" i="2"/>
  <c r="Q274" i="2" s="1"/>
  <c r="BG273" i="2"/>
  <c r="BB273" i="2"/>
  <c r="AG273" i="2"/>
  <c r="X273" i="2"/>
  <c r="BG272" i="2"/>
  <c r="BB272" i="2"/>
  <c r="AG272" i="2"/>
  <c r="X272" i="2"/>
  <c r="BG271" i="2"/>
  <c r="BB271" i="2"/>
  <c r="AG271" i="2"/>
  <c r="X271" i="2"/>
  <c r="BG270" i="2"/>
  <c r="BB270" i="2"/>
  <c r="AG270" i="2"/>
  <c r="X270" i="2"/>
  <c r="BG269" i="2"/>
  <c r="BB269" i="2"/>
  <c r="AG269" i="2"/>
  <c r="X269" i="2"/>
  <c r="BG268" i="2"/>
  <c r="BB268" i="2"/>
  <c r="AG268" i="2"/>
  <c r="X268" i="2"/>
  <c r="BG267" i="2"/>
  <c r="BB267" i="2"/>
  <c r="AG267" i="2"/>
  <c r="X267" i="2"/>
  <c r="BG266" i="2"/>
  <c r="BB266" i="2"/>
  <c r="AG266" i="2"/>
  <c r="X266" i="2"/>
  <c r="Q266" i="2" s="1"/>
  <c r="BG265" i="2"/>
  <c r="BB265" i="2"/>
  <c r="AG265" i="2"/>
  <c r="Q265" i="2" s="1"/>
  <c r="X265" i="2"/>
  <c r="BG264" i="2"/>
  <c r="BB264" i="2"/>
  <c r="AG264" i="2"/>
  <c r="X264" i="2"/>
  <c r="BG263" i="2"/>
  <c r="BB263" i="2"/>
  <c r="AG263" i="2"/>
  <c r="X263" i="2"/>
  <c r="BG262" i="2"/>
  <c r="BB262" i="2"/>
  <c r="AG262" i="2"/>
  <c r="X262" i="2"/>
  <c r="BG261" i="2"/>
  <c r="BB261" i="2"/>
  <c r="AG261" i="2"/>
  <c r="X261" i="2"/>
  <c r="BG260" i="2"/>
  <c r="BB260" i="2"/>
  <c r="AG260" i="2"/>
  <c r="X260" i="2"/>
  <c r="BG259" i="2"/>
  <c r="BB259" i="2"/>
  <c r="AG259" i="2"/>
  <c r="X259" i="2"/>
  <c r="BG258" i="2"/>
  <c r="BB258" i="2"/>
  <c r="AG258" i="2"/>
  <c r="X258" i="2"/>
  <c r="BG257" i="2"/>
  <c r="BB257" i="2"/>
  <c r="AG257" i="2"/>
  <c r="X257" i="2"/>
  <c r="BG256" i="2"/>
  <c r="BB256" i="2"/>
  <c r="AG256" i="2"/>
  <c r="X256" i="2"/>
  <c r="BG255" i="2"/>
  <c r="BB255" i="2"/>
  <c r="AG255" i="2"/>
  <c r="X255" i="2"/>
  <c r="BG254" i="2"/>
  <c r="BB254" i="2"/>
  <c r="AG254" i="2"/>
  <c r="X254" i="2"/>
  <c r="BG253" i="2"/>
  <c r="BB253" i="2"/>
  <c r="AG253" i="2"/>
  <c r="X253" i="2"/>
  <c r="BG252" i="2"/>
  <c r="BB252" i="2"/>
  <c r="AG252" i="2"/>
  <c r="X252" i="2"/>
  <c r="Q252" i="2" s="1"/>
  <c r="BG251" i="2"/>
  <c r="BB251" i="2"/>
  <c r="AG251" i="2"/>
  <c r="X251" i="2"/>
  <c r="BG250" i="2"/>
  <c r="BB250" i="2"/>
  <c r="Q250" i="2" s="1"/>
  <c r="AG250" i="2"/>
  <c r="X250" i="2"/>
  <c r="BG249" i="2"/>
  <c r="BB249" i="2"/>
  <c r="AG249" i="2"/>
  <c r="X249" i="2"/>
  <c r="BG248" i="2"/>
  <c r="BB248" i="2"/>
  <c r="AG248" i="2"/>
  <c r="X248" i="2"/>
  <c r="BG247" i="2"/>
  <c r="BB247" i="2"/>
  <c r="AG247" i="2"/>
  <c r="X247" i="2"/>
  <c r="BG246" i="2"/>
  <c r="BB246" i="2"/>
  <c r="AG246" i="2"/>
  <c r="X246" i="2"/>
  <c r="BG245" i="2"/>
  <c r="BB245" i="2"/>
  <c r="AG245" i="2"/>
  <c r="X245" i="2"/>
  <c r="BG244" i="2"/>
  <c r="BB244" i="2"/>
  <c r="AG244" i="2"/>
  <c r="X244" i="2"/>
  <c r="BG243" i="2"/>
  <c r="BB243" i="2"/>
  <c r="AG243" i="2"/>
  <c r="X243" i="2"/>
  <c r="BG242" i="2"/>
  <c r="BB242" i="2"/>
  <c r="Q242" i="2" s="1"/>
  <c r="AG242" i="2"/>
  <c r="X242" i="2"/>
  <c r="BG241" i="2"/>
  <c r="BB241" i="2"/>
  <c r="AG241" i="2"/>
  <c r="X241" i="2"/>
  <c r="Q241" i="2" s="1"/>
  <c r="BG240" i="2"/>
  <c r="BB240" i="2"/>
  <c r="AG240" i="2"/>
  <c r="X240" i="2"/>
  <c r="Q240" i="2" s="1"/>
  <c r="BG239" i="2"/>
  <c r="BB239" i="2"/>
  <c r="AG239" i="2"/>
  <c r="X239" i="2"/>
  <c r="BG238" i="2"/>
  <c r="BB238" i="2"/>
  <c r="AG238" i="2"/>
  <c r="X238" i="2"/>
  <c r="BG237" i="2"/>
  <c r="BB237" i="2"/>
  <c r="AG237" i="2"/>
  <c r="X237" i="2"/>
  <c r="BG236" i="2"/>
  <c r="BB236" i="2"/>
  <c r="AG236" i="2"/>
  <c r="X236" i="2"/>
  <c r="BG235" i="2"/>
  <c r="BB235" i="2"/>
  <c r="AG235" i="2"/>
  <c r="X235" i="2"/>
  <c r="BG234" i="2"/>
  <c r="BB234" i="2"/>
  <c r="AG234" i="2"/>
  <c r="X234" i="2"/>
  <c r="BG233" i="2"/>
  <c r="BB233" i="2"/>
  <c r="AG233" i="2"/>
  <c r="X233" i="2"/>
  <c r="BG232" i="2"/>
  <c r="BB232" i="2"/>
  <c r="AG232" i="2"/>
  <c r="X232" i="2"/>
  <c r="BG231" i="2"/>
  <c r="BB231" i="2"/>
  <c r="AG231" i="2"/>
  <c r="X231" i="2"/>
  <c r="BG230" i="2"/>
  <c r="BB230" i="2"/>
  <c r="AG230" i="2"/>
  <c r="X230" i="2"/>
  <c r="BG229" i="2"/>
  <c r="BB229" i="2"/>
  <c r="AG229" i="2"/>
  <c r="X229" i="2"/>
  <c r="BG228" i="2"/>
  <c r="BB228" i="2"/>
  <c r="AG228" i="2"/>
  <c r="X228" i="2"/>
  <c r="BG227" i="2"/>
  <c r="BB227" i="2"/>
  <c r="AG227" i="2"/>
  <c r="X227" i="2"/>
  <c r="BG226" i="2"/>
  <c r="BB226" i="2"/>
  <c r="AG226" i="2"/>
  <c r="X226" i="2"/>
  <c r="BG225" i="2"/>
  <c r="BB225" i="2"/>
  <c r="AG225" i="2"/>
  <c r="X225" i="2"/>
  <c r="BG224" i="2"/>
  <c r="BB224" i="2"/>
  <c r="AG224" i="2"/>
  <c r="X224" i="2"/>
  <c r="BG223" i="2"/>
  <c r="BB223" i="2"/>
  <c r="AG223" i="2"/>
  <c r="X223" i="2"/>
  <c r="BG222" i="2"/>
  <c r="BB222" i="2"/>
  <c r="AG222" i="2"/>
  <c r="X222" i="2"/>
  <c r="BG221" i="2"/>
  <c r="BB221" i="2"/>
  <c r="AG221" i="2"/>
  <c r="X221" i="2"/>
  <c r="BG220" i="2"/>
  <c r="BB220" i="2"/>
  <c r="AG220" i="2"/>
  <c r="X220" i="2"/>
  <c r="BG219" i="2"/>
  <c r="BB219" i="2"/>
  <c r="AG219" i="2"/>
  <c r="X219" i="2"/>
  <c r="BG218" i="2"/>
  <c r="BB218" i="2"/>
  <c r="AG218" i="2"/>
  <c r="X218" i="2"/>
  <c r="BG217" i="2"/>
  <c r="BB217" i="2"/>
  <c r="AG217" i="2"/>
  <c r="X217" i="2"/>
  <c r="BG216" i="2"/>
  <c r="BB216" i="2"/>
  <c r="AG216" i="2"/>
  <c r="X216" i="2"/>
  <c r="Q216" i="2" s="1"/>
  <c r="BG215" i="2"/>
  <c r="BB215" i="2"/>
  <c r="AG215" i="2"/>
  <c r="X215" i="2"/>
  <c r="BG214" i="2"/>
  <c r="BB214" i="2"/>
  <c r="Q214" i="2" s="1"/>
  <c r="AG214" i="2"/>
  <c r="X214" i="2"/>
  <c r="BG213" i="2"/>
  <c r="BB213" i="2"/>
  <c r="AG213" i="2"/>
  <c r="X213" i="2"/>
  <c r="BG212" i="2"/>
  <c r="BB212" i="2"/>
  <c r="AG212" i="2"/>
  <c r="X212" i="2"/>
  <c r="BG211" i="2"/>
  <c r="BB211" i="2"/>
  <c r="AG211" i="2"/>
  <c r="X211" i="2"/>
  <c r="BG210" i="2"/>
  <c r="BB210" i="2"/>
  <c r="AG210" i="2"/>
  <c r="X210" i="2"/>
  <c r="BG209" i="2"/>
  <c r="BB209" i="2"/>
  <c r="AG209" i="2"/>
  <c r="X209" i="2"/>
  <c r="BG208" i="2"/>
  <c r="BB208" i="2"/>
  <c r="AG208" i="2"/>
  <c r="X208" i="2"/>
  <c r="BG207" i="2"/>
  <c r="BB207" i="2"/>
  <c r="AG207" i="2"/>
  <c r="X207" i="2"/>
  <c r="BG206" i="2"/>
  <c r="BB206" i="2"/>
  <c r="Q206" i="2" s="1"/>
  <c r="AG206" i="2"/>
  <c r="X206" i="2"/>
  <c r="BG205" i="2"/>
  <c r="BB205" i="2"/>
  <c r="AG205" i="2"/>
  <c r="X205" i="2"/>
  <c r="Q205" i="2" s="1"/>
  <c r="AG204" i="2"/>
  <c r="X204" i="2"/>
  <c r="Q204" i="2" s="1"/>
  <c r="BG203" i="2"/>
  <c r="BB203" i="2"/>
  <c r="AG203" i="2"/>
  <c r="X203" i="2"/>
  <c r="BG202" i="2"/>
  <c r="BB202" i="2"/>
  <c r="AG202" i="2"/>
  <c r="X202" i="2"/>
  <c r="BG201" i="2"/>
  <c r="BB201" i="2"/>
  <c r="AG201" i="2"/>
  <c r="X201" i="2"/>
  <c r="BG200" i="2"/>
  <c r="BB200" i="2"/>
  <c r="AG200" i="2"/>
  <c r="X200" i="2"/>
  <c r="BG199" i="2"/>
  <c r="BB199" i="2"/>
  <c r="AG199" i="2"/>
  <c r="X199" i="2"/>
  <c r="BG198" i="2"/>
  <c r="BB198" i="2"/>
  <c r="AG198" i="2"/>
  <c r="X198" i="2"/>
  <c r="BG197" i="2"/>
  <c r="BB197" i="2"/>
  <c r="AG197" i="2"/>
  <c r="X197" i="2"/>
  <c r="BG196" i="2"/>
  <c r="BB196" i="2"/>
  <c r="AG196" i="2"/>
  <c r="X196" i="2"/>
  <c r="Q196" i="2"/>
  <c r="BG195" i="2"/>
  <c r="BB195" i="2"/>
  <c r="AG195" i="2"/>
  <c r="X195" i="2"/>
  <c r="Q195" i="2"/>
  <c r="BG194" i="2"/>
  <c r="BB194" i="2"/>
  <c r="AG194" i="2"/>
  <c r="X194" i="2"/>
  <c r="BG193" i="2"/>
  <c r="BB193" i="2"/>
  <c r="AG193" i="2"/>
  <c r="X193" i="2"/>
  <c r="BG192" i="2"/>
  <c r="BB192" i="2"/>
  <c r="AG192" i="2"/>
  <c r="X192" i="2"/>
  <c r="Q192" i="2" s="1"/>
  <c r="BG191" i="2"/>
  <c r="BB191" i="2"/>
  <c r="AG191" i="2"/>
  <c r="X191" i="2"/>
  <c r="BG190" i="2"/>
  <c r="BB190" i="2"/>
  <c r="AG190" i="2"/>
  <c r="X190" i="2"/>
  <c r="BG189" i="2"/>
  <c r="BB189" i="2"/>
  <c r="AG189" i="2"/>
  <c r="X189" i="2"/>
  <c r="BG188" i="2"/>
  <c r="BB188" i="2"/>
  <c r="AG188" i="2"/>
  <c r="X188" i="2"/>
  <c r="BG187" i="2"/>
  <c r="BB187" i="2"/>
  <c r="AG187" i="2"/>
  <c r="X187" i="2"/>
  <c r="BG186" i="2"/>
  <c r="BB186" i="2"/>
  <c r="AG186" i="2"/>
  <c r="X186" i="2"/>
  <c r="BG185" i="2"/>
  <c r="BB185" i="2"/>
  <c r="AG185" i="2"/>
  <c r="X185" i="2"/>
  <c r="BG184" i="2"/>
  <c r="BB184" i="2"/>
  <c r="AG184" i="2"/>
  <c r="X184" i="2"/>
  <c r="BG183" i="2"/>
  <c r="BB183" i="2"/>
  <c r="AG183" i="2"/>
  <c r="Q183" i="2" s="1"/>
  <c r="X183" i="2"/>
  <c r="AG182" i="2"/>
  <c r="X182" i="2"/>
  <c r="Q182" i="2" s="1"/>
  <c r="BG181" i="2"/>
  <c r="BB181" i="2"/>
  <c r="AG181" i="2"/>
  <c r="X181" i="2"/>
  <c r="BG180" i="2"/>
  <c r="BB180" i="2"/>
  <c r="AG180" i="2"/>
  <c r="X180" i="2"/>
  <c r="BG179" i="2"/>
  <c r="BB179" i="2"/>
  <c r="AG179" i="2"/>
  <c r="X179" i="2"/>
  <c r="BG178" i="2"/>
  <c r="BB178" i="2"/>
  <c r="AG178" i="2"/>
  <c r="X178" i="2"/>
  <c r="BG177" i="2"/>
  <c r="BB177" i="2"/>
  <c r="AG177" i="2"/>
  <c r="X177" i="2"/>
  <c r="BG176" i="2"/>
  <c r="BB176" i="2"/>
  <c r="AG176" i="2"/>
  <c r="X176" i="2"/>
  <c r="BG175" i="2"/>
  <c r="BB175" i="2"/>
  <c r="AG175" i="2"/>
  <c r="X175" i="2"/>
  <c r="BG174" i="2"/>
  <c r="BB174" i="2"/>
  <c r="AG174" i="2"/>
  <c r="X174" i="2"/>
  <c r="BG173" i="2"/>
  <c r="BB173" i="2"/>
  <c r="AG173" i="2"/>
  <c r="X173" i="2"/>
  <c r="BG172" i="2"/>
  <c r="BB172" i="2"/>
  <c r="AG172" i="2"/>
  <c r="X172" i="2"/>
  <c r="Q172" i="2" s="1"/>
  <c r="BG171" i="2"/>
  <c r="BB171" i="2"/>
  <c r="AG171" i="2"/>
  <c r="X171" i="2"/>
  <c r="BG170" i="2"/>
  <c r="BB170" i="2"/>
  <c r="AG170" i="2"/>
  <c r="X170" i="2"/>
  <c r="BG169" i="2"/>
  <c r="BB169" i="2"/>
  <c r="AG169" i="2"/>
  <c r="X169" i="2"/>
  <c r="BG168" i="2"/>
  <c r="BB168" i="2"/>
  <c r="AG168" i="2"/>
  <c r="X168" i="2"/>
  <c r="BG167" i="2"/>
  <c r="BB167" i="2"/>
  <c r="AG167" i="2"/>
  <c r="X167" i="2"/>
  <c r="BG166" i="2"/>
  <c r="BB166" i="2"/>
  <c r="AG166" i="2"/>
  <c r="X166" i="2"/>
  <c r="BG165" i="2"/>
  <c r="BB165" i="2"/>
  <c r="AG165" i="2"/>
  <c r="X165" i="2"/>
  <c r="BG164" i="2"/>
  <c r="BB164" i="2"/>
  <c r="AG164" i="2"/>
  <c r="X164" i="2"/>
  <c r="BG163" i="2"/>
  <c r="BB163" i="2"/>
  <c r="AG163" i="2"/>
  <c r="X163" i="2"/>
  <c r="BG162" i="2"/>
  <c r="BB162" i="2"/>
  <c r="AG162" i="2"/>
  <c r="X162" i="2"/>
  <c r="Q162" i="2" s="1"/>
  <c r="BG161" i="2"/>
  <c r="BB161" i="2"/>
  <c r="AG161" i="2"/>
  <c r="X161" i="2"/>
  <c r="BG160" i="2"/>
  <c r="BB160" i="2"/>
  <c r="AG160" i="2"/>
  <c r="X160" i="2"/>
  <c r="Q160" i="2" s="1"/>
  <c r="BG159" i="2"/>
  <c r="BB159" i="2"/>
  <c r="AG159" i="2"/>
  <c r="X159" i="2"/>
  <c r="BG158" i="2"/>
  <c r="BB158" i="2"/>
  <c r="AG158" i="2"/>
  <c r="X158" i="2"/>
  <c r="BG157" i="2"/>
  <c r="BB157" i="2"/>
  <c r="AG157" i="2"/>
  <c r="X157" i="2"/>
  <c r="Q157" i="2" s="1"/>
  <c r="BG156" i="2"/>
  <c r="BB156" i="2"/>
  <c r="AG156" i="2"/>
  <c r="X156" i="2"/>
  <c r="BG155" i="2"/>
  <c r="BB155" i="2"/>
  <c r="AG155" i="2"/>
  <c r="X155" i="2"/>
  <c r="BG154" i="2"/>
  <c r="BB154" i="2"/>
  <c r="AG154" i="2"/>
  <c r="X154" i="2"/>
  <c r="BG153" i="2"/>
  <c r="BB153" i="2"/>
  <c r="AG153" i="2"/>
  <c r="X153" i="2"/>
  <c r="BG152" i="2"/>
  <c r="BB152" i="2"/>
  <c r="AG152" i="2"/>
  <c r="X152" i="2"/>
  <c r="BG151" i="2"/>
  <c r="BB151" i="2"/>
  <c r="AG151" i="2"/>
  <c r="X151" i="2"/>
  <c r="Q151" i="2" s="1"/>
  <c r="BG150" i="2"/>
  <c r="BB150" i="2"/>
  <c r="Q150" i="2" s="1"/>
  <c r="AG150" i="2"/>
  <c r="X150" i="2"/>
  <c r="BG149" i="2"/>
  <c r="BB149" i="2"/>
  <c r="AG149" i="2"/>
  <c r="X149" i="2"/>
  <c r="BG148" i="2"/>
  <c r="BB148" i="2"/>
  <c r="AG148" i="2"/>
  <c r="X148" i="2"/>
  <c r="BG147" i="2"/>
  <c r="BB147" i="2"/>
  <c r="AG147" i="2"/>
  <c r="X147" i="2"/>
  <c r="Q147" i="2" s="1"/>
  <c r="BG146" i="2"/>
  <c r="BB146" i="2"/>
  <c r="AG146" i="2"/>
  <c r="X146" i="2"/>
  <c r="Q146" i="2" s="1"/>
  <c r="BG145" i="2"/>
  <c r="BB145" i="2"/>
  <c r="AG145" i="2"/>
  <c r="X145" i="2"/>
  <c r="BG144" i="2"/>
  <c r="BB144" i="2"/>
  <c r="AG144" i="2"/>
  <c r="X144" i="2"/>
  <c r="BG143" i="2"/>
  <c r="BB143" i="2"/>
  <c r="AG143" i="2"/>
  <c r="X143" i="2"/>
  <c r="BG142" i="2"/>
  <c r="BB142" i="2"/>
  <c r="AG142" i="2"/>
  <c r="X142" i="2"/>
  <c r="BG141" i="2"/>
  <c r="BB141" i="2"/>
  <c r="AG141" i="2"/>
  <c r="X141" i="2"/>
  <c r="BG140" i="2"/>
  <c r="BB140" i="2"/>
  <c r="AG140" i="2"/>
  <c r="X140" i="2"/>
  <c r="BG139" i="2"/>
  <c r="BB139" i="2"/>
  <c r="AG139" i="2"/>
  <c r="X139" i="2"/>
  <c r="BG138" i="2"/>
  <c r="BB138" i="2"/>
  <c r="AG138" i="2"/>
  <c r="X138" i="2"/>
  <c r="BG137" i="2"/>
  <c r="BB137" i="2"/>
  <c r="AG137" i="2"/>
  <c r="X137" i="2"/>
  <c r="BG136" i="2"/>
  <c r="BB136" i="2"/>
  <c r="AG136" i="2"/>
  <c r="X136" i="2"/>
  <c r="Q136" i="2" s="1"/>
  <c r="BG135" i="2"/>
  <c r="BB135" i="2"/>
  <c r="AG135" i="2"/>
  <c r="X135" i="2"/>
  <c r="BG134" i="2"/>
  <c r="BB134" i="2"/>
  <c r="AG134" i="2"/>
  <c r="X134" i="2"/>
  <c r="BG133" i="2"/>
  <c r="BB133" i="2"/>
  <c r="AG133" i="2"/>
  <c r="X133" i="2"/>
  <c r="BG132" i="2"/>
  <c r="BB132" i="2"/>
  <c r="AG132" i="2"/>
  <c r="X132" i="2"/>
  <c r="BG131" i="2"/>
  <c r="BB131" i="2"/>
  <c r="AG131" i="2"/>
  <c r="X131" i="2"/>
  <c r="BG130" i="2"/>
  <c r="BB130" i="2"/>
  <c r="AG130" i="2"/>
  <c r="X130" i="2"/>
  <c r="BG129" i="2"/>
  <c r="BB129" i="2"/>
  <c r="AG129" i="2"/>
  <c r="X129" i="2"/>
  <c r="BG128" i="2"/>
  <c r="BB128" i="2"/>
  <c r="AG128" i="2"/>
  <c r="X128" i="2"/>
  <c r="BG127" i="2"/>
  <c r="BB127" i="2"/>
  <c r="AG127" i="2"/>
  <c r="X127" i="2"/>
  <c r="BG126" i="2"/>
  <c r="BB126" i="2"/>
  <c r="Q126" i="2" s="1"/>
  <c r="AG126" i="2"/>
  <c r="X126" i="2"/>
  <c r="BG125" i="2"/>
  <c r="BB125" i="2"/>
  <c r="AG125" i="2"/>
  <c r="X125" i="2"/>
  <c r="Q125" i="2" s="1"/>
  <c r="BG124" i="2"/>
  <c r="BB124" i="2"/>
  <c r="AG124" i="2"/>
  <c r="X124" i="2"/>
  <c r="Q124" i="2" s="1"/>
  <c r="BG123" i="2"/>
  <c r="BB123" i="2"/>
  <c r="AG123" i="2"/>
  <c r="X123" i="2"/>
  <c r="BG122" i="2"/>
  <c r="BB122" i="2"/>
  <c r="AG122" i="2"/>
  <c r="X122" i="2"/>
  <c r="BG121" i="2"/>
  <c r="BB121" i="2"/>
  <c r="AG121" i="2"/>
  <c r="X121" i="2"/>
  <c r="Q121" i="2" s="1"/>
  <c r="BG120" i="2"/>
  <c r="BB120" i="2"/>
  <c r="AG120" i="2"/>
  <c r="X120" i="2"/>
  <c r="Q120" i="2" s="1"/>
  <c r="BG119" i="2"/>
  <c r="BB119" i="2"/>
  <c r="AG119" i="2"/>
  <c r="X119" i="2"/>
  <c r="BG118" i="2"/>
  <c r="BB118" i="2"/>
  <c r="AG118" i="2"/>
  <c r="X118" i="2"/>
  <c r="BG117" i="2"/>
  <c r="BB117" i="2"/>
  <c r="AG117" i="2"/>
  <c r="X117" i="2"/>
  <c r="Q117" i="2" s="1"/>
  <c r="BG116" i="2"/>
  <c r="BB116" i="2"/>
  <c r="AG116" i="2"/>
  <c r="X116" i="2"/>
  <c r="BG115" i="2"/>
  <c r="BB115" i="2"/>
  <c r="AG115" i="2"/>
  <c r="X115" i="2"/>
  <c r="Q115" i="2" s="1"/>
  <c r="BG114" i="2"/>
  <c r="BB114" i="2"/>
  <c r="AG114" i="2"/>
  <c r="X114" i="2"/>
  <c r="Q114" i="2" s="1"/>
  <c r="BG113" i="2"/>
  <c r="BB113" i="2"/>
  <c r="AG113" i="2"/>
  <c r="X113" i="2"/>
  <c r="BG112" i="2"/>
  <c r="BB112" i="2"/>
  <c r="AG112" i="2"/>
  <c r="X112" i="2"/>
  <c r="Q112" i="2" s="1"/>
  <c r="BG111" i="2"/>
  <c r="BB111" i="2"/>
  <c r="AG111" i="2"/>
  <c r="X111" i="2"/>
  <c r="Q111" i="2" s="1"/>
  <c r="BG110" i="2"/>
  <c r="BB110" i="2"/>
  <c r="AG110" i="2"/>
  <c r="X110" i="2"/>
  <c r="Q110" i="2"/>
  <c r="BG109" i="2"/>
  <c r="BB109" i="2"/>
  <c r="AG109" i="2"/>
  <c r="X109" i="2"/>
  <c r="BG108" i="2"/>
  <c r="BB108" i="2"/>
  <c r="AG108" i="2"/>
  <c r="X108" i="2"/>
  <c r="BG107" i="2"/>
  <c r="BB107" i="2"/>
  <c r="AG107" i="2"/>
  <c r="X107" i="2"/>
  <c r="Q107" i="2" s="1"/>
  <c r="BG106" i="2"/>
  <c r="BB106" i="2"/>
  <c r="AG106" i="2"/>
  <c r="X106" i="2"/>
  <c r="BG105" i="2"/>
  <c r="BB105" i="2"/>
  <c r="AG105" i="2"/>
  <c r="X105" i="2"/>
  <c r="BG104" i="2"/>
  <c r="BB104" i="2"/>
  <c r="AG104" i="2"/>
  <c r="X104" i="2"/>
  <c r="Q104" i="2" s="1"/>
  <c r="BG103" i="2"/>
  <c r="BB103" i="2"/>
  <c r="AG103" i="2"/>
  <c r="X103" i="2"/>
  <c r="BG102" i="2"/>
  <c r="BB102" i="2"/>
  <c r="AG102" i="2"/>
  <c r="X102" i="2"/>
  <c r="BG101" i="2"/>
  <c r="BB101" i="2"/>
  <c r="AG101" i="2"/>
  <c r="X101" i="2"/>
  <c r="Q101" i="2" s="1"/>
  <c r="BG100" i="2"/>
  <c r="BB100" i="2"/>
  <c r="AG100" i="2"/>
  <c r="Q100" i="2" s="1"/>
  <c r="X100" i="2"/>
  <c r="BB99" i="2"/>
  <c r="AG99" i="2"/>
  <c r="X99" i="2"/>
  <c r="BG98" i="2"/>
  <c r="BB98" i="2"/>
  <c r="AG98" i="2"/>
  <c r="X98" i="2"/>
  <c r="BG97" i="2"/>
  <c r="BB97" i="2"/>
  <c r="AG97" i="2"/>
  <c r="Q97" i="2" s="1"/>
  <c r="X97" i="2"/>
  <c r="BG96" i="2"/>
  <c r="BB96" i="2"/>
  <c r="Q96" i="2" s="1"/>
  <c r="AG96" i="2"/>
  <c r="X96" i="2"/>
  <c r="BG95" i="2"/>
  <c r="BB95" i="2"/>
  <c r="AG95" i="2"/>
  <c r="X95" i="2"/>
  <c r="BG94" i="2"/>
  <c r="BB94" i="2"/>
  <c r="AG94" i="2"/>
  <c r="X94" i="2"/>
  <c r="BG93" i="2"/>
  <c r="BB93" i="2"/>
  <c r="AG93" i="2"/>
  <c r="X93" i="2"/>
  <c r="Q93" i="2" s="1"/>
  <c r="BG92" i="2"/>
  <c r="BB92" i="2"/>
  <c r="AG92" i="2"/>
  <c r="X92" i="2"/>
  <c r="BG91" i="2"/>
  <c r="BB91" i="2"/>
  <c r="AG91" i="2"/>
  <c r="X91" i="2"/>
  <c r="Q91" i="2" s="1"/>
  <c r="BG90" i="2"/>
  <c r="BB90" i="2"/>
  <c r="AG90" i="2"/>
  <c r="X90" i="2"/>
  <c r="BG89" i="2"/>
  <c r="BB89" i="2"/>
  <c r="AG89" i="2"/>
  <c r="X89" i="2"/>
  <c r="BG88" i="2"/>
  <c r="BB88" i="2"/>
  <c r="AG88" i="2"/>
  <c r="X88" i="2"/>
  <c r="Q88" i="2" s="1"/>
  <c r="BG87" i="2"/>
  <c r="BB87" i="2"/>
  <c r="AG87" i="2"/>
  <c r="X87" i="2"/>
  <c r="BG86" i="2"/>
  <c r="BB86" i="2"/>
  <c r="AG86" i="2"/>
  <c r="X86" i="2"/>
  <c r="BG85" i="2"/>
  <c r="BB85" i="2"/>
  <c r="AG85" i="2"/>
  <c r="X85" i="2"/>
  <c r="Q85" i="2" s="1"/>
  <c r="BG84" i="2"/>
  <c r="BB84" i="2"/>
  <c r="AG84" i="2"/>
  <c r="X84" i="2"/>
  <c r="BG83" i="2"/>
  <c r="BB83" i="2"/>
  <c r="AG83" i="2"/>
  <c r="X83" i="2"/>
  <c r="BG82" i="2"/>
  <c r="BB82" i="2"/>
  <c r="AG82" i="2"/>
  <c r="X82" i="2"/>
  <c r="Q82" i="2" s="1"/>
  <c r="BG81" i="2"/>
  <c r="BB81" i="2"/>
  <c r="AG81" i="2"/>
  <c r="X81" i="2"/>
  <c r="Q81" i="2" s="1"/>
  <c r="BG80" i="2"/>
  <c r="BB80" i="2"/>
  <c r="AG80" i="2"/>
  <c r="X80" i="2"/>
  <c r="Q80" i="2" s="1"/>
  <c r="BG79" i="2"/>
  <c r="BB79" i="2"/>
  <c r="AG79" i="2"/>
  <c r="X79" i="2"/>
  <c r="BG78" i="2"/>
  <c r="BB78" i="2"/>
  <c r="AG78" i="2"/>
  <c r="X78" i="2"/>
  <c r="BG77" i="2"/>
  <c r="BB77" i="2"/>
  <c r="AG77" i="2"/>
  <c r="X77" i="2"/>
  <c r="BG76" i="2"/>
  <c r="BB76" i="2"/>
  <c r="AG76" i="2"/>
  <c r="X76" i="2"/>
  <c r="BG75" i="2"/>
  <c r="BB75" i="2"/>
  <c r="AG75" i="2"/>
  <c r="X75" i="2"/>
  <c r="BG74" i="2"/>
  <c r="BB74" i="2"/>
  <c r="AG74" i="2"/>
  <c r="X74" i="2"/>
  <c r="Q74" i="2" s="1"/>
  <c r="AG73" i="2"/>
  <c r="X73" i="2"/>
  <c r="Q73" i="2"/>
  <c r="BG72" i="2"/>
  <c r="BB72" i="2"/>
  <c r="AG72" i="2"/>
  <c r="X72" i="2"/>
  <c r="BG71" i="2"/>
  <c r="BB71" i="2"/>
  <c r="Q71" i="2" s="1"/>
  <c r="AG71" i="2"/>
  <c r="X71" i="2"/>
  <c r="BG70" i="2"/>
  <c r="BB70" i="2"/>
  <c r="AG70" i="2"/>
  <c r="X70" i="2"/>
  <c r="BG69" i="2"/>
  <c r="BB69" i="2"/>
  <c r="AG69" i="2"/>
  <c r="X69" i="2"/>
  <c r="Q69" i="2" s="1"/>
  <c r="BG68" i="2"/>
  <c r="BB68" i="2"/>
  <c r="AG68" i="2"/>
  <c r="X68" i="2"/>
  <c r="BG67" i="2"/>
  <c r="BB67" i="2"/>
  <c r="AG67" i="2"/>
  <c r="X67" i="2"/>
  <c r="BG66" i="2"/>
  <c r="BB66" i="2"/>
  <c r="AG66" i="2"/>
  <c r="X66" i="2"/>
  <c r="Q66" i="2" s="1"/>
  <c r="BG65" i="2"/>
  <c r="BB65" i="2"/>
  <c r="AG65" i="2"/>
  <c r="X65" i="2"/>
  <c r="BG64" i="2"/>
  <c r="BB64" i="2"/>
  <c r="AG64" i="2"/>
  <c r="X64" i="2"/>
  <c r="BG63" i="2"/>
  <c r="BB63" i="2"/>
  <c r="AG63" i="2"/>
  <c r="X63" i="2"/>
  <c r="Q63" i="2" s="1"/>
  <c r="BG62" i="2"/>
  <c r="BB62" i="2"/>
  <c r="AG62" i="2"/>
  <c r="X62" i="2"/>
  <c r="Q62" i="2" s="1"/>
  <c r="BG61" i="2"/>
  <c r="BB61" i="2"/>
  <c r="AG61" i="2"/>
  <c r="X61" i="2"/>
  <c r="BG60" i="2"/>
  <c r="BB60" i="2"/>
  <c r="AG60" i="2"/>
  <c r="X60" i="2"/>
  <c r="BG59" i="2"/>
  <c r="BB59" i="2"/>
  <c r="AG59" i="2"/>
  <c r="X59" i="2"/>
  <c r="BG58" i="2"/>
  <c r="BB58" i="2"/>
  <c r="AG58" i="2"/>
  <c r="X58" i="2"/>
  <c r="BG57" i="2"/>
  <c r="BB57" i="2"/>
  <c r="AG57" i="2"/>
  <c r="X57" i="2"/>
  <c r="Q57" i="2" s="1"/>
  <c r="BG56" i="2"/>
  <c r="BB56" i="2"/>
  <c r="AG56" i="2"/>
  <c r="X56" i="2"/>
  <c r="BG55" i="2"/>
  <c r="BB55" i="2"/>
  <c r="AG55" i="2"/>
  <c r="X55" i="2"/>
  <c r="BG54" i="2"/>
  <c r="BB54" i="2"/>
  <c r="AG54" i="2"/>
  <c r="X54" i="2"/>
  <c r="Q54" i="2" s="1"/>
  <c r="BG53" i="2"/>
  <c r="BB53" i="2"/>
  <c r="AG53" i="2"/>
  <c r="X53" i="2"/>
  <c r="AG52" i="2"/>
  <c r="X52" i="2"/>
  <c r="Q52" i="2" s="1"/>
  <c r="BG51" i="2"/>
  <c r="BB51" i="2"/>
  <c r="AG51" i="2"/>
  <c r="X51" i="2"/>
  <c r="BG50" i="2"/>
  <c r="BB50" i="2"/>
  <c r="AG50" i="2"/>
  <c r="X50" i="2"/>
  <c r="BG49" i="2"/>
  <c r="BB49" i="2"/>
  <c r="AG49" i="2"/>
  <c r="X49" i="2"/>
  <c r="Q49" i="2"/>
  <c r="BG48" i="2"/>
  <c r="BB48" i="2"/>
  <c r="AG48" i="2"/>
  <c r="X48" i="2"/>
  <c r="BG47" i="2"/>
  <c r="BB47" i="2"/>
  <c r="AG47" i="2"/>
  <c r="X47" i="2"/>
  <c r="BG46" i="2"/>
  <c r="BB46" i="2"/>
  <c r="AG46" i="2"/>
  <c r="X46" i="2"/>
  <c r="Q46" i="2" s="1"/>
  <c r="BG45" i="2"/>
  <c r="BB45" i="2"/>
  <c r="AG45" i="2"/>
  <c r="X45" i="2"/>
  <c r="BG44" i="2"/>
  <c r="BB44" i="2"/>
  <c r="AG44" i="2"/>
  <c r="X44" i="2"/>
  <c r="BG43" i="2"/>
  <c r="BB43" i="2"/>
  <c r="AG43" i="2"/>
  <c r="X43" i="2"/>
  <c r="Q43" i="2" s="1"/>
  <c r="BG42" i="2"/>
  <c r="BB42" i="2"/>
  <c r="AG42" i="2"/>
  <c r="X42" i="2"/>
  <c r="BG41" i="2"/>
  <c r="BB41" i="2"/>
  <c r="AG41" i="2"/>
  <c r="X41" i="2"/>
  <c r="BG40" i="2"/>
  <c r="BB40" i="2"/>
  <c r="AG40" i="2"/>
  <c r="X40" i="2"/>
  <c r="BG39" i="2"/>
  <c r="BB39" i="2"/>
  <c r="AG39" i="2"/>
  <c r="X39" i="2"/>
  <c r="BG38" i="2"/>
  <c r="BB38" i="2"/>
  <c r="AG38" i="2"/>
  <c r="X38" i="2"/>
  <c r="Q38" i="2" s="1"/>
  <c r="BG37" i="2"/>
  <c r="BB37" i="2"/>
  <c r="AG37" i="2"/>
  <c r="X37" i="2"/>
  <c r="Q37" i="2" s="1"/>
  <c r="BG36" i="2"/>
  <c r="BB36" i="2"/>
  <c r="AG36" i="2"/>
  <c r="X36" i="2"/>
  <c r="BG35" i="2"/>
  <c r="BB35" i="2"/>
  <c r="AG35" i="2"/>
  <c r="X35" i="2"/>
  <c r="Q35" i="2" s="1"/>
  <c r="BG34" i="2"/>
  <c r="BB34" i="2"/>
  <c r="AG34" i="2"/>
  <c r="X34" i="2"/>
  <c r="BG33" i="2"/>
  <c r="BB33" i="2"/>
  <c r="AG33" i="2"/>
  <c r="X33" i="2"/>
  <c r="AG32" i="2"/>
  <c r="X32" i="2"/>
  <c r="BG31" i="2"/>
  <c r="BB31" i="2"/>
  <c r="Q31" i="2" s="1"/>
  <c r="AG31" i="2"/>
  <c r="X31" i="2"/>
  <c r="BG30" i="2"/>
  <c r="BB30" i="2"/>
  <c r="AG30" i="2"/>
  <c r="X30" i="2"/>
  <c r="BG29" i="2"/>
  <c r="BB29" i="2"/>
  <c r="AG29" i="2"/>
  <c r="X29" i="2"/>
  <c r="BG28" i="2"/>
  <c r="BB28" i="2"/>
  <c r="AG28" i="2"/>
  <c r="X28" i="2"/>
  <c r="BG27" i="2"/>
  <c r="BB27" i="2"/>
  <c r="AG27" i="2"/>
  <c r="X27" i="2"/>
  <c r="BG26" i="2"/>
  <c r="BB26" i="2"/>
  <c r="AG26" i="2"/>
  <c r="X26" i="2"/>
  <c r="BG25" i="2"/>
  <c r="BB25" i="2"/>
  <c r="AG25" i="2"/>
  <c r="X25" i="2"/>
  <c r="BG24" i="2"/>
  <c r="BB24" i="2"/>
  <c r="AG24" i="2"/>
  <c r="X24" i="2"/>
  <c r="BG23" i="2"/>
  <c r="BB23" i="2"/>
  <c r="AG23" i="2"/>
  <c r="X23" i="2"/>
  <c r="BG22" i="2"/>
  <c r="BB22" i="2"/>
  <c r="AG22" i="2"/>
  <c r="X22" i="2"/>
  <c r="BG21" i="2"/>
  <c r="BB21" i="2"/>
  <c r="AG21" i="2"/>
  <c r="X21" i="2"/>
  <c r="BG20" i="2"/>
  <c r="BB20" i="2"/>
  <c r="AG20" i="2"/>
  <c r="X20" i="2"/>
  <c r="BG19" i="2"/>
  <c r="BB19" i="2"/>
  <c r="AG19" i="2"/>
  <c r="X19" i="2"/>
  <c r="BG18" i="2"/>
  <c r="BB18" i="2"/>
  <c r="AG18" i="2"/>
  <c r="Q18" i="2" s="1"/>
  <c r="X18" i="2"/>
  <c r="BG17" i="2"/>
  <c r="BB17" i="2"/>
  <c r="AG17" i="2"/>
  <c r="X17" i="2"/>
  <c r="Q17" i="2"/>
  <c r="BG16" i="2"/>
  <c r="BB16" i="2"/>
  <c r="AG16" i="2"/>
  <c r="X16" i="2"/>
  <c r="BG15" i="2"/>
  <c r="BB15" i="2"/>
  <c r="AG15" i="2"/>
  <c r="Q15" i="2" s="1"/>
  <c r="X15" i="2"/>
  <c r="BG14" i="2"/>
  <c r="BB14" i="2"/>
  <c r="AG14" i="2"/>
  <c r="X14" i="2"/>
  <c r="Q14" i="2" s="1"/>
  <c r="BG13" i="2"/>
  <c r="BB13" i="2"/>
  <c r="AG13" i="2"/>
  <c r="X13" i="2"/>
  <c r="BG12" i="2"/>
  <c r="BB12" i="2"/>
  <c r="AG12" i="2"/>
  <c r="X12" i="2"/>
  <c r="BG11" i="2"/>
  <c r="BB11" i="2"/>
  <c r="AG11" i="2"/>
  <c r="X11" i="2"/>
  <c r="BG10" i="2"/>
  <c r="BB10" i="2"/>
  <c r="AG10" i="2"/>
  <c r="X10" i="2"/>
  <c r="BG9" i="2"/>
  <c r="BB9" i="2"/>
  <c r="AG9" i="2"/>
  <c r="X9" i="2"/>
  <c r="BG8" i="2"/>
  <c r="BB8" i="2"/>
  <c r="AG8" i="2"/>
  <c r="X8" i="2"/>
  <c r="Q8" i="2" s="1"/>
  <c r="BG7" i="2"/>
  <c r="BB7" i="2"/>
  <c r="AG7" i="2"/>
  <c r="X7" i="2"/>
  <c r="Q7" i="2" s="1"/>
  <c r="BG6" i="2"/>
  <c r="BB6" i="2"/>
  <c r="AG6" i="2"/>
  <c r="X6" i="2"/>
  <c r="Q6" i="2" s="1"/>
  <c r="BG5" i="2"/>
  <c r="BB5" i="2"/>
  <c r="AG5" i="2"/>
  <c r="Q5" i="2" s="1"/>
  <c r="X5" i="2"/>
  <c r="AG4" i="2"/>
  <c r="X4" i="2"/>
  <c r="BE654" i="1"/>
  <c r="AZ654" i="1"/>
  <c r="AE654" i="1"/>
  <c r="V654" i="1"/>
  <c r="O654" i="1" s="1"/>
  <c r="BE653" i="1"/>
  <c r="AZ653" i="1"/>
  <c r="AE653" i="1"/>
  <c r="V653" i="1"/>
  <c r="O653" i="1" s="1"/>
  <c r="BE652" i="1"/>
  <c r="AZ652" i="1"/>
  <c r="O652" i="1" s="1"/>
  <c r="AE652" i="1"/>
  <c r="V652" i="1"/>
  <c r="BE651" i="1"/>
  <c r="AZ651" i="1"/>
  <c r="AE651" i="1"/>
  <c r="V651" i="1"/>
  <c r="O651" i="1" s="1"/>
  <c r="BE650" i="1"/>
  <c r="AZ650" i="1"/>
  <c r="AE650" i="1"/>
  <c r="V650" i="1"/>
  <c r="O650" i="1" s="1"/>
  <c r="BE649" i="1"/>
  <c r="AZ649" i="1"/>
  <c r="AE649" i="1"/>
  <c r="V649" i="1"/>
  <c r="O649" i="1" s="1"/>
  <c r="BE648" i="1"/>
  <c r="AZ648" i="1"/>
  <c r="AE648" i="1"/>
  <c r="V648" i="1"/>
  <c r="O648" i="1"/>
  <c r="BE647" i="1"/>
  <c r="AZ647" i="1"/>
  <c r="AE647" i="1"/>
  <c r="V647" i="1"/>
  <c r="O647" i="1"/>
  <c r="BE646" i="1"/>
  <c r="AZ646" i="1"/>
  <c r="AE646" i="1"/>
  <c r="V646" i="1"/>
  <c r="O646" i="1"/>
  <c r="BE645" i="1"/>
  <c r="AZ645" i="1"/>
  <c r="AE645" i="1"/>
  <c r="V645" i="1"/>
  <c r="O645" i="1" s="1"/>
  <c r="BE644" i="1"/>
  <c r="AZ644" i="1"/>
  <c r="AE644" i="1"/>
  <c r="V644" i="1"/>
  <c r="O644" i="1"/>
  <c r="BE643" i="1"/>
  <c r="AZ643" i="1"/>
  <c r="AE643" i="1"/>
  <c r="V643" i="1"/>
  <c r="O643" i="1" s="1"/>
  <c r="BE642" i="1"/>
  <c r="AZ642" i="1"/>
  <c r="AE642" i="1"/>
  <c r="V642" i="1"/>
  <c r="O642" i="1" s="1"/>
  <c r="BE641" i="1"/>
  <c r="AZ641" i="1"/>
  <c r="AE641" i="1"/>
  <c r="V641" i="1"/>
  <c r="O641" i="1" s="1"/>
  <c r="BE640" i="1"/>
  <c r="AZ640" i="1"/>
  <c r="O640" i="1" s="1"/>
  <c r="AE640" i="1"/>
  <c r="V640" i="1"/>
  <c r="BE639" i="1"/>
  <c r="AZ639" i="1"/>
  <c r="AE639" i="1"/>
  <c r="V639" i="1"/>
  <c r="O639" i="1" s="1"/>
  <c r="BE638" i="1"/>
  <c r="AZ638" i="1"/>
  <c r="AE638" i="1"/>
  <c r="V638" i="1"/>
  <c r="O638" i="1" s="1"/>
  <c r="BE637" i="1"/>
  <c r="AZ637" i="1"/>
  <c r="AE637" i="1"/>
  <c r="V637" i="1"/>
  <c r="O637" i="1" s="1"/>
  <c r="BE636" i="1"/>
  <c r="AZ636" i="1"/>
  <c r="AE636" i="1"/>
  <c r="V636" i="1"/>
  <c r="O636" i="1"/>
  <c r="BE635" i="1"/>
  <c r="AZ635" i="1"/>
  <c r="AE635" i="1"/>
  <c r="V635" i="1"/>
  <c r="O635" i="1"/>
  <c r="BE634" i="1"/>
  <c r="AZ634" i="1"/>
  <c r="AE634" i="1"/>
  <c r="V634" i="1"/>
  <c r="O634" i="1"/>
  <c r="BE633" i="1"/>
  <c r="AZ633" i="1"/>
  <c r="AE633" i="1"/>
  <c r="V633" i="1"/>
  <c r="O633" i="1" s="1"/>
  <c r="BE632" i="1"/>
  <c r="AZ632" i="1"/>
  <c r="AE632" i="1"/>
  <c r="V632" i="1"/>
  <c r="O632" i="1"/>
  <c r="BE631" i="1"/>
  <c r="AZ631" i="1"/>
  <c r="AE631" i="1"/>
  <c r="V631" i="1"/>
  <c r="O631" i="1" s="1"/>
  <c r="BE630" i="1"/>
  <c r="AZ630" i="1"/>
  <c r="AE630" i="1"/>
  <c r="V630" i="1"/>
  <c r="O630" i="1" s="1"/>
  <c r="BE629" i="1"/>
  <c r="AZ629" i="1"/>
  <c r="AE629" i="1"/>
  <c r="V629" i="1"/>
  <c r="O629" i="1" s="1"/>
  <c r="BE628" i="1"/>
  <c r="AZ628" i="1"/>
  <c r="O628" i="1" s="1"/>
  <c r="AE628" i="1"/>
  <c r="V628" i="1"/>
  <c r="BE627" i="1"/>
  <c r="AZ627" i="1"/>
  <c r="AE627" i="1"/>
  <c r="V627" i="1"/>
  <c r="O627" i="1" s="1"/>
  <c r="BE626" i="1"/>
  <c r="AZ626" i="1"/>
  <c r="AE626" i="1"/>
  <c r="V626" i="1"/>
  <c r="BE625" i="1"/>
  <c r="AZ625" i="1"/>
  <c r="AE625" i="1"/>
  <c r="V625" i="1"/>
  <c r="O625" i="1" s="1"/>
  <c r="BE624" i="1"/>
  <c r="AZ624" i="1"/>
  <c r="AE624" i="1"/>
  <c r="V624" i="1"/>
  <c r="O624" i="1"/>
  <c r="BE623" i="1"/>
  <c r="AZ623" i="1"/>
  <c r="AE623" i="1"/>
  <c r="V623" i="1"/>
  <c r="O623" i="1"/>
  <c r="BE622" i="1"/>
  <c r="AZ622" i="1"/>
  <c r="AE622" i="1"/>
  <c r="V622" i="1"/>
  <c r="O622" i="1"/>
  <c r="BE621" i="1"/>
  <c r="AZ621" i="1"/>
  <c r="AE621" i="1"/>
  <c r="V621" i="1"/>
  <c r="O621" i="1" s="1"/>
  <c r="BE620" i="1"/>
  <c r="AZ620" i="1"/>
  <c r="AE620" i="1"/>
  <c r="V620" i="1"/>
  <c r="O620" i="1"/>
  <c r="BE619" i="1"/>
  <c r="AZ619" i="1"/>
  <c r="AE619" i="1"/>
  <c r="V619" i="1"/>
  <c r="O619" i="1" s="1"/>
  <c r="BE618" i="1"/>
  <c r="AZ618" i="1"/>
  <c r="AE618" i="1"/>
  <c r="V618" i="1"/>
  <c r="O618" i="1" s="1"/>
  <c r="BE617" i="1"/>
  <c r="AZ617" i="1"/>
  <c r="AE617" i="1"/>
  <c r="V617" i="1"/>
  <c r="O617" i="1" s="1"/>
  <c r="BE616" i="1"/>
  <c r="AZ616" i="1"/>
  <c r="O616" i="1" s="1"/>
  <c r="AE616" i="1"/>
  <c r="V616" i="1"/>
  <c r="BE615" i="1"/>
  <c r="AZ615" i="1"/>
  <c r="AE615" i="1"/>
  <c r="V615" i="1"/>
  <c r="O615" i="1" s="1"/>
  <c r="BE614" i="1"/>
  <c r="AZ614" i="1"/>
  <c r="AE614" i="1"/>
  <c r="V614" i="1"/>
  <c r="O614" i="1" s="1"/>
  <c r="BE613" i="1"/>
  <c r="AZ613" i="1"/>
  <c r="AE613" i="1"/>
  <c r="V613" i="1"/>
  <c r="O613" i="1" s="1"/>
  <c r="BE612" i="1"/>
  <c r="AZ612" i="1"/>
  <c r="AE612" i="1"/>
  <c r="V612" i="1"/>
  <c r="O612" i="1"/>
  <c r="BE611" i="1"/>
  <c r="AZ611" i="1"/>
  <c r="AE611" i="1"/>
  <c r="V611" i="1"/>
  <c r="O611" i="1"/>
  <c r="BE610" i="1"/>
  <c r="AZ610" i="1"/>
  <c r="AE610" i="1"/>
  <c r="V610" i="1"/>
  <c r="O610" i="1"/>
  <c r="BE609" i="1"/>
  <c r="AZ609" i="1"/>
  <c r="AE609" i="1"/>
  <c r="V609" i="1"/>
  <c r="O609" i="1" s="1"/>
  <c r="BE608" i="1"/>
  <c r="AZ608" i="1"/>
  <c r="AE608" i="1"/>
  <c r="V608" i="1"/>
  <c r="O608" i="1"/>
  <c r="BE607" i="1"/>
  <c r="AZ607" i="1"/>
  <c r="AE607" i="1"/>
  <c r="V607" i="1"/>
  <c r="O607" i="1" s="1"/>
  <c r="BE606" i="1"/>
  <c r="AZ606" i="1"/>
  <c r="AE606" i="1"/>
  <c r="V606" i="1"/>
  <c r="O606" i="1" s="1"/>
  <c r="BE605" i="1"/>
  <c r="AZ605" i="1"/>
  <c r="AE605" i="1"/>
  <c r="V605" i="1"/>
  <c r="O605" i="1" s="1"/>
  <c r="BE604" i="1"/>
  <c r="AZ604" i="1"/>
  <c r="O604" i="1" s="1"/>
  <c r="AE604" i="1"/>
  <c r="V604" i="1"/>
  <c r="BE603" i="1"/>
  <c r="AZ603" i="1"/>
  <c r="AE603" i="1"/>
  <c r="V603" i="1"/>
  <c r="O603" i="1" s="1"/>
  <c r="BE602" i="1"/>
  <c r="AZ602" i="1"/>
  <c r="AE602" i="1"/>
  <c r="V602" i="1"/>
  <c r="O602" i="1" s="1"/>
  <c r="BE601" i="1"/>
  <c r="AZ601" i="1"/>
  <c r="AE601" i="1"/>
  <c r="V601" i="1"/>
  <c r="O601" i="1" s="1"/>
  <c r="BE600" i="1"/>
  <c r="AZ600" i="1"/>
  <c r="AE600" i="1"/>
  <c r="V600" i="1"/>
  <c r="O600" i="1"/>
  <c r="BE599" i="1"/>
  <c r="AZ599" i="1"/>
  <c r="AE599" i="1"/>
  <c r="V599" i="1"/>
  <c r="O599" i="1"/>
  <c r="BE598" i="1"/>
  <c r="AZ598" i="1"/>
  <c r="AE598" i="1"/>
  <c r="V598" i="1"/>
  <c r="O598" i="1"/>
  <c r="BE597" i="1"/>
  <c r="AZ597" i="1"/>
  <c r="AE597" i="1"/>
  <c r="V597" i="1"/>
  <c r="O597" i="1" s="1"/>
  <c r="BE596" i="1"/>
  <c r="AZ596" i="1"/>
  <c r="AE596" i="1"/>
  <c r="V596" i="1"/>
  <c r="O596" i="1"/>
  <c r="BE595" i="1"/>
  <c r="AZ595" i="1"/>
  <c r="AE595" i="1"/>
  <c r="V595" i="1"/>
  <c r="O595" i="1" s="1"/>
  <c r="BE594" i="1"/>
  <c r="AZ594" i="1"/>
  <c r="AE594" i="1"/>
  <c r="V594" i="1"/>
  <c r="O594" i="1" s="1"/>
  <c r="BE593" i="1"/>
  <c r="AZ593" i="1"/>
  <c r="AE593" i="1"/>
  <c r="V593" i="1"/>
  <c r="O593" i="1" s="1"/>
  <c r="BE592" i="1"/>
  <c r="AZ592" i="1"/>
  <c r="O592" i="1" s="1"/>
  <c r="AE592" i="1"/>
  <c r="V592" i="1"/>
  <c r="BE591" i="1"/>
  <c r="AZ591" i="1"/>
  <c r="AE591" i="1"/>
  <c r="V591" i="1"/>
  <c r="O591" i="1" s="1"/>
  <c r="BE590" i="1"/>
  <c r="AZ590" i="1"/>
  <c r="AE590" i="1"/>
  <c r="V590" i="1"/>
  <c r="BE589" i="1"/>
  <c r="AZ589" i="1"/>
  <c r="AE589" i="1"/>
  <c r="V589" i="1"/>
  <c r="O589" i="1" s="1"/>
  <c r="BE588" i="1"/>
  <c r="AZ588" i="1"/>
  <c r="AE588" i="1"/>
  <c r="V588" i="1"/>
  <c r="O588" i="1"/>
  <c r="BE587" i="1"/>
  <c r="AZ587" i="1"/>
  <c r="AE587" i="1"/>
  <c r="V587" i="1"/>
  <c r="O587" i="1"/>
  <c r="BE586" i="1"/>
  <c r="AZ586" i="1"/>
  <c r="AE586" i="1"/>
  <c r="V586" i="1"/>
  <c r="O586" i="1"/>
  <c r="BE585" i="1"/>
  <c r="AZ585" i="1"/>
  <c r="AE585" i="1"/>
  <c r="V585" i="1"/>
  <c r="O585" i="1" s="1"/>
  <c r="BE584" i="1"/>
  <c r="AZ584" i="1"/>
  <c r="AE584" i="1"/>
  <c r="V584" i="1"/>
  <c r="O584" i="1"/>
  <c r="BE583" i="1"/>
  <c r="AZ583" i="1"/>
  <c r="AE583" i="1"/>
  <c r="V583" i="1"/>
  <c r="O583" i="1" s="1"/>
  <c r="BE582" i="1"/>
  <c r="AZ582" i="1"/>
  <c r="AE582" i="1"/>
  <c r="V582" i="1"/>
  <c r="O582" i="1" s="1"/>
  <c r="O581" i="1"/>
  <c r="BE580" i="1"/>
  <c r="AZ580" i="1"/>
  <c r="AE580" i="1"/>
  <c r="V580" i="1"/>
  <c r="O580" i="1"/>
  <c r="BE579" i="1"/>
  <c r="AZ579" i="1"/>
  <c r="AE579" i="1"/>
  <c r="V579" i="1"/>
  <c r="O579" i="1"/>
  <c r="BE578" i="1"/>
  <c r="AZ578" i="1"/>
  <c r="AE578" i="1"/>
  <c r="V578" i="1"/>
  <c r="O578" i="1"/>
  <c r="BE577" i="1"/>
  <c r="AZ577" i="1"/>
  <c r="AE577" i="1"/>
  <c r="V577" i="1"/>
  <c r="O577" i="1" s="1"/>
  <c r="BE576" i="1"/>
  <c r="AZ576" i="1"/>
  <c r="AE576" i="1"/>
  <c r="V576" i="1"/>
  <c r="O576" i="1"/>
  <c r="BE575" i="1"/>
  <c r="AZ575" i="1"/>
  <c r="AE575" i="1"/>
  <c r="V575" i="1"/>
  <c r="O575" i="1" s="1"/>
  <c r="BE574" i="1"/>
  <c r="AZ574" i="1"/>
  <c r="AE574" i="1"/>
  <c r="V574" i="1"/>
  <c r="O574" i="1" s="1"/>
  <c r="BE573" i="1"/>
  <c r="AZ573" i="1"/>
  <c r="AE573" i="1"/>
  <c r="V573" i="1"/>
  <c r="O573" i="1" s="1"/>
  <c r="BE572" i="1"/>
  <c r="AZ572" i="1"/>
  <c r="O572" i="1" s="1"/>
  <c r="AE572" i="1"/>
  <c r="V572" i="1"/>
  <c r="BE571" i="1"/>
  <c r="AZ571" i="1"/>
  <c r="AE571" i="1"/>
  <c r="V571" i="1"/>
  <c r="O571" i="1" s="1"/>
  <c r="BE570" i="1"/>
  <c r="AZ570" i="1"/>
  <c r="AE570" i="1"/>
  <c r="V570" i="1"/>
  <c r="BE569" i="1"/>
  <c r="AZ569" i="1"/>
  <c r="AE569" i="1"/>
  <c r="V569" i="1"/>
  <c r="O569" i="1" s="1"/>
  <c r="BE567" i="1"/>
  <c r="AZ567" i="1"/>
  <c r="AE567" i="1"/>
  <c r="V567" i="1"/>
  <c r="O567" i="1"/>
  <c r="BE566" i="1"/>
  <c r="AZ566" i="1"/>
  <c r="AE566" i="1"/>
  <c r="V566" i="1"/>
  <c r="O566" i="1"/>
  <c r="BE565" i="1"/>
  <c r="AZ565" i="1"/>
  <c r="AE565" i="1"/>
  <c r="V565" i="1"/>
  <c r="O565" i="1"/>
  <c r="BE564" i="1"/>
  <c r="AZ564" i="1"/>
  <c r="AE564" i="1"/>
  <c r="V564" i="1"/>
  <c r="O564" i="1" s="1"/>
  <c r="BE563" i="1"/>
  <c r="AZ563" i="1"/>
  <c r="AE563" i="1"/>
  <c r="V563" i="1"/>
  <c r="O563" i="1"/>
  <c r="BE562" i="1"/>
  <c r="AZ562" i="1"/>
  <c r="AE562" i="1"/>
  <c r="V562" i="1"/>
  <c r="O562" i="1" s="1"/>
  <c r="BE561" i="1"/>
  <c r="AZ561" i="1"/>
  <c r="AE561" i="1"/>
  <c r="V561" i="1"/>
  <c r="O561" i="1" s="1"/>
  <c r="BE560" i="1"/>
  <c r="AZ560" i="1"/>
  <c r="AE560" i="1"/>
  <c r="V560" i="1"/>
  <c r="O560" i="1" s="1"/>
  <c r="BE559" i="1"/>
  <c r="AZ559" i="1"/>
  <c r="O559" i="1" s="1"/>
  <c r="AE559" i="1"/>
  <c r="V559" i="1"/>
  <c r="BE558" i="1"/>
  <c r="AZ558" i="1"/>
  <c r="AE558" i="1"/>
  <c r="V558" i="1"/>
  <c r="O558" i="1" s="1"/>
  <c r="BE557" i="1"/>
  <c r="AZ557" i="1"/>
  <c r="AE557" i="1"/>
  <c r="V557" i="1"/>
  <c r="BE556" i="1"/>
  <c r="AZ556" i="1"/>
  <c r="AE556" i="1"/>
  <c r="V556" i="1"/>
  <c r="O556" i="1" s="1"/>
  <c r="BE555" i="1"/>
  <c r="AZ555" i="1"/>
  <c r="AE555" i="1"/>
  <c r="V555" i="1"/>
  <c r="O555" i="1"/>
  <c r="BE554" i="1"/>
  <c r="AZ554" i="1"/>
  <c r="AE554" i="1"/>
  <c r="V554" i="1"/>
  <c r="O554" i="1"/>
  <c r="BE553" i="1"/>
  <c r="AZ553" i="1"/>
  <c r="AE553" i="1"/>
  <c r="V553" i="1"/>
  <c r="O553" i="1"/>
  <c r="BE552" i="1"/>
  <c r="AZ552" i="1"/>
  <c r="AE552" i="1"/>
  <c r="V552" i="1"/>
  <c r="O552" i="1" s="1"/>
  <c r="BE551" i="1"/>
  <c r="AZ551" i="1"/>
  <c r="AE551" i="1"/>
  <c r="V551" i="1"/>
  <c r="O551" i="1"/>
  <c r="BE550" i="1"/>
  <c r="AZ550" i="1"/>
  <c r="AE550" i="1"/>
  <c r="V550" i="1"/>
  <c r="O550" i="1" s="1"/>
  <c r="BE549" i="1"/>
  <c r="AZ549" i="1"/>
  <c r="AE549" i="1"/>
  <c r="V549" i="1"/>
  <c r="O549" i="1" s="1"/>
  <c r="BE548" i="1"/>
  <c r="AZ548" i="1"/>
  <c r="AE548" i="1"/>
  <c r="V548" i="1"/>
  <c r="O548" i="1" s="1"/>
  <c r="BE547" i="1"/>
  <c r="AZ547" i="1"/>
  <c r="O547" i="1" s="1"/>
  <c r="AE547" i="1"/>
  <c r="V547" i="1"/>
  <c r="BE546" i="1"/>
  <c r="AZ546" i="1"/>
  <c r="AE546" i="1"/>
  <c r="V546" i="1"/>
  <c r="O546" i="1" s="1"/>
  <c r="BE545" i="1"/>
  <c r="AZ545" i="1"/>
  <c r="AE545" i="1"/>
  <c r="V545" i="1"/>
  <c r="BE544" i="1"/>
  <c r="AZ544" i="1"/>
  <c r="AE544" i="1"/>
  <c r="V544" i="1"/>
  <c r="O544" i="1" s="1"/>
  <c r="BE543" i="1"/>
  <c r="AZ543" i="1"/>
  <c r="AE543" i="1"/>
  <c r="V543" i="1"/>
  <c r="O543" i="1"/>
  <c r="BE542" i="1"/>
  <c r="AZ542" i="1"/>
  <c r="AE542" i="1"/>
  <c r="V542" i="1"/>
  <c r="O542" i="1"/>
  <c r="BE541" i="1"/>
  <c r="AZ541" i="1"/>
  <c r="AE541" i="1"/>
  <c r="V541" i="1"/>
  <c r="O541" i="1"/>
  <c r="BE540" i="1"/>
  <c r="AZ540" i="1"/>
  <c r="AE540" i="1"/>
  <c r="V540" i="1"/>
  <c r="O540" i="1" s="1"/>
  <c r="BE539" i="1"/>
  <c r="AZ539" i="1"/>
  <c r="AE539" i="1"/>
  <c r="V539" i="1"/>
  <c r="O539" i="1"/>
  <c r="BE538" i="1"/>
  <c r="AZ538" i="1"/>
  <c r="AE538" i="1"/>
  <c r="V538" i="1"/>
  <c r="O538" i="1" s="1"/>
  <c r="BE537" i="1"/>
  <c r="AZ537" i="1"/>
  <c r="AE537" i="1"/>
  <c r="V537" i="1"/>
  <c r="O537" i="1" s="1"/>
  <c r="BE536" i="1"/>
  <c r="AZ536" i="1"/>
  <c r="AE536" i="1"/>
  <c r="V536" i="1"/>
  <c r="O536" i="1" s="1"/>
  <c r="BE535" i="1"/>
  <c r="AZ535" i="1"/>
  <c r="O535" i="1" s="1"/>
  <c r="AE535" i="1"/>
  <c r="V535" i="1"/>
  <c r="BE534" i="1"/>
  <c r="AZ534" i="1"/>
  <c r="AE534" i="1"/>
  <c r="V534" i="1"/>
  <c r="O534" i="1" s="1"/>
  <c r="BE533" i="1"/>
  <c r="AZ533" i="1"/>
  <c r="AE533" i="1"/>
  <c r="V533" i="1"/>
  <c r="BE532" i="1"/>
  <c r="AZ532" i="1"/>
  <c r="AE532" i="1"/>
  <c r="V532" i="1"/>
  <c r="O532" i="1" s="1"/>
  <c r="BE531" i="1"/>
  <c r="AZ531" i="1"/>
  <c r="AE531" i="1"/>
  <c r="V531" i="1"/>
  <c r="O531" i="1"/>
  <c r="BE530" i="1"/>
  <c r="AZ530" i="1"/>
  <c r="AE530" i="1"/>
  <c r="V530" i="1"/>
  <c r="O530" i="1"/>
  <c r="BE529" i="1"/>
  <c r="AZ529" i="1"/>
  <c r="AE529" i="1"/>
  <c r="V529" i="1"/>
  <c r="O529" i="1"/>
  <c r="BE528" i="1"/>
  <c r="AZ528" i="1"/>
  <c r="AE528" i="1"/>
  <c r="V528" i="1"/>
  <c r="BE527" i="1"/>
  <c r="AZ527" i="1"/>
  <c r="AE527" i="1"/>
  <c r="V527" i="1"/>
  <c r="O527" i="1"/>
  <c r="BE526" i="1"/>
  <c r="AZ526" i="1"/>
  <c r="AE526" i="1"/>
  <c r="V526" i="1"/>
  <c r="O526" i="1" s="1"/>
  <c r="BE525" i="1"/>
  <c r="AZ525" i="1"/>
  <c r="AE525" i="1"/>
  <c r="V525" i="1"/>
  <c r="O525" i="1" s="1"/>
  <c r="BE524" i="1"/>
  <c r="AZ524" i="1"/>
  <c r="AE524" i="1"/>
  <c r="V524" i="1"/>
  <c r="O524" i="1" s="1"/>
  <c r="BE523" i="1"/>
  <c r="AZ523" i="1"/>
  <c r="O523" i="1" s="1"/>
  <c r="AE523" i="1"/>
  <c r="V523" i="1"/>
  <c r="BE522" i="1"/>
  <c r="AZ522" i="1"/>
  <c r="AE522" i="1"/>
  <c r="V522" i="1"/>
  <c r="O522" i="1" s="1"/>
  <c r="BE521" i="1"/>
  <c r="AZ521" i="1"/>
  <c r="AE521" i="1"/>
  <c r="V521" i="1"/>
  <c r="BE520" i="1"/>
  <c r="AZ520" i="1"/>
  <c r="AE520" i="1"/>
  <c r="V520" i="1"/>
  <c r="O520" i="1" s="1"/>
  <c r="BE519" i="1"/>
  <c r="AZ519" i="1"/>
  <c r="AE519" i="1"/>
  <c r="V519" i="1"/>
  <c r="O519" i="1"/>
  <c r="BE518" i="1"/>
  <c r="AZ518" i="1"/>
  <c r="AE518" i="1"/>
  <c r="V518" i="1"/>
  <c r="O518" i="1"/>
  <c r="BE517" i="1"/>
  <c r="AZ517" i="1"/>
  <c r="AE517" i="1"/>
  <c r="V517" i="1"/>
  <c r="O517" i="1"/>
  <c r="BE516" i="1"/>
  <c r="AZ516" i="1"/>
  <c r="AE516" i="1"/>
  <c r="V516" i="1"/>
  <c r="O516" i="1" s="1"/>
  <c r="BE515" i="1"/>
  <c r="AZ515" i="1"/>
  <c r="AE515" i="1"/>
  <c r="V515" i="1"/>
  <c r="O515" i="1"/>
  <c r="BE514" i="1"/>
  <c r="AZ514" i="1"/>
  <c r="AE514" i="1"/>
  <c r="V514" i="1"/>
  <c r="O514" i="1" s="1"/>
  <c r="BE513" i="1"/>
  <c r="AZ513" i="1"/>
  <c r="AE513" i="1"/>
  <c r="V513" i="1"/>
  <c r="O513" i="1" s="1"/>
  <c r="BE512" i="1"/>
  <c r="AZ512" i="1"/>
  <c r="AE512" i="1"/>
  <c r="V512" i="1"/>
  <c r="O512" i="1" s="1"/>
  <c r="BE511" i="1"/>
  <c r="AZ511" i="1"/>
  <c r="O511" i="1" s="1"/>
  <c r="AE511" i="1"/>
  <c r="V511" i="1"/>
  <c r="BE510" i="1"/>
  <c r="AZ510" i="1"/>
  <c r="AE510" i="1"/>
  <c r="V510" i="1"/>
  <c r="O510" i="1" s="1"/>
  <c r="BE509" i="1"/>
  <c r="AZ509" i="1"/>
  <c r="AE509" i="1"/>
  <c r="V509" i="1"/>
  <c r="BE508" i="1"/>
  <c r="AZ508" i="1"/>
  <c r="AE508" i="1"/>
  <c r="V508" i="1"/>
  <c r="O508" i="1" s="1"/>
  <c r="BE507" i="1"/>
  <c r="AZ507" i="1"/>
  <c r="AE507" i="1"/>
  <c r="V507" i="1"/>
  <c r="O507" i="1"/>
  <c r="BE506" i="1"/>
  <c r="AZ506" i="1"/>
  <c r="AE506" i="1"/>
  <c r="V506" i="1"/>
  <c r="O506" i="1"/>
  <c r="BE505" i="1"/>
  <c r="AZ505" i="1"/>
  <c r="AE505" i="1"/>
  <c r="V505" i="1"/>
  <c r="O505" i="1"/>
  <c r="BE504" i="1"/>
  <c r="AZ504" i="1"/>
  <c r="AE504" i="1"/>
  <c r="V504" i="1"/>
  <c r="O504" i="1" s="1"/>
  <c r="BE503" i="1"/>
  <c r="AZ503" i="1"/>
  <c r="AE503" i="1"/>
  <c r="V503" i="1"/>
  <c r="O503" i="1"/>
  <c r="BE502" i="1"/>
  <c r="AZ502" i="1"/>
  <c r="AE502" i="1"/>
  <c r="V502" i="1"/>
  <c r="O502" i="1" s="1"/>
  <c r="BE501" i="1"/>
  <c r="AZ501" i="1"/>
  <c r="AE501" i="1"/>
  <c r="V501" i="1"/>
  <c r="O501" i="1" s="1"/>
  <c r="BE500" i="1"/>
  <c r="AZ500" i="1"/>
  <c r="AE500" i="1"/>
  <c r="V500" i="1"/>
  <c r="O500" i="1" s="1"/>
  <c r="BE499" i="1"/>
  <c r="AZ499" i="1"/>
  <c r="O499" i="1" s="1"/>
  <c r="AE499" i="1"/>
  <c r="V499" i="1"/>
  <c r="BE498" i="1"/>
  <c r="AZ498" i="1"/>
  <c r="AE498" i="1"/>
  <c r="V498" i="1"/>
  <c r="O498" i="1" s="1"/>
  <c r="BE497" i="1"/>
  <c r="AZ497" i="1"/>
  <c r="AE497" i="1"/>
  <c r="V497" i="1"/>
  <c r="BE496" i="1"/>
  <c r="AZ496" i="1"/>
  <c r="AE496" i="1"/>
  <c r="V496" i="1"/>
  <c r="O496" i="1" s="1"/>
  <c r="BE495" i="1"/>
  <c r="AZ495" i="1"/>
  <c r="AE495" i="1"/>
  <c r="V495" i="1"/>
  <c r="O495" i="1"/>
  <c r="BE494" i="1"/>
  <c r="AZ494" i="1"/>
  <c r="AE494" i="1"/>
  <c r="V494" i="1"/>
  <c r="O494" i="1"/>
  <c r="BE493" i="1"/>
  <c r="AZ493" i="1"/>
  <c r="AE493" i="1"/>
  <c r="V493" i="1"/>
  <c r="O493" i="1"/>
  <c r="BE492" i="1"/>
  <c r="AZ492" i="1"/>
  <c r="AE492" i="1"/>
  <c r="V492" i="1"/>
  <c r="BE491" i="1"/>
  <c r="AZ491" i="1"/>
  <c r="AE491" i="1"/>
  <c r="V491" i="1"/>
  <c r="O491" i="1"/>
  <c r="BE490" i="1"/>
  <c r="AZ490" i="1"/>
  <c r="AE490" i="1"/>
  <c r="V490" i="1"/>
  <c r="O490" i="1" s="1"/>
  <c r="BE489" i="1"/>
  <c r="AZ489" i="1"/>
  <c r="AE489" i="1"/>
  <c r="V489" i="1"/>
  <c r="O489" i="1" s="1"/>
  <c r="BE488" i="1"/>
  <c r="AZ488" i="1"/>
  <c r="AE488" i="1"/>
  <c r="V488" i="1"/>
  <c r="O488" i="1" s="1"/>
  <c r="BE487" i="1"/>
  <c r="AZ487" i="1"/>
  <c r="O487" i="1" s="1"/>
  <c r="AE487" i="1"/>
  <c r="V487" i="1"/>
  <c r="BE486" i="1"/>
  <c r="AZ486" i="1"/>
  <c r="AE486" i="1"/>
  <c r="V486" i="1"/>
  <c r="O486" i="1" s="1"/>
  <c r="BE485" i="1"/>
  <c r="AZ485" i="1"/>
  <c r="AE485" i="1"/>
  <c r="V485" i="1"/>
  <c r="BE484" i="1"/>
  <c r="AZ484" i="1"/>
  <c r="AE484" i="1"/>
  <c r="V484" i="1"/>
  <c r="O484" i="1" s="1"/>
  <c r="BE483" i="1"/>
  <c r="AZ483" i="1"/>
  <c r="AE483" i="1"/>
  <c r="V483" i="1"/>
  <c r="O483" i="1"/>
  <c r="BE482" i="1"/>
  <c r="AZ482" i="1"/>
  <c r="AE482" i="1"/>
  <c r="V482" i="1"/>
  <c r="O482" i="1"/>
  <c r="BE481" i="1"/>
  <c r="AZ481" i="1"/>
  <c r="AE481" i="1"/>
  <c r="V481" i="1"/>
  <c r="O481" i="1"/>
  <c r="BE480" i="1"/>
  <c r="AZ480" i="1"/>
  <c r="AE480" i="1"/>
  <c r="V480" i="1"/>
  <c r="O480" i="1" s="1"/>
  <c r="BE479" i="1"/>
  <c r="AZ479" i="1"/>
  <c r="AE479" i="1"/>
  <c r="V479" i="1"/>
  <c r="O479" i="1"/>
  <c r="BE478" i="1"/>
  <c r="AZ478" i="1"/>
  <c r="AE478" i="1"/>
  <c r="V478" i="1"/>
  <c r="O478" i="1" s="1"/>
  <c r="BE477" i="1"/>
  <c r="AZ477" i="1"/>
  <c r="AE477" i="1"/>
  <c r="V477" i="1"/>
  <c r="O477" i="1" s="1"/>
  <c r="BE476" i="1"/>
  <c r="AZ476" i="1"/>
  <c r="AE476" i="1"/>
  <c r="V476" i="1"/>
  <c r="O476" i="1" s="1"/>
  <c r="BE475" i="1"/>
  <c r="AZ475" i="1"/>
  <c r="O475" i="1" s="1"/>
  <c r="AE475" i="1"/>
  <c r="V475" i="1"/>
  <c r="BE474" i="1"/>
  <c r="AZ474" i="1"/>
  <c r="AE474" i="1"/>
  <c r="V474" i="1"/>
  <c r="O474" i="1" s="1"/>
  <c r="BE473" i="1"/>
  <c r="AZ473" i="1"/>
  <c r="AE473" i="1"/>
  <c r="V473" i="1"/>
  <c r="BE472" i="1"/>
  <c r="AZ472" i="1"/>
  <c r="AE472" i="1"/>
  <c r="V472" i="1"/>
  <c r="O472" i="1" s="1"/>
  <c r="BE471" i="1"/>
  <c r="AZ471" i="1"/>
  <c r="AE471" i="1"/>
  <c r="V471" i="1"/>
  <c r="O471" i="1"/>
  <c r="BE470" i="1"/>
  <c r="AZ470" i="1"/>
  <c r="AE470" i="1"/>
  <c r="V470" i="1"/>
  <c r="O470" i="1"/>
  <c r="BE469" i="1"/>
  <c r="AZ469" i="1"/>
  <c r="AE469" i="1"/>
  <c r="V469" i="1"/>
  <c r="O469" i="1"/>
  <c r="BE468" i="1"/>
  <c r="AZ468" i="1"/>
  <c r="AE468" i="1"/>
  <c r="V468" i="1"/>
  <c r="O468" i="1" s="1"/>
  <c r="BE467" i="1"/>
  <c r="AZ467" i="1"/>
  <c r="AE467" i="1"/>
  <c r="V467" i="1"/>
  <c r="O467" i="1"/>
  <c r="BE466" i="1"/>
  <c r="AZ466" i="1"/>
  <c r="AE466" i="1"/>
  <c r="V466" i="1"/>
  <c r="O466" i="1" s="1"/>
  <c r="BE465" i="1"/>
  <c r="AZ465" i="1"/>
  <c r="AE465" i="1"/>
  <c r="V465" i="1"/>
  <c r="O465" i="1" s="1"/>
  <c r="BE464" i="1"/>
  <c r="AZ464" i="1"/>
  <c r="AE464" i="1"/>
  <c r="V464" i="1"/>
  <c r="O464" i="1" s="1"/>
  <c r="BE463" i="1"/>
  <c r="AZ463" i="1"/>
  <c r="O463" i="1" s="1"/>
  <c r="AE463" i="1"/>
  <c r="V463" i="1"/>
  <c r="BE462" i="1"/>
  <c r="AZ462" i="1"/>
  <c r="AE462" i="1"/>
  <c r="V462" i="1"/>
  <c r="O462" i="1" s="1"/>
  <c r="BE461" i="1"/>
  <c r="AZ461" i="1"/>
  <c r="AE461" i="1"/>
  <c r="V461" i="1"/>
  <c r="BE460" i="1"/>
  <c r="AZ460" i="1"/>
  <c r="AE460" i="1"/>
  <c r="V460" i="1"/>
  <c r="O460" i="1" s="1"/>
  <c r="BE459" i="1"/>
  <c r="AZ459" i="1"/>
  <c r="AE459" i="1"/>
  <c r="V459" i="1"/>
  <c r="O459" i="1"/>
  <c r="BE458" i="1"/>
  <c r="AZ458" i="1"/>
  <c r="AE458" i="1"/>
  <c r="V458" i="1"/>
  <c r="O458" i="1"/>
  <c r="BE457" i="1"/>
  <c r="AZ457" i="1"/>
  <c r="AE457" i="1"/>
  <c r="V457" i="1"/>
  <c r="O457" i="1"/>
  <c r="BE456" i="1"/>
  <c r="AZ456" i="1"/>
  <c r="AE456" i="1"/>
  <c r="V456" i="1"/>
  <c r="BE455" i="1"/>
  <c r="AZ455" i="1"/>
  <c r="AE455" i="1"/>
  <c r="V455" i="1"/>
  <c r="O455" i="1"/>
  <c r="BE454" i="1"/>
  <c r="AZ454" i="1"/>
  <c r="AE454" i="1"/>
  <c r="V454" i="1"/>
  <c r="O454" i="1" s="1"/>
  <c r="BE453" i="1"/>
  <c r="AZ453" i="1"/>
  <c r="AE453" i="1"/>
  <c r="V453" i="1"/>
  <c r="O453" i="1" s="1"/>
  <c r="BE452" i="1"/>
  <c r="AZ452" i="1"/>
  <c r="AE452" i="1"/>
  <c r="V452" i="1"/>
  <c r="O452" i="1" s="1"/>
  <c r="BE451" i="1"/>
  <c r="AZ451" i="1"/>
  <c r="O451" i="1" s="1"/>
  <c r="AE451" i="1"/>
  <c r="V451" i="1"/>
  <c r="BE450" i="1"/>
  <c r="AZ450" i="1"/>
  <c r="AE450" i="1"/>
  <c r="V450" i="1"/>
  <c r="O450" i="1" s="1"/>
  <c r="BE449" i="1"/>
  <c r="AZ449" i="1"/>
  <c r="AE449" i="1"/>
  <c r="V449" i="1"/>
  <c r="BE448" i="1"/>
  <c r="AZ448" i="1"/>
  <c r="AE448" i="1"/>
  <c r="V448" i="1"/>
  <c r="O448" i="1" s="1"/>
  <c r="BE447" i="1"/>
  <c r="AZ447" i="1"/>
  <c r="AE447" i="1"/>
  <c r="V447" i="1"/>
  <c r="O447" i="1"/>
  <c r="BE446" i="1"/>
  <c r="AZ446" i="1"/>
  <c r="AE446" i="1"/>
  <c r="V446" i="1"/>
  <c r="O446" i="1"/>
  <c r="BE445" i="1"/>
  <c r="AZ445" i="1"/>
  <c r="AE445" i="1"/>
  <c r="V445" i="1"/>
  <c r="O445" i="1"/>
  <c r="BE444" i="1"/>
  <c r="AZ444" i="1"/>
  <c r="AE444" i="1"/>
  <c r="V444" i="1"/>
  <c r="O444" i="1" s="1"/>
  <c r="BE443" i="1"/>
  <c r="AZ443" i="1"/>
  <c r="AE443" i="1"/>
  <c r="V443" i="1"/>
  <c r="O443" i="1"/>
  <c r="BE442" i="1"/>
  <c r="AZ442" i="1"/>
  <c r="AE442" i="1"/>
  <c r="V442" i="1"/>
  <c r="O442" i="1" s="1"/>
  <c r="BE441" i="1"/>
  <c r="AZ441" i="1"/>
  <c r="AE441" i="1"/>
  <c r="V441" i="1"/>
  <c r="O441" i="1" s="1"/>
  <c r="BE440" i="1"/>
  <c r="AZ440" i="1"/>
  <c r="AE440" i="1"/>
  <c r="V440" i="1"/>
  <c r="O440" i="1" s="1"/>
  <c r="BE439" i="1"/>
  <c r="AZ439" i="1"/>
  <c r="O439" i="1" s="1"/>
  <c r="AE439" i="1"/>
  <c r="V439" i="1"/>
  <c r="BE438" i="1"/>
  <c r="AZ438" i="1"/>
  <c r="AE438" i="1"/>
  <c r="V438" i="1"/>
  <c r="O438" i="1" s="1"/>
  <c r="BE437" i="1"/>
  <c r="AZ437" i="1"/>
  <c r="AE437" i="1"/>
  <c r="V437" i="1"/>
  <c r="BE436" i="1"/>
  <c r="AZ436" i="1"/>
  <c r="AE436" i="1"/>
  <c r="V436" i="1"/>
  <c r="O436" i="1" s="1"/>
  <c r="BE435" i="1"/>
  <c r="AZ435" i="1"/>
  <c r="AE435" i="1"/>
  <c r="V435" i="1"/>
  <c r="O435" i="1"/>
  <c r="BE434" i="1"/>
  <c r="AZ434" i="1"/>
  <c r="AE434" i="1"/>
  <c r="V434" i="1"/>
  <c r="O434" i="1"/>
  <c r="BE433" i="1"/>
  <c r="AZ433" i="1"/>
  <c r="AE433" i="1"/>
  <c r="V433" i="1"/>
  <c r="O433" i="1"/>
  <c r="BE432" i="1"/>
  <c r="AZ432" i="1"/>
  <c r="AE432" i="1"/>
  <c r="V432" i="1"/>
  <c r="O432" i="1" s="1"/>
  <c r="BE431" i="1"/>
  <c r="AZ431" i="1"/>
  <c r="AE431" i="1"/>
  <c r="V431" i="1"/>
  <c r="O431" i="1"/>
  <c r="BE430" i="1"/>
  <c r="AZ430" i="1"/>
  <c r="AE430" i="1"/>
  <c r="V430" i="1"/>
  <c r="O430" i="1" s="1"/>
  <c r="BE429" i="1"/>
  <c r="AZ429" i="1"/>
  <c r="AE429" i="1"/>
  <c r="V429" i="1"/>
  <c r="O429" i="1" s="1"/>
  <c r="BE428" i="1"/>
  <c r="AZ428" i="1"/>
  <c r="AE428" i="1"/>
  <c r="V428" i="1"/>
  <c r="O428" i="1" s="1"/>
  <c r="BE427" i="1"/>
  <c r="AZ427" i="1"/>
  <c r="O427" i="1" s="1"/>
  <c r="AE427" i="1"/>
  <c r="V427" i="1"/>
  <c r="BE426" i="1"/>
  <c r="AZ426" i="1"/>
  <c r="AE426" i="1"/>
  <c r="V426" i="1"/>
  <c r="O426" i="1" s="1"/>
  <c r="BE425" i="1"/>
  <c r="AZ425" i="1"/>
  <c r="AE425" i="1"/>
  <c r="V425" i="1"/>
  <c r="BE424" i="1"/>
  <c r="AZ424" i="1"/>
  <c r="AE424" i="1"/>
  <c r="V424" i="1"/>
  <c r="O424" i="1" s="1"/>
  <c r="BE423" i="1"/>
  <c r="AZ423" i="1"/>
  <c r="AE423" i="1"/>
  <c r="V423" i="1"/>
  <c r="O423" i="1"/>
  <c r="BE422" i="1"/>
  <c r="AZ422" i="1"/>
  <c r="AE422" i="1"/>
  <c r="V422" i="1"/>
  <c r="O422" i="1"/>
  <c r="BE421" i="1"/>
  <c r="AZ421" i="1"/>
  <c r="AE421" i="1"/>
  <c r="V421" i="1"/>
  <c r="O421" i="1"/>
  <c r="BE420" i="1"/>
  <c r="AZ420" i="1"/>
  <c r="AE420" i="1"/>
  <c r="V420" i="1"/>
  <c r="BE419" i="1"/>
  <c r="AZ419" i="1"/>
  <c r="AE419" i="1"/>
  <c r="V419" i="1"/>
  <c r="O419" i="1"/>
  <c r="BE418" i="1"/>
  <c r="AZ418" i="1"/>
  <c r="AE418" i="1"/>
  <c r="V418" i="1"/>
  <c r="O418" i="1" s="1"/>
  <c r="BE417" i="1"/>
  <c r="AZ417" i="1"/>
  <c r="AE417" i="1"/>
  <c r="V417" i="1"/>
  <c r="O417" i="1" s="1"/>
  <c r="BE416" i="1"/>
  <c r="AZ416" i="1"/>
  <c r="AE416" i="1"/>
  <c r="V416" i="1"/>
  <c r="O416" i="1" s="1"/>
  <c r="BE415" i="1"/>
  <c r="AZ415" i="1"/>
  <c r="O415" i="1" s="1"/>
  <c r="AE415" i="1"/>
  <c r="V415" i="1"/>
  <c r="BE414" i="1"/>
  <c r="AZ414" i="1"/>
  <c r="AE414" i="1"/>
  <c r="V414" i="1"/>
  <c r="O414" i="1" s="1"/>
  <c r="BE413" i="1"/>
  <c r="AZ413" i="1"/>
  <c r="AE413" i="1"/>
  <c r="V413" i="1"/>
  <c r="BE412" i="1"/>
  <c r="AZ412" i="1"/>
  <c r="AE412" i="1"/>
  <c r="V412" i="1"/>
  <c r="O412" i="1" s="1"/>
  <c r="BE411" i="1"/>
  <c r="AZ411" i="1"/>
  <c r="AE411" i="1"/>
  <c r="V411" i="1"/>
  <c r="O411" i="1"/>
  <c r="BE410" i="1"/>
  <c r="AZ410" i="1"/>
  <c r="AE410" i="1"/>
  <c r="V410" i="1"/>
  <c r="O410" i="1"/>
  <c r="BE409" i="1"/>
  <c r="AZ409" i="1"/>
  <c r="AE409" i="1"/>
  <c r="V409" i="1"/>
  <c r="O409" i="1"/>
  <c r="BE408" i="1"/>
  <c r="AZ408" i="1"/>
  <c r="AE408" i="1"/>
  <c r="V408" i="1"/>
  <c r="O408" i="1" s="1"/>
  <c r="BE407" i="1"/>
  <c r="AZ407" i="1"/>
  <c r="AE407" i="1"/>
  <c r="V407" i="1"/>
  <c r="O407" i="1"/>
  <c r="BE406" i="1"/>
  <c r="AZ406" i="1"/>
  <c r="AE406" i="1"/>
  <c r="V406" i="1"/>
  <c r="O406" i="1" s="1"/>
  <c r="BE405" i="1"/>
  <c r="AZ405" i="1"/>
  <c r="AE405" i="1"/>
  <c r="V405" i="1"/>
  <c r="O405" i="1" s="1"/>
  <c r="BE404" i="1"/>
  <c r="AZ404" i="1"/>
  <c r="AE404" i="1"/>
  <c r="V404" i="1"/>
  <c r="O404" i="1" s="1"/>
  <c r="BE403" i="1"/>
  <c r="AZ403" i="1"/>
  <c r="O403" i="1" s="1"/>
  <c r="AE403" i="1"/>
  <c r="V403" i="1"/>
  <c r="BE402" i="1"/>
  <c r="AZ402" i="1"/>
  <c r="AE402" i="1"/>
  <c r="V402" i="1"/>
  <c r="O402" i="1" s="1"/>
  <c r="BE401" i="1"/>
  <c r="AZ401" i="1"/>
  <c r="AE401" i="1"/>
  <c r="V401" i="1"/>
  <c r="O401" i="1" s="1"/>
  <c r="BE400" i="1"/>
  <c r="AZ400" i="1"/>
  <c r="AE400" i="1"/>
  <c r="V400" i="1"/>
  <c r="O400" i="1" s="1"/>
  <c r="BE399" i="1"/>
  <c r="AZ399" i="1"/>
  <c r="AE399" i="1"/>
  <c r="V399" i="1"/>
  <c r="O399" i="1"/>
  <c r="BE398" i="1"/>
  <c r="AZ398" i="1"/>
  <c r="AE398" i="1"/>
  <c r="V398" i="1"/>
  <c r="O398" i="1"/>
  <c r="BE397" i="1"/>
  <c r="AZ397" i="1"/>
  <c r="AE397" i="1"/>
  <c r="V397" i="1"/>
  <c r="O397" i="1"/>
  <c r="BE396" i="1"/>
  <c r="AZ396" i="1"/>
  <c r="AE396" i="1"/>
  <c r="V396" i="1"/>
  <c r="O396" i="1" s="1"/>
  <c r="BE395" i="1"/>
  <c r="AZ395" i="1"/>
  <c r="AE395" i="1"/>
  <c r="V395" i="1"/>
  <c r="O395" i="1"/>
  <c r="BE394" i="1"/>
  <c r="AZ394" i="1"/>
  <c r="AE394" i="1"/>
  <c r="V394" i="1"/>
  <c r="O394" i="1" s="1"/>
  <c r="BE393" i="1"/>
  <c r="AZ393" i="1"/>
  <c r="AE393" i="1"/>
  <c r="V393" i="1"/>
  <c r="O393" i="1" s="1"/>
  <c r="BE392" i="1"/>
  <c r="AZ392" i="1"/>
  <c r="AE392" i="1"/>
  <c r="V392" i="1"/>
  <c r="O392" i="1" s="1"/>
  <c r="BE391" i="1"/>
  <c r="AZ391" i="1"/>
  <c r="O391" i="1" s="1"/>
  <c r="AE391" i="1"/>
  <c r="V391" i="1"/>
  <c r="BE390" i="1"/>
  <c r="AZ390" i="1"/>
  <c r="AE390" i="1"/>
  <c r="V390" i="1"/>
  <c r="O390" i="1" s="1"/>
  <c r="BE389" i="1"/>
  <c r="AZ389" i="1"/>
  <c r="AE389" i="1"/>
  <c r="V389" i="1"/>
  <c r="BE388" i="1"/>
  <c r="AZ388" i="1"/>
  <c r="AE388" i="1"/>
  <c r="V388" i="1"/>
  <c r="O388" i="1" s="1"/>
  <c r="BE387" i="1"/>
  <c r="AZ387" i="1"/>
  <c r="AE387" i="1"/>
  <c r="V387" i="1"/>
  <c r="O387" i="1"/>
  <c r="BE386" i="1"/>
  <c r="AZ386" i="1"/>
  <c r="AE386" i="1"/>
  <c r="V386" i="1"/>
  <c r="O386" i="1"/>
  <c r="BE385" i="1"/>
  <c r="AZ385" i="1"/>
  <c r="AE385" i="1"/>
  <c r="V385" i="1"/>
  <c r="O385" i="1"/>
  <c r="BE384" i="1"/>
  <c r="AZ384" i="1"/>
  <c r="AE384" i="1"/>
  <c r="V384" i="1"/>
  <c r="BE383" i="1"/>
  <c r="AZ383" i="1"/>
  <c r="AE383" i="1"/>
  <c r="V383" i="1"/>
  <c r="O383" i="1"/>
  <c r="BE382" i="1"/>
  <c r="AZ382" i="1"/>
  <c r="AE382" i="1"/>
  <c r="V382" i="1"/>
  <c r="O382" i="1" s="1"/>
  <c r="BE381" i="1"/>
  <c r="AZ381" i="1"/>
  <c r="AE381" i="1"/>
  <c r="V381" i="1"/>
  <c r="O381" i="1" s="1"/>
  <c r="BE380" i="1"/>
  <c r="AZ380" i="1"/>
  <c r="AE380" i="1"/>
  <c r="V380" i="1"/>
  <c r="O380" i="1" s="1"/>
  <c r="BE379" i="1"/>
  <c r="AZ379" i="1"/>
  <c r="O379" i="1" s="1"/>
  <c r="AE379" i="1"/>
  <c r="V379" i="1"/>
  <c r="BE378" i="1"/>
  <c r="AZ378" i="1"/>
  <c r="AE378" i="1"/>
  <c r="V378" i="1"/>
  <c r="O378" i="1" s="1"/>
  <c r="BE377" i="1"/>
  <c r="AZ377" i="1"/>
  <c r="AE377" i="1"/>
  <c r="V377" i="1"/>
  <c r="O377" i="1" s="1"/>
  <c r="BE376" i="1"/>
  <c r="AZ376" i="1"/>
  <c r="AE376" i="1"/>
  <c r="V376" i="1"/>
  <c r="O376" i="1" s="1"/>
  <c r="BE375" i="1"/>
  <c r="AZ375" i="1"/>
  <c r="AE375" i="1"/>
  <c r="V375" i="1"/>
  <c r="O375" i="1"/>
  <c r="BE374" i="1"/>
  <c r="AZ374" i="1"/>
  <c r="AE374" i="1"/>
  <c r="V374" i="1"/>
  <c r="O374" i="1"/>
  <c r="BE373" i="1"/>
  <c r="AZ373" i="1"/>
  <c r="AE373" i="1"/>
  <c r="V373" i="1"/>
  <c r="O373" i="1"/>
  <c r="BE372" i="1"/>
  <c r="AZ372" i="1"/>
  <c r="AE372" i="1"/>
  <c r="V372" i="1"/>
  <c r="O372" i="1" s="1"/>
  <c r="BE371" i="1"/>
  <c r="AZ371" i="1"/>
  <c r="AE371" i="1"/>
  <c r="V371" i="1"/>
  <c r="O371" i="1"/>
  <c r="BE370" i="1"/>
  <c r="AZ370" i="1"/>
  <c r="AE370" i="1"/>
  <c r="V370" i="1"/>
  <c r="O370" i="1" s="1"/>
  <c r="BE369" i="1"/>
  <c r="AZ369" i="1"/>
  <c r="AE369" i="1"/>
  <c r="V369" i="1"/>
  <c r="O369" i="1" s="1"/>
  <c r="BE368" i="1"/>
  <c r="AZ368" i="1"/>
  <c r="AE368" i="1"/>
  <c r="V368" i="1"/>
  <c r="O368" i="1" s="1"/>
  <c r="BE367" i="1"/>
  <c r="AZ367" i="1"/>
  <c r="O367" i="1" s="1"/>
  <c r="AE367" i="1"/>
  <c r="V367" i="1"/>
  <c r="BE366" i="1"/>
  <c r="AZ366" i="1"/>
  <c r="AE366" i="1"/>
  <c r="V366" i="1"/>
  <c r="O366" i="1" s="1"/>
  <c r="BE365" i="1"/>
  <c r="AZ365" i="1"/>
  <c r="AE365" i="1"/>
  <c r="V365" i="1"/>
  <c r="O365" i="1" s="1"/>
  <c r="BE364" i="1"/>
  <c r="AZ364" i="1"/>
  <c r="AE364" i="1"/>
  <c r="V364" i="1"/>
  <c r="O364" i="1" s="1"/>
  <c r="BE363" i="1"/>
  <c r="AZ363" i="1"/>
  <c r="AE363" i="1"/>
  <c r="V363" i="1"/>
  <c r="O363" i="1"/>
  <c r="BE362" i="1"/>
  <c r="AZ362" i="1"/>
  <c r="AE362" i="1"/>
  <c r="V362" i="1"/>
  <c r="O362" i="1"/>
  <c r="BE361" i="1"/>
  <c r="AZ361" i="1"/>
  <c r="AE361" i="1"/>
  <c r="V361" i="1"/>
  <c r="O361" i="1"/>
  <c r="BE360" i="1"/>
  <c r="AZ360" i="1"/>
  <c r="AE360" i="1"/>
  <c r="V360" i="1"/>
  <c r="O360" i="1" s="1"/>
  <c r="BE359" i="1"/>
  <c r="AZ359" i="1"/>
  <c r="AE359" i="1"/>
  <c r="V359" i="1"/>
  <c r="O359" i="1"/>
  <c r="BE358" i="1"/>
  <c r="AZ358" i="1"/>
  <c r="AE358" i="1"/>
  <c r="V358" i="1"/>
  <c r="O358" i="1" s="1"/>
  <c r="BE357" i="1"/>
  <c r="AZ357" i="1"/>
  <c r="AE357" i="1"/>
  <c r="V357" i="1"/>
  <c r="O357" i="1" s="1"/>
  <c r="BE356" i="1"/>
  <c r="AZ356" i="1"/>
  <c r="AE356" i="1"/>
  <c r="V356" i="1"/>
  <c r="O356" i="1" s="1"/>
  <c r="BE355" i="1"/>
  <c r="AZ355" i="1"/>
  <c r="O355" i="1" s="1"/>
  <c r="AE355" i="1"/>
  <c r="V355" i="1"/>
  <c r="BE354" i="1"/>
  <c r="AZ354" i="1"/>
  <c r="AE354" i="1"/>
  <c r="V354" i="1"/>
  <c r="O354" i="1" s="1"/>
  <c r="BE353" i="1"/>
  <c r="AZ353" i="1"/>
  <c r="AE353" i="1"/>
  <c r="V353" i="1"/>
  <c r="BE352" i="1"/>
  <c r="AZ352" i="1"/>
  <c r="AE352" i="1"/>
  <c r="O352" i="1" s="1"/>
  <c r="V352" i="1"/>
  <c r="BE351" i="1"/>
  <c r="AZ351" i="1"/>
  <c r="AE351" i="1"/>
  <c r="V351" i="1"/>
  <c r="O351" i="1"/>
  <c r="BE350" i="1"/>
  <c r="AZ350" i="1"/>
  <c r="AE350" i="1"/>
  <c r="V350" i="1"/>
  <c r="O350" i="1"/>
  <c r="BE349" i="1"/>
  <c r="AZ349" i="1"/>
  <c r="AE349" i="1"/>
  <c r="V349" i="1"/>
  <c r="O349" i="1"/>
  <c r="BE348" i="1"/>
  <c r="AZ348" i="1"/>
  <c r="AE348" i="1"/>
  <c r="O348" i="1" s="1"/>
  <c r="V348" i="1"/>
  <c r="BE347" i="1"/>
  <c r="AZ347" i="1"/>
  <c r="AE347" i="1"/>
  <c r="V347" i="1"/>
  <c r="O347" i="1"/>
  <c r="BE346" i="1"/>
  <c r="AZ346" i="1"/>
  <c r="AE346" i="1"/>
  <c r="V346" i="1"/>
  <c r="O346" i="1" s="1"/>
  <c r="BE345" i="1"/>
  <c r="AZ345" i="1"/>
  <c r="AE345" i="1"/>
  <c r="V345" i="1"/>
  <c r="O345" i="1" s="1"/>
  <c r="BE344" i="1"/>
  <c r="AZ344" i="1"/>
  <c r="AE344" i="1"/>
  <c r="V344" i="1"/>
  <c r="O344" i="1" s="1"/>
  <c r="BE343" i="1"/>
  <c r="AZ343" i="1"/>
  <c r="O343" i="1" s="1"/>
  <c r="AE343" i="1"/>
  <c r="V343" i="1"/>
  <c r="BE342" i="1"/>
  <c r="AZ342" i="1"/>
  <c r="AE342" i="1"/>
  <c r="V342" i="1"/>
  <c r="O342" i="1" s="1"/>
  <c r="BE341" i="1"/>
  <c r="AZ341" i="1"/>
  <c r="AE341" i="1"/>
  <c r="V341" i="1"/>
  <c r="O341" i="1" s="1"/>
  <c r="BE340" i="1"/>
  <c r="AZ340" i="1"/>
  <c r="AE340" i="1"/>
  <c r="O340" i="1" s="1"/>
  <c r="V340" i="1"/>
  <c r="BE339" i="1"/>
  <c r="AZ339" i="1"/>
  <c r="AE339" i="1"/>
  <c r="V339" i="1"/>
  <c r="O339" i="1"/>
  <c r="BE338" i="1"/>
  <c r="AZ338" i="1"/>
  <c r="AE338" i="1"/>
  <c r="V338" i="1"/>
  <c r="O338" i="1"/>
  <c r="BE337" i="1"/>
  <c r="AZ337" i="1"/>
  <c r="AE337" i="1"/>
  <c r="V337" i="1"/>
  <c r="O337" i="1"/>
  <c r="BE336" i="1"/>
  <c r="AZ336" i="1"/>
  <c r="AE336" i="1"/>
  <c r="V336" i="1"/>
  <c r="BE335" i="1"/>
  <c r="AZ335" i="1"/>
  <c r="AE335" i="1"/>
  <c r="V335" i="1"/>
  <c r="O335" i="1"/>
  <c r="BE334" i="1"/>
  <c r="AZ334" i="1"/>
  <c r="AE334" i="1"/>
  <c r="V334" i="1"/>
  <c r="O334" i="1" s="1"/>
  <c r="BE333" i="1"/>
  <c r="AZ333" i="1"/>
  <c r="AE333" i="1"/>
  <c r="V333" i="1"/>
  <c r="O333" i="1" s="1"/>
  <c r="BE332" i="1"/>
  <c r="AZ332" i="1"/>
  <c r="AE332" i="1"/>
  <c r="V332" i="1"/>
  <c r="O332" i="1" s="1"/>
  <c r="BE331" i="1"/>
  <c r="AZ331" i="1"/>
  <c r="O331" i="1" s="1"/>
  <c r="AE331" i="1"/>
  <c r="V331" i="1"/>
  <c r="BE330" i="1"/>
  <c r="AZ330" i="1"/>
  <c r="AE330" i="1"/>
  <c r="V330" i="1"/>
  <c r="O330" i="1" s="1"/>
  <c r="BE329" i="1"/>
  <c r="AZ329" i="1"/>
  <c r="AE329" i="1"/>
  <c r="V329" i="1"/>
  <c r="O329" i="1" s="1"/>
  <c r="BE328" i="1"/>
  <c r="AZ328" i="1"/>
  <c r="AE328" i="1"/>
  <c r="O328" i="1" s="1"/>
  <c r="V328" i="1"/>
  <c r="BE327" i="1"/>
  <c r="AZ327" i="1"/>
  <c r="AE327" i="1"/>
  <c r="V327" i="1"/>
  <c r="O327" i="1"/>
  <c r="BE326" i="1"/>
  <c r="AZ326" i="1"/>
  <c r="AE326" i="1"/>
  <c r="V326" i="1"/>
  <c r="O326" i="1"/>
  <c r="BE325" i="1"/>
  <c r="AZ325" i="1"/>
  <c r="AE325" i="1"/>
  <c r="V325" i="1"/>
  <c r="O325" i="1"/>
  <c r="BE324" i="1"/>
  <c r="AZ324" i="1"/>
  <c r="AE324" i="1"/>
  <c r="V324" i="1"/>
  <c r="BE323" i="1"/>
  <c r="AZ323" i="1"/>
  <c r="AE323" i="1"/>
  <c r="V323" i="1"/>
  <c r="O323" i="1"/>
  <c r="BE322" i="1"/>
  <c r="AZ322" i="1"/>
  <c r="AE322" i="1"/>
  <c r="V322" i="1"/>
  <c r="O322" i="1" s="1"/>
  <c r="BE321" i="1"/>
  <c r="AZ321" i="1"/>
  <c r="AE321" i="1"/>
  <c r="V321" i="1"/>
  <c r="O321" i="1" s="1"/>
  <c r="BE320" i="1"/>
  <c r="AZ320" i="1"/>
  <c r="AE320" i="1"/>
  <c r="V320" i="1"/>
  <c r="O320" i="1" s="1"/>
  <c r="BE319" i="1"/>
  <c r="AZ319" i="1"/>
  <c r="O319" i="1" s="1"/>
  <c r="AE319" i="1"/>
  <c r="V319" i="1"/>
  <c r="BE318" i="1"/>
  <c r="AZ318" i="1"/>
  <c r="AE318" i="1"/>
  <c r="V318" i="1"/>
  <c r="O318" i="1" s="1"/>
  <c r="BE317" i="1"/>
  <c r="AZ317" i="1"/>
  <c r="AE317" i="1"/>
  <c r="V317" i="1"/>
  <c r="BE316" i="1"/>
  <c r="AZ316" i="1"/>
  <c r="AE316" i="1"/>
  <c r="O316" i="1" s="1"/>
  <c r="V316" i="1"/>
  <c r="BE315" i="1"/>
  <c r="AZ315" i="1"/>
  <c r="AE315" i="1"/>
  <c r="V315" i="1"/>
  <c r="O315" i="1"/>
  <c r="BE314" i="1"/>
  <c r="AZ314" i="1"/>
  <c r="AE314" i="1"/>
  <c r="V314" i="1"/>
  <c r="O314" i="1"/>
  <c r="BE313" i="1"/>
  <c r="AZ313" i="1"/>
  <c r="AE313" i="1"/>
  <c r="V313" i="1"/>
  <c r="O313" i="1"/>
  <c r="BE312" i="1"/>
  <c r="AZ312" i="1"/>
  <c r="AE312" i="1"/>
  <c r="O312" i="1" s="1"/>
  <c r="V312" i="1"/>
  <c r="BE311" i="1"/>
  <c r="AZ311" i="1"/>
  <c r="AE311" i="1"/>
  <c r="V311" i="1"/>
  <c r="O311" i="1"/>
  <c r="BE310" i="1"/>
  <c r="AZ310" i="1"/>
  <c r="AE310" i="1"/>
  <c r="V310" i="1"/>
  <c r="O310" i="1" s="1"/>
  <c r="BE309" i="1"/>
  <c r="AZ309" i="1"/>
  <c r="AE309" i="1"/>
  <c r="V309" i="1"/>
  <c r="O309" i="1" s="1"/>
  <c r="BE308" i="1"/>
  <c r="AZ308" i="1"/>
  <c r="AE308" i="1"/>
  <c r="V308" i="1"/>
  <c r="O308" i="1" s="1"/>
  <c r="BE307" i="1"/>
  <c r="AZ307" i="1"/>
  <c r="O307" i="1" s="1"/>
  <c r="AE307" i="1"/>
  <c r="V307" i="1"/>
  <c r="BE306" i="1"/>
  <c r="AZ306" i="1"/>
  <c r="AE306" i="1"/>
  <c r="V306" i="1"/>
  <c r="O306" i="1" s="1"/>
  <c r="BE305" i="1"/>
  <c r="AZ305" i="1"/>
  <c r="AE305" i="1"/>
  <c r="V305" i="1"/>
  <c r="O305" i="1" s="1"/>
  <c r="BE304" i="1"/>
  <c r="AZ304" i="1"/>
  <c r="AE304" i="1"/>
  <c r="O304" i="1" s="1"/>
  <c r="V304" i="1"/>
  <c r="BE303" i="1"/>
  <c r="AZ303" i="1"/>
  <c r="AE303" i="1"/>
  <c r="V303" i="1"/>
  <c r="O303" i="1"/>
  <c r="BE302" i="1"/>
  <c r="AZ302" i="1"/>
  <c r="AE302" i="1"/>
  <c r="V302" i="1"/>
  <c r="O302" i="1"/>
  <c r="BE301" i="1"/>
  <c r="AZ301" i="1"/>
  <c r="AE301" i="1"/>
  <c r="V301" i="1"/>
  <c r="O301" i="1"/>
  <c r="BE300" i="1"/>
  <c r="AZ300" i="1"/>
  <c r="AE300" i="1"/>
  <c r="V300" i="1"/>
  <c r="BE299" i="1"/>
  <c r="AZ299" i="1"/>
  <c r="AE299" i="1"/>
  <c r="V299" i="1"/>
  <c r="O299" i="1"/>
  <c r="BE298" i="1"/>
  <c r="AZ298" i="1"/>
  <c r="AE298" i="1"/>
  <c r="V298" i="1"/>
  <c r="O298" i="1" s="1"/>
  <c r="BE297" i="1"/>
  <c r="AZ297" i="1"/>
  <c r="AE297" i="1"/>
  <c r="V297" i="1"/>
  <c r="O297" i="1" s="1"/>
  <c r="BE296" i="1"/>
  <c r="AZ296" i="1"/>
  <c r="AE296" i="1"/>
  <c r="V296" i="1"/>
  <c r="O296" i="1" s="1"/>
  <c r="BE295" i="1"/>
  <c r="AZ295" i="1"/>
  <c r="O295" i="1" s="1"/>
  <c r="AE295" i="1"/>
  <c r="V295" i="1"/>
  <c r="BE294" i="1"/>
  <c r="AZ294" i="1"/>
  <c r="AE294" i="1"/>
  <c r="V294" i="1"/>
  <c r="O294" i="1" s="1"/>
  <c r="BE293" i="1"/>
  <c r="AZ293" i="1"/>
  <c r="AE293" i="1"/>
  <c r="V293" i="1"/>
  <c r="O293" i="1" s="1"/>
  <c r="BE292" i="1"/>
  <c r="AZ292" i="1"/>
  <c r="AE292" i="1"/>
  <c r="O292" i="1" s="1"/>
  <c r="V292" i="1"/>
  <c r="BE291" i="1"/>
  <c r="AZ291" i="1"/>
  <c r="AE291" i="1"/>
  <c r="V291" i="1"/>
  <c r="O291" i="1"/>
  <c r="BE290" i="1"/>
  <c r="AZ290" i="1"/>
  <c r="AE290" i="1"/>
  <c r="V290" i="1"/>
  <c r="O290" i="1"/>
  <c r="BE289" i="1"/>
  <c r="AZ289" i="1"/>
  <c r="AE289" i="1"/>
  <c r="V289" i="1"/>
  <c r="O289" i="1"/>
  <c r="BE288" i="1"/>
  <c r="AZ288" i="1"/>
  <c r="AE288" i="1"/>
  <c r="V288" i="1"/>
  <c r="BE287" i="1"/>
  <c r="AZ287" i="1"/>
  <c r="AE287" i="1"/>
  <c r="V287" i="1"/>
  <c r="O287" i="1"/>
  <c r="BE286" i="1"/>
  <c r="AZ286" i="1"/>
  <c r="AE286" i="1"/>
  <c r="V286" i="1"/>
  <c r="O286" i="1" s="1"/>
  <c r="BE285" i="1"/>
  <c r="AZ285" i="1"/>
  <c r="AE285" i="1"/>
  <c r="V285" i="1"/>
  <c r="O285" i="1" s="1"/>
  <c r="BE284" i="1"/>
  <c r="AZ284" i="1"/>
  <c r="AE284" i="1"/>
  <c r="V284" i="1"/>
  <c r="O284" i="1" s="1"/>
  <c r="BE283" i="1"/>
  <c r="AZ283" i="1"/>
  <c r="O283" i="1" s="1"/>
  <c r="AE283" i="1"/>
  <c r="V283" i="1"/>
  <c r="BE282" i="1"/>
  <c r="AZ282" i="1"/>
  <c r="AE282" i="1"/>
  <c r="V282" i="1"/>
  <c r="O282" i="1" s="1"/>
  <c r="BE281" i="1"/>
  <c r="AZ281" i="1"/>
  <c r="AE281" i="1"/>
  <c r="V281" i="1"/>
  <c r="BE280" i="1"/>
  <c r="AZ280" i="1"/>
  <c r="AE280" i="1"/>
  <c r="O280" i="1" s="1"/>
  <c r="V280" i="1"/>
  <c r="BE279" i="1"/>
  <c r="AZ279" i="1"/>
  <c r="AE279" i="1"/>
  <c r="V279" i="1"/>
  <c r="O279" i="1"/>
  <c r="BE278" i="1"/>
  <c r="AZ278" i="1"/>
  <c r="AE278" i="1"/>
  <c r="V278" i="1"/>
  <c r="O278" i="1"/>
  <c r="BE277" i="1"/>
  <c r="AZ277" i="1"/>
  <c r="AE277" i="1"/>
  <c r="V277" i="1"/>
  <c r="O277" i="1"/>
  <c r="BE276" i="1"/>
  <c r="AZ276" i="1"/>
  <c r="AE276" i="1"/>
  <c r="O276" i="1" s="1"/>
  <c r="V276" i="1"/>
  <c r="BE275" i="1"/>
  <c r="AZ275" i="1"/>
  <c r="AE275" i="1"/>
  <c r="V275" i="1"/>
  <c r="O275" i="1"/>
  <c r="BE274" i="1"/>
  <c r="AZ274" i="1"/>
  <c r="AE274" i="1"/>
  <c r="V274" i="1"/>
  <c r="O274" i="1" s="1"/>
  <c r="BE273" i="1"/>
  <c r="AZ273" i="1"/>
  <c r="AE273" i="1"/>
  <c r="V273" i="1"/>
  <c r="O273" i="1" s="1"/>
  <c r="BE272" i="1"/>
  <c r="AZ272" i="1"/>
  <c r="AE272" i="1"/>
  <c r="V272" i="1"/>
  <c r="O272" i="1" s="1"/>
  <c r="BE271" i="1"/>
  <c r="AZ271" i="1"/>
  <c r="O271" i="1" s="1"/>
  <c r="AE271" i="1"/>
  <c r="V271" i="1"/>
  <c r="BE270" i="1"/>
  <c r="AZ270" i="1"/>
  <c r="AE270" i="1"/>
  <c r="V270" i="1"/>
  <c r="O270" i="1" s="1"/>
  <c r="BE269" i="1"/>
  <c r="AZ269" i="1"/>
  <c r="AE269" i="1"/>
  <c r="V269" i="1"/>
  <c r="O269" i="1" s="1"/>
  <c r="BE268" i="1"/>
  <c r="AZ268" i="1"/>
  <c r="AE268" i="1"/>
  <c r="O268" i="1" s="1"/>
  <c r="V268" i="1"/>
  <c r="BE267" i="1"/>
  <c r="AZ267" i="1"/>
  <c r="AE267" i="1"/>
  <c r="V267" i="1"/>
  <c r="O267" i="1"/>
  <c r="BE266" i="1"/>
  <c r="AZ266" i="1"/>
  <c r="AE266" i="1"/>
  <c r="V266" i="1"/>
  <c r="O266" i="1"/>
  <c r="BE265" i="1"/>
  <c r="AZ265" i="1"/>
  <c r="AE265" i="1"/>
  <c r="V265" i="1"/>
  <c r="O265" i="1"/>
  <c r="BE264" i="1"/>
  <c r="AZ264" i="1"/>
  <c r="AE264" i="1"/>
  <c r="V264" i="1"/>
  <c r="BE263" i="1"/>
  <c r="AZ263" i="1"/>
  <c r="AE263" i="1"/>
  <c r="V263" i="1"/>
  <c r="O263" i="1"/>
  <c r="BE262" i="1"/>
  <c r="AZ262" i="1"/>
  <c r="AE262" i="1"/>
  <c r="V262" i="1"/>
  <c r="O262" i="1" s="1"/>
  <c r="BE261" i="1"/>
  <c r="AZ261" i="1"/>
  <c r="AE261" i="1"/>
  <c r="V261" i="1"/>
  <c r="O261" i="1" s="1"/>
  <c r="BE260" i="1"/>
  <c r="AZ260" i="1"/>
  <c r="AE260" i="1"/>
  <c r="V260" i="1"/>
  <c r="O260" i="1" s="1"/>
  <c r="BE259" i="1"/>
  <c r="AZ259" i="1"/>
  <c r="O259" i="1" s="1"/>
  <c r="AE259" i="1"/>
  <c r="V259" i="1"/>
  <c r="BE258" i="1"/>
  <c r="AZ258" i="1"/>
  <c r="AE258" i="1"/>
  <c r="V258" i="1"/>
  <c r="O258" i="1" s="1"/>
  <c r="BE257" i="1"/>
  <c r="AZ257" i="1"/>
  <c r="AE257" i="1"/>
  <c r="V257" i="1"/>
  <c r="O257" i="1" s="1"/>
  <c r="BE256" i="1"/>
  <c r="AZ256" i="1"/>
  <c r="AE256" i="1"/>
  <c r="O256" i="1" s="1"/>
  <c r="V256" i="1"/>
  <c r="BE255" i="1"/>
  <c r="AZ255" i="1"/>
  <c r="AE255" i="1"/>
  <c r="V255" i="1"/>
  <c r="O255" i="1"/>
  <c r="BE254" i="1"/>
  <c r="AZ254" i="1"/>
  <c r="AE254" i="1"/>
  <c r="V254" i="1"/>
  <c r="O254" i="1"/>
  <c r="BE253" i="1"/>
  <c r="AZ253" i="1"/>
  <c r="AE253" i="1"/>
  <c r="V253" i="1"/>
  <c r="O253" i="1"/>
  <c r="BE252" i="1"/>
  <c r="AZ252" i="1"/>
  <c r="AE252" i="1"/>
  <c r="V252" i="1"/>
  <c r="BE251" i="1"/>
  <c r="AZ251" i="1"/>
  <c r="AE251" i="1"/>
  <c r="V251" i="1"/>
  <c r="O251" i="1"/>
  <c r="BE250" i="1"/>
  <c r="AZ250" i="1"/>
  <c r="AE250" i="1"/>
  <c r="V250" i="1"/>
  <c r="O250" i="1" s="1"/>
  <c r="BE249" i="1"/>
  <c r="AZ249" i="1"/>
  <c r="AE249" i="1"/>
  <c r="V249" i="1"/>
  <c r="O249" i="1" s="1"/>
  <c r="BE248" i="1"/>
  <c r="AZ248" i="1"/>
  <c r="AE248" i="1"/>
  <c r="V248" i="1"/>
  <c r="O248" i="1" s="1"/>
  <c r="BE247" i="1"/>
  <c r="AZ247" i="1"/>
  <c r="O247" i="1" s="1"/>
  <c r="AE247" i="1"/>
  <c r="V247" i="1"/>
  <c r="BE246" i="1"/>
  <c r="AZ246" i="1"/>
  <c r="AE246" i="1"/>
  <c r="V246" i="1"/>
  <c r="O246" i="1" s="1"/>
  <c r="BE245" i="1"/>
  <c r="AZ245" i="1"/>
  <c r="AE245" i="1"/>
  <c r="V245" i="1"/>
  <c r="BE244" i="1"/>
  <c r="AZ244" i="1"/>
  <c r="AE244" i="1"/>
  <c r="O244" i="1" s="1"/>
  <c r="V244" i="1"/>
  <c r="BE243" i="1"/>
  <c r="AZ243" i="1"/>
  <c r="AE243" i="1"/>
  <c r="V243" i="1"/>
  <c r="O243" i="1"/>
  <c r="BE242" i="1"/>
  <c r="AZ242" i="1"/>
  <c r="AE242" i="1"/>
  <c r="V242" i="1"/>
  <c r="O242" i="1"/>
  <c r="BE241" i="1"/>
  <c r="AZ241" i="1"/>
  <c r="AE241" i="1"/>
  <c r="V241" i="1"/>
  <c r="O241" i="1"/>
  <c r="BE240" i="1"/>
  <c r="AZ240" i="1"/>
  <c r="AE240" i="1"/>
  <c r="O240" i="1" s="1"/>
  <c r="V240" i="1"/>
  <c r="BE239" i="1"/>
  <c r="AZ239" i="1"/>
  <c r="AE239" i="1"/>
  <c r="V239" i="1"/>
  <c r="O239" i="1"/>
  <c r="BE238" i="1"/>
  <c r="AZ238" i="1"/>
  <c r="AE238" i="1"/>
  <c r="V238" i="1"/>
  <c r="O238" i="1" s="1"/>
  <c r="BE237" i="1"/>
  <c r="AZ237" i="1"/>
  <c r="AE237" i="1"/>
  <c r="V237" i="1"/>
  <c r="O237" i="1" s="1"/>
  <c r="BE236" i="1"/>
  <c r="AZ236" i="1"/>
  <c r="AE236" i="1"/>
  <c r="V236" i="1"/>
  <c r="O236" i="1" s="1"/>
  <c r="BE235" i="1"/>
  <c r="AZ235" i="1"/>
  <c r="O235" i="1" s="1"/>
  <c r="AE235" i="1"/>
  <c r="V235" i="1"/>
  <c r="BE234" i="1"/>
  <c r="AZ234" i="1"/>
  <c r="AE234" i="1"/>
  <c r="V234" i="1"/>
  <c r="O234" i="1" s="1"/>
  <c r="BE233" i="1"/>
  <c r="AZ233" i="1"/>
  <c r="AE233" i="1"/>
  <c r="V233" i="1"/>
  <c r="O233" i="1" s="1"/>
  <c r="BE232" i="1"/>
  <c r="AZ232" i="1"/>
  <c r="AE232" i="1"/>
  <c r="O232" i="1" s="1"/>
  <c r="V232" i="1"/>
  <c r="BE231" i="1"/>
  <c r="AZ231" i="1"/>
  <c r="AE231" i="1"/>
  <c r="O231" i="1" s="1"/>
  <c r="V231" i="1"/>
  <c r="BE230" i="1"/>
  <c r="AZ230" i="1"/>
  <c r="AE230" i="1"/>
  <c r="V230" i="1"/>
  <c r="O230" i="1"/>
  <c r="BE229" i="1"/>
  <c r="AZ229" i="1"/>
  <c r="AE229" i="1"/>
  <c r="V229" i="1"/>
  <c r="O229" i="1"/>
  <c r="BE228" i="1"/>
  <c r="AZ228" i="1"/>
  <c r="AE228" i="1"/>
  <c r="V228" i="1"/>
  <c r="BE227" i="1"/>
  <c r="AZ227" i="1"/>
  <c r="AE227" i="1"/>
  <c r="V227" i="1"/>
  <c r="O227" i="1"/>
  <c r="BE226" i="1"/>
  <c r="AZ226" i="1"/>
  <c r="AE226" i="1"/>
  <c r="V226" i="1"/>
  <c r="BE225" i="1"/>
  <c r="AZ225" i="1"/>
  <c r="AE225" i="1"/>
  <c r="V225" i="1"/>
  <c r="O225" i="1" s="1"/>
  <c r="BE224" i="1"/>
  <c r="AZ224" i="1"/>
  <c r="AE224" i="1"/>
  <c r="V224" i="1"/>
  <c r="O224" i="1" s="1"/>
  <c r="BE223" i="1"/>
  <c r="AZ223" i="1"/>
  <c r="O223" i="1" s="1"/>
  <c r="AE223" i="1"/>
  <c r="V223" i="1"/>
  <c r="BE222" i="1"/>
  <c r="AZ222" i="1"/>
  <c r="AE222" i="1"/>
  <c r="V222" i="1"/>
  <c r="O222" i="1" s="1"/>
  <c r="BE221" i="1"/>
  <c r="AZ221" i="1"/>
  <c r="AE221" i="1"/>
  <c r="V221" i="1"/>
  <c r="O221" i="1" s="1"/>
  <c r="BE220" i="1"/>
  <c r="AZ220" i="1"/>
  <c r="AE220" i="1"/>
  <c r="O220" i="1" s="1"/>
  <c r="V220" i="1"/>
  <c r="BE219" i="1"/>
  <c r="AZ219" i="1"/>
  <c r="AE219" i="1"/>
  <c r="O219" i="1" s="1"/>
  <c r="V219" i="1"/>
  <c r="BE218" i="1"/>
  <c r="AZ218" i="1"/>
  <c r="AE218" i="1"/>
  <c r="V218" i="1"/>
  <c r="O218" i="1"/>
  <c r="BE217" i="1"/>
  <c r="AZ217" i="1"/>
  <c r="AE217" i="1"/>
  <c r="V217" i="1"/>
  <c r="O217" i="1"/>
  <c r="BE216" i="1"/>
  <c r="AZ216" i="1"/>
  <c r="AE216" i="1"/>
  <c r="V216" i="1"/>
  <c r="BE215" i="1"/>
  <c r="AZ215" i="1"/>
  <c r="AE215" i="1"/>
  <c r="V215" i="1"/>
  <c r="O215" i="1"/>
  <c r="BE214" i="1"/>
  <c r="AZ214" i="1"/>
  <c r="AE214" i="1"/>
  <c r="V214" i="1"/>
  <c r="O214" i="1" s="1"/>
  <c r="BE213" i="1"/>
  <c r="AZ213" i="1"/>
  <c r="AE213" i="1"/>
  <c r="V213" i="1"/>
  <c r="O213" i="1" s="1"/>
  <c r="BE212" i="1"/>
  <c r="AZ212" i="1"/>
  <c r="AE212" i="1"/>
  <c r="V212" i="1"/>
  <c r="BE211" i="1"/>
  <c r="AZ211" i="1"/>
  <c r="O211" i="1" s="1"/>
  <c r="AE211" i="1"/>
  <c r="V211" i="1"/>
  <c r="BE210" i="1"/>
  <c r="AZ210" i="1"/>
  <c r="AE210" i="1"/>
  <c r="V210" i="1"/>
  <c r="O210" i="1" s="1"/>
  <c r="BE209" i="1"/>
  <c r="AZ209" i="1"/>
  <c r="AE209" i="1"/>
  <c r="V209" i="1"/>
  <c r="BE208" i="1"/>
  <c r="AZ208" i="1"/>
  <c r="AE208" i="1"/>
  <c r="O208" i="1" s="1"/>
  <c r="V208" i="1"/>
  <c r="BE207" i="1"/>
  <c r="AZ207" i="1"/>
  <c r="AE207" i="1"/>
  <c r="V207" i="1"/>
  <c r="O207" i="1"/>
  <c r="BE206" i="1"/>
  <c r="AZ206" i="1"/>
  <c r="AE206" i="1"/>
  <c r="V206" i="1"/>
  <c r="O206" i="1"/>
  <c r="BE205" i="1"/>
  <c r="AZ205" i="1"/>
  <c r="AE205" i="1"/>
  <c r="V205" i="1"/>
  <c r="O205" i="1"/>
  <c r="BE204" i="1"/>
  <c r="AZ204" i="1"/>
  <c r="AE204" i="1"/>
  <c r="V204" i="1"/>
  <c r="BE203" i="1"/>
  <c r="AZ203" i="1"/>
  <c r="AE203" i="1"/>
  <c r="V203" i="1"/>
  <c r="O203" i="1"/>
  <c r="BE202" i="1"/>
  <c r="AZ202" i="1"/>
  <c r="AE202" i="1"/>
  <c r="V202" i="1"/>
  <c r="O202" i="1"/>
  <c r="BE201" i="1"/>
  <c r="AZ201" i="1"/>
  <c r="AE201" i="1"/>
  <c r="V201" i="1"/>
  <c r="O201" i="1" s="1"/>
  <c r="BE200" i="1"/>
  <c r="AZ200" i="1"/>
  <c r="AE200" i="1"/>
  <c r="V200" i="1"/>
  <c r="BE199" i="1"/>
  <c r="AZ199" i="1"/>
  <c r="O199" i="1" s="1"/>
  <c r="AE199" i="1"/>
  <c r="V199" i="1"/>
  <c r="BE198" i="1"/>
  <c r="AZ198" i="1"/>
  <c r="AE198" i="1"/>
  <c r="V198" i="1"/>
  <c r="O198" i="1" s="1"/>
  <c r="BE197" i="1"/>
  <c r="AZ197" i="1"/>
  <c r="AE197" i="1"/>
  <c r="V197" i="1"/>
  <c r="BE196" i="1"/>
  <c r="AZ196" i="1"/>
  <c r="AE196" i="1"/>
  <c r="O196" i="1" s="1"/>
  <c r="V196" i="1"/>
  <c r="BE195" i="1"/>
  <c r="AZ195" i="1"/>
  <c r="AE195" i="1"/>
  <c r="V195" i="1"/>
  <c r="O195" i="1"/>
  <c r="BE194" i="1"/>
  <c r="AZ194" i="1"/>
  <c r="AE194" i="1"/>
  <c r="V194" i="1"/>
  <c r="O194" i="1"/>
  <c r="BE193" i="1"/>
  <c r="AZ193" i="1"/>
  <c r="AE193" i="1"/>
  <c r="O193" i="1" s="1"/>
  <c r="V193" i="1"/>
  <c r="BE192" i="1"/>
  <c r="AZ192" i="1"/>
  <c r="AE192" i="1"/>
  <c r="O192" i="1" s="1"/>
  <c r="V192" i="1"/>
  <c r="BE191" i="1"/>
  <c r="AZ191" i="1"/>
  <c r="AE191" i="1"/>
  <c r="V191" i="1"/>
  <c r="O191" i="1"/>
  <c r="BE190" i="1"/>
  <c r="AZ190" i="1"/>
  <c r="AE190" i="1"/>
  <c r="V190" i="1"/>
  <c r="O190" i="1"/>
  <c r="BE189" i="1"/>
  <c r="AZ189" i="1"/>
  <c r="AE189" i="1"/>
  <c r="V189" i="1"/>
  <c r="O189" i="1" s="1"/>
  <c r="BE188" i="1"/>
  <c r="AZ188" i="1"/>
  <c r="AE188" i="1"/>
  <c r="V188" i="1"/>
  <c r="BE187" i="1"/>
  <c r="AZ187" i="1"/>
  <c r="O187" i="1" s="1"/>
  <c r="AE187" i="1"/>
  <c r="V187" i="1"/>
  <c r="BE186" i="1"/>
  <c r="AZ186" i="1"/>
  <c r="AE186" i="1"/>
  <c r="V186" i="1"/>
  <c r="O186" i="1"/>
  <c r="BE185" i="1"/>
  <c r="AZ185" i="1"/>
  <c r="AE185" i="1"/>
  <c r="V185" i="1"/>
  <c r="BE184" i="1"/>
  <c r="AZ184" i="1"/>
  <c r="AE184" i="1"/>
  <c r="O184" i="1" s="1"/>
  <c r="V184" i="1"/>
  <c r="BE183" i="1"/>
  <c r="AZ183" i="1"/>
  <c r="AE183" i="1"/>
  <c r="V183" i="1"/>
  <c r="O183" i="1"/>
  <c r="BE182" i="1"/>
  <c r="AZ182" i="1"/>
  <c r="AE182" i="1"/>
  <c r="V182" i="1"/>
  <c r="O182" i="1"/>
  <c r="BE181" i="1"/>
  <c r="AZ181" i="1"/>
  <c r="AE181" i="1"/>
  <c r="V181" i="1"/>
  <c r="O181" i="1"/>
  <c r="BE180" i="1"/>
  <c r="AZ180" i="1"/>
  <c r="AE180" i="1"/>
  <c r="O180" i="1" s="1"/>
  <c r="V180" i="1"/>
  <c r="BE179" i="1"/>
  <c r="AZ179" i="1"/>
  <c r="AE179" i="1"/>
  <c r="V179" i="1"/>
  <c r="O179" i="1"/>
  <c r="BE178" i="1"/>
  <c r="AZ178" i="1"/>
  <c r="AE178" i="1"/>
  <c r="V178" i="1"/>
  <c r="O178" i="1" s="1"/>
  <c r="BE177" i="1"/>
  <c r="AZ177" i="1"/>
  <c r="AE177" i="1"/>
  <c r="V177" i="1"/>
  <c r="O177" i="1" s="1"/>
  <c r="BE176" i="1"/>
  <c r="AZ176" i="1"/>
  <c r="AE176" i="1"/>
  <c r="V176" i="1"/>
  <c r="BE175" i="1"/>
  <c r="AZ175" i="1"/>
  <c r="AE175" i="1"/>
  <c r="V175" i="1"/>
  <c r="O175" i="1"/>
  <c r="BE174" i="1"/>
  <c r="AZ174" i="1"/>
  <c r="AE174" i="1"/>
  <c r="V174" i="1"/>
  <c r="O174" i="1"/>
  <c r="BE173" i="1"/>
  <c r="AZ173" i="1"/>
  <c r="AE173" i="1"/>
  <c r="V173" i="1"/>
  <c r="O173" i="1" s="1"/>
  <c r="BE172" i="1"/>
  <c r="AZ172" i="1"/>
  <c r="AE172" i="1"/>
  <c r="O172" i="1" s="1"/>
  <c r="V172" i="1"/>
  <c r="BE171" i="1"/>
  <c r="AZ171" i="1"/>
  <c r="AE171" i="1"/>
  <c r="V171" i="1"/>
  <c r="O171" i="1"/>
  <c r="BE170" i="1"/>
  <c r="AZ170" i="1"/>
  <c r="AE170" i="1"/>
  <c r="V170" i="1"/>
  <c r="O170" i="1" s="1"/>
  <c r="BE169" i="1"/>
  <c r="AZ169" i="1"/>
  <c r="AE169" i="1"/>
  <c r="V169" i="1"/>
  <c r="O169" i="1" s="1"/>
  <c r="BE168" i="1"/>
  <c r="AZ168" i="1"/>
  <c r="AE168" i="1"/>
  <c r="V168" i="1"/>
  <c r="BE167" i="1"/>
  <c r="AZ167" i="1"/>
  <c r="O167" i="1" s="1"/>
  <c r="AE167" i="1"/>
  <c r="V167" i="1"/>
  <c r="BE166" i="1"/>
  <c r="AZ166" i="1"/>
  <c r="AE166" i="1"/>
  <c r="V166" i="1"/>
  <c r="O166" i="1"/>
  <c r="BE165" i="1"/>
  <c r="AZ165" i="1"/>
  <c r="AE165" i="1"/>
  <c r="V165" i="1"/>
  <c r="O165" i="1" s="1"/>
  <c r="BE164" i="1"/>
  <c r="AZ164" i="1"/>
  <c r="AE164" i="1"/>
  <c r="V164" i="1"/>
  <c r="BE163" i="1"/>
  <c r="AZ163" i="1"/>
  <c r="AE163" i="1"/>
  <c r="V163" i="1"/>
  <c r="O163" i="1"/>
  <c r="BE162" i="1"/>
  <c r="AZ162" i="1"/>
  <c r="AE162" i="1"/>
  <c r="V162" i="1"/>
  <c r="O162" i="1"/>
  <c r="BE161" i="1"/>
  <c r="AZ161" i="1"/>
  <c r="AE161" i="1"/>
  <c r="V161" i="1"/>
  <c r="BE160" i="1"/>
  <c r="AZ160" i="1"/>
  <c r="AE160" i="1"/>
  <c r="V160" i="1"/>
  <c r="BE159" i="1"/>
  <c r="AZ159" i="1"/>
  <c r="AE159" i="1"/>
  <c r="O159" i="1" s="1"/>
  <c r="V159" i="1"/>
  <c r="BE158" i="1"/>
  <c r="AZ158" i="1"/>
  <c r="AE158" i="1"/>
  <c r="V158" i="1"/>
  <c r="O158" i="1"/>
  <c r="BE157" i="1"/>
  <c r="AZ157" i="1"/>
  <c r="AE157" i="1"/>
  <c r="V157" i="1"/>
  <c r="O157" i="1" s="1"/>
  <c r="BE156" i="1"/>
  <c r="AZ156" i="1"/>
  <c r="AE156" i="1"/>
  <c r="V156" i="1"/>
  <c r="BE155" i="1"/>
  <c r="AZ155" i="1"/>
  <c r="AE155" i="1"/>
  <c r="V155" i="1"/>
  <c r="O155" i="1" s="1"/>
  <c r="BE154" i="1"/>
  <c r="AZ154" i="1"/>
  <c r="AE154" i="1"/>
  <c r="V154" i="1"/>
  <c r="O154" i="1" s="1"/>
  <c r="BE153" i="1"/>
  <c r="AZ153" i="1"/>
  <c r="AE153" i="1"/>
  <c r="V153" i="1"/>
  <c r="O153" i="1" s="1"/>
  <c r="BE152" i="1"/>
  <c r="AZ152" i="1"/>
  <c r="AE152" i="1"/>
  <c r="V152" i="1"/>
  <c r="O152" i="1" s="1"/>
  <c r="BE151" i="1"/>
  <c r="AZ151" i="1"/>
  <c r="O151" i="1" s="1"/>
  <c r="AE151" i="1"/>
  <c r="V151" i="1"/>
  <c r="BE150" i="1"/>
  <c r="AZ150" i="1"/>
  <c r="AE150" i="1"/>
  <c r="V150" i="1"/>
  <c r="O150" i="1" s="1"/>
  <c r="BE149" i="1"/>
  <c r="AZ149" i="1"/>
  <c r="AE149" i="1"/>
  <c r="V149" i="1"/>
  <c r="BE148" i="1"/>
  <c r="AZ148" i="1"/>
  <c r="AE148" i="1"/>
  <c r="O148" i="1" s="1"/>
  <c r="V148" i="1"/>
  <c r="BE147" i="1"/>
  <c r="AZ147" i="1"/>
  <c r="O147" i="1" s="1"/>
  <c r="AE147" i="1"/>
  <c r="V147" i="1"/>
  <c r="BE146" i="1"/>
  <c r="AZ146" i="1"/>
  <c r="AE146" i="1"/>
  <c r="V146" i="1"/>
  <c r="O146" i="1" s="1"/>
  <c r="BE145" i="1"/>
  <c r="AZ145" i="1"/>
  <c r="AE145" i="1"/>
  <c r="V145" i="1"/>
  <c r="O145" i="1" s="1"/>
  <c r="BE144" i="1"/>
  <c r="AZ144" i="1"/>
  <c r="AE144" i="1"/>
  <c r="O144" i="1" s="1"/>
  <c r="V144" i="1"/>
  <c r="BE143" i="1"/>
  <c r="AZ143" i="1"/>
  <c r="AE143" i="1"/>
  <c r="V143" i="1"/>
  <c r="O143" i="1" s="1"/>
  <c r="BE142" i="1"/>
  <c r="AZ142" i="1"/>
  <c r="O142" i="1" s="1"/>
  <c r="AE142" i="1"/>
  <c r="V142" i="1"/>
  <c r="BE141" i="1"/>
  <c r="AZ141" i="1"/>
  <c r="AE141" i="1"/>
  <c r="V141" i="1"/>
  <c r="O141" i="1" s="1"/>
  <c r="BE140" i="1"/>
  <c r="AZ140" i="1"/>
  <c r="AE140" i="1"/>
  <c r="V140" i="1"/>
  <c r="O140" i="1" s="1"/>
  <c r="BE139" i="1"/>
  <c r="AZ139" i="1"/>
  <c r="AE139" i="1"/>
  <c r="V139" i="1"/>
  <c r="O139" i="1"/>
  <c r="BE138" i="1"/>
  <c r="AZ138" i="1"/>
  <c r="AE138" i="1"/>
  <c r="V138" i="1"/>
  <c r="O138" i="1"/>
  <c r="BE137" i="1"/>
  <c r="AZ137" i="1"/>
  <c r="AE137" i="1"/>
  <c r="V137" i="1"/>
  <c r="O137" i="1"/>
  <c r="BE136" i="1"/>
  <c r="AZ136" i="1"/>
  <c r="AE136" i="1"/>
  <c r="O136" i="1" s="1"/>
  <c r="V136" i="1"/>
  <c r="BE135" i="1"/>
  <c r="AZ135" i="1"/>
  <c r="AE135" i="1"/>
  <c r="V135" i="1"/>
  <c r="O135" i="1" s="1"/>
  <c r="BE134" i="1"/>
  <c r="AZ134" i="1"/>
  <c r="AE134" i="1"/>
  <c r="V134" i="1"/>
  <c r="O134" i="1" s="1"/>
  <c r="BE133" i="1"/>
  <c r="AZ133" i="1"/>
  <c r="AE133" i="1"/>
  <c r="V133" i="1"/>
  <c r="O133" i="1"/>
  <c r="BE132" i="1"/>
  <c r="AZ132" i="1"/>
  <c r="AE132" i="1"/>
  <c r="V132" i="1"/>
  <c r="O132" i="1" s="1"/>
  <c r="BE131" i="1"/>
  <c r="AZ131" i="1"/>
  <c r="AE131" i="1"/>
  <c r="V131" i="1"/>
  <c r="O131" i="1" s="1"/>
  <c r="BE130" i="1"/>
  <c r="AZ130" i="1"/>
  <c r="O130" i="1" s="1"/>
  <c r="AE130" i="1"/>
  <c r="V130" i="1"/>
  <c r="BE129" i="1"/>
  <c r="AZ129" i="1"/>
  <c r="AE129" i="1"/>
  <c r="V129" i="1"/>
  <c r="O129" i="1" s="1"/>
  <c r="BE128" i="1"/>
  <c r="AZ128" i="1"/>
  <c r="AE128" i="1"/>
  <c r="V128" i="1"/>
  <c r="O128" i="1" s="1"/>
  <c r="BE127" i="1"/>
  <c r="AZ127" i="1"/>
  <c r="AE127" i="1"/>
  <c r="V127" i="1"/>
  <c r="O127" i="1"/>
  <c r="BE126" i="1"/>
  <c r="AZ126" i="1"/>
  <c r="AE126" i="1"/>
  <c r="V126" i="1"/>
  <c r="O126" i="1"/>
  <c r="BE125" i="1"/>
  <c r="AZ125" i="1"/>
  <c r="AE125" i="1"/>
  <c r="V125" i="1"/>
  <c r="O125" i="1"/>
  <c r="BE124" i="1"/>
  <c r="AZ124" i="1"/>
  <c r="AE124" i="1"/>
  <c r="O124" i="1" s="1"/>
  <c r="V124" i="1"/>
  <c r="BE123" i="1"/>
  <c r="AZ123" i="1"/>
  <c r="AE123" i="1"/>
  <c r="V123" i="1"/>
  <c r="O123" i="1" s="1"/>
  <c r="BE122" i="1"/>
  <c r="AZ122" i="1"/>
  <c r="AE122" i="1"/>
  <c r="V122" i="1"/>
  <c r="O122" i="1" s="1"/>
  <c r="BE121" i="1"/>
  <c r="AZ121" i="1"/>
  <c r="AE121" i="1"/>
  <c r="V121" i="1"/>
  <c r="O121" i="1"/>
  <c r="BE120" i="1"/>
  <c r="AZ120" i="1"/>
  <c r="AE120" i="1"/>
  <c r="V120" i="1"/>
  <c r="O120" i="1" s="1"/>
  <c r="BE119" i="1"/>
  <c r="AZ119" i="1"/>
  <c r="AE119" i="1"/>
  <c r="V119" i="1"/>
  <c r="O119" i="1" s="1"/>
  <c r="BE118" i="1"/>
  <c r="AZ118" i="1"/>
  <c r="O118" i="1" s="1"/>
  <c r="AE118" i="1"/>
  <c r="V118" i="1"/>
  <c r="BE117" i="1"/>
  <c r="AZ117" i="1"/>
  <c r="AE117" i="1"/>
  <c r="V117" i="1"/>
  <c r="O117" i="1" s="1"/>
  <c r="BE116" i="1"/>
  <c r="AZ116" i="1"/>
  <c r="AE116" i="1"/>
  <c r="V116" i="1"/>
  <c r="O116" i="1" s="1"/>
  <c r="BE115" i="1"/>
  <c r="AZ115" i="1"/>
  <c r="AE115" i="1"/>
  <c r="V115" i="1"/>
  <c r="O115" i="1"/>
  <c r="BE114" i="1"/>
  <c r="AZ114" i="1"/>
  <c r="AE114" i="1"/>
  <c r="V114" i="1"/>
  <c r="O114" i="1"/>
  <c r="BE113" i="1"/>
  <c r="AZ113" i="1"/>
  <c r="AE113" i="1"/>
  <c r="V113" i="1"/>
  <c r="O113" i="1"/>
  <c r="BE112" i="1"/>
  <c r="AZ112" i="1"/>
  <c r="AE112" i="1"/>
  <c r="O112" i="1" s="1"/>
  <c r="V112" i="1"/>
  <c r="BE111" i="1"/>
  <c r="AZ111" i="1"/>
  <c r="AE111" i="1"/>
  <c r="V111" i="1"/>
  <c r="O111" i="1" s="1"/>
  <c r="BE110" i="1"/>
  <c r="AZ110" i="1"/>
  <c r="AE110" i="1"/>
  <c r="V110" i="1"/>
  <c r="O110" i="1" s="1"/>
  <c r="BE109" i="1"/>
  <c r="AZ109" i="1"/>
  <c r="AE109" i="1"/>
  <c r="V109" i="1"/>
  <c r="O109" i="1"/>
  <c r="BE108" i="1"/>
  <c r="AZ108" i="1"/>
  <c r="AE108" i="1"/>
  <c r="V108" i="1"/>
  <c r="O108" i="1" s="1"/>
  <c r="BE107" i="1"/>
  <c r="AZ107" i="1"/>
  <c r="AE107" i="1"/>
  <c r="V107" i="1"/>
  <c r="O107" i="1" s="1"/>
  <c r="BE106" i="1"/>
  <c r="AZ106" i="1"/>
  <c r="O106" i="1" s="1"/>
  <c r="AE106" i="1"/>
  <c r="V106" i="1"/>
  <c r="BE105" i="1"/>
  <c r="AZ105" i="1"/>
  <c r="AE105" i="1"/>
  <c r="V105" i="1"/>
  <c r="O105" i="1" s="1"/>
  <c r="BE104" i="1"/>
  <c r="AZ104" i="1"/>
  <c r="AE104" i="1"/>
  <c r="V104" i="1"/>
  <c r="O104" i="1" s="1"/>
  <c r="BE103" i="1"/>
  <c r="AZ103" i="1"/>
  <c r="AE103" i="1"/>
  <c r="V103" i="1"/>
  <c r="O103" i="1"/>
  <c r="BE102" i="1"/>
  <c r="AZ102" i="1"/>
  <c r="AE102" i="1"/>
  <c r="V102" i="1"/>
  <c r="O102" i="1"/>
  <c r="BE101" i="1"/>
  <c r="AZ101" i="1"/>
  <c r="AE101" i="1"/>
  <c r="V101" i="1"/>
  <c r="O101" i="1"/>
  <c r="BE100" i="1"/>
  <c r="AZ100" i="1"/>
  <c r="AE100" i="1"/>
  <c r="O100" i="1" s="1"/>
  <c r="V100" i="1"/>
  <c r="BE99" i="1"/>
  <c r="AZ99" i="1"/>
  <c r="AE99" i="1"/>
  <c r="V99" i="1"/>
  <c r="O99" i="1" s="1"/>
  <c r="BE98" i="1"/>
  <c r="AZ98" i="1"/>
  <c r="AE98" i="1"/>
  <c r="V98" i="1"/>
  <c r="O98" i="1" s="1"/>
  <c r="AZ97" i="1"/>
  <c r="AE97" i="1"/>
  <c r="V97" i="1"/>
  <c r="O97" i="1"/>
  <c r="BE96" i="1"/>
  <c r="AZ96" i="1"/>
  <c r="AE96" i="1"/>
  <c r="V96" i="1"/>
  <c r="O96" i="1"/>
  <c r="BE95" i="1"/>
  <c r="AZ95" i="1"/>
  <c r="AE95" i="1"/>
  <c r="O95" i="1" s="1"/>
  <c r="V95" i="1"/>
  <c r="BE94" i="1"/>
  <c r="AZ94" i="1"/>
  <c r="AE94" i="1"/>
  <c r="V94" i="1"/>
  <c r="O94" i="1" s="1"/>
  <c r="BE93" i="1"/>
  <c r="AZ93" i="1"/>
  <c r="AE93" i="1"/>
  <c r="V93" i="1"/>
  <c r="O93" i="1" s="1"/>
  <c r="BE92" i="1"/>
  <c r="AZ92" i="1"/>
  <c r="AE92" i="1"/>
  <c r="V92" i="1"/>
  <c r="O92" i="1"/>
  <c r="BE91" i="1"/>
  <c r="AZ91" i="1"/>
  <c r="AE91" i="1"/>
  <c r="V91" i="1"/>
  <c r="O91" i="1" s="1"/>
  <c r="BE90" i="1"/>
  <c r="AZ90" i="1"/>
  <c r="AE90" i="1"/>
  <c r="V90" i="1"/>
  <c r="O90" i="1" s="1"/>
  <c r="BE89" i="1"/>
  <c r="AZ89" i="1"/>
  <c r="O89" i="1" s="1"/>
  <c r="AE89" i="1"/>
  <c r="V89" i="1"/>
  <c r="BE88" i="1"/>
  <c r="AZ88" i="1"/>
  <c r="AE88" i="1"/>
  <c r="V88" i="1"/>
  <c r="O88" i="1" s="1"/>
  <c r="BE87" i="1"/>
  <c r="AZ87" i="1"/>
  <c r="AE87" i="1"/>
  <c r="V87" i="1"/>
  <c r="O87" i="1" s="1"/>
  <c r="BE86" i="1"/>
  <c r="AZ86" i="1"/>
  <c r="AE86" i="1"/>
  <c r="V86" i="1"/>
  <c r="O86" i="1"/>
  <c r="BE85" i="1"/>
  <c r="AZ85" i="1"/>
  <c r="AE85" i="1"/>
  <c r="V85" i="1"/>
  <c r="O85" i="1"/>
  <c r="BE84" i="1"/>
  <c r="AZ84" i="1"/>
  <c r="AE84" i="1"/>
  <c r="V84" i="1"/>
  <c r="O84" i="1"/>
  <c r="BE83" i="1"/>
  <c r="AZ83" i="1"/>
  <c r="AE83" i="1"/>
  <c r="O83" i="1" s="1"/>
  <c r="V83" i="1"/>
  <c r="BE82" i="1"/>
  <c r="AZ82" i="1"/>
  <c r="AE82" i="1"/>
  <c r="V82" i="1"/>
  <c r="O82" i="1" s="1"/>
  <c r="BE81" i="1"/>
  <c r="AZ81" i="1"/>
  <c r="AE81" i="1"/>
  <c r="V81" i="1"/>
  <c r="O81" i="1" s="1"/>
  <c r="BE80" i="1"/>
  <c r="AZ80" i="1"/>
  <c r="AE80" i="1"/>
  <c r="V80" i="1"/>
  <c r="O80" i="1"/>
  <c r="BE79" i="1"/>
  <c r="AZ79" i="1"/>
  <c r="AE79" i="1"/>
  <c r="V79" i="1"/>
  <c r="O79" i="1" s="1"/>
  <c r="BE78" i="1"/>
  <c r="AZ78" i="1"/>
  <c r="AE78" i="1"/>
  <c r="V78" i="1"/>
  <c r="O78" i="1" s="1"/>
  <c r="BE77" i="1"/>
  <c r="AZ77" i="1"/>
  <c r="O77" i="1" s="1"/>
  <c r="AE77" i="1"/>
  <c r="V77" i="1"/>
  <c r="BE76" i="1"/>
  <c r="AZ76" i="1"/>
  <c r="AE76" i="1"/>
  <c r="V76" i="1"/>
  <c r="O76" i="1" s="1"/>
  <c r="BE75" i="1"/>
  <c r="AZ75" i="1"/>
  <c r="AE75" i="1"/>
  <c r="V75" i="1"/>
  <c r="O75" i="1" s="1"/>
  <c r="BE74" i="1"/>
  <c r="AZ74" i="1"/>
  <c r="AE74" i="1"/>
  <c r="V74" i="1"/>
  <c r="O74" i="1"/>
  <c r="BE73" i="1"/>
  <c r="AZ73" i="1"/>
  <c r="AE73" i="1"/>
  <c r="V73" i="1"/>
  <c r="O73" i="1"/>
  <c r="BE72" i="1"/>
  <c r="AZ72" i="1"/>
  <c r="AE72" i="1"/>
  <c r="V72" i="1"/>
  <c r="O72" i="1"/>
  <c r="BE71" i="1"/>
  <c r="AZ71" i="1"/>
  <c r="AE71" i="1"/>
  <c r="O71" i="1" s="1"/>
  <c r="V71" i="1"/>
  <c r="BE70" i="1"/>
  <c r="AZ70" i="1"/>
  <c r="AE70" i="1"/>
  <c r="V70" i="1"/>
  <c r="O70" i="1" s="1"/>
  <c r="BE69" i="1"/>
  <c r="AZ69" i="1"/>
  <c r="AE69" i="1"/>
  <c r="V69" i="1"/>
  <c r="O69" i="1" s="1"/>
  <c r="BE68" i="1"/>
  <c r="AZ68" i="1"/>
  <c r="AE68" i="1"/>
  <c r="V68" i="1"/>
  <c r="O68" i="1"/>
  <c r="BE67" i="1"/>
  <c r="AZ67" i="1"/>
  <c r="AE67" i="1"/>
  <c r="V67" i="1"/>
  <c r="O67" i="1" s="1"/>
  <c r="BE66" i="1"/>
  <c r="AZ66" i="1"/>
  <c r="AE66" i="1"/>
  <c r="V66" i="1"/>
  <c r="O66" i="1" s="1"/>
  <c r="BE65" i="1"/>
  <c r="AZ65" i="1"/>
  <c r="O65" i="1" s="1"/>
  <c r="AE65" i="1"/>
  <c r="V65" i="1"/>
  <c r="BE64" i="1"/>
  <c r="AZ64" i="1"/>
  <c r="AE64" i="1"/>
  <c r="V64" i="1"/>
  <c r="O64" i="1" s="1"/>
  <c r="BE63" i="1"/>
  <c r="AZ63" i="1"/>
  <c r="AE63" i="1"/>
  <c r="V63" i="1"/>
  <c r="O63" i="1" s="1"/>
  <c r="BE62" i="1"/>
  <c r="AZ62" i="1"/>
  <c r="AE62" i="1"/>
  <c r="V62" i="1"/>
  <c r="O62" i="1"/>
  <c r="BE61" i="1"/>
  <c r="AZ61" i="1"/>
  <c r="AE61" i="1"/>
  <c r="V61" i="1"/>
  <c r="O61" i="1"/>
  <c r="BE60" i="1"/>
  <c r="AZ60" i="1"/>
  <c r="AE60" i="1"/>
  <c r="V60" i="1"/>
  <c r="O60" i="1"/>
  <c r="BE59" i="1"/>
  <c r="AZ59" i="1"/>
  <c r="AE59" i="1"/>
  <c r="O59" i="1" s="1"/>
  <c r="V59" i="1"/>
  <c r="BE58" i="1"/>
  <c r="AZ58" i="1"/>
  <c r="AE58" i="1"/>
  <c r="V58" i="1"/>
  <c r="O58" i="1" s="1"/>
  <c r="BE57" i="1"/>
  <c r="AZ57" i="1"/>
  <c r="AE57" i="1"/>
  <c r="V57" i="1"/>
  <c r="O57" i="1" s="1"/>
  <c r="BE56" i="1"/>
  <c r="AZ56" i="1"/>
  <c r="AE56" i="1"/>
  <c r="V56" i="1"/>
  <c r="O56" i="1"/>
  <c r="BE55" i="1"/>
  <c r="AZ55" i="1"/>
  <c r="AE55" i="1"/>
  <c r="V55" i="1"/>
  <c r="O55" i="1" s="1"/>
  <c r="BE54" i="1"/>
  <c r="AZ54" i="1"/>
  <c r="AE54" i="1"/>
  <c r="V54" i="1"/>
  <c r="O54" i="1" s="1"/>
  <c r="BE53" i="1"/>
  <c r="AZ53" i="1"/>
  <c r="O53" i="1" s="1"/>
  <c r="AE53" i="1"/>
  <c r="V53" i="1"/>
  <c r="BE52" i="1"/>
  <c r="AZ52" i="1"/>
  <c r="AE52" i="1"/>
  <c r="V52" i="1"/>
  <c r="O52" i="1" s="1"/>
  <c r="BE51" i="1"/>
  <c r="AZ51" i="1"/>
  <c r="AE51" i="1"/>
  <c r="V51" i="1"/>
  <c r="O51" i="1" s="1"/>
  <c r="BE50" i="1"/>
  <c r="AZ50" i="1"/>
  <c r="AE50" i="1"/>
  <c r="V50" i="1"/>
  <c r="O50" i="1"/>
  <c r="BE49" i="1"/>
  <c r="AZ49" i="1"/>
  <c r="AE49" i="1"/>
  <c r="V49" i="1"/>
  <c r="O49" i="1"/>
  <c r="BE48" i="1"/>
  <c r="AZ48" i="1"/>
  <c r="AE48" i="1"/>
  <c r="V48" i="1"/>
  <c r="O48" i="1"/>
  <c r="BE47" i="1"/>
  <c r="AZ47" i="1"/>
  <c r="AE47" i="1"/>
  <c r="O47" i="1" s="1"/>
  <c r="V47" i="1"/>
  <c r="BE46" i="1"/>
  <c r="AZ46" i="1"/>
  <c r="AE46" i="1"/>
  <c r="V46" i="1"/>
  <c r="O46" i="1" s="1"/>
  <c r="BE45" i="1"/>
  <c r="AZ45" i="1"/>
  <c r="AE45" i="1"/>
  <c r="V45" i="1"/>
  <c r="O45" i="1" s="1"/>
  <c r="BE44" i="1"/>
  <c r="AZ44" i="1"/>
  <c r="AE44" i="1"/>
  <c r="V44" i="1"/>
  <c r="O44" i="1"/>
  <c r="BE43" i="1"/>
  <c r="AZ43" i="1"/>
  <c r="AE43" i="1"/>
  <c r="V43" i="1"/>
  <c r="O43" i="1" s="1"/>
  <c r="BE42" i="1"/>
  <c r="AZ42" i="1"/>
  <c r="AE42" i="1"/>
  <c r="V42" i="1"/>
  <c r="O42" i="1" s="1"/>
  <c r="BE41" i="1"/>
  <c r="AZ41" i="1"/>
  <c r="O41" i="1" s="1"/>
  <c r="AE41" i="1"/>
  <c r="V41" i="1"/>
  <c r="BE40" i="1"/>
  <c r="AZ40" i="1"/>
  <c r="AE40" i="1"/>
  <c r="V40" i="1"/>
  <c r="O40" i="1" s="1"/>
  <c r="BE39" i="1"/>
  <c r="AZ39" i="1"/>
  <c r="AE39" i="1"/>
  <c r="V39" i="1"/>
  <c r="O39" i="1" s="1"/>
  <c r="BE38" i="1"/>
  <c r="AZ38" i="1"/>
  <c r="AE38" i="1"/>
  <c r="V38" i="1"/>
  <c r="O38" i="1"/>
  <c r="BE37" i="1"/>
  <c r="AZ37" i="1"/>
  <c r="AE37" i="1"/>
  <c r="V37" i="1"/>
  <c r="O37" i="1"/>
  <c r="AE36" i="1"/>
  <c r="V36" i="1"/>
  <c r="O36" i="1" s="1"/>
  <c r="BE35" i="1"/>
  <c r="AZ35" i="1"/>
  <c r="AE35" i="1"/>
  <c r="V35" i="1"/>
  <c r="O35" i="1" s="1"/>
  <c r="BE34" i="1"/>
  <c r="AZ34" i="1"/>
  <c r="AE34" i="1"/>
  <c r="V34" i="1"/>
  <c r="O34" i="1"/>
  <c r="BE33" i="1"/>
  <c r="AZ33" i="1"/>
  <c r="AE33" i="1"/>
  <c r="V33" i="1"/>
  <c r="O33" i="1" s="1"/>
  <c r="BE32" i="1"/>
  <c r="AZ32" i="1"/>
  <c r="AE32" i="1"/>
  <c r="V32" i="1"/>
  <c r="O32" i="1" s="1"/>
  <c r="BE31" i="1"/>
  <c r="AZ31" i="1"/>
  <c r="O31" i="1" s="1"/>
  <c r="AE31" i="1"/>
  <c r="V31" i="1"/>
  <c r="BE30" i="1"/>
  <c r="AZ30" i="1"/>
  <c r="AE30" i="1"/>
  <c r="V30" i="1"/>
  <c r="O30" i="1" s="1"/>
  <c r="BE29" i="1"/>
  <c r="AZ29" i="1"/>
  <c r="AE29" i="1"/>
  <c r="V29" i="1"/>
  <c r="O29" i="1" s="1"/>
  <c r="BE28" i="1"/>
  <c r="AZ28" i="1"/>
  <c r="AE28" i="1"/>
  <c r="V28" i="1"/>
  <c r="O28" i="1"/>
  <c r="BE27" i="1"/>
  <c r="AZ27" i="1"/>
  <c r="AE27" i="1"/>
  <c r="O27" i="1" s="1"/>
  <c r="V27" i="1"/>
  <c r="BE26" i="1"/>
  <c r="AZ26" i="1"/>
  <c r="AE26" i="1"/>
  <c r="V26" i="1"/>
  <c r="O26" i="1"/>
  <c r="BE25" i="1"/>
  <c r="AZ25" i="1"/>
  <c r="AE25" i="1"/>
  <c r="O25" i="1" s="1"/>
  <c r="V25" i="1"/>
  <c r="BE24" i="1"/>
  <c r="AZ24" i="1"/>
  <c r="AE24" i="1"/>
  <c r="V24" i="1"/>
  <c r="O24" i="1" s="1"/>
  <c r="BE23" i="1"/>
  <c r="AZ23" i="1"/>
  <c r="AE23" i="1"/>
  <c r="V23" i="1"/>
  <c r="O23" i="1" s="1"/>
  <c r="BE22" i="1"/>
  <c r="AZ22" i="1"/>
  <c r="AE22" i="1"/>
  <c r="V22" i="1"/>
  <c r="O22" i="1"/>
  <c r="BE21" i="1"/>
  <c r="AZ21" i="1"/>
  <c r="AE21" i="1"/>
  <c r="V21" i="1"/>
  <c r="O21" i="1" s="1"/>
  <c r="BE20" i="1"/>
  <c r="AZ20" i="1"/>
  <c r="AE20" i="1"/>
  <c r="V20" i="1"/>
  <c r="O20" i="1" s="1"/>
  <c r="BE19" i="1"/>
  <c r="AZ19" i="1"/>
  <c r="O19" i="1" s="1"/>
  <c r="AE19" i="1"/>
  <c r="V19" i="1"/>
  <c r="BE18" i="1"/>
  <c r="AZ18" i="1"/>
  <c r="AE18" i="1"/>
  <c r="V18" i="1"/>
  <c r="O18" i="1" s="1"/>
  <c r="BE17" i="1"/>
  <c r="AZ17" i="1"/>
  <c r="AE17" i="1"/>
  <c r="V17" i="1"/>
  <c r="O17" i="1" s="1"/>
  <c r="BE16" i="1"/>
  <c r="AZ16" i="1"/>
  <c r="AE16" i="1"/>
  <c r="V16" i="1"/>
  <c r="O16" i="1"/>
  <c r="BE15" i="1"/>
  <c r="AZ15" i="1"/>
  <c r="AE15" i="1"/>
  <c r="O15" i="1" s="1"/>
  <c r="V15" i="1"/>
  <c r="BE14" i="1"/>
  <c r="AZ14" i="1"/>
  <c r="AE14" i="1"/>
  <c r="V14" i="1"/>
  <c r="O14" i="1"/>
  <c r="BE13" i="1"/>
  <c r="AZ13" i="1"/>
  <c r="AE13" i="1"/>
  <c r="O13" i="1" s="1"/>
  <c r="V13" i="1"/>
  <c r="BE12" i="1"/>
  <c r="AZ12" i="1"/>
  <c r="AE12" i="1"/>
  <c r="V12" i="1"/>
  <c r="O12" i="1" s="1"/>
  <c r="BE11" i="1"/>
  <c r="AZ11" i="1"/>
  <c r="AE11" i="1"/>
  <c r="V11" i="1"/>
  <c r="O11" i="1" s="1"/>
  <c r="BE10" i="1"/>
  <c r="AZ10" i="1"/>
  <c r="AE10" i="1"/>
  <c r="V10" i="1"/>
  <c r="O10" i="1"/>
  <c r="BE9" i="1"/>
  <c r="AZ9" i="1"/>
  <c r="AE9" i="1"/>
  <c r="V9" i="1"/>
  <c r="O9" i="1" s="1"/>
  <c r="BE8" i="1"/>
  <c r="AZ8" i="1"/>
  <c r="AE8" i="1"/>
  <c r="V8" i="1"/>
  <c r="O8" i="1" s="1"/>
  <c r="BE7" i="1"/>
  <c r="AZ7" i="1"/>
  <c r="O7" i="1" s="1"/>
  <c r="AE7" i="1"/>
  <c r="V7" i="1"/>
  <c r="BE6" i="1"/>
  <c r="AZ6" i="1"/>
  <c r="AE6" i="1"/>
  <c r="V6" i="1"/>
  <c r="O6" i="1" s="1"/>
  <c r="BE5" i="1"/>
  <c r="AZ5" i="1"/>
  <c r="AE5" i="1"/>
  <c r="V5" i="1"/>
  <c r="O5" i="1" s="1"/>
  <c r="AE4" i="1"/>
  <c r="V4" i="1"/>
  <c r="O4" i="1"/>
  <c r="Q51" i="2" l="1"/>
  <c r="Q58" i="2"/>
  <c r="Q61" i="2"/>
  <c r="Q99" i="2"/>
  <c r="Q102" i="2"/>
  <c r="Q134" i="2"/>
  <c r="Q137" i="2"/>
  <c r="Q140" i="2"/>
  <c r="Q143" i="2"/>
  <c r="Q184" i="2"/>
  <c r="Q269" i="2"/>
  <c r="Q272" i="2"/>
  <c r="Q321" i="2"/>
  <c r="Q324" i="2"/>
  <c r="Q330" i="2"/>
  <c r="Q333" i="2"/>
  <c r="Q425" i="2"/>
  <c r="Q431" i="2"/>
  <c r="Q434" i="2"/>
  <c r="Q437" i="2"/>
  <c r="Q490" i="2"/>
  <c r="Q528" i="2"/>
  <c r="Q531" i="2"/>
  <c r="Q563" i="2"/>
  <c r="Q566" i="2"/>
  <c r="Q569" i="2"/>
  <c r="Q575" i="2"/>
  <c r="Q582" i="2"/>
  <c r="Q594" i="2"/>
  <c r="Q597" i="2"/>
  <c r="Q679" i="2"/>
  <c r="Q4" i="2"/>
  <c r="Q40" i="2"/>
  <c r="Q158" i="2"/>
  <c r="Q161" i="2"/>
  <c r="Q178" i="2"/>
  <c r="Q208" i="2"/>
  <c r="Q211" i="2"/>
  <c r="Q307" i="2"/>
  <c r="Q345" i="2"/>
  <c r="Q449" i="2"/>
  <c r="Q455" i="2"/>
  <c r="Q514" i="2"/>
  <c r="Q517" i="2"/>
  <c r="Q549" i="2"/>
  <c r="Q552" i="2"/>
  <c r="Q555" i="2"/>
  <c r="Q654" i="2"/>
  <c r="Q19" i="2"/>
  <c r="Q22" i="2"/>
  <c r="Q25" i="2"/>
  <c r="Q28" i="2"/>
  <c r="Q129" i="2"/>
  <c r="Q132" i="2"/>
  <c r="Q149" i="2"/>
  <c r="Q217" i="2"/>
  <c r="Q226" i="2"/>
  <c r="Q238" i="2"/>
  <c r="Q255" i="2"/>
  <c r="Q261" i="2"/>
  <c r="Q264" i="2"/>
  <c r="Q287" i="2"/>
  <c r="Q351" i="2"/>
  <c r="Q390" i="2"/>
  <c r="Q402" i="2"/>
  <c r="Q405" i="2"/>
  <c r="Q408" i="2"/>
  <c r="Q411" i="2"/>
  <c r="Q417" i="2"/>
  <c r="Q502" i="2"/>
  <c r="Q59" i="2"/>
  <c r="Q109" i="2"/>
  <c r="Q138" i="2"/>
  <c r="Q170" i="2"/>
  <c r="Q173" i="2"/>
  <c r="Q176" i="2"/>
  <c r="Q179" i="2"/>
  <c r="Q229" i="2"/>
  <c r="Q322" i="2"/>
  <c r="Q325" i="2"/>
  <c r="Q328" i="2"/>
  <c r="Q331" i="2"/>
  <c r="Q458" i="2"/>
  <c r="Q41" i="2"/>
  <c r="Q65" i="2"/>
  <c r="Q68" i="2"/>
  <c r="Q83" i="2"/>
  <c r="Q86" i="2"/>
  <c r="Q92" i="2"/>
  <c r="Q95" i="2"/>
  <c r="Q106" i="2"/>
  <c r="Q194" i="2"/>
  <c r="Q197" i="2"/>
  <c r="Q203" i="2"/>
  <c r="Q215" i="2"/>
  <c r="Q244" i="2"/>
  <c r="Q247" i="2"/>
  <c r="Q343" i="2"/>
  <c r="Q346" i="2"/>
  <c r="Q450" i="2"/>
  <c r="Q465" i="2"/>
  <c r="Q550" i="2"/>
  <c r="Q556" i="2"/>
  <c r="Q623" i="2"/>
  <c r="Q29" i="2"/>
  <c r="Q165" i="2"/>
  <c r="Q168" i="2"/>
  <c r="Q171" i="2"/>
  <c r="Q186" i="2"/>
  <c r="Q189" i="2"/>
  <c r="Q218" i="2"/>
  <c r="Q227" i="2"/>
  <c r="Q230" i="2"/>
  <c r="Q233" i="2"/>
  <c r="Q236" i="2"/>
  <c r="Q253" i="2"/>
  <c r="Q262" i="2"/>
  <c r="Q311" i="2"/>
  <c r="Q314" i="2"/>
  <c r="Q317" i="2"/>
  <c r="Q355" i="2"/>
  <c r="Q376" i="2"/>
  <c r="Q406" i="2"/>
  <c r="Q412" i="2"/>
  <c r="Q415" i="2"/>
  <c r="Q506" i="2"/>
  <c r="Q521" i="2"/>
  <c r="Q559" i="2"/>
  <c r="Q332" i="2"/>
  <c r="Q335" i="2"/>
  <c r="Q364" i="2"/>
  <c r="Q424" i="2"/>
  <c r="Q430" i="2"/>
  <c r="Q436" i="2"/>
  <c r="Q492" i="2"/>
  <c r="Q592" i="2"/>
  <c r="Q605" i="2"/>
  <c r="Q23" i="2"/>
  <c r="Q39" i="2"/>
  <c r="Q75" i="2"/>
  <c r="Q78" i="2"/>
  <c r="Q122" i="2"/>
  <c r="Q148" i="2"/>
  <c r="Q174" i="2"/>
  <c r="Q374" i="2"/>
  <c r="Q377" i="2"/>
  <c r="Q383" i="2"/>
  <c r="Q386" i="2"/>
  <c r="Q498" i="2"/>
  <c r="Q504" i="2"/>
  <c r="Q507" i="2"/>
  <c r="Q536" i="2"/>
  <c r="Q142" i="2"/>
  <c r="Q251" i="2"/>
  <c r="Q303" i="2"/>
  <c r="Q320" i="2"/>
  <c r="Q395" i="2"/>
  <c r="Q398" i="2"/>
  <c r="Q451" i="2"/>
  <c r="Q454" i="2"/>
  <c r="Q460" i="2"/>
  <c r="Q463" i="2"/>
  <c r="Q539" i="2"/>
  <c r="Q542" i="2"/>
  <c r="Q545" i="2"/>
  <c r="Q568" i="2"/>
  <c r="Q614" i="2"/>
  <c r="Q621" i="2"/>
  <c r="Q678" i="2"/>
  <c r="Q27" i="2"/>
  <c r="Q30" i="2"/>
  <c r="Q33" i="2"/>
  <c r="Q84" i="2"/>
  <c r="Q113" i="2"/>
  <c r="Q128" i="2"/>
  <c r="Q131" i="2"/>
  <c r="Q219" i="2"/>
  <c r="Q225" i="2"/>
  <c r="Q228" i="2"/>
  <c r="Q254" i="2"/>
  <c r="Q263" i="2"/>
  <c r="Q280" i="2"/>
  <c r="Q286" i="2"/>
  <c r="Q312" i="2"/>
  <c r="Q359" i="2"/>
  <c r="Q472" i="2"/>
  <c r="Q475" i="2"/>
  <c r="Q484" i="2"/>
  <c r="Q9" i="2"/>
  <c r="Q12" i="2"/>
  <c r="Q20" i="2"/>
  <c r="Q26" i="2"/>
  <c r="Q45" i="2"/>
  <c r="Q60" i="2"/>
  <c r="Q94" i="2"/>
  <c r="Q188" i="2"/>
  <c r="Q239" i="2"/>
  <c r="Q275" i="2"/>
  <c r="Q334" i="2"/>
  <c r="Q366" i="2"/>
  <c r="Q372" i="2"/>
  <c r="Q389" i="2"/>
  <c r="Q403" i="2"/>
  <c r="Q440" i="2"/>
  <c r="Q457" i="2"/>
  <c r="Q468" i="2"/>
  <c r="Q477" i="2"/>
  <c r="Q491" i="2"/>
  <c r="Q516" i="2"/>
  <c r="Q527" i="2"/>
  <c r="Q530" i="2"/>
  <c r="Q547" i="2"/>
  <c r="Q567" i="2"/>
  <c r="Q579" i="2"/>
  <c r="Q593" i="2"/>
  <c r="Q602" i="2"/>
  <c r="Q77" i="2"/>
  <c r="Q105" i="2"/>
  <c r="Q108" i="2"/>
  <c r="Q116" i="2"/>
  <c r="Q119" i="2"/>
  <c r="Q127" i="2"/>
  <c r="Q133" i="2"/>
  <c r="Q141" i="2"/>
  <c r="Q144" i="2"/>
  <c r="Q152" i="2"/>
  <c r="Q155" i="2"/>
  <c r="Q163" i="2"/>
  <c r="Q169" i="2"/>
  <c r="Q177" i="2"/>
  <c r="Q180" i="2"/>
  <c r="Q222" i="2"/>
  <c r="Q258" i="2"/>
  <c r="Q289" i="2"/>
  <c r="Q292" i="2"/>
  <c r="Q337" i="2"/>
  <c r="Q340" i="2"/>
  <c r="Q363" i="2"/>
  <c r="Q375" i="2"/>
  <c r="Q392" i="2"/>
  <c r="Q409" i="2"/>
  <c r="Q429" i="2"/>
  <c r="Q443" i="2"/>
  <c r="Q446" i="2"/>
  <c r="Q474" i="2"/>
  <c r="Q480" i="2"/>
  <c r="Q483" i="2"/>
  <c r="Q519" i="2"/>
  <c r="Q533" i="2"/>
  <c r="Q553" i="2"/>
  <c r="Q564" i="2"/>
  <c r="Q585" i="2"/>
  <c r="Q620" i="2"/>
  <c r="Q130" i="2"/>
  <c r="Q166" i="2"/>
  <c r="Q209" i="2"/>
  <c r="Q212" i="2"/>
  <c r="Q220" i="2"/>
  <c r="Q223" i="2"/>
  <c r="Q231" i="2"/>
  <c r="Q237" i="2"/>
  <c r="Q245" i="2"/>
  <c r="Q248" i="2"/>
  <c r="Q256" i="2"/>
  <c r="Q259" i="2"/>
  <c r="Q267" i="2"/>
  <c r="Q273" i="2"/>
  <c r="Q281" i="2"/>
  <c r="Q284" i="2"/>
  <c r="Q301" i="2"/>
  <c r="Q304" i="2"/>
  <c r="Q349" i="2"/>
  <c r="Q352" i="2"/>
  <c r="Q401" i="2"/>
  <c r="Q421" i="2"/>
  <c r="Q469" i="2"/>
  <c r="Q489" i="2"/>
  <c r="Q525" i="2"/>
  <c r="Q589" i="2"/>
  <c r="Q626" i="2"/>
  <c r="Q10" i="2"/>
  <c r="Q13" i="2"/>
  <c r="Q21" i="2"/>
  <c r="Q24" i="2"/>
  <c r="Q32" i="2"/>
  <c r="Q72" i="2"/>
  <c r="Q200" i="2"/>
  <c r="Q576" i="2"/>
  <c r="Q600" i="2"/>
  <c r="Q603" i="2"/>
  <c r="Q624" i="2"/>
  <c r="Q16" i="2"/>
  <c r="Q55" i="2"/>
  <c r="Q89" i="2"/>
  <c r="Q103" i="2"/>
  <c r="Q139" i="2"/>
  <c r="Q145" i="2"/>
  <c r="Q153" i="2"/>
  <c r="Q156" i="2"/>
  <c r="Q164" i="2"/>
  <c r="Q167" i="2"/>
  <c r="Q175" i="2"/>
  <c r="Q181" i="2"/>
  <c r="Q234" i="2"/>
  <c r="Q270" i="2"/>
  <c r="Q290" i="2"/>
  <c r="Q293" i="2"/>
  <c r="Q361" i="2"/>
  <c r="Q387" i="2"/>
  <c r="Q393" i="2"/>
  <c r="Q407" i="2"/>
  <c r="Q410" i="2"/>
  <c r="Q427" i="2"/>
  <c r="Q481" i="2"/>
  <c r="Q495" i="2"/>
  <c r="Q551" i="2"/>
  <c r="Q554" i="2"/>
  <c r="Q577" i="2"/>
  <c r="Q583" i="2"/>
  <c r="Q586" i="2"/>
  <c r="Q606" i="2"/>
  <c r="Q618" i="2"/>
  <c r="Q627" i="2"/>
  <c r="Q36" i="2"/>
  <c r="Q44" i="2"/>
  <c r="Q47" i="2"/>
  <c r="Q123" i="2"/>
  <c r="Q159" i="2"/>
  <c r="Q187" i="2"/>
  <c r="Q190" i="2"/>
  <c r="Q198" i="2"/>
  <c r="Q201" i="2"/>
  <c r="Q299" i="2"/>
  <c r="Q313" i="2"/>
  <c r="Q316" i="2"/>
  <c r="Q347" i="2"/>
  <c r="Q413" i="2"/>
  <c r="Q433" i="2"/>
  <c r="Q444" i="2"/>
  <c r="Q461" i="2"/>
  <c r="Q509" i="2"/>
  <c r="Q537" i="2"/>
  <c r="Q557" i="2"/>
  <c r="Q571" i="2"/>
  <c r="Q630" i="2"/>
  <c r="Q677" i="2"/>
  <c r="Q50" i="2"/>
  <c r="Q53" i="2"/>
  <c r="Q56" i="2"/>
  <c r="Q64" i="2"/>
  <c r="Q70" i="2"/>
  <c r="Q76" i="2"/>
  <c r="Q79" i="2"/>
  <c r="Q87" i="2"/>
  <c r="Q90" i="2"/>
  <c r="Q98" i="2"/>
  <c r="Q193" i="2"/>
  <c r="Q207" i="2"/>
  <c r="Q213" i="2"/>
  <c r="Q221" i="2"/>
  <c r="Q224" i="2"/>
  <c r="Q232" i="2"/>
  <c r="Q235" i="2"/>
  <c r="Q243" i="2"/>
  <c r="Q249" i="2"/>
  <c r="Q257" i="2"/>
  <c r="Q260" i="2"/>
  <c r="Q268" i="2"/>
  <c r="Q271" i="2"/>
  <c r="Q279" i="2"/>
  <c r="Q296" i="2"/>
  <c r="Q305" i="2"/>
  <c r="Q319" i="2"/>
  <c r="Q344" i="2"/>
  <c r="Q350" i="2"/>
  <c r="Q353" i="2"/>
  <c r="Q365" i="2"/>
  <c r="Q368" i="2"/>
  <c r="Q385" i="2"/>
  <c r="Q396" i="2"/>
  <c r="Q416" i="2"/>
  <c r="Q419" i="2"/>
  <c r="Q422" i="2"/>
  <c r="Q453" i="2"/>
  <c r="Q467" i="2"/>
  <c r="Q470" i="2"/>
  <c r="Q487" i="2"/>
  <c r="Q501" i="2"/>
  <c r="Q523" i="2"/>
  <c r="Q540" i="2"/>
  <c r="Q587" i="2"/>
  <c r="Q598" i="2"/>
  <c r="Q612" i="2"/>
  <c r="Q615" i="2"/>
  <c r="Q67" i="2"/>
  <c r="Q210" i="2"/>
  <c r="Q246" i="2"/>
  <c r="Q282" i="2"/>
  <c r="Q356" i="2"/>
  <c r="Q456" i="2"/>
  <c r="Q546" i="2"/>
  <c r="Q622" i="2"/>
  <c r="Q657" i="2"/>
  <c r="Q11" i="2"/>
  <c r="Q34" i="2"/>
  <c r="Q42" i="2"/>
  <c r="Q48" i="2"/>
  <c r="Q135" i="2"/>
  <c r="Q185" i="2"/>
  <c r="Q191" i="2"/>
  <c r="Q199" i="2"/>
  <c r="Q202" i="2"/>
  <c r="Q362" i="2"/>
  <c r="Q428" i="2"/>
  <c r="Q584" i="2"/>
  <c r="Q660" i="2"/>
  <c r="Q118" i="2"/>
  <c r="Q154" i="2"/>
  <c r="Q414" i="2"/>
  <c r="Q462" i="2"/>
  <c r="Q513" i="2"/>
  <c r="Q596" i="2"/>
  <c r="Q613" i="2"/>
  <c r="O149" i="1"/>
  <c r="O437" i="1"/>
  <c r="O473" i="1"/>
  <c r="O509" i="1"/>
  <c r="O545" i="1"/>
  <c r="O197" i="1"/>
  <c r="O200" i="1"/>
  <c r="O216" i="1"/>
  <c r="O252" i="1"/>
  <c r="O288" i="1"/>
  <c r="O324" i="1"/>
  <c r="O160" i="1"/>
  <c r="O168" i="1"/>
  <c r="O176" i="1"/>
  <c r="O413" i="1"/>
  <c r="O449" i="1"/>
  <c r="O485" i="1"/>
  <c r="O521" i="1"/>
  <c r="O557" i="1"/>
  <c r="O161" i="1"/>
  <c r="O228" i="1"/>
  <c r="O264" i="1"/>
  <c r="O300" i="1"/>
  <c r="O336" i="1"/>
  <c r="O209" i="1"/>
  <c r="O212" i="1"/>
  <c r="O156" i="1"/>
  <c r="O164" i="1"/>
  <c r="O185" i="1"/>
  <c r="O226" i="1"/>
  <c r="O245" i="1"/>
  <c r="O281" i="1"/>
  <c r="O317" i="1"/>
  <c r="O353" i="1"/>
  <c r="O389" i="1"/>
  <c r="O425" i="1"/>
  <c r="O461" i="1"/>
  <c r="O497" i="1"/>
  <c r="O533" i="1"/>
  <c r="O570" i="1"/>
  <c r="O188" i="1"/>
  <c r="O204" i="1"/>
  <c r="O384" i="1"/>
  <c r="O420" i="1"/>
  <c r="O456" i="1"/>
  <c r="O492" i="1"/>
  <c r="O528" i="1"/>
  <c r="O590" i="1"/>
  <c r="O626" i="1"/>
  <c r="Q404" i="2"/>
  <c r="Q452" i="2"/>
  <c r="Q616" i="2"/>
  <c r="Q283" i="2"/>
  <c r="Q339" i="2"/>
  <c r="Q379" i="2"/>
  <c r="Q447" i="2"/>
  <c r="Q500" i="2"/>
  <c r="O104" i="3"/>
  <c r="O140" i="3"/>
  <c r="O176" i="3"/>
  <c r="O212" i="3"/>
  <c r="O248" i="3"/>
  <c r="O284" i="3"/>
  <c r="O320" i="3"/>
  <c r="Q464" i="2"/>
  <c r="Q548" i="2"/>
  <c r="Q580" i="2"/>
  <c r="Q309" i="2"/>
  <c r="Q380" i="2"/>
  <c r="Q397" i="2"/>
  <c r="Q445" i="2"/>
  <c r="Q459" i="2"/>
  <c r="Q512" i="2"/>
  <c r="Q543" i="2"/>
  <c r="Q609" i="2"/>
  <c r="O116" i="3"/>
  <c r="O152" i="3"/>
  <c r="O188" i="3"/>
  <c r="O224" i="3"/>
  <c r="O260" i="3"/>
  <c r="O296" i="3"/>
  <c r="O332" i="3"/>
  <c r="O368" i="3"/>
  <c r="O416" i="3"/>
  <c r="Q298" i="2"/>
  <c r="Q315" i="2"/>
  <c r="Q326" i="2"/>
  <c r="Q329" i="2"/>
  <c r="Q357" i="2"/>
  <c r="Q476" i="2"/>
  <c r="Q493" i="2"/>
  <c r="Q529" i="2"/>
  <c r="Q560" i="2"/>
  <c r="Q310" i="2"/>
  <c r="Q338" i="2"/>
  <c r="Q341" i="2"/>
  <c r="Q488" i="2"/>
  <c r="Q524" i="2"/>
  <c r="Q541" i="2"/>
  <c r="Q572" i="2"/>
  <c r="O128" i="3"/>
  <c r="O164" i="3"/>
  <c r="O200" i="3"/>
  <c r="O236" i="3"/>
  <c r="O272" i="3"/>
  <c r="O308" i="3"/>
  <c r="O344" i="3"/>
  <c r="Q285" i="2"/>
  <c r="Q327" i="2"/>
  <c r="Q358" i="2"/>
  <c r="Q367" i="2"/>
  <c r="Q384" i="2"/>
  <c r="Q435" i="2"/>
  <c r="Q505" i="2"/>
  <c r="Q655" i="2"/>
  <c r="Q658" i="2"/>
  <c r="Q653" i="2"/>
  <c r="Q659" i="2"/>
  <c r="Q675" i="2"/>
  <c r="Q65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3" authorId="0" shapeId="0" xr:uid="{00000000-0006-0000-00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G3" authorId="0" shapeId="0" xr:uid="{00000000-0006-0000-00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H3" authorId="0" shapeId="0" xr:uid="{00000000-0006-0000-00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I3" authorId="0" shapeId="0" xr:uid="{00000000-0006-0000-00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J3" authorId="0" shapeId="0" xr:uid="{00000000-0006-0000-00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L3" authorId="0" shapeId="0" xr:uid="{00000000-0006-0000-00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M3" authorId="0" shapeId="0" xr:uid="{00000000-0006-0000-00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N3" authorId="0" shapeId="0" xr:uid="{00000000-0006-0000-00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V3" authorId="0" shapeId="0" xr:uid="{00000000-0006-0000-00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E3" authorId="0" shapeId="0" xr:uid="{00000000-0006-0000-00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Z3" authorId="0" shapeId="0" xr:uid="{00000000-0006-0000-00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E3" authorId="0" shapeId="0" xr:uid="{00000000-0006-0000-00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H3" authorId="0" shapeId="0" xr:uid="{00000000-0006-0000-01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I3" authorId="0" shapeId="0" xr:uid="{00000000-0006-0000-01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J3" authorId="0" shapeId="0" xr:uid="{00000000-0006-0000-01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K3" authorId="0" shapeId="0" xr:uid="{00000000-0006-0000-01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L3" authorId="0" shapeId="0" xr:uid="{00000000-0006-0000-01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N3" authorId="0" shapeId="0" xr:uid="{00000000-0006-0000-01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O3" authorId="0" shapeId="0" xr:uid="{00000000-0006-0000-01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P3" authorId="0" shapeId="0" xr:uid="{00000000-0006-0000-01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X3" authorId="0" shapeId="0" xr:uid="{00000000-0006-0000-01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G3" authorId="0" shapeId="0" xr:uid="{00000000-0006-0000-01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B3" authorId="0" shapeId="0" xr:uid="{00000000-0006-0000-01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G3" authorId="0" shapeId="0" xr:uid="{00000000-0006-0000-01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1" authorId="0" shapeId="0" xr:uid="{00000000-0006-0000-02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G1" authorId="0" shapeId="0" xr:uid="{00000000-0006-0000-02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H1" authorId="0" shapeId="0" xr:uid="{00000000-0006-0000-02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I1" authorId="0" shapeId="0" xr:uid="{00000000-0006-0000-02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J1" authorId="0" shapeId="0" xr:uid="{00000000-0006-0000-02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L1" authorId="0" shapeId="0" xr:uid="{00000000-0006-0000-02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M1" authorId="0" shapeId="0" xr:uid="{00000000-0006-0000-02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N1" authorId="0" shapeId="0" xr:uid="{00000000-0006-0000-02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V1" authorId="0" shapeId="0" xr:uid="{00000000-0006-0000-02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E1" authorId="0" shapeId="0" xr:uid="{00000000-0006-0000-02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Z1" authorId="0" shapeId="0" xr:uid="{00000000-0006-0000-02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E1" authorId="0" shapeId="0" xr:uid="{00000000-0006-0000-02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sharedStrings.xml><?xml version="1.0" encoding="utf-8"?>
<sst xmlns="http://schemas.openxmlformats.org/spreadsheetml/2006/main" count="10457" uniqueCount="2309">
  <si>
    <t>2026년 04월 자재 재고현황</t>
  </si>
  <si>
    <t>No</t>
  </si>
  <si>
    <t>부품
종류</t>
  </si>
  <si>
    <t>품명</t>
  </si>
  <si>
    <t>규격</t>
  </si>
  <si>
    <t>MAKER
품번</t>
  </si>
  <si>
    <t>MAKER</t>
  </si>
  <si>
    <t>공급처</t>
  </si>
  <si>
    <t>등록일자</t>
  </si>
  <si>
    <t>사용중지일</t>
  </si>
  <si>
    <t>전월재고</t>
  </si>
  <si>
    <t>MOQ</t>
  </si>
  <si>
    <t>납기</t>
  </si>
  <si>
    <t>안전재고수량</t>
  </si>
  <si>
    <t>현재고</t>
  </si>
  <si>
    <t>입고수량</t>
  </si>
  <si>
    <t>당월
입고</t>
  </si>
  <si>
    <t>원자재 불량 반출</t>
  </si>
  <si>
    <t>당월
반출</t>
  </si>
  <si>
    <t>출고수량</t>
  </si>
  <si>
    <t>당월
출고</t>
  </si>
  <si>
    <t>공정 불량</t>
  </si>
  <si>
    <t>공정
불량</t>
  </si>
  <si>
    <t>전극</t>
  </si>
  <si>
    <t>DXDR-070</t>
  </si>
  <si>
    <t>전극(70kV)</t>
  </si>
  <si>
    <t>순철 도금</t>
  </si>
  <si>
    <t>필라멘트</t>
  </si>
  <si>
    <t>텅스텐 필라멘트</t>
  </si>
  <si>
    <t>게터</t>
  </si>
  <si>
    <t>DXDR-070,DXDR-100</t>
  </si>
  <si>
    <t>코바</t>
  </si>
  <si>
    <t>에노드</t>
  </si>
  <si>
    <t>포커서</t>
  </si>
  <si>
    <t>세라믹</t>
  </si>
  <si>
    <t>세라믹 바디</t>
  </si>
  <si>
    <t>세라믹 스템</t>
  </si>
  <si>
    <t>필러</t>
  </si>
  <si>
    <t>전극 필러</t>
  </si>
  <si>
    <t>DXDR-100</t>
  </si>
  <si>
    <t>전극(100kV)</t>
  </si>
  <si>
    <t>에노드 링</t>
  </si>
  <si>
    <t>세라믹 슬리브</t>
  </si>
  <si>
    <t>X-ray Tube</t>
  </si>
  <si>
    <t>DX3000, ADX4000W</t>
  </si>
  <si>
    <t>TUBE</t>
  </si>
  <si>
    <t>60KV D-081B</t>
  </si>
  <si>
    <t>신광포토레이</t>
  </si>
  <si>
    <t>COCOON</t>
  </si>
  <si>
    <t>70KV D-041</t>
  </si>
  <si>
    <t>SOLO</t>
  </si>
  <si>
    <t>70KV DXDR-070</t>
  </si>
  <si>
    <t>ADX6000</t>
  </si>
  <si>
    <t>80KV D-0813</t>
  </si>
  <si>
    <t>90kV OX / 70-1.0</t>
  </si>
  <si>
    <t>CEI</t>
  </si>
  <si>
    <t>100kV</t>
  </si>
  <si>
    <t>100Kv DXDR-100</t>
  </si>
  <si>
    <t>베이클라이트</t>
  </si>
  <si>
    <t>DX3000, ADX4000W ADX6000</t>
  </si>
  <si>
    <t>튜브 하우징 파이프</t>
  </si>
  <si>
    <t>용봉화학</t>
  </si>
  <si>
    <t>HDPE</t>
  </si>
  <si>
    <t>램프</t>
  </si>
  <si>
    <t>DX3000, ADX4000W COCOON</t>
  </si>
  <si>
    <t>네온램프</t>
  </si>
  <si>
    <t>NEON-5T.5*13 red</t>
  </si>
  <si>
    <t>HLP</t>
  </si>
  <si>
    <t>다이오드</t>
  </si>
  <si>
    <t>고압 다이오드</t>
  </si>
  <si>
    <t>2CL77 (20KV, 5mA)</t>
  </si>
  <si>
    <t>비지티</t>
  </si>
  <si>
    <t>DL1500</t>
  </si>
  <si>
    <t>DD1800</t>
  </si>
  <si>
    <t>LC-2G</t>
  </si>
  <si>
    <t>TEST POINT BLACK</t>
  </si>
  <si>
    <t>저항</t>
  </si>
  <si>
    <t>15㏀ 고압용 저항</t>
  </si>
  <si>
    <t>15㏀±1％, DIP-1/4W</t>
  </si>
  <si>
    <t>30㏀ 고압용 저항</t>
  </si>
  <si>
    <t>30㏀±1％, DIP-1/4W</t>
  </si>
  <si>
    <t>500Ω 고압용 저항</t>
  </si>
  <si>
    <t>500Ω±1％, DIP-1/4W</t>
  </si>
  <si>
    <t>1.7W,10kV 시멘트저항 짧은 것</t>
  </si>
  <si>
    <t>RK92-11XD 307J (1.7W,10kV,±5%,300ppm,Flat)</t>
  </si>
  <si>
    <t>2.7W,15kV 시멘트저항 긴 것</t>
  </si>
  <si>
    <t xml:space="preserve">RK92-18XD 307J (2.7W,15kV,±5%,300ppm,Flat) </t>
  </si>
  <si>
    <t>47k Surge 저항</t>
  </si>
  <si>
    <t>HPC-2C 47k/Surge</t>
  </si>
  <si>
    <t>100nF 칩세라믹 콘덴서</t>
  </si>
  <si>
    <t>3216B 100nF</t>
  </si>
  <si>
    <t>103Z 고압용 세라믹 콘덴서</t>
  </si>
  <si>
    <t>50V F103Z</t>
  </si>
  <si>
    <t>세라믹 큰 콘덴서</t>
  </si>
  <si>
    <t>DHR4E4C102K2FB</t>
  </si>
  <si>
    <t>비지티, HLP</t>
  </si>
  <si>
    <t>COCOON, 
ADX6000</t>
  </si>
  <si>
    <t>세라믹 작은 콘덴서 Murata</t>
  </si>
  <si>
    <t>680pF DHR4E4C681K2BB</t>
  </si>
  <si>
    <t>세라믹 작은 콘덴서 Vishay</t>
  </si>
  <si>
    <t>HVCC203Y6P681MCAX</t>
  </si>
  <si>
    <t>센서</t>
  </si>
  <si>
    <t>온도센서</t>
  </si>
  <si>
    <t>LNTK103FW</t>
  </si>
  <si>
    <t>트랜스</t>
  </si>
  <si>
    <t>트랜스포머</t>
  </si>
  <si>
    <t>60kV</t>
  </si>
  <si>
    <t>미래메디칼</t>
  </si>
  <si>
    <t>70kV</t>
  </si>
  <si>
    <t>트랜스포머 (800턴)</t>
  </si>
  <si>
    <t>80kV</t>
  </si>
  <si>
    <t>CORE</t>
  </si>
  <si>
    <t>T 코어 (히터트랜스용)</t>
  </si>
  <si>
    <t>T31 X 8 X 19E</t>
  </si>
  <si>
    <t>대영파츠넷</t>
  </si>
  <si>
    <t>TR22-14-6.5</t>
  </si>
  <si>
    <t>DCT,HLP</t>
  </si>
  <si>
    <t>센더스트 코어</t>
  </si>
  <si>
    <t>CS234060</t>
  </si>
  <si>
    <t>도일코리아</t>
  </si>
  <si>
    <t>CABLE</t>
  </si>
  <si>
    <t>TIW 권선 (히터트랜스용 선)</t>
  </si>
  <si>
    <t>(외경)0.7mm (내경)0.5mm, 4000m</t>
  </si>
  <si>
    <t>승리케이블</t>
  </si>
  <si>
    <t>히터트랜스용 고압선(적색)</t>
  </si>
  <si>
    <t>40KVDC 22AWG</t>
  </si>
  <si>
    <t>히터트랜스용 고압선(흰색)</t>
  </si>
  <si>
    <t>DSI HV CABLE 2178</t>
  </si>
  <si>
    <t>BGT</t>
  </si>
  <si>
    <t>BOARD</t>
  </si>
  <si>
    <t>고압베어 B/D</t>
  </si>
  <si>
    <t>한샘디지텍</t>
  </si>
  <si>
    <t>DX3000</t>
  </si>
  <si>
    <t>고압베어 B/D - TFT</t>
  </si>
  <si>
    <t>70kV, 3mA</t>
  </si>
  <si>
    <t xml:space="preserve">구형 </t>
  </si>
  <si>
    <t>신형</t>
  </si>
  <si>
    <t>튜브 고정 보드 에노드</t>
  </si>
  <si>
    <t>나사</t>
  </si>
  <si>
    <t>튜브 고정 보드 케소드</t>
  </si>
  <si>
    <t>ADX4000W</t>
  </si>
  <si>
    <t>베이클라이트 케이스</t>
  </si>
  <si>
    <t>NC 케이스</t>
  </si>
  <si>
    <t>PE케이스 거치대</t>
  </si>
  <si>
    <t>황동</t>
  </si>
  <si>
    <t>신주 케이스</t>
  </si>
  <si>
    <t>0.6T</t>
  </si>
  <si>
    <t>해진정밀</t>
  </si>
  <si>
    <t>디지아이</t>
  </si>
  <si>
    <t>0.6T + 193 (커팅전)</t>
  </si>
  <si>
    <t>신주 케이스 뚜껑</t>
  </si>
  <si>
    <t>공용</t>
  </si>
  <si>
    <t>방사구</t>
  </si>
  <si>
    <t>외경 탭 추가</t>
  </si>
  <si>
    <t>방사구 너트</t>
  </si>
  <si>
    <t>AL</t>
  </si>
  <si>
    <t>알루미늄 필터</t>
  </si>
  <si>
    <t>0.8T * Φ24</t>
  </si>
  <si>
    <t>광전레이저</t>
  </si>
  <si>
    <t>1.2T * Φ24</t>
  </si>
  <si>
    <t>2T * Φ24</t>
  </si>
  <si>
    <t>오링</t>
  </si>
  <si>
    <t>방사구 오링</t>
  </si>
  <si>
    <t>2*18</t>
  </si>
  <si>
    <t>3 PIN 커넥터</t>
  </si>
  <si>
    <t>DX3000,ADX4000W
COCOON,ADX6000</t>
  </si>
  <si>
    <t>4 PIN 커넥터</t>
  </si>
  <si>
    <t>7핀 B/D</t>
  </si>
  <si>
    <t>9핀 B/D - TFT</t>
  </si>
  <si>
    <t>8핀 B/D</t>
  </si>
  <si>
    <t>9핀 B/D</t>
  </si>
  <si>
    <t>10핀 B/D</t>
  </si>
  <si>
    <t>PCB</t>
  </si>
  <si>
    <t>CTR B/D (유럽용)</t>
  </si>
  <si>
    <t>CTR B/D (미국용)</t>
  </si>
  <si>
    <t>CTR B/D (TFT용)</t>
  </si>
  <si>
    <t>V3.1.1</t>
  </si>
  <si>
    <t>LCD B/D (듀얼 슬라이드)</t>
  </si>
  <si>
    <t>TFT LCD B/D (듀얼 슬라이드)</t>
  </si>
  <si>
    <t>V3.0.1</t>
  </si>
  <si>
    <t>LCD B/D (사파리) -원버턴타입</t>
  </si>
  <si>
    <t>OLED B/D (듀얼)</t>
  </si>
  <si>
    <t>EX B/D (듀얼) (좌)</t>
  </si>
  <si>
    <t>EX B/D (듀얼) (우)</t>
  </si>
  <si>
    <t>EX B/D 사파리 (원버턴)</t>
  </si>
  <si>
    <t>RELAY 쪽 보드</t>
  </si>
  <si>
    <t>AIM LED 쪽 보드</t>
  </si>
  <si>
    <t>PANEL</t>
  </si>
  <si>
    <t>LCD PANEL</t>
  </si>
  <si>
    <t>2.35"LCD</t>
  </si>
  <si>
    <t>DX3000, SOLO</t>
  </si>
  <si>
    <t>TFT LCD PANEL</t>
  </si>
  <si>
    <t>2.4"LCD - CT1715N241A</t>
  </si>
  <si>
    <t>클리어디스플레이</t>
  </si>
  <si>
    <t>하네스 1번</t>
  </si>
  <si>
    <t>FFC 20핀</t>
  </si>
  <si>
    <t>하네스 4번</t>
  </si>
  <si>
    <t xml:space="preserve">후면 전원 Wire - DC 잭 </t>
  </si>
  <si>
    <t>하네스 5번</t>
  </si>
  <si>
    <t>EXP KEY 4핀 케이블</t>
  </si>
  <si>
    <t>하네스 7번</t>
  </si>
  <si>
    <t>마그네틱보드 연결 4핀</t>
  </si>
  <si>
    <t>하네스 8번</t>
  </si>
  <si>
    <t>CJ4003 잭 (관전류 짹 + 2핀케이블)</t>
  </si>
  <si>
    <t>ABS 난연</t>
  </si>
  <si>
    <t>LCD GUIDE</t>
  </si>
  <si>
    <t>ABS 난연 화이트</t>
  </si>
  <si>
    <t>천우</t>
  </si>
  <si>
    <t>LCD GUIDE (사파리)</t>
  </si>
  <si>
    <t>FRONT COVER (듀얼 슬라이드)</t>
  </si>
  <si>
    <t>ABS 난연 블랙</t>
  </si>
  <si>
    <t>ABS 난연 블랙 (홀작업 완료)</t>
  </si>
  <si>
    <t>REAR COVER</t>
  </si>
  <si>
    <t>BATTERY COVER</t>
  </si>
  <si>
    <t>ABS 난연 블랙 + 블랙</t>
  </si>
  <si>
    <t>ABS 난연 화이트 + 진한 회색</t>
  </si>
  <si>
    <t>POWER BUTTON</t>
  </si>
  <si>
    <t>ABS 난연 화이트 + 밝은 회색</t>
  </si>
  <si>
    <t>EX BUTTON</t>
  </si>
  <si>
    <t>NAVI KEY</t>
  </si>
  <si>
    <t>DECO GUIDE</t>
  </si>
  <si>
    <t>20cm CONE</t>
  </si>
  <si>
    <t>ABS 난연 블랙 + 블랙 무광</t>
  </si>
  <si>
    <t>15cm CONE</t>
  </si>
  <si>
    <t>X-CAP (기본)</t>
  </si>
  <si>
    <t>ABS 화이트 + 진한 회색</t>
  </si>
  <si>
    <t>X-CAP 체결형 (신형)</t>
  </si>
  <si>
    <t>X-CAP 체결형 (구형, 일본용)</t>
  </si>
  <si>
    <t>X-CAP 체결형 스프레이 X (구형, 일본용)</t>
  </si>
  <si>
    <t>CONE 젠더</t>
  </si>
  <si>
    <t>메디컬용 컬리메타</t>
  </si>
  <si>
    <t>금오몰드</t>
  </si>
  <si>
    <t>메디컬용 컬리메타 CAP</t>
  </si>
  <si>
    <t>아크릴</t>
  </si>
  <si>
    <t>LCD WINDOW</t>
  </si>
  <si>
    <t>투명 아크릴</t>
  </si>
  <si>
    <t>LCD LED</t>
  </si>
  <si>
    <t>확산 아크릴</t>
  </si>
  <si>
    <t>POWER LED</t>
  </si>
  <si>
    <t>EX LED (좌)</t>
  </si>
  <si>
    <t>EX LED (우)</t>
  </si>
  <si>
    <t>메디컬용 십자아크릴 (66*66)</t>
  </si>
  <si>
    <t>0.8T * Φ63</t>
  </si>
  <si>
    <t>1.5T * Φ63 일본 동물용</t>
  </si>
  <si>
    <t>인조가죽</t>
  </si>
  <si>
    <t>HAND STRAP 손잡이</t>
  </si>
  <si>
    <t>인조 가죽</t>
  </si>
  <si>
    <t>굿모닝코리아유통</t>
  </si>
  <si>
    <t>HAND STRAP 손잡이 (로고 없음)</t>
  </si>
  <si>
    <t>STEEL</t>
  </si>
  <si>
    <t>고리 1</t>
  </si>
  <si>
    <t>니켈 도금</t>
  </si>
  <si>
    <t>고리 2</t>
  </si>
  <si>
    <t>CTR B/D</t>
  </si>
  <si>
    <t>FET B/D</t>
  </si>
  <si>
    <t xml:space="preserve"> + 56 (교체전)</t>
  </si>
  <si>
    <t>POWER SWITCH BD</t>
  </si>
  <si>
    <t>POWER SWITCH BD (Ver 3.0.0)</t>
  </si>
  <si>
    <t>HANDLE CONNECTOR BD 신형 (신주 2핀)</t>
  </si>
  <si>
    <t>BATTERY BRIDGE BD</t>
  </si>
  <si>
    <t>CRADLE BD</t>
  </si>
  <si>
    <t>OP &amp; TOUCH BD</t>
  </si>
  <si>
    <t>TX30(FEMALE)+YH396-02 100mm CTR BD 외부단자 2핀</t>
  </si>
  <si>
    <t>하네스 2번</t>
  </si>
  <si>
    <t>TX30(MALE)+DC022(2.5) 80mm 전원 외부단자 2핀</t>
  </si>
  <si>
    <t>하네스 3번</t>
  </si>
  <si>
    <t>FFC CABLE 1mm*30P*200*B CTR BD*OP BD (다른방향)</t>
  </si>
  <si>
    <t>12505HS-02+SORDER 50mm - OP BD 2.20 전용 스피커 2핀</t>
  </si>
  <si>
    <t>YH396-04*2EA 150mm BATTERY BRIDGE BD 4핀</t>
  </si>
  <si>
    <t>12505HS-05 125mm POWER SWITCH BD 5핀</t>
  </si>
  <si>
    <t>하네스 11번</t>
  </si>
  <si>
    <t>YH396-02+SORDER 80mm CRADLE 신주 연결 2핀</t>
  </si>
  <si>
    <t>에이밍 하네스 1번</t>
  </si>
  <si>
    <t>YHM025-02R 210mm, CTR + POWER BD 2핀</t>
  </si>
  <si>
    <t>에이밍 하네스 2번</t>
  </si>
  <si>
    <t>YHM025-02R 180mm, LED BD 2핀, 19+83(사출결합)</t>
  </si>
  <si>
    <t>OLED PANEL</t>
  </si>
  <si>
    <t>UG-5664ASWEF01</t>
  </si>
  <si>
    <t>TOP BODY</t>
  </si>
  <si>
    <t>메탈 실버 유광</t>
  </si>
  <si>
    <t>BOTTOM BODY</t>
  </si>
  <si>
    <t>블랙 유광</t>
  </si>
  <si>
    <t>OLED GUIDE</t>
  </si>
  <si>
    <t>BUTTON INDICATOR</t>
  </si>
  <si>
    <t>TOUCH DUMMY</t>
  </si>
  <si>
    <t>LOCK KNOB</t>
  </si>
  <si>
    <t>LOCK INNER</t>
  </si>
  <si>
    <t>메탈 실버</t>
  </si>
  <si>
    <t>FRONT_S (18cm)</t>
  </si>
  <si>
    <t>FRONT_L (20cm)</t>
  </si>
  <si>
    <t>ABS 난연 블랙 + 블랙 유광</t>
  </si>
  <si>
    <t>FRONT_CAP</t>
  </si>
  <si>
    <t>에이밍 앞 사출</t>
  </si>
  <si>
    <t>CONE GUIDE_S (18cm)</t>
  </si>
  <si>
    <t>CONE GUIDE_L (20cm)</t>
  </si>
  <si>
    <t>HAND BODY</t>
  </si>
  <si>
    <t>HAND TOP COVER</t>
  </si>
  <si>
    <t>BAT BOTTOM</t>
  </si>
  <si>
    <t>CRADLE BODY BUTTON X</t>
  </si>
  <si>
    <t>CRADLE BOTTOM</t>
  </si>
  <si>
    <t>도금용 ABS</t>
  </si>
  <si>
    <t>CRADLE FRAME</t>
  </si>
  <si>
    <t>도금용 사출 + 크롬 도금</t>
  </si>
  <si>
    <t>SHOT BUTTON</t>
  </si>
  <si>
    <t>ABS 난연 화이트 + 오렌지 유광</t>
  </si>
  <si>
    <t>SHOT PCB GUIDE</t>
  </si>
  <si>
    <t>SLIDE SWITCH</t>
  </si>
  <si>
    <t>ABS 난연 화이트 + 레드 유광</t>
  </si>
  <si>
    <t>SLIDE CAP</t>
  </si>
  <si>
    <t>GER GUIDE</t>
  </si>
  <si>
    <t>에이밍 LED BODY 신형 A</t>
  </si>
  <si>
    <t>오비스코리아</t>
  </si>
  <si>
    <t>에이밍 LED BODY 신형 B</t>
  </si>
  <si>
    <t>에이밍 방사구 젠더</t>
  </si>
  <si>
    <t>다우정밀</t>
  </si>
  <si>
    <t>WINDOW</t>
  </si>
  <si>
    <t>투명 아크릴 + 실크 인쇄 로고O</t>
  </si>
  <si>
    <t>우민테크</t>
  </si>
  <si>
    <t>투명 아크릴 + 실크 인쇄 로고X</t>
  </si>
  <si>
    <t xml:space="preserve">에이밍 아크릴 은경 </t>
  </si>
  <si>
    <t>에이밍 십자 아크릴 (사각 모양)</t>
  </si>
  <si>
    <t>투명 아크릴 + 인쇄</t>
  </si>
  <si>
    <t>에이밍 원형 십자 아크릴 (테두리 O)  2.0T</t>
  </si>
  <si>
    <t>투명 아크릴 + 인쇄 2T - 영국용</t>
  </si>
  <si>
    <t>에이밍 원형 십자 아크릴 (테두리 O) 2.0T</t>
  </si>
  <si>
    <t>투명 아크릴 + 인쇄 2T - 얇은 테두리</t>
  </si>
  <si>
    <t>에이밍 원형 십자 아크릴 (테두리 X) 2.0T</t>
  </si>
  <si>
    <t>투명 아크릴 + 인쇄 2T -사파리용</t>
  </si>
  <si>
    <t xml:space="preserve">알루미늄 필터 </t>
  </si>
  <si>
    <t>0.5T * Φ63 코쿤 기본</t>
  </si>
  <si>
    <t>RUBBER</t>
  </si>
  <si>
    <t>BAT BOTTOM RUBBER</t>
  </si>
  <si>
    <t>남경화학</t>
  </si>
  <si>
    <t>CRADLE FOOT RUBBER</t>
  </si>
  <si>
    <t>신주</t>
  </si>
  <si>
    <t>CRADLE 신주 핀</t>
  </si>
  <si>
    <t>신주 가공 + 니켈 도금</t>
  </si>
  <si>
    <t>스프링</t>
  </si>
  <si>
    <t>EXP BUTTON 스프링</t>
  </si>
  <si>
    <t>금호스프링</t>
  </si>
  <si>
    <t>CRADLE 충전단자 스프링</t>
  </si>
  <si>
    <t>고리</t>
  </si>
  <si>
    <t>니켈 도금 D링</t>
  </si>
  <si>
    <t>자석</t>
  </si>
  <si>
    <t>네오디움 마그넷</t>
  </si>
  <si>
    <t>일성마그네트</t>
  </si>
  <si>
    <t>블랙 무광</t>
  </si>
  <si>
    <t>ABS 난연 화이트 유광</t>
  </si>
  <si>
    <t>ABS 난연 화이트 + 화이트 유광</t>
  </si>
  <si>
    <t>CTR _BD</t>
  </si>
  <si>
    <t>OP_BD</t>
  </si>
  <si>
    <t>POWER_BD</t>
  </si>
  <si>
    <t>MAIN_BD</t>
  </si>
  <si>
    <t>리모콘_BD</t>
  </si>
  <si>
    <t>EXP_BD</t>
  </si>
  <si>
    <t>BATCON_BD</t>
  </si>
  <si>
    <t>SOLO 하네스 1번</t>
  </si>
  <si>
    <t>12505HS-12 (PowerBD - OP 12핀)</t>
  </si>
  <si>
    <t>SOLO 하네스 2번</t>
  </si>
  <si>
    <t>12505HS-03 Battery-Handle bridge 3핀</t>
  </si>
  <si>
    <t>SOLO 하네스 3번</t>
  </si>
  <si>
    <t>0.5 * 40 * 100 * B (FFC 40핀)</t>
  </si>
  <si>
    <t>SOLO 하네스 4번</t>
  </si>
  <si>
    <t>BATCON+EXP _ 190mm(Red1EA, White 2EA)-3핀</t>
  </si>
  <si>
    <t>TOP Body</t>
  </si>
  <si>
    <t>ABS 블랙 샌딩</t>
  </si>
  <si>
    <t>Bottom Body</t>
  </si>
  <si>
    <t>Main_Cone</t>
  </si>
  <si>
    <t>ABS 메탈릭 다크그레이</t>
  </si>
  <si>
    <t>Hand_Body</t>
  </si>
  <si>
    <t>Bat_Bottom</t>
  </si>
  <si>
    <t>Power Button</t>
  </si>
  <si>
    <t>Button Indicator</t>
  </si>
  <si>
    <t>ABS 블랙</t>
  </si>
  <si>
    <t>월드씨앤피</t>
  </si>
  <si>
    <t>발생부_Guide</t>
  </si>
  <si>
    <t>Lock Inner</t>
  </si>
  <si>
    <t>Lock Knob</t>
  </si>
  <si>
    <t>Front_CAP</t>
  </si>
  <si>
    <t>연장 Cone</t>
  </si>
  <si>
    <t>Hand Top Cover</t>
  </si>
  <si>
    <t>Slide Switch</t>
  </si>
  <si>
    <t>ABS 블루(PANTTON 660C) 무광</t>
  </si>
  <si>
    <t>Slide Switch Cap</t>
  </si>
  <si>
    <t>ABS 레드 무광</t>
  </si>
  <si>
    <t>Shot_Button</t>
  </si>
  <si>
    <t>Shot_PCB_Guide</t>
  </si>
  <si>
    <t>Bat_Bottom_Cover</t>
  </si>
  <si>
    <t>Aiming_Light_LED_아크릴</t>
  </si>
  <si>
    <t>확산 아크릴/ 화이트</t>
  </si>
  <si>
    <t>LCD_Window</t>
  </si>
  <si>
    <t>PC / 투명 + (구형 26)</t>
  </si>
  <si>
    <t>LCD_LED_확산_아크릴</t>
  </si>
  <si>
    <t>광센서_유색_창</t>
  </si>
  <si>
    <t>PC/스모그/퍼플</t>
  </si>
  <si>
    <t>BAT_LED_확산_아크릴</t>
  </si>
  <si>
    <t>가스켓</t>
  </si>
  <si>
    <t>LCD 터치가스켓</t>
  </si>
  <si>
    <t>8X8X7</t>
  </si>
  <si>
    <t>마운트</t>
  </si>
  <si>
    <t>삼각대 고정홀</t>
  </si>
  <si>
    <t>RUBBER (1T, 마운트 홀)</t>
  </si>
  <si>
    <t>DX3000, ADX6000,SOLO</t>
  </si>
  <si>
    <t>에이밍 바디 뭉치</t>
  </si>
  <si>
    <t>ø33*19.3</t>
  </si>
  <si>
    <t>아크릴 은경</t>
  </si>
  <si>
    <t>아크릴 40파이</t>
  </si>
  <si>
    <t>명동아크릴</t>
  </si>
  <si>
    <t>에이밍 LED 보드</t>
  </si>
  <si>
    <t xml:space="preserve">LED PCB </t>
  </si>
  <si>
    <t>LED PCB 방열 가이드</t>
  </si>
  <si>
    <t>흑색 다이캐스팅</t>
  </si>
  <si>
    <t>㈜쿠가</t>
  </si>
  <si>
    <t xml:space="preserve"> + 12(AS용)</t>
  </si>
  <si>
    <t>4.8" LCD  BD</t>
  </si>
  <si>
    <t>POWER BD</t>
  </si>
  <si>
    <t>EX B/D</t>
  </si>
  <si>
    <t>NAVI BD</t>
  </si>
  <si>
    <t>NAVI BD 사파리</t>
  </si>
  <si>
    <t>Carrier BD (구형 KONTRON)</t>
  </si>
  <si>
    <t>비씨엠테크</t>
  </si>
  <si>
    <t>Carrier BD (신형 DFI)</t>
  </si>
  <si>
    <t>한컴MDS</t>
  </si>
  <si>
    <t>Module BD (구형 KONTRON)</t>
  </si>
  <si>
    <t>KONTRON</t>
  </si>
  <si>
    <t>Module BD (신형 DFI)</t>
  </si>
  <si>
    <t>USB 메모리 BD (구형 KONTRON) ver 1.5</t>
  </si>
  <si>
    <t>USB 메모리 BD (신형 DFI)</t>
  </si>
  <si>
    <t>5" LCD</t>
  </si>
  <si>
    <t>LQ050W1LA0A</t>
  </si>
  <si>
    <t>홍콩</t>
  </si>
  <si>
    <t>4.8" LCD</t>
  </si>
  <si>
    <t>LMS480J-C01(LTS480WS-C01)</t>
  </si>
  <si>
    <t>Embedded PC 전원 (2핀)</t>
  </si>
  <si>
    <t>케리어+CTR B/D 연결</t>
  </si>
  <si>
    <t>리모콘 및 관전류 (4핀)</t>
  </si>
  <si>
    <t>USB Wire (4핀)</t>
  </si>
  <si>
    <t>NAVIGATION KEY (6핀)</t>
  </si>
  <si>
    <t>RS422 통신 및 PC 전원 on/off  (7핀)</t>
  </si>
  <si>
    <t>전원 및 EXP Wire  (8핀)</t>
  </si>
  <si>
    <t>LCD Wire (LVDS) (30핀)</t>
  </si>
  <si>
    <t>LCD TOP</t>
  </si>
  <si>
    <t>LCD BOTTOM</t>
  </si>
  <si>
    <t>TOP</t>
  </si>
  <si>
    <t>BOTTOM</t>
  </si>
  <si>
    <t>USB COVER</t>
  </si>
  <si>
    <t>POWER LED GUIDE</t>
  </si>
  <si>
    <t>EX LED GUIDE</t>
  </si>
  <si>
    <t>GUIDE</t>
  </si>
  <si>
    <t>GUIDE 스프레이 X</t>
  </si>
  <si>
    <t>HINGE GUIDE</t>
  </si>
  <si>
    <t>POWER BUTTON 스프레이 X</t>
  </si>
  <si>
    <t>EXPOSE BUTTON</t>
  </si>
  <si>
    <t>EXPOSE BUTTON 스프레이 X</t>
  </si>
  <si>
    <t>NAVI BUTTON (가운데)</t>
  </si>
  <si>
    <t>NAVI BUTTON 스프레이 X (가운데)</t>
  </si>
  <si>
    <t>NAVI KEY (방향)</t>
  </si>
  <si>
    <t>NAVI KEY 사파리 (방향)</t>
  </si>
  <si>
    <t>ABS 난연 반투명</t>
  </si>
  <si>
    <t>NAVI KEY 스프레이 X (방향)</t>
  </si>
  <si>
    <t>FRONT CONE 일체형</t>
  </si>
  <si>
    <t>FRONT CONE 체결형</t>
  </si>
  <si>
    <t>히팅 싱크 구형 (일본 사용)</t>
  </si>
  <si>
    <t>히팅 싱크 신형</t>
  </si>
  <si>
    <t>쿨링팬</t>
  </si>
  <si>
    <t>방열 팬 구형 (일본 사용)</t>
  </si>
  <si>
    <t>1204KL-01W-B10 5V 0.1A</t>
  </si>
  <si>
    <t>직구</t>
  </si>
  <si>
    <t>방열 팬 신형</t>
  </si>
  <si>
    <t>HBD0401005SEM 5V 0.15A</t>
  </si>
  <si>
    <t>써멀패드</t>
  </si>
  <si>
    <t>히팅 패드</t>
  </si>
  <si>
    <t>페라이트</t>
  </si>
  <si>
    <t>큰 페라이트</t>
  </si>
  <si>
    <t>ZCAT-1730-0730</t>
  </si>
  <si>
    <t>작은 페라이트</t>
  </si>
  <si>
    <t>ZCAT-1325-0530</t>
  </si>
  <si>
    <t>동글</t>
  </si>
  <si>
    <t>TP-LINK (WAN1000M)-동글</t>
  </si>
  <si>
    <t>ip TIME 무선 랜카드 [N100UM]</t>
  </si>
  <si>
    <t>ELECOM WIFI (10DR)</t>
  </si>
  <si>
    <t>WDC-150SU2M</t>
  </si>
  <si>
    <t>일본 지사</t>
  </si>
  <si>
    <t>USB</t>
  </si>
  <si>
    <t>USB 메모리</t>
  </si>
  <si>
    <t>16GB</t>
  </si>
  <si>
    <t>클립</t>
  </si>
  <si>
    <t>Q 클립</t>
  </si>
  <si>
    <t>L 클립</t>
  </si>
  <si>
    <t>실리콘</t>
  </si>
  <si>
    <t>HAND GUIDE</t>
  </si>
  <si>
    <t>HAND STRAP -손잡이(터치펜)(유럽용)</t>
  </si>
  <si>
    <t>인조 가죽, AL(Cr도금), SUS Φ2.0</t>
  </si>
  <si>
    <t>HAND STRAP -손잡이(터치펜)</t>
  </si>
  <si>
    <t>ADX6000S</t>
  </si>
  <si>
    <t>CON BD</t>
  </si>
  <si>
    <t>V2.0.1</t>
  </si>
  <si>
    <t>LCD B/D</t>
  </si>
  <si>
    <t>ETC CARRIER BD</t>
  </si>
  <si>
    <t>IEC-1000</t>
  </si>
  <si>
    <t>ETC FRONT BD</t>
  </si>
  <si>
    <t>리모콘 포트 수정 신형 얇은 것</t>
  </si>
  <si>
    <t>Power Switch B/D</t>
  </si>
  <si>
    <t>관전류 B/D</t>
  </si>
  <si>
    <t>Battery Bridge B/D</t>
  </si>
  <si>
    <t>Battery Connect B/D</t>
  </si>
  <si>
    <t>Cradle B/D</t>
  </si>
  <si>
    <t>ADX4000W, ADX6000</t>
  </si>
  <si>
    <t>스피커 2핀</t>
  </si>
  <si>
    <t>12505HS-02+SORDER 200mm</t>
  </si>
  <si>
    <t>12505HS-06, 12505HS-04, 12505HS-03, 12505HS-02 CTR, CURRENT, FRONT, PC BD연결 / 180mm, 140mm, 200mm</t>
  </si>
  <si>
    <t>12505HS-04, USB-105 PC, FRONT BD 연결 / 70mm</t>
  </si>
  <si>
    <t>Power&amp;Exp Connector 12핀 / 160mm, 70mm</t>
  </si>
  <si>
    <t>컬리메이터 LED 2핀 / 300mm</t>
  </si>
  <si>
    <t>하네스 6번</t>
  </si>
  <si>
    <t>SMH250-02 PC 전원 케이블 / 130mm</t>
  </si>
  <si>
    <t>DF19G-20S-1C(0.5) (2EA) LVDS 케이블 / 160mm 힌지 작업시 발주</t>
  </si>
  <si>
    <t>하네스 9-1번</t>
  </si>
  <si>
    <t>12505HS-03 Carrier Mini BD 케이블 / 100mm (한쪽만 커넥터)</t>
  </si>
  <si>
    <t>하네스 10번</t>
  </si>
  <si>
    <t>CHW0640-03, 1205HS-03 PC, CTR BD 연결 / 130mm</t>
  </si>
  <si>
    <t>Battery BD 02 [4핀,2핀,Dual] 탈착, 외부 BAT BD 연결 / 90mm, 80mm</t>
  </si>
  <si>
    <t>하네스 14번</t>
  </si>
  <si>
    <t>FFC Cable 40핀 / 50mm - 사용안함</t>
  </si>
  <si>
    <t>Battery BD 01 Wire Harness (2핀)</t>
  </si>
  <si>
    <t>80mm</t>
  </si>
  <si>
    <t>4.3" LCD (신형)</t>
  </si>
  <si>
    <t>에이치앤에스</t>
  </si>
  <si>
    <t>MODULE</t>
  </si>
  <si>
    <t>4.3" Module (신형)</t>
  </si>
  <si>
    <t>컬리메이터 TOP 사출</t>
  </si>
  <si>
    <t>ABS 난연 화이트 + 스프레이</t>
  </si>
  <si>
    <t>컬리메이터 BOTTOM 사출</t>
  </si>
  <si>
    <t>컬리메이터 FRONT 사출</t>
  </si>
  <si>
    <t>ABS 난연 화이트 + 스프레이(블랙무광)</t>
  </si>
  <si>
    <t>일체형 컬리메이터</t>
  </si>
  <si>
    <t>LCD Cover 사출</t>
  </si>
  <si>
    <t>ABS 난연 화이트+ 색바랜 노란색 398</t>
  </si>
  <si>
    <t xml:space="preserve">LCD Inner Cover 사출 </t>
  </si>
  <si>
    <t>LCD 힌지 사출 커버 TOP</t>
  </si>
  <si>
    <t>LCD 힌지 사출 커버 BOTTOM</t>
  </si>
  <si>
    <t>LCD 사출 나사 커버</t>
  </si>
  <si>
    <t>Main PC 거치대 사출</t>
  </si>
  <si>
    <t>BODY LEFT 사출</t>
  </si>
  <si>
    <t>BODY LEFT 사출 배터리 커버</t>
  </si>
  <si>
    <t>BODY RIGHT 사출</t>
  </si>
  <si>
    <t>HANDLE LEFT 사출</t>
  </si>
  <si>
    <t>HANDLE RIGHT 사출</t>
  </si>
  <si>
    <t>CRADLE TOP 사출</t>
  </si>
  <si>
    <t>CRADLE BOTTOM 사출</t>
  </si>
  <si>
    <t>ABS 난연 화이트 + 스프레이 블랙</t>
  </si>
  <si>
    <t>CRADLE LED Guide 사출</t>
  </si>
  <si>
    <t>리모콘 포트 가이드</t>
  </si>
  <si>
    <t>Power Button 사출</t>
  </si>
  <si>
    <t>스모그 투명 아크릴</t>
  </si>
  <si>
    <t>Black Deco Guide</t>
  </si>
  <si>
    <t>EX Button 사출</t>
  </si>
  <si>
    <t>LCD 아크릴 가이드</t>
  </si>
  <si>
    <t>아크릴최가</t>
  </si>
  <si>
    <t>아크릴 투명 십자 panel</t>
  </si>
  <si>
    <t>아크릴 + 실크 인쇄</t>
  </si>
  <si>
    <t>LCD HINGE</t>
  </si>
  <si>
    <t>가공</t>
  </si>
  <si>
    <t>디엔케이시스템</t>
  </si>
  <si>
    <t>Base Block</t>
  </si>
  <si>
    <t>AL 가공 + 흑색 아노다이징</t>
  </si>
  <si>
    <t>제이케이시스템</t>
  </si>
  <si>
    <t>Bottom Block</t>
  </si>
  <si>
    <t>알루미늄 브라켓 6 hole</t>
  </si>
  <si>
    <t>AL 가공 + 백색 아노다이징</t>
  </si>
  <si>
    <t>SUS</t>
  </si>
  <si>
    <t>손잡이 핀</t>
  </si>
  <si>
    <t>중간 페라이트 코어</t>
  </si>
  <si>
    <t>ZCAT 1518-0730</t>
  </si>
  <si>
    <t>스티커</t>
  </si>
  <si>
    <t>LCD 배젤 스티커</t>
  </si>
  <si>
    <t>그라피아스크린</t>
  </si>
  <si>
    <t>Front Port Sticker</t>
  </si>
  <si>
    <t>리모콘 포트 수정 신형</t>
  </si>
  <si>
    <t>LCD 힌지 가죽 커버</t>
  </si>
  <si>
    <t>가죽 손잡이 (탈착배터리 터치펜 X)</t>
  </si>
  <si>
    <t>배터리</t>
  </si>
  <si>
    <t>기본 배터리</t>
  </si>
  <si>
    <t>PF435060HP</t>
  </si>
  <si>
    <t>비앤테크</t>
  </si>
  <si>
    <t>내부 배터리</t>
  </si>
  <si>
    <t>PF605060HP</t>
  </si>
  <si>
    <t>외부 배터리</t>
  </si>
  <si>
    <t>소형 외부배터리</t>
  </si>
  <si>
    <t>LIP1902A 18.5V 5S 50C 2100mAh</t>
  </si>
  <si>
    <t>LIP1902A_5035127SH25</t>
  </si>
  <si>
    <t>CORD</t>
  </si>
  <si>
    <t>2구 AC코드 C타입</t>
  </si>
  <si>
    <t>220V</t>
  </si>
  <si>
    <t>브리지파워</t>
  </si>
  <si>
    <t>2구 AC코드 A타입</t>
  </si>
  <si>
    <t>일본용, 110V</t>
  </si>
  <si>
    <t>3구 접지 AC 코드</t>
  </si>
  <si>
    <t>유럽용, 220V</t>
  </si>
  <si>
    <t>3구 접지 AC 코드 A타입</t>
  </si>
  <si>
    <t>3구 접지 AC코드 B타입</t>
  </si>
  <si>
    <t>미국용</t>
  </si>
  <si>
    <t>3구 접지 AC코드 I타입</t>
  </si>
  <si>
    <t>호주, 중국 공용</t>
  </si>
  <si>
    <t>3구 접지 AC코드 G타입</t>
  </si>
  <si>
    <t>영국용</t>
  </si>
  <si>
    <t>ADAPTER</t>
  </si>
  <si>
    <t>2구 충전기</t>
  </si>
  <si>
    <t>BPL910S16N01, 220V</t>
  </si>
  <si>
    <t>3구 충전기</t>
  </si>
  <si>
    <t>BPL910S16F01, (미국, 호주 공용)</t>
  </si>
  <si>
    <t>20.7V 1.7A 충전기</t>
  </si>
  <si>
    <t>5S 어댑터</t>
  </si>
  <si>
    <t>25.2V 1.7A 충전기</t>
  </si>
  <si>
    <t>6S 어댑터 (중국용)</t>
  </si>
  <si>
    <t>15V 1.0A 충전기</t>
  </si>
  <si>
    <t>110V</t>
  </si>
  <si>
    <t>충전 변환 젠더</t>
  </si>
  <si>
    <t>외부배터리 충전용 잭</t>
  </si>
  <si>
    <t>배터리 충전기</t>
  </si>
  <si>
    <t>거치대</t>
  </si>
  <si>
    <t>D-910</t>
  </si>
  <si>
    <t>외부 배터리 와이어 케이블</t>
  </si>
  <si>
    <t>USB 2.0 CABLE</t>
  </si>
  <si>
    <t>U-30136, 3m</t>
  </si>
  <si>
    <t>유그린</t>
  </si>
  <si>
    <t>PMM369-0200, 2m</t>
  </si>
  <si>
    <t>강원전자</t>
  </si>
  <si>
    <t>PMM369-0100, 1m</t>
  </si>
  <si>
    <t>PC Link Cable</t>
  </si>
  <si>
    <t>외부 배터리 쪽 보드</t>
  </si>
  <si>
    <t>EX BATTERY BD</t>
  </si>
  <si>
    <t>가방</t>
  </si>
  <si>
    <t>가방+내부 FOAM(계란판)</t>
  </si>
  <si>
    <t>가방+내장재 X</t>
  </si>
  <si>
    <t>가방(로고 없는것)+내부 FOAM(계란판)</t>
  </si>
  <si>
    <t>가방(로고 없는것)+내장재 X</t>
  </si>
  <si>
    <t>가방+내부FOAM(계란판)_공용</t>
  </si>
  <si>
    <t>가방 (뱅가드)</t>
  </si>
  <si>
    <t>수프림</t>
  </si>
  <si>
    <t>FDXD-810 센서 가방 (뱅가드)</t>
  </si>
  <si>
    <t>PU FOAM</t>
  </si>
  <si>
    <t>계란판</t>
  </si>
  <si>
    <t>COCOON, ADX6000</t>
  </si>
  <si>
    <t>가방 내부 폼</t>
  </si>
  <si>
    <t>15cm cone</t>
  </si>
  <si>
    <t>20cm cone용, 20 * 80</t>
  </si>
  <si>
    <t>20cm cone용, 40 * 60</t>
  </si>
  <si>
    <t>가방 내부 폼 상판</t>
  </si>
  <si>
    <t>18cm</t>
  </si>
  <si>
    <t>가방 내부 폼 하판</t>
  </si>
  <si>
    <t>20cm</t>
  </si>
  <si>
    <t>ADX6000FB</t>
  </si>
  <si>
    <t>가방 내부 폼 상판 (신형)</t>
  </si>
  <si>
    <t>가방 내부 폼 중간판 (신형)</t>
  </si>
  <si>
    <t>가방 내부 폼 하판 (신형)</t>
  </si>
  <si>
    <t>가방 내장재</t>
  </si>
  <si>
    <t>47 * 36.5 * 2.5T</t>
  </si>
  <si>
    <t>47 * 36.5 * 5.5T</t>
  </si>
  <si>
    <t>47 * 36.5 * 7.5T</t>
  </si>
  <si>
    <t>센서 내장재 상단</t>
  </si>
  <si>
    <t xml:space="preserve">   </t>
  </si>
  <si>
    <t>센서 내장재 중간</t>
  </si>
  <si>
    <t>45 * 55.5 * 2T, 접착 X</t>
  </si>
  <si>
    <t>센서 내장재 하단</t>
  </si>
  <si>
    <t>45 * 55.5 * 8T</t>
  </si>
  <si>
    <t>PE FOAM</t>
  </si>
  <si>
    <t>체스트 &amp; 베드 스탠드 박스 내장재 상, 하판</t>
  </si>
  <si>
    <t>230 * 130 * 30T</t>
  </si>
  <si>
    <t>에이팩산업</t>
  </si>
  <si>
    <t>체스트 &amp; 베드 스탠드 박스 내장재 좌, 우판</t>
  </si>
  <si>
    <t>130 * 980 * 30T</t>
  </si>
  <si>
    <t>체스트 &amp; 베드 스탠드 박스 내장재 전, 후판</t>
  </si>
  <si>
    <t>230 * 920 * 30T</t>
  </si>
  <si>
    <t>BOX</t>
  </si>
  <si>
    <t>카톤 박스</t>
  </si>
  <si>
    <t>495 * 472 * 380</t>
  </si>
  <si>
    <t>대성칼라</t>
  </si>
  <si>
    <t>영문 박스</t>
  </si>
  <si>
    <t>450 * 240 * 360</t>
  </si>
  <si>
    <t>500 * 460 * 520</t>
  </si>
  <si>
    <t>450 * 240 * 490</t>
  </si>
  <si>
    <t>제품박스(I/N BOX)</t>
  </si>
  <si>
    <t>KLB.K.KLB (B) 410 * 390 *180</t>
  </si>
  <si>
    <t>지성수출포장</t>
  </si>
  <si>
    <t>카톤박스(C/T BOX)</t>
  </si>
  <si>
    <t>KLB.4K (BA/W) 430 * 380 * 420</t>
  </si>
  <si>
    <t>제이디자인</t>
  </si>
  <si>
    <t>제품 박스</t>
  </si>
  <si>
    <t>저가 제품 박스 (小)</t>
  </si>
  <si>
    <t>무지 박스 1개</t>
  </si>
  <si>
    <t>450 * 260 * 510(H)mm</t>
  </si>
  <si>
    <t>박스바다</t>
  </si>
  <si>
    <t>무지 박스 2개</t>
  </si>
  <si>
    <t>475 * 295 * 220(H)mm</t>
  </si>
  <si>
    <t>무지 박스 4개</t>
  </si>
  <si>
    <t>475 * 295 * 430(H)mm</t>
  </si>
  <si>
    <t>무지 박스 6개</t>
  </si>
  <si>
    <t>700 * 300 * 430(H)mm</t>
  </si>
  <si>
    <t>Rex 구강 카메라 박스</t>
  </si>
  <si>
    <t>Rex2 센서 박스</t>
  </si>
  <si>
    <t>ADX6000 센서 무지 박스</t>
  </si>
  <si>
    <t>체스트 &amp; 베드 스탠드 박스</t>
  </si>
  <si>
    <t>1000 * 300 * 150</t>
  </si>
  <si>
    <t>스티로폼</t>
  </si>
  <si>
    <t>제품박스 상, 하 스티로폼</t>
  </si>
  <si>
    <t>60.5 * 27.5 * 3T</t>
  </si>
  <si>
    <t>제품박스 좁은 스티로폼</t>
  </si>
  <si>
    <t>42.5 * 27.5 * 3T</t>
  </si>
  <si>
    <t>제품박스 넒은 스티로폼</t>
  </si>
  <si>
    <t>42.5 * 55 * 3.5T</t>
  </si>
  <si>
    <t>DR Tech 센서 상, 하 스티로폼</t>
  </si>
  <si>
    <t>45.5 * 42 * 3T</t>
  </si>
  <si>
    <t>내부폼</t>
  </si>
  <si>
    <t>내부폼 (가교 PAD) SET</t>
  </si>
  <si>
    <t>에어셀</t>
  </si>
  <si>
    <t>에어셀 TOP</t>
  </si>
  <si>
    <t>JD010211-02</t>
  </si>
  <si>
    <t>에어패킹</t>
  </si>
  <si>
    <t>에어셀 BOTTOM</t>
  </si>
  <si>
    <t>JD010212-02</t>
  </si>
  <si>
    <t>JD010311-01</t>
  </si>
  <si>
    <t>인디스에어</t>
  </si>
  <si>
    <t>JD010312-01</t>
  </si>
  <si>
    <t>저가 박스  에어셀 Main</t>
  </si>
  <si>
    <t>JD010411-01</t>
  </si>
  <si>
    <t>저가 박스  에어셀 ACC</t>
  </si>
  <si>
    <t>JD010412-01</t>
  </si>
  <si>
    <t>넥스트랩</t>
  </si>
  <si>
    <t>넥스트 랩</t>
  </si>
  <si>
    <t>포켓</t>
  </si>
  <si>
    <t>피엔에스</t>
  </si>
  <si>
    <t>포켓 구형</t>
  </si>
  <si>
    <t>씨티무역</t>
  </si>
  <si>
    <t>포켓 X</t>
  </si>
  <si>
    <t>숄더스트랩</t>
  </si>
  <si>
    <t>제품 어깨끈</t>
  </si>
  <si>
    <t>구형</t>
  </si>
  <si>
    <t>가방끈</t>
  </si>
  <si>
    <t>일본용</t>
  </si>
  <si>
    <t>스트랩</t>
  </si>
  <si>
    <t>DX3000 핸드 스트랩</t>
  </si>
  <si>
    <t>연아크릴</t>
  </si>
  <si>
    <t>연아크릴 쉴드 8T</t>
  </si>
  <si>
    <t>153 * ∮65 * 8T</t>
  </si>
  <si>
    <t>선일쉴드텍</t>
  </si>
  <si>
    <t>중국</t>
  </si>
  <si>
    <t>연아크릴 쉴드 12T</t>
  </si>
  <si>
    <t>153 * ∮65 * 12T</t>
  </si>
  <si>
    <t>153 * ∮60 * 12T</t>
  </si>
  <si>
    <t>사각 연아크릴 쉴드</t>
  </si>
  <si>
    <t>직사각형, 215 * 199mm 8T</t>
  </si>
  <si>
    <t>정사각형, 215 * 205mm</t>
  </si>
  <si>
    <t xml:space="preserve">연아크릴 실리콘 오링 </t>
  </si>
  <si>
    <t xml:space="preserve">DX3000 </t>
  </si>
  <si>
    <t>AL 스티커</t>
  </si>
  <si>
    <t>IRay D3 NAME PLATE</t>
  </si>
  <si>
    <t>에덴상공사</t>
  </si>
  <si>
    <t>NAME PLATE</t>
  </si>
  <si>
    <t>우루과이 NAME PLATE</t>
  </si>
  <si>
    <t>ADX6000 NAME PLATE</t>
  </si>
  <si>
    <t>IRay A6 NAME PLATE</t>
  </si>
  <si>
    <t>IRay A6S NAME PLATE</t>
  </si>
  <si>
    <t>DEXCOWIN NAME PLATE</t>
  </si>
  <si>
    <t>FDXD-810 디텍터용</t>
  </si>
  <si>
    <t>뱅가드 가방용</t>
  </si>
  <si>
    <t>SUS PLATE</t>
  </si>
  <si>
    <t>DR Tech 센서용</t>
  </si>
  <si>
    <t>가방용</t>
  </si>
  <si>
    <t>에폭시 스티커</t>
  </si>
  <si>
    <t>손잡이 에폭시 스티커</t>
  </si>
  <si>
    <t>거광에폭시</t>
  </si>
  <si>
    <t>패드</t>
  </si>
  <si>
    <t>가온패드</t>
  </si>
  <si>
    <t>카메라</t>
  </si>
  <si>
    <t>구강 카메라</t>
  </si>
  <si>
    <t>센서 케이스</t>
  </si>
  <si>
    <t>330N 센서 케이스</t>
  </si>
  <si>
    <t>17*17 DRTECH 센서</t>
  </si>
  <si>
    <t>디알텍</t>
  </si>
  <si>
    <t>330N DRTECH 센서</t>
  </si>
  <si>
    <t>810 DRTECH 센서</t>
  </si>
  <si>
    <t>HDI 1000 [Rex2 Classic/1.5]</t>
  </si>
  <si>
    <t>레이언스</t>
  </si>
  <si>
    <t>HDI 2000 [Rex2 Premium/1.5]</t>
  </si>
  <si>
    <t>HDI 2000 [Rex2 Premium/2.0]</t>
  </si>
  <si>
    <t>HDI-S [Rex2 Premium/1.0]</t>
  </si>
  <si>
    <t>HDI-S [Rex2 Premium/1.5]</t>
  </si>
  <si>
    <t>HDI-S [Rex2 Premium/2.0]</t>
  </si>
  <si>
    <t>CMOS 센서 (#1)</t>
  </si>
  <si>
    <t>EV71JU215A-C-00B1</t>
  </si>
  <si>
    <t>E2V</t>
  </si>
  <si>
    <t>CMOS 센서 (#2)</t>
  </si>
  <si>
    <t>EV71JU213A-C-00B1</t>
  </si>
  <si>
    <t>SCREW CAP</t>
  </si>
  <si>
    <t>Cradle RUBBER</t>
  </si>
  <si>
    <t>FOOT RUBBER</t>
  </si>
  <si>
    <t>볼트캡</t>
  </si>
  <si>
    <t>볼트마개</t>
  </si>
  <si>
    <t>합지</t>
  </si>
  <si>
    <t>CD 케이스</t>
  </si>
  <si>
    <t>ABS</t>
  </si>
  <si>
    <t>공 CD</t>
  </si>
  <si>
    <t>터치 팬</t>
  </si>
  <si>
    <t>틸트 암 부쉬</t>
  </si>
  <si>
    <t>에이스힌지텍</t>
  </si>
  <si>
    <t>스탠드 부속품 (바-부쉬)</t>
  </si>
  <si>
    <t>스탠드 부속품 (바-부쉬링)</t>
  </si>
  <si>
    <t>브라켓</t>
  </si>
  <si>
    <t>스탠드 브라켓(암연결용)</t>
  </si>
  <si>
    <t>스탠드 브라켓(제품용)</t>
  </si>
  <si>
    <t>제품 거치대</t>
  </si>
  <si>
    <t>스탠드홀드</t>
  </si>
  <si>
    <t>은색</t>
  </si>
  <si>
    <t>스탠드홀드(신형)</t>
  </si>
  <si>
    <t>흰색</t>
  </si>
  <si>
    <t>배터리 거치대 사출 SETS</t>
  </si>
  <si>
    <t>다성 ENG</t>
  </si>
  <si>
    <t>배터리 거치대용 신주핀</t>
  </si>
  <si>
    <t>스탠드 브라켓 조인트 셋트</t>
  </si>
  <si>
    <t>스탠드 브라켓 족의학용</t>
  </si>
  <si>
    <t>국내용 스탠드 브라켓 1. BLOCK</t>
  </si>
  <si>
    <t>국내용 스탠드 브라켓 2. ARM</t>
  </si>
  <si>
    <t>국내용 스탠드 브라켓 3. TILT BODY</t>
  </si>
  <si>
    <t>국내용 스탠드 브라켓 4. BASE</t>
  </si>
  <si>
    <t>국내용 스탠드 브라켓 5. SHAFT</t>
  </si>
  <si>
    <t>국내용 스탠드 브라켓 6. PUSH PLATE</t>
  </si>
  <si>
    <t>국내용 스탠드 브라켓 7. EASY LOCK PLATE</t>
  </si>
  <si>
    <t>국내용 스탠드 브라켓 8. MOUNT</t>
  </si>
  <si>
    <t>국내용 스탠드 브라켓 9. 조임 손잡이</t>
  </si>
  <si>
    <t>전자 각도기</t>
  </si>
  <si>
    <t>AL 거치대</t>
  </si>
  <si>
    <t>각도기 거치대</t>
  </si>
  <si>
    <t>각도기 내부 철판</t>
  </si>
  <si>
    <t>각도기 홀더</t>
  </si>
  <si>
    <t>사각 줄자 가이드</t>
  </si>
  <si>
    <t>완제품</t>
  </si>
  <si>
    <t>AlmyT STAND BODY SET</t>
  </si>
  <si>
    <t>AlmyT STAND ACC SET</t>
  </si>
  <si>
    <t>체스트 &amp; 베드 스탠드</t>
  </si>
  <si>
    <t>로움텍</t>
  </si>
  <si>
    <t>체스트 &amp; 베드 암 파이프</t>
  </si>
  <si>
    <t>체스트 &amp; 베드 조인트 암</t>
  </si>
  <si>
    <t>체스트 &amp; 베드 픽스 블럭 A, B (육각 렌치 3, 5)</t>
  </si>
  <si>
    <t>접이식 스탠드 SET</t>
  </si>
  <si>
    <t>정형외과용</t>
  </si>
  <si>
    <t>유선리모콘</t>
  </si>
  <si>
    <t>REMOTE CONTROL</t>
  </si>
  <si>
    <t>RW20, 3m  + 샘플 1EA</t>
  </si>
  <si>
    <t>FOOT SWITCH</t>
  </si>
  <si>
    <t>스위치</t>
  </si>
  <si>
    <t>리드스위치</t>
  </si>
  <si>
    <t>쉴드 오링</t>
  </si>
  <si>
    <t>AN-036, 60∮</t>
  </si>
  <si>
    <t>라벨</t>
  </si>
  <si>
    <t>OS라이센서 라벨</t>
  </si>
  <si>
    <t>Windows Embedded Standard 7 "E"</t>
  </si>
  <si>
    <t>실리콘 캡</t>
  </si>
  <si>
    <t>LSR 투명 실리콘</t>
  </si>
  <si>
    <t>가연테크</t>
  </si>
  <si>
    <t>Battery Pack</t>
  </si>
  <si>
    <t xml:space="preserve">사급자재 </t>
  </si>
  <si>
    <t>Battery Case</t>
  </si>
  <si>
    <t>배터리 내부 단자</t>
  </si>
  <si>
    <t>구형 고압보드</t>
  </si>
  <si>
    <t>구형 8핀 보드</t>
  </si>
  <si>
    <t>SPF01-15</t>
  </si>
  <si>
    <t>고압용 칩 세라믹 콘덴서</t>
  </si>
  <si>
    <t>2220J6K00222KXT</t>
  </si>
  <si>
    <t>세라믹 튜브 하우징 파이프</t>
  </si>
  <si>
    <t>내부 케이스</t>
  </si>
  <si>
    <t>고압 격벽</t>
  </si>
  <si>
    <t>에이밍 필터</t>
  </si>
  <si>
    <t>0.5T * Φ40 에이밍 은경 추가 필터</t>
  </si>
  <si>
    <t xml:space="preserve">CTR B/D (ST용) </t>
  </si>
  <si>
    <t>CTR B/D (구형)</t>
  </si>
  <si>
    <t>뉴퓨처</t>
  </si>
  <si>
    <t>EX B/D (원버턴)</t>
  </si>
  <si>
    <t>FFC 10핀</t>
  </si>
  <si>
    <t>하네스 3-1번</t>
  </si>
  <si>
    <t>FFC CABLE 1mm*30P*200*A CTR BD*OP BD FFC CABLE (같은 방향) (구형, 신형)</t>
  </si>
  <si>
    <t>하네스 12번</t>
  </si>
  <si>
    <t>FLAT 30P 2.0mm, L=205mm, 1:1 CTR BD * OP BD 연결 30핀</t>
  </si>
  <si>
    <t>하네스 7-1번</t>
  </si>
  <si>
    <t>12505HS-05 70mm OP BD+TOUCH BD 5핀</t>
  </si>
  <si>
    <t>INNER USB B/D</t>
  </si>
  <si>
    <t>Carrier B/D (구형 KONTRON)</t>
  </si>
  <si>
    <t>Carrier B/D (신형 DFI)</t>
  </si>
  <si>
    <t>ETC CARRIER MINI BD</t>
  </si>
  <si>
    <t>Front Micro B/D</t>
  </si>
  <si>
    <t>Front Connector B/D</t>
  </si>
  <si>
    <t xml:space="preserve">ETC FRONT BD </t>
  </si>
  <si>
    <t>컬리메이터 LED B/D</t>
  </si>
  <si>
    <t>신형 LED 작은것</t>
  </si>
  <si>
    <t>신형 LED, 밝기 수정</t>
  </si>
  <si>
    <t>ETC EX BATTERY BD</t>
  </si>
  <si>
    <t>ETC RESIST BD</t>
  </si>
  <si>
    <t>ETC CAP BANK BD</t>
  </si>
  <si>
    <t>LED DRIVER B/D</t>
  </si>
  <si>
    <t>V1.0.0</t>
  </si>
  <si>
    <t>DRTech FDXD-810, FLAATZ-N330 CTR Battery B/D</t>
  </si>
  <si>
    <t>FFC (16핀)</t>
  </si>
  <si>
    <t>82mm</t>
  </si>
  <si>
    <t>YH396-04V - 2EA CAP BANK 케이블 / 120mm</t>
  </si>
  <si>
    <t>하네스 9번</t>
  </si>
  <si>
    <t>12505HS-03 Carrier Mini BD 케이블 / 100mm</t>
  </si>
  <si>
    <t>YH396-04V - 1EA 외부단자 케이블 / 200mm</t>
  </si>
  <si>
    <t>하네스 13번</t>
  </si>
  <si>
    <t>DC Connector Cable 외부배터리 케이블 / 360mm</t>
  </si>
  <si>
    <t>USB Connector Wire Harness (4핀)</t>
  </si>
  <si>
    <t>100mm</t>
  </si>
  <si>
    <t>Front USB Wire Harness (4핀)</t>
  </si>
  <si>
    <t>RS422 통신 Wire Harness (6핀)</t>
  </si>
  <si>
    <t>120mm</t>
  </si>
  <si>
    <t>PC Connector Wire Harness (7핀)</t>
  </si>
  <si>
    <t>100mm, 140mm, 200mm</t>
  </si>
  <si>
    <t>4.3" LCD</t>
  </si>
  <si>
    <t>IEC266lite-43, OS 영문</t>
  </si>
  <si>
    <t>4.3" Module</t>
  </si>
  <si>
    <t>컬리메이터 REAR 사출</t>
  </si>
  <si>
    <t>컬리메이터 내부하우징 사출</t>
  </si>
  <si>
    <t>컬리메이터 내부브릿지 사출</t>
  </si>
  <si>
    <t>컬리메이터 MIRROR 거치대 사출</t>
  </si>
  <si>
    <t>ABS 난연 화이트 + 스프레이  블랙</t>
  </si>
  <si>
    <t>Micro USB 사출 가이드</t>
  </si>
  <si>
    <t>아크릴 + 불량42</t>
  </si>
  <si>
    <t>AL + STEEL</t>
  </si>
  <si>
    <t>스킨가드 FRAME</t>
  </si>
  <si>
    <t>스킨가드 BODY</t>
  </si>
  <si>
    <t>벨크로, AL 가공</t>
  </si>
  <si>
    <t>스킨가드 구형</t>
  </si>
  <si>
    <t>Top Block</t>
  </si>
  <si>
    <t>알루미늄 브라켓 4 hole</t>
  </si>
  <si>
    <t>컬리메이터 LED 알루미늄 가이드</t>
  </si>
  <si>
    <t>외부전원 연결 DC잭 고무링</t>
  </si>
  <si>
    <t>외부전원 연결 DC잭 너트</t>
  </si>
  <si>
    <t>USB 포트 제거형</t>
  </si>
  <si>
    <t>가죽 손잡이 (탈착배터리 터치펜 O)</t>
  </si>
  <si>
    <t>가죽 손잡이 (외부배터리)</t>
  </si>
  <si>
    <t xml:space="preserve">BODY LEFT 사출(외부배터리 사출커팅) </t>
  </si>
  <si>
    <t>ABS 난연 화이트 + 스프레이 AS용</t>
  </si>
  <si>
    <t>BODY RIGHT 사출(외부배터리용)</t>
  </si>
  <si>
    <t>재공품</t>
  </si>
  <si>
    <t>RIGHT Ass'y</t>
  </si>
  <si>
    <t xml:space="preserve"> </t>
  </si>
  <si>
    <t>덱스코윈</t>
  </si>
  <si>
    <t>컬리메이터 내부하우징 사출 + 납</t>
  </si>
  <si>
    <t>330N 센서 하네스 1번 (배터리팩 4핀)</t>
  </si>
  <si>
    <t>330N 센서 하네스 2번 (전원 스위치 2핀)</t>
  </si>
  <si>
    <t>330N 센서 하네스 3번 (플랫 24핀)</t>
  </si>
  <si>
    <t>330N 센서 하네스 4번 (8핀)</t>
  </si>
  <si>
    <t>330N 센서 하네스 5번 (인터페이스 케이블)</t>
  </si>
  <si>
    <t>330N 센서 고무발</t>
  </si>
  <si>
    <t>SKIN GUARD FRAME</t>
  </si>
  <si>
    <t>BOTTOM BLOCK</t>
  </si>
  <si>
    <t>SMPS (PSU)</t>
  </si>
  <si>
    <t>DEX-A085-M, 17V,5A(85W)</t>
  </si>
  <si>
    <t>두앤비무역</t>
  </si>
  <si>
    <t>마그네틱 젠더</t>
  </si>
  <si>
    <t>스킨 가드</t>
  </si>
  <si>
    <t>스킨가드</t>
  </si>
  <si>
    <t>구형, AL 가공 + 흑색 아노다이징</t>
  </si>
  <si>
    <t>케이블 스토퍼</t>
  </si>
  <si>
    <t>와이어 몰드</t>
  </si>
  <si>
    <t>동양전자</t>
  </si>
  <si>
    <t>2026년 05월 자재 재고현황</t>
  </si>
  <si>
    <t>매칭 확정 품명</t>
  </si>
  <si>
    <t>MES_code</t>
  </si>
  <si>
    <t>7-TR-0001</t>
  </si>
  <si>
    <t>7-TR-0002</t>
  </si>
  <si>
    <t>7-TR-0003</t>
  </si>
  <si>
    <t>애노드 (70kV)</t>
  </si>
  <si>
    <t>7-TR-0005</t>
  </si>
  <si>
    <t>포커서 (70kV)</t>
  </si>
  <si>
    <t>7-TR-0006</t>
  </si>
  <si>
    <t>세라믹 바디 (70kV)</t>
  </si>
  <si>
    <t>7-TR-0007</t>
  </si>
  <si>
    <t>세라믹 스템 (70kV)</t>
  </si>
  <si>
    <t>7-TR-0008</t>
  </si>
  <si>
    <t>필러 (70kV)</t>
  </si>
  <si>
    <t>7-TR-0009</t>
  </si>
  <si>
    <t>전극 필러 (70kV)</t>
  </si>
  <si>
    <t>7-TR-0010</t>
  </si>
  <si>
    <t>7-TR-0004</t>
  </si>
  <si>
    <t>텅스텐 필라멘트 [DXDR-100]</t>
  </si>
  <si>
    <t>9-TR-0018</t>
  </si>
  <si>
    <t>애노드 (100kV)</t>
  </si>
  <si>
    <t>9-TR-0011</t>
  </si>
  <si>
    <t>9-TR-0012</t>
  </si>
  <si>
    <t>포커서 (100kV)</t>
  </si>
  <si>
    <t>9-TR-0013</t>
  </si>
  <si>
    <t>세라믹 바디 (100kV)</t>
  </si>
  <si>
    <t>9-TR-0014</t>
  </si>
  <si>
    <t>9-TR-0015</t>
  </si>
  <si>
    <t>필러 (100kV)</t>
  </si>
  <si>
    <t>9-TR-0016</t>
  </si>
  <si>
    <t>전극 필러 (100kV)</t>
  </si>
  <si>
    <t>9-TR-0017</t>
  </si>
  <si>
    <t>캐논튜브 [ D-081B ] _ 60KV</t>
  </si>
  <si>
    <t>34-HR-0001</t>
  </si>
  <si>
    <t>캐논튜브 [ D-041 ] _ 70KV</t>
  </si>
  <si>
    <t>78-HR-0002</t>
  </si>
  <si>
    <t>세라믹튜브 [DXDR-070] _ 70KV</t>
  </si>
  <si>
    <t>3468-HR-0004</t>
  </si>
  <si>
    <t>캐논튜브 [ D-0813 ] _ 80KV</t>
  </si>
  <si>
    <t>6-HR-0003</t>
  </si>
  <si>
    <t>CEI튜브 [OX-70] _ 90KV</t>
  </si>
  <si>
    <t>6-HR-0006</t>
  </si>
  <si>
    <t>세라믹튜브 [DXDR-100] _ 100KV</t>
  </si>
  <si>
    <t>6-HR-0005</t>
  </si>
  <si>
    <t>베이클라이트 하우징 파이프 [DX3000, ADX4000W, ADX6000]</t>
  </si>
  <si>
    <t>346-HR-0047</t>
  </si>
  <si>
    <t>70KV 튜브 하우징용 파이프 [COCOON, SOLO]</t>
  </si>
  <si>
    <t>78-HR-0048</t>
  </si>
  <si>
    <t>D-041 하우징용 파이프 [SOLO]</t>
  </si>
  <si>
    <t>8-HR-0050</t>
  </si>
  <si>
    <t>COCOON, SOLO</t>
  </si>
  <si>
    <t>70kV 튜브 하우징 파이프</t>
  </si>
  <si>
    <t>네온램프(NEON-5T)</t>
  </si>
  <si>
    <t>347-HR-0008</t>
  </si>
  <si>
    <t>고압다이오드 2CL77 [20KV, 5mA]</t>
  </si>
  <si>
    <t>34-HR-0007</t>
  </si>
  <si>
    <t>DL1500(다이오드)</t>
  </si>
  <si>
    <t>346-HR-0016</t>
  </si>
  <si>
    <t>DD1800 (신규 다이오드)</t>
  </si>
  <si>
    <t>7-HR-0022</t>
  </si>
  <si>
    <t>고압용 (15㏀±1％, DIP) - 1/4W</t>
  </si>
  <si>
    <t>346-HR-0011</t>
  </si>
  <si>
    <t>고압용 (30㏀)</t>
  </si>
  <si>
    <t>34-HR-0010</t>
  </si>
  <si>
    <t>고압용 (500Ω±1％, DIP) - 1/4W</t>
  </si>
  <si>
    <t>6-HR-0012</t>
  </si>
  <si>
    <t>RK92-11XD307J (시멘트 저항)</t>
  </si>
  <si>
    <t>346-HR-0009</t>
  </si>
  <si>
    <t>RK92-18XD 307J 시멘트저항 긴 것</t>
  </si>
  <si>
    <t>7-HR-0018</t>
  </si>
  <si>
    <t>3467-HR-0017</t>
  </si>
  <si>
    <t>3216B 100nF (1롤당 재고 4,000)</t>
  </si>
  <si>
    <t>3216 B 100nF</t>
  </si>
  <si>
    <t>346-HR-0015</t>
  </si>
  <si>
    <t>F103Z 고압용 세라믹 콘덴서</t>
  </si>
  <si>
    <t>고압용(세라믹103)</t>
  </si>
  <si>
    <t>346-HR-0013</t>
  </si>
  <si>
    <t>DHR4E4C102K2FB 큰 콘덴서</t>
  </si>
  <si>
    <t>34-HR-0014</t>
  </si>
  <si>
    <t>680pF DHR4E4C681K2BB 무라타 작은 콘덴서</t>
  </si>
  <si>
    <t>67-HR-0019</t>
  </si>
  <si>
    <t>세라믹 작은 콘덴서 Vishay (HVCC203Y6P681MCAX) [COCOON, ADX6000]</t>
  </si>
  <si>
    <t>67-HR-0052</t>
  </si>
  <si>
    <t>LNTK103FW 온도센서</t>
  </si>
  <si>
    <t>7-HR-0020</t>
  </si>
  <si>
    <t>트랜스포머 [DX3000, ADX4000W]</t>
  </si>
  <si>
    <t>34-HR-0028</t>
  </si>
  <si>
    <t>트랜스포머 [COCOON]</t>
  </si>
  <si>
    <t>7-HR-0029</t>
  </si>
  <si>
    <t>트랜스포머 [ADX6000]</t>
  </si>
  <si>
    <t>6-HR-0031</t>
  </si>
  <si>
    <t>트랜스포머 [SOLO]</t>
  </si>
  <si>
    <t>8-HR-0030</t>
  </si>
  <si>
    <t>T 코어 (히터트랜스용) [DX3000, ADX4000W]</t>
  </si>
  <si>
    <t>34-HR-0026</t>
  </si>
  <si>
    <t>T 코어 (히터트랜스용) [SOLO]</t>
  </si>
  <si>
    <t>8-HR-0027</t>
  </si>
  <si>
    <t>센더스트 코어 CS234060</t>
  </si>
  <si>
    <t>6-HR-0025</t>
  </si>
  <si>
    <t>TIW (외경)0.7mm(내경)0.5 5000m(히터트랜스용 선)</t>
  </si>
  <si>
    <t>346-HR-0023</t>
  </si>
  <si>
    <t>40KVDC 22AWG (히터트랜스용 붉은 고압선)</t>
  </si>
  <si>
    <t>346-HR-0024</t>
  </si>
  <si>
    <t>히터트랜스용 고압선(흰색) (DSI HV CABLE 2178) [SOLO]</t>
  </si>
  <si>
    <t>8-HR-0053</t>
  </si>
  <si>
    <t>고압베어 B/D (Ver. 2.5) [DX3000, ADX4000W]</t>
  </si>
  <si>
    <t>34-HR-0038</t>
  </si>
  <si>
    <t>70kV, 3mA (VER. 1.0.1)</t>
  </si>
  <si>
    <t>고압베어B/D (신형) (Ver. 1.0.1) [DX3000]</t>
  </si>
  <si>
    <t>3-HR-0039</t>
  </si>
  <si>
    <t>고압베어B/D [COCOON]</t>
  </si>
  <si>
    <t>7-HR-0040</t>
  </si>
  <si>
    <t>신형 (VER. 2.12)</t>
  </si>
  <si>
    <t>고압베어B/D (신형) (Ver. 2.12) [SOLO]</t>
  </si>
  <si>
    <t>7-HR-0042</t>
  </si>
  <si>
    <t>고압베어B/D (4개 1세트) [SOLO]</t>
  </si>
  <si>
    <t>8-HR-0041</t>
  </si>
  <si>
    <t>ADX6000 고압 베어보드</t>
  </si>
  <si>
    <t>6-HR-0036</t>
  </si>
  <si>
    <t>ADX6000 신형 고압 베어보드</t>
  </si>
  <si>
    <t>6-HR-0037</t>
  </si>
  <si>
    <t>튜브 고정 보드 에노드 (나사) [DX3000, ADX4000W]</t>
  </si>
  <si>
    <t>34-HR-0032</t>
  </si>
  <si>
    <t>튜브 고정 보드 케소드 (필라멘트) [DX3000]</t>
  </si>
  <si>
    <t>3-HR-0033</t>
  </si>
  <si>
    <t>튜브 고정 보드 케소드 (필라멘트) [ADX4000W]</t>
  </si>
  <si>
    <t>4-HR-0034</t>
  </si>
  <si>
    <t>나사 (VER. 2.12)</t>
  </si>
  <si>
    <t>에노드 튜브 고정 보드(나사) [COCOON]</t>
  </si>
  <si>
    <t>7-HR-0035</t>
  </si>
  <si>
    <t>튜브 고정 보드 에노드 (나사) [ADX6000]</t>
  </si>
  <si>
    <t>6-HR-0045</t>
  </si>
  <si>
    <t>튜브 고정 보드 케소드 (필라멘트) [ADX6000]</t>
  </si>
  <si>
    <t>6-HR-0046</t>
  </si>
  <si>
    <t>34-VR-0019</t>
  </si>
  <si>
    <t>NC 케이스 [ADX6000]</t>
  </si>
  <si>
    <t>36-VR-0022</t>
  </si>
  <si>
    <t>NC 케이스 [COCOON]</t>
  </si>
  <si>
    <t>7-VR-0020</t>
  </si>
  <si>
    <t>NC 케이스 [SOLO]</t>
  </si>
  <si>
    <t>8-VR-0023</t>
  </si>
  <si>
    <t>PE케이스 거치대 [COCOON]</t>
  </si>
  <si>
    <t>7-VR-0021</t>
  </si>
  <si>
    <t>신주 케이스 [DX3000]</t>
  </si>
  <si>
    <t>3-VR-0031</t>
  </si>
  <si>
    <t>신주 케이스 [COCOON]</t>
  </si>
  <si>
    <t>7-VR-0034</t>
  </si>
  <si>
    <t>신주 케이스 [SOLO]</t>
  </si>
  <si>
    <t>8-VR-0038</t>
  </si>
  <si>
    <t>신주 케이스 [ADX4000]</t>
  </si>
  <si>
    <t>4-VR-0033</t>
  </si>
  <si>
    <t>신주 케이스 (10P)</t>
  </si>
  <si>
    <t>신주 케이스 [ADX6000]</t>
  </si>
  <si>
    <t>6-VR-0035</t>
  </si>
  <si>
    <t>신주 케이스 뚜껑 [DX3000, ADX4000W, ADX6000]</t>
  </si>
  <si>
    <t>346-VR-0032</t>
  </si>
  <si>
    <t>신주 케이스 뚜껑 [COCOON]</t>
  </si>
  <si>
    <t>7-VR-0025</t>
  </si>
  <si>
    <t>신주 케이스 뚜껑 [SOLO]</t>
  </si>
  <si>
    <t>8-VR-0024</t>
  </si>
  <si>
    <t>방사구 [공용]</t>
  </si>
  <si>
    <t>34678-VR-0039</t>
  </si>
  <si>
    <t>방사구 (외경 탭 추가) [공용]</t>
  </si>
  <si>
    <t>346789-VR-0040</t>
  </si>
  <si>
    <t>방사구 너트 [공용]</t>
  </si>
  <si>
    <t>346789-VR-0041</t>
  </si>
  <si>
    <t>알루미늄 필터 (0.8T * Φ24)</t>
  </si>
  <si>
    <t>3478-VR-0003</t>
  </si>
  <si>
    <t>알루미늄 필터 (1.2T * Φ24)</t>
  </si>
  <si>
    <t>37-VR-0002</t>
  </si>
  <si>
    <t>알루미늄 필터 (2T * Φ24)</t>
  </si>
  <si>
    <t>69-VR-0001</t>
  </si>
  <si>
    <t>방사구 오링 (2*18)</t>
  </si>
  <si>
    <t>346789-VR-0004</t>
  </si>
  <si>
    <t>3 PIN 커넥터 [DX3000, ADX4000W]</t>
  </si>
  <si>
    <t>34-VR-0026</t>
  </si>
  <si>
    <t>4 PIN 커넥터 [DX3000, ADX4000W, COCOON, ADX6000]</t>
  </si>
  <si>
    <t>347-VR-0027</t>
  </si>
  <si>
    <t>190*88*1.6T*2L</t>
  </si>
  <si>
    <t>7핀 B/D [DX3000, ADX4000W]</t>
  </si>
  <si>
    <t>34-VR-0005</t>
  </si>
  <si>
    <t>9핀 B/D [DX3000M]</t>
  </si>
  <si>
    <t>3-VR-0009</t>
  </si>
  <si>
    <t>8핀 BD [COCOON]</t>
  </si>
  <si>
    <t>7-VR-0008</t>
  </si>
  <si>
    <t>TFT</t>
  </si>
  <si>
    <t>9핀 B/D [SOLO]</t>
  </si>
  <si>
    <t>8-VR-0010</t>
  </si>
  <si>
    <t>10핀 B/D [ADX6000]</t>
  </si>
  <si>
    <t>6-VR-0007</t>
  </si>
  <si>
    <t>CTR B/D (유럽용)_DC3D</t>
  </si>
  <si>
    <t>CTR B/D (유럽용) [DX3000]</t>
  </si>
  <si>
    <t>3-VR-0013</t>
  </si>
  <si>
    <t>CTR B/D (미국용)_D3CL</t>
  </si>
  <si>
    <t>CTR B/D (미국용) [DX3000]</t>
  </si>
  <si>
    <t>3-VR-0014</t>
  </si>
  <si>
    <t>CTR B/D (TFT용)_D3CT</t>
  </si>
  <si>
    <t>CTR B/D [DX3000M]</t>
  </si>
  <si>
    <t>3-VR-0012</t>
  </si>
  <si>
    <t>DX3000 LCD BD</t>
  </si>
  <si>
    <t>3-AR-0035</t>
  </si>
  <si>
    <t>DX3000 TFT LCD BD</t>
  </si>
  <si>
    <t>3-AR-0037</t>
  </si>
  <si>
    <t>DX3000 LCD BD (사파리) -원버턴타입</t>
  </si>
  <si>
    <t>3-AR-0036</t>
  </si>
  <si>
    <t>DX3000 OLED BD (듀얼 슬라이드)</t>
  </si>
  <si>
    <t>3-AR-0309</t>
  </si>
  <si>
    <t>DX3000 EX BD (듀얼) - 왼쪽</t>
  </si>
  <si>
    <t>3-AR-0032</t>
  </si>
  <si>
    <t>DX3000 EX BD (듀얼) - 오른쪽</t>
  </si>
  <si>
    <t>3-AR-0033</t>
  </si>
  <si>
    <t>DX3000 EX BD (원버턴) - 사파리</t>
  </si>
  <si>
    <t>3-AR-0034</t>
  </si>
  <si>
    <t>DX3000 RELAY 쪽보드</t>
  </si>
  <si>
    <t>3-AR-0310</t>
  </si>
  <si>
    <t>DX3000 LED DRIVE BD V3.0.1 (TFT CTR BD용)</t>
  </si>
  <si>
    <t>3-AR-0038</t>
  </si>
  <si>
    <t>DX3000 2.35" LCD 판넬</t>
  </si>
  <si>
    <t>3-AR-0001</t>
  </si>
  <si>
    <t>DX3000, SOLO 2.4" TFT LCD 판넬</t>
  </si>
  <si>
    <t>38-AR-0002</t>
  </si>
  <si>
    <t>DX3000 FFC 20핀 - 하네스1</t>
  </si>
  <si>
    <t>3-AR-0030</t>
  </si>
  <si>
    <t>DX3000 후면전원 DC 잭 2핀 (YH369-02JR) 65mm [하네스 4번]</t>
  </si>
  <si>
    <t>3-AR-0311</t>
  </si>
  <si>
    <t>DX3000 EXP KEY 4핀 케이블 - 하네스5 (개당 2개씩)</t>
  </si>
  <si>
    <t>3-AR-0031</t>
  </si>
  <si>
    <t>DX3000 마그네틱보드 연결 4핀 (12505HS-04 2EA) 123mm [하네스 7번]</t>
  </si>
  <si>
    <t>3-AR-0312</t>
  </si>
  <si>
    <t>DX3000 CJ4003 JACK (관전류 짹 + 2핀케이블) - 하네스8</t>
  </si>
  <si>
    <t>3-AR-0029</t>
  </si>
  <si>
    <t>DX3000 LCD GUIDE</t>
  </si>
  <si>
    <t>3-AR-0003</t>
  </si>
  <si>
    <t>DX3000 LCD GUIDE (반투명) - 사파리 덴탈용</t>
  </si>
  <si>
    <t>3-AR-0313</t>
  </si>
  <si>
    <t>DX3000 FRONT COVER (B)</t>
  </si>
  <si>
    <t>3-AR-0007</t>
  </si>
  <si>
    <t>DX3000 FRONT COVER (W)</t>
  </si>
  <si>
    <t>3-AR-0008</t>
  </si>
  <si>
    <t>DX3000 REAR COVER (B)</t>
  </si>
  <si>
    <t>3-AR-0009</t>
  </si>
  <si>
    <t>DX3000 REAR COVER (W)</t>
  </si>
  <si>
    <t>3-AR-0010</t>
  </si>
  <si>
    <t>DX3000 배터리커버 (B)</t>
  </si>
  <si>
    <t>3-AR-0026</t>
  </si>
  <si>
    <t>DX3000 POWER BUTTON</t>
  </si>
  <si>
    <t>3-AR-0006</t>
  </si>
  <si>
    <t>DX3000 EX BUTTON (개당 두개씩)</t>
  </si>
  <si>
    <t>3-AR-0014</t>
  </si>
  <si>
    <t>DX3000 NAVI KEY</t>
  </si>
  <si>
    <t>3-AR-0004</t>
  </si>
  <si>
    <t>DX3000 데코가이드</t>
  </si>
  <si>
    <t>3-AR-0027</t>
  </si>
  <si>
    <t>DX3000 20cm CONE (B)</t>
  </si>
  <si>
    <t>3-AR-0018</t>
  </si>
  <si>
    <t>DX3000 20cm CONE (W)</t>
  </si>
  <si>
    <t>3-AR-0017</t>
  </si>
  <si>
    <t>DX3000 15cm CONE (W)</t>
  </si>
  <si>
    <t>3-AR-0019</t>
  </si>
  <si>
    <t>DX3000 X-CAP (기본)</t>
  </si>
  <si>
    <t>3-AR-0020</t>
  </si>
  <si>
    <t>DX3000, ADX4000W X-CAP 체결형 (신형)</t>
  </si>
  <si>
    <t>34-AR-0021</t>
  </si>
  <si>
    <t>DX3000M CONE 젠더</t>
  </si>
  <si>
    <t>3-AR-0317</t>
  </si>
  <si>
    <t>DX3000 LCD 윈도우</t>
  </si>
  <si>
    <t>3-AR-0024</t>
  </si>
  <si>
    <t>DX3000 LCD LED</t>
  </si>
  <si>
    <t>3-AR-0011</t>
  </si>
  <si>
    <t>DX3000 POWER LED</t>
  </si>
  <si>
    <t>3-AR-0005</t>
  </si>
  <si>
    <t>DX3000 EX LED (L)</t>
  </si>
  <si>
    <t>3-AR-0012</t>
  </si>
  <si>
    <t>DX3000 EX LED (R)</t>
  </si>
  <si>
    <t>3-AR-0013</t>
  </si>
  <si>
    <t>DX3000 아크릴 투명 십자 Panel (66 x 66 mm)</t>
  </si>
  <si>
    <t>3-AR-0041</t>
  </si>
  <si>
    <t>DX3000, ADX4000W 알루미늄 필터 [63ɸ 0.8T]</t>
  </si>
  <si>
    <t>34-AR-0028</t>
  </si>
  <si>
    <t>알루미늄 필터 [63ɸ 1.5T] (일본 동물용)</t>
  </si>
  <si>
    <t>3-PR-0057</t>
  </si>
  <si>
    <t>DX3000 HAND STRAP</t>
  </si>
  <si>
    <t>3-AR-0015</t>
  </si>
  <si>
    <t>DX3000 HAND STRAP [로고 X]-사파리,이미지웍스용</t>
  </si>
  <si>
    <t>3-AR-0016</t>
  </si>
  <si>
    <t>가죽손잡이 고리 1</t>
  </si>
  <si>
    <t>DX3000,ADX4000W 가죽손잡이 고리1_ [AL(Cr도금), SUS Φ2.0]</t>
  </si>
  <si>
    <t>34-AR-0022</t>
  </si>
  <si>
    <t>가죽손잡이 고리 2</t>
  </si>
  <si>
    <t>DX3000 가죽손잡이 고리2_ [AL(Cr도금), SUS Φ2.0 ]</t>
  </si>
  <si>
    <t>3-AR-0023</t>
  </si>
  <si>
    <t>COCB</t>
  </si>
  <si>
    <t>7-NR-0002</t>
  </si>
  <si>
    <t>COCOON FET BD (+56 교체전)</t>
  </si>
  <si>
    <t>7-VR-0042</t>
  </si>
  <si>
    <t>COCOON POWER SWITCH BD (Ver 1.0.3)</t>
  </si>
  <si>
    <t>7-AR-0240</t>
  </si>
  <si>
    <t>COCOON POWER SWITCH BD (Ver 3.0.0)</t>
  </si>
  <si>
    <t>7-AR-0255</t>
  </si>
  <si>
    <t>COCOON HANDLE CONNECTOR BD</t>
  </si>
  <si>
    <t>7-AR-0241</t>
  </si>
  <si>
    <t>COCOON BATTERY BRIDGE BD</t>
  </si>
  <si>
    <t>7-AR-0242</t>
  </si>
  <si>
    <t>COCOON CRADLE BD</t>
  </si>
  <si>
    <t>7-AR-0243</t>
  </si>
  <si>
    <t>COCOON OP &amp; TOUCH BD (FFC Cable 방향 변경 전)</t>
  </si>
  <si>
    <t>7-AR-0318</t>
  </si>
  <si>
    <t>COCOON CTR BD 외부단자 2핀 (TX30(FEMALE)+YH396-02) 100mm [하네스 1번]</t>
  </si>
  <si>
    <t>7-AR-0233</t>
  </si>
  <si>
    <t>COCOON 전원 외부단자 2핀 (TX30(MALE)+DC022(2.5)) 80mm [하네스 2번]</t>
  </si>
  <si>
    <t>7-AR-0234</t>
  </si>
  <si>
    <t>COCOON 30핀 FFC CABLE 200mm [하네스 3번]</t>
  </si>
  <si>
    <t>7-AR-0235</t>
  </si>
  <si>
    <t>COCOON 스피커 2핀 12505HS-02+SORDER 50mm [하네스 4번]</t>
  </si>
  <si>
    <t>7-AR-0236</t>
  </si>
  <si>
    <t>COCOON BATTERY BRIDGE BD 4핀 (YH396-04*2EA) 150mm [하네스 5번]</t>
  </si>
  <si>
    <t>7-AR-0237</t>
  </si>
  <si>
    <t>COCOON POWER SWITCH BD 5핀 12505HS-05 120mm [하네스 7번]</t>
  </si>
  <si>
    <t>7-AR-0238</t>
  </si>
  <si>
    <t>COCOON CRADLE 신주 연결 2핀 YH396-02+SORDER 80mm [하네스 11번]</t>
  </si>
  <si>
    <t>7-AR-0239</t>
  </si>
  <si>
    <t>COCOON CTR+Power BD 2핀 (YHM025-02R) 210mm [에이밍하네스 1번]</t>
  </si>
  <si>
    <t>7-AR-0256</t>
  </si>
  <si>
    <t>COCOON LED BD 2핀 (YMH025-02R) 180mm [에이밍하네스 2번]</t>
  </si>
  <si>
    <t>7-AR-0257</t>
  </si>
  <si>
    <t>COCOON 3.1" OLED 판넬 (UG-5664ASWEF01)</t>
  </si>
  <si>
    <t>7-AR-0187</t>
  </si>
  <si>
    <t>COCOON TOP BODY (S)</t>
  </si>
  <si>
    <t>7-AR-0189</t>
  </si>
  <si>
    <t>COCOON BOTTOM BODY (B 유광)</t>
  </si>
  <si>
    <t>7-AR-0191</t>
  </si>
  <si>
    <t>COCOON OLED GUIDE 사출</t>
  </si>
  <si>
    <t>7-AR-0188</t>
  </si>
  <si>
    <t>COCOON POWER BUTTON (S)</t>
  </si>
  <si>
    <t>7-AR-0192</t>
  </si>
  <si>
    <t>COCOON BUTTON INDICATOR</t>
  </si>
  <si>
    <t>7-AR-0193</t>
  </si>
  <si>
    <t>COCOON TOUCH DUMMY</t>
  </si>
  <si>
    <t>7-AR-0194</t>
  </si>
  <si>
    <t>COCOON LOCK KNOB (S)</t>
  </si>
  <si>
    <t>7-AR-0196</t>
  </si>
  <si>
    <t>COCOON LOCK INNER (S)</t>
  </si>
  <si>
    <t>7-AR-0197</t>
  </si>
  <si>
    <t>COCOON 18cm FRONT_S (B 유광)</t>
  </si>
  <si>
    <t>7-AR-0224</t>
  </si>
  <si>
    <t>COCOON 20cm FRONT_L (B 유광)</t>
  </si>
  <si>
    <t>7-AR-0227</t>
  </si>
  <si>
    <t>COCOON FRONT CAP (B 유광)</t>
  </si>
  <si>
    <t>7-AR-0228</t>
  </si>
  <si>
    <t>사각 앞사출</t>
  </si>
  <si>
    <t>COCOON 에이밍 사각 앞 사출 (B 유광)</t>
  </si>
  <si>
    <t>7-AR-0250</t>
  </si>
  <si>
    <t>COCOON 18cm CONE GUIDE_S</t>
  </si>
  <si>
    <t>7-AR-0225</t>
  </si>
  <si>
    <t>COCOON 20cm CONE GUIDE_L</t>
  </si>
  <si>
    <t>7-AR-0226</t>
  </si>
  <si>
    <t>COCOON HAND BODY (S)</t>
  </si>
  <si>
    <t>7-AR-0198</t>
  </si>
  <si>
    <t>COCOON HAND TOP COVER (S)</t>
  </si>
  <si>
    <t>7-AR-0199</t>
  </si>
  <si>
    <t>COCOON BAT BOTTOM (B 유광)</t>
  </si>
  <si>
    <t>7-AR-0204</t>
  </si>
  <si>
    <t>CRADLE BODY</t>
  </si>
  <si>
    <t>COCOON CRADLE BODY (B)</t>
  </si>
  <si>
    <t>7-AR-0208</t>
  </si>
  <si>
    <t>COCOON CRADLE BOTTOM (B)</t>
  </si>
  <si>
    <t>7-AR-0209</t>
  </si>
  <si>
    <t>COCOON CRADLE FRAME (S)</t>
  </si>
  <si>
    <t>7-AR-0210</t>
  </si>
  <si>
    <t>COCOON SHOT BUTTON</t>
  </si>
  <si>
    <t>7-AR-0200</t>
  </si>
  <si>
    <t>COCOON SHOT PCB GUIDE</t>
  </si>
  <si>
    <t>7-AR-0201</t>
  </si>
  <si>
    <t>COCOON SLIDE SWITCH</t>
  </si>
  <si>
    <t>7-AR-0202</t>
  </si>
  <si>
    <t>COCOON SLIDE CAP</t>
  </si>
  <si>
    <t>7-AR-0203</t>
  </si>
  <si>
    <t>COCOON GER GUIDE</t>
  </si>
  <si>
    <t>7-AR-0223</t>
  </si>
  <si>
    <t>블랙_원형</t>
  </si>
  <si>
    <t>COCOON 에이밍 LED BODY A (B) [원형]</t>
  </si>
  <si>
    <t>7-AR-0252</t>
  </si>
  <si>
    <t>블랙_사각형</t>
  </si>
  <si>
    <t>COCOON 에이밍 LED BODY B (B) [사각형]</t>
  </si>
  <si>
    <t>7-AR-0253</t>
  </si>
  <si>
    <t>가공품</t>
  </si>
  <si>
    <t>COCOON 에이밍 체결 젠더</t>
  </si>
  <si>
    <t>7-AR-0254</t>
  </si>
  <si>
    <t>COCOON WINDOW</t>
  </si>
  <si>
    <t>7-AR-0229</t>
  </si>
  <si>
    <t>COCOON WINDOW [COCOON 로고 없음]</t>
  </si>
  <si>
    <t>7-AR-0230</t>
  </si>
  <si>
    <t>COCOON 에이밍 아크릴 은경 (40ɸ)</t>
  </si>
  <si>
    <t>7-AR-0251</t>
  </si>
  <si>
    <t>COCOON, SOLO 사각 에이밍 아크릴 (55.8ɸ 1.3T)</t>
  </si>
  <si>
    <t>78-AR-0246</t>
  </si>
  <si>
    <t>COCOON, SOLO 원형 에이밍 아크릴 (63ɸ 2T) [테두리 13ɸ]</t>
  </si>
  <si>
    <t>78-AR-0247</t>
  </si>
  <si>
    <t>COCOON, SOLO 원형 에이밍 아크릴 (63ɸ 2T) [테두리 8ɸ]</t>
  </si>
  <si>
    <t>78-AR-0248</t>
  </si>
  <si>
    <t>COCOON, SOLO 원형 에이밍 아크릴 (63ɸ 2T) [테두리 없음] (사파리용)</t>
  </si>
  <si>
    <t>78-AR-0249</t>
  </si>
  <si>
    <t>COCOON 알루미늄 필터 [63ɸ 0.5T]</t>
  </si>
  <si>
    <t>37-AR-0232</t>
  </si>
  <si>
    <t>COCOON BAT BOTTOM RUBBER</t>
  </si>
  <si>
    <t>7-AR-0206</t>
  </si>
  <si>
    <t>COCOON CRADLE FOOT RUBBER</t>
  </si>
  <si>
    <t>7-AR-0213</t>
  </si>
  <si>
    <t>COCOON CRADLE 신주 핀</t>
  </si>
  <si>
    <t>7-AR-0211</t>
  </si>
  <si>
    <t>CRADLE 실리콘 커버</t>
  </si>
  <si>
    <t>화이트 케어스트림</t>
  </si>
  <si>
    <t>COCOON CRADLE FRAME 실리콘 커버</t>
  </si>
  <si>
    <t>7-AR-0222</t>
  </si>
  <si>
    <t>COCOON EXP BUTTON 스프링</t>
  </si>
  <si>
    <t>7-AR-0205</t>
  </si>
  <si>
    <t>COCOON CRADLE 충전단자 스프링</t>
  </si>
  <si>
    <t>7-AR-0212</t>
  </si>
  <si>
    <t>D링 고리</t>
  </si>
  <si>
    <t>COCOON D링 고리</t>
  </si>
  <si>
    <t>7-AR-0195</t>
  </si>
  <si>
    <t>COCOON, ADX6000 자석 (네오디움 마그넷)</t>
  </si>
  <si>
    <t>67-AR-0231</t>
  </si>
  <si>
    <t>COCOON 18cm FRONT_S (B 무광)</t>
  </si>
  <si>
    <t>7-AR-0319</t>
  </si>
  <si>
    <t>COCOON 20cm FRONT_L (B 무광)</t>
  </si>
  <si>
    <t>7-AR-0261</t>
  </si>
  <si>
    <t>COCOON FRONT CAP (B 무광)</t>
  </si>
  <si>
    <t>7-AR-0262</t>
  </si>
  <si>
    <t>COCOON 에이밍 사각 앞 사출 (B 무광)</t>
  </si>
  <si>
    <t>78-AR-0263</t>
  </si>
  <si>
    <t>ADX4000W POWER BUTTON</t>
  </si>
  <si>
    <t>4-AR-0050</t>
  </si>
  <si>
    <t>COCOON LOCK KNOB (W)</t>
  </si>
  <si>
    <t>7-AR-0217</t>
  </si>
  <si>
    <t>COCOON LOCK INNER (W)</t>
  </si>
  <si>
    <t>7-AR-0218</t>
  </si>
  <si>
    <t>COCOON BAT BOTTOM (B 무광)</t>
  </si>
  <si>
    <t>7-AR-0260</t>
  </si>
  <si>
    <t>SOLO CTR BD (Ver 1.0.0)</t>
  </si>
  <si>
    <t>8-AR-0299</t>
  </si>
  <si>
    <t>SOLO OP BD (Ver 1.0.0)</t>
  </si>
  <si>
    <t>8-AR-0298</t>
  </si>
  <si>
    <t>SOLO POWER BD (Ver 1.0.0)</t>
  </si>
  <si>
    <t>8-AR-0297</t>
  </si>
  <si>
    <t>SOLO MAIN BD (Ver 1.0.0)</t>
  </si>
  <si>
    <t>8-AR-0300</t>
  </si>
  <si>
    <t>SOLO REMOTE BD (Ver 1.0.0)</t>
  </si>
  <si>
    <t>8-AR-0301</t>
  </si>
  <si>
    <t>SOLO EXP SW BD (Ver 1.0.0)</t>
  </si>
  <si>
    <t>8-AR-0302</t>
  </si>
  <si>
    <t>SOLO BATTERY CN BD (Ver 1.0.0)</t>
  </si>
  <si>
    <t>8-AR-0303</t>
  </si>
  <si>
    <t>SOLO TOP BODY (B 샌딩)</t>
  </si>
  <si>
    <t>8-AR-0264</t>
  </si>
  <si>
    <t>SOLO BOTTOM BODY (B 샌딩)</t>
  </si>
  <si>
    <t>8-AR-0265</t>
  </si>
  <si>
    <t>SOLO MAIN CONE (G)</t>
  </si>
  <si>
    <t>8-AR-0273</t>
  </si>
  <si>
    <t>SOLO HAND BODY (B 샌딩)</t>
  </si>
  <si>
    <t>8-AR-0266</t>
  </si>
  <si>
    <t>SOLO BAT BOTTOM (B 샌딩)</t>
  </si>
  <si>
    <t>8-AR-0267</t>
  </si>
  <si>
    <t>SOLO POWER BUTTON (B 샌딩)</t>
  </si>
  <si>
    <t>8-AR-0269</t>
  </si>
  <si>
    <t>SOLO BUTTON INDICATOR (B)</t>
  </si>
  <si>
    <t>8-AR-0320</t>
  </si>
  <si>
    <t>SOLO LCD GUIDE (B)</t>
  </si>
  <si>
    <t>8-AR-0282</t>
  </si>
  <si>
    <t>SOLO GER GUIDE (B)</t>
  </si>
  <si>
    <t>8-AR-0281</t>
  </si>
  <si>
    <t>SOLO LOCK INNER (B)</t>
  </si>
  <si>
    <t>8-AR-0278</t>
  </si>
  <si>
    <t>SOLO LOCK KNOB (B 샌딩)</t>
  </si>
  <si>
    <t>8-AR-0270</t>
  </si>
  <si>
    <t>SOLO FRONT CAP (G)</t>
  </si>
  <si>
    <t>8-AR-0271</t>
  </si>
  <si>
    <t>SOLO 연장 CONE (G)</t>
  </si>
  <si>
    <t>8-AR-0272</t>
  </si>
  <si>
    <t>SOLO HAND TOP COVER (B)</t>
  </si>
  <si>
    <t>8-AR-0279</t>
  </si>
  <si>
    <t>SOLO SLIDE SWITCH (SKY BLUE)</t>
  </si>
  <si>
    <t>8-AR-0276</t>
  </si>
  <si>
    <t>SOLO SLIDE SWITCH CAP (RED)</t>
  </si>
  <si>
    <t>8-AR-0277</t>
  </si>
  <si>
    <t>SOLO SHORT BUTTON (G)</t>
  </si>
  <si>
    <t>8-AR-0275</t>
  </si>
  <si>
    <t>SOLO SHORT PCB GUIDE (B)</t>
  </si>
  <si>
    <t>8-AR-0280</t>
  </si>
  <si>
    <t>Battery Cover</t>
  </si>
  <si>
    <t>SOLO BAT BOTTOM COVER (B 샌딩)</t>
  </si>
  <si>
    <t>8-AR-0268</t>
  </si>
  <si>
    <t>SOLO AIMING LIGHT LED (확산 아크릴)</t>
  </si>
  <si>
    <t>8-AR-0283</t>
  </si>
  <si>
    <t>PC / 투명 (Im3 로고)</t>
  </si>
  <si>
    <t>SOLO LCD WINDOW [iM3 로고]</t>
  </si>
  <si>
    <t>8-AR-0364</t>
  </si>
  <si>
    <t>PC / 투명 (DEXCOWIN 로고)</t>
  </si>
  <si>
    <t>SOLO LCD WINDOW</t>
  </si>
  <si>
    <t>8-AR-0286</t>
  </si>
  <si>
    <t>SOLO LCD LED (확산 아크릴)</t>
  </si>
  <si>
    <t>8-AR-0285</t>
  </si>
  <si>
    <t>SOLO 광센서 유색 창</t>
  </si>
  <si>
    <t>8-AR-0287</t>
  </si>
  <si>
    <t>SOLO BAT LED (확산 아크릴)</t>
  </si>
  <si>
    <t>8-AR-0284</t>
  </si>
  <si>
    <t>SOLO LCD 터치 가스켓 (8x8x7 mm)</t>
  </si>
  <si>
    <t>8-AR-0291</t>
  </si>
  <si>
    <t>SOLO 마운트 (알루미늄 1/4 PT 탭x12mm)</t>
  </si>
  <si>
    <t>8-AR-0288</t>
  </si>
  <si>
    <t>SOLO BAT RUBBER (삼각대 홀 적용)</t>
  </si>
  <si>
    <t>8-AR-0290</t>
  </si>
  <si>
    <t>DX3000 에이밍 원형 LED GUIDE</t>
  </si>
  <si>
    <t>368-AR-0045</t>
  </si>
  <si>
    <t>DX3000, SOLO 아크릴 은경 [40ɸ]</t>
  </si>
  <si>
    <t>368-AR-0042</t>
  </si>
  <si>
    <t>DX3000 에이밍 LED BD</t>
  </si>
  <si>
    <t>368-AR-0044</t>
  </si>
  <si>
    <t>DX3000 에이밍 알루미늄 플레이트</t>
  </si>
  <si>
    <t>368-AR-0043</t>
  </si>
  <si>
    <t>ADX4000W 4.8" LCD BD</t>
  </si>
  <si>
    <t>4-AR-0081</t>
  </si>
  <si>
    <t>ADX4000W POWER BD</t>
  </si>
  <si>
    <t>4-AR-0082</t>
  </si>
  <si>
    <t>ADX4000W EX B/D</t>
  </si>
  <si>
    <t>4-AR-0084</t>
  </si>
  <si>
    <t>ADX4000W NAVI BD</t>
  </si>
  <si>
    <t>4-AR-0083</t>
  </si>
  <si>
    <t>ADX4000W NAVI BD _ 사파리용</t>
  </si>
  <si>
    <t>4-AR-0080</t>
  </si>
  <si>
    <t>ADX4000W Carrier BD [KONTRON]</t>
  </si>
  <si>
    <t>4-AR-0085</t>
  </si>
  <si>
    <t>ADX4000W Carrier BD [DFI]</t>
  </si>
  <si>
    <t>4-AR-0087</t>
  </si>
  <si>
    <t>ADX4000W Module BD [KONTRON]</t>
  </si>
  <si>
    <t>46-AR-0086</t>
  </si>
  <si>
    <t>ADX4000W Module BD [DFI]</t>
  </si>
  <si>
    <t>46-AR-0088</t>
  </si>
  <si>
    <t>USB 메모리 BD (구형 KONTRON)</t>
  </si>
  <si>
    <t>ADX4000W USB 메모리 BD [KONTRON]</t>
  </si>
  <si>
    <t>4-AR-0089</t>
  </si>
  <si>
    <t>ADX4000W USB 메모리 BD [DFI]</t>
  </si>
  <si>
    <t>4-AR-0090</t>
  </si>
  <si>
    <t>5" LCD PANEL (SHARF)</t>
  </si>
  <si>
    <t>ADX4000W 5" LCD 판넬 (SHARF)</t>
  </si>
  <si>
    <t>4-AR-0068</t>
  </si>
  <si>
    <t>4.8" LCD PANEL (SAMSUNG)</t>
  </si>
  <si>
    <t>ADX4000W 4.8" LCD 판넬 (SAMSUNG)</t>
  </si>
  <si>
    <t>46-AR-0069</t>
  </si>
  <si>
    <t>ADX4000W Embedded PC 전원 -2핀 (케리어+CTR B/D 연결)</t>
  </si>
  <si>
    <t>4-AR-0098</t>
  </si>
  <si>
    <t>ADX4000W 리모콘 및 관전류 -4핀</t>
  </si>
  <si>
    <t>4-AR-0096</t>
  </si>
  <si>
    <t>ADX4000W USB Wire -4핀</t>
  </si>
  <si>
    <t>4-AR-0101</t>
  </si>
  <si>
    <t>ADX4000W NAVIGATION KEY -6핀</t>
  </si>
  <si>
    <t>4-AR-0095</t>
  </si>
  <si>
    <t>ADX4000W RS422 통신 및 PC 전원 on/off -7핀</t>
  </si>
  <si>
    <t>4-AR-0097</t>
  </si>
  <si>
    <t>ADX4000W 전원 및 EXP Wire -8핀</t>
  </si>
  <si>
    <t>4-AR-0094</t>
  </si>
  <si>
    <t>ADX4000W LVDS Cable -30핀</t>
  </si>
  <si>
    <t>46-AR-0093</t>
  </si>
  <si>
    <t>ADX4000W 4.8' LCD TOP COVER</t>
  </si>
  <si>
    <t>4-AR-0046</t>
  </si>
  <si>
    <t>ADX4000W 4.8" LCD BOTTOM COVER</t>
  </si>
  <si>
    <t>4-AR-0047</t>
  </si>
  <si>
    <t>ADX4000W LCD GUIDE</t>
  </si>
  <si>
    <t>4-AR-0057</t>
  </si>
  <si>
    <t>ADX4000W TOP BODY</t>
  </si>
  <si>
    <t>4-AR-0048</t>
  </si>
  <si>
    <t>ADX4000W BOTTOM BODY</t>
  </si>
  <si>
    <t>4-AR-0049</t>
  </si>
  <si>
    <t>ADX4000W BATTERY COVER</t>
  </si>
  <si>
    <t>4-AR-0064</t>
  </si>
  <si>
    <t>ADX4000W USB COVER</t>
  </si>
  <si>
    <t>4-AR-0065</t>
  </si>
  <si>
    <t>ADX4000W POWER LED GUIDE</t>
  </si>
  <si>
    <t>4-AR-0051</t>
  </si>
  <si>
    <t>ADX4000W EX LED GUIDE</t>
  </si>
  <si>
    <t>4-AR-0055</t>
  </si>
  <si>
    <t>ADX4000W 데코 가이드</t>
  </si>
  <si>
    <t>4-AR-0059</t>
  </si>
  <si>
    <t>ADX4000W 데코 가이드 - 스프레이 X</t>
  </si>
  <si>
    <t>4-AR-0321</t>
  </si>
  <si>
    <t>ADX4000W HINGE GUIDE</t>
  </si>
  <si>
    <t>4-AR-0058</t>
  </si>
  <si>
    <t>ADX4000W POWER BUTTON - 스프레이 X</t>
  </si>
  <si>
    <t>4-AR-0322</t>
  </si>
  <si>
    <t>ADX4000W EXPOSE BUTTON</t>
  </si>
  <si>
    <t>4-AR-0054</t>
  </si>
  <si>
    <t>EX BUTTON 스프레이 X</t>
  </si>
  <si>
    <t>ADX4000W EXPOSE BUTTON - 스프레이 X</t>
  </si>
  <si>
    <t>4-AR-0323</t>
  </si>
  <si>
    <t>ADX4000W NAVI BUTTON (가운데)</t>
  </si>
  <si>
    <t>4-AR-0052</t>
  </si>
  <si>
    <t>4-AR-0324</t>
  </si>
  <si>
    <t>ADX4000W NAVI KEY (방향)</t>
  </si>
  <si>
    <t>4-AR-0053</t>
  </si>
  <si>
    <t>ADX4000W NAVI KEY(방향) _ 사파리용</t>
  </si>
  <si>
    <t>4-AR-0067</t>
  </si>
  <si>
    <t>ADX4000W NAVI KEY (방향) - 스프레이 X</t>
  </si>
  <si>
    <t>4-AR-0325</t>
  </si>
  <si>
    <t>ADX4000W FRONT CONE 일체형</t>
  </si>
  <si>
    <t>4-AR-0060</t>
  </si>
  <si>
    <t>ADX4000W FRONT CONE 체결형</t>
  </si>
  <si>
    <t>4-AR-0061</t>
  </si>
  <si>
    <t>ADX4000W 20cm CONE</t>
  </si>
  <si>
    <t>4-AR-0062</t>
  </si>
  <si>
    <t>ADX4000W 15cm CONE</t>
  </si>
  <si>
    <t>4-AR-0063</t>
  </si>
  <si>
    <t>ADX4000W 히팅 싱크 구형 (일본 사용)</t>
  </si>
  <si>
    <t>46-AR-0073</t>
  </si>
  <si>
    <t>ADX4000W 히팅 싱크 신형</t>
  </si>
  <si>
    <t>46-AR-0076</t>
  </si>
  <si>
    <t>ADX4000W 방열 팬 구형 (일본 사용) [1204KL-01W-B10 5V 0.1A]</t>
  </si>
  <si>
    <t>46-AR-0074</t>
  </si>
  <si>
    <t>ADX4000W 방열 팬 신형 [HBD0401005SEM 5V 0.15A]</t>
  </si>
  <si>
    <t>46-AR-0077</t>
  </si>
  <si>
    <t>ADX4000W 히팅 패드</t>
  </si>
  <si>
    <t>46-AR-0075</t>
  </si>
  <si>
    <t>ADX4000W 큰 페라이트 CAT-1730-0730</t>
  </si>
  <si>
    <t>4-AR-0091</t>
  </si>
  <si>
    <t>ADX4000W 작은 페라이트 ZCAT-1325-0530</t>
  </si>
  <si>
    <t>46-AR-0092</t>
  </si>
  <si>
    <t>ADX4000W TP-LINK (WAN1000M)-동글</t>
  </si>
  <si>
    <t>46-AR-0071</t>
  </si>
  <si>
    <t>ADX4000W ip TIME 무선 랜카드 [N100UM]</t>
  </si>
  <si>
    <t>46-AR-0072</t>
  </si>
  <si>
    <t>ADX4000W ELECOM WIFI 동글 (10DR) [WDC-150SU2M]</t>
  </si>
  <si>
    <t>46-AR-0078</t>
  </si>
  <si>
    <t>ADX4000W 16GB USB 메모리</t>
  </si>
  <si>
    <t>46-AR-0070</t>
  </si>
  <si>
    <t>ADX4000 Q클립</t>
  </si>
  <si>
    <t>4-AR-0326</t>
  </si>
  <si>
    <t>ADX4000W L클립</t>
  </si>
  <si>
    <t>4-AR-0327</t>
  </si>
  <si>
    <t>ADX4000W HAND GUIDE</t>
  </si>
  <si>
    <t>4-AR-0056</t>
  </si>
  <si>
    <t>ADX4000W HAND STRAP [AL(Cr도금), SUS Φ2.0]-손잡이(터치펜) (유럽용 알코올 번짐)</t>
  </si>
  <si>
    <t>4-AR-0328</t>
  </si>
  <si>
    <t>HAND STRAP -손잡이(터치펜)(일본용)</t>
  </si>
  <si>
    <t>ADX4000W HAND STRAP [AL(Cr도금), SUS Φ2.0]-손잡이(터치펜)</t>
  </si>
  <si>
    <t>4-AR-0066</t>
  </si>
  <si>
    <t>ADX6000FB/S</t>
  </si>
  <si>
    <t>ETC LCD B/D</t>
  </si>
  <si>
    <t>ADX6000FB LCD BD</t>
  </si>
  <si>
    <t>6-AR-0152</t>
  </si>
  <si>
    <t>ADX6000FB ETC CARRIER BD (IEC-1000)</t>
  </si>
  <si>
    <t>6-AR-0154</t>
  </si>
  <si>
    <t>ADX6000 Power Switch B/D</t>
  </si>
  <si>
    <t>6-AR-0159</t>
  </si>
  <si>
    <t>ADX6000 EX BD</t>
  </si>
  <si>
    <t>6-AR-0165</t>
  </si>
  <si>
    <t>ADX6000 관전류 BD</t>
  </si>
  <si>
    <t>6-AR-0164</t>
  </si>
  <si>
    <t>ADX6000 Battery Bridge BD</t>
  </si>
  <si>
    <t>6-AR-0162</t>
  </si>
  <si>
    <t>ADX6000 Battery Connect BD</t>
  </si>
  <si>
    <t>6-AR-0163</t>
  </si>
  <si>
    <t>ADX6000 Cradle BD</t>
  </si>
  <si>
    <t>6-AR-0166</t>
  </si>
  <si>
    <t>스피커 2핀 (하네스 4-1)</t>
  </si>
  <si>
    <t>ADX4000W, ADX6000 스피커 2핀 (12505HS-02+SORDER) 200mm [하네스 4-1번]</t>
  </si>
  <si>
    <t>46-AR-0099</t>
  </si>
  <si>
    <t>ADX6000FB CTR, CURRENT, FRONT, PC BD연결 (12505HS-06, 12505HS-04, 12505HS-03, 12505HS-02) 250mm, 140mm, 200mm [하네스 1번]</t>
  </si>
  <si>
    <t>6-AR-0168</t>
  </si>
  <si>
    <t>ADX6000FB PC, FRONT BD 연결 (12505HS-04, USB-105) 70mm [하네스 2번]</t>
  </si>
  <si>
    <t>6-AR-0170</t>
  </si>
  <si>
    <t>ADX6000 Power&amp;Exp Connector Wire Harness 12핀 170mm, 70mm [하네스 3번]</t>
  </si>
  <si>
    <t>6-AR-0171</t>
  </si>
  <si>
    <t>ADX6000 컬리메이터 LED Wire Harness 2핀 300mm [하네스 5번]</t>
  </si>
  <si>
    <t>6-AR-0172</t>
  </si>
  <si>
    <t>ADX6000FB PC 전원 케이블 (SMH250-02) 130mm [하네스 6번]</t>
  </si>
  <si>
    <t>6-AR-0173</t>
  </si>
  <si>
    <t>ADX6000FB LVDS 케이블 20핀 (DF19G-20S-1C(0.5) (2EA)) 160mm [하네스 7번]</t>
  </si>
  <si>
    <t>6-AR-0174</t>
  </si>
  <si>
    <t>ADX6000FB Carrier Mini BD 케이블 3핀 (한쪽만 커넥터) (12505HS-03) 100mm [하네스 9-1번]</t>
  </si>
  <si>
    <t>6-AR-0176</t>
  </si>
  <si>
    <t>ADX6000FB PC, CTR BD 연결 3핀 (CHW0640-03, 1205HS-03) 130mm [하네스 10번]</t>
  </si>
  <si>
    <t>6-AR-0177</t>
  </si>
  <si>
    <t>ADX6000 Battery BD 02 Wire Harness [4pin,2pin,Dual] 90mm,80mm 탈착, 외부 BAT BD 연결 (하네스 11번)</t>
  </si>
  <si>
    <t>6-AR-0178</t>
  </si>
  <si>
    <t>ADX6000FB 40핀 FFC Cable 50mm [하네스 14번]</t>
  </si>
  <si>
    <t>6-AR-0180</t>
  </si>
  <si>
    <t>ADX6000 Battery BD 01 Wire Harness 2핀 80mm</t>
  </si>
  <si>
    <t>6-AR-0181</t>
  </si>
  <si>
    <t>ADX6000FB 4.3" LCD 판넬 (IEC-266 &amp; IEC-1000 공용)</t>
  </si>
  <si>
    <t>6-AR-0149</t>
  </si>
  <si>
    <t>ADX6000FB 4.3" Module (IEC-1000 신형)</t>
  </si>
  <si>
    <t>6-AR-0151</t>
  </si>
  <si>
    <t>ADX6000 컬리메이터 TOP 사출</t>
  </si>
  <si>
    <t>6-AR-0102</t>
  </si>
  <si>
    <t>ADX6000 컬리메이터 Bottom 사출</t>
  </si>
  <si>
    <t>6-AR-0103</t>
  </si>
  <si>
    <t>ABS 난연 화이트 + 스프레이 (블루펄유광)</t>
  </si>
  <si>
    <t>ADX6000 컬리메이터 FRONT 사출</t>
  </si>
  <si>
    <t>6-AR-0110</t>
  </si>
  <si>
    <t>ADX6000 LCD Cover 사출 (white)</t>
  </si>
  <si>
    <t>6-AR-0116</t>
  </si>
  <si>
    <t>ADX6000 LCD Inner Cover 사출</t>
  </si>
  <si>
    <t>6-AR-0117</t>
  </si>
  <si>
    <t>ADX6000 LCD 힌지 사출 커버 TOP</t>
  </si>
  <si>
    <t>6-AR-0118</t>
  </si>
  <si>
    <t>ADX6000 LCD 힌지 사출 커버 BOTTOM</t>
  </si>
  <si>
    <t>6-AR-0119</t>
  </si>
  <si>
    <t>ADX6000 LCD 사출 나사 커버</t>
  </si>
  <si>
    <t>6-AR-0139</t>
  </si>
  <si>
    <t>ADX6000 Main PC 거치대 사출</t>
  </si>
  <si>
    <t>6-AR-0130</t>
  </si>
  <si>
    <t>ADX6000 BODY LEFT 사출</t>
  </si>
  <si>
    <t>6-AR-0125</t>
  </si>
  <si>
    <t>ADX6000 배터리 커버</t>
  </si>
  <si>
    <t>6-AR-0126</t>
  </si>
  <si>
    <t>ADX6000 BODY RIGHT 사출</t>
  </si>
  <si>
    <t>6-AR-0137</t>
  </si>
  <si>
    <t>ADX6000 HANDLE LEFT 사출</t>
  </si>
  <si>
    <t>6-AR-0140</t>
  </si>
  <si>
    <t>ADX6000 HANDLE RIGHT 사출</t>
  </si>
  <si>
    <t>6-AR-0138</t>
  </si>
  <si>
    <t>ADX6000 크래들 TOP 사출</t>
  </si>
  <si>
    <t>6-AR-0142</t>
  </si>
  <si>
    <t>ADX6000 크래들 BOTTOM 사출</t>
  </si>
  <si>
    <t>6-AR-0143</t>
  </si>
  <si>
    <t>ADX6000 크래들 LED Guide 사출</t>
  </si>
  <si>
    <t>6-AR-0144</t>
  </si>
  <si>
    <t>ADX6000FB 리모콘 포트 가이드</t>
  </si>
  <si>
    <t>6-AR-0134</t>
  </si>
  <si>
    <t>ADX6000 Power Button 사출</t>
  </si>
  <si>
    <t>6-AR-0128</t>
  </si>
  <si>
    <t>ADX6000 Black Deco Guide</t>
  </si>
  <si>
    <t>6-AR-0127</t>
  </si>
  <si>
    <t>ADX6000 EX Button 사출</t>
  </si>
  <si>
    <t>6-AR-0141</t>
  </si>
  <si>
    <t>ADX6000 LCD 아크릴 가이드</t>
  </si>
  <si>
    <t>6-AR-0122</t>
  </si>
  <si>
    <t>ADX6000 아크릴 투명 십자 panel (70x70x1.5 mm)</t>
  </si>
  <si>
    <t>6-AR-0115</t>
  </si>
  <si>
    <t>ADX6000 LCD HINGE</t>
  </si>
  <si>
    <t>6-AR-0120</t>
  </si>
  <si>
    <t>ADX6000 Base Block</t>
  </si>
  <si>
    <t>6-AR-0111</t>
  </si>
  <si>
    <t>top Block</t>
  </si>
  <si>
    <t>ADX6000 Top Block</t>
  </si>
  <si>
    <t>6-AR-0112</t>
  </si>
  <si>
    <t>ADX6000 BOTTOM BLOCK</t>
  </si>
  <si>
    <t>6-AR-0113</t>
  </si>
  <si>
    <t>ADX6000 알루미늄 브라켓 6 hole</t>
  </si>
  <si>
    <t>6-AR-0146</t>
  </si>
  <si>
    <t>ADX6000 CRADLE FOOT RUBBER</t>
  </si>
  <si>
    <t>6-AR-0329</t>
  </si>
  <si>
    <t>ADX6000 손잡이 핀</t>
  </si>
  <si>
    <t>6-AR-0131</t>
  </si>
  <si>
    <t>페라이트 코어</t>
  </si>
  <si>
    <t>ADX6000 페라이트 코어 ZCAT 1518-0730</t>
  </si>
  <si>
    <t>6-AR-0145</t>
  </si>
  <si>
    <t>LCD 베젤 스티커</t>
  </si>
  <si>
    <t>ADX6000 LCD 배젤 스티커</t>
  </si>
  <si>
    <t>6-AR-0123</t>
  </si>
  <si>
    <t>ADX6000FB Front Port Sticker (리모콘 포트 수정 신형)</t>
  </si>
  <si>
    <t>6-AR-0135</t>
  </si>
  <si>
    <t>ADX6000 LCD 힌지 가죽 커버</t>
  </si>
  <si>
    <t>6-AR-0121</t>
  </si>
  <si>
    <t>ADX6000FB 가죽 손잡이 탈착배터리용 터치펜 X</t>
  </si>
  <si>
    <t>6-AR-0148</t>
  </si>
  <si>
    <t>DX3000, ADX4000W, SOLO 기본 배터리 [PF435060-4S] (4ICP4/50/60)</t>
  </si>
  <si>
    <t>348-PR-0024</t>
  </si>
  <si>
    <t>DX3000 내부 배터리 [PF435060]</t>
  </si>
  <si>
    <t>3-PR-0128</t>
  </si>
  <si>
    <t>COCOON 내부 배터리 [COCOON-041 (PF605060HP)] (4ICP6/50/61)</t>
  </si>
  <si>
    <t>7-AR-0207</t>
  </si>
  <si>
    <t>COCOON 외부 배터리 [PF605060]</t>
  </si>
  <si>
    <t>37-PR-0129</t>
  </si>
  <si>
    <t>COCOON 외부 배터리 [PF435060]</t>
  </si>
  <si>
    <t>37-PR-0026</t>
  </si>
  <si>
    <t>ADX6000 기본 배터리 [LIP1902A] (5ICP5/35/128)</t>
  </si>
  <si>
    <t>6-PR-0025</t>
  </si>
  <si>
    <t>ADX6000 외부 배터리 [LIP1902A_5035127SH25]</t>
  </si>
  <si>
    <t>6-PR-0130</t>
  </si>
  <si>
    <t>2구 AC코드 C 타입 [220V]</t>
  </si>
  <si>
    <t>34678-PR-0030</t>
  </si>
  <si>
    <t>2구 AC코드 A 타입 [110V]-일본향</t>
  </si>
  <si>
    <t>34678-PR-0031</t>
  </si>
  <si>
    <t>3구 접지 AC 코드 F타입</t>
  </si>
  <si>
    <t>3구 접지 AC코드 F 타입 [220V]</t>
  </si>
  <si>
    <t>34678-PR-0035</t>
  </si>
  <si>
    <t>3구 접지 AC코드 A 타입 [110V]</t>
  </si>
  <si>
    <t>34678-PR-0036</t>
  </si>
  <si>
    <t>3구 접지 AC코드 B 타입 [110V]-미국향</t>
  </si>
  <si>
    <t>34678-PR-0032</t>
  </si>
  <si>
    <t>3구 접지 AC코드 I 타입 [110-230V]-호주, 중국향</t>
  </si>
  <si>
    <t>34678-PR-0033</t>
  </si>
  <si>
    <t>3구 접지 AC코드 G 타입 [230V]-영국향</t>
  </si>
  <si>
    <t>34678-PR-0034</t>
  </si>
  <si>
    <t>2구 16.8V 충전기 [BPL910S16N01]</t>
  </si>
  <si>
    <t>34678-PR-0027</t>
  </si>
  <si>
    <t>3구 16.8V 충전기 [BPL910S16F01]</t>
  </si>
  <si>
    <t>34678-PR-0028</t>
  </si>
  <si>
    <t>3구 21.0V 충전기 [JBL7451212000302FJ]</t>
  </si>
  <si>
    <t>6-PR-0029</t>
  </si>
  <si>
    <t>3구 25.2V 1.7A 충전기 [JBL7451251700002FJ]</t>
  </si>
  <si>
    <t>6-PR-0131</t>
  </si>
  <si>
    <t>DRTech 15.0V 충전기 (220V)</t>
  </si>
  <si>
    <t>34678-PR-0132</t>
  </si>
  <si>
    <t>DRTech 15.0V 충전기 (110V)</t>
  </si>
  <si>
    <t>34678-PR-0133</t>
  </si>
  <si>
    <t>양암 변환 젠더 (COCOON 외부배터리 충전용)</t>
  </si>
  <si>
    <t>37-PR-0065</t>
  </si>
  <si>
    <t>크래들 [D-910]</t>
  </si>
  <si>
    <t>348-PR-0037</t>
  </si>
  <si>
    <t>6-PR-0134</t>
  </si>
  <si>
    <t>USB 2.0 CABLE [3M]</t>
  </si>
  <si>
    <t>4-PR-0064</t>
  </si>
  <si>
    <t>ADX4000W USB 2.0 CABLE (PMM369-0200) 2M</t>
  </si>
  <si>
    <t>4-PR-0135</t>
  </si>
  <si>
    <t>ADX4000W USB 2.0 CABLE (PMM369-0100) 1M</t>
  </si>
  <si>
    <t>4-PR-0136</t>
  </si>
  <si>
    <t>6-PR-0071</t>
  </si>
  <si>
    <t>DX3000 외부배터리용 쪽보드</t>
  </si>
  <si>
    <t>3-AR-0330</t>
  </si>
  <si>
    <t>뱅가드 46F [ADX6000]</t>
  </si>
  <si>
    <t>6-PR-0137</t>
  </si>
  <si>
    <t>뱅가드 53F [FDXD-810]</t>
  </si>
  <si>
    <t>34678-PR-0138</t>
  </si>
  <si>
    <t>DX3000, ADX4000W 계란판</t>
  </si>
  <si>
    <t>34-PR-0139</t>
  </si>
  <si>
    <t>COCOON, ADX6000 계란판</t>
  </si>
  <si>
    <t>67-PR-0140</t>
  </si>
  <si>
    <t>DX3000 15cm 내부폼</t>
  </si>
  <si>
    <t>3-PR-0097</t>
  </si>
  <si>
    <t>DX3000 20cm 내부폼</t>
  </si>
  <si>
    <t>3-PR-0098</t>
  </si>
  <si>
    <t>ADX4000W 15cm 내부폼</t>
  </si>
  <si>
    <t>4-PR-0099</t>
  </si>
  <si>
    <t>ADX4000W 20cm 내부폼</t>
  </si>
  <si>
    <t>4-PR-0100</t>
  </si>
  <si>
    <t>COCOON 18cm 내부폼 상판</t>
  </si>
  <si>
    <t>7-PR-0101</t>
  </si>
  <si>
    <t>COCOON 18cm 내부폼  하판</t>
  </si>
  <si>
    <t>7-PR-0102</t>
  </si>
  <si>
    <t>COCOON 20cm 내부폼 상판</t>
  </si>
  <si>
    <t>7-PR-0103</t>
  </si>
  <si>
    <t>COCOON 20cm 내부폼 하판</t>
  </si>
  <si>
    <t>7-PR-0104</t>
  </si>
  <si>
    <t>ADX6000 내부폼 상판</t>
  </si>
  <si>
    <t>6-PR-0105</t>
  </si>
  <si>
    <t>ADX6000 내부폼 중간판</t>
  </si>
  <si>
    <t>6-PR-0106</t>
  </si>
  <si>
    <t>ADX6000 내부폼 하판</t>
  </si>
  <si>
    <t>6-PR-0107</t>
  </si>
  <si>
    <t>45 * 55.5 * 2T, 접착 O</t>
  </si>
  <si>
    <t>디텍터 내부폼 상판 [45x55.5x2 mm 접착 O] (뱅가드 53F용)</t>
  </si>
  <si>
    <t>34678-PR-0141</t>
  </si>
  <si>
    <t>디텍터 내부폼 중판 [45x55.5x2 mm 접착 X] (뱅가드 53F용)</t>
  </si>
  <si>
    <t>34678-PR-0142</t>
  </si>
  <si>
    <t>디텍터 내부폼 하판 [45x55.5x8 mm] (뱅가드 53F용)</t>
  </si>
  <si>
    <t>34678-PR-0143</t>
  </si>
  <si>
    <t>ADX6000 체스트 &amp; 베드 Stand 박스 내장재 [상, 하판 230x130x30 mm]</t>
  </si>
  <si>
    <t>6-PR-0016</t>
  </si>
  <si>
    <t>ADX6000 체스트 &amp; 베드 Stand 박스 내장재 [좌, 우판 130x980x30 mm]</t>
  </si>
  <si>
    <t>6-PR-0017</t>
  </si>
  <si>
    <t>ADX6000 체스트 &amp; 베드 Stand 박스 내장재 [전, 후판 230x920x30 mm]</t>
  </si>
  <si>
    <t>6-PR-0018</t>
  </si>
  <si>
    <t>DX3000, ADX4000W 카톤 박스 [490x460x370 mm]</t>
  </si>
  <si>
    <t>34-PR-0117</t>
  </si>
  <si>
    <t>DX3000, ADX4000W 제품 박스 [450x240x360 mm]</t>
  </si>
  <si>
    <t>34-PR-0114</t>
  </si>
  <si>
    <t>COCOON 카톤 박스 [500x460x520 mm]</t>
  </si>
  <si>
    <t>7-PR-0118</t>
  </si>
  <si>
    <t>COCOON 제품 박스 [450x240x490 mm]</t>
  </si>
  <si>
    <t>7-PR-0115</t>
  </si>
  <si>
    <t>SOLO 제품 박스 [손잡이 체결형 420x400x180 mm]</t>
  </si>
  <si>
    <t>8-PR-0112</t>
  </si>
  <si>
    <t>SOLO 카톤 박스 [손잡이 체결형 440x390x420 mm]</t>
  </si>
  <si>
    <t>8-PR-0113</t>
  </si>
  <si>
    <t>ADX6000FB 카톤 박스 [500x460x520 mm]</t>
  </si>
  <si>
    <t>6-PR-0119</t>
  </si>
  <si>
    <t>DX3000 저가 박스 [280x220x200 mm]</t>
  </si>
  <si>
    <t>3-PR-0120</t>
  </si>
  <si>
    <t>제품 박스용 무지 박스 [450x260x510 mm] (1개 포장용)</t>
  </si>
  <si>
    <t>3467-PR-0145</t>
  </si>
  <si>
    <t>저가 박스용 무지 박스 [475x295x220 mm] (2개 포장용)</t>
  </si>
  <si>
    <t>3-PR-0146</t>
  </si>
  <si>
    <t>저가 박스용 무지 박스 [475x295x430 mm] (4개 포장용)</t>
  </si>
  <si>
    <t>3-PR-0147</t>
  </si>
  <si>
    <t>저가 박스용 무지 박스 [700x300x430 mm] (6개 포장용)</t>
  </si>
  <si>
    <t>3-PR-0148</t>
  </si>
  <si>
    <t>iCam 구강 카메라 박스</t>
  </si>
  <si>
    <t>34678-PR-0076</t>
  </si>
  <si>
    <t>Rex2 Premium 센서 박스</t>
  </si>
  <si>
    <t>34678-PR-0077</t>
  </si>
  <si>
    <t>ADX6000 체스트 &amp; 베드 Stand ACC 박스 [1000x300x160 mm]</t>
  </si>
  <si>
    <t>6-PR-0019</t>
  </si>
  <si>
    <t>ADX6000 박스 내장재 [상, 하판 60.5x27.5x30 mm] (뱅가드 46F용)</t>
  </si>
  <si>
    <t>6-PR-0150</t>
  </si>
  <si>
    <t>ADX6000 박스 내장재 [좌, 우판 42.5x27.5x30 mm] (뱅가드 46F용)</t>
  </si>
  <si>
    <t>6-PR-0151</t>
  </si>
  <si>
    <t>ADX6000 박스 내장재 [전, 후판 42.5x55x35 mm] (뱅가드 46F용)</t>
  </si>
  <si>
    <t>6-PR-0152</t>
  </si>
  <si>
    <t>DRTech 센서 박스 내장재 [상, 하판 45.5x42x30 mm] (뱅가드 53F용)</t>
  </si>
  <si>
    <t>34678-PR-0153</t>
  </si>
  <si>
    <t>SOLO 내부폼 [손잡이 체결형]</t>
  </si>
  <si>
    <t>8-PR-0111</t>
  </si>
  <si>
    <t>DX3000 저가 박스 에어셀 [Main]</t>
  </si>
  <si>
    <t>3-PR-0121</t>
  </si>
  <si>
    <t>넥스트랩 [포켓 O]</t>
  </si>
  <si>
    <t>37-PR-0060</t>
  </si>
  <si>
    <t>넥스트랩 [포켓 구형]</t>
  </si>
  <si>
    <t>37-PR-0154</t>
  </si>
  <si>
    <t>넥스트랩 [포켓 X]</t>
  </si>
  <si>
    <t>37-PR-0155</t>
  </si>
  <si>
    <t>구형 (호주에 적용)</t>
  </si>
  <si>
    <t>DX3000 가죽 홀더 [호주용]</t>
  </si>
  <si>
    <t>3-PR-0063</t>
  </si>
  <si>
    <t>가방끈 [일본용]</t>
  </si>
  <si>
    <t>346-PR-0062</t>
  </si>
  <si>
    <t>DX3000 포켓 핸드 스트랩</t>
  </si>
  <si>
    <t>3-AR-0331</t>
  </si>
  <si>
    <t>ADX6000 연아크릴 [215x215x8mm] 정사각형-오레곤주용</t>
  </si>
  <si>
    <t>6-PR-0159</t>
  </si>
  <si>
    <t>ADX6000 연아크릴 실리콘 오링</t>
  </si>
  <si>
    <t>6-PR-0049</t>
  </si>
  <si>
    <t>연아크릴 실리콘 오링 3030</t>
  </si>
  <si>
    <t>DX3000 연아크릴 실리콘 오링 [60ɸ 12T 3030]</t>
  </si>
  <si>
    <t>3-PR-0047</t>
  </si>
  <si>
    <t>연아크릴 실리콘 오링 4040</t>
  </si>
  <si>
    <t>ADX4000W 연아크릴 실리콘 오링 [60ɸ 12T 4040]</t>
  </si>
  <si>
    <t>4-PR-0048</t>
  </si>
  <si>
    <t>DX3000 NAME PLATE [iRay D3]</t>
  </si>
  <si>
    <t>3-PR-0054</t>
  </si>
  <si>
    <t>DX3000 NAME PLATE [DX3000]</t>
  </si>
  <si>
    <t>3-PR-0053</t>
  </si>
  <si>
    <t>DX3000 NAME PLATE [iRix]</t>
  </si>
  <si>
    <t>3-PR-0055</t>
  </si>
  <si>
    <t>ADX4000 NAME PLATE [DEXCOWIN]</t>
  </si>
  <si>
    <t>4-PR-0056</t>
  </si>
  <si>
    <t>ADX6000 NAME PLATE [ADX6000]</t>
  </si>
  <si>
    <t>6-PR-0067</t>
  </si>
  <si>
    <t>ADX6000 NAME PLATE [iRay A6]</t>
  </si>
  <si>
    <t>6-PR-0068</t>
  </si>
  <si>
    <t>ADX6000s NAME PLATE [iRay A6s]</t>
  </si>
  <si>
    <t>6-PR-0160</t>
  </si>
  <si>
    <t>뱅가드 53F NAME PLATE [DEXCOWIN]</t>
  </si>
  <si>
    <t>34678-PR-0161</t>
  </si>
  <si>
    <t>뱅가드 46F NAME PLATE [DEXCOWIN]</t>
  </si>
  <si>
    <t>6-PR-0162</t>
  </si>
  <si>
    <t>ADX6000s NAME PLATE [ADX6000s]</t>
  </si>
  <si>
    <t>6-PR-0163</t>
  </si>
  <si>
    <t>DX3000 패드</t>
  </si>
  <si>
    <t>3-PR-0164</t>
  </si>
  <si>
    <t>iCam 구강 카메라</t>
  </si>
  <si>
    <t>34678-PR-0078</t>
  </si>
  <si>
    <t>PLAATZ 330N 센서 케이스</t>
  </si>
  <si>
    <t>34678-PR-0165</t>
  </si>
  <si>
    <t>DRTech [FLAATZ 760/17"x17"]</t>
  </si>
  <si>
    <t>34678-PR-0166</t>
  </si>
  <si>
    <t>DRTech [330N/10"x8"]</t>
  </si>
  <si>
    <t>34678-PR-0079</t>
  </si>
  <si>
    <t>DRTech [FDXD-810/10"x8"]</t>
  </si>
  <si>
    <t>34678-PR-0167</t>
  </si>
  <si>
    <t>HDI-1000 [Rex2 Classic/1.5]</t>
  </si>
  <si>
    <t>34678-PR-0168</t>
  </si>
  <si>
    <t>HDI-2000 [Rex2 Premium/1.5]</t>
  </si>
  <si>
    <t>34678-PR-0082</t>
  </si>
  <si>
    <t>HDI-2000 [Rex2 Premium/2.0]</t>
  </si>
  <si>
    <t>34678-PR-0083</t>
  </si>
  <si>
    <t>34678-PR-0084</t>
  </si>
  <si>
    <t>34678-PR-0085</t>
  </si>
  <si>
    <t>34678-PR-0086</t>
  </si>
  <si>
    <t>E2V CMOS [EV71JU215A-C-00B1/1.0]</t>
  </si>
  <si>
    <t>4-PR-0087</t>
  </si>
  <si>
    <t>E2V CMOS [EV71JU213A-C-00B1/2.0]</t>
  </si>
  <si>
    <t>4-PR-0088</t>
  </si>
  <si>
    <t>34-PR-0050</t>
  </si>
  <si>
    <t>터치 펜</t>
  </si>
  <si>
    <t>4-PR-0059</t>
  </si>
  <si>
    <t>스탠드홀드 (메탈)</t>
  </si>
  <si>
    <t>ADX4000W 스탠드 홀드 (메탈)</t>
  </si>
  <si>
    <t>4-PR-0022</t>
  </si>
  <si>
    <t>DX3000 스탠드 홀드 (메탈)</t>
  </si>
  <si>
    <t>3-PR-0021</t>
  </si>
  <si>
    <t>스탠드홀드 (신형)</t>
  </si>
  <si>
    <t>ADX4000W 스탠드 홀드 (흰색)</t>
  </si>
  <si>
    <t>4-PR-0023</t>
  </si>
  <si>
    <t>DX3000, ADX4000W, SOLO 배터리 거치대용 신주핀 (D-910)</t>
  </si>
  <si>
    <t>348-PR-0169</t>
  </si>
  <si>
    <t>6-PR-0170</t>
  </si>
  <si>
    <t>ADX6000 국내용 스탠드 브라켓 1. BLOCK</t>
  </si>
  <si>
    <t>6-PR-0001</t>
  </si>
  <si>
    <t>ADX6000 국내용 스탠드 브라켓 2. ARM</t>
  </si>
  <si>
    <t>6-PR-0002</t>
  </si>
  <si>
    <t>ADX6000 국내용 스탠드 브라켓 3. TILT BODY</t>
  </si>
  <si>
    <t>6-PR-0003</t>
  </si>
  <si>
    <t>ADX6000 국내용 스탠드 브라켓 4. BASE</t>
  </si>
  <si>
    <t>6-PR-0004</t>
  </si>
  <si>
    <t>ADX6000 국내용 스탠드 브라켓 5. SHAFT</t>
  </si>
  <si>
    <t>6-PR-0005</t>
  </si>
  <si>
    <t>ADX6000 국내용 스탠드 브라켓 6. PUSH PLATE</t>
  </si>
  <si>
    <t>6-PR-0006</t>
  </si>
  <si>
    <t>ADX6000 국내용 스탠드 브라켓 7. EASY LOCK PLATE</t>
  </si>
  <si>
    <t>6-PR-0007</t>
  </si>
  <si>
    <t>ADX6000 국내용 스탠드 브라켓 8. MOUNT</t>
  </si>
  <si>
    <t>6-PR-0008</t>
  </si>
  <si>
    <t>ADX6000 국내용 스탠드 브라켓 9. 조임 손잡이</t>
  </si>
  <si>
    <t>6-PR-0009</t>
  </si>
  <si>
    <t>6-PR-0073</t>
  </si>
  <si>
    <t>6-PR-0074</t>
  </si>
  <si>
    <t>6-PR-0075</t>
  </si>
  <si>
    <t>ADX6000 각도기 홀더</t>
  </si>
  <si>
    <t>6-PR-0171</t>
  </si>
  <si>
    <t>사각 줄자 아크릴 가이드</t>
  </si>
  <si>
    <t>6-PR-0070</t>
  </si>
  <si>
    <t>AllMyT Stand Main Body</t>
  </si>
  <si>
    <t>346-PR-0010</t>
  </si>
  <si>
    <t>AllMyT Stand Accessory</t>
  </si>
  <si>
    <t>346-PR-0011</t>
  </si>
  <si>
    <t>ADX6000 체스트 &amp; 베드 STAND</t>
  </si>
  <si>
    <t>6-PR-0012</t>
  </si>
  <si>
    <t>ADX6000 체스트 &amp; 베드 ARM PIPE</t>
  </si>
  <si>
    <t>6-PR-0014</t>
  </si>
  <si>
    <t>ADX6000 체스트 &amp; 베드 JOINT ARM</t>
  </si>
  <si>
    <t>6-PR-0013</t>
  </si>
  <si>
    <t>ADX6000 체스트 &amp; 베드 FIX BLOCK A, B</t>
  </si>
  <si>
    <t>6-PR-0015</t>
  </si>
  <si>
    <t>ADX6000 접이식 정형외과용 스탠드 세트</t>
  </si>
  <si>
    <t>6-PR-0020</t>
  </si>
  <si>
    <t>REMOTE CONTROL [3M]</t>
  </si>
  <si>
    <t>34678-PR-0066</t>
  </si>
  <si>
    <t>3468-PR-0172</t>
  </si>
  <si>
    <t>3468-PR-0173</t>
  </si>
  <si>
    <t>실드 오링 [AN-036]</t>
  </si>
  <si>
    <t>3478-PR-0045</t>
  </si>
  <si>
    <t>OS라이센스 라벨</t>
  </si>
  <si>
    <t>4-PR-0058</t>
  </si>
  <si>
    <t>DX3000 실리콘 켑</t>
  </si>
  <si>
    <t>3-PR-0052</t>
  </si>
  <si>
    <t>DX3000 기본 Battery Case (사급자재)</t>
  </si>
  <si>
    <t>348-PR-0175</t>
  </si>
  <si>
    <t>DX3000 기본 배터리 내부 단자대 (사급자재)</t>
  </si>
  <si>
    <t>348-PR-0176</t>
  </si>
  <si>
    <t>ADX6000 고압베어 BD</t>
  </si>
  <si>
    <t>6-HR-0054</t>
  </si>
  <si>
    <t>8핀 B/D (구형 8핀 보드) [ADX6000]</t>
  </si>
  <si>
    <t>6-VR-0006</t>
  </si>
  <si>
    <t>SOLO 고압 다이오드 (SPF01-15)</t>
  </si>
  <si>
    <t>8-HR-0055</t>
  </si>
  <si>
    <t>SOLO 고압용 칩 세라믹 콘덴서 (2220J6K00222KXT)</t>
  </si>
  <si>
    <t>8-HR-0056</t>
  </si>
  <si>
    <t>DXDR-070 하우징용 파이프 [SOLO]</t>
  </si>
  <si>
    <t>8-HR-0049</t>
  </si>
  <si>
    <t>SOLO 내부 케이스 (HDPE)</t>
  </si>
  <si>
    <t>8-VR-0043</t>
  </si>
  <si>
    <t>SOLO 고압 격벽 (HDPE)</t>
  </si>
  <si>
    <t>8-VR-0044</t>
  </si>
  <si>
    <t>SOLO 에이밍 은경 필터 [40ɸ 0.5T]</t>
  </si>
  <si>
    <t>8-AR-0332</t>
  </si>
  <si>
    <t>COCOON ST CTR BD</t>
  </si>
  <si>
    <t>7-NR-0010</t>
  </si>
  <si>
    <t>DX3000 2.42" OLED PANEL (UG-2864ASWPG01)</t>
  </si>
  <si>
    <t>3-AR-0333</t>
  </si>
  <si>
    <t>DX3000 OLED GUIDE</t>
  </si>
  <si>
    <t>3-AR-0334</t>
  </si>
  <si>
    <t>DX3000 EX BD FFC CABLE 10핀</t>
  </si>
  <si>
    <t>3-AR-0335</t>
  </si>
  <si>
    <t>COCOON ST CTR to OP 케이블 (FLAT 30P 2.0mm 1:1) 205mm [하네스 12번]</t>
  </si>
  <si>
    <t>7-AR-0337</t>
  </si>
  <si>
    <t>COCOON ST OP to TOUCH 케이블 (12505HS-05) 70mm [하네스 7-1번]</t>
  </si>
  <si>
    <t>7-AR-0338</t>
  </si>
  <si>
    <t>ADX6000 LCD BD</t>
  </si>
  <si>
    <t>6-AR-0153</t>
  </si>
  <si>
    <t>ADX6000 Carrier BD [KONTRON]</t>
  </si>
  <si>
    <t>6-AR-0157</t>
  </si>
  <si>
    <t>ADX6000 Carrier BD [신형 DFI]</t>
  </si>
  <si>
    <t>6-AR-0158</t>
  </si>
  <si>
    <t>ADX6000FB ETC CARRIER BD (IEC-266)</t>
  </si>
  <si>
    <t>6-AR-0155</t>
  </si>
  <si>
    <t>ADX6000FB ETC CARRIER MINI BD</t>
  </si>
  <si>
    <t>6-AR-0156</t>
  </si>
  <si>
    <t>ADX6000 Front Micro BD</t>
  </si>
  <si>
    <t>6-AR-0161</t>
  </si>
  <si>
    <t>ADX6000FB ETC FRONT BD (리모콘 포트 수정 두꺼운 것)</t>
  </si>
  <si>
    <t>6-AR-0340</t>
  </si>
  <si>
    <t>ADX6000 컬리메이터 LED BD (LED 작고 밝은 것 적용)</t>
  </si>
  <si>
    <t>6-AR-0167</t>
  </si>
  <si>
    <t>ADX6000 ETC EX BATTERY BD</t>
  </si>
  <si>
    <t>6-AR-0341</t>
  </si>
  <si>
    <t>ADX6000 ETC RESIST BD</t>
  </si>
  <si>
    <t>6-AR-0342</t>
  </si>
  <si>
    <t>ADX6000 ETC CAP BANK BD</t>
  </si>
  <si>
    <t>6-AR-0343</t>
  </si>
  <si>
    <t xml:space="preserve">DRTech FDXD-810, FLAATZ-N330 CTR Battery B/D (구형) </t>
  </si>
  <si>
    <t>34678-PR-0177</t>
  </si>
  <si>
    <t>DRTech FDXD-810, FLAATZ-N330 CTR Battery B/D (신형)</t>
  </si>
  <si>
    <t>34678-PR-0178</t>
  </si>
  <si>
    <t>ADX6000 16핀 FFC Cable 82mm</t>
  </si>
  <si>
    <t>6-AR-0185</t>
  </si>
  <si>
    <t>ADX6000FB CAP BANK 케이블 (YH396-04V-2EA) 120mm [하네스 8번]</t>
  </si>
  <si>
    <t>6-AR-0344</t>
  </si>
  <si>
    <t>ADX6000FB Carrier Mini BD 케이블 3핀 (12505HS-03) 100mm [하네스 9번]</t>
  </si>
  <si>
    <t>6-AR-0175</t>
  </si>
  <si>
    <t>ADX6000FB 외부단자 케이블 (YH396-04V-1EA) 200mm [하네스 12번]</t>
  </si>
  <si>
    <t>6-AR-0345</t>
  </si>
  <si>
    <t>ADX6000FB 외부배터리 케이블 (DC Connector Cable) 360mm [하네스 13번]</t>
  </si>
  <si>
    <t>6-AR-0346</t>
  </si>
  <si>
    <t>ADX6000 USB Connector Wire Harness 4핀 100mm</t>
  </si>
  <si>
    <t>6-AR-0184</t>
  </si>
  <si>
    <t>ADX6000 Front USB Wire Harness 4핀 80mm</t>
  </si>
  <si>
    <t>6-AR-0186</t>
  </si>
  <si>
    <t>ADX6000 RS422 통신 Wire Harness 6핀 120mm</t>
  </si>
  <si>
    <t>6-AR-0183</t>
  </si>
  <si>
    <t>ADX6000 PC Connector Wire Harness 7핀 100mm,140mm,200mm</t>
  </si>
  <si>
    <t>6-AR-0182</t>
  </si>
  <si>
    <t>ADX6000FB 4.3" Module (IEC-266 구형)</t>
  </si>
  <si>
    <t>6-AR-0150</t>
  </si>
  <si>
    <t>ADX6000 컬리메이터 REAR</t>
  </si>
  <si>
    <t>6-AR-0347</t>
  </si>
  <si>
    <t>ADX6000 컬리메이터 내부하우징 사출</t>
  </si>
  <si>
    <t>6-AR-0105</t>
  </si>
  <si>
    <t>ADX6000 컬리메이터 내부브릿지 사출</t>
  </si>
  <si>
    <t>6-AR-0106</t>
  </si>
  <si>
    <t>ADX6000 컬리메이터 Mirror 거치대 사출</t>
  </si>
  <si>
    <t>6-AR-0107</t>
  </si>
  <si>
    <t>ADX6000 Micro USB 사출 가이드</t>
  </si>
  <si>
    <t>6-AR-0129</t>
  </si>
  <si>
    <t>ADX6000 아크릴 은경 [32x32x1.5 mm]</t>
  </si>
  <si>
    <t>6-AR-0108</t>
  </si>
  <si>
    <t>ADX6000 알루미늄 브라켓 4 HOLE</t>
  </si>
  <si>
    <t>6-AR-0348</t>
  </si>
  <si>
    <t>ADX6000 컬리메이터 LED 알루미늄 가이드</t>
  </si>
  <si>
    <t>6-AR-0109</t>
  </si>
  <si>
    <t>ADX6000 외부단자 연결 DC잭 고무링</t>
  </si>
  <si>
    <t>6-AR-0349</t>
  </si>
  <si>
    <t>ADX6000 외부단자 연결 DC잭 너트</t>
  </si>
  <si>
    <t>6-AR-0350</t>
  </si>
  <si>
    <t>ADX6000 Front Port Sticker (전면 포트 스티커)</t>
  </si>
  <si>
    <t>6-AR-0132</t>
  </si>
  <si>
    <t>ADX6000FB Front Port Sticker (수정전 리모콘 위치 상단)</t>
  </si>
  <si>
    <t>6-AR-0351</t>
  </si>
  <si>
    <t>ADX6000FB Front Port Sticker (USB 포트 제거형)</t>
  </si>
  <si>
    <t>6-AR-0136</t>
  </si>
  <si>
    <t>ADX6000 가죽 손잡이 탈착배터리용 터치펜 O</t>
  </si>
  <si>
    <t>6-AR-0147</t>
  </si>
  <si>
    <t>ADX6000 가죽 손잡이 (외부배터리용) AS용</t>
  </si>
  <si>
    <t>6-AR-0352</t>
  </si>
  <si>
    <t>ADX6000 BODY LEFT 사출(외부배터리용 단자대 사출커팅) AS용</t>
  </si>
  <si>
    <t>6-AR-0353</t>
  </si>
  <si>
    <t>ADX6000 BODY RIGHT 사출(외부배터리용) AS용</t>
  </si>
  <si>
    <t>6-AR-0354</t>
  </si>
  <si>
    <t>ADX6000s RIGHT ASS'Y</t>
  </si>
  <si>
    <t>6-AA-0075</t>
  </si>
  <si>
    <t>ADX6000 컬리메이터 내부하우징 사출 + 납</t>
  </si>
  <si>
    <t>6-AA-0076</t>
  </si>
  <si>
    <t>DX3000 배터리커버 (G)</t>
  </si>
  <si>
    <t>3-AR-0025</t>
  </si>
  <si>
    <t>메디컬용 컬리메이터 콘</t>
  </si>
  <si>
    <t>DX3000 메디컬용 콘 가이드</t>
  </si>
  <si>
    <t>3-AR-0039</t>
  </si>
  <si>
    <t>메디컬용 컬리메이터 CAP</t>
  </si>
  <si>
    <t>DX3000 메디컬용 FRONT</t>
  </si>
  <si>
    <t>3-AR-0040</t>
  </si>
  <si>
    <t>화이트 유광</t>
  </si>
  <si>
    <t>COCOON TOP BODY (W) [Carestream 로고]</t>
  </si>
  <si>
    <t>7-AR-0214</t>
  </si>
  <si>
    <t>COCOON BOTTOM BODY (W)</t>
  </si>
  <si>
    <t>7-AR-0216</t>
  </si>
  <si>
    <t>COCOON CRADLE BODY (W)</t>
  </si>
  <si>
    <t>7-AR-0358</t>
  </si>
  <si>
    <t>COCOON CRADLE FRAME (W)</t>
  </si>
  <si>
    <t>7-AR-0221</t>
  </si>
  <si>
    <t>COCOON HAND BODY (W)</t>
  </si>
  <si>
    <t>7-AR-0219</t>
  </si>
  <si>
    <t>COCOON HAND TOP COVER (W)</t>
  </si>
  <si>
    <t>7-AR-0220</t>
  </si>
  <si>
    <t>BATCON BD + EXP BD 연결_16AWG 실리콘/150mm</t>
  </si>
  <si>
    <t>SOLO BATCON to EXP 4핀 (YH396-04V) 150mm [하네스 4-2번]</t>
  </si>
  <si>
    <t>8-AR-0304</t>
  </si>
  <si>
    <t>BATCON BD + EXP BD 연결_26AWG / 190mm</t>
  </si>
  <si>
    <t>SOLO BATCON to EXP 3핀 (12505HS-03) 190mm [하네스 4-1번]</t>
  </si>
  <si>
    <t>8-AR-0305</t>
  </si>
  <si>
    <t>SOLO OP to POWER SWITCH 12핀 (12505HS-12) 100mm [하네스 2번]</t>
  </si>
  <si>
    <t>8-AR-0306</t>
  </si>
  <si>
    <t>SOLO 하네스 4-1번</t>
  </si>
  <si>
    <t>OP BD + CTR BD 연결_0.5mm FFC / 100mm</t>
  </si>
  <si>
    <t>SOLO OP to CTR 40핀 FFC CABLE 100mm [하네스 3번]</t>
  </si>
  <si>
    <t>8-AR-0307</t>
  </si>
  <si>
    <t>SOLO 하네스 4-2번</t>
  </si>
  <si>
    <t>Main PCB + 리모콘 BD 연결 3핀</t>
  </si>
  <si>
    <t>SOLO MAIN to REMOTE 3핀 (12505HS-03) 60mm [하네스 1번]</t>
  </si>
  <si>
    <t>8-AR-0308</t>
  </si>
  <si>
    <t>BUFFALO USB 동글 (GNM2)</t>
  </si>
  <si>
    <t>WIFI [WLI-UC-GNM2]</t>
  </si>
  <si>
    <t>ADX4000W BUFFALO WIFI 동글 [WLI-UC-GNM2]</t>
  </si>
  <si>
    <t>46-AR-0079</t>
  </si>
  <si>
    <t>ADX6000s CTR BD (Ver 1.1.1) - 8핀용</t>
  </si>
  <si>
    <t>6-NR-0003</t>
  </si>
  <si>
    <t>ADX6000FB CTR to GEN BD (Ver 2.0.1) - 10핀용</t>
  </si>
  <si>
    <t>6-NR-0009</t>
  </si>
  <si>
    <t>ADX6000FB ETC FRONT BD (리모콘 포트 수정 전)</t>
  </si>
  <si>
    <t>6-AR-0339</t>
  </si>
  <si>
    <t>하네스 1-1번</t>
  </si>
  <si>
    <t>12505HS-06, 12505HS-04, 12505HS-03, 5264-02 (250mm, 140mm, 300mm)</t>
  </si>
  <si>
    <t>ADX6000FB CTR, CURRENT, FRONT, PC BD연결 (12505HS-06, 12505HS-04, 12505HS-03, 5264-02) 250mm, 140mm, 300mm [하네스 1-1번]</t>
  </si>
  <si>
    <t>6-AR-0169</t>
  </si>
  <si>
    <t>하네스 11-1번</t>
  </si>
  <si>
    <t>ADX6000 탈착 BAT BD (Ver 4.0) 연결 6핀 (12505HS-06) 80mm [하네스 11-1번]</t>
  </si>
  <si>
    <t>6-AR-0179</t>
  </si>
  <si>
    <t>컬리메이터 콘 가이드</t>
  </si>
  <si>
    <t>ADX6000 컬리메이터 콘 가이드</t>
  </si>
  <si>
    <t>6-AR-0104</t>
  </si>
  <si>
    <t>DX3000 사각 컬리메이터 FRONT (B)</t>
  </si>
  <si>
    <t>3-AA-0019</t>
  </si>
  <si>
    <t>디텍터 가방</t>
  </si>
  <si>
    <t>DX3000, ADX4000W 가방 [로고 O]</t>
  </si>
  <si>
    <t>34-PR-0091</t>
  </si>
  <si>
    <t>DX3000, ADX4000W 가방 [로고 X]</t>
  </si>
  <si>
    <t>34-PR-0092</t>
  </si>
  <si>
    <t>COCOON, ADX6000FB 가방 [로고 X]</t>
  </si>
  <si>
    <t>67-PR-0094</t>
  </si>
  <si>
    <t>ADX6000 제품 박스</t>
  </si>
  <si>
    <t>6-PR-0144</t>
  </si>
  <si>
    <t>ADX6000FB 제품 박스 [450x240x490 mm]</t>
  </si>
  <si>
    <t>6-PR-0116</t>
  </si>
  <si>
    <t>뱅가드 46F 포장용 무지 박스</t>
  </si>
  <si>
    <t>34678-PR-0149</t>
  </si>
  <si>
    <t>DX3000, ADX4000W 에어셀 [Top 얇은 것]</t>
  </si>
  <si>
    <t>34-PR-0123</t>
  </si>
  <si>
    <t>DX3000, ADX4000W 에어셀 [Bottom 두꺼운 것]</t>
  </si>
  <si>
    <t>34-PR-0124</t>
  </si>
  <si>
    <t>COCOON, ADX6000FB 에어셀 [Top+Bottom 긴 것]</t>
  </si>
  <si>
    <t>67-PR-0125</t>
  </si>
  <si>
    <t>COCOON, ADX6000FB 에어셀 [Side 짧은 것]</t>
  </si>
  <si>
    <t>67-PR-0126</t>
  </si>
  <si>
    <t>DX3000 저가 박스 에어셀 [Accessories]</t>
  </si>
  <si>
    <t>3-PR-0122</t>
  </si>
  <si>
    <t>연아크릴 [65ɸ 8T] (선일쉴드텍)</t>
  </si>
  <si>
    <t>78-PR-0038</t>
  </si>
  <si>
    <t>연아크릴 [65ɸ 8T] (중국)</t>
  </si>
  <si>
    <t>78-PR-0156</t>
  </si>
  <si>
    <t>연아크릴 [65ɸ 12T] (선일쉴드텍)</t>
  </si>
  <si>
    <t>3478-PR-0041</t>
  </si>
  <si>
    <t>연아크릴 [65ɸ 12T] (중국)</t>
  </si>
  <si>
    <t>3478-PR-0040</t>
  </si>
  <si>
    <t>연아크릴 [60ɸ 12T] (선일쉴드텍)</t>
  </si>
  <si>
    <t>34-PR-0039</t>
  </si>
  <si>
    <t>연아크릴 [60ɸ 12T] (중국)</t>
  </si>
  <si>
    <t>347-PR-0157</t>
  </si>
  <si>
    <t>ADX6000 연아크릴 [215x195x8mm] 하단 가공된 것</t>
  </si>
  <si>
    <t>6-PR-0043</t>
  </si>
  <si>
    <t>ADX6000 연아크릴 [215x195x8mm]</t>
  </si>
  <si>
    <t>6-PR-0044</t>
  </si>
  <si>
    <t>ADX6000 스탠드 브라켓 조인트 ASS'Y</t>
  </si>
  <si>
    <t>6-PA-0001</t>
  </si>
  <si>
    <t>CTR B/D [DX4000]</t>
  </si>
  <si>
    <t>4-VR-0015</t>
  </si>
  <si>
    <t>ADX6000 CTR BD (Ver 1.5)</t>
  </si>
  <si>
    <t>6-NR-0004</t>
  </si>
  <si>
    <t>ADX6000 INNER USB BD (Ver 2.1)</t>
  </si>
  <si>
    <t>6-NR-0006</t>
  </si>
  <si>
    <t>[CR-ADX] 크래들 ASS'Y</t>
  </si>
  <si>
    <t>ADX6000 크래들 ASS'Y [CR-ADX]</t>
  </si>
  <si>
    <t>6-AA-0036</t>
  </si>
  <si>
    <t>ADX6000 FRONT CONNECTOR BD</t>
  </si>
  <si>
    <t>6-AR-0160</t>
  </si>
  <si>
    <t>COCOON FFC CABLE (1mm*30P*A) 200mm [하네스 3-1번] (같은 방향)</t>
  </si>
  <si>
    <t>7-AR-0336</t>
  </si>
  <si>
    <t>ADX6000s AIM LIGHT DRIVER BD (Ver 1.0.0) - 9핀용</t>
  </si>
  <si>
    <t>6-NR-0008</t>
  </si>
  <si>
    <t>ADX6000 Skin Guard Frame</t>
  </si>
  <si>
    <t>6-AR-0114</t>
  </si>
  <si>
    <t>Battery Pack Bottom</t>
  </si>
  <si>
    <t>사급자재 (블랙)</t>
  </si>
  <si>
    <t>DX3000 기본 Battery Pack (사급자재)</t>
  </si>
  <si>
    <t>348-PR-0174</t>
  </si>
  <si>
    <t>SOLO PCB 방열 가이드 (B)</t>
  </si>
  <si>
    <t>8-AR-0294</t>
  </si>
  <si>
    <t>AS 자재로 이관</t>
  </si>
  <si>
    <t>DX3000 FRONT COVER (듀얼 슬라이드 (외부배터리용 홀)) AS용</t>
  </si>
  <si>
    <t>3-AR-0314</t>
  </si>
  <si>
    <t>COCOON, ADX6000FB 가방 [로고 O]</t>
  </si>
  <si>
    <t>67-PR-0093</t>
  </si>
  <si>
    <t>ADX6000 내부폼 상판 [47x36.5x2.5 mm] (뱅가드 46F용)</t>
  </si>
  <si>
    <t>6-PR-0369</t>
  </si>
  <si>
    <t>ADX6000 내부폼 중판 [47x36.5x5.5 mm] (뱅가드 46F용)</t>
  </si>
  <si>
    <t>6-PR-0370</t>
  </si>
  <si>
    <t>ADX6000 내부폼 하판 [47x36.5x7.5 mm] (뱅가드 46F용)</t>
  </si>
  <si>
    <t>6-PR-0371</t>
  </si>
  <si>
    <t>Battery Pack [21.0V 5셀]</t>
  </si>
  <si>
    <t>ADX6000 Battery Pack (사급자재)</t>
  </si>
  <si>
    <t>6-PR-0372</t>
  </si>
  <si>
    <t>혼합</t>
  </si>
  <si>
    <t>히팅 패드+방열팬 구형</t>
  </si>
  <si>
    <t>히팅 싱크 + 방열팬 (구형)</t>
  </si>
  <si>
    <t>46-AA-0080</t>
  </si>
  <si>
    <t>히팅 싱크 + 방열팬 (신형)</t>
  </si>
  <si>
    <t>46-AA-0081</t>
  </si>
  <si>
    <t>배터리 [60C 950mA]</t>
  </si>
  <si>
    <t>60C 950mA</t>
  </si>
  <si>
    <t>DX3000V 기본 배터리 [PF435060 60C 950mA]</t>
  </si>
  <si>
    <t>3-PR-0228</t>
  </si>
  <si>
    <t>배터리 거치대 사출 SETS T</t>
  </si>
  <si>
    <t>D-910 크래들 TOP 사출</t>
  </si>
  <si>
    <t>348-AR-0722</t>
  </si>
  <si>
    <t>DX3000, ADX4001W</t>
  </si>
  <si>
    <t>배터리 거치대 사출 SETS B</t>
  </si>
  <si>
    <t>D-910 크래들 BOTTOM 사출</t>
  </si>
  <si>
    <t>348-AR-0723</t>
  </si>
  <si>
    <t>34678-PR-0277</t>
  </si>
  <si>
    <t>34678-PR-0278</t>
  </si>
  <si>
    <t>PLATTZ 330N 센서 하네스 1번 (배터리팩 4핀)</t>
  </si>
  <si>
    <t>34678-PR-0279</t>
  </si>
  <si>
    <t>PLATTZ 330N 센서 하네스 2번 (전원 스위치 2핀)</t>
  </si>
  <si>
    <t>34678-PR-0280</t>
  </si>
  <si>
    <t>PLATTZ 330N 센서 하네스 3번 (FLAT 24핀)</t>
  </si>
  <si>
    <t>34678-PR-0281</t>
  </si>
  <si>
    <t>PLATTZ 330N 센서 하네스 4번 (8핀)</t>
  </si>
  <si>
    <t>34678-PR-0282</t>
  </si>
  <si>
    <t>PLATTZ 330N 센서 하네스 5번 (인터페이스 케이블)</t>
  </si>
  <si>
    <t>34678-PR-0283</t>
  </si>
  <si>
    <t>PLATTZ 330N 센서 고무 RUBBER</t>
  </si>
  <si>
    <t>34678-PR-0284</t>
  </si>
  <si>
    <t>17.0V 5A SMPS (85W) [DEX-A085-M]</t>
  </si>
  <si>
    <t>3-PR-0229</t>
  </si>
  <si>
    <t>3-PR-0230</t>
  </si>
  <si>
    <t>스킨가드 구형 (납작)</t>
  </si>
  <si>
    <t>6-PR-0373</t>
  </si>
  <si>
    <t>3-PR-0231</t>
  </si>
  <si>
    <t xml:space="preserve">BODY LEFT 사출
(리모컨 포트 가이드+FRONT PORT 스티커) </t>
  </si>
  <si>
    <t>FRONT CONE 일체형 스프레이 X</t>
  </si>
  <si>
    <t>스킨가드 부속품</t>
  </si>
  <si>
    <t>LC-2G</t>
    <phoneticPr fontId="130" type="noConversion"/>
  </si>
  <si>
    <t>BATTERY COVER</t>
    <phoneticPr fontId="130" type="noConversion"/>
  </si>
  <si>
    <t>ADX4000W NAVI BUTTON (가운데) - 스프레이 X</t>
    <phoneticPr fontId="130" type="noConversion"/>
  </si>
  <si>
    <t>ADX4000W FRONT CONE 일체형 - 스프레이 X</t>
    <phoneticPr fontId="130" type="noConversion"/>
  </si>
  <si>
    <t>DX3000 배터리커버 (G) - 스프레이 X</t>
    <phoneticPr fontId="130" type="noConversion"/>
  </si>
  <si>
    <t>ADX6000 스킨가드 브라켓</t>
    <phoneticPr fontId="130" type="noConversion"/>
  </si>
  <si>
    <t>ADX6000 스킨가드 환봉</t>
    <phoneticPr fontId="130" type="noConversion"/>
  </si>
  <si>
    <t>ADX6000 스킨가드 구형</t>
    <phoneticPr fontId="130" type="noConversion"/>
  </si>
  <si>
    <t>4-AR-0724</t>
    <phoneticPr fontId="130" type="noConversion"/>
  </si>
  <si>
    <t>3-AR-0725</t>
    <phoneticPr fontId="130" type="noConversion"/>
  </si>
  <si>
    <t xml:space="preserve">	34678-NR-0011</t>
    <phoneticPr fontId="130" type="noConversion"/>
  </si>
  <si>
    <t xml:space="preserve">	6-AR-0719</t>
    <phoneticPr fontId="130" type="noConversion"/>
  </si>
  <si>
    <t xml:space="preserve">	6-AR-0720</t>
    <phoneticPr fontId="130" type="noConversion"/>
  </si>
  <si>
    <t xml:space="preserve">	6-AR-0721</t>
    <phoneticPr fontId="1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</si>
</sst>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&quot;년&quot;\ mm&quot;월&quot;\ &quot;자재 입/출고 관리대장&quot;"/>
    <numFmt numFmtId="177" formatCode="yyyy\-mm\-dd"/>
    <numFmt numFmtId="178" formatCode="yy/mm/dd\(aaa\)"/>
    <numFmt numFmtId="179" formatCode="m&quot;/&quot;d;@"/>
    <numFmt numFmtId="180" formatCode="[Red][&lt;=150]##0;[Black][&gt;=150]##0"/>
    <numFmt numFmtId="181" formatCode="&quot;COCOON&quot;\ General"/>
    <numFmt numFmtId="182" formatCode="0_);[Red]\(0\)"/>
    <numFmt numFmtId="183" formatCode="0&quot; &quot;"/>
    <numFmt numFmtId="184" formatCode="General_)"/>
    <numFmt numFmtId="185" formatCode="&quot;$&quot;\ #,##0;&quot;$&quot;\ \-#,##0"/>
    <numFmt numFmtId="186" formatCode="0.000"/>
    <numFmt numFmtId="187" formatCode="_ * #,##0.00_)&quot;£&quot;_ ;_ * \(#,##0.00\)&quot;£&quot;_ ;_ * &quot;-&quot;??_)&quot;£&quot;_ ;_ @_ "/>
    <numFmt numFmtId="188" formatCode="_ * #,##0.00_)_£_ ;_ * \(#,##0.00\)_£_ ;_ * &quot;-&quot;??_)_£_ ;_ @_ "/>
    <numFmt numFmtId="189" formatCode="0.000%"/>
    <numFmt numFmtId="190" formatCode="0.0000%"/>
    <numFmt numFmtId="191" formatCode="0.00_)"/>
    <numFmt numFmtId="192" formatCode="_-* #,##0\ _F_-;\-* #,##0\ _F_-;_-* &quot;-&quot;\ _F_-;_-@_-"/>
    <numFmt numFmtId="193" formatCode="#,##0\ &quot;F&quot;;[Red]\-#,##0\ &quot;F&quot;"/>
    <numFmt numFmtId="194" formatCode="#,##0.00\ &quot;F&quot;;\-#,##0.00\ &quot;F&quot;"/>
    <numFmt numFmtId="195" formatCode="_(* #,##0.0000_);_(* \(#,##0.0000\);_(* &quot;-&quot;??_);_(@_)"/>
    <numFmt numFmtId="196" formatCode="_ * #,##0_ ;_ * \-#,##0_ ;_ * &quot;-&quot;_ ;_ @_ "/>
    <numFmt numFmtId="197" formatCode="_ * #,##0_ ;_ * &quot;₩&quot;\-#,##0_ ;_ * &quot;-&quot;_ ;_ @_ "/>
    <numFmt numFmtId="198" formatCode="_ * #,##0.00_ ;_ * &quot;₩&quot;\-#,##0.00_ ;_ * &quot;-&quot;??_ ;_ @_ "/>
    <numFmt numFmtId="199" formatCode="_(* #,##0.0_);_(* \(#,##0.0\);_(* &quot;-&quot;_);_(@_)"/>
    <numFmt numFmtId="200" formatCode="_ * #,##0.00_ ;_ * \-#,##0.00_ ;_ * &quot;-&quot;??_ ;_ @_ "/>
    <numFmt numFmtId="201" formatCode="_-&quot;₩&quot;* #,##0_-;&quot;₩&quot;\!\-&quot;₩&quot;* #,##0_-;_-&quot;₩&quot;* &quot;-&quot;_-;_-@_-"/>
    <numFmt numFmtId="202" formatCode="_ &quot;₩&quot;* #,##0_ ;_ &quot;₩&quot;* &quot;₩&quot;\-#,##0_ ;_ &quot;₩&quot;* &quot;-&quot;_ ;_ @_ "/>
    <numFmt numFmtId="203" formatCode="_ &quot;₩&quot;* #,##0.00_ ;_ &quot;₩&quot;* &quot;₩&quot;\-#,##0.00_ ;_ &quot;₩&quot;* &quot;-&quot;??_ ;_ @_ "/>
    <numFmt numFmtId="204" formatCode="_(* #,##0_);_(* \(#,##0\);_(* &quot;-&quot;??_);_(@_)"/>
    <numFmt numFmtId="205" formatCode="_-&quot;$&quot;* #,##0_-;\-&quot;$&quot;* #,##0_-;_-&quot;$&quot;* &quot;-&quot;_-;_-@_-"/>
    <numFmt numFmtId="206" formatCode="_-&quot;$&quot;* #,##0.00_-;\-&quot;$&quot;* #,##0.00_-;_-&quot;$&quot;* &quot;-&quot;??_-;_-@_-"/>
    <numFmt numFmtId="207" formatCode="_(* #,##0.0_);_(* \(#,##0.0\);_(* &quot;-&quot;??_);_(@_)"/>
    <numFmt numFmtId="208" formatCode="_(* #,##0.00_);_(* \(#,##0.00\);_(* &quot;-&quot;_);_(@_)"/>
  </numFmts>
  <fonts count="134">
    <font>
      <sz val="11"/>
      <color theme="1"/>
      <name val="맑은 고딕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굴림체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theme="1"/>
      <name val="굴림체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u/>
      <sz val="11"/>
      <color rgb="FF0000FF"/>
      <name val="새굴림"/>
      <family val="1"/>
      <charset val="129"/>
    </font>
    <font>
      <u/>
      <sz val="10"/>
      <color theme="10"/>
      <name val="굴림체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Courier"/>
    </font>
    <font>
      <sz val="12"/>
      <color rgb="FF000000"/>
      <name val="Courier"/>
    </font>
    <font>
      <sz val="12"/>
      <color rgb="FF000000"/>
      <name val="¹ÙÅÁÃ¼"/>
      <family val="3"/>
      <charset val="129"/>
    </font>
    <font>
      <sz val="11"/>
      <color rgb="FF000000"/>
      <name val="바탕체"/>
      <family val="1"/>
      <charset val="129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굴림체"/>
      <family val="3"/>
      <charset val="129"/>
    </font>
    <font>
      <sz val="10"/>
      <color rgb="FF000000"/>
      <name val="MS Sans Serif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6"/>
      <color rgb="FF000000"/>
      <name val="Helv"/>
    </font>
    <font>
      <b/>
      <sz val="11"/>
      <color rgb="FF000000"/>
      <name val="Helv"/>
    </font>
    <font>
      <u/>
      <sz val="11"/>
      <color rgb="FF0000FF"/>
      <name val="돋움"/>
      <family val="3"/>
      <charset val="129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/>
      <sz val="11"/>
      <color rgb="FF333333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맑은 고딕"/>
      <family val="3"/>
      <charset val="129"/>
      <scheme val="minor"/>
    </font>
    <font>
      <sz val="12"/>
      <color rgb="FF000000"/>
      <name val="Verdana"/>
      <family val="2"/>
    </font>
    <font>
      <sz val="12"/>
      <color rgb="FF000000"/>
      <name val="宋体"/>
      <charset val="129"/>
    </font>
    <font>
      <u/>
      <sz val="8.3000000000000007"/>
      <color rgb="FF0000FF"/>
      <name val="돋움"/>
      <family val="3"/>
      <charset val="129"/>
    </font>
    <font>
      <b/>
      <sz val="10"/>
      <color rgb="FF000000"/>
      <name val="Helv"/>
    </font>
    <font>
      <sz val="12"/>
      <color rgb="FF000000"/>
      <name val="新細明體"/>
      <family val="1"/>
      <charset val="129"/>
    </font>
    <font>
      <sz val="1"/>
      <color rgb="FF000000"/>
      <name val="Courier"/>
    </font>
    <font>
      <u/>
      <sz val="12"/>
      <color rgb="FF800080"/>
      <name val="바탕체"/>
      <family val="1"/>
      <charset val="129"/>
    </font>
    <font>
      <sz val="18"/>
      <color rgb="FF000000"/>
      <name val="굴림체"/>
      <family val="3"/>
      <charset val="129"/>
    </font>
    <font>
      <sz val="14"/>
      <color rgb="FF000000"/>
      <name val="Verdana"/>
      <family val="2"/>
    </font>
    <font>
      <sz val="8"/>
      <color rgb="FF000000"/>
      <name val="Times New Roman"/>
      <family val="1"/>
    </font>
    <font>
      <sz val="10"/>
      <color rgb="FF000000"/>
      <name val="Helv"/>
    </font>
    <font>
      <sz val="12"/>
      <color rgb="FF000000"/>
      <name val="官帕眉"/>
      <family val="3"/>
      <charset val="129"/>
    </font>
    <font>
      <sz val="12"/>
      <color rgb="FF000000"/>
      <name val="¹UAAA¼"/>
      <family val="3"/>
      <charset val="129"/>
    </font>
    <font>
      <sz val="12"/>
      <color rgb="FF000000"/>
      <name val="Times New Roman"/>
      <family val="1"/>
    </font>
    <font>
      <u/>
      <sz val="11"/>
      <color rgb="FF800080"/>
      <name val="돋움"/>
      <family val="3"/>
      <charset val="129"/>
    </font>
    <font>
      <sz val="10"/>
      <color rgb="FF000000"/>
      <name val="Lucida Console"/>
      <family val="3"/>
    </font>
    <font>
      <sz val="11"/>
      <color rgb="FF000000"/>
      <name val="μ¸¿o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  <scheme val="minor"/>
    </font>
    <font>
      <sz val="8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8"/>
      <color rgb="FF9C0006"/>
      <name val="맑은 고딕"/>
      <family val="3"/>
      <charset val="129"/>
      <scheme val="minor"/>
    </font>
    <font>
      <sz val="8"/>
      <color rgb="FF9C650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8"/>
      <color rgb="FF9C6500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3F3F76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8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8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8"/>
      <color rgb="FF006100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  <scheme val="minor"/>
    </font>
    <font>
      <b/>
      <u/>
      <sz val="22"/>
      <color rgb="FF000000"/>
      <name val="굴림체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10"/>
      <color rgb="FF000000"/>
      <name val="바탕"/>
      <family val="1"/>
      <charset val="129"/>
    </font>
  </fonts>
  <fills count="68">
    <fill>
      <patternFill patternType="none"/>
    </fill>
    <fill>
      <patternFill patternType="gray125"/>
    </fill>
    <fill>
      <patternFill patternType="solid">
        <fgColor rgb="FFCC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808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800080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5117038483843"/>
        <bgColor rgb="FFFFFFFF"/>
      </patternFill>
    </fill>
    <fill>
      <patternFill patternType="solid">
        <fgColor theme="4" tint="0.59996337778862885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5"/>
        <bgColor rgb="FF000000"/>
      </patternFill>
    </fill>
    <fill>
      <patternFill patternType="solid">
        <fgColor theme="5" tint="0.79995117038483843"/>
        <bgColor rgb="FFFFFFFF"/>
      </patternFill>
    </fill>
    <fill>
      <patternFill patternType="solid">
        <fgColor theme="5" tint="0.59996337778862885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6"/>
        <bgColor rgb="FF000000"/>
      </patternFill>
    </fill>
    <fill>
      <patternFill patternType="solid">
        <fgColor theme="6" tint="0.79995117038483843"/>
        <bgColor rgb="FFFFFFFF"/>
      </patternFill>
    </fill>
    <fill>
      <patternFill patternType="solid">
        <fgColor theme="6" tint="0.59996337778862885"/>
        <bgColor rgb="FFFFFFFF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7"/>
        <bgColor rgb="FF000000"/>
      </patternFill>
    </fill>
    <fill>
      <patternFill patternType="solid">
        <fgColor theme="7" tint="0.79995117038483843"/>
        <bgColor rgb="FFFFFFFF"/>
      </patternFill>
    </fill>
    <fill>
      <patternFill patternType="solid">
        <fgColor theme="7" tint="0.59996337778862885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8"/>
        <bgColor rgb="FF000000"/>
      </patternFill>
    </fill>
    <fill>
      <patternFill patternType="solid">
        <fgColor theme="8" tint="0.79995117038483843"/>
        <bgColor rgb="FFFFFFFF"/>
      </patternFill>
    </fill>
    <fill>
      <patternFill patternType="solid">
        <fgColor theme="8" tint="0.59996337778862885"/>
        <bgColor rgb="FFFFFFFF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9"/>
        <bgColor rgb="FF000000"/>
      </patternFill>
    </fill>
    <fill>
      <patternFill patternType="solid">
        <fgColor theme="9" tint="0.79995117038483843"/>
        <bgColor rgb="FFFFFFFF"/>
      </patternFill>
    </fill>
    <fill>
      <patternFill patternType="solid">
        <fgColor theme="9" tint="0.59996337778862885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FFFF00"/>
        <bgColor rgb="FF92D05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rgb="FFFFFF00"/>
      </patternFill>
    </fill>
    <fill>
      <patternFill patternType="solid">
        <fgColor theme="9" tint="-0.249977111117893"/>
        <bgColor rgb="FFFFFF00"/>
      </patternFill>
    </fill>
    <fill>
      <patternFill patternType="solid">
        <fgColor theme="8" tint="0.79995117038483843"/>
        <bgColor rgb="FFFFFF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FFFFFF"/>
      </patternFill>
    </fill>
  </fills>
  <borders count="3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157">
    <xf numFmtId="0" fontId="0" fillId="0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42" fontId="1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183" fontId="23" fillId="0" borderId="0">
      <alignment vertical="center"/>
    </xf>
    <xf numFmtId="0" fontId="24" fillId="24" borderId="0">
      <alignment vertical="center"/>
    </xf>
    <xf numFmtId="183" fontId="23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42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42" fontId="4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84" fontId="28" fillId="0" borderId="0">
      <alignment vertical="center"/>
    </xf>
    <xf numFmtId="0" fontId="41" fillId="2" borderId="0">
      <alignment vertical="center"/>
    </xf>
    <xf numFmtId="0" fontId="41" fillId="3" borderId="0">
      <alignment vertical="center"/>
    </xf>
    <xf numFmtId="0" fontId="41" fillId="4" borderId="0">
      <alignment vertical="center"/>
    </xf>
    <xf numFmtId="0" fontId="41" fillId="5" borderId="0">
      <alignment vertical="center"/>
    </xf>
    <xf numFmtId="0" fontId="41" fillId="6" borderId="0">
      <alignment vertical="center"/>
    </xf>
    <xf numFmtId="0" fontId="41" fillId="7" borderId="0">
      <alignment vertical="center"/>
    </xf>
    <xf numFmtId="0" fontId="41" fillId="8" borderId="0">
      <alignment vertical="center"/>
    </xf>
    <xf numFmtId="0" fontId="41" fillId="9" borderId="0">
      <alignment vertical="center"/>
    </xf>
    <xf numFmtId="0" fontId="41" fillId="10" borderId="0">
      <alignment vertical="center"/>
    </xf>
    <xf numFmtId="0" fontId="41" fillId="5" borderId="0">
      <alignment vertical="center"/>
    </xf>
    <xf numFmtId="0" fontId="41" fillId="8" borderId="0">
      <alignment vertical="center"/>
    </xf>
    <xf numFmtId="0" fontId="41" fillId="11" borderId="0">
      <alignment vertical="center"/>
    </xf>
    <xf numFmtId="0" fontId="42" fillId="12" borderId="0">
      <alignment vertical="center"/>
    </xf>
    <xf numFmtId="0" fontId="42" fillId="9" borderId="0">
      <alignment vertical="center"/>
    </xf>
    <xf numFmtId="0" fontId="42" fillId="10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5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41" fontId="4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5" fillId="0" borderId="0">
      <alignment vertical="top"/>
      <protection locked="0"/>
    </xf>
    <xf numFmtId="0" fontId="42" fillId="16" borderId="0">
      <alignment vertical="center"/>
    </xf>
    <xf numFmtId="0" fontId="42" fillId="17" borderId="0">
      <alignment vertical="center"/>
    </xf>
    <xf numFmtId="0" fontId="42" fillId="18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9" borderId="0">
      <alignment vertical="center"/>
    </xf>
    <xf numFmtId="0" fontId="43" fillId="3" borderId="0">
      <alignment vertical="center"/>
    </xf>
    <xf numFmtId="0" fontId="30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6" fontId="32" fillId="0" borderId="0">
      <alignment vertical="center"/>
    </xf>
    <xf numFmtId="0" fontId="33" fillId="0" borderId="0">
      <alignment vertical="center"/>
    </xf>
    <xf numFmtId="187" fontId="33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3" fillId="0" borderId="0">
      <alignment vertical="center"/>
    </xf>
    <xf numFmtId="185" fontId="3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184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14" fontId="33" fillId="0" borderId="0">
      <alignment vertical="center"/>
    </xf>
    <xf numFmtId="38" fontId="35" fillId="0" borderId="13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6" fillId="0" borderId="0">
      <alignment vertical="center"/>
    </xf>
    <xf numFmtId="0" fontId="47" fillId="4" borderId="0">
      <alignment vertical="center"/>
    </xf>
    <xf numFmtId="38" fontId="36" fillId="20" borderId="0">
      <alignment vertical="center"/>
    </xf>
    <xf numFmtId="0" fontId="37" fillId="0" borderId="12">
      <alignment horizontal="left" vertical="center"/>
    </xf>
    <xf numFmtId="0" fontId="37" fillId="0" borderId="11">
      <alignment horizontal="left" vertical="center"/>
    </xf>
    <xf numFmtId="0" fontId="48" fillId="0" borderId="6">
      <alignment vertical="center"/>
    </xf>
    <xf numFmtId="0" fontId="49" fillId="0" borderId="7">
      <alignment vertical="center"/>
    </xf>
    <xf numFmtId="0" fontId="50" fillId="0" borderId="8">
      <alignment vertical="center"/>
    </xf>
    <xf numFmtId="0" fontId="50" fillId="0" borderId="0">
      <alignment vertical="center"/>
    </xf>
    <xf numFmtId="0" fontId="51" fillId="7" borderId="1">
      <alignment vertical="center"/>
    </xf>
    <xf numFmtId="10" fontId="36" fillId="21" borderId="1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52" fillId="0" borderId="4">
      <alignment vertical="center"/>
    </xf>
    <xf numFmtId="41" fontId="33" fillId="0" borderId="0">
      <alignment vertical="center"/>
    </xf>
    <xf numFmtId="43" fontId="33" fillId="0" borderId="0">
      <alignment vertical="center"/>
    </xf>
    <xf numFmtId="189" fontId="34" fillId="0" borderId="0">
      <alignment vertical="center"/>
    </xf>
    <xf numFmtId="190" fontId="34" fillId="0" borderId="0">
      <alignment vertical="center"/>
    </xf>
    <xf numFmtId="0" fontId="53" fillId="22" borderId="0">
      <alignment vertical="center"/>
    </xf>
    <xf numFmtId="191" fontId="38" fillId="0" borderId="0">
      <alignment vertical="center"/>
    </xf>
    <xf numFmtId="0" fontId="33" fillId="0" borderId="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187" fontId="33" fillId="0" borderId="0">
      <alignment vertical="center"/>
    </xf>
    <xf numFmtId="192" fontId="33" fillId="0" borderId="0">
      <alignment vertical="center"/>
    </xf>
    <xf numFmtId="10" fontId="33" fillId="0" borderId="0">
      <alignment vertical="center"/>
    </xf>
    <xf numFmtId="193" fontId="33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39" fillId="0" borderId="0">
      <alignment vertical="center"/>
    </xf>
    <xf numFmtId="49" fontId="33" fillId="0" borderId="0">
      <alignment vertical="center"/>
    </xf>
    <xf numFmtId="193" fontId="33" fillId="0" borderId="0">
      <alignment vertical="center"/>
    </xf>
    <xf numFmtId="194" fontId="33" fillId="0" borderId="0">
      <alignment vertical="center"/>
    </xf>
    <xf numFmtId="0" fontId="55" fillId="0" borderId="0">
      <alignment vertical="center"/>
    </xf>
    <xf numFmtId="0" fontId="56" fillId="0" borderId="5">
      <alignment vertical="center"/>
    </xf>
    <xf numFmtId="0" fontId="57" fillId="0" borderId="0">
      <alignment vertical="center"/>
    </xf>
    <xf numFmtId="41" fontId="5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26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41" fontId="4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9" fontId="71" fillId="0" borderId="0">
      <alignment vertical="center"/>
    </xf>
    <xf numFmtId="0" fontId="76" fillId="33" borderId="0">
      <alignment vertical="center"/>
    </xf>
    <xf numFmtId="0" fontId="1" fillId="33" borderId="0">
      <alignment vertical="center"/>
    </xf>
    <xf numFmtId="0" fontId="76" fillId="33" borderId="0">
      <alignment vertical="center"/>
    </xf>
    <xf numFmtId="0" fontId="77" fillId="33" borderId="0">
      <alignment vertical="center"/>
    </xf>
    <xf numFmtId="0" fontId="76" fillId="37" borderId="0">
      <alignment vertical="center"/>
    </xf>
    <xf numFmtId="0" fontId="1" fillId="37" borderId="0">
      <alignment vertical="center"/>
    </xf>
    <xf numFmtId="0" fontId="76" fillId="37" borderId="0">
      <alignment vertical="center"/>
    </xf>
    <xf numFmtId="0" fontId="77" fillId="37" borderId="0">
      <alignment vertical="center"/>
    </xf>
    <xf numFmtId="0" fontId="76" fillId="41" borderId="0">
      <alignment vertical="center"/>
    </xf>
    <xf numFmtId="0" fontId="1" fillId="41" borderId="0">
      <alignment vertical="center"/>
    </xf>
    <xf numFmtId="0" fontId="76" fillId="41" borderId="0">
      <alignment vertical="center"/>
    </xf>
    <xf numFmtId="0" fontId="77" fillId="41" borderId="0">
      <alignment vertical="center"/>
    </xf>
    <xf numFmtId="0" fontId="76" fillId="45" borderId="0">
      <alignment vertical="center"/>
    </xf>
    <xf numFmtId="0" fontId="1" fillId="45" borderId="0">
      <alignment vertical="center"/>
    </xf>
    <xf numFmtId="0" fontId="76" fillId="45" borderId="0">
      <alignment vertical="center"/>
    </xf>
    <xf numFmtId="0" fontId="77" fillId="45" borderId="0">
      <alignment vertical="center"/>
    </xf>
    <xf numFmtId="0" fontId="76" fillId="49" borderId="0">
      <alignment vertical="center"/>
    </xf>
    <xf numFmtId="0" fontId="1" fillId="49" borderId="0">
      <alignment vertical="center"/>
    </xf>
    <xf numFmtId="0" fontId="76" fillId="49" borderId="0">
      <alignment vertical="center"/>
    </xf>
    <xf numFmtId="0" fontId="77" fillId="49" borderId="0">
      <alignment vertical="center"/>
    </xf>
    <xf numFmtId="0" fontId="76" fillId="53" borderId="0">
      <alignment vertical="center"/>
    </xf>
    <xf numFmtId="0" fontId="1" fillId="53" borderId="0">
      <alignment vertical="center"/>
    </xf>
    <xf numFmtId="0" fontId="76" fillId="53" borderId="0">
      <alignment vertical="center"/>
    </xf>
    <xf numFmtId="0" fontId="77" fillId="53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76" fillId="34" borderId="0">
      <alignment vertical="center"/>
    </xf>
    <xf numFmtId="0" fontId="1" fillId="34" borderId="0">
      <alignment vertical="center"/>
    </xf>
    <xf numFmtId="0" fontId="76" fillId="34" borderId="0">
      <alignment vertical="center"/>
    </xf>
    <xf numFmtId="0" fontId="77" fillId="34" borderId="0">
      <alignment vertical="center"/>
    </xf>
    <xf numFmtId="0" fontId="76" fillId="38" borderId="0">
      <alignment vertical="center"/>
    </xf>
    <xf numFmtId="0" fontId="1" fillId="38" borderId="0">
      <alignment vertical="center"/>
    </xf>
    <xf numFmtId="0" fontId="76" fillId="38" borderId="0">
      <alignment vertical="center"/>
    </xf>
    <xf numFmtId="0" fontId="77" fillId="38" borderId="0">
      <alignment vertical="center"/>
    </xf>
    <xf numFmtId="0" fontId="76" fillId="42" borderId="0">
      <alignment vertical="center"/>
    </xf>
    <xf numFmtId="0" fontId="1" fillId="42" borderId="0">
      <alignment vertical="center"/>
    </xf>
    <xf numFmtId="0" fontId="76" fillId="42" borderId="0">
      <alignment vertical="center"/>
    </xf>
    <xf numFmtId="0" fontId="77" fillId="42" borderId="0">
      <alignment vertical="center"/>
    </xf>
    <xf numFmtId="0" fontId="76" fillId="46" borderId="0">
      <alignment vertical="center"/>
    </xf>
    <xf numFmtId="0" fontId="1" fillId="46" borderId="0">
      <alignment vertical="center"/>
    </xf>
    <xf numFmtId="0" fontId="76" fillId="46" borderId="0">
      <alignment vertical="center"/>
    </xf>
    <xf numFmtId="0" fontId="77" fillId="46" borderId="0">
      <alignment vertical="center"/>
    </xf>
    <xf numFmtId="0" fontId="76" fillId="50" borderId="0">
      <alignment vertical="center"/>
    </xf>
    <xf numFmtId="0" fontId="1" fillId="50" borderId="0">
      <alignment vertical="center"/>
    </xf>
    <xf numFmtId="0" fontId="76" fillId="50" borderId="0">
      <alignment vertical="center"/>
    </xf>
    <xf numFmtId="0" fontId="77" fillId="50" borderId="0">
      <alignment vertical="center"/>
    </xf>
    <xf numFmtId="0" fontId="76" fillId="54" borderId="0">
      <alignment vertical="center"/>
    </xf>
    <xf numFmtId="0" fontId="1" fillId="54" borderId="0">
      <alignment vertical="center"/>
    </xf>
    <xf numFmtId="0" fontId="76" fillId="54" borderId="0">
      <alignment vertical="center"/>
    </xf>
    <xf numFmtId="0" fontId="77" fillId="54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8" fillId="35" borderId="0">
      <alignment vertical="center"/>
    </xf>
    <xf numFmtId="0" fontId="79" fillId="35" borderId="0">
      <alignment vertical="center"/>
    </xf>
    <xf numFmtId="0" fontId="78" fillId="35" borderId="0">
      <alignment vertical="center"/>
    </xf>
    <xf numFmtId="0" fontId="80" fillId="35" borderId="0">
      <alignment vertical="center"/>
    </xf>
    <xf numFmtId="0" fontId="78" fillId="39" borderId="0">
      <alignment vertical="center"/>
    </xf>
    <xf numFmtId="0" fontId="79" fillId="39" borderId="0">
      <alignment vertical="center"/>
    </xf>
    <xf numFmtId="0" fontId="78" fillId="39" borderId="0">
      <alignment vertical="center"/>
    </xf>
    <xf numFmtId="0" fontId="80" fillId="39" borderId="0">
      <alignment vertical="center"/>
    </xf>
    <xf numFmtId="0" fontId="78" fillId="43" borderId="0">
      <alignment vertical="center"/>
    </xf>
    <xf numFmtId="0" fontId="79" fillId="43" borderId="0">
      <alignment vertical="center"/>
    </xf>
    <xf numFmtId="0" fontId="78" fillId="43" borderId="0">
      <alignment vertical="center"/>
    </xf>
    <xf numFmtId="0" fontId="80" fillId="43" borderId="0">
      <alignment vertical="center"/>
    </xf>
    <xf numFmtId="0" fontId="78" fillId="47" borderId="0">
      <alignment vertical="center"/>
    </xf>
    <xf numFmtId="0" fontId="79" fillId="47" borderId="0">
      <alignment vertical="center"/>
    </xf>
    <xf numFmtId="0" fontId="78" fillId="47" borderId="0">
      <alignment vertical="center"/>
    </xf>
    <xf numFmtId="0" fontId="80" fillId="47" borderId="0">
      <alignment vertical="center"/>
    </xf>
    <xf numFmtId="0" fontId="78" fillId="51" borderId="0">
      <alignment vertical="center"/>
    </xf>
    <xf numFmtId="0" fontId="79" fillId="51" borderId="0">
      <alignment vertical="center"/>
    </xf>
    <xf numFmtId="0" fontId="78" fillId="51" borderId="0">
      <alignment vertical="center"/>
    </xf>
    <xf numFmtId="0" fontId="80" fillId="51" borderId="0">
      <alignment vertical="center"/>
    </xf>
    <xf numFmtId="0" fontId="78" fillId="55" borderId="0">
      <alignment vertical="center"/>
    </xf>
    <xf numFmtId="0" fontId="79" fillId="55" borderId="0">
      <alignment vertical="center"/>
    </xf>
    <xf numFmtId="0" fontId="78" fillId="55" borderId="0">
      <alignment vertical="center"/>
    </xf>
    <xf numFmtId="0" fontId="80" fillId="55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8" fillId="32" borderId="0">
      <alignment vertical="center"/>
    </xf>
    <xf numFmtId="0" fontId="79" fillId="32" borderId="0">
      <alignment vertical="center"/>
    </xf>
    <xf numFmtId="0" fontId="78" fillId="32" borderId="0">
      <alignment vertical="center"/>
    </xf>
    <xf numFmtId="0" fontId="80" fillId="32" borderId="0">
      <alignment vertical="center"/>
    </xf>
    <xf numFmtId="0" fontId="78" fillId="36" borderId="0">
      <alignment vertical="center"/>
    </xf>
    <xf numFmtId="0" fontId="79" fillId="36" borderId="0">
      <alignment vertical="center"/>
    </xf>
    <xf numFmtId="0" fontId="78" fillId="36" borderId="0">
      <alignment vertical="center"/>
    </xf>
    <xf numFmtId="0" fontId="80" fillId="36" borderId="0">
      <alignment vertical="center"/>
    </xf>
    <xf numFmtId="0" fontId="78" fillId="40" borderId="0">
      <alignment vertical="center"/>
    </xf>
    <xf numFmtId="0" fontId="79" fillId="40" borderId="0">
      <alignment vertical="center"/>
    </xf>
    <xf numFmtId="0" fontId="78" fillId="40" borderId="0">
      <alignment vertical="center"/>
    </xf>
    <xf numFmtId="0" fontId="80" fillId="40" borderId="0">
      <alignment vertical="center"/>
    </xf>
    <xf numFmtId="0" fontId="78" fillId="44" borderId="0">
      <alignment vertical="center"/>
    </xf>
    <xf numFmtId="0" fontId="79" fillId="44" borderId="0">
      <alignment vertical="center"/>
    </xf>
    <xf numFmtId="0" fontId="78" fillId="44" borderId="0">
      <alignment vertical="center"/>
    </xf>
    <xf numFmtId="0" fontId="80" fillId="44" borderId="0">
      <alignment vertical="center"/>
    </xf>
    <xf numFmtId="0" fontId="78" fillId="48" borderId="0">
      <alignment vertical="center"/>
    </xf>
    <xf numFmtId="0" fontId="79" fillId="48" borderId="0">
      <alignment vertical="center"/>
    </xf>
    <xf numFmtId="0" fontId="78" fillId="48" borderId="0">
      <alignment vertical="center"/>
    </xf>
    <xf numFmtId="0" fontId="80" fillId="48" borderId="0">
      <alignment vertical="center"/>
    </xf>
    <xf numFmtId="0" fontId="15" fillId="7" borderId="1">
      <alignment vertical="center"/>
    </xf>
    <xf numFmtId="0" fontId="78" fillId="52" borderId="0">
      <alignment vertical="center"/>
    </xf>
    <xf numFmtId="0" fontId="79" fillId="52" borderId="0">
      <alignment vertical="center"/>
    </xf>
    <xf numFmtId="0" fontId="78" fillId="52" borderId="0">
      <alignment vertical="center"/>
    </xf>
    <xf numFmtId="0" fontId="80" fillId="52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1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6" fillId="0" borderId="0">
      <alignment vertical="center"/>
    </xf>
    <xf numFmtId="0" fontId="8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6" fillId="30" borderId="17">
      <alignment vertical="center"/>
    </xf>
    <xf numFmtId="195" fontId="33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4" fillId="0" borderId="5">
      <alignment vertical="center"/>
    </xf>
    <xf numFmtId="0" fontId="87" fillId="28" borderId="0">
      <alignment vertical="center"/>
    </xf>
    <xf numFmtId="0" fontId="88" fillId="28" borderId="0">
      <alignment vertical="center"/>
    </xf>
    <xf numFmtId="0" fontId="87" fillId="28" borderId="0">
      <alignment vertical="center"/>
    </xf>
    <xf numFmtId="0" fontId="89" fillId="28" borderId="0">
      <alignment vertical="center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33" fillId="0" borderId="0">
      <alignment vertical="top"/>
      <protection locked="0"/>
    </xf>
    <xf numFmtId="0" fontId="4" fillId="21" borderId="2">
      <alignment vertical="center"/>
    </xf>
    <xf numFmtId="0" fontId="4" fillId="21" borderId="2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3" fillId="21" borderId="21">
      <alignment vertical="center"/>
    </xf>
    <xf numFmtId="9" fontId="33" fillId="0" borderId="0">
      <alignment vertical="center"/>
    </xf>
    <xf numFmtId="9" fontId="4" fillId="0" borderId="0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90" fillId="29" borderId="0">
      <alignment vertical="center"/>
    </xf>
    <xf numFmtId="0" fontId="91" fillId="29" borderId="0">
      <alignment vertical="center"/>
    </xf>
    <xf numFmtId="0" fontId="90" fillId="29" borderId="0">
      <alignment vertical="center"/>
    </xf>
    <xf numFmtId="0" fontId="92" fillId="29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3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5" fillId="0" borderId="0">
      <alignment vertical="center"/>
    </xf>
    <xf numFmtId="0" fontId="96" fillId="31" borderId="20">
      <alignment vertical="center"/>
    </xf>
    <xf numFmtId="0" fontId="97" fillId="31" borderId="20">
      <alignment vertical="center"/>
    </xf>
    <xf numFmtId="0" fontId="96" fillId="31" borderId="20">
      <alignment vertical="center"/>
    </xf>
    <xf numFmtId="0" fontId="98" fillId="31" borderId="20">
      <alignment vertical="center"/>
    </xf>
    <xf numFmtId="38" fontId="27" fillId="0" borderId="0">
      <alignment vertical="center"/>
    </xf>
    <xf numFmtId="41" fontId="19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0" fontId="33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0" fontId="99" fillId="0" borderId="19">
      <alignment vertical="center"/>
    </xf>
    <xf numFmtId="0" fontId="100" fillId="0" borderId="19">
      <alignment vertical="center"/>
    </xf>
    <xf numFmtId="0" fontId="99" fillId="0" borderId="19">
      <alignment vertical="center"/>
    </xf>
    <xf numFmtId="0" fontId="101" fillId="0" borderId="19">
      <alignment vertical="center"/>
    </xf>
    <xf numFmtId="0" fontId="73" fillId="0" borderId="0">
      <alignment vertical="top"/>
      <protection locked="0"/>
    </xf>
    <xf numFmtId="197" fontId="70" fillId="0" borderId="0">
      <alignment vertical="center"/>
    </xf>
    <xf numFmtId="198" fontId="70" fillId="0" borderId="0">
      <alignment vertical="center"/>
    </xf>
    <xf numFmtId="0" fontId="102" fillId="0" borderId="22">
      <alignment vertical="center"/>
    </xf>
    <xf numFmtId="0" fontId="103" fillId="0" borderId="22">
      <alignment vertical="center"/>
    </xf>
    <xf numFmtId="0" fontId="102" fillId="0" borderId="22">
      <alignment vertical="center"/>
    </xf>
    <xf numFmtId="0" fontId="104" fillId="0" borderId="22">
      <alignment vertical="center"/>
    </xf>
    <xf numFmtId="0" fontId="74" fillId="0" borderId="0">
      <alignment vertical="center"/>
    </xf>
    <xf numFmtId="0" fontId="105" fillId="7" borderId="17">
      <alignment vertical="center"/>
    </xf>
    <xf numFmtId="0" fontId="106" fillId="7" borderId="17">
      <alignment vertical="center"/>
    </xf>
    <xf numFmtId="0" fontId="105" fillId="7" borderId="17">
      <alignment vertical="center"/>
    </xf>
    <xf numFmtId="0" fontId="107" fillId="7" borderId="17">
      <alignment vertical="center"/>
    </xf>
    <xf numFmtId="4" fontId="33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33" fillId="0" borderId="0">
      <alignment vertical="center"/>
      <protection locked="0"/>
    </xf>
    <xf numFmtId="199" fontId="33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33" fillId="0" borderId="0">
      <alignment vertical="center"/>
      <protection locked="0"/>
    </xf>
    <xf numFmtId="0" fontId="17" fillId="0" borderId="6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5" fillId="27" borderId="0">
      <alignment vertical="center"/>
    </xf>
    <xf numFmtId="0" fontId="116" fillId="27" borderId="0">
      <alignment vertical="center"/>
    </xf>
    <xf numFmtId="0" fontId="115" fillId="27" borderId="0">
      <alignment vertical="center"/>
    </xf>
    <xf numFmtId="0" fontId="117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196" fontId="72" fillId="0" borderId="0">
      <alignment vertical="center"/>
    </xf>
    <xf numFmtId="0" fontId="70" fillId="0" borderId="0">
      <alignment vertical="center"/>
    </xf>
    <xf numFmtId="196" fontId="72" fillId="0" borderId="0">
      <alignment vertical="center"/>
    </xf>
    <xf numFmtId="200" fontId="72" fillId="0" borderId="0">
      <alignment vertical="center"/>
    </xf>
    <xf numFmtId="196" fontId="60" fillId="0" borderId="0">
      <alignment vertical="center"/>
    </xf>
    <xf numFmtId="200" fontId="60" fillId="0" borderId="0">
      <alignment vertical="center"/>
    </xf>
    <xf numFmtId="0" fontId="118" fillId="30" borderId="18">
      <alignment vertical="center"/>
    </xf>
    <xf numFmtId="0" fontId="119" fillId="30" borderId="18">
      <alignment vertical="center"/>
    </xf>
    <xf numFmtId="0" fontId="118" fillId="30" borderId="18">
      <alignment vertical="center"/>
    </xf>
    <xf numFmtId="0" fontId="120" fillId="30" borderId="18">
      <alignment vertical="center"/>
    </xf>
    <xf numFmtId="0" fontId="33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0" fontId="33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2" fontId="70" fillId="0" borderId="0">
      <alignment vertical="center"/>
    </xf>
    <xf numFmtId="203" fontId="70" fillId="0" borderId="0">
      <alignment vertical="center"/>
    </xf>
    <xf numFmtId="0" fontId="33" fillId="0" borderId="0">
      <alignment vertical="center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0" fontId="3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76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1" fillId="0" borderId="0">
      <alignment vertical="top"/>
      <protection locked="0"/>
    </xf>
    <xf numFmtId="0" fontId="33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205" fontId="63" fillId="0" borderId="0">
      <alignment vertical="center"/>
    </xf>
    <xf numFmtId="205" fontId="33" fillId="0" borderId="0">
      <alignment vertical="center"/>
    </xf>
    <xf numFmtId="206" fontId="63" fillId="0" borderId="0">
      <alignment vertical="center"/>
    </xf>
    <xf numFmtId="0" fontId="33" fillId="0" borderId="0">
      <alignment vertical="center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0" fontId="33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0" fillId="0" borderId="0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71" fillId="0" borderId="0">
      <alignment vertical="center"/>
    </xf>
    <xf numFmtId="0" fontId="75" fillId="0" borderId="0">
      <alignment vertical="center"/>
    </xf>
    <xf numFmtId="0" fontId="33" fillId="0" borderId="0">
      <alignment vertical="center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33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33" borderId="0">
      <alignment vertical="center"/>
    </xf>
    <xf numFmtId="0" fontId="1" fillId="37" borderId="0">
      <alignment vertical="center"/>
    </xf>
    <xf numFmtId="0" fontId="1" fillId="41" borderId="0">
      <alignment vertical="center"/>
    </xf>
    <xf numFmtId="0" fontId="1" fillId="45" borderId="0">
      <alignment vertical="center"/>
    </xf>
    <xf numFmtId="0" fontId="1" fillId="49" borderId="0">
      <alignment vertical="center"/>
    </xf>
    <xf numFmtId="0" fontId="1" fillId="53" borderId="0">
      <alignment vertical="center"/>
    </xf>
    <xf numFmtId="0" fontId="1" fillId="34" borderId="0">
      <alignment vertical="center"/>
    </xf>
    <xf numFmtId="0" fontId="1" fillId="38" borderId="0">
      <alignment vertical="center"/>
    </xf>
    <xf numFmtId="0" fontId="1" fillId="42" borderId="0">
      <alignment vertical="center"/>
    </xf>
    <xf numFmtId="0" fontId="1" fillId="46" borderId="0">
      <alignment vertical="center"/>
    </xf>
    <xf numFmtId="0" fontId="1" fillId="50" borderId="0">
      <alignment vertical="center"/>
    </xf>
    <xf numFmtId="0" fontId="1" fillId="54" borderId="0">
      <alignment vertical="center"/>
    </xf>
    <xf numFmtId="0" fontId="79" fillId="35" borderId="0">
      <alignment vertical="center"/>
    </xf>
    <xf numFmtId="0" fontId="79" fillId="39" borderId="0">
      <alignment vertical="center"/>
    </xf>
    <xf numFmtId="0" fontId="79" fillId="43" borderId="0">
      <alignment vertical="center"/>
    </xf>
    <xf numFmtId="0" fontId="79" fillId="47" borderId="0">
      <alignment vertical="center"/>
    </xf>
    <xf numFmtId="0" fontId="79" fillId="51" borderId="0">
      <alignment vertical="center"/>
    </xf>
    <xf numFmtId="0" fontId="79" fillId="55" borderId="0">
      <alignment vertical="center"/>
    </xf>
    <xf numFmtId="0" fontId="79" fillId="32" borderId="0">
      <alignment vertical="center"/>
    </xf>
    <xf numFmtId="0" fontId="79" fillId="36" borderId="0">
      <alignment vertical="center"/>
    </xf>
    <xf numFmtId="0" fontId="79" fillId="40" borderId="0">
      <alignment vertical="center"/>
    </xf>
    <xf numFmtId="0" fontId="79" fillId="44" borderId="0">
      <alignment vertical="center"/>
    </xf>
    <xf numFmtId="0" fontId="79" fillId="48" borderId="0">
      <alignment vertical="center"/>
    </xf>
    <xf numFmtId="0" fontId="79" fillId="52" borderId="0">
      <alignment vertical="center"/>
    </xf>
    <xf numFmtId="0" fontId="82" fillId="0" borderId="0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8" fillId="28" borderId="0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1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91" fillId="29" borderId="0">
      <alignment vertical="center"/>
    </xf>
    <xf numFmtId="0" fontId="94" fillId="0" borderId="0">
      <alignment vertical="center"/>
    </xf>
    <xf numFmtId="0" fontId="97" fillId="31" borderId="2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00" fillId="0" borderId="19">
      <alignment vertical="center"/>
    </xf>
    <xf numFmtId="0" fontId="103" fillId="0" borderId="2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06" fillId="7" borderId="17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09" fillId="0" borderId="14">
      <alignment vertical="center"/>
    </xf>
    <xf numFmtId="0" fontId="111" fillId="0" borderId="15">
      <alignment vertical="center"/>
    </xf>
    <xf numFmtId="0" fontId="113" fillId="0" borderId="16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6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19" fillId="30" borderId="18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7" fillId="0" borderId="0">
      <alignment vertical="center"/>
    </xf>
    <xf numFmtId="0" fontId="58" fillId="0" borderId="0">
      <alignment vertical="center"/>
    </xf>
    <xf numFmtId="42" fontId="58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4" fillId="0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7" fillId="0" borderId="11">
      <alignment horizontal="left" vertical="center"/>
    </xf>
    <xf numFmtId="0" fontId="51" fillId="7" borderId="1">
      <alignment vertical="center"/>
    </xf>
    <xf numFmtId="10" fontId="36" fillId="21" borderId="1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0" fontId="56" fillId="0" borderId="5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20" borderId="1">
      <alignment vertical="center"/>
    </xf>
    <xf numFmtId="0" fontId="1" fillId="0" borderId="0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4" fillId="0" borderId="0">
      <alignment vertical="center"/>
    </xf>
    <xf numFmtId="41" fontId="33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22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25" fillId="0" borderId="0">
      <alignment vertical="center"/>
    </xf>
    <xf numFmtId="0" fontId="126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27" fillId="0" borderId="0">
      <alignment vertical="center"/>
    </xf>
  </cellStyleXfs>
  <cellXfs count="115">
    <xf numFmtId="0" fontId="0" fillId="0" borderId="0" xfId="0">
      <alignment vertical="center"/>
    </xf>
    <xf numFmtId="0" fontId="34" fillId="0" borderId="0" xfId="215" applyFont="1">
      <alignment vertical="center"/>
    </xf>
    <xf numFmtId="176" fontId="121" fillId="0" borderId="0" xfId="215" applyNumberFormat="1" applyFont="1" applyAlignment="1">
      <alignment horizontal="center" vertical="center"/>
    </xf>
    <xf numFmtId="0" fontId="22" fillId="0" borderId="0" xfId="0" applyFont="1">
      <alignment vertical="center"/>
    </xf>
    <xf numFmtId="0" fontId="5" fillId="0" borderId="0" xfId="215" applyFont="1" applyAlignment="1">
      <alignment vertical="top"/>
    </xf>
    <xf numFmtId="177" fontId="34" fillId="0" borderId="0" xfId="215" applyNumberFormat="1" applyFont="1" applyAlignment="1">
      <alignment horizontal="left" vertical="center"/>
    </xf>
    <xf numFmtId="0" fontId="34" fillId="0" borderId="0" xfId="215" applyFont="1" applyAlignment="1">
      <alignment vertical="center" wrapText="1"/>
    </xf>
    <xf numFmtId="0" fontId="34" fillId="0" borderId="0" xfId="215" applyFont="1" applyAlignment="1">
      <alignment horizontal="left" vertical="center" wrapText="1"/>
    </xf>
    <xf numFmtId="0" fontId="34" fillId="0" borderId="0" xfId="215" applyFont="1" applyAlignment="1">
      <alignment horizontal="center" vertical="center"/>
    </xf>
    <xf numFmtId="0" fontId="5" fillId="0" borderId="10" xfId="215" applyFont="1" applyBorder="1" applyAlignment="1">
      <alignment horizontal="center" vertical="center"/>
    </xf>
    <xf numFmtId="178" fontId="5" fillId="0" borderId="10" xfId="215" applyNumberFormat="1" applyFont="1" applyBorder="1" applyAlignment="1">
      <alignment horizontal="left" vertical="center"/>
    </xf>
    <xf numFmtId="0" fontId="5" fillId="0" borderId="10" xfId="232" applyFont="1" applyBorder="1" applyAlignment="1">
      <alignment horizontal="left" vertical="center"/>
    </xf>
    <xf numFmtId="0" fontId="5" fillId="0" borderId="10" xfId="215" applyFont="1" applyBorder="1">
      <alignment vertical="center"/>
    </xf>
    <xf numFmtId="0" fontId="5" fillId="25" borderId="10" xfId="232" applyFont="1" applyFill="1" applyBorder="1" applyAlignment="1">
      <alignment horizontal="left" vertical="center"/>
    </xf>
    <xf numFmtId="14" fontId="5" fillId="0" borderId="10" xfId="215" applyNumberFormat="1" applyFont="1" applyBorder="1">
      <alignment vertical="center"/>
    </xf>
    <xf numFmtId="0" fontId="34" fillId="0" borderId="10" xfId="215" applyFont="1" applyBorder="1">
      <alignment vertical="center"/>
    </xf>
    <xf numFmtId="178" fontId="5" fillId="0" borderId="10" xfId="215" applyNumberFormat="1" applyFont="1" applyBorder="1" applyAlignment="1">
      <alignment horizontal="center" vertical="center"/>
    </xf>
    <xf numFmtId="49" fontId="123" fillId="62" borderId="10" xfId="3384" applyNumberFormat="1" applyFont="1" applyFill="1" applyBorder="1" applyAlignment="1">
      <alignment horizontal="left" vertical="center"/>
    </xf>
    <xf numFmtId="178" fontId="5" fillId="0" borderId="10" xfId="0" applyNumberFormat="1" applyFont="1" applyBorder="1" applyAlignment="1">
      <alignment horizontal="center" vertical="center"/>
    </xf>
    <xf numFmtId="0" fontId="5" fillId="62" borderId="10" xfId="0" applyFont="1" applyFill="1" applyBorder="1" applyAlignment="1">
      <alignment horizontal="left" vertical="center"/>
    </xf>
    <xf numFmtId="0" fontId="5" fillId="0" borderId="10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25" borderId="10" xfId="232" applyFont="1" applyFill="1" applyBorder="1" applyAlignment="1">
      <alignment horizontal="left" vertical="center" wrapText="1"/>
    </xf>
    <xf numFmtId="49" fontId="5" fillId="0" borderId="10" xfId="215" applyNumberFormat="1" applyFont="1" applyBorder="1" applyAlignment="1">
      <alignment horizontal="center" vertical="center"/>
    </xf>
    <xf numFmtId="14" fontId="34" fillId="0" borderId="10" xfId="215" applyNumberFormat="1" applyFont="1" applyBorder="1">
      <alignment vertical="center"/>
    </xf>
    <xf numFmtId="0" fontId="5" fillId="26" borderId="10" xfId="215" applyFont="1" applyFill="1" applyBorder="1" applyAlignment="1">
      <alignment horizontal="center" vertical="center"/>
    </xf>
    <xf numFmtId="177" fontId="5" fillId="26" borderId="10" xfId="215" applyNumberFormat="1" applyFont="1" applyFill="1" applyBorder="1" applyAlignment="1">
      <alignment horizontal="center" vertical="center" wrapText="1"/>
    </xf>
    <xf numFmtId="0" fontId="5" fillId="26" borderId="10" xfId="215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 wrapText="1"/>
    </xf>
    <xf numFmtId="177" fontId="5" fillId="26" borderId="10" xfId="7991" applyNumberFormat="1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/>
    </xf>
    <xf numFmtId="0" fontId="5" fillId="26" borderId="27" xfId="215" applyFont="1" applyFill="1" applyBorder="1" applyAlignment="1">
      <alignment horizontal="center" vertical="center"/>
    </xf>
    <xf numFmtId="177" fontId="5" fillId="56" borderId="10" xfId="7991" applyNumberFormat="1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57" borderId="27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5" fillId="64" borderId="10" xfId="215" applyFont="1" applyFill="1" applyBorder="1" applyAlignment="1">
      <alignment horizontal="center" vertical="center"/>
    </xf>
    <xf numFmtId="0" fontId="121" fillId="0" borderId="0" xfId="215" applyFont="1" applyAlignment="1">
      <alignment horizontal="center" vertical="center"/>
    </xf>
    <xf numFmtId="0" fontId="5" fillId="61" borderId="10" xfId="215" applyFont="1" applyFill="1" applyBorder="1">
      <alignment vertical="center"/>
    </xf>
    <xf numFmtId="0" fontId="5" fillId="0" borderId="0" xfId="215" applyFont="1" applyAlignment="1">
      <alignment horizontal="center" vertical="center"/>
    </xf>
    <xf numFmtId="179" fontId="121" fillId="0" borderId="0" xfId="215" applyNumberFormat="1" applyFont="1" applyAlignment="1">
      <alignment horizontal="center" vertical="center"/>
    </xf>
    <xf numFmtId="179" fontId="22" fillId="0" borderId="0" xfId="0" applyNumberFormat="1" applyFont="1">
      <alignment vertical="center"/>
    </xf>
    <xf numFmtId="179" fontId="5" fillId="0" borderId="10" xfId="215" applyNumberFormat="1" applyFont="1" applyBorder="1">
      <alignment vertical="center"/>
    </xf>
    <xf numFmtId="179" fontId="34" fillId="0" borderId="0" xfId="215" applyNumberFormat="1" applyFont="1">
      <alignment vertical="center"/>
    </xf>
    <xf numFmtId="179" fontId="34" fillId="0" borderId="10" xfId="215" applyNumberFormat="1" applyFont="1" applyBorder="1">
      <alignment vertical="center"/>
    </xf>
    <xf numFmtId="179" fontId="5" fillId="0" borderId="0" xfId="215" applyNumberFormat="1" applyFont="1">
      <alignment vertical="center"/>
    </xf>
    <xf numFmtId="0" fontId="5" fillId="65" borderId="10" xfId="215" applyFont="1" applyFill="1" applyBorder="1" applyAlignment="1">
      <alignment horizontal="center" vertical="center"/>
    </xf>
    <xf numFmtId="178" fontId="5" fillId="65" borderId="10" xfId="215" applyNumberFormat="1" applyFont="1" applyFill="1" applyBorder="1" applyAlignment="1">
      <alignment horizontal="center" vertical="center"/>
    </xf>
    <xf numFmtId="0" fontId="5" fillId="67" borderId="10" xfId="232" applyFont="1" applyFill="1" applyBorder="1" applyAlignment="1">
      <alignment horizontal="left" vertical="center"/>
    </xf>
    <xf numFmtId="0" fontId="5" fillId="65" borderId="10" xfId="215" applyFont="1" applyFill="1" applyBorder="1">
      <alignment vertical="center"/>
    </xf>
    <xf numFmtId="14" fontId="5" fillId="65" borderId="10" xfId="215" applyNumberFormat="1" applyFont="1" applyFill="1" applyBorder="1">
      <alignment vertical="center"/>
    </xf>
    <xf numFmtId="180" fontId="5" fillId="66" borderId="10" xfId="215" applyNumberFormat="1" applyFont="1" applyFill="1" applyBorder="1">
      <alignment vertical="center"/>
    </xf>
    <xf numFmtId="179" fontId="5" fillId="65" borderId="10" xfId="215" applyNumberFormat="1" applyFont="1" applyFill="1" applyBorder="1">
      <alignment vertical="center"/>
    </xf>
    <xf numFmtId="0" fontId="34" fillId="65" borderId="10" xfId="215" applyFont="1" applyFill="1" applyBorder="1">
      <alignment vertical="center"/>
    </xf>
    <xf numFmtId="179" fontId="34" fillId="65" borderId="10" xfId="215" applyNumberFormat="1" applyFont="1" applyFill="1" applyBorder="1">
      <alignment vertical="center"/>
    </xf>
    <xf numFmtId="0" fontId="5" fillId="26" borderId="26" xfId="215" applyFont="1" applyFill="1" applyBorder="1" applyAlignment="1">
      <alignment horizontal="center" vertical="center" wrapText="1"/>
    </xf>
    <xf numFmtId="0" fontId="123" fillId="62" borderId="26" xfId="3384" applyFont="1" applyFill="1" applyBorder="1" applyAlignment="1">
      <alignment horizontal="left" vertical="center"/>
    </xf>
    <xf numFmtId="0" fontId="123" fillId="0" borderId="26" xfId="3384" applyFont="1" applyBorder="1" applyAlignment="1">
      <alignment horizontal="justify" vertical="center"/>
    </xf>
    <xf numFmtId="49" fontId="123" fillId="62" borderId="26" xfId="0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/>
    </xf>
    <xf numFmtId="0" fontId="123" fillId="62" borderId="26" xfId="3384" applyFont="1" applyFill="1" applyBorder="1">
      <alignment vertical="center"/>
    </xf>
    <xf numFmtId="0" fontId="123" fillId="0" borderId="26" xfId="3384" applyFont="1" applyBorder="1" applyAlignment="1">
      <alignment horizontal="left" vertical="center"/>
    </xf>
    <xf numFmtId="0" fontId="124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horizontal="left" vertical="center" wrapText="1"/>
    </xf>
    <xf numFmtId="0" fontId="123" fillId="62" borderId="26" xfId="0" applyFont="1" applyFill="1" applyBorder="1" applyAlignment="1">
      <alignment horizontal="left" vertical="center"/>
    </xf>
    <xf numFmtId="0" fontId="123" fillId="0" borderId="26" xfId="0" applyFont="1" applyBorder="1">
      <alignment vertical="center"/>
    </xf>
    <xf numFmtId="0" fontId="123" fillId="62" borderId="26" xfId="0" applyFont="1" applyFill="1" applyBorder="1">
      <alignment vertical="center"/>
    </xf>
    <xf numFmtId="0" fontId="123" fillId="62" borderId="26" xfId="8154" applyFont="1" applyFill="1" applyBorder="1" applyAlignment="1">
      <alignment horizontal="left" vertical="center"/>
    </xf>
    <xf numFmtId="181" fontId="123" fillId="0" borderId="26" xfId="8154" applyNumberFormat="1" applyFont="1" applyBorder="1" applyAlignment="1">
      <alignment horizontal="left" vertical="center"/>
    </xf>
    <xf numFmtId="181" fontId="129" fillId="25" borderId="26" xfId="232" applyNumberFormat="1" applyFont="1" applyFill="1" applyBorder="1" applyAlignment="1">
      <alignment horizontal="left" vertical="center"/>
    </xf>
    <xf numFmtId="181" fontId="128" fillId="0" borderId="26" xfId="8154" applyNumberFormat="1" applyFont="1" applyBorder="1" applyAlignment="1">
      <alignment horizontal="left" vertical="center"/>
    </xf>
    <xf numFmtId="181" fontId="123" fillId="62" borderId="26" xfId="8154" applyNumberFormat="1" applyFont="1" applyFill="1" applyBorder="1" applyAlignment="1">
      <alignment horizontal="left" vertical="center"/>
    </xf>
    <xf numFmtId="181" fontId="123" fillId="62" borderId="26" xfId="3384" applyNumberFormat="1" applyFont="1" applyFill="1" applyBorder="1">
      <alignment vertical="center"/>
    </xf>
    <xf numFmtId="0" fontId="123" fillId="0" borderId="26" xfId="8154" applyFont="1" applyBorder="1" applyAlignment="1">
      <alignment horizontal="left" vertical="center"/>
    </xf>
    <xf numFmtId="0" fontId="123" fillId="63" borderId="26" xfId="3384" applyFont="1" applyFill="1" applyBorder="1" applyAlignment="1">
      <alignment horizontal="left" vertical="center"/>
    </xf>
    <xf numFmtId="181" fontId="123" fillId="0" borderId="26" xfId="3384" applyNumberFormat="1" applyFont="1" applyBorder="1" applyAlignment="1">
      <alignment horizontal="left" vertical="center"/>
    </xf>
    <xf numFmtId="181" fontId="123" fillId="62" borderId="26" xfId="3384" applyNumberFormat="1" applyFont="1" applyFill="1" applyBorder="1" applyAlignment="1">
      <alignment horizontal="left" vertical="center"/>
    </xf>
    <xf numFmtId="49" fontId="123" fillId="0" borderId="26" xfId="3384" applyNumberFormat="1" applyFont="1" applyBorder="1" applyAlignment="1">
      <alignment horizontal="left" vertical="center" shrinkToFit="1"/>
    </xf>
    <xf numFmtId="49" fontId="123" fillId="0" borderId="26" xfId="3384" applyNumberFormat="1" applyFont="1" applyBorder="1" applyAlignment="1">
      <alignment horizontal="left" vertical="center"/>
    </xf>
    <xf numFmtId="0" fontId="123" fillId="0" borderId="26" xfId="8155" applyFont="1" applyBorder="1">
      <alignment vertical="center"/>
    </xf>
    <xf numFmtId="0" fontId="123" fillId="0" borderId="26" xfId="3384" applyFont="1" applyBorder="1">
      <alignment vertical="center"/>
    </xf>
    <xf numFmtId="0" fontId="123" fillId="0" borderId="26" xfId="3384" applyFont="1" applyBorder="1" applyAlignment="1">
      <alignment vertical="center" wrapText="1"/>
    </xf>
    <xf numFmtId="0" fontId="123" fillId="0" borderId="26" xfId="8155" applyFont="1" applyBorder="1" applyAlignment="1">
      <alignment vertical="center" wrapText="1"/>
    </xf>
    <xf numFmtId="0" fontId="129" fillId="0" borderId="26" xfId="3384" applyFont="1" applyBorder="1" applyAlignment="1">
      <alignment horizontal="left" vertical="center"/>
    </xf>
    <xf numFmtId="49" fontId="123" fillId="62" borderId="30" xfId="3384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 shrinkToFit="1"/>
    </xf>
    <xf numFmtId="49" fontId="123" fillId="63" borderId="26" xfId="3384" applyNumberFormat="1" applyFont="1" applyFill="1" applyBorder="1" applyAlignment="1">
      <alignment horizontal="left" vertical="center"/>
    </xf>
    <xf numFmtId="0" fontId="123" fillId="66" borderId="26" xfId="3384" applyFont="1" applyFill="1" applyBorder="1" applyAlignment="1">
      <alignment horizontal="left" vertical="center"/>
    </xf>
    <xf numFmtId="178" fontId="132" fillId="0" borderId="25" xfId="215" applyNumberFormat="1" applyFont="1" applyBorder="1" applyAlignment="1">
      <alignment horizontal="right" vertical="center" wrapText="1"/>
    </xf>
    <xf numFmtId="0" fontId="131" fillId="0" borderId="0" xfId="0" applyFont="1" applyAlignment="1">
      <alignment horizontal="right" vertical="center" wrapText="1"/>
    </xf>
    <xf numFmtId="177" fontId="132" fillId="26" borderId="28" xfId="215" applyNumberFormat="1" applyFont="1" applyFill="1" applyBorder="1" applyAlignment="1">
      <alignment horizontal="right" vertical="center" wrapText="1"/>
    </xf>
    <xf numFmtId="178" fontId="132" fillId="0" borderId="25" xfId="0" applyNumberFormat="1" applyFont="1" applyBorder="1" applyAlignment="1">
      <alignment horizontal="right" vertical="center" wrapText="1"/>
    </xf>
    <xf numFmtId="178" fontId="132" fillId="65" borderId="25" xfId="215" applyNumberFormat="1" applyFont="1" applyFill="1" applyBorder="1" applyAlignment="1">
      <alignment horizontal="right" vertical="center" wrapText="1"/>
    </xf>
    <xf numFmtId="177" fontId="132" fillId="0" borderId="0" xfId="215" applyNumberFormat="1" applyFont="1" applyAlignment="1">
      <alignment horizontal="right" vertical="center" wrapText="1"/>
    </xf>
    <xf numFmtId="0" fontId="133" fillId="0" borderId="10" xfId="215" applyFont="1" applyBorder="1">
      <alignment vertical="center"/>
    </xf>
    <xf numFmtId="0" fontId="133" fillId="0" borderId="10" xfId="0" applyFont="1" applyBorder="1">
      <alignment vertical="center"/>
    </xf>
    <xf numFmtId="0" fontId="123" fillId="0" borderId="0" xfId="3384" applyFont="1">
      <alignment vertical="center"/>
    </xf>
    <xf numFmtId="0" fontId="5" fillId="0" borderId="10" xfId="0" applyFont="1" applyBorder="1" applyAlignment="1">
      <alignment horizontal="left" vertical="center" wrapText="1"/>
    </xf>
    <xf numFmtId="0" fontId="129" fillId="0" borderId="0" xfId="548" applyFont="1">
      <alignment vertical="center"/>
    </xf>
    <xf numFmtId="182" fontId="34" fillId="0" borderId="0" xfId="215" applyNumberFormat="1" applyFont="1">
      <alignment vertical="center"/>
    </xf>
    <xf numFmtId="182" fontId="34" fillId="0" borderId="10" xfId="215" applyNumberFormat="1" applyFont="1" applyBorder="1">
      <alignment vertical="center"/>
    </xf>
    <xf numFmtId="182" fontId="34" fillId="65" borderId="10" xfId="215" applyNumberFormat="1" applyFont="1" applyFill="1" applyBorder="1">
      <alignment vertical="center"/>
    </xf>
    <xf numFmtId="0" fontId="5" fillId="26" borderId="26" xfId="0" applyFont="1" applyFill="1" applyBorder="1" applyAlignment="1">
      <alignment horizontal="center" vertical="center" wrapText="1"/>
    </xf>
    <xf numFmtId="178" fontId="132" fillId="0" borderId="25" xfId="215" applyNumberFormat="1" applyFont="1" applyBorder="1" applyAlignment="1">
      <alignment horizontal="left" vertical="center" wrapText="1"/>
    </xf>
    <xf numFmtId="176" fontId="121" fillId="0" borderId="0" xfId="215" applyNumberFormat="1" applyFont="1" applyAlignment="1">
      <alignment horizontal="center" vertical="center"/>
    </xf>
    <xf numFmtId="0" fontId="34" fillId="0" borderId="0" xfId="215" applyFont="1" applyAlignment="1">
      <alignment vertical="center" wrapText="1"/>
    </xf>
    <xf numFmtId="0" fontId="5" fillId="60" borderId="10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26" xfId="0" applyBorder="1" applyAlignment="1"/>
    <xf numFmtId="0" fontId="5" fillId="59" borderId="10" xfId="0" applyFont="1" applyFill="1" applyBorder="1" applyAlignment="1">
      <alignment horizontal="center" vertical="center"/>
    </xf>
    <xf numFmtId="0" fontId="5" fillId="58" borderId="10" xfId="0" applyFont="1" applyFill="1" applyBorder="1" applyAlignment="1">
      <alignment horizontal="center" vertical="center"/>
    </xf>
    <xf numFmtId="0" fontId="5" fillId="59" borderId="27" xfId="0" applyFont="1" applyFill="1" applyBorder="1" applyAlignment="1">
      <alignment horizontal="center" vertical="center"/>
    </xf>
    <xf numFmtId="0" fontId="0" fillId="0" borderId="29" xfId="0" applyBorder="1" applyAlignment="1"/>
    <xf numFmtId="0" fontId="0" fillId="0" borderId="30" xfId="0" applyBorder="1" applyAlignment="1"/>
  </cellXfs>
  <cellStyles count="8157">
    <cellStyle name="?" xfId="543" xr:uid="{00000000-0005-0000-0000-00001F020000}"/>
    <cellStyle name="??" xfId="544" xr:uid="{00000000-0005-0000-0000-000020020000}"/>
    <cellStyle name="??_x000c_돥?_x000d_|?_x0001_??_x0007__x0001__x0001_" xfId="545" xr:uid="{00000000-0005-0000-0000-000021020000}"/>
    <cellStyle name="??_x000c_둄_x001b__x000d_|?_x0001_??_x0007__x0001__x0001_" xfId="546" xr:uid="{00000000-0005-0000-0000-000022020000}"/>
    <cellStyle name="??&amp;" xfId="547" xr:uid="{00000000-0005-0000-0000-000023020000}"/>
    <cellStyle name="??&amp;O" xfId="548" xr:uid="{00000000-0005-0000-0000-000024020000}"/>
    <cellStyle name="??&amp;O?" xfId="549" xr:uid="{00000000-0005-0000-0000-000025020000}"/>
    <cellStyle name="??&amp;O?&amp;H" xfId="550" xr:uid="{00000000-0005-0000-0000-000026020000}"/>
    <cellStyle name="??&amp;O?&amp;H?_x0008_" xfId="551" xr:uid="{00000000-0005-0000-0000-000027020000}"/>
    <cellStyle name="??&amp;O?&amp;H?_x0008__x000f_" xfId="552" xr:uid="{00000000-0005-0000-0000-000028020000}"/>
    <cellStyle name="??&amp;O?&amp;H?_x0008__x000f__x0007_?" xfId="553" xr:uid="{00000000-0005-0000-0000-000029020000}"/>
    <cellStyle name="??&amp;O?&amp;H?_x0008__x000f__x0007_?_x0007__x0001__x0001_" xfId="289" xr:uid="{00000000-0005-0000-0000-000021010000}"/>
    <cellStyle name="??&amp;O?&amp;H?_x0008__x000f__x0007_?_x0007__x0001__x0001_ 10" xfId="554" xr:uid="{00000000-0005-0000-0000-00002A020000}"/>
    <cellStyle name="??&amp;O?&amp;H?_x0008__x000f__x0007_?_x0007__x0001__x0001_ 11" xfId="555" xr:uid="{00000000-0005-0000-0000-00002B020000}"/>
    <cellStyle name="??&amp;O?&amp;H?_x0008__x000f__x0007_?_x0007__x0001__x0001_ 12" xfId="556" xr:uid="{00000000-0005-0000-0000-00002C020000}"/>
    <cellStyle name="??&amp;O?&amp;H?_x0008__x000f__x0007_?_x0007__x0001__x0001_ 13" xfId="557" xr:uid="{00000000-0005-0000-0000-00002D020000}"/>
    <cellStyle name="??&amp;O?&amp;H?_x0008__x000f__x0007_?_x0007__x0001__x0001_ 14" xfId="558" xr:uid="{00000000-0005-0000-0000-00002E020000}"/>
    <cellStyle name="??&amp;O?&amp;H?_x0008__x000f__x0007_?_x0007__x0001__x0001_ 15" xfId="559" xr:uid="{00000000-0005-0000-0000-00002F020000}"/>
    <cellStyle name="??&amp;O?&amp;H?_x0008__x000f__x0007_?_x0007__x0001__x0001_ 16" xfId="560" xr:uid="{00000000-0005-0000-0000-000030020000}"/>
    <cellStyle name="??&amp;O?&amp;H?_x0008__x000f__x0007_?_x0007__x0001__x0001_ 17" xfId="561" xr:uid="{00000000-0005-0000-0000-000031020000}"/>
    <cellStyle name="??&amp;O?&amp;H?_x0008__x000f__x0007_?_x0007__x0001__x0001_ 18" xfId="562" xr:uid="{00000000-0005-0000-0000-000032020000}"/>
    <cellStyle name="??&amp;O?&amp;H?_x0008__x000f__x0007_?_x0007__x0001__x0001_ 2" xfId="563" xr:uid="{00000000-0005-0000-0000-000033020000}"/>
    <cellStyle name="??&amp;O?&amp;H?_x0008__x000f__x0007_?_x0007__x0001__x0001_ 3" xfId="564" xr:uid="{00000000-0005-0000-0000-000034020000}"/>
    <cellStyle name="??&amp;O?&amp;H?_x0008__x000f__x0007_?_x0007__x0001__x0001_ 4" xfId="565" xr:uid="{00000000-0005-0000-0000-000035020000}"/>
    <cellStyle name="??&amp;O?&amp;H?_x0008__x000f__x0007_?_x0007__x0001__x0001_ 5" xfId="566" xr:uid="{00000000-0005-0000-0000-000036020000}"/>
    <cellStyle name="??&amp;O?&amp;H?_x0008__x000f__x0007_?_x0007__x0001__x0001_ 6" xfId="567" xr:uid="{00000000-0005-0000-0000-000037020000}"/>
    <cellStyle name="??&amp;O?&amp;H?_x0008__x000f__x0007_?_x0007__x0001__x0001_ 7" xfId="568" xr:uid="{00000000-0005-0000-0000-000038020000}"/>
    <cellStyle name="??&amp;O?&amp;H?_x0008__x000f__x0007_?_x0007__x0001__x0001_ 8" xfId="569" xr:uid="{00000000-0005-0000-0000-000039020000}"/>
    <cellStyle name="??&amp;O?&amp;H?_x0008__x000f__x0007_?_x0007__x0001__x0001_ 9" xfId="570" xr:uid="{00000000-0005-0000-0000-00003A020000}"/>
    <cellStyle name="??&amp;O?&amp;H?_x0008_??_x0007__x0001__x0001_" xfId="571" xr:uid="{00000000-0005-0000-0000-00003B020000}"/>
    <cellStyle name="??&amp;O?&amp;H?_x0008_??_x0007__x0001__x0001_ 10" xfId="572" xr:uid="{00000000-0005-0000-0000-00003C020000}"/>
    <cellStyle name="??&amp;O?&amp;H?_x0008_??_x0007__x0001__x0001_ 11" xfId="573" xr:uid="{00000000-0005-0000-0000-00003D020000}"/>
    <cellStyle name="??&amp;O?&amp;H?_x0008_??_x0007__x0001__x0001_ 12" xfId="574" xr:uid="{00000000-0005-0000-0000-00003E020000}"/>
    <cellStyle name="??&amp;O?&amp;H?_x0008_??_x0007__x0001__x0001_ 13" xfId="575" xr:uid="{00000000-0005-0000-0000-00003F020000}"/>
    <cellStyle name="??&amp;O?&amp;H?_x0008_??_x0007__x0001__x0001_ 14" xfId="576" xr:uid="{00000000-0005-0000-0000-000040020000}"/>
    <cellStyle name="??&amp;O?&amp;H?_x0008_??_x0007__x0001__x0001_ 15" xfId="577" xr:uid="{00000000-0005-0000-0000-000041020000}"/>
    <cellStyle name="??&amp;O?&amp;H?_x0008_??_x0007__x0001__x0001_ 16" xfId="578" xr:uid="{00000000-0005-0000-0000-000042020000}"/>
    <cellStyle name="??&amp;O?&amp;H?_x0008_??_x0007__x0001__x0001_ 17" xfId="579" xr:uid="{00000000-0005-0000-0000-000043020000}"/>
    <cellStyle name="??&amp;O?&amp;H?_x0008_??_x0007__x0001__x0001_ 18" xfId="580" xr:uid="{00000000-0005-0000-0000-000044020000}"/>
    <cellStyle name="??&amp;O?&amp;H?_x0008_??_x0007__x0001__x0001_ 19" xfId="581" xr:uid="{00000000-0005-0000-0000-000045020000}"/>
    <cellStyle name="??&amp;O?&amp;H?_x0008_??_x0007__x0001__x0001_ 2" xfId="582" xr:uid="{00000000-0005-0000-0000-000046020000}"/>
    <cellStyle name="??&amp;O?&amp;H?_x0008_??_x0007__x0001__x0001_ 2 10" xfId="583" xr:uid="{00000000-0005-0000-0000-000047020000}"/>
    <cellStyle name="??&amp;O?&amp;H?_x0008_??_x0007__x0001__x0001_ 2 11" xfId="584" xr:uid="{00000000-0005-0000-0000-000048020000}"/>
    <cellStyle name="??&amp;O?&amp;H?_x0008_??_x0007__x0001__x0001_ 2 12" xfId="585" xr:uid="{00000000-0005-0000-0000-000049020000}"/>
    <cellStyle name="??&amp;O?&amp;H?_x0008_??_x0007__x0001__x0001_ 2 13" xfId="586" xr:uid="{00000000-0005-0000-0000-00004A020000}"/>
    <cellStyle name="??&amp;O?&amp;H?_x0008_??_x0007__x0001__x0001_ 2 14" xfId="587" xr:uid="{00000000-0005-0000-0000-00004B020000}"/>
    <cellStyle name="??&amp;O?&amp;H?_x0008_??_x0007__x0001__x0001_ 2 15" xfId="588" xr:uid="{00000000-0005-0000-0000-00004C020000}"/>
    <cellStyle name="??&amp;O?&amp;H?_x0008_??_x0007__x0001__x0001_ 2 16" xfId="589" xr:uid="{00000000-0005-0000-0000-00004D020000}"/>
    <cellStyle name="??&amp;O?&amp;H?_x0008_??_x0007__x0001__x0001_ 2 17" xfId="590" xr:uid="{00000000-0005-0000-0000-00004E020000}"/>
    <cellStyle name="??&amp;O?&amp;H?_x0008_??_x0007__x0001__x0001_ 2 18" xfId="591" xr:uid="{00000000-0005-0000-0000-00004F020000}"/>
    <cellStyle name="??&amp;O?&amp;H?_x0008_??_x0007__x0001__x0001_ 2 2" xfId="592" xr:uid="{00000000-0005-0000-0000-000050020000}"/>
    <cellStyle name="??&amp;O?&amp;H?_x0008_??_x0007__x0001__x0001_ 2 3" xfId="593" xr:uid="{00000000-0005-0000-0000-000051020000}"/>
    <cellStyle name="??&amp;O?&amp;H?_x0008_??_x0007__x0001__x0001_ 2 4" xfId="594" xr:uid="{00000000-0005-0000-0000-000052020000}"/>
    <cellStyle name="??&amp;O?&amp;H?_x0008_??_x0007__x0001__x0001_ 2 5" xfId="595" xr:uid="{00000000-0005-0000-0000-000053020000}"/>
    <cellStyle name="??&amp;O?&amp;H?_x0008_??_x0007__x0001__x0001_ 2 6" xfId="596" xr:uid="{00000000-0005-0000-0000-000054020000}"/>
    <cellStyle name="??&amp;O?&amp;H?_x0008_??_x0007__x0001__x0001_ 2 7" xfId="597" xr:uid="{00000000-0005-0000-0000-000055020000}"/>
    <cellStyle name="??&amp;O?&amp;H?_x0008_??_x0007__x0001__x0001_ 2 8" xfId="598" xr:uid="{00000000-0005-0000-0000-000056020000}"/>
    <cellStyle name="??&amp;O?&amp;H?_x0008_??_x0007__x0001__x0001_ 2 9" xfId="599" xr:uid="{00000000-0005-0000-0000-000057020000}"/>
    <cellStyle name="??&amp;O?&amp;H?_x0008_??_x0007__x0001__x0001_ 2_BMB_UGA NEXT(audio_DPP2 Ver1.0)2008.xx.xx" xfId="600" xr:uid="{00000000-0005-0000-0000-000058020000}"/>
    <cellStyle name="??&amp;O?&amp;H?_x0008_??_x0007__x0001__x0001_ 3" xfId="601" xr:uid="{00000000-0005-0000-0000-000059020000}"/>
    <cellStyle name="??&amp;O?&amp;H?_x0008_??_x0007__x0001__x0001_ 4" xfId="602" xr:uid="{00000000-0005-0000-0000-00005A020000}"/>
    <cellStyle name="??&amp;O?&amp;H?_x0008_??_x0007__x0001__x0001_ 5" xfId="603" xr:uid="{00000000-0005-0000-0000-00005B020000}"/>
    <cellStyle name="??&amp;O?&amp;H?_x0008_??_x0007__x0001__x0001_ 6" xfId="604" xr:uid="{00000000-0005-0000-0000-00005C020000}"/>
    <cellStyle name="??&amp;O?&amp;H?_x0008_??_x0007__x0001__x0001_ 7" xfId="605" xr:uid="{00000000-0005-0000-0000-00005D020000}"/>
    <cellStyle name="??&amp;O?&amp;H?_x0008_??_x0007__x0001__x0001_ 8" xfId="606" xr:uid="{00000000-0005-0000-0000-00005E020000}"/>
    <cellStyle name="??&amp;O?&amp;H?_x0008_??_x0007__x0001__x0001_ 9" xfId="607" xr:uid="{00000000-0005-0000-0000-00005F020000}"/>
    <cellStyle name="??&amp;O?&amp;H?_x0008_??_x0007__x0001__x0001__101.OEM_품번대장" xfId="608" xr:uid="{00000000-0005-0000-0000-000060020000}"/>
    <cellStyle name="??&amp;O?&amp;H?_x0008__x000f__x0007_?_x0007__x0001__x0001__BMB_UGA NEXT(audio_DPP2 Ver1.0)2008.xx.xx" xfId="609" xr:uid="{00000000-0005-0000-0000-000061020000}"/>
    <cellStyle name="??&amp;O?&amp;H?_x0001__x0010_?_x0007__x0001__x0001_" xfId="288" xr:uid="{00000000-0005-0000-0000-000020010000}"/>
    <cellStyle name="??&amp;O?&amp;H_05-09-27-5" xfId="610" xr:uid="{00000000-0005-0000-0000-000062020000}"/>
    <cellStyle name="??&amp;O龡&amp;H?_x0008__x000f__x0007_?_x0007__x0001__x0001_" xfId="611" xr:uid="{00000000-0005-0000-0000-000063020000}"/>
    <cellStyle name="??&amp;O龡&amp;H?_x0008_??_x0007__x0001__x0001_" xfId="612" xr:uid="{00000000-0005-0000-0000-000064020000}"/>
    <cellStyle name="_05-09-27-5" xfId="613" xr:uid="{00000000-0005-0000-0000-000065020000}"/>
    <cellStyle name="≫o±O[0]_≫a×U " xfId="614" xr:uid="{00000000-0005-0000-0000-000066020000}"/>
    <cellStyle name="≫o±O_≫a×U " xfId="615" xr:uid="{00000000-0005-0000-0000-000067020000}"/>
    <cellStyle name="≤汰?수)_영업외수지" xfId="290" xr:uid="{00000000-0005-0000-0000-000022010000}"/>
    <cellStyle name="•W€_DEVSCH" xfId="291" xr:uid="{00000000-0005-0000-0000-000023010000}"/>
    <cellStyle name="¹eºÐA²_±aA¸" xfId="616" xr:uid="{00000000-0005-0000-0000-000068020000}"/>
    <cellStyle name="20% - Accent1" xfId="292" xr:uid="{00000000-0005-0000-0000-000024010000}"/>
    <cellStyle name="20% - Accent2" xfId="293" xr:uid="{00000000-0005-0000-0000-000025010000}"/>
    <cellStyle name="20% - Accent3" xfId="294" xr:uid="{00000000-0005-0000-0000-000026010000}"/>
    <cellStyle name="20% - Accent4" xfId="295" xr:uid="{00000000-0005-0000-0000-000027010000}"/>
    <cellStyle name="20% - Accent5" xfId="296" xr:uid="{00000000-0005-0000-0000-000028010000}"/>
    <cellStyle name="20% - Accent6" xfId="297" xr:uid="{00000000-0005-0000-0000-000029010000}"/>
    <cellStyle name="20% - 强调文字颜色 1" xfId="641" xr:uid="{00000000-0005-0000-0000-000081020000}"/>
    <cellStyle name="20% - 强调文字颜色 1 10" xfId="642" xr:uid="{00000000-0005-0000-0000-000082020000}"/>
    <cellStyle name="20% - 强调文字颜色 1 11" xfId="643" xr:uid="{00000000-0005-0000-0000-000083020000}"/>
    <cellStyle name="20% - 强调文字颜色 1 12" xfId="644" xr:uid="{00000000-0005-0000-0000-000084020000}"/>
    <cellStyle name="20% - 强调文字颜色 1 13" xfId="645" xr:uid="{00000000-0005-0000-0000-000085020000}"/>
    <cellStyle name="20% - 强调文字颜色 1 14" xfId="646" xr:uid="{00000000-0005-0000-0000-000086020000}"/>
    <cellStyle name="20% - 强调文字颜色 1 15" xfId="647" xr:uid="{00000000-0005-0000-0000-000087020000}"/>
    <cellStyle name="20% - 强调文字颜色 1 16" xfId="648" xr:uid="{00000000-0005-0000-0000-000088020000}"/>
    <cellStyle name="20% - 强调文字颜色 1 17" xfId="649" xr:uid="{00000000-0005-0000-0000-000089020000}"/>
    <cellStyle name="20% - 强调文字颜色 1 18" xfId="650" xr:uid="{00000000-0005-0000-0000-00008A020000}"/>
    <cellStyle name="20% - 强调文字颜色 1 2" xfId="651" xr:uid="{00000000-0005-0000-0000-00008B020000}"/>
    <cellStyle name="20% - 强调文字颜色 1 3" xfId="652" xr:uid="{00000000-0005-0000-0000-00008C020000}"/>
    <cellStyle name="20% - 强调文字颜色 1 4" xfId="653" xr:uid="{00000000-0005-0000-0000-00008D020000}"/>
    <cellStyle name="20% - 强调文字颜色 1 5" xfId="654" xr:uid="{00000000-0005-0000-0000-00008E020000}"/>
    <cellStyle name="20% - 强调文字颜色 1 6" xfId="655" xr:uid="{00000000-0005-0000-0000-00008F020000}"/>
    <cellStyle name="20% - 强调文字颜色 1 7" xfId="656" xr:uid="{00000000-0005-0000-0000-000090020000}"/>
    <cellStyle name="20% - 强调文字颜色 1 8" xfId="657" xr:uid="{00000000-0005-0000-0000-000091020000}"/>
    <cellStyle name="20% - 强调文字颜色 1 9" xfId="658" xr:uid="{00000000-0005-0000-0000-000092020000}"/>
    <cellStyle name="20% - 强调文字颜色 2" xfId="659" xr:uid="{00000000-0005-0000-0000-000093020000}"/>
    <cellStyle name="20% - 强调文字颜色 2 10" xfId="660" xr:uid="{00000000-0005-0000-0000-000094020000}"/>
    <cellStyle name="20% - 强调文字颜色 2 11" xfId="661" xr:uid="{00000000-0005-0000-0000-000095020000}"/>
    <cellStyle name="20% - 强调文字颜色 2 12" xfId="662" xr:uid="{00000000-0005-0000-0000-000096020000}"/>
    <cellStyle name="20% - 强调文字颜色 2 13" xfId="663" xr:uid="{00000000-0005-0000-0000-000097020000}"/>
    <cellStyle name="20% - 强调文字颜色 2 14" xfId="664" xr:uid="{00000000-0005-0000-0000-000098020000}"/>
    <cellStyle name="20% - 强调文字颜色 2 15" xfId="665" xr:uid="{00000000-0005-0000-0000-000099020000}"/>
    <cellStyle name="20% - 强调文字颜色 2 16" xfId="666" xr:uid="{00000000-0005-0000-0000-00009A020000}"/>
    <cellStyle name="20% - 强调文字颜色 2 17" xfId="667" xr:uid="{00000000-0005-0000-0000-00009B020000}"/>
    <cellStyle name="20% - 强调文字颜色 2 18" xfId="668" xr:uid="{00000000-0005-0000-0000-00009C020000}"/>
    <cellStyle name="20% - 强调文字颜色 2 2" xfId="669" xr:uid="{00000000-0005-0000-0000-00009D020000}"/>
    <cellStyle name="20% - 强调文字颜色 2 3" xfId="670" xr:uid="{00000000-0005-0000-0000-00009E020000}"/>
    <cellStyle name="20% - 强调文字颜色 2 4" xfId="671" xr:uid="{00000000-0005-0000-0000-00009F020000}"/>
    <cellStyle name="20% - 强调文字颜色 2 5" xfId="672" xr:uid="{00000000-0005-0000-0000-0000A0020000}"/>
    <cellStyle name="20% - 强调文字颜色 2 6" xfId="673" xr:uid="{00000000-0005-0000-0000-0000A1020000}"/>
    <cellStyle name="20% - 强调文字颜色 2 7" xfId="674" xr:uid="{00000000-0005-0000-0000-0000A2020000}"/>
    <cellStyle name="20% - 强调文字颜色 2 8" xfId="675" xr:uid="{00000000-0005-0000-0000-0000A3020000}"/>
    <cellStyle name="20% - 强调文字颜色 2 9" xfId="676" xr:uid="{00000000-0005-0000-0000-0000A4020000}"/>
    <cellStyle name="20% - 强调文字颜色 3" xfId="677" xr:uid="{00000000-0005-0000-0000-0000A5020000}"/>
    <cellStyle name="20% - 强调文字颜色 3 10" xfId="678" xr:uid="{00000000-0005-0000-0000-0000A6020000}"/>
    <cellStyle name="20% - 强调文字颜色 3 11" xfId="679" xr:uid="{00000000-0005-0000-0000-0000A7020000}"/>
    <cellStyle name="20% - 强调文字颜色 3 12" xfId="680" xr:uid="{00000000-0005-0000-0000-0000A8020000}"/>
    <cellStyle name="20% - 强调文字颜色 3 13" xfId="681" xr:uid="{00000000-0005-0000-0000-0000A9020000}"/>
    <cellStyle name="20% - 强调文字颜色 3 14" xfId="682" xr:uid="{00000000-0005-0000-0000-0000AA020000}"/>
    <cellStyle name="20% - 强调文字颜色 3 15" xfId="683" xr:uid="{00000000-0005-0000-0000-0000AB020000}"/>
    <cellStyle name="20% - 强调文字颜色 3 16" xfId="684" xr:uid="{00000000-0005-0000-0000-0000AC020000}"/>
    <cellStyle name="20% - 强调文字颜色 3 17" xfId="685" xr:uid="{00000000-0005-0000-0000-0000AD020000}"/>
    <cellStyle name="20% - 强调文字颜色 3 18" xfId="686" xr:uid="{00000000-0005-0000-0000-0000AE020000}"/>
    <cellStyle name="20% - 强调文字颜色 3 2" xfId="687" xr:uid="{00000000-0005-0000-0000-0000AF020000}"/>
    <cellStyle name="20% - 强调文字颜色 3 3" xfId="688" xr:uid="{00000000-0005-0000-0000-0000B0020000}"/>
    <cellStyle name="20% - 强调文字颜色 3 4" xfId="689" xr:uid="{00000000-0005-0000-0000-0000B1020000}"/>
    <cellStyle name="20% - 强调文字颜色 3 5" xfId="690" xr:uid="{00000000-0005-0000-0000-0000B2020000}"/>
    <cellStyle name="20% - 强调文字颜色 3 6" xfId="691" xr:uid="{00000000-0005-0000-0000-0000B3020000}"/>
    <cellStyle name="20% - 强调文字颜色 3 7" xfId="692" xr:uid="{00000000-0005-0000-0000-0000B4020000}"/>
    <cellStyle name="20% - 强调文字颜色 3 8" xfId="693" xr:uid="{00000000-0005-0000-0000-0000B5020000}"/>
    <cellStyle name="20% - 强调文字颜色 3 9" xfId="694" xr:uid="{00000000-0005-0000-0000-0000B6020000}"/>
    <cellStyle name="20% - 强调文字颜色 4" xfId="695" xr:uid="{00000000-0005-0000-0000-0000B7020000}"/>
    <cellStyle name="20% - 强调文字颜色 4 10" xfId="696" xr:uid="{00000000-0005-0000-0000-0000B8020000}"/>
    <cellStyle name="20% - 强调文字颜色 4 11" xfId="697" xr:uid="{00000000-0005-0000-0000-0000B9020000}"/>
    <cellStyle name="20% - 强调文字颜色 4 12" xfId="698" xr:uid="{00000000-0005-0000-0000-0000BA020000}"/>
    <cellStyle name="20% - 强调文字颜色 4 13" xfId="699" xr:uid="{00000000-0005-0000-0000-0000BB020000}"/>
    <cellStyle name="20% - 强调文字颜色 4 14" xfId="700" xr:uid="{00000000-0005-0000-0000-0000BC020000}"/>
    <cellStyle name="20% - 强调文字颜色 4 15" xfId="701" xr:uid="{00000000-0005-0000-0000-0000BD020000}"/>
    <cellStyle name="20% - 强调文字颜色 4 16" xfId="702" xr:uid="{00000000-0005-0000-0000-0000BE020000}"/>
    <cellStyle name="20% - 强调文字颜色 4 17" xfId="703" xr:uid="{00000000-0005-0000-0000-0000BF020000}"/>
    <cellStyle name="20% - 强调文字颜色 4 18" xfId="704" xr:uid="{00000000-0005-0000-0000-0000C0020000}"/>
    <cellStyle name="20% - 强调文字颜色 4 2" xfId="705" xr:uid="{00000000-0005-0000-0000-0000C1020000}"/>
    <cellStyle name="20% - 强调文字颜色 4 3" xfId="706" xr:uid="{00000000-0005-0000-0000-0000C2020000}"/>
    <cellStyle name="20% - 强调文字颜色 4 4" xfId="707" xr:uid="{00000000-0005-0000-0000-0000C3020000}"/>
    <cellStyle name="20% - 强调文字颜色 4 5" xfId="708" xr:uid="{00000000-0005-0000-0000-0000C4020000}"/>
    <cellStyle name="20% - 强调文字颜色 4 6" xfId="709" xr:uid="{00000000-0005-0000-0000-0000C5020000}"/>
    <cellStyle name="20% - 强调文字颜色 4 7" xfId="710" xr:uid="{00000000-0005-0000-0000-0000C6020000}"/>
    <cellStyle name="20% - 强调文字颜色 4 8" xfId="711" xr:uid="{00000000-0005-0000-0000-0000C7020000}"/>
    <cellStyle name="20% - 强调文字颜色 4 9" xfId="712" xr:uid="{00000000-0005-0000-0000-0000C8020000}"/>
    <cellStyle name="20% - 强调文字颜色 5" xfId="713" xr:uid="{00000000-0005-0000-0000-0000C9020000}"/>
    <cellStyle name="20% - 强调文字颜色 5 10" xfId="714" xr:uid="{00000000-0005-0000-0000-0000CA020000}"/>
    <cellStyle name="20% - 强调文字颜色 5 11" xfId="715" xr:uid="{00000000-0005-0000-0000-0000CB020000}"/>
    <cellStyle name="20% - 强调文字颜色 5 12" xfId="716" xr:uid="{00000000-0005-0000-0000-0000CC020000}"/>
    <cellStyle name="20% - 强调文字颜色 5 13" xfId="717" xr:uid="{00000000-0005-0000-0000-0000CD020000}"/>
    <cellStyle name="20% - 强调文字颜色 5 14" xfId="718" xr:uid="{00000000-0005-0000-0000-0000CE020000}"/>
    <cellStyle name="20% - 强调文字颜色 5 15" xfId="719" xr:uid="{00000000-0005-0000-0000-0000CF020000}"/>
    <cellStyle name="20% - 强调文字颜色 5 16" xfId="720" xr:uid="{00000000-0005-0000-0000-0000D0020000}"/>
    <cellStyle name="20% - 强调文字颜色 5 17" xfId="721" xr:uid="{00000000-0005-0000-0000-0000D1020000}"/>
    <cellStyle name="20% - 强调文字颜色 5 18" xfId="722" xr:uid="{00000000-0005-0000-0000-0000D2020000}"/>
    <cellStyle name="20% - 强调文字颜色 5 2" xfId="723" xr:uid="{00000000-0005-0000-0000-0000D3020000}"/>
    <cellStyle name="20% - 强调文字颜色 5 3" xfId="724" xr:uid="{00000000-0005-0000-0000-0000D4020000}"/>
    <cellStyle name="20% - 强调文字颜色 5 4" xfId="725" xr:uid="{00000000-0005-0000-0000-0000D5020000}"/>
    <cellStyle name="20% - 强调文字颜色 5 5" xfId="726" xr:uid="{00000000-0005-0000-0000-0000D6020000}"/>
    <cellStyle name="20% - 强调文字颜色 5 6" xfId="727" xr:uid="{00000000-0005-0000-0000-0000D7020000}"/>
    <cellStyle name="20% - 强调文字颜色 5 7" xfId="728" xr:uid="{00000000-0005-0000-0000-0000D8020000}"/>
    <cellStyle name="20% - 强调文字颜色 5 8" xfId="729" xr:uid="{00000000-0005-0000-0000-0000D9020000}"/>
    <cellStyle name="20% - 强调文字颜色 5 9" xfId="730" xr:uid="{00000000-0005-0000-0000-0000DA020000}"/>
    <cellStyle name="20% - 强调文字颜色 6" xfId="731" xr:uid="{00000000-0005-0000-0000-0000DB020000}"/>
    <cellStyle name="20% - 强调文字颜色 6 10" xfId="732" xr:uid="{00000000-0005-0000-0000-0000DC020000}"/>
    <cellStyle name="20% - 强调文字颜色 6 11" xfId="733" xr:uid="{00000000-0005-0000-0000-0000DD020000}"/>
    <cellStyle name="20% - 强调文字颜色 6 12" xfId="734" xr:uid="{00000000-0005-0000-0000-0000DE020000}"/>
    <cellStyle name="20% - 强调文字颜色 6 13" xfId="735" xr:uid="{00000000-0005-0000-0000-0000DF020000}"/>
    <cellStyle name="20% - 强调文字颜色 6 14" xfId="736" xr:uid="{00000000-0005-0000-0000-0000E0020000}"/>
    <cellStyle name="20% - 强调文字颜色 6 15" xfId="737" xr:uid="{00000000-0005-0000-0000-0000E1020000}"/>
    <cellStyle name="20% - 强调文字颜色 6 16" xfId="738" xr:uid="{00000000-0005-0000-0000-0000E2020000}"/>
    <cellStyle name="20% - 强调文字颜色 6 17" xfId="739" xr:uid="{00000000-0005-0000-0000-0000E3020000}"/>
    <cellStyle name="20% - 强调文字颜色 6 18" xfId="740" xr:uid="{00000000-0005-0000-0000-0000E4020000}"/>
    <cellStyle name="20% - 强调文字颜色 6 2" xfId="741" xr:uid="{00000000-0005-0000-0000-0000E5020000}"/>
    <cellStyle name="20% - 强调文字颜色 6 3" xfId="742" xr:uid="{00000000-0005-0000-0000-0000E6020000}"/>
    <cellStyle name="20% - 强调文字颜色 6 4" xfId="743" xr:uid="{00000000-0005-0000-0000-0000E7020000}"/>
    <cellStyle name="20% - 强调文字颜色 6 5" xfId="744" xr:uid="{00000000-0005-0000-0000-0000E8020000}"/>
    <cellStyle name="20% - 强调文字颜色 6 6" xfId="745" xr:uid="{00000000-0005-0000-0000-0000E9020000}"/>
    <cellStyle name="20% - 强调文字颜色 6 7" xfId="746" xr:uid="{00000000-0005-0000-0000-0000EA020000}"/>
    <cellStyle name="20% - 强调文字颜色 6 8" xfId="747" xr:uid="{00000000-0005-0000-0000-0000EB020000}"/>
    <cellStyle name="20% - 强调文字颜色 6 9" xfId="748" xr:uid="{00000000-0005-0000-0000-0000EC020000}"/>
    <cellStyle name="20% - 강조색1 2" xfId="1" xr:uid="{00000000-0005-0000-0000-000001000000}"/>
    <cellStyle name="20% - 강조색1 2 2" xfId="617" xr:uid="{00000000-0005-0000-0000-000069020000}"/>
    <cellStyle name="20% - 강조색1 2 3" xfId="5816" xr:uid="{00000000-0005-0000-0000-0000B8160000}"/>
    <cellStyle name="20% - 강조색1 3" xfId="2" xr:uid="{00000000-0005-0000-0000-000002000000}"/>
    <cellStyle name="20% - 강조색1 3 2" xfId="618" xr:uid="{00000000-0005-0000-0000-00006A020000}"/>
    <cellStyle name="20% - 강조색1 4" xfId="3" xr:uid="{00000000-0005-0000-0000-000003000000}"/>
    <cellStyle name="20% - 강조색1 4 2" xfId="619" xr:uid="{00000000-0005-0000-0000-00006B020000}"/>
    <cellStyle name="20% - 강조색1 5" xfId="4" xr:uid="{00000000-0005-0000-0000-000004000000}"/>
    <cellStyle name="20% - 강조색1 6" xfId="5" xr:uid="{00000000-0005-0000-0000-000005000000}"/>
    <cellStyle name="20% - 강조색1 6 2" xfId="620" xr:uid="{00000000-0005-0000-0000-00006C020000}"/>
    <cellStyle name="20% - 강조색1 7" xfId="238" xr:uid="{00000000-0005-0000-0000-0000EE000000}"/>
    <cellStyle name="20% - 강조색2 2" xfId="6" xr:uid="{00000000-0005-0000-0000-000006000000}"/>
    <cellStyle name="20% - 강조색2 2 2" xfId="621" xr:uid="{00000000-0005-0000-0000-00006D020000}"/>
    <cellStyle name="20% - 강조색2 2 3" xfId="5817" xr:uid="{00000000-0005-0000-0000-0000B9160000}"/>
    <cellStyle name="20% - 강조색2 3" xfId="7" xr:uid="{00000000-0005-0000-0000-000007000000}"/>
    <cellStyle name="20% - 강조색2 3 2" xfId="622" xr:uid="{00000000-0005-0000-0000-00006E020000}"/>
    <cellStyle name="20% - 강조색2 4" xfId="8" xr:uid="{00000000-0005-0000-0000-000008000000}"/>
    <cellStyle name="20% - 강조색2 4 2" xfId="623" xr:uid="{00000000-0005-0000-0000-00006F020000}"/>
    <cellStyle name="20% - 강조색2 5" xfId="9" xr:uid="{00000000-0005-0000-0000-000009000000}"/>
    <cellStyle name="20% - 강조색2 6" xfId="10" xr:uid="{00000000-0005-0000-0000-00000A000000}"/>
    <cellStyle name="20% - 강조색2 6 2" xfId="624" xr:uid="{00000000-0005-0000-0000-000070020000}"/>
    <cellStyle name="20% - 강조색2 7" xfId="239" xr:uid="{00000000-0005-0000-0000-0000EF000000}"/>
    <cellStyle name="20% - 강조색3 2" xfId="11" xr:uid="{00000000-0005-0000-0000-00000B000000}"/>
    <cellStyle name="20% - 강조색3 2 2" xfId="625" xr:uid="{00000000-0005-0000-0000-000071020000}"/>
    <cellStyle name="20% - 강조색3 2 3" xfId="5818" xr:uid="{00000000-0005-0000-0000-0000BA160000}"/>
    <cellStyle name="20% - 강조색3 3" xfId="12" xr:uid="{00000000-0005-0000-0000-00000C000000}"/>
    <cellStyle name="20% - 강조색3 3 2" xfId="626" xr:uid="{00000000-0005-0000-0000-000072020000}"/>
    <cellStyle name="20% - 강조색3 4" xfId="13" xr:uid="{00000000-0005-0000-0000-00000D000000}"/>
    <cellStyle name="20% - 강조색3 4 2" xfId="627" xr:uid="{00000000-0005-0000-0000-000073020000}"/>
    <cellStyle name="20% - 강조색3 5" xfId="14" xr:uid="{00000000-0005-0000-0000-00000E000000}"/>
    <cellStyle name="20% - 강조색3 6" xfId="15" xr:uid="{00000000-0005-0000-0000-00000F000000}"/>
    <cellStyle name="20% - 강조색3 6 2" xfId="628" xr:uid="{00000000-0005-0000-0000-000074020000}"/>
    <cellStyle name="20% - 강조색3 7" xfId="240" xr:uid="{00000000-0005-0000-0000-0000F0000000}"/>
    <cellStyle name="20% - 강조색4 2" xfId="16" xr:uid="{00000000-0005-0000-0000-000010000000}"/>
    <cellStyle name="20% - 강조색4 2 2" xfId="629" xr:uid="{00000000-0005-0000-0000-000075020000}"/>
    <cellStyle name="20% - 강조색4 2 3" xfId="5819" xr:uid="{00000000-0005-0000-0000-0000BB160000}"/>
    <cellStyle name="20% - 강조색4 3" xfId="17" xr:uid="{00000000-0005-0000-0000-000011000000}"/>
    <cellStyle name="20% - 강조색4 3 2" xfId="630" xr:uid="{00000000-0005-0000-0000-000076020000}"/>
    <cellStyle name="20% - 강조색4 4" xfId="18" xr:uid="{00000000-0005-0000-0000-000012000000}"/>
    <cellStyle name="20% - 강조색4 4 2" xfId="631" xr:uid="{00000000-0005-0000-0000-000077020000}"/>
    <cellStyle name="20% - 강조색4 5" xfId="19" xr:uid="{00000000-0005-0000-0000-000013000000}"/>
    <cellStyle name="20% - 강조색4 6" xfId="20" xr:uid="{00000000-0005-0000-0000-000014000000}"/>
    <cellStyle name="20% - 강조색4 6 2" xfId="632" xr:uid="{00000000-0005-0000-0000-000078020000}"/>
    <cellStyle name="20% - 강조색4 7" xfId="241" xr:uid="{00000000-0005-0000-0000-0000F1000000}"/>
    <cellStyle name="20% - 강조색5 2" xfId="21" xr:uid="{00000000-0005-0000-0000-000015000000}"/>
    <cellStyle name="20% - 강조색5 2 2" xfId="633" xr:uid="{00000000-0005-0000-0000-000079020000}"/>
    <cellStyle name="20% - 강조색5 2 3" xfId="5820" xr:uid="{00000000-0005-0000-0000-0000BC160000}"/>
    <cellStyle name="20% - 강조색5 3" xfId="22" xr:uid="{00000000-0005-0000-0000-000016000000}"/>
    <cellStyle name="20% - 강조색5 3 2" xfId="634" xr:uid="{00000000-0005-0000-0000-00007A020000}"/>
    <cellStyle name="20% - 강조색5 4" xfId="23" xr:uid="{00000000-0005-0000-0000-000017000000}"/>
    <cellStyle name="20% - 강조색5 4 2" xfId="635" xr:uid="{00000000-0005-0000-0000-00007B020000}"/>
    <cellStyle name="20% - 강조색5 5" xfId="24" xr:uid="{00000000-0005-0000-0000-000018000000}"/>
    <cellStyle name="20% - 강조색5 6" xfId="25" xr:uid="{00000000-0005-0000-0000-000019000000}"/>
    <cellStyle name="20% - 강조색5 6 2" xfId="636" xr:uid="{00000000-0005-0000-0000-00007C020000}"/>
    <cellStyle name="20% - 강조색5 7" xfId="242" xr:uid="{00000000-0005-0000-0000-0000F2000000}"/>
    <cellStyle name="20% - 강조색6 2" xfId="26" xr:uid="{00000000-0005-0000-0000-00001A000000}"/>
    <cellStyle name="20% - 강조색6 2 2" xfId="637" xr:uid="{00000000-0005-0000-0000-00007D020000}"/>
    <cellStyle name="20% - 강조색6 2 3" xfId="5821" xr:uid="{00000000-0005-0000-0000-0000BD160000}"/>
    <cellStyle name="20% - 강조색6 3" xfId="27" xr:uid="{00000000-0005-0000-0000-00001B000000}"/>
    <cellStyle name="20% - 강조색6 3 2" xfId="638" xr:uid="{00000000-0005-0000-0000-00007E020000}"/>
    <cellStyle name="20% - 강조색6 4" xfId="28" xr:uid="{00000000-0005-0000-0000-00001C000000}"/>
    <cellStyle name="20% - 강조색6 4 2" xfId="639" xr:uid="{00000000-0005-0000-0000-00007F020000}"/>
    <cellStyle name="20% - 강조색6 5" xfId="29" xr:uid="{00000000-0005-0000-0000-00001D000000}"/>
    <cellStyle name="20% - 강조색6 6" xfId="30" xr:uid="{00000000-0005-0000-0000-00001E000000}"/>
    <cellStyle name="20% - 강조색6 6 2" xfId="640" xr:uid="{00000000-0005-0000-0000-000080020000}"/>
    <cellStyle name="20% - 강조색6 7" xfId="243" xr:uid="{00000000-0005-0000-0000-0000F3000000}"/>
    <cellStyle name="40% - Accent1" xfId="298" xr:uid="{00000000-0005-0000-0000-00002A010000}"/>
    <cellStyle name="40% - Accent2" xfId="299" xr:uid="{00000000-0005-0000-0000-00002B010000}"/>
    <cellStyle name="40% - Accent3" xfId="300" xr:uid="{00000000-0005-0000-0000-00002C010000}"/>
    <cellStyle name="40% - Accent4" xfId="301" xr:uid="{00000000-0005-0000-0000-00002D010000}"/>
    <cellStyle name="40% - Accent5" xfId="302" xr:uid="{00000000-0005-0000-0000-00002E010000}"/>
    <cellStyle name="40% - Accent6" xfId="303" xr:uid="{00000000-0005-0000-0000-00002F010000}"/>
    <cellStyle name="40% - 强调文字颜色 1" xfId="773" xr:uid="{00000000-0005-0000-0000-000005030000}"/>
    <cellStyle name="40% - 强调文字颜色 1 10" xfId="774" xr:uid="{00000000-0005-0000-0000-000006030000}"/>
    <cellStyle name="40% - 强调文字颜色 1 11" xfId="775" xr:uid="{00000000-0005-0000-0000-000007030000}"/>
    <cellStyle name="40% - 强调文字颜色 1 12" xfId="776" xr:uid="{00000000-0005-0000-0000-000008030000}"/>
    <cellStyle name="40% - 强调文字颜色 1 13" xfId="777" xr:uid="{00000000-0005-0000-0000-000009030000}"/>
    <cellStyle name="40% - 强调文字颜色 1 14" xfId="778" xr:uid="{00000000-0005-0000-0000-00000A030000}"/>
    <cellStyle name="40% - 强调文字颜色 1 15" xfId="779" xr:uid="{00000000-0005-0000-0000-00000B030000}"/>
    <cellStyle name="40% - 强调文字颜色 1 16" xfId="780" xr:uid="{00000000-0005-0000-0000-00000C030000}"/>
    <cellStyle name="40% - 强调文字颜色 1 17" xfId="781" xr:uid="{00000000-0005-0000-0000-00000D030000}"/>
    <cellStyle name="40% - 强调文字颜色 1 18" xfId="782" xr:uid="{00000000-0005-0000-0000-00000E030000}"/>
    <cellStyle name="40% - 强调文字颜色 1 2" xfId="783" xr:uid="{00000000-0005-0000-0000-00000F030000}"/>
    <cellStyle name="40% - 强调文字颜色 1 3" xfId="784" xr:uid="{00000000-0005-0000-0000-000010030000}"/>
    <cellStyle name="40% - 强调文字颜色 1 4" xfId="785" xr:uid="{00000000-0005-0000-0000-000011030000}"/>
    <cellStyle name="40% - 强调文字颜色 1 5" xfId="786" xr:uid="{00000000-0005-0000-0000-000012030000}"/>
    <cellStyle name="40% - 强调文字颜色 1 6" xfId="787" xr:uid="{00000000-0005-0000-0000-000013030000}"/>
    <cellStyle name="40% - 强调文字颜色 1 7" xfId="788" xr:uid="{00000000-0005-0000-0000-000014030000}"/>
    <cellStyle name="40% - 强调文字颜色 1 8" xfId="789" xr:uid="{00000000-0005-0000-0000-000015030000}"/>
    <cellStyle name="40% - 强调文字颜色 1 9" xfId="790" xr:uid="{00000000-0005-0000-0000-000016030000}"/>
    <cellStyle name="40% - 强调文字颜色 2" xfId="791" xr:uid="{00000000-0005-0000-0000-000017030000}"/>
    <cellStyle name="40% - 强调文字颜色 2 10" xfId="792" xr:uid="{00000000-0005-0000-0000-000018030000}"/>
    <cellStyle name="40% - 强调文字颜色 2 11" xfId="793" xr:uid="{00000000-0005-0000-0000-000019030000}"/>
    <cellStyle name="40% - 强调文字颜色 2 12" xfId="794" xr:uid="{00000000-0005-0000-0000-00001A030000}"/>
    <cellStyle name="40% - 强调文字颜色 2 13" xfId="795" xr:uid="{00000000-0005-0000-0000-00001B030000}"/>
    <cellStyle name="40% - 强调文字颜色 2 14" xfId="796" xr:uid="{00000000-0005-0000-0000-00001C030000}"/>
    <cellStyle name="40% - 强调文字颜色 2 15" xfId="797" xr:uid="{00000000-0005-0000-0000-00001D030000}"/>
    <cellStyle name="40% - 强调文字颜色 2 16" xfId="798" xr:uid="{00000000-0005-0000-0000-00001E030000}"/>
    <cellStyle name="40% - 强调文字颜色 2 17" xfId="799" xr:uid="{00000000-0005-0000-0000-00001F030000}"/>
    <cellStyle name="40% - 强调文字颜色 2 18" xfId="800" xr:uid="{00000000-0005-0000-0000-000020030000}"/>
    <cellStyle name="40% - 强调文字颜色 2 2" xfId="801" xr:uid="{00000000-0005-0000-0000-000021030000}"/>
    <cellStyle name="40% - 强调文字颜色 2 3" xfId="802" xr:uid="{00000000-0005-0000-0000-000022030000}"/>
    <cellStyle name="40% - 强调文字颜色 2 4" xfId="803" xr:uid="{00000000-0005-0000-0000-000023030000}"/>
    <cellStyle name="40% - 强调文字颜色 2 5" xfId="804" xr:uid="{00000000-0005-0000-0000-000024030000}"/>
    <cellStyle name="40% - 强调文字颜色 2 6" xfId="805" xr:uid="{00000000-0005-0000-0000-000025030000}"/>
    <cellStyle name="40% - 强调文字颜色 2 7" xfId="806" xr:uid="{00000000-0005-0000-0000-000026030000}"/>
    <cellStyle name="40% - 强调文字颜色 2 8" xfId="807" xr:uid="{00000000-0005-0000-0000-000027030000}"/>
    <cellStyle name="40% - 强调文字颜色 2 9" xfId="808" xr:uid="{00000000-0005-0000-0000-000028030000}"/>
    <cellStyle name="40% - 强调文字颜色 3" xfId="809" xr:uid="{00000000-0005-0000-0000-000029030000}"/>
    <cellStyle name="40% - 强调文字颜色 3 10" xfId="810" xr:uid="{00000000-0005-0000-0000-00002A030000}"/>
    <cellStyle name="40% - 强调文字颜色 3 11" xfId="811" xr:uid="{00000000-0005-0000-0000-00002B030000}"/>
    <cellStyle name="40% - 强调文字颜色 3 12" xfId="812" xr:uid="{00000000-0005-0000-0000-00002C030000}"/>
    <cellStyle name="40% - 强调文字颜色 3 13" xfId="813" xr:uid="{00000000-0005-0000-0000-00002D030000}"/>
    <cellStyle name="40% - 强调文字颜色 3 14" xfId="814" xr:uid="{00000000-0005-0000-0000-00002E030000}"/>
    <cellStyle name="40% - 强调文字颜色 3 15" xfId="815" xr:uid="{00000000-0005-0000-0000-00002F030000}"/>
    <cellStyle name="40% - 强调文字颜色 3 16" xfId="816" xr:uid="{00000000-0005-0000-0000-000030030000}"/>
    <cellStyle name="40% - 强调文字颜色 3 17" xfId="817" xr:uid="{00000000-0005-0000-0000-000031030000}"/>
    <cellStyle name="40% - 强调文字颜色 3 18" xfId="818" xr:uid="{00000000-0005-0000-0000-000032030000}"/>
    <cellStyle name="40% - 强调文字颜色 3 2" xfId="819" xr:uid="{00000000-0005-0000-0000-000033030000}"/>
    <cellStyle name="40% - 强调文字颜色 3 3" xfId="820" xr:uid="{00000000-0005-0000-0000-000034030000}"/>
    <cellStyle name="40% - 强调文字颜色 3 4" xfId="821" xr:uid="{00000000-0005-0000-0000-000035030000}"/>
    <cellStyle name="40% - 强调文字颜色 3 5" xfId="822" xr:uid="{00000000-0005-0000-0000-000036030000}"/>
    <cellStyle name="40% - 强调文字颜色 3 6" xfId="823" xr:uid="{00000000-0005-0000-0000-000037030000}"/>
    <cellStyle name="40% - 强调文字颜色 3 7" xfId="824" xr:uid="{00000000-0005-0000-0000-000038030000}"/>
    <cellStyle name="40% - 强调文字颜色 3 8" xfId="825" xr:uid="{00000000-0005-0000-0000-000039030000}"/>
    <cellStyle name="40% - 强调文字颜色 3 9" xfId="826" xr:uid="{00000000-0005-0000-0000-00003A030000}"/>
    <cellStyle name="40% - 强调文字颜色 4" xfId="827" xr:uid="{00000000-0005-0000-0000-00003B030000}"/>
    <cellStyle name="40% - 强调文字颜色 4 10" xfId="828" xr:uid="{00000000-0005-0000-0000-00003C030000}"/>
    <cellStyle name="40% - 强调文字颜色 4 11" xfId="829" xr:uid="{00000000-0005-0000-0000-00003D030000}"/>
    <cellStyle name="40% - 强调文字颜色 4 12" xfId="830" xr:uid="{00000000-0005-0000-0000-00003E030000}"/>
    <cellStyle name="40% - 强调文字颜色 4 13" xfId="831" xr:uid="{00000000-0005-0000-0000-00003F030000}"/>
    <cellStyle name="40% - 强调文字颜色 4 14" xfId="832" xr:uid="{00000000-0005-0000-0000-000040030000}"/>
    <cellStyle name="40% - 强调文字颜色 4 15" xfId="833" xr:uid="{00000000-0005-0000-0000-000041030000}"/>
    <cellStyle name="40% - 强调文字颜色 4 16" xfId="834" xr:uid="{00000000-0005-0000-0000-000042030000}"/>
    <cellStyle name="40% - 强调文字颜色 4 17" xfId="835" xr:uid="{00000000-0005-0000-0000-000043030000}"/>
    <cellStyle name="40% - 强调文字颜色 4 18" xfId="836" xr:uid="{00000000-0005-0000-0000-000044030000}"/>
    <cellStyle name="40% - 强调文字颜色 4 2" xfId="837" xr:uid="{00000000-0005-0000-0000-000045030000}"/>
    <cellStyle name="40% - 强调文字颜色 4 3" xfId="838" xr:uid="{00000000-0005-0000-0000-000046030000}"/>
    <cellStyle name="40% - 强调文字颜色 4 4" xfId="839" xr:uid="{00000000-0005-0000-0000-000047030000}"/>
    <cellStyle name="40% - 强调文字颜色 4 5" xfId="840" xr:uid="{00000000-0005-0000-0000-000048030000}"/>
    <cellStyle name="40% - 强调文字颜色 4 6" xfId="841" xr:uid="{00000000-0005-0000-0000-000049030000}"/>
    <cellStyle name="40% - 强调文字颜色 4 7" xfId="842" xr:uid="{00000000-0005-0000-0000-00004A030000}"/>
    <cellStyle name="40% - 强调文字颜色 4 8" xfId="843" xr:uid="{00000000-0005-0000-0000-00004B030000}"/>
    <cellStyle name="40% - 强调文字颜色 4 9" xfId="844" xr:uid="{00000000-0005-0000-0000-00004C030000}"/>
    <cellStyle name="40% - 强调文字颜色 5" xfId="845" xr:uid="{00000000-0005-0000-0000-00004D030000}"/>
    <cellStyle name="40% - 强调文字颜色 5 10" xfId="846" xr:uid="{00000000-0005-0000-0000-00004E030000}"/>
    <cellStyle name="40% - 强调文字颜色 5 11" xfId="847" xr:uid="{00000000-0005-0000-0000-00004F030000}"/>
    <cellStyle name="40% - 强调文字颜色 5 12" xfId="848" xr:uid="{00000000-0005-0000-0000-000050030000}"/>
    <cellStyle name="40% - 强调文字颜色 5 13" xfId="849" xr:uid="{00000000-0005-0000-0000-000051030000}"/>
    <cellStyle name="40% - 强调文字颜色 5 14" xfId="850" xr:uid="{00000000-0005-0000-0000-000052030000}"/>
    <cellStyle name="40% - 强调文字颜色 5 15" xfId="851" xr:uid="{00000000-0005-0000-0000-000053030000}"/>
    <cellStyle name="40% - 强调文字颜色 5 16" xfId="852" xr:uid="{00000000-0005-0000-0000-000054030000}"/>
    <cellStyle name="40% - 强调文字颜色 5 17" xfId="853" xr:uid="{00000000-0005-0000-0000-000055030000}"/>
    <cellStyle name="40% - 强调文字颜色 5 18" xfId="854" xr:uid="{00000000-0005-0000-0000-000056030000}"/>
    <cellStyle name="40% - 强调文字颜色 5 2" xfId="855" xr:uid="{00000000-0005-0000-0000-000057030000}"/>
    <cellStyle name="40% - 强调文字颜色 5 3" xfId="856" xr:uid="{00000000-0005-0000-0000-000058030000}"/>
    <cellStyle name="40% - 强调文字颜色 5 4" xfId="857" xr:uid="{00000000-0005-0000-0000-000059030000}"/>
    <cellStyle name="40% - 强调文字颜色 5 5" xfId="858" xr:uid="{00000000-0005-0000-0000-00005A030000}"/>
    <cellStyle name="40% - 强调文字颜色 5 6" xfId="859" xr:uid="{00000000-0005-0000-0000-00005B030000}"/>
    <cellStyle name="40% - 强调文字颜色 5 7" xfId="860" xr:uid="{00000000-0005-0000-0000-00005C030000}"/>
    <cellStyle name="40% - 强调文字颜色 5 8" xfId="861" xr:uid="{00000000-0005-0000-0000-00005D030000}"/>
    <cellStyle name="40% - 强调文字颜色 5 9" xfId="862" xr:uid="{00000000-0005-0000-0000-00005E030000}"/>
    <cellStyle name="40% - 强调文字颜色 6" xfId="863" xr:uid="{00000000-0005-0000-0000-00005F030000}"/>
    <cellStyle name="40% - 强调文字颜色 6 10" xfId="864" xr:uid="{00000000-0005-0000-0000-000060030000}"/>
    <cellStyle name="40% - 强调文字颜色 6 11" xfId="865" xr:uid="{00000000-0005-0000-0000-000061030000}"/>
    <cellStyle name="40% - 强调文字颜色 6 12" xfId="866" xr:uid="{00000000-0005-0000-0000-000062030000}"/>
    <cellStyle name="40% - 强调文字颜色 6 13" xfId="867" xr:uid="{00000000-0005-0000-0000-000063030000}"/>
    <cellStyle name="40% - 强调文字颜色 6 14" xfId="868" xr:uid="{00000000-0005-0000-0000-000064030000}"/>
    <cellStyle name="40% - 强调文字颜色 6 15" xfId="869" xr:uid="{00000000-0005-0000-0000-000065030000}"/>
    <cellStyle name="40% - 强调文字颜色 6 16" xfId="870" xr:uid="{00000000-0005-0000-0000-000066030000}"/>
    <cellStyle name="40% - 强调文字颜色 6 17" xfId="871" xr:uid="{00000000-0005-0000-0000-000067030000}"/>
    <cellStyle name="40% - 强调文字颜色 6 18" xfId="872" xr:uid="{00000000-0005-0000-0000-000068030000}"/>
    <cellStyle name="40% - 强调文字颜色 6 2" xfId="873" xr:uid="{00000000-0005-0000-0000-000069030000}"/>
    <cellStyle name="40% - 强调文字颜色 6 3" xfId="874" xr:uid="{00000000-0005-0000-0000-00006A030000}"/>
    <cellStyle name="40% - 强调文字颜色 6 4" xfId="875" xr:uid="{00000000-0005-0000-0000-00006B030000}"/>
    <cellStyle name="40% - 强调文字颜色 6 5" xfId="876" xr:uid="{00000000-0005-0000-0000-00006C030000}"/>
    <cellStyle name="40% - 强调文字颜色 6 6" xfId="877" xr:uid="{00000000-0005-0000-0000-00006D030000}"/>
    <cellStyle name="40% - 强调文字颜色 6 7" xfId="878" xr:uid="{00000000-0005-0000-0000-00006E030000}"/>
    <cellStyle name="40% - 强调文字颜色 6 8" xfId="879" xr:uid="{00000000-0005-0000-0000-00006F030000}"/>
    <cellStyle name="40% - 强调文字颜色 6 9" xfId="880" xr:uid="{00000000-0005-0000-0000-000070030000}"/>
    <cellStyle name="40% - 강조색1 2" xfId="31" xr:uid="{00000000-0005-0000-0000-00001F000000}"/>
    <cellStyle name="40% - 강조색1 2 2" xfId="749" xr:uid="{00000000-0005-0000-0000-0000ED020000}"/>
    <cellStyle name="40% - 강조색1 2 3" xfId="5822" xr:uid="{00000000-0005-0000-0000-0000BE160000}"/>
    <cellStyle name="40% - 강조색1 3" xfId="32" xr:uid="{00000000-0005-0000-0000-000020000000}"/>
    <cellStyle name="40% - 강조색1 3 2" xfId="750" xr:uid="{00000000-0005-0000-0000-0000EE020000}"/>
    <cellStyle name="40% - 강조색1 4" xfId="33" xr:uid="{00000000-0005-0000-0000-000021000000}"/>
    <cellStyle name="40% - 강조색1 4 2" xfId="751" xr:uid="{00000000-0005-0000-0000-0000EF020000}"/>
    <cellStyle name="40% - 강조색1 5" xfId="34" xr:uid="{00000000-0005-0000-0000-000022000000}"/>
    <cellStyle name="40% - 강조색1 6" xfId="35" xr:uid="{00000000-0005-0000-0000-000023000000}"/>
    <cellStyle name="40% - 강조색1 6 2" xfId="752" xr:uid="{00000000-0005-0000-0000-0000F0020000}"/>
    <cellStyle name="40% - 강조색1 7" xfId="244" xr:uid="{00000000-0005-0000-0000-0000F4000000}"/>
    <cellStyle name="40% - 강조색2 2" xfId="36" xr:uid="{00000000-0005-0000-0000-000024000000}"/>
    <cellStyle name="40% - 강조색2 2 2" xfId="753" xr:uid="{00000000-0005-0000-0000-0000F1020000}"/>
    <cellStyle name="40% - 강조색2 2 3" xfId="5823" xr:uid="{00000000-0005-0000-0000-0000BF160000}"/>
    <cellStyle name="40% - 강조색2 3" xfId="37" xr:uid="{00000000-0005-0000-0000-000025000000}"/>
    <cellStyle name="40% - 강조색2 3 2" xfId="754" xr:uid="{00000000-0005-0000-0000-0000F2020000}"/>
    <cellStyle name="40% - 강조색2 4" xfId="38" xr:uid="{00000000-0005-0000-0000-000026000000}"/>
    <cellStyle name="40% - 강조색2 4 2" xfId="755" xr:uid="{00000000-0005-0000-0000-0000F3020000}"/>
    <cellStyle name="40% - 강조색2 5" xfId="39" xr:uid="{00000000-0005-0000-0000-000027000000}"/>
    <cellStyle name="40% - 강조색2 6" xfId="40" xr:uid="{00000000-0005-0000-0000-000028000000}"/>
    <cellStyle name="40% - 강조색2 6 2" xfId="756" xr:uid="{00000000-0005-0000-0000-0000F4020000}"/>
    <cellStyle name="40% - 강조색2 7" xfId="245" xr:uid="{00000000-0005-0000-0000-0000F5000000}"/>
    <cellStyle name="40% - 강조색3 2" xfId="41" xr:uid="{00000000-0005-0000-0000-000029000000}"/>
    <cellStyle name="40% - 강조색3 2 2" xfId="757" xr:uid="{00000000-0005-0000-0000-0000F5020000}"/>
    <cellStyle name="40% - 강조색3 2 3" xfId="5824" xr:uid="{00000000-0005-0000-0000-0000C0160000}"/>
    <cellStyle name="40% - 강조색3 3" xfId="42" xr:uid="{00000000-0005-0000-0000-00002A000000}"/>
    <cellStyle name="40% - 강조색3 3 2" xfId="758" xr:uid="{00000000-0005-0000-0000-0000F6020000}"/>
    <cellStyle name="40% - 강조색3 4" xfId="43" xr:uid="{00000000-0005-0000-0000-00002B000000}"/>
    <cellStyle name="40% - 강조색3 4 2" xfId="759" xr:uid="{00000000-0005-0000-0000-0000F7020000}"/>
    <cellStyle name="40% - 강조색3 5" xfId="44" xr:uid="{00000000-0005-0000-0000-00002C000000}"/>
    <cellStyle name="40% - 강조색3 6" xfId="45" xr:uid="{00000000-0005-0000-0000-00002D000000}"/>
    <cellStyle name="40% - 강조색3 6 2" xfId="760" xr:uid="{00000000-0005-0000-0000-0000F8020000}"/>
    <cellStyle name="40% - 강조색3 7" xfId="246" xr:uid="{00000000-0005-0000-0000-0000F6000000}"/>
    <cellStyle name="40% - 강조색4 2" xfId="46" xr:uid="{00000000-0005-0000-0000-00002E000000}"/>
    <cellStyle name="40% - 강조색4 2 2" xfId="761" xr:uid="{00000000-0005-0000-0000-0000F9020000}"/>
    <cellStyle name="40% - 강조색4 2 3" xfId="5825" xr:uid="{00000000-0005-0000-0000-0000C1160000}"/>
    <cellStyle name="40% - 강조색4 3" xfId="47" xr:uid="{00000000-0005-0000-0000-00002F000000}"/>
    <cellStyle name="40% - 강조색4 3 2" xfId="762" xr:uid="{00000000-0005-0000-0000-0000FA020000}"/>
    <cellStyle name="40% - 강조색4 4" xfId="48" xr:uid="{00000000-0005-0000-0000-000030000000}"/>
    <cellStyle name="40% - 강조색4 4 2" xfId="763" xr:uid="{00000000-0005-0000-0000-0000FB020000}"/>
    <cellStyle name="40% - 강조색4 5" xfId="49" xr:uid="{00000000-0005-0000-0000-000031000000}"/>
    <cellStyle name="40% - 강조색4 6" xfId="50" xr:uid="{00000000-0005-0000-0000-000032000000}"/>
    <cellStyle name="40% - 강조색4 6 2" xfId="764" xr:uid="{00000000-0005-0000-0000-0000FC020000}"/>
    <cellStyle name="40% - 강조색4 7" xfId="247" xr:uid="{00000000-0005-0000-0000-0000F7000000}"/>
    <cellStyle name="40% - 강조색5 2" xfId="51" xr:uid="{00000000-0005-0000-0000-000033000000}"/>
    <cellStyle name="40% - 강조색5 2 2" xfId="765" xr:uid="{00000000-0005-0000-0000-0000FD020000}"/>
    <cellStyle name="40% - 강조색5 2 3" xfId="5826" xr:uid="{00000000-0005-0000-0000-0000C2160000}"/>
    <cellStyle name="40% - 강조색5 3" xfId="52" xr:uid="{00000000-0005-0000-0000-000034000000}"/>
    <cellStyle name="40% - 강조색5 3 2" xfId="766" xr:uid="{00000000-0005-0000-0000-0000FE020000}"/>
    <cellStyle name="40% - 강조색5 4" xfId="53" xr:uid="{00000000-0005-0000-0000-000035000000}"/>
    <cellStyle name="40% - 강조색5 4 2" xfId="767" xr:uid="{00000000-0005-0000-0000-0000FF020000}"/>
    <cellStyle name="40% - 강조색5 5" xfId="54" xr:uid="{00000000-0005-0000-0000-000036000000}"/>
    <cellStyle name="40% - 강조색5 6" xfId="55" xr:uid="{00000000-0005-0000-0000-000037000000}"/>
    <cellStyle name="40% - 강조색5 6 2" xfId="768" xr:uid="{00000000-0005-0000-0000-000000030000}"/>
    <cellStyle name="40% - 강조색5 7" xfId="248" xr:uid="{00000000-0005-0000-0000-0000F8000000}"/>
    <cellStyle name="40% - 강조색6 2" xfId="56" xr:uid="{00000000-0005-0000-0000-000038000000}"/>
    <cellStyle name="40% - 강조색6 2 2" xfId="769" xr:uid="{00000000-0005-0000-0000-000001030000}"/>
    <cellStyle name="40% - 강조색6 2 3" xfId="5827" xr:uid="{00000000-0005-0000-0000-0000C3160000}"/>
    <cellStyle name="40% - 강조색6 3" xfId="57" xr:uid="{00000000-0005-0000-0000-000039000000}"/>
    <cellStyle name="40% - 강조색6 3 2" xfId="770" xr:uid="{00000000-0005-0000-0000-000002030000}"/>
    <cellStyle name="40% - 강조색6 4" xfId="58" xr:uid="{00000000-0005-0000-0000-00003A000000}"/>
    <cellStyle name="40% - 강조색6 4 2" xfId="771" xr:uid="{00000000-0005-0000-0000-000003030000}"/>
    <cellStyle name="40% - 강조색6 5" xfId="59" xr:uid="{00000000-0005-0000-0000-00003B000000}"/>
    <cellStyle name="40% - 강조색6 6" xfId="60" xr:uid="{00000000-0005-0000-0000-00003C000000}"/>
    <cellStyle name="40% - 강조색6 6 2" xfId="772" xr:uid="{00000000-0005-0000-0000-000004030000}"/>
    <cellStyle name="40% - 강조색6 7" xfId="249" xr:uid="{00000000-0005-0000-0000-0000F9000000}"/>
    <cellStyle name="60% - Accent1" xfId="304" xr:uid="{00000000-0005-0000-0000-000030010000}"/>
    <cellStyle name="60% - Accent2" xfId="305" xr:uid="{00000000-0005-0000-0000-000031010000}"/>
    <cellStyle name="60% - Accent3" xfId="306" xr:uid="{00000000-0005-0000-0000-000032010000}"/>
    <cellStyle name="60% - Accent4" xfId="307" xr:uid="{00000000-0005-0000-0000-000033010000}"/>
    <cellStyle name="60% - Accent5" xfId="308" xr:uid="{00000000-0005-0000-0000-000034010000}"/>
    <cellStyle name="60% - Accent6" xfId="309" xr:uid="{00000000-0005-0000-0000-000035010000}"/>
    <cellStyle name="60% - 强调文字颜色 1" xfId="905" xr:uid="{00000000-0005-0000-0000-000089030000}"/>
    <cellStyle name="60% - 强调文字颜色 1 10" xfId="906" xr:uid="{00000000-0005-0000-0000-00008A030000}"/>
    <cellStyle name="60% - 强调文字颜色 1 11" xfId="907" xr:uid="{00000000-0005-0000-0000-00008B030000}"/>
    <cellStyle name="60% - 强调文字颜色 1 12" xfId="908" xr:uid="{00000000-0005-0000-0000-00008C030000}"/>
    <cellStyle name="60% - 强调文字颜色 1 13" xfId="909" xr:uid="{00000000-0005-0000-0000-00008D030000}"/>
    <cellStyle name="60% - 强调文字颜色 1 14" xfId="910" xr:uid="{00000000-0005-0000-0000-00008E030000}"/>
    <cellStyle name="60% - 强调文字颜色 1 15" xfId="911" xr:uid="{00000000-0005-0000-0000-00008F030000}"/>
    <cellStyle name="60% - 强调文字颜色 1 16" xfId="912" xr:uid="{00000000-0005-0000-0000-000090030000}"/>
    <cellStyle name="60% - 强调文字颜色 1 17" xfId="913" xr:uid="{00000000-0005-0000-0000-000091030000}"/>
    <cellStyle name="60% - 强调文字颜色 1 18" xfId="914" xr:uid="{00000000-0005-0000-0000-000092030000}"/>
    <cellStyle name="60% - 强调文字颜色 1 2" xfId="915" xr:uid="{00000000-0005-0000-0000-000093030000}"/>
    <cellStyle name="60% - 强调文字颜色 1 3" xfId="916" xr:uid="{00000000-0005-0000-0000-000094030000}"/>
    <cellStyle name="60% - 强调文字颜色 1 4" xfId="917" xr:uid="{00000000-0005-0000-0000-000095030000}"/>
    <cellStyle name="60% - 强调文字颜色 1 5" xfId="918" xr:uid="{00000000-0005-0000-0000-000096030000}"/>
    <cellStyle name="60% - 强调文字颜色 1 6" xfId="919" xr:uid="{00000000-0005-0000-0000-000097030000}"/>
    <cellStyle name="60% - 强调文字颜色 1 7" xfId="920" xr:uid="{00000000-0005-0000-0000-000098030000}"/>
    <cellStyle name="60% - 强调文字颜色 1 8" xfId="921" xr:uid="{00000000-0005-0000-0000-000099030000}"/>
    <cellStyle name="60% - 强调文字颜色 1 9" xfId="922" xr:uid="{00000000-0005-0000-0000-00009A030000}"/>
    <cellStyle name="60% - 强调文字颜色 2" xfId="923" xr:uid="{00000000-0005-0000-0000-00009B030000}"/>
    <cellStyle name="60% - 强调文字颜色 2 10" xfId="924" xr:uid="{00000000-0005-0000-0000-00009C030000}"/>
    <cellStyle name="60% - 强调文字颜色 2 11" xfId="925" xr:uid="{00000000-0005-0000-0000-00009D030000}"/>
    <cellStyle name="60% - 强调文字颜色 2 12" xfId="926" xr:uid="{00000000-0005-0000-0000-00009E030000}"/>
    <cellStyle name="60% - 强调文字颜色 2 13" xfId="927" xr:uid="{00000000-0005-0000-0000-00009F030000}"/>
    <cellStyle name="60% - 强调文字颜色 2 14" xfId="928" xr:uid="{00000000-0005-0000-0000-0000A0030000}"/>
    <cellStyle name="60% - 强调文字颜色 2 15" xfId="929" xr:uid="{00000000-0005-0000-0000-0000A1030000}"/>
    <cellStyle name="60% - 强调文字颜色 2 16" xfId="930" xr:uid="{00000000-0005-0000-0000-0000A2030000}"/>
    <cellStyle name="60% - 强调文字颜色 2 17" xfId="931" xr:uid="{00000000-0005-0000-0000-0000A3030000}"/>
    <cellStyle name="60% - 强调文字颜色 2 18" xfId="932" xr:uid="{00000000-0005-0000-0000-0000A4030000}"/>
    <cellStyle name="60% - 强调文字颜色 2 2" xfId="933" xr:uid="{00000000-0005-0000-0000-0000A5030000}"/>
    <cellStyle name="60% - 强调文字颜色 2 3" xfId="934" xr:uid="{00000000-0005-0000-0000-0000A6030000}"/>
    <cellStyle name="60% - 强调文字颜色 2 4" xfId="935" xr:uid="{00000000-0005-0000-0000-0000A7030000}"/>
    <cellStyle name="60% - 强调文字颜色 2 5" xfId="936" xr:uid="{00000000-0005-0000-0000-0000A8030000}"/>
    <cellStyle name="60% - 强调文字颜色 2 6" xfId="937" xr:uid="{00000000-0005-0000-0000-0000A9030000}"/>
    <cellStyle name="60% - 强调文字颜色 2 7" xfId="938" xr:uid="{00000000-0005-0000-0000-0000AA030000}"/>
    <cellStyle name="60% - 强调文字颜色 2 8" xfId="939" xr:uid="{00000000-0005-0000-0000-0000AB030000}"/>
    <cellStyle name="60% - 强调文字颜色 2 9" xfId="940" xr:uid="{00000000-0005-0000-0000-0000AC030000}"/>
    <cellStyle name="60% - 强调文字颜色 3" xfId="941" xr:uid="{00000000-0005-0000-0000-0000AD030000}"/>
    <cellStyle name="60% - 强调文字颜色 3 10" xfId="942" xr:uid="{00000000-0005-0000-0000-0000AE030000}"/>
    <cellStyle name="60% - 强调文字颜色 3 11" xfId="943" xr:uid="{00000000-0005-0000-0000-0000AF030000}"/>
    <cellStyle name="60% - 强调文字颜色 3 12" xfId="944" xr:uid="{00000000-0005-0000-0000-0000B0030000}"/>
    <cellStyle name="60% - 强调文字颜色 3 13" xfId="945" xr:uid="{00000000-0005-0000-0000-0000B1030000}"/>
    <cellStyle name="60% - 强调文字颜色 3 14" xfId="946" xr:uid="{00000000-0005-0000-0000-0000B2030000}"/>
    <cellStyle name="60% - 强调文字颜色 3 15" xfId="947" xr:uid="{00000000-0005-0000-0000-0000B3030000}"/>
    <cellStyle name="60% - 强调文字颜色 3 16" xfId="948" xr:uid="{00000000-0005-0000-0000-0000B4030000}"/>
    <cellStyle name="60% - 强调文字颜色 3 17" xfId="949" xr:uid="{00000000-0005-0000-0000-0000B5030000}"/>
    <cellStyle name="60% - 强调文字颜色 3 18" xfId="950" xr:uid="{00000000-0005-0000-0000-0000B6030000}"/>
    <cellStyle name="60% - 强调文字颜色 3 2" xfId="951" xr:uid="{00000000-0005-0000-0000-0000B7030000}"/>
    <cellStyle name="60% - 强调文字颜色 3 3" xfId="952" xr:uid="{00000000-0005-0000-0000-0000B8030000}"/>
    <cellStyle name="60% - 强调文字颜色 3 4" xfId="953" xr:uid="{00000000-0005-0000-0000-0000B9030000}"/>
    <cellStyle name="60% - 强调文字颜色 3 5" xfId="954" xr:uid="{00000000-0005-0000-0000-0000BA030000}"/>
    <cellStyle name="60% - 强调文字颜色 3 6" xfId="955" xr:uid="{00000000-0005-0000-0000-0000BB030000}"/>
    <cellStyle name="60% - 强调文字颜色 3 7" xfId="956" xr:uid="{00000000-0005-0000-0000-0000BC030000}"/>
    <cellStyle name="60% - 强调文字颜色 3 8" xfId="957" xr:uid="{00000000-0005-0000-0000-0000BD030000}"/>
    <cellStyle name="60% - 强调文字颜色 3 9" xfId="958" xr:uid="{00000000-0005-0000-0000-0000BE030000}"/>
    <cellStyle name="60% - 强调文字颜色 4" xfId="959" xr:uid="{00000000-0005-0000-0000-0000BF030000}"/>
    <cellStyle name="60% - 强调文字颜色 4 10" xfId="960" xr:uid="{00000000-0005-0000-0000-0000C0030000}"/>
    <cellStyle name="60% - 强调文字颜色 4 11" xfId="961" xr:uid="{00000000-0005-0000-0000-0000C1030000}"/>
    <cellStyle name="60% - 强调文字颜色 4 12" xfId="962" xr:uid="{00000000-0005-0000-0000-0000C2030000}"/>
    <cellStyle name="60% - 强调文字颜色 4 13" xfId="963" xr:uid="{00000000-0005-0000-0000-0000C3030000}"/>
    <cellStyle name="60% - 强调文字颜色 4 14" xfId="964" xr:uid="{00000000-0005-0000-0000-0000C4030000}"/>
    <cellStyle name="60% - 强调文字颜色 4 15" xfId="965" xr:uid="{00000000-0005-0000-0000-0000C5030000}"/>
    <cellStyle name="60% - 强调文字颜色 4 16" xfId="966" xr:uid="{00000000-0005-0000-0000-0000C6030000}"/>
    <cellStyle name="60% - 强调文字颜色 4 17" xfId="967" xr:uid="{00000000-0005-0000-0000-0000C7030000}"/>
    <cellStyle name="60% - 强调文字颜色 4 18" xfId="968" xr:uid="{00000000-0005-0000-0000-0000C8030000}"/>
    <cellStyle name="60% - 强调文字颜色 4 2" xfId="969" xr:uid="{00000000-0005-0000-0000-0000C9030000}"/>
    <cellStyle name="60% - 强调文字颜色 4 3" xfId="970" xr:uid="{00000000-0005-0000-0000-0000CA030000}"/>
    <cellStyle name="60% - 强调文字颜色 4 4" xfId="971" xr:uid="{00000000-0005-0000-0000-0000CB030000}"/>
    <cellStyle name="60% - 强调文字颜色 4 5" xfId="972" xr:uid="{00000000-0005-0000-0000-0000CC030000}"/>
    <cellStyle name="60% - 强调文字颜色 4 6" xfId="973" xr:uid="{00000000-0005-0000-0000-0000CD030000}"/>
    <cellStyle name="60% - 强调文字颜色 4 7" xfId="974" xr:uid="{00000000-0005-0000-0000-0000CE030000}"/>
    <cellStyle name="60% - 强调文字颜色 4 8" xfId="975" xr:uid="{00000000-0005-0000-0000-0000CF030000}"/>
    <cellStyle name="60% - 强调文字颜色 4 9" xfId="976" xr:uid="{00000000-0005-0000-0000-0000D0030000}"/>
    <cellStyle name="60% - 强调文字颜色 5" xfId="977" xr:uid="{00000000-0005-0000-0000-0000D1030000}"/>
    <cellStyle name="60% - 强调文字颜色 5 10" xfId="978" xr:uid="{00000000-0005-0000-0000-0000D2030000}"/>
    <cellStyle name="60% - 强调文字颜色 5 11" xfId="979" xr:uid="{00000000-0005-0000-0000-0000D3030000}"/>
    <cellStyle name="60% - 强调文字颜色 5 12" xfId="980" xr:uid="{00000000-0005-0000-0000-0000D4030000}"/>
    <cellStyle name="60% - 强调文字颜色 5 13" xfId="981" xr:uid="{00000000-0005-0000-0000-0000D5030000}"/>
    <cellStyle name="60% - 强调文字颜色 5 14" xfId="982" xr:uid="{00000000-0005-0000-0000-0000D6030000}"/>
    <cellStyle name="60% - 强调文字颜色 5 15" xfId="983" xr:uid="{00000000-0005-0000-0000-0000D7030000}"/>
    <cellStyle name="60% - 强调文字颜色 5 16" xfId="984" xr:uid="{00000000-0005-0000-0000-0000D8030000}"/>
    <cellStyle name="60% - 强调文字颜色 5 17" xfId="985" xr:uid="{00000000-0005-0000-0000-0000D9030000}"/>
    <cellStyle name="60% - 强调文字颜色 5 18" xfId="986" xr:uid="{00000000-0005-0000-0000-0000DA030000}"/>
    <cellStyle name="60% - 强调文字颜色 5 2" xfId="987" xr:uid="{00000000-0005-0000-0000-0000DB030000}"/>
    <cellStyle name="60% - 强调文字颜色 5 3" xfId="988" xr:uid="{00000000-0005-0000-0000-0000DC030000}"/>
    <cellStyle name="60% - 强调文字颜色 5 4" xfId="989" xr:uid="{00000000-0005-0000-0000-0000DD030000}"/>
    <cellStyle name="60% - 强调文字颜色 5 5" xfId="990" xr:uid="{00000000-0005-0000-0000-0000DE030000}"/>
    <cellStyle name="60% - 强调文字颜色 5 6" xfId="991" xr:uid="{00000000-0005-0000-0000-0000DF030000}"/>
    <cellStyle name="60% - 强调文字颜色 5 7" xfId="992" xr:uid="{00000000-0005-0000-0000-0000E0030000}"/>
    <cellStyle name="60% - 强调文字颜色 5 8" xfId="993" xr:uid="{00000000-0005-0000-0000-0000E1030000}"/>
    <cellStyle name="60% - 强调文字颜色 5 9" xfId="994" xr:uid="{00000000-0005-0000-0000-0000E2030000}"/>
    <cellStyle name="60% - 强调文字颜色 6" xfId="995" xr:uid="{00000000-0005-0000-0000-0000E3030000}"/>
    <cellStyle name="60% - 强调文字颜色 6 10" xfId="996" xr:uid="{00000000-0005-0000-0000-0000E4030000}"/>
    <cellStyle name="60% - 强调文字颜色 6 11" xfId="997" xr:uid="{00000000-0005-0000-0000-0000E5030000}"/>
    <cellStyle name="60% - 强调文字颜色 6 12" xfId="998" xr:uid="{00000000-0005-0000-0000-0000E6030000}"/>
    <cellStyle name="60% - 强调文字颜色 6 13" xfId="999" xr:uid="{00000000-0005-0000-0000-0000E7030000}"/>
    <cellStyle name="60% - 强调文字颜色 6 14" xfId="1000" xr:uid="{00000000-0005-0000-0000-0000E8030000}"/>
    <cellStyle name="60% - 强调文字颜色 6 15" xfId="1001" xr:uid="{00000000-0005-0000-0000-0000E9030000}"/>
    <cellStyle name="60% - 强调文字颜色 6 16" xfId="1002" xr:uid="{00000000-0005-0000-0000-0000EA030000}"/>
    <cellStyle name="60% - 强调文字颜色 6 17" xfId="1003" xr:uid="{00000000-0005-0000-0000-0000EB030000}"/>
    <cellStyle name="60% - 强调文字颜色 6 18" xfId="1004" xr:uid="{00000000-0005-0000-0000-0000EC030000}"/>
    <cellStyle name="60% - 强调文字颜色 6 2" xfId="1005" xr:uid="{00000000-0005-0000-0000-0000ED030000}"/>
    <cellStyle name="60% - 强调文字颜色 6 3" xfId="1006" xr:uid="{00000000-0005-0000-0000-0000EE030000}"/>
    <cellStyle name="60% - 强调文字颜色 6 4" xfId="1007" xr:uid="{00000000-0005-0000-0000-0000EF030000}"/>
    <cellStyle name="60% - 强调文字颜色 6 5" xfId="1008" xr:uid="{00000000-0005-0000-0000-0000F0030000}"/>
    <cellStyle name="60% - 强调文字颜色 6 6" xfId="1009" xr:uid="{00000000-0005-0000-0000-0000F1030000}"/>
    <cellStyle name="60% - 强调文字颜色 6 7" xfId="1010" xr:uid="{00000000-0005-0000-0000-0000F2030000}"/>
    <cellStyle name="60% - 强调文字颜色 6 8" xfId="1011" xr:uid="{00000000-0005-0000-0000-0000F3030000}"/>
    <cellStyle name="60% - 强调文字颜色 6 9" xfId="1012" xr:uid="{00000000-0005-0000-0000-0000F4030000}"/>
    <cellStyle name="60% - 강조색1 2" xfId="61" xr:uid="{00000000-0005-0000-0000-00003D000000}"/>
    <cellStyle name="60% - 강조색1 2 2" xfId="881" xr:uid="{00000000-0005-0000-0000-000071030000}"/>
    <cellStyle name="60% - 강조색1 2 3" xfId="5828" xr:uid="{00000000-0005-0000-0000-0000C4160000}"/>
    <cellStyle name="60% - 강조색1 3" xfId="62" xr:uid="{00000000-0005-0000-0000-00003E000000}"/>
    <cellStyle name="60% - 강조색1 3 2" xfId="882" xr:uid="{00000000-0005-0000-0000-000072030000}"/>
    <cellStyle name="60% - 강조색1 4" xfId="63" xr:uid="{00000000-0005-0000-0000-00003F000000}"/>
    <cellStyle name="60% - 강조색1 4 2" xfId="883" xr:uid="{00000000-0005-0000-0000-000073030000}"/>
    <cellStyle name="60% - 강조색1 5" xfId="64" xr:uid="{00000000-0005-0000-0000-000040000000}"/>
    <cellStyle name="60% - 강조색1 6" xfId="65" xr:uid="{00000000-0005-0000-0000-000041000000}"/>
    <cellStyle name="60% - 강조색1 6 2" xfId="884" xr:uid="{00000000-0005-0000-0000-000074030000}"/>
    <cellStyle name="60% - 강조색1 7" xfId="250" xr:uid="{00000000-0005-0000-0000-0000FA000000}"/>
    <cellStyle name="60% - 강조색2 2" xfId="66" xr:uid="{00000000-0005-0000-0000-000042000000}"/>
    <cellStyle name="60% - 강조색2 2 2" xfId="885" xr:uid="{00000000-0005-0000-0000-000075030000}"/>
    <cellStyle name="60% - 강조색2 2 3" xfId="5829" xr:uid="{00000000-0005-0000-0000-0000C5160000}"/>
    <cellStyle name="60% - 강조색2 3" xfId="67" xr:uid="{00000000-0005-0000-0000-000043000000}"/>
    <cellStyle name="60% - 강조색2 3 2" xfId="886" xr:uid="{00000000-0005-0000-0000-000076030000}"/>
    <cellStyle name="60% - 강조색2 4" xfId="68" xr:uid="{00000000-0005-0000-0000-000044000000}"/>
    <cellStyle name="60% - 강조색2 4 2" xfId="887" xr:uid="{00000000-0005-0000-0000-000077030000}"/>
    <cellStyle name="60% - 강조색2 5" xfId="69" xr:uid="{00000000-0005-0000-0000-000045000000}"/>
    <cellStyle name="60% - 강조색2 6" xfId="70" xr:uid="{00000000-0005-0000-0000-000046000000}"/>
    <cellStyle name="60% - 강조색2 6 2" xfId="888" xr:uid="{00000000-0005-0000-0000-000078030000}"/>
    <cellStyle name="60% - 강조색2 7" xfId="251" xr:uid="{00000000-0005-0000-0000-0000FB000000}"/>
    <cellStyle name="60% - 강조색3 2" xfId="71" xr:uid="{00000000-0005-0000-0000-000047000000}"/>
    <cellStyle name="60% - 강조색3 2 2" xfId="889" xr:uid="{00000000-0005-0000-0000-000079030000}"/>
    <cellStyle name="60% - 강조색3 2 3" xfId="5830" xr:uid="{00000000-0005-0000-0000-0000C6160000}"/>
    <cellStyle name="60% - 강조색3 3" xfId="72" xr:uid="{00000000-0005-0000-0000-000048000000}"/>
    <cellStyle name="60% - 강조색3 3 2" xfId="890" xr:uid="{00000000-0005-0000-0000-00007A030000}"/>
    <cellStyle name="60% - 강조색3 4" xfId="73" xr:uid="{00000000-0005-0000-0000-000049000000}"/>
    <cellStyle name="60% - 강조색3 4 2" xfId="891" xr:uid="{00000000-0005-0000-0000-00007B030000}"/>
    <cellStyle name="60% - 강조색3 5" xfId="74" xr:uid="{00000000-0005-0000-0000-00004A000000}"/>
    <cellStyle name="60% - 강조색3 6" xfId="75" xr:uid="{00000000-0005-0000-0000-00004B000000}"/>
    <cellStyle name="60% - 강조색3 6 2" xfId="892" xr:uid="{00000000-0005-0000-0000-00007C030000}"/>
    <cellStyle name="60% - 강조색3 7" xfId="252" xr:uid="{00000000-0005-0000-0000-0000FC000000}"/>
    <cellStyle name="60% - 강조색4 2" xfId="76" xr:uid="{00000000-0005-0000-0000-00004C000000}"/>
    <cellStyle name="60% - 강조색4 2 2" xfId="893" xr:uid="{00000000-0005-0000-0000-00007D030000}"/>
    <cellStyle name="60% - 강조색4 2 3" xfId="5831" xr:uid="{00000000-0005-0000-0000-0000C7160000}"/>
    <cellStyle name="60% - 강조색4 3" xfId="77" xr:uid="{00000000-0005-0000-0000-00004D000000}"/>
    <cellStyle name="60% - 강조색4 3 2" xfId="894" xr:uid="{00000000-0005-0000-0000-00007E030000}"/>
    <cellStyle name="60% - 강조색4 4" xfId="78" xr:uid="{00000000-0005-0000-0000-00004E000000}"/>
    <cellStyle name="60% - 강조색4 4 2" xfId="895" xr:uid="{00000000-0005-0000-0000-00007F030000}"/>
    <cellStyle name="60% - 강조색4 5" xfId="79" xr:uid="{00000000-0005-0000-0000-00004F000000}"/>
    <cellStyle name="60% - 강조색4 6" xfId="80" xr:uid="{00000000-0005-0000-0000-000050000000}"/>
    <cellStyle name="60% - 강조색4 6 2" xfId="896" xr:uid="{00000000-0005-0000-0000-000080030000}"/>
    <cellStyle name="60% - 강조색4 7" xfId="253" xr:uid="{00000000-0005-0000-0000-0000FD000000}"/>
    <cellStyle name="60% - 강조색5 2" xfId="81" xr:uid="{00000000-0005-0000-0000-000051000000}"/>
    <cellStyle name="60% - 강조색5 2 2" xfId="897" xr:uid="{00000000-0005-0000-0000-000081030000}"/>
    <cellStyle name="60% - 강조색5 2 3" xfId="5832" xr:uid="{00000000-0005-0000-0000-0000C8160000}"/>
    <cellStyle name="60% - 강조색5 3" xfId="82" xr:uid="{00000000-0005-0000-0000-000052000000}"/>
    <cellStyle name="60% - 강조색5 3 2" xfId="898" xr:uid="{00000000-0005-0000-0000-000082030000}"/>
    <cellStyle name="60% - 강조색5 4" xfId="83" xr:uid="{00000000-0005-0000-0000-000053000000}"/>
    <cellStyle name="60% - 강조색5 4 2" xfId="899" xr:uid="{00000000-0005-0000-0000-000083030000}"/>
    <cellStyle name="60% - 강조색5 5" xfId="84" xr:uid="{00000000-0005-0000-0000-000054000000}"/>
    <cellStyle name="60% - 강조색5 6" xfId="85" xr:uid="{00000000-0005-0000-0000-000055000000}"/>
    <cellStyle name="60% - 강조색5 6 2" xfId="900" xr:uid="{00000000-0005-0000-0000-000084030000}"/>
    <cellStyle name="60% - 강조색5 7" xfId="254" xr:uid="{00000000-0005-0000-0000-0000FE000000}"/>
    <cellStyle name="60% - 강조색6 2" xfId="86" xr:uid="{00000000-0005-0000-0000-000056000000}"/>
    <cellStyle name="60% - 강조색6 2 2" xfId="901" xr:uid="{00000000-0005-0000-0000-000085030000}"/>
    <cellStyle name="60% - 강조색6 2 3" xfId="5833" xr:uid="{00000000-0005-0000-0000-0000C9160000}"/>
    <cellStyle name="60% - 강조색6 3" xfId="87" xr:uid="{00000000-0005-0000-0000-000057000000}"/>
    <cellStyle name="60% - 강조색6 3 2" xfId="902" xr:uid="{00000000-0005-0000-0000-000086030000}"/>
    <cellStyle name="60% - 강조색6 4" xfId="88" xr:uid="{00000000-0005-0000-0000-000058000000}"/>
    <cellStyle name="60% - 강조색6 4 2" xfId="903" xr:uid="{00000000-0005-0000-0000-000087030000}"/>
    <cellStyle name="60% - 강조색6 5" xfId="89" xr:uid="{00000000-0005-0000-0000-000059000000}"/>
    <cellStyle name="60% - 강조색6 6" xfId="90" xr:uid="{00000000-0005-0000-0000-00005A000000}"/>
    <cellStyle name="60% - 강조색6 6 2" xfId="904" xr:uid="{00000000-0005-0000-0000-000088030000}"/>
    <cellStyle name="60% - 강조색6 7" xfId="255" xr:uid="{00000000-0005-0000-0000-0000FF000000}"/>
    <cellStyle name="7" xfId="1013" xr:uid="{00000000-0005-0000-0000-0000F5030000}"/>
    <cellStyle name="7_04HTS재료비030902_63342" xfId="1014" xr:uid="{00000000-0005-0000-0000-0000F6030000}"/>
    <cellStyle name="7_04HTS재료비030902_63342_05-07-01 06년재료비" xfId="1015" xr:uid="{00000000-0005-0000-0000-0000F7030000}"/>
    <cellStyle name="7_04HTS재료비030902_63342_05-07-01 06년재료비_(Q80)05-07-12 06년재료비" xfId="1016" xr:uid="{00000000-0005-0000-0000-0000F8030000}"/>
    <cellStyle name="7_04HTS재료비030902_63342_05-07-01 06년재료비_(Q80)05-07-12 06년재료비_05-07-18 06년 HA 재료비_41184" xfId="1017" xr:uid="{00000000-0005-0000-0000-0000F9030000}"/>
    <cellStyle name="7_04HTS재료비030902_63342_05-07-01 06년재료비_(Q80)05-07-12 06년재료비_05-07-18 06년 HA 재료비_41184_05-08-29 9월1주차HA_41184_김정" xfId="1018" xr:uid="{00000000-0005-0000-0000-0000FA030000}"/>
    <cellStyle name="7_04HTS재료비030902_63342_05-07-01 06년재료비_(Q80)05-07-12 06년재료비_05-07-18 06년 HA 재료비_41184_05-08-29 9월1주차HA_41184_김정_개발회의(week21)_KMS-350" xfId="1019" xr:uid="{00000000-0005-0000-0000-0000FB030000}"/>
    <cellStyle name="7_04HTS재료비030902_63342_05-07-01 06년재료비_(Q80)05-07-12 06년재료비_05-07-18 06년 HA 재료비_41184_개발회의(week21)_KMS-350" xfId="1020" xr:uid="{00000000-0005-0000-0000-0000FC030000}"/>
    <cellStyle name="7_04HTS재료비030902_63342_05-07-01 06년재료비_(Q80)05-07-12 06년재료비_05-08-29 9월1주차HA_41184_김정" xfId="1021" xr:uid="{00000000-0005-0000-0000-0000FD030000}"/>
    <cellStyle name="7_04HTS재료비030902_63342_05-07-01 06년재료비_(Q80)05-07-12 06년재료비_05-08-29 9월1주차HA_41184_김정_개발회의(week21)_KMS-350" xfId="1022" xr:uid="{00000000-0005-0000-0000-0000FE030000}"/>
    <cellStyle name="7_04HTS재료비030902_63342_05-07-01 06년재료비_(Q80)05-07-12 06년재료비_개발회의(week21)_KMS-350" xfId="1023" xr:uid="{00000000-0005-0000-0000-0000FF030000}"/>
    <cellStyle name="7_04HTS재료비030902_63342_05-07-01 06년재료비_(R1500)05-07-19 재료비" xfId="1024" xr:uid="{00000000-0005-0000-0000-000000040000}"/>
    <cellStyle name="7_04HTS재료비030902_63342_05-07-01 06년재료비_(R1500)05-07-19 재료비_05-08-29 9월1주차HA_41184_김정" xfId="1025" xr:uid="{00000000-0005-0000-0000-000001040000}"/>
    <cellStyle name="7_04HTS재료비030902_63342_05-07-01 06년재료비_(R1500)05-07-19 재료비_05-08-29 9월1주차HA_41184_김정_개발회의(week21)_KMS-350" xfId="1026" xr:uid="{00000000-0005-0000-0000-000002040000}"/>
    <cellStyle name="7_04HTS재료비030902_63342_05-07-01 06년재료비_(R1500)05-07-19 재료비_개발회의(week21)_KMS-350" xfId="1027" xr:uid="{00000000-0005-0000-0000-000003040000}"/>
    <cellStyle name="7_04HTS재료비030902_63342_05-07-01 06년재료비_05-07-12 06년재료비(Q120)" xfId="1028" xr:uid="{00000000-0005-0000-0000-000004040000}"/>
    <cellStyle name="7_04HTS재료비030902_63342_05-07-01 06년재료비_05-07-12 06년재료비(Q120)_05-07-18 06년 HA 재료비_41184" xfId="1029" xr:uid="{00000000-0005-0000-0000-000005040000}"/>
    <cellStyle name="7_04HTS재료비030902_63342_05-07-01 06년재료비_05-07-12 06년재료비(Q120)_05-07-18 06년 HA 재료비_41184_05-08-29 9월1주차HA_41184_김정" xfId="1030" xr:uid="{00000000-0005-0000-0000-000006040000}"/>
    <cellStyle name="7_04HTS재료비030902_63342_05-07-01 06년재료비_05-07-12 06년재료비(Q120)_05-07-18 06년 HA 재료비_41184_05-08-29 9월1주차HA_41184_김정_개발회의(week21)_KMS-350" xfId="1031" xr:uid="{00000000-0005-0000-0000-000007040000}"/>
    <cellStyle name="7_04HTS재료비030902_63342_05-07-01 06년재료비_05-07-12 06년재료비(Q120)_05-07-18 06년 HA 재료비_41184_개발회의(week21)_KMS-350" xfId="1032" xr:uid="{00000000-0005-0000-0000-000008040000}"/>
    <cellStyle name="7_04HTS재료비030902_63342_05-07-01 06년재료비_05-07-12 06년재료비(Q120)_05-08-29 9월1주차HA_41184_김정" xfId="1033" xr:uid="{00000000-0005-0000-0000-000009040000}"/>
    <cellStyle name="7_04HTS재료비030902_63342_05-07-01 06년재료비_05-07-12 06년재료비(Q120)_05-08-29 9월1주차HA_41184_김정_개발회의(week21)_KMS-350" xfId="1034" xr:uid="{00000000-0005-0000-0000-00000A040000}"/>
    <cellStyle name="7_04HTS재료비030902_63342_05-07-01 06년재료비_05-07-12 06년재료비(Q120)_개발회의(week21)_KMS-350" xfId="1035" xr:uid="{00000000-0005-0000-0000-00000B040000}"/>
    <cellStyle name="7_04HTS재료비030902_63342_05-07-01 06년재료비_05-07-14 06년재료비" xfId="1036" xr:uid="{00000000-0005-0000-0000-00000C040000}"/>
    <cellStyle name="7_04HTS재료비030902_63342_05-07-01 06년재료비_05-07-14 06년재료비_05-07-18 06년 HA 재료비_41184" xfId="1037" xr:uid="{00000000-0005-0000-0000-00000D040000}"/>
    <cellStyle name="7_04HTS재료비030902_63342_05-07-01 06년재료비_05-07-14 06년재료비_05-07-18 06년 HA 재료비_41184_05-08-29 9월1주차HA_41184_김정" xfId="1038" xr:uid="{00000000-0005-0000-0000-00000E040000}"/>
    <cellStyle name="7_04HTS재료비030902_63342_05-07-01 06년재료비_05-07-14 06년재료비_05-07-18 06년 HA 재료비_41184_05-08-29 9월1주차HA_41184_김정_개발회의(week21)_KMS-350" xfId="1039" xr:uid="{00000000-0005-0000-0000-00000F040000}"/>
    <cellStyle name="7_04HTS재료비030902_63342_05-07-01 06년재료비_05-07-14 06년재료비_05-07-18 06년 HA 재료비_41184_개발회의(week21)_KMS-350" xfId="1040" xr:uid="{00000000-0005-0000-0000-000010040000}"/>
    <cellStyle name="7_04HTS재료비030902_63342_05-07-01 06년재료비_05-07-14 06년재료비_05-08-29 9월1주차HA_41184_김정" xfId="1041" xr:uid="{00000000-0005-0000-0000-000011040000}"/>
    <cellStyle name="7_04HTS재료비030902_63342_05-07-01 06년재료비_05-07-14 06년재료비_05-08-29 9월1주차HA_41184_김정_개발회의(week21)_KMS-350" xfId="1042" xr:uid="{00000000-0005-0000-0000-000012040000}"/>
    <cellStyle name="7_04HTS재료비030902_63342_05-07-01 06년재료비_05-07-14 06년재료비_개발회의(week21)_KMS-350" xfId="1043" xr:uid="{00000000-0005-0000-0000-000013040000}"/>
    <cellStyle name="7_04HTS재료비030902_63342_05-07-01 06년재료비_05-07-15 06년재료비 기구스피커" xfId="1044" xr:uid="{00000000-0005-0000-0000-000014040000}"/>
    <cellStyle name="7_04HTS재료비030902_63342_05-07-01 06년재료비_05-07-15 06년재료비 기구스피커_05-07-18 06년 HA 재료비_41184" xfId="1045" xr:uid="{00000000-0005-0000-0000-000015040000}"/>
    <cellStyle name="7_04HTS재료비030902_63342_05-07-01 06년재료비_05-07-15 06년재료비 기구스피커_05-07-18 06년 HA 재료비_41184_05-08-29 9월1주차HA_41184_김정" xfId="1046" xr:uid="{00000000-0005-0000-0000-000016040000}"/>
    <cellStyle name="7_04HTS재료비030902_63342_05-07-01 06년재료비_05-07-15 06년재료비 기구스피커_05-07-18 06년 HA 재료비_41184_05-08-29 9월1주차HA_41184_김정_개발회의(week21)_KMS-350" xfId="1047" xr:uid="{00000000-0005-0000-0000-000017040000}"/>
    <cellStyle name="7_04HTS재료비030902_63342_05-07-01 06년재료비_05-07-15 06년재료비 기구스피커_05-07-18 06년 HA 재료비_41184_개발회의(week21)_KMS-350" xfId="1048" xr:uid="{00000000-0005-0000-0000-000018040000}"/>
    <cellStyle name="7_04HTS재료비030902_63342_05-07-01 06년재료비_05-07-15 06년재료비 기구스피커_05-08-29 9월1주차HA_41184_김정" xfId="1049" xr:uid="{00000000-0005-0000-0000-000019040000}"/>
    <cellStyle name="7_04HTS재료비030902_63342_05-07-01 06년재료비_05-07-15 06년재료비 기구스피커_05-08-29 9월1주차HA_41184_김정_개발회의(week21)_KMS-350" xfId="1050" xr:uid="{00000000-0005-0000-0000-00001A040000}"/>
    <cellStyle name="7_04HTS재료비030902_63342_05-07-01 06년재료비_05-07-15 06년재료비 기구스피커_개발회의(week21)_KMS-350" xfId="1051" xr:uid="{00000000-0005-0000-0000-00001B040000}"/>
    <cellStyle name="7_04HTS재료비030902_63342_05-07-01 06년재료비_05-07-18 06년 HA 재료비" xfId="1052" xr:uid="{00000000-0005-0000-0000-00001C040000}"/>
    <cellStyle name="7_04HTS재료비030902_63342_05-07-01 06년재료비_05-07-18 06년 HA 재료비_05-07-18 06년 HA 재료비_41184" xfId="1053" xr:uid="{00000000-0005-0000-0000-00001D040000}"/>
    <cellStyle name="7_04HTS재료비030902_63342_05-07-01 06년재료비_05-07-18 06년 HA 재료비_05-07-18 06년 HA 재료비_41184_05-08-29 9월1주차HA_41184_김정" xfId="1054" xr:uid="{00000000-0005-0000-0000-00001E040000}"/>
    <cellStyle name="7_04HTS재료비030902_63342_05-07-01 06년재료비_05-07-18 06년 HA 재료비_05-07-18 06년 HA 재료비_41184_05-08-29 9월1주차HA_41184_김정_개발회의(week21)_KMS-350" xfId="1055" xr:uid="{00000000-0005-0000-0000-00001F040000}"/>
    <cellStyle name="7_04HTS재료비030902_63342_05-07-01 06년재료비_05-07-18 06년 HA 재료비_05-07-18 06년 HA 재료비_41184_개발회의(week21)_KMS-350" xfId="1056" xr:uid="{00000000-0005-0000-0000-000020040000}"/>
    <cellStyle name="7_04HTS재료비030902_63342_05-07-01 06년재료비_05-07-18 06년 HA 재료비_05-08-29 9월1주차HA_41184_김정" xfId="1057" xr:uid="{00000000-0005-0000-0000-000021040000}"/>
    <cellStyle name="7_04HTS재료비030902_63342_05-07-01 06년재료비_05-07-18 06년 HA 재료비_05-08-29 9월1주차HA_41184_김정_개발회의(week21)_KMS-350" xfId="1058" xr:uid="{00000000-0005-0000-0000-000022040000}"/>
    <cellStyle name="7_04HTS재료비030902_63342_05-07-01 06년재료비_05-07-18 06년 HA 재료비_41184" xfId="1059" xr:uid="{00000000-0005-0000-0000-000023040000}"/>
    <cellStyle name="7_04HTS재료비030902_63342_05-07-01 06년재료비_05-07-18 06년 HA 재료비_41184_05-08-29 9월1주차HA_41184_김정" xfId="1060" xr:uid="{00000000-0005-0000-0000-000024040000}"/>
    <cellStyle name="7_04HTS재료비030902_63342_05-07-01 06년재료비_05-07-18 06년 HA 재료비_41184_05-08-29 9월1주차HA_41184_김정_개발회의(week21)_KMS-350" xfId="1061" xr:uid="{00000000-0005-0000-0000-000025040000}"/>
    <cellStyle name="7_04HTS재료비030902_63342_05-07-01 06년재료비_05-07-18 06년 HA 재료비_41184_개발회의(week21)_KMS-350" xfId="1062" xr:uid="{00000000-0005-0000-0000-000026040000}"/>
    <cellStyle name="7_04HTS재료비030902_63342_05-07-01 06년재료비_05-07-18 06년 HA 재료비_개발회의(week21)_KMS-350" xfId="1063" xr:uid="{00000000-0005-0000-0000-000027040000}"/>
    <cellStyle name="7_04HTS재료비030902_63342_05-07-01 06년재료비_05-07-23 06년 HA 재료비" xfId="1064" xr:uid="{00000000-0005-0000-0000-000028040000}"/>
    <cellStyle name="7_04HTS재료비030902_63342_05-07-01 06년재료비_05-07-23 06년 HA 재료비_05-08-29 9월1주차HA_41184_김정" xfId="1065" xr:uid="{00000000-0005-0000-0000-000029040000}"/>
    <cellStyle name="7_04HTS재료비030902_63342_05-07-01 06년재료비_05-07-23 06년 HA 재료비_05-08-29 9월1주차HA_41184_김정_개발회의(week21)_KMS-350" xfId="1066" xr:uid="{00000000-0005-0000-0000-00002A040000}"/>
    <cellStyle name="7_04HTS재료비030902_63342_05-07-01 06년재료비_05-07-23 06년 HA 재료비_개발회의(week21)_KMS-350" xfId="1067" xr:uid="{00000000-0005-0000-0000-00002B040000}"/>
    <cellStyle name="7_04HTS재료비030902_63342_05-07-01 06년재료비_05-07-25 06년 HA 재료비_H2000" xfId="1068" xr:uid="{00000000-0005-0000-0000-00002C040000}"/>
    <cellStyle name="7_04HTS재료비030902_63342_05-07-01 06년재료비_05-07-25 06년 HA 재료비_H2000_05-08-29 9월1주차HA_41184_김정" xfId="1069" xr:uid="{00000000-0005-0000-0000-00002D040000}"/>
    <cellStyle name="7_04HTS재료비030902_63342_05-07-01 06년재료비_05-07-25 06년 HA 재료비_H2000_05-08-29 9월1주차HA_41184_김정_개발회의(week21)_KMS-350" xfId="1070" xr:uid="{00000000-0005-0000-0000-00002E040000}"/>
    <cellStyle name="7_04HTS재료비030902_63342_05-07-01 06년재료비_05-07-25 06년 HA 재료비_H2000_개발회의(week21)_KMS-350" xfId="1071" xr:uid="{00000000-0005-0000-0000-00002F040000}"/>
    <cellStyle name="7_04HTS재료비030902_63342_05-07-01 06년재료비_05-07-26 06년 HA 재료비_41184" xfId="1072" xr:uid="{00000000-0005-0000-0000-000030040000}"/>
    <cellStyle name="7_04HTS재료비030902_63342_05-07-01 06년재료비_05-07-26 06년 HA 재료비_41184_05-08-29 9월1주차HA_41184_김정" xfId="1073" xr:uid="{00000000-0005-0000-0000-000031040000}"/>
    <cellStyle name="7_04HTS재료비030902_63342_05-07-01 06년재료비_05-07-26 06년 HA 재료비_41184_05-08-29 9월1주차HA_41184_김정_개발회의(week21)_KMS-350" xfId="1074" xr:uid="{00000000-0005-0000-0000-000032040000}"/>
    <cellStyle name="7_04HTS재료비030902_63342_05-07-01 06년재료비_05-07-26 06년 HA 재료비_41184_개발회의(week21)_KMS-350" xfId="1075" xr:uid="{00000000-0005-0000-0000-000033040000}"/>
    <cellStyle name="7_04HTS재료비030902_63342_05-07-01 06년재료비_05-07-26 06년 HA 재료비1" xfId="1076" xr:uid="{00000000-0005-0000-0000-000034040000}"/>
    <cellStyle name="7_04HTS재료비030902_63342_05-07-01 06년재료비_05-07-26 06년 HA 재료비1_05-08-29 9월1주차HA_41184_김정" xfId="1077" xr:uid="{00000000-0005-0000-0000-000035040000}"/>
    <cellStyle name="7_04HTS재료비030902_63342_05-07-01 06년재료비_05-07-26 06년 HA 재료비1_05-08-29 9월1주차HA_41184_김정_개발회의(week21)_KMS-350" xfId="1078" xr:uid="{00000000-0005-0000-0000-000036040000}"/>
    <cellStyle name="7_04HTS재료비030902_63342_05-07-01 06년재료비_05-07-26 06년 HA 재료비1_개발회의(week21)_KMS-350" xfId="1079" xr:uid="{00000000-0005-0000-0000-000037040000}"/>
    <cellStyle name="7_04HTS재료비030902_63342_05-07-01 06년재료비_05-08-29 9월1주차HA_41184_김정" xfId="1080" xr:uid="{00000000-0005-0000-0000-000038040000}"/>
    <cellStyle name="7_04HTS재료비030902_63342_05-07-01 06년재료비_05-08-29 9월1주차HA_41184_김정_개발회의(week21)_KMS-350" xfId="1081" xr:uid="{00000000-0005-0000-0000-000039040000}"/>
    <cellStyle name="7_04HTS재료비030902_63342_05-07-01 06년재료비_05-12-26 12월4주차HA" xfId="1082" xr:uid="{00000000-0005-0000-0000-00003A040000}"/>
    <cellStyle name="7_04HTS재료비030902_63342_05-07-01 06년재료비_05-12-26 12월4주차HA_개발회의(week21)_KMS-350" xfId="1083" xr:uid="{00000000-0005-0000-0000-00003B040000}"/>
    <cellStyle name="7_04HTS재료비030902_63342_05-07-01 06년재료비_개발회의(week21)_KMS-350" xfId="1084" xr:uid="{00000000-0005-0000-0000-00003C040000}"/>
    <cellStyle name="7_04HTS재료비030902_63342_05-07-05 06년재료비_41184" xfId="1085" xr:uid="{00000000-0005-0000-0000-00003D040000}"/>
    <cellStyle name="7_04HTS재료비030902_63342_05-07-05 06년재료비_41184_(Q80)05-07-12 06년재료비" xfId="1086" xr:uid="{00000000-0005-0000-0000-00003E040000}"/>
    <cellStyle name="7_04HTS재료비030902_63342_05-07-05 06년재료비_41184_(Q80)05-07-12 06년재료비_05-07-18 06년 HA 재료비_41184" xfId="1087" xr:uid="{00000000-0005-0000-0000-00003F040000}"/>
    <cellStyle name="7_04HTS재료비030902_63342_05-07-05 06년재료비_41184_(Q80)05-07-12 06년재료비_05-07-18 06년 HA 재료비_41184_05-08-29 9월1주차HA_41184_김정" xfId="1088" xr:uid="{00000000-0005-0000-0000-000040040000}"/>
    <cellStyle name="7_04HTS재료비030902_63342_05-07-05 06년재료비_41184_(Q80)05-07-12 06년재료비_05-07-18 06년 HA 재료비_41184_05-08-29 9월1주차HA_41184_김정_개발회의(week21)_KMS-350" xfId="1089" xr:uid="{00000000-0005-0000-0000-000041040000}"/>
    <cellStyle name="7_04HTS재료비030902_63342_05-07-05 06년재료비_41184_(Q80)05-07-12 06년재료비_05-07-18 06년 HA 재료비_41184_개발회의(week21)_KMS-350" xfId="1090" xr:uid="{00000000-0005-0000-0000-000042040000}"/>
    <cellStyle name="7_04HTS재료비030902_63342_05-07-05 06년재료비_41184_(Q80)05-07-12 06년재료비_05-08-29 9월1주차HA_41184_김정" xfId="1091" xr:uid="{00000000-0005-0000-0000-000043040000}"/>
    <cellStyle name="7_04HTS재료비030902_63342_05-07-05 06년재료비_41184_(Q80)05-07-12 06년재료비_05-08-29 9월1주차HA_41184_김정_개발회의(week21)_KMS-350" xfId="1092" xr:uid="{00000000-0005-0000-0000-000044040000}"/>
    <cellStyle name="7_04HTS재료비030902_63342_05-07-05 06년재료비_41184_(Q80)05-07-12 06년재료비_개발회의(week21)_KMS-350" xfId="1093" xr:uid="{00000000-0005-0000-0000-000045040000}"/>
    <cellStyle name="7_04HTS재료비030902_63342_05-07-05 06년재료비_41184_(R1500)05-07-19 재료비" xfId="1094" xr:uid="{00000000-0005-0000-0000-000046040000}"/>
    <cellStyle name="7_04HTS재료비030902_63342_05-07-05 06년재료비_41184_(R1500)05-07-19 재료비_05-08-29 9월1주차HA_41184_김정" xfId="1095" xr:uid="{00000000-0005-0000-0000-000047040000}"/>
    <cellStyle name="7_04HTS재료비030902_63342_05-07-05 06년재료비_41184_(R1500)05-07-19 재료비_05-08-29 9월1주차HA_41184_김정_개발회의(week21)_KMS-350" xfId="1096" xr:uid="{00000000-0005-0000-0000-000048040000}"/>
    <cellStyle name="7_04HTS재료비030902_63342_05-07-05 06년재료비_41184_(R1500)05-07-19 재료비_개발회의(week21)_KMS-350" xfId="1097" xr:uid="{00000000-0005-0000-0000-000049040000}"/>
    <cellStyle name="7_04HTS재료비030902_63342_05-07-05 06년재료비_41184_05-07-12 06년재료비(Q120)" xfId="1098" xr:uid="{00000000-0005-0000-0000-00004A040000}"/>
    <cellStyle name="7_04HTS재료비030902_63342_05-07-05 06년재료비_41184_05-07-12 06년재료비(Q120)_05-07-18 06년 HA 재료비_41184" xfId="1099" xr:uid="{00000000-0005-0000-0000-00004B040000}"/>
    <cellStyle name="7_04HTS재료비030902_63342_05-07-05 06년재료비_41184_05-07-12 06년재료비(Q120)_05-07-18 06년 HA 재료비_41184_05-08-29 9월1주차HA_41184_김정" xfId="1100" xr:uid="{00000000-0005-0000-0000-00004C040000}"/>
    <cellStyle name="7_04HTS재료비030902_63342_05-07-05 06년재료비_41184_05-07-12 06년재료비(Q120)_05-07-18 06년 HA 재료비_41184_05-08-29 9월1주차HA_41184_김정_개발회의(week21)_KMS-350" xfId="1101" xr:uid="{00000000-0005-0000-0000-00004D040000}"/>
    <cellStyle name="7_04HTS재료비030902_63342_05-07-05 06년재료비_41184_05-07-12 06년재료비(Q120)_05-07-18 06년 HA 재료비_41184_개발회의(week21)_KMS-350" xfId="1102" xr:uid="{00000000-0005-0000-0000-00004E040000}"/>
    <cellStyle name="7_04HTS재료비030902_63342_05-07-05 06년재료비_41184_05-07-12 06년재료비(Q120)_05-08-29 9월1주차HA_41184_김정" xfId="1103" xr:uid="{00000000-0005-0000-0000-00004F040000}"/>
    <cellStyle name="7_04HTS재료비030902_63342_05-07-05 06년재료비_41184_05-07-12 06년재료비(Q120)_05-08-29 9월1주차HA_41184_김정_개발회의(week21)_KMS-350" xfId="1104" xr:uid="{00000000-0005-0000-0000-000050040000}"/>
    <cellStyle name="7_04HTS재료비030902_63342_05-07-05 06년재료비_41184_05-07-12 06년재료비(Q120)_개발회의(week21)_KMS-350" xfId="1105" xr:uid="{00000000-0005-0000-0000-000051040000}"/>
    <cellStyle name="7_04HTS재료비030902_63342_05-07-05 06년재료비_41184_05-07-14 06년재료비" xfId="1106" xr:uid="{00000000-0005-0000-0000-000052040000}"/>
    <cellStyle name="7_04HTS재료비030902_63342_05-07-05 06년재료비_41184_05-07-14 06년재료비_05-07-18 06년 HA 재료비_41184" xfId="1107" xr:uid="{00000000-0005-0000-0000-000053040000}"/>
    <cellStyle name="7_04HTS재료비030902_63342_05-07-05 06년재료비_41184_05-07-14 06년재료비_05-07-18 06년 HA 재료비_41184_05-08-29 9월1주차HA_41184_김정" xfId="1108" xr:uid="{00000000-0005-0000-0000-000054040000}"/>
    <cellStyle name="7_04HTS재료비030902_63342_05-07-05 06년재료비_41184_05-07-14 06년재료비_05-07-18 06년 HA 재료비_41184_05-08-29 9월1주차HA_41184_김정_개발회의(week21)_KMS-350" xfId="1109" xr:uid="{00000000-0005-0000-0000-000055040000}"/>
    <cellStyle name="7_04HTS재료비030902_63342_05-07-05 06년재료비_41184_05-07-14 06년재료비_05-07-18 06년 HA 재료비_41184_개발회의(week21)_KMS-350" xfId="1110" xr:uid="{00000000-0005-0000-0000-000056040000}"/>
    <cellStyle name="7_04HTS재료비030902_63342_05-07-05 06년재료비_41184_05-07-14 06년재료비_05-08-29 9월1주차HA_41184_김정" xfId="1111" xr:uid="{00000000-0005-0000-0000-000057040000}"/>
    <cellStyle name="7_04HTS재료비030902_63342_05-07-05 06년재료비_41184_05-07-14 06년재료비_05-08-29 9월1주차HA_41184_김정_개발회의(week21)_KMS-350" xfId="1112" xr:uid="{00000000-0005-0000-0000-000058040000}"/>
    <cellStyle name="7_04HTS재료비030902_63342_05-07-05 06년재료비_41184_05-07-14 06년재료비_개발회의(week21)_KMS-350" xfId="1113" xr:uid="{00000000-0005-0000-0000-000059040000}"/>
    <cellStyle name="7_04HTS재료비030902_63342_05-07-05 06년재료비_41184_05-07-15 06년재료비 기구스피커" xfId="1114" xr:uid="{00000000-0005-0000-0000-00005A040000}"/>
    <cellStyle name="7_04HTS재료비030902_63342_05-07-05 06년재료비_41184_05-07-15 06년재료비 기구스피커_05-07-18 06년 HA 재료비_41184" xfId="1115" xr:uid="{00000000-0005-0000-0000-00005B040000}"/>
    <cellStyle name="7_04HTS재료비030902_63342_05-07-05 06년재료비_41184_05-07-15 06년재료비 기구스피커_05-07-18 06년 HA 재료비_41184_05-08-29 9월1주차HA_41184_김정" xfId="1116" xr:uid="{00000000-0005-0000-0000-00005C040000}"/>
    <cellStyle name="7_04HTS재료비030902_63342_05-07-05 06년재료비_41184_05-07-15 06년재료비 기구스피커_05-07-18 06년 HA 재료비_41184_05-08-29 9월1주차HA_41184_김정_개발회의(week21)_KMS-350" xfId="1117" xr:uid="{00000000-0005-0000-0000-00005D040000}"/>
    <cellStyle name="7_04HTS재료비030902_63342_05-07-05 06년재료비_41184_05-07-15 06년재료비 기구스피커_05-07-18 06년 HA 재료비_41184_개발회의(week21)_KMS-350" xfId="1118" xr:uid="{00000000-0005-0000-0000-00005E040000}"/>
    <cellStyle name="7_04HTS재료비030902_63342_05-07-05 06년재료비_41184_05-07-15 06년재료비 기구스피커_05-08-29 9월1주차HA_41184_김정" xfId="1119" xr:uid="{00000000-0005-0000-0000-00005F040000}"/>
    <cellStyle name="7_04HTS재료비030902_63342_05-07-05 06년재료비_41184_05-07-15 06년재료비 기구스피커_05-08-29 9월1주차HA_41184_김정_개발회의(week21)_KMS-350" xfId="1120" xr:uid="{00000000-0005-0000-0000-000060040000}"/>
    <cellStyle name="7_04HTS재료비030902_63342_05-07-05 06년재료비_41184_05-07-15 06년재료비 기구스피커_개발회의(week21)_KMS-350" xfId="1121" xr:uid="{00000000-0005-0000-0000-000061040000}"/>
    <cellStyle name="7_04HTS재료비030902_63342_05-07-05 06년재료비_41184_05-07-18 06년 HA 재료비" xfId="1122" xr:uid="{00000000-0005-0000-0000-000062040000}"/>
    <cellStyle name="7_04HTS재료비030902_63342_05-07-05 06년재료비_41184_05-07-18 06년 HA 재료비_05-07-18 06년 HA 재료비_41184" xfId="1123" xr:uid="{00000000-0005-0000-0000-000063040000}"/>
    <cellStyle name="7_04HTS재료비030902_63342_05-07-05 06년재료비_41184_05-07-18 06년 HA 재료비_05-07-18 06년 HA 재료비_41184_05-08-29 9월1주차HA_41184_김정" xfId="1124" xr:uid="{00000000-0005-0000-0000-000064040000}"/>
    <cellStyle name="7_04HTS재료비030902_63342_05-07-05 06년재료비_41184_05-07-18 06년 HA 재료비_05-07-18 06년 HA 재료비_41184_05-08-29 9월1주차HA_41184_김정_개발회의(week21)_KMS-350" xfId="1125" xr:uid="{00000000-0005-0000-0000-000065040000}"/>
    <cellStyle name="7_04HTS재료비030902_63342_05-07-05 06년재료비_41184_05-07-18 06년 HA 재료비_05-07-18 06년 HA 재료비_41184_개발회의(week21)_KMS-350" xfId="1126" xr:uid="{00000000-0005-0000-0000-000066040000}"/>
    <cellStyle name="7_04HTS재료비030902_63342_05-07-05 06년재료비_41184_05-07-18 06년 HA 재료비_05-08-29 9월1주차HA_41184_김정" xfId="1127" xr:uid="{00000000-0005-0000-0000-000067040000}"/>
    <cellStyle name="7_04HTS재료비030902_63342_05-07-05 06년재료비_41184_05-07-18 06년 HA 재료비_05-08-29 9월1주차HA_41184_김정_개발회의(week21)_KMS-350" xfId="1128" xr:uid="{00000000-0005-0000-0000-000068040000}"/>
    <cellStyle name="7_04HTS재료비030902_63342_05-07-05 06년재료비_41184_05-07-18 06년 HA 재료비_41184" xfId="1129" xr:uid="{00000000-0005-0000-0000-000069040000}"/>
    <cellStyle name="7_04HTS재료비030902_63342_05-07-05 06년재료비_41184_05-07-18 06년 HA 재료비_41184_05-08-29 9월1주차HA_41184_김정" xfId="1130" xr:uid="{00000000-0005-0000-0000-00006A040000}"/>
    <cellStyle name="7_04HTS재료비030902_63342_05-07-05 06년재료비_41184_05-07-18 06년 HA 재료비_41184_05-08-29 9월1주차HA_41184_김정_개발회의(week21)_KMS-350" xfId="1131" xr:uid="{00000000-0005-0000-0000-00006B040000}"/>
    <cellStyle name="7_04HTS재료비030902_63342_05-07-05 06년재료비_41184_05-07-18 06년 HA 재료비_41184_개발회의(week21)_KMS-350" xfId="1132" xr:uid="{00000000-0005-0000-0000-00006C040000}"/>
    <cellStyle name="7_04HTS재료비030902_63342_05-07-05 06년재료비_41184_05-07-18 06년 HA 재료비_개발회의(week21)_KMS-350" xfId="1133" xr:uid="{00000000-0005-0000-0000-00006D040000}"/>
    <cellStyle name="7_04HTS재료비030902_63342_05-07-05 06년재료비_41184_05-07-23 06년 HA 재료비" xfId="1134" xr:uid="{00000000-0005-0000-0000-00006E040000}"/>
    <cellStyle name="7_04HTS재료비030902_63342_05-07-05 06년재료비_41184_05-07-23 06년 HA 재료비_05-08-29 9월1주차HA_41184_김정" xfId="1135" xr:uid="{00000000-0005-0000-0000-00006F040000}"/>
    <cellStyle name="7_04HTS재료비030902_63342_05-07-05 06년재료비_41184_05-07-23 06년 HA 재료비_05-08-29 9월1주차HA_41184_김정_개발회의(week21)_KMS-350" xfId="1136" xr:uid="{00000000-0005-0000-0000-000070040000}"/>
    <cellStyle name="7_04HTS재료비030902_63342_05-07-05 06년재료비_41184_05-07-23 06년 HA 재료비_개발회의(week21)_KMS-350" xfId="1137" xr:uid="{00000000-0005-0000-0000-000071040000}"/>
    <cellStyle name="7_04HTS재료비030902_63342_05-07-05 06년재료비_41184_05-07-25 06년 HA 재료비_H2000" xfId="1138" xr:uid="{00000000-0005-0000-0000-000072040000}"/>
    <cellStyle name="7_04HTS재료비030902_63342_05-07-05 06년재료비_41184_05-07-25 06년 HA 재료비_H2000_05-08-29 9월1주차HA_41184_김정" xfId="1139" xr:uid="{00000000-0005-0000-0000-000073040000}"/>
    <cellStyle name="7_04HTS재료비030902_63342_05-07-05 06년재료비_41184_05-07-25 06년 HA 재료비_H2000_05-08-29 9월1주차HA_41184_김정_개발회의(week21)_KMS-350" xfId="1140" xr:uid="{00000000-0005-0000-0000-000074040000}"/>
    <cellStyle name="7_04HTS재료비030902_63342_05-07-05 06년재료비_41184_05-07-25 06년 HA 재료비_H2000_개발회의(week21)_KMS-350" xfId="1141" xr:uid="{00000000-0005-0000-0000-000075040000}"/>
    <cellStyle name="7_04HTS재료비030902_63342_05-07-05 06년재료비_41184_05-07-26 06년 HA 재료비_41184" xfId="1142" xr:uid="{00000000-0005-0000-0000-000076040000}"/>
    <cellStyle name="7_04HTS재료비030902_63342_05-07-05 06년재료비_41184_05-07-26 06년 HA 재료비_41184_05-08-29 9월1주차HA_41184_김정" xfId="1143" xr:uid="{00000000-0005-0000-0000-000077040000}"/>
    <cellStyle name="7_04HTS재료비030902_63342_05-07-05 06년재료비_41184_05-07-26 06년 HA 재료비_41184_05-08-29 9월1주차HA_41184_김정_개발회의(week21)_KMS-350" xfId="1144" xr:uid="{00000000-0005-0000-0000-000078040000}"/>
    <cellStyle name="7_04HTS재료비030902_63342_05-07-05 06년재료비_41184_05-07-26 06년 HA 재료비_41184_개발회의(week21)_KMS-350" xfId="1145" xr:uid="{00000000-0005-0000-0000-000079040000}"/>
    <cellStyle name="7_04HTS재료비030902_63342_05-07-05 06년재료비_41184_05-07-26 06년 HA 재료비1" xfId="1146" xr:uid="{00000000-0005-0000-0000-00007A040000}"/>
    <cellStyle name="7_04HTS재료비030902_63342_05-07-05 06년재료비_41184_05-07-26 06년 HA 재료비1_05-08-29 9월1주차HA_41184_김정" xfId="1147" xr:uid="{00000000-0005-0000-0000-00007B040000}"/>
    <cellStyle name="7_04HTS재료비030902_63342_05-07-05 06년재료비_41184_05-07-26 06년 HA 재료비1_05-08-29 9월1주차HA_41184_김정_개발회의(week21)_KMS-350" xfId="1148" xr:uid="{00000000-0005-0000-0000-00007C040000}"/>
    <cellStyle name="7_04HTS재료비030902_63342_05-07-05 06년재료비_41184_05-07-26 06년 HA 재료비1_개발회의(week21)_KMS-350" xfId="1149" xr:uid="{00000000-0005-0000-0000-00007D040000}"/>
    <cellStyle name="7_04HTS재료비030902_63342_05-07-05 06년재료비_41184_05-08-29 9월1주차HA_41184_김정" xfId="1150" xr:uid="{00000000-0005-0000-0000-00007E040000}"/>
    <cellStyle name="7_04HTS재료비030902_63342_05-07-05 06년재료비_41184_05-08-29 9월1주차HA_41184_김정_개발회의(week21)_KMS-350" xfId="1151" xr:uid="{00000000-0005-0000-0000-00007F040000}"/>
    <cellStyle name="7_04HTS재료비030902_63342_05-07-05 06년재료비_41184_개발회의(week21)_KMS-350" xfId="1152" xr:uid="{00000000-0005-0000-0000-000080040000}"/>
    <cellStyle name="7_04HTS재료비030902_63342_05-07-18 06년 HA 재료비_41184" xfId="1153" xr:uid="{00000000-0005-0000-0000-000081040000}"/>
    <cellStyle name="7_04HTS재료비030902_63342_05-07-18 06년 HA 재료비_41184_05-08-29 9월1주차HA_41184_김정" xfId="1154" xr:uid="{00000000-0005-0000-0000-000082040000}"/>
    <cellStyle name="7_04HTS재료비030902_63342_05-07-18 06년 HA 재료비_41184_05-08-29 9월1주차HA_41184_김정_개발회의(week21)_KMS-350" xfId="1155" xr:uid="{00000000-0005-0000-0000-000083040000}"/>
    <cellStyle name="7_04HTS재료비030902_63342_05-07-18 06년 HA 재료비_41184_개발회의(week21)_KMS-350" xfId="1156" xr:uid="{00000000-0005-0000-0000-000084040000}"/>
    <cellStyle name="7_04HTS재료비030902_63342_05-08-29 9월1주차HA_41184_김정" xfId="1157" xr:uid="{00000000-0005-0000-0000-000085040000}"/>
    <cellStyle name="7_04HTS재료비030902_63342_05-08-29 9월1주차HA_41184_김정_개발회의(week21)_KMS-350" xfId="1158" xr:uid="{00000000-0005-0000-0000-000086040000}"/>
    <cellStyle name="7_04HTS재료비030902_63342_05-12-26 12월4주차HA" xfId="1159" xr:uid="{00000000-0005-0000-0000-000087040000}"/>
    <cellStyle name="7_04HTS재료비030902_63342_05-12-26 12월4주차HA_개발회의(week21)_KMS-350" xfId="1160" xr:uid="{00000000-0005-0000-0000-000088040000}"/>
    <cellStyle name="7_04HTS재료비030902_63342_mini재료비-041001" xfId="1306" xr:uid="{00000000-0005-0000-0000-00001A050000}"/>
    <cellStyle name="7_04HTS재료비030902_63342_mini재료비-041001_05-07-01 06년재료비" xfId="1307" xr:uid="{00000000-0005-0000-0000-00001B050000}"/>
    <cellStyle name="7_04HTS재료비030902_63342_mini재료비-041001_05-07-01 06년재료비_(Q80)05-07-12 06년재료비" xfId="1308" xr:uid="{00000000-0005-0000-0000-00001C050000}"/>
    <cellStyle name="7_04HTS재료비030902_63342_mini재료비-041001_05-07-01 06년재료비_(Q80)05-07-12 06년재료비_05-07-18 06년 HA 재료비_41184" xfId="1309" xr:uid="{00000000-0005-0000-0000-00001D050000}"/>
    <cellStyle name="7_04HTS재료비030902_63342_mini재료비-041001_05-07-01 06년재료비_(Q80)05-07-12 06년재료비_05-07-18 06년 HA 재료비_41184_05-08-29 9월1주차HA_41184_김정" xfId="1310" xr:uid="{00000000-0005-0000-0000-00001E050000}"/>
    <cellStyle name="7_04HTS재료비030902_63342_mini재료비-041001_05-07-01 06년재료비_(Q80)05-07-12 06년재료비_05-07-18 06년 HA 재료비_41184_05-08-29 9월1주차HA_41184_김정_개발회의(week21)_KMS-350" xfId="1311" xr:uid="{00000000-0005-0000-0000-00001F050000}"/>
    <cellStyle name="7_04HTS재료비030902_63342_mini재료비-041001_05-07-01 06년재료비_(Q80)05-07-12 06년재료비_05-07-18 06년 HA 재료비_41184_개발회의(week21)_KMS-350" xfId="1312" xr:uid="{00000000-0005-0000-0000-000020050000}"/>
    <cellStyle name="7_04HTS재료비030902_63342_mini재료비-041001_05-07-01 06년재료비_(Q80)05-07-12 06년재료비_05-08-29 9월1주차HA_41184_김정" xfId="1313" xr:uid="{00000000-0005-0000-0000-000021050000}"/>
    <cellStyle name="7_04HTS재료비030902_63342_mini재료비-041001_05-07-01 06년재료비_(Q80)05-07-12 06년재료비_05-08-29 9월1주차HA_41184_김정_개발회의(week21)_KMS-350" xfId="1314" xr:uid="{00000000-0005-0000-0000-000022050000}"/>
    <cellStyle name="7_04HTS재료비030902_63342_mini재료비-041001_05-07-01 06년재료비_(Q80)05-07-12 06년재료비_개발회의(week21)_KMS-350" xfId="1315" xr:uid="{00000000-0005-0000-0000-000023050000}"/>
    <cellStyle name="7_04HTS재료비030902_63342_mini재료비-041001_05-07-01 06년재료비_(R1500)05-07-19 재료비" xfId="1316" xr:uid="{00000000-0005-0000-0000-000024050000}"/>
    <cellStyle name="7_04HTS재료비030902_63342_mini재료비-041001_05-07-01 06년재료비_(R1500)05-07-19 재료비_05-08-29 9월1주차HA_41184_김정" xfId="1317" xr:uid="{00000000-0005-0000-0000-000025050000}"/>
    <cellStyle name="7_04HTS재료비030902_63342_mini재료비-041001_05-07-01 06년재료비_(R1500)05-07-19 재료비_05-08-29 9월1주차HA_41184_김정_개발회의(week21)_KMS-350" xfId="1318" xr:uid="{00000000-0005-0000-0000-000026050000}"/>
    <cellStyle name="7_04HTS재료비030902_63342_mini재료비-041001_05-07-01 06년재료비_(R1500)05-07-19 재료비_개발회의(week21)_KMS-350" xfId="1319" xr:uid="{00000000-0005-0000-0000-000027050000}"/>
    <cellStyle name="7_04HTS재료비030902_63342_mini재료비-041001_05-07-01 06년재료비_05-07-12 06년재료비(Q120)" xfId="1320" xr:uid="{00000000-0005-0000-0000-000028050000}"/>
    <cellStyle name="7_04HTS재료비030902_63342_mini재료비-041001_05-07-01 06년재료비_05-07-12 06년재료비(Q120)_05-07-18 06년 HA 재료비_41184" xfId="1321" xr:uid="{00000000-0005-0000-0000-000029050000}"/>
    <cellStyle name="7_04HTS재료비030902_63342_mini재료비-041001_05-07-01 06년재료비_05-07-12 06년재료비(Q120)_05-07-18 06년 HA 재료비_41184_05-08-29 9월1주차HA_41184_김정" xfId="1322" xr:uid="{00000000-0005-0000-0000-00002A050000}"/>
    <cellStyle name="7_04HTS재료비030902_63342_mini재료비-041001_05-07-01 06년재료비_05-07-12 06년재료비(Q120)_05-07-18 06년 HA 재료비_41184_05-08-29 9월1주차HA_41184_김정_개발회의(week21)_KMS-350" xfId="1323" xr:uid="{00000000-0005-0000-0000-00002B050000}"/>
    <cellStyle name="7_04HTS재료비030902_63342_mini재료비-041001_05-07-01 06년재료비_05-07-12 06년재료비(Q120)_05-07-18 06년 HA 재료비_41184_개발회의(week21)_KMS-350" xfId="1324" xr:uid="{00000000-0005-0000-0000-00002C050000}"/>
    <cellStyle name="7_04HTS재료비030902_63342_mini재료비-041001_05-07-01 06년재료비_05-07-12 06년재료비(Q120)_05-08-29 9월1주차HA_41184_김정" xfId="1325" xr:uid="{00000000-0005-0000-0000-00002D050000}"/>
    <cellStyle name="7_04HTS재료비030902_63342_mini재료비-041001_05-07-01 06년재료비_05-07-12 06년재료비(Q120)_05-08-29 9월1주차HA_41184_김정_개발회의(week21)_KMS-350" xfId="1326" xr:uid="{00000000-0005-0000-0000-00002E050000}"/>
    <cellStyle name="7_04HTS재료비030902_63342_mini재료비-041001_05-07-01 06년재료비_05-07-12 06년재료비(Q120)_개발회의(week21)_KMS-350" xfId="1327" xr:uid="{00000000-0005-0000-0000-00002F050000}"/>
    <cellStyle name="7_04HTS재료비030902_63342_mini재료비-041001_05-07-01 06년재료비_05-07-14 06년재료비" xfId="1328" xr:uid="{00000000-0005-0000-0000-000030050000}"/>
    <cellStyle name="7_04HTS재료비030902_63342_mini재료비-041001_05-07-01 06년재료비_05-07-14 06년재료비_05-07-18 06년 HA 재료비_41184" xfId="1329" xr:uid="{00000000-0005-0000-0000-000031050000}"/>
    <cellStyle name="7_04HTS재료비030902_63342_mini재료비-041001_05-07-01 06년재료비_05-07-14 06년재료비_05-07-18 06년 HA 재료비_41184_05-08-29 9월1주차HA_41184_김정" xfId="1330" xr:uid="{00000000-0005-0000-0000-000032050000}"/>
    <cellStyle name="7_04HTS재료비030902_63342_mini재료비-041001_05-07-01 06년재료비_05-07-14 06년재료비_05-07-18 06년 HA 재료비_41184_05-08-29 9월1주차HA_41184_김정_개발회의(week21)_KMS-350" xfId="1331" xr:uid="{00000000-0005-0000-0000-000033050000}"/>
    <cellStyle name="7_04HTS재료비030902_63342_mini재료비-041001_05-07-01 06년재료비_05-07-14 06년재료비_05-07-18 06년 HA 재료비_41184_개발회의(week21)_KMS-350" xfId="1332" xr:uid="{00000000-0005-0000-0000-000034050000}"/>
    <cellStyle name="7_04HTS재료비030902_63342_mini재료비-041001_05-07-01 06년재료비_05-07-14 06년재료비_05-08-29 9월1주차HA_41184_김정" xfId="1333" xr:uid="{00000000-0005-0000-0000-000035050000}"/>
    <cellStyle name="7_04HTS재료비030902_63342_mini재료비-041001_05-07-01 06년재료비_05-07-14 06년재료비_05-08-29 9월1주차HA_41184_김정_개발회의(week21)_KMS-350" xfId="1334" xr:uid="{00000000-0005-0000-0000-000036050000}"/>
    <cellStyle name="7_04HTS재료비030902_63342_mini재료비-041001_05-07-01 06년재료비_05-07-14 06년재료비_개발회의(week21)_KMS-350" xfId="1335" xr:uid="{00000000-0005-0000-0000-000037050000}"/>
    <cellStyle name="7_04HTS재료비030902_63342_mini재료비-041001_05-07-01 06년재료비_05-07-15 06년재료비 기구스피커" xfId="1336" xr:uid="{00000000-0005-0000-0000-000038050000}"/>
    <cellStyle name="7_04HTS재료비030902_63342_mini재료비-041001_05-07-01 06년재료비_05-07-15 06년재료비 기구스피커_05-07-18 06년 HA 재료비_41184" xfId="1337" xr:uid="{00000000-0005-0000-0000-000039050000}"/>
    <cellStyle name="7_04HTS재료비030902_63342_mini재료비-041001_05-07-01 06년재료비_05-07-15 06년재료비 기구스피커_05-07-18 06년 HA 재료비_41184_05-08-29 9월1주차HA_41184_김정" xfId="1338" xr:uid="{00000000-0005-0000-0000-00003A050000}"/>
    <cellStyle name="7_04HTS재료비030902_63342_mini재료비-041001_05-07-01 06년재료비_05-07-15 06년재료비 기구스피커_05-07-18 06년 HA 재료비_41184_05-08-29 9월1주차HA_41184_김정_개발회의(week21)_KMS-350" xfId="1339" xr:uid="{00000000-0005-0000-0000-00003B050000}"/>
    <cellStyle name="7_04HTS재료비030902_63342_mini재료비-041001_05-07-01 06년재료비_05-07-15 06년재료비 기구스피커_05-07-18 06년 HA 재료비_41184_개발회의(week21)_KMS-350" xfId="1340" xr:uid="{00000000-0005-0000-0000-00003C050000}"/>
    <cellStyle name="7_04HTS재료비030902_63342_mini재료비-041001_05-07-01 06년재료비_05-07-15 06년재료비 기구스피커_05-08-29 9월1주차HA_41184_김정" xfId="1341" xr:uid="{00000000-0005-0000-0000-00003D050000}"/>
    <cellStyle name="7_04HTS재료비030902_63342_mini재료비-041001_05-07-01 06년재료비_05-07-15 06년재료비 기구스피커_05-08-29 9월1주차HA_41184_김정_개발회의(week21)_KMS-350" xfId="1342" xr:uid="{00000000-0005-0000-0000-00003E050000}"/>
    <cellStyle name="7_04HTS재료비030902_63342_mini재료비-041001_05-07-01 06년재료비_05-07-15 06년재료비 기구스피커_개발회의(week21)_KMS-350" xfId="1343" xr:uid="{00000000-0005-0000-0000-00003F050000}"/>
    <cellStyle name="7_04HTS재료비030902_63342_mini재료비-041001_05-07-01 06년재료비_05-07-18 06년 HA 재료비" xfId="1344" xr:uid="{00000000-0005-0000-0000-000040050000}"/>
    <cellStyle name="7_04HTS재료비030902_63342_mini재료비-041001_05-07-01 06년재료비_05-07-18 06년 HA 재료비_05-07-18 06년 HA 재료비_41184" xfId="1345" xr:uid="{00000000-0005-0000-0000-000041050000}"/>
    <cellStyle name="7_04HTS재료비030902_63342_mini재료비-041001_05-07-01 06년재료비_05-07-18 06년 HA 재료비_05-07-18 06년 HA 재료비_41184_05-08-29 9월1주차HA_41184_김정" xfId="1346" xr:uid="{00000000-0005-0000-0000-000042050000}"/>
    <cellStyle name="7_04HTS재료비030902_63342_mini재료비-041001_05-07-01 06년재료비_05-07-18 06년 HA 재료비_05-07-18 06년 HA 재료비_41184_05-08-29 9월1주차HA_41184_김정_개발회의(week21)_KMS-350" xfId="1347" xr:uid="{00000000-0005-0000-0000-000043050000}"/>
    <cellStyle name="7_04HTS재료비030902_63342_mini재료비-041001_05-07-01 06년재료비_05-07-18 06년 HA 재료비_05-07-18 06년 HA 재료비_41184_개발회의(week21)_KMS-350" xfId="1348" xr:uid="{00000000-0005-0000-0000-000044050000}"/>
    <cellStyle name="7_04HTS재료비030902_63342_mini재료비-041001_05-07-01 06년재료비_05-07-18 06년 HA 재료비_05-08-29 9월1주차HA_41184_김정" xfId="1349" xr:uid="{00000000-0005-0000-0000-000045050000}"/>
    <cellStyle name="7_04HTS재료비030902_63342_mini재료비-041001_05-07-01 06년재료비_05-07-18 06년 HA 재료비_05-08-29 9월1주차HA_41184_김정_개발회의(week21)_KMS-350" xfId="1350" xr:uid="{00000000-0005-0000-0000-000046050000}"/>
    <cellStyle name="7_04HTS재료비030902_63342_mini재료비-041001_05-07-01 06년재료비_05-07-18 06년 HA 재료비_41184" xfId="1351" xr:uid="{00000000-0005-0000-0000-000047050000}"/>
    <cellStyle name="7_04HTS재료비030902_63342_mini재료비-041001_05-07-01 06년재료비_05-07-18 06년 HA 재료비_41184_05-08-29 9월1주차HA_41184_김정" xfId="1352" xr:uid="{00000000-0005-0000-0000-000048050000}"/>
    <cellStyle name="7_04HTS재료비030902_63342_mini재료비-041001_05-07-01 06년재료비_05-07-18 06년 HA 재료비_41184_05-08-29 9월1주차HA_41184_김정_개발회의(week21)_KMS-350" xfId="1353" xr:uid="{00000000-0005-0000-0000-000049050000}"/>
    <cellStyle name="7_04HTS재료비030902_63342_mini재료비-041001_05-07-01 06년재료비_05-07-18 06년 HA 재료비_41184_개발회의(week21)_KMS-350" xfId="1354" xr:uid="{00000000-0005-0000-0000-00004A050000}"/>
    <cellStyle name="7_04HTS재료비030902_63342_mini재료비-041001_05-07-01 06년재료비_05-07-18 06년 HA 재료비_개발회의(week21)_KMS-350" xfId="1355" xr:uid="{00000000-0005-0000-0000-00004B050000}"/>
    <cellStyle name="7_04HTS재료비030902_63342_mini재료비-041001_05-07-01 06년재료비_05-07-23 06년 HA 재료비" xfId="1356" xr:uid="{00000000-0005-0000-0000-00004C050000}"/>
    <cellStyle name="7_04HTS재료비030902_63342_mini재료비-041001_05-07-01 06년재료비_05-07-23 06년 HA 재료비_05-08-29 9월1주차HA_41184_김정" xfId="1357" xr:uid="{00000000-0005-0000-0000-00004D050000}"/>
    <cellStyle name="7_04HTS재료비030902_63342_mini재료비-041001_05-07-01 06년재료비_05-07-23 06년 HA 재료비_05-08-29 9월1주차HA_41184_김정_개발회의(week21)_KMS-350" xfId="1358" xr:uid="{00000000-0005-0000-0000-00004E050000}"/>
    <cellStyle name="7_04HTS재료비030902_63342_mini재료비-041001_05-07-01 06년재료비_05-07-23 06년 HA 재료비_개발회의(week21)_KMS-350" xfId="1359" xr:uid="{00000000-0005-0000-0000-00004F050000}"/>
    <cellStyle name="7_04HTS재료비030902_63342_mini재료비-041001_05-07-01 06년재료비_05-07-25 06년 HA 재료비_H2000" xfId="1360" xr:uid="{00000000-0005-0000-0000-000050050000}"/>
    <cellStyle name="7_04HTS재료비030902_63342_mini재료비-041001_05-07-01 06년재료비_05-07-25 06년 HA 재료비_H2000_05-08-29 9월1주차HA_41184_김정" xfId="1361" xr:uid="{00000000-0005-0000-0000-000051050000}"/>
    <cellStyle name="7_04HTS재료비030902_63342_mini재료비-041001_05-07-01 06년재료비_05-07-25 06년 HA 재료비_H2000_05-08-29 9월1주차HA_41184_김정_개발회의(week21)_KMS-350" xfId="1362" xr:uid="{00000000-0005-0000-0000-000052050000}"/>
    <cellStyle name="7_04HTS재료비030902_63342_mini재료비-041001_05-07-01 06년재료비_05-07-25 06년 HA 재료비_H2000_개발회의(week21)_KMS-350" xfId="1363" xr:uid="{00000000-0005-0000-0000-000053050000}"/>
    <cellStyle name="7_04HTS재료비030902_63342_mini재료비-041001_05-07-01 06년재료비_05-07-26 06년 HA 재료비_41184" xfId="1364" xr:uid="{00000000-0005-0000-0000-000054050000}"/>
    <cellStyle name="7_04HTS재료비030902_63342_mini재료비-041001_05-07-01 06년재료비_05-07-26 06년 HA 재료비_41184_05-08-29 9월1주차HA_41184_김정" xfId="1365" xr:uid="{00000000-0005-0000-0000-000055050000}"/>
    <cellStyle name="7_04HTS재료비030902_63342_mini재료비-041001_05-07-01 06년재료비_05-07-26 06년 HA 재료비_41184_05-08-29 9월1주차HA_41184_김정_개발회의(week21)_KMS-350" xfId="1366" xr:uid="{00000000-0005-0000-0000-000056050000}"/>
    <cellStyle name="7_04HTS재료비030902_63342_mini재료비-041001_05-07-01 06년재료비_05-07-26 06년 HA 재료비_41184_개발회의(week21)_KMS-350" xfId="1367" xr:uid="{00000000-0005-0000-0000-000057050000}"/>
    <cellStyle name="7_04HTS재료비030902_63342_mini재료비-041001_05-07-01 06년재료비_05-07-26 06년 HA 재료비1" xfId="1368" xr:uid="{00000000-0005-0000-0000-000058050000}"/>
    <cellStyle name="7_04HTS재료비030902_63342_mini재료비-041001_05-07-01 06년재료비_05-07-26 06년 HA 재료비1_05-08-29 9월1주차HA_41184_김정" xfId="1369" xr:uid="{00000000-0005-0000-0000-000059050000}"/>
    <cellStyle name="7_04HTS재료비030902_63342_mini재료비-041001_05-07-01 06년재료비_05-07-26 06년 HA 재료비1_05-08-29 9월1주차HA_41184_김정_개발회의(week21)_KMS-350" xfId="1370" xr:uid="{00000000-0005-0000-0000-00005A050000}"/>
    <cellStyle name="7_04HTS재료비030902_63342_mini재료비-041001_05-07-01 06년재료비_05-07-26 06년 HA 재료비1_개발회의(week21)_KMS-350" xfId="1371" xr:uid="{00000000-0005-0000-0000-00005B050000}"/>
    <cellStyle name="7_04HTS재료비030902_63342_mini재료비-041001_05-07-01 06년재료비_05-08-29 9월1주차HA_41184_김정" xfId="1372" xr:uid="{00000000-0005-0000-0000-00005C050000}"/>
    <cellStyle name="7_04HTS재료비030902_63342_mini재료비-041001_05-07-01 06년재료비_05-08-29 9월1주차HA_41184_김정_개발회의(week21)_KMS-350" xfId="1373" xr:uid="{00000000-0005-0000-0000-00005D050000}"/>
    <cellStyle name="7_04HTS재료비030902_63342_mini재료비-041001_05-07-01 06년재료비_개발회의(week21)_KMS-350" xfId="1374" xr:uid="{00000000-0005-0000-0000-00005E050000}"/>
    <cellStyle name="7_04HTS재료비030902_63342_mini재료비-041001_05-07-05 06년재료비_41184" xfId="1375" xr:uid="{00000000-0005-0000-0000-00005F050000}"/>
    <cellStyle name="7_04HTS재료비030902_63342_mini재료비-041001_05-07-05 06년재료비_41184_(Q80)05-07-12 06년재료비" xfId="1376" xr:uid="{00000000-0005-0000-0000-000060050000}"/>
    <cellStyle name="7_04HTS재료비030902_63342_mini재료비-041001_05-07-05 06년재료비_41184_(Q80)05-07-12 06년재료비_05-07-18 06년 HA 재료비_41184" xfId="1377" xr:uid="{00000000-0005-0000-0000-000061050000}"/>
    <cellStyle name="7_04HTS재료비030902_63342_mini재료비-041001_05-07-05 06년재료비_41184_(Q80)05-07-12 06년재료비_05-07-18 06년 HA 재료비_41184_05-08-29 9월1주차HA_41184_김정" xfId="1378" xr:uid="{00000000-0005-0000-0000-000062050000}"/>
    <cellStyle name="7_04HTS재료비030902_63342_mini재료비-041001_05-07-05 06년재료비_41184_(Q80)05-07-12 06년재료비_05-07-18 06년 HA 재료비_41184_05-08-29 9월1주차HA_41184_김정_개발회의(week21)_KMS-350" xfId="1379" xr:uid="{00000000-0005-0000-0000-000063050000}"/>
    <cellStyle name="7_04HTS재료비030902_63342_mini재료비-041001_05-07-05 06년재료비_41184_(Q80)05-07-12 06년재료비_05-07-18 06년 HA 재료비_41184_개발회의(week21)_KMS-350" xfId="1380" xr:uid="{00000000-0005-0000-0000-000064050000}"/>
    <cellStyle name="7_04HTS재료비030902_63342_mini재료비-041001_05-07-05 06년재료비_41184_(Q80)05-07-12 06년재료비_05-08-29 9월1주차HA_41184_김정" xfId="1381" xr:uid="{00000000-0005-0000-0000-000065050000}"/>
    <cellStyle name="7_04HTS재료비030902_63342_mini재료비-041001_05-07-05 06년재료비_41184_(Q80)05-07-12 06년재료비_05-08-29 9월1주차HA_41184_김정_개발회의(week21)_KMS-350" xfId="1382" xr:uid="{00000000-0005-0000-0000-000066050000}"/>
    <cellStyle name="7_04HTS재료비030902_63342_mini재료비-041001_05-07-05 06년재료비_41184_(Q80)05-07-12 06년재료비_개발회의(week21)_KMS-350" xfId="1383" xr:uid="{00000000-0005-0000-0000-000067050000}"/>
    <cellStyle name="7_04HTS재료비030902_63342_mini재료비-041001_05-07-05 06년재료비_41184_(R1500)05-07-19 재료비" xfId="1384" xr:uid="{00000000-0005-0000-0000-000068050000}"/>
    <cellStyle name="7_04HTS재료비030902_63342_mini재료비-041001_05-07-05 06년재료비_41184_(R1500)05-07-19 재료비_05-08-29 9월1주차HA_41184_김정" xfId="1385" xr:uid="{00000000-0005-0000-0000-000069050000}"/>
    <cellStyle name="7_04HTS재료비030902_63342_mini재료비-041001_05-07-05 06년재료비_41184_(R1500)05-07-19 재료비_05-08-29 9월1주차HA_41184_김정_개발회의(week21)_KMS-350" xfId="1386" xr:uid="{00000000-0005-0000-0000-00006A050000}"/>
    <cellStyle name="7_04HTS재료비030902_63342_mini재료비-041001_05-07-05 06년재료비_41184_(R1500)05-07-19 재료비_개발회의(week21)_KMS-350" xfId="1387" xr:uid="{00000000-0005-0000-0000-00006B050000}"/>
    <cellStyle name="7_04HTS재료비030902_63342_mini재료비-041001_05-07-05 06년재료비_41184_05-07-12 06년재료비(Q120)" xfId="1388" xr:uid="{00000000-0005-0000-0000-00006C050000}"/>
    <cellStyle name="7_04HTS재료비030902_63342_mini재료비-041001_05-07-05 06년재료비_41184_05-07-12 06년재료비(Q120)_05-07-18 06년 HA 재료비_41184" xfId="1389" xr:uid="{00000000-0005-0000-0000-00006D050000}"/>
    <cellStyle name="7_04HTS재료비030902_63342_mini재료비-041001_05-07-05 06년재료비_41184_05-07-12 06년재료비(Q120)_05-07-18 06년 HA 재료비_41184_05-08-29 9월1주차HA_41184_김정" xfId="1390" xr:uid="{00000000-0005-0000-0000-00006E050000}"/>
    <cellStyle name="7_04HTS재료비030902_63342_mini재료비-041001_05-07-05 06년재료비_41184_05-07-12 06년재료비(Q120)_05-07-18 06년 HA 재료비_41184_05-08-29 9월1주차HA_41184_김정_개발회의(week21)_KMS-350" xfId="1391" xr:uid="{00000000-0005-0000-0000-00006F050000}"/>
    <cellStyle name="7_04HTS재료비030902_63342_mini재료비-041001_05-07-05 06년재료비_41184_05-07-12 06년재료비(Q120)_05-07-18 06년 HA 재료비_41184_개발회의(week21)_KMS-350" xfId="1392" xr:uid="{00000000-0005-0000-0000-000070050000}"/>
    <cellStyle name="7_04HTS재료비030902_63342_mini재료비-041001_05-07-05 06년재료비_41184_05-07-12 06년재료비(Q120)_05-08-29 9월1주차HA_41184_김정" xfId="1393" xr:uid="{00000000-0005-0000-0000-000071050000}"/>
    <cellStyle name="7_04HTS재료비030902_63342_mini재료비-041001_05-07-05 06년재료비_41184_05-07-12 06년재료비(Q120)_05-08-29 9월1주차HA_41184_김정_개발회의(week21)_KMS-350" xfId="1394" xr:uid="{00000000-0005-0000-0000-000072050000}"/>
    <cellStyle name="7_04HTS재료비030902_63342_mini재료비-041001_05-07-05 06년재료비_41184_05-07-12 06년재료비(Q120)_개발회의(week21)_KMS-350" xfId="1395" xr:uid="{00000000-0005-0000-0000-000073050000}"/>
    <cellStyle name="7_04HTS재료비030902_63342_mini재료비-041001_05-07-05 06년재료비_41184_05-07-14 06년재료비" xfId="1396" xr:uid="{00000000-0005-0000-0000-000074050000}"/>
    <cellStyle name="7_04HTS재료비030902_63342_mini재료비-041001_05-07-05 06년재료비_41184_05-07-14 06년재료비_05-07-18 06년 HA 재료비_41184" xfId="1397" xr:uid="{00000000-0005-0000-0000-000075050000}"/>
    <cellStyle name="7_04HTS재료비030902_63342_mini재료비-041001_05-07-05 06년재료비_41184_05-07-14 06년재료비_05-07-18 06년 HA 재료비_41184_05-08-29 9월1주차HA_41184_김정" xfId="1398" xr:uid="{00000000-0005-0000-0000-000076050000}"/>
    <cellStyle name="7_04HTS재료비030902_63342_mini재료비-041001_05-07-05 06년재료비_41184_05-07-14 06년재료비_05-07-18 06년 HA 재료비_41184_05-08-29 9월1주차HA_41184_김정_개발회의(week21)_KMS-350" xfId="1399" xr:uid="{00000000-0005-0000-0000-000077050000}"/>
    <cellStyle name="7_04HTS재료비030902_63342_mini재료비-041001_05-07-05 06년재료비_41184_05-07-14 06년재료비_05-07-18 06년 HA 재료비_41184_개발회의(week21)_KMS-350" xfId="1400" xr:uid="{00000000-0005-0000-0000-000078050000}"/>
    <cellStyle name="7_04HTS재료비030902_63342_mini재료비-041001_05-07-05 06년재료비_41184_05-07-14 06년재료비_05-08-29 9월1주차HA_41184_김정" xfId="1401" xr:uid="{00000000-0005-0000-0000-000079050000}"/>
    <cellStyle name="7_04HTS재료비030902_63342_mini재료비-041001_05-07-05 06년재료비_41184_05-07-14 06년재료비_05-08-29 9월1주차HA_41184_김정_개발회의(week21)_KMS-350" xfId="1402" xr:uid="{00000000-0005-0000-0000-00007A050000}"/>
    <cellStyle name="7_04HTS재료비030902_63342_mini재료비-041001_05-07-05 06년재료비_41184_05-07-14 06년재료비_개발회의(week21)_KMS-350" xfId="1403" xr:uid="{00000000-0005-0000-0000-00007B050000}"/>
    <cellStyle name="7_04HTS재료비030902_63342_mini재료비-041001_05-07-05 06년재료비_41184_05-07-15 06년재료비 기구스피커" xfId="1404" xr:uid="{00000000-0005-0000-0000-00007C050000}"/>
    <cellStyle name="7_04HTS재료비030902_63342_mini재료비-041001_05-07-05 06년재료비_41184_05-07-15 06년재료비 기구스피커_05-07-18 06년 HA 재료비_41184" xfId="1405" xr:uid="{00000000-0005-0000-0000-00007D050000}"/>
    <cellStyle name="7_04HTS재료비030902_63342_mini재료비-041001_05-07-05 06년재료비_41184_05-07-15 06년재료비 기구스피커_05-07-18 06년 HA 재료비_41184_05-08-29 9월1주차HA_41184_김정" xfId="1406" xr:uid="{00000000-0005-0000-0000-00007E050000}"/>
    <cellStyle name="7_04HTS재료비030902_63342_mini재료비-041001_05-07-05 06년재료비_41184_05-07-15 06년재료비 기구스피커_05-07-18 06년 HA 재료비_41184_05-08-29 9월1주차HA_41184_김정_개발회의(week21)_KMS-350" xfId="1407" xr:uid="{00000000-0005-0000-0000-00007F050000}"/>
    <cellStyle name="7_04HTS재료비030902_63342_mini재료비-041001_05-07-05 06년재료비_41184_05-07-15 06년재료비 기구스피커_05-07-18 06년 HA 재료비_41184_개발회의(week21)_KMS-350" xfId="1408" xr:uid="{00000000-0005-0000-0000-000080050000}"/>
    <cellStyle name="7_04HTS재료비030902_63342_mini재료비-041001_05-07-05 06년재료비_41184_05-07-15 06년재료비 기구스피커_05-08-29 9월1주차HA_41184_김정" xfId="1409" xr:uid="{00000000-0005-0000-0000-000081050000}"/>
    <cellStyle name="7_04HTS재료비030902_63342_mini재료비-041001_05-07-05 06년재료비_41184_05-07-15 06년재료비 기구스피커_05-08-29 9월1주차HA_41184_김정_개발회의(week21)_KMS-350" xfId="1410" xr:uid="{00000000-0005-0000-0000-000082050000}"/>
    <cellStyle name="7_04HTS재료비030902_63342_mini재료비-041001_05-07-05 06년재료비_41184_05-07-15 06년재료비 기구스피커_개발회의(week21)_KMS-350" xfId="1411" xr:uid="{00000000-0005-0000-0000-000083050000}"/>
    <cellStyle name="7_04HTS재료비030902_63342_mini재료비-041001_05-07-05 06년재료비_41184_05-07-18 06년 HA 재료비" xfId="1412" xr:uid="{00000000-0005-0000-0000-000084050000}"/>
    <cellStyle name="7_04HTS재료비030902_63342_mini재료비-041001_05-07-05 06년재료비_41184_05-07-18 06년 HA 재료비_05-07-18 06년 HA 재료비_41184" xfId="1413" xr:uid="{00000000-0005-0000-0000-000085050000}"/>
    <cellStyle name="7_04HTS재료비030902_63342_mini재료비-041001_05-07-05 06년재료비_41184_05-07-18 06년 HA 재료비_05-07-18 06년 HA 재료비_41184_05-08-29 9월1주차HA_41184_김정" xfId="1414" xr:uid="{00000000-0005-0000-0000-000086050000}"/>
    <cellStyle name="7_04HTS재료비030902_63342_mini재료비-041001_05-07-05 06년재료비_41184_05-07-18 06년 HA 재료비_05-07-18 06년 HA 재료비_41184_05-08-29 9월1주차HA_41184_김정_개발회의(week21)_KMS-350" xfId="1415" xr:uid="{00000000-0005-0000-0000-000087050000}"/>
    <cellStyle name="7_04HTS재료비030902_63342_mini재료비-041001_05-07-05 06년재료비_41184_05-07-18 06년 HA 재료비_05-07-18 06년 HA 재료비_41184_개발회의(week21)_KMS-350" xfId="1416" xr:uid="{00000000-0005-0000-0000-000088050000}"/>
    <cellStyle name="7_04HTS재료비030902_63342_mini재료비-041001_05-07-05 06년재료비_41184_05-07-18 06년 HA 재료비_05-08-29 9월1주차HA_41184_김정" xfId="1417" xr:uid="{00000000-0005-0000-0000-000089050000}"/>
    <cellStyle name="7_04HTS재료비030902_63342_mini재료비-041001_05-07-05 06년재료비_41184_05-07-18 06년 HA 재료비_05-08-29 9월1주차HA_41184_김정_개발회의(week21)_KMS-350" xfId="1418" xr:uid="{00000000-0005-0000-0000-00008A050000}"/>
    <cellStyle name="7_04HTS재료비030902_63342_mini재료비-041001_05-07-05 06년재료비_41184_05-07-18 06년 HA 재료비_41184" xfId="1419" xr:uid="{00000000-0005-0000-0000-00008B050000}"/>
    <cellStyle name="7_04HTS재료비030902_63342_mini재료비-041001_05-07-05 06년재료비_41184_05-07-18 06년 HA 재료비_41184_05-08-29 9월1주차HA_41184_김정" xfId="1420" xr:uid="{00000000-0005-0000-0000-00008C050000}"/>
    <cellStyle name="7_04HTS재료비030902_63342_mini재료비-041001_05-07-05 06년재료비_41184_05-07-18 06년 HA 재료비_41184_05-08-29 9월1주차HA_41184_김정_개발회의(week21)_KMS-350" xfId="1421" xr:uid="{00000000-0005-0000-0000-00008D050000}"/>
    <cellStyle name="7_04HTS재료비030902_63342_mini재료비-041001_05-07-05 06년재료비_41184_05-07-18 06년 HA 재료비_41184_개발회의(week21)_KMS-350" xfId="1422" xr:uid="{00000000-0005-0000-0000-00008E050000}"/>
    <cellStyle name="7_04HTS재료비030902_63342_mini재료비-041001_05-07-05 06년재료비_41184_05-07-18 06년 HA 재료비_개발회의(week21)_KMS-350" xfId="1423" xr:uid="{00000000-0005-0000-0000-00008F050000}"/>
    <cellStyle name="7_04HTS재료비030902_63342_mini재료비-041001_05-07-05 06년재료비_41184_05-07-23 06년 HA 재료비" xfId="1424" xr:uid="{00000000-0005-0000-0000-000090050000}"/>
    <cellStyle name="7_04HTS재료비030902_63342_mini재료비-041001_05-07-05 06년재료비_41184_05-07-23 06년 HA 재료비_05-08-29 9월1주차HA_41184_김정" xfId="1425" xr:uid="{00000000-0005-0000-0000-000091050000}"/>
    <cellStyle name="7_04HTS재료비030902_63342_mini재료비-041001_05-07-05 06년재료비_41184_05-07-23 06년 HA 재료비_05-08-29 9월1주차HA_41184_김정_개발회의(week21)_KMS-350" xfId="1426" xr:uid="{00000000-0005-0000-0000-000092050000}"/>
    <cellStyle name="7_04HTS재료비030902_63342_mini재료비-041001_05-07-05 06년재료비_41184_05-07-23 06년 HA 재료비_개발회의(week21)_KMS-350" xfId="1427" xr:uid="{00000000-0005-0000-0000-000093050000}"/>
    <cellStyle name="7_04HTS재료비030902_63342_mini재료비-041001_05-07-05 06년재료비_41184_05-07-25 06년 HA 재료비_H2000" xfId="1428" xr:uid="{00000000-0005-0000-0000-000094050000}"/>
    <cellStyle name="7_04HTS재료비030902_63342_mini재료비-041001_05-07-05 06년재료비_41184_05-07-25 06년 HA 재료비_H2000_05-08-29 9월1주차HA_41184_김정" xfId="1429" xr:uid="{00000000-0005-0000-0000-000095050000}"/>
    <cellStyle name="7_04HTS재료비030902_63342_mini재료비-041001_05-07-05 06년재료비_41184_05-07-25 06년 HA 재료비_H2000_05-08-29 9월1주차HA_41184_김정_개발회의(week21)_KMS-350" xfId="1430" xr:uid="{00000000-0005-0000-0000-000096050000}"/>
    <cellStyle name="7_04HTS재료비030902_63342_mini재료비-041001_05-07-05 06년재료비_41184_05-07-25 06년 HA 재료비_H2000_개발회의(week21)_KMS-350" xfId="1431" xr:uid="{00000000-0005-0000-0000-000097050000}"/>
    <cellStyle name="7_04HTS재료비030902_63342_mini재료비-041001_05-07-05 06년재료비_41184_05-07-26 06년 HA 재료비_41184" xfId="1432" xr:uid="{00000000-0005-0000-0000-000098050000}"/>
    <cellStyle name="7_04HTS재료비030902_63342_mini재료비-041001_05-07-05 06년재료비_41184_05-07-26 06년 HA 재료비_41184_05-08-29 9월1주차HA_41184_김정" xfId="1433" xr:uid="{00000000-0005-0000-0000-000099050000}"/>
    <cellStyle name="7_04HTS재료비030902_63342_mini재료비-041001_05-07-05 06년재료비_41184_05-07-26 06년 HA 재료비_41184_05-08-29 9월1주차HA_41184_김정_개발회의(week21)_KMS-350" xfId="1434" xr:uid="{00000000-0005-0000-0000-00009A050000}"/>
    <cellStyle name="7_04HTS재료비030902_63342_mini재료비-041001_05-07-05 06년재료비_41184_05-07-26 06년 HA 재료비_41184_개발회의(week21)_KMS-350" xfId="1435" xr:uid="{00000000-0005-0000-0000-00009B050000}"/>
    <cellStyle name="7_04HTS재료비030902_63342_mini재료비-041001_05-07-05 06년재료비_41184_05-07-26 06년 HA 재료비1" xfId="1436" xr:uid="{00000000-0005-0000-0000-00009C050000}"/>
    <cellStyle name="7_04HTS재료비030902_63342_mini재료비-041001_05-07-05 06년재료비_41184_05-07-26 06년 HA 재료비1_05-08-29 9월1주차HA_41184_김정" xfId="1437" xr:uid="{00000000-0005-0000-0000-00009D050000}"/>
    <cellStyle name="7_04HTS재료비030902_63342_mini재료비-041001_05-07-05 06년재료비_41184_05-07-26 06년 HA 재료비1_05-08-29 9월1주차HA_41184_김정_개발회의(week21)_KMS-350" xfId="1438" xr:uid="{00000000-0005-0000-0000-00009E050000}"/>
    <cellStyle name="7_04HTS재료비030902_63342_mini재료비-041001_05-07-05 06년재료비_41184_05-07-26 06년 HA 재료비1_개발회의(week21)_KMS-350" xfId="1439" xr:uid="{00000000-0005-0000-0000-00009F050000}"/>
    <cellStyle name="7_04HTS재료비030902_63342_mini재료비-041001_05-07-05 06년재료비_41184_05-08-29 9월1주차HA_41184_김정" xfId="1440" xr:uid="{00000000-0005-0000-0000-0000A0050000}"/>
    <cellStyle name="7_04HTS재료비030902_63342_mini재료비-041001_05-07-05 06년재료비_41184_05-08-29 9월1주차HA_41184_김정_개발회의(week21)_KMS-350" xfId="1441" xr:uid="{00000000-0005-0000-0000-0000A1050000}"/>
    <cellStyle name="7_04HTS재료비030902_63342_mini재료비-041001_05-07-05 06년재료비_41184_개발회의(week21)_KMS-350" xfId="1442" xr:uid="{00000000-0005-0000-0000-0000A2050000}"/>
    <cellStyle name="7_04HTS재료비030902_63342_mini재료비-041001_05-07-18 06년 HA 재료비_41184" xfId="1443" xr:uid="{00000000-0005-0000-0000-0000A3050000}"/>
    <cellStyle name="7_04HTS재료비030902_63342_mini재료비-041001_05-07-18 06년 HA 재료비_41184_05-08-29 9월1주차HA_41184_김정" xfId="1444" xr:uid="{00000000-0005-0000-0000-0000A4050000}"/>
    <cellStyle name="7_04HTS재료비030902_63342_mini재료비-041001_05-07-18 06년 HA 재료비_41184_05-08-29 9월1주차HA_41184_김정_개발회의(week21)_KMS-350" xfId="1445" xr:uid="{00000000-0005-0000-0000-0000A5050000}"/>
    <cellStyle name="7_04HTS재료비030902_63342_mini재료비-041001_05-07-18 06년 HA 재료비_41184_개발회의(week21)_KMS-350" xfId="1446" xr:uid="{00000000-0005-0000-0000-0000A6050000}"/>
    <cellStyle name="7_04HTS재료비030902_63342_mini재료비-041001_05-08-29 9월1주차HA_41184_김정" xfId="1447" xr:uid="{00000000-0005-0000-0000-0000A7050000}"/>
    <cellStyle name="7_04HTS재료비030902_63342_mini재료비-041001_05-08-29 9월1주차HA_41184_김정_개발회의(week21)_KMS-350" xfId="1448" xr:uid="{00000000-0005-0000-0000-0000A8050000}"/>
    <cellStyle name="7_04HTS재료비030902_63342_mini재료비-041001_개발회의(week21)_KMS-350" xfId="1449" xr:uid="{00000000-0005-0000-0000-0000A9050000}"/>
    <cellStyle name="7_04HTS재료비030902_63342_개발회의(week21)_KMS-350" xfId="1161" xr:uid="{00000000-0005-0000-0000-000089040000}"/>
    <cellStyle name="7_04HTS재료비030902_63342_자재비절감(회의)-050110_63342" xfId="1162" xr:uid="{00000000-0005-0000-0000-00008A040000}"/>
    <cellStyle name="7_04HTS재료비030902_63342_자재비절감(회의)-050110_63342_05-07-01 06년재료비" xfId="1163" xr:uid="{00000000-0005-0000-0000-00008B040000}"/>
    <cellStyle name="7_04HTS재료비030902_63342_자재비절감(회의)-050110_63342_05-07-01 06년재료비_(Q80)05-07-12 06년재료비" xfId="1164" xr:uid="{00000000-0005-0000-0000-00008C040000}"/>
    <cellStyle name="7_04HTS재료비030902_63342_자재비절감(회의)-050110_63342_05-07-01 06년재료비_(Q80)05-07-12 06년재료비_05-07-18 06년 HA 재료비_41184" xfId="1165" xr:uid="{00000000-0005-0000-0000-00008D040000}"/>
    <cellStyle name="7_04HTS재료비030902_63342_자재비절감(회의)-050110_63342_05-07-01 06년재료비_(Q80)05-07-12 06년재료비_05-07-18 06년 HA 재료비_41184_05-08-29 9월1주차HA_41184_김정" xfId="1166" xr:uid="{00000000-0005-0000-0000-00008E040000}"/>
    <cellStyle name="7_04HTS재료비030902_63342_자재비절감(회의)-050110_63342_05-07-01 06년재료비_(Q80)05-07-12 06년재료비_05-07-18 06년 HA 재료비_41184_05-08-29 9월1주차HA_41184_김정_개발회의(week21)_KMS-350" xfId="1167" xr:uid="{00000000-0005-0000-0000-00008F040000}"/>
    <cellStyle name="7_04HTS재료비030902_63342_자재비절감(회의)-050110_63342_05-07-01 06년재료비_(Q80)05-07-12 06년재료비_05-07-18 06년 HA 재료비_41184_개발회의(week21)_KMS-350" xfId="1168" xr:uid="{00000000-0005-0000-0000-000090040000}"/>
    <cellStyle name="7_04HTS재료비030902_63342_자재비절감(회의)-050110_63342_05-07-01 06년재료비_(Q80)05-07-12 06년재료비_05-08-29 9월1주차HA_41184_김정" xfId="1169" xr:uid="{00000000-0005-0000-0000-000091040000}"/>
    <cellStyle name="7_04HTS재료비030902_63342_자재비절감(회의)-050110_63342_05-07-01 06년재료비_(Q80)05-07-12 06년재료비_05-08-29 9월1주차HA_41184_김정_개발회의(week21)_KMS-350" xfId="1170" xr:uid="{00000000-0005-0000-0000-000092040000}"/>
    <cellStyle name="7_04HTS재료비030902_63342_자재비절감(회의)-050110_63342_05-07-01 06년재료비_(Q80)05-07-12 06년재료비_개발회의(week21)_KMS-350" xfId="1171" xr:uid="{00000000-0005-0000-0000-000093040000}"/>
    <cellStyle name="7_04HTS재료비030902_63342_자재비절감(회의)-050110_63342_05-07-01 06년재료비_(R1500)05-07-19 재료비" xfId="1172" xr:uid="{00000000-0005-0000-0000-000094040000}"/>
    <cellStyle name="7_04HTS재료비030902_63342_자재비절감(회의)-050110_63342_05-07-01 06년재료비_(R1500)05-07-19 재료비_05-08-29 9월1주차HA_41184_김정" xfId="1173" xr:uid="{00000000-0005-0000-0000-000095040000}"/>
    <cellStyle name="7_04HTS재료비030902_63342_자재비절감(회의)-050110_63342_05-07-01 06년재료비_(R1500)05-07-19 재료비_05-08-29 9월1주차HA_41184_김정_개발회의(week21)_KMS-350" xfId="1174" xr:uid="{00000000-0005-0000-0000-000096040000}"/>
    <cellStyle name="7_04HTS재료비030902_63342_자재비절감(회의)-050110_63342_05-07-01 06년재료비_(R1500)05-07-19 재료비_개발회의(week21)_KMS-350" xfId="1175" xr:uid="{00000000-0005-0000-0000-000097040000}"/>
    <cellStyle name="7_04HTS재료비030902_63342_자재비절감(회의)-050110_63342_05-07-01 06년재료비_05-07-12 06년재료비(Q120)" xfId="1176" xr:uid="{00000000-0005-0000-0000-000098040000}"/>
    <cellStyle name="7_04HTS재료비030902_63342_자재비절감(회의)-050110_63342_05-07-01 06년재료비_05-07-12 06년재료비(Q120)_05-07-18 06년 HA 재료비_41184" xfId="1177" xr:uid="{00000000-0005-0000-0000-000099040000}"/>
    <cellStyle name="7_04HTS재료비030902_63342_자재비절감(회의)-050110_63342_05-07-01 06년재료비_05-07-12 06년재료비(Q120)_05-07-18 06년 HA 재료비_41184_05-08-29 9월1주차HA_41184_김정" xfId="1178" xr:uid="{00000000-0005-0000-0000-00009A040000}"/>
    <cellStyle name="7_04HTS재료비030902_63342_자재비절감(회의)-050110_63342_05-07-01 06년재료비_05-07-12 06년재료비(Q120)_05-07-18 06년 HA 재료비_41184_05-08-29 9월1주차HA_41184_김정_개발회의(week21)_KMS-350" xfId="1179" xr:uid="{00000000-0005-0000-0000-00009B040000}"/>
    <cellStyle name="7_04HTS재료비030902_63342_자재비절감(회의)-050110_63342_05-07-01 06년재료비_05-07-12 06년재료비(Q120)_05-07-18 06년 HA 재료비_41184_개발회의(week21)_KMS-350" xfId="1180" xr:uid="{00000000-0005-0000-0000-00009C040000}"/>
    <cellStyle name="7_04HTS재료비030902_63342_자재비절감(회의)-050110_63342_05-07-01 06년재료비_05-07-12 06년재료비(Q120)_05-08-29 9월1주차HA_41184_김정" xfId="1181" xr:uid="{00000000-0005-0000-0000-00009D040000}"/>
    <cellStyle name="7_04HTS재료비030902_63342_자재비절감(회의)-050110_63342_05-07-01 06년재료비_05-07-12 06년재료비(Q120)_05-08-29 9월1주차HA_41184_김정_개발회의(week21)_KMS-350" xfId="1182" xr:uid="{00000000-0005-0000-0000-00009E040000}"/>
    <cellStyle name="7_04HTS재료비030902_63342_자재비절감(회의)-050110_63342_05-07-01 06년재료비_05-07-12 06년재료비(Q120)_개발회의(week21)_KMS-350" xfId="1183" xr:uid="{00000000-0005-0000-0000-00009F040000}"/>
    <cellStyle name="7_04HTS재료비030902_63342_자재비절감(회의)-050110_63342_05-07-01 06년재료비_05-07-14 06년재료비" xfId="1184" xr:uid="{00000000-0005-0000-0000-0000A0040000}"/>
    <cellStyle name="7_04HTS재료비030902_63342_자재비절감(회의)-050110_63342_05-07-01 06년재료비_05-07-14 06년재료비_05-07-18 06년 HA 재료비_41184" xfId="1185" xr:uid="{00000000-0005-0000-0000-0000A1040000}"/>
    <cellStyle name="7_04HTS재료비030902_63342_자재비절감(회의)-050110_63342_05-07-01 06년재료비_05-07-14 06년재료비_05-07-18 06년 HA 재료비_41184_05-08-29 9월1주차HA_41184_김정" xfId="1186" xr:uid="{00000000-0005-0000-0000-0000A2040000}"/>
    <cellStyle name="7_04HTS재료비030902_63342_자재비절감(회의)-050110_63342_05-07-01 06년재료비_05-07-14 06년재료비_05-07-18 06년 HA 재료비_41184_05-08-29 9월1주차HA_41184_김정_개발회의(week21)_KMS-350" xfId="1187" xr:uid="{00000000-0005-0000-0000-0000A3040000}"/>
    <cellStyle name="7_04HTS재료비030902_63342_자재비절감(회의)-050110_63342_05-07-01 06년재료비_05-07-14 06년재료비_05-07-18 06년 HA 재료비_41184_개발회의(week21)_KMS-350" xfId="1188" xr:uid="{00000000-0005-0000-0000-0000A4040000}"/>
    <cellStyle name="7_04HTS재료비030902_63342_자재비절감(회의)-050110_63342_05-07-01 06년재료비_05-07-14 06년재료비_05-08-29 9월1주차HA_41184_김정" xfId="1189" xr:uid="{00000000-0005-0000-0000-0000A5040000}"/>
    <cellStyle name="7_04HTS재료비030902_63342_자재비절감(회의)-050110_63342_05-07-01 06년재료비_05-07-14 06년재료비_05-08-29 9월1주차HA_41184_김정_개발회의(week21)_KMS-350" xfId="1190" xr:uid="{00000000-0005-0000-0000-0000A6040000}"/>
    <cellStyle name="7_04HTS재료비030902_63342_자재비절감(회의)-050110_63342_05-07-01 06년재료비_05-07-14 06년재료비_개발회의(week21)_KMS-350" xfId="1191" xr:uid="{00000000-0005-0000-0000-0000A7040000}"/>
    <cellStyle name="7_04HTS재료비030902_63342_자재비절감(회의)-050110_63342_05-07-01 06년재료비_05-07-15 06년재료비 기구스피커" xfId="1192" xr:uid="{00000000-0005-0000-0000-0000A8040000}"/>
    <cellStyle name="7_04HTS재료비030902_63342_자재비절감(회의)-050110_63342_05-07-01 06년재료비_05-07-15 06년재료비 기구스피커_05-07-18 06년 HA 재료비_41184" xfId="1193" xr:uid="{00000000-0005-0000-0000-0000A9040000}"/>
    <cellStyle name="7_04HTS재료비030902_63342_자재비절감(회의)-050110_63342_05-07-01 06년재료비_05-07-15 06년재료비 기구스피커_05-07-18 06년 HA 재료비_41184_05-08-29 9월1주차HA_41184_김정" xfId="1194" xr:uid="{00000000-0005-0000-0000-0000AA040000}"/>
    <cellStyle name="7_04HTS재료비030902_63342_자재비절감(회의)-050110_63342_05-07-01 06년재료비_05-07-15 06년재료비 기구스피커_05-07-18 06년 HA 재료비_41184_05-08-29 9월1주차HA_41184_김정_개발회의(week21)_KMS-350" xfId="1195" xr:uid="{00000000-0005-0000-0000-0000AB040000}"/>
    <cellStyle name="7_04HTS재료비030902_63342_자재비절감(회의)-050110_63342_05-07-01 06년재료비_05-07-15 06년재료비 기구스피커_05-07-18 06년 HA 재료비_41184_개발회의(week21)_KMS-350" xfId="1196" xr:uid="{00000000-0005-0000-0000-0000AC040000}"/>
    <cellStyle name="7_04HTS재료비030902_63342_자재비절감(회의)-050110_63342_05-07-01 06년재료비_05-07-15 06년재료비 기구스피커_05-08-29 9월1주차HA_41184_김정" xfId="1197" xr:uid="{00000000-0005-0000-0000-0000AD040000}"/>
    <cellStyle name="7_04HTS재료비030902_63342_자재비절감(회의)-050110_63342_05-07-01 06년재료비_05-07-15 06년재료비 기구스피커_05-08-29 9월1주차HA_41184_김정_개발회의(week21)_KMS-350" xfId="1198" xr:uid="{00000000-0005-0000-0000-0000AE040000}"/>
    <cellStyle name="7_04HTS재료비030902_63342_자재비절감(회의)-050110_63342_05-07-01 06년재료비_05-07-15 06년재료비 기구스피커_개발회의(week21)_KMS-350" xfId="1199" xr:uid="{00000000-0005-0000-0000-0000AF040000}"/>
    <cellStyle name="7_04HTS재료비030902_63342_자재비절감(회의)-050110_63342_05-07-01 06년재료비_05-07-18 06년 HA 재료비" xfId="1200" xr:uid="{00000000-0005-0000-0000-0000B0040000}"/>
    <cellStyle name="7_04HTS재료비030902_63342_자재비절감(회의)-050110_63342_05-07-01 06년재료비_05-07-18 06년 HA 재료비_05-07-18 06년 HA 재료비_41184" xfId="1201" xr:uid="{00000000-0005-0000-0000-0000B1040000}"/>
    <cellStyle name="7_04HTS재료비030902_63342_자재비절감(회의)-050110_63342_05-07-01 06년재료비_05-07-18 06년 HA 재료비_05-07-18 06년 HA 재료비_41184_05-08-29 9월1주차HA_41184_김정" xfId="1202" xr:uid="{00000000-0005-0000-0000-0000B2040000}"/>
    <cellStyle name="7_04HTS재료비030902_63342_자재비절감(회의)-050110_63342_05-07-01 06년재료비_05-07-18 06년 HA 재료비_05-07-18 06년 HA 재료비_41184_05-08-29 9월1주차HA_41184_김정_개발회의(week21)_KMS-350" xfId="1203" xr:uid="{00000000-0005-0000-0000-0000B3040000}"/>
    <cellStyle name="7_04HTS재료비030902_63342_자재비절감(회의)-050110_63342_05-07-01 06년재료비_05-07-18 06년 HA 재료비_05-07-18 06년 HA 재료비_41184_개발회의(week21)_KMS-350" xfId="1204" xr:uid="{00000000-0005-0000-0000-0000B4040000}"/>
    <cellStyle name="7_04HTS재료비030902_63342_자재비절감(회의)-050110_63342_05-07-01 06년재료비_05-07-18 06년 HA 재료비_05-08-29 9월1주차HA_41184_김정" xfId="1205" xr:uid="{00000000-0005-0000-0000-0000B5040000}"/>
    <cellStyle name="7_04HTS재료비030902_63342_자재비절감(회의)-050110_63342_05-07-01 06년재료비_05-07-18 06년 HA 재료비_05-08-29 9월1주차HA_41184_김정_개발회의(week21)_KMS-350" xfId="1206" xr:uid="{00000000-0005-0000-0000-0000B6040000}"/>
    <cellStyle name="7_04HTS재료비030902_63342_자재비절감(회의)-050110_63342_05-07-01 06년재료비_05-07-18 06년 HA 재료비_41184" xfId="1207" xr:uid="{00000000-0005-0000-0000-0000B7040000}"/>
    <cellStyle name="7_04HTS재료비030902_63342_자재비절감(회의)-050110_63342_05-07-01 06년재료비_05-07-18 06년 HA 재료비_41184_05-08-29 9월1주차HA_41184_김정" xfId="1208" xr:uid="{00000000-0005-0000-0000-0000B8040000}"/>
    <cellStyle name="7_04HTS재료비030902_63342_자재비절감(회의)-050110_63342_05-07-01 06년재료비_05-07-18 06년 HA 재료비_41184_05-08-29 9월1주차HA_41184_김정_개발회의(week21)_KMS-350" xfId="1209" xr:uid="{00000000-0005-0000-0000-0000B9040000}"/>
    <cellStyle name="7_04HTS재료비030902_63342_자재비절감(회의)-050110_63342_05-07-01 06년재료비_05-07-18 06년 HA 재료비_41184_개발회의(week21)_KMS-350" xfId="1210" xr:uid="{00000000-0005-0000-0000-0000BA040000}"/>
    <cellStyle name="7_04HTS재료비030902_63342_자재비절감(회의)-050110_63342_05-07-01 06년재료비_05-07-18 06년 HA 재료비_개발회의(week21)_KMS-350" xfId="1211" xr:uid="{00000000-0005-0000-0000-0000BB040000}"/>
    <cellStyle name="7_04HTS재료비030902_63342_자재비절감(회의)-050110_63342_05-07-01 06년재료비_05-07-23 06년 HA 재료비" xfId="1212" xr:uid="{00000000-0005-0000-0000-0000BC040000}"/>
    <cellStyle name="7_04HTS재료비030902_63342_자재비절감(회의)-050110_63342_05-07-01 06년재료비_05-07-23 06년 HA 재료비_05-08-29 9월1주차HA_41184_김정" xfId="1213" xr:uid="{00000000-0005-0000-0000-0000BD040000}"/>
    <cellStyle name="7_04HTS재료비030902_63342_자재비절감(회의)-050110_63342_05-07-01 06년재료비_05-07-23 06년 HA 재료비_05-08-29 9월1주차HA_41184_김정_개발회의(week21)_KMS-350" xfId="1214" xr:uid="{00000000-0005-0000-0000-0000BE040000}"/>
    <cellStyle name="7_04HTS재료비030902_63342_자재비절감(회의)-050110_63342_05-07-01 06년재료비_05-07-23 06년 HA 재료비_개발회의(week21)_KMS-350" xfId="1215" xr:uid="{00000000-0005-0000-0000-0000BF040000}"/>
    <cellStyle name="7_04HTS재료비030902_63342_자재비절감(회의)-050110_63342_05-07-01 06년재료비_05-07-25 06년 HA 재료비_H2000" xfId="1216" xr:uid="{00000000-0005-0000-0000-0000C0040000}"/>
    <cellStyle name="7_04HTS재료비030902_63342_자재비절감(회의)-050110_63342_05-07-01 06년재료비_05-07-25 06년 HA 재료비_H2000_05-08-29 9월1주차HA_41184_김정" xfId="1217" xr:uid="{00000000-0005-0000-0000-0000C1040000}"/>
    <cellStyle name="7_04HTS재료비030902_63342_자재비절감(회의)-050110_63342_05-07-01 06년재료비_05-07-25 06년 HA 재료비_H2000_05-08-29 9월1주차HA_41184_김정_개발회의(week21)_KMS-350" xfId="1218" xr:uid="{00000000-0005-0000-0000-0000C2040000}"/>
    <cellStyle name="7_04HTS재료비030902_63342_자재비절감(회의)-050110_63342_05-07-01 06년재료비_05-07-25 06년 HA 재료비_H2000_개발회의(week21)_KMS-350" xfId="1219" xr:uid="{00000000-0005-0000-0000-0000C3040000}"/>
    <cellStyle name="7_04HTS재료비030902_63342_자재비절감(회의)-050110_63342_05-07-01 06년재료비_05-07-26 06년 HA 재료비_41184" xfId="1220" xr:uid="{00000000-0005-0000-0000-0000C4040000}"/>
    <cellStyle name="7_04HTS재료비030902_63342_자재비절감(회의)-050110_63342_05-07-01 06년재료비_05-07-26 06년 HA 재료비_41184_05-08-29 9월1주차HA_41184_김정" xfId="1221" xr:uid="{00000000-0005-0000-0000-0000C5040000}"/>
    <cellStyle name="7_04HTS재료비030902_63342_자재비절감(회의)-050110_63342_05-07-01 06년재료비_05-07-26 06년 HA 재료비_41184_05-08-29 9월1주차HA_41184_김정_개발회의(week21)_KMS-350" xfId="1222" xr:uid="{00000000-0005-0000-0000-0000C6040000}"/>
    <cellStyle name="7_04HTS재료비030902_63342_자재비절감(회의)-050110_63342_05-07-01 06년재료비_05-07-26 06년 HA 재료비_41184_개발회의(week21)_KMS-350" xfId="1223" xr:uid="{00000000-0005-0000-0000-0000C7040000}"/>
    <cellStyle name="7_04HTS재료비030902_63342_자재비절감(회의)-050110_63342_05-07-01 06년재료비_05-07-26 06년 HA 재료비1" xfId="1224" xr:uid="{00000000-0005-0000-0000-0000C8040000}"/>
    <cellStyle name="7_04HTS재료비030902_63342_자재비절감(회의)-050110_63342_05-07-01 06년재료비_05-07-26 06년 HA 재료비1_05-08-29 9월1주차HA_41184_김정" xfId="1225" xr:uid="{00000000-0005-0000-0000-0000C9040000}"/>
    <cellStyle name="7_04HTS재료비030902_63342_자재비절감(회의)-050110_63342_05-07-01 06년재료비_05-07-26 06년 HA 재료비1_05-08-29 9월1주차HA_41184_김정_개발회의(week21)_KMS-350" xfId="1226" xr:uid="{00000000-0005-0000-0000-0000CA040000}"/>
    <cellStyle name="7_04HTS재료비030902_63342_자재비절감(회의)-050110_63342_05-07-01 06년재료비_05-07-26 06년 HA 재료비1_개발회의(week21)_KMS-350" xfId="1227" xr:uid="{00000000-0005-0000-0000-0000CB040000}"/>
    <cellStyle name="7_04HTS재료비030902_63342_자재비절감(회의)-050110_63342_05-07-01 06년재료비_05-08-29 9월1주차HA_41184_김정" xfId="1228" xr:uid="{00000000-0005-0000-0000-0000CC040000}"/>
    <cellStyle name="7_04HTS재료비030902_63342_자재비절감(회의)-050110_63342_05-07-01 06년재료비_05-08-29 9월1주차HA_41184_김정_개발회의(week21)_KMS-350" xfId="1229" xr:uid="{00000000-0005-0000-0000-0000CD040000}"/>
    <cellStyle name="7_04HTS재료비030902_63342_자재비절감(회의)-050110_63342_05-07-01 06년재료비_개발회의(week21)_KMS-350" xfId="1230" xr:uid="{00000000-0005-0000-0000-0000CE040000}"/>
    <cellStyle name="7_04HTS재료비030902_63342_자재비절감(회의)-050110_63342_05-07-05 06년재료비_41184" xfId="1231" xr:uid="{00000000-0005-0000-0000-0000CF040000}"/>
    <cellStyle name="7_04HTS재료비030902_63342_자재비절감(회의)-050110_63342_05-07-05 06년재료비_41184_(Q80)05-07-12 06년재료비" xfId="1232" xr:uid="{00000000-0005-0000-0000-0000D0040000}"/>
    <cellStyle name="7_04HTS재료비030902_63342_자재비절감(회의)-050110_63342_05-07-05 06년재료비_41184_(Q80)05-07-12 06년재료비_05-07-18 06년 HA 재료비_41184" xfId="1233" xr:uid="{00000000-0005-0000-0000-0000D1040000}"/>
    <cellStyle name="7_04HTS재료비030902_63342_자재비절감(회의)-050110_63342_05-07-05 06년재료비_41184_(Q80)05-07-12 06년재료비_05-07-18 06년 HA 재료비_41184_05-08-29 9월1주차HA_41184_김정" xfId="1234" xr:uid="{00000000-0005-0000-0000-0000D2040000}"/>
    <cellStyle name="7_04HTS재료비030902_63342_자재비절감(회의)-050110_63342_05-07-05 06년재료비_41184_(Q80)05-07-12 06년재료비_05-07-18 06년 HA 재료비_41184_05-08-29 9월1주차HA_41184_김정_개발회의(week21)_KMS-350" xfId="1235" xr:uid="{00000000-0005-0000-0000-0000D3040000}"/>
    <cellStyle name="7_04HTS재료비030902_63342_자재비절감(회의)-050110_63342_05-07-05 06년재료비_41184_(Q80)05-07-12 06년재료비_05-07-18 06년 HA 재료비_41184_개발회의(week21)_KMS-350" xfId="1236" xr:uid="{00000000-0005-0000-0000-0000D4040000}"/>
    <cellStyle name="7_04HTS재료비030902_63342_자재비절감(회의)-050110_63342_05-07-05 06년재료비_41184_(Q80)05-07-12 06년재료비_05-08-29 9월1주차HA_41184_김정" xfId="1237" xr:uid="{00000000-0005-0000-0000-0000D5040000}"/>
    <cellStyle name="7_04HTS재료비030902_63342_자재비절감(회의)-050110_63342_05-07-05 06년재료비_41184_(Q80)05-07-12 06년재료비_05-08-29 9월1주차HA_41184_김정_개발회의(week21)_KMS-350" xfId="1238" xr:uid="{00000000-0005-0000-0000-0000D6040000}"/>
    <cellStyle name="7_04HTS재료비030902_63342_자재비절감(회의)-050110_63342_05-07-05 06년재료비_41184_(Q80)05-07-12 06년재료비_개발회의(week21)_KMS-350" xfId="1239" xr:uid="{00000000-0005-0000-0000-0000D7040000}"/>
    <cellStyle name="7_04HTS재료비030902_63342_자재비절감(회의)-050110_63342_05-07-05 06년재료비_41184_(R1500)05-07-19 재료비" xfId="1240" xr:uid="{00000000-0005-0000-0000-0000D8040000}"/>
    <cellStyle name="7_04HTS재료비030902_63342_자재비절감(회의)-050110_63342_05-07-05 06년재료비_41184_(R1500)05-07-19 재료비_05-08-29 9월1주차HA_41184_김정" xfId="1241" xr:uid="{00000000-0005-0000-0000-0000D9040000}"/>
    <cellStyle name="7_04HTS재료비030902_63342_자재비절감(회의)-050110_63342_05-07-05 06년재료비_41184_(R1500)05-07-19 재료비_05-08-29 9월1주차HA_41184_김정_개발회의(week21)_KMS-350" xfId="1242" xr:uid="{00000000-0005-0000-0000-0000DA040000}"/>
    <cellStyle name="7_04HTS재료비030902_63342_자재비절감(회의)-050110_63342_05-07-05 06년재료비_41184_(R1500)05-07-19 재료비_개발회의(week21)_KMS-350" xfId="1243" xr:uid="{00000000-0005-0000-0000-0000DB040000}"/>
    <cellStyle name="7_04HTS재료비030902_63342_자재비절감(회의)-050110_63342_05-07-05 06년재료비_41184_05-07-12 06년재료비(Q120)" xfId="1244" xr:uid="{00000000-0005-0000-0000-0000DC040000}"/>
    <cellStyle name="7_04HTS재료비030902_63342_자재비절감(회의)-050110_63342_05-07-05 06년재료비_41184_05-07-12 06년재료비(Q120)_05-07-18 06년 HA 재료비_41184" xfId="1245" xr:uid="{00000000-0005-0000-0000-0000DD040000}"/>
    <cellStyle name="7_04HTS재료비030902_63342_자재비절감(회의)-050110_63342_05-07-05 06년재료비_41184_05-07-12 06년재료비(Q120)_05-07-18 06년 HA 재료비_41184_05-08-29 9월1주차HA_41184_김정" xfId="1246" xr:uid="{00000000-0005-0000-0000-0000DE040000}"/>
    <cellStyle name="7_04HTS재료비030902_63342_자재비절감(회의)-050110_63342_05-07-05 06년재료비_41184_05-07-12 06년재료비(Q120)_05-07-18 06년 HA 재료비_41184_05-08-29 9월1주차HA_41184_김정_개발회의(week21)_KMS-350" xfId="1247" xr:uid="{00000000-0005-0000-0000-0000DF040000}"/>
    <cellStyle name="7_04HTS재료비030902_63342_자재비절감(회의)-050110_63342_05-07-05 06년재료비_41184_05-07-12 06년재료비(Q120)_05-07-18 06년 HA 재료비_41184_개발회의(week21)_KMS-350" xfId="1248" xr:uid="{00000000-0005-0000-0000-0000E0040000}"/>
    <cellStyle name="7_04HTS재료비030902_63342_자재비절감(회의)-050110_63342_05-07-05 06년재료비_41184_05-07-12 06년재료비(Q120)_05-08-29 9월1주차HA_41184_김정" xfId="1249" xr:uid="{00000000-0005-0000-0000-0000E1040000}"/>
    <cellStyle name="7_04HTS재료비030902_63342_자재비절감(회의)-050110_63342_05-07-05 06년재료비_41184_05-07-12 06년재료비(Q120)_05-08-29 9월1주차HA_41184_김정_개발회의(week21)_KMS-350" xfId="1250" xr:uid="{00000000-0005-0000-0000-0000E2040000}"/>
    <cellStyle name="7_04HTS재료비030902_63342_자재비절감(회의)-050110_63342_05-07-05 06년재료비_41184_05-07-12 06년재료비(Q120)_개발회의(week21)_KMS-350" xfId="1251" xr:uid="{00000000-0005-0000-0000-0000E3040000}"/>
    <cellStyle name="7_04HTS재료비030902_63342_자재비절감(회의)-050110_63342_05-07-05 06년재료비_41184_05-07-14 06년재료비" xfId="1252" xr:uid="{00000000-0005-0000-0000-0000E4040000}"/>
    <cellStyle name="7_04HTS재료비030902_63342_자재비절감(회의)-050110_63342_05-07-05 06년재료비_41184_05-07-14 06년재료비_05-07-18 06년 HA 재료비_41184" xfId="1253" xr:uid="{00000000-0005-0000-0000-0000E5040000}"/>
    <cellStyle name="7_04HTS재료비030902_63342_자재비절감(회의)-050110_63342_05-07-05 06년재료비_41184_05-07-14 06년재료비_05-07-18 06년 HA 재료비_41184_05-08-29 9월1주차HA_41184_김정" xfId="1254" xr:uid="{00000000-0005-0000-0000-0000E6040000}"/>
    <cellStyle name="7_04HTS재료비030902_63342_자재비절감(회의)-050110_63342_05-07-05 06년재료비_41184_05-07-14 06년재료비_05-07-18 06년 HA 재료비_41184_05-08-29 9월1주차HA_41184_김정_개발회의(week21)_KMS-350" xfId="1255" xr:uid="{00000000-0005-0000-0000-0000E7040000}"/>
    <cellStyle name="7_04HTS재료비030902_63342_자재비절감(회의)-050110_63342_05-07-05 06년재료비_41184_05-07-14 06년재료비_05-07-18 06년 HA 재료비_41184_개발회의(week21)_KMS-350" xfId="1256" xr:uid="{00000000-0005-0000-0000-0000E8040000}"/>
    <cellStyle name="7_04HTS재료비030902_63342_자재비절감(회의)-050110_63342_05-07-05 06년재료비_41184_05-07-14 06년재료비_05-08-29 9월1주차HA_41184_김정" xfId="1257" xr:uid="{00000000-0005-0000-0000-0000E9040000}"/>
    <cellStyle name="7_04HTS재료비030902_63342_자재비절감(회의)-050110_63342_05-07-05 06년재료비_41184_05-07-14 06년재료비_05-08-29 9월1주차HA_41184_김정_개발회의(week21)_KMS-350" xfId="1258" xr:uid="{00000000-0005-0000-0000-0000EA040000}"/>
    <cellStyle name="7_04HTS재료비030902_63342_자재비절감(회의)-050110_63342_05-07-05 06년재료비_41184_05-07-14 06년재료비_개발회의(week21)_KMS-350" xfId="1259" xr:uid="{00000000-0005-0000-0000-0000EB040000}"/>
    <cellStyle name="7_04HTS재료비030902_63342_자재비절감(회의)-050110_63342_05-07-05 06년재료비_41184_05-07-15 06년재료비 기구스피커" xfId="1260" xr:uid="{00000000-0005-0000-0000-0000EC040000}"/>
    <cellStyle name="7_04HTS재료비030902_63342_자재비절감(회의)-050110_63342_05-07-05 06년재료비_41184_05-07-15 06년재료비 기구스피커_05-07-18 06년 HA 재료비_41184" xfId="1261" xr:uid="{00000000-0005-0000-0000-0000ED040000}"/>
    <cellStyle name="7_04HTS재료비030902_63342_자재비절감(회의)-050110_63342_05-07-05 06년재료비_41184_05-07-15 06년재료비 기구스피커_05-07-18 06년 HA 재료비_41184_05-08-29 9월1주차HA_41184_김정" xfId="1262" xr:uid="{00000000-0005-0000-0000-0000EE040000}"/>
    <cellStyle name="7_04HTS재료비030902_63342_자재비절감(회의)-050110_63342_05-07-05 06년재료비_41184_05-07-15 06년재료비 기구스피커_05-07-18 06년 HA 재료비_41184_05-08-29 9월1주차HA_41184_김정_개발회의(week21)_KMS-350" xfId="1263" xr:uid="{00000000-0005-0000-0000-0000EF040000}"/>
    <cellStyle name="7_04HTS재료비030902_63342_자재비절감(회의)-050110_63342_05-07-05 06년재료비_41184_05-07-15 06년재료비 기구스피커_05-07-18 06년 HA 재료비_41184_개발회의(week21)_KMS-350" xfId="1264" xr:uid="{00000000-0005-0000-0000-0000F0040000}"/>
    <cellStyle name="7_04HTS재료비030902_63342_자재비절감(회의)-050110_63342_05-07-05 06년재료비_41184_05-07-15 06년재료비 기구스피커_05-08-29 9월1주차HA_41184_김정" xfId="1265" xr:uid="{00000000-0005-0000-0000-0000F1040000}"/>
    <cellStyle name="7_04HTS재료비030902_63342_자재비절감(회의)-050110_63342_05-07-05 06년재료비_41184_05-07-15 06년재료비 기구스피커_05-08-29 9월1주차HA_41184_김정_개발회의(week21)_KMS-350" xfId="1266" xr:uid="{00000000-0005-0000-0000-0000F2040000}"/>
    <cellStyle name="7_04HTS재료비030902_63342_자재비절감(회의)-050110_63342_05-07-05 06년재료비_41184_05-07-15 06년재료비 기구스피커_개발회의(week21)_KMS-350" xfId="1267" xr:uid="{00000000-0005-0000-0000-0000F3040000}"/>
    <cellStyle name="7_04HTS재료비030902_63342_자재비절감(회의)-050110_63342_05-07-05 06년재료비_41184_05-07-18 06년 HA 재료비" xfId="1268" xr:uid="{00000000-0005-0000-0000-0000F4040000}"/>
    <cellStyle name="7_04HTS재료비030902_63342_자재비절감(회의)-050110_63342_05-07-05 06년재료비_41184_05-07-18 06년 HA 재료비_05-07-18 06년 HA 재료비_41184" xfId="1269" xr:uid="{00000000-0005-0000-0000-0000F5040000}"/>
    <cellStyle name="7_04HTS재료비030902_63342_자재비절감(회의)-050110_63342_05-07-05 06년재료비_41184_05-07-18 06년 HA 재료비_05-07-18 06년 HA 재료비_41184_05-08-29 9월1주차HA_41184_김정" xfId="1270" xr:uid="{00000000-0005-0000-0000-0000F6040000}"/>
    <cellStyle name="7_04HTS재료비030902_63342_자재비절감(회의)-050110_63342_05-07-05 06년재료비_41184_05-07-18 06년 HA 재료비_05-07-18 06년 HA 재료비_41184_05-08-29 9월1주차HA_41184_김정_개발회의(week21)_KMS-350" xfId="1271" xr:uid="{00000000-0005-0000-0000-0000F7040000}"/>
    <cellStyle name="7_04HTS재료비030902_63342_자재비절감(회의)-050110_63342_05-07-05 06년재료비_41184_05-07-18 06년 HA 재료비_05-07-18 06년 HA 재료비_41184_개발회의(week21)_KMS-350" xfId="1272" xr:uid="{00000000-0005-0000-0000-0000F8040000}"/>
    <cellStyle name="7_04HTS재료비030902_63342_자재비절감(회의)-050110_63342_05-07-05 06년재료비_41184_05-07-18 06년 HA 재료비_05-08-29 9월1주차HA_41184_김정" xfId="1273" xr:uid="{00000000-0005-0000-0000-0000F9040000}"/>
    <cellStyle name="7_04HTS재료비030902_63342_자재비절감(회의)-050110_63342_05-07-05 06년재료비_41184_05-07-18 06년 HA 재료비_05-08-29 9월1주차HA_41184_김정_개발회의(week21)_KMS-350" xfId="1274" xr:uid="{00000000-0005-0000-0000-0000FA040000}"/>
    <cellStyle name="7_04HTS재료비030902_63342_자재비절감(회의)-050110_63342_05-07-05 06년재료비_41184_05-07-18 06년 HA 재료비_41184" xfId="1275" xr:uid="{00000000-0005-0000-0000-0000FB040000}"/>
    <cellStyle name="7_04HTS재료비030902_63342_자재비절감(회의)-050110_63342_05-07-05 06년재료비_41184_05-07-18 06년 HA 재료비_41184_05-08-29 9월1주차HA_41184_김정" xfId="1276" xr:uid="{00000000-0005-0000-0000-0000FC040000}"/>
    <cellStyle name="7_04HTS재료비030902_63342_자재비절감(회의)-050110_63342_05-07-05 06년재료비_41184_05-07-18 06년 HA 재료비_41184_05-08-29 9월1주차HA_41184_김정_개발회의(week21)_KMS-350" xfId="1277" xr:uid="{00000000-0005-0000-0000-0000FD040000}"/>
    <cellStyle name="7_04HTS재료비030902_63342_자재비절감(회의)-050110_63342_05-07-05 06년재료비_41184_05-07-18 06년 HA 재료비_41184_개발회의(week21)_KMS-350" xfId="1278" xr:uid="{00000000-0005-0000-0000-0000FE040000}"/>
    <cellStyle name="7_04HTS재료비030902_63342_자재비절감(회의)-050110_63342_05-07-05 06년재료비_41184_05-07-18 06년 HA 재료비_개발회의(week21)_KMS-350" xfId="1279" xr:uid="{00000000-0005-0000-0000-0000FF040000}"/>
    <cellStyle name="7_04HTS재료비030902_63342_자재비절감(회의)-050110_63342_05-07-05 06년재료비_41184_05-07-23 06년 HA 재료비" xfId="1280" xr:uid="{00000000-0005-0000-0000-000000050000}"/>
    <cellStyle name="7_04HTS재료비030902_63342_자재비절감(회의)-050110_63342_05-07-05 06년재료비_41184_05-07-23 06년 HA 재료비_05-08-29 9월1주차HA_41184_김정" xfId="1281" xr:uid="{00000000-0005-0000-0000-000001050000}"/>
    <cellStyle name="7_04HTS재료비030902_63342_자재비절감(회의)-050110_63342_05-07-05 06년재료비_41184_05-07-23 06년 HA 재료비_05-08-29 9월1주차HA_41184_김정_개발회의(week21)_KMS-350" xfId="1282" xr:uid="{00000000-0005-0000-0000-000002050000}"/>
    <cellStyle name="7_04HTS재료비030902_63342_자재비절감(회의)-050110_63342_05-07-05 06년재료비_41184_05-07-23 06년 HA 재료비_개발회의(week21)_KMS-350" xfId="1283" xr:uid="{00000000-0005-0000-0000-000003050000}"/>
    <cellStyle name="7_04HTS재료비030902_63342_자재비절감(회의)-050110_63342_05-07-05 06년재료비_41184_05-07-25 06년 HA 재료비_H2000" xfId="1284" xr:uid="{00000000-0005-0000-0000-000004050000}"/>
    <cellStyle name="7_04HTS재료비030902_63342_자재비절감(회의)-050110_63342_05-07-05 06년재료비_41184_05-07-25 06년 HA 재료비_H2000_05-08-29 9월1주차HA_41184_김정" xfId="1285" xr:uid="{00000000-0005-0000-0000-000005050000}"/>
    <cellStyle name="7_04HTS재료비030902_63342_자재비절감(회의)-050110_63342_05-07-05 06년재료비_41184_05-07-25 06년 HA 재료비_H2000_05-08-29 9월1주차HA_41184_김정_개발회의(week21)_KMS-350" xfId="1286" xr:uid="{00000000-0005-0000-0000-000006050000}"/>
    <cellStyle name="7_04HTS재료비030902_63342_자재비절감(회의)-050110_63342_05-07-05 06년재료비_41184_05-07-25 06년 HA 재료비_H2000_개발회의(week21)_KMS-350" xfId="1287" xr:uid="{00000000-0005-0000-0000-000007050000}"/>
    <cellStyle name="7_04HTS재료비030902_63342_자재비절감(회의)-050110_63342_05-07-05 06년재료비_41184_05-07-26 06년 HA 재료비_41184" xfId="1288" xr:uid="{00000000-0005-0000-0000-000008050000}"/>
    <cellStyle name="7_04HTS재료비030902_63342_자재비절감(회의)-050110_63342_05-07-05 06년재료비_41184_05-07-26 06년 HA 재료비_41184_05-08-29 9월1주차HA_41184_김정" xfId="1289" xr:uid="{00000000-0005-0000-0000-000009050000}"/>
    <cellStyle name="7_04HTS재료비030902_63342_자재비절감(회의)-050110_63342_05-07-05 06년재료비_41184_05-07-26 06년 HA 재료비_41184_05-08-29 9월1주차HA_41184_김정_개발회의(week21)_KMS-350" xfId="1290" xr:uid="{00000000-0005-0000-0000-00000A050000}"/>
    <cellStyle name="7_04HTS재료비030902_63342_자재비절감(회의)-050110_63342_05-07-05 06년재료비_41184_05-07-26 06년 HA 재료비_41184_개발회의(week21)_KMS-350" xfId="1291" xr:uid="{00000000-0005-0000-0000-00000B050000}"/>
    <cellStyle name="7_04HTS재료비030902_63342_자재비절감(회의)-050110_63342_05-07-05 06년재료비_41184_05-07-26 06년 HA 재료비1" xfId="1292" xr:uid="{00000000-0005-0000-0000-00000C050000}"/>
    <cellStyle name="7_04HTS재료비030902_63342_자재비절감(회의)-050110_63342_05-07-05 06년재료비_41184_05-07-26 06년 HA 재료비1_05-08-29 9월1주차HA_41184_김정" xfId="1293" xr:uid="{00000000-0005-0000-0000-00000D050000}"/>
    <cellStyle name="7_04HTS재료비030902_63342_자재비절감(회의)-050110_63342_05-07-05 06년재료비_41184_05-07-26 06년 HA 재료비1_05-08-29 9월1주차HA_41184_김정_개발회의(week21)_KMS-350" xfId="1294" xr:uid="{00000000-0005-0000-0000-00000E050000}"/>
    <cellStyle name="7_04HTS재료비030902_63342_자재비절감(회의)-050110_63342_05-07-05 06년재료비_41184_05-07-26 06년 HA 재료비1_개발회의(week21)_KMS-350" xfId="1295" xr:uid="{00000000-0005-0000-0000-00000F050000}"/>
    <cellStyle name="7_04HTS재료비030902_63342_자재비절감(회의)-050110_63342_05-07-05 06년재료비_41184_05-08-29 9월1주차HA_41184_김정" xfId="1296" xr:uid="{00000000-0005-0000-0000-000010050000}"/>
    <cellStyle name="7_04HTS재료비030902_63342_자재비절감(회의)-050110_63342_05-07-05 06년재료비_41184_05-08-29 9월1주차HA_41184_김정_개발회의(week21)_KMS-350" xfId="1297" xr:uid="{00000000-0005-0000-0000-000011050000}"/>
    <cellStyle name="7_04HTS재료비030902_63342_자재비절감(회의)-050110_63342_05-07-05 06년재료비_41184_개발회의(week21)_KMS-350" xfId="1298" xr:uid="{00000000-0005-0000-0000-000012050000}"/>
    <cellStyle name="7_04HTS재료비030902_63342_자재비절감(회의)-050110_63342_05-07-18 06년 HA 재료비_41184" xfId="1299" xr:uid="{00000000-0005-0000-0000-000013050000}"/>
    <cellStyle name="7_04HTS재료비030902_63342_자재비절감(회의)-050110_63342_05-07-18 06년 HA 재료비_41184_05-08-29 9월1주차HA_41184_김정" xfId="1300" xr:uid="{00000000-0005-0000-0000-000014050000}"/>
    <cellStyle name="7_04HTS재료비030902_63342_자재비절감(회의)-050110_63342_05-07-18 06년 HA 재료비_41184_05-08-29 9월1주차HA_41184_김정_개발회의(week21)_KMS-350" xfId="1301" xr:uid="{00000000-0005-0000-0000-000015050000}"/>
    <cellStyle name="7_04HTS재료비030902_63342_자재비절감(회의)-050110_63342_05-07-18 06년 HA 재료비_41184_개발회의(week21)_KMS-350" xfId="1302" xr:uid="{00000000-0005-0000-0000-000016050000}"/>
    <cellStyle name="7_04HTS재료비030902_63342_자재비절감(회의)-050110_63342_05-08-29 9월1주차HA_41184_김정" xfId="1303" xr:uid="{00000000-0005-0000-0000-000017050000}"/>
    <cellStyle name="7_04HTS재료비030902_63342_자재비절감(회의)-050110_63342_05-08-29 9월1주차HA_41184_김정_개발회의(week21)_KMS-350" xfId="1304" xr:uid="{00000000-0005-0000-0000-000018050000}"/>
    <cellStyle name="7_04HTS재료비030902_63342_자재비절감(회의)-050110_63342_개발회의(week21)_KMS-350" xfId="1305" xr:uid="{00000000-0005-0000-0000-000019050000}"/>
    <cellStyle name="7_05-07-01 06년재료비" xfId="1450" xr:uid="{00000000-0005-0000-0000-0000AA050000}"/>
    <cellStyle name="7_05-07-01 06년재료비_(Q80)05-07-12 06년재료비" xfId="1451" xr:uid="{00000000-0005-0000-0000-0000AB050000}"/>
    <cellStyle name="7_05-07-01 06년재료비_(Q80)05-07-12 06년재료비_05-07-18 06년 HA 재료비_41184" xfId="1452" xr:uid="{00000000-0005-0000-0000-0000AC050000}"/>
    <cellStyle name="7_05-07-01 06년재료비_(Q80)05-07-12 06년재료비_05-07-18 06년 HA 재료비_41184_05-08-29 9월1주차HA_41184_김정" xfId="1453" xr:uid="{00000000-0005-0000-0000-0000AD050000}"/>
    <cellStyle name="7_05-07-01 06년재료비_(Q80)05-07-12 06년재료비_05-07-18 06년 HA 재료비_41184_05-08-29 9월1주차HA_41184_김정_개발회의(week21)_KMS-350" xfId="1454" xr:uid="{00000000-0005-0000-0000-0000AE050000}"/>
    <cellStyle name="7_05-07-01 06년재료비_(Q80)05-07-12 06년재료비_05-07-18 06년 HA 재료비_41184_개발회의(week21)_KMS-350" xfId="1455" xr:uid="{00000000-0005-0000-0000-0000AF050000}"/>
    <cellStyle name="7_05-07-01 06년재료비_(Q80)05-07-12 06년재료비_05-08-29 9월1주차HA_41184_김정" xfId="1456" xr:uid="{00000000-0005-0000-0000-0000B0050000}"/>
    <cellStyle name="7_05-07-01 06년재료비_(Q80)05-07-12 06년재료비_05-08-29 9월1주차HA_41184_김정_개발회의(week21)_KMS-350" xfId="1457" xr:uid="{00000000-0005-0000-0000-0000B1050000}"/>
    <cellStyle name="7_05-07-01 06년재료비_(Q80)05-07-12 06년재료비_개발회의(week21)_KMS-350" xfId="1458" xr:uid="{00000000-0005-0000-0000-0000B2050000}"/>
    <cellStyle name="7_05-07-01 06년재료비_(R1500)05-07-19 재료비" xfId="1459" xr:uid="{00000000-0005-0000-0000-0000B3050000}"/>
    <cellStyle name="7_05-07-01 06년재료비_(R1500)05-07-19 재료비_05-08-29 9월1주차HA_41184_김정" xfId="1460" xr:uid="{00000000-0005-0000-0000-0000B4050000}"/>
    <cellStyle name="7_05-07-01 06년재료비_(R1500)05-07-19 재료비_05-08-29 9월1주차HA_41184_김정_개발회의(week21)_KMS-350" xfId="1461" xr:uid="{00000000-0005-0000-0000-0000B5050000}"/>
    <cellStyle name="7_05-07-01 06년재료비_(R1500)05-07-19 재료비_개발회의(week21)_KMS-350" xfId="1462" xr:uid="{00000000-0005-0000-0000-0000B6050000}"/>
    <cellStyle name="7_05-07-01 06년재료비_05-07-12 06년재료비(Q120)" xfId="1463" xr:uid="{00000000-0005-0000-0000-0000B7050000}"/>
    <cellStyle name="7_05-07-01 06년재료비_05-07-12 06년재료비(Q120)_05-07-18 06년 HA 재료비_41184" xfId="1464" xr:uid="{00000000-0005-0000-0000-0000B8050000}"/>
    <cellStyle name="7_05-07-01 06년재료비_05-07-12 06년재료비(Q120)_05-07-18 06년 HA 재료비_41184_05-08-29 9월1주차HA_41184_김정" xfId="1465" xr:uid="{00000000-0005-0000-0000-0000B9050000}"/>
    <cellStyle name="7_05-07-01 06년재료비_05-07-12 06년재료비(Q120)_05-07-18 06년 HA 재료비_41184_05-08-29 9월1주차HA_41184_김정_개발회의(week21)_KMS-350" xfId="1466" xr:uid="{00000000-0005-0000-0000-0000BA050000}"/>
    <cellStyle name="7_05-07-01 06년재료비_05-07-12 06년재료비(Q120)_05-07-18 06년 HA 재료비_41184_개발회의(week21)_KMS-350" xfId="1467" xr:uid="{00000000-0005-0000-0000-0000BB050000}"/>
    <cellStyle name="7_05-07-01 06년재료비_05-07-12 06년재료비(Q120)_05-08-29 9월1주차HA_41184_김정" xfId="1468" xr:uid="{00000000-0005-0000-0000-0000BC050000}"/>
    <cellStyle name="7_05-07-01 06년재료비_05-07-12 06년재료비(Q120)_05-08-29 9월1주차HA_41184_김정_개발회의(week21)_KMS-350" xfId="1469" xr:uid="{00000000-0005-0000-0000-0000BD050000}"/>
    <cellStyle name="7_05-07-01 06년재료비_05-07-12 06년재료비(Q120)_개발회의(week21)_KMS-350" xfId="1470" xr:uid="{00000000-0005-0000-0000-0000BE050000}"/>
    <cellStyle name="7_05-07-01 06년재료비_05-07-14 06년재료비" xfId="1471" xr:uid="{00000000-0005-0000-0000-0000BF050000}"/>
    <cellStyle name="7_05-07-01 06년재료비_05-07-14 06년재료비_05-07-18 06년 HA 재료비_41184" xfId="1472" xr:uid="{00000000-0005-0000-0000-0000C0050000}"/>
    <cellStyle name="7_05-07-01 06년재료비_05-07-14 06년재료비_05-07-18 06년 HA 재료비_41184_05-08-29 9월1주차HA_41184_김정" xfId="1473" xr:uid="{00000000-0005-0000-0000-0000C1050000}"/>
    <cellStyle name="7_05-07-01 06년재료비_05-07-14 06년재료비_05-07-18 06년 HA 재료비_41184_05-08-29 9월1주차HA_41184_김정_개발회의(week21)_KMS-350" xfId="1474" xr:uid="{00000000-0005-0000-0000-0000C2050000}"/>
    <cellStyle name="7_05-07-01 06년재료비_05-07-14 06년재료비_05-07-18 06년 HA 재료비_41184_개발회의(week21)_KMS-350" xfId="1475" xr:uid="{00000000-0005-0000-0000-0000C3050000}"/>
    <cellStyle name="7_05-07-01 06년재료비_05-07-14 06년재료비_05-08-29 9월1주차HA_41184_김정" xfId="1476" xr:uid="{00000000-0005-0000-0000-0000C4050000}"/>
    <cellStyle name="7_05-07-01 06년재료비_05-07-14 06년재료비_05-08-29 9월1주차HA_41184_김정_개발회의(week21)_KMS-350" xfId="1477" xr:uid="{00000000-0005-0000-0000-0000C5050000}"/>
    <cellStyle name="7_05-07-01 06년재료비_05-07-14 06년재료비_개발회의(week21)_KMS-350" xfId="1478" xr:uid="{00000000-0005-0000-0000-0000C6050000}"/>
    <cellStyle name="7_05-07-01 06년재료비_05-07-15 06년재료비 기구스피커" xfId="1479" xr:uid="{00000000-0005-0000-0000-0000C7050000}"/>
    <cellStyle name="7_05-07-01 06년재료비_05-07-15 06년재료비 기구스피커_05-07-18 06년 HA 재료비_41184" xfId="1480" xr:uid="{00000000-0005-0000-0000-0000C8050000}"/>
    <cellStyle name="7_05-07-01 06년재료비_05-07-15 06년재료비 기구스피커_05-07-18 06년 HA 재료비_41184_05-08-29 9월1주차HA_41184_김정" xfId="1481" xr:uid="{00000000-0005-0000-0000-0000C9050000}"/>
    <cellStyle name="7_05-07-01 06년재료비_05-07-15 06년재료비 기구스피커_05-07-18 06년 HA 재료비_41184_05-08-29 9월1주차HA_41184_김정_개발회의(week21)_KMS-350" xfId="1482" xr:uid="{00000000-0005-0000-0000-0000CA050000}"/>
    <cellStyle name="7_05-07-01 06년재료비_05-07-15 06년재료비 기구스피커_05-07-18 06년 HA 재료비_41184_개발회의(week21)_KMS-350" xfId="1483" xr:uid="{00000000-0005-0000-0000-0000CB050000}"/>
    <cellStyle name="7_05-07-01 06년재료비_05-07-15 06년재료비 기구스피커_05-08-29 9월1주차HA_41184_김정" xfId="1484" xr:uid="{00000000-0005-0000-0000-0000CC050000}"/>
    <cellStyle name="7_05-07-01 06년재료비_05-07-15 06년재료비 기구스피커_05-08-29 9월1주차HA_41184_김정_개발회의(week21)_KMS-350" xfId="1485" xr:uid="{00000000-0005-0000-0000-0000CD050000}"/>
    <cellStyle name="7_05-07-01 06년재료비_05-07-15 06년재료비 기구스피커_개발회의(week21)_KMS-350" xfId="1486" xr:uid="{00000000-0005-0000-0000-0000CE050000}"/>
    <cellStyle name="7_05-07-01 06년재료비_05-07-18 06년 HA 재료비" xfId="1487" xr:uid="{00000000-0005-0000-0000-0000CF050000}"/>
    <cellStyle name="7_05-07-01 06년재료비_05-07-18 06년 HA 재료비_05-07-18 06년 HA 재료비_41184" xfId="1488" xr:uid="{00000000-0005-0000-0000-0000D0050000}"/>
    <cellStyle name="7_05-07-01 06년재료비_05-07-18 06년 HA 재료비_05-07-18 06년 HA 재료비_41184_05-08-29 9월1주차HA_41184_김정" xfId="1489" xr:uid="{00000000-0005-0000-0000-0000D1050000}"/>
    <cellStyle name="7_05-07-01 06년재료비_05-07-18 06년 HA 재료비_05-07-18 06년 HA 재료비_41184_05-08-29 9월1주차HA_41184_김정_개발회의(week21)_KMS-350" xfId="1490" xr:uid="{00000000-0005-0000-0000-0000D2050000}"/>
    <cellStyle name="7_05-07-01 06년재료비_05-07-18 06년 HA 재료비_05-07-18 06년 HA 재료비_41184_개발회의(week21)_KMS-350" xfId="1491" xr:uid="{00000000-0005-0000-0000-0000D3050000}"/>
    <cellStyle name="7_05-07-01 06년재료비_05-07-18 06년 HA 재료비_05-08-29 9월1주차HA_41184_김정" xfId="1492" xr:uid="{00000000-0005-0000-0000-0000D4050000}"/>
    <cellStyle name="7_05-07-01 06년재료비_05-07-18 06년 HA 재료비_05-08-29 9월1주차HA_41184_김정_개발회의(week21)_KMS-350" xfId="1493" xr:uid="{00000000-0005-0000-0000-0000D5050000}"/>
    <cellStyle name="7_05-07-01 06년재료비_05-07-18 06년 HA 재료비_41184" xfId="1494" xr:uid="{00000000-0005-0000-0000-0000D6050000}"/>
    <cellStyle name="7_05-07-01 06년재료비_05-07-18 06년 HA 재료비_41184_05-08-29 9월1주차HA_41184_김정" xfId="1495" xr:uid="{00000000-0005-0000-0000-0000D7050000}"/>
    <cellStyle name="7_05-07-01 06년재료비_05-07-18 06년 HA 재료비_41184_05-08-29 9월1주차HA_41184_김정_개발회의(week21)_KMS-350" xfId="1496" xr:uid="{00000000-0005-0000-0000-0000D8050000}"/>
    <cellStyle name="7_05-07-01 06년재료비_05-07-18 06년 HA 재료비_41184_개발회의(week21)_KMS-350" xfId="1497" xr:uid="{00000000-0005-0000-0000-0000D9050000}"/>
    <cellStyle name="7_05-07-01 06년재료비_05-07-18 06년 HA 재료비_개발회의(week21)_KMS-350" xfId="1498" xr:uid="{00000000-0005-0000-0000-0000DA050000}"/>
    <cellStyle name="7_05-07-01 06년재료비_05-07-23 06년 HA 재료비" xfId="1499" xr:uid="{00000000-0005-0000-0000-0000DB050000}"/>
    <cellStyle name="7_05-07-01 06년재료비_05-07-23 06년 HA 재료비_05-08-29 9월1주차HA_41184_김정" xfId="1500" xr:uid="{00000000-0005-0000-0000-0000DC050000}"/>
    <cellStyle name="7_05-07-01 06년재료비_05-07-23 06년 HA 재료비_05-08-29 9월1주차HA_41184_김정_개발회의(week21)_KMS-350" xfId="1501" xr:uid="{00000000-0005-0000-0000-0000DD050000}"/>
    <cellStyle name="7_05-07-01 06년재료비_05-07-23 06년 HA 재료비_개발회의(week21)_KMS-350" xfId="1502" xr:uid="{00000000-0005-0000-0000-0000DE050000}"/>
    <cellStyle name="7_05-07-01 06년재료비_05-07-25 06년 HA 재료비_H2000" xfId="1503" xr:uid="{00000000-0005-0000-0000-0000DF050000}"/>
    <cellStyle name="7_05-07-01 06년재료비_05-07-25 06년 HA 재료비_H2000_05-08-29 9월1주차HA_41184_김정" xfId="1504" xr:uid="{00000000-0005-0000-0000-0000E0050000}"/>
    <cellStyle name="7_05-07-01 06년재료비_05-07-25 06년 HA 재료비_H2000_05-08-29 9월1주차HA_41184_김정_개발회의(week21)_KMS-350" xfId="1505" xr:uid="{00000000-0005-0000-0000-0000E1050000}"/>
    <cellStyle name="7_05-07-01 06년재료비_05-07-25 06년 HA 재료비_H2000_개발회의(week21)_KMS-350" xfId="1506" xr:uid="{00000000-0005-0000-0000-0000E2050000}"/>
    <cellStyle name="7_05-07-01 06년재료비_05-07-26 06년 HA 재료비_41184" xfId="1507" xr:uid="{00000000-0005-0000-0000-0000E3050000}"/>
    <cellStyle name="7_05-07-01 06년재료비_05-07-26 06년 HA 재료비_41184_05-08-29 9월1주차HA_41184_김정" xfId="1508" xr:uid="{00000000-0005-0000-0000-0000E4050000}"/>
    <cellStyle name="7_05-07-01 06년재료비_05-07-26 06년 HA 재료비_41184_05-08-29 9월1주차HA_41184_김정_개발회의(week21)_KMS-350" xfId="1509" xr:uid="{00000000-0005-0000-0000-0000E5050000}"/>
    <cellStyle name="7_05-07-01 06년재료비_05-07-26 06년 HA 재료비_41184_개발회의(week21)_KMS-350" xfId="1510" xr:uid="{00000000-0005-0000-0000-0000E6050000}"/>
    <cellStyle name="7_05-07-01 06년재료비_05-07-26 06년 HA 재료비1" xfId="1511" xr:uid="{00000000-0005-0000-0000-0000E7050000}"/>
    <cellStyle name="7_05-07-01 06년재료비_05-07-26 06년 HA 재료비1_05-08-29 9월1주차HA_41184_김정" xfId="1512" xr:uid="{00000000-0005-0000-0000-0000E8050000}"/>
    <cellStyle name="7_05-07-01 06년재료비_05-07-26 06년 HA 재료비1_05-08-29 9월1주차HA_41184_김정_개발회의(week21)_KMS-350" xfId="1513" xr:uid="{00000000-0005-0000-0000-0000E9050000}"/>
    <cellStyle name="7_05-07-01 06년재료비_05-07-26 06년 HA 재료비1_개발회의(week21)_KMS-350" xfId="1514" xr:uid="{00000000-0005-0000-0000-0000EA050000}"/>
    <cellStyle name="7_05-07-01 06년재료비_05-08-29 9월1주차HA_41184_김정" xfId="1515" xr:uid="{00000000-0005-0000-0000-0000EB050000}"/>
    <cellStyle name="7_05-07-01 06년재료비_05-08-29 9월1주차HA_41184_김정_개발회의(week21)_KMS-350" xfId="1516" xr:uid="{00000000-0005-0000-0000-0000EC050000}"/>
    <cellStyle name="7_05-07-01 06년재료비_개발회의(week21)_KMS-350" xfId="1517" xr:uid="{00000000-0005-0000-0000-0000ED050000}"/>
    <cellStyle name="7_05-07-05 06년재료비_41184" xfId="1518" xr:uid="{00000000-0005-0000-0000-0000EE050000}"/>
    <cellStyle name="7_05-07-05 06년재료비_41184_(Q80)05-07-12 06년재료비" xfId="1519" xr:uid="{00000000-0005-0000-0000-0000EF050000}"/>
    <cellStyle name="7_05-07-05 06년재료비_41184_(Q80)05-07-12 06년재료비_05-07-18 06년 HA 재료비_41184" xfId="1520" xr:uid="{00000000-0005-0000-0000-0000F0050000}"/>
    <cellStyle name="7_05-07-05 06년재료비_41184_(Q80)05-07-12 06년재료비_05-07-18 06년 HA 재료비_41184_05-08-29 9월1주차HA_41184_김정" xfId="1521" xr:uid="{00000000-0005-0000-0000-0000F1050000}"/>
    <cellStyle name="7_05-07-05 06년재료비_41184_(Q80)05-07-12 06년재료비_05-07-18 06년 HA 재료비_41184_05-08-29 9월1주차HA_41184_김정_개발회의(week21)_KMS-350" xfId="1522" xr:uid="{00000000-0005-0000-0000-0000F2050000}"/>
    <cellStyle name="7_05-07-05 06년재료비_41184_(Q80)05-07-12 06년재료비_05-07-18 06년 HA 재료비_41184_개발회의(week21)_KMS-350" xfId="1523" xr:uid="{00000000-0005-0000-0000-0000F3050000}"/>
    <cellStyle name="7_05-07-05 06년재료비_41184_(Q80)05-07-12 06년재료비_05-08-29 9월1주차HA_41184_김정" xfId="1524" xr:uid="{00000000-0005-0000-0000-0000F4050000}"/>
    <cellStyle name="7_05-07-05 06년재료비_41184_(Q80)05-07-12 06년재료비_05-08-29 9월1주차HA_41184_김정_개발회의(week21)_KMS-350" xfId="1525" xr:uid="{00000000-0005-0000-0000-0000F5050000}"/>
    <cellStyle name="7_05-07-05 06년재료비_41184_(Q80)05-07-12 06년재료비_개발회의(week21)_KMS-350" xfId="1526" xr:uid="{00000000-0005-0000-0000-0000F6050000}"/>
    <cellStyle name="7_05-07-05 06년재료비_41184_(R1500)05-07-19 재료비" xfId="1527" xr:uid="{00000000-0005-0000-0000-0000F7050000}"/>
    <cellStyle name="7_05-07-05 06년재료비_41184_(R1500)05-07-19 재료비_05-08-29 9월1주차HA_41184_김정" xfId="1528" xr:uid="{00000000-0005-0000-0000-0000F8050000}"/>
    <cellStyle name="7_05-07-05 06년재료비_41184_(R1500)05-07-19 재료비_05-08-29 9월1주차HA_41184_김정_개발회의(week21)_KMS-350" xfId="1529" xr:uid="{00000000-0005-0000-0000-0000F9050000}"/>
    <cellStyle name="7_05-07-05 06년재료비_41184_(R1500)05-07-19 재료비_개발회의(week21)_KMS-350" xfId="1530" xr:uid="{00000000-0005-0000-0000-0000FA050000}"/>
    <cellStyle name="7_05-07-05 06년재료비_41184_05-07-12 06년재료비(Q120)" xfId="1531" xr:uid="{00000000-0005-0000-0000-0000FB050000}"/>
    <cellStyle name="7_05-07-05 06년재료비_41184_05-07-12 06년재료비(Q120)_05-07-18 06년 HA 재료비_41184" xfId="1532" xr:uid="{00000000-0005-0000-0000-0000FC050000}"/>
    <cellStyle name="7_05-07-05 06년재료비_41184_05-07-12 06년재료비(Q120)_05-07-18 06년 HA 재료비_41184_05-08-29 9월1주차HA_41184_김정" xfId="1533" xr:uid="{00000000-0005-0000-0000-0000FD050000}"/>
    <cellStyle name="7_05-07-05 06년재료비_41184_05-07-12 06년재료비(Q120)_05-07-18 06년 HA 재료비_41184_05-08-29 9월1주차HA_41184_김정_개발회의(week21)_KMS-350" xfId="1534" xr:uid="{00000000-0005-0000-0000-0000FE050000}"/>
    <cellStyle name="7_05-07-05 06년재료비_41184_05-07-12 06년재료비(Q120)_05-07-18 06년 HA 재료비_41184_개발회의(week21)_KMS-350" xfId="1535" xr:uid="{00000000-0005-0000-0000-0000FF050000}"/>
    <cellStyle name="7_05-07-05 06년재료비_41184_05-07-12 06년재료비(Q120)_05-08-29 9월1주차HA_41184_김정" xfId="1536" xr:uid="{00000000-0005-0000-0000-000000060000}"/>
    <cellStyle name="7_05-07-05 06년재료비_41184_05-07-12 06년재료비(Q120)_05-08-29 9월1주차HA_41184_김정_개발회의(week21)_KMS-350" xfId="1537" xr:uid="{00000000-0005-0000-0000-000001060000}"/>
    <cellStyle name="7_05-07-05 06년재료비_41184_05-07-12 06년재료비(Q120)_개발회의(week21)_KMS-350" xfId="1538" xr:uid="{00000000-0005-0000-0000-000002060000}"/>
    <cellStyle name="7_05-07-05 06년재료비_41184_05-07-14 06년재료비" xfId="1539" xr:uid="{00000000-0005-0000-0000-000003060000}"/>
    <cellStyle name="7_05-07-05 06년재료비_41184_05-07-14 06년재료비_05-07-18 06년 HA 재료비_41184" xfId="1540" xr:uid="{00000000-0005-0000-0000-000004060000}"/>
    <cellStyle name="7_05-07-05 06년재료비_41184_05-07-14 06년재료비_05-07-18 06년 HA 재료비_41184_05-08-29 9월1주차HA_41184_김정" xfId="1541" xr:uid="{00000000-0005-0000-0000-000005060000}"/>
    <cellStyle name="7_05-07-05 06년재료비_41184_05-07-14 06년재료비_05-07-18 06년 HA 재료비_41184_05-08-29 9월1주차HA_41184_김정_개발회의(week21)_KMS-350" xfId="1542" xr:uid="{00000000-0005-0000-0000-000006060000}"/>
    <cellStyle name="7_05-07-05 06년재료비_41184_05-07-14 06년재료비_05-07-18 06년 HA 재료비_41184_개발회의(week21)_KMS-350" xfId="1543" xr:uid="{00000000-0005-0000-0000-000007060000}"/>
    <cellStyle name="7_05-07-05 06년재료비_41184_05-07-14 06년재료비_05-08-29 9월1주차HA_41184_김정" xfId="1544" xr:uid="{00000000-0005-0000-0000-000008060000}"/>
    <cellStyle name="7_05-07-05 06년재료비_41184_05-07-14 06년재료비_05-08-29 9월1주차HA_41184_김정_개발회의(week21)_KMS-350" xfId="1545" xr:uid="{00000000-0005-0000-0000-000009060000}"/>
    <cellStyle name="7_05-07-05 06년재료비_41184_05-07-14 06년재료비_개발회의(week21)_KMS-350" xfId="1546" xr:uid="{00000000-0005-0000-0000-00000A060000}"/>
    <cellStyle name="7_05-07-05 06년재료비_41184_05-07-15 06년재료비 기구스피커" xfId="1547" xr:uid="{00000000-0005-0000-0000-00000B060000}"/>
    <cellStyle name="7_05-07-05 06년재료비_41184_05-07-15 06년재료비 기구스피커_05-07-18 06년 HA 재료비_41184" xfId="1548" xr:uid="{00000000-0005-0000-0000-00000C060000}"/>
    <cellStyle name="7_05-07-05 06년재료비_41184_05-07-15 06년재료비 기구스피커_05-07-18 06년 HA 재료비_41184_05-08-29 9월1주차HA_41184_김정" xfId="1549" xr:uid="{00000000-0005-0000-0000-00000D060000}"/>
    <cellStyle name="7_05-07-05 06년재료비_41184_05-07-15 06년재료비 기구스피커_05-07-18 06년 HA 재료비_41184_05-08-29 9월1주차HA_41184_김정_개발회의(week21)_KMS-350" xfId="1550" xr:uid="{00000000-0005-0000-0000-00000E060000}"/>
    <cellStyle name="7_05-07-05 06년재료비_41184_05-07-15 06년재료비 기구스피커_05-07-18 06년 HA 재료비_41184_개발회의(week21)_KMS-350" xfId="1551" xr:uid="{00000000-0005-0000-0000-00000F060000}"/>
    <cellStyle name="7_05-07-05 06년재료비_41184_05-07-15 06년재료비 기구스피커_05-08-29 9월1주차HA_41184_김정" xfId="1552" xr:uid="{00000000-0005-0000-0000-000010060000}"/>
    <cellStyle name="7_05-07-05 06년재료비_41184_05-07-15 06년재료비 기구스피커_05-08-29 9월1주차HA_41184_김정_개발회의(week21)_KMS-350" xfId="1553" xr:uid="{00000000-0005-0000-0000-000011060000}"/>
    <cellStyle name="7_05-07-05 06년재료비_41184_05-07-15 06년재료비 기구스피커_개발회의(week21)_KMS-350" xfId="1554" xr:uid="{00000000-0005-0000-0000-000012060000}"/>
    <cellStyle name="7_05-07-05 06년재료비_41184_05-07-18 06년 HA 재료비" xfId="1555" xr:uid="{00000000-0005-0000-0000-000013060000}"/>
    <cellStyle name="7_05-07-05 06년재료비_41184_05-07-18 06년 HA 재료비_05-07-18 06년 HA 재료비_41184" xfId="1556" xr:uid="{00000000-0005-0000-0000-000014060000}"/>
    <cellStyle name="7_05-07-05 06년재료비_41184_05-07-18 06년 HA 재료비_05-07-18 06년 HA 재료비_41184_05-08-29 9월1주차HA_41184_김정" xfId="1557" xr:uid="{00000000-0005-0000-0000-000015060000}"/>
    <cellStyle name="7_05-07-05 06년재료비_41184_05-07-18 06년 HA 재료비_05-07-18 06년 HA 재료비_41184_05-08-29 9월1주차HA_41184_김정_개발회의(week21)_KMS-350" xfId="1558" xr:uid="{00000000-0005-0000-0000-000016060000}"/>
    <cellStyle name="7_05-07-05 06년재료비_41184_05-07-18 06년 HA 재료비_05-07-18 06년 HA 재료비_41184_개발회의(week21)_KMS-350" xfId="1559" xr:uid="{00000000-0005-0000-0000-000017060000}"/>
    <cellStyle name="7_05-07-05 06년재료비_41184_05-07-18 06년 HA 재료비_05-08-29 9월1주차HA_41184_김정" xfId="1560" xr:uid="{00000000-0005-0000-0000-000018060000}"/>
    <cellStyle name="7_05-07-05 06년재료비_41184_05-07-18 06년 HA 재료비_05-08-29 9월1주차HA_41184_김정_개발회의(week21)_KMS-350" xfId="1561" xr:uid="{00000000-0005-0000-0000-000019060000}"/>
    <cellStyle name="7_05-07-05 06년재료비_41184_05-07-18 06년 HA 재료비_41184" xfId="1562" xr:uid="{00000000-0005-0000-0000-00001A060000}"/>
    <cellStyle name="7_05-07-05 06년재료비_41184_05-07-18 06년 HA 재료비_41184_05-08-29 9월1주차HA_41184_김정" xfId="1563" xr:uid="{00000000-0005-0000-0000-00001B060000}"/>
    <cellStyle name="7_05-07-05 06년재료비_41184_05-07-18 06년 HA 재료비_41184_05-08-29 9월1주차HA_41184_김정_개발회의(week21)_KMS-350" xfId="1564" xr:uid="{00000000-0005-0000-0000-00001C060000}"/>
    <cellStyle name="7_05-07-05 06년재료비_41184_05-07-18 06년 HA 재료비_41184_개발회의(week21)_KMS-350" xfId="1565" xr:uid="{00000000-0005-0000-0000-00001D060000}"/>
    <cellStyle name="7_05-07-05 06년재료비_41184_05-07-18 06년 HA 재료비_개발회의(week21)_KMS-350" xfId="1566" xr:uid="{00000000-0005-0000-0000-00001E060000}"/>
    <cellStyle name="7_05-07-05 06년재료비_41184_05-07-23 06년 HA 재료비" xfId="1567" xr:uid="{00000000-0005-0000-0000-00001F060000}"/>
    <cellStyle name="7_05-07-05 06년재료비_41184_05-07-23 06년 HA 재료비_05-08-29 9월1주차HA_41184_김정" xfId="1568" xr:uid="{00000000-0005-0000-0000-000020060000}"/>
    <cellStyle name="7_05-07-05 06년재료비_41184_05-07-23 06년 HA 재료비_05-08-29 9월1주차HA_41184_김정_개발회의(week21)_KMS-350" xfId="1569" xr:uid="{00000000-0005-0000-0000-000021060000}"/>
    <cellStyle name="7_05-07-05 06년재료비_41184_05-07-23 06년 HA 재료비_개발회의(week21)_KMS-350" xfId="1570" xr:uid="{00000000-0005-0000-0000-000022060000}"/>
    <cellStyle name="7_05-07-05 06년재료비_41184_05-07-25 06년 HA 재료비_H2000" xfId="1571" xr:uid="{00000000-0005-0000-0000-000023060000}"/>
    <cellStyle name="7_05-07-05 06년재료비_41184_05-07-25 06년 HA 재료비_H2000_05-08-29 9월1주차HA_41184_김정" xfId="1572" xr:uid="{00000000-0005-0000-0000-000024060000}"/>
    <cellStyle name="7_05-07-05 06년재료비_41184_05-07-25 06년 HA 재료비_H2000_05-08-29 9월1주차HA_41184_김정_개발회의(week21)_KMS-350" xfId="1573" xr:uid="{00000000-0005-0000-0000-000025060000}"/>
    <cellStyle name="7_05-07-05 06년재료비_41184_05-07-25 06년 HA 재료비_H2000_개발회의(week21)_KMS-350" xfId="1574" xr:uid="{00000000-0005-0000-0000-000026060000}"/>
    <cellStyle name="7_05-07-05 06년재료비_41184_05-07-26 06년 HA 재료비_41184" xfId="1575" xr:uid="{00000000-0005-0000-0000-000027060000}"/>
    <cellStyle name="7_05-07-05 06년재료비_41184_05-07-26 06년 HA 재료비_41184_05-08-29 9월1주차HA_41184_김정" xfId="1576" xr:uid="{00000000-0005-0000-0000-000028060000}"/>
    <cellStyle name="7_05-07-05 06년재료비_41184_05-07-26 06년 HA 재료비_41184_05-08-29 9월1주차HA_41184_김정_개발회의(week21)_KMS-350" xfId="1577" xr:uid="{00000000-0005-0000-0000-000029060000}"/>
    <cellStyle name="7_05-07-05 06년재료비_41184_05-07-26 06년 HA 재료비_41184_개발회의(week21)_KMS-350" xfId="1578" xr:uid="{00000000-0005-0000-0000-00002A060000}"/>
    <cellStyle name="7_05-07-05 06년재료비_41184_05-07-26 06년 HA 재료비1" xfId="1579" xr:uid="{00000000-0005-0000-0000-00002B060000}"/>
    <cellStyle name="7_05-07-05 06년재료비_41184_05-07-26 06년 HA 재료비1_05-08-29 9월1주차HA_41184_김정" xfId="1580" xr:uid="{00000000-0005-0000-0000-00002C060000}"/>
    <cellStyle name="7_05-07-05 06년재료비_41184_05-07-26 06년 HA 재료비1_05-08-29 9월1주차HA_41184_김정_개발회의(week21)_KMS-350" xfId="1581" xr:uid="{00000000-0005-0000-0000-00002D060000}"/>
    <cellStyle name="7_05-07-05 06년재료비_41184_05-07-26 06년 HA 재료비1_개발회의(week21)_KMS-350" xfId="1582" xr:uid="{00000000-0005-0000-0000-00002E060000}"/>
    <cellStyle name="7_05-07-05 06년재료비_41184_05-08-29 9월1주차HA_41184_김정" xfId="1583" xr:uid="{00000000-0005-0000-0000-00002F060000}"/>
    <cellStyle name="7_05-07-05 06년재료비_41184_05-08-29 9월1주차HA_41184_김정_개발회의(week21)_KMS-350" xfId="1584" xr:uid="{00000000-0005-0000-0000-000030060000}"/>
    <cellStyle name="7_05-07-05 06년재료비_41184_개발회의(week21)_KMS-350" xfId="1585" xr:uid="{00000000-0005-0000-0000-000031060000}"/>
    <cellStyle name="7_05-07-18 06년 HA 재료비_41184" xfId="1586" xr:uid="{00000000-0005-0000-0000-000032060000}"/>
    <cellStyle name="7_05-07-18 06년 HA 재료비_41184_05-08-29 9월1주차HA_41184_김정" xfId="1587" xr:uid="{00000000-0005-0000-0000-000033060000}"/>
    <cellStyle name="7_05-07-18 06년 HA 재료비_41184_05-08-29 9월1주차HA_41184_김정_개발회의(week21)_KMS-350" xfId="1588" xr:uid="{00000000-0005-0000-0000-000034060000}"/>
    <cellStyle name="7_05-07-18 06년 HA 재료비_41184_개발회의(week21)_KMS-350" xfId="1589" xr:uid="{00000000-0005-0000-0000-000035060000}"/>
    <cellStyle name="7_05-08-29 9월1주차HA_41184_김정" xfId="1590" xr:uid="{00000000-0005-0000-0000-000036060000}"/>
    <cellStyle name="7_05-08-29 9월1주차HA_41184_김정_개발회의(week21)_KMS-350" xfId="1591" xr:uid="{00000000-0005-0000-0000-000037060000}"/>
    <cellStyle name="7_05-12-26 12월4주차HA" xfId="1592" xr:uid="{00000000-0005-0000-0000-000038060000}"/>
    <cellStyle name="7_05-12-26 12월4주차HA_개발회의(week21)_KMS-350" xfId="1593" xr:uid="{00000000-0005-0000-0000-000039060000}"/>
    <cellStyle name="7_mini재료비-041001" xfId="2603" xr:uid="{00000000-0005-0000-0000-00002B0A0000}"/>
    <cellStyle name="7_mini재료비-041001_05-07-01 06년재료비" xfId="2604" xr:uid="{00000000-0005-0000-0000-00002C0A0000}"/>
    <cellStyle name="7_mini재료비-041001_05-07-01 06년재료비_(Q80)05-07-12 06년재료비" xfId="2605" xr:uid="{00000000-0005-0000-0000-00002D0A0000}"/>
    <cellStyle name="7_mini재료비-041001_05-07-01 06년재료비_(Q80)05-07-12 06년재료비_05-07-18 06년 HA 재료비_41184" xfId="2606" xr:uid="{00000000-0005-0000-0000-00002E0A0000}"/>
    <cellStyle name="7_mini재료비-041001_05-07-01 06년재료비_(Q80)05-07-12 06년재료비_05-07-18 06년 HA 재료비_41184_05-08-29 9월1주차HA_41184_김정" xfId="2607" xr:uid="{00000000-0005-0000-0000-00002F0A0000}"/>
    <cellStyle name="7_mini재료비-041001_05-07-01 06년재료비_(Q80)05-07-12 06년재료비_05-07-18 06년 HA 재료비_41184_05-08-29 9월1주차HA_41184_김정_개발회의(week21)_KMS-350" xfId="2608" xr:uid="{00000000-0005-0000-0000-0000300A0000}"/>
    <cellStyle name="7_mini재료비-041001_05-07-01 06년재료비_(Q80)05-07-12 06년재료비_05-07-18 06년 HA 재료비_41184_개발회의(week21)_KMS-350" xfId="2609" xr:uid="{00000000-0005-0000-0000-0000310A0000}"/>
    <cellStyle name="7_mini재료비-041001_05-07-01 06년재료비_(Q80)05-07-12 06년재료비_05-08-29 9월1주차HA_41184_김정" xfId="2610" xr:uid="{00000000-0005-0000-0000-0000320A0000}"/>
    <cellStyle name="7_mini재료비-041001_05-07-01 06년재료비_(Q80)05-07-12 06년재료비_05-08-29 9월1주차HA_41184_김정_개발회의(week21)_KMS-350" xfId="2611" xr:uid="{00000000-0005-0000-0000-0000330A0000}"/>
    <cellStyle name="7_mini재료비-041001_05-07-01 06년재료비_(Q80)05-07-12 06년재료비_개발회의(week21)_KMS-350" xfId="2612" xr:uid="{00000000-0005-0000-0000-0000340A0000}"/>
    <cellStyle name="7_mini재료비-041001_05-07-01 06년재료비_(R1500)05-07-19 재료비" xfId="2613" xr:uid="{00000000-0005-0000-0000-0000350A0000}"/>
    <cellStyle name="7_mini재료비-041001_05-07-01 06년재료비_(R1500)05-07-19 재료비_05-08-29 9월1주차HA_41184_김정" xfId="2614" xr:uid="{00000000-0005-0000-0000-0000360A0000}"/>
    <cellStyle name="7_mini재료비-041001_05-07-01 06년재료비_(R1500)05-07-19 재료비_05-08-29 9월1주차HA_41184_김정_개발회의(week21)_KMS-350" xfId="2615" xr:uid="{00000000-0005-0000-0000-0000370A0000}"/>
    <cellStyle name="7_mini재료비-041001_05-07-01 06년재료비_(R1500)05-07-19 재료비_개발회의(week21)_KMS-350" xfId="2616" xr:uid="{00000000-0005-0000-0000-0000380A0000}"/>
    <cellStyle name="7_mini재료비-041001_05-07-01 06년재료비_05-07-12 06년재료비(Q120)" xfId="2617" xr:uid="{00000000-0005-0000-0000-0000390A0000}"/>
    <cellStyle name="7_mini재료비-041001_05-07-01 06년재료비_05-07-12 06년재료비(Q120)_05-07-18 06년 HA 재료비_41184" xfId="2618" xr:uid="{00000000-0005-0000-0000-00003A0A0000}"/>
    <cellStyle name="7_mini재료비-041001_05-07-01 06년재료비_05-07-12 06년재료비(Q120)_05-07-18 06년 HA 재료비_41184_05-08-29 9월1주차HA_41184_김정" xfId="2619" xr:uid="{00000000-0005-0000-0000-00003B0A0000}"/>
    <cellStyle name="7_mini재료비-041001_05-07-01 06년재료비_05-07-12 06년재료비(Q120)_05-07-18 06년 HA 재료비_41184_05-08-29 9월1주차HA_41184_김정_개발회의(week21)_KMS-350" xfId="2620" xr:uid="{00000000-0005-0000-0000-00003C0A0000}"/>
    <cellStyle name="7_mini재료비-041001_05-07-01 06년재료비_05-07-12 06년재료비(Q120)_05-07-18 06년 HA 재료비_41184_개발회의(week21)_KMS-350" xfId="2621" xr:uid="{00000000-0005-0000-0000-00003D0A0000}"/>
    <cellStyle name="7_mini재료비-041001_05-07-01 06년재료비_05-07-12 06년재료비(Q120)_05-08-29 9월1주차HA_41184_김정" xfId="2622" xr:uid="{00000000-0005-0000-0000-00003E0A0000}"/>
    <cellStyle name="7_mini재료비-041001_05-07-01 06년재료비_05-07-12 06년재료비(Q120)_05-08-29 9월1주차HA_41184_김정_개발회의(week21)_KMS-350" xfId="2623" xr:uid="{00000000-0005-0000-0000-00003F0A0000}"/>
    <cellStyle name="7_mini재료비-041001_05-07-01 06년재료비_05-07-12 06년재료비(Q120)_개발회의(week21)_KMS-350" xfId="2624" xr:uid="{00000000-0005-0000-0000-0000400A0000}"/>
    <cellStyle name="7_mini재료비-041001_05-07-01 06년재료비_05-07-14 06년재료비" xfId="2625" xr:uid="{00000000-0005-0000-0000-0000410A0000}"/>
    <cellStyle name="7_mini재료비-041001_05-07-01 06년재료비_05-07-14 06년재료비_05-07-18 06년 HA 재료비_41184" xfId="2626" xr:uid="{00000000-0005-0000-0000-0000420A0000}"/>
    <cellStyle name="7_mini재료비-041001_05-07-01 06년재료비_05-07-14 06년재료비_05-07-18 06년 HA 재료비_41184_05-08-29 9월1주차HA_41184_김정" xfId="2627" xr:uid="{00000000-0005-0000-0000-0000430A0000}"/>
    <cellStyle name="7_mini재료비-041001_05-07-01 06년재료비_05-07-14 06년재료비_05-07-18 06년 HA 재료비_41184_05-08-29 9월1주차HA_41184_김정_개발회의(week21)_KMS-350" xfId="2628" xr:uid="{00000000-0005-0000-0000-0000440A0000}"/>
    <cellStyle name="7_mini재료비-041001_05-07-01 06년재료비_05-07-14 06년재료비_05-07-18 06년 HA 재료비_41184_개발회의(week21)_KMS-350" xfId="2629" xr:uid="{00000000-0005-0000-0000-0000450A0000}"/>
    <cellStyle name="7_mini재료비-041001_05-07-01 06년재료비_05-07-14 06년재료비_05-08-29 9월1주차HA_41184_김정" xfId="2630" xr:uid="{00000000-0005-0000-0000-0000460A0000}"/>
    <cellStyle name="7_mini재료비-041001_05-07-01 06년재료비_05-07-14 06년재료비_05-08-29 9월1주차HA_41184_김정_개발회의(week21)_KMS-350" xfId="2631" xr:uid="{00000000-0005-0000-0000-0000470A0000}"/>
    <cellStyle name="7_mini재료비-041001_05-07-01 06년재료비_05-07-14 06년재료비_개발회의(week21)_KMS-350" xfId="2632" xr:uid="{00000000-0005-0000-0000-0000480A0000}"/>
    <cellStyle name="7_mini재료비-041001_05-07-01 06년재료비_05-07-15 06년재료비 기구스피커" xfId="2633" xr:uid="{00000000-0005-0000-0000-0000490A0000}"/>
    <cellStyle name="7_mini재료비-041001_05-07-01 06년재료비_05-07-15 06년재료비 기구스피커_05-07-18 06년 HA 재료비_41184" xfId="2634" xr:uid="{00000000-0005-0000-0000-00004A0A0000}"/>
    <cellStyle name="7_mini재료비-041001_05-07-01 06년재료비_05-07-15 06년재료비 기구스피커_05-07-18 06년 HA 재료비_41184_05-08-29 9월1주차HA_41184_김정" xfId="2635" xr:uid="{00000000-0005-0000-0000-00004B0A0000}"/>
    <cellStyle name="7_mini재료비-041001_05-07-01 06년재료비_05-07-15 06년재료비 기구스피커_05-07-18 06년 HA 재료비_41184_05-08-29 9월1주차HA_41184_김정_개발회의(week21)_KMS-350" xfId="2636" xr:uid="{00000000-0005-0000-0000-00004C0A0000}"/>
    <cellStyle name="7_mini재료비-041001_05-07-01 06년재료비_05-07-15 06년재료비 기구스피커_05-07-18 06년 HA 재료비_41184_개발회의(week21)_KMS-350" xfId="2637" xr:uid="{00000000-0005-0000-0000-00004D0A0000}"/>
    <cellStyle name="7_mini재료비-041001_05-07-01 06년재료비_05-07-15 06년재료비 기구스피커_05-08-29 9월1주차HA_41184_김정" xfId="2638" xr:uid="{00000000-0005-0000-0000-00004E0A0000}"/>
    <cellStyle name="7_mini재료비-041001_05-07-01 06년재료비_05-07-15 06년재료비 기구스피커_05-08-29 9월1주차HA_41184_김정_개발회의(week21)_KMS-350" xfId="2639" xr:uid="{00000000-0005-0000-0000-00004F0A0000}"/>
    <cellStyle name="7_mini재료비-041001_05-07-01 06년재료비_05-07-15 06년재료비 기구스피커_개발회의(week21)_KMS-350" xfId="2640" xr:uid="{00000000-0005-0000-0000-0000500A0000}"/>
    <cellStyle name="7_mini재료비-041001_05-07-01 06년재료비_05-07-18 06년 HA 재료비" xfId="2641" xr:uid="{00000000-0005-0000-0000-0000510A0000}"/>
    <cellStyle name="7_mini재료비-041001_05-07-01 06년재료비_05-07-18 06년 HA 재료비_05-07-18 06년 HA 재료비_41184" xfId="2642" xr:uid="{00000000-0005-0000-0000-0000520A0000}"/>
    <cellStyle name="7_mini재료비-041001_05-07-01 06년재료비_05-07-18 06년 HA 재료비_05-07-18 06년 HA 재료비_41184_05-08-29 9월1주차HA_41184_김정" xfId="2643" xr:uid="{00000000-0005-0000-0000-0000530A0000}"/>
    <cellStyle name="7_mini재료비-041001_05-07-01 06년재료비_05-07-18 06년 HA 재료비_05-07-18 06년 HA 재료비_41184_05-08-29 9월1주차HA_41184_김정_개발회의(week21)_KMS-350" xfId="2644" xr:uid="{00000000-0005-0000-0000-0000540A0000}"/>
    <cellStyle name="7_mini재료비-041001_05-07-01 06년재료비_05-07-18 06년 HA 재료비_05-07-18 06년 HA 재료비_41184_개발회의(week21)_KMS-350" xfId="2645" xr:uid="{00000000-0005-0000-0000-0000550A0000}"/>
    <cellStyle name="7_mini재료비-041001_05-07-01 06년재료비_05-07-18 06년 HA 재료비_05-08-29 9월1주차HA_41184_김정" xfId="2646" xr:uid="{00000000-0005-0000-0000-0000560A0000}"/>
    <cellStyle name="7_mini재료비-041001_05-07-01 06년재료비_05-07-18 06년 HA 재료비_05-08-29 9월1주차HA_41184_김정_개발회의(week21)_KMS-350" xfId="2647" xr:uid="{00000000-0005-0000-0000-0000570A0000}"/>
    <cellStyle name="7_mini재료비-041001_05-07-01 06년재료비_05-07-18 06년 HA 재료비_41184" xfId="2648" xr:uid="{00000000-0005-0000-0000-0000580A0000}"/>
    <cellStyle name="7_mini재료비-041001_05-07-01 06년재료비_05-07-18 06년 HA 재료비_41184_05-08-29 9월1주차HA_41184_김정" xfId="2649" xr:uid="{00000000-0005-0000-0000-0000590A0000}"/>
    <cellStyle name="7_mini재료비-041001_05-07-01 06년재료비_05-07-18 06년 HA 재료비_41184_05-08-29 9월1주차HA_41184_김정_개발회의(week21)_KMS-350" xfId="2650" xr:uid="{00000000-0005-0000-0000-00005A0A0000}"/>
    <cellStyle name="7_mini재료비-041001_05-07-01 06년재료비_05-07-18 06년 HA 재료비_41184_개발회의(week21)_KMS-350" xfId="2651" xr:uid="{00000000-0005-0000-0000-00005B0A0000}"/>
    <cellStyle name="7_mini재료비-041001_05-07-01 06년재료비_05-07-18 06년 HA 재료비_개발회의(week21)_KMS-350" xfId="2652" xr:uid="{00000000-0005-0000-0000-00005C0A0000}"/>
    <cellStyle name="7_mini재료비-041001_05-07-01 06년재료비_05-07-23 06년 HA 재료비" xfId="2653" xr:uid="{00000000-0005-0000-0000-00005D0A0000}"/>
    <cellStyle name="7_mini재료비-041001_05-07-01 06년재료비_05-07-23 06년 HA 재료비_05-08-29 9월1주차HA_41184_김정" xfId="2654" xr:uid="{00000000-0005-0000-0000-00005E0A0000}"/>
    <cellStyle name="7_mini재료비-041001_05-07-01 06년재료비_05-07-23 06년 HA 재료비_05-08-29 9월1주차HA_41184_김정_개발회의(week21)_KMS-350" xfId="2655" xr:uid="{00000000-0005-0000-0000-00005F0A0000}"/>
    <cellStyle name="7_mini재료비-041001_05-07-01 06년재료비_05-07-23 06년 HA 재료비_개발회의(week21)_KMS-350" xfId="2656" xr:uid="{00000000-0005-0000-0000-0000600A0000}"/>
    <cellStyle name="7_mini재료비-041001_05-07-01 06년재료비_05-07-25 06년 HA 재료비_H2000" xfId="2657" xr:uid="{00000000-0005-0000-0000-0000610A0000}"/>
    <cellStyle name="7_mini재료비-041001_05-07-01 06년재료비_05-07-25 06년 HA 재료비_H2000_05-08-29 9월1주차HA_41184_김정" xfId="2658" xr:uid="{00000000-0005-0000-0000-0000620A0000}"/>
    <cellStyle name="7_mini재료비-041001_05-07-01 06년재료비_05-07-25 06년 HA 재료비_H2000_05-08-29 9월1주차HA_41184_김정_개발회의(week21)_KMS-350" xfId="2659" xr:uid="{00000000-0005-0000-0000-0000630A0000}"/>
    <cellStyle name="7_mini재료비-041001_05-07-01 06년재료비_05-07-25 06년 HA 재료비_H2000_개발회의(week21)_KMS-350" xfId="2660" xr:uid="{00000000-0005-0000-0000-0000640A0000}"/>
    <cellStyle name="7_mini재료비-041001_05-07-01 06년재료비_05-07-26 06년 HA 재료비_41184" xfId="2661" xr:uid="{00000000-0005-0000-0000-0000650A0000}"/>
    <cellStyle name="7_mini재료비-041001_05-07-01 06년재료비_05-07-26 06년 HA 재료비_41184_05-08-29 9월1주차HA_41184_김정" xfId="2662" xr:uid="{00000000-0005-0000-0000-0000660A0000}"/>
    <cellStyle name="7_mini재료비-041001_05-07-01 06년재료비_05-07-26 06년 HA 재료비_41184_05-08-29 9월1주차HA_41184_김정_개발회의(week21)_KMS-350" xfId="2663" xr:uid="{00000000-0005-0000-0000-0000670A0000}"/>
    <cellStyle name="7_mini재료비-041001_05-07-01 06년재료비_05-07-26 06년 HA 재료비_41184_개발회의(week21)_KMS-350" xfId="2664" xr:uid="{00000000-0005-0000-0000-0000680A0000}"/>
    <cellStyle name="7_mini재료비-041001_05-07-01 06년재료비_05-07-26 06년 HA 재료비1" xfId="2665" xr:uid="{00000000-0005-0000-0000-0000690A0000}"/>
    <cellStyle name="7_mini재료비-041001_05-07-01 06년재료비_05-07-26 06년 HA 재료비1_05-08-29 9월1주차HA_41184_김정" xfId="2666" xr:uid="{00000000-0005-0000-0000-00006A0A0000}"/>
    <cellStyle name="7_mini재료비-041001_05-07-01 06년재료비_05-07-26 06년 HA 재료비1_05-08-29 9월1주차HA_41184_김정_개발회의(week21)_KMS-350" xfId="2667" xr:uid="{00000000-0005-0000-0000-00006B0A0000}"/>
    <cellStyle name="7_mini재료비-041001_05-07-01 06년재료비_05-07-26 06년 HA 재료비1_개발회의(week21)_KMS-350" xfId="2668" xr:uid="{00000000-0005-0000-0000-00006C0A0000}"/>
    <cellStyle name="7_mini재료비-041001_05-07-01 06년재료비_05-08-29 9월1주차HA_41184_김정" xfId="2669" xr:uid="{00000000-0005-0000-0000-00006D0A0000}"/>
    <cellStyle name="7_mini재료비-041001_05-07-01 06년재료비_05-08-29 9월1주차HA_41184_김정_개발회의(week21)_KMS-350" xfId="2670" xr:uid="{00000000-0005-0000-0000-00006E0A0000}"/>
    <cellStyle name="7_mini재료비-041001_05-07-01 06년재료비_개발회의(week21)_KMS-350" xfId="2671" xr:uid="{00000000-0005-0000-0000-00006F0A0000}"/>
    <cellStyle name="7_mini재료비-041001_05-07-05 06년재료비_41184" xfId="2672" xr:uid="{00000000-0005-0000-0000-0000700A0000}"/>
    <cellStyle name="7_mini재료비-041001_05-07-05 06년재료비_41184_(Q80)05-07-12 06년재료비" xfId="2673" xr:uid="{00000000-0005-0000-0000-0000710A0000}"/>
    <cellStyle name="7_mini재료비-041001_05-07-05 06년재료비_41184_(Q80)05-07-12 06년재료비_05-07-18 06년 HA 재료비_41184" xfId="2674" xr:uid="{00000000-0005-0000-0000-0000720A0000}"/>
    <cellStyle name="7_mini재료비-041001_05-07-05 06년재료비_41184_(Q80)05-07-12 06년재료비_05-07-18 06년 HA 재료비_41184_05-08-29 9월1주차HA_41184_김정" xfId="2675" xr:uid="{00000000-0005-0000-0000-0000730A0000}"/>
    <cellStyle name="7_mini재료비-041001_05-07-05 06년재료비_41184_(Q80)05-07-12 06년재료비_05-07-18 06년 HA 재료비_41184_05-08-29 9월1주차HA_41184_김정_개발회의(week21)_KMS-350" xfId="2676" xr:uid="{00000000-0005-0000-0000-0000740A0000}"/>
    <cellStyle name="7_mini재료비-041001_05-07-05 06년재료비_41184_(Q80)05-07-12 06년재료비_05-07-18 06년 HA 재료비_41184_개발회의(week21)_KMS-350" xfId="2677" xr:uid="{00000000-0005-0000-0000-0000750A0000}"/>
    <cellStyle name="7_mini재료비-041001_05-07-05 06년재료비_41184_(Q80)05-07-12 06년재료비_05-08-29 9월1주차HA_41184_김정" xfId="2678" xr:uid="{00000000-0005-0000-0000-0000760A0000}"/>
    <cellStyle name="7_mini재료비-041001_05-07-05 06년재료비_41184_(Q80)05-07-12 06년재료비_05-08-29 9월1주차HA_41184_김정_개발회의(week21)_KMS-350" xfId="2679" xr:uid="{00000000-0005-0000-0000-0000770A0000}"/>
    <cellStyle name="7_mini재료비-041001_05-07-05 06년재료비_41184_(Q80)05-07-12 06년재료비_개발회의(week21)_KMS-350" xfId="2680" xr:uid="{00000000-0005-0000-0000-0000780A0000}"/>
    <cellStyle name="7_mini재료비-041001_05-07-05 06년재료비_41184_(R1500)05-07-19 재료비" xfId="2681" xr:uid="{00000000-0005-0000-0000-0000790A0000}"/>
    <cellStyle name="7_mini재료비-041001_05-07-05 06년재료비_41184_(R1500)05-07-19 재료비_05-08-29 9월1주차HA_41184_김정" xfId="2682" xr:uid="{00000000-0005-0000-0000-00007A0A0000}"/>
    <cellStyle name="7_mini재료비-041001_05-07-05 06년재료비_41184_(R1500)05-07-19 재료비_05-08-29 9월1주차HA_41184_김정_개발회의(week21)_KMS-350" xfId="2683" xr:uid="{00000000-0005-0000-0000-00007B0A0000}"/>
    <cellStyle name="7_mini재료비-041001_05-07-05 06년재료비_41184_(R1500)05-07-19 재료비_개발회의(week21)_KMS-350" xfId="2684" xr:uid="{00000000-0005-0000-0000-00007C0A0000}"/>
    <cellStyle name="7_mini재료비-041001_05-07-05 06년재료비_41184_05-07-12 06년재료비(Q120)" xfId="2685" xr:uid="{00000000-0005-0000-0000-00007D0A0000}"/>
    <cellStyle name="7_mini재료비-041001_05-07-05 06년재료비_41184_05-07-12 06년재료비(Q120)_05-07-18 06년 HA 재료비_41184" xfId="2686" xr:uid="{00000000-0005-0000-0000-00007E0A0000}"/>
    <cellStyle name="7_mini재료비-041001_05-07-05 06년재료비_41184_05-07-12 06년재료비(Q120)_05-07-18 06년 HA 재료비_41184_05-08-29 9월1주차HA_41184_김정" xfId="2687" xr:uid="{00000000-0005-0000-0000-00007F0A0000}"/>
    <cellStyle name="7_mini재료비-041001_05-07-05 06년재료비_41184_05-07-12 06년재료비(Q120)_05-07-18 06년 HA 재료비_41184_05-08-29 9월1주차HA_41184_김정_개발회의(week21)_KMS-350" xfId="2688" xr:uid="{00000000-0005-0000-0000-0000800A0000}"/>
    <cellStyle name="7_mini재료비-041001_05-07-05 06년재료비_41184_05-07-12 06년재료비(Q120)_05-07-18 06년 HA 재료비_41184_개발회의(week21)_KMS-350" xfId="2689" xr:uid="{00000000-0005-0000-0000-0000810A0000}"/>
    <cellStyle name="7_mini재료비-041001_05-07-05 06년재료비_41184_05-07-12 06년재료비(Q120)_05-08-29 9월1주차HA_41184_김정" xfId="2690" xr:uid="{00000000-0005-0000-0000-0000820A0000}"/>
    <cellStyle name="7_mini재료비-041001_05-07-05 06년재료비_41184_05-07-12 06년재료비(Q120)_05-08-29 9월1주차HA_41184_김정_개발회의(week21)_KMS-350" xfId="2691" xr:uid="{00000000-0005-0000-0000-0000830A0000}"/>
    <cellStyle name="7_mini재료비-041001_05-07-05 06년재료비_41184_05-07-12 06년재료비(Q120)_개발회의(week21)_KMS-350" xfId="2692" xr:uid="{00000000-0005-0000-0000-0000840A0000}"/>
    <cellStyle name="7_mini재료비-041001_05-07-05 06년재료비_41184_05-07-14 06년재료비" xfId="2693" xr:uid="{00000000-0005-0000-0000-0000850A0000}"/>
    <cellStyle name="7_mini재료비-041001_05-07-05 06년재료비_41184_05-07-14 06년재료비_05-07-18 06년 HA 재료비_41184" xfId="2694" xr:uid="{00000000-0005-0000-0000-0000860A0000}"/>
    <cellStyle name="7_mini재료비-041001_05-07-05 06년재료비_41184_05-07-14 06년재료비_05-07-18 06년 HA 재료비_41184_05-08-29 9월1주차HA_41184_김정" xfId="2695" xr:uid="{00000000-0005-0000-0000-0000870A0000}"/>
    <cellStyle name="7_mini재료비-041001_05-07-05 06년재료비_41184_05-07-14 06년재료비_05-07-18 06년 HA 재료비_41184_05-08-29 9월1주차HA_41184_김정_개발회의(week21)_KMS-350" xfId="2696" xr:uid="{00000000-0005-0000-0000-0000880A0000}"/>
    <cellStyle name="7_mini재료비-041001_05-07-05 06년재료비_41184_05-07-14 06년재료비_05-07-18 06년 HA 재료비_41184_개발회의(week21)_KMS-350" xfId="2697" xr:uid="{00000000-0005-0000-0000-0000890A0000}"/>
    <cellStyle name="7_mini재료비-041001_05-07-05 06년재료비_41184_05-07-14 06년재료비_05-08-29 9월1주차HA_41184_김정" xfId="2698" xr:uid="{00000000-0005-0000-0000-00008A0A0000}"/>
    <cellStyle name="7_mini재료비-041001_05-07-05 06년재료비_41184_05-07-14 06년재료비_05-08-29 9월1주차HA_41184_김정_개발회의(week21)_KMS-350" xfId="2699" xr:uid="{00000000-0005-0000-0000-00008B0A0000}"/>
    <cellStyle name="7_mini재료비-041001_05-07-05 06년재료비_41184_05-07-14 06년재료비_개발회의(week21)_KMS-350" xfId="2700" xr:uid="{00000000-0005-0000-0000-00008C0A0000}"/>
    <cellStyle name="7_mini재료비-041001_05-07-05 06년재료비_41184_05-07-15 06년재료비 기구스피커" xfId="2701" xr:uid="{00000000-0005-0000-0000-00008D0A0000}"/>
    <cellStyle name="7_mini재료비-041001_05-07-05 06년재료비_41184_05-07-15 06년재료비 기구스피커_05-07-18 06년 HA 재료비_41184" xfId="2702" xr:uid="{00000000-0005-0000-0000-00008E0A0000}"/>
    <cellStyle name="7_mini재료비-041001_05-07-05 06년재료비_41184_05-07-15 06년재료비 기구스피커_05-07-18 06년 HA 재료비_41184_05-08-29 9월1주차HA_41184_김정" xfId="2703" xr:uid="{00000000-0005-0000-0000-00008F0A0000}"/>
    <cellStyle name="7_mini재료비-041001_05-07-05 06년재료비_41184_05-07-15 06년재료비 기구스피커_05-07-18 06년 HA 재료비_41184_05-08-29 9월1주차HA_41184_김정_개발회의(week21)_KMS-350" xfId="2704" xr:uid="{00000000-0005-0000-0000-0000900A0000}"/>
    <cellStyle name="7_mini재료비-041001_05-07-05 06년재료비_41184_05-07-15 06년재료비 기구스피커_05-07-18 06년 HA 재료비_41184_개발회의(week21)_KMS-350" xfId="2705" xr:uid="{00000000-0005-0000-0000-0000910A0000}"/>
    <cellStyle name="7_mini재료비-041001_05-07-05 06년재료비_41184_05-07-15 06년재료비 기구스피커_05-08-29 9월1주차HA_41184_김정" xfId="2706" xr:uid="{00000000-0005-0000-0000-0000920A0000}"/>
    <cellStyle name="7_mini재료비-041001_05-07-05 06년재료비_41184_05-07-15 06년재료비 기구스피커_05-08-29 9월1주차HA_41184_김정_개발회의(week21)_KMS-350" xfId="2707" xr:uid="{00000000-0005-0000-0000-0000930A0000}"/>
    <cellStyle name="7_mini재료비-041001_05-07-05 06년재료비_41184_05-07-15 06년재료비 기구스피커_개발회의(week21)_KMS-350" xfId="2708" xr:uid="{00000000-0005-0000-0000-0000940A0000}"/>
    <cellStyle name="7_mini재료비-041001_05-07-05 06년재료비_41184_05-07-18 06년 HA 재료비" xfId="2709" xr:uid="{00000000-0005-0000-0000-0000950A0000}"/>
    <cellStyle name="7_mini재료비-041001_05-07-05 06년재료비_41184_05-07-18 06년 HA 재료비_05-07-18 06년 HA 재료비_41184" xfId="2710" xr:uid="{00000000-0005-0000-0000-0000960A0000}"/>
    <cellStyle name="7_mini재료비-041001_05-07-05 06년재료비_41184_05-07-18 06년 HA 재료비_05-07-18 06년 HA 재료비_41184_05-08-29 9월1주차HA_41184_김정" xfId="2711" xr:uid="{00000000-0005-0000-0000-0000970A0000}"/>
    <cellStyle name="7_mini재료비-041001_05-07-05 06년재료비_41184_05-07-18 06년 HA 재료비_05-07-18 06년 HA 재료비_41184_05-08-29 9월1주차HA_41184_김정_개발회의(week21)_KMS-350" xfId="2712" xr:uid="{00000000-0005-0000-0000-0000980A0000}"/>
    <cellStyle name="7_mini재료비-041001_05-07-05 06년재료비_41184_05-07-18 06년 HA 재료비_05-07-18 06년 HA 재료비_41184_개발회의(week21)_KMS-350" xfId="2713" xr:uid="{00000000-0005-0000-0000-0000990A0000}"/>
    <cellStyle name="7_mini재료비-041001_05-07-05 06년재료비_41184_05-07-18 06년 HA 재료비_05-08-29 9월1주차HA_41184_김정" xfId="2714" xr:uid="{00000000-0005-0000-0000-00009A0A0000}"/>
    <cellStyle name="7_mini재료비-041001_05-07-05 06년재료비_41184_05-07-18 06년 HA 재료비_05-08-29 9월1주차HA_41184_김정_개발회의(week21)_KMS-350" xfId="2715" xr:uid="{00000000-0005-0000-0000-00009B0A0000}"/>
    <cellStyle name="7_mini재료비-041001_05-07-05 06년재료비_41184_05-07-18 06년 HA 재료비_41184" xfId="2716" xr:uid="{00000000-0005-0000-0000-00009C0A0000}"/>
    <cellStyle name="7_mini재료비-041001_05-07-05 06년재료비_41184_05-07-18 06년 HA 재료비_41184_05-08-29 9월1주차HA_41184_김정" xfId="2717" xr:uid="{00000000-0005-0000-0000-00009D0A0000}"/>
    <cellStyle name="7_mini재료비-041001_05-07-05 06년재료비_41184_05-07-18 06년 HA 재료비_41184_05-08-29 9월1주차HA_41184_김정_개발회의(week21)_KMS-350" xfId="2718" xr:uid="{00000000-0005-0000-0000-00009E0A0000}"/>
    <cellStyle name="7_mini재료비-041001_05-07-05 06년재료비_41184_05-07-18 06년 HA 재료비_41184_개발회의(week21)_KMS-350" xfId="2719" xr:uid="{00000000-0005-0000-0000-00009F0A0000}"/>
    <cellStyle name="7_mini재료비-041001_05-07-05 06년재료비_41184_05-07-18 06년 HA 재료비_개발회의(week21)_KMS-350" xfId="2720" xr:uid="{00000000-0005-0000-0000-0000A00A0000}"/>
    <cellStyle name="7_mini재료비-041001_05-07-05 06년재료비_41184_05-07-23 06년 HA 재료비" xfId="2721" xr:uid="{00000000-0005-0000-0000-0000A10A0000}"/>
    <cellStyle name="7_mini재료비-041001_05-07-05 06년재료비_41184_05-07-23 06년 HA 재료비_05-08-29 9월1주차HA_41184_김정" xfId="2722" xr:uid="{00000000-0005-0000-0000-0000A20A0000}"/>
    <cellStyle name="7_mini재료비-041001_05-07-05 06년재료비_41184_05-07-23 06년 HA 재료비_05-08-29 9월1주차HA_41184_김정_개발회의(week21)_KMS-350" xfId="2723" xr:uid="{00000000-0005-0000-0000-0000A30A0000}"/>
    <cellStyle name="7_mini재료비-041001_05-07-05 06년재료비_41184_05-07-23 06년 HA 재료비_개발회의(week21)_KMS-350" xfId="2724" xr:uid="{00000000-0005-0000-0000-0000A40A0000}"/>
    <cellStyle name="7_mini재료비-041001_05-07-05 06년재료비_41184_05-07-25 06년 HA 재료비_H2000" xfId="2725" xr:uid="{00000000-0005-0000-0000-0000A50A0000}"/>
    <cellStyle name="7_mini재료비-041001_05-07-05 06년재료비_41184_05-07-25 06년 HA 재료비_H2000_05-08-29 9월1주차HA_41184_김정" xfId="2726" xr:uid="{00000000-0005-0000-0000-0000A60A0000}"/>
    <cellStyle name="7_mini재료비-041001_05-07-05 06년재료비_41184_05-07-25 06년 HA 재료비_H2000_05-08-29 9월1주차HA_41184_김정_개발회의(week21)_KMS-350" xfId="2727" xr:uid="{00000000-0005-0000-0000-0000A70A0000}"/>
    <cellStyle name="7_mini재료비-041001_05-07-05 06년재료비_41184_05-07-25 06년 HA 재료비_H2000_개발회의(week21)_KMS-350" xfId="2728" xr:uid="{00000000-0005-0000-0000-0000A80A0000}"/>
    <cellStyle name="7_mini재료비-041001_05-07-05 06년재료비_41184_05-07-26 06년 HA 재료비_41184" xfId="2729" xr:uid="{00000000-0005-0000-0000-0000A90A0000}"/>
    <cellStyle name="7_mini재료비-041001_05-07-05 06년재료비_41184_05-07-26 06년 HA 재료비_41184_05-08-29 9월1주차HA_41184_김정" xfId="2730" xr:uid="{00000000-0005-0000-0000-0000AA0A0000}"/>
    <cellStyle name="7_mini재료비-041001_05-07-05 06년재료비_41184_05-07-26 06년 HA 재료비_41184_05-08-29 9월1주차HA_41184_김정_개발회의(week21)_KMS-350" xfId="2731" xr:uid="{00000000-0005-0000-0000-0000AB0A0000}"/>
    <cellStyle name="7_mini재료비-041001_05-07-05 06년재료비_41184_05-07-26 06년 HA 재료비_41184_개발회의(week21)_KMS-350" xfId="2732" xr:uid="{00000000-0005-0000-0000-0000AC0A0000}"/>
    <cellStyle name="7_mini재료비-041001_05-07-05 06년재료비_41184_05-07-26 06년 HA 재료비1" xfId="2733" xr:uid="{00000000-0005-0000-0000-0000AD0A0000}"/>
    <cellStyle name="7_mini재료비-041001_05-07-05 06년재료비_41184_05-07-26 06년 HA 재료비1_05-08-29 9월1주차HA_41184_김정" xfId="2734" xr:uid="{00000000-0005-0000-0000-0000AE0A0000}"/>
    <cellStyle name="7_mini재료비-041001_05-07-05 06년재료비_41184_05-07-26 06년 HA 재료비1_05-08-29 9월1주차HA_41184_김정_개발회의(week21)_KMS-350" xfId="2735" xr:uid="{00000000-0005-0000-0000-0000AF0A0000}"/>
    <cellStyle name="7_mini재료비-041001_05-07-05 06년재료비_41184_05-07-26 06년 HA 재료비1_개발회의(week21)_KMS-350" xfId="2736" xr:uid="{00000000-0005-0000-0000-0000B00A0000}"/>
    <cellStyle name="7_mini재료비-041001_05-07-05 06년재료비_41184_05-08-29 9월1주차HA_41184_김정" xfId="2737" xr:uid="{00000000-0005-0000-0000-0000B10A0000}"/>
    <cellStyle name="7_mini재료비-041001_05-07-05 06년재료비_41184_05-08-29 9월1주차HA_41184_김정_개발회의(week21)_KMS-350" xfId="2738" xr:uid="{00000000-0005-0000-0000-0000B20A0000}"/>
    <cellStyle name="7_mini재료비-041001_05-07-05 06년재료비_41184_개발회의(week21)_KMS-350" xfId="2739" xr:uid="{00000000-0005-0000-0000-0000B30A0000}"/>
    <cellStyle name="7_mini재료비-041001_05-07-18 06년 HA 재료비_41184" xfId="2740" xr:uid="{00000000-0005-0000-0000-0000B40A0000}"/>
    <cellStyle name="7_mini재료비-041001_05-07-18 06년 HA 재료비_41184_05-08-29 9월1주차HA_41184_김정" xfId="2741" xr:uid="{00000000-0005-0000-0000-0000B50A0000}"/>
    <cellStyle name="7_mini재료비-041001_05-07-18 06년 HA 재료비_41184_05-08-29 9월1주차HA_41184_김정_개발회의(week21)_KMS-350" xfId="2742" xr:uid="{00000000-0005-0000-0000-0000B60A0000}"/>
    <cellStyle name="7_mini재료비-041001_05-07-18 06년 HA 재료비_41184_개발회의(week21)_KMS-350" xfId="2743" xr:uid="{00000000-0005-0000-0000-0000B70A0000}"/>
    <cellStyle name="7_mini재료비-041001_05-08-29 9월1주차HA_41184_김정" xfId="2744" xr:uid="{00000000-0005-0000-0000-0000B80A0000}"/>
    <cellStyle name="7_mini재료비-041001_05-08-29 9월1주차HA_41184_김정_개발회의(week21)_KMS-350" xfId="2745" xr:uid="{00000000-0005-0000-0000-0000B90A0000}"/>
    <cellStyle name="7_mini재료비-041001_개발회의(week21)_KMS-350" xfId="2746" xr:uid="{00000000-0005-0000-0000-0000BA0A0000}"/>
    <cellStyle name="7_개발회의(week21)_KMS-350" xfId="1594" xr:uid="{00000000-0005-0000-0000-00003A060000}"/>
    <cellStyle name="7_자재비절감(회의)-050110_63342" xfId="1595" xr:uid="{00000000-0005-0000-0000-00003B060000}"/>
    <cellStyle name="7_자재비절감(회의)-050110_63342_05-07-01 06년재료비" xfId="1596" xr:uid="{00000000-0005-0000-0000-00003C060000}"/>
    <cellStyle name="7_자재비절감(회의)-050110_63342_05-07-01 06년재료비_(Q80)05-07-12 06년재료비" xfId="1597" xr:uid="{00000000-0005-0000-0000-00003D060000}"/>
    <cellStyle name="7_자재비절감(회의)-050110_63342_05-07-01 06년재료비_(Q80)05-07-12 06년재료비_05-07-18 06년 HA 재료비_41184" xfId="1598" xr:uid="{00000000-0005-0000-0000-00003E060000}"/>
    <cellStyle name="7_자재비절감(회의)-050110_63342_05-07-01 06년재료비_(Q80)05-07-12 06년재료비_05-07-18 06년 HA 재료비_41184_05-08-29 9월1주차HA_41184_김정" xfId="1599" xr:uid="{00000000-0005-0000-0000-00003F060000}"/>
    <cellStyle name="7_자재비절감(회의)-050110_63342_05-07-01 06년재료비_(Q80)05-07-12 06년재료비_05-07-18 06년 HA 재료비_41184_05-08-29 9월1주차HA_41184_김정_개발회의(week21)_KMS-350" xfId="1600" xr:uid="{00000000-0005-0000-0000-000040060000}"/>
    <cellStyle name="7_자재비절감(회의)-050110_63342_05-07-01 06년재료비_(Q80)05-07-12 06년재료비_05-07-18 06년 HA 재료비_41184_개발회의(week21)_KMS-350" xfId="1601" xr:uid="{00000000-0005-0000-0000-000041060000}"/>
    <cellStyle name="7_자재비절감(회의)-050110_63342_05-07-01 06년재료비_(Q80)05-07-12 06년재료비_05-08-29 9월1주차HA_41184_김정" xfId="1602" xr:uid="{00000000-0005-0000-0000-000042060000}"/>
    <cellStyle name="7_자재비절감(회의)-050110_63342_05-07-01 06년재료비_(Q80)05-07-12 06년재료비_05-08-29 9월1주차HA_41184_김정_개발회의(week21)_KMS-350" xfId="1603" xr:uid="{00000000-0005-0000-0000-000043060000}"/>
    <cellStyle name="7_자재비절감(회의)-050110_63342_05-07-01 06년재료비_(Q80)05-07-12 06년재료비_개발회의(week21)_KMS-350" xfId="1604" xr:uid="{00000000-0005-0000-0000-000044060000}"/>
    <cellStyle name="7_자재비절감(회의)-050110_63342_05-07-01 06년재료비_(R1500)05-07-19 재료비" xfId="1605" xr:uid="{00000000-0005-0000-0000-000045060000}"/>
    <cellStyle name="7_자재비절감(회의)-050110_63342_05-07-01 06년재료비_(R1500)05-07-19 재료비_05-08-29 9월1주차HA_41184_김정" xfId="1606" xr:uid="{00000000-0005-0000-0000-000046060000}"/>
    <cellStyle name="7_자재비절감(회의)-050110_63342_05-07-01 06년재료비_(R1500)05-07-19 재료비_05-08-29 9월1주차HA_41184_김정_개발회의(week21)_KMS-350" xfId="1607" xr:uid="{00000000-0005-0000-0000-000047060000}"/>
    <cellStyle name="7_자재비절감(회의)-050110_63342_05-07-01 06년재료비_(R1500)05-07-19 재료비_개발회의(week21)_KMS-350" xfId="1608" xr:uid="{00000000-0005-0000-0000-000048060000}"/>
    <cellStyle name="7_자재비절감(회의)-050110_63342_05-07-01 06년재료비_05-07-12 06년재료비(Q120)" xfId="1609" xr:uid="{00000000-0005-0000-0000-000049060000}"/>
    <cellStyle name="7_자재비절감(회의)-050110_63342_05-07-01 06년재료비_05-07-12 06년재료비(Q120)_05-07-18 06년 HA 재료비_41184" xfId="1610" xr:uid="{00000000-0005-0000-0000-00004A060000}"/>
    <cellStyle name="7_자재비절감(회의)-050110_63342_05-07-01 06년재료비_05-07-12 06년재료비(Q120)_05-07-18 06년 HA 재료비_41184_05-08-29 9월1주차HA_41184_김정" xfId="1611" xr:uid="{00000000-0005-0000-0000-00004B060000}"/>
    <cellStyle name="7_자재비절감(회의)-050110_63342_05-07-01 06년재료비_05-07-12 06년재료비(Q120)_05-07-18 06년 HA 재료비_41184_05-08-29 9월1주차HA_41184_김정_개발회의(week21)_KMS-350" xfId="1612" xr:uid="{00000000-0005-0000-0000-00004C060000}"/>
    <cellStyle name="7_자재비절감(회의)-050110_63342_05-07-01 06년재료비_05-07-12 06년재료비(Q120)_05-07-18 06년 HA 재료비_41184_개발회의(week21)_KMS-350" xfId="1613" xr:uid="{00000000-0005-0000-0000-00004D060000}"/>
    <cellStyle name="7_자재비절감(회의)-050110_63342_05-07-01 06년재료비_05-07-12 06년재료비(Q120)_05-08-29 9월1주차HA_41184_김정" xfId="1614" xr:uid="{00000000-0005-0000-0000-00004E060000}"/>
    <cellStyle name="7_자재비절감(회의)-050110_63342_05-07-01 06년재료비_05-07-12 06년재료비(Q120)_05-08-29 9월1주차HA_41184_김정_개발회의(week21)_KMS-350" xfId="1615" xr:uid="{00000000-0005-0000-0000-00004F060000}"/>
    <cellStyle name="7_자재비절감(회의)-050110_63342_05-07-01 06년재료비_05-07-12 06년재료비(Q120)_개발회의(week21)_KMS-350" xfId="1616" xr:uid="{00000000-0005-0000-0000-000050060000}"/>
    <cellStyle name="7_자재비절감(회의)-050110_63342_05-07-01 06년재료비_05-07-14 06년재료비" xfId="1617" xr:uid="{00000000-0005-0000-0000-000051060000}"/>
    <cellStyle name="7_자재비절감(회의)-050110_63342_05-07-01 06년재료비_05-07-14 06년재료비_05-07-18 06년 HA 재료비_41184" xfId="1618" xr:uid="{00000000-0005-0000-0000-000052060000}"/>
    <cellStyle name="7_자재비절감(회의)-050110_63342_05-07-01 06년재료비_05-07-14 06년재료비_05-07-18 06년 HA 재료비_41184_05-08-29 9월1주차HA_41184_김정" xfId="1619" xr:uid="{00000000-0005-0000-0000-000053060000}"/>
    <cellStyle name="7_자재비절감(회의)-050110_63342_05-07-01 06년재료비_05-07-14 06년재료비_05-07-18 06년 HA 재료비_41184_05-08-29 9월1주차HA_41184_김정_개발회의(week21)_KMS-350" xfId="1620" xr:uid="{00000000-0005-0000-0000-000054060000}"/>
    <cellStyle name="7_자재비절감(회의)-050110_63342_05-07-01 06년재료비_05-07-14 06년재료비_05-07-18 06년 HA 재료비_41184_개발회의(week21)_KMS-350" xfId="1621" xr:uid="{00000000-0005-0000-0000-000055060000}"/>
    <cellStyle name="7_자재비절감(회의)-050110_63342_05-07-01 06년재료비_05-07-14 06년재료비_05-08-29 9월1주차HA_41184_김정" xfId="1622" xr:uid="{00000000-0005-0000-0000-000056060000}"/>
    <cellStyle name="7_자재비절감(회의)-050110_63342_05-07-01 06년재료비_05-07-14 06년재료비_05-08-29 9월1주차HA_41184_김정_개발회의(week21)_KMS-350" xfId="1623" xr:uid="{00000000-0005-0000-0000-000057060000}"/>
    <cellStyle name="7_자재비절감(회의)-050110_63342_05-07-01 06년재료비_05-07-14 06년재료비_개발회의(week21)_KMS-350" xfId="1624" xr:uid="{00000000-0005-0000-0000-000058060000}"/>
    <cellStyle name="7_자재비절감(회의)-050110_63342_05-07-01 06년재료비_05-07-15 06년재료비 기구스피커" xfId="1625" xr:uid="{00000000-0005-0000-0000-000059060000}"/>
    <cellStyle name="7_자재비절감(회의)-050110_63342_05-07-01 06년재료비_05-07-15 06년재료비 기구스피커_05-07-18 06년 HA 재료비_41184" xfId="1626" xr:uid="{00000000-0005-0000-0000-00005A060000}"/>
    <cellStyle name="7_자재비절감(회의)-050110_63342_05-07-01 06년재료비_05-07-15 06년재료비 기구스피커_05-07-18 06년 HA 재료비_41184_05-08-29 9월1주차HA_41184_김정" xfId="1627" xr:uid="{00000000-0005-0000-0000-00005B060000}"/>
    <cellStyle name="7_자재비절감(회의)-050110_63342_05-07-01 06년재료비_05-07-15 06년재료비 기구스피커_05-07-18 06년 HA 재료비_41184_05-08-29 9월1주차HA_41184_김정_개발회의(week21)_KMS-350" xfId="1628" xr:uid="{00000000-0005-0000-0000-00005C060000}"/>
    <cellStyle name="7_자재비절감(회의)-050110_63342_05-07-01 06년재료비_05-07-15 06년재료비 기구스피커_05-07-18 06년 HA 재료비_41184_개발회의(week21)_KMS-350" xfId="1629" xr:uid="{00000000-0005-0000-0000-00005D060000}"/>
    <cellStyle name="7_자재비절감(회의)-050110_63342_05-07-01 06년재료비_05-07-15 06년재료비 기구스피커_05-08-29 9월1주차HA_41184_김정" xfId="1630" xr:uid="{00000000-0005-0000-0000-00005E060000}"/>
    <cellStyle name="7_자재비절감(회의)-050110_63342_05-07-01 06년재료비_05-07-15 06년재료비 기구스피커_05-08-29 9월1주차HA_41184_김정_개발회의(week21)_KMS-350" xfId="1631" xr:uid="{00000000-0005-0000-0000-00005F060000}"/>
    <cellStyle name="7_자재비절감(회의)-050110_63342_05-07-01 06년재료비_05-07-15 06년재료비 기구스피커_개발회의(week21)_KMS-350" xfId="1632" xr:uid="{00000000-0005-0000-0000-000060060000}"/>
    <cellStyle name="7_자재비절감(회의)-050110_63342_05-07-01 06년재료비_05-07-18 06년 HA 재료비" xfId="1633" xr:uid="{00000000-0005-0000-0000-000061060000}"/>
    <cellStyle name="7_자재비절감(회의)-050110_63342_05-07-01 06년재료비_05-07-18 06년 HA 재료비_05-07-18 06년 HA 재료비_41184" xfId="1634" xr:uid="{00000000-0005-0000-0000-000062060000}"/>
    <cellStyle name="7_자재비절감(회의)-050110_63342_05-07-01 06년재료비_05-07-18 06년 HA 재료비_05-07-18 06년 HA 재료비_41184_05-08-29 9월1주차HA_41184_김정" xfId="1635" xr:uid="{00000000-0005-0000-0000-000063060000}"/>
    <cellStyle name="7_자재비절감(회의)-050110_63342_05-07-01 06년재료비_05-07-18 06년 HA 재료비_05-07-18 06년 HA 재료비_41184_05-08-29 9월1주차HA_41184_김정_개발회의(week21)_KMS-350" xfId="1636" xr:uid="{00000000-0005-0000-0000-000064060000}"/>
    <cellStyle name="7_자재비절감(회의)-050110_63342_05-07-01 06년재료비_05-07-18 06년 HA 재료비_05-07-18 06년 HA 재료비_41184_개발회의(week21)_KMS-350" xfId="1637" xr:uid="{00000000-0005-0000-0000-000065060000}"/>
    <cellStyle name="7_자재비절감(회의)-050110_63342_05-07-01 06년재료비_05-07-18 06년 HA 재료비_05-08-29 9월1주차HA_41184_김정" xfId="1638" xr:uid="{00000000-0005-0000-0000-000066060000}"/>
    <cellStyle name="7_자재비절감(회의)-050110_63342_05-07-01 06년재료비_05-07-18 06년 HA 재료비_05-08-29 9월1주차HA_41184_김정_개발회의(week21)_KMS-350" xfId="1639" xr:uid="{00000000-0005-0000-0000-000067060000}"/>
    <cellStyle name="7_자재비절감(회의)-050110_63342_05-07-01 06년재료비_05-07-18 06년 HA 재료비_41184" xfId="1640" xr:uid="{00000000-0005-0000-0000-000068060000}"/>
    <cellStyle name="7_자재비절감(회의)-050110_63342_05-07-01 06년재료비_05-07-18 06년 HA 재료비_41184_05-08-29 9월1주차HA_41184_김정" xfId="1641" xr:uid="{00000000-0005-0000-0000-000069060000}"/>
    <cellStyle name="7_자재비절감(회의)-050110_63342_05-07-01 06년재료비_05-07-18 06년 HA 재료비_41184_05-08-29 9월1주차HA_41184_김정_개발회의(week21)_KMS-350" xfId="1642" xr:uid="{00000000-0005-0000-0000-00006A060000}"/>
    <cellStyle name="7_자재비절감(회의)-050110_63342_05-07-01 06년재료비_05-07-18 06년 HA 재료비_41184_개발회의(week21)_KMS-350" xfId="1643" xr:uid="{00000000-0005-0000-0000-00006B060000}"/>
    <cellStyle name="7_자재비절감(회의)-050110_63342_05-07-01 06년재료비_05-07-18 06년 HA 재료비_개발회의(week21)_KMS-350" xfId="1644" xr:uid="{00000000-0005-0000-0000-00006C060000}"/>
    <cellStyle name="7_자재비절감(회의)-050110_63342_05-07-01 06년재료비_05-07-23 06년 HA 재료비" xfId="1645" xr:uid="{00000000-0005-0000-0000-00006D060000}"/>
    <cellStyle name="7_자재비절감(회의)-050110_63342_05-07-01 06년재료비_05-07-23 06년 HA 재료비_05-08-29 9월1주차HA_41184_김정" xfId="1646" xr:uid="{00000000-0005-0000-0000-00006E060000}"/>
    <cellStyle name="7_자재비절감(회의)-050110_63342_05-07-01 06년재료비_05-07-23 06년 HA 재료비_05-08-29 9월1주차HA_41184_김정_개발회의(week21)_KMS-350" xfId="1647" xr:uid="{00000000-0005-0000-0000-00006F060000}"/>
    <cellStyle name="7_자재비절감(회의)-050110_63342_05-07-01 06년재료비_05-07-23 06년 HA 재료비_개발회의(week21)_KMS-350" xfId="1648" xr:uid="{00000000-0005-0000-0000-000070060000}"/>
    <cellStyle name="7_자재비절감(회의)-050110_63342_05-07-01 06년재료비_05-07-25 06년 HA 재료비_H2000" xfId="1649" xr:uid="{00000000-0005-0000-0000-000071060000}"/>
    <cellStyle name="7_자재비절감(회의)-050110_63342_05-07-01 06년재료비_05-07-25 06년 HA 재료비_H2000_05-08-29 9월1주차HA_41184_김정" xfId="1650" xr:uid="{00000000-0005-0000-0000-000072060000}"/>
    <cellStyle name="7_자재비절감(회의)-050110_63342_05-07-01 06년재료비_05-07-25 06년 HA 재료비_H2000_05-08-29 9월1주차HA_41184_김정_개발회의(week21)_KMS-350" xfId="1651" xr:uid="{00000000-0005-0000-0000-000073060000}"/>
    <cellStyle name="7_자재비절감(회의)-050110_63342_05-07-01 06년재료비_05-07-25 06년 HA 재료비_H2000_개발회의(week21)_KMS-350" xfId="1652" xr:uid="{00000000-0005-0000-0000-000074060000}"/>
    <cellStyle name="7_자재비절감(회의)-050110_63342_05-07-01 06년재료비_05-07-26 06년 HA 재료비_41184" xfId="1653" xr:uid="{00000000-0005-0000-0000-000075060000}"/>
    <cellStyle name="7_자재비절감(회의)-050110_63342_05-07-01 06년재료비_05-07-26 06년 HA 재료비_41184_05-08-29 9월1주차HA_41184_김정" xfId="1654" xr:uid="{00000000-0005-0000-0000-000076060000}"/>
    <cellStyle name="7_자재비절감(회의)-050110_63342_05-07-01 06년재료비_05-07-26 06년 HA 재료비_41184_05-08-29 9월1주차HA_41184_김정_개발회의(week21)_KMS-350" xfId="1655" xr:uid="{00000000-0005-0000-0000-000077060000}"/>
    <cellStyle name="7_자재비절감(회의)-050110_63342_05-07-01 06년재료비_05-07-26 06년 HA 재료비_41184_개발회의(week21)_KMS-350" xfId="1656" xr:uid="{00000000-0005-0000-0000-000078060000}"/>
    <cellStyle name="7_자재비절감(회의)-050110_63342_05-07-01 06년재료비_05-07-26 06년 HA 재료비1" xfId="1657" xr:uid="{00000000-0005-0000-0000-000079060000}"/>
    <cellStyle name="7_자재비절감(회의)-050110_63342_05-07-01 06년재료비_05-07-26 06년 HA 재료비1_05-08-29 9월1주차HA_41184_김정" xfId="1658" xr:uid="{00000000-0005-0000-0000-00007A060000}"/>
    <cellStyle name="7_자재비절감(회의)-050110_63342_05-07-01 06년재료비_05-07-26 06년 HA 재료비1_05-08-29 9월1주차HA_41184_김정_개발회의(week21)_KMS-350" xfId="1659" xr:uid="{00000000-0005-0000-0000-00007B060000}"/>
    <cellStyle name="7_자재비절감(회의)-050110_63342_05-07-01 06년재료비_05-07-26 06년 HA 재료비1_개발회의(week21)_KMS-350" xfId="1660" xr:uid="{00000000-0005-0000-0000-00007C060000}"/>
    <cellStyle name="7_자재비절감(회의)-050110_63342_05-07-01 06년재료비_05-08-29 9월1주차HA_41184_김정" xfId="1661" xr:uid="{00000000-0005-0000-0000-00007D060000}"/>
    <cellStyle name="7_자재비절감(회의)-050110_63342_05-07-01 06년재료비_05-08-29 9월1주차HA_41184_김정_개발회의(week21)_KMS-350" xfId="1662" xr:uid="{00000000-0005-0000-0000-00007E060000}"/>
    <cellStyle name="7_자재비절감(회의)-050110_63342_05-07-01 06년재료비_개발회의(week21)_KMS-350" xfId="1663" xr:uid="{00000000-0005-0000-0000-00007F060000}"/>
    <cellStyle name="7_자재비절감(회의)-050110_63342_05-07-05 06년재료비_41184" xfId="1664" xr:uid="{00000000-0005-0000-0000-000080060000}"/>
    <cellStyle name="7_자재비절감(회의)-050110_63342_05-07-05 06년재료비_41184_(Q80)05-07-12 06년재료비" xfId="1665" xr:uid="{00000000-0005-0000-0000-000081060000}"/>
    <cellStyle name="7_자재비절감(회의)-050110_63342_05-07-05 06년재료비_41184_(Q80)05-07-12 06년재료비_05-07-18 06년 HA 재료비_41184" xfId="1666" xr:uid="{00000000-0005-0000-0000-000082060000}"/>
    <cellStyle name="7_자재비절감(회의)-050110_63342_05-07-05 06년재료비_41184_(Q80)05-07-12 06년재료비_05-07-18 06년 HA 재료비_41184_05-08-29 9월1주차HA_41184_김정" xfId="1667" xr:uid="{00000000-0005-0000-0000-000083060000}"/>
    <cellStyle name="7_자재비절감(회의)-050110_63342_05-07-05 06년재료비_41184_(Q80)05-07-12 06년재료비_05-07-18 06년 HA 재료비_41184_05-08-29 9월1주차HA_41184_김정_개발회의(week21)_KMS-350" xfId="1668" xr:uid="{00000000-0005-0000-0000-000084060000}"/>
    <cellStyle name="7_자재비절감(회의)-050110_63342_05-07-05 06년재료비_41184_(Q80)05-07-12 06년재료비_05-07-18 06년 HA 재료비_41184_개발회의(week21)_KMS-350" xfId="1669" xr:uid="{00000000-0005-0000-0000-000085060000}"/>
    <cellStyle name="7_자재비절감(회의)-050110_63342_05-07-05 06년재료비_41184_(Q80)05-07-12 06년재료비_05-08-29 9월1주차HA_41184_김정" xfId="1670" xr:uid="{00000000-0005-0000-0000-000086060000}"/>
    <cellStyle name="7_자재비절감(회의)-050110_63342_05-07-05 06년재료비_41184_(Q80)05-07-12 06년재료비_05-08-29 9월1주차HA_41184_김정_개발회의(week21)_KMS-350" xfId="1671" xr:uid="{00000000-0005-0000-0000-000087060000}"/>
    <cellStyle name="7_자재비절감(회의)-050110_63342_05-07-05 06년재료비_41184_(Q80)05-07-12 06년재료비_개발회의(week21)_KMS-350" xfId="1672" xr:uid="{00000000-0005-0000-0000-000088060000}"/>
    <cellStyle name="7_자재비절감(회의)-050110_63342_05-07-05 06년재료비_41184_(R1500)05-07-19 재료비" xfId="1673" xr:uid="{00000000-0005-0000-0000-000089060000}"/>
    <cellStyle name="7_자재비절감(회의)-050110_63342_05-07-05 06년재료비_41184_(R1500)05-07-19 재료비_05-08-29 9월1주차HA_41184_김정" xfId="1674" xr:uid="{00000000-0005-0000-0000-00008A060000}"/>
    <cellStyle name="7_자재비절감(회의)-050110_63342_05-07-05 06년재료비_41184_(R1500)05-07-19 재료비_05-08-29 9월1주차HA_41184_김정_개발회의(week21)_KMS-350" xfId="1675" xr:uid="{00000000-0005-0000-0000-00008B060000}"/>
    <cellStyle name="7_자재비절감(회의)-050110_63342_05-07-05 06년재료비_41184_(R1500)05-07-19 재료비_개발회의(week21)_KMS-350" xfId="1676" xr:uid="{00000000-0005-0000-0000-00008C060000}"/>
    <cellStyle name="7_자재비절감(회의)-050110_63342_05-07-05 06년재료비_41184_05-07-12 06년재료비(Q120)" xfId="1677" xr:uid="{00000000-0005-0000-0000-00008D060000}"/>
    <cellStyle name="7_자재비절감(회의)-050110_63342_05-07-05 06년재료비_41184_05-07-12 06년재료비(Q120)_05-07-18 06년 HA 재료비_41184" xfId="1678" xr:uid="{00000000-0005-0000-0000-00008E060000}"/>
    <cellStyle name="7_자재비절감(회의)-050110_63342_05-07-05 06년재료비_41184_05-07-12 06년재료비(Q120)_05-07-18 06년 HA 재료비_41184_05-08-29 9월1주차HA_41184_김정" xfId="1679" xr:uid="{00000000-0005-0000-0000-00008F060000}"/>
    <cellStyle name="7_자재비절감(회의)-050110_63342_05-07-05 06년재료비_41184_05-07-12 06년재료비(Q120)_05-07-18 06년 HA 재료비_41184_05-08-29 9월1주차HA_41184_김정_개발회의(week21)_KMS-350" xfId="1680" xr:uid="{00000000-0005-0000-0000-000090060000}"/>
    <cellStyle name="7_자재비절감(회의)-050110_63342_05-07-05 06년재료비_41184_05-07-12 06년재료비(Q120)_05-07-18 06년 HA 재료비_41184_개발회의(week21)_KMS-350" xfId="1681" xr:uid="{00000000-0005-0000-0000-000091060000}"/>
    <cellStyle name="7_자재비절감(회의)-050110_63342_05-07-05 06년재료비_41184_05-07-12 06년재료비(Q120)_05-08-29 9월1주차HA_41184_김정" xfId="1682" xr:uid="{00000000-0005-0000-0000-000092060000}"/>
    <cellStyle name="7_자재비절감(회의)-050110_63342_05-07-05 06년재료비_41184_05-07-12 06년재료비(Q120)_05-08-29 9월1주차HA_41184_김정_개발회의(week21)_KMS-350" xfId="1683" xr:uid="{00000000-0005-0000-0000-000093060000}"/>
    <cellStyle name="7_자재비절감(회의)-050110_63342_05-07-05 06년재료비_41184_05-07-12 06년재료비(Q120)_개발회의(week21)_KMS-350" xfId="1684" xr:uid="{00000000-0005-0000-0000-000094060000}"/>
    <cellStyle name="7_자재비절감(회의)-050110_63342_05-07-05 06년재료비_41184_05-07-14 06년재료비" xfId="1685" xr:uid="{00000000-0005-0000-0000-000095060000}"/>
    <cellStyle name="7_자재비절감(회의)-050110_63342_05-07-05 06년재료비_41184_05-07-14 06년재료비_05-07-18 06년 HA 재료비_41184" xfId="1686" xr:uid="{00000000-0005-0000-0000-000096060000}"/>
    <cellStyle name="7_자재비절감(회의)-050110_63342_05-07-05 06년재료비_41184_05-07-14 06년재료비_05-07-18 06년 HA 재료비_41184_05-08-29 9월1주차HA_41184_김정" xfId="1687" xr:uid="{00000000-0005-0000-0000-000097060000}"/>
    <cellStyle name="7_자재비절감(회의)-050110_63342_05-07-05 06년재료비_41184_05-07-14 06년재료비_05-07-18 06년 HA 재료비_41184_05-08-29 9월1주차HA_41184_김정_개발회의(week21)_KMS-350" xfId="1688" xr:uid="{00000000-0005-0000-0000-000098060000}"/>
    <cellStyle name="7_자재비절감(회의)-050110_63342_05-07-05 06년재료비_41184_05-07-14 06년재료비_05-07-18 06년 HA 재료비_41184_개발회의(week21)_KMS-350" xfId="1689" xr:uid="{00000000-0005-0000-0000-000099060000}"/>
    <cellStyle name="7_자재비절감(회의)-050110_63342_05-07-05 06년재료비_41184_05-07-14 06년재료비_05-08-29 9월1주차HA_41184_김정" xfId="1690" xr:uid="{00000000-0005-0000-0000-00009A060000}"/>
    <cellStyle name="7_자재비절감(회의)-050110_63342_05-07-05 06년재료비_41184_05-07-14 06년재료비_05-08-29 9월1주차HA_41184_김정_개발회의(week21)_KMS-350" xfId="1691" xr:uid="{00000000-0005-0000-0000-00009B060000}"/>
    <cellStyle name="7_자재비절감(회의)-050110_63342_05-07-05 06년재료비_41184_05-07-14 06년재료비_개발회의(week21)_KMS-350" xfId="1692" xr:uid="{00000000-0005-0000-0000-00009C060000}"/>
    <cellStyle name="7_자재비절감(회의)-050110_63342_05-07-05 06년재료비_41184_05-07-15 06년재료비 기구스피커" xfId="1693" xr:uid="{00000000-0005-0000-0000-00009D060000}"/>
    <cellStyle name="7_자재비절감(회의)-050110_63342_05-07-05 06년재료비_41184_05-07-15 06년재료비 기구스피커_05-07-18 06년 HA 재료비_41184" xfId="1694" xr:uid="{00000000-0005-0000-0000-00009E060000}"/>
    <cellStyle name="7_자재비절감(회의)-050110_63342_05-07-05 06년재료비_41184_05-07-15 06년재료비 기구스피커_05-07-18 06년 HA 재료비_41184_05-08-29 9월1주차HA_41184_김정" xfId="1695" xr:uid="{00000000-0005-0000-0000-00009F060000}"/>
    <cellStyle name="7_자재비절감(회의)-050110_63342_05-07-05 06년재료비_41184_05-07-15 06년재료비 기구스피커_05-07-18 06년 HA 재료비_41184_05-08-29 9월1주차HA_41184_김정_개발회의(week21)_KMS-350" xfId="1696" xr:uid="{00000000-0005-0000-0000-0000A0060000}"/>
    <cellStyle name="7_자재비절감(회의)-050110_63342_05-07-05 06년재료비_41184_05-07-15 06년재료비 기구스피커_05-07-18 06년 HA 재료비_41184_개발회의(week21)_KMS-350" xfId="1697" xr:uid="{00000000-0005-0000-0000-0000A1060000}"/>
    <cellStyle name="7_자재비절감(회의)-050110_63342_05-07-05 06년재료비_41184_05-07-15 06년재료비 기구스피커_05-08-29 9월1주차HA_41184_김정" xfId="1698" xr:uid="{00000000-0005-0000-0000-0000A2060000}"/>
    <cellStyle name="7_자재비절감(회의)-050110_63342_05-07-05 06년재료비_41184_05-07-15 06년재료비 기구스피커_05-08-29 9월1주차HA_41184_김정_개발회의(week21)_KMS-350" xfId="1699" xr:uid="{00000000-0005-0000-0000-0000A3060000}"/>
    <cellStyle name="7_자재비절감(회의)-050110_63342_05-07-05 06년재료비_41184_05-07-15 06년재료비 기구스피커_개발회의(week21)_KMS-350" xfId="1700" xr:uid="{00000000-0005-0000-0000-0000A4060000}"/>
    <cellStyle name="7_자재비절감(회의)-050110_63342_05-07-05 06년재료비_41184_05-07-18 06년 HA 재료비" xfId="1701" xr:uid="{00000000-0005-0000-0000-0000A5060000}"/>
    <cellStyle name="7_자재비절감(회의)-050110_63342_05-07-05 06년재료비_41184_05-07-18 06년 HA 재료비_05-07-18 06년 HA 재료비_41184" xfId="1702" xr:uid="{00000000-0005-0000-0000-0000A6060000}"/>
    <cellStyle name="7_자재비절감(회의)-050110_63342_05-07-05 06년재료비_41184_05-07-18 06년 HA 재료비_05-07-18 06년 HA 재료비_41184_05-08-29 9월1주차HA_41184_김정" xfId="1703" xr:uid="{00000000-0005-0000-0000-0000A7060000}"/>
    <cellStyle name="7_자재비절감(회의)-050110_63342_05-07-05 06년재료비_41184_05-07-18 06년 HA 재료비_05-07-18 06년 HA 재료비_41184_05-08-29 9월1주차HA_41184_김정_개발회의(week21)_KMS-350" xfId="1704" xr:uid="{00000000-0005-0000-0000-0000A8060000}"/>
    <cellStyle name="7_자재비절감(회의)-050110_63342_05-07-05 06년재료비_41184_05-07-18 06년 HA 재료비_05-07-18 06년 HA 재료비_41184_개발회의(week21)_KMS-350" xfId="1705" xr:uid="{00000000-0005-0000-0000-0000A9060000}"/>
    <cellStyle name="7_자재비절감(회의)-050110_63342_05-07-05 06년재료비_41184_05-07-18 06년 HA 재료비_05-08-29 9월1주차HA_41184_김정" xfId="1706" xr:uid="{00000000-0005-0000-0000-0000AA060000}"/>
    <cellStyle name="7_자재비절감(회의)-050110_63342_05-07-05 06년재료비_41184_05-07-18 06년 HA 재료비_05-08-29 9월1주차HA_41184_김정_개발회의(week21)_KMS-350" xfId="1707" xr:uid="{00000000-0005-0000-0000-0000AB060000}"/>
    <cellStyle name="7_자재비절감(회의)-050110_63342_05-07-05 06년재료비_41184_05-07-18 06년 HA 재료비_41184" xfId="1708" xr:uid="{00000000-0005-0000-0000-0000AC060000}"/>
    <cellStyle name="7_자재비절감(회의)-050110_63342_05-07-05 06년재료비_41184_05-07-18 06년 HA 재료비_41184_05-08-29 9월1주차HA_41184_김정" xfId="1709" xr:uid="{00000000-0005-0000-0000-0000AD060000}"/>
    <cellStyle name="7_자재비절감(회의)-050110_63342_05-07-05 06년재료비_41184_05-07-18 06년 HA 재료비_41184_05-08-29 9월1주차HA_41184_김정_개발회의(week21)_KMS-350" xfId="1710" xr:uid="{00000000-0005-0000-0000-0000AE060000}"/>
    <cellStyle name="7_자재비절감(회의)-050110_63342_05-07-05 06년재료비_41184_05-07-18 06년 HA 재료비_41184_개발회의(week21)_KMS-350" xfId="1711" xr:uid="{00000000-0005-0000-0000-0000AF060000}"/>
    <cellStyle name="7_자재비절감(회의)-050110_63342_05-07-05 06년재료비_41184_05-07-18 06년 HA 재료비_개발회의(week21)_KMS-350" xfId="1712" xr:uid="{00000000-0005-0000-0000-0000B0060000}"/>
    <cellStyle name="7_자재비절감(회의)-050110_63342_05-07-05 06년재료비_41184_05-07-23 06년 HA 재료비" xfId="1713" xr:uid="{00000000-0005-0000-0000-0000B1060000}"/>
    <cellStyle name="7_자재비절감(회의)-050110_63342_05-07-05 06년재료비_41184_05-07-23 06년 HA 재료비_05-08-29 9월1주차HA_41184_김정" xfId="1714" xr:uid="{00000000-0005-0000-0000-0000B2060000}"/>
    <cellStyle name="7_자재비절감(회의)-050110_63342_05-07-05 06년재료비_41184_05-07-23 06년 HA 재료비_05-08-29 9월1주차HA_41184_김정_개발회의(week21)_KMS-350" xfId="1715" xr:uid="{00000000-0005-0000-0000-0000B3060000}"/>
    <cellStyle name="7_자재비절감(회의)-050110_63342_05-07-05 06년재료비_41184_05-07-23 06년 HA 재료비_개발회의(week21)_KMS-350" xfId="1716" xr:uid="{00000000-0005-0000-0000-0000B4060000}"/>
    <cellStyle name="7_자재비절감(회의)-050110_63342_05-07-05 06년재료비_41184_05-07-25 06년 HA 재료비_H2000" xfId="1717" xr:uid="{00000000-0005-0000-0000-0000B5060000}"/>
    <cellStyle name="7_자재비절감(회의)-050110_63342_05-07-05 06년재료비_41184_05-07-25 06년 HA 재료비_H2000_05-08-29 9월1주차HA_41184_김정" xfId="1718" xr:uid="{00000000-0005-0000-0000-0000B6060000}"/>
    <cellStyle name="7_자재비절감(회의)-050110_63342_05-07-05 06년재료비_41184_05-07-25 06년 HA 재료비_H2000_05-08-29 9월1주차HA_41184_김정_개발회의(week21)_KMS-350" xfId="1719" xr:uid="{00000000-0005-0000-0000-0000B7060000}"/>
    <cellStyle name="7_자재비절감(회의)-050110_63342_05-07-05 06년재료비_41184_05-07-25 06년 HA 재료비_H2000_개발회의(week21)_KMS-350" xfId="1720" xr:uid="{00000000-0005-0000-0000-0000B8060000}"/>
    <cellStyle name="7_자재비절감(회의)-050110_63342_05-07-05 06년재료비_41184_05-07-26 06년 HA 재료비_41184" xfId="1721" xr:uid="{00000000-0005-0000-0000-0000B9060000}"/>
    <cellStyle name="7_자재비절감(회의)-050110_63342_05-07-05 06년재료비_41184_05-07-26 06년 HA 재료비_41184_05-08-29 9월1주차HA_41184_김정" xfId="1722" xr:uid="{00000000-0005-0000-0000-0000BA060000}"/>
    <cellStyle name="7_자재비절감(회의)-050110_63342_05-07-05 06년재료비_41184_05-07-26 06년 HA 재료비_41184_05-08-29 9월1주차HA_41184_김정_개발회의(week21)_KMS-350" xfId="1723" xr:uid="{00000000-0005-0000-0000-0000BB060000}"/>
    <cellStyle name="7_자재비절감(회의)-050110_63342_05-07-05 06년재료비_41184_05-07-26 06년 HA 재료비_41184_개발회의(week21)_KMS-350" xfId="1724" xr:uid="{00000000-0005-0000-0000-0000BC060000}"/>
    <cellStyle name="7_자재비절감(회의)-050110_63342_05-07-05 06년재료비_41184_05-07-26 06년 HA 재료비1" xfId="1725" xr:uid="{00000000-0005-0000-0000-0000BD060000}"/>
    <cellStyle name="7_자재비절감(회의)-050110_63342_05-07-05 06년재료비_41184_05-07-26 06년 HA 재료비1_05-08-29 9월1주차HA_41184_김정" xfId="1726" xr:uid="{00000000-0005-0000-0000-0000BE060000}"/>
    <cellStyle name="7_자재비절감(회의)-050110_63342_05-07-05 06년재료비_41184_05-07-26 06년 HA 재료비1_05-08-29 9월1주차HA_41184_김정_개발회의(week21)_KMS-350" xfId="1727" xr:uid="{00000000-0005-0000-0000-0000BF060000}"/>
    <cellStyle name="7_자재비절감(회의)-050110_63342_05-07-05 06년재료비_41184_05-07-26 06년 HA 재료비1_개발회의(week21)_KMS-350" xfId="1728" xr:uid="{00000000-0005-0000-0000-0000C0060000}"/>
    <cellStyle name="7_자재비절감(회의)-050110_63342_05-07-05 06년재료비_41184_05-08-29 9월1주차HA_41184_김정" xfId="1729" xr:uid="{00000000-0005-0000-0000-0000C1060000}"/>
    <cellStyle name="7_자재비절감(회의)-050110_63342_05-07-05 06년재료비_41184_05-08-29 9월1주차HA_41184_김정_개발회의(week21)_KMS-350" xfId="1730" xr:uid="{00000000-0005-0000-0000-0000C2060000}"/>
    <cellStyle name="7_자재비절감(회의)-050110_63342_05-07-05 06년재료비_41184_개발회의(week21)_KMS-350" xfId="1731" xr:uid="{00000000-0005-0000-0000-0000C3060000}"/>
    <cellStyle name="7_자재비절감(회의)-050110_63342_05-07-18 06년 HA 재료비_41184" xfId="1732" xr:uid="{00000000-0005-0000-0000-0000C4060000}"/>
    <cellStyle name="7_자재비절감(회의)-050110_63342_05-07-18 06년 HA 재료비_41184_05-08-29 9월1주차HA_41184_김정" xfId="1733" xr:uid="{00000000-0005-0000-0000-0000C5060000}"/>
    <cellStyle name="7_자재비절감(회의)-050110_63342_05-07-18 06년 HA 재료비_41184_05-08-29 9월1주차HA_41184_김정_개발회의(week21)_KMS-350" xfId="1734" xr:uid="{00000000-0005-0000-0000-0000C6060000}"/>
    <cellStyle name="7_자재비절감(회의)-050110_63342_05-07-18 06년 HA 재료비_41184_개발회의(week21)_KMS-350" xfId="1735" xr:uid="{00000000-0005-0000-0000-0000C7060000}"/>
    <cellStyle name="7_자재비절감(회의)-050110_63342_05-08-29 9월1주차HA_41184_김정" xfId="1736" xr:uid="{00000000-0005-0000-0000-0000C8060000}"/>
    <cellStyle name="7_자재비절감(회의)-050110_63342_05-08-29 9월1주차HA_41184_김정_개발회의(week21)_KMS-350" xfId="1737" xr:uid="{00000000-0005-0000-0000-0000C9060000}"/>
    <cellStyle name="7_자재비절감(회의)-050110_63342_개발회의(week21)_KMS-350" xfId="1738" xr:uid="{00000000-0005-0000-0000-0000CA060000}"/>
    <cellStyle name="7_재료비CM350_1216" xfId="1739" xr:uid="{00000000-0005-0000-0000-0000CB060000}"/>
    <cellStyle name="7_재료비CM350_1216_04HTS재료비030902_63342" xfId="1740" xr:uid="{00000000-0005-0000-0000-0000CC060000}"/>
    <cellStyle name="7_재료비CM350_1216_04HTS재료비030902_63342_05-07-01 06년재료비" xfId="1741" xr:uid="{00000000-0005-0000-0000-0000CD060000}"/>
    <cellStyle name="7_재료비CM350_1216_04HTS재료비030902_63342_05-07-01 06년재료비_(Q80)05-07-12 06년재료비" xfId="1742" xr:uid="{00000000-0005-0000-0000-0000CE060000}"/>
    <cellStyle name="7_재료비CM350_1216_04HTS재료비030902_63342_05-07-01 06년재료비_(Q80)05-07-12 06년재료비_05-07-18 06년 HA 재료비_41184" xfId="1743" xr:uid="{00000000-0005-0000-0000-0000CF060000}"/>
    <cellStyle name="7_재료비CM350_1216_04HTS재료비030902_63342_05-07-01 06년재료비_(Q80)05-07-12 06년재료비_05-07-18 06년 HA 재료비_41184_05-08-29 9월1주차HA_41184_김정" xfId="1744" xr:uid="{00000000-0005-0000-0000-0000D0060000}"/>
    <cellStyle name="7_재료비CM350_1216_04HTS재료비030902_63342_05-07-01 06년재료비_(Q80)05-07-12 06년재료비_05-07-18 06년 HA 재료비_41184_05-08-29 9월1주차HA_41184_김정_개발회의(week21)_KMS-350" xfId="1745" xr:uid="{00000000-0005-0000-0000-0000D1060000}"/>
    <cellStyle name="7_재료비CM350_1216_04HTS재료비030902_63342_05-07-01 06년재료비_(Q80)05-07-12 06년재료비_05-07-18 06년 HA 재료비_41184_개발회의(week21)_KMS-350" xfId="1746" xr:uid="{00000000-0005-0000-0000-0000D2060000}"/>
    <cellStyle name="7_재료비CM350_1216_04HTS재료비030902_63342_05-07-01 06년재료비_(Q80)05-07-12 06년재료비_05-08-29 9월1주차HA_41184_김정" xfId="1747" xr:uid="{00000000-0005-0000-0000-0000D3060000}"/>
    <cellStyle name="7_재료비CM350_1216_04HTS재료비030902_63342_05-07-01 06년재료비_(Q80)05-07-12 06년재료비_05-08-29 9월1주차HA_41184_김정_개발회의(week21)_KMS-350" xfId="1748" xr:uid="{00000000-0005-0000-0000-0000D4060000}"/>
    <cellStyle name="7_재료비CM350_1216_04HTS재료비030902_63342_05-07-01 06년재료비_(Q80)05-07-12 06년재료비_개발회의(week21)_KMS-350" xfId="1749" xr:uid="{00000000-0005-0000-0000-0000D5060000}"/>
    <cellStyle name="7_재료비CM350_1216_04HTS재료비030902_63342_05-07-01 06년재료비_(R1500)05-07-19 재료비" xfId="1750" xr:uid="{00000000-0005-0000-0000-0000D6060000}"/>
    <cellStyle name="7_재료비CM350_1216_04HTS재료비030902_63342_05-07-01 06년재료비_(R1500)05-07-19 재료비_05-08-29 9월1주차HA_41184_김정" xfId="1751" xr:uid="{00000000-0005-0000-0000-0000D7060000}"/>
    <cellStyle name="7_재료비CM350_1216_04HTS재료비030902_63342_05-07-01 06년재료비_(R1500)05-07-19 재료비_05-08-29 9월1주차HA_41184_김정_개발회의(week21)_KMS-350" xfId="1752" xr:uid="{00000000-0005-0000-0000-0000D8060000}"/>
    <cellStyle name="7_재료비CM350_1216_04HTS재료비030902_63342_05-07-01 06년재료비_(R1500)05-07-19 재료비_개발회의(week21)_KMS-350" xfId="1753" xr:uid="{00000000-0005-0000-0000-0000D9060000}"/>
    <cellStyle name="7_재료비CM350_1216_04HTS재료비030902_63342_05-07-01 06년재료비_05-07-12 06년재료비(Q120)" xfId="1754" xr:uid="{00000000-0005-0000-0000-0000DA060000}"/>
    <cellStyle name="7_재료비CM350_1216_04HTS재료비030902_63342_05-07-01 06년재료비_05-07-12 06년재료비(Q120)_05-07-18 06년 HA 재료비_41184" xfId="1755" xr:uid="{00000000-0005-0000-0000-0000DB060000}"/>
    <cellStyle name="7_재료비CM350_1216_04HTS재료비030902_63342_05-07-01 06년재료비_05-07-12 06년재료비(Q120)_05-07-18 06년 HA 재료비_41184_05-08-29 9월1주차HA_41184_김정" xfId="1756" xr:uid="{00000000-0005-0000-0000-0000DC060000}"/>
    <cellStyle name="7_재료비CM350_1216_04HTS재료비030902_63342_05-07-01 06년재료비_05-07-12 06년재료비(Q120)_05-07-18 06년 HA 재료비_41184_05-08-29 9월1주차HA_41184_김정_개발회의(week21)_KMS-350" xfId="1757" xr:uid="{00000000-0005-0000-0000-0000DD060000}"/>
    <cellStyle name="7_재료비CM350_1216_04HTS재료비030902_63342_05-07-01 06년재료비_05-07-12 06년재료비(Q120)_05-07-18 06년 HA 재료비_41184_개발회의(week21)_KMS-350" xfId="1758" xr:uid="{00000000-0005-0000-0000-0000DE060000}"/>
    <cellStyle name="7_재료비CM350_1216_04HTS재료비030902_63342_05-07-01 06년재료비_05-07-12 06년재료비(Q120)_05-08-29 9월1주차HA_41184_김정" xfId="1759" xr:uid="{00000000-0005-0000-0000-0000DF060000}"/>
    <cellStyle name="7_재료비CM350_1216_04HTS재료비030902_63342_05-07-01 06년재료비_05-07-12 06년재료비(Q120)_05-08-29 9월1주차HA_41184_김정_개발회의(week21)_KMS-350" xfId="1760" xr:uid="{00000000-0005-0000-0000-0000E0060000}"/>
    <cellStyle name="7_재료비CM350_1216_04HTS재료비030902_63342_05-07-01 06년재료비_05-07-12 06년재료비(Q120)_개발회의(week21)_KMS-350" xfId="1761" xr:uid="{00000000-0005-0000-0000-0000E1060000}"/>
    <cellStyle name="7_재료비CM350_1216_04HTS재료비030902_63342_05-07-01 06년재료비_05-07-14 06년재료비" xfId="1762" xr:uid="{00000000-0005-0000-0000-0000E2060000}"/>
    <cellStyle name="7_재료비CM350_1216_04HTS재료비030902_63342_05-07-01 06년재료비_05-07-14 06년재료비_05-07-18 06년 HA 재료비_41184" xfId="1763" xr:uid="{00000000-0005-0000-0000-0000E3060000}"/>
    <cellStyle name="7_재료비CM350_1216_04HTS재료비030902_63342_05-07-01 06년재료비_05-07-14 06년재료비_05-07-18 06년 HA 재료비_41184_05-08-29 9월1주차HA_41184_김정" xfId="1764" xr:uid="{00000000-0005-0000-0000-0000E4060000}"/>
    <cellStyle name="7_재료비CM350_1216_04HTS재료비030902_63342_05-07-01 06년재료비_05-07-14 06년재료비_05-07-18 06년 HA 재료비_41184_05-08-29 9월1주차HA_41184_김정_개발회의(week21)_KMS-350" xfId="1765" xr:uid="{00000000-0005-0000-0000-0000E5060000}"/>
    <cellStyle name="7_재료비CM350_1216_04HTS재료비030902_63342_05-07-01 06년재료비_05-07-14 06년재료비_05-07-18 06년 HA 재료비_41184_개발회의(week21)_KMS-350" xfId="1766" xr:uid="{00000000-0005-0000-0000-0000E6060000}"/>
    <cellStyle name="7_재료비CM350_1216_04HTS재료비030902_63342_05-07-01 06년재료비_05-07-14 06년재료비_05-08-29 9월1주차HA_41184_김정" xfId="1767" xr:uid="{00000000-0005-0000-0000-0000E7060000}"/>
    <cellStyle name="7_재료비CM350_1216_04HTS재료비030902_63342_05-07-01 06년재료비_05-07-14 06년재료비_05-08-29 9월1주차HA_41184_김정_개발회의(week21)_KMS-350" xfId="1768" xr:uid="{00000000-0005-0000-0000-0000E8060000}"/>
    <cellStyle name="7_재료비CM350_1216_04HTS재료비030902_63342_05-07-01 06년재료비_05-07-14 06년재료비_개발회의(week21)_KMS-350" xfId="1769" xr:uid="{00000000-0005-0000-0000-0000E9060000}"/>
    <cellStyle name="7_재료비CM350_1216_04HTS재료비030902_63342_05-07-01 06년재료비_05-07-15 06년재료비 기구스피커" xfId="1770" xr:uid="{00000000-0005-0000-0000-0000EA060000}"/>
    <cellStyle name="7_재료비CM350_1216_04HTS재료비030902_63342_05-07-01 06년재료비_05-07-15 06년재료비 기구스피커_05-07-18 06년 HA 재료비_41184" xfId="1771" xr:uid="{00000000-0005-0000-0000-0000EB060000}"/>
    <cellStyle name="7_재료비CM350_1216_04HTS재료비030902_63342_05-07-01 06년재료비_05-07-15 06년재료비 기구스피커_05-07-18 06년 HA 재료비_41184_05-08-29 9월1주차HA_41184_김정" xfId="1772" xr:uid="{00000000-0005-0000-0000-0000EC060000}"/>
    <cellStyle name="7_재료비CM350_1216_04HTS재료비030902_63342_05-07-01 06년재료비_05-07-15 06년재료비 기구스피커_05-07-18 06년 HA 재료비_41184_05-08-29 9월1주차HA_41184_김정_개발회의(week21)_KMS-350" xfId="1773" xr:uid="{00000000-0005-0000-0000-0000ED060000}"/>
    <cellStyle name="7_재료비CM350_1216_04HTS재료비030902_63342_05-07-01 06년재료비_05-07-15 06년재료비 기구스피커_05-07-18 06년 HA 재료비_41184_개발회의(week21)_KMS-350" xfId="1774" xr:uid="{00000000-0005-0000-0000-0000EE060000}"/>
    <cellStyle name="7_재료비CM350_1216_04HTS재료비030902_63342_05-07-01 06년재료비_05-07-15 06년재료비 기구스피커_05-08-29 9월1주차HA_41184_김정" xfId="1775" xr:uid="{00000000-0005-0000-0000-0000EF060000}"/>
    <cellStyle name="7_재료비CM350_1216_04HTS재료비030902_63342_05-07-01 06년재료비_05-07-15 06년재료비 기구스피커_05-08-29 9월1주차HA_41184_김정_개발회의(week21)_KMS-350" xfId="1776" xr:uid="{00000000-0005-0000-0000-0000F0060000}"/>
    <cellStyle name="7_재료비CM350_1216_04HTS재료비030902_63342_05-07-01 06년재료비_05-07-15 06년재료비 기구스피커_개발회의(week21)_KMS-350" xfId="1777" xr:uid="{00000000-0005-0000-0000-0000F1060000}"/>
    <cellStyle name="7_재료비CM350_1216_04HTS재료비030902_63342_05-07-01 06년재료비_05-07-18 06년 HA 재료비" xfId="1778" xr:uid="{00000000-0005-0000-0000-0000F2060000}"/>
    <cellStyle name="7_재료비CM350_1216_04HTS재료비030902_63342_05-07-01 06년재료비_05-07-18 06년 HA 재료비_05-07-18 06년 HA 재료비_41184" xfId="1779" xr:uid="{00000000-0005-0000-0000-0000F3060000}"/>
    <cellStyle name="7_재료비CM350_1216_04HTS재료비030902_63342_05-07-01 06년재료비_05-07-18 06년 HA 재료비_05-07-18 06년 HA 재료비_41184_05-08-29 9월1주차HA_41184_김정" xfId="1780" xr:uid="{00000000-0005-0000-0000-0000F4060000}"/>
    <cellStyle name="7_재료비CM350_1216_04HTS재료비030902_63342_05-07-01 06년재료비_05-07-18 06년 HA 재료비_05-07-18 06년 HA 재료비_41184_05-08-29 9월1주차HA_41184_김정_개발회의(week21)_KMS-350" xfId="1781" xr:uid="{00000000-0005-0000-0000-0000F5060000}"/>
    <cellStyle name="7_재료비CM350_1216_04HTS재료비030902_63342_05-07-01 06년재료비_05-07-18 06년 HA 재료비_05-07-18 06년 HA 재료비_41184_개발회의(week21)_KMS-350" xfId="1782" xr:uid="{00000000-0005-0000-0000-0000F6060000}"/>
    <cellStyle name="7_재료비CM350_1216_04HTS재료비030902_63342_05-07-01 06년재료비_05-07-18 06년 HA 재료비_05-08-29 9월1주차HA_41184_김정" xfId="1783" xr:uid="{00000000-0005-0000-0000-0000F7060000}"/>
    <cellStyle name="7_재료비CM350_1216_04HTS재료비030902_63342_05-07-01 06년재료비_05-07-18 06년 HA 재료비_05-08-29 9월1주차HA_41184_김정_개발회의(week21)_KMS-350" xfId="1784" xr:uid="{00000000-0005-0000-0000-0000F8060000}"/>
    <cellStyle name="7_재료비CM350_1216_04HTS재료비030902_63342_05-07-01 06년재료비_05-07-18 06년 HA 재료비_41184" xfId="1785" xr:uid="{00000000-0005-0000-0000-0000F9060000}"/>
    <cellStyle name="7_재료비CM350_1216_04HTS재료비030902_63342_05-07-01 06년재료비_05-07-18 06년 HA 재료비_41184_05-08-29 9월1주차HA_41184_김정" xfId="1786" xr:uid="{00000000-0005-0000-0000-0000FA060000}"/>
    <cellStyle name="7_재료비CM350_1216_04HTS재료비030902_63342_05-07-01 06년재료비_05-07-18 06년 HA 재료비_41184_05-08-29 9월1주차HA_41184_김정_개발회의(week21)_KMS-350" xfId="1787" xr:uid="{00000000-0005-0000-0000-0000FB060000}"/>
    <cellStyle name="7_재료비CM350_1216_04HTS재료비030902_63342_05-07-01 06년재료비_05-07-18 06년 HA 재료비_41184_개발회의(week21)_KMS-350" xfId="1788" xr:uid="{00000000-0005-0000-0000-0000FC060000}"/>
    <cellStyle name="7_재료비CM350_1216_04HTS재료비030902_63342_05-07-01 06년재료비_05-07-18 06년 HA 재료비_개발회의(week21)_KMS-350" xfId="1789" xr:uid="{00000000-0005-0000-0000-0000FD060000}"/>
    <cellStyle name="7_재료비CM350_1216_04HTS재료비030902_63342_05-07-01 06년재료비_05-07-23 06년 HA 재료비" xfId="1790" xr:uid="{00000000-0005-0000-0000-0000FE060000}"/>
    <cellStyle name="7_재료비CM350_1216_04HTS재료비030902_63342_05-07-01 06년재료비_05-07-23 06년 HA 재료비_05-08-29 9월1주차HA_41184_김정" xfId="1791" xr:uid="{00000000-0005-0000-0000-0000FF060000}"/>
    <cellStyle name="7_재료비CM350_1216_04HTS재료비030902_63342_05-07-01 06년재료비_05-07-23 06년 HA 재료비_05-08-29 9월1주차HA_41184_김정_개발회의(week21)_KMS-350" xfId="1792" xr:uid="{00000000-0005-0000-0000-000000070000}"/>
    <cellStyle name="7_재료비CM350_1216_04HTS재료비030902_63342_05-07-01 06년재료비_05-07-23 06년 HA 재료비_개발회의(week21)_KMS-350" xfId="1793" xr:uid="{00000000-0005-0000-0000-000001070000}"/>
    <cellStyle name="7_재료비CM350_1216_04HTS재료비030902_63342_05-07-01 06년재료비_05-07-25 06년 HA 재료비_H2000" xfId="1794" xr:uid="{00000000-0005-0000-0000-000002070000}"/>
    <cellStyle name="7_재료비CM350_1216_04HTS재료비030902_63342_05-07-01 06년재료비_05-07-25 06년 HA 재료비_H2000_05-08-29 9월1주차HA_41184_김정" xfId="1795" xr:uid="{00000000-0005-0000-0000-000003070000}"/>
    <cellStyle name="7_재료비CM350_1216_04HTS재료비030902_63342_05-07-01 06년재료비_05-07-25 06년 HA 재료비_H2000_05-08-29 9월1주차HA_41184_김정_개발회의(week21)_KMS-350" xfId="1796" xr:uid="{00000000-0005-0000-0000-000004070000}"/>
    <cellStyle name="7_재료비CM350_1216_04HTS재료비030902_63342_05-07-01 06년재료비_05-07-25 06년 HA 재료비_H2000_개발회의(week21)_KMS-350" xfId="1797" xr:uid="{00000000-0005-0000-0000-000005070000}"/>
    <cellStyle name="7_재료비CM350_1216_04HTS재료비030902_63342_05-07-01 06년재료비_05-07-26 06년 HA 재료비_41184" xfId="1798" xr:uid="{00000000-0005-0000-0000-000006070000}"/>
    <cellStyle name="7_재료비CM350_1216_04HTS재료비030902_63342_05-07-01 06년재료비_05-07-26 06년 HA 재료비_41184_05-08-29 9월1주차HA_41184_김정" xfId="1799" xr:uid="{00000000-0005-0000-0000-000007070000}"/>
    <cellStyle name="7_재료비CM350_1216_04HTS재료비030902_63342_05-07-01 06년재료비_05-07-26 06년 HA 재료비_41184_05-08-29 9월1주차HA_41184_김정_개발회의(week21)_KMS-350" xfId="1800" xr:uid="{00000000-0005-0000-0000-000008070000}"/>
    <cellStyle name="7_재료비CM350_1216_04HTS재료비030902_63342_05-07-01 06년재료비_05-07-26 06년 HA 재료비_41184_개발회의(week21)_KMS-350" xfId="1801" xr:uid="{00000000-0005-0000-0000-000009070000}"/>
    <cellStyle name="7_재료비CM350_1216_04HTS재료비030902_63342_05-07-01 06년재료비_05-07-26 06년 HA 재료비1" xfId="1802" xr:uid="{00000000-0005-0000-0000-00000A070000}"/>
    <cellStyle name="7_재료비CM350_1216_04HTS재료비030902_63342_05-07-01 06년재료비_05-07-26 06년 HA 재료비1_05-08-29 9월1주차HA_41184_김정" xfId="1803" xr:uid="{00000000-0005-0000-0000-00000B070000}"/>
    <cellStyle name="7_재료비CM350_1216_04HTS재료비030902_63342_05-07-01 06년재료비_05-07-26 06년 HA 재료비1_05-08-29 9월1주차HA_41184_김정_개발회의(week21)_KMS-350" xfId="1804" xr:uid="{00000000-0005-0000-0000-00000C070000}"/>
    <cellStyle name="7_재료비CM350_1216_04HTS재료비030902_63342_05-07-01 06년재료비_05-07-26 06년 HA 재료비1_개발회의(week21)_KMS-350" xfId="1805" xr:uid="{00000000-0005-0000-0000-00000D070000}"/>
    <cellStyle name="7_재료비CM350_1216_04HTS재료비030902_63342_05-07-01 06년재료비_05-08-29 9월1주차HA_41184_김정" xfId="1806" xr:uid="{00000000-0005-0000-0000-00000E070000}"/>
    <cellStyle name="7_재료비CM350_1216_04HTS재료비030902_63342_05-07-01 06년재료비_05-08-29 9월1주차HA_41184_김정_개발회의(week21)_KMS-350" xfId="1807" xr:uid="{00000000-0005-0000-0000-00000F070000}"/>
    <cellStyle name="7_재료비CM350_1216_04HTS재료비030902_63342_05-07-01 06년재료비_개발회의(week21)_KMS-350" xfId="1808" xr:uid="{00000000-0005-0000-0000-000010070000}"/>
    <cellStyle name="7_재료비CM350_1216_04HTS재료비030902_63342_05-07-05 06년재료비_41184" xfId="1809" xr:uid="{00000000-0005-0000-0000-000011070000}"/>
    <cellStyle name="7_재료비CM350_1216_04HTS재료비030902_63342_05-07-05 06년재료비_41184_(Q80)05-07-12 06년재료비" xfId="1810" xr:uid="{00000000-0005-0000-0000-000012070000}"/>
    <cellStyle name="7_재료비CM350_1216_04HTS재료비030902_63342_05-07-05 06년재료비_41184_(Q80)05-07-12 06년재료비_05-07-18 06년 HA 재료비_41184" xfId="1811" xr:uid="{00000000-0005-0000-0000-000013070000}"/>
    <cellStyle name="7_재료비CM350_1216_04HTS재료비030902_63342_05-07-05 06년재료비_41184_(Q80)05-07-12 06년재료비_05-07-18 06년 HA 재료비_41184_05-08-29 9월1주차HA_41184_김정" xfId="1812" xr:uid="{00000000-0005-0000-0000-000014070000}"/>
    <cellStyle name="7_재료비CM350_1216_04HTS재료비030902_63342_05-07-05 06년재료비_41184_(Q80)05-07-12 06년재료비_05-07-18 06년 HA 재료비_41184_05-08-29 9월1주차HA_41184_김정_개발회의(week21)_KMS-350" xfId="1813" xr:uid="{00000000-0005-0000-0000-000015070000}"/>
    <cellStyle name="7_재료비CM350_1216_04HTS재료비030902_63342_05-07-05 06년재료비_41184_(Q80)05-07-12 06년재료비_05-07-18 06년 HA 재료비_41184_개발회의(week21)_KMS-350" xfId="1814" xr:uid="{00000000-0005-0000-0000-000016070000}"/>
    <cellStyle name="7_재료비CM350_1216_04HTS재료비030902_63342_05-07-05 06년재료비_41184_(Q80)05-07-12 06년재료비_05-08-29 9월1주차HA_41184_김정" xfId="1815" xr:uid="{00000000-0005-0000-0000-000017070000}"/>
    <cellStyle name="7_재료비CM350_1216_04HTS재료비030902_63342_05-07-05 06년재료비_41184_(Q80)05-07-12 06년재료비_05-08-29 9월1주차HA_41184_김정_개발회의(week21)_KMS-350" xfId="1816" xr:uid="{00000000-0005-0000-0000-000018070000}"/>
    <cellStyle name="7_재료비CM350_1216_04HTS재료비030902_63342_05-07-05 06년재료비_41184_(Q80)05-07-12 06년재료비_개발회의(week21)_KMS-350" xfId="1817" xr:uid="{00000000-0005-0000-0000-000019070000}"/>
    <cellStyle name="7_재료비CM350_1216_04HTS재료비030902_63342_05-07-05 06년재료비_41184_(R1500)05-07-19 재료비" xfId="1818" xr:uid="{00000000-0005-0000-0000-00001A070000}"/>
    <cellStyle name="7_재료비CM350_1216_04HTS재료비030902_63342_05-07-05 06년재료비_41184_(R1500)05-07-19 재료비_05-08-29 9월1주차HA_41184_김정" xfId="1819" xr:uid="{00000000-0005-0000-0000-00001B070000}"/>
    <cellStyle name="7_재료비CM350_1216_04HTS재료비030902_63342_05-07-05 06년재료비_41184_(R1500)05-07-19 재료비_05-08-29 9월1주차HA_41184_김정_개발회의(week21)_KMS-350" xfId="1820" xr:uid="{00000000-0005-0000-0000-00001C070000}"/>
    <cellStyle name="7_재료비CM350_1216_04HTS재료비030902_63342_05-07-05 06년재료비_41184_(R1500)05-07-19 재료비_개발회의(week21)_KMS-350" xfId="1821" xr:uid="{00000000-0005-0000-0000-00001D070000}"/>
    <cellStyle name="7_재료비CM350_1216_04HTS재료비030902_63342_05-07-05 06년재료비_41184_05-07-12 06년재료비(Q120)" xfId="1822" xr:uid="{00000000-0005-0000-0000-00001E070000}"/>
    <cellStyle name="7_재료비CM350_1216_04HTS재료비030902_63342_05-07-05 06년재료비_41184_05-07-12 06년재료비(Q120)_05-07-18 06년 HA 재료비_41184" xfId="1823" xr:uid="{00000000-0005-0000-0000-00001F070000}"/>
    <cellStyle name="7_재료비CM350_1216_04HTS재료비030902_63342_05-07-05 06년재료비_41184_05-07-12 06년재료비(Q120)_05-07-18 06년 HA 재료비_41184_05-08-29 9월1주차HA_41184_김정" xfId="1824" xr:uid="{00000000-0005-0000-0000-000020070000}"/>
    <cellStyle name="7_재료비CM350_1216_04HTS재료비030902_63342_05-07-05 06년재료비_41184_05-07-12 06년재료비(Q120)_05-07-18 06년 HA 재료비_41184_05-08-29 9월1주차HA_41184_김정_개발회의(week21)_KMS-350" xfId="1825" xr:uid="{00000000-0005-0000-0000-000021070000}"/>
    <cellStyle name="7_재료비CM350_1216_04HTS재료비030902_63342_05-07-05 06년재료비_41184_05-07-12 06년재료비(Q120)_05-07-18 06년 HA 재료비_41184_개발회의(week21)_KMS-350" xfId="1826" xr:uid="{00000000-0005-0000-0000-000022070000}"/>
    <cellStyle name="7_재료비CM350_1216_04HTS재료비030902_63342_05-07-05 06년재료비_41184_05-07-12 06년재료비(Q120)_05-08-29 9월1주차HA_41184_김정" xfId="1827" xr:uid="{00000000-0005-0000-0000-000023070000}"/>
    <cellStyle name="7_재료비CM350_1216_04HTS재료비030902_63342_05-07-05 06년재료비_41184_05-07-12 06년재료비(Q120)_05-08-29 9월1주차HA_41184_김정_개발회의(week21)_KMS-350" xfId="1828" xr:uid="{00000000-0005-0000-0000-000024070000}"/>
    <cellStyle name="7_재료비CM350_1216_04HTS재료비030902_63342_05-07-05 06년재료비_41184_05-07-12 06년재료비(Q120)_개발회의(week21)_KMS-350" xfId="1829" xr:uid="{00000000-0005-0000-0000-000025070000}"/>
    <cellStyle name="7_재료비CM350_1216_04HTS재료비030902_63342_05-07-05 06년재료비_41184_05-07-14 06년재료비" xfId="1830" xr:uid="{00000000-0005-0000-0000-000026070000}"/>
    <cellStyle name="7_재료비CM350_1216_04HTS재료비030902_63342_05-07-05 06년재료비_41184_05-07-14 06년재료비_05-07-18 06년 HA 재료비_41184" xfId="1831" xr:uid="{00000000-0005-0000-0000-000027070000}"/>
    <cellStyle name="7_재료비CM350_1216_04HTS재료비030902_63342_05-07-05 06년재료비_41184_05-07-14 06년재료비_05-07-18 06년 HA 재료비_41184_05-08-29 9월1주차HA_41184_김정" xfId="1832" xr:uid="{00000000-0005-0000-0000-000028070000}"/>
    <cellStyle name="7_재료비CM350_1216_04HTS재료비030902_63342_05-07-05 06년재료비_41184_05-07-14 06년재료비_05-07-18 06년 HA 재료비_41184_05-08-29 9월1주차HA_41184_김정_개발회의(week21)_KMS-350" xfId="1833" xr:uid="{00000000-0005-0000-0000-000029070000}"/>
    <cellStyle name="7_재료비CM350_1216_04HTS재료비030902_63342_05-07-05 06년재료비_41184_05-07-14 06년재료비_05-07-18 06년 HA 재료비_41184_개발회의(week21)_KMS-350" xfId="1834" xr:uid="{00000000-0005-0000-0000-00002A070000}"/>
    <cellStyle name="7_재료비CM350_1216_04HTS재료비030902_63342_05-07-05 06년재료비_41184_05-07-14 06년재료비_05-08-29 9월1주차HA_41184_김정" xfId="1835" xr:uid="{00000000-0005-0000-0000-00002B070000}"/>
    <cellStyle name="7_재료비CM350_1216_04HTS재료비030902_63342_05-07-05 06년재료비_41184_05-07-14 06년재료비_05-08-29 9월1주차HA_41184_김정_개발회의(week21)_KMS-350" xfId="1836" xr:uid="{00000000-0005-0000-0000-00002C070000}"/>
    <cellStyle name="7_재료비CM350_1216_04HTS재료비030902_63342_05-07-05 06년재료비_41184_05-07-14 06년재료비_개발회의(week21)_KMS-350" xfId="1837" xr:uid="{00000000-0005-0000-0000-00002D070000}"/>
    <cellStyle name="7_재료비CM350_1216_04HTS재료비030902_63342_05-07-05 06년재료비_41184_05-07-15 06년재료비 기구스피커" xfId="1838" xr:uid="{00000000-0005-0000-0000-00002E070000}"/>
    <cellStyle name="7_재료비CM350_1216_04HTS재료비030902_63342_05-07-05 06년재료비_41184_05-07-15 06년재료비 기구스피커_05-07-18 06년 HA 재료비_41184" xfId="1839" xr:uid="{00000000-0005-0000-0000-00002F070000}"/>
    <cellStyle name="7_재료비CM350_1216_04HTS재료비030902_63342_05-07-05 06년재료비_41184_05-07-15 06년재료비 기구스피커_05-07-18 06년 HA 재료비_41184_05-08-29 9월1주차HA_41184_김정" xfId="1840" xr:uid="{00000000-0005-0000-0000-000030070000}"/>
    <cellStyle name="7_재료비CM350_1216_04HTS재료비030902_63342_05-07-05 06년재료비_41184_05-07-15 06년재료비 기구스피커_05-07-18 06년 HA 재료비_41184_05-08-29 9월1주차HA_41184_김정_개발회의(week21)_KMS-350" xfId="1841" xr:uid="{00000000-0005-0000-0000-000031070000}"/>
    <cellStyle name="7_재료비CM350_1216_04HTS재료비030902_63342_05-07-05 06년재료비_41184_05-07-15 06년재료비 기구스피커_05-07-18 06년 HA 재료비_41184_개발회의(week21)_KMS-350" xfId="1842" xr:uid="{00000000-0005-0000-0000-000032070000}"/>
    <cellStyle name="7_재료비CM350_1216_04HTS재료비030902_63342_05-07-05 06년재료비_41184_05-07-15 06년재료비 기구스피커_05-08-29 9월1주차HA_41184_김정" xfId="1843" xr:uid="{00000000-0005-0000-0000-000033070000}"/>
    <cellStyle name="7_재료비CM350_1216_04HTS재료비030902_63342_05-07-05 06년재료비_41184_05-07-15 06년재료비 기구스피커_05-08-29 9월1주차HA_41184_김정_개발회의(week21)_KMS-350" xfId="1844" xr:uid="{00000000-0005-0000-0000-000034070000}"/>
    <cellStyle name="7_재료비CM350_1216_04HTS재료비030902_63342_05-07-05 06년재료비_41184_05-07-15 06년재료비 기구스피커_개발회의(week21)_KMS-350" xfId="1845" xr:uid="{00000000-0005-0000-0000-000035070000}"/>
    <cellStyle name="7_재료비CM350_1216_04HTS재료비030902_63342_05-07-05 06년재료비_41184_05-07-18 06년 HA 재료비" xfId="1846" xr:uid="{00000000-0005-0000-0000-000036070000}"/>
    <cellStyle name="7_재료비CM350_1216_04HTS재료비030902_63342_05-07-05 06년재료비_41184_05-07-18 06년 HA 재료비_05-07-18 06년 HA 재료비_41184" xfId="1847" xr:uid="{00000000-0005-0000-0000-000037070000}"/>
    <cellStyle name="7_재료비CM350_1216_04HTS재료비030902_63342_05-07-05 06년재료비_41184_05-07-18 06년 HA 재료비_05-07-18 06년 HA 재료비_41184_05-08-29 9월1주차HA_41184_김정" xfId="1848" xr:uid="{00000000-0005-0000-0000-000038070000}"/>
    <cellStyle name="7_재료비CM350_1216_04HTS재료비030902_63342_05-07-05 06년재료비_41184_05-07-18 06년 HA 재료비_05-07-18 06년 HA 재료비_41184_05-08-29 9월1주차HA_41184_김정_개발회의(week21)_KMS-350" xfId="1849" xr:uid="{00000000-0005-0000-0000-000039070000}"/>
    <cellStyle name="7_재료비CM350_1216_04HTS재료비030902_63342_05-07-05 06년재료비_41184_05-07-18 06년 HA 재료비_05-07-18 06년 HA 재료비_41184_개발회의(week21)_KMS-350" xfId="1850" xr:uid="{00000000-0005-0000-0000-00003A070000}"/>
    <cellStyle name="7_재료비CM350_1216_04HTS재료비030902_63342_05-07-05 06년재료비_41184_05-07-18 06년 HA 재료비_05-08-29 9월1주차HA_41184_김정" xfId="1851" xr:uid="{00000000-0005-0000-0000-00003B070000}"/>
    <cellStyle name="7_재료비CM350_1216_04HTS재료비030902_63342_05-07-05 06년재료비_41184_05-07-18 06년 HA 재료비_05-08-29 9월1주차HA_41184_김정_개발회의(week21)_KMS-350" xfId="1852" xr:uid="{00000000-0005-0000-0000-00003C070000}"/>
    <cellStyle name="7_재료비CM350_1216_04HTS재료비030902_63342_05-07-05 06년재료비_41184_05-07-18 06년 HA 재료비_41184" xfId="1853" xr:uid="{00000000-0005-0000-0000-00003D070000}"/>
    <cellStyle name="7_재료비CM350_1216_04HTS재료비030902_63342_05-07-05 06년재료비_41184_05-07-18 06년 HA 재료비_41184_05-08-29 9월1주차HA_41184_김정" xfId="1854" xr:uid="{00000000-0005-0000-0000-00003E070000}"/>
    <cellStyle name="7_재료비CM350_1216_04HTS재료비030902_63342_05-07-05 06년재료비_41184_05-07-18 06년 HA 재료비_41184_05-08-29 9월1주차HA_41184_김정_개발회의(week21)_KMS-350" xfId="1855" xr:uid="{00000000-0005-0000-0000-00003F070000}"/>
    <cellStyle name="7_재료비CM350_1216_04HTS재료비030902_63342_05-07-05 06년재료비_41184_05-07-18 06년 HA 재료비_41184_개발회의(week21)_KMS-350" xfId="1856" xr:uid="{00000000-0005-0000-0000-000040070000}"/>
    <cellStyle name="7_재료비CM350_1216_04HTS재료비030902_63342_05-07-05 06년재료비_41184_05-07-18 06년 HA 재료비_개발회의(week21)_KMS-350" xfId="1857" xr:uid="{00000000-0005-0000-0000-000041070000}"/>
    <cellStyle name="7_재료비CM350_1216_04HTS재료비030902_63342_05-07-05 06년재료비_41184_05-07-23 06년 HA 재료비" xfId="1858" xr:uid="{00000000-0005-0000-0000-000042070000}"/>
    <cellStyle name="7_재료비CM350_1216_04HTS재료비030902_63342_05-07-05 06년재료비_41184_05-07-23 06년 HA 재료비_05-08-29 9월1주차HA_41184_김정" xfId="1859" xr:uid="{00000000-0005-0000-0000-000043070000}"/>
    <cellStyle name="7_재료비CM350_1216_04HTS재료비030902_63342_05-07-05 06년재료비_41184_05-07-23 06년 HA 재료비_05-08-29 9월1주차HA_41184_김정_개발회의(week21)_KMS-350" xfId="1860" xr:uid="{00000000-0005-0000-0000-000044070000}"/>
    <cellStyle name="7_재료비CM350_1216_04HTS재료비030902_63342_05-07-05 06년재료비_41184_05-07-23 06년 HA 재료비_개발회의(week21)_KMS-350" xfId="1861" xr:uid="{00000000-0005-0000-0000-000045070000}"/>
    <cellStyle name="7_재료비CM350_1216_04HTS재료비030902_63342_05-07-05 06년재료비_41184_05-07-25 06년 HA 재료비_H2000" xfId="1862" xr:uid="{00000000-0005-0000-0000-000046070000}"/>
    <cellStyle name="7_재료비CM350_1216_04HTS재료비030902_63342_05-07-05 06년재료비_41184_05-07-25 06년 HA 재료비_H2000_05-08-29 9월1주차HA_41184_김정" xfId="1863" xr:uid="{00000000-0005-0000-0000-000047070000}"/>
    <cellStyle name="7_재료비CM350_1216_04HTS재료비030902_63342_05-07-05 06년재료비_41184_05-07-25 06년 HA 재료비_H2000_05-08-29 9월1주차HA_41184_김정_개발회의(week21)_KMS-350" xfId="1864" xr:uid="{00000000-0005-0000-0000-000048070000}"/>
    <cellStyle name="7_재료비CM350_1216_04HTS재료비030902_63342_05-07-05 06년재료비_41184_05-07-25 06년 HA 재료비_H2000_개발회의(week21)_KMS-350" xfId="1865" xr:uid="{00000000-0005-0000-0000-000049070000}"/>
    <cellStyle name="7_재료비CM350_1216_04HTS재료비030902_63342_05-07-05 06년재료비_41184_05-07-26 06년 HA 재료비_41184" xfId="1866" xr:uid="{00000000-0005-0000-0000-00004A070000}"/>
    <cellStyle name="7_재료비CM350_1216_04HTS재료비030902_63342_05-07-05 06년재료비_41184_05-07-26 06년 HA 재료비_41184_05-08-29 9월1주차HA_41184_김정" xfId="1867" xr:uid="{00000000-0005-0000-0000-00004B070000}"/>
    <cellStyle name="7_재료비CM350_1216_04HTS재료비030902_63342_05-07-05 06년재료비_41184_05-07-26 06년 HA 재료비_41184_05-08-29 9월1주차HA_41184_김정_개발회의(week21)_KMS-350" xfId="1868" xr:uid="{00000000-0005-0000-0000-00004C070000}"/>
    <cellStyle name="7_재료비CM350_1216_04HTS재료비030902_63342_05-07-05 06년재료비_41184_05-07-26 06년 HA 재료비_41184_개발회의(week21)_KMS-350" xfId="1869" xr:uid="{00000000-0005-0000-0000-00004D070000}"/>
    <cellStyle name="7_재료비CM350_1216_04HTS재료비030902_63342_05-07-05 06년재료비_41184_05-07-26 06년 HA 재료비1" xfId="1870" xr:uid="{00000000-0005-0000-0000-00004E070000}"/>
    <cellStyle name="7_재료비CM350_1216_04HTS재료비030902_63342_05-07-05 06년재료비_41184_05-07-26 06년 HA 재료비1_05-08-29 9월1주차HA_41184_김정" xfId="1871" xr:uid="{00000000-0005-0000-0000-00004F070000}"/>
    <cellStyle name="7_재료비CM350_1216_04HTS재료비030902_63342_05-07-05 06년재료비_41184_05-07-26 06년 HA 재료비1_05-08-29 9월1주차HA_41184_김정_개발회의(week21)_KMS-350" xfId="1872" xr:uid="{00000000-0005-0000-0000-000050070000}"/>
    <cellStyle name="7_재료비CM350_1216_04HTS재료비030902_63342_05-07-05 06년재료비_41184_05-07-26 06년 HA 재료비1_개발회의(week21)_KMS-350" xfId="1873" xr:uid="{00000000-0005-0000-0000-000051070000}"/>
    <cellStyle name="7_재료비CM350_1216_04HTS재료비030902_63342_05-07-05 06년재료비_41184_05-08-29 9월1주차HA_41184_김정" xfId="1874" xr:uid="{00000000-0005-0000-0000-000052070000}"/>
    <cellStyle name="7_재료비CM350_1216_04HTS재료비030902_63342_05-07-05 06년재료비_41184_05-08-29 9월1주차HA_41184_김정_개발회의(week21)_KMS-350" xfId="1875" xr:uid="{00000000-0005-0000-0000-000053070000}"/>
    <cellStyle name="7_재료비CM350_1216_04HTS재료비030902_63342_05-07-05 06년재료비_41184_개발회의(week21)_KMS-350" xfId="1876" xr:uid="{00000000-0005-0000-0000-000054070000}"/>
    <cellStyle name="7_재료비CM350_1216_04HTS재료비030902_63342_05-07-18 06년 HA 재료비_41184" xfId="1877" xr:uid="{00000000-0005-0000-0000-000055070000}"/>
    <cellStyle name="7_재료비CM350_1216_04HTS재료비030902_63342_05-07-18 06년 HA 재료비_41184_05-08-29 9월1주차HA_41184_김정" xfId="1878" xr:uid="{00000000-0005-0000-0000-000056070000}"/>
    <cellStyle name="7_재료비CM350_1216_04HTS재료비030902_63342_05-07-18 06년 HA 재료비_41184_05-08-29 9월1주차HA_41184_김정_개발회의(week21)_KMS-350" xfId="1879" xr:uid="{00000000-0005-0000-0000-000057070000}"/>
    <cellStyle name="7_재료비CM350_1216_04HTS재료비030902_63342_05-07-18 06년 HA 재료비_41184_개발회의(week21)_KMS-350" xfId="1880" xr:uid="{00000000-0005-0000-0000-000058070000}"/>
    <cellStyle name="7_재료비CM350_1216_04HTS재료비030902_63342_05-08-29 9월1주차HA_41184_김정" xfId="1881" xr:uid="{00000000-0005-0000-0000-000059070000}"/>
    <cellStyle name="7_재료비CM350_1216_04HTS재료비030902_63342_05-08-29 9월1주차HA_41184_김정_개발회의(week21)_KMS-350" xfId="1882" xr:uid="{00000000-0005-0000-0000-00005A070000}"/>
    <cellStyle name="7_재료비CM350_1216_04HTS재료비030902_63342_mini재료비-041001" xfId="2028" xr:uid="{00000000-0005-0000-0000-0000EC070000}"/>
    <cellStyle name="7_재료비CM350_1216_04HTS재료비030902_63342_mini재료비-041001_05-07-01 06년재료비" xfId="2029" xr:uid="{00000000-0005-0000-0000-0000ED070000}"/>
    <cellStyle name="7_재료비CM350_1216_04HTS재료비030902_63342_mini재료비-041001_05-07-01 06년재료비_(Q80)05-07-12 06년재료비" xfId="2030" xr:uid="{00000000-0005-0000-0000-0000EE070000}"/>
    <cellStyle name="7_재료비CM350_1216_04HTS재료비030902_63342_mini재료비-041001_05-07-01 06년재료비_(Q80)05-07-12 06년재료비_05-07-18 06년 HA 재료비_41184" xfId="2031" xr:uid="{00000000-0005-0000-0000-0000EF070000}"/>
    <cellStyle name="7_재료비CM350_1216_04HTS재료비030902_63342_mini재료비-041001_05-07-01 06년재료비_(Q80)05-07-12 06년재료비_05-07-18 06년 HA 재료비_41184_05-08-29 9월1주차HA_41184_김정" xfId="2032" xr:uid="{00000000-0005-0000-0000-0000F0070000}"/>
    <cellStyle name="7_재료비CM350_1216_04HTS재료비030902_63342_mini재료비-041001_05-07-01 06년재료비_(Q80)05-07-12 06년재료비_05-07-18 06년 HA 재료비_41184_05-08-29 9월1주차HA_41184_김정_개발회의(week21)_KMS-350" xfId="2033" xr:uid="{00000000-0005-0000-0000-0000F1070000}"/>
    <cellStyle name="7_재료비CM350_1216_04HTS재료비030902_63342_mini재료비-041001_05-07-01 06년재료비_(Q80)05-07-12 06년재료비_05-07-18 06년 HA 재료비_41184_개발회의(week21)_KMS-350" xfId="2034" xr:uid="{00000000-0005-0000-0000-0000F2070000}"/>
    <cellStyle name="7_재료비CM350_1216_04HTS재료비030902_63342_mini재료비-041001_05-07-01 06년재료비_(Q80)05-07-12 06년재료비_05-08-29 9월1주차HA_41184_김정" xfId="2035" xr:uid="{00000000-0005-0000-0000-0000F3070000}"/>
    <cellStyle name="7_재료비CM350_1216_04HTS재료비030902_63342_mini재료비-041001_05-07-01 06년재료비_(Q80)05-07-12 06년재료비_05-08-29 9월1주차HA_41184_김정_개발회의(week21)_KMS-350" xfId="2036" xr:uid="{00000000-0005-0000-0000-0000F4070000}"/>
    <cellStyle name="7_재료비CM350_1216_04HTS재료비030902_63342_mini재료비-041001_05-07-01 06년재료비_(Q80)05-07-12 06년재료비_개발회의(week21)_KMS-350" xfId="2037" xr:uid="{00000000-0005-0000-0000-0000F5070000}"/>
    <cellStyle name="7_재료비CM350_1216_04HTS재료비030902_63342_mini재료비-041001_05-07-01 06년재료비_(R1500)05-07-19 재료비" xfId="2038" xr:uid="{00000000-0005-0000-0000-0000F6070000}"/>
    <cellStyle name="7_재료비CM350_1216_04HTS재료비030902_63342_mini재료비-041001_05-07-01 06년재료비_(R1500)05-07-19 재료비_05-08-29 9월1주차HA_41184_김정" xfId="2039" xr:uid="{00000000-0005-0000-0000-0000F7070000}"/>
    <cellStyle name="7_재료비CM350_1216_04HTS재료비030902_63342_mini재료비-041001_05-07-01 06년재료비_(R1500)05-07-19 재료비_05-08-29 9월1주차HA_41184_김정_개발회의(week21)_KMS-350" xfId="2040" xr:uid="{00000000-0005-0000-0000-0000F8070000}"/>
    <cellStyle name="7_재료비CM350_1216_04HTS재료비030902_63342_mini재료비-041001_05-07-01 06년재료비_(R1500)05-07-19 재료비_개발회의(week21)_KMS-350" xfId="2041" xr:uid="{00000000-0005-0000-0000-0000F9070000}"/>
    <cellStyle name="7_재료비CM350_1216_04HTS재료비030902_63342_mini재료비-041001_05-07-01 06년재료비_05-07-12 06년재료비(Q120)" xfId="2042" xr:uid="{00000000-0005-0000-0000-0000FA070000}"/>
    <cellStyle name="7_재료비CM350_1216_04HTS재료비030902_63342_mini재료비-041001_05-07-01 06년재료비_05-07-12 06년재료비(Q120)_05-07-18 06년 HA 재료비_41184" xfId="2043" xr:uid="{00000000-0005-0000-0000-0000FB070000}"/>
    <cellStyle name="7_재료비CM350_1216_04HTS재료비030902_63342_mini재료비-041001_05-07-01 06년재료비_05-07-12 06년재료비(Q120)_05-07-18 06년 HA 재료비_41184_05-08-29 9월1주차HA_41184_김정" xfId="2044" xr:uid="{00000000-0005-0000-0000-0000FC070000}"/>
    <cellStyle name="7_재료비CM350_1216_04HTS재료비030902_63342_mini재료비-041001_05-07-01 06년재료비_05-07-12 06년재료비(Q120)_05-07-18 06년 HA 재료비_41184_05-08-29 9월1주차HA_41184_김정_개발회의(week21)_KMS-350" xfId="2045" xr:uid="{00000000-0005-0000-0000-0000FD070000}"/>
    <cellStyle name="7_재료비CM350_1216_04HTS재료비030902_63342_mini재료비-041001_05-07-01 06년재료비_05-07-12 06년재료비(Q120)_05-07-18 06년 HA 재료비_41184_개발회의(week21)_KMS-350" xfId="2046" xr:uid="{00000000-0005-0000-0000-0000FE070000}"/>
    <cellStyle name="7_재료비CM350_1216_04HTS재료비030902_63342_mini재료비-041001_05-07-01 06년재료비_05-07-12 06년재료비(Q120)_05-08-29 9월1주차HA_41184_김정" xfId="2047" xr:uid="{00000000-0005-0000-0000-0000FF070000}"/>
    <cellStyle name="7_재료비CM350_1216_04HTS재료비030902_63342_mini재료비-041001_05-07-01 06년재료비_05-07-12 06년재료비(Q120)_05-08-29 9월1주차HA_41184_김정_개발회의(week21)_KMS-350" xfId="2048" xr:uid="{00000000-0005-0000-0000-000000080000}"/>
    <cellStyle name="7_재료비CM350_1216_04HTS재료비030902_63342_mini재료비-041001_05-07-01 06년재료비_05-07-12 06년재료비(Q120)_개발회의(week21)_KMS-350" xfId="2049" xr:uid="{00000000-0005-0000-0000-000001080000}"/>
    <cellStyle name="7_재료비CM350_1216_04HTS재료비030902_63342_mini재료비-041001_05-07-01 06년재료비_05-07-14 06년재료비" xfId="2050" xr:uid="{00000000-0005-0000-0000-000002080000}"/>
    <cellStyle name="7_재료비CM350_1216_04HTS재료비030902_63342_mini재료비-041001_05-07-01 06년재료비_05-07-14 06년재료비_05-07-18 06년 HA 재료비_41184" xfId="2051" xr:uid="{00000000-0005-0000-0000-000003080000}"/>
    <cellStyle name="7_재료비CM350_1216_04HTS재료비030902_63342_mini재료비-041001_05-07-01 06년재료비_05-07-14 06년재료비_05-07-18 06년 HA 재료비_41184_05-08-29 9월1주차HA_41184_김정" xfId="2052" xr:uid="{00000000-0005-0000-0000-000004080000}"/>
    <cellStyle name="7_재료비CM350_1216_04HTS재료비030902_63342_mini재료비-041001_05-07-01 06년재료비_05-07-14 06년재료비_05-07-18 06년 HA 재료비_41184_05-08-29 9월1주차HA_41184_김정_개발회의(week21)_KMS-350" xfId="2053" xr:uid="{00000000-0005-0000-0000-000005080000}"/>
    <cellStyle name="7_재료비CM350_1216_04HTS재료비030902_63342_mini재료비-041001_05-07-01 06년재료비_05-07-14 06년재료비_05-07-18 06년 HA 재료비_41184_개발회의(week21)_KMS-350" xfId="2054" xr:uid="{00000000-0005-0000-0000-000006080000}"/>
    <cellStyle name="7_재료비CM350_1216_04HTS재료비030902_63342_mini재료비-041001_05-07-01 06년재료비_05-07-14 06년재료비_05-08-29 9월1주차HA_41184_김정" xfId="2055" xr:uid="{00000000-0005-0000-0000-000007080000}"/>
    <cellStyle name="7_재료비CM350_1216_04HTS재료비030902_63342_mini재료비-041001_05-07-01 06년재료비_05-07-14 06년재료비_05-08-29 9월1주차HA_41184_김정_개발회의(week21)_KMS-350" xfId="2056" xr:uid="{00000000-0005-0000-0000-000008080000}"/>
    <cellStyle name="7_재료비CM350_1216_04HTS재료비030902_63342_mini재료비-041001_05-07-01 06년재료비_05-07-14 06년재료비_개발회의(week21)_KMS-350" xfId="2057" xr:uid="{00000000-0005-0000-0000-000009080000}"/>
    <cellStyle name="7_재료비CM350_1216_04HTS재료비030902_63342_mini재료비-041001_05-07-01 06년재료비_05-07-15 06년재료비 기구스피커" xfId="2058" xr:uid="{00000000-0005-0000-0000-00000A080000}"/>
    <cellStyle name="7_재료비CM350_1216_04HTS재료비030902_63342_mini재료비-041001_05-07-01 06년재료비_05-07-15 06년재료비 기구스피커_05-07-18 06년 HA 재료비_41184" xfId="2059" xr:uid="{00000000-0005-0000-0000-00000B080000}"/>
    <cellStyle name="7_재료비CM350_1216_04HTS재료비030902_63342_mini재료비-041001_05-07-01 06년재료비_05-07-15 06년재료비 기구스피커_05-07-18 06년 HA 재료비_41184_05-08-29 9월1주차HA_41184_김정" xfId="2060" xr:uid="{00000000-0005-0000-0000-00000C080000}"/>
    <cellStyle name="7_재료비CM350_1216_04HTS재료비030902_63342_mini재료비-041001_05-07-01 06년재료비_05-07-15 06년재료비 기구스피커_05-07-18 06년 HA 재료비_41184_05-08-29 9월1주차HA_41184_김정_개발회의(week21)_KMS-350" xfId="2061" xr:uid="{00000000-0005-0000-0000-00000D080000}"/>
    <cellStyle name="7_재료비CM350_1216_04HTS재료비030902_63342_mini재료비-041001_05-07-01 06년재료비_05-07-15 06년재료비 기구스피커_05-07-18 06년 HA 재료비_41184_개발회의(week21)_KMS-350" xfId="2062" xr:uid="{00000000-0005-0000-0000-00000E080000}"/>
    <cellStyle name="7_재료비CM350_1216_04HTS재료비030902_63342_mini재료비-041001_05-07-01 06년재료비_05-07-15 06년재료비 기구스피커_05-08-29 9월1주차HA_41184_김정" xfId="2063" xr:uid="{00000000-0005-0000-0000-00000F080000}"/>
    <cellStyle name="7_재료비CM350_1216_04HTS재료비030902_63342_mini재료비-041001_05-07-01 06년재료비_05-07-15 06년재료비 기구스피커_05-08-29 9월1주차HA_41184_김정_개발회의(week21)_KMS-350" xfId="2064" xr:uid="{00000000-0005-0000-0000-000010080000}"/>
    <cellStyle name="7_재료비CM350_1216_04HTS재료비030902_63342_mini재료비-041001_05-07-01 06년재료비_05-07-15 06년재료비 기구스피커_개발회의(week21)_KMS-350" xfId="2065" xr:uid="{00000000-0005-0000-0000-000011080000}"/>
    <cellStyle name="7_재료비CM350_1216_04HTS재료비030902_63342_mini재료비-041001_05-07-01 06년재료비_05-07-18 06년 HA 재료비" xfId="2066" xr:uid="{00000000-0005-0000-0000-000012080000}"/>
    <cellStyle name="7_재료비CM350_1216_04HTS재료비030902_63342_mini재료비-041001_05-07-01 06년재료비_05-07-18 06년 HA 재료비_05-07-18 06년 HA 재료비_41184" xfId="2067" xr:uid="{00000000-0005-0000-0000-000013080000}"/>
    <cellStyle name="7_재료비CM350_1216_04HTS재료비030902_63342_mini재료비-041001_05-07-01 06년재료비_05-07-18 06년 HA 재료비_05-07-18 06년 HA 재료비_41184_05-08-29 9월1주차HA_41184_김정" xfId="2068" xr:uid="{00000000-0005-0000-0000-000014080000}"/>
    <cellStyle name="7_재료비CM350_1216_04HTS재료비030902_63342_mini재료비-041001_05-07-01 06년재료비_05-07-18 06년 HA 재료비_05-07-18 06년 HA 재료비_41184_05-08-29 9월1주차HA_41184_김정_개발회의(week21)_KMS-350" xfId="2069" xr:uid="{00000000-0005-0000-0000-000015080000}"/>
    <cellStyle name="7_재료비CM350_1216_04HTS재료비030902_63342_mini재료비-041001_05-07-01 06년재료비_05-07-18 06년 HA 재료비_05-07-18 06년 HA 재료비_41184_개발회의(week21)_KMS-350" xfId="2070" xr:uid="{00000000-0005-0000-0000-000016080000}"/>
    <cellStyle name="7_재료비CM350_1216_04HTS재료비030902_63342_mini재료비-041001_05-07-01 06년재료비_05-07-18 06년 HA 재료비_05-08-29 9월1주차HA_41184_김정" xfId="2071" xr:uid="{00000000-0005-0000-0000-000017080000}"/>
    <cellStyle name="7_재료비CM350_1216_04HTS재료비030902_63342_mini재료비-041001_05-07-01 06년재료비_05-07-18 06년 HA 재료비_05-08-29 9월1주차HA_41184_김정_개발회의(week21)_KMS-350" xfId="2072" xr:uid="{00000000-0005-0000-0000-000018080000}"/>
    <cellStyle name="7_재료비CM350_1216_04HTS재료비030902_63342_mini재료비-041001_05-07-01 06년재료비_05-07-18 06년 HA 재료비_41184" xfId="2073" xr:uid="{00000000-0005-0000-0000-000019080000}"/>
    <cellStyle name="7_재료비CM350_1216_04HTS재료비030902_63342_mini재료비-041001_05-07-01 06년재료비_05-07-18 06년 HA 재료비_41184_05-08-29 9월1주차HA_41184_김정" xfId="2074" xr:uid="{00000000-0005-0000-0000-00001A080000}"/>
    <cellStyle name="7_재료비CM350_1216_04HTS재료비030902_63342_mini재료비-041001_05-07-01 06년재료비_05-07-18 06년 HA 재료비_41184_05-08-29 9월1주차HA_41184_김정_개발회의(week21)_KMS-350" xfId="2075" xr:uid="{00000000-0005-0000-0000-00001B080000}"/>
    <cellStyle name="7_재료비CM350_1216_04HTS재료비030902_63342_mini재료비-041001_05-07-01 06년재료비_05-07-18 06년 HA 재료비_41184_개발회의(week21)_KMS-350" xfId="2076" xr:uid="{00000000-0005-0000-0000-00001C080000}"/>
    <cellStyle name="7_재료비CM350_1216_04HTS재료비030902_63342_mini재료비-041001_05-07-01 06년재료비_05-07-18 06년 HA 재료비_개발회의(week21)_KMS-350" xfId="2077" xr:uid="{00000000-0005-0000-0000-00001D080000}"/>
    <cellStyle name="7_재료비CM350_1216_04HTS재료비030902_63342_mini재료비-041001_05-07-01 06년재료비_05-07-23 06년 HA 재료비" xfId="2078" xr:uid="{00000000-0005-0000-0000-00001E080000}"/>
    <cellStyle name="7_재료비CM350_1216_04HTS재료비030902_63342_mini재료비-041001_05-07-01 06년재료비_05-07-23 06년 HA 재료비_05-08-29 9월1주차HA_41184_김정" xfId="2079" xr:uid="{00000000-0005-0000-0000-00001F080000}"/>
    <cellStyle name="7_재료비CM350_1216_04HTS재료비030902_63342_mini재료비-041001_05-07-01 06년재료비_05-07-23 06년 HA 재료비_05-08-29 9월1주차HA_41184_김정_개발회의(week21)_KMS-350" xfId="2080" xr:uid="{00000000-0005-0000-0000-000020080000}"/>
    <cellStyle name="7_재료비CM350_1216_04HTS재료비030902_63342_mini재료비-041001_05-07-01 06년재료비_05-07-23 06년 HA 재료비_개발회의(week21)_KMS-350" xfId="2081" xr:uid="{00000000-0005-0000-0000-000021080000}"/>
    <cellStyle name="7_재료비CM350_1216_04HTS재료비030902_63342_mini재료비-041001_05-07-01 06년재료비_05-07-25 06년 HA 재료비_H2000" xfId="2082" xr:uid="{00000000-0005-0000-0000-000022080000}"/>
    <cellStyle name="7_재료비CM350_1216_04HTS재료비030902_63342_mini재료비-041001_05-07-01 06년재료비_05-07-25 06년 HA 재료비_H2000_05-08-29 9월1주차HA_41184_김정" xfId="2083" xr:uid="{00000000-0005-0000-0000-000023080000}"/>
    <cellStyle name="7_재료비CM350_1216_04HTS재료비030902_63342_mini재료비-041001_05-07-01 06년재료비_05-07-25 06년 HA 재료비_H2000_05-08-29 9월1주차HA_41184_김정_개발회의(week21)_KMS-350" xfId="2084" xr:uid="{00000000-0005-0000-0000-000024080000}"/>
    <cellStyle name="7_재료비CM350_1216_04HTS재료비030902_63342_mini재료비-041001_05-07-01 06년재료비_05-07-25 06년 HA 재료비_H2000_개발회의(week21)_KMS-350" xfId="2085" xr:uid="{00000000-0005-0000-0000-000025080000}"/>
    <cellStyle name="7_재료비CM350_1216_04HTS재료비030902_63342_mini재료비-041001_05-07-01 06년재료비_05-07-26 06년 HA 재료비_41184" xfId="2086" xr:uid="{00000000-0005-0000-0000-000026080000}"/>
    <cellStyle name="7_재료비CM350_1216_04HTS재료비030902_63342_mini재료비-041001_05-07-01 06년재료비_05-07-26 06년 HA 재료비_41184_05-08-29 9월1주차HA_41184_김정" xfId="2087" xr:uid="{00000000-0005-0000-0000-000027080000}"/>
    <cellStyle name="7_재료비CM350_1216_04HTS재료비030902_63342_mini재료비-041001_05-07-01 06년재료비_05-07-26 06년 HA 재료비_41184_05-08-29 9월1주차HA_41184_김정_개발회의(week21)_KMS-350" xfId="2088" xr:uid="{00000000-0005-0000-0000-000028080000}"/>
    <cellStyle name="7_재료비CM350_1216_04HTS재료비030902_63342_mini재료비-041001_05-07-01 06년재료비_05-07-26 06년 HA 재료비_41184_개발회의(week21)_KMS-350" xfId="2089" xr:uid="{00000000-0005-0000-0000-000029080000}"/>
    <cellStyle name="7_재료비CM350_1216_04HTS재료비030902_63342_mini재료비-041001_05-07-01 06년재료비_05-07-26 06년 HA 재료비1" xfId="2090" xr:uid="{00000000-0005-0000-0000-00002A080000}"/>
    <cellStyle name="7_재료비CM350_1216_04HTS재료비030902_63342_mini재료비-041001_05-07-01 06년재료비_05-07-26 06년 HA 재료비1_05-08-29 9월1주차HA_41184_김정" xfId="2091" xr:uid="{00000000-0005-0000-0000-00002B080000}"/>
    <cellStyle name="7_재료비CM350_1216_04HTS재료비030902_63342_mini재료비-041001_05-07-01 06년재료비_05-07-26 06년 HA 재료비1_05-08-29 9월1주차HA_41184_김정_개발회의(week21)_KMS-350" xfId="2092" xr:uid="{00000000-0005-0000-0000-00002C080000}"/>
    <cellStyle name="7_재료비CM350_1216_04HTS재료비030902_63342_mini재료비-041001_05-07-01 06년재료비_05-07-26 06년 HA 재료비1_개발회의(week21)_KMS-350" xfId="2093" xr:uid="{00000000-0005-0000-0000-00002D080000}"/>
    <cellStyle name="7_재료비CM350_1216_04HTS재료비030902_63342_mini재료비-041001_05-07-01 06년재료비_05-08-29 9월1주차HA_41184_김정" xfId="2094" xr:uid="{00000000-0005-0000-0000-00002E080000}"/>
    <cellStyle name="7_재료비CM350_1216_04HTS재료비030902_63342_mini재료비-041001_05-07-01 06년재료비_05-08-29 9월1주차HA_41184_김정_개발회의(week21)_KMS-350" xfId="2095" xr:uid="{00000000-0005-0000-0000-00002F080000}"/>
    <cellStyle name="7_재료비CM350_1216_04HTS재료비030902_63342_mini재료비-041001_05-07-01 06년재료비_개발회의(week21)_KMS-350" xfId="2096" xr:uid="{00000000-0005-0000-0000-000030080000}"/>
    <cellStyle name="7_재료비CM350_1216_04HTS재료비030902_63342_mini재료비-041001_05-07-05 06년재료비_41184" xfId="2097" xr:uid="{00000000-0005-0000-0000-000031080000}"/>
    <cellStyle name="7_재료비CM350_1216_04HTS재료비030902_63342_mini재료비-041001_05-07-05 06년재료비_41184_(Q80)05-07-12 06년재료비" xfId="2098" xr:uid="{00000000-0005-0000-0000-000032080000}"/>
    <cellStyle name="7_재료비CM350_1216_04HTS재료비030902_63342_mini재료비-041001_05-07-05 06년재료비_41184_(Q80)05-07-12 06년재료비_05-07-18 06년 HA 재료비_41184" xfId="2099" xr:uid="{00000000-0005-0000-0000-000033080000}"/>
    <cellStyle name="7_재료비CM350_1216_04HTS재료비030902_63342_mini재료비-041001_05-07-05 06년재료비_41184_(Q80)05-07-12 06년재료비_05-07-18 06년 HA 재료비_41184_05-08-29 9월1주차HA_41184_김정" xfId="2100" xr:uid="{00000000-0005-0000-0000-000034080000}"/>
    <cellStyle name="7_재료비CM350_1216_04HTS재료비030902_63342_mini재료비-041001_05-07-05 06년재료비_41184_(Q80)05-07-12 06년재료비_05-07-18 06년 HA 재료비_41184_05-08-29 9월1주차HA_41184_김정_개발회의(week21)_KMS-350" xfId="2101" xr:uid="{00000000-0005-0000-0000-000035080000}"/>
    <cellStyle name="7_재료비CM350_1216_04HTS재료비030902_63342_mini재료비-041001_05-07-05 06년재료비_41184_(Q80)05-07-12 06년재료비_05-07-18 06년 HA 재료비_41184_개발회의(week21)_KMS-350" xfId="2102" xr:uid="{00000000-0005-0000-0000-000036080000}"/>
    <cellStyle name="7_재료비CM350_1216_04HTS재료비030902_63342_mini재료비-041001_05-07-05 06년재료비_41184_(Q80)05-07-12 06년재료비_05-08-29 9월1주차HA_41184_김정" xfId="2103" xr:uid="{00000000-0005-0000-0000-000037080000}"/>
    <cellStyle name="7_재료비CM350_1216_04HTS재료비030902_63342_mini재료비-041001_05-07-05 06년재료비_41184_(Q80)05-07-12 06년재료비_05-08-29 9월1주차HA_41184_김정_개발회의(week21)_KMS-350" xfId="2104" xr:uid="{00000000-0005-0000-0000-000038080000}"/>
    <cellStyle name="7_재료비CM350_1216_04HTS재료비030902_63342_mini재료비-041001_05-07-05 06년재료비_41184_(Q80)05-07-12 06년재료비_개발회의(week21)_KMS-350" xfId="2105" xr:uid="{00000000-0005-0000-0000-000039080000}"/>
    <cellStyle name="7_재료비CM350_1216_04HTS재료비030902_63342_mini재료비-041001_05-07-05 06년재료비_41184_(R1500)05-07-19 재료비" xfId="2106" xr:uid="{00000000-0005-0000-0000-00003A080000}"/>
    <cellStyle name="7_재료비CM350_1216_04HTS재료비030902_63342_mini재료비-041001_05-07-05 06년재료비_41184_(R1500)05-07-19 재료비_05-08-29 9월1주차HA_41184_김정" xfId="2107" xr:uid="{00000000-0005-0000-0000-00003B080000}"/>
    <cellStyle name="7_재료비CM350_1216_04HTS재료비030902_63342_mini재료비-041001_05-07-05 06년재료비_41184_(R1500)05-07-19 재료비_05-08-29 9월1주차HA_41184_김정_개발회의(week21)_KMS-350" xfId="2108" xr:uid="{00000000-0005-0000-0000-00003C080000}"/>
    <cellStyle name="7_재료비CM350_1216_04HTS재료비030902_63342_mini재료비-041001_05-07-05 06년재료비_41184_(R1500)05-07-19 재료비_개발회의(week21)_KMS-350" xfId="2109" xr:uid="{00000000-0005-0000-0000-00003D080000}"/>
    <cellStyle name="7_재료비CM350_1216_04HTS재료비030902_63342_mini재료비-041001_05-07-05 06년재료비_41184_05-07-12 06년재료비(Q120)" xfId="2110" xr:uid="{00000000-0005-0000-0000-00003E080000}"/>
    <cellStyle name="7_재료비CM350_1216_04HTS재료비030902_63342_mini재료비-041001_05-07-05 06년재료비_41184_05-07-12 06년재료비(Q120)_05-07-18 06년 HA 재료비_41184" xfId="2111" xr:uid="{00000000-0005-0000-0000-00003F080000}"/>
    <cellStyle name="7_재료비CM350_1216_04HTS재료비030902_63342_mini재료비-041001_05-07-05 06년재료비_41184_05-07-12 06년재료비(Q120)_05-07-18 06년 HA 재료비_41184_05-08-29 9월1주차HA_41184_김정" xfId="2112" xr:uid="{00000000-0005-0000-0000-000040080000}"/>
    <cellStyle name="7_재료비CM350_1216_04HTS재료비030902_63342_mini재료비-041001_05-07-05 06년재료비_41184_05-07-12 06년재료비(Q120)_05-07-18 06년 HA 재료비_41184_05-08-29 9월1주차HA_41184_김정_개발회의(week21)_KMS-350" xfId="2113" xr:uid="{00000000-0005-0000-0000-000041080000}"/>
    <cellStyle name="7_재료비CM350_1216_04HTS재료비030902_63342_mini재료비-041001_05-07-05 06년재료비_41184_05-07-12 06년재료비(Q120)_05-07-18 06년 HA 재료비_41184_개발회의(week21)_KMS-350" xfId="2114" xr:uid="{00000000-0005-0000-0000-000042080000}"/>
    <cellStyle name="7_재료비CM350_1216_04HTS재료비030902_63342_mini재료비-041001_05-07-05 06년재료비_41184_05-07-12 06년재료비(Q120)_05-08-29 9월1주차HA_41184_김정" xfId="2115" xr:uid="{00000000-0005-0000-0000-000043080000}"/>
    <cellStyle name="7_재료비CM350_1216_04HTS재료비030902_63342_mini재료비-041001_05-07-05 06년재료비_41184_05-07-12 06년재료비(Q120)_05-08-29 9월1주차HA_41184_김정_개발회의(week21)_KMS-350" xfId="2116" xr:uid="{00000000-0005-0000-0000-000044080000}"/>
    <cellStyle name="7_재료비CM350_1216_04HTS재료비030902_63342_mini재료비-041001_05-07-05 06년재료비_41184_05-07-12 06년재료비(Q120)_개발회의(week21)_KMS-350" xfId="2117" xr:uid="{00000000-0005-0000-0000-000045080000}"/>
    <cellStyle name="7_재료비CM350_1216_04HTS재료비030902_63342_mini재료비-041001_05-07-05 06년재료비_41184_05-07-14 06년재료비" xfId="2118" xr:uid="{00000000-0005-0000-0000-000046080000}"/>
    <cellStyle name="7_재료비CM350_1216_04HTS재료비030902_63342_mini재료비-041001_05-07-05 06년재료비_41184_05-07-14 06년재료비_05-07-18 06년 HA 재료비_41184" xfId="2119" xr:uid="{00000000-0005-0000-0000-000047080000}"/>
    <cellStyle name="7_재료비CM350_1216_04HTS재료비030902_63342_mini재료비-041001_05-07-05 06년재료비_41184_05-07-14 06년재료비_05-07-18 06년 HA 재료비_41184_05-08-29 9월1주차HA_41184_김정" xfId="2120" xr:uid="{00000000-0005-0000-0000-000048080000}"/>
    <cellStyle name="7_재료비CM350_1216_04HTS재료비030902_63342_mini재료비-041001_05-07-05 06년재료비_41184_05-07-14 06년재료비_05-07-18 06년 HA 재료비_41184_05-08-29 9월1주차HA_41184_김정_개발회의(week21)_KMS-350" xfId="2121" xr:uid="{00000000-0005-0000-0000-000049080000}"/>
    <cellStyle name="7_재료비CM350_1216_04HTS재료비030902_63342_mini재료비-041001_05-07-05 06년재료비_41184_05-07-14 06년재료비_05-07-18 06년 HA 재료비_41184_개발회의(week21)_KMS-350" xfId="2122" xr:uid="{00000000-0005-0000-0000-00004A080000}"/>
    <cellStyle name="7_재료비CM350_1216_04HTS재료비030902_63342_mini재료비-041001_05-07-05 06년재료비_41184_05-07-14 06년재료비_05-08-29 9월1주차HA_41184_김정" xfId="2123" xr:uid="{00000000-0005-0000-0000-00004B080000}"/>
    <cellStyle name="7_재료비CM350_1216_04HTS재료비030902_63342_mini재료비-041001_05-07-05 06년재료비_41184_05-07-14 06년재료비_05-08-29 9월1주차HA_41184_김정_개발회의(week21)_KMS-350" xfId="2124" xr:uid="{00000000-0005-0000-0000-00004C080000}"/>
    <cellStyle name="7_재료비CM350_1216_04HTS재료비030902_63342_mini재료비-041001_05-07-05 06년재료비_41184_05-07-14 06년재료비_개발회의(week21)_KMS-350" xfId="2125" xr:uid="{00000000-0005-0000-0000-00004D080000}"/>
    <cellStyle name="7_재료비CM350_1216_04HTS재료비030902_63342_mini재료비-041001_05-07-05 06년재료비_41184_05-07-15 06년재료비 기구스피커" xfId="2126" xr:uid="{00000000-0005-0000-0000-00004E080000}"/>
    <cellStyle name="7_재료비CM350_1216_04HTS재료비030902_63342_mini재료비-041001_05-07-05 06년재료비_41184_05-07-15 06년재료비 기구스피커_05-07-18 06년 HA 재료비_41184" xfId="2127" xr:uid="{00000000-0005-0000-0000-00004F080000}"/>
    <cellStyle name="7_재료비CM350_1216_04HTS재료비030902_63342_mini재료비-041001_05-07-05 06년재료비_41184_05-07-15 06년재료비 기구스피커_05-07-18 06년 HA 재료비_41184_05-08-29 9월1주차HA_41184_김정" xfId="2128" xr:uid="{00000000-0005-0000-0000-000050080000}"/>
    <cellStyle name="7_재료비CM350_1216_04HTS재료비030902_63342_mini재료비-041001_05-07-05 06년재료비_41184_05-07-15 06년재료비 기구스피커_05-07-18 06년 HA 재료비_41184_05-08-29 9월1주차HA_41184_김정_개발회의(week21)_KMS-350" xfId="2129" xr:uid="{00000000-0005-0000-0000-000051080000}"/>
    <cellStyle name="7_재료비CM350_1216_04HTS재료비030902_63342_mini재료비-041001_05-07-05 06년재료비_41184_05-07-15 06년재료비 기구스피커_05-07-18 06년 HA 재료비_41184_개발회의(week21)_KMS-350" xfId="2130" xr:uid="{00000000-0005-0000-0000-000052080000}"/>
    <cellStyle name="7_재료비CM350_1216_04HTS재료비030902_63342_mini재료비-041001_05-07-05 06년재료비_41184_05-07-15 06년재료비 기구스피커_05-08-29 9월1주차HA_41184_김정" xfId="2131" xr:uid="{00000000-0005-0000-0000-000053080000}"/>
    <cellStyle name="7_재료비CM350_1216_04HTS재료비030902_63342_mini재료비-041001_05-07-05 06년재료비_41184_05-07-15 06년재료비 기구스피커_05-08-29 9월1주차HA_41184_김정_개발회의(week21)_KMS-350" xfId="2132" xr:uid="{00000000-0005-0000-0000-000054080000}"/>
    <cellStyle name="7_재료비CM350_1216_04HTS재료비030902_63342_mini재료비-041001_05-07-05 06년재료비_41184_05-07-15 06년재료비 기구스피커_개발회의(week21)_KMS-350" xfId="2133" xr:uid="{00000000-0005-0000-0000-000055080000}"/>
    <cellStyle name="7_재료비CM350_1216_04HTS재료비030902_63342_mini재료비-041001_05-07-05 06년재료비_41184_05-07-18 06년 HA 재료비" xfId="2134" xr:uid="{00000000-0005-0000-0000-000056080000}"/>
    <cellStyle name="7_재료비CM350_1216_04HTS재료비030902_63342_mini재료비-041001_05-07-05 06년재료비_41184_05-07-18 06년 HA 재료비_05-07-18 06년 HA 재료비_41184" xfId="2135" xr:uid="{00000000-0005-0000-0000-000057080000}"/>
    <cellStyle name="7_재료비CM350_1216_04HTS재료비030902_63342_mini재료비-041001_05-07-05 06년재료비_41184_05-07-18 06년 HA 재료비_05-07-18 06년 HA 재료비_41184_05-08-29 9월1주차HA_41184_김정" xfId="2136" xr:uid="{00000000-0005-0000-0000-000058080000}"/>
    <cellStyle name="7_재료비CM350_1216_04HTS재료비030902_63342_mini재료비-041001_05-07-05 06년재료비_41184_05-07-18 06년 HA 재료비_05-07-18 06년 HA 재료비_41184_05-08-29 9월1주차HA_41184_김정_개발회의(week21)_KMS-350" xfId="2137" xr:uid="{00000000-0005-0000-0000-000059080000}"/>
    <cellStyle name="7_재료비CM350_1216_04HTS재료비030902_63342_mini재료비-041001_05-07-05 06년재료비_41184_05-07-18 06년 HA 재료비_05-07-18 06년 HA 재료비_41184_개발회의(week21)_KMS-350" xfId="2138" xr:uid="{00000000-0005-0000-0000-00005A080000}"/>
    <cellStyle name="7_재료비CM350_1216_04HTS재료비030902_63342_mini재료비-041001_05-07-05 06년재료비_41184_05-07-18 06년 HA 재료비_05-08-29 9월1주차HA_41184_김정" xfId="2139" xr:uid="{00000000-0005-0000-0000-00005B080000}"/>
    <cellStyle name="7_재료비CM350_1216_04HTS재료비030902_63342_mini재료비-041001_05-07-05 06년재료비_41184_05-07-18 06년 HA 재료비_05-08-29 9월1주차HA_41184_김정_개발회의(week21)_KMS-350" xfId="2140" xr:uid="{00000000-0005-0000-0000-00005C080000}"/>
    <cellStyle name="7_재료비CM350_1216_04HTS재료비030902_63342_mini재료비-041001_05-07-05 06년재료비_41184_05-07-18 06년 HA 재료비_41184" xfId="2141" xr:uid="{00000000-0005-0000-0000-00005D080000}"/>
    <cellStyle name="7_재료비CM350_1216_04HTS재료비030902_63342_mini재료비-041001_05-07-05 06년재료비_41184_05-07-18 06년 HA 재료비_41184_05-08-29 9월1주차HA_41184_김정" xfId="2142" xr:uid="{00000000-0005-0000-0000-00005E080000}"/>
    <cellStyle name="7_재료비CM350_1216_04HTS재료비030902_63342_mini재료비-041001_05-07-05 06년재료비_41184_05-07-18 06년 HA 재료비_41184_05-08-29 9월1주차HA_41184_김정_개발회의(week21)_KMS-350" xfId="2143" xr:uid="{00000000-0005-0000-0000-00005F080000}"/>
    <cellStyle name="7_재료비CM350_1216_04HTS재료비030902_63342_mini재료비-041001_05-07-05 06년재료비_41184_05-07-18 06년 HA 재료비_41184_개발회의(week21)_KMS-350" xfId="2144" xr:uid="{00000000-0005-0000-0000-000060080000}"/>
    <cellStyle name="7_재료비CM350_1216_04HTS재료비030902_63342_mini재료비-041001_05-07-05 06년재료비_41184_05-07-18 06년 HA 재료비_개발회의(week21)_KMS-350" xfId="2145" xr:uid="{00000000-0005-0000-0000-000061080000}"/>
    <cellStyle name="7_재료비CM350_1216_04HTS재료비030902_63342_mini재료비-041001_05-07-05 06년재료비_41184_05-07-23 06년 HA 재료비" xfId="2146" xr:uid="{00000000-0005-0000-0000-000062080000}"/>
    <cellStyle name="7_재료비CM350_1216_04HTS재료비030902_63342_mini재료비-041001_05-07-05 06년재료비_41184_05-07-23 06년 HA 재료비_05-08-29 9월1주차HA_41184_김정" xfId="2147" xr:uid="{00000000-0005-0000-0000-000063080000}"/>
    <cellStyle name="7_재료비CM350_1216_04HTS재료비030902_63342_mini재료비-041001_05-07-05 06년재료비_41184_05-07-23 06년 HA 재료비_05-08-29 9월1주차HA_41184_김정_개발회의(week21)_KMS-350" xfId="2148" xr:uid="{00000000-0005-0000-0000-000064080000}"/>
    <cellStyle name="7_재료비CM350_1216_04HTS재료비030902_63342_mini재료비-041001_05-07-05 06년재료비_41184_05-07-23 06년 HA 재료비_개발회의(week21)_KMS-350" xfId="2149" xr:uid="{00000000-0005-0000-0000-000065080000}"/>
    <cellStyle name="7_재료비CM350_1216_04HTS재료비030902_63342_mini재료비-041001_05-07-05 06년재료비_41184_05-07-25 06년 HA 재료비_H2000" xfId="2150" xr:uid="{00000000-0005-0000-0000-000066080000}"/>
    <cellStyle name="7_재료비CM350_1216_04HTS재료비030902_63342_mini재료비-041001_05-07-05 06년재료비_41184_05-07-25 06년 HA 재료비_H2000_05-08-29 9월1주차HA_41184_김정" xfId="2151" xr:uid="{00000000-0005-0000-0000-000067080000}"/>
    <cellStyle name="7_재료비CM350_1216_04HTS재료비030902_63342_mini재료비-041001_05-07-05 06년재료비_41184_05-07-25 06년 HA 재료비_H2000_05-08-29 9월1주차HA_41184_김정_개발회의(week21)_KMS-350" xfId="2152" xr:uid="{00000000-0005-0000-0000-000068080000}"/>
    <cellStyle name="7_재료비CM350_1216_04HTS재료비030902_63342_mini재료비-041001_05-07-05 06년재료비_41184_05-07-25 06년 HA 재료비_H2000_개발회의(week21)_KMS-350" xfId="2153" xr:uid="{00000000-0005-0000-0000-000069080000}"/>
    <cellStyle name="7_재료비CM350_1216_04HTS재료비030902_63342_mini재료비-041001_05-07-05 06년재료비_41184_05-07-26 06년 HA 재료비_41184" xfId="2154" xr:uid="{00000000-0005-0000-0000-00006A080000}"/>
    <cellStyle name="7_재료비CM350_1216_04HTS재료비030902_63342_mini재료비-041001_05-07-05 06년재료비_41184_05-07-26 06년 HA 재료비_41184_05-08-29 9월1주차HA_41184_김정" xfId="2155" xr:uid="{00000000-0005-0000-0000-00006B080000}"/>
    <cellStyle name="7_재료비CM350_1216_04HTS재료비030902_63342_mini재료비-041001_05-07-05 06년재료비_41184_05-07-26 06년 HA 재료비_41184_05-08-29 9월1주차HA_41184_김정_개발회의(week21)_KMS-350" xfId="2156" xr:uid="{00000000-0005-0000-0000-00006C080000}"/>
    <cellStyle name="7_재료비CM350_1216_04HTS재료비030902_63342_mini재료비-041001_05-07-05 06년재료비_41184_05-07-26 06년 HA 재료비_41184_개발회의(week21)_KMS-350" xfId="2157" xr:uid="{00000000-0005-0000-0000-00006D080000}"/>
    <cellStyle name="7_재료비CM350_1216_04HTS재료비030902_63342_mini재료비-041001_05-07-05 06년재료비_41184_05-07-26 06년 HA 재료비1" xfId="2158" xr:uid="{00000000-0005-0000-0000-00006E080000}"/>
    <cellStyle name="7_재료비CM350_1216_04HTS재료비030902_63342_mini재료비-041001_05-07-05 06년재료비_41184_05-07-26 06년 HA 재료비1_05-08-29 9월1주차HA_41184_김정" xfId="2159" xr:uid="{00000000-0005-0000-0000-00006F080000}"/>
    <cellStyle name="7_재료비CM350_1216_04HTS재료비030902_63342_mini재료비-041001_05-07-05 06년재료비_41184_05-07-26 06년 HA 재료비1_05-08-29 9월1주차HA_41184_김정_개발회의(week21)_KMS-350" xfId="2160" xr:uid="{00000000-0005-0000-0000-000070080000}"/>
    <cellStyle name="7_재료비CM350_1216_04HTS재료비030902_63342_mini재료비-041001_05-07-05 06년재료비_41184_05-07-26 06년 HA 재료비1_개발회의(week21)_KMS-350" xfId="2161" xr:uid="{00000000-0005-0000-0000-000071080000}"/>
    <cellStyle name="7_재료비CM350_1216_04HTS재료비030902_63342_mini재료비-041001_05-07-05 06년재료비_41184_05-08-29 9월1주차HA_41184_김정" xfId="2162" xr:uid="{00000000-0005-0000-0000-000072080000}"/>
    <cellStyle name="7_재료비CM350_1216_04HTS재료비030902_63342_mini재료비-041001_05-07-05 06년재료비_41184_05-08-29 9월1주차HA_41184_김정_개발회의(week21)_KMS-350" xfId="2163" xr:uid="{00000000-0005-0000-0000-000073080000}"/>
    <cellStyle name="7_재료비CM350_1216_04HTS재료비030902_63342_mini재료비-041001_05-07-05 06년재료비_41184_개발회의(week21)_KMS-350" xfId="2164" xr:uid="{00000000-0005-0000-0000-000074080000}"/>
    <cellStyle name="7_재료비CM350_1216_04HTS재료비030902_63342_mini재료비-041001_05-07-18 06년 HA 재료비_41184" xfId="2165" xr:uid="{00000000-0005-0000-0000-000075080000}"/>
    <cellStyle name="7_재료비CM350_1216_04HTS재료비030902_63342_mini재료비-041001_05-07-18 06년 HA 재료비_41184_05-08-29 9월1주차HA_41184_김정" xfId="2166" xr:uid="{00000000-0005-0000-0000-000076080000}"/>
    <cellStyle name="7_재료비CM350_1216_04HTS재료비030902_63342_mini재료비-041001_05-07-18 06년 HA 재료비_41184_05-08-29 9월1주차HA_41184_김정_개발회의(week21)_KMS-350" xfId="2167" xr:uid="{00000000-0005-0000-0000-000077080000}"/>
    <cellStyle name="7_재료비CM350_1216_04HTS재료비030902_63342_mini재료비-041001_05-07-18 06년 HA 재료비_41184_개발회의(week21)_KMS-350" xfId="2168" xr:uid="{00000000-0005-0000-0000-000078080000}"/>
    <cellStyle name="7_재료비CM350_1216_04HTS재료비030902_63342_mini재료비-041001_05-08-29 9월1주차HA_41184_김정" xfId="2169" xr:uid="{00000000-0005-0000-0000-000079080000}"/>
    <cellStyle name="7_재료비CM350_1216_04HTS재료비030902_63342_mini재료비-041001_05-08-29 9월1주차HA_41184_김정_개발회의(week21)_KMS-350" xfId="2170" xr:uid="{00000000-0005-0000-0000-00007A080000}"/>
    <cellStyle name="7_재료비CM350_1216_04HTS재료비030902_63342_mini재료비-041001_개발회의(week21)_KMS-350" xfId="2171" xr:uid="{00000000-0005-0000-0000-00007B080000}"/>
    <cellStyle name="7_재료비CM350_1216_04HTS재료비030902_63342_개발회의(week21)_KMS-350" xfId="1883" xr:uid="{00000000-0005-0000-0000-00005B070000}"/>
    <cellStyle name="7_재료비CM350_1216_04HTS재료비030902_63342_자재비절감(회의)-050110_63342" xfId="1884" xr:uid="{00000000-0005-0000-0000-00005C070000}"/>
    <cellStyle name="7_재료비CM350_1216_04HTS재료비030902_63342_자재비절감(회의)-050110_63342_05-07-01 06년재료비" xfId="1885" xr:uid="{00000000-0005-0000-0000-00005D070000}"/>
    <cellStyle name="7_재료비CM350_1216_04HTS재료비030902_63342_자재비절감(회의)-050110_63342_05-07-01 06년재료비_(Q80)05-07-12 06년재료비" xfId="1886" xr:uid="{00000000-0005-0000-0000-00005E070000}"/>
    <cellStyle name="7_재료비CM350_1216_04HTS재료비030902_63342_자재비절감(회의)-050110_63342_05-07-01 06년재료비_(Q80)05-07-12 06년재료비_05-07-18 06년 HA 재료비_41184" xfId="1887" xr:uid="{00000000-0005-0000-0000-00005F070000}"/>
    <cellStyle name="7_재료비CM350_1216_04HTS재료비030902_63342_자재비절감(회의)-050110_63342_05-07-01 06년재료비_(Q80)05-07-12 06년재료비_05-07-18 06년 HA 재료비_41184_05-08-29 9월1주차HA_41184_김정" xfId="1888" xr:uid="{00000000-0005-0000-0000-000060070000}"/>
    <cellStyle name="7_재료비CM350_1216_04HTS재료비030902_63342_자재비절감(회의)-050110_63342_05-07-01 06년재료비_(Q80)05-07-12 06년재료비_05-07-18 06년 HA 재료비_41184_05-08-29 9월1주차HA_41184_김정_개발회의(week21)_KMS-350" xfId="1889" xr:uid="{00000000-0005-0000-0000-000061070000}"/>
    <cellStyle name="7_재료비CM350_1216_04HTS재료비030902_63342_자재비절감(회의)-050110_63342_05-07-01 06년재료비_(Q80)05-07-12 06년재료비_05-07-18 06년 HA 재료비_41184_개발회의(week21)_KMS-350" xfId="1890" xr:uid="{00000000-0005-0000-0000-000062070000}"/>
    <cellStyle name="7_재료비CM350_1216_04HTS재료비030902_63342_자재비절감(회의)-050110_63342_05-07-01 06년재료비_(Q80)05-07-12 06년재료비_05-08-29 9월1주차HA_41184_김정" xfId="1891" xr:uid="{00000000-0005-0000-0000-000063070000}"/>
    <cellStyle name="7_재료비CM350_1216_04HTS재료비030902_63342_자재비절감(회의)-050110_63342_05-07-01 06년재료비_(Q80)05-07-12 06년재료비_05-08-29 9월1주차HA_41184_김정_개발회의(week21)_KMS-350" xfId="1892" xr:uid="{00000000-0005-0000-0000-000064070000}"/>
    <cellStyle name="7_재료비CM350_1216_04HTS재료비030902_63342_자재비절감(회의)-050110_63342_05-07-01 06년재료비_(Q80)05-07-12 06년재료비_개발회의(week21)_KMS-350" xfId="1893" xr:uid="{00000000-0005-0000-0000-000065070000}"/>
    <cellStyle name="7_재료비CM350_1216_04HTS재료비030902_63342_자재비절감(회의)-050110_63342_05-07-01 06년재료비_(R1500)05-07-19 재료비" xfId="1894" xr:uid="{00000000-0005-0000-0000-000066070000}"/>
    <cellStyle name="7_재료비CM350_1216_04HTS재료비030902_63342_자재비절감(회의)-050110_63342_05-07-01 06년재료비_(R1500)05-07-19 재료비_05-08-29 9월1주차HA_41184_김정" xfId="1895" xr:uid="{00000000-0005-0000-0000-000067070000}"/>
    <cellStyle name="7_재료비CM350_1216_04HTS재료비030902_63342_자재비절감(회의)-050110_63342_05-07-01 06년재료비_(R1500)05-07-19 재료비_05-08-29 9월1주차HA_41184_김정_개발회의(week21)_KMS-350" xfId="1896" xr:uid="{00000000-0005-0000-0000-000068070000}"/>
    <cellStyle name="7_재료비CM350_1216_04HTS재료비030902_63342_자재비절감(회의)-050110_63342_05-07-01 06년재료비_(R1500)05-07-19 재료비_개발회의(week21)_KMS-350" xfId="1897" xr:uid="{00000000-0005-0000-0000-000069070000}"/>
    <cellStyle name="7_재료비CM350_1216_04HTS재료비030902_63342_자재비절감(회의)-050110_63342_05-07-01 06년재료비_05-07-12 06년재료비(Q120)" xfId="1898" xr:uid="{00000000-0005-0000-0000-00006A070000}"/>
    <cellStyle name="7_재료비CM350_1216_04HTS재료비030902_63342_자재비절감(회의)-050110_63342_05-07-01 06년재료비_05-07-12 06년재료비(Q120)_05-07-18 06년 HA 재료비_41184" xfId="1899" xr:uid="{00000000-0005-0000-0000-00006B070000}"/>
    <cellStyle name="7_재료비CM350_1216_04HTS재료비030902_63342_자재비절감(회의)-050110_63342_05-07-01 06년재료비_05-07-12 06년재료비(Q120)_05-07-18 06년 HA 재료비_41184_05-08-29 9월1주차HA_41184_김정" xfId="1900" xr:uid="{00000000-0005-0000-0000-00006C070000}"/>
    <cellStyle name="7_재료비CM350_1216_04HTS재료비030902_63342_자재비절감(회의)-050110_63342_05-07-01 06년재료비_05-07-12 06년재료비(Q120)_05-07-18 06년 HA 재료비_41184_05-08-29 9월1주차HA_41184_김정_개발회의(week21)_KMS-350" xfId="1901" xr:uid="{00000000-0005-0000-0000-00006D070000}"/>
    <cellStyle name="7_재료비CM350_1216_04HTS재료비030902_63342_자재비절감(회의)-050110_63342_05-07-01 06년재료비_05-07-12 06년재료비(Q120)_05-07-18 06년 HA 재료비_41184_개발회의(week21)_KMS-350" xfId="1902" xr:uid="{00000000-0005-0000-0000-00006E070000}"/>
    <cellStyle name="7_재료비CM350_1216_04HTS재료비030902_63342_자재비절감(회의)-050110_63342_05-07-01 06년재료비_05-07-12 06년재료비(Q120)_05-08-29 9월1주차HA_41184_김정" xfId="1903" xr:uid="{00000000-0005-0000-0000-00006F070000}"/>
    <cellStyle name="7_재료비CM350_1216_04HTS재료비030902_63342_자재비절감(회의)-050110_63342_05-07-01 06년재료비_05-07-12 06년재료비(Q120)_05-08-29 9월1주차HA_41184_김정_개발회의(week21)_KMS-350" xfId="1904" xr:uid="{00000000-0005-0000-0000-000070070000}"/>
    <cellStyle name="7_재료비CM350_1216_04HTS재료비030902_63342_자재비절감(회의)-050110_63342_05-07-01 06년재료비_05-07-12 06년재료비(Q120)_개발회의(week21)_KMS-350" xfId="1905" xr:uid="{00000000-0005-0000-0000-000071070000}"/>
    <cellStyle name="7_재료비CM350_1216_04HTS재료비030902_63342_자재비절감(회의)-050110_63342_05-07-01 06년재료비_05-07-14 06년재료비" xfId="1906" xr:uid="{00000000-0005-0000-0000-000072070000}"/>
    <cellStyle name="7_재료비CM350_1216_04HTS재료비030902_63342_자재비절감(회의)-050110_63342_05-07-01 06년재료비_05-07-14 06년재료비_05-07-18 06년 HA 재료비_41184" xfId="1907" xr:uid="{00000000-0005-0000-0000-000073070000}"/>
    <cellStyle name="7_재료비CM350_1216_04HTS재료비030902_63342_자재비절감(회의)-050110_63342_05-07-01 06년재료비_05-07-14 06년재료비_05-07-18 06년 HA 재료비_41184_05-08-29 9월1주차HA_41184_김정" xfId="1908" xr:uid="{00000000-0005-0000-0000-000074070000}"/>
    <cellStyle name="7_재료비CM350_1216_04HTS재료비030902_63342_자재비절감(회의)-050110_63342_05-07-01 06년재료비_05-07-14 06년재료비_05-07-18 06년 HA 재료비_41184_05-08-29 9월1주차HA_41184_김정_개발회의(week21)_KMS-350" xfId="1909" xr:uid="{00000000-0005-0000-0000-000075070000}"/>
    <cellStyle name="7_재료비CM350_1216_04HTS재료비030902_63342_자재비절감(회의)-050110_63342_05-07-01 06년재료비_05-07-14 06년재료비_05-07-18 06년 HA 재료비_41184_개발회의(week21)_KMS-350" xfId="1910" xr:uid="{00000000-0005-0000-0000-000076070000}"/>
    <cellStyle name="7_재료비CM350_1216_04HTS재료비030902_63342_자재비절감(회의)-050110_63342_05-07-01 06년재료비_05-07-14 06년재료비_05-08-29 9월1주차HA_41184_김정" xfId="1911" xr:uid="{00000000-0005-0000-0000-000077070000}"/>
    <cellStyle name="7_재료비CM350_1216_04HTS재료비030902_63342_자재비절감(회의)-050110_63342_05-07-01 06년재료비_05-07-14 06년재료비_05-08-29 9월1주차HA_41184_김정_개발회의(week21)_KMS-350" xfId="1912" xr:uid="{00000000-0005-0000-0000-000078070000}"/>
    <cellStyle name="7_재료비CM350_1216_04HTS재료비030902_63342_자재비절감(회의)-050110_63342_05-07-01 06년재료비_05-07-14 06년재료비_개발회의(week21)_KMS-350" xfId="1913" xr:uid="{00000000-0005-0000-0000-000079070000}"/>
    <cellStyle name="7_재료비CM350_1216_04HTS재료비030902_63342_자재비절감(회의)-050110_63342_05-07-01 06년재료비_05-07-15 06년재료비 기구스피커" xfId="1914" xr:uid="{00000000-0005-0000-0000-00007A070000}"/>
    <cellStyle name="7_재료비CM350_1216_04HTS재료비030902_63342_자재비절감(회의)-050110_63342_05-07-01 06년재료비_05-07-15 06년재료비 기구스피커_05-07-18 06년 HA 재료비_41184" xfId="1915" xr:uid="{00000000-0005-0000-0000-00007B070000}"/>
    <cellStyle name="7_재료비CM350_1216_04HTS재료비030902_63342_자재비절감(회의)-050110_63342_05-07-01 06년재료비_05-07-15 06년재료비 기구스피커_05-07-18 06년 HA 재료비_41184_05-08-29 9월1주차HA_41184_김정" xfId="1916" xr:uid="{00000000-0005-0000-0000-00007C070000}"/>
    <cellStyle name="7_재료비CM350_1216_04HTS재료비030902_63342_자재비절감(회의)-050110_63342_05-07-01 06년재료비_05-07-15 06년재료비 기구스피커_05-07-18 06년 HA 재료비_41184_05-08-29 9월1주차HA_41184_김정_개발회의(week21)_KMS-350" xfId="1917" xr:uid="{00000000-0005-0000-0000-00007D070000}"/>
    <cellStyle name="7_재료비CM350_1216_04HTS재료비030902_63342_자재비절감(회의)-050110_63342_05-07-01 06년재료비_05-07-15 06년재료비 기구스피커_05-07-18 06년 HA 재료비_41184_개발회의(week21)_KMS-350" xfId="1918" xr:uid="{00000000-0005-0000-0000-00007E070000}"/>
    <cellStyle name="7_재료비CM350_1216_04HTS재료비030902_63342_자재비절감(회의)-050110_63342_05-07-01 06년재료비_05-07-15 06년재료비 기구스피커_05-08-29 9월1주차HA_41184_김정" xfId="1919" xr:uid="{00000000-0005-0000-0000-00007F070000}"/>
    <cellStyle name="7_재료비CM350_1216_04HTS재료비030902_63342_자재비절감(회의)-050110_63342_05-07-01 06년재료비_05-07-15 06년재료비 기구스피커_05-08-29 9월1주차HA_41184_김정_개발회의(week21)_KMS-350" xfId="1920" xr:uid="{00000000-0005-0000-0000-000080070000}"/>
    <cellStyle name="7_재료비CM350_1216_04HTS재료비030902_63342_자재비절감(회의)-050110_63342_05-07-01 06년재료비_05-07-15 06년재료비 기구스피커_개발회의(week21)_KMS-350" xfId="1921" xr:uid="{00000000-0005-0000-0000-000081070000}"/>
    <cellStyle name="7_재료비CM350_1216_04HTS재료비030902_63342_자재비절감(회의)-050110_63342_05-07-01 06년재료비_05-07-18 06년 HA 재료비" xfId="1922" xr:uid="{00000000-0005-0000-0000-000082070000}"/>
    <cellStyle name="7_재료비CM350_1216_04HTS재료비030902_63342_자재비절감(회의)-050110_63342_05-07-01 06년재료비_05-07-18 06년 HA 재료비_05-07-18 06년 HA 재료비_41184" xfId="1923" xr:uid="{00000000-0005-0000-0000-000083070000}"/>
    <cellStyle name="7_재료비CM350_1216_04HTS재료비030902_63342_자재비절감(회의)-050110_63342_05-07-01 06년재료비_05-07-18 06년 HA 재료비_05-07-18 06년 HA 재료비_41184_05-08-29 9월1주차HA_41184_김정" xfId="1924" xr:uid="{00000000-0005-0000-0000-000084070000}"/>
    <cellStyle name="7_재료비CM350_1216_04HTS재료비030902_63342_자재비절감(회의)-050110_63342_05-07-01 06년재료비_05-07-18 06년 HA 재료비_05-07-18 06년 HA 재료비_41184_05-08-29 9월1주차HA_41184_김정_개발회의(week21)_KMS-350" xfId="1925" xr:uid="{00000000-0005-0000-0000-000085070000}"/>
    <cellStyle name="7_재료비CM350_1216_04HTS재료비030902_63342_자재비절감(회의)-050110_63342_05-07-01 06년재료비_05-07-18 06년 HA 재료비_05-07-18 06년 HA 재료비_41184_개발회의(week21)_KMS-350" xfId="1926" xr:uid="{00000000-0005-0000-0000-000086070000}"/>
    <cellStyle name="7_재료비CM350_1216_04HTS재료비030902_63342_자재비절감(회의)-050110_63342_05-07-01 06년재료비_05-07-18 06년 HA 재료비_05-08-29 9월1주차HA_41184_김정" xfId="1927" xr:uid="{00000000-0005-0000-0000-000087070000}"/>
    <cellStyle name="7_재료비CM350_1216_04HTS재료비030902_63342_자재비절감(회의)-050110_63342_05-07-01 06년재료비_05-07-18 06년 HA 재료비_05-08-29 9월1주차HA_41184_김정_개발회의(week21)_KMS-350" xfId="1928" xr:uid="{00000000-0005-0000-0000-000088070000}"/>
    <cellStyle name="7_재료비CM350_1216_04HTS재료비030902_63342_자재비절감(회의)-050110_63342_05-07-01 06년재료비_05-07-18 06년 HA 재료비_41184" xfId="1929" xr:uid="{00000000-0005-0000-0000-000089070000}"/>
    <cellStyle name="7_재료비CM350_1216_04HTS재료비030902_63342_자재비절감(회의)-050110_63342_05-07-01 06년재료비_05-07-18 06년 HA 재료비_41184_05-08-29 9월1주차HA_41184_김정" xfId="1930" xr:uid="{00000000-0005-0000-0000-00008A070000}"/>
    <cellStyle name="7_재료비CM350_1216_04HTS재료비030902_63342_자재비절감(회의)-050110_63342_05-07-01 06년재료비_05-07-18 06년 HA 재료비_41184_05-08-29 9월1주차HA_41184_김정_개발회의(week21)_KMS-350" xfId="1931" xr:uid="{00000000-0005-0000-0000-00008B070000}"/>
    <cellStyle name="7_재료비CM350_1216_04HTS재료비030902_63342_자재비절감(회의)-050110_63342_05-07-01 06년재료비_05-07-18 06년 HA 재료비_41184_개발회의(week21)_KMS-350" xfId="1932" xr:uid="{00000000-0005-0000-0000-00008C070000}"/>
    <cellStyle name="7_재료비CM350_1216_04HTS재료비030902_63342_자재비절감(회의)-050110_63342_05-07-01 06년재료비_05-07-18 06년 HA 재료비_개발회의(week21)_KMS-350" xfId="1933" xr:uid="{00000000-0005-0000-0000-00008D070000}"/>
    <cellStyle name="7_재료비CM350_1216_04HTS재료비030902_63342_자재비절감(회의)-050110_63342_05-07-01 06년재료비_05-07-23 06년 HA 재료비" xfId="1934" xr:uid="{00000000-0005-0000-0000-00008E070000}"/>
    <cellStyle name="7_재료비CM350_1216_04HTS재료비030902_63342_자재비절감(회의)-050110_63342_05-07-01 06년재료비_05-07-23 06년 HA 재료비_05-08-29 9월1주차HA_41184_김정" xfId="1935" xr:uid="{00000000-0005-0000-0000-00008F070000}"/>
    <cellStyle name="7_재료비CM350_1216_04HTS재료비030902_63342_자재비절감(회의)-050110_63342_05-07-01 06년재료비_05-07-23 06년 HA 재료비_05-08-29 9월1주차HA_41184_김정_개발회의(week21)_KMS-350" xfId="1936" xr:uid="{00000000-0005-0000-0000-000090070000}"/>
    <cellStyle name="7_재료비CM350_1216_04HTS재료비030902_63342_자재비절감(회의)-050110_63342_05-07-01 06년재료비_05-07-23 06년 HA 재료비_개발회의(week21)_KMS-350" xfId="1937" xr:uid="{00000000-0005-0000-0000-000091070000}"/>
    <cellStyle name="7_재료비CM350_1216_04HTS재료비030902_63342_자재비절감(회의)-050110_63342_05-07-01 06년재료비_05-07-25 06년 HA 재료비_H2000" xfId="1938" xr:uid="{00000000-0005-0000-0000-000092070000}"/>
    <cellStyle name="7_재료비CM350_1216_04HTS재료비030902_63342_자재비절감(회의)-050110_63342_05-07-01 06년재료비_05-07-25 06년 HA 재료비_H2000_05-08-29 9월1주차HA_41184_김정" xfId="1939" xr:uid="{00000000-0005-0000-0000-000093070000}"/>
    <cellStyle name="7_재료비CM350_1216_04HTS재료비030902_63342_자재비절감(회의)-050110_63342_05-07-01 06년재료비_05-07-25 06년 HA 재료비_H2000_05-08-29 9월1주차HA_41184_김정_개발회의(week21)_KMS-350" xfId="1940" xr:uid="{00000000-0005-0000-0000-000094070000}"/>
    <cellStyle name="7_재료비CM350_1216_04HTS재료비030902_63342_자재비절감(회의)-050110_63342_05-07-01 06년재료비_05-07-25 06년 HA 재료비_H2000_개발회의(week21)_KMS-350" xfId="1941" xr:uid="{00000000-0005-0000-0000-000095070000}"/>
    <cellStyle name="7_재료비CM350_1216_04HTS재료비030902_63342_자재비절감(회의)-050110_63342_05-07-01 06년재료비_05-07-26 06년 HA 재료비_41184" xfId="1942" xr:uid="{00000000-0005-0000-0000-000096070000}"/>
    <cellStyle name="7_재료비CM350_1216_04HTS재료비030902_63342_자재비절감(회의)-050110_63342_05-07-01 06년재료비_05-07-26 06년 HA 재료비_41184_05-08-29 9월1주차HA_41184_김정" xfId="1943" xr:uid="{00000000-0005-0000-0000-000097070000}"/>
    <cellStyle name="7_재료비CM350_1216_04HTS재료비030902_63342_자재비절감(회의)-050110_63342_05-07-01 06년재료비_05-07-26 06년 HA 재료비_41184_05-08-29 9월1주차HA_41184_김정_개발회의(week21)_KMS-350" xfId="1944" xr:uid="{00000000-0005-0000-0000-000098070000}"/>
    <cellStyle name="7_재료비CM350_1216_04HTS재료비030902_63342_자재비절감(회의)-050110_63342_05-07-01 06년재료비_05-07-26 06년 HA 재료비_41184_개발회의(week21)_KMS-350" xfId="1945" xr:uid="{00000000-0005-0000-0000-000099070000}"/>
    <cellStyle name="7_재료비CM350_1216_04HTS재료비030902_63342_자재비절감(회의)-050110_63342_05-07-01 06년재료비_05-07-26 06년 HA 재료비1" xfId="1946" xr:uid="{00000000-0005-0000-0000-00009A070000}"/>
    <cellStyle name="7_재료비CM350_1216_04HTS재료비030902_63342_자재비절감(회의)-050110_63342_05-07-01 06년재료비_05-07-26 06년 HA 재료비1_05-08-29 9월1주차HA_41184_김정" xfId="1947" xr:uid="{00000000-0005-0000-0000-00009B070000}"/>
    <cellStyle name="7_재료비CM350_1216_04HTS재료비030902_63342_자재비절감(회의)-050110_63342_05-07-01 06년재료비_05-07-26 06년 HA 재료비1_05-08-29 9월1주차HA_41184_김정_개발회의(week21)_KMS-350" xfId="1948" xr:uid="{00000000-0005-0000-0000-00009C070000}"/>
    <cellStyle name="7_재료비CM350_1216_04HTS재료비030902_63342_자재비절감(회의)-050110_63342_05-07-01 06년재료비_05-07-26 06년 HA 재료비1_개발회의(week21)_KMS-350" xfId="1949" xr:uid="{00000000-0005-0000-0000-00009D070000}"/>
    <cellStyle name="7_재료비CM350_1216_04HTS재료비030902_63342_자재비절감(회의)-050110_63342_05-07-01 06년재료비_05-08-29 9월1주차HA_41184_김정" xfId="1950" xr:uid="{00000000-0005-0000-0000-00009E070000}"/>
    <cellStyle name="7_재료비CM350_1216_04HTS재료비030902_63342_자재비절감(회의)-050110_63342_05-07-01 06년재료비_05-08-29 9월1주차HA_41184_김정_개발회의(week21)_KMS-350" xfId="1951" xr:uid="{00000000-0005-0000-0000-00009F070000}"/>
    <cellStyle name="7_재료비CM350_1216_04HTS재료비030902_63342_자재비절감(회의)-050110_63342_05-07-01 06년재료비_개발회의(week21)_KMS-350" xfId="1952" xr:uid="{00000000-0005-0000-0000-0000A0070000}"/>
    <cellStyle name="7_재료비CM350_1216_04HTS재료비030902_63342_자재비절감(회의)-050110_63342_05-07-05 06년재료비_41184" xfId="1953" xr:uid="{00000000-0005-0000-0000-0000A1070000}"/>
    <cellStyle name="7_재료비CM350_1216_04HTS재료비030902_63342_자재비절감(회의)-050110_63342_05-07-05 06년재료비_41184_(Q80)05-07-12 06년재료비" xfId="1954" xr:uid="{00000000-0005-0000-0000-0000A2070000}"/>
    <cellStyle name="7_재료비CM350_1216_04HTS재료비030902_63342_자재비절감(회의)-050110_63342_05-07-05 06년재료비_41184_(Q80)05-07-12 06년재료비_05-07-18 06년 HA 재료비_41184" xfId="1955" xr:uid="{00000000-0005-0000-0000-0000A3070000}"/>
    <cellStyle name="7_재료비CM350_1216_04HTS재료비030902_63342_자재비절감(회의)-050110_63342_05-07-05 06년재료비_41184_(Q80)05-07-12 06년재료비_05-07-18 06년 HA 재료비_41184_05-08-29 9월1주차HA_41184_김정" xfId="1956" xr:uid="{00000000-0005-0000-0000-0000A4070000}"/>
    <cellStyle name="7_재료비CM350_1216_04HTS재료비030902_63342_자재비절감(회의)-050110_63342_05-07-05 06년재료비_41184_(Q80)05-07-12 06년재료비_05-07-18 06년 HA 재료비_41184_05-08-29 9월1주차HA_41184_김정_개발회의(week21)_KMS-350" xfId="1957" xr:uid="{00000000-0005-0000-0000-0000A5070000}"/>
    <cellStyle name="7_재료비CM350_1216_04HTS재료비030902_63342_자재비절감(회의)-050110_63342_05-07-05 06년재료비_41184_(Q80)05-07-12 06년재료비_05-07-18 06년 HA 재료비_41184_개발회의(week21)_KMS-350" xfId="1958" xr:uid="{00000000-0005-0000-0000-0000A6070000}"/>
    <cellStyle name="7_재료비CM350_1216_04HTS재료비030902_63342_자재비절감(회의)-050110_63342_05-07-05 06년재료비_41184_(Q80)05-07-12 06년재료비_05-08-29 9월1주차HA_41184_김정" xfId="1959" xr:uid="{00000000-0005-0000-0000-0000A7070000}"/>
    <cellStyle name="7_재료비CM350_1216_04HTS재료비030902_63342_자재비절감(회의)-050110_63342_05-07-05 06년재료비_41184_(Q80)05-07-12 06년재료비_05-08-29 9월1주차HA_41184_김정_개발회의(week21)_KMS-350" xfId="1960" xr:uid="{00000000-0005-0000-0000-0000A8070000}"/>
    <cellStyle name="7_재료비CM350_1216_04HTS재료비030902_63342_자재비절감(회의)-050110_63342_05-07-05 06년재료비_41184_(Q80)05-07-12 06년재료비_개발회의(week21)_KMS-350" xfId="1961" xr:uid="{00000000-0005-0000-0000-0000A9070000}"/>
    <cellStyle name="7_재료비CM350_1216_04HTS재료비030902_63342_자재비절감(회의)-050110_63342_05-07-05 06년재료비_41184_(R1500)05-07-19 재료비" xfId="1962" xr:uid="{00000000-0005-0000-0000-0000AA070000}"/>
    <cellStyle name="7_재료비CM350_1216_04HTS재료비030902_63342_자재비절감(회의)-050110_63342_05-07-05 06년재료비_41184_(R1500)05-07-19 재료비_05-08-29 9월1주차HA_41184_김정" xfId="1963" xr:uid="{00000000-0005-0000-0000-0000AB070000}"/>
    <cellStyle name="7_재료비CM350_1216_04HTS재료비030902_63342_자재비절감(회의)-050110_63342_05-07-05 06년재료비_41184_(R1500)05-07-19 재료비_05-08-29 9월1주차HA_41184_김정_개발회의(week21)_KMS-350" xfId="1964" xr:uid="{00000000-0005-0000-0000-0000AC070000}"/>
    <cellStyle name="7_재료비CM350_1216_04HTS재료비030902_63342_자재비절감(회의)-050110_63342_05-07-05 06년재료비_41184_(R1500)05-07-19 재료비_개발회의(week21)_KMS-350" xfId="1965" xr:uid="{00000000-0005-0000-0000-0000AD070000}"/>
    <cellStyle name="7_재료비CM350_1216_04HTS재료비030902_63342_자재비절감(회의)-050110_63342_05-07-05 06년재료비_41184_05-07-12 06년재료비(Q120)" xfId="1966" xr:uid="{00000000-0005-0000-0000-0000AE070000}"/>
    <cellStyle name="7_재료비CM350_1216_04HTS재료비030902_63342_자재비절감(회의)-050110_63342_05-07-05 06년재료비_41184_05-07-12 06년재료비(Q120)_05-07-18 06년 HA 재료비_41184" xfId="1967" xr:uid="{00000000-0005-0000-0000-0000AF070000}"/>
    <cellStyle name="7_재료비CM350_1216_04HTS재료비030902_63342_자재비절감(회의)-050110_63342_05-07-05 06년재료비_41184_05-07-12 06년재료비(Q120)_05-07-18 06년 HA 재료비_41184_05-08-29 9월1주차HA_41184_김정" xfId="1968" xr:uid="{00000000-0005-0000-0000-0000B0070000}"/>
    <cellStyle name="7_재료비CM350_1216_04HTS재료비030902_63342_자재비절감(회의)-050110_63342_05-07-05 06년재료비_41184_05-07-12 06년재료비(Q120)_05-07-18 06년 HA 재료비_41184_05-08-29 9월1주차HA_41184_김정_개발회의(week21)_KMS-350" xfId="1969" xr:uid="{00000000-0005-0000-0000-0000B1070000}"/>
    <cellStyle name="7_재료비CM350_1216_04HTS재료비030902_63342_자재비절감(회의)-050110_63342_05-07-05 06년재료비_41184_05-07-12 06년재료비(Q120)_05-07-18 06년 HA 재료비_41184_개발회의(week21)_KMS-350" xfId="1970" xr:uid="{00000000-0005-0000-0000-0000B2070000}"/>
    <cellStyle name="7_재료비CM350_1216_04HTS재료비030902_63342_자재비절감(회의)-050110_63342_05-07-05 06년재료비_41184_05-07-12 06년재료비(Q120)_05-08-29 9월1주차HA_41184_김정" xfId="1971" xr:uid="{00000000-0005-0000-0000-0000B3070000}"/>
    <cellStyle name="7_재료비CM350_1216_04HTS재료비030902_63342_자재비절감(회의)-050110_63342_05-07-05 06년재료비_41184_05-07-12 06년재료비(Q120)_05-08-29 9월1주차HA_41184_김정_개발회의(week21)_KMS-350" xfId="1972" xr:uid="{00000000-0005-0000-0000-0000B4070000}"/>
    <cellStyle name="7_재료비CM350_1216_04HTS재료비030902_63342_자재비절감(회의)-050110_63342_05-07-05 06년재료비_41184_05-07-12 06년재료비(Q120)_개발회의(week21)_KMS-350" xfId="1973" xr:uid="{00000000-0005-0000-0000-0000B5070000}"/>
    <cellStyle name="7_재료비CM350_1216_04HTS재료비030902_63342_자재비절감(회의)-050110_63342_05-07-05 06년재료비_41184_05-07-14 06년재료비" xfId="1974" xr:uid="{00000000-0005-0000-0000-0000B6070000}"/>
    <cellStyle name="7_재료비CM350_1216_04HTS재료비030902_63342_자재비절감(회의)-050110_63342_05-07-05 06년재료비_41184_05-07-14 06년재료비_05-07-18 06년 HA 재료비_41184" xfId="1975" xr:uid="{00000000-0005-0000-0000-0000B7070000}"/>
    <cellStyle name="7_재료비CM350_1216_04HTS재료비030902_63342_자재비절감(회의)-050110_63342_05-07-05 06년재료비_41184_05-07-14 06년재료비_05-07-18 06년 HA 재료비_41184_05-08-29 9월1주차HA_41184_김정" xfId="1976" xr:uid="{00000000-0005-0000-0000-0000B8070000}"/>
    <cellStyle name="7_재료비CM350_1216_04HTS재료비030902_63342_자재비절감(회의)-050110_63342_05-07-05 06년재료비_41184_05-07-14 06년재료비_05-07-18 06년 HA 재료비_41184_05-08-29 9월1주차HA_41184_김정_개발회의(week21)_KMS-350" xfId="1977" xr:uid="{00000000-0005-0000-0000-0000B9070000}"/>
    <cellStyle name="7_재료비CM350_1216_04HTS재료비030902_63342_자재비절감(회의)-050110_63342_05-07-05 06년재료비_41184_05-07-14 06년재료비_05-07-18 06년 HA 재료비_41184_개발회의(week21)_KMS-350" xfId="1978" xr:uid="{00000000-0005-0000-0000-0000BA070000}"/>
    <cellStyle name="7_재료비CM350_1216_04HTS재료비030902_63342_자재비절감(회의)-050110_63342_05-07-05 06년재료비_41184_05-07-14 06년재료비_05-08-29 9월1주차HA_41184_김정" xfId="1979" xr:uid="{00000000-0005-0000-0000-0000BB070000}"/>
    <cellStyle name="7_재료비CM350_1216_04HTS재료비030902_63342_자재비절감(회의)-050110_63342_05-07-05 06년재료비_41184_05-07-14 06년재료비_05-08-29 9월1주차HA_41184_김정_개발회의(week21)_KMS-350" xfId="1980" xr:uid="{00000000-0005-0000-0000-0000BC070000}"/>
    <cellStyle name="7_재료비CM350_1216_04HTS재료비030902_63342_자재비절감(회의)-050110_63342_05-07-05 06년재료비_41184_05-07-14 06년재료비_개발회의(week21)_KMS-350" xfId="1981" xr:uid="{00000000-0005-0000-0000-0000BD070000}"/>
    <cellStyle name="7_재료비CM350_1216_04HTS재료비030902_63342_자재비절감(회의)-050110_63342_05-07-05 06년재료비_41184_05-07-15 06년재료비 기구스피커" xfId="1982" xr:uid="{00000000-0005-0000-0000-0000BE070000}"/>
    <cellStyle name="7_재료비CM350_1216_04HTS재료비030902_63342_자재비절감(회의)-050110_63342_05-07-05 06년재료비_41184_05-07-15 06년재료비 기구스피커_05-07-18 06년 HA 재료비_41184" xfId="1983" xr:uid="{00000000-0005-0000-0000-0000BF070000}"/>
    <cellStyle name="7_재료비CM350_1216_04HTS재료비030902_63342_자재비절감(회의)-050110_63342_05-07-05 06년재료비_41184_05-07-15 06년재료비 기구스피커_05-07-18 06년 HA 재료비_41184_05-08-29 9월1주차HA_41184_김정" xfId="1984" xr:uid="{00000000-0005-0000-0000-0000C0070000}"/>
    <cellStyle name="7_재료비CM350_1216_04HTS재료비030902_63342_자재비절감(회의)-050110_63342_05-07-05 06년재료비_41184_05-07-15 06년재료비 기구스피커_05-07-18 06년 HA 재료비_41184_05-08-29 9월1주차HA_41184_김정_개발회의(week21)_KMS-350" xfId="1985" xr:uid="{00000000-0005-0000-0000-0000C1070000}"/>
    <cellStyle name="7_재료비CM350_1216_04HTS재료비030902_63342_자재비절감(회의)-050110_63342_05-07-05 06년재료비_41184_05-07-15 06년재료비 기구스피커_05-07-18 06년 HA 재료비_41184_개발회의(week21)_KMS-350" xfId="1986" xr:uid="{00000000-0005-0000-0000-0000C2070000}"/>
    <cellStyle name="7_재료비CM350_1216_04HTS재료비030902_63342_자재비절감(회의)-050110_63342_05-07-05 06년재료비_41184_05-07-15 06년재료비 기구스피커_05-08-29 9월1주차HA_41184_김정" xfId="1987" xr:uid="{00000000-0005-0000-0000-0000C3070000}"/>
    <cellStyle name="7_재료비CM350_1216_04HTS재료비030902_63342_자재비절감(회의)-050110_63342_05-07-05 06년재료비_41184_05-07-15 06년재료비 기구스피커_05-08-29 9월1주차HA_41184_김정_개발회의(week21)_KMS-350" xfId="1988" xr:uid="{00000000-0005-0000-0000-0000C4070000}"/>
    <cellStyle name="7_재료비CM350_1216_04HTS재료비030902_63342_자재비절감(회의)-050110_63342_05-07-05 06년재료비_41184_05-07-15 06년재료비 기구스피커_개발회의(week21)_KMS-350" xfId="1989" xr:uid="{00000000-0005-0000-0000-0000C5070000}"/>
    <cellStyle name="7_재료비CM350_1216_04HTS재료비030902_63342_자재비절감(회의)-050110_63342_05-07-05 06년재료비_41184_05-07-18 06년 HA 재료비" xfId="1990" xr:uid="{00000000-0005-0000-0000-0000C6070000}"/>
    <cellStyle name="7_재료비CM350_1216_04HTS재료비030902_63342_자재비절감(회의)-050110_63342_05-07-05 06년재료비_41184_05-07-18 06년 HA 재료비_05-07-18 06년 HA 재료비_41184" xfId="1991" xr:uid="{00000000-0005-0000-0000-0000C7070000}"/>
    <cellStyle name="7_재료비CM350_1216_04HTS재료비030902_63342_자재비절감(회의)-050110_63342_05-07-05 06년재료비_41184_05-07-18 06년 HA 재료비_05-07-18 06년 HA 재료비_41184_05-08-29 9월1주차HA_41184_김정" xfId="1992" xr:uid="{00000000-0005-0000-0000-0000C8070000}"/>
    <cellStyle name="7_재료비CM350_1216_04HTS재료비030902_63342_자재비절감(회의)-050110_63342_05-07-05 06년재료비_41184_05-07-18 06년 HA 재료비_05-07-18 06년 HA 재료비_41184_05-08-29 9월1주차HA_41184_김정_개발회의(week21)_KMS-350" xfId="1993" xr:uid="{00000000-0005-0000-0000-0000C9070000}"/>
    <cellStyle name="7_재료비CM350_1216_04HTS재료비030902_63342_자재비절감(회의)-050110_63342_05-07-05 06년재료비_41184_05-07-18 06년 HA 재료비_05-07-18 06년 HA 재료비_41184_개발회의(week21)_KMS-350" xfId="1994" xr:uid="{00000000-0005-0000-0000-0000CA070000}"/>
    <cellStyle name="7_재료비CM350_1216_04HTS재료비030902_63342_자재비절감(회의)-050110_63342_05-07-05 06년재료비_41184_05-07-18 06년 HA 재료비_05-08-29 9월1주차HA_41184_김정" xfId="1995" xr:uid="{00000000-0005-0000-0000-0000CB070000}"/>
    <cellStyle name="7_재료비CM350_1216_04HTS재료비030902_63342_자재비절감(회의)-050110_63342_05-07-05 06년재료비_41184_05-07-18 06년 HA 재료비_05-08-29 9월1주차HA_41184_김정_개발회의(week21)_KMS-350" xfId="1996" xr:uid="{00000000-0005-0000-0000-0000CC070000}"/>
    <cellStyle name="7_재료비CM350_1216_04HTS재료비030902_63342_자재비절감(회의)-050110_63342_05-07-05 06년재료비_41184_05-07-18 06년 HA 재료비_41184" xfId="1997" xr:uid="{00000000-0005-0000-0000-0000CD070000}"/>
    <cellStyle name="7_재료비CM350_1216_04HTS재료비030902_63342_자재비절감(회의)-050110_63342_05-07-05 06년재료비_41184_05-07-18 06년 HA 재료비_41184_05-08-29 9월1주차HA_41184_김정" xfId="1998" xr:uid="{00000000-0005-0000-0000-0000CE070000}"/>
    <cellStyle name="7_재료비CM350_1216_04HTS재료비030902_63342_자재비절감(회의)-050110_63342_05-07-05 06년재료비_41184_05-07-18 06년 HA 재료비_41184_05-08-29 9월1주차HA_41184_김정_개발회의(week21)_KMS-350" xfId="1999" xr:uid="{00000000-0005-0000-0000-0000CF070000}"/>
    <cellStyle name="7_재료비CM350_1216_04HTS재료비030902_63342_자재비절감(회의)-050110_63342_05-07-05 06년재료비_41184_05-07-18 06년 HA 재료비_41184_개발회의(week21)_KMS-350" xfId="2000" xr:uid="{00000000-0005-0000-0000-0000D0070000}"/>
    <cellStyle name="7_재료비CM350_1216_04HTS재료비030902_63342_자재비절감(회의)-050110_63342_05-07-05 06년재료비_41184_05-07-18 06년 HA 재료비_개발회의(week21)_KMS-350" xfId="2001" xr:uid="{00000000-0005-0000-0000-0000D1070000}"/>
    <cellStyle name="7_재료비CM350_1216_04HTS재료비030902_63342_자재비절감(회의)-050110_63342_05-07-05 06년재료비_41184_05-07-23 06년 HA 재료비" xfId="2002" xr:uid="{00000000-0005-0000-0000-0000D2070000}"/>
    <cellStyle name="7_재료비CM350_1216_04HTS재료비030902_63342_자재비절감(회의)-050110_63342_05-07-05 06년재료비_41184_05-07-23 06년 HA 재료비_05-08-29 9월1주차HA_41184_김정" xfId="2003" xr:uid="{00000000-0005-0000-0000-0000D3070000}"/>
    <cellStyle name="7_재료비CM350_1216_04HTS재료비030902_63342_자재비절감(회의)-050110_63342_05-07-05 06년재료비_41184_05-07-23 06년 HA 재료비_05-08-29 9월1주차HA_41184_김정_개발회의(week21)_KMS-350" xfId="2004" xr:uid="{00000000-0005-0000-0000-0000D4070000}"/>
    <cellStyle name="7_재료비CM350_1216_04HTS재료비030902_63342_자재비절감(회의)-050110_63342_05-07-05 06년재료비_41184_05-07-23 06년 HA 재료비_개발회의(week21)_KMS-350" xfId="2005" xr:uid="{00000000-0005-0000-0000-0000D5070000}"/>
    <cellStyle name="7_재료비CM350_1216_04HTS재료비030902_63342_자재비절감(회의)-050110_63342_05-07-05 06년재료비_41184_05-07-25 06년 HA 재료비_H2000" xfId="2006" xr:uid="{00000000-0005-0000-0000-0000D6070000}"/>
    <cellStyle name="7_재료비CM350_1216_04HTS재료비030902_63342_자재비절감(회의)-050110_63342_05-07-05 06년재료비_41184_05-07-25 06년 HA 재료비_H2000_05-08-29 9월1주차HA_41184_김정" xfId="2007" xr:uid="{00000000-0005-0000-0000-0000D7070000}"/>
    <cellStyle name="7_재료비CM350_1216_04HTS재료비030902_63342_자재비절감(회의)-050110_63342_05-07-05 06년재료비_41184_05-07-25 06년 HA 재료비_H2000_05-08-29 9월1주차HA_41184_김정_개발회의(week21)_KMS-350" xfId="2008" xr:uid="{00000000-0005-0000-0000-0000D8070000}"/>
    <cellStyle name="7_재료비CM350_1216_04HTS재료비030902_63342_자재비절감(회의)-050110_63342_05-07-05 06년재료비_41184_05-07-25 06년 HA 재료비_H2000_개발회의(week21)_KMS-350" xfId="2009" xr:uid="{00000000-0005-0000-0000-0000D9070000}"/>
    <cellStyle name="7_재료비CM350_1216_04HTS재료비030902_63342_자재비절감(회의)-050110_63342_05-07-05 06년재료비_41184_05-07-26 06년 HA 재료비_41184" xfId="2010" xr:uid="{00000000-0005-0000-0000-0000DA070000}"/>
    <cellStyle name="7_재료비CM350_1216_04HTS재료비030902_63342_자재비절감(회의)-050110_63342_05-07-05 06년재료비_41184_05-07-26 06년 HA 재료비_41184_05-08-29 9월1주차HA_41184_김정" xfId="2011" xr:uid="{00000000-0005-0000-0000-0000DB070000}"/>
    <cellStyle name="7_재료비CM350_1216_04HTS재료비030902_63342_자재비절감(회의)-050110_63342_05-07-05 06년재료비_41184_05-07-26 06년 HA 재료비_41184_05-08-29 9월1주차HA_41184_김정_개발회의(week21)_KMS-350" xfId="2012" xr:uid="{00000000-0005-0000-0000-0000DC070000}"/>
    <cellStyle name="7_재료비CM350_1216_04HTS재료비030902_63342_자재비절감(회의)-050110_63342_05-07-05 06년재료비_41184_05-07-26 06년 HA 재료비_41184_개발회의(week21)_KMS-350" xfId="2013" xr:uid="{00000000-0005-0000-0000-0000DD070000}"/>
    <cellStyle name="7_재료비CM350_1216_04HTS재료비030902_63342_자재비절감(회의)-050110_63342_05-07-05 06년재료비_41184_05-07-26 06년 HA 재료비1" xfId="2014" xr:uid="{00000000-0005-0000-0000-0000DE070000}"/>
    <cellStyle name="7_재료비CM350_1216_04HTS재료비030902_63342_자재비절감(회의)-050110_63342_05-07-05 06년재료비_41184_05-07-26 06년 HA 재료비1_05-08-29 9월1주차HA_41184_김정" xfId="2015" xr:uid="{00000000-0005-0000-0000-0000DF070000}"/>
    <cellStyle name="7_재료비CM350_1216_04HTS재료비030902_63342_자재비절감(회의)-050110_63342_05-07-05 06년재료비_41184_05-07-26 06년 HA 재료비1_05-08-29 9월1주차HA_41184_김정_개발회의(week21)_KMS-350" xfId="2016" xr:uid="{00000000-0005-0000-0000-0000E0070000}"/>
    <cellStyle name="7_재료비CM350_1216_04HTS재료비030902_63342_자재비절감(회의)-050110_63342_05-07-05 06년재료비_41184_05-07-26 06년 HA 재료비1_개발회의(week21)_KMS-350" xfId="2017" xr:uid="{00000000-0005-0000-0000-0000E1070000}"/>
    <cellStyle name="7_재료비CM350_1216_04HTS재료비030902_63342_자재비절감(회의)-050110_63342_05-07-05 06년재료비_41184_05-08-29 9월1주차HA_41184_김정" xfId="2018" xr:uid="{00000000-0005-0000-0000-0000E2070000}"/>
    <cellStyle name="7_재료비CM350_1216_04HTS재료비030902_63342_자재비절감(회의)-050110_63342_05-07-05 06년재료비_41184_05-08-29 9월1주차HA_41184_김정_개발회의(week21)_KMS-350" xfId="2019" xr:uid="{00000000-0005-0000-0000-0000E3070000}"/>
    <cellStyle name="7_재료비CM350_1216_04HTS재료비030902_63342_자재비절감(회의)-050110_63342_05-07-05 06년재료비_41184_개발회의(week21)_KMS-350" xfId="2020" xr:uid="{00000000-0005-0000-0000-0000E4070000}"/>
    <cellStyle name="7_재료비CM350_1216_04HTS재료비030902_63342_자재비절감(회의)-050110_63342_05-07-18 06년 HA 재료비_41184" xfId="2021" xr:uid="{00000000-0005-0000-0000-0000E5070000}"/>
    <cellStyle name="7_재료비CM350_1216_04HTS재료비030902_63342_자재비절감(회의)-050110_63342_05-07-18 06년 HA 재료비_41184_05-08-29 9월1주차HA_41184_김정" xfId="2022" xr:uid="{00000000-0005-0000-0000-0000E6070000}"/>
    <cellStyle name="7_재료비CM350_1216_04HTS재료비030902_63342_자재비절감(회의)-050110_63342_05-07-18 06년 HA 재료비_41184_05-08-29 9월1주차HA_41184_김정_개발회의(week21)_KMS-350" xfId="2023" xr:uid="{00000000-0005-0000-0000-0000E7070000}"/>
    <cellStyle name="7_재료비CM350_1216_04HTS재료비030902_63342_자재비절감(회의)-050110_63342_05-07-18 06년 HA 재료비_41184_개발회의(week21)_KMS-350" xfId="2024" xr:uid="{00000000-0005-0000-0000-0000E8070000}"/>
    <cellStyle name="7_재료비CM350_1216_04HTS재료비030902_63342_자재비절감(회의)-050110_63342_05-08-29 9월1주차HA_41184_김정" xfId="2025" xr:uid="{00000000-0005-0000-0000-0000E9070000}"/>
    <cellStyle name="7_재료비CM350_1216_04HTS재료비030902_63342_자재비절감(회의)-050110_63342_05-08-29 9월1주차HA_41184_김정_개발회의(week21)_KMS-350" xfId="2026" xr:uid="{00000000-0005-0000-0000-0000EA070000}"/>
    <cellStyle name="7_재료비CM350_1216_04HTS재료비030902_63342_자재비절감(회의)-050110_63342_개발회의(week21)_KMS-350" xfId="2027" xr:uid="{00000000-0005-0000-0000-0000EB070000}"/>
    <cellStyle name="7_재료비CM350_1216_05-07-01 06년재료비" xfId="2172" xr:uid="{00000000-0005-0000-0000-00007C080000}"/>
    <cellStyle name="7_재료비CM350_1216_05-07-01 06년재료비_(Q80)05-07-12 06년재료비" xfId="2173" xr:uid="{00000000-0005-0000-0000-00007D080000}"/>
    <cellStyle name="7_재료비CM350_1216_05-07-01 06년재료비_(Q80)05-07-12 06년재료비_05-07-18 06년 HA 재료비_41184" xfId="2174" xr:uid="{00000000-0005-0000-0000-00007E080000}"/>
    <cellStyle name="7_재료비CM350_1216_05-07-01 06년재료비_(Q80)05-07-12 06년재료비_05-07-18 06년 HA 재료비_41184_05-08-29 9월1주차HA_41184_김정" xfId="2175" xr:uid="{00000000-0005-0000-0000-00007F080000}"/>
    <cellStyle name="7_재료비CM350_1216_05-07-01 06년재료비_(Q80)05-07-12 06년재료비_05-07-18 06년 HA 재료비_41184_05-08-29 9월1주차HA_41184_김정_개발회의(week21)_KMS-350" xfId="2176" xr:uid="{00000000-0005-0000-0000-000080080000}"/>
    <cellStyle name="7_재료비CM350_1216_05-07-01 06년재료비_(Q80)05-07-12 06년재료비_05-07-18 06년 HA 재료비_41184_개발회의(week21)_KMS-350" xfId="2177" xr:uid="{00000000-0005-0000-0000-000081080000}"/>
    <cellStyle name="7_재료비CM350_1216_05-07-01 06년재료비_(Q80)05-07-12 06년재료비_05-08-29 9월1주차HA_41184_김정" xfId="2178" xr:uid="{00000000-0005-0000-0000-000082080000}"/>
    <cellStyle name="7_재료비CM350_1216_05-07-01 06년재료비_(Q80)05-07-12 06년재료비_05-08-29 9월1주차HA_41184_김정_개발회의(week21)_KMS-350" xfId="2179" xr:uid="{00000000-0005-0000-0000-000083080000}"/>
    <cellStyle name="7_재료비CM350_1216_05-07-01 06년재료비_(Q80)05-07-12 06년재료비_개발회의(week21)_KMS-350" xfId="2180" xr:uid="{00000000-0005-0000-0000-000084080000}"/>
    <cellStyle name="7_재료비CM350_1216_05-07-01 06년재료비_(R1500)05-07-19 재료비" xfId="2181" xr:uid="{00000000-0005-0000-0000-000085080000}"/>
    <cellStyle name="7_재료비CM350_1216_05-07-01 06년재료비_(R1500)05-07-19 재료비_05-08-29 9월1주차HA_41184_김정" xfId="2182" xr:uid="{00000000-0005-0000-0000-000086080000}"/>
    <cellStyle name="7_재료비CM350_1216_05-07-01 06년재료비_(R1500)05-07-19 재료비_05-08-29 9월1주차HA_41184_김정_개발회의(week21)_KMS-350" xfId="2183" xr:uid="{00000000-0005-0000-0000-000087080000}"/>
    <cellStyle name="7_재료비CM350_1216_05-07-01 06년재료비_(R1500)05-07-19 재료비_개발회의(week21)_KMS-350" xfId="2184" xr:uid="{00000000-0005-0000-0000-000088080000}"/>
    <cellStyle name="7_재료비CM350_1216_05-07-01 06년재료비_05-07-12 06년재료비(Q120)" xfId="2185" xr:uid="{00000000-0005-0000-0000-000089080000}"/>
    <cellStyle name="7_재료비CM350_1216_05-07-01 06년재료비_05-07-12 06년재료비(Q120)_05-07-18 06년 HA 재료비_41184" xfId="2186" xr:uid="{00000000-0005-0000-0000-00008A080000}"/>
    <cellStyle name="7_재료비CM350_1216_05-07-01 06년재료비_05-07-12 06년재료비(Q120)_05-07-18 06년 HA 재료비_41184_05-08-29 9월1주차HA_41184_김정" xfId="2187" xr:uid="{00000000-0005-0000-0000-00008B080000}"/>
    <cellStyle name="7_재료비CM350_1216_05-07-01 06년재료비_05-07-12 06년재료비(Q120)_05-07-18 06년 HA 재료비_41184_05-08-29 9월1주차HA_41184_김정_개발회의(week21)_KMS-350" xfId="2188" xr:uid="{00000000-0005-0000-0000-00008C080000}"/>
    <cellStyle name="7_재료비CM350_1216_05-07-01 06년재료비_05-07-12 06년재료비(Q120)_05-07-18 06년 HA 재료비_41184_개발회의(week21)_KMS-350" xfId="2189" xr:uid="{00000000-0005-0000-0000-00008D080000}"/>
    <cellStyle name="7_재료비CM350_1216_05-07-01 06년재료비_05-07-12 06년재료비(Q120)_05-08-29 9월1주차HA_41184_김정" xfId="2190" xr:uid="{00000000-0005-0000-0000-00008E080000}"/>
    <cellStyle name="7_재료비CM350_1216_05-07-01 06년재료비_05-07-12 06년재료비(Q120)_05-08-29 9월1주차HA_41184_김정_개발회의(week21)_KMS-350" xfId="2191" xr:uid="{00000000-0005-0000-0000-00008F080000}"/>
    <cellStyle name="7_재료비CM350_1216_05-07-01 06년재료비_05-07-12 06년재료비(Q120)_개발회의(week21)_KMS-350" xfId="2192" xr:uid="{00000000-0005-0000-0000-000090080000}"/>
    <cellStyle name="7_재료비CM350_1216_05-07-01 06년재료비_05-07-14 06년재료비" xfId="2193" xr:uid="{00000000-0005-0000-0000-000091080000}"/>
    <cellStyle name="7_재료비CM350_1216_05-07-01 06년재료비_05-07-14 06년재료비_05-07-18 06년 HA 재료비_41184" xfId="2194" xr:uid="{00000000-0005-0000-0000-000092080000}"/>
    <cellStyle name="7_재료비CM350_1216_05-07-01 06년재료비_05-07-14 06년재료비_05-07-18 06년 HA 재료비_41184_05-08-29 9월1주차HA_41184_김정" xfId="2195" xr:uid="{00000000-0005-0000-0000-000093080000}"/>
    <cellStyle name="7_재료비CM350_1216_05-07-01 06년재료비_05-07-14 06년재료비_05-07-18 06년 HA 재료비_41184_05-08-29 9월1주차HA_41184_김정_개발회의(week21)_KMS-350" xfId="2196" xr:uid="{00000000-0005-0000-0000-000094080000}"/>
    <cellStyle name="7_재료비CM350_1216_05-07-01 06년재료비_05-07-14 06년재료비_05-07-18 06년 HA 재료비_41184_개발회의(week21)_KMS-350" xfId="2197" xr:uid="{00000000-0005-0000-0000-000095080000}"/>
    <cellStyle name="7_재료비CM350_1216_05-07-01 06년재료비_05-07-14 06년재료비_05-08-29 9월1주차HA_41184_김정" xfId="2198" xr:uid="{00000000-0005-0000-0000-000096080000}"/>
    <cellStyle name="7_재료비CM350_1216_05-07-01 06년재료비_05-07-14 06년재료비_05-08-29 9월1주차HA_41184_김정_개발회의(week21)_KMS-350" xfId="2199" xr:uid="{00000000-0005-0000-0000-000097080000}"/>
    <cellStyle name="7_재료비CM350_1216_05-07-01 06년재료비_05-07-14 06년재료비_개발회의(week21)_KMS-350" xfId="2200" xr:uid="{00000000-0005-0000-0000-000098080000}"/>
    <cellStyle name="7_재료비CM350_1216_05-07-01 06년재료비_05-07-15 06년재료비 기구스피커" xfId="2201" xr:uid="{00000000-0005-0000-0000-000099080000}"/>
    <cellStyle name="7_재료비CM350_1216_05-07-01 06년재료비_05-07-15 06년재료비 기구스피커_05-07-18 06년 HA 재료비_41184" xfId="2202" xr:uid="{00000000-0005-0000-0000-00009A080000}"/>
    <cellStyle name="7_재료비CM350_1216_05-07-01 06년재료비_05-07-15 06년재료비 기구스피커_05-07-18 06년 HA 재료비_41184_05-08-29 9월1주차HA_41184_김정" xfId="2203" xr:uid="{00000000-0005-0000-0000-00009B080000}"/>
    <cellStyle name="7_재료비CM350_1216_05-07-01 06년재료비_05-07-15 06년재료비 기구스피커_05-07-18 06년 HA 재료비_41184_05-08-29 9월1주차HA_41184_김정_개발회의(week21)_KMS-350" xfId="2204" xr:uid="{00000000-0005-0000-0000-00009C080000}"/>
    <cellStyle name="7_재료비CM350_1216_05-07-01 06년재료비_05-07-15 06년재료비 기구스피커_05-07-18 06년 HA 재료비_41184_개발회의(week21)_KMS-350" xfId="2205" xr:uid="{00000000-0005-0000-0000-00009D080000}"/>
    <cellStyle name="7_재료비CM350_1216_05-07-01 06년재료비_05-07-15 06년재료비 기구스피커_05-08-29 9월1주차HA_41184_김정" xfId="2206" xr:uid="{00000000-0005-0000-0000-00009E080000}"/>
    <cellStyle name="7_재료비CM350_1216_05-07-01 06년재료비_05-07-15 06년재료비 기구스피커_05-08-29 9월1주차HA_41184_김정_개발회의(week21)_KMS-350" xfId="2207" xr:uid="{00000000-0005-0000-0000-00009F080000}"/>
    <cellStyle name="7_재료비CM350_1216_05-07-01 06년재료비_05-07-15 06년재료비 기구스피커_개발회의(week21)_KMS-350" xfId="2208" xr:uid="{00000000-0005-0000-0000-0000A0080000}"/>
    <cellStyle name="7_재료비CM350_1216_05-07-01 06년재료비_05-07-18 06년 HA 재료비" xfId="2209" xr:uid="{00000000-0005-0000-0000-0000A1080000}"/>
    <cellStyle name="7_재료비CM350_1216_05-07-01 06년재료비_05-07-18 06년 HA 재료비_05-07-18 06년 HA 재료비_41184" xfId="2210" xr:uid="{00000000-0005-0000-0000-0000A2080000}"/>
    <cellStyle name="7_재료비CM350_1216_05-07-01 06년재료비_05-07-18 06년 HA 재료비_05-07-18 06년 HA 재료비_41184_05-08-29 9월1주차HA_41184_김정" xfId="2211" xr:uid="{00000000-0005-0000-0000-0000A3080000}"/>
    <cellStyle name="7_재료비CM350_1216_05-07-01 06년재료비_05-07-18 06년 HA 재료비_05-07-18 06년 HA 재료비_41184_05-08-29 9월1주차HA_41184_김정_개발회의(week21)_KMS-350" xfId="2212" xr:uid="{00000000-0005-0000-0000-0000A4080000}"/>
    <cellStyle name="7_재료비CM350_1216_05-07-01 06년재료비_05-07-18 06년 HA 재료비_05-07-18 06년 HA 재료비_41184_개발회의(week21)_KMS-350" xfId="2213" xr:uid="{00000000-0005-0000-0000-0000A5080000}"/>
    <cellStyle name="7_재료비CM350_1216_05-07-01 06년재료비_05-07-18 06년 HA 재료비_05-08-29 9월1주차HA_41184_김정" xfId="2214" xr:uid="{00000000-0005-0000-0000-0000A6080000}"/>
    <cellStyle name="7_재료비CM350_1216_05-07-01 06년재료비_05-07-18 06년 HA 재료비_05-08-29 9월1주차HA_41184_김정_개발회의(week21)_KMS-350" xfId="2215" xr:uid="{00000000-0005-0000-0000-0000A7080000}"/>
    <cellStyle name="7_재료비CM350_1216_05-07-01 06년재료비_05-07-18 06년 HA 재료비_41184" xfId="2216" xr:uid="{00000000-0005-0000-0000-0000A8080000}"/>
    <cellStyle name="7_재료비CM350_1216_05-07-01 06년재료비_05-07-18 06년 HA 재료비_41184_05-08-29 9월1주차HA_41184_김정" xfId="2217" xr:uid="{00000000-0005-0000-0000-0000A9080000}"/>
    <cellStyle name="7_재료비CM350_1216_05-07-01 06년재료비_05-07-18 06년 HA 재료비_41184_05-08-29 9월1주차HA_41184_김정_개발회의(week21)_KMS-350" xfId="2218" xr:uid="{00000000-0005-0000-0000-0000AA080000}"/>
    <cellStyle name="7_재료비CM350_1216_05-07-01 06년재료비_05-07-18 06년 HA 재료비_41184_개발회의(week21)_KMS-350" xfId="2219" xr:uid="{00000000-0005-0000-0000-0000AB080000}"/>
    <cellStyle name="7_재료비CM350_1216_05-07-01 06년재료비_05-07-18 06년 HA 재료비_개발회의(week21)_KMS-350" xfId="2220" xr:uid="{00000000-0005-0000-0000-0000AC080000}"/>
    <cellStyle name="7_재료비CM350_1216_05-07-01 06년재료비_05-07-23 06년 HA 재료비" xfId="2221" xr:uid="{00000000-0005-0000-0000-0000AD080000}"/>
    <cellStyle name="7_재료비CM350_1216_05-07-01 06년재료비_05-07-23 06년 HA 재료비_05-08-29 9월1주차HA_41184_김정" xfId="2222" xr:uid="{00000000-0005-0000-0000-0000AE080000}"/>
    <cellStyle name="7_재료비CM350_1216_05-07-01 06년재료비_05-07-23 06년 HA 재료비_05-08-29 9월1주차HA_41184_김정_개발회의(week21)_KMS-350" xfId="2223" xr:uid="{00000000-0005-0000-0000-0000AF080000}"/>
    <cellStyle name="7_재료비CM350_1216_05-07-01 06년재료비_05-07-23 06년 HA 재료비_개발회의(week21)_KMS-350" xfId="2224" xr:uid="{00000000-0005-0000-0000-0000B0080000}"/>
    <cellStyle name="7_재료비CM350_1216_05-07-01 06년재료비_05-07-25 06년 HA 재료비_H2000" xfId="2225" xr:uid="{00000000-0005-0000-0000-0000B1080000}"/>
    <cellStyle name="7_재료비CM350_1216_05-07-01 06년재료비_05-07-25 06년 HA 재료비_H2000_05-08-29 9월1주차HA_41184_김정" xfId="2226" xr:uid="{00000000-0005-0000-0000-0000B2080000}"/>
    <cellStyle name="7_재료비CM350_1216_05-07-01 06년재료비_05-07-25 06년 HA 재료비_H2000_05-08-29 9월1주차HA_41184_김정_개발회의(week21)_KMS-350" xfId="2227" xr:uid="{00000000-0005-0000-0000-0000B3080000}"/>
    <cellStyle name="7_재료비CM350_1216_05-07-01 06년재료비_05-07-25 06년 HA 재료비_H2000_개발회의(week21)_KMS-350" xfId="2228" xr:uid="{00000000-0005-0000-0000-0000B4080000}"/>
    <cellStyle name="7_재료비CM350_1216_05-07-01 06년재료비_05-07-26 06년 HA 재료비_41184" xfId="2229" xr:uid="{00000000-0005-0000-0000-0000B5080000}"/>
    <cellStyle name="7_재료비CM350_1216_05-07-01 06년재료비_05-07-26 06년 HA 재료비_41184_05-08-29 9월1주차HA_41184_김정" xfId="2230" xr:uid="{00000000-0005-0000-0000-0000B6080000}"/>
    <cellStyle name="7_재료비CM350_1216_05-07-01 06년재료비_05-07-26 06년 HA 재료비_41184_05-08-29 9월1주차HA_41184_김정_개발회의(week21)_KMS-350" xfId="2231" xr:uid="{00000000-0005-0000-0000-0000B7080000}"/>
    <cellStyle name="7_재료비CM350_1216_05-07-01 06년재료비_05-07-26 06년 HA 재료비_41184_개발회의(week21)_KMS-350" xfId="2232" xr:uid="{00000000-0005-0000-0000-0000B8080000}"/>
    <cellStyle name="7_재료비CM350_1216_05-07-01 06년재료비_05-07-26 06년 HA 재료비1" xfId="2233" xr:uid="{00000000-0005-0000-0000-0000B9080000}"/>
    <cellStyle name="7_재료비CM350_1216_05-07-01 06년재료비_05-07-26 06년 HA 재료비1_05-08-29 9월1주차HA_41184_김정" xfId="2234" xr:uid="{00000000-0005-0000-0000-0000BA080000}"/>
    <cellStyle name="7_재료비CM350_1216_05-07-01 06년재료비_05-07-26 06년 HA 재료비1_05-08-29 9월1주차HA_41184_김정_개발회의(week21)_KMS-350" xfId="2235" xr:uid="{00000000-0005-0000-0000-0000BB080000}"/>
    <cellStyle name="7_재료비CM350_1216_05-07-01 06년재료비_05-07-26 06년 HA 재료비1_개발회의(week21)_KMS-350" xfId="2236" xr:uid="{00000000-0005-0000-0000-0000BC080000}"/>
    <cellStyle name="7_재료비CM350_1216_05-07-01 06년재료비_05-08-29 9월1주차HA_41184_김정" xfId="2237" xr:uid="{00000000-0005-0000-0000-0000BD080000}"/>
    <cellStyle name="7_재료비CM350_1216_05-07-01 06년재료비_05-08-29 9월1주차HA_41184_김정_개발회의(week21)_KMS-350" xfId="2238" xr:uid="{00000000-0005-0000-0000-0000BE080000}"/>
    <cellStyle name="7_재료비CM350_1216_05-07-01 06년재료비_개발회의(week21)_KMS-350" xfId="2239" xr:uid="{00000000-0005-0000-0000-0000BF080000}"/>
    <cellStyle name="7_재료비CM350_1216_05-07-05 06년재료비_41184" xfId="2240" xr:uid="{00000000-0005-0000-0000-0000C0080000}"/>
    <cellStyle name="7_재료비CM350_1216_05-07-05 06년재료비_41184_(Q80)05-07-12 06년재료비" xfId="2241" xr:uid="{00000000-0005-0000-0000-0000C1080000}"/>
    <cellStyle name="7_재료비CM350_1216_05-07-05 06년재료비_41184_(Q80)05-07-12 06년재료비_05-07-18 06년 HA 재료비_41184" xfId="2242" xr:uid="{00000000-0005-0000-0000-0000C2080000}"/>
    <cellStyle name="7_재료비CM350_1216_05-07-05 06년재료비_41184_(Q80)05-07-12 06년재료비_05-07-18 06년 HA 재료비_41184_05-08-29 9월1주차HA_41184_김정" xfId="2243" xr:uid="{00000000-0005-0000-0000-0000C3080000}"/>
    <cellStyle name="7_재료비CM350_1216_05-07-05 06년재료비_41184_(Q80)05-07-12 06년재료비_05-07-18 06년 HA 재료비_41184_05-08-29 9월1주차HA_41184_김정_개발회의(week21)_KMS-350" xfId="2244" xr:uid="{00000000-0005-0000-0000-0000C4080000}"/>
    <cellStyle name="7_재료비CM350_1216_05-07-05 06년재료비_41184_(Q80)05-07-12 06년재료비_05-07-18 06년 HA 재료비_41184_개발회의(week21)_KMS-350" xfId="2245" xr:uid="{00000000-0005-0000-0000-0000C5080000}"/>
    <cellStyle name="7_재료비CM350_1216_05-07-05 06년재료비_41184_(Q80)05-07-12 06년재료비_05-08-29 9월1주차HA_41184_김정" xfId="2246" xr:uid="{00000000-0005-0000-0000-0000C6080000}"/>
    <cellStyle name="7_재료비CM350_1216_05-07-05 06년재료비_41184_(Q80)05-07-12 06년재료비_05-08-29 9월1주차HA_41184_김정_개발회의(week21)_KMS-350" xfId="2247" xr:uid="{00000000-0005-0000-0000-0000C7080000}"/>
    <cellStyle name="7_재료비CM350_1216_05-07-05 06년재료비_41184_(Q80)05-07-12 06년재료비_개발회의(week21)_KMS-350" xfId="2248" xr:uid="{00000000-0005-0000-0000-0000C8080000}"/>
    <cellStyle name="7_재료비CM350_1216_05-07-05 06년재료비_41184_(R1500)05-07-19 재료비" xfId="2249" xr:uid="{00000000-0005-0000-0000-0000C9080000}"/>
    <cellStyle name="7_재료비CM350_1216_05-07-05 06년재료비_41184_(R1500)05-07-19 재료비_05-08-29 9월1주차HA_41184_김정" xfId="2250" xr:uid="{00000000-0005-0000-0000-0000CA080000}"/>
    <cellStyle name="7_재료비CM350_1216_05-07-05 06년재료비_41184_(R1500)05-07-19 재료비_05-08-29 9월1주차HA_41184_김정_개발회의(week21)_KMS-350" xfId="2251" xr:uid="{00000000-0005-0000-0000-0000CB080000}"/>
    <cellStyle name="7_재료비CM350_1216_05-07-05 06년재료비_41184_(R1500)05-07-19 재료비_개발회의(week21)_KMS-350" xfId="2252" xr:uid="{00000000-0005-0000-0000-0000CC080000}"/>
    <cellStyle name="7_재료비CM350_1216_05-07-05 06년재료비_41184_05-07-12 06년재료비(Q120)" xfId="2253" xr:uid="{00000000-0005-0000-0000-0000CD080000}"/>
    <cellStyle name="7_재료비CM350_1216_05-07-05 06년재료비_41184_05-07-12 06년재료비(Q120)_05-07-18 06년 HA 재료비_41184" xfId="2254" xr:uid="{00000000-0005-0000-0000-0000CE080000}"/>
    <cellStyle name="7_재료비CM350_1216_05-07-05 06년재료비_41184_05-07-12 06년재료비(Q120)_05-07-18 06년 HA 재료비_41184_05-08-29 9월1주차HA_41184_김정" xfId="2255" xr:uid="{00000000-0005-0000-0000-0000CF080000}"/>
    <cellStyle name="7_재료비CM350_1216_05-07-05 06년재료비_41184_05-07-12 06년재료비(Q120)_05-07-18 06년 HA 재료비_41184_05-08-29 9월1주차HA_41184_김정_개발회의(week21)_KMS-350" xfId="2256" xr:uid="{00000000-0005-0000-0000-0000D0080000}"/>
    <cellStyle name="7_재료비CM350_1216_05-07-05 06년재료비_41184_05-07-12 06년재료비(Q120)_05-07-18 06년 HA 재료비_41184_개발회의(week21)_KMS-350" xfId="2257" xr:uid="{00000000-0005-0000-0000-0000D1080000}"/>
    <cellStyle name="7_재료비CM350_1216_05-07-05 06년재료비_41184_05-07-12 06년재료비(Q120)_05-08-29 9월1주차HA_41184_김정" xfId="2258" xr:uid="{00000000-0005-0000-0000-0000D2080000}"/>
    <cellStyle name="7_재료비CM350_1216_05-07-05 06년재료비_41184_05-07-12 06년재료비(Q120)_05-08-29 9월1주차HA_41184_김정_개발회의(week21)_KMS-350" xfId="2259" xr:uid="{00000000-0005-0000-0000-0000D3080000}"/>
    <cellStyle name="7_재료비CM350_1216_05-07-05 06년재료비_41184_05-07-12 06년재료비(Q120)_개발회의(week21)_KMS-350" xfId="2260" xr:uid="{00000000-0005-0000-0000-0000D4080000}"/>
    <cellStyle name="7_재료비CM350_1216_05-07-05 06년재료비_41184_05-07-14 06년재료비" xfId="2261" xr:uid="{00000000-0005-0000-0000-0000D5080000}"/>
    <cellStyle name="7_재료비CM350_1216_05-07-05 06년재료비_41184_05-07-14 06년재료비_05-07-18 06년 HA 재료비_41184" xfId="2262" xr:uid="{00000000-0005-0000-0000-0000D6080000}"/>
    <cellStyle name="7_재료비CM350_1216_05-07-05 06년재료비_41184_05-07-14 06년재료비_05-07-18 06년 HA 재료비_41184_05-08-29 9월1주차HA_41184_김정" xfId="2263" xr:uid="{00000000-0005-0000-0000-0000D7080000}"/>
    <cellStyle name="7_재료비CM350_1216_05-07-05 06년재료비_41184_05-07-14 06년재료비_05-07-18 06년 HA 재료비_41184_05-08-29 9월1주차HA_41184_김정_개발회의(week21)_KMS-350" xfId="2264" xr:uid="{00000000-0005-0000-0000-0000D8080000}"/>
    <cellStyle name="7_재료비CM350_1216_05-07-05 06년재료비_41184_05-07-14 06년재료비_05-07-18 06년 HA 재료비_41184_개발회의(week21)_KMS-350" xfId="2265" xr:uid="{00000000-0005-0000-0000-0000D9080000}"/>
    <cellStyle name="7_재료비CM350_1216_05-07-05 06년재료비_41184_05-07-14 06년재료비_05-08-29 9월1주차HA_41184_김정" xfId="2266" xr:uid="{00000000-0005-0000-0000-0000DA080000}"/>
    <cellStyle name="7_재료비CM350_1216_05-07-05 06년재료비_41184_05-07-14 06년재료비_05-08-29 9월1주차HA_41184_김정_개발회의(week21)_KMS-350" xfId="2267" xr:uid="{00000000-0005-0000-0000-0000DB080000}"/>
    <cellStyle name="7_재료비CM350_1216_05-07-05 06년재료비_41184_05-07-14 06년재료비_개발회의(week21)_KMS-350" xfId="2268" xr:uid="{00000000-0005-0000-0000-0000DC080000}"/>
    <cellStyle name="7_재료비CM350_1216_05-07-05 06년재료비_41184_05-07-15 06년재료비 기구스피커" xfId="2269" xr:uid="{00000000-0005-0000-0000-0000DD080000}"/>
    <cellStyle name="7_재료비CM350_1216_05-07-05 06년재료비_41184_05-07-15 06년재료비 기구스피커_05-07-18 06년 HA 재료비_41184" xfId="2270" xr:uid="{00000000-0005-0000-0000-0000DE080000}"/>
    <cellStyle name="7_재료비CM350_1216_05-07-05 06년재료비_41184_05-07-15 06년재료비 기구스피커_05-07-18 06년 HA 재료비_41184_05-08-29 9월1주차HA_41184_김정" xfId="2271" xr:uid="{00000000-0005-0000-0000-0000DF080000}"/>
    <cellStyle name="7_재료비CM350_1216_05-07-05 06년재료비_41184_05-07-15 06년재료비 기구스피커_05-07-18 06년 HA 재료비_41184_05-08-29 9월1주차HA_41184_김정_개발회의(week21)_KMS-350" xfId="2272" xr:uid="{00000000-0005-0000-0000-0000E0080000}"/>
    <cellStyle name="7_재료비CM350_1216_05-07-05 06년재료비_41184_05-07-15 06년재료비 기구스피커_05-07-18 06년 HA 재료비_41184_개발회의(week21)_KMS-350" xfId="2273" xr:uid="{00000000-0005-0000-0000-0000E1080000}"/>
    <cellStyle name="7_재료비CM350_1216_05-07-05 06년재료비_41184_05-07-15 06년재료비 기구스피커_05-08-29 9월1주차HA_41184_김정" xfId="2274" xr:uid="{00000000-0005-0000-0000-0000E2080000}"/>
    <cellStyle name="7_재료비CM350_1216_05-07-05 06년재료비_41184_05-07-15 06년재료비 기구스피커_05-08-29 9월1주차HA_41184_김정_개발회의(week21)_KMS-350" xfId="2275" xr:uid="{00000000-0005-0000-0000-0000E3080000}"/>
    <cellStyle name="7_재료비CM350_1216_05-07-05 06년재료비_41184_05-07-15 06년재료비 기구스피커_개발회의(week21)_KMS-350" xfId="2276" xr:uid="{00000000-0005-0000-0000-0000E4080000}"/>
    <cellStyle name="7_재료비CM350_1216_05-07-05 06년재료비_41184_05-07-18 06년 HA 재료비" xfId="2277" xr:uid="{00000000-0005-0000-0000-0000E5080000}"/>
    <cellStyle name="7_재료비CM350_1216_05-07-05 06년재료비_41184_05-07-18 06년 HA 재료비_05-07-18 06년 HA 재료비_41184" xfId="2278" xr:uid="{00000000-0005-0000-0000-0000E6080000}"/>
    <cellStyle name="7_재료비CM350_1216_05-07-05 06년재료비_41184_05-07-18 06년 HA 재료비_05-07-18 06년 HA 재료비_41184_05-08-29 9월1주차HA_41184_김정" xfId="2279" xr:uid="{00000000-0005-0000-0000-0000E7080000}"/>
    <cellStyle name="7_재료비CM350_1216_05-07-05 06년재료비_41184_05-07-18 06년 HA 재료비_05-07-18 06년 HA 재료비_41184_05-08-29 9월1주차HA_41184_김정_개발회의(week21)_KMS-350" xfId="2280" xr:uid="{00000000-0005-0000-0000-0000E8080000}"/>
    <cellStyle name="7_재료비CM350_1216_05-07-05 06년재료비_41184_05-07-18 06년 HA 재료비_05-07-18 06년 HA 재료비_41184_개발회의(week21)_KMS-350" xfId="2281" xr:uid="{00000000-0005-0000-0000-0000E9080000}"/>
    <cellStyle name="7_재료비CM350_1216_05-07-05 06년재료비_41184_05-07-18 06년 HA 재료비_05-08-29 9월1주차HA_41184_김정" xfId="2282" xr:uid="{00000000-0005-0000-0000-0000EA080000}"/>
    <cellStyle name="7_재료비CM350_1216_05-07-05 06년재료비_41184_05-07-18 06년 HA 재료비_05-08-29 9월1주차HA_41184_김정_개발회의(week21)_KMS-350" xfId="2283" xr:uid="{00000000-0005-0000-0000-0000EB080000}"/>
    <cellStyle name="7_재료비CM350_1216_05-07-05 06년재료비_41184_05-07-18 06년 HA 재료비_41184" xfId="2284" xr:uid="{00000000-0005-0000-0000-0000EC080000}"/>
    <cellStyle name="7_재료비CM350_1216_05-07-05 06년재료비_41184_05-07-18 06년 HA 재료비_41184_05-08-29 9월1주차HA_41184_김정" xfId="2285" xr:uid="{00000000-0005-0000-0000-0000ED080000}"/>
    <cellStyle name="7_재료비CM350_1216_05-07-05 06년재료비_41184_05-07-18 06년 HA 재료비_41184_05-08-29 9월1주차HA_41184_김정_개발회의(week21)_KMS-350" xfId="2286" xr:uid="{00000000-0005-0000-0000-0000EE080000}"/>
    <cellStyle name="7_재료비CM350_1216_05-07-05 06년재료비_41184_05-07-18 06년 HA 재료비_41184_개발회의(week21)_KMS-350" xfId="2287" xr:uid="{00000000-0005-0000-0000-0000EF080000}"/>
    <cellStyle name="7_재료비CM350_1216_05-07-05 06년재료비_41184_05-07-18 06년 HA 재료비_개발회의(week21)_KMS-350" xfId="2288" xr:uid="{00000000-0005-0000-0000-0000F0080000}"/>
    <cellStyle name="7_재료비CM350_1216_05-07-05 06년재료비_41184_05-07-23 06년 HA 재료비" xfId="2289" xr:uid="{00000000-0005-0000-0000-0000F1080000}"/>
    <cellStyle name="7_재료비CM350_1216_05-07-05 06년재료비_41184_05-07-23 06년 HA 재료비_05-08-29 9월1주차HA_41184_김정" xfId="2290" xr:uid="{00000000-0005-0000-0000-0000F2080000}"/>
    <cellStyle name="7_재료비CM350_1216_05-07-05 06년재료비_41184_05-07-23 06년 HA 재료비_05-08-29 9월1주차HA_41184_김정_개발회의(week21)_KMS-350" xfId="2291" xr:uid="{00000000-0005-0000-0000-0000F3080000}"/>
    <cellStyle name="7_재료비CM350_1216_05-07-05 06년재료비_41184_05-07-23 06년 HA 재료비_개발회의(week21)_KMS-350" xfId="2292" xr:uid="{00000000-0005-0000-0000-0000F4080000}"/>
    <cellStyle name="7_재료비CM350_1216_05-07-05 06년재료비_41184_05-07-25 06년 HA 재료비_H2000" xfId="2293" xr:uid="{00000000-0005-0000-0000-0000F5080000}"/>
    <cellStyle name="7_재료비CM350_1216_05-07-05 06년재료비_41184_05-07-25 06년 HA 재료비_H2000_05-08-29 9월1주차HA_41184_김정" xfId="2294" xr:uid="{00000000-0005-0000-0000-0000F6080000}"/>
    <cellStyle name="7_재료비CM350_1216_05-07-05 06년재료비_41184_05-07-25 06년 HA 재료비_H2000_05-08-29 9월1주차HA_41184_김정_개발회의(week21)_KMS-350" xfId="2295" xr:uid="{00000000-0005-0000-0000-0000F7080000}"/>
    <cellStyle name="7_재료비CM350_1216_05-07-05 06년재료비_41184_05-07-25 06년 HA 재료비_H2000_개발회의(week21)_KMS-350" xfId="2296" xr:uid="{00000000-0005-0000-0000-0000F8080000}"/>
    <cellStyle name="7_재료비CM350_1216_05-07-05 06년재료비_41184_05-07-26 06년 HA 재료비_41184" xfId="2297" xr:uid="{00000000-0005-0000-0000-0000F9080000}"/>
    <cellStyle name="7_재료비CM350_1216_05-07-05 06년재료비_41184_05-07-26 06년 HA 재료비_41184_05-08-29 9월1주차HA_41184_김정" xfId="2298" xr:uid="{00000000-0005-0000-0000-0000FA080000}"/>
    <cellStyle name="7_재료비CM350_1216_05-07-05 06년재료비_41184_05-07-26 06년 HA 재료비_41184_05-08-29 9월1주차HA_41184_김정_개발회의(week21)_KMS-350" xfId="2299" xr:uid="{00000000-0005-0000-0000-0000FB080000}"/>
    <cellStyle name="7_재료비CM350_1216_05-07-05 06년재료비_41184_05-07-26 06년 HA 재료비_41184_개발회의(week21)_KMS-350" xfId="2300" xr:uid="{00000000-0005-0000-0000-0000FC080000}"/>
    <cellStyle name="7_재료비CM350_1216_05-07-05 06년재료비_41184_05-07-26 06년 HA 재료비1" xfId="2301" xr:uid="{00000000-0005-0000-0000-0000FD080000}"/>
    <cellStyle name="7_재료비CM350_1216_05-07-05 06년재료비_41184_05-07-26 06년 HA 재료비1_05-08-29 9월1주차HA_41184_김정" xfId="2302" xr:uid="{00000000-0005-0000-0000-0000FE080000}"/>
    <cellStyle name="7_재료비CM350_1216_05-07-05 06년재료비_41184_05-07-26 06년 HA 재료비1_05-08-29 9월1주차HA_41184_김정_개발회의(week21)_KMS-350" xfId="2303" xr:uid="{00000000-0005-0000-0000-0000FF080000}"/>
    <cellStyle name="7_재료비CM350_1216_05-07-05 06년재료비_41184_05-07-26 06년 HA 재료비1_개발회의(week21)_KMS-350" xfId="2304" xr:uid="{00000000-0005-0000-0000-000000090000}"/>
    <cellStyle name="7_재료비CM350_1216_05-07-05 06년재료비_41184_05-08-29 9월1주차HA_41184_김정" xfId="2305" xr:uid="{00000000-0005-0000-0000-000001090000}"/>
    <cellStyle name="7_재료비CM350_1216_05-07-05 06년재료비_41184_05-08-29 9월1주차HA_41184_김정_개발회의(week21)_KMS-350" xfId="2306" xr:uid="{00000000-0005-0000-0000-000002090000}"/>
    <cellStyle name="7_재료비CM350_1216_05-07-05 06년재료비_41184_개발회의(week21)_KMS-350" xfId="2307" xr:uid="{00000000-0005-0000-0000-000003090000}"/>
    <cellStyle name="7_재료비CM350_1216_05-07-18 06년 HA 재료비_41184" xfId="2308" xr:uid="{00000000-0005-0000-0000-000004090000}"/>
    <cellStyle name="7_재료비CM350_1216_05-07-18 06년 HA 재료비_41184_05-08-29 9월1주차HA_41184_김정" xfId="2309" xr:uid="{00000000-0005-0000-0000-000005090000}"/>
    <cellStyle name="7_재료비CM350_1216_05-07-18 06년 HA 재료비_41184_05-08-29 9월1주차HA_41184_김정_개발회의(week21)_KMS-350" xfId="2310" xr:uid="{00000000-0005-0000-0000-000006090000}"/>
    <cellStyle name="7_재료비CM350_1216_05-07-18 06년 HA 재료비_41184_개발회의(week21)_KMS-350" xfId="2311" xr:uid="{00000000-0005-0000-0000-000007090000}"/>
    <cellStyle name="7_재료비CM350_1216_05-08-29 9월1주차HA_41184_김정" xfId="2312" xr:uid="{00000000-0005-0000-0000-000008090000}"/>
    <cellStyle name="7_재료비CM350_1216_05-08-29 9월1주차HA_41184_김정_개발회의(week21)_KMS-350" xfId="2313" xr:uid="{00000000-0005-0000-0000-000009090000}"/>
    <cellStyle name="7_재료비CM350_1216_mini재료비-041001" xfId="2459" xr:uid="{00000000-0005-0000-0000-00009B090000}"/>
    <cellStyle name="7_재료비CM350_1216_mini재료비-041001_05-07-01 06년재료비" xfId="2460" xr:uid="{00000000-0005-0000-0000-00009C090000}"/>
    <cellStyle name="7_재료비CM350_1216_mini재료비-041001_05-07-01 06년재료비_(Q80)05-07-12 06년재료비" xfId="2461" xr:uid="{00000000-0005-0000-0000-00009D090000}"/>
    <cellStyle name="7_재료비CM350_1216_mini재료비-041001_05-07-01 06년재료비_(Q80)05-07-12 06년재료비_05-07-18 06년 HA 재료비_41184" xfId="2462" xr:uid="{00000000-0005-0000-0000-00009E090000}"/>
    <cellStyle name="7_재료비CM350_1216_mini재료비-041001_05-07-01 06년재료비_(Q80)05-07-12 06년재료비_05-07-18 06년 HA 재료비_41184_05-08-29 9월1주차HA_41184_김정" xfId="2463" xr:uid="{00000000-0005-0000-0000-00009F090000}"/>
    <cellStyle name="7_재료비CM350_1216_mini재료비-041001_05-07-01 06년재료비_(Q80)05-07-12 06년재료비_05-07-18 06년 HA 재료비_41184_05-08-29 9월1주차HA_41184_김정_개발회의(week21)_KMS-350" xfId="2464" xr:uid="{00000000-0005-0000-0000-0000A0090000}"/>
    <cellStyle name="7_재료비CM350_1216_mini재료비-041001_05-07-01 06년재료비_(Q80)05-07-12 06년재료비_05-07-18 06년 HA 재료비_41184_개발회의(week21)_KMS-350" xfId="2465" xr:uid="{00000000-0005-0000-0000-0000A1090000}"/>
    <cellStyle name="7_재료비CM350_1216_mini재료비-041001_05-07-01 06년재료비_(Q80)05-07-12 06년재료비_05-08-29 9월1주차HA_41184_김정" xfId="2466" xr:uid="{00000000-0005-0000-0000-0000A2090000}"/>
    <cellStyle name="7_재료비CM350_1216_mini재료비-041001_05-07-01 06년재료비_(Q80)05-07-12 06년재료비_05-08-29 9월1주차HA_41184_김정_개발회의(week21)_KMS-350" xfId="2467" xr:uid="{00000000-0005-0000-0000-0000A3090000}"/>
    <cellStyle name="7_재료비CM350_1216_mini재료비-041001_05-07-01 06년재료비_(Q80)05-07-12 06년재료비_개발회의(week21)_KMS-350" xfId="2468" xr:uid="{00000000-0005-0000-0000-0000A4090000}"/>
    <cellStyle name="7_재료비CM350_1216_mini재료비-041001_05-07-01 06년재료비_(R1500)05-07-19 재료비" xfId="2469" xr:uid="{00000000-0005-0000-0000-0000A5090000}"/>
    <cellStyle name="7_재료비CM350_1216_mini재료비-041001_05-07-01 06년재료비_(R1500)05-07-19 재료비_05-08-29 9월1주차HA_41184_김정" xfId="2470" xr:uid="{00000000-0005-0000-0000-0000A6090000}"/>
    <cellStyle name="7_재료비CM350_1216_mini재료비-041001_05-07-01 06년재료비_(R1500)05-07-19 재료비_05-08-29 9월1주차HA_41184_김정_개발회의(week21)_KMS-350" xfId="2471" xr:uid="{00000000-0005-0000-0000-0000A7090000}"/>
    <cellStyle name="7_재료비CM350_1216_mini재료비-041001_05-07-01 06년재료비_(R1500)05-07-19 재료비_개발회의(week21)_KMS-350" xfId="2472" xr:uid="{00000000-0005-0000-0000-0000A8090000}"/>
    <cellStyle name="7_재료비CM350_1216_mini재료비-041001_05-07-01 06년재료비_05-07-12 06년재료비(Q120)" xfId="2473" xr:uid="{00000000-0005-0000-0000-0000A9090000}"/>
    <cellStyle name="7_재료비CM350_1216_mini재료비-041001_05-07-01 06년재료비_05-07-12 06년재료비(Q120)_05-07-18 06년 HA 재료비_41184" xfId="2474" xr:uid="{00000000-0005-0000-0000-0000AA090000}"/>
    <cellStyle name="7_재료비CM350_1216_mini재료비-041001_05-07-01 06년재료비_05-07-12 06년재료비(Q120)_05-07-18 06년 HA 재료비_41184_05-08-29 9월1주차HA_41184_김정" xfId="2475" xr:uid="{00000000-0005-0000-0000-0000AB090000}"/>
    <cellStyle name="7_재료비CM350_1216_mini재료비-041001_05-07-01 06년재료비_05-07-12 06년재료비(Q120)_05-07-18 06년 HA 재료비_41184_05-08-29 9월1주차HA_41184_김정_개발회의(week21)_KMS-350" xfId="2476" xr:uid="{00000000-0005-0000-0000-0000AC090000}"/>
    <cellStyle name="7_재료비CM350_1216_mini재료비-041001_05-07-01 06년재료비_05-07-12 06년재료비(Q120)_05-07-18 06년 HA 재료비_41184_개발회의(week21)_KMS-350" xfId="2477" xr:uid="{00000000-0005-0000-0000-0000AD090000}"/>
    <cellStyle name="7_재료비CM350_1216_mini재료비-041001_05-07-01 06년재료비_05-07-12 06년재료비(Q120)_05-08-29 9월1주차HA_41184_김정" xfId="2478" xr:uid="{00000000-0005-0000-0000-0000AE090000}"/>
    <cellStyle name="7_재료비CM350_1216_mini재료비-041001_05-07-01 06년재료비_05-07-12 06년재료비(Q120)_05-08-29 9월1주차HA_41184_김정_개발회의(week21)_KMS-350" xfId="2479" xr:uid="{00000000-0005-0000-0000-0000AF090000}"/>
    <cellStyle name="7_재료비CM350_1216_mini재료비-041001_05-07-01 06년재료비_05-07-12 06년재료비(Q120)_개발회의(week21)_KMS-350" xfId="2480" xr:uid="{00000000-0005-0000-0000-0000B0090000}"/>
    <cellStyle name="7_재료비CM350_1216_mini재료비-041001_05-07-01 06년재료비_05-07-14 06년재료비" xfId="2481" xr:uid="{00000000-0005-0000-0000-0000B1090000}"/>
    <cellStyle name="7_재료비CM350_1216_mini재료비-041001_05-07-01 06년재료비_05-07-14 06년재료비_05-07-18 06년 HA 재료비_41184" xfId="2482" xr:uid="{00000000-0005-0000-0000-0000B2090000}"/>
    <cellStyle name="7_재료비CM350_1216_mini재료비-041001_05-07-01 06년재료비_05-07-14 06년재료비_05-07-18 06년 HA 재료비_41184_05-08-29 9월1주차HA_41184_김정" xfId="2483" xr:uid="{00000000-0005-0000-0000-0000B3090000}"/>
    <cellStyle name="7_재료비CM350_1216_mini재료비-041001_05-07-01 06년재료비_05-07-14 06년재료비_05-07-18 06년 HA 재료비_41184_05-08-29 9월1주차HA_41184_김정_개발회의(week21)_KMS-350" xfId="2484" xr:uid="{00000000-0005-0000-0000-0000B4090000}"/>
    <cellStyle name="7_재료비CM350_1216_mini재료비-041001_05-07-01 06년재료비_05-07-14 06년재료비_05-07-18 06년 HA 재료비_41184_개발회의(week21)_KMS-350" xfId="2485" xr:uid="{00000000-0005-0000-0000-0000B5090000}"/>
    <cellStyle name="7_재료비CM350_1216_mini재료비-041001_05-07-01 06년재료비_05-07-14 06년재료비_05-08-29 9월1주차HA_41184_김정" xfId="2486" xr:uid="{00000000-0005-0000-0000-0000B6090000}"/>
    <cellStyle name="7_재료비CM350_1216_mini재료비-041001_05-07-01 06년재료비_05-07-14 06년재료비_05-08-29 9월1주차HA_41184_김정_개발회의(week21)_KMS-350" xfId="2487" xr:uid="{00000000-0005-0000-0000-0000B7090000}"/>
    <cellStyle name="7_재료비CM350_1216_mini재료비-041001_05-07-01 06년재료비_05-07-14 06년재료비_개발회의(week21)_KMS-350" xfId="2488" xr:uid="{00000000-0005-0000-0000-0000B8090000}"/>
    <cellStyle name="7_재료비CM350_1216_mini재료비-041001_05-07-01 06년재료비_05-07-15 06년재료비 기구스피커" xfId="2489" xr:uid="{00000000-0005-0000-0000-0000B9090000}"/>
    <cellStyle name="7_재료비CM350_1216_mini재료비-041001_05-07-01 06년재료비_05-07-15 06년재료비 기구스피커_05-07-18 06년 HA 재료비_41184" xfId="2490" xr:uid="{00000000-0005-0000-0000-0000BA090000}"/>
    <cellStyle name="7_재료비CM350_1216_mini재료비-041001_05-07-01 06년재료비_05-07-15 06년재료비 기구스피커_05-07-18 06년 HA 재료비_41184_05-08-29 9월1주차HA_41184_김정" xfId="2491" xr:uid="{00000000-0005-0000-0000-0000BB090000}"/>
    <cellStyle name="7_재료비CM350_1216_mini재료비-041001_05-07-01 06년재료비_05-07-15 06년재료비 기구스피커_05-07-18 06년 HA 재료비_41184_05-08-29 9월1주차HA_41184_김정_개발회의(week21)_KMS-350" xfId="2492" xr:uid="{00000000-0005-0000-0000-0000BC090000}"/>
    <cellStyle name="7_재료비CM350_1216_mini재료비-041001_05-07-01 06년재료비_05-07-15 06년재료비 기구스피커_05-07-18 06년 HA 재료비_41184_개발회의(week21)_KMS-350" xfId="2493" xr:uid="{00000000-0005-0000-0000-0000BD090000}"/>
    <cellStyle name="7_재료비CM350_1216_mini재료비-041001_05-07-01 06년재료비_05-07-15 06년재료비 기구스피커_05-08-29 9월1주차HA_41184_김정" xfId="2494" xr:uid="{00000000-0005-0000-0000-0000BE090000}"/>
    <cellStyle name="7_재료비CM350_1216_mini재료비-041001_05-07-01 06년재료비_05-07-15 06년재료비 기구스피커_05-08-29 9월1주차HA_41184_김정_개발회의(week21)_KMS-350" xfId="2495" xr:uid="{00000000-0005-0000-0000-0000BF090000}"/>
    <cellStyle name="7_재료비CM350_1216_mini재료비-041001_05-07-01 06년재료비_05-07-15 06년재료비 기구스피커_개발회의(week21)_KMS-350" xfId="2496" xr:uid="{00000000-0005-0000-0000-0000C0090000}"/>
    <cellStyle name="7_재료비CM350_1216_mini재료비-041001_05-07-01 06년재료비_05-07-18 06년 HA 재료비" xfId="2497" xr:uid="{00000000-0005-0000-0000-0000C1090000}"/>
    <cellStyle name="7_재료비CM350_1216_mini재료비-041001_05-07-01 06년재료비_05-07-18 06년 HA 재료비_05-07-18 06년 HA 재료비_41184" xfId="2498" xr:uid="{00000000-0005-0000-0000-0000C2090000}"/>
    <cellStyle name="7_재료비CM350_1216_mini재료비-041001_05-07-01 06년재료비_05-07-18 06년 HA 재료비_05-07-18 06년 HA 재료비_41184_05-08-29 9월1주차HA_41184_김정" xfId="2499" xr:uid="{00000000-0005-0000-0000-0000C3090000}"/>
    <cellStyle name="7_재료비CM350_1216_mini재료비-041001_05-07-01 06년재료비_05-07-18 06년 HA 재료비_05-07-18 06년 HA 재료비_41184_05-08-29 9월1주차HA_41184_김정_개발회의(week21)_KMS-350" xfId="2500" xr:uid="{00000000-0005-0000-0000-0000C4090000}"/>
    <cellStyle name="7_재료비CM350_1216_mini재료비-041001_05-07-01 06년재료비_05-07-18 06년 HA 재료비_05-07-18 06년 HA 재료비_41184_개발회의(week21)_KMS-350" xfId="2501" xr:uid="{00000000-0005-0000-0000-0000C5090000}"/>
    <cellStyle name="7_재료비CM350_1216_mini재료비-041001_05-07-01 06년재료비_05-07-18 06년 HA 재료비_05-08-29 9월1주차HA_41184_김정" xfId="2502" xr:uid="{00000000-0005-0000-0000-0000C6090000}"/>
    <cellStyle name="7_재료비CM350_1216_mini재료비-041001_05-07-01 06년재료비_05-07-18 06년 HA 재료비_05-08-29 9월1주차HA_41184_김정_개발회의(week21)_KMS-350" xfId="2503" xr:uid="{00000000-0005-0000-0000-0000C7090000}"/>
    <cellStyle name="7_재료비CM350_1216_mini재료비-041001_05-07-01 06년재료비_05-07-18 06년 HA 재료비_41184" xfId="2504" xr:uid="{00000000-0005-0000-0000-0000C8090000}"/>
    <cellStyle name="7_재료비CM350_1216_mini재료비-041001_05-07-01 06년재료비_05-07-18 06년 HA 재료비_41184_05-08-29 9월1주차HA_41184_김정" xfId="2505" xr:uid="{00000000-0005-0000-0000-0000C9090000}"/>
    <cellStyle name="7_재료비CM350_1216_mini재료비-041001_05-07-01 06년재료비_05-07-18 06년 HA 재료비_41184_05-08-29 9월1주차HA_41184_김정_개발회의(week21)_KMS-350" xfId="2506" xr:uid="{00000000-0005-0000-0000-0000CA090000}"/>
    <cellStyle name="7_재료비CM350_1216_mini재료비-041001_05-07-01 06년재료비_05-07-18 06년 HA 재료비_41184_개발회의(week21)_KMS-350" xfId="2507" xr:uid="{00000000-0005-0000-0000-0000CB090000}"/>
    <cellStyle name="7_재료비CM350_1216_mini재료비-041001_05-07-01 06년재료비_05-07-18 06년 HA 재료비_개발회의(week21)_KMS-350" xfId="2508" xr:uid="{00000000-0005-0000-0000-0000CC090000}"/>
    <cellStyle name="7_재료비CM350_1216_mini재료비-041001_05-07-01 06년재료비_05-07-23 06년 HA 재료비" xfId="2509" xr:uid="{00000000-0005-0000-0000-0000CD090000}"/>
    <cellStyle name="7_재료비CM350_1216_mini재료비-041001_05-07-01 06년재료비_05-07-23 06년 HA 재료비_05-08-29 9월1주차HA_41184_김정" xfId="2510" xr:uid="{00000000-0005-0000-0000-0000CE090000}"/>
    <cellStyle name="7_재료비CM350_1216_mini재료비-041001_05-07-01 06년재료비_05-07-23 06년 HA 재료비_05-08-29 9월1주차HA_41184_김정_개발회의(week21)_KMS-350" xfId="2511" xr:uid="{00000000-0005-0000-0000-0000CF090000}"/>
    <cellStyle name="7_재료비CM350_1216_mini재료비-041001_05-07-01 06년재료비_05-07-23 06년 HA 재료비_개발회의(week21)_KMS-350" xfId="2512" xr:uid="{00000000-0005-0000-0000-0000D0090000}"/>
    <cellStyle name="7_재료비CM350_1216_mini재료비-041001_05-07-01 06년재료비_05-07-25 06년 HA 재료비_H2000" xfId="2513" xr:uid="{00000000-0005-0000-0000-0000D1090000}"/>
    <cellStyle name="7_재료비CM350_1216_mini재료비-041001_05-07-01 06년재료비_05-07-25 06년 HA 재료비_H2000_05-08-29 9월1주차HA_41184_김정" xfId="2514" xr:uid="{00000000-0005-0000-0000-0000D2090000}"/>
    <cellStyle name="7_재료비CM350_1216_mini재료비-041001_05-07-01 06년재료비_05-07-25 06년 HA 재료비_H2000_05-08-29 9월1주차HA_41184_김정_개발회의(week21)_KMS-350" xfId="2515" xr:uid="{00000000-0005-0000-0000-0000D3090000}"/>
    <cellStyle name="7_재료비CM350_1216_mini재료비-041001_05-07-01 06년재료비_05-07-25 06년 HA 재료비_H2000_개발회의(week21)_KMS-350" xfId="2516" xr:uid="{00000000-0005-0000-0000-0000D4090000}"/>
    <cellStyle name="7_재료비CM350_1216_mini재료비-041001_05-07-01 06년재료비_05-07-26 06년 HA 재료비_41184" xfId="2517" xr:uid="{00000000-0005-0000-0000-0000D5090000}"/>
    <cellStyle name="7_재료비CM350_1216_mini재료비-041001_05-07-01 06년재료비_05-07-26 06년 HA 재료비_41184_05-08-29 9월1주차HA_41184_김정" xfId="2518" xr:uid="{00000000-0005-0000-0000-0000D6090000}"/>
    <cellStyle name="7_재료비CM350_1216_mini재료비-041001_05-07-01 06년재료비_05-07-26 06년 HA 재료비_41184_05-08-29 9월1주차HA_41184_김정_개발회의(week21)_KMS-350" xfId="2519" xr:uid="{00000000-0005-0000-0000-0000D7090000}"/>
    <cellStyle name="7_재료비CM350_1216_mini재료비-041001_05-07-01 06년재료비_05-07-26 06년 HA 재료비_41184_개발회의(week21)_KMS-350" xfId="2520" xr:uid="{00000000-0005-0000-0000-0000D8090000}"/>
    <cellStyle name="7_재료비CM350_1216_mini재료비-041001_05-07-01 06년재료비_05-07-26 06년 HA 재료비1" xfId="2521" xr:uid="{00000000-0005-0000-0000-0000D9090000}"/>
    <cellStyle name="7_재료비CM350_1216_mini재료비-041001_05-07-01 06년재료비_05-07-26 06년 HA 재료비1_05-08-29 9월1주차HA_41184_김정" xfId="2522" xr:uid="{00000000-0005-0000-0000-0000DA090000}"/>
    <cellStyle name="7_재료비CM350_1216_mini재료비-041001_05-07-01 06년재료비_05-07-26 06년 HA 재료비1_05-08-29 9월1주차HA_41184_김정_개발회의(week21)_KMS-350" xfId="2523" xr:uid="{00000000-0005-0000-0000-0000DB090000}"/>
    <cellStyle name="7_재료비CM350_1216_mini재료비-041001_05-07-01 06년재료비_05-07-26 06년 HA 재료비1_개발회의(week21)_KMS-350" xfId="2524" xr:uid="{00000000-0005-0000-0000-0000DC090000}"/>
    <cellStyle name="7_재료비CM350_1216_mini재료비-041001_05-07-01 06년재료비_05-08-29 9월1주차HA_41184_김정" xfId="2525" xr:uid="{00000000-0005-0000-0000-0000DD090000}"/>
    <cellStyle name="7_재료비CM350_1216_mini재료비-041001_05-07-01 06년재료비_05-08-29 9월1주차HA_41184_김정_개발회의(week21)_KMS-350" xfId="2526" xr:uid="{00000000-0005-0000-0000-0000DE090000}"/>
    <cellStyle name="7_재료비CM350_1216_mini재료비-041001_05-07-01 06년재료비_개발회의(week21)_KMS-350" xfId="2527" xr:uid="{00000000-0005-0000-0000-0000DF090000}"/>
    <cellStyle name="7_재료비CM350_1216_mini재료비-041001_05-07-05 06년재료비_41184" xfId="2528" xr:uid="{00000000-0005-0000-0000-0000E0090000}"/>
    <cellStyle name="7_재료비CM350_1216_mini재료비-041001_05-07-05 06년재료비_41184_(Q80)05-07-12 06년재료비" xfId="2529" xr:uid="{00000000-0005-0000-0000-0000E1090000}"/>
    <cellStyle name="7_재료비CM350_1216_mini재료비-041001_05-07-05 06년재료비_41184_(Q80)05-07-12 06년재료비_05-07-18 06년 HA 재료비_41184" xfId="2530" xr:uid="{00000000-0005-0000-0000-0000E2090000}"/>
    <cellStyle name="7_재료비CM350_1216_mini재료비-041001_05-07-05 06년재료비_41184_(Q80)05-07-12 06년재료비_05-07-18 06년 HA 재료비_41184_05-08-29 9월1주차HA_41184_김정" xfId="2531" xr:uid="{00000000-0005-0000-0000-0000E3090000}"/>
    <cellStyle name="7_재료비CM350_1216_mini재료비-041001_05-07-05 06년재료비_41184_(Q80)05-07-12 06년재료비_05-07-18 06년 HA 재료비_41184_05-08-29 9월1주차HA_41184_김정_개발회의(week21)_KMS-350" xfId="2532" xr:uid="{00000000-0005-0000-0000-0000E4090000}"/>
    <cellStyle name="7_재료비CM350_1216_mini재료비-041001_05-07-05 06년재료비_41184_(Q80)05-07-12 06년재료비_05-07-18 06년 HA 재료비_41184_개발회의(week21)_KMS-350" xfId="2533" xr:uid="{00000000-0005-0000-0000-0000E5090000}"/>
    <cellStyle name="7_재료비CM350_1216_mini재료비-041001_05-07-05 06년재료비_41184_(Q80)05-07-12 06년재료비_05-08-29 9월1주차HA_41184_김정" xfId="2534" xr:uid="{00000000-0005-0000-0000-0000E6090000}"/>
    <cellStyle name="7_재료비CM350_1216_mini재료비-041001_05-07-05 06년재료비_41184_(Q80)05-07-12 06년재료비_05-08-29 9월1주차HA_41184_김정_개발회의(week21)_KMS-350" xfId="2535" xr:uid="{00000000-0005-0000-0000-0000E7090000}"/>
    <cellStyle name="7_재료비CM350_1216_mini재료비-041001_05-07-05 06년재료비_41184_(Q80)05-07-12 06년재료비_개발회의(week21)_KMS-350" xfId="2536" xr:uid="{00000000-0005-0000-0000-0000E8090000}"/>
    <cellStyle name="7_재료비CM350_1216_mini재료비-041001_05-07-05 06년재료비_41184_(R1500)05-07-19 재료비" xfId="2537" xr:uid="{00000000-0005-0000-0000-0000E9090000}"/>
    <cellStyle name="7_재료비CM350_1216_mini재료비-041001_05-07-05 06년재료비_41184_(R1500)05-07-19 재료비_05-08-29 9월1주차HA_41184_김정" xfId="2538" xr:uid="{00000000-0005-0000-0000-0000EA090000}"/>
    <cellStyle name="7_재료비CM350_1216_mini재료비-041001_05-07-05 06년재료비_41184_(R1500)05-07-19 재료비_05-08-29 9월1주차HA_41184_김정_개발회의(week21)_KMS-350" xfId="2539" xr:uid="{00000000-0005-0000-0000-0000EB090000}"/>
    <cellStyle name="7_재료비CM350_1216_mini재료비-041001_05-07-05 06년재료비_41184_(R1500)05-07-19 재료비_개발회의(week21)_KMS-350" xfId="2540" xr:uid="{00000000-0005-0000-0000-0000EC090000}"/>
    <cellStyle name="7_재료비CM350_1216_mini재료비-041001_05-07-05 06년재료비_41184_05-07-12 06년재료비(Q120)" xfId="2541" xr:uid="{00000000-0005-0000-0000-0000ED090000}"/>
    <cellStyle name="7_재료비CM350_1216_mini재료비-041001_05-07-05 06년재료비_41184_05-07-12 06년재료비(Q120)_05-07-18 06년 HA 재료비_41184" xfId="2542" xr:uid="{00000000-0005-0000-0000-0000EE090000}"/>
    <cellStyle name="7_재료비CM350_1216_mini재료비-041001_05-07-05 06년재료비_41184_05-07-12 06년재료비(Q120)_05-07-18 06년 HA 재료비_41184_05-08-29 9월1주차HA_41184_김정" xfId="2543" xr:uid="{00000000-0005-0000-0000-0000EF090000}"/>
    <cellStyle name="7_재료비CM350_1216_mini재료비-041001_05-07-05 06년재료비_41184_05-07-12 06년재료비(Q120)_05-07-18 06년 HA 재료비_41184_05-08-29 9월1주차HA_41184_김정_개발회의(week21)_KMS-350" xfId="2544" xr:uid="{00000000-0005-0000-0000-0000F0090000}"/>
    <cellStyle name="7_재료비CM350_1216_mini재료비-041001_05-07-05 06년재료비_41184_05-07-12 06년재료비(Q120)_05-07-18 06년 HA 재료비_41184_개발회의(week21)_KMS-350" xfId="2545" xr:uid="{00000000-0005-0000-0000-0000F1090000}"/>
    <cellStyle name="7_재료비CM350_1216_mini재료비-041001_05-07-05 06년재료비_41184_05-07-12 06년재료비(Q120)_05-08-29 9월1주차HA_41184_김정" xfId="2546" xr:uid="{00000000-0005-0000-0000-0000F2090000}"/>
    <cellStyle name="7_재료비CM350_1216_mini재료비-041001_05-07-05 06년재료비_41184_05-07-12 06년재료비(Q120)_05-08-29 9월1주차HA_41184_김정_개발회의(week21)_KMS-350" xfId="2547" xr:uid="{00000000-0005-0000-0000-0000F3090000}"/>
    <cellStyle name="7_재료비CM350_1216_mini재료비-041001_05-07-05 06년재료비_41184_05-07-12 06년재료비(Q120)_개발회의(week21)_KMS-350" xfId="2548" xr:uid="{00000000-0005-0000-0000-0000F4090000}"/>
    <cellStyle name="7_재료비CM350_1216_mini재료비-041001_05-07-05 06년재료비_41184_05-07-14 06년재료비" xfId="2549" xr:uid="{00000000-0005-0000-0000-0000F5090000}"/>
    <cellStyle name="7_재료비CM350_1216_mini재료비-041001_05-07-05 06년재료비_41184_05-07-14 06년재료비_05-07-18 06년 HA 재료비_41184" xfId="2550" xr:uid="{00000000-0005-0000-0000-0000F6090000}"/>
    <cellStyle name="7_재료비CM350_1216_mini재료비-041001_05-07-05 06년재료비_41184_05-07-14 06년재료비_05-07-18 06년 HA 재료비_41184_05-08-29 9월1주차HA_41184_김정" xfId="2551" xr:uid="{00000000-0005-0000-0000-0000F7090000}"/>
    <cellStyle name="7_재료비CM350_1216_mini재료비-041001_05-07-05 06년재료비_41184_05-07-14 06년재료비_05-07-18 06년 HA 재료비_41184_05-08-29 9월1주차HA_41184_김정_개발회의(week21)_KMS-350" xfId="2552" xr:uid="{00000000-0005-0000-0000-0000F8090000}"/>
    <cellStyle name="7_재료비CM350_1216_mini재료비-041001_05-07-05 06년재료비_41184_05-07-14 06년재료비_05-07-18 06년 HA 재료비_41184_개발회의(week21)_KMS-350" xfId="2553" xr:uid="{00000000-0005-0000-0000-0000F9090000}"/>
    <cellStyle name="7_재료비CM350_1216_mini재료비-041001_05-07-05 06년재료비_41184_05-07-14 06년재료비_05-08-29 9월1주차HA_41184_김정" xfId="2554" xr:uid="{00000000-0005-0000-0000-0000FA090000}"/>
    <cellStyle name="7_재료비CM350_1216_mini재료비-041001_05-07-05 06년재료비_41184_05-07-14 06년재료비_05-08-29 9월1주차HA_41184_김정_개발회의(week21)_KMS-350" xfId="2555" xr:uid="{00000000-0005-0000-0000-0000FB090000}"/>
    <cellStyle name="7_재료비CM350_1216_mini재료비-041001_05-07-05 06년재료비_41184_05-07-14 06년재료비_개발회의(week21)_KMS-350" xfId="2556" xr:uid="{00000000-0005-0000-0000-0000FC090000}"/>
    <cellStyle name="7_재료비CM350_1216_mini재료비-041001_05-07-05 06년재료비_41184_05-07-15 06년재료비 기구스피커" xfId="2557" xr:uid="{00000000-0005-0000-0000-0000FD090000}"/>
    <cellStyle name="7_재료비CM350_1216_mini재료비-041001_05-07-05 06년재료비_41184_05-07-15 06년재료비 기구스피커_05-07-18 06년 HA 재료비_41184" xfId="2558" xr:uid="{00000000-0005-0000-0000-0000FE090000}"/>
    <cellStyle name="7_재료비CM350_1216_mini재료비-041001_05-07-05 06년재료비_41184_05-07-15 06년재료비 기구스피커_05-07-18 06년 HA 재료비_41184_05-08-29 9월1주차HA_41184_김정" xfId="2559" xr:uid="{00000000-0005-0000-0000-0000FF090000}"/>
    <cellStyle name="7_재료비CM350_1216_mini재료비-041001_05-07-05 06년재료비_41184_05-07-15 06년재료비 기구스피커_05-07-18 06년 HA 재료비_41184_05-08-29 9월1주차HA_41184_김정_개발회의(week21)_KMS-350" xfId="2560" xr:uid="{00000000-0005-0000-0000-0000000A0000}"/>
    <cellStyle name="7_재료비CM350_1216_mini재료비-041001_05-07-05 06년재료비_41184_05-07-15 06년재료비 기구스피커_05-07-18 06년 HA 재료비_41184_개발회의(week21)_KMS-350" xfId="2561" xr:uid="{00000000-0005-0000-0000-0000010A0000}"/>
    <cellStyle name="7_재료비CM350_1216_mini재료비-041001_05-07-05 06년재료비_41184_05-07-15 06년재료비 기구스피커_05-08-29 9월1주차HA_41184_김정" xfId="2562" xr:uid="{00000000-0005-0000-0000-0000020A0000}"/>
    <cellStyle name="7_재료비CM350_1216_mini재료비-041001_05-07-05 06년재료비_41184_05-07-15 06년재료비 기구스피커_05-08-29 9월1주차HA_41184_김정_개발회의(week21)_KMS-350" xfId="2563" xr:uid="{00000000-0005-0000-0000-0000030A0000}"/>
    <cellStyle name="7_재료비CM350_1216_mini재료비-041001_05-07-05 06년재료비_41184_05-07-15 06년재료비 기구스피커_개발회의(week21)_KMS-350" xfId="2564" xr:uid="{00000000-0005-0000-0000-0000040A0000}"/>
    <cellStyle name="7_재료비CM350_1216_mini재료비-041001_05-07-05 06년재료비_41184_05-07-18 06년 HA 재료비" xfId="2565" xr:uid="{00000000-0005-0000-0000-0000050A0000}"/>
    <cellStyle name="7_재료비CM350_1216_mini재료비-041001_05-07-05 06년재료비_41184_05-07-18 06년 HA 재료비_05-07-18 06년 HA 재료비_41184" xfId="2566" xr:uid="{00000000-0005-0000-0000-0000060A0000}"/>
    <cellStyle name="7_재료비CM350_1216_mini재료비-041001_05-07-05 06년재료비_41184_05-07-18 06년 HA 재료비_05-07-18 06년 HA 재료비_41184_05-08-29 9월1주차HA_41184_김정" xfId="2567" xr:uid="{00000000-0005-0000-0000-0000070A0000}"/>
    <cellStyle name="7_재료비CM350_1216_mini재료비-041001_05-07-05 06년재료비_41184_05-07-18 06년 HA 재료비_05-07-18 06년 HA 재료비_41184_05-08-29 9월1주차HA_41184_김정_개발회의(week21)_KMS-350" xfId="2568" xr:uid="{00000000-0005-0000-0000-0000080A0000}"/>
    <cellStyle name="7_재료비CM350_1216_mini재료비-041001_05-07-05 06년재료비_41184_05-07-18 06년 HA 재료비_05-07-18 06년 HA 재료비_41184_개발회의(week21)_KMS-350" xfId="2569" xr:uid="{00000000-0005-0000-0000-0000090A0000}"/>
    <cellStyle name="7_재료비CM350_1216_mini재료비-041001_05-07-05 06년재료비_41184_05-07-18 06년 HA 재료비_05-08-29 9월1주차HA_41184_김정" xfId="2570" xr:uid="{00000000-0005-0000-0000-00000A0A0000}"/>
    <cellStyle name="7_재료비CM350_1216_mini재료비-041001_05-07-05 06년재료비_41184_05-07-18 06년 HA 재료비_05-08-29 9월1주차HA_41184_김정_개발회의(week21)_KMS-350" xfId="2571" xr:uid="{00000000-0005-0000-0000-00000B0A0000}"/>
    <cellStyle name="7_재료비CM350_1216_mini재료비-041001_05-07-05 06년재료비_41184_05-07-18 06년 HA 재료비_41184" xfId="2572" xr:uid="{00000000-0005-0000-0000-00000C0A0000}"/>
    <cellStyle name="7_재료비CM350_1216_mini재료비-041001_05-07-05 06년재료비_41184_05-07-18 06년 HA 재료비_41184_05-08-29 9월1주차HA_41184_김정" xfId="2573" xr:uid="{00000000-0005-0000-0000-00000D0A0000}"/>
    <cellStyle name="7_재료비CM350_1216_mini재료비-041001_05-07-05 06년재료비_41184_05-07-18 06년 HA 재료비_41184_05-08-29 9월1주차HA_41184_김정_개발회의(week21)_KMS-350" xfId="2574" xr:uid="{00000000-0005-0000-0000-00000E0A0000}"/>
    <cellStyle name="7_재료비CM350_1216_mini재료비-041001_05-07-05 06년재료비_41184_05-07-18 06년 HA 재료비_41184_개발회의(week21)_KMS-350" xfId="2575" xr:uid="{00000000-0005-0000-0000-00000F0A0000}"/>
    <cellStyle name="7_재료비CM350_1216_mini재료비-041001_05-07-05 06년재료비_41184_05-07-18 06년 HA 재료비_개발회의(week21)_KMS-350" xfId="2576" xr:uid="{00000000-0005-0000-0000-0000100A0000}"/>
    <cellStyle name="7_재료비CM350_1216_mini재료비-041001_05-07-05 06년재료비_41184_05-07-23 06년 HA 재료비" xfId="2577" xr:uid="{00000000-0005-0000-0000-0000110A0000}"/>
    <cellStyle name="7_재료비CM350_1216_mini재료비-041001_05-07-05 06년재료비_41184_05-07-23 06년 HA 재료비_05-08-29 9월1주차HA_41184_김정" xfId="2578" xr:uid="{00000000-0005-0000-0000-0000120A0000}"/>
    <cellStyle name="7_재료비CM350_1216_mini재료비-041001_05-07-05 06년재료비_41184_05-07-23 06년 HA 재료비_05-08-29 9월1주차HA_41184_김정_개발회의(week21)_KMS-350" xfId="2579" xr:uid="{00000000-0005-0000-0000-0000130A0000}"/>
    <cellStyle name="7_재료비CM350_1216_mini재료비-041001_05-07-05 06년재료비_41184_05-07-23 06년 HA 재료비_개발회의(week21)_KMS-350" xfId="2580" xr:uid="{00000000-0005-0000-0000-0000140A0000}"/>
    <cellStyle name="7_재료비CM350_1216_mini재료비-041001_05-07-05 06년재료비_41184_05-07-25 06년 HA 재료비_H2000" xfId="2581" xr:uid="{00000000-0005-0000-0000-0000150A0000}"/>
    <cellStyle name="7_재료비CM350_1216_mini재료비-041001_05-07-05 06년재료비_41184_05-07-25 06년 HA 재료비_H2000_05-08-29 9월1주차HA_41184_김정" xfId="2582" xr:uid="{00000000-0005-0000-0000-0000160A0000}"/>
    <cellStyle name="7_재료비CM350_1216_mini재료비-041001_05-07-05 06년재료비_41184_05-07-25 06년 HA 재료비_H2000_05-08-29 9월1주차HA_41184_김정_개발회의(week21)_KMS-350" xfId="2583" xr:uid="{00000000-0005-0000-0000-0000170A0000}"/>
    <cellStyle name="7_재료비CM350_1216_mini재료비-041001_05-07-05 06년재료비_41184_05-07-25 06년 HA 재료비_H2000_개발회의(week21)_KMS-350" xfId="2584" xr:uid="{00000000-0005-0000-0000-0000180A0000}"/>
    <cellStyle name="7_재료비CM350_1216_mini재료비-041001_05-07-05 06년재료비_41184_05-07-26 06년 HA 재료비_41184" xfId="2585" xr:uid="{00000000-0005-0000-0000-0000190A0000}"/>
    <cellStyle name="7_재료비CM350_1216_mini재료비-041001_05-07-05 06년재료비_41184_05-07-26 06년 HA 재료비_41184_05-08-29 9월1주차HA_41184_김정" xfId="2586" xr:uid="{00000000-0005-0000-0000-00001A0A0000}"/>
    <cellStyle name="7_재료비CM350_1216_mini재료비-041001_05-07-05 06년재료비_41184_05-07-26 06년 HA 재료비_41184_05-08-29 9월1주차HA_41184_김정_개발회의(week21)_KMS-350" xfId="2587" xr:uid="{00000000-0005-0000-0000-00001B0A0000}"/>
    <cellStyle name="7_재료비CM350_1216_mini재료비-041001_05-07-05 06년재료비_41184_05-07-26 06년 HA 재료비_41184_개발회의(week21)_KMS-350" xfId="2588" xr:uid="{00000000-0005-0000-0000-00001C0A0000}"/>
    <cellStyle name="7_재료비CM350_1216_mini재료비-041001_05-07-05 06년재료비_41184_05-07-26 06년 HA 재료비1" xfId="2589" xr:uid="{00000000-0005-0000-0000-00001D0A0000}"/>
    <cellStyle name="7_재료비CM350_1216_mini재료비-041001_05-07-05 06년재료비_41184_05-07-26 06년 HA 재료비1_05-08-29 9월1주차HA_41184_김정" xfId="2590" xr:uid="{00000000-0005-0000-0000-00001E0A0000}"/>
    <cellStyle name="7_재료비CM350_1216_mini재료비-041001_05-07-05 06년재료비_41184_05-07-26 06년 HA 재료비1_05-08-29 9월1주차HA_41184_김정_개발회의(week21)_KMS-350" xfId="2591" xr:uid="{00000000-0005-0000-0000-00001F0A0000}"/>
    <cellStyle name="7_재료비CM350_1216_mini재료비-041001_05-07-05 06년재료비_41184_05-07-26 06년 HA 재료비1_개발회의(week21)_KMS-350" xfId="2592" xr:uid="{00000000-0005-0000-0000-0000200A0000}"/>
    <cellStyle name="7_재료비CM350_1216_mini재료비-041001_05-07-05 06년재료비_41184_05-08-29 9월1주차HA_41184_김정" xfId="2593" xr:uid="{00000000-0005-0000-0000-0000210A0000}"/>
    <cellStyle name="7_재료비CM350_1216_mini재료비-041001_05-07-05 06년재료비_41184_05-08-29 9월1주차HA_41184_김정_개발회의(week21)_KMS-350" xfId="2594" xr:uid="{00000000-0005-0000-0000-0000220A0000}"/>
    <cellStyle name="7_재료비CM350_1216_mini재료비-041001_05-07-05 06년재료비_41184_개발회의(week21)_KMS-350" xfId="2595" xr:uid="{00000000-0005-0000-0000-0000230A0000}"/>
    <cellStyle name="7_재료비CM350_1216_mini재료비-041001_05-07-18 06년 HA 재료비_41184" xfId="2596" xr:uid="{00000000-0005-0000-0000-0000240A0000}"/>
    <cellStyle name="7_재료비CM350_1216_mini재료비-041001_05-07-18 06년 HA 재료비_41184_05-08-29 9월1주차HA_41184_김정" xfId="2597" xr:uid="{00000000-0005-0000-0000-0000250A0000}"/>
    <cellStyle name="7_재료비CM350_1216_mini재료비-041001_05-07-18 06년 HA 재료비_41184_05-08-29 9월1주차HA_41184_김정_개발회의(week21)_KMS-350" xfId="2598" xr:uid="{00000000-0005-0000-0000-0000260A0000}"/>
    <cellStyle name="7_재료비CM350_1216_mini재료비-041001_05-07-18 06년 HA 재료비_41184_개발회의(week21)_KMS-350" xfId="2599" xr:uid="{00000000-0005-0000-0000-0000270A0000}"/>
    <cellStyle name="7_재료비CM350_1216_mini재료비-041001_05-08-29 9월1주차HA_41184_김정" xfId="2600" xr:uid="{00000000-0005-0000-0000-0000280A0000}"/>
    <cellStyle name="7_재료비CM350_1216_mini재료비-041001_05-08-29 9월1주차HA_41184_김정_개발회의(week21)_KMS-350" xfId="2601" xr:uid="{00000000-0005-0000-0000-0000290A0000}"/>
    <cellStyle name="7_재료비CM350_1216_mini재료비-041001_개발회의(week21)_KMS-350" xfId="2602" xr:uid="{00000000-0005-0000-0000-00002A0A0000}"/>
    <cellStyle name="7_재료비CM350_1216_개발회의(week21)_KMS-350" xfId="2314" xr:uid="{00000000-0005-0000-0000-00000A090000}"/>
    <cellStyle name="7_재료비CM350_1216_자재비절감(회의)-050110_63342" xfId="2315" xr:uid="{00000000-0005-0000-0000-00000B090000}"/>
    <cellStyle name="7_재료비CM350_1216_자재비절감(회의)-050110_63342_05-07-01 06년재료비" xfId="2316" xr:uid="{00000000-0005-0000-0000-00000C090000}"/>
    <cellStyle name="7_재료비CM350_1216_자재비절감(회의)-050110_63342_05-07-01 06년재료비_(Q80)05-07-12 06년재료비" xfId="2317" xr:uid="{00000000-0005-0000-0000-00000D090000}"/>
    <cellStyle name="7_재료비CM350_1216_자재비절감(회의)-050110_63342_05-07-01 06년재료비_(Q80)05-07-12 06년재료비_05-07-18 06년 HA 재료비_41184" xfId="2318" xr:uid="{00000000-0005-0000-0000-00000E090000}"/>
    <cellStyle name="7_재료비CM350_1216_자재비절감(회의)-050110_63342_05-07-01 06년재료비_(Q80)05-07-12 06년재료비_05-07-18 06년 HA 재료비_41184_05-08-29 9월1주차HA_41184_김정" xfId="2319" xr:uid="{00000000-0005-0000-0000-00000F090000}"/>
    <cellStyle name="7_재료비CM350_1216_자재비절감(회의)-050110_63342_05-07-01 06년재료비_(Q80)05-07-12 06년재료비_05-07-18 06년 HA 재료비_41184_05-08-29 9월1주차HA_41184_김정_개발회의(week21)_KMS-350" xfId="2320" xr:uid="{00000000-0005-0000-0000-000010090000}"/>
    <cellStyle name="7_재료비CM350_1216_자재비절감(회의)-050110_63342_05-07-01 06년재료비_(Q80)05-07-12 06년재료비_05-07-18 06년 HA 재료비_41184_개발회의(week21)_KMS-350" xfId="2321" xr:uid="{00000000-0005-0000-0000-000011090000}"/>
    <cellStyle name="7_재료비CM350_1216_자재비절감(회의)-050110_63342_05-07-01 06년재료비_(Q80)05-07-12 06년재료비_05-08-29 9월1주차HA_41184_김정" xfId="2322" xr:uid="{00000000-0005-0000-0000-000012090000}"/>
    <cellStyle name="7_재료비CM350_1216_자재비절감(회의)-050110_63342_05-07-01 06년재료비_(Q80)05-07-12 06년재료비_05-08-29 9월1주차HA_41184_김정_개발회의(week21)_KMS-350" xfId="2323" xr:uid="{00000000-0005-0000-0000-000013090000}"/>
    <cellStyle name="7_재료비CM350_1216_자재비절감(회의)-050110_63342_05-07-01 06년재료비_(Q80)05-07-12 06년재료비_개발회의(week21)_KMS-350" xfId="2324" xr:uid="{00000000-0005-0000-0000-000014090000}"/>
    <cellStyle name="7_재료비CM350_1216_자재비절감(회의)-050110_63342_05-07-01 06년재료비_(R1500)05-07-19 재료비" xfId="2325" xr:uid="{00000000-0005-0000-0000-000015090000}"/>
    <cellStyle name="7_재료비CM350_1216_자재비절감(회의)-050110_63342_05-07-01 06년재료비_(R1500)05-07-19 재료비_05-08-29 9월1주차HA_41184_김정" xfId="2326" xr:uid="{00000000-0005-0000-0000-000016090000}"/>
    <cellStyle name="7_재료비CM350_1216_자재비절감(회의)-050110_63342_05-07-01 06년재료비_(R1500)05-07-19 재료비_05-08-29 9월1주차HA_41184_김정_개발회의(week21)_KMS-350" xfId="2327" xr:uid="{00000000-0005-0000-0000-000017090000}"/>
    <cellStyle name="7_재료비CM350_1216_자재비절감(회의)-050110_63342_05-07-01 06년재료비_(R1500)05-07-19 재료비_개발회의(week21)_KMS-350" xfId="2328" xr:uid="{00000000-0005-0000-0000-000018090000}"/>
    <cellStyle name="7_재료비CM350_1216_자재비절감(회의)-050110_63342_05-07-01 06년재료비_05-07-12 06년재료비(Q120)" xfId="2329" xr:uid="{00000000-0005-0000-0000-000019090000}"/>
    <cellStyle name="7_재료비CM350_1216_자재비절감(회의)-050110_63342_05-07-01 06년재료비_05-07-12 06년재료비(Q120)_05-07-18 06년 HA 재료비_41184" xfId="2330" xr:uid="{00000000-0005-0000-0000-00001A090000}"/>
    <cellStyle name="7_재료비CM350_1216_자재비절감(회의)-050110_63342_05-07-01 06년재료비_05-07-12 06년재료비(Q120)_05-07-18 06년 HA 재료비_41184_05-08-29 9월1주차HA_41184_김정" xfId="2331" xr:uid="{00000000-0005-0000-0000-00001B090000}"/>
    <cellStyle name="7_재료비CM350_1216_자재비절감(회의)-050110_63342_05-07-01 06년재료비_05-07-12 06년재료비(Q120)_05-07-18 06년 HA 재료비_41184_05-08-29 9월1주차HA_41184_김정_개발회의(week21)_KMS-350" xfId="2332" xr:uid="{00000000-0005-0000-0000-00001C090000}"/>
    <cellStyle name="7_재료비CM350_1216_자재비절감(회의)-050110_63342_05-07-01 06년재료비_05-07-12 06년재료비(Q120)_05-07-18 06년 HA 재료비_41184_개발회의(week21)_KMS-350" xfId="2333" xr:uid="{00000000-0005-0000-0000-00001D090000}"/>
    <cellStyle name="7_재료비CM350_1216_자재비절감(회의)-050110_63342_05-07-01 06년재료비_05-07-12 06년재료비(Q120)_05-08-29 9월1주차HA_41184_김정" xfId="2334" xr:uid="{00000000-0005-0000-0000-00001E090000}"/>
    <cellStyle name="7_재료비CM350_1216_자재비절감(회의)-050110_63342_05-07-01 06년재료비_05-07-12 06년재료비(Q120)_05-08-29 9월1주차HA_41184_김정_개발회의(week21)_KMS-350" xfId="2335" xr:uid="{00000000-0005-0000-0000-00001F090000}"/>
    <cellStyle name="7_재료비CM350_1216_자재비절감(회의)-050110_63342_05-07-01 06년재료비_05-07-12 06년재료비(Q120)_개발회의(week21)_KMS-350" xfId="2336" xr:uid="{00000000-0005-0000-0000-000020090000}"/>
    <cellStyle name="7_재료비CM350_1216_자재비절감(회의)-050110_63342_05-07-01 06년재료비_05-07-14 06년재료비" xfId="2337" xr:uid="{00000000-0005-0000-0000-000021090000}"/>
    <cellStyle name="7_재료비CM350_1216_자재비절감(회의)-050110_63342_05-07-01 06년재료비_05-07-14 06년재료비_05-07-18 06년 HA 재료비_41184" xfId="2338" xr:uid="{00000000-0005-0000-0000-000022090000}"/>
    <cellStyle name="7_재료비CM350_1216_자재비절감(회의)-050110_63342_05-07-01 06년재료비_05-07-14 06년재료비_05-07-18 06년 HA 재료비_41184_05-08-29 9월1주차HA_41184_김정" xfId="2339" xr:uid="{00000000-0005-0000-0000-000023090000}"/>
    <cellStyle name="7_재료비CM350_1216_자재비절감(회의)-050110_63342_05-07-01 06년재료비_05-07-14 06년재료비_05-07-18 06년 HA 재료비_41184_05-08-29 9월1주차HA_41184_김정_개발회의(week21)_KMS-350" xfId="2340" xr:uid="{00000000-0005-0000-0000-000024090000}"/>
    <cellStyle name="7_재료비CM350_1216_자재비절감(회의)-050110_63342_05-07-01 06년재료비_05-07-14 06년재료비_05-07-18 06년 HA 재료비_41184_개발회의(week21)_KMS-350" xfId="2341" xr:uid="{00000000-0005-0000-0000-000025090000}"/>
    <cellStyle name="7_재료비CM350_1216_자재비절감(회의)-050110_63342_05-07-01 06년재료비_05-07-14 06년재료비_05-08-29 9월1주차HA_41184_김정" xfId="2342" xr:uid="{00000000-0005-0000-0000-000026090000}"/>
    <cellStyle name="7_재료비CM350_1216_자재비절감(회의)-050110_63342_05-07-01 06년재료비_05-07-14 06년재료비_05-08-29 9월1주차HA_41184_김정_개발회의(week21)_KMS-350" xfId="2343" xr:uid="{00000000-0005-0000-0000-000027090000}"/>
    <cellStyle name="7_재료비CM350_1216_자재비절감(회의)-050110_63342_05-07-01 06년재료비_05-07-14 06년재료비_개발회의(week21)_KMS-350" xfId="2344" xr:uid="{00000000-0005-0000-0000-000028090000}"/>
    <cellStyle name="7_재료비CM350_1216_자재비절감(회의)-050110_63342_05-07-01 06년재료비_05-07-15 06년재료비 기구스피커" xfId="2345" xr:uid="{00000000-0005-0000-0000-000029090000}"/>
    <cellStyle name="7_재료비CM350_1216_자재비절감(회의)-050110_63342_05-07-01 06년재료비_05-07-15 06년재료비 기구스피커_05-07-18 06년 HA 재료비_41184" xfId="2346" xr:uid="{00000000-0005-0000-0000-00002A090000}"/>
    <cellStyle name="7_재료비CM350_1216_자재비절감(회의)-050110_63342_05-07-01 06년재료비_05-07-15 06년재료비 기구스피커_05-07-18 06년 HA 재료비_41184_05-08-29 9월1주차HA_41184_김정" xfId="2347" xr:uid="{00000000-0005-0000-0000-00002B090000}"/>
    <cellStyle name="7_재료비CM350_1216_자재비절감(회의)-050110_63342_05-07-01 06년재료비_05-07-15 06년재료비 기구스피커_05-07-18 06년 HA 재료비_41184_05-08-29 9월1주차HA_41184_김정_개발회의(week21)_KMS-350" xfId="2348" xr:uid="{00000000-0005-0000-0000-00002C090000}"/>
    <cellStyle name="7_재료비CM350_1216_자재비절감(회의)-050110_63342_05-07-01 06년재료비_05-07-15 06년재료비 기구스피커_05-07-18 06년 HA 재료비_41184_개발회의(week21)_KMS-350" xfId="2349" xr:uid="{00000000-0005-0000-0000-00002D090000}"/>
    <cellStyle name="7_재료비CM350_1216_자재비절감(회의)-050110_63342_05-07-01 06년재료비_05-07-15 06년재료비 기구스피커_05-08-29 9월1주차HA_41184_김정" xfId="2350" xr:uid="{00000000-0005-0000-0000-00002E090000}"/>
    <cellStyle name="7_재료비CM350_1216_자재비절감(회의)-050110_63342_05-07-01 06년재료비_05-07-15 06년재료비 기구스피커_05-08-29 9월1주차HA_41184_김정_개발회의(week21)_KMS-350" xfId="2351" xr:uid="{00000000-0005-0000-0000-00002F090000}"/>
    <cellStyle name="7_재료비CM350_1216_자재비절감(회의)-050110_63342_05-07-01 06년재료비_05-07-15 06년재료비 기구스피커_개발회의(week21)_KMS-350" xfId="2352" xr:uid="{00000000-0005-0000-0000-000030090000}"/>
    <cellStyle name="7_재료비CM350_1216_자재비절감(회의)-050110_63342_05-07-01 06년재료비_05-07-18 06년 HA 재료비" xfId="2353" xr:uid="{00000000-0005-0000-0000-000031090000}"/>
    <cellStyle name="7_재료비CM350_1216_자재비절감(회의)-050110_63342_05-07-01 06년재료비_05-07-18 06년 HA 재료비_05-07-18 06년 HA 재료비_41184" xfId="2354" xr:uid="{00000000-0005-0000-0000-000032090000}"/>
    <cellStyle name="7_재료비CM350_1216_자재비절감(회의)-050110_63342_05-07-01 06년재료비_05-07-18 06년 HA 재료비_05-07-18 06년 HA 재료비_41184_05-08-29 9월1주차HA_41184_김정" xfId="2355" xr:uid="{00000000-0005-0000-0000-000033090000}"/>
    <cellStyle name="7_재료비CM350_1216_자재비절감(회의)-050110_63342_05-07-01 06년재료비_05-07-18 06년 HA 재료비_05-07-18 06년 HA 재료비_41184_05-08-29 9월1주차HA_41184_김정_개발회의(week21)_KMS-350" xfId="2356" xr:uid="{00000000-0005-0000-0000-000034090000}"/>
    <cellStyle name="7_재료비CM350_1216_자재비절감(회의)-050110_63342_05-07-01 06년재료비_05-07-18 06년 HA 재료비_05-07-18 06년 HA 재료비_41184_개발회의(week21)_KMS-350" xfId="2357" xr:uid="{00000000-0005-0000-0000-000035090000}"/>
    <cellStyle name="7_재료비CM350_1216_자재비절감(회의)-050110_63342_05-07-01 06년재료비_05-07-18 06년 HA 재료비_05-08-29 9월1주차HA_41184_김정" xfId="2358" xr:uid="{00000000-0005-0000-0000-000036090000}"/>
    <cellStyle name="7_재료비CM350_1216_자재비절감(회의)-050110_63342_05-07-01 06년재료비_05-07-18 06년 HA 재료비_05-08-29 9월1주차HA_41184_김정_개발회의(week21)_KMS-350" xfId="2359" xr:uid="{00000000-0005-0000-0000-000037090000}"/>
    <cellStyle name="7_재료비CM350_1216_자재비절감(회의)-050110_63342_05-07-01 06년재료비_05-07-18 06년 HA 재료비_41184" xfId="2360" xr:uid="{00000000-0005-0000-0000-000038090000}"/>
    <cellStyle name="7_재료비CM350_1216_자재비절감(회의)-050110_63342_05-07-01 06년재료비_05-07-18 06년 HA 재료비_41184_05-08-29 9월1주차HA_41184_김정" xfId="2361" xr:uid="{00000000-0005-0000-0000-000039090000}"/>
    <cellStyle name="7_재료비CM350_1216_자재비절감(회의)-050110_63342_05-07-01 06년재료비_05-07-18 06년 HA 재료비_41184_05-08-29 9월1주차HA_41184_김정_개발회의(week21)_KMS-350" xfId="2362" xr:uid="{00000000-0005-0000-0000-00003A090000}"/>
    <cellStyle name="7_재료비CM350_1216_자재비절감(회의)-050110_63342_05-07-01 06년재료비_05-07-18 06년 HA 재료비_41184_개발회의(week21)_KMS-350" xfId="2363" xr:uid="{00000000-0005-0000-0000-00003B090000}"/>
    <cellStyle name="7_재료비CM350_1216_자재비절감(회의)-050110_63342_05-07-01 06년재료비_05-07-18 06년 HA 재료비_개발회의(week21)_KMS-350" xfId="2364" xr:uid="{00000000-0005-0000-0000-00003C090000}"/>
    <cellStyle name="7_재료비CM350_1216_자재비절감(회의)-050110_63342_05-07-01 06년재료비_05-07-23 06년 HA 재료비" xfId="2365" xr:uid="{00000000-0005-0000-0000-00003D090000}"/>
    <cellStyle name="7_재료비CM350_1216_자재비절감(회의)-050110_63342_05-07-01 06년재료비_05-07-23 06년 HA 재료비_05-08-29 9월1주차HA_41184_김정" xfId="2366" xr:uid="{00000000-0005-0000-0000-00003E090000}"/>
    <cellStyle name="7_재료비CM350_1216_자재비절감(회의)-050110_63342_05-07-01 06년재료비_05-07-23 06년 HA 재료비_05-08-29 9월1주차HA_41184_김정_개발회의(week21)_KMS-350" xfId="2367" xr:uid="{00000000-0005-0000-0000-00003F090000}"/>
    <cellStyle name="7_재료비CM350_1216_자재비절감(회의)-050110_63342_05-07-01 06년재료비_05-07-23 06년 HA 재료비_개발회의(week21)_KMS-350" xfId="2368" xr:uid="{00000000-0005-0000-0000-000040090000}"/>
    <cellStyle name="7_재료비CM350_1216_자재비절감(회의)-050110_63342_05-07-01 06년재료비_05-07-25 06년 HA 재료비_H2000" xfId="2369" xr:uid="{00000000-0005-0000-0000-000041090000}"/>
    <cellStyle name="7_재료비CM350_1216_자재비절감(회의)-050110_63342_05-07-01 06년재료비_05-07-25 06년 HA 재료비_H2000_05-08-29 9월1주차HA_41184_김정" xfId="2370" xr:uid="{00000000-0005-0000-0000-000042090000}"/>
    <cellStyle name="7_재료비CM350_1216_자재비절감(회의)-050110_63342_05-07-01 06년재료비_05-07-25 06년 HA 재료비_H2000_05-08-29 9월1주차HA_41184_김정_개발회의(week21)_KMS-350" xfId="2371" xr:uid="{00000000-0005-0000-0000-000043090000}"/>
    <cellStyle name="7_재료비CM350_1216_자재비절감(회의)-050110_63342_05-07-01 06년재료비_05-07-25 06년 HA 재료비_H2000_개발회의(week21)_KMS-350" xfId="2372" xr:uid="{00000000-0005-0000-0000-000044090000}"/>
    <cellStyle name="7_재료비CM350_1216_자재비절감(회의)-050110_63342_05-07-01 06년재료비_05-07-26 06년 HA 재료비_41184" xfId="2373" xr:uid="{00000000-0005-0000-0000-000045090000}"/>
    <cellStyle name="7_재료비CM350_1216_자재비절감(회의)-050110_63342_05-07-01 06년재료비_05-07-26 06년 HA 재료비_41184_05-08-29 9월1주차HA_41184_김정" xfId="2374" xr:uid="{00000000-0005-0000-0000-000046090000}"/>
    <cellStyle name="7_재료비CM350_1216_자재비절감(회의)-050110_63342_05-07-01 06년재료비_05-07-26 06년 HA 재료비_41184_05-08-29 9월1주차HA_41184_김정_개발회의(week21)_KMS-350" xfId="2375" xr:uid="{00000000-0005-0000-0000-000047090000}"/>
    <cellStyle name="7_재료비CM350_1216_자재비절감(회의)-050110_63342_05-07-01 06년재료비_05-07-26 06년 HA 재료비_41184_개발회의(week21)_KMS-350" xfId="2376" xr:uid="{00000000-0005-0000-0000-000048090000}"/>
    <cellStyle name="7_재료비CM350_1216_자재비절감(회의)-050110_63342_05-07-01 06년재료비_05-07-26 06년 HA 재료비1" xfId="2377" xr:uid="{00000000-0005-0000-0000-000049090000}"/>
    <cellStyle name="7_재료비CM350_1216_자재비절감(회의)-050110_63342_05-07-01 06년재료비_05-07-26 06년 HA 재료비1_05-08-29 9월1주차HA_41184_김정" xfId="2378" xr:uid="{00000000-0005-0000-0000-00004A090000}"/>
    <cellStyle name="7_재료비CM350_1216_자재비절감(회의)-050110_63342_05-07-01 06년재료비_05-07-26 06년 HA 재료비1_05-08-29 9월1주차HA_41184_김정_개발회의(week21)_KMS-350" xfId="2379" xr:uid="{00000000-0005-0000-0000-00004B090000}"/>
    <cellStyle name="7_재료비CM350_1216_자재비절감(회의)-050110_63342_05-07-01 06년재료비_05-07-26 06년 HA 재료비1_개발회의(week21)_KMS-350" xfId="2380" xr:uid="{00000000-0005-0000-0000-00004C090000}"/>
    <cellStyle name="7_재료비CM350_1216_자재비절감(회의)-050110_63342_05-07-01 06년재료비_05-08-29 9월1주차HA_41184_김정" xfId="2381" xr:uid="{00000000-0005-0000-0000-00004D090000}"/>
    <cellStyle name="7_재료비CM350_1216_자재비절감(회의)-050110_63342_05-07-01 06년재료비_05-08-29 9월1주차HA_41184_김정_개발회의(week21)_KMS-350" xfId="2382" xr:uid="{00000000-0005-0000-0000-00004E090000}"/>
    <cellStyle name="7_재료비CM350_1216_자재비절감(회의)-050110_63342_05-07-01 06년재료비_개발회의(week21)_KMS-350" xfId="2383" xr:uid="{00000000-0005-0000-0000-00004F090000}"/>
    <cellStyle name="7_재료비CM350_1216_자재비절감(회의)-050110_63342_05-07-05 06년재료비_41184" xfId="2384" xr:uid="{00000000-0005-0000-0000-000050090000}"/>
    <cellStyle name="7_재료비CM350_1216_자재비절감(회의)-050110_63342_05-07-05 06년재료비_41184_(Q80)05-07-12 06년재료비" xfId="2385" xr:uid="{00000000-0005-0000-0000-000051090000}"/>
    <cellStyle name="7_재료비CM350_1216_자재비절감(회의)-050110_63342_05-07-05 06년재료비_41184_(Q80)05-07-12 06년재료비_05-07-18 06년 HA 재료비_41184" xfId="2386" xr:uid="{00000000-0005-0000-0000-000052090000}"/>
    <cellStyle name="7_재료비CM350_1216_자재비절감(회의)-050110_63342_05-07-05 06년재료비_41184_(Q80)05-07-12 06년재료비_05-07-18 06년 HA 재료비_41184_05-08-29 9월1주차HA_41184_김정" xfId="2387" xr:uid="{00000000-0005-0000-0000-000053090000}"/>
    <cellStyle name="7_재료비CM350_1216_자재비절감(회의)-050110_63342_05-07-05 06년재료비_41184_(Q80)05-07-12 06년재료비_05-07-18 06년 HA 재료비_41184_05-08-29 9월1주차HA_41184_김정_개발회의(week21)_KMS-350" xfId="2388" xr:uid="{00000000-0005-0000-0000-000054090000}"/>
    <cellStyle name="7_재료비CM350_1216_자재비절감(회의)-050110_63342_05-07-05 06년재료비_41184_(Q80)05-07-12 06년재료비_05-07-18 06년 HA 재료비_41184_개발회의(week21)_KMS-350" xfId="2389" xr:uid="{00000000-0005-0000-0000-000055090000}"/>
    <cellStyle name="7_재료비CM350_1216_자재비절감(회의)-050110_63342_05-07-05 06년재료비_41184_(Q80)05-07-12 06년재료비_05-08-29 9월1주차HA_41184_김정" xfId="2390" xr:uid="{00000000-0005-0000-0000-000056090000}"/>
    <cellStyle name="7_재료비CM350_1216_자재비절감(회의)-050110_63342_05-07-05 06년재료비_41184_(Q80)05-07-12 06년재료비_05-08-29 9월1주차HA_41184_김정_개발회의(week21)_KMS-350" xfId="2391" xr:uid="{00000000-0005-0000-0000-000057090000}"/>
    <cellStyle name="7_재료비CM350_1216_자재비절감(회의)-050110_63342_05-07-05 06년재료비_41184_(Q80)05-07-12 06년재료비_개발회의(week21)_KMS-350" xfId="2392" xr:uid="{00000000-0005-0000-0000-000058090000}"/>
    <cellStyle name="7_재료비CM350_1216_자재비절감(회의)-050110_63342_05-07-05 06년재료비_41184_(R1500)05-07-19 재료비" xfId="2393" xr:uid="{00000000-0005-0000-0000-000059090000}"/>
    <cellStyle name="7_재료비CM350_1216_자재비절감(회의)-050110_63342_05-07-05 06년재료비_41184_(R1500)05-07-19 재료비_05-08-29 9월1주차HA_41184_김정" xfId="2394" xr:uid="{00000000-0005-0000-0000-00005A090000}"/>
    <cellStyle name="7_재료비CM350_1216_자재비절감(회의)-050110_63342_05-07-05 06년재료비_41184_(R1500)05-07-19 재료비_05-08-29 9월1주차HA_41184_김정_개발회의(week21)_KMS-350" xfId="2395" xr:uid="{00000000-0005-0000-0000-00005B090000}"/>
    <cellStyle name="7_재료비CM350_1216_자재비절감(회의)-050110_63342_05-07-05 06년재료비_41184_(R1500)05-07-19 재료비_개발회의(week21)_KMS-350" xfId="2396" xr:uid="{00000000-0005-0000-0000-00005C090000}"/>
    <cellStyle name="7_재료비CM350_1216_자재비절감(회의)-050110_63342_05-07-05 06년재료비_41184_05-07-12 06년재료비(Q120)" xfId="2397" xr:uid="{00000000-0005-0000-0000-00005D090000}"/>
    <cellStyle name="7_재료비CM350_1216_자재비절감(회의)-050110_63342_05-07-05 06년재료비_41184_05-07-12 06년재료비(Q120)_05-07-18 06년 HA 재료비_41184" xfId="2398" xr:uid="{00000000-0005-0000-0000-00005E090000}"/>
    <cellStyle name="7_재료비CM350_1216_자재비절감(회의)-050110_63342_05-07-05 06년재료비_41184_05-07-12 06년재료비(Q120)_05-07-18 06년 HA 재료비_41184_05-08-29 9월1주차HA_41184_김정" xfId="2399" xr:uid="{00000000-0005-0000-0000-00005F090000}"/>
    <cellStyle name="7_재료비CM350_1216_자재비절감(회의)-050110_63342_05-07-05 06년재료비_41184_05-07-12 06년재료비(Q120)_05-07-18 06년 HA 재료비_41184_05-08-29 9월1주차HA_41184_김정_개발회의(week21)_KMS-350" xfId="2400" xr:uid="{00000000-0005-0000-0000-000060090000}"/>
    <cellStyle name="7_재료비CM350_1216_자재비절감(회의)-050110_63342_05-07-05 06년재료비_41184_05-07-12 06년재료비(Q120)_05-07-18 06년 HA 재료비_41184_개발회의(week21)_KMS-350" xfId="2401" xr:uid="{00000000-0005-0000-0000-000061090000}"/>
    <cellStyle name="7_재료비CM350_1216_자재비절감(회의)-050110_63342_05-07-05 06년재료비_41184_05-07-12 06년재료비(Q120)_05-08-29 9월1주차HA_41184_김정" xfId="2402" xr:uid="{00000000-0005-0000-0000-000062090000}"/>
    <cellStyle name="7_재료비CM350_1216_자재비절감(회의)-050110_63342_05-07-05 06년재료비_41184_05-07-12 06년재료비(Q120)_05-08-29 9월1주차HA_41184_김정_개발회의(week21)_KMS-350" xfId="2403" xr:uid="{00000000-0005-0000-0000-000063090000}"/>
    <cellStyle name="7_재료비CM350_1216_자재비절감(회의)-050110_63342_05-07-05 06년재료비_41184_05-07-12 06년재료비(Q120)_개발회의(week21)_KMS-350" xfId="2404" xr:uid="{00000000-0005-0000-0000-000064090000}"/>
    <cellStyle name="7_재료비CM350_1216_자재비절감(회의)-050110_63342_05-07-05 06년재료비_41184_05-07-14 06년재료비" xfId="2405" xr:uid="{00000000-0005-0000-0000-000065090000}"/>
    <cellStyle name="7_재료비CM350_1216_자재비절감(회의)-050110_63342_05-07-05 06년재료비_41184_05-07-14 06년재료비_05-07-18 06년 HA 재료비_41184" xfId="2406" xr:uid="{00000000-0005-0000-0000-000066090000}"/>
    <cellStyle name="7_재료비CM350_1216_자재비절감(회의)-050110_63342_05-07-05 06년재료비_41184_05-07-14 06년재료비_05-07-18 06년 HA 재료비_41184_05-08-29 9월1주차HA_41184_김정" xfId="2407" xr:uid="{00000000-0005-0000-0000-000067090000}"/>
    <cellStyle name="7_재료비CM350_1216_자재비절감(회의)-050110_63342_05-07-05 06년재료비_41184_05-07-14 06년재료비_05-07-18 06년 HA 재료비_41184_05-08-29 9월1주차HA_41184_김정_개발회의(week21)_KMS-350" xfId="2408" xr:uid="{00000000-0005-0000-0000-000068090000}"/>
    <cellStyle name="7_재료비CM350_1216_자재비절감(회의)-050110_63342_05-07-05 06년재료비_41184_05-07-14 06년재료비_05-07-18 06년 HA 재료비_41184_개발회의(week21)_KMS-350" xfId="2409" xr:uid="{00000000-0005-0000-0000-000069090000}"/>
    <cellStyle name="7_재료비CM350_1216_자재비절감(회의)-050110_63342_05-07-05 06년재료비_41184_05-07-14 06년재료비_05-08-29 9월1주차HA_41184_김정" xfId="2410" xr:uid="{00000000-0005-0000-0000-00006A090000}"/>
    <cellStyle name="7_재료비CM350_1216_자재비절감(회의)-050110_63342_05-07-05 06년재료비_41184_05-07-14 06년재료비_05-08-29 9월1주차HA_41184_김정_개발회의(week21)_KMS-350" xfId="2411" xr:uid="{00000000-0005-0000-0000-00006B090000}"/>
    <cellStyle name="7_재료비CM350_1216_자재비절감(회의)-050110_63342_05-07-05 06년재료비_41184_05-07-14 06년재료비_개발회의(week21)_KMS-350" xfId="2412" xr:uid="{00000000-0005-0000-0000-00006C090000}"/>
    <cellStyle name="7_재료비CM350_1216_자재비절감(회의)-050110_63342_05-07-05 06년재료비_41184_05-07-15 06년재료비 기구스피커" xfId="2413" xr:uid="{00000000-0005-0000-0000-00006D090000}"/>
    <cellStyle name="7_재료비CM350_1216_자재비절감(회의)-050110_63342_05-07-05 06년재료비_41184_05-07-15 06년재료비 기구스피커_05-07-18 06년 HA 재료비_41184" xfId="2414" xr:uid="{00000000-0005-0000-0000-00006E090000}"/>
    <cellStyle name="7_재료비CM350_1216_자재비절감(회의)-050110_63342_05-07-05 06년재료비_41184_05-07-15 06년재료비 기구스피커_05-07-18 06년 HA 재료비_41184_05-08-29 9월1주차HA_41184_김정" xfId="2415" xr:uid="{00000000-0005-0000-0000-00006F090000}"/>
    <cellStyle name="7_재료비CM350_1216_자재비절감(회의)-050110_63342_05-07-05 06년재료비_41184_05-07-15 06년재료비 기구스피커_05-07-18 06년 HA 재료비_41184_05-08-29 9월1주차HA_41184_김정_개발회의(week21)_KMS-350" xfId="2416" xr:uid="{00000000-0005-0000-0000-000070090000}"/>
    <cellStyle name="7_재료비CM350_1216_자재비절감(회의)-050110_63342_05-07-05 06년재료비_41184_05-07-15 06년재료비 기구스피커_05-07-18 06년 HA 재료비_41184_개발회의(week21)_KMS-350" xfId="2417" xr:uid="{00000000-0005-0000-0000-000071090000}"/>
    <cellStyle name="7_재료비CM350_1216_자재비절감(회의)-050110_63342_05-07-05 06년재료비_41184_05-07-15 06년재료비 기구스피커_05-08-29 9월1주차HA_41184_김정" xfId="2418" xr:uid="{00000000-0005-0000-0000-000072090000}"/>
    <cellStyle name="7_재료비CM350_1216_자재비절감(회의)-050110_63342_05-07-05 06년재료비_41184_05-07-15 06년재료비 기구스피커_05-08-29 9월1주차HA_41184_김정_개발회의(week21)_KMS-350" xfId="2419" xr:uid="{00000000-0005-0000-0000-000073090000}"/>
    <cellStyle name="7_재료비CM350_1216_자재비절감(회의)-050110_63342_05-07-05 06년재료비_41184_05-07-15 06년재료비 기구스피커_개발회의(week21)_KMS-350" xfId="2420" xr:uid="{00000000-0005-0000-0000-000074090000}"/>
    <cellStyle name="7_재료비CM350_1216_자재비절감(회의)-050110_63342_05-07-05 06년재료비_41184_05-07-18 06년 HA 재료비" xfId="2421" xr:uid="{00000000-0005-0000-0000-000075090000}"/>
    <cellStyle name="7_재료비CM350_1216_자재비절감(회의)-050110_63342_05-07-05 06년재료비_41184_05-07-18 06년 HA 재료비_05-07-18 06년 HA 재료비_41184" xfId="2422" xr:uid="{00000000-0005-0000-0000-000076090000}"/>
    <cellStyle name="7_재료비CM350_1216_자재비절감(회의)-050110_63342_05-07-05 06년재료비_41184_05-07-18 06년 HA 재료비_05-07-18 06년 HA 재료비_41184_05-08-29 9월1주차HA_41184_김정" xfId="2423" xr:uid="{00000000-0005-0000-0000-000077090000}"/>
    <cellStyle name="7_재료비CM350_1216_자재비절감(회의)-050110_63342_05-07-05 06년재료비_41184_05-07-18 06년 HA 재료비_05-07-18 06년 HA 재료비_41184_05-08-29 9월1주차HA_41184_김정_개발회의(week21)_KMS-350" xfId="2424" xr:uid="{00000000-0005-0000-0000-000078090000}"/>
    <cellStyle name="7_재료비CM350_1216_자재비절감(회의)-050110_63342_05-07-05 06년재료비_41184_05-07-18 06년 HA 재료비_05-07-18 06년 HA 재료비_41184_개발회의(week21)_KMS-350" xfId="2425" xr:uid="{00000000-0005-0000-0000-000079090000}"/>
    <cellStyle name="7_재료비CM350_1216_자재비절감(회의)-050110_63342_05-07-05 06년재료비_41184_05-07-18 06년 HA 재료비_05-08-29 9월1주차HA_41184_김정" xfId="2426" xr:uid="{00000000-0005-0000-0000-00007A090000}"/>
    <cellStyle name="7_재료비CM350_1216_자재비절감(회의)-050110_63342_05-07-05 06년재료비_41184_05-07-18 06년 HA 재료비_05-08-29 9월1주차HA_41184_김정_개발회의(week21)_KMS-350" xfId="2427" xr:uid="{00000000-0005-0000-0000-00007B090000}"/>
    <cellStyle name="7_재료비CM350_1216_자재비절감(회의)-050110_63342_05-07-05 06년재료비_41184_05-07-18 06년 HA 재료비_41184" xfId="2428" xr:uid="{00000000-0005-0000-0000-00007C090000}"/>
    <cellStyle name="7_재료비CM350_1216_자재비절감(회의)-050110_63342_05-07-05 06년재료비_41184_05-07-18 06년 HA 재료비_41184_05-08-29 9월1주차HA_41184_김정" xfId="2429" xr:uid="{00000000-0005-0000-0000-00007D090000}"/>
    <cellStyle name="7_재료비CM350_1216_자재비절감(회의)-050110_63342_05-07-05 06년재료비_41184_05-07-18 06년 HA 재료비_41184_05-08-29 9월1주차HA_41184_김정_개발회의(week21)_KMS-350" xfId="2430" xr:uid="{00000000-0005-0000-0000-00007E090000}"/>
    <cellStyle name="7_재료비CM350_1216_자재비절감(회의)-050110_63342_05-07-05 06년재료비_41184_05-07-18 06년 HA 재료비_41184_개발회의(week21)_KMS-350" xfId="2431" xr:uid="{00000000-0005-0000-0000-00007F090000}"/>
    <cellStyle name="7_재료비CM350_1216_자재비절감(회의)-050110_63342_05-07-05 06년재료비_41184_05-07-18 06년 HA 재료비_개발회의(week21)_KMS-350" xfId="2432" xr:uid="{00000000-0005-0000-0000-000080090000}"/>
    <cellStyle name="7_재료비CM350_1216_자재비절감(회의)-050110_63342_05-07-05 06년재료비_41184_05-07-23 06년 HA 재료비" xfId="2433" xr:uid="{00000000-0005-0000-0000-000081090000}"/>
    <cellStyle name="7_재료비CM350_1216_자재비절감(회의)-050110_63342_05-07-05 06년재료비_41184_05-07-23 06년 HA 재료비_05-08-29 9월1주차HA_41184_김정" xfId="2434" xr:uid="{00000000-0005-0000-0000-000082090000}"/>
    <cellStyle name="7_재료비CM350_1216_자재비절감(회의)-050110_63342_05-07-05 06년재료비_41184_05-07-23 06년 HA 재료비_05-08-29 9월1주차HA_41184_김정_개발회의(week21)_KMS-350" xfId="2435" xr:uid="{00000000-0005-0000-0000-000083090000}"/>
    <cellStyle name="7_재료비CM350_1216_자재비절감(회의)-050110_63342_05-07-05 06년재료비_41184_05-07-23 06년 HA 재료비_개발회의(week21)_KMS-350" xfId="2436" xr:uid="{00000000-0005-0000-0000-000084090000}"/>
    <cellStyle name="7_재료비CM350_1216_자재비절감(회의)-050110_63342_05-07-05 06년재료비_41184_05-07-25 06년 HA 재료비_H2000" xfId="2437" xr:uid="{00000000-0005-0000-0000-000085090000}"/>
    <cellStyle name="7_재료비CM350_1216_자재비절감(회의)-050110_63342_05-07-05 06년재료비_41184_05-07-25 06년 HA 재료비_H2000_05-08-29 9월1주차HA_41184_김정" xfId="2438" xr:uid="{00000000-0005-0000-0000-000086090000}"/>
    <cellStyle name="7_재료비CM350_1216_자재비절감(회의)-050110_63342_05-07-05 06년재료비_41184_05-07-25 06년 HA 재료비_H2000_05-08-29 9월1주차HA_41184_김정_개발회의(week21)_KMS-350" xfId="2439" xr:uid="{00000000-0005-0000-0000-000087090000}"/>
    <cellStyle name="7_재료비CM350_1216_자재비절감(회의)-050110_63342_05-07-05 06년재료비_41184_05-07-25 06년 HA 재료비_H2000_개발회의(week21)_KMS-350" xfId="2440" xr:uid="{00000000-0005-0000-0000-000088090000}"/>
    <cellStyle name="7_재료비CM350_1216_자재비절감(회의)-050110_63342_05-07-05 06년재료비_41184_05-07-26 06년 HA 재료비_41184" xfId="2441" xr:uid="{00000000-0005-0000-0000-000089090000}"/>
    <cellStyle name="7_재료비CM350_1216_자재비절감(회의)-050110_63342_05-07-05 06년재료비_41184_05-07-26 06년 HA 재료비_41184_05-08-29 9월1주차HA_41184_김정" xfId="2442" xr:uid="{00000000-0005-0000-0000-00008A090000}"/>
    <cellStyle name="7_재료비CM350_1216_자재비절감(회의)-050110_63342_05-07-05 06년재료비_41184_05-07-26 06년 HA 재료비_41184_05-08-29 9월1주차HA_41184_김정_개발회의(week21)_KMS-350" xfId="2443" xr:uid="{00000000-0005-0000-0000-00008B090000}"/>
    <cellStyle name="7_재료비CM350_1216_자재비절감(회의)-050110_63342_05-07-05 06년재료비_41184_05-07-26 06년 HA 재료비_41184_개발회의(week21)_KMS-350" xfId="2444" xr:uid="{00000000-0005-0000-0000-00008C090000}"/>
    <cellStyle name="7_재료비CM350_1216_자재비절감(회의)-050110_63342_05-07-05 06년재료비_41184_05-07-26 06년 HA 재료비1" xfId="2445" xr:uid="{00000000-0005-0000-0000-00008D090000}"/>
    <cellStyle name="7_재료비CM350_1216_자재비절감(회의)-050110_63342_05-07-05 06년재료비_41184_05-07-26 06년 HA 재료비1_05-08-29 9월1주차HA_41184_김정" xfId="2446" xr:uid="{00000000-0005-0000-0000-00008E090000}"/>
    <cellStyle name="7_재료비CM350_1216_자재비절감(회의)-050110_63342_05-07-05 06년재료비_41184_05-07-26 06년 HA 재료비1_05-08-29 9월1주차HA_41184_김정_개발회의(week21)_KMS-350" xfId="2447" xr:uid="{00000000-0005-0000-0000-00008F090000}"/>
    <cellStyle name="7_재료비CM350_1216_자재비절감(회의)-050110_63342_05-07-05 06년재료비_41184_05-07-26 06년 HA 재료비1_개발회의(week21)_KMS-350" xfId="2448" xr:uid="{00000000-0005-0000-0000-000090090000}"/>
    <cellStyle name="7_재료비CM350_1216_자재비절감(회의)-050110_63342_05-07-05 06년재료비_41184_05-08-29 9월1주차HA_41184_김정" xfId="2449" xr:uid="{00000000-0005-0000-0000-000091090000}"/>
    <cellStyle name="7_재료비CM350_1216_자재비절감(회의)-050110_63342_05-07-05 06년재료비_41184_05-08-29 9월1주차HA_41184_김정_개발회의(week21)_KMS-350" xfId="2450" xr:uid="{00000000-0005-0000-0000-000092090000}"/>
    <cellStyle name="7_재료비CM350_1216_자재비절감(회의)-050110_63342_05-07-05 06년재료비_41184_개발회의(week21)_KMS-350" xfId="2451" xr:uid="{00000000-0005-0000-0000-000093090000}"/>
    <cellStyle name="7_재료비CM350_1216_자재비절감(회의)-050110_63342_05-07-18 06년 HA 재료비_41184" xfId="2452" xr:uid="{00000000-0005-0000-0000-000094090000}"/>
    <cellStyle name="7_재료비CM350_1216_자재비절감(회의)-050110_63342_05-07-18 06년 HA 재료비_41184_05-08-29 9월1주차HA_41184_김정" xfId="2453" xr:uid="{00000000-0005-0000-0000-000095090000}"/>
    <cellStyle name="7_재료비CM350_1216_자재비절감(회의)-050110_63342_05-07-18 06년 HA 재료비_41184_05-08-29 9월1주차HA_41184_김정_개발회의(week21)_KMS-350" xfId="2454" xr:uid="{00000000-0005-0000-0000-000096090000}"/>
    <cellStyle name="7_재료비CM350_1216_자재비절감(회의)-050110_63342_05-07-18 06년 HA 재료비_41184_개발회의(week21)_KMS-350" xfId="2455" xr:uid="{00000000-0005-0000-0000-000097090000}"/>
    <cellStyle name="7_재료비CM350_1216_자재비절감(회의)-050110_63342_05-08-29 9월1주차HA_41184_김정" xfId="2456" xr:uid="{00000000-0005-0000-0000-000098090000}"/>
    <cellStyle name="7_재료비CM350_1216_자재비절감(회의)-050110_63342_05-08-29 9월1주차HA_41184_김정_개발회의(week21)_KMS-350" xfId="2457" xr:uid="{00000000-0005-0000-0000-000099090000}"/>
    <cellStyle name="7_재료비CM350_1216_자재비절감(회의)-050110_63342_개발회의(week21)_KMS-350" xfId="2458" xr:uid="{00000000-0005-0000-0000-00009A090000}"/>
    <cellStyle name="Accent1" xfId="409" xr:uid="{00000000-0005-0000-0000-000099010000}"/>
    <cellStyle name="Accent2" xfId="410" xr:uid="{00000000-0005-0000-0000-00009A010000}"/>
    <cellStyle name="Accent3" xfId="411" xr:uid="{00000000-0005-0000-0000-00009B010000}"/>
    <cellStyle name="Accent4" xfId="412" xr:uid="{00000000-0005-0000-0000-00009C010000}"/>
    <cellStyle name="Accent5" xfId="413" xr:uid="{00000000-0005-0000-0000-00009D010000}"/>
    <cellStyle name="Accent6" xfId="414" xr:uid="{00000000-0005-0000-0000-00009E010000}"/>
    <cellStyle name="AeE­ [0]_  A¾  CO  " xfId="3836" xr:uid="{00000000-0005-0000-0000-0000FC0E0000}"/>
    <cellStyle name="AeE­_  A¾  CO  " xfId="3837" xr:uid="{00000000-0005-0000-0000-0000FD0E0000}"/>
    <cellStyle name="args.style" xfId="3838" xr:uid="{00000000-0005-0000-0000-0000FE0E0000}"/>
    <cellStyle name="args.style 10" xfId="3839" xr:uid="{00000000-0005-0000-0000-0000FF0E0000}"/>
    <cellStyle name="args.style 11" xfId="3840" xr:uid="{00000000-0005-0000-0000-0000000F0000}"/>
    <cellStyle name="args.style 12" xfId="3841" xr:uid="{00000000-0005-0000-0000-0000010F0000}"/>
    <cellStyle name="args.style 13" xfId="3842" xr:uid="{00000000-0005-0000-0000-0000020F0000}"/>
    <cellStyle name="args.style 14" xfId="3843" xr:uid="{00000000-0005-0000-0000-0000030F0000}"/>
    <cellStyle name="args.style 15" xfId="3844" xr:uid="{00000000-0005-0000-0000-0000040F0000}"/>
    <cellStyle name="args.style 16" xfId="3845" xr:uid="{00000000-0005-0000-0000-0000050F0000}"/>
    <cellStyle name="args.style 17" xfId="3846" xr:uid="{00000000-0005-0000-0000-0000060F0000}"/>
    <cellStyle name="args.style 18" xfId="3847" xr:uid="{00000000-0005-0000-0000-0000070F0000}"/>
    <cellStyle name="args.style 2" xfId="3848" xr:uid="{00000000-0005-0000-0000-0000080F0000}"/>
    <cellStyle name="args.style 3" xfId="3849" xr:uid="{00000000-0005-0000-0000-0000090F0000}"/>
    <cellStyle name="args.style 4" xfId="3850" xr:uid="{00000000-0005-0000-0000-00000A0F0000}"/>
    <cellStyle name="args.style 5" xfId="3851" xr:uid="{00000000-0005-0000-0000-00000B0F0000}"/>
    <cellStyle name="args.style 6" xfId="3852" xr:uid="{00000000-0005-0000-0000-00000C0F0000}"/>
    <cellStyle name="args.style 7" xfId="3853" xr:uid="{00000000-0005-0000-0000-00000D0F0000}"/>
    <cellStyle name="args.style 8" xfId="3854" xr:uid="{00000000-0005-0000-0000-00000E0F0000}"/>
    <cellStyle name="args.style 9" xfId="3855" xr:uid="{00000000-0005-0000-0000-00000F0F0000}"/>
    <cellStyle name="args.style_BMB_UGA NEXT(audio_DPP2 Ver1.0)2008.xx.xx" xfId="3856" xr:uid="{00000000-0005-0000-0000-0000100F0000}"/>
    <cellStyle name="AÞ¸¶ [0]_  A¾  CO  " xfId="3857" xr:uid="{00000000-0005-0000-0000-0000110F0000}"/>
    <cellStyle name="AÞ¸¶_  A¾  CO  " xfId="3858" xr:uid="{00000000-0005-0000-0000-0000120F0000}"/>
    <cellStyle name="Bad" xfId="415" xr:uid="{00000000-0005-0000-0000-00009F010000}"/>
    <cellStyle name="C￥AØ_  A¾  CO  " xfId="3859" xr:uid="{00000000-0005-0000-0000-0000130F0000}"/>
    <cellStyle name="Ç¥ÁØ_2-2" xfId="416" xr:uid="{00000000-0005-0000-0000-0000A0010000}"/>
    <cellStyle name="Calc Currency (0)" xfId="417" xr:uid="{00000000-0005-0000-0000-0000A1010000}"/>
    <cellStyle name="Calc Currency (2)" xfId="418" xr:uid="{00000000-0005-0000-0000-0000A2010000}"/>
    <cellStyle name="Calc Percent (0)" xfId="419" xr:uid="{00000000-0005-0000-0000-0000A3010000}"/>
    <cellStyle name="Calc Percent (1)" xfId="420" xr:uid="{00000000-0005-0000-0000-0000A4010000}"/>
    <cellStyle name="Calc Percent (2)" xfId="421" xr:uid="{00000000-0005-0000-0000-0000A5010000}"/>
    <cellStyle name="Calc Units (0)" xfId="422" xr:uid="{00000000-0005-0000-0000-0000A6010000}"/>
    <cellStyle name="Calc Units (1)" xfId="423" xr:uid="{00000000-0005-0000-0000-0000A7010000}"/>
    <cellStyle name="Calc Units (2)" xfId="424" xr:uid="{00000000-0005-0000-0000-0000A8010000}"/>
    <cellStyle name="Calculation" xfId="425" xr:uid="{00000000-0005-0000-0000-0000A9010000}"/>
    <cellStyle name="Calculation 2" xfId="7114" xr:uid="{00000000-0005-0000-0000-0000CA1B0000}"/>
    <cellStyle name="category" xfId="3860" xr:uid="{00000000-0005-0000-0000-0000140F0000}"/>
    <cellStyle name="category 10" xfId="3861" xr:uid="{00000000-0005-0000-0000-0000150F0000}"/>
    <cellStyle name="category 11" xfId="3862" xr:uid="{00000000-0005-0000-0000-0000160F0000}"/>
    <cellStyle name="category 12" xfId="3863" xr:uid="{00000000-0005-0000-0000-0000170F0000}"/>
    <cellStyle name="category 13" xfId="3864" xr:uid="{00000000-0005-0000-0000-0000180F0000}"/>
    <cellStyle name="category 14" xfId="3865" xr:uid="{00000000-0005-0000-0000-0000190F0000}"/>
    <cellStyle name="category 15" xfId="3866" xr:uid="{00000000-0005-0000-0000-00001A0F0000}"/>
    <cellStyle name="category 16" xfId="3867" xr:uid="{00000000-0005-0000-0000-00001B0F0000}"/>
    <cellStyle name="category 17" xfId="3868" xr:uid="{00000000-0005-0000-0000-00001C0F0000}"/>
    <cellStyle name="category 18" xfId="3869" xr:uid="{00000000-0005-0000-0000-00001D0F0000}"/>
    <cellStyle name="category 2" xfId="3870" xr:uid="{00000000-0005-0000-0000-00001E0F0000}"/>
    <cellStyle name="category 3" xfId="3871" xr:uid="{00000000-0005-0000-0000-00001F0F0000}"/>
    <cellStyle name="category 4" xfId="3872" xr:uid="{00000000-0005-0000-0000-0000200F0000}"/>
    <cellStyle name="category 5" xfId="3873" xr:uid="{00000000-0005-0000-0000-0000210F0000}"/>
    <cellStyle name="category 6" xfId="3874" xr:uid="{00000000-0005-0000-0000-0000220F0000}"/>
    <cellStyle name="category 7" xfId="3875" xr:uid="{00000000-0005-0000-0000-0000230F0000}"/>
    <cellStyle name="category 8" xfId="3876" xr:uid="{00000000-0005-0000-0000-0000240F0000}"/>
    <cellStyle name="category 9" xfId="3877" xr:uid="{00000000-0005-0000-0000-0000250F0000}"/>
    <cellStyle name="category_BMB_UGA NEXT(audio_DPP2 Ver1.0)2008.xx.xx" xfId="3878" xr:uid="{00000000-0005-0000-0000-0000260F0000}"/>
    <cellStyle name="cf1" xfId="233" xr:uid="{00000000-0005-0000-0000-0000E9000000}"/>
    <cellStyle name="cf2" xfId="234" xr:uid="{00000000-0005-0000-0000-0000EA000000}"/>
    <cellStyle name="cf3" xfId="235" xr:uid="{00000000-0005-0000-0000-0000EB000000}"/>
    <cellStyle name="Check Cell" xfId="426" xr:uid="{00000000-0005-0000-0000-0000AA010000}"/>
    <cellStyle name="Check Cell 2" xfId="7115" xr:uid="{00000000-0005-0000-0000-0000CB1B0000}"/>
    <cellStyle name="Comma" xfId="3879" xr:uid="{00000000-0005-0000-0000-0000270F0000}"/>
    <cellStyle name="Comma [0]_ SG&amp;A Bridge " xfId="427" xr:uid="{00000000-0005-0000-0000-0000AB010000}"/>
    <cellStyle name="Comma [00]" xfId="428" xr:uid="{00000000-0005-0000-0000-0000AC010000}"/>
    <cellStyle name="Comma 10" xfId="3880" xr:uid="{00000000-0005-0000-0000-0000280F0000}"/>
    <cellStyle name="Comma 11" xfId="3881" xr:uid="{00000000-0005-0000-0000-0000290F0000}"/>
    <cellStyle name="Comma 12" xfId="3882" xr:uid="{00000000-0005-0000-0000-00002A0F0000}"/>
    <cellStyle name="Comma 13" xfId="3883" xr:uid="{00000000-0005-0000-0000-00002B0F0000}"/>
    <cellStyle name="Comma 14" xfId="3884" xr:uid="{00000000-0005-0000-0000-00002C0F0000}"/>
    <cellStyle name="Comma 15" xfId="3885" xr:uid="{00000000-0005-0000-0000-00002D0F0000}"/>
    <cellStyle name="Comma 16" xfId="3886" xr:uid="{00000000-0005-0000-0000-00002E0F0000}"/>
    <cellStyle name="Comma 17" xfId="3887" xr:uid="{00000000-0005-0000-0000-00002F0F0000}"/>
    <cellStyle name="Comma 18" xfId="3888" xr:uid="{00000000-0005-0000-0000-0000300F0000}"/>
    <cellStyle name="Comma 2" xfId="3889" xr:uid="{00000000-0005-0000-0000-0000310F0000}"/>
    <cellStyle name="Comma 3" xfId="3890" xr:uid="{00000000-0005-0000-0000-0000320F0000}"/>
    <cellStyle name="Comma 4" xfId="3891" xr:uid="{00000000-0005-0000-0000-0000330F0000}"/>
    <cellStyle name="Comma 5" xfId="3892" xr:uid="{00000000-0005-0000-0000-0000340F0000}"/>
    <cellStyle name="Comma 6" xfId="3893" xr:uid="{00000000-0005-0000-0000-0000350F0000}"/>
    <cellStyle name="Comma 7" xfId="3894" xr:uid="{00000000-0005-0000-0000-0000360F0000}"/>
    <cellStyle name="Comma 8" xfId="3895" xr:uid="{00000000-0005-0000-0000-0000370F0000}"/>
    <cellStyle name="Comma 9" xfId="3896" xr:uid="{00000000-0005-0000-0000-0000380F0000}"/>
    <cellStyle name="Comma_ SG&amp;A Bridge " xfId="429" xr:uid="{00000000-0005-0000-0000-0000AD010000}"/>
    <cellStyle name="Currency [0]_ SG&amp;A Bridge " xfId="430" xr:uid="{00000000-0005-0000-0000-0000AE010000}"/>
    <cellStyle name="Currency [00]" xfId="431" xr:uid="{00000000-0005-0000-0000-0000AF010000}"/>
    <cellStyle name="Currency_ SG&amp;A Bridge " xfId="432" xr:uid="{00000000-0005-0000-0000-0000B0010000}"/>
    <cellStyle name="Currency1" xfId="433" xr:uid="{00000000-0005-0000-0000-0000B1010000}"/>
    <cellStyle name="Date Short" xfId="434" xr:uid="{00000000-0005-0000-0000-0000B2010000}"/>
    <cellStyle name="DELTA" xfId="435" xr:uid="{00000000-0005-0000-0000-0000B3010000}"/>
    <cellStyle name="E" xfId="3897" xr:uid="{00000000-0005-0000-0000-0000390F0000}"/>
    <cellStyle name="E 10" xfId="3898" xr:uid="{00000000-0005-0000-0000-00003A0F0000}"/>
    <cellStyle name="E 11" xfId="3899" xr:uid="{00000000-0005-0000-0000-00003B0F0000}"/>
    <cellStyle name="E 12" xfId="3900" xr:uid="{00000000-0005-0000-0000-00003C0F0000}"/>
    <cellStyle name="E 13" xfId="3901" xr:uid="{00000000-0005-0000-0000-00003D0F0000}"/>
    <cellStyle name="E 14" xfId="3902" xr:uid="{00000000-0005-0000-0000-00003E0F0000}"/>
    <cellStyle name="E 15" xfId="3903" xr:uid="{00000000-0005-0000-0000-00003F0F0000}"/>
    <cellStyle name="E 16" xfId="3904" xr:uid="{00000000-0005-0000-0000-0000400F0000}"/>
    <cellStyle name="E 17" xfId="3905" xr:uid="{00000000-0005-0000-0000-0000410F0000}"/>
    <cellStyle name="E 18" xfId="3906" xr:uid="{00000000-0005-0000-0000-0000420F0000}"/>
    <cellStyle name="E 19" xfId="3907" xr:uid="{00000000-0005-0000-0000-0000430F0000}"/>
    <cellStyle name="E 2" xfId="3908" xr:uid="{00000000-0005-0000-0000-0000440F0000}"/>
    <cellStyle name="E 2 10" xfId="3909" xr:uid="{00000000-0005-0000-0000-0000450F0000}"/>
    <cellStyle name="E 2 11" xfId="3910" xr:uid="{00000000-0005-0000-0000-0000460F0000}"/>
    <cellStyle name="E 2 12" xfId="3911" xr:uid="{00000000-0005-0000-0000-0000470F0000}"/>
    <cellStyle name="E 2 13" xfId="3912" xr:uid="{00000000-0005-0000-0000-0000480F0000}"/>
    <cellStyle name="E 2 14" xfId="3913" xr:uid="{00000000-0005-0000-0000-0000490F0000}"/>
    <cellStyle name="E 2 15" xfId="3914" xr:uid="{00000000-0005-0000-0000-00004A0F0000}"/>
    <cellStyle name="E 2 16" xfId="3915" xr:uid="{00000000-0005-0000-0000-00004B0F0000}"/>
    <cellStyle name="E 2 17" xfId="3916" xr:uid="{00000000-0005-0000-0000-00004C0F0000}"/>
    <cellStyle name="E 2 18" xfId="3917" xr:uid="{00000000-0005-0000-0000-00004D0F0000}"/>
    <cellStyle name="E 2 2" xfId="3918" xr:uid="{00000000-0005-0000-0000-00004E0F0000}"/>
    <cellStyle name="E 2 3" xfId="3919" xr:uid="{00000000-0005-0000-0000-00004F0F0000}"/>
    <cellStyle name="E 2 4" xfId="3920" xr:uid="{00000000-0005-0000-0000-0000500F0000}"/>
    <cellStyle name="E 2 5" xfId="3921" xr:uid="{00000000-0005-0000-0000-0000510F0000}"/>
    <cellStyle name="E 2 6" xfId="3922" xr:uid="{00000000-0005-0000-0000-0000520F0000}"/>
    <cellStyle name="E 2 7" xfId="3923" xr:uid="{00000000-0005-0000-0000-0000530F0000}"/>
    <cellStyle name="E 2 8" xfId="3924" xr:uid="{00000000-0005-0000-0000-0000540F0000}"/>
    <cellStyle name="E 2 9" xfId="3925" xr:uid="{00000000-0005-0000-0000-0000550F0000}"/>
    <cellStyle name="E 2_BMB_UGA NEXT(audio_DPP2 Ver1.0)2008.xx.xx" xfId="3926" xr:uid="{00000000-0005-0000-0000-0000560F0000}"/>
    <cellStyle name="E 3" xfId="3927" xr:uid="{00000000-0005-0000-0000-0000570F0000}"/>
    <cellStyle name="E 4" xfId="3928" xr:uid="{00000000-0005-0000-0000-0000580F0000}"/>
    <cellStyle name="E 5" xfId="3929" xr:uid="{00000000-0005-0000-0000-0000590F0000}"/>
    <cellStyle name="E 6" xfId="3930" xr:uid="{00000000-0005-0000-0000-00005A0F0000}"/>
    <cellStyle name="E 7" xfId="3931" xr:uid="{00000000-0005-0000-0000-00005B0F0000}"/>
    <cellStyle name="E 8" xfId="3932" xr:uid="{00000000-0005-0000-0000-00005C0F0000}"/>
    <cellStyle name="E 9" xfId="3933" xr:uid="{00000000-0005-0000-0000-00005D0F0000}"/>
    <cellStyle name="E_10. HDD &amp; 內外裝品" xfId="3934" xr:uid="{00000000-0005-0000-0000-00005E0F0000}"/>
    <cellStyle name="E_10. HDD &amp; 內外裝品 10" xfId="3935" xr:uid="{00000000-0005-0000-0000-00005F0F0000}"/>
    <cellStyle name="E_10. HDD &amp; 內外裝品 11" xfId="3936" xr:uid="{00000000-0005-0000-0000-0000600F0000}"/>
    <cellStyle name="E_10. HDD &amp; 內外裝品 12" xfId="3937" xr:uid="{00000000-0005-0000-0000-0000610F0000}"/>
    <cellStyle name="E_10. HDD &amp; 內外裝品 13" xfId="3938" xr:uid="{00000000-0005-0000-0000-0000620F0000}"/>
    <cellStyle name="E_10. HDD &amp; 內外裝品 14" xfId="3939" xr:uid="{00000000-0005-0000-0000-0000630F0000}"/>
    <cellStyle name="E_10. HDD &amp; 內外裝品 15" xfId="3940" xr:uid="{00000000-0005-0000-0000-0000640F0000}"/>
    <cellStyle name="E_10. HDD &amp; 內外裝品 16" xfId="3941" xr:uid="{00000000-0005-0000-0000-0000650F0000}"/>
    <cellStyle name="E_10. HDD &amp; 內外裝品 17" xfId="3942" xr:uid="{00000000-0005-0000-0000-0000660F0000}"/>
    <cellStyle name="E_10. HDD &amp; 內外裝品 18" xfId="3943" xr:uid="{00000000-0005-0000-0000-0000670F0000}"/>
    <cellStyle name="E_10. HDD &amp; 內外裝品 2" xfId="3944" xr:uid="{00000000-0005-0000-0000-0000680F0000}"/>
    <cellStyle name="E_10. HDD &amp; 內外裝品 3" xfId="3945" xr:uid="{00000000-0005-0000-0000-0000690F0000}"/>
    <cellStyle name="E_10. HDD &amp; 內外裝品 4" xfId="3946" xr:uid="{00000000-0005-0000-0000-00006A0F0000}"/>
    <cellStyle name="E_10. HDD &amp; 內外裝品 5" xfId="3947" xr:uid="{00000000-0005-0000-0000-00006B0F0000}"/>
    <cellStyle name="E_10. HDD &amp; 內外裝品 6" xfId="3948" xr:uid="{00000000-0005-0000-0000-00006C0F0000}"/>
    <cellStyle name="E_10. HDD &amp; 內外裝品 7" xfId="3949" xr:uid="{00000000-0005-0000-0000-00006D0F0000}"/>
    <cellStyle name="E_10. HDD &amp; 內外裝品 8" xfId="3950" xr:uid="{00000000-0005-0000-0000-00006E0F0000}"/>
    <cellStyle name="E_10. HDD &amp; 內外裝品 9" xfId="3951" xr:uid="{00000000-0005-0000-0000-00006F0F0000}"/>
    <cellStyle name="E_10. HDD &amp; 內外裝品_BMB_UGA NEXT(audio_DPP2 Ver1.0)2008.xx.xx" xfId="3952" xr:uid="{00000000-0005-0000-0000-0000700F0000}"/>
    <cellStyle name="E_10. HDD &amp; 內外裝品_BMB_UGA NEXT(audio_DPP2 Ver2.0_2134 2EA삭제)2008.xx.xx" xfId="3953" xr:uid="{00000000-0005-0000-0000-0000710F0000}"/>
    <cellStyle name="E_10. HDD &amp; 內外裝品_Construction Parts_PP2" xfId="3954" xr:uid="{00000000-0005-0000-0000-0000720F0000}"/>
    <cellStyle name="E_10. HDD &amp; 內外裝品_Main Board" xfId="3955" xr:uid="{00000000-0005-0000-0000-0000730F0000}"/>
    <cellStyle name="E_10. HDD &amp; 內外裝品_Main Board_Construction Parts_PP2" xfId="3956" xr:uid="{00000000-0005-0000-0000-0000740F0000}"/>
    <cellStyle name="E_10. HDD &amp; 內外裝品_Main Board_MAIN PBA" xfId="3957" xr:uid="{00000000-0005-0000-0000-0000750F0000}"/>
    <cellStyle name="E_10. HDD &amp; 內外裝品_Main Board_PP1 (2)" xfId="3958" xr:uid="{00000000-0005-0000-0000-0000760F0000}"/>
    <cellStyle name="E_10. HDD &amp; 內外裝品_Main Board_UGA-N10(Main_MP4.5_Ver1)_2009.02.02" xfId="3959" xr:uid="{00000000-0005-0000-0000-0000770F0000}"/>
    <cellStyle name="E_10. HDD &amp; 內外裝品_UGA-N10(Audio_LPP Ver1.0)2008.xx.xx" xfId="3960" xr:uid="{00000000-0005-0000-0000-0000780F0000}"/>
    <cellStyle name="E_10. HDD &amp; 內外裝品_UGA-N10(Audio_PP2 Ver1.0)2008.08.09" xfId="3961" xr:uid="{00000000-0005-0000-0000-0000790F0000}"/>
    <cellStyle name="E_10. HDD &amp; 內外裝品_UGA-N10(Construction Parts_PP2_Ver1.0)2008.08.22" xfId="3962" xr:uid="{00000000-0005-0000-0000-00007A0F0000}"/>
    <cellStyle name="E_10. HDD &amp; 內外裝品_UGA-N10(Front_PP2_Ver1.0)_2008.08.22" xfId="3963" xr:uid="{00000000-0005-0000-0000-00007B0F0000}"/>
    <cellStyle name="E_10. HDD &amp; 內外裝品_UGA-N10(Main_DPP2_Ver1)_2008.xx.xx" xfId="3964" xr:uid="{00000000-0005-0000-0000-00007C0F0000}"/>
    <cellStyle name="E_10. HDD &amp; 內外裝品_UGA-N10(Main_LPP_Ver1)_2008.xx.xx" xfId="3965" xr:uid="{00000000-0005-0000-0000-00007D0F0000}"/>
    <cellStyle name="E_10. HDD &amp; 內外裝品_UGA-N10(Main_PP2_Ver1)_2008.08.14" xfId="3966" xr:uid="{00000000-0005-0000-0000-00007E0F0000}"/>
    <cellStyle name="E_101.OEM_품번대장" xfId="3967" xr:uid="{00000000-0005-0000-0000-00007F0F0000}"/>
    <cellStyle name="E_101.OEM_품번대장 10" xfId="3968" xr:uid="{00000000-0005-0000-0000-0000800F0000}"/>
    <cellStyle name="E_101.OEM_품번대장 11" xfId="3969" xr:uid="{00000000-0005-0000-0000-0000810F0000}"/>
    <cellStyle name="E_101.OEM_품번대장 12" xfId="3970" xr:uid="{00000000-0005-0000-0000-0000820F0000}"/>
    <cellStyle name="E_101.OEM_품번대장 13" xfId="3971" xr:uid="{00000000-0005-0000-0000-0000830F0000}"/>
    <cellStyle name="E_101.OEM_품번대장 14" xfId="3972" xr:uid="{00000000-0005-0000-0000-0000840F0000}"/>
    <cellStyle name="E_101.OEM_품번대장 15" xfId="3973" xr:uid="{00000000-0005-0000-0000-0000850F0000}"/>
    <cellStyle name="E_101.OEM_품번대장 16" xfId="3974" xr:uid="{00000000-0005-0000-0000-0000860F0000}"/>
    <cellStyle name="E_101.OEM_품번대장 17" xfId="3975" xr:uid="{00000000-0005-0000-0000-0000870F0000}"/>
    <cellStyle name="E_101.OEM_품번대장 18" xfId="3976" xr:uid="{00000000-0005-0000-0000-0000880F0000}"/>
    <cellStyle name="E_101.OEM_품번대장 2" xfId="3977" xr:uid="{00000000-0005-0000-0000-0000890F0000}"/>
    <cellStyle name="E_101.OEM_품번대장 3" xfId="3978" xr:uid="{00000000-0005-0000-0000-00008A0F0000}"/>
    <cellStyle name="E_101.OEM_품번대장 4" xfId="3979" xr:uid="{00000000-0005-0000-0000-00008B0F0000}"/>
    <cellStyle name="E_101.OEM_품번대장 5" xfId="3980" xr:uid="{00000000-0005-0000-0000-00008C0F0000}"/>
    <cellStyle name="E_101.OEM_품번대장 6" xfId="3981" xr:uid="{00000000-0005-0000-0000-00008D0F0000}"/>
    <cellStyle name="E_101.OEM_품번대장 7" xfId="3982" xr:uid="{00000000-0005-0000-0000-00008E0F0000}"/>
    <cellStyle name="E_101.OEM_품번대장 8" xfId="3983" xr:uid="{00000000-0005-0000-0000-00008F0F0000}"/>
    <cellStyle name="E_101.OEM_품번대장 9" xfId="3984" xr:uid="{00000000-0005-0000-0000-0000900F0000}"/>
    <cellStyle name="E_101.OEM_품번대장_BMB_UGA NEXT(audio_DPP2 Ver1.0)2008.xx.xx" xfId="3985" xr:uid="{00000000-0005-0000-0000-0000910F0000}"/>
    <cellStyle name="E_101.OEM_품번대장_BMB_UGA NEXT(audio_DPP2 Ver2.0_2134 2EA삭제)2008.xx.xx" xfId="3986" xr:uid="{00000000-0005-0000-0000-0000920F0000}"/>
    <cellStyle name="E_101.OEM_품번대장_Construction Parts_PP2" xfId="3987" xr:uid="{00000000-0005-0000-0000-0000930F0000}"/>
    <cellStyle name="E_101.OEM_품번대장_Main Board" xfId="3988" xr:uid="{00000000-0005-0000-0000-0000940F0000}"/>
    <cellStyle name="E_101.OEM_품번대장_Main Board_Construction Parts_PP2" xfId="3989" xr:uid="{00000000-0005-0000-0000-0000950F0000}"/>
    <cellStyle name="E_101.OEM_품번대장_Main Board_MAIN PBA" xfId="3990" xr:uid="{00000000-0005-0000-0000-0000960F0000}"/>
    <cellStyle name="E_101.OEM_품번대장_Main Board_PP1 (2)" xfId="3991" xr:uid="{00000000-0005-0000-0000-0000970F0000}"/>
    <cellStyle name="E_101.OEM_품번대장_Main Board_UGA-N10(Main_MP4.5_Ver1)_2009.02.02" xfId="3992" xr:uid="{00000000-0005-0000-0000-0000980F0000}"/>
    <cellStyle name="E_101.OEM_품번대장_UGA-N10(Audio_LPP Ver1.0)2008.xx.xx" xfId="3993" xr:uid="{00000000-0005-0000-0000-0000990F0000}"/>
    <cellStyle name="E_101.OEM_품번대장_UGA-N10(Audio_PP2 Ver1.0)2008.08.09" xfId="3994" xr:uid="{00000000-0005-0000-0000-00009A0F0000}"/>
    <cellStyle name="E_101.OEM_품번대장_UGA-N10(Construction Parts_PP2_Ver1.0)2008.08.22" xfId="3995" xr:uid="{00000000-0005-0000-0000-00009B0F0000}"/>
    <cellStyle name="E_101.OEM_품번대장_UGA-N10(Front_PP2_Ver1.0)_2008.08.22" xfId="3996" xr:uid="{00000000-0005-0000-0000-00009C0F0000}"/>
    <cellStyle name="E_101.OEM_품번대장_UGA-N10(Main_DPP2_Ver1)_2008.xx.xx" xfId="3997" xr:uid="{00000000-0005-0000-0000-00009D0F0000}"/>
    <cellStyle name="E_101.OEM_품번대장_UGA-N10(Main_LPP_Ver1)_2008.xx.xx" xfId="3998" xr:uid="{00000000-0005-0000-0000-00009E0F0000}"/>
    <cellStyle name="E_101.OEM_품번대장_UGA-N10(Main_PP2_Ver1)_2008.08.14" xfId="3999" xr:uid="{00000000-0005-0000-0000-00009F0F0000}"/>
    <cellStyle name="E_12. Accessory BAG" xfId="4000" xr:uid="{00000000-0005-0000-0000-0000A00F0000}"/>
    <cellStyle name="E_12. Accessory BAG 10" xfId="4001" xr:uid="{00000000-0005-0000-0000-0000A10F0000}"/>
    <cellStyle name="E_12. Accessory BAG 11" xfId="4002" xr:uid="{00000000-0005-0000-0000-0000A20F0000}"/>
    <cellStyle name="E_12. Accessory BAG 12" xfId="4003" xr:uid="{00000000-0005-0000-0000-0000A30F0000}"/>
    <cellStyle name="E_12. Accessory BAG 13" xfId="4004" xr:uid="{00000000-0005-0000-0000-0000A40F0000}"/>
    <cellStyle name="E_12. Accessory BAG 14" xfId="4005" xr:uid="{00000000-0005-0000-0000-0000A50F0000}"/>
    <cellStyle name="E_12. Accessory BAG 15" xfId="4006" xr:uid="{00000000-0005-0000-0000-0000A60F0000}"/>
    <cellStyle name="E_12. Accessory BAG 16" xfId="4007" xr:uid="{00000000-0005-0000-0000-0000A70F0000}"/>
    <cellStyle name="E_12. Accessory BAG 17" xfId="4008" xr:uid="{00000000-0005-0000-0000-0000A80F0000}"/>
    <cellStyle name="E_12. Accessory BAG 18" xfId="4009" xr:uid="{00000000-0005-0000-0000-0000A90F0000}"/>
    <cellStyle name="E_12. Accessory BAG 2" xfId="4010" xr:uid="{00000000-0005-0000-0000-0000AA0F0000}"/>
    <cellStyle name="E_12. Accessory BAG 3" xfId="4011" xr:uid="{00000000-0005-0000-0000-0000AB0F0000}"/>
    <cellStyle name="E_12. Accessory BAG 4" xfId="4012" xr:uid="{00000000-0005-0000-0000-0000AC0F0000}"/>
    <cellStyle name="E_12. Accessory BAG 5" xfId="4013" xr:uid="{00000000-0005-0000-0000-0000AD0F0000}"/>
    <cellStyle name="E_12. Accessory BAG 6" xfId="4014" xr:uid="{00000000-0005-0000-0000-0000AE0F0000}"/>
    <cellStyle name="E_12. Accessory BAG 7" xfId="4015" xr:uid="{00000000-0005-0000-0000-0000AF0F0000}"/>
    <cellStyle name="E_12. Accessory BAG 8" xfId="4016" xr:uid="{00000000-0005-0000-0000-0000B00F0000}"/>
    <cellStyle name="E_12. Accessory BAG 9" xfId="4017" xr:uid="{00000000-0005-0000-0000-0000B10F0000}"/>
    <cellStyle name="E_12. Accessory BAG_BMB_UGA NEXT(audio_DPP2 Ver1.0)2008.xx.xx" xfId="4018" xr:uid="{00000000-0005-0000-0000-0000B20F0000}"/>
    <cellStyle name="E_12. Accessory BAG_BMB_UGA NEXT(audio_DPP2 Ver2.0_2134 2EA삭제)2008.xx.xx" xfId="4019" xr:uid="{00000000-0005-0000-0000-0000B30F0000}"/>
    <cellStyle name="E_12. Accessory BAG_Construction Parts_PP2" xfId="4020" xr:uid="{00000000-0005-0000-0000-0000B40F0000}"/>
    <cellStyle name="E_12. Accessory BAG_Main Board" xfId="4021" xr:uid="{00000000-0005-0000-0000-0000B50F0000}"/>
    <cellStyle name="E_12. Accessory BAG_Main Board_Construction Parts_PP2" xfId="4022" xr:uid="{00000000-0005-0000-0000-0000B60F0000}"/>
    <cellStyle name="E_12. Accessory BAG_Main Board_MAIN PBA" xfId="4023" xr:uid="{00000000-0005-0000-0000-0000B70F0000}"/>
    <cellStyle name="E_12. Accessory BAG_Main Board_PP1 (2)" xfId="4024" xr:uid="{00000000-0005-0000-0000-0000B80F0000}"/>
    <cellStyle name="E_12. Accessory BAG_Main Board_UGA-N10(Main_MP4.5_Ver1)_2009.02.02" xfId="4025" xr:uid="{00000000-0005-0000-0000-0000B90F0000}"/>
    <cellStyle name="E_12. Accessory BAG_UGA-N10(Audio_LPP Ver1.0)2008.xx.xx" xfId="4026" xr:uid="{00000000-0005-0000-0000-0000BA0F0000}"/>
    <cellStyle name="E_12. Accessory BAG_UGA-N10(Audio_PP2 Ver1.0)2008.08.09" xfId="4027" xr:uid="{00000000-0005-0000-0000-0000BB0F0000}"/>
    <cellStyle name="E_12. Accessory BAG_UGA-N10(Construction Parts_PP2_Ver1.0)2008.08.22" xfId="4028" xr:uid="{00000000-0005-0000-0000-0000BC0F0000}"/>
    <cellStyle name="E_12. Accessory BAG_UGA-N10(Front_PP2_Ver1.0)_2008.08.22" xfId="4029" xr:uid="{00000000-0005-0000-0000-0000BD0F0000}"/>
    <cellStyle name="E_12. Accessory BAG_UGA-N10(Main_DPP2_Ver1)_2008.xx.xx" xfId="4030" xr:uid="{00000000-0005-0000-0000-0000BE0F0000}"/>
    <cellStyle name="E_12. Accessory BAG_UGA-N10(Main_LPP_Ver1)_2008.xx.xx" xfId="4031" xr:uid="{00000000-0005-0000-0000-0000BF0F0000}"/>
    <cellStyle name="E_12. Accessory BAG_UGA-N10(Main_PP2_Ver1)_2008.08.14" xfId="4032" xr:uid="{00000000-0005-0000-0000-0000C00F0000}"/>
    <cellStyle name="E_15.K15_품번대장" xfId="4033" xr:uid="{00000000-0005-0000-0000-0000C10F0000}"/>
    <cellStyle name="E_15.K15_품번대장 10" xfId="4034" xr:uid="{00000000-0005-0000-0000-0000C20F0000}"/>
    <cellStyle name="E_15.K15_품번대장 11" xfId="4035" xr:uid="{00000000-0005-0000-0000-0000C30F0000}"/>
    <cellStyle name="E_15.K15_품번대장 12" xfId="4036" xr:uid="{00000000-0005-0000-0000-0000C40F0000}"/>
    <cellStyle name="E_15.K15_품번대장 13" xfId="4037" xr:uid="{00000000-0005-0000-0000-0000C50F0000}"/>
    <cellStyle name="E_15.K15_품번대장 14" xfId="4038" xr:uid="{00000000-0005-0000-0000-0000C60F0000}"/>
    <cellStyle name="E_15.K15_품번대장 15" xfId="4039" xr:uid="{00000000-0005-0000-0000-0000C70F0000}"/>
    <cellStyle name="E_15.K15_품번대장 16" xfId="4040" xr:uid="{00000000-0005-0000-0000-0000C80F0000}"/>
    <cellStyle name="E_15.K15_품번대장 17" xfId="4041" xr:uid="{00000000-0005-0000-0000-0000C90F0000}"/>
    <cellStyle name="E_15.K15_품번대장 18" xfId="4042" xr:uid="{00000000-0005-0000-0000-0000CA0F0000}"/>
    <cellStyle name="E_15.K15_품번대장 2" xfId="4043" xr:uid="{00000000-0005-0000-0000-0000CB0F0000}"/>
    <cellStyle name="E_15.K15_품번대장 3" xfId="4044" xr:uid="{00000000-0005-0000-0000-0000CC0F0000}"/>
    <cellStyle name="E_15.K15_품번대장 4" xfId="4045" xr:uid="{00000000-0005-0000-0000-0000CD0F0000}"/>
    <cellStyle name="E_15.K15_품번대장 5" xfId="4046" xr:uid="{00000000-0005-0000-0000-0000CE0F0000}"/>
    <cellStyle name="E_15.K15_품번대장 6" xfId="4047" xr:uid="{00000000-0005-0000-0000-0000CF0F0000}"/>
    <cellStyle name="E_15.K15_품번대장 7" xfId="4048" xr:uid="{00000000-0005-0000-0000-0000D00F0000}"/>
    <cellStyle name="E_15.K15_품번대장 8" xfId="4049" xr:uid="{00000000-0005-0000-0000-0000D10F0000}"/>
    <cellStyle name="E_15.K15_품번대장 9" xfId="4050" xr:uid="{00000000-0005-0000-0000-0000D20F0000}"/>
    <cellStyle name="E_15.K15_품번대장_BMB_UGA NEXT(audio_DPP2 Ver1.0)2008.xx.xx" xfId="4051" xr:uid="{00000000-0005-0000-0000-0000D30F0000}"/>
    <cellStyle name="E_15.K15_품번대장_BMB_UGA NEXT(audio_DPP2 Ver2.0_2134 2EA삭제)2008.xx.xx" xfId="4052" xr:uid="{00000000-0005-0000-0000-0000D40F0000}"/>
    <cellStyle name="E_15.K15_품번대장_Construction Parts_PP2" xfId="4053" xr:uid="{00000000-0005-0000-0000-0000D50F0000}"/>
    <cellStyle name="E_15.K15_품번대장_Main Board" xfId="4054" xr:uid="{00000000-0005-0000-0000-0000D60F0000}"/>
    <cellStyle name="E_15.K15_품번대장_Main Board_Construction Parts_PP2" xfId="4055" xr:uid="{00000000-0005-0000-0000-0000D70F0000}"/>
    <cellStyle name="E_15.K15_품번대장_Main Board_MAIN PBA" xfId="4056" xr:uid="{00000000-0005-0000-0000-0000D80F0000}"/>
    <cellStyle name="E_15.K15_품번대장_Main Board_PP1 (2)" xfId="4057" xr:uid="{00000000-0005-0000-0000-0000D90F0000}"/>
    <cellStyle name="E_15.K15_품번대장_Main Board_UGA-N10(Main_MP4.5_Ver1)_2009.02.02" xfId="4058" xr:uid="{00000000-0005-0000-0000-0000DA0F0000}"/>
    <cellStyle name="E_15.K15_품번대장_UGA-N10(Audio_LPP Ver1.0)2008.xx.xx" xfId="4059" xr:uid="{00000000-0005-0000-0000-0000DB0F0000}"/>
    <cellStyle name="E_15.K15_품번대장_UGA-N10(Audio_PP2 Ver1.0)2008.08.09" xfId="4060" xr:uid="{00000000-0005-0000-0000-0000DC0F0000}"/>
    <cellStyle name="E_15.K15_품번대장_UGA-N10(Construction Parts_PP2_Ver1.0)2008.08.22" xfId="4061" xr:uid="{00000000-0005-0000-0000-0000DD0F0000}"/>
    <cellStyle name="E_15.K15_품번대장_UGA-N10(Front_PP2_Ver1.0)_2008.08.22" xfId="4062" xr:uid="{00000000-0005-0000-0000-0000DE0F0000}"/>
    <cellStyle name="E_15.K15_품번대장_UGA-N10(Main_DPP2_Ver1)_2008.xx.xx" xfId="4063" xr:uid="{00000000-0005-0000-0000-0000DF0F0000}"/>
    <cellStyle name="E_15.K15_품번대장_UGA-N10(Main_LPP_Ver1)_2008.xx.xx" xfId="4064" xr:uid="{00000000-0005-0000-0000-0000E00F0000}"/>
    <cellStyle name="E_15.K15_품번대장_UGA-N10(Main_PP2_Ver1)_2008.08.14" xfId="4065" xr:uid="{00000000-0005-0000-0000-0000E10F0000}"/>
    <cellStyle name="E_16.K16_품번대장" xfId="4066" xr:uid="{00000000-0005-0000-0000-0000E20F0000}"/>
    <cellStyle name="E_16.K16_품번대장 10" xfId="4067" xr:uid="{00000000-0005-0000-0000-0000E30F0000}"/>
    <cellStyle name="E_16.K16_품번대장 11" xfId="4068" xr:uid="{00000000-0005-0000-0000-0000E40F0000}"/>
    <cellStyle name="E_16.K16_품번대장 12" xfId="4069" xr:uid="{00000000-0005-0000-0000-0000E50F0000}"/>
    <cellStyle name="E_16.K16_품번대장 13" xfId="4070" xr:uid="{00000000-0005-0000-0000-0000E60F0000}"/>
    <cellStyle name="E_16.K16_품번대장 14" xfId="4071" xr:uid="{00000000-0005-0000-0000-0000E70F0000}"/>
    <cellStyle name="E_16.K16_품번대장 15" xfId="4072" xr:uid="{00000000-0005-0000-0000-0000E80F0000}"/>
    <cellStyle name="E_16.K16_품번대장 16" xfId="4073" xr:uid="{00000000-0005-0000-0000-0000E90F0000}"/>
    <cellStyle name="E_16.K16_품번대장 17" xfId="4074" xr:uid="{00000000-0005-0000-0000-0000EA0F0000}"/>
    <cellStyle name="E_16.K16_품번대장 18" xfId="4075" xr:uid="{00000000-0005-0000-0000-0000EB0F0000}"/>
    <cellStyle name="E_16.K16_품번대장 2" xfId="4076" xr:uid="{00000000-0005-0000-0000-0000EC0F0000}"/>
    <cellStyle name="E_16.K16_품번대장 3" xfId="4077" xr:uid="{00000000-0005-0000-0000-0000ED0F0000}"/>
    <cellStyle name="E_16.K16_품번대장 4" xfId="4078" xr:uid="{00000000-0005-0000-0000-0000EE0F0000}"/>
    <cellStyle name="E_16.K16_품번대장 5" xfId="4079" xr:uid="{00000000-0005-0000-0000-0000EF0F0000}"/>
    <cellStyle name="E_16.K16_품번대장 6" xfId="4080" xr:uid="{00000000-0005-0000-0000-0000F00F0000}"/>
    <cellStyle name="E_16.K16_품번대장 7" xfId="4081" xr:uid="{00000000-0005-0000-0000-0000F10F0000}"/>
    <cellStyle name="E_16.K16_품번대장 8" xfId="4082" xr:uid="{00000000-0005-0000-0000-0000F20F0000}"/>
    <cellStyle name="E_16.K16_품번대장 9" xfId="4083" xr:uid="{00000000-0005-0000-0000-0000F30F0000}"/>
    <cellStyle name="E_16.K16_품번대장_BMB_UGA NEXT(audio_DPP2 Ver1.0)2008.xx.xx" xfId="4084" xr:uid="{00000000-0005-0000-0000-0000F40F0000}"/>
    <cellStyle name="E_16.K16_품번대장_BMB_UGA NEXT(audio_DPP2 Ver2.0_2134 2EA삭제)2008.xx.xx" xfId="4085" xr:uid="{00000000-0005-0000-0000-0000F50F0000}"/>
    <cellStyle name="E_16.K16_품번대장_Construction Parts_PP2" xfId="4086" xr:uid="{00000000-0005-0000-0000-0000F60F0000}"/>
    <cellStyle name="E_16.K16_품번대장_Main Board" xfId="4087" xr:uid="{00000000-0005-0000-0000-0000F70F0000}"/>
    <cellStyle name="E_16.K16_품번대장_Main Board_Construction Parts_PP2" xfId="4088" xr:uid="{00000000-0005-0000-0000-0000F80F0000}"/>
    <cellStyle name="E_16.K16_품번대장_Main Board_MAIN PBA" xfId="4089" xr:uid="{00000000-0005-0000-0000-0000F90F0000}"/>
    <cellStyle name="E_16.K16_품번대장_Main Board_PP1 (2)" xfId="4090" xr:uid="{00000000-0005-0000-0000-0000FA0F0000}"/>
    <cellStyle name="E_16.K16_품번대장_Main Board_UGA-N10(Main_MP4.5_Ver1)_2009.02.02" xfId="4091" xr:uid="{00000000-0005-0000-0000-0000FB0F0000}"/>
    <cellStyle name="E_16.K16_품번대장_UGA-N10(Audio_LPP Ver1.0)2008.xx.xx" xfId="4092" xr:uid="{00000000-0005-0000-0000-0000FC0F0000}"/>
    <cellStyle name="E_16.K16_품번대장_UGA-N10(Audio_PP2 Ver1.0)2008.08.09" xfId="4093" xr:uid="{00000000-0005-0000-0000-0000FD0F0000}"/>
    <cellStyle name="E_16.K16_품번대장_UGA-N10(Construction Parts_PP2_Ver1.0)2008.08.22" xfId="4094" xr:uid="{00000000-0005-0000-0000-0000FE0F0000}"/>
    <cellStyle name="E_16.K16_품번대장_UGA-N10(Front_PP2_Ver1.0)_2008.08.22" xfId="4095" xr:uid="{00000000-0005-0000-0000-0000FF0F0000}"/>
    <cellStyle name="E_16.K16_품번대장_UGA-N10(Main_DPP2_Ver1)_2008.xx.xx" xfId="4096" xr:uid="{00000000-0005-0000-0000-000000100000}"/>
    <cellStyle name="E_16.K16_품번대장_UGA-N10(Main_LPP_Ver1)_2008.xx.xx" xfId="4097" xr:uid="{00000000-0005-0000-0000-000001100000}"/>
    <cellStyle name="E_16.K16_품번대장_UGA-N10(Main_PP2_Ver1)_2008.08.14" xfId="4098" xr:uid="{00000000-0005-0000-0000-000002100000}"/>
    <cellStyle name="E_17.K17_품번대장" xfId="4099" xr:uid="{00000000-0005-0000-0000-000003100000}"/>
    <cellStyle name="E_17.K17_품번대장 10" xfId="4100" xr:uid="{00000000-0005-0000-0000-000004100000}"/>
    <cellStyle name="E_17.K17_품번대장 11" xfId="4101" xr:uid="{00000000-0005-0000-0000-000005100000}"/>
    <cellStyle name="E_17.K17_품번대장 12" xfId="4102" xr:uid="{00000000-0005-0000-0000-000006100000}"/>
    <cellStyle name="E_17.K17_품번대장 13" xfId="4103" xr:uid="{00000000-0005-0000-0000-000007100000}"/>
    <cellStyle name="E_17.K17_품번대장 14" xfId="4104" xr:uid="{00000000-0005-0000-0000-000008100000}"/>
    <cellStyle name="E_17.K17_품번대장 15" xfId="4105" xr:uid="{00000000-0005-0000-0000-000009100000}"/>
    <cellStyle name="E_17.K17_품번대장 16" xfId="4106" xr:uid="{00000000-0005-0000-0000-00000A100000}"/>
    <cellStyle name="E_17.K17_품번대장 17" xfId="4107" xr:uid="{00000000-0005-0000-0000-00000B100000}"/>
    <cellStyle name="E_17.K17_품번대장 18" xfId="4108" xr:uid="{00000000-0005-0000-0000-00000C100000}"/>
    <cellStyle name="E_17.K17_품번대장 2" xfId="4109" xr:uid="{00000000-0005-0000-0000-00000D100000}"/>
    <cellStyle name="E_17.K17_품번대장 3" xfId="4110" xr:uid="{00000000-0005-0000-0000-00000E100000}"/>
    <cellStyle name="E_17.K17_품번대장 4" xfId="4111" xr:uid="{00000000-0005-0000-0000-00000F100000}"/>
    <cellStyle name="E_17.K17_품번대장 5" xfId="4112" xr:uid="{00000000-0005-0000-0000-000010100000}"/>
    <cellStyle name="E_17.K17_품번대장 6" xfId="4113" xr:uid="{00000000-0005-0000-0000-000011100000}"/>
    <cellStyle name="E_17.K17_품번대장 7" xfId="4114" xr:uid="{00000000-0005-0000-0000-000012100000}"/>
    <cellStyle name="E_17.K17_품번대장 8" xfId="4115" xr:uid="{00000000-0005-0000-0000-000013100000}"/>
    <cellStyle name="E_17.K17_품번대장 9" xfId="4116" xr:uid="{00000000-0005-0000-0000-000014100000}"/>
    <cellStyle name="E_17.K17_품번대장_BMB_UGA NEXT(audio_DPP2 Ver1.0)2008.xx.xx" xfId="4117" xr:uid="{00000000-0005-0000-0000-000015100000}"/>
    <cellStyle name="E_17.K17_품번대장_BMB_UGA NEXT(audio_DPP2 Ver2.0_2134 2EA삭제)2008.xx.xx" xfId="4118" xr:uid="{00000000-0005-0000-0000-000016100000}"/>
    <cellStyle name="E_17.K17_품번대장_Construction Parts_PP2" xfId="4119" xr:uid="{00000000-0005-0000-0000-000017100000}"/>
    <cellStyle name="E_17.K17_품번대장_Main Board" xfId="4120" xr:uid="{00000000-0005-0000-0000-000018100000}"/>
    <cellStyle name="E_17.K17_품번대장_Main Board_Construction Parts_PP2" xfId="4121" xr:uid="{00000000-0005-0000-0000-000019100000}"/>
    <cellStyle name="E_17.K17_품번대장_Main Board_MAIN PBA" xfId="4122" xr:uid="{00000000-0005-0000-0000-00001A100000}"/>
    <cellStyle name="E_17.K17_품번대장_Main Board_PP1 (2)" xfId="4123" xr:uid="{00000000-0005-0000-0000-00001B100000}"/>
    <cellStyle name="E_17.K17_품번대장_Main Board_UGA-N10(Main_MP4.5_Ver1)_2009.02.02" xfId="4124" xr:uid="{00000000-0005-0000-0000-00001C100000}"/>
    <cellStyle name="E_17.K17_품번대장_UGA-N10(Audio_LPP Ver1.0)2008.xx.xx" xfId="4125" xr:uid="{00000000-0005-0000-0000-00001D100000}"/>
    <cellStyle name="E_17.K17_품번대장_UGA-N10(Audio_PP2 Ver1.0)2008.08.09" xfId="4126" xr:uid="{00000000-0005-0000-0000-00001E100000}"/>
    <cellStyle name="E_17.K17_품번대장_UGA-N10(Construction Parts_PP2_Ver1.0)2008.08.22" xfId="4127" xr:uid="{00000000-0005-0000-0000-00001F100000}"/>
    <cellStyle name="E_17.K17_품번대장_UGA-N10(Front_PP2_Ver1.0)_2008.08.22" xfId="4128" xr:uid="{00000000-0005-0000-0000-000020100000}"/>
    <cellStyle name="E_17.K17_품번대장_UGA-N10(Main_DPP2_Ver1)_2008.xx.xx" xfId="4129" xr:uid="{00000000-0005-0000-0000-000021100000}"/>
    <cellStyle name="E_17.K17_품번대장_UGA-N10(Main_LPP_Ver1)_2008.xx.xx" xfId="4130" xr:uid="{00000000-0005-0000-0000-000022100000}"/>
    <cellStyle name="E_17.K17_품번대장_UGA-N10(Main_PP2_Ver1)_2008.08.14" xfId="4131" xr:uid="{00000000-0005-0000-0000-000023100000}"/>
    <cellStyle name="E_18.K18_품번대장" xfId="4132" xr:uid="{00000000-0005-0000-0000-000024100000}"/>
    <cellStyle name="E_18.K18_품번대장 10" xfId="4133" xr:uid="{00000000-0005-0000-0000-000025100000}"/>
    <cellStyle name="E_18.K18_품번대장 11" xfId="4134" xr:uid="{00000000-0005-0000-0000-000026100000}"/>
    <cellStyle name="E_18.K18_품번대장 12" xfId="4135" xr:uid="{00000000-0005-0000-0000-000027100000}"/>
    <cellStyle name="E_18.K18_품번대장 13" xfId="4136" xr:uid="{00000000-0005-0000-0000-000028100000}"/>
    <cellStyle name="E_18.K18_품번대장 14" xfId="4137" xr:uid="{00000000-0005-0000-0000-000029100000}"/>
    <cellStyle name="E_18.K18_품번대장 15" xfId="4138" xr:uid="{00000000-0005-0000-0000-00002A100000}"/>
    <cellStyle name="E_18.K18_품번대장 16" xfId="4139" xr:uid="{00000000-0005-0000-0000-00002B100000}"/>
    <cellStyle name="E_18.K18_품번대장 17" xfId="4140" xr:uid="{00000000-0005-0000-0000-00002C100000}"/>
    <cellStyle name="E_18.K18_품번대장 18" xfId="4141" xr:uid="{00000000-0005-0000-0000-00002D100000}"/>
    <cellStyle name="E_18.K18_품번대장 2" xfId="4142" xr:uid="{00000000-0005-0000-0000-00002E100000}"/>
    <cellStyle name="E_18.K18_품번대장 3" xfId="4143" xr:uid="{00000000-0005-0000-0000-00002F100000}"/>
    <cellStyle name="E_18.K18_품번대장 4" xfId="4144" xr:uid="{00000000-0005-0000-0000-000030100000}"/>
    <cellStyle name="E_18.K18_품번대장 5" xfId="4145" xr:uid="{00000000-0005-0000-0000-000031100000}"/>
    <cellStyle name="E_18.K18_품번대장 6" xfId="4146" xr:uid="{00000000-0005-0000-0000-000032100000}"/>
    <cellStyle name="E_18.K18_품번대장 7" xfId="4147" xr:uid="{00000000-0005-0000-0000-000033100000}"/>
    <cellStyle name="E_18.K18_품번대장 8" xfId="4148" xr:uid="{00000000-0005-0000-0000-000034100000}"/>
    <cellStyle name="E_18.K18_품번대장 9" xfId="4149" xr:uid="{00000000-0005-0000-0000-000035100000}"/>
    <cellStyle name="E_18.K18_품번대장_BMB_UGA NEXT(audio_DPP2 Ver1.0)2008.xx.xx" xfId="4150" xr:uid="{00000000-0005-0000-0000-000036100000}"/>
    <cellStyle name="E_18.K18_품번대장_BMB_UGA NEXT(audio_DPP2 Ver2.0_2134 2EA삭제)2008.xx.xx" xfId="4151" xr:uid="{00000000-0005-0000-0000-000037100000}"/>
    <cellStyle name="E_18.K18_품번대장_Construction Parts_PP2" xfId="4152" xr:uid="{00000000-0005-0000-0000-000038100000}"/>
    <cellStyle name="E_18.K18_품번대장_Main Board" xfId="4153" xr:uid="{00000000-0005-0000-0000-000039100000}"/>
    <cellStyle name="E_18.K18_품번대장_Main Board_Construction Parts_PP2" xfId="4154" xr:uid="{00000000-0005-0000-0000-00003A100000}"/>
    <cellStyle name="E_18.K18_품번대장_Main Board_MAIN PBA" xfId="4155" xr:uid="{00000000-0005-0000-0000-00003B100000}"/>
    <cellStyle name="E_18.K18_품번대장_Main Board_PP1 (2)" xfId="4156" xr:uid="{00000000-0005-0000-0000-00003C100000}"/>
    <cellStyle name="E_18.K18_품번대장_Main Board_UGA-N10(Main_MP4.5_Ver1)_2009.02.02" xfId="4157" xr:uid="{00000000-0005-0000-0000-00003D100000}"/>
    <cellStyle name="E_18.K18_품번대장_UGA-N10(Audio_LPP Ver1.0)2008.xx.xx" xfId="4158" xr:uid="{00000000-0005-0000-0000-00003E100000}"/>
    <cellStyle name="E_18.K18_품번대장_UGA-N10(Audio_PP2 Ver1.0)2008.08.09" xfId="4159" xr:uid="{00000000-0005-0000-0000-00003F100000}"/>
    <cellStyle name="E_18.K18_품번대장_UGA-N10(Construction Parts_PP2_Ver1.0)2008.08.22" xfId="4160" xr:uid="{00000000-0005-0000-0000-000040100000}"/>
    <cellStyle name="E_18.K18_품번대장_UGA-N10(Front_PP2_Ver1.0)_2008.08.22" xfId="4161" xr:uid="{00000000-0005-0000-0000-000041100000}"/>
    <cellStyle name="E_18.K18_품번대장_UGA-N10(Main_DPP2_Ver1)_2008.xx.xx" xfId="4162" xr:uid="{00000000-0005-0000-0000-000042100000}"/>
    <cellStyle name="E_18.K18_품번대장_UGA-N10(Main_LPP_Ver1)_2008.xx.xx" xfId="4163" xr:uid="{00000000-0005-0000-0000-000043100000}"/>
    <cellStyle name="E_18.K18_품번대장_UGA-N10(Main_PP2_Ver1)_2008.08.14" xfId="4164" xr:uid="{00000000-0005-0000-0000-000044100000}"/>
    <cellStyle name="E_20.K20_품번대장" xfId="4165" xr:uid="{00000000-0005-0000-0000-000045100000}"/>
    <cellStyle name="E_20.K20_품번대장 10" xfId="4166" xr:uid="{00000000-0005-0000-0000-000046100000}"/>
    <cellStyle name="E_20.K20_품번대장 11" xfId="4167" xr:uid="{00000000-0005-0000-0000-000047100000}"/>
    <cellStyle name="E_20.K20_품번대장 12" xfId="4168" xr:uid="{00000000-0005-0000-0000-000048100000}"/>
    <cellStyle name="E_20.K20_품번대장 13" xfId="4169" xr:uid="{00000000-0005-0000-0000-000049100000}"/>
    <cellStyle name="E_20.K20_품번대장 14" xfId="4170" xr:uid="{00000000-0005-0000-0000-00004A100000}"/>
    <cellStyle name="E_20.K20_품번대장 15" xfId="4171" xr:uid="{00000000-0005-0000-0000-00004B100000}"/>
    <cellStyle name="E_20.K20_품번대장 16" xfId="4172" xr:uid="{00000000-0005-0000-0000-00004C100000}"/>
    <cellStyle name="E_20.K20_품번대장 17" xfId="4173" xr:uid="{00000000-0005-0000-0000-00004D100000}"/>
    <cellStyle name="E_20.K20_품번대장 18" xfId="4174" xr:uid="{00000000-0005-0000-0000-00004E100000}"/>
    <cellStyle name="E_20.K20_품번대장 2" xfId="4175" xr:uid="{00000000-0005-0000-0000-00004F100000}"/>
    <cellStyle name="E_20.K20_품번대장 3" xfId="4176" xr:uid="{00000000-0005-0000-0000-000050100000}"/>
    <cellStyle name="E_20.K20_품번대장 4" xfId="4177" xr:uid="{00000000-0005-0000-0000-000051100000}"/>
    <cellStyle name="E_20.K20_품번대장 5" xfId="4178" xr:uid="{00000000-0005-0000-0000-000052100000}"/>
    <cellStyle name="E_20.K20_품번대장 6" xfId="4179" xr:uid="{00000000-0005-0000-0000-000053100000}"/>
    <cellStyle name="E_20.K20_품번대장 7" xfId="4180" xr:uid="{00000000-0005-0000-0000-000054100000}"/>
    <cellStyle name="E_20.K20_품번대장 8" xfId="4181" xr:uid="{00000000-0005-0000-0000-000055100000}"/>
    <cellStyle name="E_20.K20_품번대장 9" xfId="4182" xr:uid="{00000000-0005-0000-0000-000056100000}"/>
    <cellStyle name="E_20.K20_품번대장_BMB_UGA NEXT(audio_DPP2 Ver1.0)2008.xx.xx" xfId="4183" xr:uid="{00000000-0005-0000-0000-000057100000}"/>
    <cellStyle name="E_20.K20_품번대장_BMB_UGA NEXT(audio_DPP2 Ver2.0_2134 2EA삭제)2008.xx.xx" xfId="4184" xr:uid="{00000000-0005-0000-0000-000058100000}"/>
    <cellStyle name="E_20.K20_품번대장_Construction Parts_PP2" xfId="4185" xr:uid="{00000000-0005-0000-0000-000059100000}"/>
    <cellStyle name="E_20.K20_품번대장_Main Board" xfId="4186" xr:uid="{00000000-0005-0000-0000-00005A100000}"/>
    <cellStyle name="E_20.K20_품번대장_Main Board_Construction Parts_PP2" xfId="4187" xr:uid="{00000000-0005-0000-0000-00005B100000}"/>
    <cellStyle name="E_20.K20_품번대장_Main Board_MAIN PBA" xfId="4188" xr:uid="{00000000-0005-0000-0000-00005C100000}"/>
    <cellStyle name="E_20.K20_품번대장_Main Board_PP1 (2)" xfId="4189" xr:uid="{00000000-0005-0000-0000-00005D100000}"/>
    <cellStyle name="E_20.K20_품번대장_Main Board_UGA-N10(Main_MP4.5_Ver1)_2009.02.02" xfId="4190" xr:uid="{00000000-0005-0000-0000-00005E100000}"/>
    <cellStyle name="E_20.K20_품번대장_UGA-N10(Audio_LPP Ver1.0)2008.xx.xx" xfId="4191" xr:uid="{00000000-0005-0000-0000-00005F100000}"/>
    <cellStyle name="E_20.K20_품번대장_UGA-N10(Audio_PP2 Ver1.0)2008.08.09" xfId="4192" xr:uid="{00000000-0005-0000-0000-000060100000}"/>
    <cellStyle name="E_20.K20_품번대장_UGA-N10(Construction Parts_PP2_Ver1.0)2008.08.22" xfId="4193" xr:uid="{00000000-0005-0000-0000-000061100000}"/>
    <cellStyle name="E_20.K20_품번대장_UGA-N10(Front_PP2_Ver1.0)_2008.08.22" xfId="4194" xr:uid="{00000000-0005-0000-0000-000062100000}"/>
    <cellStyle name="E_20.K20_품번대장_UGA-N10(Main_DPP2_Ver1)_2008.xx.xx" xfId="4195" xr:uid="{00000000-0005-0000-0000-000063100000}"/>
    <cellStyle name="E_20.K20_품번대장_UGA-N10(Main_LPP_Ver1)_2008.xx.xx" xfId="4196" xr:uid="{00000000-0005-0000-0000-000064100000}"/>
    <cellStyle name="E_20.K20_품번대장_UGA-N10(Main_PP2_Ver1)_2008.08.14" xfId="4197" xr:uid="{00000000-0005-0000-0000-000065100000}"/>
    <cellStyle name="E_21.K21_품번대장" xfId="4198" xr:uid="{00000000-0005-0000-0000-000066100000}"/>
    <cellStyle name="E_21.K21_품번대장 10" xfId="4199" xr:uid="{00000000-0005-0000-0000-000067100000}"/>
    <cellStyle name="E_21.K21_품번대장 11" xfId="4200" xr:uid="{00000000-0005-0000-0000-000068100000}"/>
    <cellStyle name="E_21.K21_품번대장 12" xfId="4201" xr:uid="{00000000-0005-0000-0000-000069100000}"/>
    <cellStyle name="E_21.K21_품번대장 13" xfId="4202" xr:uid="{00000000-0005-0000-0000-00006A100000}"/>
    <cellStyle name="E_21.K21_품번대장 14" xfId="4203" xr:uid="{00000000-0005-0000-0000-00006B100000}"/>
    <cellStyle name="E_21.K21_품번대장 15" xfId="4204" xr:uid="{00000000-0005-0000-0000-00006C100000}"/>
    <cellStyle name="E_21.K21_품번대장 16" xfId="4205" xr:uid="{00000000-0005-0000-0000-00006D100000}"/>
    <cellStyle name="E_21.K21_품번대장 17" xfId="4206" xr:uid="{00000000-0005-0000-0000-00006E100000}"/>
    <cellStyle name="E_21.K21_품번대장 18" xfId="4207" xr:uid="{00000000-0005-0000-0000-00006F100000}"/>
    <cellStyle name="E_21.K21_품번대장 2" xfId="4208" xr:uid="{00000000-0005-0000-0000-000070100000}"/>
    <cellStyle name="E_21.K21_품번대장 3" xfId="4209" xr:uid="{00000000-0005-0000-0000-000071100000}"/>
    <cellStyle name="E_21.K21_품번대장 4" xfId="4210" xr:uid="{00000000-0005-0000-0000-000072100000}"/>
    <cellStyle name="E_21.K21_품번대장 5" xfId="4211" xr:uid="{00000000-0005-0000-0000-000073100000}"/>
    <cellStyle name="E_21.K21_품번대장 6" xfId="4212" xr:uid="{00000000-0005-0000-0000-000074100000}"/>
    <cellStyle name="E_21.K21_품번대장 7" xfId="4213" xr:uid="{00000000-0005-0000-0000-000075100000}"/>
    <cellStyle name="E_21.K21_품번대장 8" xfId="4214" xr:uid="{00000000-0005-0000-0000-000076100000}"/>
    <cellStyle name="E_21.K21_품번대장 9" xfId="4215" xr:uid="{00000000-0005-0000-0000-000077100000}"/>
    <cellStyle name="E_21.K21_품번대장_BMB_UGA NEXT(audio_DPP2 Ver1.0)2008.xx.xx" xfId="4216" xr:uid="{00000000-0005-0000-0000-000078100000}"/>
    <cellStyle name="E_21.K21_품번대장_BMB_UGA NEXT(audio_DPP2 Ver2.0_2134 2EA삭제)2008.xx.xx" xfId="4217" xr:uid="{00000000-0005-0000-0000-000079100000}"/>
    <cellStyle name="E_21.K21_품번대장_Construction Parts_PP2" xfId="4218" xr:uid="{00000000-0005-0000-0000-00007A100000}"/>
    <cellStyle name="E_21.K21_품번대장_Main Board" xfId="4219" xr:uid="{00000000-0005-0000-0000-00007B100000}"/>
    <cellStyle name="E_21.K21_품번대장_Main Board_Construction Parts_PP2" xfId="4220" xr:uid="{00000000-0005-0000-0000-00007C100000}"/>
    <cellStyle name="E_21.K21_품번대장_Main Board_MAIN PBA" xfId="4221" xr:uid="{00000000-0005-0000-0000-00007D100000}"/>
    <cellStyle name="E_21.K21_품번대장_Main Board_PP1 (2)" xfId="4222" xr:uid="{00000000-0005-0000-0000-00007E100000}"/>
    <cellStyle name="E_21.K21_품번대장_Main Board_UGA-N10(Main_MP4.5_Ver1)_2009.02.02" xfId="4223" xr:uid="{00000000-0005-0000-0000-00007F100000}"/>
    <cellStyle name="E_21.K21_품번대장_UGA-N10(Audio_LPP Ver1.0)2008.xx.xx" xfId="4224" xr:uid="{00000000-0005-0000-0000-000080100000}"/>
    <cellStyle name="E_21.K21_품번대장_UGA-N10(Audio_PP2 Ver1.0)2008.08.09" xfId="4225" xr:uid="{00000000-0005-0000-0000-000081100000}"/>
    <cellStyle name="E_21.K21_품번대장_UGA-N10(Construction Parts_PP2_Ver1.0)2008.08.22" xfId="4226" xr:uid="{00000000-0005-0000-0000-000082100000}"/>
    <cellStyle name="E_21.K21_품번대장_UGA-N10(Front_PP2_Ver1.0)_2008.08.22" xfId="4227" xr:uid="{00000000-0005-0000-0000-000083100000}"/>
    <cellStyle name="E_21.K21_품번대장_UGA-N10(Main_DPP2_Ver1)_2008.xx.xx" xfId="4228" xr:uid="{00000000-0005-0000-0000-000084100000}"/>
    <cellStyle name="E_21.K21_품번대장_UGA-N10(Main_LPP_Ver1)_2008.xx.xx" xfId="4229" xr:uid="{00000000-0005-0000-0000-000085100000}"/>
    <cellStyle name="E_21.K21_품번대장_UGA-N10(Main_PP2_Ver1)_2008.08.14" xfId="4230" xr:uid="{00000000-0005-0000-0000-000086100000}"/>
    <cellStyle name="E_22.K22_품번대장" xfId="4231" xr:uid="{00000000-0005-0000-0000-000087100000}"/>
    <cellStyle name="E_22.K22_품번대장 10" xfId="4232" xr:uid="{00000000-0005-0000-0000-000088100000}"/>
    <cellStyle name="E_22.K22_품번대장 11" xfId="4233" xr:uid="{00000000-0005-0000-0000-000089100000}"/>
    <cellStyle name="E_22.K22_품번대장 12" xfId="4234" xr:uid="{00000000-0005-0000-0000-00008A100000}"/>
    <cellStyle name="E_22.K22_품번대장 13" xfId="4235" xr:uid="{00000000-0005-0000-0000-00008B100000}"/>
    <cellStyle name="E_22.K22_품번대장 14" xfId="4236" xr:uid="{00000000-0005-0000-0000-00008C100000}"/>
    <cellStyle name="E_22.K22_품번대장 15" xfId="4237" xr:uid="{00000000-0005-0000-0000-00008D100000}"/>
    <cellStyle name="E_22.K22_품번대장 16" xfId="4238" xr:uid="{00000000-0005-0000-0000-00008E100000}"/>
    <cellStyle name="E_22.K22_품번대장 17" xfId="4239" xr:uid="{00000000-0005-0000-0000-00008F100000}"/>
    <cellStyle name="E_22.K22_품번대장 18" xfId="4240" xr:uid="{00000000-0005-0000-0000-000090100000}"/>
    <cellStyle name="E_22.K22_품번대장 2" xfId="4241" xr:uid="{00000000-0005-0000-0000-000091100000}"/>
    <cellStyle name="E_22.K22_품번대장 3" xfId="4242" xr:uid="{00000000-0005-0000-0000-000092100000}"/>
    <cellStyle name="E_22.K22_품번대장 4" xfId="4243" xr:uid="{00000000-0005-0000-0000-000093100000}"/>
    <cellStyle name="E_22.K22_품번대장 5" xfId="4244" xr:uid="{00000000-0005-0000-0000-000094100000}"/>
    <cellStyle name="E_22.K22_품번대장 6" xfId="4245" xr:uid="{00000000-0005-0000-0000-000095100000}"/>
    <cellStyle name="E_22.K22_품번대장 7" xfId="4246" xr:uid="{00000000-0005-0000-0000-000096100000}"/>
    <cellStyle name="E_22.K22_품번대장 8" xfId="4247" xr:uid="{00000000-0005-0000-0000-000097100000}"/>
    <cellStyle name="E_22.K22_품번대장 9" xfId="4248" xr:uid="{00000000-0005-0000-0000-000098100000}"/>
    <cellStyle name="E_22.K22_품번대장_BMB_UGA NEXT(audio_DPP2 Ver1.0)2008.xx.xx" xfId="4249" xr:uid="{00000000-0005-0000-0000-000099100000}"/>
    <cellStyle name="E_22.K22_품번대장_BMB_UGA NEXT(audio_DPP2 Ver2.0_2134 2EA삭제)2008.xx.xx" xfId="4250" xr:uid="{00000000-0005-0000-0000-00009A100000}"/>
    <cellStyle name="E_22.K22_품번대장_Construction Parts_PP2" xfId="4251" xr:uid="{00000000-0005-0000-0000-00009B100000}"/>
    <cellStyle name="E_22.K22_품번대장_Main Board" xfId="4252" xr:uid="{00000000-0005-0000-0000-00009C100000}"/>
    <cellStyle name="E_22.K22_품번대장_Main Board_Construction Parts_PP2" xfId="4253" xr:uid="{00000000-0005-0000-0000-00009D100000}"/>
    <cellStyle name="E_22.K22_품번대장_Main Board_MAIN PBA" xfId="4254" xr:uid="{00000000-0005-0000-0000-00009E100000}"/>
    <cellStyle name="E_22.K22_품번대장_Main Board_PP1 (2)" xfId="4255" xr:uid="{00000000-0005-0000-0000-00009F100000}"/>
    <cellStyle name="E_22.K22_품번대장_Main Board_UGA-N10(Main_MP4.5_Ver1)_2009.02.02" xfId="4256" xr:uid="{00000000-0005-0000-0000-0000A0100000}"/>
    <cellStyle name="E_22.K22_품번대장_UGA-N10(Audio_LPP Ver1.0)2008.xx.xx" xfId="4257" xr:uid="{00000000-0005-0000-0000-0000A1100000}"/>
    <cellStyle name="E_22.K22_품번대장_UGA-N10(Audio_PP2 Ver1.0)2008.08.09" xfId="4258" xr:uid="{00000000-0005-0000-0000-0000A2100000}"/>
    <cellStyle name="E_22.K22_품번대장_UGA-N10(Construction Parts_PP2_Ver1.0)2008.08.22" xfId="4259" xr:uid="{00000000-0005-0000-0000-0000A3100000}"/>
    <cellStyle name="E_22.K22_품번대장_UGA-N10(Front_PP2_Ver1.0)_2008.08.22" xfId="4260" xr:uid="{00000000-0005-0000-0000-0000A4100000}"/>
    <cellStyle name="E_22.K22_품번대장_UGA-N10(Main_DPP2_Ver1)_2008.xx.xx" xfId="4261" xr:uid="{00000000-0005-0000-0000-0000A5100000}"/>
    <cellStyle name="E_22.K22_품번대장_UGA-N10(Main_LPP_Ver1)_2008.xx.xx" xfId="4262" xr:uid="{00000000-0005-0000-0000-0000A6100000}"/>
    <cellStyle name="E_22.K22_품번대장_UGA-N10(Main_PP2_Ver1)_2008.08.14" xfId="4263" xr:uid="{00000000-0005-0000-0000-0000A7100000}"/>
    <cellStyle name="E_23.K23_품번대장" xfId="4264" xr:uid="{00000000-0005-0000-0000-0000A8100000}"/>
    <cellStyle name="E_23.K23_품번대장 10" xfId="4265" xr:uid="{00000000-0005-0000-0000-0000A9100000}"/>
    <cellStyle name="E_23.K23_품번대장 11" xfId="4266" xr:uid="{00000000-0005-0000-0000-0000AA100000}"/>
    <cellStyle name="E_23.K23_품번대장 12" xfId="4267" xr:uid="{00000000-0005-0000-0000-0000AB100000}"/>
    <cellStyle name="E_23.K23_품번대장 13" xfId="4268" xr:uid="{00000000-0005-0000-0000-0000AC100000}"/>
    <cellStyle name="E_23.K23_품번대장 14" xfId="4269" xr:uid="{00000000-0005-0000-0000-0000AD100000}"/>
    <cellStyle name="E_23.K23_품번대장 15" xfId="4270" xr:uid="{00000000-0005-0000-0000-0000AE100000}"/>
    <cellStyle name="E_23.K23_품번대장 16" xfId="4271" xr:uid="{00000000-0005-0000-0000-0000AF100000}"/>
    <cellStyle name="E_23.K23_품번대장 17" xfId="4272" xr:uid="{00000000-0005-0000-0000-0000B0100000}"/>
    <cellStyle name="E_23.K23_품번대장 18" xfId="4273" xr:uid="{00000000-0005-0000-0000-0000B1100000}"/>
    <cellStyle name="E_23.K23_품번대장 2" xfId="4274" xr:uid="{00000000-0005-0000-0000-0000B2100000}"/>
    <cellStyle name="E_23.K23_품번대장 3" xfId="4275" xr:uid="{00000000-0005-0000-0000-0000B3100000}"/>
    <cellStyle name="E_23.K23_품번대장 4" xfId="4276" xr:uid="{00000000-0005-0000-0000-0000B4100000}"/>
    <cellStyle name="E_23.K23_품번대장 5" xfId="4277" xr:uid="{00000000-0005-0000-0000-0000B5100000}"/>
    <cellStyle name="E_23.K23_품번대장 6" xfId="4278" xr:uid="{00000000-0005-0000-0000-0000B6100000}"/>
    <cellStyle name="E_23.K23_품번대장 7" xfId="4279" xr:uid="{00000000-0005-0000-0000-0000B7100000}"/>
    <cellStyle name="E_23.K23_품번대장 8" xfId="4280" xr:uid="{00000000-0005-0000-0000-0000B8100000}"/>
    <cellStyle name="E_23.K23_품번대장 9" xfId="4281" xr:uid="{00000000-0005-0000-0000-0000B9100000}"/>
    <cellStyle name="E_23.K23_품번대장_BMB_UGA NEXT(audio_DPP2 Ver1.0)2008.xx.xx" xfId="4282" xr:uid="{00000000-0005-0000-0000-0000BA100000}"/>
    <cellStyle name="E_23.K23_품번대장_BMB_UGA NEXT(audio_DPP2 Ver2.0_2134 2EA삭제)2008.xx.xx" xfId="4283" xr:uid="{00000000-0005-0000-0000-0000BB100000}"/>
    <cellStyle name="E_23.K23_품번대장_Construction Parts_PP2" xfId="4284" xr:uid="{00000000-0005-0000-0000-0000BC100000}"/>
    <cellStyle name="E_23.K23_품번대장_Main Board" xfId="4285" xr:uid="{00000000-0005-0000-0000-0000BD100000}"/>
    <cellStyle name="E_23.K23_품번대장_Main Board_Construction Parts_PP2" xfId="4286" xr:uid="{00000000-0005-0000-0000-0000BE100000}"/>
    <cellStyle name="E_23.K23_품번대장_Main Board_MAIN PBA" xfId="4287" xr:uid="{00000000-0005-0000-0000-0000BF100000}"/>
    <cellStyle name="E_23.K23_품번대장_Main Board_PP1 (2)" xfId="4288" xr:uid="{00000000-0005-0000-0000-0000C0100000}"/>
    <cellStyle name="E_23.K23_품번대장_Main Board_UGA-N10(Main_MP4.5_Ver1)_2009.02.02" xfId="4289" xr:uid="{00000000-0005-0000-0000-0000C1100000}"/>
    <cellStyle name="E_23.K23_품번대장_UGA-N10(Audio_LPP Ver1.0)2008.xx.xx" xfId="4290" xr:uid="{00000000-0005-0000-0000-0000C2100000}"/>
    <cellStyle name="E_23.K23_품번대장_UGA-N10(Audio_PP2 Ver1.0)2008.08.09" xfId="4291" xr:uid="{00000000-0005-0000-0000-0000C3100000}"/>
    <cellStyle name="E_23.K23_품번대장_UGA-N10(Construction Parts_PP2_Ver1.0)2008.08.22" xfId="4292" xr:uid="{00000000-0005-0000-0000-0000C4100000}"/>
    <cellStyle name="E_23.K23_품번대장_UGA-N10(Front_PP2_Ver1.0)_2008.08.22" xfId="4293" xr:uid="{00000000-0005-0000-0000-0000C5100000}"/>
    <cellStyle name="E_23.K23_품번대장_UGA-N10(Main_DPP2_Ver1)_2008.xx.xx" xfId="4294" xr:uid="{00000000-0005-0000-0000-0000C6100000}"/>
    <cellStyle name="E_23.K23_품번대장_UGA-N10(Main_LPP_Ver1)_2008.xx.xx" xfId="4295" xr:uid="{00000000-0005-0000-0000-0000C7100000}"/>
    <cellStyle name="E_23.K23_품번대장_UGA-N10(Main_PP2_Ver1)_2008.08.14" xfId="4296" xr:uid="{00000000-0005-0000-0000-0000C8100000}"/>
    <cellStyle name="E_25.K25_품번대장" xfId="4297" xr:uid="{00000000-0005-0000-0000-0000C9100000}"/>
    <cellStyle name="E_25.K25_품번대장 10" xfId="4298" xr:uid="{00000000-0005-0000-0000-0000CA100000}"/>
    <cellStyle name="E_25.K25_품번대장 11" xfId="4299" xr:uid="{00000000-0005-0000-0000-0000CB100000}"/>
    <cellStyle name="E_25.K25_품번대장 12" xfId="4300" xr:uid="{00000000-0005-0000-0000-0000CC100000}"/>
    <cellStyle name="E_25.K25_품번대장 13" xfId="4301" xr:uid="{00000000-0005-0000-0000-0000CD100000}"/>
    <cellStyle name="E_25.K25_품번대장 14" xfId="4302" xr:uid="{00000000-0005-0000-0000-0000CE100000}"/>
    <cellStyle name="E_25.K25_품번대장 15" xfId="4303" xr:uid="{00000000-0005-0000-0000-0000CF100000}"/>
    <cellStyle name="E_25.K25_품번대장 16" xfId="4304" xr:uid="{00000000-0005-0000-0000-0000D0100000}"/>
    <cellStyle name="E_25.K25_품번대장 17" xfId="4305" xr:uid="{00000000-0005-0000-0000-0000D1100000}"/>
    <cellStyle name="E_25.K25_품번대장 18" xfId="4306" xr:uid="{00000000-0005-0000-0000-0000D2100000}"/>
    <cellStyle name="E_25.K25_품번대장 2" xfId="4307" xr:uid="{00000000-0005-0000-0000-0000D3100000}"/>
    <cellStyle name="E_25.K25_품번대장 3" xfId="4308" xr:uid="{00000000-0005-0000-0000-0000D4100000}"/>
    <cellStyle name="E_25.K25_품번대장 4" xfId="4309" xr:uid="{00000000-0005-0000-0000-0000D5100000}"/>
    <cellStyle name="E_25.K25_품번대장 5" xfId="4310" xr:uid="{00000000-0005-0000-0000-0000D6100000}"/>
    <cellStyle name="E_25.K25_품번대장 6" xfId="4311" xr:uid="{00000000-0005-0000-0000-0000D7100000}"/>
    <cellStyle name="E_25.K25_품번대장 7" xfId="4312" xr:uid="{00000000-0005-0000-0000-0000D8100000}"/>
    <cellStyle name="E_25.K25_품번대장 8" xfId="4313" xr:uid="{00000000-0005-0000-0000-0000D9100000}"/>
    <cellStyle name="E_25.K25_품번대장 9" xfId="4314" xr:uid="{00000000-0005-0000-0000-0000DA100000}"/>
    <cellStyle name="E_25.K25_품번대장_BMB_UGA NEXT(audio_DPP2 Ver1.0)2008.xx.xx" xfId="4315" xr:uid="{00000000-0005-0000-0000-0000DB100000}"/>
    <cellStyle name="E_25.K25_품번대장_BMB_UGA NEXT(audio_DPP2 Ver2.0_2134 2EA삭제)2008.xx.xx" xfId="4316" xr:uid="{00000000-0005-0000-0000-0000DC100000}"/>
    <cellStyle name="E_25.K25_품번대장_Construction Parts_PP2" xfId="4317" xr:uid="{00000000-0005-0000-0000-0000DD100000}"/>
    <cellStyle name="E_25.K25_품번대장_Main Board" xfId="4318" xr:uid="{00000000-0005-0000-0000-0000DE100000}"/>
    <cellStyle name="E_25.K25_품번대장_Main Board_Construction Parts_PP2" xfId="4319" xr:uid="{00000000-0005-0000-0000-0000DF100000}"/>
    <cellStyle name="E_25.K25_품번대장_Main Board_MAIN PBA" xfId="4320" xr:uid="{00000000-0005-0000-0000-0000E0100000}"/>
    <cellStyle name="E_25.K25_품번대장_Main Board_PP1 (2)" xfId="4321" xr:uid="{00000000-0005-0000-0000-0000E1100000}"/>
    <cellStyle name="E_25.K25_품번대장_Main Board_UGA-N10(Main_MP4.5_Ver1)_2009.02.02" xfId="4322" xr:uid="{00000000-0005-0000-0000-0000E2100000}"/>
    <cellStyle name="E_25.K25_품번대장_UGA-N10(Audio_LPP Ver1.0)2008.xx.xx" xfId="4323" xr:uid="{00000000-0005-0000-0000-0000E3100000}"/>
    <cellStyle name="E_25.K25_품번대장_UGA-N10(Audio_PP2 Ver1.0)2008.08.09" xfId="4324" xr:uid="{00000000-0005-0000-0000-0000E4100000}"/>
    <cellStyle name="E_25.K25_품번대장_UGA-N10(Construction Parts_PP2_Ver1.0)2008.08.22" xfId="4325" xr:uid="{00000000-0005-0000-0000-0000E5100000}"/>
    <cellStyle name="E_25.K25_품번대장_UGA-N10(Front_PP2_Ver1.0)_2008.08.22" xfId="4326" xr:uid="{00000000-0005-0000-0000-0000E6100000}"/>
    <cellStyle name="E_25.K25_품번대장_UGA-N10(Main_DPP2_Ver1)_2008.xx.xx" xfId="4327" xr:uid="{00000000-0005-0000-0000-0000E7100000}"/>
    <cellStyle name="E_25.K25_품번대장_UGA-N10(Main_LPP_Ver1)_2008.xx.xx" xfId="4328" xr:uid="{00000000-0005-0000-0000-0000E8100000}"/>
    <cellStyle name="E_25.K25_품번대장_UGA-N10(Main_PP2_Ver1)_2008.08.14" xfId="4329" xr:uid="{00000000-0005-0000-0000-0000E9100000}"/>
    <cellStyle name="E_28.K28_품번대장" xfId="4330" xr:uid="{00000000-0005-0000-0000-0000EA100000}"/>
    <cellStyle name="E_28.K28_품번대장 10" xfId="4331" xr:uid="{00000000-0005-0000-0000-0000EB100000}"/>
    <cellStyle name="E_28.K28_품번대장 11" xfId="4332" xr:uid="{00000000-0005-0000-0000-0000EC100000}"/>
    <cellStyle name="E_28.K28_품번대장 12" xfId="4333" xr:uid="{00000000-0005-0000-0000-0000ED100000}"/>
    <cellStyle name="E_28.K28_품번대장 13" xfId="4334" xr:uid="{00000000-0005-0000-0000-0000EE100000}"/>
    <cellStyle name="E_28.K28_품번대장 14" xfId="4335" xr:uid="{00000000-0005-0000-0000-0000EF100000}"/>
    <cellStyle name="E_28.K28_품번대장 15" xfId="4336" xr:uid="{00000000-0005-0000-0000-0000F0100000}"/>
    <cellStyle name="E_28.K28_품번대장 16" xfId="4337" xr:uid="{00000000-0005-0000-0000-0000F1100000}"/>
    <cellStyle name="E_28.K28_품번대장 17" xfId="4338" xr:uid="{00000000-0005-0000-0000-0000F2100000}"/>
    <cellStyle name="E_28.K28_품번대장 18" xfId="4339" xr:uid="{00000000-0005-0000-0000-0000F3100000}"/>
    <cellStyle name="E_28.K28_품번대장 2" xfId="4340" xr:uid="{00000000-0005-0000-0000-0000F4100000}"/>
    <cellStyle name="E_28.K28_품번대장 3" xfId="4341" xr:uid="{00000000-0005-0000-0000-0000F5100000}"/>
    <cellStyle name="E_28.K28_품번대장 4" xfId="4342" xr:uid="{00000000-0005-0000-0000-0000F6100000}"/>
    <cellStyle name="E_28.K28_품번대장 5" xfId="4343" xr:uid="{00000000-0005-0000-0000-0000F7100000}"/>
    <cellStyle name="E_28.K28_품번대장 6" xfId="4344" xr:uid="{00000000-0005-0000-0000-0000F8100000}"/>
    <cellStyle name="E_28.K28_품번대장 7" xfId="4345" xr:uid="{00000000-0005-0000-0000-0000F9100000}"/>
    <cellStyle name="E_28.K28_품번대장 8" xfId="4346" xr:uid="{00000000-0005-0000-0000-0000FA100000}"/>
    <cellStyle name="E_28.K28_품번대장 9" xfId="4347" xr:uid="{00000000-0005-0000-0000-0000FB100000}"/>
    <cellStyle name="E_28.K28_품번대장_BMB_UGA NEXT(audio_DPP2 Ver1.0)2008.xx.xx" xfId="4348" xr:uid="{00000000-0005-0000-0000-0000FC100000}"/>
    <cellStyle name="E_28.K28_품번대장_BMB_UGA NEXT(audio_DPP2 Ver2.0_2134 2EA삭제)2008.xx.xx" xfId="4349" xr:uid="{00000000-0005-0000-0000-0000FD100000}"/>
    <cellStyle name="E_28.K28_품번대장_Construction Parts_PP2" xfId="4350" xr:uid="{00000000-0005-0000-0000-0000FE100000}"/>
    <cellStyle name="E_28.K28_품번대장_Main Board" xfId="4351" xr:uid="{00000000-0005-0000-0000-0000FF100000}"/>
    <cellStyle name="E_28.K28_품번대장_Main Board_Construction Parts_PP2" xfId="4352" xr:uid="{00000000-0005-0000-0000-000000110000}"/>
    <cellStyle name="E_28.K28_품번대장_Main Board_MAIN PBA" xfId="4353" xr:uid="{00000000-0005-0000-0000-000001110000}"/>
    <cellStyle name="E_28.K28_품번대장_Main Board_PP1 (2)" xfId="4354" xr:uid="{00000000-0005-0000-0000-000002110000}"/>
    <cellStyle name="E_28.K28_품번대장_Main Board_UGA-N10(Main_MP4.5_Ver1)_2009.02.02" xfId="4355" xr:uid="{00000000-0005-0000-0000-000003110000}"/>
    <cellStyle name="E_28.K28_품번대장_UGA-N10(Audio_LPP Ver1.0)2008.xx.xx" xfId="4356" xr:uid="{00000000-0005-0000-0000-000004110000}"/>
    <cellStyle name="E_28.K28_품번대장_UGA-N10(Audio_PP2 Ver1.0)2008.08.09" xfId="4357" xr:uid="{00000000-0005-0000-0000-000005110000}"/>
    <cellStyle name="E_28.K28_품번대장_UGA-N10(Construction Parts_PP2_Ver1.0)2008.08.22" xfId="4358" xr:uid="{00000000-0005-0000-0000-000006110000}"/>
    <cellStyle name="E_28.K28_품번대장_UGA-N10(Front_PP2_Ver1.0)_2008.08.22" xfId="4359" xr:uid="{00000000-0005-0000-0000-000007110000}"/>
    <cellStyle name="E_28.K28_품번대장_UGA-N10(Main_DPP2_Ver1)_2008.xx.xx" xfId="4360" xr:uid="{00000000-0005-0000-0000-000008110000}"/>
    <cellStyle name="E_28.K28_품번대장_UGA-N10(Main_LPP_Ver1)_2008.xx.xx" xfId="4361" xr:uid="{00000000-0005-0000-0000-000009110000}"/>
    <cellStyle name="E_28.K28_품번대장_UGA-N10(Main_PP2_Ver1)_2008.08.14" xfId="4362" xr:uid="{00000000-0005-0000-0000-00000A110000}"/>
    <cellStyle name="E_29.K29_품번대장" xfId="4363" xr:uid="{00000000-0005-0000-0000-00000B110000}"/>
    <cellStyle name="E_29.K29_품번대장 10" xfId="4364" xr:uid="{00000000-0005-0000-0000-00000C110000}"/>
    <cellStyle name="E_29.K29_품번대장 11" xfId="4365" xr:uid="{00000000-0005-0000-0000-00000D110000}"/>
    <cellStyle name="E_29.K29_품번대장 12" xfId="4366" xr:uid="{00000000-0005-0000-0000-00000E110000}"/>
    <cellStyle name="E_29.K29_품번대장 13" xfId="4367" xr:uid="{00000000-0005-0000-0000-00000F110000}"/>
    <cellStyle name="E_29.K29_품번대장 14" xfId="4368" xr:uid="{00000000-0005-0000-0000-000010110000}"/>
    <cellStyle name="E_29.K29_품번대장 15" xfId="4369" xr:uid="{00000000-0005-0000-0000-000011110000}"/>
    <cellStyle name="E_29.K29_품번대장 16" xfId="4370" xr:uid="{00000000-0005-0000-0000-000012110000}"/>
    <cellStyle name="E_29.K29_품번대장 17" xfId="4371" xr:uid="{00000000-0005-0000-0000-000013110000}"/>
    <cellStyle name="E_29.K29_품번대장 18" xfId="4372" xr:uid="{00000000-0005-0000-0000-000014110000}"/>
    <cellStyle name="E_29.K29_품번대장 2" xfId="4373" xr:uid="{00000000-0005-0000-0000-000015110000}"/>
    <cellStyle name="E_29.K29_품번대장 3" xfId="4374" xr:uid="{00000000-0005-0000-0000-000016110000}"/>
    <cellStyle name="E_29.K29_품번대장 4" xfId="4375" xr:uid="{00000000-0005-0000-0000-000017110000}"/>
    <cellStyle name="E_29.K29_품번대장 5" xfId="4376" xr:uid="{00000000-0005-0000-0000-000018110000}"/>
    <cellStyle name="E_29.K29_품번대장 6" xfId="4377" xr:uid="{00000000-0005-0000-0000-000019110000}"/>
    <cellStyle name="E_29.K29_품번대장 7" xfId="4378" xr:uid="{00000000-0005-0000-0000-00001A110000}"/>
    <cellStyle name="E_29.K29_품번대장 8" xfId="4379" xr:uid="{00000000-0005-0000-0000-00001B110000}"/>
    <cellStyle name="E_29.K29_품번대장 9" xfId="4380" xr:uid="{00000000-0005-0000-0000-00001C110000}"/>
    <cellStyle name="E_29.K29_품번대장_BMB_UGA NEXT(audio_DPP2 Ver1.0)2008.xx.xx" xfId="4381" xr:uid="{00000000-0005-0000-0000-00001D110000}"/>
    <cellStyle name="E_29.K29_품번대장_BMB_UGA NEXT(audio_DPP2 Ver2.0_2134 2EA삭제)2008.xx.xx" xfId="4382" xr:uid="{00000000-0005-0000-0000-00001E110000}"/>
    <cellStyle name="E_29.K29_품번대장_Construction Parts_PP2" xfId="4383" xr:uid="{00000000-0005-0000-0000-00001F110000}"/>
    <cellStyle name="E_29.K29_품번대장_Main Board" xfId="4384" xr:uid="{00000000-0005-0000-0000-000020110000}"/>
    <cellStyle name="E_29.K29_품번대장_Main Board_Construction Parts_PP2" xfId="4385" xr:uid="{00000000-0005-0000-0000-000021110000}"/>
    <cellStyle name="E_29.K29_품번대장_Main Board_MAIN PBA" xfId="4386" xr:uid="{00000000-0005-0000-0000-000022110000}"/>
    <cellStyle name="E_29.K29_품번대장_Main Board_PP1 (2)" xfId="4387" xr:uid="{00000000-0005-0000-0000-000023110000}"/>
    <cellStyle name="E_29.K29_품번대장_Main Board_UGA-N10(Main_MP4.5_Ver1)_2009.02.02" xfId="4388" xr:uid="{00000000-0005-0000-0000-000024110000}"/>
    <cellStyle name="E_29.K29_품번대장_UGA-N10(Audio_LPP Ver1.0)2008.xx.xx" xfId="4389" xr:uid="{00000000-0005-0000-0000-000025110000}"/>
    <cellStyle name="E_29.K29_품번대장_UGA-N10(Audio_PP2 Ver1.0)2008.08.09" xfId="4390" xr:uid="{00000000-0005-0000-0000-000026110000}"/>
    <cellStyle name="E_29.K29_품번대장_UGA-N10(Construction Parts_PP2_Ver1.0)2008.08.22" xfId="4391" xr:uid="{00000000-0005-0000-0000-000027110000}"/>
    <cellStyle name="E_29.K29_품번대장_UGA-N10(Front_PP2_Ver1.0)_2008.08.22" xfId="4392" xr:uid="{00000000-0005-0000-0000-000028110000}"/>
    <cellStyle name="E_29.K29_품번대장_UGA-N10(Main_DPP2_Ver1)_2008.xx.xx" xfId="4393" xr:uid="{00000000-0005-0000-0000-000029110000}"/>
    <cellStyle name="E_29.K29_품번대장_UGA-N10(Main_LPP_Ver1)_2008.xx.xx" xfId="4394" xr:uid="{00000000-0005-0000-0000-00002A110000}"/>
    <cellStyle name="E_29.K29_품번대장_UGA-N10(Main_PP2_Ver1)_2008.08.14" xfId="4395" xr:uid="{00000000-0005-0000-0000-00002B110000}"/>
    <cellStyle name="E_3.K03_품번대장" xfId="4429" xr:uid="{00000000-0005-0000-0000-00004D110000}"/>
    <cellStyle name="E_3.K03_품번대장 10" xfId="4430" xr:uid="{00000000-0005-0000-0000-00004E110000}"/>
    <cellStyle name="E_3.K03_품번대장 11" xfId="4431" xr:uid="{00000000-0005-0000-0000-00004F110000}"/>
    <cellStyle name="E_3.K03_품번대장 12" xfId="4432" xr:uid="{00000000-0005-0000-0000-000050110000}"/>
    <cellStyle name="E_3.K03_품번대장 13" xfId="4433" xr:uid="{00000000-0005-0000-0000-000051110000}"/>
    <cellStyle name="E_3.K03_품번대장 14" xfId="4434" xr:uid="{00000000-0005-0000-0000-000052110000}"/>
    <cellStyle name="E_3.K03_품번대장 15" xfId="4435" xr:uid="{00000000-0005-0000-0000-000053110000}"/>
    <cellStyle name="E_3.K03_품번대장 16" xfId="4436" xr:uid="{00000000-0005-0000-0000-000054110000}"/>
    <cellStyle name="E_3.K03_품번대장 17" xfId="4437" xr:uid="{00000000-0005-0000-0000-000055110000}"/>
    <cellStyle name="E_3.K03_품번대장 18" xfId="4438" xr:uid="{00000000-0005-0000-0000-000056110000}"/>
    <cellStyle name="E_3.K03_품번대장 2" xfId="4439" xr:uid="{00000000-0005-0000-0000-000057110000}"/>
    <cellStyle name="E_3.K03_품번대장 3" xfId="4440" xr:uid="{00000000-0005-0000-0000-000058110000}"/>
    <cellStyle name="E_3.K03_품번대장 4" xfId="4441" xr:uid="{00000000-0005-0000-0000-000059110000}"/>
    <cellStyle name="E_3.K03_품번대장 5" xfId="4442" xr:uid="{00000000-0005-0000-0000-00005A110000}"/>
    <cellStyle name="E_3.K03_품번대장 6" xfId="4443" xr:uid="{00000000-0005-0000-0000-00005B110000}"/>
    <cellStyle name="E_3.K03_품번대장 7" xfId="4444" xr:uid="{00000000-0005-0000-0000-00005C110000}"/>
    <cellStyle name="E_3.K03_품번대장 8" xfId="4445" xr:uid="{00000000-0005-0000-0000-00005D110000}"/>
    <cellStyle name="E_3.K03_품번대장 9" xfId="4446" xr:uid="{00000000-0005-0000-0000-00005E110000}"/>
    <cellStyle name="E_3.K03_품번대장_BMB_UGA NEXT(audio_DPP2 Ver1.0)2008.xx.xx" xfId="4447" xr:uid="{00000000-0005-0000-0000-00005F110000}"/>
    <cellStyle name="E_3.K03_품번대장_BMB_UGA NEXT(audio_DPP2 Ver2.0_2134 2EA삭제)2008.xx.xx" xfId="4448" xr:uid="{00000000-0005-0000-0000-000060110000}"/>
    <cellStyle name="E_3.K03_품번대장_Construction Parts_PP2" xfId="4449" xr:uid="{00000000-0005-0000-0000-000061110000}"/>
    <cellStyle name="E_3.K03_품번대장_Main Board" xfId="4450" xr:uid="{00000000-0005-0000-0000-000062110000}"/>
    <cellStyle name="E_3.K03_품번대장_Main Board_Construction Parts_PP2" xfId="4451" xr:uid="{00000000-0005-0000-0000-000063110000}"/>
    <cellStyle name="E_3.K03_품번대장_Main Board_MAIN PBA" xfId="4452" xr:uid="{00000000-0005-0000-0000-000064110000}"/>
    <cellStyle name="E_3.K03_품번대장_Main Board_PP1 (2)" xfId="4453" xr:uid="{00000000-0005-0000-0000-000065110000}"/>
    <cellStyle name="E_3.K03_품번대장_Main Board_UGA-N10(Main_MP4.5_Ver1)_2009.02.02" xfId="4454" xr:uid="{00000000-0005-0000-0000-000066110000}"/>
    <cellStyle name="E_3.K03_품번대장_UGA-N10(Audio_LPP Ver1.0)2008.xx.xx" xfId="4455" xr:uid="{00000000-0005-0000-0000-000067110000}"/>
    <cellStyle name="E_3.K03_품번대장_UGA-N10(Audio_PP2 Ver1.0)2008.08.09" xfId="4456" xr:uid="{00000000-0005-0000-0000-000068110000}"/>
    <cellStyle name="E_3.K03_품번대장_UGA-N10(Construction Parts_PP2_Ver1.0)2008.08.22" xfId="4457" xr:uid="{00000000-0005-0000-0000-000069110000}"/>
    <cellStyle name="E_3.K03_품번대장_UGA-N10(Front_PP2_Ver1.0)_2008.08.22" xfId="4458" xr:uid="{00000000-0005-0000-0000-00006A110000}"/>
    <cellStyle name="E_3.K03_품번대장_UGA-N10(Main_DPP2_Ver1)_2008.xx.xx" xfId="4459" xr:uid="{00000000-0005-0000-0000-00006B110000}"/>
    <cellStyle name="E_3.K03_품번대장_UGA-N10(Main_LPP_Ver1)_2008.xx.xx" xfId="4460" xr:uid="{00000000-0005-0000-0000-00006C110000}"/>
    <cellStyle name="E_3.K03_품번대장_UGA-N10(Main_PP2_Ver1)_2008.08.14" xfId="4461" xr:uid="{00000000-0005-0000-0000-00006D110000}"/>
    <cellStyle name="E_3.금영 품번부여(VER 0.0_071213)" xfId="4396" xr:uid="{00000000-0005-0000-0000-00002C110000}"/>
    <cellStyle name="E_3.금영 품번부여(VER 0.0_071213) 10" xfId="4397" xr:uid="{00000000-0005-0000-0000-00002D110000}"/>
    <cellStyle name="E_3.금영 품번부여(VER 0.0_071213) 11" xfId="4398" xr:uid="{00000000-0005-0000-0000-00002E110000}"/>
    <cellStyle name="E_3.금영 품번부여(VER 0.0_071213) 12" xfId="4399" xr:uid="{00000000-0005-0000-0000-00002F110000}"/>
    <cellStyle name="E_3.금영 품번부여(VER 0.0_071213) 13" xfId="4400" xr:uid="{00000000-0005-0000-0000-000030110000}"/>
    <cellStyle name="E_3.금영 품번부여(VER 0.0_071213) 14" xfId="4401" xr:uid="{00000000-0005-0000-0000-000031110000}"/>
    <cellStyle name="E_3.금영 품번부여(VER 0.0_071213) 15" xfId="4402" xr:uid="{00000000-0005-0000-0000-000032110000}"/>
    <cellStyle name="E_3.금영 품번부여(VER 0.0_071213) 16" xfId="4403" xr:uid="{00000000-0005-0000-0000-000033110000}"/>
    <cellStyle name="E_3.금영 품번부여(VER 0.0_071213) 17" xfId="4404" xr:uid="{00000000-0005-0000-0000-000034110000}"/>
    <cellStyle name="E_3.금영 품번부여(VER 0.0_071213) 18" xfId="4405" xr:uid="{00000000-0005-0000-0000-000035110000}"/>
    <cellStyle name="E_3.금영 품번부여(VER 0.0_071213) 2" xfId="4406" xr:uid="{00000000-0005-0000-0000-000036110000}"/>
    <cellStyle name="E_3.금영 품번부여(VER 0.0_071213) 3" xfId="4407" xr:uid="{00000000-0005-0000-0000-000037110000}"/>
    <cellStyle name="E_3.금영 품번부여(VER 0.0_071213) 4" xfId="4408" xr:uid="{00000000-0005-0000-0000-000038110000}"/>
    <cellStyle name="E_3.금영 품번부여(VER 0.0_071213) 5" xfId="4409" xr:uid="{00000000-0005-0000-0000-000039110000}"/>
    <cellStyle name="E_3.금영 품번부여(VER 0.0_071213) 6" xfId="4410" xr:uid="{00000000-0005-0000-0000-00003A110000}"/>
    <cellStyle name="E_3.금영 품번부여(VER 0.0_071213) 7" xfId="4411" xr:uid="{00000000-0005-0000-0000-00003B110000}"/>
    <cellStyle name="E_3.금영 품번부여(VER 0.0_071213) 8" xfId="4412" xr:uid="{00000000-0005-0000-0000-00003C110000}"/>
    <cellStyle name="E_3.금영 품번부여(VER 0.0_071213) 9" xfId="4413" xr:uid="{00000000-0005-0000-0000-00003D110000}"/>
    <cellStyle name="E_3.금영 품번부여(VER 0.0_071213)_BMB_UGA NEXT(audio_DPP2 Ver1.0)2008.xx.xx" xfId="4414" xr:uid="{00000000-0005-0000-0000-00003E110000}"/>
    <cellStyle name="E_3.금영 품번부여(VER 0.0_071213)_BMB_UGA NEXT(audio_DPP2 Ver2.0_2134 2EA삭제)2008.xx.xx" xfId="4415" xr:uid="{00000000-0005-0000-0000-00003F110000}"/>
    <cellStyle name="E_3.금영 품번부여(VER 0.0_071213)_Construction Parts_PP2" xfId="4416" xr:uid="{00000000-0005-0000-0000-000040110000}"/>
    <cellStyle name="E_3.금영 품번부여(VER 0.0_071213)_Main Board" xfId="4417" xr:uid="{00000000-0005-0000-0000-000041110000}"/>
    <cellStyle name="E_3.금영 품번부여(VER 0.0_071213)_Main Board_Construction Parts_PP2" xfId="4418" xr:uid="{00000000-0005-0000-0000-000042110000}"/>
    <cellStyle name="E_3.금영 품번부여(VER 0.0_071213)_Main Board_MAIN PBA" xfId="4419" xr:uid="{00000000-0005-0000-0000-000043110000}"/>
    <cellStyle name="E_3.금영 품번부여(VER 0.0_071213)_Main Board_PP1 (2)" xfId="4420" xr:uid="{00000000-0005-0000-0000-000044110000}"/>
    <cellStyle name="E_3.금영 품번부여(VER 0.0_071213)_Main Board_UGA-N10(Main_MP4.5_Ver1)_2009.02.02" xfId="4421" xr:uid="{00000000-0005-0000-0000-000045110000}"/>
    <cellStyle name="E_3.금영 품번부여(VER 0.0_071213)_UGA-N10(Audio_LPP Ver1.0)2008.xx.xx" xfId="4422" xr:uid="{00000000-0005-0000-0000-000046110000}"/>
    <cellStyle name="E_3.금영 품번부여(VER 0.0_071213)_UGA-N10(Audio_PP2 Ver1.0)2008.08.09" xfId="4423" xr:uid="{00000000-0005-0000-0000-000047110000}"/>
    <cellStyle name="E_3.금영 품번부여(VER 0.0_071213)_UGA-N10(Construction Parts_PP2_Ver1.0)2008.08.22" xfId="4424" xr:uid="{00000000-0005-0000-0000-000048110000}"/>
    <cellStyle name="E_3.금영 품번부여(VER 0.0_071213)_UGA-N10(Front_PP2_Ver1.0)_2008.08.22" xfId="4425" xr:uid="{00000000-0005-0000-0000-000049110000}"/>
    <cellStyle name="E_3.금영 품번부여(VER 0.0_071213)_UGA-N10(Main_DPP2_Ver1)_2008.xx.xx" xfId="4426" xr:uid="{00000000-0005-0000-0000-00004A110000}"/>
    <cellStyle name="E_3.금영 품번부여(VER 0.0_071213)_UGA-N10(Main_LPP_Ver1)_2008.xx.xx" xfId="4427" xr:uid="{00000000-0005-0000-0000-00004B110000}"/>
    <cellStyle name="E_3.금영 품번부여(VER 0.0_071213)_UGA-N10(Main_PP2_Ver1)_2008.08.14" xfId="4428" xr:uid="{00000000-0005-0000-0000-00004C110000}"/>
    <cellStyle name="E_32.K32_품번대장" xfId="4462" xr:uid="{00000000-0005-0000-0000-00006E110000}"/>
    <cellStyle name="E_32.K32_품번대장 10" xfId="4463" xr:uid="{00000000-0005-0000-0000-00006F110000}"/>
    <cellStyle name="E_32.K32_품번대장 11" xfId="4464" xr:uid="{00000000-0005-0000-0000-000070110000}"/>
    <cellStyle name="E_32.K32_품번대장 12" xfId="4465" xr:uid="{00000000-0005-0000-0000-000071110000}"/>
    <cellStyle name="E_32.K32_품번대장 13" xfId="4466" xr:uid="{00000000-0005-0000-0000-000072110000}"/>
    <cellStyle name="E_32.K32_품번대장 14" xfId="4467" xr:uid="{00000000-0005-0000-0000-000073110000}"/>
    <cellStyle name="E_32.K32_품번대장 15" xfId="4468" xr:uid="{00000000-0005-0000-0000-000074110000}"/>
    <cellStyle name="E_32.K32_품번대장 16" xfId="4469" xr:uid="{00000000-0005-0000-0000-000075110000}"/>
    <cellStyle name="E_32.K32_품번대장 17" xfId="4470" xr:uid="{00000000-0005-0000-0000-000076110000}"/>
    <cellStyle name="E_32.K32_품번대장 18" xfId="4471" xr:uid="{00000000-0005-0000-0000-000077110000}"/>
    <cellStyle name="E_32.K32_품번대장 2" xfId="4472" xr:uid="{00000000-0005-0000-0000-000078110000}"/>
    <cellStyle name="E_32.K32_품번대장 3" xfId="4473" xr:uid="{00000000-0005-0000-0000-000079110000}"/>
    <cellStyle name="E_32.K32_품번대장 4" xfId="4474" xr:uid="{00000000-0005-0000-0000-00007A110000}"/>
    <cellStyle name="E_32.K32_품번대장 5" xfId="4475" xr:uid="{00000000-0005-0000-0000-00007B110000}"/>
    <cellStyle name="E_32.K32_품번대장 6" xfId="4476" xr:uid="{00000000-0005-0000-0000-00007C110000}"/>
    <cellStyle name="E_32.K32_품번대장 7" xfId="4477" xr:uid="{00000000-0005-0000-0000-00007D110000}"/>
    <cellStyle name="E_32.K32_품번대장 8" xfId="4478" xr:uid="{00000000-0005-0000-0000-00007E110000}"/>
    <cellStyle name="E_32.K32_품번대장 9" xfId="4479" xr:uid="{00000000-0005-0000-0000-00007F110000}"/>
    <cellStyle name="E_32.K32_품번대장_BMB_UGA NEXT(audio_DPP2 Ver1.0)2008.xx.xx" xfId="4480" xr:uid="{00000000-0005-0000-0000-000080110000}"/>
    <cellStyle name="E_32.K32_품번대장_BMB_UGA NEXT(audio_DPP2 Ver2.0_2134 2EA삭제)2008.xx.xx" xfId="4481" xr:uid="{00000000-0005-0000-0000-000081110000}"/>
    <cellStyle name="E_32.K32_품번대장_Construction Parts_PP2" xfId="4482" xr:uid="{00000000-0005-0000-0000-000082110000}"/>
    <cellStyle name="E_32.K32_품번대장_Main Board" xfId="4483" xr:uid="{00000000-0005-0000-0000-000083110000}"/>
    <cellStyle name="E_32.K32_품번대장_Main Board_Construction Parts_PP2" xfId="4484" xr:uid="{00000000-0005-0000-0000-000084110000}"/>
    <cellStyle name="E_32.K32_품번대장_Main Board_MAIN PBA" xfId="4485" xr:uid="{00000000-0005-0000-0000-000085110000}"/>
    <cellStyle name="E_32.K32_품번대장_Main Board_PP1 (2)" xfId="4486" xr:uid="{00000000-0005-0000-0000-000086110000}"/>
    <cellStyle name="E_32.K32_품번대장_Main Board_UGA-N10(Main_MP4.5_Ver1)_2009.02.02" xfId="4487" xr:uid="{00000000-0005-0000-0000-000087110000}"/>
    <cellStyle name="E_32.K32_품번대장_UGA-N10(Audio_LPP Ver1.0)2008.xx.xx" xfId="4488" xr:uid="{00000000-0005-0000-0000-000088110000}"/>
    <cellStyle name="E_32.K32_품번대장_UGA-N10(Audio_PP2 Ver1.0)2008.08.09" xfId="4489" xr:uid="{00000000-0005-0000-0000-000089110000}"/>
    <cellStyle name="E_32.K32_품번대장_UGA-N10(Construction Parts_PP2_Ver1.0)2008.08.22" xfId="4490" xr:uid="{00000000-0005-0000-0000-00008A110000}"/>
    <cellStyle name="E_32.K32_품번대장_UGA-N10(Front_PP2_Ver1.0)_2008.08.22" xfId="4491" xr:uid="{00000000-0005-0000-0000-00008B110000}"/>
    <cellStyle name="E_32.K32_품번대장_UGA-N10(Main_DPP2_Ver1)_2008.xx.xx" xfId="4492" xr:uid="{00000000-0005-0000-0000-00008C110000}"/>
    <cellStyle name="E_32.K32_품번대장_UGA-N10(Main_LPP_Ver1)_2008.xx.xx" xfId="4493" xr:uid="{00000000-0005-0000-0000-00008D110000}"/>
    <cellStyle name="E_32.K32_품번대장_UGA-N10(Main_PP2_Ver1)_2008.08.14" xfId="4494" xr:uid="{00000000-0005-0000-0000-00008E110000}"/>
    <cellStyle name="E_33.K33_품번대장" xfId="4495" xr:uid="{00000000-0005-0000-0000-00008F110000}"/>
    <cellStyle name="E_33.K33_품번대장 10" xfId="4496" xr:uid="{00000000-0005-0000-0000-000090110000}"/>
    <cellStyle name="E_33.K33_품번대장 11" xfId="4497" xr:uid="{00000000-0005-0000-0000-000091110000}"/>
    <cellStyle name="E_33.K33_품번대장 12" xfId="4498" xr:uid="{00000000-0005-0000-0000-000092110000}"/>
    <cellStyle name="E_33.K33_품번대장 13" xfId="4499" xr:uid="{00000000-0005-0000-0000-000093110000}"/>
    <cellStyle name="E_33.K33_품번대장 14" xfId="4500" xr:uid="{00000000-0005-0000-0000-000094110000}"/>
    <cellStyle name="E_33.K33_품번대장 15" xfId="4501" xr:uid="{00000000-0005-0000-0000-000095110000}"/>
    <cellStyle name="E_33.K33_품번대장 16" xfId="4502" xr:uid="{00000000-0005-0000-0000-000096110000}"/>
    <cellStyle name="E_33.K33_품번대장 17" xfId="4503" xr:uid="{00000000-0005-0000-0000-000097110000}"/>
    <cellStyle name="E_33.K33_품번대장 18" xfId="4504" xr:uid="{00000000-0005-0000-0000-000098110000}"/>
    <cellStyle name="E_33.K33_품번대장 2" xfId="4505" xr:uid="{00000000-0005-0000-0000-000099110000}"/>
    <cellStyle name="E_33.K33_품번대장 3" xfId="4506" xr:uid="{00000000-0005-0000-0000-00009A110000}"/>
    <cellStyle name="E_33.K33_품번대장 4" xfId="4507" xr:uid="{00000000-0005-0000-0000-00009B110000}"/>
    <cellStyle name="E_33.K33_품번대장 5" xfId="4508" xr:uid="{00000000-0005-0000-0000-00009C110000}"/>
    <cellStyle name="E_33.K33_품번대장 6" xfId="4509" xr:uid="{00000000-0005-0000-0000-00009D110000}"/>
    <cellStyle name="E_33.K33_품번대장 7" xfId="4510" xr:uid="{00000000-0005-0000-0000-00009E110000}"/>
    <cellStyle name="E_33.K33_품번대장 8" xfId="4511" xr:uid="{00000000-0005-0000-0000-00009F110000}"/>
    <cellStyle name="E_33.K33_품번대장 9" xfId="4512" xr:uid="{00000000-0005-0000-0000-0000A0110000}"/>
    <cellStyle name="E_33.K33_품번대장_BMB_UGA NEXT(audio_DPP2 Ver1.0)2008.xx.xx" xfId="4513" xr:uid="{00000000-0005-0000-0000-0000A1110000}"/>
    <cellStyle name="E_33.K33_품번대장_BMB_UGA NEXT(audio_DPP2 Ver2.0_2134 2EA삭제)2008.xx.xx" xfId="4514" xr:uid="{00000000-0005-0000-0000-0000A2110000}"/>
    <cellStyle name="E_33.K33_품번대장_Construction Parts_PP2" xfId="4515" xr:uid="{00000000-0005-0000-0000-0000A3110000}"/>
    <cellStyle name="E_33.K33_품번대장_Main Board" xfId="4516" xr:uid="{00000000-0005-0000-0000-0000A4110000}"/>
    <cellStyle name="E_33.K33_품번대장_Main Board_Construction Parts_PP2" xfId="4517" xr:uid="{00000000-0005-0000-0000-0000A5110000}"/>
    <cellStyle name="E_33.K33_품번대장_Main Board_MAIN PBA" xfId="4518" xr:uid="{00000000-0005-0000-0000-0000A6110000}"/>
    <cellStyle name="E_33.K33_품번대장_Main Board_PP1 (2)" xfId="4519" xr:uid="{00000000-0005-0000-0000-0000A7110000}"/>
    <cellStyle name="E_33.K33_품번대장_Main Board_UGA-N10(Main_MP4.5_Ver1)_2009.02.02" xfId="4520" xr:uid="{00000000-0005-0000-0000-0000A8110000}"/>
    <cellStyle name="E_33.K33_품번대장_UGA-N10(Audio_LPP Ver1.0)2008.xx.xx" xfId="4521" xr:uid="{00000000-0005-0000-0000-0000A9110000}"/>
    <cellStyle name="E_33.K33_품번대장_UGA-N10(Audio_PP2 Ver1.0)2008.08.09" xfId="4522" xr:uid="{00000000-0005-0000-0000-0000AA110000}"/>
    <cellStyle name="E_33.K33_품번대장_UGA-N10(Construction Parts_PP2_Ver1.0)2008.08.22" xfId="4523" xr:uid="{00000000-0005-0000-0000-0000AB110000}"/>
    <cellStyle name="E_33.K33_품번대장_UGA-N10(Front_PP2_Ver1.0)_2008.08.22" xfId="4524" xr:uid="{00000000-0005-0000-0000-0000AC110000}"/>
    <cellStyle name="E_33.K33_품번대장_UGA-N10(Main_DPP2_Ver1)_2008.xx.xx" xfId="4525" xr:uid="{00000000-0005-0000-0000-0000AD110000}"/>
    <cellStyle name="E_33.K33_품번대장_UGA-N10(Main_LPP_Ver1)_2008.xx.xx" xfId="4526" xr:uid="{00000000-0005-0000-0000-0000AE110000}"/>
    <cellStyle name="E_33.K33_품번대장_UGA-N10(Main_PP2_Ver1)_2008.08.14" xfId="4527" xr:uid="{00000000-0005-0000-0000-0000AF110000}"/>
    <cellStyle name="E_34.K34_품번대장" xfId="4528" xr:uid="{00000000-0005-0000-0000-0000B0110000}"/>
    <cellStyle name="E_34.K34_품번대장 10" xfId="4529" xr:uid="{00000000-0005-0000-0000-0000B1110000}"/>
    <cellStyle name="E_34.K34_품번대장 11" xfId="4530" xr:uid="{00000000-0005-0000-0000-0000B2110000}"/>
    <cellStyle name="E_34.K34_품번대장 12" xfId="4531" xr:uid="{00000000-0005-0000-0000-0000B3110000}"/>
    <cellStyle name="E_34.K34_품번대장 13" xfId="4532" xr:uid="{00000000-0005-0000-0000-0000B4110000}"/>
    <cellStyle name="E_34.K34_품번대장 14" xfId="4533" xr:uid="{00000000-0005-0000-0000-0000B5110000}"/>
    <cellStyle name="E_34.K34_품번대장 15" xfId="4534" xr:uid="{00000000-0005-0000-0000-0000B6110000}"/>
    <cellStyle name="E_34.K34_품번대장 16" xfId="4535" xr:uid="{00000000-0005-0000-0000-0000B7110000}"/>
    <cellStyle name="E_34.K34_품번대장 17" xfId="4536" xr:uid="{00000000-0005-0000-0000-0000B8110000}"/>
    <cellStyle name="E_34.K34_품번대장 18" xfId="4537" xr:uid="{00000000-0005-0000-0000-0000B9110000}"/>
    <cellStyle name="E_34.K34_품번대장 2" xfId="4538" xr:uid="{00000000-0005-0000-0000-0000BA110000}"/>
    <cellStyle name="E_34.K34_품번대장 3" xfId="4539" xr:uid="{00000000-0005-0000-0000-0000BB110000}"/>
    <cellStyle name="E_34.K34_품번대장 4" xfId="4540" xr:uid="{00000000-0005-0000-0000-0000BC110000}"/>
    <cellStyle name="E_34.K34_품번대장 5" xfId="4541" xr:uid="{00000000-0005-0000-0000-0000BD110000}"/>
    <cellStyle name="E_34.K34_품번대장 6" xfId="4542" xr:uid="{00000000-0005-0000-0000-0000BE110000}"/>
    <cellStyle name="E_34.K34_품번대장 7" xfId="4543" xr:uid="{00000000-0005-0000-0000-0000BF110000}"/>
    <cellStyle name="E_34.K34_품번대장 8" xfId="4544" xr:uid="{00000000-0005-0000-0000-0000C0110000}"/>
    <cellStyle name="E_34.K34_품번대장 9" xfId="4545" xr:uid="{00000000-0005-0000-0000-0000C1110000}"/>
    <cellStyle name="E_34.K34_품번대장_BMB_UGA NEXT(audio_DPP2 Ver1.0)2008.xx.xx" xfId="4546" xr:uid="{00000000-0005-0000-0000-0000C2110000}"/>
    <cellStyle name="E_34.K34_품번대장_BMB_UGA NEXT(audio_DPP2 Ver2.0_2134 2EA삭제)2008.xx.xx" xfId="4547" xr:uid="{00000000-0005-0000-0000-0000C3110000}"/>
    <cellStyle name="E_34.K34_품번대장_Construction Parts_PP2" xfId="4548" xr:uid="{00000000-0005-0000-0000-0000C4110000}"/>
    <cellStyle name="E_34.K34_품번대장_Main Board" xfId="4549" xr:uid="{00000000-0005-0000-0000-0000C5110000}"/>
    <cellStyle name="E_34.K34_품번대장_Main Board_Construction Parts_PP2" xfId="4550" xr:uid="{00000000-0005-0000-0000-0000C6110000}"/>
    <cellStyle name="E_34.K34_품번대장_Main Board_MAIN PBA" xfId="4551" xr:uid="{00000000-0005-0000-0000-0000C7110000}"/>
    <cellStyle name="E_34.K34_품번대장_Main Board_PP1 (2)" xfId="4552" xr:uid="{00000000-0005-0000-0000-0000C8110000}"/>
    <cellStyle name="E_34.K34_품번대장_Main Board_UGA-N10(Main_MP4.5_Ver1)_2009.02.02" xfId="4553" xr:uid="{00000000-0005-0000-0000-0000C9110000}"/>
    <cellStyle name="E_34.K34_품번대장_UGA-N10(Audio_LPP Ver1.0)2008.xx.xx" xfId="4554" xr:uid="{00000000-0005-0000-0000-0000CA110000}"/>
    <cellStyle name="E_34.K34_품번대장_UGA-N10(Audio_PP2 Ver1.0)2008.08.09" xfId="4555" xr:uid="{00000000-0005-0000-0000-0000CB110000}"/>
    <cellStyle name="E_34.K34_품번대장_UGA-N10(Construction Parts_PP2_Ver1.0)2008.08.22" xfId="4556" xr:uid="{00000000-0005-0000-0000-0000CC110000}"/>
    <cellStyle name="E_34.K34_품번대장_UGA-N10(Front_PP2_Ver1.0)_2008.08.22" xfId="4557" xr:uid="{00000000-0005-0000-0000-0000CD110000}"/>
    <cellStyle name="E_34.K34_품번대장_UGA-N10(Main_DPP2_Ver1)_2008.xx.xx" xfId="4558" xr:uid="{00000000-0005-0000-0000-0000CE110000}"/>
    <cellStyle name="E_34.K34_품번대장_UGA-N10(Main_LPP_Ver1)_2008.xx.xx" xfId="4559" xr:uid="{00000000-0005-0000-0000-0000CF110000}"/>
    <cellStyle name="E_34.K34_품번대장_UGA-N10(Main_PP2_Ver1)_2008.08.14" xfId="4560" xr:uid="{00000000-0005-0000-0000-0000D0110000}"/>
    <cellStyle name="E_35.K35_품번대장" xfId="4561" xr:uid="{00000000-0005-0000-0000-0000D1110000}"/>
    <cellStyle name="E_35.K35_품번대장 10" xfId="4562" xr:uid="{00000000-0005-0000-0000-0000D2110000}"/>
    <cellStyle name="E_35.K35_품번대장 11" xfId="4563" xr:uid="{00000000-0005-0000-0000-0000D3110000}"/>
    <cellStyle name="E_35.K35_품번대장 12" xfId="4564" xr:uid="{00000000-0005-0000-0000-0000D4110000}"/>
    <cellStyle name="E_35.K35_품번대장 13" xfId="4565" xr:uid="{00000000-0005-0000-0000-0000D5110000}"/>
    <cellStyle name="E_35.K35_품번대장 14" xfId="4566" xr:uid="{00000000-0005-0000-0000-0000D6110000}"/>
    <cellStyle name="E_35.K35_품번대장 15" xfId="4567" xr:uid="{00000000-0005-0000-0000-0000D7110000}"/>
    <cellStyle name="E_35.K35_품번대장 16" xfId="4568" xr:uid="{00000000-0005-0000-0000-0000D8110000}"/>
    <cellStyle name="E_35.K35_품번대장 17" xfId="4569" xr:uid="{00000000-0005-0000-0000-0000D9110000}"/>
    <cellStyle name="E_35.K35_품번대장 18" xfId="4570" xr:uid="{00000000-0005-0000-0000-0000DA110000}"/>
    <cellStyle name="E_35.K35_품번대장 2" xfId="4571" xr:uid="{00000000-0005-0000-0000-0000DB110000}"/>
    <cellStyle name="E_35.K35_품번대장 3" xfId="4572" xr:uid="{00000000-0005-0000-0000-0000DC110000}"/>
    <cellStyle name="E_35.K35_품번대장 4" xfId="4573" xr:uid="{00000000-0005-0000-0000-0000DD110000}"/>
    <cellStyle name="E_35.K35_품번대장 5" xfId="4574" xr:uid="{00000000-0005-0000-0000-0000DE110000}"/>
    <cellStyle name="E_35.K35_품번대장 6" xfId="4575" xr:uid="{00000000-0005-0000-0000-0000DF110000}"/>
    <cellStyle name="E_35.K35_품번대장 7" xfId="4576" xr:uid="{00000000-0005-0000-0000-0000E0110000}"/>
    <cellStyle name="E_35.K35_품번대장 8" xfId="4577" xr:uid="{00000000-0005-0000-0000-0000E1110000}"/>
    <cellStyle name="E_35.K35_품번대장 9" xfId="4578" xr:uid="{00000000-0005-0000-0000-0000E2110000}"/>
    <cellStyle name="E_35.K35_품번대장_BMB_UGA NEXT(audio_DPP2 Ver1.0)2008.xx.xx" xfId="4579" xr:uid="{00000000-0005-0000-0000-0000E3110000}"/>
    <cellStyle name="E_35.K35_품번대장_BMB_UGA NEXT(audio_DPP2 Ver2.0_2134 2EA삭제)2008.xx.xx" xfId="4580" xr:uid="{00000000-0005-0000-0000-0000E4110000}"/>
    <cellStyle name="E_35.K35_품번대장_Construction Parts_PP2" xfId="4581" xr:uid="{00000000-0005-0000-0000-0000E5110000}"/>
    <cellStyle name="E_35.K35_품번대장_Main Board" xfId="4582" xr:uid="{00000000-0005-0000-0000-0000E6110000}"/>
    <cellStyle name="E_35.K35_품번대장_Main Board_Construction Parts_PP2" xfId="4583" xr:uid="{00000000-0005-0000-0000-0000E7110000}"/>
    <cellStyle name="E_35.K35_품번대장_Main Board_MAIN PBA" xfId="4584" xr:uid="{00000000-0005-0000-0000-0000E8110000}"/>
    <cellStyle name="E_35.K35_품번대장_Main Board_PP1 (2)" xfId="4585" xr:uid="{00000000-0005-0000-0000-0000E9110000}"/>
    <cellStyle name="E_35.K35_품번대장_Main Board_UGA-N10(Main_MP4.5_Ver1)_2009.02.02" xfId="4586" xr:uid="{00000000-0005-0000-0000-0000EA110000}"/>
    <cellStyle name="E_35.K35_품번대장_UGA-N10(Audio_LPP Ver1.0)2008.xx.xx" xfId="4587" xr:uid="{00000000-0005-0000-0000-0000EB110000}"/>
    <cellStyle name="E_35.K35_품번대장_UGA-N10(Audio_PP2 Ver1.0)2008.08.09" xfId="4588" xr:uid="{00000000-0005-0000-0000-0000EC110000}"/>
    <cellStyle name="E_35.K35_품번대장_UGA-N10(Construction Parts_PP2_Ver1.0)2008.08.22" xfId="4589" xr:uid="{00000000-0005-0000-0000-0000ED110000}"/>
    <cellStyle name="E_35.K35_품번대장_UGA-N10(Front_PP2_Ver1.0)_2008.08.22" xfId="4590" xr:uid="{00000000-0005-0000-0000-0000EE110000}"/>
    <cellStyle name="E_35.K35_품번대장_UGA-N10(Main_DPP2_Ver1)_2008.xx.xx" xfId="4591" xr:uid="{00000000-0005-0000-0000-0000EF110000}"/>
    <cellStyle name="E_35.K35_품번대장_UGA-N10(Main_LPP_Ver1)_2008.xx.xx" xfId="4592" xr:uid="{00000000-0005-0000-0000-0000F0110000}"/>
    <cellStyle name="E_35.K35_품번대장_UGA-N10(Main_PP2_Ver1)_2008.08.14" xfId="4593" xr:uid="{00000000-0005-0000-0000-0000F1110000}"/>
    <cellStyle name="E_36.K36_품번대장" xfId="4594" xr:uid="{00000000-0005-0000-0000-0000F2110000}"/>
    <cellStyle name="E_36.K36_품번대장 10" xfId="4595" xr:uid="{00000000-0005-0000-0000-0000F3110000}"/>
    <cellStyle name="E_36.K36_품번대장 11" xfId="4596" xr:uid="{00000000-0005-0000-0000-0000F4110000}"/>
    <cellStyle name="E_36.K36_품번대장 12" xfId="4597" xr:uid="{00000000-0005-0000-0000-0000F5110000}"/>
    <cellStyle name="E_36.K36_품번대장 13" xfId="4598" xr:uid="{00000000-0005-0000-0000-0000F6110000}"/>
    <cellStyle name="E_36.K36_품번대장 14" xfId="4599" xr:uid="{00000000-0005-0000-0000-0000F7110000}"/>
    <cellStyle name="E_36.K36_품번대장 15" xfId="4600" xr:uid="{00000000-0005-0000-0000-0000F8110000}"/>
    <cellStyle name="E_36.K36_품번대장 16" xfId="4601" xr:uid="{00000000-0005-0000-0000-0000F9110000}"/>
    <cellStyle name="E_36.K36_품번대장 17" xfId="4602" xr:uid="{00000000-0005-0000-0000-0000FA110000}"/>
    <cellStyle name="E_36.K36_품번대장 18" xfId="4603" xr:uid="{00000000-0005-0000-0000-0000FB110000}"/>
    <cellStyle name="E_36.K36_품번대장 2" xfId="4604" xr:uid="{00000000-0005-0000-0000-0000FC110000}"/>
    <cellStyle name="E_36.K36_품번대장 3" xfId="4605" xr:uid="{00000000-0005-0000-0000-0000FD110000}"/>
    <cellStyle name="E_36.K36_품번대장 4" xfId="4606" xr:uid="{00000000-0005-0000-0000-0000FE110000}"/>
    <cellStyle name="E_36.K36_품번대장 5" xfId="4607" xr:uid="{00000000-0005-0000-0000-0000FF110000}"/>
    <cellStyle name="E_36.K36_품번대장 6" xfId="4608" xr:uid="{00000000-0005-0000-0000-000000120000}"/>
    <cellStyle name="E_36.K36_품번대장 7" xfId="4609" xr:uid="{00000000-0005-0000-0000-000001120000}"/>
    <cellStyle name="E_36.K36_품번대장 8" xfId="4610" xr:uid="{00000000-0005-0000-0000-000002120000}"/>
    <cellStyle name="E_36.K36_품번대장 9" xfId="4611" xr:uid="{00000000-0005-0000-0000-000003120000}"/>
    <cellStyle name="E_36.K36_품번대장_BMB_UGA NEXT(audio_DPP2 Ver1.0)2008.xx.xx" xfId="4612" xr:uid="{00000000-0005-0000-0000-000004120000}"/>
    <cellStyle name="E_36.K36_품번대장_BMB_UGA NEXT(audio_DPP2 Ver2.0_2134 2EA삭제)2008.xx.xx" xfId="4613" xr:uid="{00000000-0005-0000-0000-000005120000}"/>
    <cellStyle name="E_36.K36_품번대장_Construction Parts_PP2" xfId="4614" xr:uid="{00000000-0005-0000-0000-000006120000}"/>
    <cellStyle name="E_36.K36_품번대장_Main Board" xfId="4615" xr:uid="{00000000-0005-0000-0000-000007120000}"/>
    <cellStyle name="E_36.K36_품번대장_Main Board_Construction Parts_PP2" xfId="4616" xr:uid="{00000000-0005-0000-0000-000008120000}"/>
    <cellStyle name="E_36.K36_품번대장_Main Board_MAIN PBA" xfId="4617" xr:uid="{00000000-0005-0000-0000-000009120000}"/>
    <cellStyle name="E_36.K36_품번대장_Main Board_PP1 (2)" xfId="4618" xr:uid="{00000000-0005-0000-0000-00000A120000}"/>
    <cellStyle name="E_36.K36_품번대장_Main Board_UGA-N10(Main_MP4.5_Ver1)_2009.02.02" xfId="4619" xr:uid="{00000000-0005-0000-0000-00000B120000}"/>
    <cellStyle name="E_36.K36_품번대장_UGA-N10(Audio_LPP Ver1.0)2008.xx.xx" xfId="4620" xr:uid="{00000000-0005-0000-0000-00000C120000}"/>
    <cellStyle name="E_36.K36_품번대장_UGA-N10(Audio_PP2 Ver1.0)2008.08.09" xfId="4621" xr:uid="{00000000-0005-0000-0000-00000D120000}"/>
    <cellStyle name="E_36.K36_품번대장_UGA-N10(Construction Parts_PP2_Ver1.0)2008.08.22" xfId="4622" xr:uid="{00000000-0005-0000-0000-00000E120000}"/>
    <cellStyle name="E_36.K36_품번대장_UGA-N10(Front_PP2_Ver1.0)_2008.08.22" xfId="4623" xr:uid="{00000000-0005-0000-0000-00000F120000}"/>
    <cellStyle name="E_36.K36_품번대장_UGA-N10(Main_DPP2_Ver1)_2008.xx.xx" xfId="4624" xr:uid="{00000000-0005-0000-0000-000010120000}"/>
    <cellStyle name="E_36.K36_품번대장_UGA-N10(Main_LPP_Ver1)_2008.xx.xx" xfId="4625" xr:uid="{00000000-0005-0000-0000-000011120000}"/>
    <cellStyle name="E_36.K36_품번대장_UGA-N10(Main_PP2_Ver1)_2008.08.14" xfId="4626" xr:uid="{00000000-0005-0000-0000-000012120000}"/>
    <cellStyle name="E_37.K37_품번대장" xfId="4627" xr:uid="{00000000-0005-0000-0000-000013120000}"/>
    <cellStyle name="E_37.K37_품번대장 10" xfId="4628" xr:uid="{00000000-0005-0000-0000-000014120000}"/>
    <cellStyle name="E_37.K37_품번대장 11" xfId="4629" xr:uid="{00000000-0005-0000-0000-000015120000}"/>
    <cellStyle name="E_37.K37_품번대장 12" xfId="4630" xr:uid="{00000000-0005-0000-0000-000016120000}"/>
    <cellStyle name="E_37.K37_품번대장 13" xfId="4631" xr:uid="{00000000-0005-0000-0000-000017120000}"/>
    <cellStyle name="E_37.K37_품번대장 14" xfId="4632" xr:uid="{00000000-0005-0000-0000-000018120000}"/>
    <cellStyle name="E_37.K37_품번대장 15" xfId="4633" xr:uid="{00000000-0005-0000-0000-000019120000}"/>
    <cellStyle name="E_37.K37_품번대장 16" xfId="4634" xr:uid="{00000000-0005-0000-0000-00001A120000}"/>
    <cellStyle name="E_37.K37_품번대장 17" xfId="4635" xr:uid="{00000000-0005-0000-0000-00001B120000}"/>
    <cellStyle name="E_37.K37_품번대장 18" xfId="4636" xr:uid="{00000000-0005-0000-0000-00001C120000}"/>
    <cellStyle name="E_37.K37_품번대장 2" xfId="4637" xr:uid="{00000000-0005-0000-0000-00001D120000}"/>
    <cellStyle name="E_37.K37_품번대장 3" xfId="4638" xr:uid="{00000000-0005-0000-0000-00001E120000}"/>
    <cellStyle name="E_37.K37_품번대장 4" xfId="4639" xr:uid="{00000000-0005-0000-0000-00001F120000}"/>
    <cellStyle name="E_37.K37_품번대장 5" xfId="4640" xr:uid="{00000000-0005-0000-0000-000020120000}"/>
    <cellStyle name="E_37.K37_품번대장 6" xfId="4641" xr:uid="{00000000-0005-0000-0000-000021120000}"/>
    <cellStyle name="E_37.K37_품번대장 7" xfId="4642" xr:uid="{00000000-0005-0000-0000-000022120000}"/>
    <cellStyle name="E_37.K37_품번대장 8" xfId="4643" xr:uid="{00000000-0005-0000-0000-000023120000}"/>
    <cellStyle name="E_37.K37_품번대장 9" xfId="4644" xr:uid="{00000000-0005-0000-0000-000024120000}"/>
    <cellStyle name="E_37.K37_품번대장_BMB_UGA NEXT(audio_DPP2 Ver1.0)2008.xx.xx" xfId="4645" xr:uid="{00000000-0005-0000-0000-000025120000}"/>
    <cellStyle name="E_37.K37_품번대장_BMB_UGA NEXT(audio_DPP2 Ver2.0_2134 2EA삭제)2008.xx.xx" xfId="4646" xr:uid="{00000000-0005-0000-0000-000026120000}"/>
    <cellStyle name="E_37.K37_품번대장_Construction Parts_PP2" xfId="4647" xr:uid="{00000000-0005-0000-0000-000027120000}"/>
    <cellStyle name="E_37.K37_품번대장_Main Board" xfId="4648" xr:uid="{00000000-0005-0000-0000-000028120000}"/>
    <cellStyle name="E_37.K37_품번대장_Main Board_Construction Parts_PP2" xfId="4649" xr:uid="{00000000-0005-0000-0000-000029120000}"/>
    <cellStyle name="E_37.K37_품번대장_Main Board_MAIN PBA" xfId="4650" xr:uid="{00000000-0005-0000-0000-00002A120000}"/>
    <cellStyle name="E_37.K37_품번대장_Main Board_PP1 (2)" xfId="4651" xr:uid="{00000000-0005-0000-0000-00002B120000}"/>
    <cellStyle name="E_37.K37_품번대장_Main Board_UGA-N10(Main_MP4.5_Ver1)_2009.02.02" xfId="4652" xr:uid="{00000000-0005-0000-0000-00002C120000}"/>
    <cellStyle name="E_37.K37_품번대장_UGA-N10(Audio_LPP Ver1.0)2008.xx.xx" xfId="4653" xr:uid="{00000000-0005-0000-0000-00002D120000}"/>
    <cellStyle name="E_37.K37_품번대장_UGA-N10(Audio_PP2 Ver1.0)2008.08.09" xfId="4654" xr:uid="{00000000-0005-0000-0000-00002E120000}"/>
    <cellStyle name="E_37.K37_품번대장_UGA-N10(Construction Parts_PP2_Ver1.0)2008.08.22" xfId="4655" xr:uid="{00000000-0005-0000-0000-00002F120000}"/>
    <cellStyle name="E_37.K37_품번대장_UGA-N10(Front_PP2_Ver1.0)_2008.08.22" xfId="4656" xr:uid="{00000000-0005-0000-0000-000030120000}"/>
    <cellStyle name="E_37.K37_품번대장_UGA-N10(Main_DPP2_Ver1)_2008.xx.xx" xfId="4657" xr:uid="{00000000-0005-0000-0000-000031120000}"/>
    <cellStyle name="E_37.K37_품번대장_UGA-N10(Main_LPP_Ver1)_2008.xx.xx" xfId="4658" xr:uid="{00000000-0005-0000-0000-000032120000}"/>
    <cellStyle name="E_37.K37_품번대장_UGA-N10(Main_PP2_Ver1)_2008.08.14" xfId="4659" xr:uid="{00000000-0005-0000-0000-000033120000}"/>
    <cellStyle name="E_38.K38_품번대장" xfId="4660" xr:uid="{00000000-0005-0000-0000-000034120000}"/>
    <cellStyle name="E_38.K38_품번대장 10" xfId="4661" xr:uid="{00000000-0005-0000-0000-000035120000}"/>
    <cellStyle name="E_38.K38_품번대장 11" xfId="4662" xr:uid="{00000000-0005-0000-0000-000036120000}"/>
    <cellStyle name="E_38.K38_품번대장 12" xfId="4663" xr:uid="{00000000-0005-0000-0000-000037120000}"/>
    <cellStyle name="E_38.K38_품번대장 13" xfId="4664" xr:uid="{00000000-0005-0000-0000-000038120000}"/>
    <cellStyle name="E_38.K38_품번대장 14" xfId="4665" xr:uid="{00000000-0005-0000-0000-000039120000}"/>
    <cellStyle name="E_38.K38_품번대장 15" xfId="4666" xr:uid="{00000000-0005-0000-0000-00003A120000}"/>
    <cellStyle name="E_38.K38_품번대장 16" xfId="4667" xr:uid="{00000000-0005-0000-0000-00003B120000}"/>
    <cellStyle name="E_38.K38_품번대장 17" xfId="4668" xr:uid="{00000000-0005-0000-0000-00003C120000}"/>
    <cellStyle name="E_38.K38_품번대장 18" xfId="4669" xr:uid="{00000000-0005-0000-0000-00003D120000}"/>
    <cellStyle name="E_38.K38_품번대장 2" xfId="4670" xr:uid="{00000000-0005-0000-0000-00003E120000}"/>
    <cellStyle name="E_38.K38_품번대장 3" xfId="4671" xr:uid="{00000000-0005-0000-0000-00003F120000}"/>
    <cellStyle name="E_38.K38_품번대장 4" xfId="4672" xr:uid="{00000000-0005-0000-0000-000040120000}"/>
    <cellStyle name="E_38.K38_품번대장 5" xfId="4673" xr:uid="{00000000-0005-0000-0000-000041120000}"/>
    <cellStyle name="E_38.K38_품번대장 6" xfId="4674" xr:uid="{00000000-0005-0000-0000-000042120000}"/>
    <cellStyle name="E_38.K38_품번대장 7" xfId="4675" xr:uid="{00000000-0005-0000-0000-000043120000}"/>
    <cellStyle name="E_38.K38_품번대장 8" xfId="4676" xr:uid="{00000000-0005-0000-0000-000044120000}"/>
    <cellStyle name="E_38.K38_품번대장 9" xfId="4677" xr:uid="{00000000-0005-0000-0000-000045120000}"/>
    <cellStyle name="E_38.K38_품번대장_BMB_UGA NEXT(audio_DPP2 Ver1.0)2008.xx.xx" xfId="4678" xr:uid="{00000000-0005-0000-0000-000046120000}"/>
    <cellStyle name="E_38.K38_품번대장_BMB_UGA NEXT(audio_DPP2 Ver2.0_2134 2EA삭제)2008.xx.xx" xfId="4679" xr:uid="{00000000-0005-0000-0000-000047120000}"/>
    <cellStyle name="E_38.K38_품번대장_Construction Parts_PP2" xfId="4680" xr:uid="{00000000-0005-0000-0000-000048120000}"/>
    <cellStyle name="E_38.K38_품번대장_Main Board" xfId="4681" xr:uid="{00000000-0005-0000-0000-000049120000}"/>
    <cellStyle name="E_38.K38_품번대장_Main Board_Construction Parts_PP2" xfId="4682" xr:uid="{00000000-0005-0000-0000-00004A120000}"/>
    <cellStyle name="E_38.K38_품번대장_Main Board_MAIN PBA" xfId="4683" xr:uid="{00000000-0005-0000-0000-00004B120000}"/>
    <cellStyle name="E_38.K38_품번대장_Main Board_PP1 (2)" xfId="4684" xr:uid="{00000000-0005-0000-0000-00004C120000}"/>
    <cellStyle name="E_38.K38_품번대장_Main Board_UGA-N10(Main_MP4.5_Ver1)_2009.02.02" xfId="4685" xr:uid="{00000000-0005-0000-0000-00004D120000}"/>
    <cellStyle name="E_38.K38_품번대장_UGA-N10(Audio_LPP Ver1.0)2008.xx.xx" xfId="4686" xr:uid="{00000000-0005-0000-0000-00004E120000}"/>
    <cellStyle name="E_38.K38_품번대장_UGA-N10(Audio_PP2 Ver1.0)2008.08.09" xfId="4687" xr:uid="{00000000-0005-0000-0000-00004F120000}"/>
    <cellStyle name="E_38.K38_품번대장_UGA-N10(Construction Parts_PP2_Ver1.0)2008.08.22" xfId="4688" xr:uid="{00000000-0005-0000-0000-000050120000}"/>
    <cellStyle name="E_38.K38_품번대장_UGA-N10(Front_PP2_Ver1.0)_2008.08.22" xfId="4689" xr:uid="{00000000-0005-0000-0000-000051120000}"/>
    <cellStyle name="E_38.K38_품번대장_UGA-N10(Main_DPP2_Ver1)_2008.xx.xx" xfId="4690" xr:uid="{00000000-0005-0000-0000-000052120000}"/>
    <cellStyle name="E_38.K38_품번대장_UGA-N10(Main_LPP_Ver1)_2008.xx.xx" xfId="4691" xr:uid="{00000000-0005-0000-0000-000053120000}"/>
    <cellStyle name="E_38.K38_품번대장_UGA-N10(Main_PP2_Ver1)_2008.08.14" xfId="4692" xr:uid="{00000000-0005-0000-0000-000054120000}"/>
    <cellStyle name="E_4.K04_품번대장" xfId="4693" xr:uid="{00000000-0005-0000-0000-000055120000}"/>
    <cellStyle name="E_4.K04_품번대장 10" xfId="4694" xr:uid="{00000000-0005-0000-0000-000056120000}"/>
    <cellStyle name="E_4.K04_품번대장 11" xfId="4695" xr:uid="{00000000-0005-0000-0000-000057120000}"/>
    <cellStyle name="E_4.K04_품번대장 12" xfId="4696" xr:uid="{00000000-0005-0000-0000-000058120000}"/>
    <cellStyle name="E_4.K04_품번대장 13" xfId="4697" xr:uid="{00000000-0005-0000-0000-000059120000}"/>
    <cellStyle name="E_4.K04_품번대장 14" xfId="4698" xr:uid="{00000000-0005-0000-0000-00005A120000}"/>
    <cellStyle name="E_4.K04_품번대장 15" xfId="4699" xr:uid="{00000000-0005-0000-0000-00005B120000}"/>
    <cellStyle name="E_4.K04_품번대장 16" xfId="4700" xr:uid="{00000000-0005-0000-0000-00005C120000}"/>
    <cellStyle name="E_4.K04_품번대장 17" xfId="4701" xr:uid="{00000000-0005-0000-0000-00005D120000}"/>
    <cellStyle name="E_4.K04_품번대장 18" xfId="4702" xr:uid="{00000000-0005-0000-0000-00005E120000}"/>
    <cellStyle name="E_4.K04_품번대장 2" xfId="4703" xr:uid="{00000000-0005-0000-0000-00005F120000}"/>
    <cellStyle name="E_4.K04_품번대장 3" xfId="4704" xr:uid="{00000000-0005-0000-0000-000060120000}"/>
    <cellStyle name="E_4.K04_품번대장 4" xfId="4705" xr:uid="{00000000-0005-0000-0000-000061120000}"/>
    <cellStyle name="E_4.K04_품번대장 5" xfId="4706" xr:uid="{00000000-0005-0000-0000-000062120000}"/>
    <cellStyle name="E_4.K04_품번대장 6" xfId="4707" xr:uid="{00000000-0005-0000-0000-000063120000}"/>
    <cellStyle name="E_4.K04_품번대장 7" xfId="4708" xr:uid="{00000000-0005-0000-0000-000064120000}"/>
    <cellStyle name="E_4.K04_품번대장 8" xfId="4709" xr:uid="{00000000-0005-0000-0000-000065120000}"/>
    <cellStyle name="E_4.K04_품번대장 9" xfId="4710" xr:uid="{00000000-0005-0000-0000-000066120000}"/>
    <cellStyle name="E_4.K04_품번대장_BMB_UGA NEXT(audio_DPP2 Ver1.0)2008.xx.xx" xfId="4711" xr:uid="{00000000-0005-0000-0000-000067120000}"/>
    <cellStyle name="E_4.K04_품번대장_BMB_UGA NEXT(audio_DPP2 Ver2.0_2134 2EA삭제)2008.xx.xx" xfId="4712" xr:uid="{00000000-0005-0000-0000-000068120000}"/>
    <cellStyle name="E_4.K04_품번대장_Construction Parts_PP2" xfId="4713" xr:uid="{00000000-0005-0000-0000-000069120000}"/>
    <cellStyle name="E_4.K04_품번대장_Main Board" xfId="4714" xr:uid="{00000000-0005-0000-0000-00006A120000}"/>
    <cellStyle name="E_4.K04_품번대장_Main Board_Construction Parts_PP2" xfId="4715" xr:uid="{00000000-0005-0000-0000-00006B120000}"/>
    <cellStyle name="E_4.K04_품번대장_Main Board_MAIN PBA" xfId="4716" xr:uid="{00000000-0005-0000-0000-00006C120000}"/>
    <cellStyle name="E_4.K04_품번대장_Main Board_PP1 (2)" xfId="4717" xr:uid="{00000000-0005-0000-0000-00006D120000}"/>
    <cellStyle name="E_4.K04_품번대장_Main Board_UGA-N10(Main_MP4.5_Ver1)_2009.02.02" xfId="4718" xr:uid="{00000000-0005-0000-0000-00006E120000}"/>
    <cellStyle name="E_4.K04_품번대장_UGA-N10(Audio_LPP Ver1.0)2008.xx.xx" xfId="4719" xr:uid="{00000000-0005-0000-0000-00006F120000}"/>
    <cellStyle name="E_4.K04_품번대장_UGA-N10(Audio_PP2 Ver1.0)2008.08.09" xfId="4720" xr:uid="{00000000-0005-0000-0000-000070120000}"/>
    <cellStyle name="E_4.K04_품번대장_UGA-N10(Construction Parts_PP2_Ver1.0)2008.08.22" xfId="4721" xr:uid="{00000000-0005-0000-0000-000071120000}"/>
    <cellStyle name="E_4.K04_품번대장_UGA-N10(Front_PP2_Ver1.0)_2008.08.22" xfId="4722" xr:uid="{00000000-0005-0000-0000-000072120000}"/>
    <cellStyle name="E_4.K04_품번대장_UGA-N10(Main_DPP2_Ver1)_2008.xx.xx" xfId="4723" xr:uid="{00000000-0005-0000-0000-000073120000}"/>
    <cellStyle name="E_4.K04_품번대장_UGA-N10(Main_LPP_Ver1)_2008.xx.xx" xfId="4724" xr:uid="{00000000-0005-0000-0000-000074120000}"/>
    <cellStyle name="E_4.K04_품번대장_UGA-N10(Main_PP2_Ver1)_2008.08.14" xfId="4725" xr:uid="{00000000-0005-0000-0000-000075120000}"/>
    <cellStyle name="E_42.K42_품번대장" xfId="4726" xr:uid="{00000000-0005-0000-0000-000076120000}"/>
    <cellStyle name="E_42.K42_품번대장 10" xfId="4727" xr:uid="{00000000-0005-0000-0000-000077120000}"/>
    <cellStyle name="E_42.K42_품번대장 11" xfId="4728" xr:uid="{00000000-0005-0000-0000-000078120000}"/>
    <cellStyle name="E_42.K42_품번대장 12" xfId="4729" xr:uid="{00000000-0005-0000-0000-000079120000}"/>
    <cellStyle name="E_42.K42_품번대장 13" xfId="4730" xr:uid="{00000000-0005-0000-0000-00007A120000}"/>
    <cellStyle name="E_42.K42_품번대장 14" xfId="4731" xr:uid="{00000000-0005-0000-0000-00007B120000}"/>
    <cellStyle name="E_42.K42_품번대장 15" xfId="4732" xr:uid="{00000000-0005-0000-0000-00007C120000}"/>
    <cellStyle name="E_42.K42_품번대장 16" xfId="4733" xr:uid="{00000000-0005-0000-0000-00007D120000}"/>
    <cellStyle name="E_42.K42_품번대장 17" xfId="4734" xr:uid="{00000000-0005-0000-0000-00007E120000}"/>
    <cellStyle name="E_42.K42_품번대장 18" xfId="4735" xr:uid="{00000000-0005-0000-0000-00007F120000}"/>
    <cellStyle name="E_42.K42_품번대장 2" xfId="4736" xr:uid="{00000000-0005-0000-0000-000080120000}"/>
    <cellStyle name="E_42.K42_품번대장 3" xfId="4737" xr:uid="{00000000-0005-0000-0000-000081120000}"/>
    <cellStyle name="E_42.K42_품번대장 4" xfId="4738" xr:uid="{00000000-0005-0000-0000-000082120000}"/>
    <cellStyle name="E_42.K42_품번대장 5" xfId="4739" xr:uid="{00000000-0005-0000-0000-000083120000}"/>
    <cellStyle name="E_42.K42_품번대장 6" xfId="4740" xr:uid="{00000000-0005-0000-0000-000084120000}"/>
    <cellStyle name="E_42.K42_품번대장 7" xfId="4741" xr:uid="{00000000-0005-0000-0000-000085120000}"/>
    <cellStyle name="E_42.K42_품번대장 8" xfId="4742" xr:uid="{00000000-0005-0000-0000-000086120000}"/>
    <cellStyle name="E_42.K42_품번대장 9" xfId="4743" xr:uid="{00000000-0005-0000-0000-000087120000}"/>
    <cellStyle name="E_42.K42_품번대장_BMB_UGA NEXT(audio_DPP2 Ver1.0)2008.xx.xx" xfId="4744" xr:uid="{00000000-0005-0000-0000-000088120000}"/>
    <cellStyle name="E_42.K42_품번대장_BMB_UGA NEXT(audio_DPP2 Ver2.0_2134 2EA삭제)2008.xx.xx" xfId="4745" xr:uid="{00000000-0005-0000-0000-000089120000}"/>
    <cellStyle name="E_42.K42_품번대장_Construction Parts_PP2" xfId="4746" xr:uid="{00000000-0005-0000-0000-00008A120000}"/>
    <cellStyle name="E_42.K42_품번대장_Main Board" xfId="4747" xr:uid="{00000000-0005-0000-0000-00008B120000}"/>
    <cellStyle name="E_42.K42_품번대장_Main Board_Construction Parts_PP2" xfId="4748" xr:uid="{00000000-0005-0000-0000-00008C120000}"/>
    <cellStyle name="E_42.K42_품번대장_Main Board_MAIN PBA" xfId="4749" xr:uid="{00000000-0005-0000-0000-00008D120000}"/>
    <cellStyle name="E_42.K42_품번대장_Main Board_PP1 (2)" xfId="4750" xr:uid="{00000000-0005-0000-0000-00008E120000}"/>
    <cellStyle name="E_42.K42_품번대장_Main Board_UGA-N10(Main_MP4.5_Ver1)_2009.02.02" xfId="4751" xr:uid="{00000000-0005-0000-0000-00008F120000}"/>
    <cellStyle name="E_42.K42_품번대장_UGA-N10(Audio_LPP Ver1.0)2008.xx.xx" xfId="4752" xr:uid="{00000000-0005-0000-0000-000090120000}"/>
    <cellStyle name="E_42.K42_품번대장_UGA-N10(Audio_PP2 Ver1.0)2008.08.09" xfId="4753" xr:uid="{00000000-0005-0000-0000-000091120000}"/>
    <cellStyle name="E_42.K42_품번대장_UGA-N10(Construction Parts_PP2_Ver1.0)2008.08.22" xfId="4754" xr:uid="{00000000-0005-0000-0000-000092120000}"/>
    <cellStyle name="E_42.K42_품번대장_UGA-N10(Front_PP2_Ver1.0)_2008.08.22" xfId="4755" xr:uid="{00000000-0005-0000-0000-000093120000}"/>
    <cellStyle name="E_42.K42_품번대장_UGA-N10(Main_DPP2_Ver1)_2008.xx.xx" xfId="4756" xr:uid="{00000000-0005-0000-0000-000094120000}"/>
    <cellStyle name="E_42.K42_품번대장_UGA-N10(Main_LPP_Ver1)_2008.xx.xx" xfId="4757" xr:uid="{00000000-0005-0000-0000-000095120000}"/>
    <cellStyle name="E_42.K42_품번대장_UGA-N10(Main_PP2_Ver1)_2008.08.14" xfId="4758" xr:uid="{00000000-0005-0000-0000-000096120000}"/>
    <cellStyle name="E_45.K45_품번대장" xfId="4759" xr:uid="{00000000-0005-0000-0000-000097120000}"/>
    <cellStyle name="E_45.K45_품번대장 10" xfId="4760" xr:uid="{00000000-0005-0000-0000-000098120000}"/>
    <cellStyle name="E_45.K45_품번대장 11" xfId="4761" xr:uid="{00000000-0005-0000-0000-000099120000}"/>
    <cellStyle name="E_45.K45_품번대장 12" xfId="4762" xr:uid="{00000000-0005-0000-0000-00009A120000}"/>
    <cellStyle name="E_45.K45_품번대장 13" xfId="4763" xr:uid="{00000000-0005-0000-0000-00009B120000}"/>
    <cellStyle name="E_45.K45_품번대장 14" xfId="4764" xr:uid="{00000000-0005-0000-0000-00009C120000}"/>
    <cellStyle name="E_45.K45_품번대장 15" xfId="4765" xr:uid="{00000000-0005-0000-0000-00009D120000}"/>
    <cellStyle name="E_45.K45_품번대장 16" xfId="4766" xr:uid="{00000000-0005-0000-0000-00009E120000}"/>
    <cellStyle name="E_45.K45_품번대장 17" xfId="4767" xr:uid="{00000000-0005-0000-0000-00009F120000}"/>
    <cellStyle name="E_45.K45_품번대장 18" xfId="4768" xr:uid="{00000000-0005-0000-0000-0000A0120000}"/>
    <cellStyle name="E_45.K45_품번대장 2" xfId="4769" xr:uid="{00000000-0005-0000-0000-0000A1120000}"/>
    <cellStyle name="E_45.K45_품번대장 3" xfId="4770" xr:uid="{00000000-0005-0000-0000-0000A2120000}"/>
    <cellStyle name="E_45.K45_품번대장 4" xfId="4771" xr:uid="{00000000-0005-0000-0000-0000A3120000}"/>
    <cellStyle name="E_45.K45_품번대장 5" xfId="4772" xr:uid="{00000000-0005-0000-0000-0000A4120000}"/>
    <cellStyle name="E_45.K45_품번대장 6" xfId="4773" xr:uid="{00000000-0005-0000-0000-0000A5120000}"/>
    <cellStyle name="E_45.K45_품번대장 7" xfId="4774" xr:uid="{00000000-0005-0000-0000-0000A6120000}"/>
    <cellStyle name="E_45.K45_품번대장 8" xfId="4775" xr:uid="{00000000-0005-0000-0000-0000A7120000}"/>
    <cellStyle name="E_45.K45_품번대장 9" xfId="4776" xr:uid="{00000000-0005-0000-0000-0000A8120000}"/>
    <cellStyle name="E_45.K45_품번대장_BMB_UGA NEXT(audio_DPP2 Ver1.0)2008.xx.xx" xfId="4777" xr:uid="{00000000-0005-0000-0000-0000A9120000}"/>
    <cellStyle name="E_45.K45_품번대장_BMB_UGA NEXT(audio_DPP2 Ver2.0_2134 2EA삭제)2008.xx.xx" xfId="4778" xr:uid="{00000000-0005-0000-0000-0000AA120000}"/>
    <cellStyle name="E_45.K45_품번대장_Construction Parts_PP2" xfId="4779" xr:uid="{00000000-0005-0000-0000-0000AB120000}"/>
    <cellStyle name="E_45.K45_품번대장_Main Board" xfId="4780" xr:uid="{00000000-0005-0000-0000-0000AC120000}"/>
    <cellStyle name="E_45.K45_품번대장_Main Board_Construction Parts_PP2" xfId="4781" xr:uid="{00000000-0005-0000-0000-0000AD120000}"/>
    <cellStyle name="E_45.K45_품번대장_Main Board_MAIN PBA" xfId="4782" xr:uid="{00000000-0005-0000-0000-0000AE120000}"/>
    <cellStyle name="E_45.K45_품번대장_Main Board_PP1 (2)" xfId="4783" xr:uid="{00000000-0005-0000-0000-0000AF120000}"/>
    <cellStyle name="E_45.K45_품번대장_Main Board_UGA-N10(Main_MP4.5_Ver1)_2009.02.02" xfId="4784" xr:uid="{00000000-0005-0000-0000-0000B0120000}"/>
    <cellStyle name="E_45.K45_품번대장_UGA-N10(Audio_LPP Ver1.0)2008.xx.xx" xfId="4785" xr:uid="{00000000-0005-0000-0000-0000B1120000}"/>
    <cellStyle name="E_45.K45_품번대장_UGA-N10(Audio_PP2 Ver1.0)2008.08.09" xfId="4786" xr:uid="{00000000-0005-0000-0000-0000B2120000}"/>
    <cellStyle name="E_45.K45_품번대장_UGA-N10(Construction Parts_PP2_Ver1.0)2008.08.22" xfId="4787" xr:uid="{00000000-0005-0000-0000-0000B3120000}"/>
    <cellStyle name="E_45.K45_품번대장_UGA-N10(Front_PP2_Ver1.0)_2008.08.22" xfId="4788" xr:uid="{00000000-0005-0000-0000-0000B4120000}"/>
    <cellStyle name="E_45.K45_품번대장_UGA-N10(Main_DPP2_Ver1)_2008.xx.xx" xfId="4789" xr:uid="{00000000-0005-0000-0000-0000B5120000}"/>
    <cellStyle name="E_45.K45_품번대장_UGA-N10(Main_LPP_Ver1)_2008.xx.xx" xfId="4790" xr:uid="{00000000-0005-0000-0000-0000B6120000}"/>
    <cellStyle name="E_45.K45_품번대장_UGA-N10(Main_PP2_Ver1)_2008.08.14" xfId="4791" xr:uid="{00000000-0005-0000-0000-0000B7120000}"/>
    <cellStyle name="E_47.K47_품번대장" xfId="4792" xr:uid="{00000000-0005-0000-0000-0000B8120000}"/>
    <cellStyle name="E_47.K47_품번대장 10" xfId="4793" xr:uid="{00000000-0005-0000-0000-0000B9120000}"/>
    <cellStyle name="E_47.K47_품번대장 11" xfId="4794" xr:uid="{00000000-0005-0000-0000-0000BA120000}"/>
    <cellStyle name="E_47.K47_품번대장 12" xfId="4795" xr:uid="{00000000-0005-0000-0000-0000BB120000}"/>
    <cellStyle name="E_47.K47_품번대장 13" xfId="4796" xr:uid="{00000000-0005-0000-0000-0000BC120000}"/>
    <cellStyle name="E_47.K47_품번대장 14" xfId="4797" xr:uid="{00000000-0005-0000-0000-0000BD120000}"/>
    <cellStyle name="E_47.K47_품번대장 15" xfId="4798" xr:uid="{00000000-0005-0000-0000-0000BE120000}"/>
    <cellStyle name="E_47.K47_품번대장 16" xfId="4799" xr:uid="{00000000-0005-0000-0000-0000BF120000}"/>
    <cellStyle name="E_47.K47_품번대장 17" xfId="4800" xr:uid="{00000000-0005-0000-0000-0000C0120000}"/>
    <cellStyle name="E_47.K47_품번대장 18" xfId="4801" xr:uid="{00000000-0005-0000-0000-0000C1120000}"/>
    <cellStyle name="E_47.K47_품번대장 2" xfId="4802" xr:uid="{00000000-0005-0000-0000-0000C2120000}"/>
    <cellStyle name="E_47.K47_품번대장 3" xfId="4803" xr:uid="{00000000-0005-0000-0000-0000C3120000}"/>
    <cellStyle name="E_47.K47_품번대장 4" xfId="4804" xr:uid="{00000000-0005-0000-0000-0000C4120000}"/>
    <cellStyle name="E_47.K47_품번대장 5" xfId="4805" xr:uid="{00000000-0005-0000-0000-0000C5120000}"/>
    <cellStyle name="E_47.K47_품번대장 6" xfId="4806" xr:uid="{00000000-0005-0000-0000-0000C6120000}"/>
    <cellStyle name="E_47.K47_품번대장 7" xfId="4807" xr:uid="{00000000-0005-0000-0000-0000C7120000}"/>
    <cellStyle name="E_47.K47_품번대장 8" xfId="4808" xr:uid="{00000000-0005-0000-0000-0000C8120000}"/>
    <cellStyle name="E_47.K47_품번대장 9" xfId="4809" xr:uid="{00000000-0005-0000-0000-0000C9120000}"/>
    <cellStyle name="E_47.K47_품번대장_BMB_UGA NEXT(audio_DPP2 Ver1.0)2008.xx.xx" xfId="4810" xr:uid="{00000000-0005-0000-0000-0000CA120000}"/>
    <cellStyle name="E_47.K47_품번대장_BMB_UGA NEXT(audio_DPP2 Ver2.0_2134 2EA삭제)2008.xx.xx" xfId="4811" xr:uid="{00000000-0005-0000-0000-0000CB120000}"/>
    <cellStyle name="E_47.K47_품번대장_Construction Parts_PP2" xfId="4812" xr:uid="{00000000-0005-0000-0000-0000CC120000}"/>
    <cellStyle name="E_47.K47_품번대장_Main Board" xfId="4813" xr:uid="{00000000-0005-0000-0000-0000CD120000}"/>
    <cellStyle name="E_47.K47_품번대장_Main Board_Construction Parts_PP2" xfId="4814" xr:uid="{00000000-0005-0000-0000-0000CE120000}"/>
    <cellStyle name="E_47.K47_품번대장_Main Board_MAIN PBA" xfId="4815" xr:uid="{00000000-0005-0000-0000-0000CF120000}"/>
    <cellStyle name="E_47.K47_품번대장_Main Board_PP1 (2)" xfId="4816" xr:uid="{00000000-0005-0000-0000-0000D0120000}"/>
    <cellStyle name="E_47.K47_품번대장_Main Board_UGA-N10(Main_MP4.5_Ver1)_2009.02.02" xfId="4817" xr:uid="{00000000-0005-0000-0000-0000D1120000}"/>
    <cellStyle name="E_47.K47_품번대장_UGA-N10(Audio_LPP Ver1.0)2008.xx.xx" xfId="4818" xr:uid="{00000000-0005-0000-0000-0000D2120000}"/>
    <cellStyle name="E_47.K47_품번대장_UGA-N10(Audio_PP2 Ver1.0)2008.08.09" xfId="4819" xr:uid="{00000000-0005-0000-0000-0000D3120000}"/>
    <cellStyle name="E_47.K47_품번대장_UGA-N10(Construction Parts_PP2_Ver1.0)2008.08.22" xfId="4820" xr:uid="{00000000-0005-0000-0000-0000D4120000}"/>
    <cellStyle name="E_47.K47_품번대장_UGA-N10(Front_PP2_Ver1.0)_2008.08.22" xfId="4821" xr:uid="{00000000-0005-0000-0000-0000D5120000}"/>
    <cellStyle name="E_47.K47_품번대장_UGA-N10(Main_DPP2_Ver1)_2008.xx.xx" xfId="4822" xr:uid="{00000000-0005-0000-0000-0000D6120000}"/>
    <cellStyle name="E_47.K47_품번대장_UGA-N10(Main_LPP_Ver1)_2008.xx.xx" xfId="4823" xr:uid="{00000000-0005-0000-0000-0000D7120000}"/>
    <cellStyle name="E_47.K47_품번대장_UGA-N10(Main_PP2_Ver1)_2008.08.14" xfId="4824" xr:uid="{00000000-0005-0000-0000-0000D8120000}"/>
    <cellStyle name="E_49.K49_품번대장" xfId="4825" xr:uid="{00000000-0005-0000-0000-0000D9120000}"/>
    <cellStyle name="E_49.K49_품번대장 10" xfId="4826" xr:uid="{00000000-0005-0000-0000-0000DA120000}"/>
    <cellStyle name="E_49.K49_품번대장 11" xfId="4827" xr:uid="{00000000-0005-0000-0000-0000DB120000}"/>
    <cellStyle name="E_49.K49_품번대장 12" xfId="4828" xr:uid="{00000000-0005-0000-0000-0000DC120000}"/>
    <cellStyle name="E_49.K49_품번대장 13" xfId="4829" xr:uid="{00000000-0005-0000-0000-0000DD120000}"/>
    <cellStyle name="E_49.K49_품번대장 14" xfId="4830" xr:uid="{00000000-0005-0000-0000-0000DE120000}"/>
    <cellStyle name="E_49.K49_품번대장 15" xfId="4831" xr:uid="{00000000-0005-0000-0000-0000DF120000}"/>
    <cellStyle name="E_49.K49_품번대장 16" xfId="4832" xr:uid="{00000000-0005-0000-0000-0000E0120000}"/>
    <cellStyle name="E_49.K49_품번대장 17" xfId="4833" xr:uid="{00000000-0005-0000-0000-0000E1120000}"/>
    <cellStyle name="E_49.K49_품번대장 18" xfId="4834" xr:uid="{00000000-0005-0000-0000-0000E2120000}"/>
    <cellStyle name="E_49.K49_품번대장 2" xfId="4835" xr:uid="{00000000-0005-0000-0000-0000E3120000}"/>
    <cellStyle name="E_49.K49_품번대장 3" xfId="4836" xr:uid="{00000000-0005-0000-0000-0000E4120000}"/>
    <cellStyle name="E_49.K49_품번대장 4" xfId="4837" xr:uid="{00000000-0005-0000-0000-0000E5120000}"/>
    <cellStyle name="E_49.K49_품번대장 5" xfId="4838" xr:uid="{00000000-0005-0000-0000-0000E6120000}"/>
    <cellStyle name="E_49.K49_품번대장 6" xfId="4839" xr:uid="{00000000-0005-0000-0000-0000E7120000}"/>
    <cellStyle name="E_49.K49_품번대장 7" xfId="4840" xr:uid="{00000000-0005-0000-0000-0000E8120000}"/>
    <cellStyle name="E_49.K49_품번대장 8" xfId="4841" xr:uid="{00000000-0005-0000-0000-0000E9120000}"/>
    <cellStyle name="E_49.K49_품번대장 9" xfId="4842" xr:uid="{00000000-0005-0000-0000-0000EA120000}"/>
    <cellStyle name="E_49.K49_품번대장_BMB_UGA NEXT(audio_DPP2 Ver1.0)2008.xx.xx" xfId="4843" xr:uid="{00000000-0005-0000-0000-0000EB120000}"/>
    <cellStyle name="E_49.K49_품번대장_BMB_UGA NEXT(audio_DPP2 Ver2.0_2134 2EA삭제)2008.xx.xx" xfId="4844" xr:uid="{00000000-0005-0000-0000-0000EC120000}"/>
    <cellStyle name="E_49.K49_품번대장_Construction Parts_PP2" xfId="4845" xr:uid="{00000000-0005-0000-0000-0000ED120000}"/>
    <cellStyle name="E_49.K49_품번대장_Main Board" xfId="4846" xr:uid="{00000000-0005-0000-0000-0000EE120000}"/>
    <cellStyle name="E_49.K49_품번대장_Main Board_Construction Parts_PP2" xfId="4847" xr:uid="{00000000-0005-0000-0000-0000EF120000}"/>
    <cellStyle name="E_49.K49_품번대장_Main Board_MAIN PBA" xfId="4848" xr:uid="{00000000-0005-0000-0000-0000F0120000}"/>
    <cellStyle name="E_49.K49_품번대장_Main Board_PP1 (2)" xfId="4849" xr:uid="{00000000-0005-0000-0000-0000F1120000}"/>
    <cellStyle name="E_49.K49_품번대장_Main Board_UGA-N10(Main_MP4.5_Ver1)_2009.02.02" xfId="4850" xr:uid="{00000000-0005-0000-0000-0000F2120000}"/>
    <cellStyle name="E_49.K49_품번대장_UGA-N10(Audio_LPP Ver1.0)2008.xx.xx" xfId="4851" xr:uid="{00000000-0005-0000-0000-0000F3120000}"/>
    <cellStyle name="E_49.K49_품번대장_UGA-N10(Audio_PP2 Ver1.0)2008.08.09" xfId="4852" xr:uid="{00000000-0005-0000-0000-0000F4120000}"/>
    <cellStyle name="E_49.K49_품번대장_UGA-N10(Construction Parts_PP2_Ver1.0)2008.08.22" xfId="4853" xr:uid="{00000000-0005-0000-0000-0000F5120000}"/>
    <cellStyle name="E_49.K49_품번대장_UGA-N10(Front_PP2_Ver1.0)_2008.08.22" xfId="4854" xr:uid="{00000000-0005-0000-0000-0000F6120000}"/>
    <cellStyle name="E_49.K49_품번대장_UGA-N10(Main_DPP2_Ver1)_2008.xx.xx" xfId="4855" xr:uid="{00000000-0005-0000-0000-0000F7120000}"/>
    <cellStyle name="E_49.K49_품번대장_UGA-N10(Main_LPP_Ver1)_2008.xx.xx" xfId="4856" xr:uid="{00000000-0005-0000-0000-0000F8120000}"/>
    <cellStyle name="E_49.K49_품번대장_UGA-N10(Main_PP2_Ver1)_2008.08.14" xfId="4857" xr:uid="{00000000-0005-0000-0000-0000F9120000}"/>
    <cellStyle name="E_8.K08_품번대장" xfId="4858" xr:uid="{00000000-0005-0000-0000-0000FA120000}"/>
    <cellStyle name="E_8.K08_품번대장 10" xfId="4859" xr:uid="{00000000-0005-0000-0000-0000FB120000}"/>
    <cellStyle name="E_8.K08_품번대장 11" xfId="4860" xr:uid="{00000000-0005-0000-0000-0000FC120000}"/>
    <cellStyle name="E_8.K08_품번대장 12" xfId="4861" xr:uid="{00000000-0005-0000-0000-0000FD120000}"/>
    <cellStyle name="E_8.K08_품번대장 13" xfId="4862" xr:uid="{00000000-0005-0000-0000-0000FE120000}"/>
    <cellStyle name="E_8.K08_품번대장 14" xfId="4863" xr:uid="{00000000-0005-0000-0000-0000FF120000}"/>
    <cellStyle name="E_8.K08_품번대장 15" xfId="4864" xr:uid="{00000000-0005-0000-0000-000000130000}"/>
    <cellStyle name="E_8.K08_품번대장 16" xfId="4865" xr:uid="{00000000-0005-0000-0000-000001130000}"/>
    <cellStyle name="E_8.K08_품번대장 17" xfId="4866" xr:uid="{00000000-0005-0000-0000-000002130000}"/>
    <cellStyle name="E_8.K08_품번대장 18" xfId="4867" xr:uid="{00000000-0005-0000-0000-000003130000}"/>
    <cellStyle name="E_8.K08_품번대장 2" xfId="4868" xr:uid="{00000000-0005-0000-0000-000004130000}"/>
    <cellStyle name="E_8.K08_품번대장 3" xfId="4869" xr:uid="{00000000-0005-0000-0000-000005130000}"/>
    <cellStyle name="E_8.K08_품번대장 4" xfId="4870" xr:uid="{00000000-0005-0000-0000-000006130000}"/>
    <cellStyle name="E_8.K08_품번대장 5" xfId="4871" xr:uid="{00000000-0005-0000-0000-000007130000}"/>
    <cellStyle name="E_8.K08_품번대장 6" xfId="4872" xr:uid="{00000000-0005-0000-0000-000008130000}"/>
    <cellStyle name="E_8.K08_품번대장 7" xfId="4873" xr:uid="{00000000-0005-0000-0000-000009130000}"/>
    <cellStyle name="E_8.K08_품번대장 8" xfId="4874" xr:uid="{00000000-0005-0000-0000-00000A130000}"/>
    <cellStyle name="E_8.K08_품번대장 9" xfId="4875" xr:uid="{00000000-0005-0000-0000-00000B130000}"/>
    <cellStyle name="E_8.K08_품번대장_BMB_UGA NEXT(audio_DPP2 Ver1.0)2008.xx.xx" xfId="4876" xr:uid="{00000000-0005-0000-0000-00000C130000}"/>
    <cellStyle name="E_8.K08_품번대장_BMB_UGA NEXT(audio_DPP2 Ver2.0_2134 2EA삭제)2008.xx.xx" xfId="4877" xr:uid="{00000000-0005-0000-0000-00000D130000}"/>
    <cellStyle name="E_8.K08_품번대장_Construction Parts_PP2" xfId="4878" xr:uid="{00000000-0005-0000-0000-00000E130000}"/>
    <cellStyle name="E_8.K08_품번대장_Main Board" xfId="4879" xr:uid="{00000000-0005-0000-0000-00000F130000}"/>
    <cellStyle name="E_8.K08_품번대장_Main Board_Construction Parts_PP2" xfId="4880" xr:uid="{00000000-0005-0000-0000-000010130000}"/>
    <cellStyle name="E_8.K08_품번대장_Main Board_MAIN PBA" xfId="4881" xr:uid="{00000000-0005-0000-0000-000011130000}"/>
    <cellStyle name="E_8.K08_품번대장_Main Board_PP1 (2)" xfId="4882" xr:uid="{00000000-0005-0000-0000-000012130000}"/>
    <cellStyle name="E_8.K08_품번대장_Main Board_UGA-N10(Main_MP4.5_Ver1)_2009.02.02" xfId="4883" xr:uid="{00000000-0005-0000-0000-000013130000}"/>
    <cellStyle name="E_8.K08_품번대장_UGA-N10(Audio_LPP Ver1.0)2008.xx.xx" xfId="4884" xr:uid="{00000000-0005-0000-0000-000014130000}"/>
    <cellStyle name="E_8.K08_품번대장_UGA-N10(Audio_PP2 Ver1.0)2008.08.09" xfId="4885" xr:uid="{00000000-0005-0000-0000-000015130000}"/>
    <cellStyle name="E_8.K08_품번대장_UGA-N10(Construction Parts_PP2_Ver1.0)2008.08.22" xfId="4886" xr:uid="{00000000-0005-0000-0000-000016130000}"/>
    <cellStyle name="E_8.K08_품번대장_UGA-N10(Front_PP2_Ver1.0)_2008.08.22" xfId="4887" xr:uid="{00000000-0005-0000-0000-000017130000}"/>
    <cellStyle name="E_8.K08_품번대장_UGA-N10(Main_DPP2_Ver1)_2008.xx.xx" xfId="4888" xr:uid="{00000000-0005-0000-0000-000018130000}"/>
    <cellStyle name="E_8.K08_품번대장_UGA-N10(Main_LPP_Ver1)_2008.xx.xx" xfId="4889" xr:uid="{00000000-0005-0000-0000-000019130000}"/>
    <cellStyle name="E_8.K08_품번대장_UGA-N10(Main_PP2_Ver1)_2008.08.14" xfId="4890" xr:uid="{00000000-0005-0000-0000-00001A130000}"/>
    <cellStyle name="E_BMB_UGA NEXT(audio_DPP2 Ver1.0)2008.xx.xx" xfId="5452" xr:uid="{00000000-0005-0000-0000-00004C150000}"/>
    <cellStyle name="E_BMB_UGA NEXT(audio_DPP2 Ver2.0_2134 2EA삭제)2008.xx.xx" xfId="5453" xr:uid="{00000000-0005-0000-0000-00004D150000}"/>
    <cellStyle name="E_Construction Parts_PP2" xfId="5454" xr:uid="{00000000-0005-0000-0000-00004E150000}"/>
    <cellStyle name="E_Main Board" xfId="5455" xr:uid="{00000000-0005-0000-0000-00004F150000}"/>
    <cellStyle name="E_Main Board_Construction Parts_PP2" xfId="5456" xr:uid="{00000000-0005-0000-0000-000050150000}"/>
    <cellStyle name="E_Main Board_MAIN PBA" xfId="5457" xr:uid="{00000000-0005-0000-0000-000051150000}"/>
    <cellStyle name="E_Main Board_PP1 (2)" xfId="5458" xr:uid="{00000000-0005-0000-0000-000052150000}"/>
    <cellStyle name="E_Main Board_UGA-N10(Main_MP4.5_Ver1)_2009.02.02" xfId="5459" xr:uid="{00000000-0005-0000-0000-000053150000}"/>
    <cellStyle name="E_UGA-N10(Audio_LPP Ver1.0)2008.xx.xx" xfId="5460" xr:uid="{00000000-0005-0000-0000-000054150000}"/>
    <cellStyle name="E_UGA-N10(Audio_PP2 Ver1.0)2008.08.09" xfId="5461" xr:uid="{00000000-0005-0000-0000-000055150000}"/>
    <cellStyle name="E_UGA-N10(Construction Parts_PP2_Ver1.0)2008.08.22" xfId="5462" xr:uid="{00000000-0005-0000-0000-000056150000}"/>
    <cellStyle name="E_UGA-N10(Front_PP2_Ver1.0)_2008.08.22" xfId="5463" xr:uid="{00000000-0005-0000-0000-000057150000}"/>
    <cellStyle name="E_UGA-N10(Main_DPP2_Ver1)_2008.xx.xx" xfId="5464" xr:uid="{00000000-0005-0000-0000-000058150000}"/>
    <cellStyle name="E_UGA-N10(Main_LPP_Ver1)_2008.xx.xx" xfId="5465" xr:uid="{00000000-0005-0000-0000-000059150000}"/>
    <cellStyle name="E_UGA-N10(Main_PP2_Ver1)_2008.08.14" xfId="5466" xr:uid="{00000000-0005-0000-0000-00005A150000}"/>
    <cellStyle name="E_연구소용" xfId="4891" xr:uid="{00000000-0005-0000-0000-00001B130000}"/>
    <cellStyle name="E_연구소용 10" xfId="4892" xr:uid="{00000000-0005-0000-0000-00001C130000}"/>
    <cellStyle name="E_연구소용 11" xfId="4893" xr:uid="{00000000-0005-0000-0000-00001D130000}"/>
    <cellStyle name="E_연구소용 12" xfId="4894" xr:uid="{00000000-0005-0000-0000-00001E130000}"/>
    <cellStyle name="E_연구소용 13" xfId="4895" xr:uid="{00000000-0005-0000-0000-00001F130000}"/>
    <cellStyle name="E_연구소용 14" xfId="4896" xr:uid="{00000000-0005-0000-0000-000020130000}"/>
    <cellStyle name="E_연구소용 15" xfId="4897" xr:uid="{00000000-0005-0000-0000-000021130000}"/>
    <cellStyle name="E_연구소용 16" xfId="4898" xr:uid="{00000000-0005-0000-0000-000022130000}"/>
    <cellStyle name="E_연구소용 17" xfId="4899" xr:uid="{00000000-0005-0000-0000-000023130000}"/>
    <cellStyle name="E_연구소용 18" xfId="4900" xr:uid="{00000000-0005-0000-0000-000024130000}"/>
    <cellStyle name="E_연구소용 2" xfId="4901" xr:uid="{00000000-0005-0000-0000-000025130000}"/>
    <cellStyle name="E_연구소용 3" xfId="4902" xr:uid="{00000000-0005-0000-0000-000026130000}"/>
    <cellStyle name="E_연구소용 4" xfId="4903" xr:uid="{00000000-0005-0000-0000-000027130000}"/>
    <cellStyle name="E_연구소용 5" xfId="4904" xr:uid="{00000000-0005-0000-0000-000028130000}"/>
    <cellStyle name="E_연구소용 6" xfId="4905" xr:uid="{00000000-0005-0000-0000-000029130000}"/>
    <cellStyle name="E_연구소용 7" xfId="4906" xr:uid="{00000000-0005-0000-0000-00002A130000}"/>
    <cellStyle name="E_연구소용 8" xfId="4907" xr:uid="{00000000-0005-0000-0000-00002B130000}"/>
    <cellStyle name="E_연구소용 9" xfId="4908" xr:uid="{00000000-0005-0000-0000-00002C130000}"/>
    <cellStyle name="E_연구소용_(1-25)" xfId="4909" xr:uid="{00000000-0005-0000-0000-00002D130000}"/>
    <cellStyle name="E_연구소용_(1-25) 10" xfId="4910" xr:uid="{00000000-0005-0000-0000-00002E130000}"/>
    <cellStyle name="E_연구소용_(1-25) 11" xfId="4911" xr:uid="{00000000-0005-0000-0000-00002F130000}"/>
    <cellStyle name="E_연구소용_(1-25) 12" xfId="4912" xr:uid="{00000000-0005-0000-0000-000030130000}"/>
    <cellStyle name="E_연구소용_(1-25) 13" xfId="4913" xr:uid="{00000000-0005-0000-0000-000031130000}"/>
    <cellStyle name="E_연구소용_(1-25) 14" xfId="4914" xr:uid="{00000000-0005-0000-0000-000032130000}"/>
    <cellStyle name="E_연구소용_(1-25) 15" xfId="4915" xr:uid="{00000000-0005-0000-0000-000033130000}"/>
    <cellStyle name="E_연구소용_(1-25) 16" xfId="4916" xr:uid="{00000000-0005-0000-0000-000034130000}"/>
    <cellStyle name="E_연구소용_(1-25) 17" xfId="4917" xr:uid="{00000000-0005-0000-0000-000035130000}"/>
    <cellStyle name="E_연구소용_(1-25) 18" xfId="4918" xr:uid="{00000000-0005-0000-0000-000036130000}"/>
    <cellStyle name="E_연구소용_(1-25) 2" xfId="4919" xr:uid="{00000000-0005-0000-0000-000037130000}"/>
    <cellStyle name="E_연구소용_(1-25) 3" xfId="4920" xr:uid="{00000000-0005-0000-0000-000038130000}"/>
    <cellStyle name="E_연구소용_(1-25) 4" xfId="4921" xr:uid="{00000000-0005-0000-0000-000039130000}"/>
    <cellStyle name="E_연구소용_(1-25) 5" xfId="4922" xr:uid="{00000000-0005-0000-0000-00003A130000}"/>
    <cellStyle name="E_연구소용_(1-25) 6" xfId="4923" xr:uid="{00000000-0005-0000-0000-00003B130000}"/>
    <cellStyle name="E_연구소용_(1-25) 7" xfId="4924" xr:uid="{00000000-0005-0000-0000-00003C130000}"/>
    <cellStyle name="E_연구소용_(1-25) 8" xfId="4925" xr:uid="{00000000-0005-0000-0000-00003D130000}"/>
    <cellStyle name="E_연구소용_(1-25) 9" xfId="4926" xr:uid="{00000000-0005-0000-0000-00003E130000}"/>
    <cellStyle name="E_연구소용_(1-25)_BMB_UGA NEXT(audio_DPP2 Ver1.0)2008.xx.xx" xfId="4927" xr:uid="{00000000-0005-0000-0000-00003F130000}"/>
    <cellStyle name="E_연구소용_(1-25)_BMB_UGA NEXT(audio_DPP2 Ver2.0_2134 2EA삭제)2008.xx.xx" xfId="4928" xr:uid="{00000000-0005-0000-0000-000040130000}"/>
    <cellStyle name="E_연구소용_(1-25)_Construction Parts_PP2" xfId="4929" xr:uid="{00000000-0005-0000-0000-000041130000}"/>
    <cellStyle name="E_연구소용_(1-25)_Main Board" xfId="4930" xr:uid="{00000000-0005-0000-0000-000042130000}"/>
    <cellStyle name="E_연구소용_(1-25)_Main Board_Construction Parts_PP2" xfId="4931" xr:uid="{00000000-0005-0000-0000-000043130000}"/>
    <cellStyle name="E_연구소용_(1-25)_Main Board_MAIN PBA" xfId="4932" xr:uid="{00000000-0005-0000-0000-000044130000}"/>
    <cellStyle name="E_연구소용_(1-25)_Main Board_PP1 (2)" xfId="4933" xr:uid="{00000000-0005-0000-0000-000045130000}"/>
    <cellStyle name="E_연구소용_(1-25)_Main Board_UGA-N10(Main_MP4.5_Ver1)_2009.02.02" xfId="4934" xr:uid="{00000000-0005-0000-0000-000046130000}"/>
    <cellStyle name="E_연구소용_(1-25)_UGA-N10(Audio_LPP Ver1.0)2008.xx.xx" xfId="4935" xr:uid="{00000000-0005-0000-0000-000047130000}"/>
    <cellStyle name="E_연구소용_(1-25)_UGA-N10(Audio_PP2 Ver1.0)2008.08.09" xfId="4936" xr:uid="{00000000-0005-0000-0000-000048130000}"/>
    <cellStyle name="E_연구소용_(1-25)_UGA-N10(Construction Parts_PP2_Ver1.0)2008.08.22" xfId="4937" xr:uid="{00000000-0005-0000-0000-000049130000}"/>
    <cellStyle name="E_연구소용_(1-25)_UGA-N10(Front_PP2_Ver1.0)_2008.08.22" xfId="4938" xr:uid="{00000000-0005-0000-0000-00004A130000}"/>
    <cellStyle name="E_연구소용_(1-25)_UGA-N10(Main_DPP2_Ver1)_2008.xx.xx" xfId="4939" xr:uid="{00000000-0005-0000-0000-00004B130000}"/>
    <cellStyle name="E_연구소용_(1-25)_UGA-N10(Main_LPP_Ver1)_2008.xx.xx" xfId="4940" xr:uid="{00000000-0005-0000-0000-00004C130000}"/>
    <cellStyle name="E_연구소용_(1-25)_UGA-N10(Main_PP2_Ver1)_2008.08.14" xfId="4941" xr:uid="{00000000-0005-0000-0000-00004D130000}"/>
    <cellStyle name="E_연구소용_33.K33_품번대장" xfId="4942" xr:uid="{00000000-0005-0000-0000-00004E130000}"/>
    <cellStyle name="E_연구소용_33.K33_품번대장 10" xfId="4943" xr:uid="{00000000-0005-0000-0000-00004F130000}"/>
    <cellStyle name="E_연구소용_33.K33_품번대장 11" xfId="4944" xr:uid="{00000000-0005-0000-0000-000050130000}"/>
    <cellStyle name="E_연구소용_33.K33_품번대장 12" xfId="4945" xr:uid="{00000000-0005-0000-0000-000051130000}"/>
    <cellStyle name="E_연구소용_33.K33_품번대장 13" xfId="4946" xr:uid="{00000000-0005-0000-0000-000052130000}"/>
    <cellStyle name="E_연구소용_33.K33_품번대장 14" xfId="4947" xr:uid="{00000000-0005-0000-0000-000053130000}"/>
    <cellStyle name="E_연구소용_33.K33_품번대장 15" xfId="4948" xr:uid="{00000000-0005-0000-0000-000054130000}"/>
    <cellStyle name="E_연구소용_33.K33_품번대장 16" xfId="4949" xr:uid="{00000000-0005-0000-0000-000055130000}"/>
    <cellStyle name="E_연구소용_33.K33_품번대장 17" xfId="4950" xr:uid="{00000000-0005-0000-0000-000056130000}"/>
    <cellStyle name="E_연구소용_33.K33_품번대장 18" xfId="4951" xr:uid="{00000000-0005-0000-0000-000057130000}"/>
    <cellStyle name="E_연구소용_33.K33_품번대장 2" xfId="4952" xr:uid="{00000000-0005-0000-0000-000058130000}"/>
    <cellStyle name="E_연구소용_33.K33_품번대장 3" xfId="4953" xr:uid="{00000000-0005-0000-0000-000059130000}"/>
    <cellStyle name="E_연구소용_33.K33_품번대장 4" xfId="4954" xr:uid="{00000000-0005-0000-0000-00005A130000}"/>
    <cellStyle name="E_연구소용_33.K33_품번대장 5" xfId="4955" xr:uid="{00000000-0005-0000-0000-00005B130000}"/>
    <cellStyle name="E_연구소용_33.K33_품번대장 6" xfId="4956" xr:uid="{00000000-0005-0000-0000-00005C130000}"/>
    <cellStyle name="E_연구소용_33.K33_품번대장 7" xfId="4957" xr:uid="{00000000-0005-0000-0000-00005D130000}"/>
    <cellStyle name="E_연구소용_33.K33_품번대장 8" xfId="4958" xr:uid="{00000000-0005-0000-0000-00005E130000}"/>
    <cellStyle name="E_연구소용_33.K33_품번대장 9" xfId="4959" xr:uid="{00000000-0005-0000-0000-00005F130000}"/>
    <cellStyle name="E_연구소용_33.K33_품번대장_BMB_UGA NEXT(audio_DPP2 Ver1.0)2008.xx.xx" xfId="4960" xr:uid="{00000000-0005-0000-0000-000060130000}"/>
    <cellStyle name="E_연구소용_33.K33_품번대장_BMB_UGA NEXT(audio_DPP2 Ver2.0_2134 2EA삭제)2008.xx.xx" xfId="4961" xr:uid="{00000000-0005-0000-0000-000061130000}"/>
    <cellStyle name="E_연구소용_33.K33_품번대장_Construction Parts_PP2" xfId="4962" xr:uid="{00000000-0005-0000-0000-000062130000}"/>
    <cellStyle name="E_연구소용_33.K33_품번대장_Main Board" xfId="4963" xr:uid="{00000000-0005-0000-0000-000063130000}"/>
    <cellStyle name="E_연구소용_33.K33_품번대장_Main Board_Construction Parts_PP2" xfId="4964" xr:uid="{00000000-0005-0000-0000-000064130000}"/>
    <cellStyle name="E_연구소용_33.K33_품번대장_Main Board_MAIN PBA" xfId="4965" xr:uid="{00000000-0005-0000-0000-000065130000}"/>
    <cellStyle name="E_연구소용_33.K33_품번대장_Main Board_PP1 (2)" xfId="4966" xr:uid="{00000000-0005-0000-0000-000066130000}"/>
    <cellStyle name="E_연구소용_33.K33_품번대장_Main Board_UGA-N10(Main_MP4.5_Ver1)_2009.02.02" xfId="4967" xr:uid="{00000000-0005-0000-0000-000067130000}"/>
    <cellStyle name="E_연구소용_33.K33_품번대장_UGA-N10(Audio_LPP Ver1.0)2008.xx.xx" xfId="4968" xr:uid="{00000000-0005-0000-0000-000068130000}"/>
    <cellStyle name="E_연구소용_33.K33_품번대장_UGA-N10(Audio_PP2 Ver1.0)2008.08.09" xfId="4969" xr:uid="{00000000-0005-0000-0000-000069130000}"/>
    <cellStyle name="E_연구소용_33.K33_품번대장_UGA-N10(Construction Parts_PP2_Ver1.0)2008.08.22" xfId="4970" xr:uid="{00000000-0005-0000-0000-00006A130000}"/>
    <cellStyle name="E_연구소용_33.K33_품번대장_UGA-N10(Front_PP2_Ver1.0)_2008.08.22" xfId="4971" xr:uid="{00000000-0005-0000-0000-00006B130000}"/>
    <cellStyle name="E_연구소용_33.K33_품번대장_UGA-N10(Main_DPP2_Ver1)_2008.xx.xx" xfId="4972" xr:uid="{00000000-0005-0000-0000-00006C130000}"/>
    <cellStyle name="E_연구소용_33.K33_품번대장_UGA-N10(Main_LPP_Ver1)_2008.xx.xx" xfId="4973" xr:uid="{00000000-0005-0000-0000-00006D130000}"/>
    <cellStyle name="E_연구소용_33.K33_품번대장_UGA-N10(Main_PP2_Ver1)_2008.08.14" xfId="4974" xr:uid="{00000000-0005-0000-0000-00006E130000}"/>
    <cellStyle name="E_연구소용_34.K34_품번대장" xfId="4975" xr:uid="{00000000-0005-0000-0000-00006F130000}"/>
    <cellStyle name="E_연구소용_34.K34_품번대장 10" xfId="4976" xr:uid="{00000000-0005-0000-0000-000070130000}"/>
    <cellStyle name="E_연구소용_34.K34_품번대장 11" xfId="4977" xr:uid="{00000000-0005-0000-0000-000071130000}"/>
    <cellStyle name="E_연구소용_34.K34_품번대장 12" xfId="4978" xr:uid="{00000000-0005-0000-0000-000072130000}"/>
    <cellStyle name="E_연구소용_34.K34_품번대장 13" xfId="4979" xr:uid="{00000000-0005-0000-0000-000073130000}"/>
    <cellStyle name="E_연구소용_34.K34_품번대장 14" xfId="4980" xr:uid="{00000000-0005-0000-0000-000074130000}"/>
    <cellStyle name="E_연구소용_34.K34_품번대장 15" xfId="4981" xr:uid="{00000000-0005-0000-0000-000075130000}"/>
    <cellStyle name="E_연구소용_34.K34_품번대장 16" xfId="4982" xr:uid="{00000000-0005-0000-0000-000076130000}"/>
    <cellStyle name="E_연구소용_34.K34_품번대장 17" xfId="4983" xr:uid="{00000000-0005-0000-0000-000077130000}"/>
    <cellStyle name="E_연구소용_34.K34_품번대장 18" xfId="4984" xr:uid="{00000000-0005-0000-0000-000078130000}"/>
    <cellStyle name="E_연구소용_34.K34_품번대장 2" xfId="4985" xr:uid="{00000000-0005-0000-0000-000079130000}"/>
    <cellStyle name="E_연구소용_34.K34_품번대장 3" xfId="4986" xr:uid="{00000000-0005-0000-0000-00007A130000}"/>
    <cellStyle name="E_연구소용_34.K34_품번대장 4" xfId="4987" xr:uid="{00000000-0005-0000-0000-00007B130000}"/>
    <cellStyle name="E_연구소용_34.K34_품번대장 5" xfId="4988" xr:uid="{00000000-0005-0000-0000-00007C130000}"/>
    <cellStyle name="E_연구소용_34.K34_품번대장 6" xfId="4989" xr:uid="{00000000-0005-0000-0000-00007D130000}"/>
    <cellStyle name="E_연구소용_34.K34_품번대장 7" xfId="4990" xr:uid="{00000000-0005-0000-0000-00007E130000}"/>
    <cellStyle name="E_연구소용_34.K34_품번대장 8" xfId="4991" xr:uid="{00000000-0005-0000-0000-00007F130000}"/>
    <cellStyle name="E_연구소용_34.K34_품번대장 9" xfId="4992" xr:uid="{00000000-0005-0000-0000-000080130000}"/>
    <cellStyle name="E_연구소용_34.K34_품번대장_BMB_UGA NEXT(audio_DPP2 Ver1.0)2008.xx.xx" xfId="4993" xr:uid="{00000000-0005-0000-0000-000081130000}"/>
    <cellStyle name="E_연구소용_34.K34_품번대장_BMB_UGA NEXT(audio_DPP2 Ver2.0_2134 2EA삭제)2008.xx.xx" xfId="4994" xr:uid="{00000000-0005-0000-0000-000082130000}"/>
    <cellStyle name="E_연구소용_34.K34_품번대장_Construction Parts_PP2" xfId="4995" xr:uid="{00000000-0005-0000-0000-000083130000}"/>
    <cellStyle name="E_연구소용_34.K34_품번대장_Main Board" xfId="4996" xr:uid="{00000000-0005-0000-0000-000084130000}"/>
    <cellStyle name="E_연구소용_34.K34_품번대장_Main Board_Construction Parts_PP2" xfId="4997" xr:uid="{00000000-0005-0000-0000-000085130000}"/>
    <cellStyle name="E_연구소용_34.K34_품번대장_Main Board_MAIN PBA" xfId="4998" xr:uid="{00000000-0005-0000-0000-000086130000}"/>
    <cellStyle name="E_연구소용_34.K34_품번대장_Main Board_PP1 (2)" xfId="4999" xr:uid="{00000000-0005-0000-0000-000087130000}"/>
    <cellStyle name="E_연구소용_34.K34_품번대장_Main Board_UGA-N10(Main_MP4.5_Ver1)_2009.02.02" xfId="5000" xr:uid="{00000000-0005-0000-0000-000088130000}"/>
    <cellStyle name="E_연구소용_34.K34_품번대장_UGA-N10(Audio_LPP Ver1.0)2008.xx.xx" xfId="5001" xr:uid="{00000000-0005-0000-0000-000089130000}"/>
    <cellStyle name="E_연구소용_34.K34_품번대장_UGA-N10(Audio_PP2 Ver1.0)2008.08.09" xfId="5002" xr:uid="{00000000-0005-0000-0000-00008A130000}"/>
    <cellStyle name="E_연구소용_34.K34_품번대장_UGA-N10(Construction Parts_PP2_Ver1.0)2008.08.22" xfId="5003" xr:uid="{00000000-0005-0000-0000-00008B130000}"/>
    <cellStyle name="E_연구소용_34.K34_품번대장_UGA-N10(Front_PP2_Ver1.0)_2008.08.22" xfId="5004" xr:uid="{00000000-0005-0000-0000-00008C130000}"/>
    <cellStyle name="E_연구소용_34.K34_품번대장_UGA-N10(Main_DPP2_Ver1)_2008.xx.xx" xfId="5005" xr:uid="{00000000-0005-0000-0000-00008D130000}"/>
    <cellStyle name="E_연구소용_34.K34_품번대장_UGA-N10(Main_LPP_Ver1)_2008.xx.xx" xfId="5006" xr:uid="{00000000-0005-0000-0000-00008E130000}"/>
    <cellStyle name="E_연구소용_34.K34_품번대장_UGA-N10(Main_PP2_Ver1)_2008.08.14" xfId="5007" xr:uid="{00000000-0005-0000-0000-00008F130000}"/>
    <cellStyle name="E_연구소용_35.K35_품번대장" xfId="5008" xr:uid="{00000000-0005-0000-0000-000090130000}"/>
    <cellStyle name="E_연구소용_35.K35_품번대장 10" xfId="5009" xr:uid="{00000000-0005-0000-0000-000091130000}"/>
    <cellStyle name="E_연구소용_35.K35_품번대장 11" xfId="5010" xr:uid="{00000000-0005-0000-0000-000092130000}"/>
    <cellStyle name="E_연구소용_35.K35_품번대장 12" xfId="5011" xr:uid="{00000000-0005-0000-0000-000093130000}"/>
    <cellStyle name="E_연구소용_35.K35_품번대장 13" xfId="5012" xr:uid="{00000000-0005-0000-0000-000094130000}"/>
    <cellStyle name="E_연구소용_35.K35_품번대장 14" xfId="5013" xr:uid="{00000000-0005-0000-0000-000095130000}"/>
    <cellStyle name="E_연구소용_35.K35_품번대장 15" xfId="5014" xr:uid="{00000000-0005-0000-0000-000096130000}"/>
    <cellStyle name="E_연구소용_35.K35_품번대장 16" xfId="5015" xr:uid="{00000000-0005-0000-0000-000097130000}"/>
    <cellStyle name="E_연구소용_35.K35_품번대장 17" xfId="5016" xr:uid="{00000000-0005-0000-0000-000098130000}"/>
    <cellStyle name="E_연구소용_35.K35_품번대장 18" xfId="5017" xr:uid="{00000000-0005-0000-0000-000099130000}"/>
    <cellStyle name="E_연구소용_35.K35_품번대장 2" xfId="5018" xr:uid="{00000000-0005-0000-0000-00009A130000}"/>
    <cellStyle name="E_연구소용_35.K35_품번대장 3" xfId="5019" xr:uid="{00000000-0005-0000-0000-00009B130000}"/>
    <cellStyle name="E_연구소용_35.K35_품번대장 4" xfId="5020" xr:uid="{00000000-0005-0000-0000-00009C130000}"/>
    <cellStyle name="E_연구소용_35.K35_품번대장 5" xfId="5021" xr:uid="{00000000-0005-0000-0000-00009D130000}"/>
    <cellStyle name="E_연구소용_35.K35_품번대장 6" xfId="5022" xr:uid="{00000000-0005-0000-0000-00009E130000}"/>
    <cellStyle name="E_연구소용_35.K35_품번대장 7" xfId="5023" xr:uid="{00000000-0005-0000-0000-00009F130000}"/>
    <cellStyle name="E_연구소용_35.K35_품번대장 8" xfId="5024" xr:uid="{00000000-0005-0000-0000-0000A0130000}"/>
    <cellStyle name="E_연구소용_35.K35_품번대장 9" xfId="5025" xr:uid="{00000000-0005-0000-0000-0000A1130000}"/>
    <cellStyle name="E_연구소용_35.K35_품번대장_BMB_UGA NEXT(audio_DPP2 Ver1.0)2008.xx.xx" xfId="5026" xr:uid="{00000000-0005-0000-0000-0000A2130000}"/>
    <cellStyle name="E_연구소용_35.K35_품번대장_BMB_UGA NEXT(audio_DPP2 Ver2.0_2134 2EA삭제)2008.xx.xx" xfId="5027" xr:uid="{00000000-0005-0000-0000-0000A3130000}"/>
    <cellStyle name="E_연구소용_35.K35_품번대장_Construction Parts_PP2" xfId="5028" xr:uid="{00000000-0005-0000-0000-0000A4130000}"/>
    <cellStyle name="E_연구소용_35.K35_품번대장_Main Board" xfId="5029" xr:uid="{00000000-0005-0000-0000-0000A5130000}"/>
    <cellStyle name="E_연구소용_35.K35_품번대장_Main Board_Construction Parts_PP2" xfId="5030" xr:uid="{00000000-0005-0000-0000-0000A6130000}"/>
    <cellStyle name="E_연구소용_35.K35_품번대장_Main Board_MAIN PBA" xfId="5031" xr:uid="{00000000-0005-0000-0000-0000A7130000}"/>
    <cellStyle name="E_연구소용_35.K35_품번대장_Main Board_PP1 (2)" xfId="5032" xr:uid="{00000000-0005-0000-0000-0000A8130000}"/>
    <cellStyle name="E_연구소용_35.K35_품번대장_Main Board_UGA-N10(Main_MP4.5_Ver1)_2009.02.02" xfId="5033" xr:uid="{00000000-0005-0000-0000-0000A9130000}"/>
    <cellStyle name="E_연구소용_35.K35_품번대장_UGA-N10(Audio_LPP Ver1.0)2008.xx.xx" xfId="5034" xr:uid="{00000000-0005-0000-0000-0000AA130000}"/>
    <cellStyle name="E_연구소용_35.K35_품번대장_UGA-N10(Audio_PP2 Ver1.0)2008.08.09" xfId="5035" xr:uid="{00000000-0005-0000-0000-0000AB130000}"/>
    <cellStyle name="E_연구소용_35.K35_품번대장_UGA-N10(Construction Parts_PP2_Ver1.0)2008.08.22" xfId="5036" xr:uid="{00000000-0005-0000-0000-0000AC130000}"/>
    <cellStyle name="E_연구소용_35.K35_품번대장_UGA-N10(Front_PP2_Ver1.0)_2008.08.22" xfId="5037" xr:uid="{00000000-0005-0000-0000-0000AD130000}"/>
    <cellStyle name="E_연구소용_35.K35_품번대장_UGA-N10(Main_DPP2_Ver1)_2008.xx.xx" xfId="5038" xr:uid="{00000000-0005-0000-0000-0000AE130000}"/>
    <cellStyle name="E_연구소용_35.K35_품번대장_UGA-N10(Main_LPP_Ver1)_2008.xx.xx" xfId="5039" xr:uid="{00000000-0005-0000-0000-0000AF130000}"/>
    <cellStyle name="E_연구소용_35.K35_품번대장_UGA-N10(Main_PP2_Ver1)_2008.08.14" xfId="5040" xr:uid="{00000000-0005-0000-0000-0000B0130000}"/>
    <cellStyle name="E_연구소용_BMB_UGA NEXT(audio_DPP2 Ver1.0)2008.xx.xx" xfId="5404" xr:uid="{00000000-0005-0000-0000-00001C150000}"/>
    <cellStyle name="E_연구소용_BMB_UGA NEXT(audio_DPP2 Ver2.0_2134 2EA삭제)2008.xx.xx" xfId="5405" xr:uid="{00000000-0005-0000-0000-00001D150000}"/>
    <cellStyle name="E_연구소용_Construction Parts_PP2" xfId="5406" xr:uid="{00000000-0005-0000-0000-00001E150000}"/>
    <cellStyle name="E_연구소용_Main Board" xfId="5407" xr:uid="{00000000-0005-0000-0000-00001F150000}"/>
    <cellStyle name="E_연구소용_Main Board_Construction Parts_PP2" xfId="5408" xr:uid="{00000000-0005-0000-0000-000020150000}"/>
    <cellStyle name="E_연구소용_Main Board_MAIN PBA" xfId="5409" xr:uid="{00000000-0005-0000-0000-000021150000}"/>
    <cellStyle name="E_연구소용_Main Board_PP1 (2)" xfId="5410" xr:uid="{00000000-0005-0000-0000-000022150000}"/>
    <cellStyle name="E_연구소용_Main Board_UGA-N10(Main_MP4.5_Ver1)_2009.02.02" xfId="5411" xr:uid="{00000000-0005-0000-0000-000023150000}"/>
    <cellStyle name="E_연구소용_UGA-N10(Audio_LPP Ver1.0)2008.xx.xx" xfId="5412" xr:uid="{00000000-0005-0000-0000-000024150000}"/>
    <cellStyle name="E_연구소용_UGA-N10(Audio_PP2 Ver1.0)2008.08.09" xfId="5413" xr:uid="{00000000-0005-0000-0000-000025150000}"/>
    <cellStyle name="E_연구소용_UGA-N10(Construction Parts_PP2_Ver1.0)2008.08.22" xfId="5414" xr:uid="{00000000-0005-0000-0000-000026150000}"/>
    <cellStyle name="E_연구소용_UGA-N10(Front_PP2_Ver1.0)_2008.08.22" xfId="5415" xr:uid="{00000000-0005-0000-0000-000027150000}"/>
    <cellStyle name="E_연구소용_UGA-N10(Main_DPP2_Ver1)_2008.xx.xx" xfId="5416" xr:uid="{00000000-0005-0000-0000-000028150000}"/>
    <cellStyle name="E_연구소용_UGA-N10(Main_LPP_Ver1)_2008.xx.xx" xfId="5417" xr:uid="{00000000-0005-0000-0000-000029150000}"/>
    <cellStyle name="E_연구소용_UGA-N10(Main_PP2_Ver1)_2008.08.14" xfId="5418" xr:uid="{00000000-0005-0000-0000-00002A150000}"/>
    <cellStyle name="E_연구소용_곡목검색기2" xfId="5041" xr:uid="{00000000-0005-0000-0000-0000B1130000}"/>
    <cellStyle name="E_연구소용_곡목검색기2 10" xfId="5042" xr:uid="{00000000-0005-0000-0000-0000B2130000}"/>
    <cellStyle name="E_연구소용_곡목검색기2 11" xfId="5043" xr:uid="{00000000-0005-0000-0000-0000B3130000}"/>
    <cellStyle name="E_연구소용_곡목검색기2 12" xfId="5044" xr:uid="{00000000-0005-0000-0000-0000B4130000}"/>
    <cellStyle name="E_연구소용_곡목검색기2 13" xfId="5045" xr:uid="{00000000-0005-0000-0000-0000B5130000}"/>
    <cellStyle name="E_연구소용_곡목검색기2 14" xfId="5046" xr:uid="{00000000-0005-0000-0000-0000B6130000}"/>
    <cellStyle name="E_연구소용_곡목검색기2 15" xfId="5047" xr:uid="{00000000-0005-0000-0000-0000B7130000}"/>
    <cellStyle name="E_연구소용_곡목검색기2 16" xfId="5048" xr:uid="{00000000-0005-0000-0000-0000B8130000}"/>
    <cellStyle name="E_연구소용_곡목검색기2 17" xfId="5049" xr:uid="{00000000-0005-0000-0000-0000B9130000}"/>
    <cellStyle name="E_연구소용_곡목검색기2 18" xfId="5050" xr:uid="{00000000-0005-0000-0000-0000BA130000}"/>
    <cellStyle name="E_연구소용_곡목검색기2 2" xfId="5051" xr:uid="{00000000-0005-0000-0000-0000BB130000}"/>
    <cellStyle name="E_연구소용_곡목검색기2 3" xfId="5052" xr:uid="{00000000-0005-0000-0000-0000BC130000}"/>
    <cellStyle name="E_연구소용_곡목검색기2 4" xfId="5053" xr:uid="{00000000-0005-0000-0000-0000BD130000}"/>
    <cellStyle name="E_연구소용_곡목검색기2 5" xfId="5054" xr:uid="{00000000-0005-0000-0000-0000BE130000}"/>
    <cellStyle name="E_연구소용_곡목검색기2 6" xfId="5055" xr:uid="{00000000-0005-0000-0000-0000BF130000}"/>
    <cellStyle name="E_연구소용_곡목검색기2 7" xfId="5056" xr:uid="{00000000-0005-0000-0000-0000C0130000}"/>
    <cellStyle name="E_연구소용_곡목검색기2 8" xfId="5057" xr:uid="{00000000-0005-0000-0000-0000C1130000}"/>
    <cellStyle name="E_연구소용_곡목검색기2 9" xfId="5058" xr:uid="{00000000-0005-0000-0000-0000C2130000}"/>
    <cellStyle name="E_연구소용_곡목검색기2_BMB_UGA NEXT(audio_DPP2 Ver1.0)2008.xx.xx" xfId="5059" xr:uid="{00000000-0005-0000-0000-0000C3130000}"/>
    <cellStyle name="E_연구소용_곡목검색기2_BMB_UGA NEXT(audio_DPP2 Ver2.0_2134 2EA삭제)2008.xx.xx" xfId="5060" xr:uid="{00000000-0005-0000-0000-0000C4130000}"/>
    <cellStyle name="E_연구소용_곡목검색기2_Construction Parts_PP2" xfId="5061" xr:uid="{00000000-0005-0000-0000-0000C5130000}"/>
    <cellStyle name="E_연구소용_곡목검색기2_Main Board" xfId="5062" xr:uid="{00000000-0005-0000-0000-0000C6130000}"/>
    <cellStyle name="E_연구소용_곡목검색기2_Main Board_Construction Parts_PP2" xfId="5063" xr:uid="{00000000-0005-0000-0000-0000C7130000}"/>
    <cellStyle name="E_연구소용_곡목검색기2_Main Board_MAIN PBA" xfId="5064" xr:uid="{00000000-0005-0000-0000-0000C8130000}"/>
    <cellStyle name="E_연구소용_곡목검색기2_Main Board_PP1 (2)" xfId="5065" xr:uid="{00000000-0005-0000-0000-0000C9130000}"/>
    <cellStyle name="E_연구소용_곡목검색기2_Main Board_UGA-N10(Main_MP4.5_Ver1)_2009.02.02" xfId="5066" xr:uid="{00000000-0005-0000-0000-0000CA130000}"/>
    <cellStyle name="E_연구소용_곡목검색기2_UGA-N10(Audio_LPP Ver1.0)2008.xx.xx" xfId="5067" xr:uid="{00000000-0005-0000-0000-0000CB130000}"/>
    <cellStyle name="E_연구소용_곡목검색기2_UGA-N10(Audio_PP2 Ver1.0)2008.08.09" xfId="5068" xr:uid="{00000000-0005-0000-0000-0000CC130000}"/>
    <cellStyle name="E_연구소용_곡목검색기2_UGA-N10(Construction Parts_PP2_Ver1.0)2008.08.22" xfId="5069" xr:uid="{00000000-0005-0000-0000-0000CD130000}"/>
    <cellStyle name="E_연구소용_곡목검색기2_UGA-N10(Front_PP2_Ver1.0)_2008.08.22" xfId="5070" xr:uid="{00000000-0005-0000-0000-0000CE130000}"/>
    <cellStyle name="E_연구소용_곡목검색기2_UGA-N10(Main_DPP2_Ver1)_2008.xx.xx" xfId="5071" xr:uid="{00000000-0005-0000-0000-0000CF130000}"/>
    <cellStyle name="E_연구소용_곡목검색기2_UGA-N10(Main_LPP_Ver1)_2008.xx.xx" xfId="5072" xr:uid="{00000000-0005-0000-0000-0000D0130000}"/>
    <cellStyle name="E_연구소용_곡목검색기2_UGA-N10(Main_PP2_Ver1)_2008.08.14" xfId="5073" xr:uid="{00000000-0005-0000-0000-0000D1130000}"/>
    <cellStyle name="E_연구소용_품번등록대장" xfId="5074" xr:uid="{00000000-0005-0000-0000-0000D2130000}"/>
    <cellStyle name="E_연구소용_품번등록대장 10" xfId="5075" xr:uid="{00000000-0005-0000-0000-0000D3130000}"/>
    <cellStyle name="E_연구소용_품번등록대장 11" xfId="5076" xr:uid="{00000000-0005-0000-0000-0000D4130000}"/>
    <cellStyle name="E_연구소용_품번등록대장 12" xfId="5077" xr:uid="{00000000-0005-0000-0000-0000D5130000}"/>
    <cellStyle name="E_연구소용_품번등록대장 13" xfId="5078" xr:uid="{00000000-0005-0000-0000-0000D6130000}"/>
    <cellStyle name="E_연구소용_품번등록대장 14" xfId="5079" xr:uid="{00000000-0005-0000-0000-0000D7130000}"/>
    <cellStyle name="E_연구소용_품번등록대장 15" xfId="5080" xr:uid="{00000000-0005-0000-0000-0000D8130000}"/>
    <cellStyle name="E_연구소용_품번등록대장 16" xfId="5081" xr:uid="{00000000-0005-0000-0000-0000D9130000}"/>
    <cellStyle name="E_연구소용_품번등록대장 17" xfId="5082" xr:uid="{00000000-0005-0000-0000-0000DA130000}"/>
    <cellStyle name="E_연구소용_품번등록대장 18" xfId="5083" xr:uid="{00000000-0005-0000-0000-0000DB130000}"/>
    <cellStyle name="E_연구소용_품번등록대장 2" xfId="5084" xr:uid="{00000000-0005-0000-0000-0000DC130000}"/>
    <cellStyle name="E_연구소용_품번등록대장 3" xfId="5085" xr:uid="{00000000-0005-0000-0000-0000DD130000}"/>
    <cellStyle name="E_연구소용_품번등록대장 4" xfId="5086" xr:uid="{00000000-0005-0000-0000-0000DE130000}"/>
    <cellStyle name="E_연구소용_품번등록대장 5" xfId="5087" xr:uid="{00000000-0005-0000-0000-0000DF130000}"/>
    <cellStyle name="E_연구소용_품번등록대장 6" xfId="5088" xr:uid="{00000000-0005-0000-0000-0000E0130000}"/>
    <cellStyle name="E_연구소용_품번등록대장 7" xfId="5089" xr:uid="{00000000-0005-0000-0000-0000E1130000}"/>
    <cellStyle name="E_연구소용_품번등록대장 8" xfId="5090" xr:uid="{00000000-0005-0000-0000-0000E2130000}"/>
    <cellStyle name="E_연구소용_품번등록대장 9" xfId="5091" xr:uid="{00000000-0005-0000-0000-0000E3130000}"/>
    <cellStyle name="E_연구소용_품번등록대장_1" xfId="5092" xr:uid="{00000000-0005-0000-0000-0000E4130000}"/>
    <cellStyle name="E_연구소용_품번등록대장_1 10" xfId="5093" xr:uid="{00000000-0005-0000-0000-0000E5130000}"/>
    <cellStyle name="E_연구소용_품번등록대장_1 11" xfId="5094" xr:uid="{00000000-0005-0000-0000-0000E6130000}"/>
    <cellStyle name="E_연구소용_품번등록대장_1 12" xfId="5095" xr:uid="{00000000-0005-0000-0000-0000E7130000}"/>
    <cellStyle name="E_연구소용_품번등록대장_1 13" xfId="5096" xr:uid="{00000000-0005-0000-0000-0000E8130000}"/>
    <cellStyle name="E_연구소용_품번등록대장_1 14" xfId="5097" xr:uid="{00000000-0005-0000-0000-0000E9130000}"/>
    <cellStyle name="E_연구소용_품번등록대장_1 15" xfId="5098" xr:uid="{00000000-0005-0000-0000-0000EA130000}"/>
    <cellStyle name="E_연구소용_품번등록대장_1 16" xfId="5099" xr:uid="{00000000-0005-0000-0000-0000EB130000}"/>
    <cellStyle name="E_연구소용_품번등록대장_1 17" xfId="5100" xr:uid="{00000000-0005-0000-0000-0000EC130000}"/>
    <cellStyle name="E_연구소용_품번등록대장_1 18" xfId="5101" xr:uid="{00000000-0005-0000-0000-0000ED130000}"/>
    <cellStyle name="E_연구소용_품번등록대장_1 2" xfId="5102" xr:uid="{00000000-0005-0000-0000-0000EE130000}"/>
    <cellStyle name="E_연구소용_품번등록대장_1 3" xfId="5103" xr:uid="{00000000-0005-0000-0000-0000EF130000}"/>
    <cellStyle name="E_연구소용_품번등록대장_1 4" xfId="5104" xr:uid="{00000000-0005-0000-0000-0000F0130000}"/>
    <cellStyle name="E_연구소용_품번등록대장_1 5" xfId="5105" xr:uid="{00000000-0005-0000-0000-0000F1130000}"/>
    <cellStyle name="E_연구소용_품번등록대장_1 6" xfId="5106" xr:uid="{00000000-0005-0000-0000-0000F2130000}"/>
    <cellStyle name="E_연구소용_품번등록대장_1 7" xfId="5107" xr:uid="{00000000-0005-0000-0000-0000F3130000}"/>
    <cellStyle name="E_연구소용_품번등록대장_1 8" xfId="5108" xr:uid="{00000000-0005-0000-0000-0000F4130000}"/>
    <cellStyle name="E_연구소용_품번등록대장_1 9" xfId="5109" xr:uid="{00000000-0005-0000-0000-0000F5130000}"/>
    <cellStyle name="E_연구소용_품번등록대장_1_BMB_UGA NEXT(audio_DPP2 Ver1.0)2008.xx.xx" xfId="5110" xr:uid="{00000000-0005-0000-0000-0000F6130000}"/>
    <cellStyle name="E_연구소용_품번등록대장_1_BMB_UGA NEXT(audio_DPP2 Ver2.0_2134 2EA삭제)2008.xx.xx" xfId="5111" xr:uid="{00000000-0005-0000-0000-0000F7130000}"/>
    <cellStyle name="E_연구소용_품번등록대장_1_Construction Parts_PP2" xfId="5112" xr:uid="{00000000-0005-0000-0000-0000F8130000}"/>
    <cellStyle name="E_연구소용_품번등록대장_1_Main Board" xfId="5113" xr:uid="{00000000-0005-0000-0000-0000F9130000}"/>
    <cellStyle name="E_연구소용_품번등록대장_1_Main Board_Construction Parts_PP2" xfId="5114" xr:uid="{00000000-0005-0000-0000-0000FA130000}"/>
    <cellStyle name="E_연구소용_품번등록대장_1_Main Board_MAIN PBA" xfId="5115" xr:uid="{00000000-0005-0000-0000-0000FB130000}"/>
    <cellStyle name="E_연구소용_품번등록대장_1_Main Board_PP1 (2)" xfId="5116" xr:uid="{00000000-0005-0000-0000-0000FC130000}"/>
    <cellStyle name="E_연구소용_품번등록대장_1_Main Board_UGA-N10(Main_MP4.5_Ver1)_2009.02.02" xfId="5117" xr:uid="{00000000-0005-0000-0000-0000FD130000}"/>
    <cellStyle name="E_연구소용_품번등록대장_1_UGA-N10(Audio_LPP Ver1.0)2008.xx.xx" xfId="5118" xr:uid="{00000000-0005-0000-0000-0000FE130000}"/>
    <cellStyle name="E_연구소용_품번등록대장_1_UGA-N10(Audio_PP2 Ver1.0)2008.08.09" xfId="5119" xr:uid="{00000000-0005-0000-0000-0000FF130000}"/>
    <cellStyle name="E_연구소용_품번등록대장_1_UGA-N10(Construction Parts_PP2_Ver1.0)2008.08.22" xfId="5120" xr:uid="{00000000-0005-0000-0000-000000140000}"/>
    <cellStyle name="E_연구소용_품번등록대장_1_UGA-N10(Front_PP2_Ver1.0)_2008.08.22" xfId="5121" xr:uid="{00000000-0005-0000-0000-000001140000}"/>
    <cellStyle name="E_연구소용_품번등록대장_1_UGA-N10(Main_DPP2_Ver1)_2008.xx.xx" xfId="5122" xr:uid="{00000000-0005-0000-0000-000002140000}"/>
    <cellStyle name="E_연구소용_품번등록대장_1_UGA-N10(Main_LPP_Ver1)_2008.xx.xx" xfId="5123" xr:uid="{00000000-0005-0000-0000-000003140000}"/>
    <cellStyle name="E_연구소용_품번등록대장_1_UGA-N10(Main_PP2_Ver1)_2008.08.14" xfId="5124" xr:uid="{00000000-0005-0000-0000-000004140000}"/>
    <cellStyle name="E_연구소용_품번등록대장_2" xfId="5125" xr:uid="{00000000-0005-0000-0000-000005140000}"/>
    <cellStyle name="E_연구소용_품번등록대장_2 10" xfId="5126" xr:uid="{00000000-0005-0000-0000-000006140000}"/>
    <cellStyle name="E_연구소용_품번등록대장_2 11" xfId="5127" xr:uid="{00000000-0005-0000-0000-000007140000}"/>
    <cellStyle name="E_연구소용_품번등록대장_2 12" xfId="5128" xr:uid="{00000000-0005-0000-0000-000008140000}"/>
    <cellStyle name="E_연구소용_품번등록대장_2 13" xfId="5129" xr:uid="{00000000-0005-0000-0000-000009140000}"/>
    <cellStyle name="E_연구소용_품번등록대장_2 14" xfId="5130" xr:uid="{00000000-0005-0000-0000-00000A140000}"/>
    <cellStyle name="E_연구소용_품번등록대장_2 15" xfId="5131" xr:uid="{00000000-0005-0000-0000-00000B140000}"/>
    <cellStyle name="E_연구소용_품번등록대장_2 16" xfId="5132" xr:uid="{00000000-0005-0000-0000-00000C140000}"/>
    <cellStyle name="E_연구소용_품번등록대장_2 17" xfId="5133" xr:uid="{00000000-0005-0000-0000-00000D140000}"/>
    <cellStyle name="E_연구소용_품번등록대장_2 18" xfId="5134" xr:uid="{00000000-0005-0000-0000-00000E140000}"/>
    <cellStyle name="E_연구소용_품번등록대장_2 2" xfId="5135" xr:uid="{00000000-0005-0000-0000-00000F140000}"/>
    <cellStyle name="E_연구소용_품번등록대장_2 3" xfId="5136" xr:uid="{00000000-0005-0000-0000-000010140000}"/>
    <cellStyle name="E_연구소용_품번등록대장_2 4" xfId="5137" xr:uid="{00000000-0005-0000-0000-000011140000}"/>
    <cellStyle name="E_연구소용_품번등록대장_2 5" xfId="5138" xr:uid="{00000000-0005-0000-0000-000012140000}"/>
    <cellStyle name="E_연구소용_품번등록대장_2 6" xfId="5139" xr:uid="{00000000-0005-0000-0000-000013140000}"/>
    <cellStyle name="E_연구소용_품번등록대장_2 7" xfId="5140" xr:uid="{00000000-0005-0000-0000-000014140000}"/>
    <cellStyle name="E_연구소용_품번등록대장_2 8" xfId="5141" xr:uid="{00000000-0005-0000-0000-000015140000}"/>
    <cellStyle name="E_연구소용_품번등록대장_2 9" xfId="5142" xr:uid="{00000000-0005-0000-0000-000016140000}"/>
    <cellStyle name="E_연구소용_품번등록대장_2_1.부품 연구소용" xfId="5143" xr:uid="{00000000-0005-0000-0000-000017140000}"/>
    <cellStyle name="E_연구소용_품번등록대장_2_1.부품 연구소용 10" xfId="5144" xr:uid="{00000000-0005-0000-0000-000018140000}"/>
    <cellStyle name="E_연구소용_품번등록대장_2_1.부품 연구소용 11" xfId="5145" xr:uid="{00000000-0005-0000-0000-000019140000}"/>
    <cellStyle name="E_연구소용_품번등록대장_2_1.부품 연구소용 12" xfId="5146" xr:uid="{00000000-0005-0000-0000-00001A140000}"/>
    <cellStyle name="E_연구소용_품번등록대장_2_1.부품 연구소용 13" xfId="5147" xr:uid="{00000000-0005-0000-0000-00001B140000}"/>
    <cellStyle name="E_연구소용_품번등록대장_2_1.부품 연구소용 14" xfId="5148" xr:uid="{00000000-0005-0000-0000-00001C140000}"/>
    <cellStyle name="E_연구소용_품번등록대장_2_1.부품 연구소용 15" xfId="5149" xr:uid="{00000000-0005-0000-0000-00001D140000}"/>
    <cellStyle name="E_연구소용_품번등록대장_2_1.부품 연구소용 16" xfId="5150" xr:uid="{00000000-0005-0000-0000-00001E140000}"/>
    <cellStyle name="E_연구소용_품번등록대장_2_1.부품 연구소용 17" xfId="5151" xr:uid="{00000000-0005-0000-0000-00001F140000}"/>
    <cellStyle name="E_연구소용_품번등록대장_2_1.부품 연구소용 18" xfId="5152" xr:uid="{00000000-0005-0000-0000-000020140000}"/>
    <cellStyle name="E_연구소용_품번등록대장_2_1.부품 연구소용 2" xfId="5153" xr:uid="{00000000-0005-0000-0000-000021140000}"/>
    <cellStyle name="E_연구소용_품번등록대장_2_1.부품 연구소용 3" xfId="5154" xr:uid="{00000000-0005-0000-0000-000022140000}"/>
    <cellStyle name="E_연구소용_품번등록대장_2_1.부품 연구소용 4" xfId="5155" xr:uid="{00000000-0005-0000-0000-000023140000}"/>
    <cellStyle name="E_연구소용_품번등록대장_2_1.부품 연구소용 5" xfId="5156" xr:uid="{00000000-0005-0000-0000-000024140000}"/>
    <cellStyle name="E_연구소용_품번등록대장_2_1.부품 연구소용 6" xfId="5157" xr:uid="{00000000-0005-0000-0000-000025140000}"/>
    <cellStyle name="E_연구소용_품번등록대장_2_1.부품 연구소용 7" xfId="5158" xr:uid="{00000000-0005-0000-0000-000026140000}"/>
    <cellStyle name="E_연구소용_품번등록대장_2_1.부품 연구소용 8" xfId="5159" xr:uid="{00000000-0005-0000-0000-000027140000}"/>
    <cellStyle name="E_연구소용_품번등록대장_2_1.부품 연구소용 9" xfId="5160" xr:uid="{00000000-0005-0000-0000-000028140000}"/>
    <cellStyle name="E_연구소용_품번등록대장_2_1.부품 연구소용_BMB_UGA NEXT(audio_DPP2 Ver1.0)2008.xx.xx" xfId="5161" xr:uid="{00000000-0005-0000-0000-000029140000}"/>
    <cellStyle name="E_연구소용_품번등록대장_2_1.부품 연구소용_BMB_UGA NEXT(audio_DPP2 Ver2.0_2134 2EA삭제)2008.xx.xx" xfId="5162" xr:uid="{00000000-0005-0000-0000-00002A140000}"/>
    <cellStyle name="E_연구소용_품번등록대장_2_1.부품 연구소용_Construction Parts_PP2" xfId="5163" xr:uid="{00000000-0005-0000-0000-00002B140000}"/>
    <cellStyle name="E_연구소용_품번등록대장_2_1.부품 연구소용_Main Board" xfId="5164" xr:uid="{00000000-0005-0000-0000-00002C140000}"/>
    <cellStyle name="E_연구소용_품번등록대장_2_1.부품 연구소용_Main Board_Construction Parts_PP2" xfId="5165" xr:uid="{00000000-0005-0000-0000-00002D140000}"/>
    <cellStyle name="E_연구소용_품번등록대장_2_1.부품 연구소용_Main Board_MAIN PBA" xfId="5166" xr:uid="{00000000-0005-0000-0000-00002E140000}"/>
    <cellStyle name="E_연구소용_품번등록대장_2_1.부품 연구소용_Main Board_PP1 (2)" xfId="5167" xr:uid="{00000000-0005-0000-0000-00002F140000}"/>
    <cellStyle name="E_연구소용_품번등록대장_2_1.부품 연구소용_Main Board_UGA-N10(Main_MP4.5_Ver1)_2009.02.02" xfId="5168" xr:uid="{00000000-0005-0000-0000-000030140000}"/>
    <cellStyle name="E_연구소용_품번등록대장_2_1.부품 연구소용_UGA-N10(Audio_LPP Ver1.0)2008.xx.xx" xfId="5169" xr:uid="{00000000-0005-0000-0000-000031140000}"/>
    <cellStyle name="E_연구소용_품번등록대장_2_1.부품 연구소용_UGA-N10(Audio_PP2 Ver1.0)2008.08.09" xfId="5170" xr:uid="{00000000-0005-0000-0000-000032140000}"/>
    <cellStyle name="E_연구소용_품번등록대장_2_1.부품 연구소용_UGA-N10(Construction Parts_PP2_Ver1.0)2008.08.22" xfId="5171" xr:uid="{00000000-0005-0000-0000-000033140000}"/>
    <cellStyle name="E_연구소용_품번등록대장_2_1.부품 연구소용_UGA-N10(Front_PP2_Ver1.0)_2008.08.22" xfId="5172" xr:uid="{00000000-0005-0000-0000-000034140000}"/>
    <cellStyle name="E_연구소용_품번등록대장_2_1.부품 연구소용_UGA-N10(Main_DPP2_Ver1)_2008.xx.xx" xfId="5173" xr:uid="{00000000-0005-0000-0000-000035140000}"/>
    <cellStyle name="E_연구소용_품번등록대장_2_1.부품 연구소용_UGA-N10(Main_LPP_Ver1)_2008.xx.xx" xfId="5174" xr:uid="{00000000-0005-0000-0000-000036140000}"/>
    <cellStyle name="E_연구소용_품번등록대장_2_1.부품 연구소용_UGA-N10(Main_PP2_Ver1)_2008.08.14" xfId="5175" xr:uid="{00000000-0005-0000-0000-000037140000}"/>
    <cellStyle name="E_연구소용_품번등록대장_2_33.K33_품번대장" xfId="5176" xr:uid="{00000000-0005-0000-0000-000038140000}"/>
    <cellStyle name="E_연구소용_품번등록대장_2_33.K33_품번대장 10" xfId="5177" xr:uid="{00000000-0005-0000-0000-000039140000}"/>
    <cellStyle name="E_연구소용_품번등록대장_2_33.K33_품번대장 11" xfId="5178" xr:uid="{00000000-0005-0000-0000-00003A140000}"/>
    <cellStyle name="E_연구소용_품번등록대장_2_33.K33_품번대장 12" xfId="5179" xr:uid="{00000000-0005-0000-0000-00003B140000}"/>
    <cellStyle name="E_연구소용_품번등록대장_2_33.K33_품번대장 13" xfId="5180" xr:uid="{00000000-0005-0000-0000-00003C140000}"/>
    <cellStyle name="E_연구소용_품번등록대장_2_33.K33_품번대장 14" xfId="5181" xr:uid="{00000000-0005-0000-0000-00003D140000}"/>
    <cellStyle name="E_연구소용_품번등록대장_2_33.K33_품번대장 15" xfId="5182" xr:uid="{00000000-0005-0000-0000-00003E140000}"/>
    <cellStyle name="E_연구소용_품번등록대장_2_33.K33_품번대장 16" xfId="5183" xr:uid="{00000000-0005-0000-0000-00003F140000}"/>
    <cellStyle name="E_연구소용_품번등록대장_2_33.K33_품번대장 17" xfId="5184" xr:uid="{00000000-0005-0000-0000-000040140000}"/>
    <cellStyle name="E_연구소용_품번등록대장_2_33.K33_품번대장 18" xfId="5185" xr:uid="{00000000-0005-0000-0000-000041140000}"/>
    <cellStyle name="E_연구소용_품번등록대장_2_33.K33_품번대장 2" xfId="5186" xr:uid="{00000000-0005-0000-0000-000042140000}"/>
    <cellStyle name="E_연구소용_품번등록대장_2_33.K33_품번대장 3" xfId="5187" xr:uid="{00000000-0005-0000-0000-000043140000}"/>
    <cellStyle name="E_연구소용_품번등록대장_2_33.K33_품번대장 4" xfId="5188" xr:uid="{00000000-0005-0000-0000-000044140000}"/>
    <cellStyle name="E_연구소용_품번등록대장_2_33.K33_품번대장 5" xfId="5189" xr:uid="{00000000-0005-0000-0000-000045140000}"/>
    <cellStyle name="E_연구소용_품번등록대장_2_33.K33_품번대장 6" xfId="5190" xr:uid="{00000000-0005-0000-0000-000046140000}"/>
    <cellStyle name="E_연구소용_품번등록대장_2_33.K33_품번대장 7" xfId="5191" xr:uid="{00000000-0005-0000-0000-000047140000}"/>
    <cellStyle name="E_연구소용_품번등록대장_2_33.K33_품번대장 8" xfId="5192" xr:uid="{00000000-0005-0000-0000-000048140000}"/>
    <cellStyle name="E_연구소용_품번등록대장_2_33.K33_품번대장 9" xfId="5193" xr:uid="{00000000-0005-0000-0000-000049140000}"/>
    <cellStyle name="E_연구소용_품번등록대장_2_33.K33_품번대장_BMB_UGA NEXT(audio_DPP2 Ver1.0)2008.xx.xx" xfId="5194" xr:uid="{00000000-0005-0000-0000-00004A140000}"/>
    <cellStyle name="E_연구소용_품번등록대장_2_33.K33_품번대장_BMB_UGA NEXT(audio_DPP2 Ver2.0_2134 2EA삭제)2008.xx.xx" xfId="5195" xr:uid="{00000000-0005-0000-0000-00004B140000}"/>
    <cellStyle name="E_연구소용_품번등록대장_2_33.K33_품번대장_Construction Parts_PP2" xfId="5196" xr:uid="{00000000-0005-0000-0000-00004C140000}"/>
    <cellStyle name="E_연구소용_품번등록대장_2_33.K33_품번대장_Main Board" xfId="5197" xr:uid="{00000000-0005-0000-0000-00004D140000}"/>
    <cellStyle name="E_연구소용_품번등록대장_2_33.K33_품번대장_Main Board_Construction Parts_PP2" xfId="5198" xr:uid="{00000000-0005-0000-0000-00004E140000}"/>
    <cellStyle name="E_연구소용_품번등록대장_2_33.K33_품번대장_Main Board_MAIN PBA" xfId="5199" xr:uid="{00000000-0005-0000-0000-00004F140000}"/>
    <cellStyle name="E_연구소용_품번등록대장_2_33.K33_품번대장_Main Board_PP1 (2)" xfId="5200" xr:uid="{00000000-0005-0000-0000-000050140000}"/>
    <cellStyle name="E_연구소용_품번등록대장_2_33.K33_품번대장_Main Board_UGA-N10(Main_MP4.5_Ver1)_2009.02.02" xfId="5201" xr:uid="{00000000-0005-0000-0000-000051140000}"/>
    <cellStyle name="E_연구소용_품번등록대장_2_33.K33_품번대장_UGA-N10(Audio_LPP Ver1.0)2008.xx.xx" xfId="5202" xr:uid="{00000000-0005-0000-0000-000052140000}"/>
    <cellStyle name="E_연구소용_품번등록대장_2_33.K33_품번대장_UGA-N10(Audio_PP2 Ver1.0)2008.08.09" xfId="5203" xr:uid="{00000000-0005-0000-0000-000053140000}"/>
    <cellStyle name="E_연구소용_품번등록대장_2_33.K33_품번대장_UGA-N10(Construction Parts_PP2_Ver1.0)2008.08.22" xfId="5204" xr:uid="{00000000-0005-0000-0000-000054140000}"/>
    <cellStyle name="E_연구소용_품번등록대장_2_33.K33_품번대장_UGA-N10(Front_PP2_Ver1.0)_2008.08.22" xfId="5205" xr:uid="{00000000-0005-0000-0000-000055140000}"/>
    <cellStyle name="E_연구소용_품번등록대장_2_33.K33_품번대장_UGA-N10(Main_DPP2_Ver1)_2008.xx.xx" xfId="5206" xr:uid="{00000000-0005-0000-0000-000056140000}"/>
    <cellStyle name="E_연구소용_품번등록대장_2_33.K33_품번대장_UGA-N10(Main_LPP_Ver1)_2008.xx.xx" xfId="5207" xr:uid="{00000000-0005-0000-0000-000057140000}"/>
    <cellStyle name="E_연구소용_품번등록대장_2_33.K33_품번대장_UGA-N10(Main_PP2_Ver1)_2008.08.14" xfId="5208" xr:uid="{00000000-0005-0000-0000-000058140000}"/>
    <cellStyle name="E_연구소용_품번등록대장_2_34.K34_품번대장" xfId="5209" xr:uid="{00000000-0005-0000-0000-000059140000}"/>
    <cellStyle name="E_연구소용_품번등록대장_2_34.K34_품번대장 10" xfId="5210" xr:uid="{00000000-0005-0000-0000-00005A140000}"/>
    <cellStyle name="E_연구소용_품번등록대장_2_34.K34_품번대장 11" xfId="5211" xr:uid="{00000000-0005-0000-0000-00005B140000}"/>
    <cellStyle name="E_연구소용_품번등록대장_2_34.K34_품번대장 12" xfId="5212" xr:uid="{00000000-0005-0000-0000-00005C140000}"/>
    <cellStyle name="E_연구소용_품번등록대장_2_34.K34_품번대장 13" xfId="5213" xr:uid="{00000000-0005-0000-0000-00005D140000}"/>
    <cellStyle name="E_연구소용_품번등록대장_2_34.K34_품번대장 14" xfId="5214" xr:uid="{00000000-0005-0000-0000-00005E140000}"/>
    <cellStyle name="E_연구소용_품번등록대장_2_34.K34_품번대장 15" xfId="5215" xr:uid="{00000000-0005-0000-0000-00005F140000}"/>
    <cellStyle name="E_연구소용_품번등록대장_2_34.K34_품번대장 16" xfId="5216" xr:uid="{00000000-0005-0000-0000-000060140000}"/>
    <cellStyle name="E_연구소용_품번등록대장_2_34.K34_품번대장 17" xfId="5217" xr:uid="{00000000-0005-0000-0000-000061140000}"/>
    <cellStyle name="E_연구소용_품번등록대장_2_34.K34_품번대장 18" xfId="5218" xr:uid="{00000000-0005-0000-0000-000062140000}"/>
    <cellStyle name="E_연구소용_품번등록대장_2_34.K34_품번대장 2" xfId="5219" xr:uid="{00000000-0005-0000-0000-000063140000}"/>
    <cellStyle name="E_연구소용_품번등록대장_2_34.K34_품번대장 3" xfId="5220" xr:uid="{00000000-0005-0000-0000-000064140000}"/>
    <cellStyle name="E_연구소용_품번등록대장_2_34.K34_품번대장 4" xfId="5221" xr:uid="{00000000-0005-0000-0000-000065140000}"/>
    <cellStyle name="E_연구소용_품번등록대장_2_34.K34_품번대장 5" xfId="5222" xr:uid="{00000000-0005-0000-0000-000066140000}"/>
    <cellStyle name="E_연구소용_품번등록대장_2_34.K34_품번대장 6" xfId="5223" xr:uid="{00000000-0005-0000-0000-000067140000}"/>
    <cellStyle name="E_연구소용_품번등록대장_2_34.K34_품번대장 7" xfId="5224" xr:uid="{00000000-0005-0000-0000-000068140000}"/>
    <cellStyle name="E_연구소용_품번등록대장_2_34.K34_품번대장 8" xfId="5225" xr:uid="{00000000-0005-0000-0000-000069140000}"/>
    <cellStyle name="E_연구소용_품번등록대장_2_34.K34_품번대장 9" xfId="5226" xr:uid="{00000000-0005-0000-0000-00006A140000}"/>
    <cellStyle name="E_연구소용_품번등록대장_2_34.K34_품번대장_BMB_UGA NEXT(audio_DPP2 Ver1.0)2008.xx.xx" xfId="5227" xr:uid="{00000000-0005-0000-0000-00006B140000}"/>
    <cellStyle name="E_연구소용_품번등록대장_2_34.K34_품번대장_BMB_UGA NEXT(audio_DPP2 Ver2.0_2134 2EA삭제)2008.xx.xx" xfId="5228" xr:uid="{00000000-0005-0000-0000-00006C140000}"/>
    <cellStyle name="E_연구소용_품번등록대장_2_34.K34_품번대장_Construction Parts_PP2" xfId="5229" xr:uid="{00000000-0005-0000-0000-00006D140000}"/>
    <cellStyle name="E_연구소용_품번등록대장_2_34.K34_품번대장_Main Board" xfId="5230" xr:uid="{00000000-0005-0000-0000-00006E140000}"/>
    <cellStyle name="E_연구소용_품번등록대장_2_34.K34_품번대장_Main Board_Construction Parts_PP2" xfId="5231" xr:uid="{00000000-0005-0000-0000-00006F140000}"/>
    <cellStyle name="E_연구소용_품번등록대장_2_34.K34_품번대장_Main Board_MAIN PBA" xfId="5232" xr:uid="{00000000-0005-0000-0000-000070140000}"/>
    <cellStyle name="E_연구소용_품번등록대장_2_34.K34_품번대장_Main Board_PP1 (2)" xfId="5233" xr:uid="{00000000-0005-0000-0000-000071140000}"/>
    <cellStyle name="E_연구소용_품번등록대장_2_34.K34_품번대장_Main Board_UGA-N10(Main_MP4.5_Ver1)_2009.02.02" xfId="5234" xr:uid="{00000000-0005-0000-0000-000072140000}"/>
    <cellStyle name="E_연구소용_품번등록대장_2_34.K34_품번대장_UGA-N10(Audio_LPP Ver1.0)2008.xx.xx" xfId="5235" xr:uid="{00000000-0005-0000-0000-000073140000}"/>
    <cellStyle name="E_연구소용_품번등록대장_2_34.K34_품번대장_UGA-N10(Audio_PP2 Ver1.0)2008.08.09" xfId="5236" xr:uid="{00000000-0005-0000-0000-000074140000}"/>
    <cellStyle name="E_연구소용_품번등록대장_2_34.K34_품번대장_UGA-N10(Construction Parts_PP2_Ver1.0)2008.08.22" xfId="5237" xr:uid="{00000000-0005-0000-0000-000075140000}"/>
    <cellStyle name="E_연구소용_품번등록대장_2_34.K34_품번대장_UGA-N10(Front_PP2_Ver1.0)_2008.08.22" xfId="5238" xr:uid="{00000000-0005-0000-0000-000076140000}"/>
    <cellStyle name="E_연구소용_품번등록대장_2_34.K34_품번대장_UGA-N10(Main_DPP2_Ver1)_2008.xx.xx" xfId="5239" xr:uid="{00000000-0005-0000-0000-000077140000}"/>
    <cellStyle name="E_연구소용_품번등록대장_2_34.K34_품번대장_UGA-N10(Main_LPP_Ver1)_2008.xx.xx" xfId="5240" xr:uid="{00000000-0005-0000-0000-000078140000}"/>
    <cellStyle name="E_연구소용_품번등록대장_2_34.K34_품번대장_UGA-N10(Main_PP2_Ver1)_2008.08.14" xfId="5241" xr:uid="{00000000-0005-0000-0000-000079140000}"/>
    <cellStyle name="E_연구소용_품번등록대장_2_35.K35_품번대장" xfId="5242" xr:uid="{00000000-0005-0000-0000-00007A140000}"/>
    <cellStyle name="E_연구소용_품번등록대장_2_35.K35_품번대장 10" xfId="5243" xr:uid="{00000000-0005-0000-0000-00007B140000}"/>
    <cellStyle name="E_연구소용_품번등록대장_2_35.K35_품번대장 11" xfId="5244" xr:uid="{00000000-0005-0000-0000-00007C140000}"/>
    <cellStyle name="E_연구소용_품번등록대장_2_35.K35_품번대장 12" xfId="5245" xr:uid="{00000000-0005-0000-0000-00007D140000}"/>
    <cellStyle name="E_연구소용_품번등록대장_2_35.K35_품번대장 13" xfId="5246" xr:uid="{00000000-0005-0000-0000-00007E140000}"/>
    <cellStyle name="E_연구소용_품번등록대장_2_35.K35_품번대장 14" xfId="5247" xr:uid="{00000000-0005-0000-0000-00007F140000}"/>
    <cellStyle name="E_연구소용_품번등록대장_2_35.K35_품번대장 15" xfId="5248" xr:uid="{00000000-0005-0000-0000-000080140000}"/>
    <cellStyle name="E_연구소용_품번등록대장_2_35.K35_품번대장 16" xfId="5249" xr:uid="{00000000-0005-0000-0000-000081140000}"/>
    <cellStyle name="E_연구소용_품번등록대장_2_35.K35_품번대장 17" xfId="5250" xr:uid="{00000000-0005-0000-0000-000082140000}"/>
    <cellStyle name="E_연구소용_품번등록대장_2_35.K35_품번대장 18" xfId="5251" xr:uid="{00000000-0005-0000-0000-000083140000}"/>
    <cellStyle name="E_연구소용_품번등록대장_2_35.K35_품번대장 2" xfId="5252" xr:uid="{00000000-0005-0000-0000-000084140000}"/>
    <cellStyle name="E_연구소용_품번등록대장_2_35.K35_품번대장 3" xfId="5253" xr:uid="{00000000-0005-0000-0000-000085140000}"/>
    <cellStyle name="E_연구소용_품번등록대장_2_35.K35_품번대장 4" xfId="5254" xr:uid="{00000000-0005-0000-0000-000086140000}"/>
    <cellStyle name="E_연구소용_품번등록대장_2_35.K35_품번대장 5" xfId="5255" xr:uid="{00000000-0005-0000-0000-000087140000}"/>
    <cellStyle name="E_연구소용_품번등록대장_2_35.K35_품번대장 6" xfId="5256" xr:uid="{00000000-0005-0000-0000-000088140000}"/>
    <cellStyle name="E_연구소용_품번등록대장_2_35.K35_품번대장 7" xfId="5257" xr:uid="{00000000-0005-0000-0000-000089140000}"/>
    <cellStyle name="E_연구소용_품번등록대장_2_35.K35_품번대장 8" xfId="5258" xr:uid="{00000000-0005-0000-0000-00008A140000}"/>
    <cellStyle name="E_연구소용_품번등록대장_2_35.K35_품번대장 9" xfId="5259" xr:uid="{00000000-0005-0000-0000-00008B140000}"/>
    <cellStyle name="E_연구소용_품번등록대장_2_35.K35_품번대장_BMB_UGA NEXT(audio_DPP2 Ver1.0)2008.xx.xx" xfId="5260" xr:uid="{00000000-0005-0000-0000-00008C140000}"/>
    <cellStyle name="E_연구소용_품번등록대장_2_35.K35_품번대장_BMB_UGA NEXT(audio_DPP2 Ver2.0_2134 2EA삭제)2008.xx.xx" xfId="5261" xr:uid="{00000000-0005-0000-0000-00008D140000}"/>
    <cellStyle name="E_연구소용_품번등록대장_2_35.K35_품번대장_Construction Parts_PP2" xfId="5262" xr:uid="{00000000-0005-0000-0000-00008E140000}"/>
    <cellStyle name="E_연구소용_품번등록대장_2_35.K35_품번대장_Main Board" xfId="5263" xr:uid="{00000000-0005-0000-0000-00008F140000}"/>
    <cellStyle name="E_연구소용_품번등록대장_2_35.K35_품번대장_Main Board_Construction Parts_PP2" xfId="5264" xr:uid="{00000000-0005-0000-0000-000090140000}"/>
    <cellStyle name="E_연구소용_품번등록대장_2_35.K35_품번대장_Main Board_MAIN PBA" xfId="5265" xr:uid="{00000000-0005-0000-0000-000091140000}"/>
    <cellStyle name="E_연구소용_품번등록대장_2_35.K35_품번대장_Main Board_PP1 (2)" xfId="5266" xr:uid="{00000000-0005-0000-0000-000092140000}"/>
    <cellStyle name="E_연구소용_품번등록대장_2_35.K35_품번대장_Main Board_UGA-N10(Main_MP4.5_Ver1)_2009.02.02" xfId="5267" xr:uid="{00000000-0005-0000-0000-000093140000}"/>
    <cellStyle name="E_연구소용_품번등록대장_2_35.K35_품번대장_UGA-N10(Audio_LPP Ver1.0)2008.xx.xx" xfId="5268" xr:uid="{00000000-0005-0000-0000-000094140000}"/>
    <cellStyle name="E_연구소용_품번등록대장_2_35.K35_품번대장_UGA-N10(Audio_PP2 Ver1.0)2008.08.09" xfId="5269" xr:uid="{00000000-0005-0000-0000-000095140000}"/>
    <cellStyle name="E_연구소용_품번등록대장_2_35.K35_품번대장_UGA-N10(Construction Parts_PP2_Ver1.0)2008.08.22" xfId="5270" xr:uid="{00000000-0005-0000-0000-000096140000}"/>
    <cellStyle name="E_연구소용_품번등록대장_2_35.K35_품번대장_UGA-N10(Front_PP2_Ver1.0)_2008.08.22" xfId="5271" xr:uid="{00000000-0005-0000-0000-000097140000}"/>
    <cellStyle name="E_연구소용_품번등록대장_2_35.K35_품번대장_UGA-N10(Main_DPP2_Ver1)_2008.xx.xx" xfId="5272" xr:uid="{00000000-0005-0000-0000-000098140000}"/>
    <cellStyle name="E_연구소용_품번등록대장_2_35.K35_품번대장_UGA-N10(Main_LPP_Ver1)_2008.xx.xx" xfId="5273" xr:uid="{00000000-0005-0000-0000-000099140000}"/>
    <cellStyle name="E_연구소용_품번등록대장_2_35.K35_품번대장_UGA-N10(Main_PP2_Ver1)_2008.08.14" xfId="5274" xr:uid="{00000000-0005-0000-0000-00009A140000}"/>
    <cellStyle name="E_연구소용_품번등록대장_2_47.K47_품번대장" xfId="5275" xr:uid="{00000000-0005-0000-0000-00009B140000}"/>
    <cellStyle name="E_연구소용_품번등록대장_2_47.K47_품번대장 10" xfId="5276" xr:uid="{00000000-0005-0000-0000-00009C140000}"/>
    <cellStyle name="E_연구소용_품번등록대장_2_47.K47_품번대장 11" xfId="5277" xr:uid="{00000000-0005-0000-0000-00009D140000}"/>
    <cellStyle name="E_연구소용_품번등록대장_2_47.K47_품번대장 12" xfId="5278" xr:uid="{00000000-0005-0000-0000-00009E140000}"/>
    <cellStyle name="E_연구소용_품번등록대장_2_47.K47_품번대장 13" xfId="5279" xr:uid="{00000000-0005-0000-0000-00009F140000}"/>
    <cellStyle name="E_연구소용_품번등록대장_2_47.K47_품번대장 14" xfId="5280" xr:uid="{00000000-0005-0000-0000-0000A0140000}"/>
    <cellStyle name="E_연구소용_품번등록대장_2_47.K47_품번대장 15" xfId="5281" xr:uid="{00000000-0005-0000-0000-0000A1140000}"/>
    <cellStyle name="E_연구소용_품번등록대장_2_47.K47_품번대장 16" xfId="5282" xr:uid="{00000000-0005-0000-0000-0000A2140000}"/>
    <cellStyle name="E_연구소용_품번등록대장_2_47.K47_품번대장 17" xfId="5283" xr:uid="{00000000-0005-0000-0000-0000A3140000}"/>
    <cellStyle name="E_연구소용_품번등록대장_2_47.K47_품번대장 18" xfId="5284" xr:uid="{00000000-0005-0000-0000-0000A4140000}"/>
    <cellStyle name="E_연구소용_품번등록대장_2_47.K47_품번대장 2" xfId="5285" xr:uid="{00000000-0005-0000-0000-0000A5140000}"/>
    <cellStyle name="E_연구소용_품번등록대장_2_47.K47_품번대장 3" xfId="5286" xr:uid="{00000000-0005-0000-0000-0000A6140000}"/>
    <cellStyle name="E_연구소용_품번등록대장_2_47.K47_품번대장 4" xfId="5287" xr:uid="{00000000-0005-0000-0000-0000A7140000}"/>
    <cellStyle name="E_연구소용_품번등록대장_2_47.K47_품번대장 5" xfId="5288" xr:uid="{00000000-0005-0000-0000-0000A8140000}"/>
    <cellStyle name="E_연구소용_품번등록대장_2_47.K47_품번대장 6" xfId="5289" xr:uid="{00000000-0005-0000-0000-0000A9140000}"/>
    <cellStyle name="E_연구소용_품번등록대장_2_47.K47_품번대장 7" xfId="5290" xr:uid="{00000000-0005-0000-0000-0000AA140000}"/>
    <cellStyle name="E_연구소용_품번등록대장_2_47.K47_품번대장 8" xfId="5291" xr:uid="{00000000-0005-0000-0000-0000AB140000}"/>
    <cellStyle name="E_연구소용_품번등록대장_2_47.K47_품번대장 9" xfId="5292" xr:uid="{00000000-0005-0000-0000-0000AC140000}"/>
    <cellStyle name="E_연구소용_품번등록대장_2_47.K47_품번대장_BMB_UGA NEXT(audio_DPP2 Ver1.0)2008.xx.xx" xfId="5293" xr:uid="{00000000-0005-0000-0000-0000AD140000}"/>
    <cellStyle name="E_연구소용_품번등록대장_2_47.K47_품번대장_BMB_UGA NEXT(audio_DPP2 Ver2.0_2134 2EA삭제)2008.xx.xx" xfId="5294" xr:uid="{00000000-0005-0000-0000-0000AE140000}"/>
    <cellStyle name="E_연구소용_품번등록대장_2_47.K47_품번대장_Construction Parts_PP2" xfId="5295" xr:uid="{00000000-0005-0000-0000-0000AF140000}"/>
    <cellStyle name="E_연구소용_품번등록대장_2_47.K47_품번대장_Main Board" xfId="5296" xr:uid="{00000000-0005-0000-0000-0000B0140000}"/>
    <cellStyle name="E_연구소용_품번등록대장_2_47.K47_품번대장_Main Board_Construction Parts_PP2" xfId="5297" xr:uid="{00000000-0005-0000-0000-0000B1140000}"/>
    <cellStyle name="E_연구소용_품번등록대장_2_47.K47_품번대장_Main Board_MAIN PBA" xfId="5298" xr:uid="{00000000-0005-0000-0000-0000B2140000}"/>
    <cellStyle name="E_연구소용_품번등록대장_2_47.K47_품번대장_Main Board_PP1 (2)" xfId="5299" xr:uid="{00000000-0005-0000-0000-0000B3140000}"/>
    <cellStyle name="E_연구소용_품번등록대장_2_47.K47_품번대장_Main Board_UGA-N10(Main_MP4.5_Ver1)_2009.02.02" xfId="5300" xr:uid="{00000000-0005-0000-0000-0000B4140000}"/>
    <cellStyle name="E_연구소용_품번등록대장_2_47.K47_품번대장_UGA-N10(Audio_LPP Ver1.0)2008.xx.xx" xfId="5301" xr:uid="{00000000-0005-0000-0000-0000B5140000}"/>
    <cellStyle name="E_연구소용_품번등록대장_2_47.K47_품번대장_UGA-N10(Audio_PP2 Ver1.0)2008.08.09" xfId="5302" xr:uid="{00000000-0005-0000-0000-0000B6140000}"/>
    <cellStyle name="E_연구소용_품번등록대장_2_47.K47_품번대장_UGA-N10(Construction Parts_PP2_Ver1.0)2008.08.22" xfId="5303" xr:uid="{00000000-0005-0000-0000-0000B7140000}"/>
    <cellStyle name="E_연구소용_품번등록대장_2_47.K47_품번대장_UGA-N10(Front_PP2_Ver1.0)_2008.08.22" xfId="5304" xr:uid="{00000000-0005-0000-0000-0000B8140000}"/>
    <cellStyle name="E_연구소용_품번등록대장_2_47.K47_품번대장_UGA-N10(Main_DPP2_Ver1)_2008.xx.xx" xfId="5305" xr:uid="{00000000-0005-0000-0000-0000B9140000}"/>
    <cellStyle name="E_연구소용_품번등록대장_2_47.K47_품번대장_UGA-N10(Main_LPP_Ver1)_2008.xx.xx" xfId="5306" xr:uid="{00000000-0005-0000-0000-0000BA140000}"/>
    <cellStyle name="E_연구소용_품번등록대장_2_47.K47_품번대장_UGA-N10(Main_PP2_Ver1)_2008.08.14" xfId="5307" xr:uid="{00000000-0005-0000-0000-0000BB140000}"/>
    <cellStyle name="E_연구소용_품번등록대장_2_BMB_UGA NEXT(audio_DPP2 Ver1.0)2008.xx.xx" xfId="5341" xr:uid="{00000000-0005-0000-0000-0000DD140000}"/>
    <cellStyle name="E_연구소용_품번등록대장_2_BMB_UGA NEXT(audio_DPP2 Ver2.0_2134 2EA삭제)2008.xx.xx" xfId="5342" xr:uid="{00000000-0005-0000-0000-0000DE140000}"/>
    <cellStyle name="E_연구소용_품번등록대장_2_Construction Parts_PP2" xfId="5343" xr:uid="{00000000-0005-0000-0000-0000DF140000}"/>
    <cellStyle name="E_연구소용_품번등록대장_2_Main Board" xfId="5344" xr:uid="{00000000-0005-0000-0000-0000E0140000}"/>
    <cellStyle name="E_연구소용_품번등록대장_2_Main Board_Construction Parts_PP2" xfId="5345" xr:uid="{00000000-0005-0000-0000-0000E1140000}"/>
    <cellStyle name="E_연구소용_품번등록대장_2_Main Board_MAIN PBA" xfId="5346" xr:uid="{00000000-0005-0000-0000-0000E2140000}"/>
    <cellStyle name="E_연구소용_품번등록대장_2_Main Board_PP1 (2)" xfId="5347" xr:uid="{00000000-0005-0000-0000-0000E3140000}"/>
    <cellStyle name="E_연구소용_품번등록대장_2_Main Board_UGA-N10(Main_MP4.5_Ver1)_2009.02.02" xfId="5348" xr:uid="{00000000-0005-0000-0000-0000E4140000}"/>
    <cellStyle name="E_연구소용_품번등록대장_2_UGA-N10(Audio_LPP Ver1.0)2008.xx.xx" xfId="5349" xr:uid="{00000000-0005-0000-0000-0000E5140000}"/>
    <cellStyle name="E_연구소용_품번등록대장_2_UGA-N10(Audio_PP2 Ver1.0)2008.08.09" xfId="5350" xr:uid="{00000000-0005-0000-0000-0000E6140000}"/>
    <cellStyle name="E_연구소용_품번등록대장_2_UGA-N10(Construction Parts_PP2_Ver1.0)2008.08.22" xfId="5351" xr:uid="{00000000-0005-0000-0000-0000E7140000}"/>
    <cellStyle name="E_연구소용_품번등록대장_2_UGA-N10(Front_PP2_Ver1.0)_2008.08.22" xfId="5352" xr:uid="{00000000-0005-0000-0000-0000E8140000}"/>
    <cellStyle name="E_연구소용_품번등록대장_2_UGA-N10(Main_DPP2_Ver1)_2008.xx.xx" xfId="5353" xr:uid="{00000000-0005-0000-0000-0000E9140000}"/>
    <cellStyle name="E_연구소용_품번등록대장_2_UGA-N10(Main_LPP_Ver1)_2008.xx.xx" xfId="5354" xr:uid="{00000000-0005-0000-0000-0000EA140000}"/>
    <cellStyle name="E_연구소용_품번등록대장_2_UGA-N10(Main_PP2_Ver1)_2008.08.14" xfId="5355" xr:uid="{00000000-0005-0000-0000-0000EB140000}"/>
    <cellStyle name="E_연구소용_품번등록대장_2_품번등록대장" xfId="5308" xr:uid="{00000000-0005-0000-0000-0000BC140000}"/>
    <cellStyle name="E_연구소용_품번등록대장_2_품번등록대장 10" xfId="5309" xr:uid="{00000000-0005-0000-0000-0000BD140000}"/>
    <cellStyle name="E_연구소용_품번등록대장_2_품번등록대장 11" xfId="5310" xr:uid="{00000000-0005-0000-0000-0000BE140000}"/>
    <cellStyle name="E_연구소용_품번등록대장_2_품번등록대장 12" xfId="5311" xr:uid="{00000000-0005-0000-0000-0000BF140000}"/>
    <cellStyle name="E_연구소용_품번등록대장_2_품번등록대장 13" xfId="5312" xr:uid="{00000000-0005-0000-0000-0000C0140000}"/>
    <cellStyle name="E_연구소용_품번등록대장_2_품번등록대장 14" xfId="5313" xr:uid="{00000000-0005-0000-0000-0000C1140000}"/>
    <cellStyle name="E_연구소용_품번등록대장_2_품번등록대장 15" xfId="5314" xr:uid="{00000000-0005-0000-0000-0000C2140000}"/>
    <cellStyle name="E_연구소용_품번등록대장_2_품번등록대장 16" xfId="5315" xr:uid="{00000000-0005-0000-0000-0000C3140000}"/>
    <cellStyle name="E_연구소용_품번등록대장_2_품번등록대장 17" xfId="5316" xr:uid="{00000000-0005-0000-0000-0000C4140000}"/>
    <cellStyle name="E_연구소용_품번등록대장_2_품번등록대장 18" xfId="5317" xr:uid="{00000000-0005-0000-0000-0000C5140000}"/>
    <cellStyle name="E_연구소용_품번등록대장_2_품번등록대장 2" xfId="5318" xr:uid="{00000000-0005-0000-0000-0000C6140000}"/>
    <cellStyle name="E_연구소용_품번등록대장_2_품번등록대장 3" xfId="5319" xr:uid="{00000000-0005-0000-0000-0000C7140000}"/>
    <cellStyle name="E_연구소용_품번등록대장_2_품번등록대장 4" xfId="5320" xr:uid="{00000000-0005-0000-0000-0000C8140000}"/>
    <cellStyle name="E_연구소용_품번등록대장_2_품번등록대장 5" xfId="5321" xr:uid="{00000000-0005-0000-0000-0000C9140000}"/>
    <cellStyle name="E_연구소용_품번등록대장_2_품번등록대장 6" xfId="5322" xr:uid="{00000000-0005-0000-0000-0000CA140000}"/>
    <cellStyle name="E_연구소용_품번등록대장_2_품번등록대장 7" xfId="5323" xr:uid="{00000000-0005-0000-0000-0000CB140000}"/>
    <cellStyle name="E_연구소용_품번등록대장_2_품번등록대장 8" xfId="5324" xr:uid="{00000000-0005-0000-0000-0000CC140000}"/>
    <cellStyle name="E_연구소용_품번등록대장_2_품번등록대장 9" xfId="5325" xr:uid="{00000000-0005-0000-0000-0000CD140000}"/>
    <cellStyle name="E_연구소용_품번등록대장_2_품번등록대장_BMB_UGA NEXT(audio_DPP2 Ver1.0)2008.xx.xx" xfId="5326" xr:uid="{00000000-0005-0000-0000-0000CE140000}"/>
    <cellStyle name="E_연구소용_품번등록대장_2_품번등록대장_BMB_UGA NEXT(audio_DPP2 Ver2.0_2134 2EA삭제)2008.xx.xx" xfId="5327" xr:uid="{00000000-0005-0000-0000-0000CF140000}"/>
    <cellStyle name="E_연구소용_품번등록대장_2_품번등록대장_Construction Parts_PP2" xfId="5328" xr:uid="{00000000-0005-0000-0000-0000D0140000}"/>
    <cellStyle name="E_연구소용_품번등록대장_2_품번등록대장_Main Board" xfId="5329" xr:uid="{00000000-0005-0000-0000-0000D1140000}"/>
    <cellStyle name="E_연구소용_품번등록대장_2_품번등록대장_Main Board_Construction Parts_PP2" xfId="5330" xr:uid="{00000000-0005-0000-0000-0000D2140000}"/>
    <cellStyle name="E_연구소용_품번등록대장_2_품번등록대장_Main Board_MAIN PBA" xfId="5331" xr:uid="{00000000-0005-0000-0000-0000D3140000}"/>
    <cellStyle name="E_연구소용_품번등록대장_2_품번등록대장_Main Board_PP1 (2)" xfId="5332" xr:uid="{00000000-0005-0000-0000-0000D4140000}"/>
    <cellStyle name="E_연구소용_품번등록대장_2_품번등록대장_Main Board_UGA-N10(Main_MP4.5_Ver1)_2009.02.02" xfId="5333" xr:uid="{00000000-0005-0000-0000-0000D5140000}"/>
    <cellStyle name="E_연구소용_품번등록대장_2_품번등록대장_UGA-N10(Audio_LPP Ver1.0)2008.xx.xx" xfId="5334" xr:uid="{00000000-0005-0000-0000-0000D6140000}"/>
    <cellStyle name="E_연구소용_품번등록대장_2_품번등록대장_UGA-N10(Audio_PP2 Ver1.0)2008.08.09" xfId="5335" xr:uid="{00000000-0005-0000-0000-0000D7140000}"/>
    <cellStyle name="E_연구소용_품번등록대장_2_품번등록대장_UGA-N10(Construction Parts_PP2_Ver1.0)2008.08.22" xfId="5336" xr:uid="{00000000-0005-0000-0000-0000D8140000}"/>
    <cellStyle name="E_연구소용_품번등록대장_2_품번등록대장_UGA-N10(Front_PP2_Ver1.0)_2008.08.22" xfId="5337" xr:uid="{00000000-0005-0000-0000-0000D9140000}"/>
    <cellStyle name="E_연구소용_품번등록대장_2_품번등록대장_UGA-N10(Main_DPP2_Ver1)_2008.xx.xx" xfId="5338" xr:uid="{00000000-0005-0000-0000-0000DA140000}"/>
    <cellStyle name="E_연구소용_품번등록대장_2_품번등록대장_UGA-N10(Main_LPP_Ver1)_2008.xx.xx" xfId="5339" xr:uid="{00000000-0005-0000-0000-0000DB140000}"/>
    <cellStyle name="E_연구소용_품번등록대장_2_품번등록대장_UGA-N10(Main_PP2_Ver1)_2008.08.14" xfId="5340" xr:uid="{00000000-0005-0000-0000-0000DC140000}"/>
    <cellStyle name="E_연구소용_품번등록대장_3" xfId="5356" xr:uid="{00000000-0005-0000-0000-0000EC140000}"/>
    <cellStyle name="E_연구소용_품번등록대장_3 10" xfId="5357" xr:uid="{00000000-0005-0000-0000-0000ED140000}"/>
    <cellStyle name="E_연구소용_품번등록대장_3 11" xfId="5358" xr:uid="{00000000-0005-0000-0000-0000EE140000}"/>
    <cellStyle name="E_연구소용_품번등록대장_3 12" xfId="5359" xr:uid="{00000000-0005-0000-0000-0000EF140000}"/>
    <cellStyle name="E_연구소용_품번등록대장_3 13" xfId="5360" xr:uid="{00000000-0005-0000-0000-0000F0140000}"/>
    <cellStyle name="E_연구소용_품번등록대장_3 14" xfId="5361" xr:uid="{00000000-0005-0000-0000-0000F1140000}"/>
    <cellStyle name="E_연구소용_품번등록대장_3 15" xfId="5362" xr:uid="{00000000-0005-0000-0000-0000F2140000}"/>
    <cellStyle name="E_연구소용_품번등록대장_3 16" xfId="5363" xr:uid="{00000000-0005-0000-0000-0000F3140000}"/>
    <cellStyle name="E_연구소용_품번등록대장_3 17" xfId="5364" xr:uid="{00000000-0005-0000-0000-0000F4140000}"/>
    <cellStyle name="E_연구소용_품번등록대장_3 18" xfId="5365" xr:uid="{00000000-0005-0000-0000-0000F5140000}"/>
    <cellStyle name="E_연구소용_품번등록대장_3 2" xfId="5366" xr:uid="{00000000-0005-0000-0000-0000F6140000}"/>
    <cellStyle name="E_연구소용_품번등록대장_3 3" xfId="5367" xr:uid="{00000000-0005-0000-0000-0000F7140000}"/>
    <cellStyle name="E_연구소용_품번등록대장_3 4" xfId="5368" xr:uid="{00000000-0005-0000-0000-0000F8140000}"/>
    <cellStyle name="E_연구소용_품번등록대장_3 5" xfId="5369" xr:uid="{00000000-0005-0000-0000-0000F9140000}"/>
    <cellStyle name="E_연구소용_품번등록대장_3 6" xfId="5370" xr:uid="{00000000-0005-0000-0000-0000FA140000}"/>
    <cellStyle name="E_연구소용_품번등록대장_3 7" xfId="5371" xr:uid="{00000000-0005-0000-0000-0000FB140000}"/>
    <cellStyle name="E_연구소용_품번등록대장_3 8" xfId="5372" xr:uid="{00000000-0005-0000-0000-0000FC140000}"/>
    <cellStyle name="E_연구소용_품번등록대장_3 9" xfId="5373" xr:uid="{00000000-0005-0000-0000-0000FD140000}"/>
    <cellStyle name="E_연구소용_품번등록대장_3_BMB_UGA NEXT(audio_DPP2 Ver1.0)2008.xx.xx" xfId="5374" xr:uid="{00000000-0005-0000-0000-0000FE140000}"/>
    <cellStyle name="E_연구소용_품번등록대장_3_BMB_UGA NEXT(audio_DPP2 Ver2.0_2134 2EA삭제)2008.xx.xx" xfId="5375" xr:uid="{00000000-0005-0000-0000-0000FF140000}"/>
    <cellStyle name="E_연구소용_품번등록대장_3_Construction Parts_PP2" xfId="5376" xr:uid="{00000000-0005-0000-0000-000000150000}"/>
    <cellStyle name="E_연구소용_품번등록대장_3_Main Board" xfId="5377" xr:uid="{00000000-0005-0000-0000-000001150000}"/>
    <cellStyle name="E_연구소용_품번등록대장_3_Main Board_Construction Parts_PP2" xfId="5378" xr:uid="{00000000-0005-0000-0000-000002150000}"/>
    <cellStyle name="E_연구소용_품번등록대장_3_Main Board_MAIN PBA" xfId="5379" xr:uid="{00000000-0005-0000-0000-000003150000}"/>
    <cellStyle name="E_연구소용_품번등록대장_3_Main Board_PP1 (2)" xfId="5380" xr:uid="{00000000-0005-0000-0000-000004150000}"/>
    <cellStyle name="E_연구소용_품번등록대장_3_Main Board_UGA-N10(Main_MP4.5_Ver1)_2009.02.02" xfId="5381" xr:uid="{00000000-0005-0000-0000-000005150000}"/>
    <cellStyle name="E_연구소용_품번등록대장_3_UGA-N10(Audio_LPP Ver1.0)2008.xx.xx" xfId="5382" xr:uid="{00000000-0005-0000-0000-000006150000}"/>
    <cellStyle name="E_연구소용_품번등록대장_3_UGA-N10(Audio_PP2 Ver1.0)2008.08.09" xfId="5383" xr:uid="{00000000-0005-0000-0000-000007150000}"/>
    <cellStyle name="E_연구소용_품번등록대장_3_UGA-N10(Construction Parts_PP2_Ver1.0)2008.08.22" xfId="5384" xr:uid="{00000000-0005-0000-0000-000008150000}"/>
    <cellStyle name="E_연구소용_품번등록대장_3_UGA-N10(Front_PP2_Ver1.0)_2008.08.22" xfId="5385" xr:uid="{00000000-0005-0000-0000-000009150000}"/>
    <cellStyle name="E_연구소용_품번등록대장_3_UGA-N10(Main_DPP2_Ver1)_2008.xx.xx" xfId="5386" xr:uid="{00000000-0005-0000-0000-00000A150000}"/>
    <cellStyle name="E_연구소용_품번등록대장_3_UGA-N10(Main_LPP_Ver1)_2008.xx.xx" xfId="5387" xr:uid="{00000000-0005-0000-0000-00000B150000}"/>
    <cellStyle name="E_연구소용_품번등록대장_3_UGA-N10(Main_PP2_Ver1)_2008.08.14" xfId="5388" xr:uid="{00000000-0005-0000-0000-00000C150000}"/>
    <cellStyle name="E_연구소용_품번등록대장_BMB_UGA NEXT(audio_DPP2 Ver1.0)2008.xx.xx" xfId="5389" xr:uid="{00000000-0005-0000-0000-00000D150000}"/>
    <cellStyle name="E_연구소용_품번등록대장_BMB_UGA NEXT(audio_DPP2 Ver2.0_2134 2EA삭제)2008.xx.xx" xfId="5390" xr:uid="{00000000-0005-0000-0000-00000E150000}"/>
    <cellStyle name="E_연구소용_품번등록대장_Construction Parts_PP2" xfId="5391" xr:uid="{00000000-0005-0000-0000-00000F150000}"/>
    <cellStyle name="E_연구소용_품번등록대장_Main Board" xfId="5392" xr:uid="{00000000-0005-0000-0000-000010150000}"/>
    <cellStyle name="E_연구소용_품번등록대장_Main Board_Construction Parts_PP2" xfId="5393" xr:uid="{00000000-0005-0000-0000-000011150000}"/>
    <cellStyle name="E_연구소용_품번등록대장_Main Board_MAIN PBA" xfId="5394" xr:uid="{00000000-0005-0000-0000-000012150000}"/>
    <cellStyle name="E_연구소용_품번등록대장_Main Board_PP1 (2)" xfId="5395" xr:uid="{00000000-0005-0000-0000-000013150000}"/>
    <cellStyle name="E_연구소용_품번등록대장_Main Board_UGA-N10(Main_MP4.5_Ver1)_2009.02.02" xfId="5396" xr:uid="{00000000-0005-0000-0000-000014150000}"/>
    <cellStyle name="E_연구소용_품번등록대장_UGA-N10(Audio_LPP Ver1.0)2008.xx.xx" xfId="5397" xr:uid="{00000000-0005-0000-0000-000015150000}"/>
    <cellStyle name="E_연구소용_품번등록대장_UGA-N10(Audio_PP2 Ver1.0)2008.08.09" xfId="5398" xr:uid="{00000000-0005-0000-0000-000016150000}"/>
    <cellStyle name="E_연구소용_품번등록대장_UGA-N10(Construction Parts_PP2_Ver1.0)2008.08.22" xfId="5399" xr:uid="{00000000-0005-0000-0000-000017150000}"/>
    <cellStyle name="E_연구소용_품번등록대장_UGA-N10(Front_PP2_Ver1.0)_2008.08.22" xfId="5400" xr:uid="{00000000-0005-0000-0000-000018150000}"/>
    <cellStyle name="E_연구소용_품번등록대장_UGA-N10(Main_DPP2_Ver1)_2008.xx.xx" xfId="5401" xr:uid="{00000000-0005-0000-0000-000019150000}"/>
    <cellStyle name="E_연구소용_품번등록대장_UGA-N10(Main_LPP_Ver1)_2008.xx.xx" xfId="5402" xr:uid="{00000000-0005-0000-0000-00001A150000}"/>
    <cellStyle name="E_연구소용_품번등록대장_UGA-N10(Main_PP2_Ver1)_2008.08.14" xfId="5403" xr:uid="{00000000-0005-0000-0000-00001B150000}"/>
    <cellStyle name="E_품번등록대장" xfId="5419" xr:uid="{00000000-0005-0000-0000-00002B150000}"/>
    <cellStyle name="E_품번등록대장 10" xfId="5420" xr:uid="{00000000-0005-0000-0000-00002C150000}"/>
    <cellStyle name="E_품번등록대장 11" xfId="5421" xr:uid="{00000000-0005-0000-0000-00002D150000}"/>
    <cellStyle name="E_품번등록대장 12" xfId="5422" xr:uid="{00000000-0005-0000-0000-00002E150000}"/>
    <cellStyle name="E_품번등록대장 13" xfId="5423" xr:uid="{00000000-0005-0000-0000-00002F150000}"/>
    <cellStyle name="E_품번등록대장 14" xfId="5424" xr:uid="{00000000-0005-0000-0000-000030150000}"/>
    <cellStyle name="E_품번등록대장 15" xfId="5425" xr:uid="{00000000-0005-0000-0000-000031150000}"/>
    <cellStyle name="E_품번등록대장 16" xfId="5426" xr:uid="{00000000-0005-0000-0000-000032150000}"/>
    <cellStyle name="E_품번등록대장 17" xfId="5427" xr:uid="{00000000-0005-0000-0000-000033150000}"/>
    <cellStyle name="E_품번등록대장 18" xfId="5428" xr:uid="{00000000-0005-0000-0000-000034150000}"/>
    <cellStyle name="E_품번등록대장 2" xfId="5429" xr:uid="{00000000-0005-0000-0000-000035150000}"/>
    <cellStyle name="E_품번등록대장 3" xfId="5430" xr:uid="{00000000-0005-0000-0000-000036150000}"/>
    <cellStyle name="E_품번등록대장 4" xfId="5431" xr:uid="{00000000-0005-0000-0000-000037150000}"/>
    <cellStyle name="E_품번등록대장 5" xfId="5432" xr:uid="{00000000-0005-0000-0000-000038150000}"/>
    <cellStyle name="E_품번등록대장 6" xfId="5433" xr:uid="{00000000-0005-0000-0000-000039150000}"/>
    <cellStyle name="E_품번등록대장 7" xfId="5434" xr:uid="{00000000-0005-0000-0000-00003A150000}"/>
    <cellStyle name="E_품번등록대장 8" xfId="5435" xr:uid="{00000000-0005-0000-0000-00003B150000}"/>
    <cellStyle name="E_품번등록대장 9" xfId="5436" xr:uid="{00000000-0005-0000-0000-00003C150000}"/>
    <cellStyle name="E_품번등록대장_BMB_UGA NEXT(audio_DPP2 Ver1.0)2008.xx.xx" xfId="5437" xr:uid="{00000000-0005-0000-0000-00003D150000}"/>
    <cellStyle name="E_품번등록대장_BMB_UGA NEXT(audio_DPP2 Ver2.0_2134 2EA삭제)2008.xx.xx" xfId="5438" xr:uid="{00000000-0005-0000-0000-00003E150000}"/>
    <cellStyle name="E_품번등록대장_Construction Parts_PP2" xfId="5439" xr:uid="{00000000-0005-0000-0000-00003F150000}"/>
    <cellStyle name="E_품번등록대장_Main Board" xfId="5440" xr:uid="{00000000-0005-0000-0000-000040150000}"/>
    <cellStyle name="E_품번등록대장_Main Board_Construction Parts_PP2" xfId="5441" xr:uid="{00000000-0005-0000-0000-000041150000}"/>
    <cellStyle name="E_품번등록대장_Main Board_MAIN PBA" xfId="5442" xr:uid="{00000000-0005-0000-0000-000042150000}"/>
    <cellStyle name="E_품번등록대장_Main Board_PP1 (2)" xfId="5443" xr:uid="{00000000-0005-0000-0000-000043150000}"/>
    <cellStyle name="E_품번등록대장_Main Board_UGA-N10(Main_MP4.5_Ver1)_2009.02.02" xfId="5444" xr:uid="{00000000-0005-0000-0000-000044150000}"/>
    <cellStyle name="E_품번등록대장_UGA-N10(Audio_LPP Ver1.0)2008.xx.xx" xfId="5445" xr:uid="{00000000-0005-0000-0000-000045150000}"/>
    <cellStyle name="E_품번등록대장_UGA-N10(Audio_PP2 Ver1.0)2008.08.09" xfId="5446" xr:uid="{00000000-0005-0000-0000-000046150000}"/>
    <cellStyle name="E_품번등록대장_UGA-N10(Construction Parts_PP2_Ver1.0)2008.08.22" xfId="5447" xr:uid="{00000000-0005-0000-0000-000047150000}"/>
    <cellStyle name="E_품번등록대장_UGA-N10(Front_PP2_Ver1.0)_2008.08.22" xfId="5448" xr:uid="{00000000-0005-0000-0000-000048150000}"/>
    <cellStyle name="E_품번등록대장_UGA-N10(Main_DPP2_Ver1)_2008.xx.xx" xfId="5449" xr:uid="{00000000-0005-0000-0000-000049150000}"/>
    <cellStyle name="E_품번등록대장_UGA-N10(Main_LPP_Ver1)_2008.xx.xx" xfId="5450" xr:uid="{00000000-0005-0000-0000-00004A150000}"/>
    <cellStyle name="E_품번등록대장_UGA-N10(Main_PP2_Ver1)_2008.08.14" xfId="5451" xr:uid="{00000000-0005-0000-0000-00004B150000}"/>
    <cellStyle name="Enter Currency (0)" xfId="436" xr:uid="{00000000-0005-0000-0000-0000B4010000}"/>
    <cellStyle name="Enter Currency (2)" xfId="437" xr:uid="{00000000-0005-0000-0000-0000B5010000}"/>
    <cellStyle name="Enter Units (0)" xfId="438" xr:uid="{00000000-0005-0000-0000-0000B6010000}"/>
    <cellStyle name="Enter Units (1)" xfId="439" xr:uid="{00000000-0005-0000-0000-0000B7010000}"/>
    <cellStyle name="Enter Units (2)" xfId="440" xr:uid="{00000000-0005-0000-0000-0000B8010000}"/>
    <cellStyle name="Explanatory Text" xfId="441" xr:uid="{00000000-0005-0000-0000-0000B9010000}"/>
    <cellStyle name="F2" xfId="5467" xr:uid="{00000000-0005-0000-0000-00005B150000}"/>
    <cellStyle name="F2 10" xfId="5468" xr:uid="{00000000-0005-0000-0000-00005C150000}"/>
    <cellStyle name="F2 11" xfId="5469" xr:uid="{00000000-0005-0000-0000-00005D150000}"/>
    <cellStyle name="F2 12" xfId="5470" xr:uid="{00000000-0005-0000-0000-00005E150000}"/>
    <cellStyle name="F2 13" xfId="5471" xr:uid="{00000000-0005-0000-0000-00005F150000}"/>
    <cellStyle name="F2 14" xfId="5472" xr:uid="{00000000-0005-0000-0000-000060150000}"/>
    <cellStyle name="F2 15" xfId="5473" xr:uid="{00000000-0005-0000-0000-000061150000}"/>
    <cellStyle name="F2 16" xfId="5474" xr:uid="{00000000-0005-0000-0000-000062150000}"/>
    <cellStyle name="F2 17" xfId="5475" xr:uid="{00000000-0005-0000-0000-000063150000}"/>
    <cellStyle name="F2 18" xfId="5476" xr:uid="{00000000-0005-0000-0000-000064150000}"/>
    <cellStyle name="F2 2" xfId="5477" xr:uid="{00000000-0005-0000-0000-000065150000}"/>
    <cellStyle name="F2 3" xfId="5478" xr:uid="{00000000-0005-0000-0000-000066150000}"/>
    <cellStyle name="F2 4" xfId="5479" xr:uid="{00000000-0005-0000-0000-000067150000}"/>
    <cellStyle name="F2 5" xfId="5480" xr:uid="{00000000-0005-0000-0000-000068150000}"/>
    <cellStyle name="F2 6" xfId="5481" xr:uid="{00000000-0005-0000-0000-000069150000}"/>
    <cellStyle name="F2 7" xfId="5482" xr:uid="{00000000-0005-0000-0000-00006A150000}"/>
    <cellStyle name="F2 8" xfId="5483" xr:uid="{00000000-0005-0000-0000-00006B150000}"/>
    <cellStyle name="F2 9" xfId="5484" xr:uid="{00000000-0005-0000-0000-00006C150000}"/>
    <cellStyle name="F2_BMB_UGA NEXT(audio_DPP2 Ver1.0)2008.xx.xx" xfId="5485" xr:uid="{00000000-0005-0000-0000-00006D150000}"/>
    <cellStyle name="F3" xfId="5486" xr:uid="{00000000-0005-0000-0000-00006E150000}"/>
    <cellStyle name="F3 10" xfId="5487" xr:uid="{00000000-0005-0000-0000-00006F150000}"/>
    <cellStyle name="F3 11" xfId="5488" xr:uid="{00000000-0005-0000-0000-000070150000}"/>
    <cellStyle name="F3 12" xfId="5489" xr:uid="{00000000-0005-0000-0000-000071150000}"/>
    <cellStyle name="F3 13" xfId="5490" xr:uid="{00000000-0005-0000-0000-000072150000}"/>
    <cellStyle name="F3 14" xfId="5491" xr:uid="{00000000-0005-0000-0000-000073150000}"/>
    <cellStyle name="F3 15" xfId="5492" xr:uid="{00000000-0005-0000-0000-000074150000}"/>
    <cellStyle name="F3 16" xfId="5493" xr:uid="{00000000-0005-0000-0000-000075150000}"/>
    <cellStyle name="F3 17" xfId="5494" xr:uid="{00000000-0005-0000-0000-000076150000}"/>
    <cellStyle name="F3 18" xfId="5495" xr:uid="{00000000-0005-0000-0000-000077150000}"/>
    <cellStyle name="F3 2" xfId="5496" xr:uid="{00000000-0005-0000-0000-000078150000}"/>
    <cellStyle name="F3 3" xfId="5497" xr:uid="{00000000-0005-0000-0000-000079150000}"/>
    <cellStyle name="F3 4" xfId="5498" xr:uid="{00000000-0005-0000-0000-00007A150000}"/>
    <cellStyle name="F3 5" xfId="5499" xr:uid="{00000000-0005-0000-0000-00007B150000}"/>
    <cellStyle name="F3 6" xfId="5500" xr:uid="{00000000-0005-0000-0000-00007C150000}"/>
    <cellStyle name="F3 7" xfId="5501" xr:uid="{00000000-0005-0000-0000-00007D150000}"/>
    <cellStyle name="F3 8" xfId="5502" xr:uid="{00000000-0005-0000-0000-00007E150000}"/>
    <cellStyle name="F3 9" xfId="5503" xr:uid="{00000000-0005-0000-0000-00007F150000}"/>
    <cellStyle name="F3_BMB_UGA NEXT(audio_DPP2 Ver1.0)2008.xx.xx" xfId="5504" xr:uid="{00000000-0005-0000-0000-000080150000}"/>
    <cellStyle name="F4" xfId="5505" xr:uid="{00000000-0005-0000-0000-000081150000}"/>
    <cellStyle name="F4 10" xfId="5506" xr:uid="{00000000-0005-0000-0000-000082150000}"/>
    <cellStyle name="F4 11" xfId="5507" xr:uid="{00000000-0005-0000-0000-000083150000}"/>
    <cellStyle name="F4 12" xfId="5508" xr:uid="{00000000-0005-0000-0000-000084150000}"/>
    <cellStyle name="F4 13" xfId="5509" xr:uid="{00000000-0005-0000-0000-000085150000}"/>
    <cellStyle name="F4 14" xfId="5510" xr:uid="{00000000-0005-0000-0000-000086150000}"/>
    <cellStyle name="F4 15" xfId="5511" xr:uid="{00000000-0005-0000-0000-000087150000}"/>
    <cellStyle name="F4 16" xfId="5512" xr:uid="{00000000-0005-0000-0000-000088150000}"/>
    <cellStyle name="F4 17" xfId="5513" xr:uid="{00000000-0005-0000-0000-000089150000}"/>
    <cellStyle name="F4 18" xfId="5514" xr:uid="{00000000-0005-0000-0000-00008A150000}"/>
    <cellStyle name="F4 2" xfId="5515" xr:uid="{00000000-0005-0000-0000-00008B150000}"/>
    <cellStyle name="F4 3" xfId="5516" xr:uid="{00000000-0005-0000-0000-00008C150000}"/>
    <cellStyle name="F4 4" xfId="5517" xr:uid="{00000000-0005-0000-0000-00008D150000}"/>
    <cellStyle name="F4 5" xfId="5518" xr:uid="{00000000-0005-0000-0000-00008E150000}"/>
    <cellStyle name="F4 6" xfId="5519" xr:uid="{00000000-0005-0000-0000-00008F150000}"/>
    <cellStyle name="F4 7" xfId="5520" xr:uid="{00000000-0005-0000-0000-000090150000}"/>
    <cellStyle name="F4 8" xfId="5521" xr:uid="{00000000-0005-0000-0000-000091150000}"/>
    <cellStyle name="F4 9" xfId="5522" xr:uid="{00000000-0005-0000-0000-000092150000}"/>
    <cellStyle name="F4_BMB_UGA NEXT(audio_DPP2 Ver1.0)2008.xx.xx" xfId="5523" xr:uid="{00000000-0005-0000-0000-000093150000}"/>
    <cellStyle name="F5" xfId="5524" xr:uid="{00000000-0005-0000-0000-000094150000}"/>
    <cellStyle name="F5 10" xfId="5525" xr:uid="{00000000-0005-0000-0000-000095150000}"/>
    <cellStyle name="F5 11" xfId="5526" xr:uid="{00000000-0005-0000-0000-000096150000}"/>
    <cellStyle name="F5 12" xfId="5527" xr:uid="{00000000-0005-0000-0000-000097150000}"/>
    <cellStyle name="F5 13" xfId="5528" xr:uid="{00000000-0005-0000-0000-000098150000}"/>
    <cellStyle name="F5 14" xfId="5529" xr:uid="{00000000-0005-0000-0000-000099150000}"/>
    <cellStyle name="F5 15" xfId="5530" xr:uid="{00000000-0005-0000-0000-00009A150000}"/>
    <cellStyle name="F5 16" xfId="5531" xr:uid="{00000000-0005-0000-0000-00009B150000}"/>
    <cellStyle name="F5 17" xfId="5532" xr:uid="{00000000-0005-0000-0000-00009C150000}"/>
    <cellStyle name="F5 18" xfId="5533" xr:uid="{00000000-0005-0000-0000-00009D150000}"/>
    <cellStyle name="F5 2" xfId="5534" xr:uid="{00000000-0005-0000-0000-00009E150000}"/>
    <cellStyle name="F5 3" xfId="5535" xr:uid="{00000000-0005-0000-0000-00009F150000}"/>
    <cellStyle name="F5 4" xfId="5536" xr:uid="{00000000-0005-0000-0000-0000A0150000}"/>
    <cellStyle name="F5 5" xfId="5537" xr:uid="{00000000-0005-0000-0000-0000A1150000}"/>
    <cellStyle name="F5 6" xfId="5538" xr:uid="{00000000-0005-0000-0000-0000A2150000}"/>
    <cellStyle name="F5 7" xfId="5539" xr:uid="{00000000-0005-0000-0000-0000A3150000}"/>
    <cellStyle name="F5 8" xfId="5540" xr:uid="{00000000-0005-0000-0000-0000A4150000}"/>
    <cellStyle name="F5 9" xfId="5541" xr:uid="{00000000-0005-0000-0000-0000A5150000}"/>
    <cellStyle name="F5_BMB_UGA NEXT(audio_DPP2 Ver1.0)2008.xx.xx" xfId="5542" xr:uid="{00000000-0005-0000-0000-0000A6150000}"/>
    <cellStyle name="F6" xfId="5543" xr:uid="{00000000-0005-0000-0000-0000A7150000}"/>
    <cellStyle name="F6 10" xfId="5544" xr:uid="{00000000-0005-0000-0000-0000A8150000}"/>
    <cellStyle name="F6 11" xfId="5545" xr:uid="{00000000-0005-0000-0000-0000A9150000}"/>
    <cellStyle name="F6 12" xfId="5546" xr:uid="{00000000-0005-0000-0000-0000AA150000}"/>
    <cellStyle name="F6 13" xfId="5547" xr:uid="{00000000-0005-0000-0000-0000AB150000}"/>
    <cellStyle name="F6 14" xfId="5548" xr:uid="{00000000-0005-0000-0000-0000AC150000}"/>
    <cellStyle name="F6 15" xfId="5549" xr:uid="{00000000-0005-0000-0000-0000AD150000}"/>
    <cellStyle name="F6 16" xfId="5550" xr:uid="{00000000-0005-0000-0000-0000AE150000}"/>
    <cellStyle name="F6 17" xfId="5551" xr:uid="{00000000-0005-0000-0000-0000AF150000}"/>
    <cellStyle name="F6 18" xfId="5552" xr:uid="{00000000-0005-0000-0000-0000B0150000}"/>
    <cellStyle name="F6 2" xfId="5553" xr:uid="{00000000-0005-0000-0000-0000B1150000}"/>
    <cellStyle name="F6 3" xfId="5554" xr:uid="{00000000-0005-0000-0000-0000B2150000}"/>
    <cellStyle name="F6 4" xfId="5555" xr:uid="{00000000-0005-0000-0000-0000B3150000}"/>
    <cellStyle name="F6 5" xfId="5556" xr:uid="{00000000-0005-0000-0000-0000B4150000}"/>
    <cellStyle name="F6 6" xfId="5557" xr:uid="{00000000-0005-0000-0000-0000B5150000}"/>
    <cellStyle name="F6 7" xfId="5558" xr:uid="{00000000-0005-0000-0000-0000B6150000}"/>
    <cellStyle name="F6 8" xfId="5559" xr:uid="{00000000-0005-0000-0000-0000B7150000}"/>
    <cellStyle name="F6 9" xfId="5560" xr:uid="{00000000-0005-0000-0000-0000B8150000}"/>
    <cellStyle name="F6_BMB_UGA NEXT(audio_DPP2 Ver1.0)2008.xx.xx" xfId="5561" xr:uid="{00000000-0005-0000-0000-0000B9150000}"/>
    <cellStyle name="F7" xfId="5562" xr:uid="{00000000-0005-0000-0000-0000BA150000}"/>
    <cellStyle name="F7 10" xfId="5563" xr:uid="{00000000-0005-0000-0000-0000BB150000}"/>
    <cellStyle name="F7 11" xfId="5564" xr:uid="{00000000-0005-0000-0000-0000BC150000}"/>
    <cellStyle name="F7 12" xfId="5565" xr:uid="{00000000-0005-0000-0000-0000BD150000}"/>
    <cellStyle name="F7 13" xfId="5566" xr:uid="{00000000-0005-0000-0000-0000BE150000}"/>
    <cellStyle name="F7 14" xfId="5567" xr:uid="{00000000-0005-0000-0000-0000BF150000}"/>
    <cellStyle name="F7 15" xfId="5568" xr:uid="{00000000-0005-0000-0000-0000C0150000}"/>
    <cellStyle name="F7 16" xfId="5569" xr:uid="{00000000-0005-0000-0000-0000C1150000}"/>
    <cellStyle name="F7 17" xfId="5570" xr:uid="{00000000-0005-0000-0000-0000C2150000}"/>
    <cellStyle name="F7 18" xfId="5571" xr:uid="{00000000-0005-0000-0000-0000C3150000}"/>
    <cellStyle name="F7 2" xfId="5572" xr:uid="{00000000-0005-0000-0000-0000C4150000}"/>
    <cellStyle name="F7 3" xfId="5573" xr:uid="{00000000-0005-0000-0000-0000C5150000}"/>
    <cellStyle name="F7 4" xfId="5574" xr:uid="{00000000-0005-0000-0000-0000C6150000}"/>
    <cellStyle name="F7 5" xfId="5575" xr:uid="{00000000-0005-0000-0000-0000C7150000}"/>
    <cellStyle name="F7 6" xfId="5576" xr:uid="{00000000-0005-0000-0000-0000C8150000}"/>
    <cellStyle name="F7 7" xfId="5577" xr:uid="{00000000-0005-0000-0000-0000C9150000}"/>
    <cellStyle name="F7 8" xfId="5578" xr:uid="{00000000-0005-0000-0000-0000CA150000}"/>
    <cellStyle name="F7 9" xfId="5579" xr:uid="{00000000-0005-0000-0000-0000CB150000}"/>
    <cellStyle name="F7_BMB_UGA NEXT(audio_DPP2 Ver1.0)2008.xx.xx" xfId="5580" xr:uid="{00000000-0005-0000-0000-0000CC150000}"/>
    <cellStyle name="F8" xfId="5581" xr:uid="{00000000-0005-0000-0000-0000CD150000}"/>
    <cellStyle name="F8 10" xfId="5582" xr:uid="{00000000-0005-0000-0000-0000CE150000}"/>
    <cellStyle name="F8 11" xfId="5583" xr:uid="{00000000-0005-0000-0000-0000CF150000}"/>
    <cellStyle name="F8 12" xfId="5584" xr:uid="{00000000-0005-0000-0000-0000D0150000}"/>
    <cellStyle name="F8 13" xfId="5585" xr:uid="{00000000-0005-0000-0000-0000D1150000}"/>
    <cellStyle name="F8 14" xfId="5586" xr:uid="{00000000-0005-0000-0000-0000D2150000}"/>
    <cellStyle name="F8 15" xfId="5587" xr:uid="{00000000-0005-0000-0000-0000D3150000}"/>
    <cellStyle name="F8 16" xfId="5588" xr:uid="{00000000-0005-0000-0000-0000D4150000}"/>
    <cellStyle name="F8 17" xfId="5589" xr:uid="{00000000-0005-0000-0000-0000D5150000}"/>
    <cellStyle name="F8 18" xfId="5590" xr:uid="{00000000-0005-0000-0000-0000D6150000}"/>
    <cellStyle name="F8 2" xfId="5591" xr:uid="{00000000-0005-0000-0000-0000D7150000}"/>
    <cellStyle name="F8 3" xfId="5592" xr:uid="{00000000-0005-0000-0000-0000D8150000}"/>
    <cellStyle name="F8 4" xfId="5593" xr:uid="{00000000-0005-0000-0000-0000D9150000}"/>
    <cellStyle name="F8 5" xfId="5594" xr:uid="{00000000-0005-0000-0000-0000DA150000}"/>
    <cellStyle name="F8 6" xfId="5595" xr:uid="{00000000-0005-0000-0000-0000DB150000}"/>
    <cellStyle name="F8 7" xfId="5596" xr:uid="{00000000-0005-0000-0000-0000DC150000}"/>
    <cellStyle name="F8 8" xfId="5597" xr:uid="{00000000-0005-0000-0000-0000DD150000}"/>
    <cellStyle name="F8 9" xfId="5598" xr:uid="{00000000-0005-0000-0000-0000DE150000}"/>
    <cellStyle name="F8_BMB_UGA NEXT(audio_DPP2 Ver1.0)2008.xx.xx" xfId="5599" xr:uid="{00000000-0005-0000-0000-0000DF150000}"/>
    <cellStyle name="Good" xfId="442" xr:uid="{00000000-0005-0000-0000-0000BA010000}"/>
    <cellStyle name="Grey" xfId="443" xr:uid="{00000000-0005-0000-0000-0000BB010000}"/>
    <cellStyle name="Grey 10" xfId="5601" xr:uid="{00000000-0005-0000-0000-0000E1150000}"/>
    <cellStyle name="Grey 11" xfId="5602" xr:uid="{00000000-0005-0000-0000-0000E2150000}"/>
    <cellStyle name="Grey 12" xfId="5603" xr:uid="{00000000-0005-0000-0000-0000E3150000}"/>
    <cellStyle name="Grey 13" xfId="5604" xr:uid="{00000000-0005-0000-0000-0000E4150000}"/>
    <cellStyle name="Grey 14" xfId="5605" xr:uid="{00000000-0005-0000-0000-0000E5150000}"/>
    <cellStyle name="Grey 15" xfId="5606" xr:uid="{00000000-0005-0000-0000-0000E6150000}"/>
    <cellStyle name="Grey 16" xfId="5607" xr:uid="{00000000-0005-0000-0000-0000E7150000}"/>
    <cellStyle name="Grey 17" xfId="5608" xr:uid="{00000000-0005-0000-0000-0000E8150000}"/>
    <cellStyle name="Grey 18" xfId="5609" xr:uid="{00000000-0005-0000-0000-0000E9150000}"/>
    <cellStyle name="Grey 19" xfId="5600" xr:uid="{00000000-0005-0000-0000-0000E0150000}"/>
    <cellStyle name="Grey 2" xfId="5610" xr:uid="{00000000-0005-0000-0000-0000EA150000}"/>
    <cellStyle name="Grey 3" xfId="5611" xr:uid="{00000000-0005-0000-0000-0000EB150000}"/>
    <cellStyle name="Grey 4" xfId="5612" xr:uid="{00000000-0005-0000-0000-0000EC150000}"/>
    <cellStyle name="Grey 5" xfId="5613" xr:uid="{00000000-0005-0000-0000-0000ED150000}"/>
    <cellStyle name="Grey 6" xfId="5614" xr:uid="{00000000-0005-0000-0000-0000EE150000}"/>
    <cellStyle name="Grey 7" xfId="5615" xr:uid="{00000000-0005-0000-0000-0000EF150000}"/>
    <cellStyle name="Grey 8" xfId="5616" xr:uid="{00000000-0005-0000-0000-0000F0150000}"/>
    <cellStyle name="Grey 9" xfId="5617" xr:uid="{00000000-0005-0000-0000-0000F1150000}"/>
    <cellStyle name="Grey_BMB_UGA NEXT(audio_DPP2 Ver1.0)2008.xx.xx" xfId="5618" xr:uid="{00000000-0005-0000-0000-0000F2150000}"/>
    <cellStyle name="HEADER" xfId="5619" xr:uid="{00000000-0005-0000-0000-0000F3150000}"/>
    <cellStyle name="HEADER 10" xfId="5620" xr:uid="{00000000-0005-0000-0000-0000F4150000}"/>
    <cellStyle name="HEADER 11" xfId="5621" xr:uid="{00000000-0005-0000-0000-0000F5150000}"/>
    <cellStyle name="HEADER 12" xfId="5622" xr:uid="{00000000-0005-0000-0000-0000F6150000}"/>
    <cellStyle name="HEADER 13" xfId="5623" xr:uid="{00000000-0005-0000-0000-0000F7150000}"/>
    <cellStyle name="HEADER 14" xfId="5624" xr:uid="{00000000-0005-0000-0000-0000F8150000}"/>
    <cellStyle name="HEADER 15" xfId="5625" xr:uid="{00000000-0005-0000-0000-0000F9150000}"/>
    <cellStyle name="HEADER 16" xfId="5626" xr:uid="{00000000-0005-0000-0000-0000FA150000}"/>
    <cellStyle name="HEADER 17" xfId="5627" xr:uid="{00000000-0005-0000-0000-0000FB150000}"/>
    <cellStyle name="HEADER 18" xfId="5628" xr:uid="{00000000-0005-0000-0000-0000FC150000}"/>
    <cellStyle name="HEADER 2" xfId="5629" xr:uid="{00000000-0005-0000-0000-0000FD150000}"/>
    <cellStyle name="HEADER 3" xfId="5630" xr:uid="{00000000-0005-0000-0000-0000FE150000}"/>
    <cellStyle name="HEADER 4" xfId="5631" xr:uid="{00000000-0005-0000-0000-0000FF150000}"/>
    <cellStyle name="HEADER 5" xfId="5632" xr:uid="{00000000-0005-0000-0000-000000160000}"/>
    <cellStyle name="HEADER 6" xfId="5633" xr:uid="{00000000-0005-0000-0000-000001160000}"/>
    <cellStyle name="HEADER 7" xfId="5634" xr:uid="{00000000-0005-0000-0000-000002160000}"/>
    <cellStyle name="HEADER 8" xfId="5635" xr:uid="{00000000-0005-0000-0000-000003160000}"/>
    <cellStyle name="HEADER 9" xfId="5636" xr:uid="{00000000-0005-0000-0000-000004160000}"/>
    <cellStyle name="HEADER_BMB_UGA NEXT(audio_DPP2 Ver1.0)2008.xx.xx" xfId="5637" xr:uid="{00000000-0005-0000-0000-000005160000}"/>
    <cellStyle name="Header1" xfId="444" xr:uid="{00000000-0005-0000-0000-0000BC010000}"/>
    <cellStyle name="Header1 10" xfId="5639" xr:uid="{00000000-0005-0000-0000-000007160000}"/>
    <cellStyle name="Header1 11" xfId="5640" xr:uid="{00000000-0005-0000-0000-000008160000}"/>
    <cellStyle name="Header1 12" xfId="5641" xr:uid="{00000000-0005-0000-0000-000009160000}"/>
    <cellStyle name="Header1 13" xfId="5642" xr:uid="{00000000-0005-0000-0000-00000A160000}"/>
    <cellStyle name="Header1 14" xfId="5643" xr:uid="{00000000-0005-0000-0000-00000B160000}"/>
    <cellStyle name="Header1 15" xfId="5644" xr:uid="{00000000-0005-0000-0000-00000C160000}"/>
    <cellStyle name="Header1 16" xfId="5645" xr:uid="{00000000-0005-0000-0000-00000D160000}"/>
    <cellStyle name="Header1 17" xfId="5646" xr:uid="{00000000-0005-0000-0000-00000E160000}"/>
    <cellStyle name="Header1 18" xfId="5647" xr:uid="{00000000-0005-0000-0000-00000F160000}"/>
    <cellStyle name="Header1 19" xfId="5638" xr:uid="{00000000-0005-0000-0000-000006160000}"/>
    <cellStyle name="Header1 2" xfId="5648" xr:uid="{00000000-0005-0000-0000-000010160000}"/>
    <cellStyle name="Header1 3" xfId="5649" xr:uid="{00000000-0005-0000-0000-000011160000}"/>
    <cellStyle name="Header1 4" xfId="5650" xr:uid="{00000000-0005-0000-0000-000012160000}"/>
    <cellStyle name="Header1 5" xfId="5651" xr:uid="{00000000-0005-0000-0000-000013160000}"/>
    <cellStyle name="Header1 6" xfId="5652" xr:uid="{00000000-0005-0000-0000-000014160000}"/>
    <cellStyle name="Header1 7" xfId="5653" xr:uid="{00000000-0005-0000-0000-000015160000}"/>
    <cellStyle name="Header1 8" xfId="5654" xr:uid="{00000000-0005-0000-0000-000016160000}"/>
    <cellStyle name="Header1 9" xfId="5655" xr:uid="{00000000-0005-0000-0000-000017160000}"/>
    <cellStyle name="Header1_BMB_UGA NEXT(audio_DPP2 Ver1.0)2008.xx.xx" xfId="5656" xr:uid="{00000000-0005-0000-0000-000018160000}"/>
    <cellStyle name="Header2" xfId="445" xr:uid="{00000000-0005-0000-0000-0000BD010000}"/>
    <cellStyle name="Header2 10" xfId="5658" xr:uid="{00000000-0005-0000-0000-00001A160000}"/>
    <cellStyle name="Header2 11" xfId="5659" xr:uid="{00000000-0005-0000-0000-00001B160000}"/>
    <cellStyle name="Header2 12" xfId="5660" xr:uid="{00000000-0005-0000-0000-00001C160000}"/>
    <cellStyle name="Header2 13" xfId="5661" xr:uid="{00000000-0005-0000-0000-00001D160000}"/>
    <cellStyle name="Header2 14" xfId="5662" xr:uid="{00000000-0005-0000-0000-00001E160000}"/>
    <cellStyle name="Header2 15" xfId="5663" xr:uid="{00000000-0005-0000-0000-00001F160000}"/>
    <cellStyle name="Header2 16" xfId="5664" xr:uid="{00000000-0005-0000-0000-000020160000}"/>
    <cellStyle name="Header2 17" xfId="5665" xr:uid="{00000000-0005-0000-0000-000021160000}"/>
    <cellStyle name="Header2 18" xfId="5666" xr:uid="{00000000-0005-0000-0000-000022160000}"/>
    <cellStyle name="Header2 19" xfId="5657" xr:uid="{00000000-0005-0000-0000-000019160000}"/>
    <cellStyle name="Header2 2" xfId="5667" xr:uid="{00000000-0005-0000-0000-000023160000}"/>
    <cellStyle name="Header2 20" xfId="7116" xr:uid="{00000000-0005-0000-0000-0000CC1B0000}"/>
    <cellStyle name="Header2 3" xfId="5668" xr:uid="{00000000-0005-0000-0000-000024160000}"/>
    <cellStyle name="Header2 4" xfId="5669" xr:uid="{00000000-0005-0000-0000-000025160000}"/>
    <cellStyle name="Header2 5" xfId="5670" xr:uid="{00000000-0005-0000-0000-000026160000}"/>
    <cellStyle name="Header2 6" xfId="5671" xr:uid="{00000000-0005-0000-0000-000027160000}"/>
    <cellStyle name="Header2 7" xfId="5672" xr:uid="{00000000-0005-0000-0000-000028160000}"/>
    <cellStyle name="Header2 8" xfId="5673" xr:uid="{00000000-0005-0000-0000-000029160000}"/>
    <cellStyle name="Header2 9" xfId="5674" xr:uid="{00000000-0005-0000-0000-00002A160000}"/>
    <cellStyle name="Header2_BMB_UGA NEXT(audio_DPP2 Ver1.0)2008.xx.xx" xfId="5675" xr:uid="{00000000-0005-0000-0000-00002B160000}"/>
    <cellStyle name="Heading 1" xfId="446" xr:uid="{00000000-0005-0000-0000-0000BE010000}"/>
    <cellStyle name="Heading 2" xfId="447" xr:uid="{00000000-0005-0000-0000-0000BF010000}"/>
    <cellStyle name="Heading 3" xfId="448" xr:uid="{00000000-0005-0000-0000-0000C0010000}"/>
    <cellStyle name="Heading 4" xfId="449" xr:uid="{00000000-0005-0000-0000-0000C1010000}"/>
    <cellStyle name="Input" xfId="450" xr:uid="{00000000-0005-0000-0000-0000C2010000}"/>
    <cellStyle name="Input [yellow]" xfId="451" xr:uid="{00000000-0005-0000-0000-0000C3010000}"/>
    <cellStyle name="Input [yellow] 10" xfId="5677" xr:uid="{00000000-0005-0000-0000-00002D160000}"/>
    <cellStyle name="Input [yellow] 11" xfId="5678" xr:uid="{00000000-0005-0000-0000-00002E160000}"/>
    <cellStyle name="Input [yellow] 12" xfId="5679" xr:uid="{00000000-0005-0000-0000-00002F160000}"/>
    <cellStyle name="Input [yellow] 13" xfId="5680" xr:uid="{00000000-0005-0000-0000-000030160000}"/>
    <cellStyle name="Input [yellow] 14" xfId="5681" xr:uid="{00000000-0005-0000-0000-000031160000}"/>
    <cellStyle name="Input [yellow] 15" xfId="5682" xr:uid="{00000000-0005-0000-0000-000032160000}"/>
    <cellStyle name="Input [yellow] 16" xfId="5683" xr:uid="{00000000-0005-0000-0000-000033160000}"/>
    <cellStyle name="Input [yellow] 17" xfId="5684" xr:uid="{00000000-0005-0000-0000-000034160000}"/>
    <cellStyle name="Input [yellow] 18" xfId="5685" xr:uid="{00000000-0005-0000-0000-000035160000}"/>
    <cellStyle name="Input [yellow] 19" xfId="5676" xr:uid="{00000000-0005-0000-0000-00002C160000}"/>
    <cellStyle name="Input [yellow] 2" xfId="5686" xr:uid="{00000000-0005-0000-0000-000036160000}"/>
    <cellStyle name="Input [yellow] 20" xfId="7118" xr:uid="{00000000-0005-0000-0000-0000CE1B0000}"/>
    <cellStyle name="Input [yellow] 3" xfId="5687" xr:uid="{00000000-0005-0000-0000-000037160000}"/>
    <cellStyle name="Input [yellow] 4" xfId="5688" xr:uid="{00000000-0005-0000-0000-000038160000}"/>
    <cellStyle name="Input [yellow] 5" xfId="5689" xr:uid="{00000000-0005-0000-0000-000039160000}"/>
    <cellStyle name="Input [yellow] 6" xfId="5690" xr:uid="{00000000-0005-0000-0000-00003A160000}"/>
    <cellStyle name="Input [yellow] 7" xfId="5691" xr:uid="{00000000-0005-0000-0000-00003B160000}"/>
    <cellStyle name="Input [yellow] 8" xfId="5692" xr:uid="{00000000-0005-0000-0000-00003C160000}"/>
    <cellStyle name="Input [yellow] 9" xfId="5693" xr:uid="{00000000-0005-0000-0000-00003D160000}"/>
    <cellStyle name="Input [yellow]_BMB_UGA NEXT(audio_DPP2 Ver1.0)2008.xx.xx" xfId="5694" xr:uid="{00000000-0005-0000-0000-00003E160000}"/>
    <cellStyle name="Input 2" xfId="7117" xr:uid="{00000000-0005-0000-0000-0000CD1B0000}"/>
    <cellStyle name="Input 3" xfId="7922" xr:uid="{00000000-0005-0000-0000-0000F21E0000}"/>
    <cellStyle name="Input 4" xfId="8003" xr:uid="{00000000-0005-0000-0000-0000431F0000}"/>
    <cellStyle name="Input 5" xfId="8089" xr:uid="{00000000-0005-0000-0000-0000991F0000}"/>
    <cellStyle name="Link Currency (0)" xfId="452" xr:uid="{00000000-0005-0000-0000-0000C4010000}"/>
    <cellStyle name="Link Currency (2)" xfId="453" xr:uid="{00000000-0005-0000-0000-0000C5010000}"/>
    <cellStyle name="Link Units (0)" xfId="454" xr:uid="{00000000-0005-0000-0000-0000C6010000}"/>
    <cellStyle name="Link Units (1)" xfId="455" xr:uid="{00000000-0005-0000-0000-0000C7010000}"/>
    <cellStyle name="Link Units (2)" xfId="456" xr:uid="{00000000-0005-0000-0000-0000C8010000}"/>
    <cellStyle name="Linked Cell" xfId="457" xr:uid="{00000000-0005-0000-0000-0000C9010000}"/>
    <cellStyle name="Millares [0]_PERSONAL" xfId="458" xr:uid="{00000000-0005-0000-0000-0000CA010000}"/>
    <cellStyle name="Millares_PERSONAL" xfId="459" xr:uid="{00000000-0005-0000-0000-0000CB010000}"/>
    <cellStyle name="Model" xfId="5695" xr:uid="{00000000-0005-0000-0000-00003F160000}"/>
    <cellStyle name="Model 10" xfId="5696" xr:uid="{00000000-0005-0000-0000-000040160000}"/>
    <cellStyle name="Model 11" xfId="5697" xr:uid="{00000000-0005-0000-0000-000041160000}"/>
    <cellStyle name="Model 12" xfId="5698" xr:uid="{00000000-0005-0000-0000-000042160000}"/>
    <cellStyle name="Model 13" xfId="5699" xr:uid="{00000000-0005-0000-0000-000043160000}"/>
    <cellStyle name="Model 14" xfId="5700" xr:uid="{00000000-0005-0000-0000-000044160000}"/>
    <cellStyle name="Model 15" xfId="5701" xr:uid="{00000000-0005-0000-0000-000045160000}"/>
    <cellStyle name="Model 16" xfId="5702" xr:uid="{00000000-0005-0000-0000-000046160000}"/>
    <cellStyle name="Model 17" xfId="5703" xr:uid="{00000000-0005-0000-0000-000047160000}"/>
    <cellStyle name="Model 18" xfId="5704" xr:uid="{00000000-0005-0000-0000-000048160000}"/>
    <cellStyle name="Model 2" xfId="5705" xr:uid="{00000000-0005-0000-0000-000049160000}"/>
    <cellStyle name="Model 3" xfId="5706" xr:uid="{00000000-0005-0000-0000-00004A160000}"/>
    <cellStyle name="Model 4" xfId="5707" xr:uid="{00000000-0005-0000-0000-00004B160000}"/>
    <cellStyle name="Model 5" xfId="5708" xr:uid="{00000000-0005-0000-0000-00004C160000}"/>
    <cellStyle name="Model 6" xfId="5709" xr:uid="{00000000-0005-0000-0000-00004D160000}"/>
    <cellStyle name="Model 7" xfId="5710" xr:uid="{00000000-0005-0000-0000-00004E160000}"/>
    <cellStyle name="Model 8" xfId="5711" xr:uid="{00000000-0005-0000-0000-00004F160000}"/>
    <cellStyle name="Model 9" xfId="5712" xr:uid="{00000000-0005-0000-0000-000050160000}"/>
    <cellStyle name="Model_BMB_UGA NEXT(audio_DPP2 Ver1.0)2008.xx.xx" xfId="5713" xr:uid="{00000000-0005-0000-0000-000051160000}"/>
    <cellStyle name="Moneda [0]_CONTENCION CONDELL 25.051" xfId="460" xr:uid="{00000000-0005-0000-0000-0000CC010000}"/>
    <cellStyle name="Moneda_CONTENCION CONDELL 25.051" xfId="461" xr:uid="{00000000-0005-0000-0000-0000CD010000}"/>
    <cellStyle name="Neutral" xfId="462" xr:uid="{00000000-0005-0000-0000-0000CE010000}"/>
    <cellStyle name="Normal - Style1" xfId="463" xr:uid="{00000000-0005-0000-0000-0000CF010000}"/>
    <cellStyle name="Normal - Style1 10" xfId="5715" xr:uid="{00000000-0005-0000-0000-000053160000}"/>
    <cellStyle name="Normal - Style1 11" xfId="5716" xr:uid="{00000000-0005-0000-0000-000054160000}"/>
    <cellStyle name="Normal - Style1 12" xfId="5717" xr:uid="{00000000-0005-0000-0000-000055160000}"/>
    <cellStyle name="Normal - Style1 13" xfId="5718" xr:uid="{00000000-0005-0000-0000-000056160000}"/>
    <cellStyle name="Normal - Style1 14" xfId="5719" xr:uid="{00000000-0005-0000-0000-000057160000}"/>
    <cellStyle name="Normal - Style1 15" xfId="5720" xr:uid="{00000000-0005-0000-0000-000058160000}"/>
    <cellStyle name="Normal - Style1 16" xfId="5721" xr:uid="{00000000-0005-0000-0000-000059160000}"/>
    <cellStyle name="Normal - Style1 17" xfId="5722" xr:uid="{00000000-0005-0000-0000-00005A160000}"/>
    <cellStyle name="Normal - Style1 18" xfId="5723" xr:uid="{00000000-0005-0000-0000-00005B160000}"/>
    <cellStyle name="Normal - Style1 19" xfId="5714" xr:uid="{00000000-0005-0000-0000-000052160000}"/>
    <cellStyle name="Normal - Style1 2" xfId="5724" xr:uid="{00000000-0005-0000-0000-00005C160000}"/>
    <cellStyle name="Normal - Style1 3" xfId="5725" xr:uid="{00000000-0005-0000-0000-00005D160000}"/>
    <cellStyle name="Normal - Style1 4" xfId="5726" xr:uid="{00000000-0005-0000-0000-00005E160000}"/>
    <cellStyle name="Normal - Style1 5" xfId="5727" xr:uid="{00000000-0005-0000-0000-00005F160000}"/>
    <cellStyle name="Normal - Style1 6" xfId="5728" xr:uid="{00000000-0005-0000-0000-000060160000}"/>
    <cellStyle name="Normal - Style1 7" xfId="5729" xr:uid="{00000000-0005-0000-0000-000061160000}"/>
    <cellStyle name="Normal - Style1 8" xfId="5730" xr:uid="{00000000-0005-0000-0000-000062160000}"/>
    <cellStyle name="Normal - Style1 9" xfId="5731" xr:uid="{00000000-0005-0000-0000-000063160000}"/>
    <cellStyle name="Normal - Style1_BMB_UGA NEXT(audio_DPP2 Ver1.0)2008.xx.xx" xfId="5732" xr:uid="{00000000-0005-0000-0000-000064160000}"/>
    <cellStyle name="Normal_ SG&amp;A Bridge " xfId="464" xr:uid="{00000000-0005-0000-0000-0000D0010000}"/>
    <cellStyle name="Note" xfId="465" xr:uid="{00000000-0005-0000-0000-0000D1010000}"/>
    <cellStyle name="Note 2" xfId="7119" xr:uid="{00000000-0005-0000-0000-0000CF1B0000}"/>
    <cellStyle name="Output" xfId="466" xr:uid="{00000000-0005-0000-0000-0000D2010000}"/>
    <cellStyle name="Output 2" xfId="7120" xr:uid="{00000000-0005-0000-0000-0000D01B0000}"/>
    <cellStyle name="per.style" xfId="5733" xr:uid="{00000000-0005-0000-0000-000065160000}"/>
    <cellStyle name="per.style 10" xfId="5734" xr:uid="{00000000-0005-0000-0000-000066160000}"/>
    <cellStyle name="per.style 11" xfId="5735" xr:uid="{00000000-0005-0000-0000-000067160000}"/>
    <cellStyle name="per.style 12" xfId="5736" xr:uid="{00000000-0005-0000-0000-000068160000}"/>
    <cellStyle name="per.style 13" xfId="5737" xr:uid="{00000000-0005-0000-0000-000069160000}"/>
    <cellStyle name="per.style 14" xfId="5738" xr:uid="{00000000-0005-0000-0000-00006A160000}"/>
    <cellStyle name="per.style 15" xfId="5739" xr:uid="{00000000-0005-0000-0000-00006B160000}"/>
    <cellStyle name="per.style 16" xfId="5740" xr:uid="{00000000-0005-0000-0000-00006C160000}"/>
    <cellStyle name="per.style 17" xfId="5741" xr:uid="{00000000-0005-0000-0000-00006D160000}"/>
    <cellStyle name="per.style 18" xfId="5742" xr:uid="{00000000-0005-0000-0000-00006E160000}"/>
    <cellStyle name="per.style 2" xfId="5743" xr:uid="{00000000-0005-0000-0000-00006F160000}"/>
    <cellStyle name="per.style 3" xfId="5744" xr:uid="{00000000-0005-0000-0000-000070160000}"/>
    <cellStyle name="per.style 4" xfId="5745" xr:uid="{00000000-0005-0000-0000-000071160000}"/>
    <cellStyle name="per.style 5" xfId="5746" xr:uid="{00000000-0005-0000-0000-000072160000}"/>
    <cellStyle name="per.style 6" xfId="5747" xr:uid="{00000000-0005-0000-0000-000073160000}"/>
    <cellStyle name="per.style 7" xfId="5748" xr:uid="{00000000-0005-0000-0000-000074160000}"/>
    <cellStyle name="per.style 8" xfId="5749" xr:uid="{00000000-0005-0000-0000-000075160000}"/>
    <cellStyle name="per.style 9" xfId="5750" xr:uid="{00000000-0005-0000-0000-000076160000}"/>
    <cellStyle name="per.style_BMB_UGA NEXT(audio_DPP2 Ver1.0)2008.xx.xx" xfId="5751" xr:uid="{00000000-0005-0000-0000-000077160000}"/>
    <cellStyle name="Percent [0]" xfId="467" xr:uid="{00000000-0005-0000-0000-0000D3010000}"/>
    <cellStyle name="Percent [00]" xfId="468" xr:uid="{00000000-0005-0000-0000-0000D4010000}"/>
    <cellStyle name="Percent [2]" xfId="469" xr:uid="{00000000-0005-0000-0000-0000D5010000}"/>
    <cellStyle name="Percent [2] 10" xfId="5753" xr:uid="{00000000-0005-0000-0000-000079160000}"/>
    <cellStyle name="Percent [2] 11" xfId="5754" xr:uid="{00000000-0005-0000-0000-00007A160000}"/>
    <cellStyle name="Percent [2] 12" xfId="5755" xr:uid="{00000000-0005-0000-0000-00007B160000}"/>
    <cellStyle name="Percent [2] 13" xfId="5756" xr:uid="{00000000-0005-0000-0000-00007C160000}"/>
    <cellStyle name="Percent [2] 14" xfId="5757" xr:uid="{00000000-0005-0000-0000-00007D160000}"/>
    <cellStyle name="Percent [2] 15" xfId="5758" xr:uid="{00000000-0005-0000-0000-00007E160000}"/>
    <cellStyle name="Percent [2] 16" xfId="5759" xr:uid="{00000000-0005-0000-0000-00007F160000}"/>
    <cellStyle name="Percent [2] 17" xfId="5760" xr:uid="{00000000-0005-0000-0000-000080160000}"/>
    <cellStyle name="Percent [2] 18" xfId="5761" xr:uid="{00000000-0005-0000-0000-000081160000}"/>
    <cellStyle name="Percent [2] 19" xfId="5752" xr:uid="{00000000-0005-0000-0000-000078160000}"/>
    <cellStyle name="Percent [2] 2" xfId="5762" xr:uid="{00000000-0005-0000-0000-000082160000}"/>
    <cellStyle name="Percent [2] 3" xfId="5763" xr:uid="{00000000-0005-0000-0000-000083160000}"/>
    <cellStyle name="Percent [2] 4" xfId="5764" xr:uid="{00000000-0005-0000-0000-000084160000}"/>
    <cellStyle name="Percent [2] 5" xfId="5765" xr:uid="{00000000-0005-0000-0000-000085160000}"/>
    <cellStyle name="Percent [2] 6" xfId="5766" xr:uid="{00000000-0005-0000-0000-000086160000}"/>
    <cellStyle name="Percent [2] 7" xfId="5767" xr:uid="{00000000-0005-0000-0000-000087160000}"/>
    <cellStyle name="Percent [2] 8" xfId="5768" xr:uid="{00000000-0005-0000-0000-000088160000}"/>
    <cellStyle name="Percent [2] 9" xfId="5769" xr:uid="{00000000-0005-0000-0000-000089160000}"/>
    <cellStyle name="Percent [2]_BMB_UGA NEXT(audio_DPP2 Ver1.0)2008.xx.xx" xfId="5770" xr:uid="{00000000-0005-0000-0000-00008A160000}"/>
    <cellStyle name="Percent_#6 Temps &amp; Contractors" xfId="470" xr:uid="{00000000-0005-0000-0000-0000D6010000}"/>
    <cellStyle name="PrePop Currency (0)" xfId="471" xr:uid="{00000000-0005-0000-0000-0000D7010000}"/>
    <cellStyle name="PrePop Currency (2)" xfId="472" xr:uid="{00000000-0005-0000-0000-0000D8010000}"/>
    <cellStyle name="PrePop Units (0)" xfId="473" xr:uid="{00000000-0005-0000-0000-0000D9010000}"/>
    <cellStyle name="PrePop Units (1)" xfId="474" xr:uid="{00000000-0005-0000-0000-0000DA010000}"/>
    <cellStyle name="PrePop Units (2)" xfId="475" xr:uid="{00000000-0005-0000-0000-0000DB010000}"/>
    <cellStyle name="Standard_Tabelle1_November_November_November_November_January_February_February_March" xfId="236" xr:uid="{00000000-0005-0000-0000-0000EC000000}"/>
    <cellStyle name="subhead" xfId="476" xr:uid="{00000000-0005-0000-0000-0000DC010000}"/>
    <cellStyle name="subhead 10" xfId="5772" xr:uid="{00000000-0005-0000-0000-00008C160000}"/>
    <cellStyle name="subhead 11" xfId="5773" xr:uid="{00000000-0005-0000-0000-00008D160000}"/>
    <cellStyle name="subhead 12" xfId="5774" xr:uid="{00000000-0005-0000-0000-00008E160000}"/>
    <cellStyle name="subhead 13" xfId="5775" xr:uid="{00000000-0005-0000-0000-00008F160000}"/>
    <cellStyle name="subhead 14" xfId="5776" xr:uid="{00000000-0005-0000-0000-000090160000}"/>
    <cellStyle name="subhead 15" xfId="5777" xr:uid="{00000000-0005-0000-0000-000091160000}"/>
    <cellStyle name="subhead 16" xfId="5778" xr:uid="{00000000-0005-0000-0000-000092160000}"/>
    <cellStyle name="subhead 17" xfId="5779" xr:uid="{00000000-0005-0000-0000-000093160000}"/>
    <cellStyle name="subhead 18" xfId="5780" xr:uid="{00000000-0005-0000-0000-000094160000}"/>
    <cellStyle name="subhead 19" xfId="5771" xr:uid="{00000000-0005-0000-0000-00008B160000}"/>
    <cellStyle name="subhead 2" xfId="5781" xr:uid="{00000000-0005-0000-0000-000095160000}"/>
    <cellStyle name="subhead 3" xfId="5782" xr:uid="{00000000-0005-0000-0000-000096160000}"/>
    <cellStyle name="subhead 4" xfId="5783" xr:uid="{00000000-0005-0000-0000-000097160000}"/>
    <cellStyle name="subhead 5" xfId="5784" xr:uid="{00000000-0005-0000-0000-000098160000}"/>
    <cellStyle name="subhead 6" xfId="5785" xr:uid="{00000000-0005-0000-0000-000099160000}"/>
    <cellStyle name="subhead 7" xfId="5786" xr:uid="{00000000-0005-0000-0000-00009A160000}"/>
    <cellStyle name="subhead 8" xfId="5787" xr:uid="{00000000-0005-0000-0000-00009B160000}"/>
    <cellStyle name="subhead 9" xfId="5788" xr:uid="{00000000-0005-0000-0000-00009C160000}"/>
    <cellStyle name="subhead_BMB_UGA NEXT(audio_DPP2 Ver1.0)2008.xx.xx" xfId="5789" xr:uid="{00000000-0005-0000-0000-00009D160000}"/>
    <cellStyle name="Text Indent A" xfId="477" xr:uid="{00000000-0005-0000-0000-0000DD010000}"/>
    <cellStyle name="Text Indent B" xfId="478" xr:uid="{00000000-0005-0000-0000-0000DE010000}"/>
    <cellStyle name="Text Indent C" xfId="479" xr:uid="{00000000-0005-0000-0000-0000DF010000}"/>
    <cellStyle name="Title" xfId="480" xr:uid="{00000000-0005-0000-0000-0000E0010000}"/>
    <cellStyle name="Total" xfId="481" xr:uid="{00000000-0005-0000-0000-0000E1010000}"/>
    <cellStyle name="Total 2" xfId="7121" xr:uid="{00000000-0005-0000-0000-0000D11B0000}"/>
    <cellStyle name="Warning Text" xfId="482" xr:uid="{00000000-0005-0000-0000-0000E2010000}"/>
    <cellStyle name="强调文字颜色 1" xfId="2772" xr:uid="{00000000-0005-0000-0000-0000D40A0000}"/>
    <cellStyle name="强调文字颜色 1 10" xfId="2773" xr:uid="{00000000-0005-0000-0000-0000D50A0000}"/>
    <cellStyle name="强调文字颜色 1 11" xfId="2774" xr:uid="{00000000-0005-0000-0000-0000D60A0000}"/>
    <cellStyle name="强调文字颜色 1 12" xfId="2775" xr:uid="{00000000-0005-0000-0000-0000D70A0000}"/>
    <cellStyle name="强调文字颜色 1 13" xfId="2776" xr:uid="{00000000-0005-0000-0000-0000D80A0000}"/>
    <cellStyle name="强调文字颜色 1 14" xfId="2777" xr:uid="{00000000-0005-0000-0000-0000D90A0000}"/>
    <cellStyle name="强调文字颜色 1 15" xfId="2778" xr:uid="{00000000-0005-0000-0000-0000DA0A0000}"/>
    <cellStyle name="强调文字颜色 1 16" xfId="2779" xr:uid="{00000000-0005-0000-0000-0000DB0A0000}"/>
    <cellStyle name="强调文字颜色 1 17" xfId="2780" xr:uid="{00000000-0005-0000-0000-0000DC0A0000}"/>
    <cellStyle name="强调文字颜色 1 18" xfId="2781" xr:uid="{00000000-0005-0000-0000-0000DD0A0000}"/>
    <cellStyle name="强调文字颜色 1 2" xfId="2782" xr:uid="{00000000-0005-0000-0000-0000DE0A0000}"/>
    <cellStyle name="强调文字颜色 1 3" xfId="2783" xr:uid="{00000000-0005-0000-0000-0000DF0A0000}"/>
    <cellStyle name="强调文字颜色 1 4" xfId="2784" xr:uid="{00000000-0005-0000-0000-0000E00A0000}"/>
    <cellStyle name="强调文字颜色 1 5" xfId="2785" xr:uid="{00000000-0005-0000-0000-0000E10A0000}"/>
    <cellStyle name="强调文字颜色 1 6" xfId="2786" xr:uid="{00000000-0005-0000-0000-0000E20A0000}"/>
    <cellStyle name="强调文字颜色 1 7" xfId="2787" xr:uid="{00000000-0005-0000-0000-0000E30A0000}"/>
    <cellStyle name="强调文字颜色 1 8" xfId="2788" xr:uid="{00000000-0005-0000-0000-0000E40A0000}"/>
    <cellStyle name="强调文字颜色 1 9" xfId="2789" xr:uid="{00000000-0005-0000-0000-0000E50A0000}"/>
    <cellStyle name="强调文字颜色 2" xfId="2790" xr:uid="{00000000-0005-0000-0000-0000E60A0000}"/>
    <cellStyle name="强调文字颜色 2 10" xfId="2791" xr:uid="{00000000-0005-0000-0000-0000E70A0000}"/>
    <cellStyle name="强调文字颜色 2 11" xfId="2792" xr:uid="{00000000-0005-0000-0000-0000E80A0000}"/>
    <cellStyle name="强调文字颜色 2 12" xfId="2793" xr:uid="{00000000-0005-0000-0000-0000E90A0000}"/>
    <cellStyle name="强调文字颜色 2 13" xfId="2794" xr:uid="{00000000-0005-0000-0000-0000EA0A0000}"/>
    <cellStyle name="强调文字颜色 2 14" xfId="2795" xr:uid="{00000000-0005-0000-0000-0000EB0A0000}"/>
    <cellStyle name="强调文字颜色 2 15" xfId="2796" xr:uid="{00000000-0005-0000-0000-0000EC0A0000}"/>
    <cellStyle name="强调文字颜色 2 16" xfId="2797" xr:uid="{00000000-0005-0000-0000-0000ED0A0000}"/>
    <cellStyle name="强调文字颜色 2 17" xfId="2798" xr:uid="{00000000-0005-0000-0000-0000EE0A0000}"/>
    <cellStyle name="强调文字颜色 2 18" xfId="2799" xr:uid="{00000000-0005-0000-0000-0000EF0A0000}"/>
    <cellStyle name="强调文字颜色 2 2" xfId="2800" xr:uid="{00000000-0005-0000-0000-0000F00A0000}"/>
    <cellStyle name="强调文字颜色 2 3" xfId="2801" xr:uid="{00000000-0005-0000-0000-0000F10A0000}"/>
    <cellStyle name="强调文字颜色 2 4" xfId="2802" xr:uid="{00000000-0005-0000-0000-0000F20A0000}"/>
    <cellStyle name="强调文字颜色 2 5" xfId="2803" xr:uid="{00000000-0005-0000-0000-0000F30A0000}"/>
    <cellStyle name="强调文字颜色 2 6" xfId="2804" xr:uid="{00000000-0005-0000-0000-0000F40A0000}"/>
    <cellStyle name="强调文字颜色 2 7" xfId="2805" xr:uid="{00000000-0005-0000-0000-0000F50A0000}"/>
    <cellStyle name="强调文字颜色 2 8" xfId="2806" xr:uid="{00000000-0005-0000-0000-0000F60A0000}"/>
    <cellStyle name="强调文字颜色 2 9" xfId="2807" xr:uid="{00000000-0005-0000-0000-0000F70A0000}"/>
    <cellStyle name="强调文字颜色 3" xfId="2808" xr:uid="{00000000-0005-0000-0000-0000F80A0000}"/>
    <cellStyle name="强调文字颜色 3 10" xfId="2809" xr:uid="{00000000-0005-0000-0000-0000F90A0000}"/>
    <cellStyle name="强调文字颜色 3 11" xfId="2810" xr:uid="{00000000-0005-0000-0000-0000FA0A0000}"/>
    <cellStyle name="强调文字颜色 3 12" xfId="2811" xr:uid="{00000000-0005-0000-0000-0000FB0A0000}"/>
    <cellStyle name="强调文字颜色 3 13" xfId="2812" xr:uid="{00000000-0005-0000-0000-0000FC0A0000}"/>
    <cellStyle name="强调文字颜色 3 14" xfId="2813" xr:uid="{00000000-0005-0000-0000-0000FD0A0000}"/>
    <cellStyle name="强调文字颜色 3 15" xfId="2814" xr:uid="{00000000-0005-0000-0000-0000FE0A0000}"/>
    <cellStyle name="强调文字颜色 3 16" xfId="2815" xr:uid="{00000000-0005-0000-0000-0000FF0A0000}"/>
    <cellStyle name="强调文字颜色 3 17" xfId="2816" xr:uid="{00000000-0005-0000-0000-0000000B0000}"/>
    <cellStyle name="强调文字颜色 3 18" xfId="2817" xr:uid="{00000000-0005-0000-0000-0000010B0000}"/>
    <cellStyle name="强调文字颜色 3 2" xfId="2818" xr:uid="{00000000-0005-0000-0000-0000020B0000}"/>
    <cellStyle name="强调文字颜色 3 3" xfId="2819" xr:uid="{00000000-0005-0000-0000-0000030B0000}"/>
    <cellStyle name="强调文字颜色 3 4" xfId="2820" xr:uid="{00000000-0005-0000-0000-0000040B0000}"/>
    <cellStyle name="强调文字颜色 3 5" xfId="2821" xr:uid="{00000000-0005-0000-0000-0000050B0000}"/>
    <cellStyle name="强调文字颜色 3 6" xfId="2822" xr:uid="{00000000-0005-0000-0000-0000060B0000}"/>
    <cellStyle name="强调文字颜色 3 7" xfId="2823" xr:uid="{00000000-0005-0000-0000-0000070B0000}"/>
    <cellStyle name="强调文字颜色 3 8" xfId="2824" xr:uid="{00000000-0005-0000-0000-0000080B0000}"/>
    <cellStyle name="强调文字颜色 3 9" xfId="2825" xr:uid="{00000000-0005-0000-0000-0000090B0000}"/>
    <cellStyle name="强调文字颜色 4" xfId="2826" xr:uid="{00000000-0005-0000-0000-00000A0B0000}"/>
    <cellStyle name="强调文字颜色 4 10" xfId="2827" xr:uid="{00000000-0005-0000-0000-00000B0B0000}"/>
    <cellStyle name="强调文字颜色 4 11" xfId="2828" xr:uid="{00000000-0005-0000-0000-00000C0B0000}"/>
    <cellStyle name="强调文字颜色 4 12" xfId="2829" xr:uid="{00000000-0005-0000-0000-00000D0B0000}"/>
    <cellStyle name="强调文字颜色 4 13" xfId="2830" xr:uid="{00000000-0005-0000-0000-00000E0B0000}"/>
    <cellStyle name="强调文字颜色 4 14" xfId="2831" xr:uid="{00000000-0005-0000-0000-00000F0B0000}"/>
    <cellStyle name="强调文字颜色 4 15" xfId="2832" xr:uid="{00000000-0005-0000-0000-0000100B0000}"/>
    <cellStyle name="强调文字颜色 4 16" xfId="2833" xr:uid="{00000000-0005-0000-0000-0000110B0000}"/>
    <cellStyle name="强调文字颜色 4 17" xfId="2834" xr:uid="{00000000-0005-0000-0000-0000120B0000}"/>
    <cellStyle name="强调文字颜色 4 18" xfId="2835" xr:uid="{00000000-0005-0000-0000-0000130B0000}"/>
    <cellStyle name="强调文字颜色 4 2" xfId="2836" xr:uid="{00000000-0005-0000-0000-0000140B0000}"/>
    <cellStyle name="强调文字颜色 4 3" xfId="2837" xr:uid="{00000000-0005-0000-0000-0000150B0000}"/>
    <cellStyle name="强调文字颜色 4 4" xfId="2838" xr:uid="{00000000-0005-0000-0000-0000160B0000}"/>
    <cellStyle name="强调文字颜色 4 5" xfId="2839" xr:uid="{00000000-0005-0000-0000-0000170B0000}"/>
    <cellStyle name="强调文字颜色 4 6" xfId="2840" xr:uid="{00000000-0005-0000-0000-0000180B0000}"/>
    <cellStyle name="强调文字颜色 4 7" xfId="2841" xr:uid="{00000000-0005-0000-0000-0000190B0000}"/>
    <cellStyle name="强调文字颜色 4 8" xfId="2842" xr:uid="{00000000-0005-0000-0000-00001A0B0000}"/>
    <cellStyle name="强调文字颜色 4 9" xfId="2843" xr:uid="{00000000-0005-0000-0000-00001B0B0000}"/>
    <cellStyle name="强调文字颜色 5" xfId="2844" xr:uid="{00000000-0005-0000-0000-00001C0B0000}"/>
    <cellStyle name="强调文字颜色 5 10" xfId="2845" xr:uid="{00000000-0005-0000-0000-00001D0B0000}"/>
    <cellStyle name="强调文字颜色 5 11" xfId="2846" xr:uid="{00000000-0005-0000-0000-00001E0B0000}"/>
    <cellStyle name="强调文字颜色 5 12" xfId="2847" xr:uid="{00000000-0005-0000-0000-00001F0B0000}"/>
    <cellStyle name="强调文字颜色 5 13" xfId="2848" xr:uid="{00000000-0005-0000-0000-0000200B0000}"/>
    <cellStyle name="强调文字颜色 5 14" xfId="2849" xr:uid="{00000000-0005-0000-0000-0000210B0000}"/>
    <cellStyle name="强调文字颜色 5 15" xfId="2850" xr:uid="{00000000-0005-0000-0000-0000220B0000}"/>
    <cellStyle name="强调文字颜色 5 16" xfId="2851" xr:uid="{00000000-0005-0000-0000-0000230B0000}"/>
    <cellStyle name="强调文字颜色 5 17" xfId="2852" xr:uid="{00000000-0005-0000-0000-0000240B0000}"/>
    <cellStyle name="强调文字颜色 5 18" xfId="2853" xr:uid="{00000000-0005-0000-0000-0000250B0000}"/>
    <cellStyle name="强调文字颜色 5 2" xfId="2854" xr:uid="{00000000-0005-0000-0000-0000260B0000}"/>
    <cellStyle name="强调文字颜色 5 3" xfId="2855" xr:uid="{00000000-0005-0000-0000-0000270B0000}"/>
    <cellStyle name="强调文字颜色 5 4" xfId="2856" xr:uid="{00000000-0005-0000-0000-0000280B0000}"/>
    <cellStyle name="强调文字颜色 5 5" xfId="2857" xr:uid="{00000000-0005-0000-0000-0000290B0000}"/>
    <cellStyle name="强调文字颜色 5 6" xfId="2858" xr:uid="{00000000-0005-0000-0000-00002A0B0000}"/>
    <cellStyle name="强调文字颜色 5 7" xfId="2859" xr:uid="{00000000-0005-0000-0000-00002B0B0000}"/>
    <cellStyle name="强调文字颜色 5 8" xfId="2860" xr:uid="{00000000-0005-0000-0000-00002C0B0000}"/>
    <cellStyle name="强调文字颜色 5 9" xfId="2861" xr:uid="{00000000-0005-0000-0000-00002D0B0000}"/>
    <cellStyle name="强调文字颜色 6" xfId="2862" xr:uid="{00000000-0005-0000-0000-00002E0B0000}"/>
    <cellStyle name="强调文字颜色 6 10" xfId="2863" xr:uid="{00000000-0005-0000-0000-00002F0B0000}"/>
    <cellStyle name="强调文字颜色 6 11" xfId="2864" xr:uid="{00000000-0005-0000-0000-0000300B0000}"/>
    <cellStyle name="强调文字颜色 6 12" xfId="2865" xr:uid="{00000000-0005-0000-0000-0000310B0000}"/>
    <cellStyle name="强调文字颜色 6 13" xfId="2866" xr:uid="{00000000-0005-0000-0000-0000320B0000}"/>
    <cellStyle name="强调文字颜色 6 14" xfId="2867" xr:uid="{00000000-0005-0000-0000-0000330B0000}"/>
    <cellStyle name="强调文字颜色 6 15" xfId="2868" xr:uid="{00000000-0005-0000-0000-0000340B0000}"/>
    <cellStyle name="强调文字颜色 6 16" xfId="2869" xr:uid="{00000000-0005-0000-0000-0000350B0000}"/>
    <cellStyle name="强调文字颜色 6 17" xfId="2870" xr:uid="{00000000-0005-0000-0000-0000360B0000}"/>
    <cellStyle name="强调文字颜色 6 18" xfId="2871" xr:uid="{00000000-0005-0000-0000-0000370B0000}"/>
    <cellStyle name="强调文字颜色 6 2" xfId="2872" xr:uid="{00000000-0005-0000-0000-0000380B0000}"/>
    <cellStyle name="强调文字颜色 6 3" xfId="2873" xr:uid="{00000000-0005-0000-0000-0000390B0000}"/>
    <cellStyle name="强调文字颜色 6 4" xfId="2874" xr:uid="{00000000-0005-0000-0000-00003A0B0000}"/>
    <cellStyle name="强调文字颜色 6 5" xfId="2875" xr:uid="{00000000-0005-0000-0000-00003B0B0000}"/>
    <cellStyle name="强调文字颜色 6 6" xfId="2876" xr:uid="{00000000-0005-0000-0000-00003C0B0000}"/>
    <cellStyle name="强调文字颜色 6 7" xfId="2877" xr:uid="{00000000-0005-0000-0000-00003D0B0000}"/>
    <cellStyle name="强调文字颜色 6 8" xfId="2878" xr:uid="{00000000-0005-0000-0000-00003E0B0000}"/>
    <cellStyle name="强调文字颜色 6 9" xfId="2879" xr:uid="{00000000-0005-0000-0000-00003F0B0000}"/>
    <cellStyle name="강조색1 2" xfId="91" xr:uid="{00000000-0005-0000-0000-00005B000000}"/>
    <cellStyle name="강조색1 2 2" xfId="2747" xr:uid="{00000000-0005-0000-0000-0000BB0A0000}"/>
    <cellStyle name="강조색1 2 3" xfId="5834" xr:uid="{00000000-0005-0000-0000-0000CA160000}"/>
    <cellStyle name="강조색1 3" xfId="92" xr:uid="{00000000-0005-0000-0000-00005C000000}"/>
    <cellStyle name="강조색1 3 2" xfId="2748" xr:uid="{00000000-0005-0000-0000-0000BC0A0000}"/>
    <cellStyle name="강조색1 4" xfId="93" xr:uid="{00000000-0005-0000-0000-00005D000000}"/>
    <cellStyle name="강조색1 4 2" xfId="2749" xr:uid="{00000000-0005-0000-0000-0000BD0A0000}"/>
    <cellStyle name="강조색1 5" xfId="94" xr:uid="{00000000-0005-0000-0000-00005E000000}"/>
    <cellStyle name="강조색1 6" xfId="95" xr:uid="{00000000-0005-0000-0000-00005F000000}"/>
    <cellStyle name="강조색1 6 2" xfId="2750" xr:uid="{00000000-0005-0000-0000-0000BE0A0000}"/>
    <cellStyle name="강조색1 7" xfId="256" xr:uid="{00000000-0005-0000-0000-000000010000}"/>
    <cellStyle name="강조색2 2" xfId="96" xr:uid="{00000000-0005-0000-0000-000060000000}"/>
    <cellStyle name="강조색2 2 2" xfId="2751" xr:uid="{00000000-0005-0000-0000-0000BF0A0000}"/>
    <cellStyle name="강조색2 2 3" xfId="5835" xr:uid="{00000000-0005-0000-0000-0000CB160000}"/>
    <cellStyle name="강조색2 3" xfId="97" xr:uid="{00000000-0005-0000-0000-000061000000}"/>
    <cellStyle name="강조색2 3 2" xfId="2752" xr:uid="{00000000-0005-0000-0000-0000C00A0000}"/>
    <cellStyle name="강조색2 4" xfId="98" xr:uid="{00000000-0005-0000-0000-000062000000}"/>
    <cellStyle name="강조색2 4 2" xfId="2753" xr:uid="{00000000-0005-0000-0000-0000C10A0000}"/>
    <cellStyle name="강조색2 5" xfId="99" xr:uid="{00000000-0005-0000-0000-000063000000}"/>
    <cellStyle name="강조색2 6" xfId="100" xr:uid="{00000000-0005-0000-0000-000064000000}"/>
    <cellStyle name="강조색2 6 2" xfId="2754" xr:uid="{00000000-0005-0000-0000-0000C20A0000}"/>
    <cellStyle name="강조색2 7" xfId="257" xr:uid="{00000000-0005-0000-0000-000001010000}"/>
    <cellStyle name="강조색3 2" xfId="101" xr:uid="{00000000-0005-0000-0000-000065000000}"/>
    <cellStyle name="강조색3 2 2" xfId="2755" xr:uid="{00000000-0005-0000-0000-0000C30A0000}"/>
    <cellStyle name="강조색3 2 3" xfId="5836" xr:uid="{00000000-0005-0000-0000-0000CC160000}"/>
    <cellStyle name="강조색3 3" xfId="102" xr:uid="{00000000-0005-0000-0000-000066000000}"/>
    <cellStyle name="강조색3 3 2" xfId="2756" xr:uid="{00000000-0005-0000-0000-0000C40A0000}"/>
    <cellStyle name="강조색3 4" xfId="103" xr:uid="{00000000-0005-0000-0000-000067000000}"/>
    <cellStyle name="강조색3 4 2" xfId="2757" xr:uid="{00000000-0005-0000-0000-0000C50A0000}"/>
    <cellStyle name="강조색3 5" xfId="104" xr:uid="{00000000-0005-0000-0000-000068000000}"/>
    <cellStyle name="강조색3 6" xfId="105" xr:uid="{00000000-0005-0000-0000-000069000000}"/>
    <cellStyle name="강조색3 6 2" xfId="2758" xr:uid="{00000000-0005-0000-0000-0000C60A0000}"/>
    <cellStyle name="강조색3 7" xfId="258" xr:uid="{00000000-0005-0000-0000-000002010000}"/>
    <cellStyle name="강조색4 2" xfId="106" xr:uid="{00000000-0005-0000-0000-00006A000000}"/>
    <cellStyle name="강조색4 2 2" xfId="2759" xr:uid="{00000000-0005-0000-0000-0000C70A0000}"/>
    <cellStyle name="강조색4 2 3" xfId="5837" xr:uid="{00000000-0005-0000-0000-0000CD160000}"/>
    <cellStyle name="강조색4 3" xfId="107" xr:uid="{00000000-0005-0000-0000-00006B000000}"/>
    <cellStyle name="강조색4 3 2" xfId="2760" xr:uid="{00000000-0005-0000-0000-0000C80A0000}"/>
    <cellStyle name="강조색4 4" xfId="108" xr:uid="{00000000-0005-0000-0000-00006C000000}"/>
    <cellStyle name="강조색4 4 2" xfId="2761" xr:uid="{00000000-0005-0000-0000-0000C90A0000}"/>
    <cellStyle name="강조색4 5" xfId="109" xr:uid="{00000000-0005-0000-0000-00006D000000}"/>
    <cellStyle name="강조색4 6" xfId="110" xr:uid="{00000000-0005-0000-0000-00006E000000}"/>
    <cellStyle name="강조색4 6 2" xfId="2762" xr:uid="{00000000-0005-0000-0000-0000CA0A0000}"/>
    <cellStyle name="강조색4 7" xfId="259" xr:uid="{00000000-0005-0000-0000-000003010000}"/>
    <cellStyle name="강조색5 2" xfId="111" xr:uid="{00000000-0005-0000-0000-00006F000000}"/>
    <cellStyle name="강조색5 2 2" xfId="2763" xr:uid="{00000000-0005-0000-0000-0000CB0A0000}"/>
    <cellStyle name="강조색5 2 3" xfId="5838" xr:uid="{00000000-0005-0000-0000-0000CE160000}"/>
    <cellStyle name="강조색5 3" xfId="112" xr:uid="{00000000-0005-0000-0000-000070000000}"/>
    <cellStyle name="강조색5 3 2" xfId="2764" xr:uid="{00000000-0005-0000-0000-0000CC0A0000}"/>
    <cellStyle name="강조색5 4" xfId="113" xr:uid="{00000000-0005-0000-0000-000071000000}"/>
    <cellStyle name="강조색5 4 2" xfId="2765" xr:uid="{00000000-0005-0000-0000-0000CD0A0000}"/>
    <cellStyle name="강조색5 5" xfId="114" xr:uid="{00000000-0005-0000-0000-000072000000}"/>
    <cellStyle name="강조색5 6" xfId="115" xr:uid="{00000000-0005-0000-0000-000073000000}"/>
    <cellStyle name="강조색5 6 2" xfId="2766" xr:uid="{00000000-0005-0000-0000-0000CE0A0000}"/>
    <cellStyle name="강조색5 7" xfId="260" xr:uid="{00000000-0005-0000-0000-000004010000}"/>
    <cellStyle name="강조색6 2" xfId="116" xr:uid="{00000000-0005-0000-0000-000074000000}"/>
    <cellStyle name="강조색6 2 2" xfId="2768" xr:uid="{00000000-0005-0000-0000-0000D00A0000}"/>
    <cellStyle name="강조색6 2 3" xfId="5839" xr:uid="{00000000-0005-0000-0000-0000CF160000}"/>
    <cellStyle name="강조색6 3" xfId="117" xr:uid="{00000000-0005-0000-0000-000075000000}"/>
    <cellStyle name="강조색6 3 2" xfId="2769" xr:uid="{00000000-0005-0000-0000-0000D10A0000}"/>
    <cellStyle name="강조색6 4" xfId="118" xr:uid="{00000000-0005-0000-0000-000076000000}"/>
    <cellStyle name="강조색6 4 2" xfId="2770" xr:uid="{00000000-0005-0000-0000-0000D20A0000}"/>
    <cellStyle name="강조색6 5" xfId="119" xr:uid="{00000000-0005-0000-0000-000077000000}"/>
    <cellStyle name="강조색6 6" xfId="120" xr:uid="{00000000-0005-0000-0000-000078000000}"/>
    <cellStyle name="강조색6 6 2" xfId="2771" xr:uid="{00000000-0005-0000-0000-0000D30A0000}"/>
    <cellStyle name="강조색6 7" xfId="261" xr:uid="{00000000-0005-0000-0000-000005010000}"/>
    <cellStyle name="检查单元格" xfId="3723" xr:uid="{00000000-0005-0000-0000-00008B0E0000}"/>
    <cellStyle name="检查单元格 10" xfId="3724" xr:uid="{00000000-0005-0000-0000-00008C0E0000}"/>
    <cellStyle name="检查单元格 10 2" xfId="5933" xr:uid="{00000000-0005-0000-0000-00002D170000}"/>
    <cellStyle name="检查单元格 11" xfId="3725" xr:uid="{00000000-0005-0000-0000-00008D0E0000}"/>
    <cellStyle name="检查单元格 11 2" xfId="5934" xr:uid="{00000000-0005-0000-0000-00002E170000}"/>
    <cellStyle name="检查单元格 12" xfId="3726" xr:uid="{00000000-0005-0000-0000-00008E0E0000}"/>
    <cellStyle name="检查单元格 12 2" xfId="5935" xr:uid="{00000000-0005-0000-0000-00002F170000}"/>
    <cellStyle name="检查单元格 13" xfId="3727" xr:uid="{00000000-0005-0000-0000-00008F0E0000}"/>
    <cellStyle name="检查单元格 13 2" xfId="5936" xr:uid="{00000000-0005-0000-0000-000030170000}"/>
    <cellStyle name="检查单元格 14" xfId="3728" xr:uid="{00000000-0005-0000-0000-0000900E0000}"/>
    <cellStyle name="检查单元格 14 2" xfId="5937" xr:uid="{00000000-0005-0000-0000-000031170000}"/>
    <cellStyle name="检查单元格 15" xfId="3729" xr:uid="{00000000-0005-0000-0000-0000910E0000}"/>
    <cellStyle name="检查单元格 15 2" xfId="5938" xr:uid="{00000000-0005-0000-0000-000032170000}"/>
    <cellStyle name="检查单元格 16" xfId="3730" xr:uid="{00000000-0005-0000-0000-0000920E0000}"/>
    <cellStyle name="检查单元格 16 2" xfId="5939" xr:uid="{00000000-0005-0000-0000-000033170000}"/>
    <cellStyle name="检查单元格 17" xfId="3731" xr:uid="{00000000-0005-0000-0000-0000930E0000}"/>
    <cellStyle name="检查单元格 17 2" xfId="5940" xr:uid="{00000000-0005-0000-0000-000034170000}"/>
    <cellStyle name="检查单元格 18" xfId="3732" xr:uid="{00000000-0005-0000-0000-0000940E0000}"/>
    <cellStyle name="检查单元格 18 2" xfId="5941" xr:uid="{00000000-0005-0000-0000-000035170000}"/>
    <cellStyle name="检查单元格 19" xfId="5942" xr:uid="{00000000-0005-0000-0000-000036170000}"/>
    <cellStyle name="检查单元格 2" xfId="3733" xr:uid="{00000000-0005-0000-0000-0000950E0000}"/>
    <cellStyle name="检查单元格 2 2" xfId="5943" xr:uid="{00000000-0005-0000-0000-000037170000}"/>
    <cellStyle name="检查单元格 3" xfId="3734" xr:uid="{00000000-0005-0000-0000-0000960E0000}"/>
    <cellStyle name="检查单元格 3 2" xfId="5944" xr:uid="{00000000-0005-0000-0000-000038170000}"/>
    <cellStyle name="检查单元格 4" xfId="3735" xr:uid="{00000000-0005-0000-0000-0000970E0000}"/>
    <cellStyle name="检查单元格 4 2" xfId="5945" xr:uid="{00000000-0005-0000-0000-000039170000}"/>
    <cellStyle name="检查单元格 5" xfId="3736" xr:uid="{00000000-0005-0000-0000-0000980E0000}"/>
    <cellStyle name="检查单元格 5 2" xfId="5946" xr:uid="{00000000-0005-0000-0000-00003A170000}"/>
    <cellStyle name="检查单元格 6" xfId="3737" xr:uid="{00000000-0005-0000-0000-0000990E0000}"/>
    <cellStyle name="检查单元格 6 2" xfId="5947" xr:uid="{00000000-0005-0000-0000-00003B170000}"/>
    <cellStyle name="检查单元格 7" xfId="3738" xr:uid="{00000000-0005-0000-0000-00009A0E0000}"/>
    <cellStyle name="检查单元格 7 2" xfId="5948" xr:uid="{00000000-0005-0000-0000-00003C170000}"/>
    <cellStyle name="检查单元格 8" xfId="3739" xr:uid="{00000000-0005-0000-0000-00009B0E0000}"/>
    <cellStyle name="检查单元格 8 2" xfId="5949" xr:uid="{00000000-0005-0000-0000-00003D170000}"/>
    <cellStyle name="检查单元格 9" xfId="3740" xr:uid="{00000000-0005-0000-0000-00009C0E0000}"/>
    <cellStyle name="检查单元格 9 2" xfId="5950" xr:uid="{00000000-0005-0000-0000-00003E170000}"/>
    <cellStyle name="경고문 2" xfId="121" xr:uid="{00000000-0005-0000-0000-000079000000}"/>
    <cellStyle name="경고문 2 2" xfId="2881" xr:uid="{00000000-0005-0000-0000-0000410B0000}"/>
    <cellStyle name="경고문 2 3" xfId="5840" xr:uid="{00000000-0005-0000-0000-0000D0160000}"/>
    <cellStyle name="경고문 2 4" xfId="2880" xr:uid="{00000000-0005-0000-0000-0000400B0000}"/>
    <cellStyle name="경고문 3" xfId="122" xr:uid="{00000000-0005-0000-0000-00007A000000}"/>
    <cellStyle name="경고문 3 2" xfId="2882" xr:uid="{00000000-0005-0000-0000-0000420B0000}"/>
    <cellStyle name="경고문 3 3" xfId="7091" xr:uid="{00000000-0005-0000-0000-0000B31B0000}"/>
    <cellStyle name="경고문 4" xfId="123" xr:uid="{00000000-0005-0000-0000-00007B000000}"/>
    <cellStyle name="경고문 4 2" xfId="2883" xr:uid="{00000000-0005-0000-0000-0000430B0000}"/>
    <cellStyle name="경고문 4 3" xfId="7092" xr:uid="{00000000-0005-0000-0000-0000B41B0000}"/>
    <cellStyle name="경고문 5" xfId="124" xr:uid="{00000000-0005-0000-0000-00007C000000}"/>
    <cellStyle name="경고문 5 2" xfId="2884" xr:uid="{00000000-0005-0000-0000-0000440B0000}"/>
    <cellStyle name="경고문 6" xfId="125" xr:uid="{00000000-0005-0000-0000-00007D000000}"/>
    <cellStyle name="경고문 6 2" xfId="2885" xr:uid="{00000000-0005-0000-0000-0000450B0000}"/>
    <cellStyle name="경고문 6 3" xfId="7093" xr:uid="{00000000-0005-0000-0000-0000B51B0000}"/>
    <cellStyle name="경고문 7" xfId="262" xr:uid="{00000000-0005-0000-0000-000006010000}"/>
    <cellStyle name="警告文本" xfId="2886" xr:uid="{00000000-0005-0000-0000-0000460B0000}"/>
    <cellStyle name="警告文本 10" xfId="2887" xr:uid="{00000000-0005-0000-0000-0000470B0000}"/>
    <cellStyle name="警告文本 11" xfId="2888" xr:uid="{00000000-0005-0000-0000-0000480B0000}"/>
    <cellStyle name="警告文本 12" xfId="2889" xr:uid="{00000000-0005-0000-0000-0000490B0000}"/>
    <cellStyle name="警告文本 13" xfId="2890" xr:uid="{00000000-0005-0000-0000-00004A0B0000}"/>
    <cellStyle name="警告文本 14" xfId="2891" xr:uid="{00000000-0005-0000-0000-00004B0B0000}"/>
    <cellStyle name="警告文本 15" xfId="2892" xr:uid="{00000000-0005-0000-0000-00004C0B0000}"/>
    <cellStyle name="警告文本 16" xfId="2893" xr:uid="{00000000-0005-0000-0000-00004D0B0000}"/>
    <cellStyle name="警告文本 17" xfId="2894" xr:uid="{00000000-0005-0000-0000-00004E0B0000}"/>
    <cellStyle name="警告文本 18" xfId="2895" xr:uid="{00000000-0005-0000-0000-00004F0B0000}"/>
    <cellStyle name="警告文本 2" xfId="2896" xr:uid="{00000000-0005-0000-0000-0000500B0000}"/>
    <cellStyle name="警告文本 3" xfId="2897" xr:uid="{00000000-0005-0000-0000-0000510B0000}"/>
    <cellStyle name="警告文本 4" xfId="2898" xr:uid="{00000000-0005-0000-0000-0000520B0000}"/>
    <cellStyle name="警告文本 5" xfId="2899" xr:uid="{00000000-0005-0000-0000-0000530B0000}"/>
    <cellStyle name="警告文本 6" xfId="2900" xr:uid="{00000000-0005-0000-0000-0000540B0000}"/>
    <cellStyle name="警告文本 7" xfId="2901" xr:uid="{00000000-0005-0000-0000-0000550B0000}"/>
    <cellStyle name="警告文本 8" xfId="2902" xr:uid="{00000000-0005-0000-0000-0000560B0000}"/>
    <cellStyle name="警告文本 9" xfId="2903" xr:uid="{00000000-0005-0000-0000-0000570B0000}"/>
    <cellStyle name="计算" xfId="3761" xr:uid="{00000000-0005-0000-0000-0000B10E0000}"/>
    <cellStyle name="계산 10" xfId="6080" xr:uid="{00000000-0005-0000-0000-0000C0170000}"/>
    <cellStyle name="计算 10" xfId="3762" xr:uid="{00000000-0005-0000-0000-0000B20E0000}"/>
    <cellStyle name="계산 10 2" xfId="7134" xr:uid="{00000000-0005-0000-0000-0000DE1B0000}"/>
    <cellStyle name="计算 10 2" xfId="5969" xr:uid="{00000000-0005-0000-0000-000051170000}"/>
    <cellStyle name="计算 10 2 2" xfId="6741" xr:uid="{00000000-0005-0000-0000-0000551A0000}"/>
    <cellStyle name="计算 10 2 2 2" xfId="7589" xr:uid="{00000000-0005-0000-0000-0000A51D0000}"/>
    <cellStyle name="计算 10 2 3" xfId="6867" xr:uid="{00000000-0005-0000-0000-0000D31A0000}"/>
    <cellStyle name="计算 10 2 3 2" xfId="7715" xr:uid="{00000000-0005-0000-0000-0000231E0000}"/>
    <cellStyle name="计算 10 2 4" xfId="6993" xr:uid="{00000000-0005-0000-0000-0000511B0000}"/>
    <cellStyle name="计算 10 2 4 2" xfId="7840" xr:uid="{00000000-0005-0000-0000-0000A01E0000}"/>
    <cellStyle name="计算 10 2 5" xfId="6569" xr:uid="{00000000-0005-0000-0000-0000A9190000}"/>
    <cellStyle name="계산 10 3" xfId="7943" xr:uid="{00000000-0005-0000-0000-0000071F0000}"/>
    <cellStyle name="计算 10 3" xfId="6379" xr:uid="{00000000-0005-0000-0000-0000EB180000}"/>
    <cellStyle name="计算 10 3 2" xfId="7332" xr:uid="{00000000-0005-0000-0000-0000A41C0000}"/>
    <cellStyle name="계산 10 4" xfId="8086" xr:uid="{00000000-0005-0000-0000-0000961F0000}"/>
    <cellStyle name="计算 10 4" xfId="6226" xr:uid="{00000000-0005-0000-0000-000052180000}"/>
    <cellStyle name="计算 10 4 2" xfId="7238" xr:uid="{00000000-0005-0000-0000-0000461C0000}"/>
    <cellStyle name="계산 10 5" xfId="8034" xr:uid="{00000000-0005-0000-0000-0000621F0000}"/>
    <cellStyle name="计算 10 5" xfId="6503" xr:uid="{00000000-0005-0000-0000-000067190000}"/>
    <cellStyle name="计算 10 5 2" xfId="7447" xr:uid="{00000000-0005-0000-0000-0000171D0000}"/>
    <cellStyle name="计算 10 6" xfId="6663" xr:uid="{00000000-0005-0000-0000-0000071A0000}"/>
    <cellStyle name="计算 10 7" xfId="7924" xr:uid="{00000000-0005-0000-0000-0000F41E0000}"/>
    <cellStyle name="计算 10 8" xfId="8054" xr:uid="{00000000-0005-0000-0000-0000761F0000}"/>
    <cellStyle name="计算 10 9" xfId="8074" xr:uid="{00000000-0005-0000-0000-00008A1F0000}"/>
    <cellStyle name="계산 11" xfId="6649" xr:uid="{00000000-0005-0000-0000-0000F9190000}"/>
    <cellStyle name="计算 11" xfId="3763" xr:uid="{00000000-0005-0000-0000-0000B30E0000}"/>
    <cellStyle name="계산 11 2" xfId="7517" xr:uid="{00000000-0005-0000-0000-00005D1D0000}"/>
    <cellStyle name="计算 11 2" xfId="5970" xr:uid="{00000000-0005-0000-0000-000052170000}"/>
    <cellStyle name="计算 11 2 2" xfId="6742" xr:uid="{00000000-0005-0000-0000-0000561A0000}"/>
    <cellStyle name="计算 11 2 2 2" xfId="7590" xr:uid="{00000000-0005-0000-0000-0000A61D0000}"/>
    <cellStyle name="计算 11 2 3" xfId="6868" xr:uid="{00000000-0005-0000-0000-0000D41A0000}"/>
    <cellStyle name="计算 11 2 3 2" xfId="7716" xr:uid="{00000000-0005-0000-0000-0000241E0000}"/>
    <cellStyle name="计算 11 2 4" xfId="6994" xr:uid="{00000000-0005-0000-0000-0000521B0000}"/>
    <cellStyle name="计算 11 2 4 2" xfId="7841" xr:uid="{00000000-0005-0000-0000-0000A11E0000}"/>
    <cellStyle name="计算 11 2 5" xfId="6570" xr:uid="{00000000-0005-0000-0000-0000AA190000}"/>
    <cellStyle name="계산 11 3" xfId="7966" xr:uid="{00000000-0005-0000-0000-00001E1F0000}"/>
    <cellStyle name="计算 11 3" xfId="6380" xr:uid="{00000000-0005-0000-0000-0000EC180000}"/>
    <cellStyle name="计算 11 3 2" xfId="7333" xr:uid="{00000000-0005-0000-0000-0000A51C0000}"/>
    <cellStyle name="계산 11 4" xfId="8111" xr:uid="{00000000-0005-0000-0000-0000AF1F0000}"/>
    <cellStyle name="计算 11 4" xfId="6225" xr:uid="{00000000-0005-0000-0000-000051180000}"/>
    <cellStyle name="计算 11 4 2" xfId="7237" xr:uid="{00000000-0005-0000-0000-0000451C0000}"/>
    <cellStyle name="계산 11 5" xfId="8050" xr:uid="{00000000-0005-0000-0000-0000721F0000}"/>
    <cellStyle name="计算 11 5" xfId="6504" xr:uid="{00000000-0005-0000-0000-000068190000}"/>
    <cellStyle name="计算 11 5 2" xfId="7448" xr:uid="{00000000-0005-0000-0000-0000181D0000}"/>
    <cellStyle name="计算 11 6" xfId="6284" xr:uid="{00000000-0005-0000-0000-00008C180000}"/>
    <cellStyle name="计算 11 7" xfId="7925" xr:uid="{00000000-0005-0000-0000-0000F51E0000}"/>
    <cellStyle name="计算 11 8" xfId="8055" xr:uid="{00000000-0005-0000-0000-0000771F0000}"/>
    <cellStyle name="计算 11 9" xfId="8073" xr:uid="{00000000-0005-0000-0000-0000891F0000}"/>
    <cellStyle name="계산 12" xfId="6493" xr:uid="{00000000-0005-0000-0000-00005D190000}"/>
    <cellStyle name="计算 12" xfId="3764" xr:uid="{00000000-0005-0000-0000-0000B40E0000}"/>
    <cellStyle name="计算 12 2" xfId="5971" xr:uid="{00000000-0005-0000-0000-000053170000}"/>
    <cellStyle name="计算 12 2 2" xfId="6743" xr:uid="{00000000-0005-0000-0000-0000571A0000}"/>
    <cellStyle name="计算 12 2 2 2" xfId="7591" xr:uid="{00000000-0005-0000-0000-0000A71D0000}"/>
    <cellStyle name="计算 12 2 3" xfId="6869" xr:uid="{00000000-0005-0000-0000-0000D51A0000}"/>
    <cellStyle name="计算 12 2 3 2" xfId="7717" xr:uid="{00000000-0005-0000-0000-0000251E0000}"/>
    <cellStyle name="计算 12 2 4" xfId="6995" xr:uid="{00000000-0005-0000-0000-0000531B0000}"/>
    <cellStyle name="计算 12 2 4 2" xfId="7842" xr:uid="{00000000-0005-0000-0000-0000A21E0000}"/>
    <cellStyle name="计算 12 2 5" xfId="6571" xr:uid="{00000000-0005-0000-0000-0000AB190000}"/>
    <cellStyle name="计算 12 3" xfId="6381" xr:uid="{00000000-0005-0000-0000-0000ED180000}"/>
    <cellStyle name="计算 12 3 2" xfId="7334" xr:uid="{00000000-0005-0000-0000-0000A61C0000}"/>
    <cellStyle name="计算 12 4" xfId="6224" xr:uid="{00000000-0005-0000-0000-000050180000}"/>
    <cellStyle name="计算 12 4 2" xfId="7236" xr:uid="{00000000-0005-0000-0000-0000441C0000}"/>
    <cellStyle name="计算 12 5" xfId="6505" xr:uid="{00000000-0005-0000-0000-000069190000}"/>
    <cellStyle name="计算 12 5 2" xfId="7449" xr:uid="{00000000-0005-0000-0000-0000191D0000}"/>
    <cellStyle name="计算 12 6" xfId="6285" xr:uid="{00000000-0005-0000-0000-00008D180000}"/>
    <cellStyle name="계산 13" xfId="6344" xr:uid="{00000000-0005-0000-0000-0000C8180000}"/>
    <cellStyle name="计算 13" xfId="3765" xr:uid="{00000000-0005-0000-0000-0000B50E0000}"/>
    <cellStyle name="계산 13 2" xfId="7312" xr:uid="{00000000-0005-0000-0000-0000901C0000}"/>
    <cellStyle name="计算 13 2" xfId="5972" xr:uid="{00000000-0005-0000-0000-000054170000}"/>
    <cellStyle name="计算 13 2 2" xfId="6744" xr:uid="{00000000-0005-0000-0000-0000581A0000}"/>
    <cellStyle name="计算 13 2 2 2" xfId="7592" xr:uid="{00000000-0005-0000-0000-0000A81D0000}"/>
    <cellStyle name="计算 13 2 3" xfId="6870" xr:uid="{00000000-0005-0000-0000-0000D61A0000}"/>
    <cellStyle name="计算 13 2 3 2" xfId="7718" xr:uid="{00000000-0005-0000-0000-0000261E0000}"/>
    <cellStyle name="计算 13 2 4" xfId="6996" xr:uid="{00000000-0005-0000-0000-0000541B0000}"/>
    <cellStyle name="计算 13 2 4 2" xfId="7843" xr:uid="{00000000-0005-0000-0000-0000A31E0000}"/>
    <cellStyle name="计算 13 2 5" xfId="6572" xr:uid="{00000000-0005-0000-0000-0000AC190000}"/>
    <cellStyle name="계산 13 3" xfId="7953" xr:uid="{00000000-0005-0000-0000-0000111F0000}"/>
    <cellStyle name="计算 13 3" xfId="6382" xr:uid="{00000000-0005-0000-0000-0000EE180000}"/>
    <cellStyle name="计算 13 3 2" xfId="7335" xr:uid="{00000000-0005-0000-0000-0000A71C0000}"/>
    <cellStyle name="계산 13 4" xfId="8098" xr:uid="{00000000-0005-0000-0000-0000A21F0000}"/>
    <cellStyle name="计算 13 4" xfId="6223" xr:uid="{00000000-0005-0000-0000-00004F180000}"/>
    <cellStyle name="计算 13 4 2" xfId="7235" xr:uid="{00000000-0005-0000-0000-0000431C0000}"/>
    <cellStyle name="계산 13 5" xfId="8029" xr:uid="{00000000-0005-0000-0000-00005D1F0000}"/>
    <cellStyle name="计算 13 5" xfId="6506" xr:uid="{00000000-0005-0000-0000-00006A190000}"/>
    <cellStyle name="计算 13 5 2" xfId="7450" xr:uid="{00000000-0005-0000-0000-00001A1D0000}"/>
    <cellStyle name="计算 13 6" xfId="6286" xr:uid="{00000000-0005-0000-0000-00008E180000}"/>
    <cellStyle name="计算 13 7" xfId="7926" xr:uid="{00000000-0005-0000-0000-0000F61E0000}"/>
    <cellStyle name="计算 13 8" xfId="8056" xr:uid="{00000000-0005-0000-0000-0000781F0000}"/>
    <cellStyle name="计算 13 9" xfId="8072" xr:uid="{00000000-0005-0000-0000-0000881F0000}"/>
    <cellStyle name="계산 14" xfId="7071" xr:uid="{00000000-0005-0000-0000-00009F1B0000}"/>
    <cellStyle name="计算 14" xfId="3766" xr:uid="{00000000-0005-0000-0000-0000B60E0000}"/>
    <cellStyle name="计算 14 2" xfId="5973" xr:uid="{00000000-0005-0000-0000-000055170000}"/>
    <cellStyle name="计算 14 2 2" xfId="6745" xr:uid="{00000000-0005-0000-0000-0000591A0000}"/>
    <cellStyle name="计算 14 2 2 2" xfId="7593" xr:uid="{00000000-0005-0000-0000-0000A91D0000}"/>
    <cellStyle name="计算 14 2 3" xfId="6871" xr:uid="{00000000-0005-0000-0000-0000D71A0000}"/>
    <cellStyle name="计算 14 2 3 2" xfId="7719" xr:uid="{00000000-0005-0000-0000-0000271E0000}"/>
    <cellStyle name="计算 14 2 4" xfId="6997" xr:uid="{00000000-0005-0000-0000-0000551B0000}"/>
    <cellStyle name="计算 14 2 4 2" xfId="7844" xr:uid="{00000000-0005-0000-0000-0000A41E0000}"/>
    <cellStyle name="计算 14 2 5" xfId="6573" xr:uid="{00000000-0005-0000-0000-0000AD190000}"/>
    <cellStyle name="计算 14 3" xfId="6383" xr:uid="{00000000-0005-0000-0000-0000EF180000}"/>
    <cellStyle name="计算 14 3 2" xfId="7336" xr:uid="{00000000-0005-0000-0000-0000A81C0000}"/>
    <cellStyle name="计算 14 4" xfId="6222" xr:uid="{00000000-0005-0000-0000-00004E180000}"/>
    <cellStyle name="计算 14 4 2" xfId="7234" xr:uid="{00000000-0005-0000-0000-0000421C0000}"/>
    <cellStyle name="计算 14 5" xfId="6507" xr:uid="{00000000-0005-0000-0000-00006B190000}"/>
    <cellStyle name="计算 14 5 2" xfId="7451" xr:uid="{00000000-0005-0000-0000-00001B1D0000}"/>
    <cellStyle name="计算 14 6" xfId="6287" xr:uid="{00000000-0005-0000-0000-00008F180000}"/>
    <cellStyle name="计算 15" xfId="3767" xr:uid="{00000000-0005-0000-0000-0000B70E0000}"/>
    <cellStyle name="计算 15 2" xfId="5974" xr:uid="{00000000-0005-0000-0000-000056170000}"/>
    <cellStyle name="计算 15 2 2" xfId="6746" xr:uid="{00000000-0005-0000-0000-00005A1A0000}"/>
    <cellStyle name="计算 15 2 2 2" xfId="7594" xr:uid="{00000000-0005-0000-0000-0000AA1D0000}"/>
    <cellStyle name="计算 15 2 3" xfId="6872" xr:uid="{00000000-0005-0000-0000-0000D81A0000}"/>
    <cellStyle name="计算 15 2 3 2" xfId="7720" xr:uid="{00000000-0005-0000-0000-0000281E0000}"/>
    <cellStyle name="计算 15 2 4" xfId="6998" xr:uid="{00000000-0005-0000-0000-0000561B0000}"/>
    <cellStyle name="计算 15 2 4 2" xfId="7845" xr:uid="{00000000-0005-0000-0000-0000A51E0000}"/>
    <cellStyle name="计算 15 2 5" xfId="6574" xr:uid="{00000000-0005-0000-0000-0000AE190000}"/>
    <cellStyle name="计算 15 3" xfId="6384" xr:uid="{00000000-0005-0000-0000-0000F0180000}"/>
    <cellStyle name="计算 15 3 2" xfId="7337" xr:uid="{00000000-0005-0000-0000-0000A91C0000}"/>
    <cellStyle name="计算 15 4" xfId="6221" xr:uid="{00000000-0005-0000-0000-00004D180000}"/>
    <cellStyle name="计算 15 4 2" xfId="7233" xr:uid="{00000000-0005-0000-0000-0000411C0000}"/>
    <cellStyle name="计算 15 5" xfId="6508" xr:uid="{00000000-0005-0000-0000-00006C190000}"/>
    <cellStyle name="计算 15 5 2" xfId="7452" xr:uid="{00000000-0005-0000-0000-00001C1D0000}"/>
    <cellStyle name="计算 15 6" xfId="6288" xr:uid="{00000000-0005-0000-0000-000090180000}"/>
    <cellStyle name="计算 16" xfId="3768" xr:uid="{00000000-0005-0000-0000-0000B80E0000}"/>
    <cellStyle name="计算 16 2" xfId="5975" xr:uid="{00000000-0005-0000-0000-000057170000}"/>
    <cellStyle name="计算 16 2 2" xfId="6747" xr:uid="{00000000-0005-0000-0000-00005B1A0000}"/>
    <cellStyle name="计算 16 2 2 2" xfId="7595" xr:uid="{00000000-0005-0000-0000-0000AB1D0000}"/>
    <cellStyle name="计算 16 2 3" xfId="6873" xr:uid="{00000000-0005-0000-0000-0000D91A0000}"/>
    <cellStyle name="计算 16 2 3 2" xfId="7721" xr:uid="{00000000-0005-0000-0000-0000291E0000}"/>
    <cellStyle name="计算 16 2 4" xfId="6999" xr:uid="{00000000-0005-0000-0000-0000571B0000}"/>
    <cellStyle name="计算 16 2 4 2" xfId="7846" xr:uid="{00000000-0005-0000-0000-0000A61E0000}"/>
    <cellStyle name="计算 16 2 5" xfId="6575" xr:uid="{00000000-0005-0000-0000-0000AF190000}"/>
    <cellStyle name="计算 16 3" xfId="6385" xr:uid="{00000000-0005-0000-0000-0000F1180000}"/>
    <cellStyle name="计算 16 3 2" xfId="7338" xr:uid="{00000000-0005-0000-0000-0000AA1C0000}"/>
    <cellStyle name="计算 16 4" xfId="6220" xr:uid="{00000000-0005-0000-0000-00004C180000}"/>
    <cellStyle name="计算 16 4 2" xfId="7232" xr:uid="{00000000-0005-0000-0000-0000401C0000}"/>
    <cellStyle name="计算 16 5" xfId="6509" xr:uid="{00000000-0005-0000-0000-00006D190000}"/>
    <cellStyle name="计算 16 5 2" xfId="7453" xr:uid="{00000000-0005-0000-0000-00001D1D0000}"/>
    <cellStyle name="计算 16 6" xfId="6289" xr:uid="{00000000-0005-0000-0000-000091180000}"/>
    <cellStyle name="计算 17" xfId="3769" xr:uid="{00000000-0005-0000-0000-0000B90E0000}"/>
    <cellStyle name="计算 17 2" xfId="5976" xr:uid="{00000000-0005-0000-0000-000058170000}"/>
    <cellStyle name="计算 17 2 2" xfId="6748" xr:uid="{00000000-0005-0000-0000-00005C1A0000}"/>
    <cellStyle name="计算 17 2 2 2" xfId="7596" xr:uid="{00000000-0005-0000-0000-0000AC1D0000}"/>
    <cellStyle name="计算 17 2 3" xfId="6874" xr:uid="{00000000-0005-0000-0000-0000DA1A0000}"/>
    <cellStyle name="计算 17 2 3 2" xfId="7722" xr:uid="{00000000-0005-0000-0000-00002A1E0000}"/>
    <cellStyle name="计算 17 2 4" xfId="7000" xr:uid="{00000000-0005-0000-0000-0000581B0000}"/>
    <cellStyle name="计算 17 2 4 2" xfId="7847" xr:uid="{00000000-0005-0000-0000-0000A71E0000}"/>
    <cellStyle name="计算 17 2 5" xfId="6576" xr:uid="{00000000-0005-0000-0000-0000B0190000}"/>
    <cellStyle name="计算 17 3" xfId="6386" xr:uid="{00000000-0005-0000-0000-0000F2180000}"/>
    <cellStyle name="计算 17 3 2" xfId="7339" xr:uid="{00000000-0005-0000-0000-0000AB1C0000}"/>
    <cellStyle name="计算 17 4" xfId="6219" xr:uid="{00000000-0005-0000-0000-00004B180000}"/>
    <cellStyle name="计算 17 4 2" xfId="7231" xr:uid="{00000000-0005-0000-0000-00003F1C0000}"/>
    <cellStyle name="计算 17 5" xfId="6510" xr:uid="{00000000-0005-0000-0000-00006E190000}"/>
    <cellStyle name="计算 17 5 2" xfId="7454" xr:uid="{00000000-0005-0000-0000-00001E1D0000}"/>
    <cellStyle name="计算 17 6" xfId="6290" xr:uid="{00000000-0005-0000-0000-000092180000}"/>
    <cellStyle name="计算 18" xfId="3770" xr:uid="{00000000-0005-0000-0000-0000BA0E0000}"/>
    <cellStyle name="计算 18 2" xfId="5977" xr:uid="{00000000-0005-0000-0000-000059170000}"/>
    <cellStyle name="计算 18 2 2" xfId="6749" xr:uid="{00000000-0005-0000-0000-00005D1A0000}"/>
    <cellStyle name="计算 18 2 2 2" xfId="7597" xr:uid="{00000000-0005-0000-0000-0000AD1D0000}"/>
    <cellStyle name="计算 18 2 3" xfId="6875" xr:uid="{00000000-0005-0000-0000-0000DB1A0000}"/>
    <cellStyle name="计算 18 2 3 2" xfId="7723" xr:uid="{00000000-0005-0000-0000-00002B1E0000}"/>
    <cellStyle name="计算 18 2 4" xfId="7001" xr:uid="{00000000-0005-0000-0000-0000591B0000}"/>
    <cellStyle name="计算 18 2 4 2" xfId="7848" xr:uid="{00000000-0005-0000-0000-0000A81E0000}"/>
    <cellStyle name="计算 18 2 5" xfId="6577" xr:uid="{00000000-0005-0000-0000-0000B1190000}"/>
    <cellStyle name="计算 18 3" xfId="6387" xr:uid="{00000000-0005-0000-0000-0000F3180000}"/>
    <cellStyle name="计算 18 3 2" xfId="7340" xr:uid="{00000000-0005-0000-0000-0000AC1C0000}"/>
    <cellStyle name="计算 18 4" xfId="6218" xr:uid="{00000000-0005-0000-0000-00004A180000}"/>
    <cellStyle name="计算 18 4 2" xfId="7230" xr:uid="{00000000-0005-0000-0000-00003E1C0000}"/>
    <cellStyle name="计算 18 5" xfId="6511" xr:uid="{00000000-0005-0000-0000-00006F190000}"/>
    <cellStyle name="计算 18 5 2" xfId="7455" xr:uid="{00000000-0005-0000-0000-00001F1D0000}"/>
    <cellStyle name="计算 18 6" xfId="6291" xr:uid="{00000000-0005-0000-0000-000093180000}"/>
    <cellStyle name="计算 19" xfId="5978" xr:uid="{00000000-0005-0000-0000-00005A170000}"/>
    <cellStyle name="计算 19 2" xfId="6750" xr:uid="{00000000-0005-0000-0000-00005E1A0000}"/>
    <cellStyle name="计算 19 2 2" xfId="7598" xr:uid="{00000000-0005-0000-0000-0000AE1D0000}"/>
    <cellStyle name="计算 19 3" xfId="6876" xr:uid="{00000000-0005-0000-0000-0000DC1A0000}"/>
    <cellStyle name="计算 19 3 2" xfId="7724" xr:uid="{00000000-0005-0000-0000-00002C1E0000}"/>
    <cellStyle name="计算 19 4" xfId="7002" xr:uid="{00000000-0005-0000-0000-00005A1B0000}"/>
    <cellStyle name="计算 19 4 2" xfId="7849" xr:uid="{00000000-0005-0000-0000-0000A91E0000}"/>
    <cellStyle name="计算 19 5" xfId="6578" xr:uid="{00000000-0005-0000-0000-0000B2190000}"/>
    <cellStyle name="계산 2" xfId="126" xr:uid="{00000000-0005-0000-0000-00007E000000}"/>
    <cellStyle name="计算 2" xfId="3771" xr:uid="{00000000-0005-0000-0000-0000BB0E0000}"/>
    <cellStyle name="계산 2 10" xfId="6343" xr:uid="{00000000-0005-0000-0000-0000C7180000}"/>
    <cellStyle name="计算 2 10" xfId="7927" xr:uid="{00000000-0005-0000-0000-0000F71E0000}"/>
    <cellStyle name="계산 2 10 2" xfId="7311" xr:uid="{00000000-0005-0000-0000-00008F1C0000}"/>
    <cellStyle name="계산 2 10 3" xfId="8097" xr:uid="{00000000-0005-0000-0000-0000A11F0000}"/>
    <cellStyle name="계산 2 10 4" xfId="8030" xr:uid="{00000000-0005-0000-0000-00005E1F0000}"/>
    <cellStyle name="계산 2 11" xfId="7072" xr:uid="{00000000-0005-0000-0000-0000A01B0000}"/>
    <cellStyle name="计算 2 11" xfId="8057" xr:uid="{00000000-0005-0000-0000-0000791F0000}"/>
    <cellStyle name="계산 2 12" xfId="7906" xr:uid="{00000000-0005-0000-0000-0000E21E0000}"/>
    <cellStyle name="计算 2 12" xfId="8071" xr:uid="{00000000-0005-0000-0000-0000871F0000}"/>
    <cellStyle name="계산 2 13" xfId="7997" xr:uid="{00000000-0005-0000-0000-00003D1F0000}"/>
    <cellStyle name="계산 2 14" xfId="8137" xr:uid="{00000000-0005-0000-0000-0000C91F0000}"/>
    <cellStyle name="계산 2 2" xfId="2906" xr:uid="{00000000-0005-0000-0000-00005A0B0000}"/>
    <cellStyle name="计算 2 2" xfId="5979" xr:uid="{00000000-0005-0000-0000-00005B170000}"/>
    <cellStyle name="计算 2 2 2" xfId="6751" xr:uid="{00000000-0005-0000-0000-00005F1A0000}"/>
    <cellStyle name="计算 2 2 2 2" xfId="7599" xr:uid="{00000000-0005-0000-0000-0000AF1D0000}"/>
    <cellStyle name="计算 2 2 3" xfId="6877" xr:uid="{00000000-0005-0000-0000-0000DD1A0000}"/>
    <cellStyle name="计算 2 2 3 2" xfId="7725" xr:uid="{00000000-0005-0000-0000-00002D1E0000}"/>
    <cellStyle name="计算 2 2 4" xfId="7003" xr:uid="{00000000-0005-0000-0000-00005B1B0000}"/>
    <cellStyle name="计算 2 2 4 2" xfId="7850" xr:uid="{00000000-0005-0000-0000-0000AA1E0000}"/>
    <cellStyle name="计算 2 2 5" xfId="6579" xr:uid="{00000000-0005-0000-0000-0000B3190000}"/>
    <cellStyle name="계산 2 3" xfId="5841" xr:uid="{00000000-0005-0000-0000-0000D1160000}"/>
    <cellStyle name="计算 2 3" xfId="6388" xr:uid="{00000000-0005-0000-0000-0000F4180000}"/>
    <cellStyle name="计算 2 3 2" xfId="7341" xr:uid="{00000000-0005-0000-0000-0000AD1C0000}"/>
    <cellStyle name="계산 2 4" xfId="5842" xr:uid="{00000000-0005-0000-0000-0000D2160000}"/>
    <cellStyle name="计算 2 4" xfId="6217" xr:uid="{00000000-0005-0000-0000-000049180000}"/>
    <cellStyle name="계산 2 4 10" xfId="8076" xr:uid="{00000000-0005-0000-0000-00008C1F0000}"/>
    <cellStyle name="계산 2 4 11" xfId="8046" xr:uid="{00000000-0005-0000-0000-00006E1F0000}"/>
    <cellStyle name="계산 2 4 2" xfId="6651" xr:uid="{00000000-0005-0000-0000-0000FB190000}"/>
    <cellStyle name="计算 2 4 2" xfId="7229" xr:uid="{00000000-0005-0000-0000-00003D1C0000}"/>
    <cellStyle name="계산 2 4 2 2" xfId="7518" xr:uid="{00000000-0005-0000-0000-00005E1D0000}"/>
    <cellStyle name="계산 2 4 2 3" xfId="7967" xr:uid="{00000000-0005-0000-0000-00001F1F0000}"/>
    <cellStyle name="계산 2 4 2 4" xfId="8112" xr:uid="{00000000-0005-0000-0000-0000B01F0000}"/>
    <cellStyle name="계산 2 4 2 5" xfId="8049" xr:uid="{00000000-0005-0000-0000-0000711F0000}"/>
    <cellStyle name="계산 2 4 3" xfId="6795" xr:uid="{00000000-0005-0000-0000-00008B1A0000}"/>
    <cellStyle name="计算 2 4 3" xfId="7948" xr:uid="{00000000-0005-0000-0000-00000C1F0000}"/>
    <cellStyle name="계산 2 4 3 2" xfId="7643" xr:uid="{00000000-0005-0000-0000-0000DB1D0000}"/>
    <cellStyle name="계산 2 4 3 3" xfId="8117" xr:uid="{00000000-0005-0000-0000-0000B51F0000}"/>
    <cellStyle name="계산 2 4 3 4" xfId="8017" xr:uid="{00000000-0005-0000-0000-0000511F0000}"/>
    <cellStyle name="계산 2 4 4" xfId="6922" xr:uid="{00000000-0005-0000-0000-00000A1B0000}"/>
    <cellStyle name="计算 2 4 4" xfId="8092" xr:uid="{00000000-0005-0000-0000-00009C1F0000}"/>
    <cellStyle name="계산 2 4 4 2" xfId="7769" xr:uid="{00000000-0005-0000-0000-0000591E0000}"/>
    <cellStyle name="계산 2 4 4 3" xfId="8006" xr:uid="{00000000-0005-0000-0000-0000461F0000}"/>
    <cellStyle name="계산 2 4 5" xfId="7047" xr:uid="{00000000-0005-0000-0000-0000871B0000}"/>
    <cellStyle name="计算 2 4 5" xfId="8042" xr:uid="{00000000-0005-0000-0000-00006A1F0000}"/>
    <cellStyle name="계산 2 4 5 2" xfId="7894" xr:uid="{00000000-0005-0000-0000-0000D61E0000}"/>
    <cellStyle name="계산 2 4 6" xfId="6135" xr:uid="{00000000-0005-0000-0000-0000F7170000}"/>
    <cellStyle name="계산 2 4 7" xfId="7066" xr:uid="{00000000-0005-0000-0000-00009A1B0000}"/>
    <cellStyle name="계산 2 4 7 2" xfId="7898" xr:uid="{00000000-0005-0000-0000-0000DA1E0000}"/>
    <cellStyle name="계산 2 4 8" xfId="7084" xr:uid="{00000000-0005-0000-0000-0000AC1B0000}"/>
    <cellStyle name="계산 2 4 9" xfId="7935" xr:uid="{00000000-0005-0000-0000-0000FF1E0000}"/>
    <cellStyle name="계산 2 5" xfId="6258" xr:uid="{00000000-0005-0000-0000-000072180000}"/>
    <cellStyle name="计算 2 5" xfId="6512" xr:uid="{00000000-0005-0000-0000-000070190000}"/>
    <cellStyle name="계산 2 5 2" xfId="7259" xr:uid="{00000000-0005-0000-0000-00005B1C0000}"/>
    <cellStyle name="计算 2 5 2" xfId="7456" xr:uid="{00000000-0005-0000-0000-0000201D0000}"/>
    <cellStyle name="계산 2 5 3" xfId="7950" xr:uid="{00000000-0005-0000-0000-00000E1F0000}"/>
    <cellStyle name="计算 2 5 3" xfId="7961" xr:uid="{00000000-0005-0000-0000-0000191F0000}"/>
    <cellStyle name="계산 2 5 4" xfId="8094" xr:uid="{00000000-0005-0000-0000-00009E1F0000}"/>
    <cellStyle name="计算 2 5 4" xfId="8106" xr:uid="{00000000-0005-0000-0000-0000AA1F0000}"/>
    <cellStyle name="계산 2 5 5" xfId="8040" xr:uid="{00000000-0005-0000-0000-0000681F0000}"/>
    <cellStyle name="计算 2 5 5" xfId="8021" xr:uid="{00000000-0005-0000-0000-0000551F0000}"/>
    <cellStyle name="계산 2 6" xfId="6491" xr:uid="{00000000-0005-0000-0000-00005B190000}"/>
    <cellStyle name="计算 2 6" xfId="6073" xr:uid="{00000000-0005-0000-0000-0000B9170000}"/>
    <cellStyle name="계산 2 6 2" xfId="7441" xr:uid="{00000000-0005-0000-0000-0000111D0000}"/>
    <cellStyle name="计算 2 6 2" xfId="7132" xr:uid="{00000000-0005-0000-0000-0000DC1B0000}"/>
    <cellStyle name="계산 2 6 3" xfId="7959" xr:uid="{00000000-0005-0000-0000-0000171F0000}"/>
    <cellStyle name="计算 2 6 3" xfId="7942" xr:uid="{00000000-0005-0000-0000-0000061F0000}"/>
    <cellStyle name="계산 2 6 4" xfId="8104" xr:uid="{00000000-0005-0000-0000-0000A81F0000}"/>
    <cellStyle name="计算 2 6 4" xfId="8085" xr:uid="{00000000-0005-0000-0000-0000951F0000}"/>
    <cellStyle name="계산 2 6 5" xfId="8023" xr:uid="{00000000-0005-0000-0000-0000571F0000}"/>
    <cellStyle name="计算 2 6 5" xfId="8035" xr:uid="{00000000-0005-0000-0000-0000631F0000}"/>
    <cellStyle name="계산 2 7" xfId="6081" xr:uid="{00000000-0005-0000-0000-0000C1170000}"/>
    <cellStyle name="计算 2 7" xfId="6292" xr:uid="{00000000-0005-0000-0000-000094180000}"/>
    <cellStyle name="계산 2 7 2" xfId="7135" xr:uid="{00000000-0005-0000-0000-0000DF1B0000}"/>
    <cellStyle name="계산 2 7 3" xfId="7944" xr:uid="{00000000-0005-0000-0000-0000081F0000}"/>
    <cellStyle name="계산 2 7 4" xfId="8087" xr:uid="{00000000-0005-0000-0000-0000971F0000}"/>
    <cellStyle name="계산 2 7 5" xfId="8033" xr:uid="{00000000-0005-0000-0000-0000611F0000}"/>
    <cellStyle name="계산 2 8" xfId="6648" xr:uid="{00000000-0005-0000-0000-0000F8190000}"/>
    <cellStyle name="计算 2 8" xfId="6480" xr:uid="{00000000-0005-0000-0000-000050190000}"/>
    <cellStyle name="계산 2 8 2" xfId="7516" xr:uid="{00000000-0005-0000-0000-00005C1D0000}"/>
    <cellStyle name="计算 2 8 2" xfId="7433" xr:uid="{00000000-0005-0000-0000-0000091D0000}"/>
    <cellStyle name="계산 2 8 3" xfId="7965" xr:uid="{00000000-0005-0000-0000-00001D1F0000}"/>
    <cellStyle name="计算 2 8 3" xfId="7957" xr:uid="{00000000-0005-0000-0000-0000151F0000}"/>
    <cellStyle name="계산 2 8 4" xfId="8110" xr:uid="{00000000-0005-0000-0000-0000AE1F0000}"/>
    <cellStyle name="计算 2 8 4" xfId="8102" xr:uid="{00000000-0005-0000-0000-0000A61F0000}"/>
    <cellStyle name="계산 2 8 5" xfId="8051" xr:uid="{00000000-0005-0000-0000-0000731F0000}"/>
    <cellStyle name="计算 2 8 5" xfId="8025" xr:uid="{00000000-0005-0000-0000-0000591F0000}"/>
    <cellStyle name="계산 2 9" xfId="6494" xr:uid="{00000000-0005-0000-0000-00005E190000}"/>
    <cellStyle name="计算 2 9" xfId="7078" xr:uid="{00000000-0005-0000-0000-0000A61B0000}"/>
    <cellStyle name="计算 20" xfId="6378" xr:uid="{00000000-0005-0000-0000-0000EA180000}"/>
    <cellStyle name="计算 20 2" xfId="7331" xr:uid="{00000000-0005-0000-0000-0000A31C0000}"/>
    <cellStyle name="计算 21" xfId="6227" xr:uid="{00000000-0005-0000-0000-000053180000}"/>
    <cellStyle name="计算 21 2" xfId="7239" xr:uid="{00000000-0005-0000-0000-0000471C0000}"/>
    <cellStyle name="计算 22" xfId="6502" xr:uid="{00000000-0005-0000-0000-000066190000}"/>
    <cellStyle name="计算 22 2" xfId="7446" xr:uid="{00000000-0005-0000-0000-0000161D0000}"/>
    <cellStyle name="计算 23" xfId="6074" xr:uid="{00000000-0005-0000-0000-0000BA170000}"/>
    <cellStyle name="计算 23 2" xfId="7133" xr:uid="{00000000-0005-0000-0000-0000DD1B0000}"/>
    <cellStyle name="计算 24" xfId="6283" xr:uid="{00000000-0005-0000-0000-00008B180000}"/>
    <cellStyle name="计算 25" xfId="6481" xr:uid="{00000000-0005-0000-0000-000051190000}"/>
    <cellStyle name="计算 25 2" xfId="7434" xr:uid="{00000000-0005-0000-0000-00000A1D0000}"/>
    <cellStyle name="计算 26" xfId="7077" xr:uid="{00000000-0005-0000-0000-0000A51B0000}"/>
    <cellStyle name="计算 27" xfId="7923" xr:uid="{00000000-0005-0000-0000-0000F31E0000}"/>
    <cellStyle name="计算 28" xfId="8053" xr:uid="{00000000-0005-0000-0000-0000751F0000}"/>
    <cellStyle name="计算 29" xfId="8075" xr:uid="{00000000-0005-0000-0000-00008B1F0000}"/>
    <cellStyle name="계산 3" xfId="127" xr:uid="{00000000-0005-0000-0000-00007F000000}"/>
    <cellStyle name="计算 3" xfId="3772" xr:uid="{00000000-0005-0000-0000-0000BC0E0000}"/>
    <cellStyle name="계산 3 10" xfId="7094" xr:uid="{00000000-0005-0000-0000-0000B61B0000}"/>
    <cellStyle name="计算 3 10" xfId="7928" xr:uid="{00000000-0005-0000-0000-0000F81E0000}"/>
    <cellStyle name="계산 3 11" xfId="7907" xr:uid="{00000000-0005-0000-0000-0000E31E0000}"/>
    <cellStyle name="计算 3 11" xfId="8058" xr:uid="{00000000-0005-0000-0000-00007A1F0000}"/>
    <cellStyle name="계산 3 12" xfId="7998" xr:uid="{00000000-0005-0000-0000-00003E1F0000}"/>
    <cellStyle name="计算 3 12" xfId="8070" xr:uid="{00000000-0005-0000-0000-0000861F0000}"/>
    <cellStyle name="계산 3 13" xfId="8120" xr:uid="{00000000-0005-0000-0000-0000B81F0000}"/>
    <cellStyle name="계산 3 2" xfId="2907" xr:uid="{00000000-0005-0000-0000-00005B0B0000}"/>
    <cellStyle name="计算 3 2" xfId="5980" xr:uid="{00000000-0005-0000-0000-00005C170000}"/>
    <cellStyle name="计算 3 2 2" xfId="6752" xr:uid="{00000000-0005-0000-0000-0000601A0000}"/>
    <cellStyle name="计算 3 2 2 2" xfId="7600" xr:uid="{00000000-0005-0000-0000-0000B01D0000}"/>
    <cellStyle name="计算 3 2 3" xfId="6878" xr:uid="{00000000-0005-0000-0000-0000DE1A0000}"/>
    <cellStyle name="计算 3 2 3 2" xfId="7726" xr:uid="{00000000-0005-0000-0000-00002E1E0000}"/>
    <cellStyle name="计算 3 2 4" xfId="7004" xr:uid="{00000000-0005-0000-0000-00005C1B0000}"/>
    <cellStyle name="计算 3 2 4 2" xfId="7851" xr:uid="{00000000-0005-0000-0000-0000AB1E0000}"/>
    <cellStyle name="计算 3 2 5" xfId="6580" xr:uid="{00000000-0005-0000-0000-0000B4190000}"/>
    <cellStyle name="계산 3 3" xfId="6259" xr:uid="{00000000-0005-0000-0000-000073180000}"/>
    <cellStyle name="计算 3 3" xfId="6389" xr:uid="{00000000-0005-0000-0000-0000F5180000}"/>
    <cellStyle name="计算 3 3 2" xfId="7342" xr:uid="{00000000-0005-0000-0000-0000AE1C0000}"/>
    <cellStyle name="계산 3 4" xfId="6490" xr:uid="{00000000-0005-0000-0000-00005A190000}"/>
    <cellStyle name="计算 3 4" xfId="6216" xr:uid="{00000000-0005-0000-0000-000048180000}"/>
    <cellStyle name="计算 3 4 2" xfId="7228" xr:uid="{00000000-0005-0000-0000-00003C1C0000}"/>
    <cellStyle name="계산 3 5" xfId="6082" xr:uid="{00000000-0005-0000-0000-0000C2170000}"/>
    <cellStyle name="计算 3 5" xfId="6513" xr:uid="{00000000-0005-0000-0000-000071190000}"/>
    <cellStyle name="计算 3 5 2" xfId="7457" xr:uid="{00000000-0005-0000-0000-0000211D0000}"/>
    <cellStyle name="계산 3 6" xfId="6647" xr:uid="{00000000-0005-0000-0000-0000F7190000}"/>
    <cellStyle name="计算 3 6" xfId="6072" xr:uid="{00000000-0005-0000-0000-0000B8170000}"/>
    <cellStyle name="计算 3 6 2" xfId="7131" xr:uid="{00000000-0005-0000-0000-0000DB1B0000}"/>
    <cellStyle name="계산 3 7" xfId="6495" xr:uid="{00000000-0005-0000-0000-00005F190000}"/>
    <cellStyle name="计算 3 7" xfId="6293" xr:uid="{00000000-0005-0000-0000-000095180000}"/>
    <cellStyle name="계산 3 8" xfId="6342" xr:uid="{00000000-0005-0000-0000-0000C6180000}"/>
    <cellStyle name="计算 3 8" xfId="6477" xr:uid="{00000000-0005-0000-0000-00004D190000}"/>
    <cellStyle name="计算 3 8 2" xfId="7430" xr:uid="{00000000-0005-0000-0000-0000061D0000}"/>
    <cellStyle name="계산 3 9" xfId="7073" xr:uid="{00000000-0005-0000-0000-0000A11B0000}"/>
    <cellStyle name="计算 3 9" xfId="7079" xr:uid="{00000000-0005-0000-0000-0000A71B0000}"/>
    <cellStyle name="계산 4" xfId="128" xr:uid="{00000000-0005-0000-0000-000080000000}"/>
    <cellStyle name="计算 4" xfId="3773" xr:uid="{00000000-0005-0000-0000-0000BD0E0000}"/>
    <cellStyle name="계산 4 10" xfId="7095" xr:uid="{00000000-0005-0000-0000-0000B71B0000}"/>
    <cellStyle name="计算 4 10" xfId="7929" xr:uid="{00000000-0005-0000-0000-0000F91E0000}"/>
    <cellStyle name="계산 4 11" xfId="7908" xr:uid="{00000000-0005-0000-0000-0000E41E0000}"/>
    <cellStyle name="计算 4 11" xfId="8059" xr:uid="{00000000-0005-0000-0000-00007B1F0000}"/>
    <cellStyle name="계산 4 12" xfId="7999" xr:uid="{00000000-0005-0000-0000-00003F1F0000}"/>
    <cellStyle name="计算 4 12" xfId="8069" xr:uid="{00000000-0005-0000-0000-0000851F0000}"/>
    <cellStyle name="계산 4 13" xfId="8136" xr:uid="{00000000-0005-0000-0000-0000C81F0000}"/>
    <cellStyle name="계산 4 2" xfId="2908" xr:uid="{00000000-0005-0000-0000-00005C0B0000}"/>
    <cellStyle name="计算 4 2" xfId="5981" xr:uid="{00000000-0005-0000-0000-00005D170000}"/>
    <cellStyle name="计算 4 2 2" xfId="6753" xr:uid="{00000000-0005-0000-0000-0000611A0000}"/>
    <cellStyle name="计算 4 2 2 2" xfId="7601" xr:uid="{00000000-0005-0000-0000-0000B11D0000}"/>
    <cellStyle name="计算 4 2 3" xfId="6879" xr:uid="{00000000-0005-0000-0000-0000DF1A0000}"/>
    <cellStyle name="计算 4 2 3 2" xfId="7727" xr:uid="{00000000-0005-0000-0000-00002F1E0000}"/>
    <cellStyle name="计算 4 2 4" xfId="7005" xr:uid="{00000000-0005-0000-0000-00005D1B0000}"/>
    <cellStyle name="计算 4 2 4 2" xfId="7852" xr:uid="{00000000-0005-0000-0000-0000AC1E0000}"/>
    <cellStyle name="计算 4 2 5" xfId="6581" xr:uid="{00000000-0005-0000-0000-0000B5190000}"/>
    <cellStyle name="계산 4 3" xfId="6260" xr:uid="{00000000-0005-0000-0000-000074180000}"/>
    <cellStyle name="计算 4 3" xfId="6390" xr:uid="{00000000-0005-0000-0000-0000F6180000}"/>
    <cellStyle name="计算 4 3 2" xfId="7343" xr:uid="{00000000-0005-0000-0000-0000AF1C0000}"/>
    <cellStyle name="계산 4 4" xfId="6489" xr:uid="{00000000-0005-0000-0000-000059190000}"/>
    <cellStyle name="计算 4 4" xfId="6215" xr:uid="{00000000-0005-0000-0000-000047180000}"/>
    <cellStyle name="计算 4 4 2" xfId="7227" xr:uid="{00000000-0005-0000-0000-00003B1C0000}"/>
    <cellStyle name="계산 4 5" xfId="6083" xr:uid="{00000000-0005-0000-0000-0000C3170000}"/>
    <cellStyle name="计算 4 5" xfId="6514" xr:uid="{00000000-0005-0000-0000-000072190000}"/>
    <cellStyle name="计算 4 5 2" xfId="7458" xr:uid="{00000000-0005-0000-0000-0000221D0000}"/>
    <cellStyle name="계산 4 6" xfId="6646" xr:uid="{00000000-0005-0000-0000-0000F6190000}"/>
    <cellStyle name="计算 4 6" xfId="6071" xr:uid="{00000000-0005-0000-0000-0000B7170000}"/>
    <cellStyle name="计算 4 6 2" xfId="7130" xr:uid="{00000000-0005-0000-0000-0000DA1B0000}"/>
    <cellStyle name="계산 4 7" xfId="6496" xr:uid="{00000000-0005-0000-0000-000060190000}"/>
    <cellStyle name="计算 4 7" xfId="6294" xr:uid="{00000000-0005-0000-0000-000096180000}"/>
    <cellStyle name="계산 4 8" xfId="6341" xr:uid="{00000000-0005-0000-0000-0000C5180000}"/>
    <cellStyle name="计算 4 8" xfId="6804" xr:uid="{00000000-0005-0000-0000-0000941A0000}"/>
    <cellStyle name="计算 4 8 2" xfId="7652" xr:uid="{00000000-0005-0000-0000-0000E41D0000}"/>
    <cellStyle name="계산 4 9" xfId="7074" xr:uid="{00000000-0005-0000-0000-0000A21B0000}"/>
    <cellStyle name="计算 4 9" xfId="7080" xr:uid="{00000000-0005-0000-0000-0000A81B0000}"/>
    <cellStyle name="계산 5" xfId="129" xr:uid="{00000000-0005-0000-0000-000081000000}"/>
    <cellStyle name="计算 5" xfId="3774" xr:uid="{00000000-0005-0000-0000-0000BE0E0000}"/>
    <cellStyle name="계산 5 10" xfId="7909" xr:uid="{00000000-0005-0000-0000-0000E51E0000}"/>
    <cellStyle name="计算 5 10" xfId="7930" xr:uid="{00000000-0005-0000-0000-0000FA1E0000}"/>
    <cellStyle name="계산 5 11" xfId="8000" xr:uid="{00000000-0005-0000-0000-0000401F0000}"/>
    <cellStyle name="计算 5 11" xfId="8060" xr:uid="{00000000-0005-0000-0000-00007C1F0000}"/>
    <cellStyle name="계산 5 12" xfId="8115" xr:uid="{00000000-0005-0000-0000-0000B31F0000}"/>
    <cellStyle name="计算 5 12" xfId="8068" xr:uid="{00000000-0005-0000-0000-0000841F0000}"/>
    <cellStyle name="계산 5 2" xfId="5843" xr:uid="{00000000-0005-0000-0000-0000D3160000}"/>
    <cellStyle name="计算 5 2" xfId="5982" xr:uid="{00000000-0005-0000-0000-00005E170000}"/>
    <cellStyle name="계산 5 2 10" xfId="8077" xr:uid="{00000000-0005-0000-0000-00008D1F0000}"/>
    <cellStyle name="计算 5 2 10" xfId="8080" xr:uid="{00000000-0005-0000-0000-0000901F0000}"/>
    <cellStyle name="계산 5 2 11" xfId="8045" xr:uid="{00000000-0005-0000-0000-00006D1F0000}"/>
    <cellStyle name="计算 5 2 11" xfId="8038" xr:uid="{00000000-0005-0000-0000-0000661F0000}"/>
    <cellStyle name="계산 5 2 2" xfId="6652" xr:uid="{00000000-0005-0000-0000-0000FC190000}"/>
    <cellStyle name="计算 5 2 2" xfId="6754" xr:uid="{00000000-0005-0000-0000-0000621A0000}"/>
    <cellStyle name="계산 5 2 2 2" xfId="7519" xr:uid="{00000000-0005-0000-0000-00005F1D0000}"/>
    <cellStyle name="计算 5 2 2 2" xfId="7602" xr:uid="{00000000-0005-0000-0000-0000B21D0000}"/>
    <cellStyle name="계산 5 2 2 3" xfId="7968" xr:uid="{00000000-0005-0000-0000-0000201F0000}"/>
    <cellStyle name="计算 5 2 2 3" xfId="7970" xr:uid="{00000000-0005-0000-0000-0000221F0000}"/>
    <cellStyle name="계산 5 2 2 4" xfId="8113" xr:uid="{00000000-0005-0000-0000-0000B11F0000}"/>
    <cellStyle name="计算 5 2 2 4" xfId="8116" xr:uid="{00000000-0005-0000-0000-0000B41F0000}"/>
    <cellStyle name="계산 5 2 2 5" xfId="8048" xr:uid="{00000000-0005-0000-0000-0000701F0000}"/>
    <cellStyle name="计算 5 2 2 5" xfId="8018" xr:uid="{00000000-0005-0000-0000-0000521F0000}"/>
    <cellStyle name="계산 5 2 3" xfId="6796" xr:uid="{00000000-0005-0000-0000-00008C1A0000}"/>
    <cellStyle name="计算 5 2 3" xfId="6880" xr:uid="{00000000-0005-0000-0000-0000E01A0000}"/>
    <cellStyle name="계산 5 2 3 2" xfId="7644" xr:uid="{00000000-0005-0000-0000-0000DC1D0000}"/>
    <cellStyle name="计算 5 2 3 2" xfId="7728" xr:uid="{00000000-0005-0000-0000-0000301E0000}"/>
    <cellStyle name="계산 5 2 3 3" xfId="7971" xr:uid="{00000000-0005-0000-0000-0000231F0000}"/>
    <cellStyle name="计算 5 2 3 3" xfId="7973" xr:uid="{00000000-0005-0000-0000-0000251F0000}"/>
    <cellStyle name="계산 5 2 3 4" xfId="8118" xr:uid="{00000000-0005-0000-0000-0000B61F0000}"/>
    <cellStyle name="计算 5 2 3 4" xfId="8121" xr:uid="{00000000-0005-0000-0000-0000B91F0000}"/>
    <cellStyle name="계산 5 2 3 5" xfId="8016" xr:uid="{00000000-0005-0000-0000-0000501F0000}"/>
    <cellStyle name="计算 5 2 3 5" xfId="8007" xr:uid="{00000000-0005-0000-0000-0000471F0000}"/>
    <cellStyle name="계산 5 2 4" xfId="6923" xr:uid="{00000000-0005-0000-0000-00000B1B0000}"/>
    <cellStyle name="计算 5 2 4" xfId="7006" xr:uid="{00000000-0005-0000-0000-00005E1B0000}"/>
    <cellStyle name="계산 5 2 4 2" xfId="7770" xr:uid="{00000000-0005-0000-0000-00005A1E0000}"/>
    <cellStyle name="计算 5 2 4 2" xfId="7853" xr:uid="{00000000-0005-0000-0000-0000AD1E0000}"/>
    <cellStyle name="계산 5 2 4 3" xfId="7974" xr:uid="{00000000-0005-0000-0000-0000261F0000}"/>
    <cellStyle name="计算 5 2 4 3" xfId="7976" xr:uid="{00000000-0005-0000-0000-0000281F0000}"/>
    <cellStyle name="계산 5 2 4 4" xfId="8122" xr:uid="{00000000-0005-0000-0000-0000BA1F0000}"/>
    <cellStyle name="计算 5 2 4 4" xfId="8124" xr:uid="{00000000-0005-0000-0000-0000BC1F0000}"/>
    <cellStyle name="계산 5 2 4 5" xfId="8005" xr:uid="{00000000-0005-0000-0000-0000451F0000}"/>
    <cellStyle name="计算 5 2 4 5" xfId="8014" xr:uid="{00000000-0005-0000-0000-00004E1F0000}"/>
    <cellStyle name="계산 5 2 5" xfId="7048" xr:uid="{00000000-0005-0000-0000-0000881B0000}"/>
    <cellStyle name="计算 5 2 5" xfId="7051" xr:uid="{00000000-0005-0000-0000-00008B1B0000}"/>
    <cellStyle name="계산 5 2 5 2" xfId="7895" xr:uid="{00000000-0005-0000-0000-0000D71E0000}"/>
    <cellStyle name="计算 5 2 5 2" xfId="7897" xr:uid="{00000000-0005-0000-0000-0000D91E0000}"/>
    <cellStyle name="계산 5 2 5 3" xfId="7977" xr:uid="{00000000-0005-0000-0000-0000291F0000}"/>
    <cellStyle name="计算 5 2 5 3" xfId="7979" xr:uid="{00000000-0005-0000-0000-00002B1F0000}"/>
    <cellStyle name="계산 5 2 5 4" xfId="8125" xr:uid="{00000000-0005-0000-0000-0000BD1F0000}"/>
    <cellStyle name="计算 5 2 5 4" xfId="8127" xr:uid="{00000000-0005-0000-0000-0000BF1F0000}"/>
    <cellStyle name="계산 5 2 5 5" xfId="8013" xr:uid="{00000000-0005-0000-0000-00004D1F0000}"/>
    <cellStyle name="计算 5 2 5 5" xfId="8011" xr:uid="{00000000-0005-0000-0000-00004B1F0000}"/>
    <cellStyle name="계산 5 2 6" xfId="6136" xr:uid="{00000000-0005-0000-0000-0000F8170000}"/>
    <cellStyle name="计算 5 2 6" xfId="6582" xr:uid="{00000000-0005-0000-0000-0000B6190000}"/>
    <cellStyle name="계산 5 2 7" xfId="7067" xr:uid="{00000000-0005-0000-0000-00009B1B0000}"/>
    <cellStyle name="计算 5 2 7" xfId="7069" xr:uid="{00000000-0005-0000-0000-00009D1B0000}"/>
    <cellStyle name="계산 5 2 7 2" xfId="7899" xr:uid="{00000000-0005-0000-0000-0000DB1E0000}"/>
    <cellStyle name="计算 5 2 7 2" xfId="7901" xr:uid="{00000000-0005-0000-0000-0000DD1E0000}"/>
    <cellStyle name="계산 5 2 7 3" xfId="7980" xr:uid="{00000000-0005-0000-0000-00002C1F0000}"/>
    <cellStyle name="计算 5 2 7 3" xfId="7982" xr:uid="{00000000-0005-0000-0000-00002E1F0000}"/>
    <cellStyle name="계산 5 2 7 4" xfId="8128" xr:uid="{00000000-0005-0000-0000-0000C01F0000}"/>
    <cellStyle name="计算 5 2 7 4" xfId="8130" xr:uid="{00000000-0005-0000-0000-0000C21F0000}"/>
    <cellStyle name="계산 5 2 7 5" xfId="8010" xr:uid="{00000000-0005-0000-0000-00004A1F0000}"/>
    <cellStyle name="计算 5 2 7 5" xfId="8008" xr:uid="{00000000-0005-0000-0000-0000481F0000}"/>
    <cellStyle name="계산 5 2 8" xfId="7085" xr:uid="{00000000-0005-0000-0000-0000AD1B0000}"/>
    <cellStyle name="计算 5 2 8" xfId="7087" xr:uid="{00000000-0005-0000-0000-0000AF1B0000}"/>
    <cellStyle name="계산 5 2 9" xfId="7936" xr:uid="{00000000-0005-0000-0000-0000001F0000}"/>
    <cellStyle name="计算 5 2 9" xfId="7937" xr:uid="{00000000-0005-0000-0000-0000011F0000}"/>
    <cellStyle name="계산 5 3" xfId="6261" xr:uid="{00000000-0005-0000-0000-000075180000}"/>
    <cellStyle name="计算 5 3" xfId="6391" xr:uid="{00000000-0005-0000-0000-0000F7180000}"/>
    <cellStyle name="계산 5 3 2" xfId="7260" xr:uid="{00000000-0005-0000-0000-00005C1C0000}"/>
    <cellStyle name="计算 5 3 2" xfId="7344" xr:uid="{00000000-0005-0000-0000-0000B01C0000}"/>
    <cellStyle name="계산 5 3 3" xfId="7951" xr:uid="{00000000-0005-0000-0000-00000F1F0000}"/>
    <cellStyle name="计算 5 3 3" xfId="7954" xr:uid="{00000000-0005-0000-0000-0000121F0000}"/>
    <cellStyle name="계산 5 3 4" xfId="8095" xr:uid="{00000000-0005-0000-0000-00009F1F0000}"/>
    <cellStyle name="计算 5 3 4" xfId="8099" xr:uid="{00000000-0005-0000-0000-0000A31F0000}"/>
    <cellStyle name="계산 5 3 5" xfId="8039" xr:uid="{00000000-0005-0000-0000-0000671F0000}"/>
    <cellStyle name="计算 5 3 5" xfId="8028" xr:uid="{00000000-0005-0000-0000-00005C1F0000}"/>
    <cellStyle name="계산 5 4" xfId="6488" xr:uid="{00000000-0005-0000-0000-000058190000}"/>
    <cellStyle name="计算 5 4" xfId="6214" xr:uid="{00000000-0005-0000-0000-000046180000}"/>
    <cellStyle name="계산 5 4 2" xfId="7440" xr:uid="{00000000-0005-0000-0000-0000101D0000}"/>
    <cellStyle name="计算 5 4 2" xfId="7226" xr:uid="{00000000-0005-0000-0000-00003A1C0000}"/>
    <cellStyle name="계산 5 4 3" xfId="7958" xr:uid="{00000000-0005-0000-0000-0000161F0000}"/>
    <cellStyle name="计算 5 4 3" xfId="7947" xr:uid="{00000000-0005-0000-0000-00000B1F0000}"/>
    <cellStyle name="계산 5 4 4" xfId="8103" xr:uid="{00000000-0005-0000-0000-0000A71F0000}"/>
    <cellStyle name="计算 5 4 4" xfId="8091" xr:uid="{00000000-0005-0000-0000-00009B1F0000}"/>
    <cellStyle name="계산 5 4 5" xfId="8024" xr:uid="{00000000-0005-0000-0000-0000581F0000}"/>
    <cellStyle name="计算 5 4 5" xfId="8043" xr:uid="{00000000-0005-0000-0000-00006B1F0000}"/>
    <cellStyle name="계산 5 5" xfId="6084" xr:uid="{00000000-0005-0000-0000-0000C4170000}"/>
    <cellStyle name="计算 5 5" xfId="6515" xr:uid="{00000000-0005-0000-0000-000073190000}"/>
    <cellStyle name="계산 5 5 2" xfId="7136" xr:uid="{00000000-0005-0000-0000-0000E01B0000}"/>
    <cellStyle name="计算 5 5 2" xfId="7459" xr:uid="{00000000-0005-0000-0000-0000231D0000}"/>
    <cellStyle name="계산 5 5 3" xfId="7945" xr:uid="{00000000-0005-0000-0000-0000091F0000}"/>
    <cellStyle name="计算 5 5 3" xfId="7962" xr:uid="{00000000-0005-0000-0000-00001A1F0000}"/>
    <cellStyle name="계산 5 5 4" xfId="8088" xr:uid="{00000000-0005-0000-0000-0000981F0000}"/>
    <cellStyle name="计算 5 5 4" xfId="8107" xr:uid="{00000000-0005-0000-0000-0000AB1F0000}"/>
    <cellStyle name="계산 5 5 5" xfId="8032" xr:uid="{00000000-0005-0000-0000-0000601F0000}"/>
    <cellStyle name="计算 5 5 5" xfId="8020" xr:uid="{00000000-0005-0000-0000-0000541F0000}"/>
    <cellStyle name="계산 5 6" xfId="6645" xr:uid="{00000000-0005-0000-0000-0000F5190000}"/>
    <cellStyle name="计算 5 6" xfId="6070" xr:uid="{00000000-0005-0000-0000-0000B6170000}"/>
    <cellStyle name="계산 5 6 2" xfId="7515" xr:uid="{00000000-0005-0000-0000-00005B1D0000}"/>
    <cellStyle name="计算 5 6 2" xfId="7129" xr:uid="{00000000-0005-0000-0000-0000D91B0000}"/>
    <cellStyle name="계산 5 6 3" xfId="7964" xr:uid="{00000000-0005-0000-0000-00001C1F0000}"/>
    <cellStyle name="计算 5 6 3" xfId="7941" xr:uid="{00000000-0005-0000-0000-0000051F0000}"/>
    <cellStyle name="계산 5 6 4" xfId="8109" xr:uid="{00000000-0005-0000-0000-0000AD1F0000}"/>
    <cellStyle name="计算 5 6 4" xfId="8084" xr:uid="{00000000-0005-0000-0000-0000941F0000}"/>
    <cellStyle name="계산 5 6 5" xfId="8052" xr:uid="{00000000-0005-0000-0000-0000741F0000}"/>
    <cellStyle name="计算 5 6 5" xfId="8036" xr:uid="{00000000-0005-0000-0000-0000641F0000}"/>
    <cellStyle name="계산 5 7" xfId="6497" xr:uid="{00000000-0005-0000-0000-000061190000}"/>
    <cellStyle name="计算 5 7" xfId="6346" xr:uid="{00000000-0005-0000-0000-0000CA180000}"/>
    <cellStyle name="계산 5 8" xfId="6340" xr:uid="{00000000-0005-0000-0000-0000C4180000}"/>
    <cellStyle name="计算 5 8" xfId="6476" xr:uid="{00000000-0005-0000-0000-00004C190000}"/>
    <cellStyle name="계산 5 8 2" xfId="7310" xr:uid="{00000000-0005-0000-0000-00008E1C0000}"/>
    <cellStyle name="计算 5 8 2" xfId="7429" xr:uid="{00000000-0005-0000-0000-0000051D0000}"/>
    <cellStyle name="계산 5 8 3" xfId="7952" xr:uid="{00000000-0005-0000-0000-0000101F0000}"/>
    <cellStyle name="计算 5 8 3" xfId="7956" xr:uid="{00000000-0005-0000-0000-0000141F0000}"/>
    <cellStyle name="계산 5 8 4" xfId="8096" xr:uid="{00000000-0005-0000-0000-0000A01F0000}"/>
    <cellStyle name="计算 5 8 4" xfId="8101" xr:uid="{00000000-0005-0000-0000-0000A51F0000}"/>
    <cellStyle name="계산 5 8 5" xfId="8031" xr:uid="{00000000-0005-0000-0000-00005F1F0000}"/>
    <cellStyle name="计算 5 8 5" xfId="8026" xr:uid="{00000000-0005-0000-0000-00005A1F0000}"/>
    <cellStyle name="계산 5 9" xfId="7075" xr:uid="{00000000-0005-0000-0000-0000A31B0000}"/>
    <cellStyle name="计算 5 9" xfId="7081" xr:uid="{00000000-0005-0000-0000-0000A91B0000}"/>
    <cellStyle name="계산 6" xfId="130" xr:uid="{00000000-0005-0000-0000-000082000000}"/>
    <cellStyle name="计算 6" xfId="3775" xr:uid="{00000000-0005-0000-0000-0000BF0E0000}"/>
    <cellStyle name="계산 6 10" xfId="7096" xr:uid="{00000000-0005-0000-0000-0000B81B0000}"/>
    <cellStyle name="计算 6 10" xfId="7931" xr:uid="{00000000-0005-0000-0000-0000FB1E0000}"/>
    <cellStyle name="계산 6 11" xfId="7910" xr:uid="{00000000-0005-0000-0000-0000E61E0000}"/>
    <cellStyle name="计算 6 11" xfId="8061" xr:uid="{00000000-0005-0000-0000-00007D1F0000}"/>
    <cellStyle name="계산 6 12" xfId="8001" xr:uid="{00000000-0005-0000-0000-0000411F0000}"/>
    <cellStyle name="计算 6 12" xfId="8067" xr:uid="{00000000-0005-0000-0000-0000831F0000}"/>
    <cellStyle name="계산 6 13" xfId="8079" xr:uid="{00000000-0005-0000-0000-00008F1F0000}"/>
    <cellStyle name="계산 6 2" xfId="2909" xr:uid="{00000000-0005-0000-0000-00005D0B0000}"/>
    <cellStyle name="计算 6 2" xfId="5983" xr:uid="{00000000-0005-0000-0000-00005F170000}"/>
    <cellStyle name="计算 6 2 2" xfId="6755" xr:uid="{00000000-0005-0000-0000-0000631A0000}"/>
    <cellStyle name="计算 6 2 2 2" xfId="7603" xr:uid="{00000000-0005-0000-0000-0000B31D0000}"/>
    <cellStyle name="计算 6 2 3" xfId="6881" xr:uid="{00000000-0005-0000-0000-0000E11A0000}"/>
    <cellStyle name="计算 6 2 3 2" xfId="7729" xr:uid="{00000000-0005-0000-0000-0000311E0000}"/>
    <cellStyle name="计算 6 2 4" xfId="7007" xr:uid="{00000000-0005-0000-0000-00005F1B0000}"/>
    <cellStyle name="计算 6 2 4 2" xfId="7854" xr:uid="{00000000-0005-0000-0000-0000AE1E0000}"/>
    <cellStyle name="计算 6 2 5" xfId="6583" xr:uid="{00000000-0005-0000-0000-0000B7190000}"/>
    <cellStyle name="계산 6 3" xfId="6262" xr:uid="{00000000-0005-0000-0000-000076180000}"/>
    <cellStyle name="计算 6 3" xfId="6392" xr:uid="{00000000-0005-0000-0000-0000F8180000}"/>
    <cellStyle name="计算 6 3 2" xfId="7345" xr:uid="{00000000-0005-0000-0000-0000B11C0000}"/>
    <cellStyle name="계산 6 4" xfId="6487" xr:uid="{00000000-0005-0000-0000-000057190000}"/>
    <cellStyle name="计算 6 4" xfId="6213" xr:uid="{00000000-0005-0000-0000-000045180000}"/>
    <cellStyle name="计算 6 4 2" xfId="7225" xr:uid="{00000000-0005-0000-0000-0000391C0000}"/>
    <cellStyle name="계산 6 5" xfId="6085" xr:uid="{00000000-0005-0000-0000-0000C5170000}"/>
    <cellStyle name="计算 6 5" xfId="6516" xr:uid="{00000000-0005-0000-0000-000074190000}"/>
    <cellStyle name="计算 6 5 2" xfId="7460" xr:uid="{00000000-0005-0000-0000-0000241D0000}"/>
    <cellStyle name="계산 6 6" xfId="6644" xr:uid="{00000000-0005-0000-0000-0000F4190000}"/>
    <cellStyle name="计算 6 6" xfId="6069" xr:uid="{00000000-0005-0000-0000-0000B5170000}"/>
    <cellStyle name="计算 6 6 2" xfId="7128" xr:uid="{00000000-0005-0000-0000-0000D81B0000}"/>
    <cellStyle name="계산 6 7" xfId="6498" xr:uid="{00000000-0005-0000-0000-000062190000}"/>
    <cellStyle name="计算 6 7" xfId="6708" xr:uid="{00000000-0005-0000-0000-0000341A0000}"/>
    <cellStyle name="계산 6 8" xfId="6339" xr:uid="{00000000-0005-0000-0000-0000C3180000}"/>
    <cellStyle name="计算 6 8" xfId="6475" xr:uid="{00000000-0005-0000-0000-00004B190000}"/>
    <cellStyle name="计算 6 8 2" xfId="7428" xr:uid="{00000000-0005-0000-0000-0000041D0000}"/>
    <cellStyle name="계산 6 9" xfId="7076" xr:uid="{00000000-0005-0000-0000-0000A41B0000}"/>
    <cellStyle name="计算 6 9" xfId="7082" xr:uid="{00000000-0005-0000-0000-0000AA1B0000}"/>
    <cellStyle name="계산 7" xfId="263" xr:uid="{00000000-0005-0000-0000-000007010000}"/>
    <cellStyle name="计算 7" xfId="3776" xr:uid="{00000000-0005-0000-0000-0000C00E0000}"/>
    <cellStyle name="계산 7 10" xfId="8002" xr:uid="{00000000-0005-0000-0000-0000421F0000}"/>
    <cellStyle name="计算 7 10" xfId="7932" xr:uid="{00000000-0005-0000-0000-0000FC1E0000}"/>
    <cellStyle name="계산 7 11" xfId="8078" xr:uid="{00000000-0005-0000-0000-00008E1F0000}"/>
    <cellStyle name="计算 7 11" xfId="8066" xr:uid="{00000000-0005-0000-0000-0000821F0000}"/>
    <cellStyle name="계산 7 2" xfId="6653" xr:uid="{00000000-0005-0000-0000-0000FD190000}"/>
    <cellStyle name="计算 7 2" xfId="5984" xr:uid="{00000000-0005-0000-0000-000060170000}"/>
    <cellStyle name="계산 7 2 2" xfId="7520" xr:uid="{00000000-0005-0000-0000-0000601D0000}"/>
    <cellStyle name="计算 7 2 2" xfId="6756" xr:uid="{00000000-0005-0000-0000-0000641A0000}"/>
    <cellStyle name="计算 7 2 2 2" xfId="7604" xr:uid="{00000000-0005-0000-0000-0000B41D0000}"/>
    <cellStyle name="계산 7 2 3" xfId="7969" xr:uid="{00000000-0005-0000-0000-0000211F0000}"/>
    <cellStyle name="计算 7 2 3" xfId="6882" xr:uid="{00000000-0005-0000-0000-0000E21A0000}"/>
    <cellStyle name="计算 7 2 3 2" xfId="7730" xr:uid="{00000000-0005-0000-0000-0000321E0000}"/>
    <cellStyle name="계산 7 2 4" xfId="8114" xr:uid="{00000000-0005-0000-0000-0000B21F0000}"/>
    <cellStyle name="计算 7 2 4" xfId="7008" xr:uid="{00000000-0005-0000-0000-0000601B0000}"/>
    <cellStyle name="计算 7 2 4 2" xfId="7855" xr:uid="{00000000-0005-0000-0000-0000AF1E0000}"/>
    <cellStyle name="계산 7 2 5" xfId="8047" xr:uid="{00000000-0005-0000-0000-00006F1F0000}"/>
    <cellStyle name="计算 7 2 5" xfId="6584" xr:uid="{00000000-0005-0000-0000-0000B8190000}"/>
    <cellStyle name="计算 7 2 6" xfId="7938" xr:uid="{00000000-0005-0000-0000-0000021F0000}"/>
    <cellStyle name="计算 7 2 7" xfId="8081" xr:uid="{00000000-0005-0000-0000-0000911F0000}"/>
    <cellStyle name="计算 7 2 8" xfId="8037" xr:uid="{00000000-0005-0000-0000-0000651F0000}"/>
    <cellStyle name="계산 7 3" xfId="6797" xr:uid="{00000000-0005-0000-0000-00008D1A0000}"/>
    <cellStyle name="计算 7 3" xfId="6393" xr:uid="{00000000-0005-0000-0000-0000F9180000}"/>
    <cellStyle name="계산 7 3 2" xfId="7645" xr:uid="{00000000-0005-0000-0000-0000DD1D0000}"/>
    <cellStyle name="计算 7 3 2" xfId="7346" xr:uid="{00000000-0005-0000-0000-0000B21C0000}"/>
    <cellStyle name="계산 7 3 3" xfId="7972" xr:uid="{00000000-0005-0000-0000-0000241F0000}"/>
    <cellStyle name="计算 7 3 3" xfId="7955" xr:uid="{00000000-0005-0000-0000-0000131F0000}"/>
    <cellStyle name="계산 7 3 4" xfId="8119" xr:uid="{00000000-0005-0000-0000-0000B71F0000}"/>
    <cellStyle name="计算 7 3 4" xfId="8100" xr:uid="{00000000-0005-0000-0000-0000A41F0000}"/>
    <cellStyle name="계산 7 3 5" xfId="8015" xr:uid="{00000000-0005-0000-0000-00004F1F0000}"/>
    <cellStyle name="计算 7 3 5" xfId="8027" xr:uid="{00000000-0005-0000-0000-00005B1F0000}"/>
    <cellStyle name="계산 7 4" xfId="6924" xr:uid="{00000000-0005-0000-0000-00000C1B0000}"/>
    <cellStyle name="计算 7 4" xfId="6212" xr:uid="{00000000-0005-0000-0000-000044180000}"/>
    <cellStyle name="계산 7 4 2" xfId="7771" xr:uid="{00000000-0005-0000-0000-00005B1E0000}"/>
    <cellStyle name="计算 7 4 2" xfId="7224" xr:uid="{00000000-0005-0000-0000-0000381C0000}"/>
    <cellStyle name="계산 7 4 3" xfId="7975" xr:uid="{00000000-0005-0000-0000-0000271F0000}"/>
    <cellStyle name="计算 7 4 3" xfId="7946" xr:uid="{00000000-0005-0000-0000-00000A1F0000}"/>
    <cellStyle name="계산 7 4 4" xfId="8123" xr:uid="{00000000-0005-0000-0000-0000BB1F0000}"/>
    <cellStyle name="计算 7 4 4" xfId="8090" xr:uid="{00000000-0005-0000-0000-00009A1F0000}"/>
    <cellStyle name="계산 7 4 5" xfId="8004" xr:uid="{00000000-0005-0000-0000-0000441F0000}"/>
    <cellStyle name="计算 7 4 5" xfId="8044" xr:uid="{00000000-0005-0000-0000-00006C1F0000}"/>
    <cellStyle name="계산 7 5" xfId="7049" xr:uid="{00000000-0005-0000-0000-0000891B0000}"/>
    <cellStyle name="计算 7 5" xfId="6517" xr:uid="{00000000-0005-0000-0000-000075190000}"/>
    <cellStyle name="계산 7 5 2" xfId="7896" xr:uid="{00000000-0005-0000-0000-0000D81E0000}"/>
    <cellStyle name="计算 7 5 2" xfId="7461" xr:uid="{00000000-0005-0000-0000-0000251D0000}"/>
    <cellStyle name="계산 7 5 3" xfId="7978" xr:uid="{00000000-0005-0000-0000-00002A1F0000}"/>
    <cellStyle name="计算 7 5 3" xfId="7963" xr:uid="{00000000-0005-0000-0000-00001B1F0000}"/>
    <cellStyle name="계산 7 5 4" xfId="8126" xr:uid="{00000000-0005-0000-0000-0000BE1F0000}"/>
    <cellStyle name="计算 7 5 4" xfId="8108" xr:uid="{00000000-0005-0000-0000-0000AC1F0000}"/>
    <cellStyle name="계산 7 5 5" xfId="8012" xr:uid="{00000000-0005-0000-0000-00004C1F0000}"/>
    <cellStyle name="计算 7 5 5" xfId="8019" xr:uid="{00000000-0005-0000-0000-0000531F0000}"/>
    <cellStyle name="계산 7 6" xfId="6137" xr:uid="{00000000-0005-0000-0000-0000F9170000}"/>
    <cellStyle name="计算 7 6" xfId="6068" xr:uid="{00000000-0005-0000-0000-0000B4170000}"/>
    <cellStyle name="计算 7 6 2" xfId="7127" xr:uid="{00000000-0005-0000-0000-0000D71B0000}"/>
    <cellStyle name="계산 7 7" xfId="7068" xr:uid="{00000000-0005-0000-0000-00009C1B0000}"/>
    <cellStyle name="计算 7 7" xfId="6347" xr:uid="{00000000-0005-0000-0000-0000CB180000}"/>
    <cellStyle name="계산 7 7 2" xfId="7900" xr:uid="{00000000-0005-0000-0000-0000DC1E0000}"/>
    <cellStyle name="계산 7 7 3" xfId="7981" xr:uid="{00000000-0005-0000-0000-00002D1F0000}"/>
    <cellStyle name="계산 7 7 4" xfId="8129" xr:uid="{00000000-0005-0000-0000-0000C11F0000}"/>
    <cellStyle name="계산 7 7 5" xfId="8009" xr:uid="{00000000-0005-0000-0000-0000491F0000}"/>
    <cellStyle name="계산 7 8" xfId="7086" xr:uid="{00000000-0005-0000-0000-0000AE1B0000}"/>
    <cellStyle name="计算 7 8" xfId="6473" xr:uid="{00000000-0005-0000-0000-000049190000}"/>
    <cellStyle name="计算 7 8 2" xfId="7426" xr:uid="{00000000-0005-0000-0000-0000021D0000}"/>
    <cellStyle name="계산 7 9" xfId="7920" xr:uid="{00000000-0005-0000-0000-0000F01E0000}"/>
    <cellStyle name="计算 7 9" xfId="7083" xr:uid="{00000000-0005-0000-0000-0000AB1B0000}"/>
    <cellStyle name="계산 8" xfId="6257" xr:uid="{00000000-0005-0000-0000-000071180000}"/>
    <cellStyle name="计算 8" xfId="3777" xr:uid="{00000000-0005-0000-0000-0000C10E0000}"/>
    <cellStyle name="계산 8 2" xfId="7258" xr:uid="{00000000-0005-0000-0000-00005A1C0000}"/>
    <cellStyle name="计算 8 2" xfId="5985" xr:uid="{00000000-0005-0000-0000-000061170000}"/>
    <cellStyle name="计算 8 2 2" xfId="6757" xr:uid="{00000000-0005-0000-0000-0000651A0000}"/>
    <cellStyle name="计算 8 2 2 2" xfId="7605" xr:uid="{00000000-0005-0000-0000-0000B51D0000}"/>
    <cellStyle name="计算 8 2 3" xfId="6883" xr:uid="{00000000-0005-0000-0000-0000E31A0000}"/>
    <cellStyle name="计算 8 2 3 2" xfId="7731" xr:uid="{00000000-0005-0000-0000-0000331E0000}"/>
    <cellStyle name="计算 8 2 4" xfId="7009" xr:uid="{00000000-0005-0000-0000-0000611B0000}"/>
    <cellStyle name="计算 8 2 4 2" xfId="7856" xr:uid="{00000000-0005-0000-0000-0000B01E0000}"/>
    <cellStyle name="计算 8 2 5" xfId="6585" xr:uid="{00000000-0005-0000-0000-0000B9190000}"/>
    <cellStyle name="계산 8 3" xfId="7949" xr:uid="{00000000-0005-0000-0000-00000D1F0000}"/>
    <cellStyle name="计算 8 3" xfId="6394" xr:uid="{00000000-0005-0000-0000-0000FA180000}"/>
    <cellStyle name="计算 8 3 2" xfId="7347" xr:uid="{00000000-0005-0000-0000-0000B31C0000}"/>
    <cellStyle name="계산 8 4" xfId="8093" xr:uid="{00000000-0005-0000-0000-00009D1F0000}"/>
    <cellStyle name="计算 8 4" xfId="6211" xr:uid="{00000000-0005-0000-0000-000043180000}"/>
    <cellStyle name="计算 8 4 2" xfId="7223" xr:uid="{00000000-0005-0000-0000-0000371C0000}"/>
    <cellStyle name="계산 8 5" xfId="8041" xr:uid="{00000000-0005-0000-0000-0000691F0000}"/>
    <cellStyle name="计算 8 5" xfId="6518" xr:uid="{00000000-0005-0000-0000-000076190000}"/>
    <cellStyle name="计算 8 5 2" xfId="7462" xr:uid="{00000000-0005-0000-0000-0000261D0000}"/>
    <cellStyle name="计算 8 6" xfId="6709" xr:uid="{00000000-0005-0000-0000-0000351A0000}"/>
    <cellStyle name="计算 8 7" xfId="7933" xr:uid="{00000000-0005-0000-0000-0000FD1E0000}"/>
    <cellStyle name="计算 8 8" xfId="8062" xr:uid="{00000000-0005-0000-0000-00007E1F0000}"/>
    <cellStyle name="计算 8 9" xfId="8065" xr:uid="{00000000-0005-0000-0000-0000811F0000}"/>
    <cellStyle name="계산 9" xfId="6492" xr:uid="{00000000-0005-0000-0000-00005C190000}"/>
    <cellStyle name="计算 9" xfId="3778" xr:uid="{00000000-0005-0000-0000-0000C20E0000}"/>
    <cellStyle name="계산 9 2" xfId="7442" xr:uid="{00000000-0005-0000-0000-0000121D0000}"/>
    <cellStyle name="计算 9 2" xfId="5986" xr:uid="{00000000-0005-0000-0000-000062170000}"/>
    <cellStyle name="计算 9 2 2" xfId="6758" xr:uid="{00000000-0005-0000-0000-0000661A0000}"/>
    <cellStyle name="计算 9 2 2 2" xfId="7606" xr:uid="{00000000-0005-0000-0000-0000B61D0000}"/>
    <cellStyle name="计算 9 2 3" xfId="6884" xr:uid="{00000000-0005-0000-0000-0000E41A0000}"/>
    <cellStyle name="计算 9 2 3 2" xfId="7732" xr:uid="{00000000-0005-0000-0000-0000341E0000}"/>
    <cellStyle name="计算 9 2 4" xfId="7010" xr:uid="{00000000-0005-0000-0000-0000621B0000}"/>
    <cellStyle name="计算 9 2 4 2" xfId="7857" xr:uid="{00000000-0005-0000-0000-0000B11E0000}"/>
    <cellStyle name="计算 9 2 5" xfId="6586" xr:uid="{00000000-0005-0000-0000-0000BA190000}"/>
    <cellStyle name="계산 9 3" xfId="7960" xr:uid="{00000000-0005-0000-0000-0000181F0000}"/>
    <cellStyle name="计算 9 3" xfId="6395" xr:uid="{00000000-0005-0000-0000-0000FB180000}"/>
    <cellStyle name="计算 9 3 2" xfId="7348" xr:uid="{00000000-0005-0000-0000-0000B41C0000}"/>
    <cellStyle name="계산 9 4" xfId="8105" xr:uid="{00000000-0005-0000-0000-0000A91F0000}"/>
    <cellStyle name="计算 9 4" xfId="6210" xr:uid="{00000000-0005-0000-0000-000042180000}"/>
    <cellStyle name="计算 9 4 2" xfId="7222" xr:uid="{00000000-0005-0000-0000-0000361C0000}"/>
    <cellStyle name="계산 9 5" xfId="8022" xr:uid="{00000000-0005-0000-0000-0000561F0000}"/>
    <cellStyle name="计算 9 5" xfId="6519" xr:uid="{00000000-0005-0000-0000-000077190000}"/>
    <cellStyle name="计算 9 5 2" xfId="7463" xr:uid="{00000000-0005-0000-0000-0000271D0000}"/>
    <cellStyle name="计算 9 6" xfId="6348" xr:uid="{00000000-0005-0000-0000-0000CC180000}"/>
    <cellStyle name="计算 9 7" xfId="7934" xr:uid="{00000000-0005-0000-0000-0000FE1E0000}"/>
    <cellStyle name="计算 9 8" xfId="8063" xr:uid="{00000000-0005-0000-0000-00007F1F0000}"/>
    <cellStyle name="计算 9 9" xfId="8064" xr:uid="{00000000-0005-0000-0000-0000801F0000}"/>
    <cellStyle name="고정소숫점" xfId="2910" xr:uid="{00000000-0005-0000-0000-00005E0B0000}"/>
    <cellStyle name="고정소숫점 10" xfId="2911" xr:uid="{00000000-0005-0000-0000-00005F0B0000}"/>
    <cellStyle name="고정소숫점 11" xfId="2912" xr:uid="{00000000-0005-0000-0000-0000600B0000}"/>
    <cellStyle name="고정소숫점 12" xfId="2913" xr:uid="{00000000-0005-0000-0000-0000610B0000}"/>
    <cellStyle name="고정소숫점 13" xfId="2914" xr:uid="{00000000-0005-0000-0000-0000620B0000}"/>
    <cellStyle name="고정소숫점 14" xfId="2915" xr:uid="{00000000-0005-0000-0000-0000630B0000}"/>
    <cellStyle name="고정소숫점 15" xfId="2916" xr:uid="{00000000-0005-0000-0000-0000640B0000}"/>
    <cellStyle name="고정소숫점 16" xfId="2917" xr:uid="{00000000-0005-0000-0000-0000650B0000}"/>
    <cellStyle name="고정소숫점 17" xfId="2918" xr:uid="{00000000-0005-0000-0000-0000660B0000}"/>
    <cellStyle name="고정소숫점 18" xfId="2919" xr:uid="{00000000-0005-0000-0000-0000670B0000}"/>
    <cellStyle name="고정소숫점 2" xfId="2920" xr:uid="{00000000-0005-0000-0000-0000680B0000}"/>
    <cellStyle name="고정소숫점 3" xfId="2921" xr:uid="{00000000-0005-0000-0000-0000690B0000}"/>
    <cellStyle name="고정소숫점 4" xfId="2922" xr:uid="{00000000-0005-0000-0000-00006A0B0000}"/>
    <cellStyle name="고정소숫점 5" xfId="2923" xr:uid="{00000000-0005-0000-0000-00006B0B0000}"/>
    <cellStyle name="고정소숫점 6" xfId="2924" xr:uid="{00000000-0005-0000-0000-00006C0B0000}"/>
    <cellStyle name="고정소숫점 7" xfId="2925" xr:uid="{00000000-0005-0000-0000-00006D0B0000}"/>
    <cellStyle name="고정소숫점 8" xfId="2926" xr:uid="{00000000-0005-0000-0000-00006E0B0000}"/>
    <cellStyle name="고정소숫점 9" xfId="2927" xr:uid="{00000000-0005-0000-0000-00006F0B0000}"/>
    <cellStyle name="고정소숫점_BMB_UGA NEXT(audio_DPP2 Ver1.0)2008.xx.xx" xfId="2928" xr:uid="{00000000-0005-0000-0000-0000700B0000}"/>
    <cellStyle name="고정출력1" xfId="2929" xr:uid="{00000000-0005-0000-0000-0000710B0000}"/>
    <cellStyle name="고정출력1 10" xfId="2930" xr:uid="{00000000-0005-0000-0000-0000720B0000}"/>
    <cellStyle name="고정출력1 11" xfId="2931" xr:uid="{00000000-0005-0000-0000-0000730B0000}"/>
    <cellStyle name="고정출력1 12" xfId="2932" xr:uid="{00000000-0005-0000-0000-0000740B0000}"/>
    <cellStyle name="고정출력1 13" xfId="2933" xr:uid="{00000000-0005-0000-0000-0000750B0000}"/>
    <cellStyle name="고정출력1 14" xfId="2934" xr:uid="{00000000-0005-0000-0000-0000760B0000}"/>
    <cellStyle name="고정출력1 15" xfId="2935" xr:uid="{00000000-0005-0000-0000-0000770B0000}"/>
    <cellStyle name="고정출력1 16" xfId="2936" xr:uid="{00000000-0005-0000-0000-0000780B0000}"/>
    <cellStyle name="고정출력1 17" xfId="2937" xr:uid="{00000000-0005-0000-0000-0000790B0000}"/>
    <cellStyle name="고정출력1 18" xfId="2938" xr:uid="{00000000-0005-0000-0000-00007A0B0000}"/>
    <cellStyle name="고정출력1 2" xfId="2939" xr:uid="{00000000-0005-0000-0000-00007B0B0000}"/>
    <cellStyle name="고정출력1 3" xfId="2940" xr:uid="{00000000-0005-0000-0000-00007C0B0000}"/>
    <cellStyle name="고정출력1 4" xfId="2941" xr:uid="{00000000-0005-0000-0000-00007D0B0000}"/>
    <cellStyle name="고정출력1 5" xfId="2942" xr:uid="{00000000-0005-0000-0000-00007E0B0000}"/>
    <cellStyle name="고정출력1 6" xfId="2943" xr:uid="{00000000-0005-0000-0000-00007F0B0000}"/>
    <cellStyle name="고정출력1 7" xfId="2944" xr:uid="{00000000-0005-0000-0000-0000800B0000}"/>
    <cellStyle name="고정출력1 8" xfId="2945" xr:uid="{00000000-0005-0000-0000-0000810B0000}"/>
    <cellStyle name="고정출력1 9" xfId="2946" xr:uid="{00000000-0005-0000-0000-0000820B0000}"/>
    <cellStyle name="고정출력1_BMB_UGA NEXT(audio_DPP2 Ver1.0)2008.xx.xx" xfId="2947" xr:uid="{00000000-0005-0000-0000-0000830B0000}"/>
    <cellStyle name="고정출력2" xfId="2948" xr:uid="{00000000-0005-0000-0000-0000840B0000}"/>
    <cellStyle name="고정출력2 10" xfId="2949" xr:uid="{00000000-0005-0000-0000-0000850B0000}"/>
    <cellStyle name="고정출력2 11" xfId="2950" xr:uid="{00000000-0005-0000-0000-0000860B0000}"/>
    <cellStyle name="고정출력2 12" xfId="2951" xr:uid="{00000000-0005-0000-0000-0000870B0000}"/>
    <cellStyle name="고정출력2 13" xfId="2952" xr:uid="{00000000-0005-0000-0000-0000880B0000}"/>
    <cellStyle name="고정출력2 14" xfId="2953" xr:uid="{00000000-0005-0000-0000-0000890B0000}"/>
    <cellStyle name="고정출력2 15" xfId="2954" xr:uid="{00000000-0005-0000-0000-00008A0B0000}"/>
    <cellStyle name="고정출력2 16" xfId="2955" xr:uid="{00000000-0005-0000-0000-00008B0B0000}"/>
    <cellStyle name="고정출력2 17" xfId="2956" xr:uid="{00000000-0005-0000-0000-00008C0B0000}"/>
    <cellStyle name="고정출력2 18" xfId="2957" xr:uid="{00000000-0005-0000-0000-00008D0B0000}"/>
    <cellStyle name="고정출력2 2" xfId="2958" xr:uid="{00000000-0005-0000-0000-00008E0B0000}"/>
    <cellStyle name="고정출력2 3" xfId="2959" xr:uid="{00000000-0005-0000-0000-00008F0B0000}"/>
    <cellStyle name="고정출력2 4" xfId="2960" xr:uid="{00000000-0005-0000-0000-0000900B0000}"/>
    <cellStyle name="고정출력2 5" xfId="2961" xr:uid="{00000000-0005-0000-0000-0000910B0000}"/>
    <cellStyle name="고정출력2 6" xfId="2962" xr:uid="{00000000-0005-0000-0000-0000920B0000}"/>
    <cellStyle name="고정출력2 7" xfId="2963" xr:uid="{00000000-0005-0000-0000-0000930B0000}"/>
    <cellStyle name="고정출력2 8" xfId="2964" xr:uid="{00000000-0005-0000-0000-0000940B0000}"/>
    <cellStyle name="고정출력2 9" xfId="2965" xr:uid="{00000000-0005-0000-0000-0000950B0000}"/>
    <cellStyle name="고정출력2_BMB_UGA NEXT(audio_DPP2 Ver1.0)2008.xx.xx" xfId="2966" xr:uid="{00000000-0005-0000-0000-0000960B0000}"/>
    <cellStyle name="适中" xfId="2967" xr:uid="{00000000-0005-0000-0000-0000970B0000}"/>
    <cellStyle name="适中 10" xfId="2968" xr:uid="{00000000-0005-0000-0000-0000980B0000}"/>
    <cellStyle name="适中 11" xfId="2969" xr:uid="{00000000-0005-0000-0000-0000990B0000}"/>
    <cellStyle name="适中 12" xfId="2970" xr:uid="{00000000-0005-0000-0000-00009A0B0000}"/>
    <cellStyle name="适中 13" xfId="2971" xr:uid="{00000000-0005-0000-0000-00009B0B0000}"/>
    <cellStyle name="适中 14" xfId="2972" xr:uid="{00000000-0005-0000-0000-00009C0B0000}"/>
    <cellStyle name="适中 15" xfId="2973" xr:uid="{00000000-0005-0000-0000-00009D0B0000}"/>
    <cellStyle name="适中 16" xfId="2974" xr:uid="{00000000-0005-0000-0000-00009E0B0000}"/>
    <cellStyle name="适中 17" xfId="2975" xr:uid="{00000000-0005-0000-0000-00009F0B0000}"/>
    <cellStyle name="适中 18" xfId="2976" xr:uid="{00000000-0005-0000-0000-0000A00B0000}"/>
    <cellStyle name="适中 2" xfId="2977" xr:uid="{00000000-0005-0000-0000-0000A10B0000}"/>
    <cellStyle name="适中 3" xfId="2978" xr:uid="{00000000-0005-0000-0000-0000A20B0000}"/>
    <cellStyle name="适中 4" xfId="2979" xr:uid="{00000000-0005-0000-0000-0000A30B0000}"/>
    <cellStyle name="适中 5" xfId="2980" xr:uid="{00000000-0005-0000-0000-0000A40B0000}"/>
    <cellStyle name="适中 6" xfId="2981" xr:uid="{00000000-0005-0000-0000-0000A50B0000}"/>
    <cellStyle name="适中 7" xfId="2982" xr:uid="{00000000-0005-0000-0000-0000A60B0000}"/>
    <cellStyle name="适中 8" xfId="2983" xr:uid="{00000000-0005-0000-0000-0000A70B0000}"/>
    <cellStyle name="适中 9" xfId="2984" xr:uid="{00000000-0005-0000-0000-0000A80B0000}"/>
    <cellStyle name="咬訌裝?INCOM1" xfId="310" xr:uid="{00000000-0005-0000-0000-000036010000}"/>
    <cellStyle name="咬訌裝?INCOM10" xfId="311" xr:uid="{00000000-0005-0000-0000-000037010000}"/>
    <cellStyle name="咬訌裝?INCOM2" xfId="312" xr:uid="{00000000-0005-0000-0000-000038010000}"/>
    <cellStyle name="咬訌裝?INCOM3" xfId="313" xr:uid="{00000000-0005-0000-0000-000039010000}"/>
    <cellStyle name="咬訌裝?INCOM4" xfId="314" xr:uid="{00000000-0005-0000-0000-00003A010000}"/>
    <cellStyle name="咬訌裝?INCOM5" xfId="315" xr:uid="{00000000-0005-0000-0000-00003B010000}"/>
    <cellStyle name="咬訌裝?INCOM6" xfId="316" xr:uid="{00000000-0005-0000-0000-00003C010000}"/>
    <cellStyle name="咬訌裝?INCOM7" xfId="317" xr:uid="{00000000-0005-0000-0000-00003D010000}"/>
    <cellStyle name="咬訌裝?INCOM8" xfId="318" xr:uid="{00000000-0005-0000-0000-00003E010000}"/>
    <cellStyle name="咬訌裝?INCOM9" xfId="319" xr:uid="{00000000-0005-0000-0000-00003F010000}"/>
    <cellStyle name="咬訌裝?PRIB11" xfId="320" xr:uid="{00000000-0005-0000-0000-000040010000}"/>
    <cellStyle name="나쁨 2" xfId="131" xr:uid="{00000000-0005-0000-0000-000083000000}"/>
    <cellStyle name="나쁨 2 2" xfId="2986" xr:uid="{00000000-0005-0000-0000-0000AA0B0000}"/>
    <cellStyle name="나쁨 2 3" xfId="5844" xr:uid="{00000000-0005-0000-0000-0000D4160000}"/>
    <cellStyle name="나쁨 3" xfId="132" xr:uid="{00000000-0005-0000-0000-000084000000}"/>
    <cellStyle name="나쁨 3 2" xfId="2987" xr:uid="{00000000-0005-0000-0000-0000AB0B0000}"/>
    <cellStyle name="나쁨 4" xfId="133" xr:uid="{00000000-0005-0000-0000-000085000000}"/>
    <cellStyle name="나쁨 4 2" xfId="2988" xr:uid="{00000000-0005-0000-0000-0000AC0B0000}"/>
    <cellStyle name="나쁨 5" xfId="134" xr:uid="{00000000-0005-0000-0000-000086000000}"/>
    <cellStyle name="나쁨 6" xfId="135" xr:uid="{00000000-0005-0000-0000-000087000000}"/>
    <cellStyle name="나쁨 6 2" xfId="2989" xr:uid="{00000000-0005-0000-0000-0000AD0B0000}"/>
    <cellStyle name="나쁨 7" xfId="264" xr:uid="{00000000-0005-0000-0000-000008010000}"/>
    <cellStyle name="날짜" xfId="2990" xr:uid="{00000000-0005-0000-0000-0000AE0B0000}"/>
    <cellStyle name="날짜 10" xfId="2991" xr:uid="{00000000-0005-0000-0000-0000AF0B0000}"/>
    <cellStyle name="날짜 11" xfId="2992" xr:uid="{00000000-0005-0000-0000-0000B00B0000}"/>
    <cellStyle name="날짜 12" xfId="2993" xr:uid="{00000000-0005-0000-0000-0000B10B0000}"/>
    <cellStyle name="날짜 13" xfId="2994" xr:uid="{00000000-0005-0000-0000-0000B20B0000}"/>
    <cellStyle name="날짜 14" xfId="2995" xr:uid="{00000000-0005-0000-0000-0000B30B0000}"/>
    <cellStyle name="날짜 15" xfId="2996" xr:uid="{00000000-0005-0000-0000-0000B40B0000}"/>
    <cellStyle name="날짜 16" xfId="2997" xr:uid="{00000000-0005-0000-0000-0000B50B0000}"/>
    <cellStyle name="날짜 17" xfId="2998" xr:uid="{00000000-0005-0000-0000-0000B60B0000}"/>
    <cellStyle name="날짜 18" xfId="2999" xr:uid="{00000000-0005-0000-0000-0000B70B0000}"/>
    <cellStyle name="날짜 2" xfId="3000" xr:uid="{00000000-0005-0000-0000-0000B80B0000}"/>
    <cellStyle name="날짜 3" xfId="3001" xr:uid="{00000000-0005-0000-0000-0000B90B0000}"/>
    <cellStyle name="날짜 4" xfId="3002" xr:uid="{00000000-0005-0000-0000-0000BA0B0000}"/>
    <cellStyle name="날짜 5" xfId="3003" xr:uid="{00000000-0005-0000-0000-0000BB0B0000}"/>
    <cellStyle name="날짜 6" xfId="3004" xr:uid="{00000000-0005-0000-0000-0000BC0B0000}"/>
    <cellStyle name="날짜 7" xfId="3005" xr:uid="{00000000-0005-0000-0000-0000BD0B0000}"/>
    <cellStyle name="날짜 8" xfId="3006" xr:uid="{00000000-0005-0000-0000-0000BE0B0000}"/>
    <cellStyle name="날짜 9" xfId="3007" xr:uid="{00000000-0005-0000-0000-0000BF0B0000}"/>
    <cellStyle name="날짜_BMB_UGA NEXT(audio_DPP2 Ver1.0)2008.xx.xx" xfId="3008" xr:uid="{00000000-0005-0000-0000-0000C00B0000}"/>
    <cellStyle name="달러" xfId="3009" xr:uid="{00000000-0005-0000-0000-0000C10B0000}"/>
    <cellStyle name="달러 10" xfId="3010" xr:uid="{00000000-0005-0000-0000-0000C20B0000}"/>
    <cellStyle name="달러 11" xfId="3011" xr:uid="{00000000-0005-0000-0000-0000C30B0000}"/>
    <cellStyle name="달러 12" xfId="3012" xr:uid="{00000000-0005-0000-0000-0000C40B0000}"/>
    <cellStyle name="달러 13" xfId="3013" xr:uid="{00000000-0005-0000-0000-0000C50B0000}"/>
    <cellStyle name="달러 14" xfId="3014" xr:uid="{00000000-0005-0000-0000-0000C60B0000}"/>
    <cellStyle name="달러 15" xfId="3015" xr:uid="{00000000-0005-0000-0000-0000C70B0000}"/>
    <cellStyle name="달러 16" xfId="3016" xr:uid="{00000000-0005-0000-0000-0000C80B0000}"/>
    <cellStyle name="달러 17" xfId="3017" xr:uid="{00000000-0005-0000-0000-0000C90B0000}"/>
    <cellStyle name="달러 18" xfId="3018" xr:uid="{00000000-0005-0000-0000-0000CA0B0000}"/>
    <cellStyle name="달러 2" xfId="3019" xr:uid="{00000000-0005-0000-0000-0000CB0B0000}"/>
    <cellStyle name="달러 3" xfId="3020" xr:uid="{00000000-0005-0000-0000-0000CC0B0000}"/>
    <cellStyle name="달러 4" xfId="3021" xr:uid="{00000000-0005-0000-0000-0000CD0B0000}"/>
    <cellStyle name="달러 5" xfId="3022" xr:uid="{00000000-0005-0000-0000-0000CE0B0000}"/>
    <cellStyle name="달러 6" xfId="3023" xr:uid="{00000000-0005-0000-0000-0000CF0B0000}"/>
    <cellStyle name="달러 7" xfId="3024" xr:uid="{00000000-0005-0000-0000-0000D00B0000}"/>
    <cellStyle name="달러 8" xfId="3025" xr:uid="{00000000-0005-0000-0000-0000D10B0000}"/>
    <cellStyle name="달러 9" xfId="3026" xr:uid="{00000000-0005-0000-0000-0000D20B0000}"/>
    <cellStyle name="달러_BMB_UGA NEXT(audio_DPP2 Ver1.0)2008.xx.xx" xfId="3027" xr:uid="{00000000-0005-0000-0000-0000D30B0000}"/>
    <cellStyle name="뒤에 오는 하이퍼링크" xfId="3028" xr:uid="{00000000-0005-0000-0000-0000D40B0000}"/>
    <cellStyle name="뒤에 오는 하이퍼링크 10" xfId="3029" xr:uid="{00000000-0005-0000-0000-0000D50B0000}"/>
    <cellStyle name="뒤에 오는 하이퍼링크 11" xfId="3030" xr:uid="{00000000-0005-0000-0000-0000D60B0000}"/>
    <cellStyle name="뒤에 오는 하이퍼링크 12" xfId="3031" xr:uid="{00000000-0005-0000-0000-0000D70B0000}"/>
    <cellStyle name="뒤에 오는 하이퍼링크 13" xfId="3032" xr:uid="{00000000-0005-0000-0000-0000D80B0000}"/>
    <cellStyle name="뒤에 오는 하이퍼링크 14" xfId="3033" xr:uid="{00000000-0005-0000-0000-0000D90B0000}"/>
    <cellStyle name="뒤에 오는 하이퍼링크 15" xfId="3034" xr:uid="{00000000-0005-0000-0000-0000DA0B0000}"/>
    <cellStyle name="뒤에 오는 하이퍼링크 16" xfId="3035" xr:uid="{00000000-0005-0000-0000-0000DB0B0000}"/>
    <cellStyle name="뒤에 오는 하이퍼링크 17" xfId="3036" xr:uid="{00000000-0005-0000-0000-0000DC0B0000}"/>
    <cellStyle name="뒤에 오는 하이퍼링크 18" xfId="3037" xr:uid="{00000000-0005-0000-0000-0000DD0B0000}"/>
    <cellStyle name="뒤에 오는 하이퍼링크 2" xfId="3038" xr:uid="{00000000-0005-0000-0000-0000DE0B0000}"/>
    <cellStyle name="뒤에 오는 하이퍼링크 3" xfId="3039" xr:uid="{00000000-0005-0000-0000-0000DF0B0000}"/>
    <cellStyle name="뒤에 오는 하이퍼링크 4" xfId="3040" xr:uid="{00000000-0005-0000-0000-0000E00B0000}"/>
    <cellStyle name="뒤에 오는 하이퍼링크 5" xfId="3041" xr:uid="{00000000-0005-0000-0000-0000E10B0000}"/>
    <cellStyle name="뒤에 오는 하이퍼링크 6" xfId="3042" xr:uid="{00000000-0005-0000-0000-0000E20B0000}"/>
    <cellStyle name="뒤에 오는 하이퍼링크 7" xfId="3043" xr:uid="{00000000-0005-0000-0000-0000E30B0000}"/>
    <cellStyle name="뒤에 오는 하이퍼링크 8" xfId="3044" xr:uid="{00000000-0005-0000-0000-0000E40B0000}"/>
    <cellStyle name="뒤에 오는 하이퍼링크 9" xfId="3045" xr:uid="{00000000-0005-0000-0000-0000E50B0000}"/>
    <cellStyle name="뒤에 오는 하이퍼링크_BMB_UGA NEXT(audio_DPP2 Ver1.0)2008.xx.xx" xfId="3046" xr:uid="{00000000-0005-0000-0000-0000E60B0000}"/>
    <cellStyle name="链接单元格" xfId="3818" xr:uid="{00000000-0005-0000-0000-0000EA0E0000}"/>
    <cellStyle name="链接单元格 10" xfId="3819" xr:uid="{00000000-0005-0000-0000-0000EB0E0000}"/>
    <cellStyle name="链接单元格 11" xfId="3820" xr:uid="{00000000-0005-0000-0000-0000EC0E0000}"/>
    <cellStyle name="链接单元格 12" xfId="3821" xr:uid="{00000000-0005-0000-0000-0000ED0E0000}"/>
    <cellStyle name="链接单元格 13" xfId="3822" xr:uid="{00000000-0005-0000-0000-0000EE0E0000}"/>
    <cellStyle name="链接单元格 14" xfId="3823" xr:uid="{00000000-0005-0000-0000-0000EF0E0000}"/>
    <cellStyle name="链接单元格 15" xfId="3824" xr:uid="{00000000-0005-0000-0000-0000F00E0000}"/>
    <cellStyle name="链接单元格 16" xfId="3825" xr:uid="{00000000-0005-0000-0000-0000F10E0000}"/>
    <cellStyle name="链接单元格 17" xfId="3826" xr:uid="{00000000-0005-0000-0000-0000F20E0000}"/>
    <cellStyle name="链接单元格 18" xfId="3827" xr:uid="{00000000-0005-0000-0000-0000F30E0000}"/>
    <cellStyle name="链接单元格 2" xfId="3828" xr:uid="{00000000-0005-0000-0000-0000F40E0000}"/>
    <cellStyle name="链接单元格 3" xfId="3829" xr:uid="{00000000-0005-0000-0000-0000F50E0000}"/>
    <cellStyle name="链接单元格 4" xfId="3830" xr:uid="{00000000-0005-0000-0000-0000F60E0000}"/>
    <cellStyle name="链接单元格 5" xfId="3831" xr:uid="{00000000-0005-0000-0000-0000F70E0000}"/>
    <cellStyle name="链接单元格 6" xfId="3832" xr:uid="{00000000-0005-0000-0000-0000F80E0000}"/>
    <cellStyle name="链接单元格 7" xfId="3833" xr:uid="{00000000-0005-0000-0000-0000F90E0000}"/>
    <cellStyle name="链接单元格 8" xfId="3834" xr:uid="{00000000-0005-0000-0000-0000FA0E0000}"/>
    <cellStyle name="链接单元格 9" xfId="3835" xr:uid="{00000000-0005-0000-0000-0000FB0E0000}"/>
    <cellStyle name="메모 10" xfId="3047" xr:uid="{00000000-0005-0000-0000-0000E70B0000}"/>
    <cellStyle name="메모 10 2" xfId="7122" xr:uid="{00000000-0005-0000-0000-0000D21B0000}"/>
    <cellStyle name="메모 11" xfId="6263" xr:uid="{00000000-0005-0000-0000-000077180000}"/>
    <cellStyle name="메모 11 2" xfId="7261" xr:uid="{00000000-0005-0000-0000-00005D1C0000}"/>
    <cellStyle name="메모 12" xfId="6486" xr:uid="{00000000-0005-0000-0000-000056190000}"/>
    <cellStyle name="메모 12 2" xfId="7439" xr:uid="{00000000-0005-0000-0000-00000F1D0000}"/>
    <cellStyle name="메모 13" xfId="6086" xr:uid="{00000000-0005-0000-0000-0000C6170000}"/>
    <cellStyle name="메모 13 2" xfId="7137" xr:uid="{00000000-0005-0000-0000-0000E11B0000}"/>
    <cellStyle name="메모 14" xfId="6075" xr:uid="{00000000-0005-0000-0000-0000BB170000}"/>
    <cellStyle name="메모 2" xfId="136" xr:uid="{00000000-0005-0000-0000-000088000000}"/>
    <cellStyle name="메모 2 10" xfId="6076" xr:uid="{00000000-0005-0000-0000-0000BC170000}"/>
    <cellStyle name="메모 2 11" xfId="7097" xr:uid="{00000000-0005-0000-0000-0000B91B0000}"/>
    <cellStyle name="메모 2 2" xfId="3049" xr:uid="{00000000-0005-0000-0000-0000E90B0000}"/>
    <cellStyle name="메모 2 2 2" xfId="5845" xr:uid="{00000000-0005-0000-0000-0000D5160000}"/>
    <cellStyle name="메모 2 3" xfId="3050" xr:uid="{00000000-0005-0000-0000-0000EA0B0000}"/>
    <cellStyle name="메모 2 3 2" xfId="5846" xr:uid="{00000000-0005-0000-0000-0000D6160000}"/>
    <cellStyle name="메모 2 3 2 2" xfId="6654" xr:uid="{00000000-0005-0000-0000-0000FE190000}"/>
    <cellStyle name="메모 2 3 2 2 2" xfId="7521" xr:uid="{00000000-0005-0000-0000-0000611D0000}"/>
    <cellStyle name="메모 2 3 2 3" xfId="6798" xr:uid="{00000000-0005-0000-0000-00008E1A0000}"/>
    <cellStyle name="메모 2 3 2 3 2" xfId="7646" xr:uid="{00000000-0005-0000-0000-0000DE1D0000}"/>
    <cellStyle name="메모 2 3 2 4" xfId="6925" xr:uid="{00000000-0005-0000-0000-00000D1B0000}"/>
    <cellStyle name="메모 2 3 2 4 2" xfId="7772" xr:uid="{00000000-0005-0000-0000-00005C1E0000}"/>
    <cellStyle name="메모 2 3 2 5" xfId="6138" xr:uid="{00000000-0005-0000-0000-0000FA170000}"/>
    <cellStyle name="메모 2 3 3" xfId="6265" xr:uid="{00000000-0005-0000-0000-000079180000}"/>
    <cellStyle name="메모 2 3 3 2" xfId="7263" xr:uid="{00000000-0005-0000-0000-00005F1C0000}"/>
    <cellStyle name="메모 2 3 4" xfId="6484" xr:uid="{00000000-0005-0000-0000-000054190000}"/>
    <cellStyle name="메모 2 3 4 2" xfId="7437" xr:uid="{00000000-0005-0000-0000-00000D1D0000}"/>
    <cellStyle name="메모 2 3 5" xfId="6088" xr:uid="{00000000-0005-0000-0000-0000C8170000}"/>
    <cellStyle name="메모 2 3 5 2" xfId="7139" xr:uid="{00000000-0005-0000-0000-0000E31B0000}"/>
    <cellStyle name="메모 2 3 6" xfId="6077" xr:uid="{00000000-0005-0000-0000-0000BD170000}"/>
    <cellStyle name="메모 2 4" xfId="5847" xr:uid="{00000000-0005-0000-0000-0000D7160000}"/>
    <cellStyle name="메모 2 5" xfId="5848" xr:uid="{00000000-0005-0000-0000-0000D8160000}"/>
    <cellStyle name="메모 2 5 2" xfId="6655" xr:uid="{00000000-0005-0000-0000-0000FF190000}"/>
    <cellStyle name="메모 2 5 2 2" xfId="7522" xr:uid="{00000000-0005-0000-0000-0000621D0000}"/>
    <cellStyle name="메모 2 5 3" xfId="6799" xr:uid="{00000000-0005-0000-0000-00008F1A0000}"/>
    <cellStyle name="메모 2 5 3 2" xfId="7647" xr:uid="{00000000-0005-0000-0000-0000DF1D0000}"/>
    <cellStyle name="메모 2 5 4" xfId="6926" xr:uid="{00000000-0005-0000-0000-00000E1B0000}"/>
    <cellStyle name="메모 2 5 4 2" xfId="7773" xr:uid="{00000000-0005-0000-0000-00005D1E0000}"/>
    <cellStyle name="메모 2 5 5" xfId="6139" xr:uid="{00000000-0005-0000-0000-0000FB170000}"/>
    <cellStyle name="메모 2 6" xfId="3048" xr:uid="{00000000-0005-0000-0000-0000E80B0000}"/>
    <cellStyle name="메모 2 6 2" xfId="7123" xr:uid="{00000000-0005-0000-0000-0000D31B0000}"/>
    <cellStyle name="메모 2 7" xfId="6264" xr:uid="{00000000-0005-0000-0000-000078180000}"/>
    <cellStyle name="메모 2 7 2" xfId="7262" xr:uid="{00000000-0005-0000-0000-00005E1C0000}"/>
    <cellStyle name="메모 2 8" xfId="6485" xr:uid="{00000000-0005-0000-0000-000055190000}"/>
    <cellStyle name="메모 2 8 2" xfId="7438" xr:uid="{00000000-0005-0000-0000-00000E1D0000}"/>
    <cellStyle name="메모 2 9" xfId="6087" xr:uid="{00000000-0005-0000-0000-0000C7170000}"/>
    <cellStyle name="메모 2 9 2" xfId="7138" xr:uid="{00000000-0005-0000-0000-0000E21B0000}"/>
    <cellStyle name="메모 3" xfId="137" xr:uid="{00000000-0005-0000-0000-000089000000}"/>
    <cellStyle name="메모 3 2" xfId="5849" xr:uid="{00000000-0005-0000-0000-0000D9160000}"/>
    <cellStyle name="메모 3 3" xfId="3051" xr:uid="{00000000-0005-0000-0000-0000EB0B0000}"/>
    <cellStyle name="메모 3 4" xfId="7098" xr:uid="{00000000-0005-0000-0000-0000BA1B0000}"/>
    <cellStyle name="메모 4" xfId="138" xr:uid="{00000000-0005-0000-0000-00008A000000}"/>
    <cellStyle name="메모 4 2" xfId="5850" xr:uid="{00000000-0005-0000-0000-0000DA160000}"/>
    <cellStyle name="메모 4 3" xfId="3052" xr:uid="{00000000-0005-0000-0000-0000EC0B0000}"/>
    <cellStyle name="메모 4 4" xfId="7099" xr:uid="{00000000-0005-0000-0000-0000BB1B0000}"/>
    <cellStyle name="메모 5" xfId="139" xr:uid="{00000000-0005-0000-0000-00008B000000}"/>
    <cellStyle name="메모 5 2" xfId="5851" xr:uid="{00000000-0005-0000-0000-0000DB160000}"/>
    <cellStyle name="메모 5 2 2" xfId="6656" xr:uid="{00000000-0005-0000-0000-0000001A0000}"/>
    <cellStyle name="메모 5 2 2 2" xfId="7523" xr:uid="{00000000-0005-0000-0000-0000631D0000}"/>
    <cellStyle name="메모 5 2 3" xfId="6800" xr:uid="{00000000-0005-0000-0000-0000901A0000}"/>
    <cellStyle name="메모 5 2 3 2" xfId="7648" xr:uid="{00000000-0005-0000-0000-0000E01D0000}"/>
    <cellStyle name="메모 5 2 4" xfId="6927" xr:uid="{00000000-0005-0000-0000-00000F1B0000}"/>
    <cellStyle name="메모 5 2 4 2" xfId="7774" xr:uid="{00000000-0005-0000-0000-00005E1E0000}"/>
    <cellStyle name="메모 5 2 5" xfId="6140" xr:uid="{00000000-0005-0000-0000-0000FC170000}"/>
    <cellStyle name="메모 5 3" xfId="3053" xr:uid="{00000000-0005-0000-0000-0000ED0B0000}"/>
    <cellStyle name="메모 5 3 2" xfId="7124" xr:uid="{00000000-0005-0000-0000-0000D41B0000}"/>
    <cellStyle name="메모 5 4" xfId="6266" xr:uid="{00000000-0005-0000-0000-00007A180000}"/>
    <cellStyle name="메모 5 4 2" xfId="7264" xr:uid="{00000000-0005-0000-0000-0000601C0000}"/>
    <cellStyle name="메모 5 5" xfId="6483" xr:uid="{00000000-0005-0000-0000-000053190000}"/>
    <cellStyle name="메모 5 5 2" xfId="7436" xr:uid="{00000000-0005-0000-0000-00000C1D0000}"/>
    <cellStyle name="메모 5 6" xfId="6089" xr:uid="{00000000-0005-0000-0000-0000C9170000}"/>
    <cellStyle name="메모 5 6 2" xfId="7140" xr:uid="{00000000-0005-0000-0000-0000E41B0000}"/>
    <cellStyle name="메모 5 7" xfId="6078" xr:uid="{00000000-0005-0000-0000-0000BE170000}"/>
    <cellStyle name="메모 5 8" xfId="7100" xr:uid="{00000000-0005-0000-0000-0000BC1B0000}"/>
    <cellStyle name="메모 6" xfId="140" xr:uid="{00000000-0005-0000-0000-00008C000000}"/>
    <cellStyle name="메모 6 2" xfId="3054" xr:uid="{00000000-0005-0000-0000-0000EE0B0000}"/>
    <cellStyle name="메모 6 3" xfId="7101" xr:uid="{00000000-0005-0000-0000-0000BD1B0000}"/>
    <cellStyle name="메모 7" xfId="265" xr:uid="{00000000-0005-0000-0000-000009010000}"/>
    <cellStyle name="메모 7 2" xfId="5852" xr:uid="{00000000-0005-0000-0000-0000DC160000}"/>
    <cellStyle name="메모 7 2 2" xfId="6657" xr:uid="{00000000-0005-0000-0000-0000011A0000}"/>
    <cellStyle name="메모 7 2 2 2" xfId="7524" xr:uid="{00000000-0005-0000-0000-0000641D0000}"/>
    <cellStyle name="메모 7 2 3" xfId="6801" xr:uid="{00000000-0005-0000-0000-0000911A0000}"/>
    <cellStyle name="메모 7 2 3 2" xfId="7649" xr:uid="{00000000-0005-0000-0000-0000E11D0000}"/>
    <cellStyle name="메모 7 2 4" xfId="6928" xr:uid="{00000000-0005-0000-0000-0000101B0000}"/>
    <cellStyle name="메모 7 2 4 2" xfId="7775" xr:uid="{00000000-0005-0000-0000-00005F1E0000}"/>
    <cellStyle name="메모 7 2 5" xfId="6141" xr:uid="{00000000-0005-0000-0000-0000FD170000}"/>
    <cellStyle name="메모 7 3" xfId="6267" xr:uid="{00000000-0005-0000-0000-00007B180000}"/>
    <cellStyle name="메모 7 3 2" xfId="7265" xr:uid="{00000000-0005-0000-0000-0000611C0000}"/>
    <cellStyle name="메모 7 4" xfId="6482" xr:uid="{00000000-0005-0000-0000-000052190000}"/>
    <cellStyle name="메모 7 4 2" xfId="7435" xr:uid="{00000000-0005-0000-0000-00000B1D0000}"/>
    <cellStyle name="메모 7 5" xfId="6090" xr:uid="{00000000-0005-0000-0000-0000CA170000}"/>
    <cellStyle name="메모 7 5 2" xfId="7141" xr:uid="{00000000-0005-0000-0000-0000E51B0000}"/>
    <cellStyle name="메모 7 6" xfId="6079" xr:uid="{00000000-0005-0000-0000-0000BF170000}"/>
    <cellStyle name="메모 8" xfId="5853" xr:uid="{00000000-0005-0000-0000-0000DD160000}"/>
    <cellStyle name="메모 8 2" xfId="6658" xr:uid="{00000000-0005-0000-0000-0000021A0000}"/>
    <cellStyle name="메모 8 2 2" xfId="7525" xr:uid="{00000000-0005-0000-0000-0000651D0000}"/>
    <cellStyle name="메모 8 3" xfId="6802" xr:uid="{00000000-0005-0000-0000-0000921A0000}"/>
    <cellStyle name="메모 8 3 2" xfId="7650" xr:uid="{00000000-0005-0000-0000-0000E21D0000}"/>
    <cellStyle name="메모 8 4" xfId="6929" xr:uid="{00000000-0005-0000-0000-0000111B0000}"/>
    <cellStyle name="메모 8 4 2" xfId="7776" xr:uid="{00000000-0005-0000-0000-0000601E0000}"/>
    <cellStyle name="메모 8 5" xfId="6142" xr:uid="{00000000-0005-0000-0000-0000FE170000}"/>
    <cellStyle name="메모 9" xfId="5854" xr:uid="{00000000-0005-0000-0000-0000DE160000}"/>
    <cellStyle name="메모 9 2" xfId="6659" xr:uid="{00000000-0005-0000-0000-0000031A0000}"/>
    <cellStyle name="메모 9 2 2" xfId="7526" xr:uid="{00000000-0005-0000-0000-0000661D0000}"/>
    <cellStyle name="메모 9 3" xfId="6803" xr:uid="{00000000-0005-0000-0000-0000931A0000}"/>
    <cellStyle name="메모 9 3 2" xfId="7651" xr:uid="{00000000-0005-0000-0000-0000E31D0000}"/>
    <cellStyle name="메모 9 4" xfId="6930" xr:uid="{00000000-0005-0000-0000-0000121B0000}"/>
    <cellStyle name="메모 9 4 2" xfId="7777" xr:uid="{00000000-0005-0000-0000-0000611E0000}"/>
    <cellStyle name="메모 9 5" xfId="6143" xr:uid="{00000000-0005-0000-0000-0000FF170000}"/>
    <cellStyle name="백분율 2" xfId="3055" xr:uid="{00000000-0005-0000-0000-0000EF0B0000}"/>
    <cellStyle name="백분율 4" xfId="3056" xr:uid="{00000000-0005-0000-0000-0000F00B0000}"/>
    <cellStyle name="보통 2" xfId="141" xr:uid="{00000000-0005-0000-0000-00008D000000}"/>
    <cellStyle name="보통 2 2" xfId="3059" xr:uid="{00000000-0005-0000-0000-0000F30B0000}"/>
    <cellStyle name="보통 2 3" xfId="5855" xr:uid="{00000000-0005-0000-0000-0000DF160000}"/>
    <cellStyle name="보통 3" xfId="142" xr:uid="{00000000-0005-0000-0000-00008E000000}"/>
    <cellStyle name="보통 3 2" xfId="3060" xr:uid="{00000000-0005-0000-0000-0000F40B0000}"/>
    <cellStyle name="보통 4" xfId="143" xr:uid="{00000000-0005-0000-0000-00008F000000}"/>
    <cellStyle name="보통 4 2" xfId="3061" xr:uid="{00000000-0005-0000-0000-0000F50B0000}"/>
    <cellStyle name="보통 5" xfId="144" xr:uid="{00000000-0005-0000-0000-000090000000}"/>
    <cellStyle name="보통 6" xfId="145" xr:uid="{00000000-0005-0000-0000-000091000000}"/>
    <cellStyle name="보통 6 2" xfId="3062" xr:uid="{00000000-0005-0000-0000-0000F60B0000}"/>
    <cellStyle name="보통 7" xfId="266" xr:uid="{00000000-0005-0000-0000-00000A010000}"/>
    <cellStyle name="普通_ 新MODEL 日 程" xfId="3063" xr:uid="{00000000-0005-0000-0000-0000F70B0000}"/>
    <cellStyle name="부제목" xfId="3064" xr:uid="{00000000-0005-0000-0000-0000F80B0000}"/>
    <cellStyle name="부제목 10" xfId="3065" xr:uid="{00000000-0005-0000-0000-0000F90B0000}"/>
    <cellStyle name="부제목 11" xfId="3066" xr:uid="{00000000-0005-0000-0000-0000FA0B0000}"/>
    <cellStyle name="부제목 12" xfId="3067" xr:uid="{00000000-0005-0000-0000-0000FB0B0000}"/>
    <cellStyle name="부제목 13" xfId="3068" xr:uid="{00000000-0005-0000-0000-0000FC0B0000}"/>
    <cellStyle name="부제목 14" xfId="3069" xr:uid="{00000000-0005-0000-0000-0000FD0B0000}"/>
    <cellStyle name="부제목 15" xfId="3070" xr:uid="{00000000-0005-0000-0000-0000FE0B0000}"/>
    <cellStyle name="부제목 16" xfId="3071" xr:uid="{00000000-0005-0000-0000-0000FF0B0000}"/>
    <cellStyle name="부제목 17" xfId="3072" xr:uid="{00000000-0005-0000-0000-0000000C0000}"/>
    <cellStyle name="부제목 18" xfId="3073" xr:uid="{00000000-0005-0000-0000-0000010C0000}"/>
    <cellStyle name="부제목 2" xfId="3074" xr:uid="{00000000-0005-0000-0000-0000020C0000}"/>
    <cellStyle name="부제목 3" xfId="3075" xr:uid="{00000000-0005-0000-0000-0000030C0000}"/>
    <cellStyle name="부제목 4" xfId="3076" xr:uid="{00000000-0005-0000-0000-0000040C0000}"/>
    <cellStyle name="부제목 5" xfId="3077" xr:uid="{00000000-0005-0000-0000-0000050C0000}"/>
    <cellStyle name="부제목 6" xfId="3078" xr:uid="{00000000-0005-0000-0000-0000060C0000}"/>
    <cellStyle name="부제목 7" xfId="3079" xr:uid="{00000000-0005-0000-0000-0000070C0000}"/>
    <cellStyle name="부제목 8" xfId="3080" xr:uid="{00000000-0005-0000-0000-0000080C0000}"/>
    <cellStyle name="부제목 9" xfId="3081" xr:uid="{00000000-0005-0000-0000-0000090C0000}"/>
    <cellStyle name="부제목_BMB_UGA NEXT(audio_DPP2 Ver1.0)2008.xx.xx" xfId="3082" xr:uid="{00000000-0005-0000-0000-00000A0C0000}"/>
    <cellStyle name="뷭?_BOOKSHIP" xfId="3083" xr:uid="{00000000-0005-0000-0000-00000B0C0000}"/>
    <cellStyle name="常规_1008" xfId="3084" xr:uid="{00000000-0005-0000-0000-00000C0C0000}"/>
    <cellStyle name="새귑[0]_롤痰삠悧 " xfId="3085" xr:uid="{00000000-0005-0000-0000-00000D0C0000}"/>
    <cellStyle name="새귑_롤痰삠悧 " xfId="3086" xr:uid="{00000000-0005-0000-0000-00000E0C0000}"/>
    <cellStyle name="설명 텍스트 2" xfId="146" xr:uid="{00000000-0005-0000-0000-000092000000}"/>
    <cellStyle name="설명 텍스트 2 2" xfId="3087" xr:uid="{00000000-0005-0000-0000-00000F0C0000}"/>
    <cellStyle name="설명 텍스트 2 3" xfId="5856" xr:uid="{00000000-0005-0000-0000-0000E0160000}"/>
    <cellStyle name="설명 텍스트 3" xfId="147" xr:uid="{00000000-0005-0000-0000-000093000000}"/>
    <cellStyle name="설명 텍스트 3 2" xfId="3088" xr:uid="{00000000-0005-0000-0000-0000100C0000}"/>
    <cellStyle name="설명 텍스트 4" xfId="148" xr:uid="{00000000-0005-0000-0000-000094000000}"/>
    <cellStyle name="설명 텍스트 4 2" xfId="3089" xr:uid="{00000000-0005-0000-0000-0000110C0000}"/>
    <cellStyle name="설명 텍스트 5" xfId="149" xr:uid="{00000000-0005-0000-0000-000095000000}"/>
    <cellStyle name="설명 텍스트 6" xfId="150" xr:uid="{00000000-0005-0000-0000-000096000000}"/>
    <cellStyle name="설명 텍스트 6 2" xfId="3090" xr:uid="{00000000-0005-0000-0000-0000120C0000}"/>
    <cellStyle name="설명 텍스트 7" xfId="267" xr:uid="{00000000-0005-0000-0000-00000B010000}"/>
    <cellStyle name="셀 확인 2" xfId="151" xr:uid="{00000000-0005-0000-0000-000097000000}"/>
    <cellStyle name="셀 확인 2 2" xfId="3091" xr:uid="{00000000-0005-0000-0000-0000130C0000}"/>
    <cellStyle name="셀 확인 2 3" xfId="5857" xr:uid="{00000000-0005-0000-0000-0000E1160000}"/>
    <cellStyle name="셀 확인 2 4" xfId="5858" xr:uid="{00000000-0005-0000-0000-0000E2160000}"/>
    <cellStyle name="셀 확인 3" xfId="152" xr:uid="{00000000-0005-0000-0000-000098000000}"/>
    <cellStyle name="셀 확인 3 2" xfId="3092" xr:uid="{00000000-0005-0000-0000-0000140C0000}"/>
    <cellStyle name="셀 확인 3 3" xfId="7102" xr:uid="{00000000-0005-0000-0000-0000BE1B0000}"/>
    <cellStyle name="셀 확인 4" xfId="153" xr:uid="{00000000-0005-0000-0000-000099000000}"/>
    <cellStyle name="셀 확인 4 2" xfId="3093" xr:uid="{00000000-0005-0000-0000-0000150C0000}"/>
    <cellStyle name="셀 확인 4 3" xfId="7103" xr:uid="{00000000-0005-0000-0000-0000BF1B0000}"/>
    <cellStyle name="셀 확인 5" xfId="154" xr:uid="{00000000-0005-0000-0000-00009A000000}"/>
    <cellStyle name="셀 확인 5 2" xfId="5859" xr:uid="{00000000-0005-0000-0000-0000E3160000}"/>
    <cellStyle name="셀 확인 6" xfId="155" xr:uid="{00000000-0005-0000-0000-00009B000000}"/>
    <cellStyle name="셀 확인 6 2" xfId="3094" xr:uid="{00000000-0005-0000-0000-0000160C0000}"/>
    <cellStyle name="셀 확인 6 3" xfId="7104" xr:uid="{00000000-0005-0000-0000-0000C01B0000}"/>
    <cellStyle name="셀 확인 7" xfId="268" xr:uid="{00000000-0005-0000-0000-00000C010000}"/>
    <cellStyle name="셀 확인 7 2" xfId="5860" xr:uid="{00000000-0005-0000-0000-0000E4160000}"/>
    <cellStyle name="输入" xfId="3781" xr:uid="{00000000-0005-0000-0000-0000C50E0000}"/>
    <cellStyle name="输入 10" xfId="3782" xr:uid="{00000000-0005-0000-0000-0000C60E0000}"/>
    <cellStyle name="输入 10 2" xfId="5987" xr:uid="{00000000-0005-0000-0000-000063170000}"/>
    <cellStyle name="输入 10 2 2" xfId="6759" xr:uid="{00000000-0005-0000-0000-0000671A0000}"/>
    <cellStyle name="输入 10 2 2 2" xfId="7607" xr:uid="{00000000-0005-0000-0000-0000B71D0000}"/>
    <cellStyle name="输入 10 2 3" xfId="6885" xr:uid="{00000000-0005-0000-0000-0000E51A0000}"/>
    <cellStyle name="输入 10 2 3 2" xfId="7733" xr:uid="{00000000-0005-0000-0000-0000351E0000}"/>
    <cellStyle name="输入 10 2 4" xfId="7011" xr:uid="{00000000-0005-0000-0000-0000631B0000}"/>
    <cellStyle name="输入 10 2 4 2" xfId="7858" xr:uid="{00000000-0005-0000-0000-0000B21E0000}"/>
    <cellStyle name="输入 10 2 5" xfId="6587" xr:uid="{00000000-0005-0000-0000-0000BB190000}"/>
    <cellStyle name="输入 10 3" xfId="6397" xr:uid="{00000000-0005-0000-0000-0000FD180000}"/>
    <cellStyle name="输入 10 3 2" xfId="7350" xr:uid="{00000000-0005-0000-0000-0000B61C0000}"/>
    <cellStyle name="输入 10 4" xfId="6208" xr:uid="{00000000-0005-0000-0000-000040180000}"/>
    <cellStyle name="输入 10 4 2" xfId="7220" xr:uid="{00000000-0005-0000-0000-0000341C0000}"/>
    <cellStyle name="输入 10 5" xfId="6523" xr:uid="{00000000-0005-0000-0000-00007B190000}"/>
    <cellStyle name="输入 10 5 2" xfId="7465" xr:uid="{00000000-0005-0000-0000-0000291D0000}"/>
    <cellStyle name="输入 10 6" xfId="6349" xr:uid="{00000000-0005-0000-0000-0000CD180000}"/>
    <cellStyle name="输入 11" xfId="3783" xr:uid="{00000000-0005-0000-0000-0000C70E0000}"/>
    <cellStyle name="输入 11 2" xfId="5988" xr:uid="{00000000-0005-0000-0000-000064170000}"/>
    <cellStyle name="输入 11 2 2" xfId="6760" xr:uid="{00000000-0005-0000-0000-0000681A0000}"/>
    <cellStyle name="输入 11 2 2 2" xfId="7608" xr:uid="{00000000-0005-0000-0000-0000B81D0000}"/>
    <cellStyle name="输入 11 2 3" xfId="6886" xr:uid="{00000000-0005-0000-0000-0000E61A0000}"/>
    <cellStyle name="输入 11 2 3 2" xfId="7734" xr:uid="{00000000-0005-0000-0000-0000361E0000}"/>
    <cellStyle name="输入 11 2 4" xfId="7012" xr:uid="{00000000-0005-0000-0000-0000641B0000}"/>
    <cellStyle name="输入 11 2 4 2" xfId="7859" xr:uid="{00000000-0005-0000-0000-0000B31E0000}"/>
    <cellStyle name="输入 11 2 5" xfId="6588" xr:uid="{00000000-0005-0000-0000-0000BC190000}"/>
    <cellStyle name="输入 11 3" xfId="6398" xr:uid="{00000000-0005-0000-0000-0000FE180000}"/>
    <cellStyle name="输入 11 3 2" xfId="7351" xr:uid="{00000000-0005-0000-0000-0000B71C0000}"/>
    <cellStyle name="输入 11 4" xfId="6207" xr:uid="{00000000-0005-0000-0000-00003F180000}"/>
    <cellStyle name="输入 11 4 2" xfId="7219" xr:uid="{00000000-0005-0000-0000-0000331C0000}"/>
    <cellStyle name="输入 11 5" xfId="6524" xr:uid="{00000000-0005-0000-0000-00007C190000}"/>
    <cellStyle name="输入 11 5 2" xfId="7466" xr:uid="{00000000-0005-0000-0000-00002A1D0000}"/>
    <cellStyle name="输入 11 6" xfId="6711" xr:uid="{00000000-0005-0000-0000-0000371A0000}"/>
    <cellStyle name="输入 12" xfId="3784" xr:uid="{00000000-0005-0000-0000-0000C80E0000}"/>
    <cellStyle name="输入 12 2" xfId="5989" xr:uid="{00000000-0005-0000-0000-000065170000}"/>
    <cellStyle name="输入 12 2 2" xfId="6761" xr:uid="{00000000-0005-0000-0000-0000691A0000}"/>
    <cellStyle name="输入 12 2 2 2" xfId="7609" xr:uid="{00000000-0005-0000-0000-0000B91D0000}"/>
    <cellStyle name="输入 12 2 3" xfId="6887" xr:uid="{00000000-0005-0000-0000-0000E71A0000}"/>
    <cellStyle name="输入 12 2 3 2" xfId="7735" xr:uid="{00000000-0005-0000-0000-0000371E0000}"/>
    <cellStyle name="输入 12 2 4" xfId="7013" xr:uid="{00000000-0005-0000-0000-0000651B0000}"/>
    <cellStyle name="输入 12 2 4 2" xfId="7860" xr:uid="{00000000-0005-0000-0000-0000B41E0000}"/>
    <cellStyle name="输入 12 2 5" xfId="6589" xr:uid="{00000000-0005-0000-0000-0000BD190000}"/>
    <cellStyle name="输入 12 3" xfId="6399" xr:uid="{00000000-0005-0000-0000-0000FF180000}"/>
    <cellStyle name="输入 12 3 2" xfId="7352" xr:uid="{00000000-0005-0000-0000-0000B81C0000}"/>
    <cellStyle name="输入 12 4" xfId="6206" xr:uid="{00000000-0005-0000-0000-00003E180000}"/>
    <cellStyle name="输入 12 4 2" xfId="7218" xr:uid="{00000000-0005-0000-0000-0000321C0000}"/>
    <cellStyle name="输入 12 5" xfId="6525" xr:uid="{00000000-0005-0000-0000-00007D190000}"/>
    <cellStyle name="输入 12 5 2" xfId="7467" xr:uid="{00000000-0005-0000-0000-00002B1D0000}"/>
    <cellStyle name="输入 12 6" xfId="6350" xr:uid="{00000000-0005-0000-0000-0000CE180000}"/>
    <cellStyle name="输入 13" xfId="3785" xr:uid="{00000000-0005-0000-0000-0000C90E0000}"/>
    <cellStyle name="输入 13 2" xfId="5990" xr:uid="{00000000-0005-0000-0000-000066170000}"/>
    <cellStyle name="输入 13 2 2" xfId="6762" xr:uid="{00000000-0005-0000-0000-00006A1A0000}"/>
    <cellStyle name="输入 13 2 2 2" xfId="7610" xr:uid="{00000000-0005-0000-0000-0000BA1D0000}"/>
    <cellStyle name="输入 13 2 3" xfId="6888" xr:uid="{00000000-0005-0000-0000-0000E81A0000}"/>
    <cellStyle name="输入 13 2 3 2" xfId="7736" xr:uid="{00000000-0005-0000-0000-0000381E0000}"/>
    <cellStyle name="输入 13 2 4" xfId="7014" xr:uid="{00000000-0005-0000-0000-0000661B0000}"/>
    <cellStyle name="输入 13 2 4 2" xfId="7861" xr:uid="{00000000-0005-0000-0000-0000B51E0000}"/>
    <cellStyle name="输入 13 2 5" xfId="6520" xr:uid="{00000000-0005-0000-0000-000078190000}"/>
    <cellStyle name="输入 13 3" xfId="6400" xr:uid="{00000000-0005-0000-0000-000000190000}"/>
    <cellStyle name="输入 13 3 2" xfId="7353" xr:uid="{00000000-0005-0000-0000-0000B91C0000}"/>
    <cellStyle name="输入 13 4" xfId="6205" xr:uid="{00000000-0005-0000-0000-00003D180000}"/>
    <cellStyle name="输入 13 4 2" xfId="7217" xr:uid="{00000000-0005-0000-0000-0000311C0000}"/>
    <cellStyle name="输入 13 5" xfId="6526" xr:uid="{00000000-0005-0000-0000-00007E190000}"/>
    <cellStyle name="输入 13 5 2" xfId="7468" xr:uid="{00000000-0005-0000-0000-00002C1D0000}"/>
    <cellStyle name="输入 13 6" xfId="6712" xr:uid="{00000000-0005-0000-0000-0000381A0000}"/>
    <cellStyle name="输入 14" xfId="3786" xr:uid="{00000000-0005-0000-0000-0000CA0E0000}"/>
    <cellStyle name="输入 14 2" xfId="5991" xr:uid="{00000000-0005-0000-0000-000067170000}"/>
    <cellStyle name="输入 14 2 2" xfId="6763" xr:uid="{00000000-0005-0000-0000-00006B1A0000}"/>
    <cellStyle name="输入 14 2 2 2" xfId="7611" xr:uid="{00000000-0005-0000-0000-0000BB1D0000}"/>
    <cellStyle name="输入 14 2 3" xfId="6889" xr:uid="{00000000-0005-0000-0000-0000E91A0000}"/>
    <cellStyle name="输入 14 2 3 2" xfId="7737" xr:uid="{00000000-0005-0000-0000-0000391E0000}"/>
    <cellStyle name="输入 14 2 4" xfId="7015" xr:uid="{00000000-0005-0000-0000-0000671B0000}"/>
    <cellStyle name="输入 14 2 4 2" xfId="7862" xr:uid="{00000000-0005-0000-0000-0000B61E0000}"/>
    <cellStyle name="输入 14 2 5" xfId="6521" xr:uid="{00000000-0005-0000-0000-000079190000}"/>
    <cellStyle name="输入 14 3" xfId="6401" xr:uid="{00000000-0005-0000-0000-000001190000}"/>
    <cellStyle name="输入 14 3 2" xfId="7354" xr:uid="{00000000-0005-0000-0000-0000BA1C0000}"/>
    <cellStyle name="输入 14 4" xfId="6204" xr:uid="{00000000-0005-0000-0000-00003C180000}"/>
    <cellStyle name="输入 14 4 2" xfId="7216" xr:uid="{00000000-0005-0000-0000-0000301C0000}"/>
    <cellStyle name="输入 14 5" xfId="6527" xr:uid="{00000000-0005-0000-0000-00007F190000}"/>
    <cellStyle name="输入 14 5 2" xfId="7469" xr:uid="{00000000-0005-0000-0000-00002D1D0000}"/>
    <cellStyle name="输入 14 6" xfId="6351" xr:uid="{00000000-0005-0000-0000-0000CF180000}"/>
    <cellStyle name="输入 15" xfId="3787" xr:uid="{00000000-0005-0000-0000-0000CB0E0000}"/>
    <cellStyle name="输入 15 2" xfId="5992" xr:uid="{00000000-0005-0000-0000-000068170000}"/>
    <cellStyle name="输入 15 2 2" xfId="6764" xr:uid="{00000000-0005-0000-0000-00006C1A0000}"/>
    <cellStyle name="输入 15 2 2 2" xfId="7612" xr:uid="{00000000-0005-0000-0000-0000BC1D0000}"/>
    <cellStyle name="输入 15 2 3" xfId="6890" xr:uid="{00000000-0005-0000-0000-0000EA1A0000}"/>
    <cellStyle name="输入 15 2 3 2" xfId="7738" xr:uid="{00000000-0005-0000-0000-00003A1E0000}"/>
    <cellStyle name="输入 15 2 4" xfId="7016" xr:uid="{00000000-0005-0000-0000-0000681B0000}"/>
    <cellStyle name="输入 15 2 4 2" xfId="7863" xr:uid="{00000000-0005-0000-0000-0000B71E0000}"/>
    <cellStyle name="输入 15 2 5" xfId="6590" xr:uid="{00000000-0005-0000-0000-0000BE190000}"/>
    <cellStyle name="输入 15 3" xfId="6402" xr:uid="{00000000-0005-0000-0000-000002190000}"/>
    <cellStyle name="输入 15 3 2" xfId="7355" xr:uid="{00000000-0005-0000-0000-0000BB1C0000}"/>
    <cellStyle name="输入 15 4" xfId="6203" xr:uid="{00000000-0005-0000-0000-00003B180000}"/>
    <cellStyle name="输入 15 4 2" xfId="7215" xr:uid="{00000000-0005-0000-0000-00002F1C0000}"/>
    <cellStyle name="输入 15 5" xfId="6528" xr:uid="{00000000-0005-0000-0000-000080190000}"/>
    <cellStyle name="输入 15 5 2" xfId="7470" xr:uid="{00000000-0005-0000-0000-00002E1D0000}"/>
    <cellStyle name="输入 15 6" xfId="6713" xr:uid="{00000000-0005-0000-0000-0000391A0000}"/>
    <cellStyle name="输入 16" xfId="3788" xr:uid="{00000000-0005-0000-0000-0000CC0E0000}"/>
    <cellStyle name="输入 16 2" xfId="5993" xr:uid="{00000000-0005-0000-0000-000069170000}"/>
    <cellStyle name="输入 16 2 2" xfId="6765" xr:uid="{00000000-0005-0000-0000-00006D1A0000}"/>
    <cellStyle name="输入 16 2 2 2" xfId="7613" xr:uid="{00000000-0005-0000-0000-0000BD1D0000}"/>
    <cellStyle name="输入 16 2 3" xfId="6891" xr:uid="{00000000-0005-0000-0000-0000EB1A0000}"/>
    <cellStyle name="输入 16 2 3 2" xfId="7739" xr:uid="{00000000-0005-0000-0000-00003B1E0000}"/>
    <cellStyle name="输入 16 2 4" xfId="7017" xr:uid="{00000000-0005-0000-0000-0000691B0000}"/>
    <cellStyle name="输入 16 2 4 2" xfId="7864" xr:uid="{00000000-0005-0000-0000-0000B81E0000}"/>
    <cellStyle name="输入 16 2 5" xfId="6591" xr:uid="{00000000-0005-0000-0000-0000BF190000}"/>
    <cellStyle name="输入 16 3" xfId="6403" xr:uid="{00000000-0005-0000-0000-000003190000}"/>
    <cellStyle name="输入 16 3 2" xfId="7356" xr:uid="{00000000-0005-0000-0000-0000BC1C0000}"/>
    <cellStyle name="输入 16 4" xfId="6202" xr:uid="{00000000-0005-0000-0000-00003A180000}"/>
    <cellStyle name="输入 16 4 2" xfId="7214" xr:uid="{00000000-0005-0000-0000-00002E1C0000}"/>
    <cellStyle name="输入 16 5" xfId="6529" xr:uid="{00000000-0005-0000-0000-000081190000}"/>
    <cellStyle name="输入 16 5 2" xfId="7471" xr:uid="{00000000-0005-0000-0000-00002F1D0000}"/>
    <cellStyle name="输入 16 6" xfId="6714" xr:uid="{00000000-0005-0000-0000-00003A1A0000}"/>
    <cellStyle name="输入 17" xfId="3789" xr:uid="{00000000-0005-0000-0000-0000CD0E0000}"/>
    <cellStyle name="输入 17 2" xfId="5994" xr:uid="{00000000-0005-0000-0000-00006A170000}"/>
    <cellStyle name="输入 17 2 2" xfId="6766" xr:uid="{00000000-0005-0000-0000-00006E1A0000}"/>
    <cellStyle name="输入 17 2 2 2" xfId="7614" xr:uid="{00000000-0005-0000-0000-0000BE1D0000}"/>
    <cellStyle name="输入 17 2 3" xfId="6892" xr:uid="{00000000-0005-0000-0000-0000EC1A0000}"/>
    <cellStyle name="输入 17 2 3 2" xfId="7740" xr:uid="{00000000-0005-0000-0000-00003C1E0000}"/>
    <cellStyle name="输入 17 2 4" xfId="7018" xr:uid="{00000000-0005-0000-0000-00006A1B0000}"/>
    <cellStyle name="输入 17 2 4 2" xfId="7865" xr:uid="{00000000-0005-0000-0000-0000B91E0000}"/>
    <cellStyle name="输入 17 2 5" xfId="6592" xr:uid="{00000000-0005-0000-0000-0000C0190000}"/>
    <cellStyle name="输入 17 3" xfId="6404" xr:uid="{00000000-0005-0000-0000-000004190000}"/>
    <cellStyle name="输入 17 3 2" xfId="7357" xr:uid="{00000000-0005-0000-0000-0000BD1C0000}"/>
    <cellStyle name="输入 17 4" xfId="6201" xr:uid="{00000000-0005-0000-0000-000039180000}"/>
    <cellStyle name="输入 17 4 2" xfId="7213" xr:uid="{00000000-0005-0000-0000-00002D1C0000}"/>
    <cellStyle name="输入 17 5" xfId="6530" xr:uid="{00000000-0005-0000-0000-000082190000}"/>
    <cellStyle name="输入 17 5 2" xfId="7472" xr:uid="{00000000-0005-0000-0000-0000301D0000}"/>
    <cellStyle name="输入 17 6" xfId="6352" xr:uid="{00000000-0005-0000-0000-0000D0180000}"/>
    <cellStyle name="输入 18" xfId="3790" xr:uid="{00000000-0005-0000-0000-0000CE0E0000}"/>
    <cellStyle name="输入 18 2" xfId="5995" xr:uid="{00000000-0005-0000-0000-00006B170000}"/>
    <cellStyle name="输入 18 2 2" xfId="6767" xr:uid="{00000000-0005-0000-0000-00006F1A0000}"/>
    <cellStyle name="输入 18 2 2 2" xfId="7615" xr:uid="{00000000-0005-0000-0000-0000BF1D0000}"/>
    <cellStyle name="输入 18 2 3" xfId="6893" xr:uid="{00000000-0005-0000-0000-0000ED1A0000}"/>
    <cellStyle name="输入 18 2 3 2" xfId="7741" xr:uid="{00000000-0005-0000-0000-00003D1E0000}"/>
    <cellStyle name="输入 18 2 4" xfId="7019" xr:uid="{00000000-0005-0000-0000-00006B1B0000}"/>
    <cellStyle name="输入 18 2 4 2" xfId="7866" xr:uid="{00000000-0005-0000-0000-0000BA1E0000}"/>
    <cellStyle name="输入 18 2 5" xfId="6593" xr:uid="{00000000-0005-0000-0000-0000C1190000}"/>
    <cellStyle name="输入 18 3" xfId="6405" xr:uid="{00000000-0005-0000-0000-000005190000}"/>
    <cellStyle name="输入 18 3 2" xfId="7358" xr:uid="{00000000-0005-0000-0000-0000BE1C0000}"/>
    <cellStyle name="输入 18 4" xfId="6200" xr:uid="{00000000-0005-0000-0000-000038180000}"/>
    <cellStyle name="输入 18 4 2" xfId="7212" xr:uid="{00000000-0005-0000-0000-00002C1C0000}"/>
    <cellStyle name="输入 18 5" xfId="6531" xr:uid="{00000000-0005-0000-0000-000083190000}"/>
    <cellStyle name="输入 18 5 2" xfId="7473" xr:uid="{00000000-0005-0000-0000-0000311D0000}"/>
    <cellStyle name="输入 18 6" xfId="6715" xr:uid="{00000000-0005-0000-0000-00003B1A0000}"/>
    <cellStyle name="输入 19" xfId="5996" xr:uid="{00000000-0005-0000-0000-00006C170000}"/>
    <cellStyle name="输入 19 2" xfId="6768" xr:uid="{00000000-0005-0000-0000-0000701A0000}"/>
    <cellStyle name="输入 19 2 2" xfId="7616" xr:uid="{00000000-0005-0000-0000-0000C01D0000}"/>
    <cellStyle name="输入 19 3" xfId="6894" xr:uid="{00000000-0005-0000-0000-0000EE1A0000}"/>
    <cellStyle name="输入 19 3 2" xfId="7742" xr:uid="{00000000-0005-0000-0000-00003E1E0000}"/>
    <cellStyle name="输入 19 4" xfId="7020" xr:uid="{00000000-0005-0000-0000-00006C1B0000}"/>
    <cellStyle name="输入 19 4 2" xfId="7867" xr:uid="{00000000-0005-0000-0000-0000BB1E0000}"/>
    <cellStyle name="输入 19 5" xfId="6594" xr:uid="{00000000-0005-0000-0000-0000C2190000}"/>
    <cellStyle name="输入 2" xfId="3791" xr:uid="{00000000-0005-0000-0000-0000CF0E0000}"/>
    <cellStyle name="输入 2 2" xfId="5997" xr:uid="{00000000-0005-0000-0000-00006D170000}"/>
    <cellStyle name="输入 2 2 2" xfId="6769" xr:uid="{00000000-0005-0000-0000-0000711A0000}"/>
    <cellStyle name="输入 2 2 2 2" xfId="7617" xr:uid="{00000000-0005-0000-0000-0000C11D0000}"/>
    <cellStyle name="输入 2 2 3" xfId="6895" xr:uid="{00000000-0005-0000-0000-0000EF1A0000}"/>
    <cellStyle name="输入 2 2 3 2" xfId="7743" xr:uid="{00000000-0005-0000-0000-00003F1E0000}"/>
    <cellStyle name="输入 2 2 4" xfId="7021" xr:uid="{00000000-0005-0000-0000-00006D1B0000}"/>
    <cellStyle name="输入 2 2 4 2" xfId="7868" xr:uid="{00000000-0005-0000-0000-0000BC1E0000}"/>
    <cellStyle name="输入 2 2 5" xfId="6595" xr:uid="{00000000-0005-0000-0000-0000C3190000}"/>
    <cellStyle name="输入 2 3" xfId="6406" xr:uid="{00000000-0005-0000-0000-000006190000}"/>
    <cellStyle name="输入 2 3 2" xfId="7359" xr:uid="{00000000-0005-0000-0000-0000BF1C0000}"/>
    <cellStyle name="输入 2 4" xfId="6199" xr:uid="{00000000-0005-0000-0000-000037180000}"/>
    <cellStyle name="输入 2 4 2" xfId="7211" xr:uid="{00000000-0005-0000-0000-00002B1C0000}"/>
    <cellStyle name="输入 2 5" xfId="6532" xr:uid="{00000000-0005-0000-0000-000084190000}"/>
    <cellStyle name="输入 2 5 2" xfId="7474" xr:uid="{00000000-0005-0000-0000-0000321D0000}"/>
    <cellStyle name="输入 2 6" xfId="6353" xr:uid="{00000000-0005-0000-0000-0000D1180000}"/>
    <cellStyle name="输入 20" xfId="6396" xr:uid="{00000000-0005-0000-0000-0000FC180000}"/>
    <cellStyle name="输入 20 2" xfId="7349" xr:uid="{00000000-0005-0000-0000-0000B51C0000}"/>
    <cellStyle name="输入 21" xfId="6209" xr:uid="{00000000-0005-0000-0000-000041180000}"/>
    <cellStyle name="输入 21 2" xfId="7221" xr:uid="{00000000-0005-0000-0000-0000351C0000}"/>
    <cellStyle name="输入 22" xfId="6522" xr:uid="{00000000-0005-0000-0000-00007A190000}"/>
    <cellStyle name="输入 22 2" xfId="7464" xr:uid="{00000000-0005-0000-0000-0000281D0000}"/>
    <cellStyle name="输入 23" xfId="6710" xr:uid="{00000000-0005-0000-0000-0000361A0000}"/>
    <cellStyle name="输入 3" xfId="3792" xr:uid="{00000000-0005-0000-0000-0000D00E0000}"/>
    <cellStyle name="输入 3 2" xfId="5998" xr:uid="{00000000-0005-0000-0000-00006E170000}"/>
    <cellStyle name="输入 3 2 2" xfId="6770" xr:uid="{00000000-0005-0000-0000-0000721A0000}"/>
    <cellStyle name="输入 3 2 2 2" xfId="7618" xr:uid="{00000000-0005-0000-0000-0000C21D0000}"/>
    <cellStyle name="输入 3 2 3" xfId="6896" xr:uid="{00000000-0005-0000-0000-0000F01A0000}"/>
    <cellStyle name="输入 3 2 3 2" xfId="7744" xr:uid="{00000000-0005-0000-0000-0000401E0000}"/>
    <cellStyle name="输入 3 2 4" xfId="7022" xr:uid="{00000000-0005-0000-0000-00006E1B0000}"/>
    <cellStyle name="输入 3 2 4 2" xfId="7869" xr:uid="{00000000-0005-0000-0000-0000BD1E0000}"/>
    <cellStyle name="输入 3 2 5" xfId="6596" xr:uid="{00000000-0005-0000-0000-0000C4190000}"/>
    <cellStyle name="输入 3 3" xfId="6407" xr:uid="{00000000-0005-0000-0000-000007190000}"/>
    <cellStyle name="输入 3 3 2" xfId="7360" xr:uid="{00000000-0005-0000-0000-0000C01C0000}"/>
    <cellStyle name="输入 3 4" xfId="6198" xr:uid="{00000000-0005-0000-0000-000036180000}"/>
    <cellStyle name="输入 3 4 2" xfId="7210" xr:uid="{00000000-0005-0000-0000-00002A1C0000}"/>
    <cellStyle name="输入 3 5" xfId="6533" xr:uid="{00000000-0005-0000-0000-000085190000}"/>
    <cellStyle name="输入 3 5 2" xfId="7475" xr:uid="{00000000-0005-0000-0000-0000331D0000}"/>
    <cellStyle name="输入 3 6" xfId="6716" xr:uid="{00000000-0005-0000-0000-00003C1A0000}"/>
    <cellStyle name="输入 4" xfId="3793" xr:uid="{00000000-0005-0000-0000-0000D10E0000}"/>
    <cellStyle name="输入 4 2" xfId="5999" xr:uid="{00000000-0005-0000-0000-00006F170000}"/>
    <cellStyle name="输入 4 2 2" xfId="6771" xr:uid="{00000000-0005-0000-0000-0000731A0000}"/>
    <cellStyle name="输入 4 2 2 2" xfId="7619" xr:uid="{00000000-0005-0000-0000-0000C31D0000}"/>
    <cellStyle name="输入 4 2 3" xfId="6897" xr:uid="{00000000-0005-0000-0000-0000F11A0000}"/>
    <cellStyle name="输入 4 2 3 2" xfId="7745" xr:uid="{00000000-0005-0000-0000-0000411E0000}"/>
    <cellStyle name="输入 4 2 4" xfId="7023" xr:uid="{00000000-0005-0000-0000-00006F1B0000}"/>
    <cellStyle name="输入 4 2 4 2" xfId="7870" xr:uid="{00000000-0005-0000-0000-0000BE1E0000}"/>
    <cellStyle name="输入 4 2 5" xfId="6597" xr:uid="{00000000-0005-0000-0000-0000C5190000}"/>
    <cellStyle name="输入 4 3" xfId="6408" xr:uid="{00000000-0005-0000-0000-000008190000}"/>
    <cellStyle name="输入 4 3 2" xfId="7361" xr:uid="{00000000-0005-0000-0000-0000C11C0000}"/>
    <cellStyle name="输入 4 4" xfId="6197" xr:uid="{00000000-0005-0000-0000-000035180000}"/>
    <cellStyle name="输入 4 4 2" xfId="7209" xr:uid="{00000000-0005-0000-0000-0000291C0000}"/>
    <cellStyle name="输入 4 5" xfId="6534" xr:uid="{00000000-0005-0000-0000-000086190000}"/>
    <cellStyle name="输入 4 5 2" xfId="7476" xr:uid="{00000000-0005-0000-0000-0000341D0000}"/>
    <cellStyle name="输入 4 6" xfId="6354" xr:uid="{00000000-0005-0000-0000-0000D2180000}"/>
    <cellStyle name="输入 5" xfId="3794" xr:uid="{00000000-0005-0000-0000-0000D20E0000}"/>
    <cellStyle name="输入 5 2" xfId="6000" xr:uid="{00000000-0005-0000-0000-000070170000}"/>
    <cellStyle name="输入 5 2 2" xfId="6772" xr:uid="{00000000-0005-0000-0000-0000741A0000}"/>
    <cellStyle name="输入 5 2 2 2" xfId="7620" xr:uid="{00000000-0005-0000-0000-0000C41D0000}"/>
    <cellStyle name="输入 5 2 3" xfId="6898" xr:uid="{00000000-0005-0000-0000-0000F21A0000}"/>
    <cellStyle name="输入 5 2 3 2" xfId="7746" xr:uid="{00000000-0005-0000-0000-0000421E0000}"/>
    <cellStyle name="输入 5 2 4" xfId="7024" xr:uid="{00000000-0005-0000-0000-0000701B0000}"/>
    <cellStyle name="输入 5 2 4 2" xfId="7871" xr:uid="{00000000-0005-0000-0000-0000BF1E0000}"/>
    <cellStyle name="输入 5 2 5" xfId="6598" xr:uid="{00000000-0005-0000-0000-0000C6190000}"/>
    <cellStyle name="输入 5 3" xfId="6409" xr:uid="{00000000-0005-0000-0000-000009190000}"/>
    <cellStyle name="输入 5 3 2" xfId="7362" xr:uid="{00000000-0005-0000-0000-0000C21C0000}"/>
    <cellStyle name="输入 5 4" xfId="6195" xr:uid="{00000000-0005-0000-0000-000033180000}"/>
    <cellStyle name="输入 5 4 2" xfId="7208" xr:uid="{00000000-0005-0000-0000-0000281C0000}"/>
    <cellStyle name="输入 5 5" xfId="6535" xr:uid="{00000000-0005-0000-0000-000087190000}"/>
    <cellStyle name="输入 5 5 2" xfId="7477" xr:uid="{00000000-0005-0000-0000-0000351D0000}"/>
    <cellStyle name="输入 5 6" xfId="6717" xr:uid="{00000000-0005-0000-0000-00003D1A0000}"/>
    <cellStyle name="输入 6" xfId="3795" xr:uid="{00000000-0005-0000-0000-0000D30E0000}"/>
    <cellStyle name="输入 6 2" xfId="6001" xr:uid="{00000000-0005-0000-0000-000071170000}"/>
    <cellStyle name="输入 6 2 2" xfId="6773" xr:uid="{00000000-0005-0000-0000-0000751A0000}"/>
    <cellStyle name="输入 6 2 2 2" xfId="7621" xr:uid="{00000000-0005-0000-0000-0000C51D0000}"/>
    <cellStyle name="输入 6 2 3" xfId="6899" xr:uid="{00000000-0005-0000-0000-0000F31A0000}"/>
    <cellStyle name="输入 6 2 3 2" xfId="7747" xr:uid="{00000000-0005-0000-0000-0000431E0000}"/>
    <cellStyle name="输入 6 2 4" xfId="7025" xr:uid="{00000000-0005-0000-0000-0000711B0000}"/>
    <cellStyle name="输入 6 2 4 2" xfId="7872" xr:uid="{00000000-0005-0000-0000-0000C01E0000}"/>
    <cellStyle name="输入 6 2 5" xfId="6599" xr:uid="{00000000-0005-0000-0000-0000C7190000}"/>
    <cellStyle name="输入 6 3" xfId="6410" xr:uid="{00000000-0005-0000-0000-00000A190000}"/>
    <cellStyle name="输入 6 3 2" xfId="7363" xr:uid="{00000000-0005-0000-0000-0000C31C0000}"/>
    <cellStyle name="输入 6 4" xfId="6194" xr:uid="{00000000-0005-0000-0000-000032180000}"/>
    <cellStyle name="输入 6 4 2" xfId="7207" xr:uid="{00000000-0005-0000-0000-0000271C0000}"/>
    <cellStyle name="输入 6 5" xfId="6536" xr:uid="{00000000-0005-0000-0000-000088190000}"/>
    <cellStyle name="输入 6 5 2" xfId="7478" xr:uid="{00000000-0005-0000-0000-0000361D0000}"/>
    <cellStyle name="输入 6 6" xfId="6355" xr:uid="{00000000-0005-0000-0000-0000D3180000}"/>
    <cellStyle name="输入 7" xfId="3796" xr:uid="{00000000-0005-0000-0000-0000D40E0000}"/>
    <cellStyle name="输入 7 2" xfId="6002" xr:uid="{00000000-0005-0000-0000-000072170000}"/>
    <cellStyle name="输入 7 2 2" xfId="6774" xr:uid="{00000000-0005-0000-0000-0000761A0000}"/>
    <cellStyle name="输入 7 2 2 2" xfId="7622" xr:uid="{00000000-0005-0000-0000-0000C61D0000}"/>
    <cellStyle name="输入 7 2 3" xfId="6900" xr:uid="{00000000-0005-0000-0000-0000F41A0000}"/>
    <cellStyle name="输入 7 2 3 2" xfId="7748" xr:uid="{00000000-0005-0000-0000-0000441E0000}"/>
    <cellStyle name="输入 7 2 4" xfId="7026" xr:uid="{00000000-0005-0000-0000-0000721B0000}"/>
    <cellStyle name="输入 7 2 4 2" xfId="7873" xr:uid="{00000000-0005-0000-0000-0000C11E0000}"/>
    <cellStyle name="输入 7 2 5" xfId="6600" xr:uid="{00000000-0005-0000-0000-0000C8190000}"/>
    <cellStyle name="输入 7 3" xfId="6411" xr:uid="{00000000-0005-0000-0000-00000B190000}"/>
    <cellStyle name="输入 7 3 2" xfId="7364" xr:uid="{00000000-0005-0000-0000-0000C41C0000}"/>
    <cellStyle name="输入 7 4" xfId="6193" xr:uid="{00000000-0005-0000-0000-000031180000}"/>
    <cellStyle name="输入 7 4 2" xfId="7206" xr:uid="{00000000-0005-0000-0000-0000261C0000}"/>
    <cellStyle name="输入 7 5" xfId="6608" xr:uid="{00000000-0005-0000-0000-0000D0190000}"/>
    <cellStyle name="输入 7 5 2" xfId="7479" xr:uid="{00000000-0005-0000-0000-0000371D0000}"/>
    <cellStyle name="输入 7 6" xfId="6718" xr:uid="{00000000-0005-0000-0000-00003E1A0000}"/>
    <cellStyle name="输入 8" xfId="3797" xr:uid="{00000000-0005-0000-0000-0000D50E0000}"/>
    <cellStyle name="输入 8 2" xfId="6003" xr:uid="{00000000-0005-0000-0000-000073170000}"/>
    <cellStyle name="输入 8 2 2" xfId="6775" xr:uid="{00000000-0005-0000-0000-0000771A0000}"/>
    <cellStyle name="输入 8 2 2 2" xfId="7623" xr:uid="{00000000-0005-0000-0000-0000C71D0000}"/>
    <cellStyle name="输入 8 2 3" xfId="6901" xr:uid="{00000000-0005-0000-0000-0000F51A0000}"/>
    <cellStyle name="输入 8 2 3 2" xfId="7749" xr:uid="{00000000-0005-0000-0000-0000451E0000}"/>
    <cellStyle name="输入 8 2 4" xfId="7027" xr:uid="{00000000-0005-0000-0000-0000731B0000}"/>
    <cellStyle name="输入 8 2 4 2" xfId="7874" xr:uid="{00000000-0005-0000-0000-0000C21E0000}"/>
    <cellStyle name="输入 8 2 5" xfId="6601" xr:uid="{00000000-0005-0000-0000-0000C9190000}"/>
    <cellStyle name="输入 8 3" xfId="6412" xr:uid="{00000000-0005-0000-0000-00000C190000}"/>
    <cellStyle name="输入 8 3 2" xfId="7365" xr:uid="{00000000-0005-0000-0000-0000C51C0000}"/>
    <cellStyle name="输入 8 4" xfId="6192" xr:uid="{00000000-0005-0000-0000-000030180000}"/>
    <cellStyle name="输入 8 4 2" xfId="7205" xr:uid="{00000000-0005-0000-0000-0000251C0000}"/>
    <cellStyle name="输入 8 5" xfId="6609" xr:uid="{00000000-0005-0000-0000-0000D1190000}"/>
    <cellStyle name="输入 8 5 2" xfId="7480" xr:uid="{00000000-0005-0000-0000-0000381D0000}"/>
    <cellStyle name="输入 8 6" xfId="6356" xr:uid="{00000000-0005-0000-0000-0000D4180000}"/>
    <cellStyle name="输入 9" xfId="3798" xr:uid="{00000000-0005-0000-0000-0000D60E0000}"/>
    <cellStyle name="输入 9 2" xfId="6004" xr:uid="{00000000-0005-0000-0000-000074170000}"/>
    <cellStyle name="输入 9 2 2" xfId="6776" xr:uid="{00000000-0005-0000-0000-0000781A0000}"/>
    <cellStyle name="输入 9 2 2 2" xfId="7624" xr:uid="{00000000-0005-0000-0000-0000C81D0000}"/>
    <cellStyle name="输入 9 2 3" xfId="6902" xr:uid="{00000000-0005-0000-0000-0000F61A0000}"/>
    <cellStyle name="输入 9 2 3 2" xfId="7750" xr:uid="{00000000-0005-0000-0000-0000461E0000}"/>
    <cellStyle name="输入 9 2 4" xfId="7028" xr:uid="{00000000-0005-0000-0000-0000741B0000}"/>
    <cellStyle name="输入 9 2 4 2" xfId="7875" xr:uid="{00000000-0005-0000-0000-0000C31E0000}"/>
    <cellStyle name="输入 9 2 5" xfId="6602" xr:uid="{00000000-0005-0000-0000-0000CA190000}"/>
    <cellStyle name="输入 9 3" xfId="6413" xr:uid="{00000000-0005-0000-0000-00000D190000}"/>
    <cellStyle name="输入 9 3 2" xfId="7366" xr:uid="{00000000-0005-0000-0000-0000C61C0000}"/>
    <cellStyle name="输入 9 4" xfId="6191" xr:uid="{00000000-0005-0000-0000-00002F180000}"/>
    <cellStyle name="输入 9 4 2" xfId="7204" xr:uid="{00000000-0005-0000-0000-0000241C0000}"/>
    <cellStyle name="输入 9 5" xfId="6610" xr:uid="{00000000-0005-0000-0000-0000D2190000}"/>
    <cellStyle name="输入 9 5 2" xfId="7481" xr:uid="{00000000-0005-0000-0000-0000391D0000}"/>
    <cellStyle name="输入 9 6" xfId="6719" xr:uid="{00000000-0005-0000-0000-00003F1A0000}"/>
    <cellStyle name="输出" xfId="3799" xr:uid="{00000000-0005-0000-0000-0000D70E0000}"/>
    <cellStyle name="输出 10" xfId="3800" xr:uid="{00000000-0005-0000-0000-0000D80E0000}"/>
    <cellStyle name="输出 10 2" xfId="6005" xr:uid="{00000000-0005-0000-0000-000075170000}"/>
    <cellStyle name="输出 10 2 2" xfId="6777" xr:uid="{00000000-0005-0000-0000-0000791A0000}"/>
    <cellStyle name="输出 10 2 2 2" xfId="7625" xr:uid="{00000000-0005-0000-0000-0000C91D0000}"/>
    <cellStyle name="输出 10 2 3" xfId="6903" xr:uid="{00000000-0005-0000-0000-0000F71A0000}"/>
    <cellStyle name="输出 10 2 3 2" xfId="7751" xr:uid="{00000000-0005-0000-0000-0000471E0000}"/>
    <cellStyle name="输出 10 2 4" xfId="7029" xr:uid="{00000000-0005-0000-0000-0000751B0000}"/>
    <cellStyle name="输出 10 2 4 2" xfId="7876" xr:uid="{00000000-0005-0000-0000-0000C41E0000}"/>
    <cellStyle name="输出 10 2 5" xfId="6603" xr:uid="{00000000-0005-0000-0000-0000CB190000}"/>
    <cellStyle name="输出 10 3" xfId="6415" xr:uid="{00000000-0005-0000-0000-00000F190000}"/>
    <cellStyle name="输出 10 3 2" xfId="7368" xr:uid="{00000000-0005-0000-0000-0000C81C0000}"/>
    <cellStyle name="输出 10 4" xfId="6189" xr:uid="{00000000-0005-0000-0000-00002D180000}"/>
    <cellStyle name="输出 10 4 2" xfId="7202" xr:uid="{00000000-0005-0000-0000-0000221C0000}"/>
    <cellStyle name="输出 10 5" xfId="6612" xr:uid="{00000000-0005-0000-0000-0000D4190000}"/>
    <cellStyle name="输出 10 5 2" xfId="7483" xr:uid="{00000000-0005-0000-0000-00003B1D0000}"/>
    <cellStyle name="输出 10 6" xfId="6720" xr:uid="{00000000-0005-0000-0000-0000401A0000}"/>
    <cellStyle name="输出 11" xfId="3801" xr:uid="{00000000-0005-0000-0000-0000D90E0000}"/>
    <cellStyle name="输出 11 2" xfId="6006" xr:uid="{00000000-0005-0000-0000-000076170000}"/>
    <cellStyle name="输出 11 2 2" xfId="6778" xr:uid="{00000000-0005-0000-0000-00007A1A0000}"/>
    <cellStyle name="输出 11 2 2 2" xfId="7626" xr:uid="{00000000-0005-0000-0000-0000CA1D0000}"/>
    <cellStyle name="输出 11 2 3" xfId="6904" xr:uid="{00000000-0005-0000-0000-0000F81A0000}"/>
    <cellStyle name="输出 11 2 3 2" xfId="7752" xr:uid="{00000000-0005-0000-0000-0000481E0000}"/>
    <cellStyle name="输出 11 2 4" xfId="7030" xr:uid="{00000000-0005-0000-0000-0000761B0000}"/>
    <cellStyle name="输出 11 2 4 2" xfId="7877" xr:uid="{00000000-0005-0000-0000-0000C51E0000}"/>
    <cellStyle name="输出 11 2 5" xfId="6604" xr:uid="{00000000-0005-0000-0000-0000CC190000}"/>
    <cellStyle name="输出 11 3" xfId="6416" xr:uid="{00000000-0005-0000-0000-000010190000}"/>
    <cellStyle name="输出 11 3 2" xfId="7369" xr:uid="{00000000-0005-0000-0000-0000C91C0000}"/>
    <cellStyle name="输出 11 4" xfId="6188" xr:uid="{00000000-0005-0000-0000-00002C180000}"/>
    <cellStyle name="输出 11 4 2" xfId="7201" xr:uid="{00000000-0005-0000-0000-0000211C0000}"/>
    <cellStyle name="输出 11 5" xfId="6613" xr:uid="{00000000-0005-0000-0000-0000D5190000}"/>
    <cellStyle name="输出 11 5 2" xfId="7484" xr:uid="{00000000-0005-0000-0000-00003C1D0000}"/>
    <cellStyle name="输出 11 6" xfId="6358" xr:uid="{00000000-0005-0000-0000-0000D6180000}"/>
    <cellStyle name="输出 12" xfId="3802" xr:uid="{00000000-0005-0000-0000-0000DA0E0000}"/>
    <cellStyle name="输出 12 2" xfId="6007" xr:uid="{00000000-0005-0000-0000-000077170000}"/>
    <cellStyle name="输出 12 2 2" xfId="6779" xr:uid="{00000000-0005-0000-0000-00007B1A0000}"/>
    <cellStyle name="输出 12 2 2 2" xfId="7627" xr:uid="{00000000-0005-0000-0000-0000CB1D0000}"/>
    <cellStyle name="输出 12 2 3" xfId="6905" xr:uid="{00000000-0005-0000-0000-0000F91A0000}"/>
    <cellStyle name="输出 12 2 3 2" xfId="7753" xr:uid="{00000000-0005-0000-0000-0000491E0000}"/>
    <cellStyle name="输出 12 2 4" xfId="7031" xr:uid="{00000000-0005-0000-0000-0000771B0000}"/>
    <cellStyle name="输出 12 2 4 2" xfId="7878" xr:uid="{00000000-0005-0000-0000-0000C61E0000}"/>
    <cellStyle name="输出 12 2 5" xfId="6605" xr:uid="{00000000-0005-0000-0000-0000CD190000}"/>
    <cellStyle name="输出 12 3" xfId="6417" xr:uid="{00000000-0005-0000-0000-000011190000}"/>
    <cellStyle name="输出 12 3 2" xfId="7370" xr:uid="{00000000-0005-0000-0000-0000CA1C0000}"/>
    <cellStyle name="输出 12 4" xfId="6187" xr:uid="{00000000-0005-0000-0000-00002B180000}"/>
    <cellStyle name="输出 12 4 2" xfId="7200" xr:uid="{00000000-0005-0000-0000-0000201C0000}"/>
    <cellStyle name="输出 12 5" xfId="6614" xr:uid="{00000000-0005-0000-0000-0000D6190000}"/>
    <cellStyle name="输出 12 5 2" xfId="7485" xr:uid="{00000000-0005-0000-0000-00003D1D0000}"/>
    <cellStyle name="输出 12 6" xfId="6721" xr:uid="{00000000-0005-0000-0000-0000411A0000}"/>
    <cellStyle name="输出 13" xfId="3803" xr:uid="{00000000-0005-0000-0000-0000DB0E0000}"/>
    <cellStyle name="输出 13 2" xfId="6008" xr:uid="{00000000-0005-0000-0000-000078170000}"/>
    <cellStyle name="输出 13 2 2" xfId="6780" xr:uid="{00000000-0005-0000-0000-00007C1A0000}"/>
    <cellStyle name="输出 13 2 2 2" xfId="7628" xr:uid="{00000000-0005-0000-0000-0000CC1D0000}"/>
    <cellStyle name="输出 13 2 3" xfId="6906" xr:uid="{00000000-0005-0000-0000-0000FA1A0000}"/>
    <cellStyle name="输出 13 2 3 2" xfId="7754" xr:uid="{00000000-0005-0000-0000-00004A1E0000}"/>
    <cellStyle name="输出 13 2 4" xfId="7032" xr:uid="{00000000-0005-0000-0000-0000781B0000}"/>
    <cellStyle name="输出 13 2 4 2" xfId="7879" xr:uid="{00000000-0005-0000-0000-0000C71E0000}"/>
    <cellStyle name="输出 13 2 5" xfId="6606" xr:uid="{00000000-0005-0000-0000-0000CE190000}"/>
    <cellStyle name="输出 13 3" xfId="6418" xr:uid="{00000000-0005-0000-0000-000012190000}"/>
    <cellStyle name="输出 13 3 2" xfId="7371" xr:uid="{00000000-0005-0000-0000-0000CB1C0000}"/>
    <cellStyle name="输出 13 4" xfId="6186" xr:uid="{00000000-0005-0000-0000-00002A180000}"/>
    <cellStyle name="输出 13 4 2" xfId="7199" xr:uid="{00000000-0005-0000-0000-00001F1C0000}"/>
    <cellStyle name="输出 13 5" xfId="6615" xr:uid="{00000000-0005-0000-0000-0000D7190000}"/>
    <cellStyle name="输出 13 5 2" xfId="7486" xr:uid="{00000000-0005-0000-0000-00003E1D0000}"/>
    <cellStyle name="输出 13 6" xfId="6359" xr:uid="{00000000-0005-0000-0000-0000D7180000}"/>
    <cellStyle name="输出 14" xfId="3804" xr:uid="{00000000-0005-0000-0000-0000DC0E0000}"/>
    <cellStyle name="输出 14 2" xfId="6009" xr:uid="{00000000-0005-0000-0000-000079170000}"/>
    <cellStyle name="输出 14 2 2" xfId="6781" xr:uid="{00000000-0005-0000-0000-00007D1A0000}"/>
    <cellStyle name="输出 14 2 2 2" xfId="7629" xr:uid="{00000000-0005-0000-0000-0000CD1D0000}"/>
    <cellStyle name="输出 14 2 3" xfId="6907" xr:uid="{00000000-0005-0000-0000-0000FB1A0000}"/>
    <cellStyle name="输出 14 2 3 2" xfId="7755" xr:uid="{00000000-0005-0000-0000-00004B1E0000}"/>
    <cellStyle name="输出 14 2 4" xfId="7033" xr:uid="{00000000-0005-0000-0000-0000791B0000}"/>
    <cellStyle name="输出 14 2 4 2" xfId="7880" xr:uid="{00000000-0005-0000-0000-0000C81E0000}"/>
    <cellStyle name="输出 14 2 5" xfId="7052" xr:uid="{00000000-0005-0000-0000-00008C1B0000}"/>
    <cellStyle name="输出 14 3" xfId="6419" xr:uid="{00000000-0005-0000-0000-000013190000}"/>
    <cellStyle name="输出 14 3 2" xfId="7372" xr:uid="{00000000-0005-0000-0000-0000CC1C0000}"/>
    <cellStyle name="输出 14 4" xfId="6185" xr:uid="{00000000-0005-0000-0000-000029180000}"/>
    <cellStyle name="输出 14 4 2" xfId="7198" xr:uid="{00000000-0005-0000-0000-00001E1C0000}"/>
    <cellStyle name="输出 14 5" xfId="6616" xr:uid="{00000000-0005-0000-0000-0000D8190000}"/>
    <cellStyle name="输出 14 5 2" xfId="7487" xr:uid="{00000000-0005-0000-0000-00003F1D0000}"/>
    <cellStyle name="输出 14 6" xfId="6722" xr:uid="{00000000-0005-0000-0000-0000421A0000}"/>
    <cellStyle name="输出 15" xfId="3805" xr:uid="{00000000-0005-0000-0000-0000DD0E0000}"/>
    <cellStyle name="输出 15 2" xfId="6010" xr:uid="{00000000-0005-0000-0000-00007A170000}"/>
    <cellStyle name="输出 15 2 2" xfId="6782" xr:uid="{00000000-0005-0000-0000-00007E1A0000}"/>
    <cellStyle name="输出 15 2 2 2" xfId="7630" xr:uid="{00000000-0005-0000-0000-0000CE1D0000}"/>
    <cellStyle name="输出 15 2 3" xfId="6908" xr:uid="{00000000-0005-0000-0000-0000FC1A0000}"/>
    <cellStyle name="输出 15 2 3 2" xfId="7756" xr:uid="{00000000-0005-0000-0000-00004C1E0000}"/>
    <cellStyle name="输出 15 2 4" xfId="7034" xr:uid="{00000000-0005-0000-0000-00007A1B0000}"/>
    <cellStyle name="输出 15 2 4 2" xfId="7881" xr:uid="{00000000-0005-0000-0000-0000C91E0000}"/>
    <cellStyle name="输出 15 2 5" xfId="7053" xr:uid="{00000000-0005-0000-0000-00008D1B0000}"/>
    <cellStyle name="输出 15 3" xfId="6420" xr:uid="{00000000-0005-0000-0000-000014190000}"/>
    <cellStyle name="输出 15 3 2" xfId="7373" xr:uid="{00000000-0005-0000-0000-0000CD1C0000}"/>
    <cellStyle name="输出 15 4" xfId="6184" xr:uid="{00000000-0005-0000-0000-000028180000}"/>
    <cellStyle name="输出 15 4 2" xfId="7197" xr:uid="{00000000-0005-0000-0000-00001D1C0000}"/>
    <cellStyle name="输出 15 5" xfId="6617" xr:uid="{00000000-0005-0000-0000-0000D9190000}"/>
    <cellStyle name="输出 15 5 2" xfId="7488" xr:uid="{00000000-0005-0000-0000-0000401D0000}"/>
    <cellStyle name="输出 15 6" xfId="6246" xr:uid="{00000000-0005-0000-0000-000066180000}"/>
    <cellStyle name="输出 16" xfId="3806" xr:uid="{00000000-0005-0000-0000-0000DE0E0000}"/>
    <cellStyle name="输出 16 2" xfId="6011" xr:uid="{00000000-0005-0000-0000-00007B170000}"/>
    <cellStyle name="输出 16 2 2" xfId="6783" xr:uid="{00000000-0005-0000-0000-00007F1A0000}"/>
    <cellStyle name="输出 16 2 2 2" xfId="7631" xr:uid="{00000000-0005-0000-0000-0000CF1D0000}"/>
    <cellStyle name="输出 16 2 3" xfId="6909" xr:uid="{00000000-0005-0000-0000-0000FD1A0000}"/>
    <cellStyle name="输出 16 2 3 2" xfId="7757" xr:uid="{00000000-0005-0000-0000-00004D1E0000}"/>
    <cellStyle name="输出 16 2 4" xfId="7035" xr:uid="{00000000-0005-0000-0000-00007B1B0000}"/>
    <cellStyle name="输出 16 2 4 2" xfId="7882" xr:uid="{00000000-0005-0000-0000-0000CA1E0000}"/>
    <cellStyle name="输出 16 2 5" xfId="7054" xr:uid="{00000000-0005-0000-0000-00008E1B0000}"/>
    <cellStyle name="输出 16 3" xfId="6421" xr:uid="{00000000-0005-0000-0000-000015190000}"/>
    <cellStyle name="输出 16 3 2" xfId="7374" xr:uid="{00000000-0005-0000-0000-0000CE1C0000}"/>
    <cellStyle name="输出 16 4" xfId="6183" xr:uid="{00000000-0005-0000-0000-000027180000}"/>
    <cellStyle name="输出 16 4 2" xfId="7196" xr:uid="{00000000-0005-0000-0000-00001C1C0000}"/>
    <cellStyle name="输出 16 5" xfId="6618" xr:uid="{00000000-0005-0000-0000-0000DA190000}"/>
    <cellStyle name="输出 16 5 2" xfId="7489" xr:uid="{00000000-0005-0000-0000-0000411D0000}"/>
    <cellStyle name="输出 16 6" xfId="6247" xr:uid="{00000000-0005-0000-0000-000067180000}"/>
    <cellStyle name="输出 17" xfId="3807" xr:uid="{00000000-0005-0000-0000-0000DF0E0000}"/>
    <cellStyle name="输出 17 2" xfId="6012" xr:uid="{00000000-0005-0000-0000-00007C170000}"/>
    <cellStyle name="输出 17 2 2" xfId="6784" xr:uid="{00000000-0005-0000-0000-0000801A0000}"/>
    <cellStyle name="输出 17 2 2 2" xfId="7632" xr:uid="{00000000-0005-0000-0000-0000D01D0000}"/>
    <cellStyle name="输出 17 2 3" xfId="6910" xr:uid="{00000000-0005-0000-0000-0000FE1A0000}"/>
    <cellStyle name="输出 17 2 3 2" xfId="7758" xr:uid="{00000000-0005-0000-0000-00004E1E0000}"/>
    <cellStyle name="输出 17 2 4" xfId="7036" xr:uid="{00000000-0005-0000-0000-00007C1B0000}"/>
    <cellStyle name="输出 17 2 4 2" xfId="7883" xr:uid="{00000000-0005-0000-0000-0000CB1E0000}"/>
    <cellStyle name="输出 17 2 5" xfId="7055" xr:uid="{00000000-0005-0000-0000-00008F1B0000}"/>
    <cellStyle name="输出 17 3" xfId="6422" xr:uid="{00000000-0005-0000-0000-000016190000}"/>
    <cellStyle name="输出 17 3 2" xfId="7375" xr:uid="{00000000-0005-0000-0000-0000CF1C0000}"/>
    <cellStyle name="输出 17 4" xfId="6182" xr:uid="{00000000-0005-0000-0000-000026180000}"/>
    <cellStyle name="输出 17 4 2" xfId="7195" xr:uid="{00000000-0005-0000-0000-00001B1C0000}"/>
    <cellStyle name="输出 17 5" xfId="6619" xr:uid="{00000000-0005-0000-0000-0000DB190000}"/>
    <cellStyle name="输出 17 5 2" xfId="7490" xr:uid="{00000000-0005-0000-0000-0000421D0000}"/>
    <cellStyle name="输出 17 6" xfId="6248" xr:uid="{00000000-0005-0000-0000-000068180000}"/>
    <cellStyle name="输出 18" xfId="3808" xr:uid="{00000000-0005-0000-0000-0000E00E0000}"/>
    <cellStyle name="输出 18 2" xfId="6013" xr:uid="{00000000-0005-0000-0000-00007D170000}"/>
    <cellStyle name="输出 18 2 2" xfId="6785" xr:uid="{00000000-0005-0000-0000-0000811A0000}"/>
    <cellStyle name="输出 18 2 2 2" xfId="7633" xr:uid="{00000000-0005-0000-0000-0000D11D0000}"/>
    <cellStyle name="输出 18 2 3" xfId="6911" xr:uid="{00000000-0005-0000-0000-0000FF1A0000}"/>
    <cellStyle name="输出 18 2 3 2" xfId="7759" xr:uid="{00000000-0005-0000-0000-00004F1E0000}"/>
    <cellStyle name="输出 18 2 4" xfId="7037" xr:uid="{00000000-0005-0000-0000-00007D1B0000}"/>
    <cellStyle name="输出 18 2 4 2" xfId="7884" xr:uid="{00000000-0005-0000-0000-0000CC1E0000}"/>
    <cellStyle name="输出 18 2 5" xfId="7056" xr:uid="{00000000-0005-0000-0000-0000901B0000}"/>
    <cellStyle name="输出 18 3" xfId="6423" xr:uid="{00000000-0005-0000-0000-000017190000}"/>
    <cellStyle name="输出 18 3 2" xfId="7376" xr:uid="{00000000-0005-0000-0000-0000D01C0000}"/>
    <cellStyle name="输出 18 4" xfId="6181" xr:uid="{00000000-0005-0000-0000-000025180000}"/>
    <cellStyle name="输出 18 4 2" xfId="7194" xr:uid="{00000000-0005-0000-0000-00001A1C0000}"/>
    <cellStyle name="输出 18 5" xfId="6620" xr:uid="{00000000-0005-0000-0000-0000DC190000}"/>
    <cellStyle name="输出 18 5 2" xfId="7491" xr:uid="{00000000-0005-0000-0000-0000431D0000}"/>
    <cellStyle name="输出 18 6" xfId="6650" xr:uid="{00000000-0005-0000-0000-0000FA190000}"/>
    <cellStyle name="输出 19" xfId="6014" xr:uid="{00000000-0005-0000-0000-00007E170000}"/>
    <cellStyle name="输出 19 2" xfId="6786" xr:uid="{00000000-0005-0000-0000-0000821A0000}"/>
    <cellStyle name="输出 19 2 2" xfId="7634" xr:uid="{00000000-0005-0000-0000-0000D21D0000}"/>
    <cellStyle name="输出 19 3" xfId="6912" xr:uid="{00000000-0005-0000-0000-0000001B0000}"/>
    <cellStyle name="输出 19 3 2" xfId="7760" xr:uid="{00000000-0005-0000-0000-0000501E0000}"/>
    <cellStyle name="输出 19 4" xfId="7038" xr:uid="{00000000-0005-0000-0000-00007E1B0000}"/>
    <cellStyle name="输出 19 4 2" xfId="7885" xr:uid="{00000000-0005-0000-0000-0000CD1E0000}"/>
    <cellStyle name="输出 19 5" xfId="7057" xr:uid="{00000000-0005-0000-0000-0000911B0000}"/>
    <cellStyle name="输出 2" xfId="3809" xr:uid="{00000000-0005-0000-0000-0000E10E0000}"/>
    <cellStyle name="输出 2 2" xfId="6015" xr:uid="{00000000-0005-0000-0000-00007F170000}"/>
    <cellStyle name="输出 2 2 2" xfId="6787" xr:uid="{00000000-0005-0000-0000-0000831A0000}"/>
    <cellStyle name="输出 2 2 2 2" xfId="7635" xr:uid="{00000000-0005-0000-0000-0000D31D0000}"/>
    <cellStyle name="输出 2 2 3" xfId="6913" xr:uid="{00000000-0005-0000-0000-0000011B0000}"/>
    <cellStyle name="输出 2 2 3 2" xfId="7761" xr:uid="{00000000-0005-0000-0000-0000511E0000}"/>
    <cellStyle name="输出 2 2 4" xfId="7039" xr:uid="{00000000-0005-0000-0000-00007F1B0000}"/>
    <cellStyle name="输出 2 2 4 2" xfId="7886" xr:uid="{00000000-0005-0000-0000-0000CE1E0000}"/>
    <cellStyle name="输出 2 2 5" xfId="7058" xr:uid="{00000000-0005-0000-0000-0000921B0000}"/>
    <cellStyle name="输出 2 3" xfId="6424" xr:uid="{00000000-0005-0000-0000-000018190000}"/>
    <cellStyle name="输出 2 3 2" xfId="7377" xr:uid="{00000000-0005-0000-0000-0000D11C0000}"/>
    <cellStyle name="输出 2 4" xfId="6180" xr:uid="{00000000-0005-0000-0000-000024180000}"/>
    <cellStyle name="输出 2 4 2" xfId="7193" xr:uid="{00000000-0005-0000-0000-0000191C0000}"/>
    <cellStyle name="输出 2 5" xfId="6621" xr:uid="{00000000-0005-0000-0000-0000DD190000}"/>
    <cellStyle name="输出 2 5 2" xfId="7492" xr:uid="{00000000-0005-0000-0000-0000441D0000}"/>
    <cellStyle name="输出 2 6" xfId="6249" xr:uid="{00000000-0005-0000-0000-000069180000}"/>
    <cellStyle name="输出 20" xfId="6414" xr:uid="{00000000-0005-0000-0000-00000E190000}"/>
    <cellStyle name="输出 20 2" xfId="7367" xr:uid="{00000000-0005-0000-0000-0000C71C0000}"/>
    <cellStyle name="输出 21" xfId="6190" xr:uid="{00000000-0005-0000-0000-00002E180000}"/>
    <cellStyle name="输出 21 2" xfId="7203" xr:uid="{00000000-0005-0000-0000-0000231C0000}"/>
    <cellStyle name="输出 22" xfId="6611" xr:uid="{00000000-0005-0000-0000-0000D3190000}"/>
    <cellStyle name="输出 22 2" xfId="7482" xr:uid="{00000000-0005-0000-0000-00003A1D0000}"/>
    <cellStyle name="输出 23" xfId="6357" xr:uid="{00000000-0005-0000-0000-0000D5180000}"/>
    <cellStyle name="输出 3" xfId="3810" xr:uid="{00000000-0005-0000-0000-0000E20E0000}"/>
    <cellStyle name="输出 3 2" xfId="6016" xr:uid="{00000000-0005-0000-0000-000080170000}"/>
    <cellStyle name="输出 3 2 2" xfId="6788" xr:uid="{00000000-0005-0000-0000-0000841A0000}"/>
    <cellStyle name="输出 3 2 2 2" xfId="7636" xr:uid="{00000000-0005-0000-0000-0000D41D0000}"/>
    <cellStyle name="输出 3 2 3" xfId="6914" xr:uid="{00000000-0005-0000-0000-0000021B0000}"/>
    <cellStyle name="输出 3 2 3 2" xfId="7762" xr:uid="{00000000-0005-0000-0000-0000521E0000}"/>
    <cellStyle name="输出 3 2 4" xfId="7040" xr:uid="{00000000-0005-0000-0000-0000801B0000}"/>
    <cellStyle name="输出 3 2 4 2" xfId="7887" xr:uid="{00000000-0005-0000-0000-0000CF1E0000}"/>
    <cellStyle name="输出 3 2 5" xfId="7059" xr:uid="{00000000-0005-0000-0000-0000931B0000}"/>
    <cellStyle name="输出 3 3" xfId="6425" xr:uid="{00000000-0005-0000-0000-000019190000}"/>
    <cellStyle name="输出 3 3 2" xfId="7378" xr:uid="{00000000-0005-0000-0000-0000D21C0000}"/>
    <cellStyle name="输出 3 4" xfId="6179" xr:uid="{00000000-0005-0000-0000-000023180000}"/>
    <cellStyle name="输出 3 4 2" xfId="7192" xr:uid="{00000000-0005-0000-0000-0000181C0000}"/>
    <cellStyle name="输出 3 5" xfId="6622" xr:uid="{00000000-0005-0000-0000-0000DE190000}"/>
    <cellStyle name="输出 3 5 2" xfId="7493" xr:uid="{00000000-0005-0000-0000-0000451D0000}"/>
    <cellStyle name="输出 3 6" xfId="6250" xr:uid="{00000000-0005-0000-0000-00006A180000}"/>
    <cellStyle name="输出 4" xfId="3811" xr:uid="{00000000-0005-0000-0000-0000E30E0000}"/>
    <cellStyle name="输出 4 2" xfId="6017" xr:uid="{00000000-0005-0000-0000-000081170000}"/>
    <cellStyle name="输出 4 2 2" xfId="6789" xr:uid="{00000000-0005-0000-0000-0000851A0000}"/>
    <cellStyle name="输出 4 2 2 2" xfId="7637" xr:uid="{00000000-0005-0000-0000-0000D51D0000}"/>
    <cellStyle name="输出 4 2 3" xfId="6915" xr:uid="{00000000-0005-0000-0000-0000031B0000}"/>
    <cellStyle name="输出 4 2 3 2" xfId="7763" xr:uid="{00000000-0005-0000-0000-0000531E0000}"/>
    <cellStyle name="输出 4 2 4" xfId="7041" xr:uid="{00000000-0005-0000-0000-0000811B0000}"/>
    <cellStyle name="输出 4 2 4 2" xfId="7888" xr:uid="{00000000-0005-0000-0000-0000D01E0000}"/>
    <cellStyle name="输出 4 2 5" xfId="7060" xr:uid="{00000000-0005-0000-0000-0000941B0000}"/>
    <cellStyle name="输出 4 3" xfId="6426" xr:uid="{00000000-0005-0000-0000-00001A190000}"/>
    <cellStyle name="输出 4 3 2" xfId="7379" xr:uid="{00000000-0005-0000-0000-0000D31C0000}"/>
    <cellStyle name="输出 4 4" xfId="6178" xr:uid="{00000000-0005-0000-0000-000022180000}"/>
    <cellStyle name="输出 4 4 2" xfId="7191" xr:uid="{00000000-0005-0000-0000-0000171C0000}"/>
    <cellStyle name="输出 4 5" xfId="6623" xr:uid="{00000000-0005-0000-0000-0000DF190000}"/>
    <cellStyle name="输出 4 5 2" xfId="7494" xr:uid="{00000000-0005-0000-0000-0000461D0000}"/>
    <cellStyle name="输出 4 6" xfId="6251" xr:uid="{00000000-0005-0000-0000-00006B180000}"/>
    <cellStyle name="输出 5" xfId="3812" xr:uid="{00000000-0005-0000-0000-0000E40E0000}"/>
    <cellStyle name="输出 5 2" xfId="6018" xr:uid="{00000000-0005-0000-0000-000082170000}"/>
    <cellStyle name="输出 5 2 2" xfId="6790" xr:uid="{00000000-0005-0000-0000-0000861A0000}"/>
    <cellStyle name="输出 5 2 2 2" xfId="7638" xr:uid="{00000000-0005-0000-0000-0000D61D0000}"/>
    <cellStyle name="输出 5 2 3" xfId="6916" xr:uid="{00000000-0005-0000-0000-0000041B0000}"/>
    <cellStyle name="输出 5 2 3 2" xfId="7764" xr:uid="{00000000-0005-0000-0000-0000541E0000}"/>
    <cellStyle name="输出 5 2 4" xfId="7042" xr:uid="{00000000-0005-0000-0000-0000821B0000}"/>
    <cellStyle name="输出 5 2 4 2" xfId="7889" xr:uid="{00000000-0005-0000-0000-0000D11E0000}"/>
    <cellStyle name="输出 5 2 5" xfId="7061" xr:uid="{00000000-0005-0000-0000-0000951B0000}"/>
    <cellStyle name="输出 5 3" xfId="6427" xr:uid="{00000000-0005-0000-0000-00001B190000}"/>
    <cellStyle name="输出 5 3 2" xfId="7380" xr:uid="{00000000-0005-0000-0000-0000D41C0000}"/>
    <cellStyle name="输出 5 4" xfId="6177" xr:uid="{00000000-0005-0000-0000-000021180000}"/>
    <cellStyle name="输出 5 4 2" xfId="7190" xr:uid="{00000000-0005-0000-0000-0000161C0000}"/>
    <cellStyle name="输出 5 5" xfId="6624" xr:uid="{00000000-0005-0000-0000-0000E0190000}"/>
    <cellStyle name="输出 5 5 2" xfId="7495" xr:uid="{00000000-0005-0000-0000-0000471D0000}"/>
    <cellStyle name="输出 5 6" xfId="6252" xr:uid="{00000000-0005-0000-0000-00006C180000}"/>
    <cellStyle name="输出 6" xfId="3813" xr:uid="{00000000-0005-0000-0000-0000E50E0000}"/>
    <cellStyle name="输出 6 2" xfId="6019" xr:uid="{00000000-0005-0000-0000-000083170000}"/>
    <cellStyle name="输出 6 2 2" xfId="6791" xr:uid="{00000000-0005-0000-0000-0000871A0000}"/>
    <cellStyle name="输出 6 2 2 2" xfId="7639" xr:uid="{00000000-0005-0000-0000-0000D71D0000}"/>
    <cellStyle name="输出 6 2 3" xfId="6917" xr:uid="{00000000-0005-0000-0000-0000051B0000}"/>
    <cellStyle name="输出 6 2 3 2" xfId="7765" xr:uid="{00000000-0005-0000-0000-0000551E0000}"/>
    <cellStyle name="输出 6 2 4" xfId="7043" xr:uid="{00000000-0005-0000-0000-0000831B0000}"/>
    <cellStyle name="输出 6 2 4 2" xfId="7890" xr:uid="{00000000-0005-0000-0000-0000D21E0000}"/>
    <cellStyle name="输出 6 2 5" xfId="7062" xr:uid="{00000000-0005-0000-0000-0000961B0000}"/>
    <cellStyle name="输出 6 3" xfId="6428" xr:uid="{00000000-0005-0000-0000-00001C190000}"/>
    <cellStyle name="输出 6 3 2" xfId="7381" xr:uid="{00000000-0005-0000-0000-0000D51C0000}"/>
    <cellStyle name="输出 6 4" xfId="6176" xr:uid="{00000000-0005-0000-0000-000020180000}"/>
    <cellStyle name="输出 6 4 2" xfId="7189" xr:uid="{00000000-0005-0000-0000-0000151C0000}"/>
    <cellStyle name="输出 6 5" xfId="6625" xr:uid="{00000000-0005-0000-0000-0000E1190000}"/>
    <cellStyle name="输出 6 5 2" xfId="7496" xr:uid="{00000000-0005-0000-0000-0000481D0000}"/>
    <cellStyle name="输出 6 6" xfId="6253" xr:uid="{00000000-0005-0000-0000-00006D180000}"/>
    <cellStyle name="输出 7" xfId="3814" xr:uid="{00000000-0005-0000-0000-0000E60E0000}"/>
    <cellStyle name="输出 7 2" xfId="6020" xr:uid="{00000000-0005-0000-0000-000084170000}"/>
    <cellStyle name="输出 7 2 2" xfId="6792" xr:uid="{00000000-0005-0000-0000-0000881A0000}"/>
    <cellStyle name="输出 7 2 2 2" xfId="7640" xr:uid="{00000000-0005-0000-0000-0000D81D0000}"/>
    <cellStyle name="输出 7 2 3" xfId="6918" xr:uid="{00000000-0005-0000-0000-0000061B0000}"/>
    <cellStyle name="输出 7 2 3 2" xfId="7766" xr:uid="{00000000-0005-0000-0000-0000561E0000}"/>
    <cellStyle name="输出 7 2 4" xfId="7044" xr:uid="{00000000-0005-0000-0000-0000841B0000}"/>
    <cellStyle name="输出 7 2 4 2" xfId="7891" xr:uid="{00000000-0005-0000-0000-0000D31E0000}"/>
    <cellStyle name="输出 7 2 5" xfId="7063" xr:uid="{00000000-0005-0000-0000-0000971B0000}"/>
    <cellStyle name="输出 7 3" xfId="6429" xr:uid="{00000000-0005-0000-0000-00001D190000}"/>
    <cellStyle name="输出 7 3 2" xfId="7382" xr:uid="{00000000-0005-0000-0000-0000D61C0000}"/>
    <cellStyle name="输出 7 4" xfId="6175" xr:uid="{00000000-0005-0000-0000-00001F180000}"/>
    <cellStyle name="输出 7 4 2" xfId="7188" xr:uid="{00000000-0005-0000-0000-0000141C0000}"/>
    <cellStyle name="输出 7 5" xfId="6626" xr:uid="{00000000-0005-0000-0000-0000E2190000}"/>
    <cellStyle name="输出 7 5 2" xfId="7497" xr:uid="{00000000-0005-0000-0000-0000491D0000}"/>
    <cellStyle name="输出 7 6" xfId="6254" xr:uid="{00000000-0005-0000-0000-00006E180000}"/>
    <cellStyle name="输出 8" xfId="3815" xr:uid="{00000000-0005-0000-0000-0000E70E0000}"/>
    <cellStyle name="输出 8 2" xfId="6021" xr:uid="{00000000-0005-0000-0000-000085170000}"/>
    <cellStyle name="输出 8 2 2" xfId="6793" xr:uid="{00000000-0005-0000-0000-0000891A0000}"/>
    <cellStyle name="输出 8 2 2 2" xfId="7641" xr:uid="{00000000-0005-0000-0000-0000D91D0000}"/>
    <cellStyle name="输出 8 2 3" xfId="6919" xr:uid="{00000000-0005-0000-0000-0000071B0000}"/>
    <cellStyle name="输出 8 2 3 2" xfId="7767" xr:uid="{00000000-0005-0000-0000-0000571E0000}"/>
    <cellStyle name="输出 8 2 4" xfId="7045" xr:uid="{00000000-0005-0000-0000-0000851B0000}"/>
    <cellStyle name="输出 8 2 4 2" xfId="7892" xr:uid="{00000000-0005-0000-0000-0000D41E0000}"/>
    <cellStyle name="输出 8 2 5" xfId="7064" xr:uid="{00000000-0005-0000-0000-0000981B0000}"/>
    <cellStyle name="输出 8 3" xfId="6430" xr:uid="{00000000-0005-0000-0000-00001E190000}"/>
    <cellStyle name="输出 8 3 2" xfId="7383" xr:uid="{00000000-0005-0000-0000-0000D71C0000}"/>
    <cellStyle name="输出 8 4" xfId="6174" xr:uid="{00000000-0005-0000-0000-00001E180000}"/>
    <cellStyle name="输出 8 4 2" xfId="7187" xr:uid="{00000000-0005-0000-0000-0000131C0000}"/>
    <cellStyle name="输出 8 5" xfId="6627" xr:uid="{00000000-0005-0000-0000-0000E3190000}"/>
    <cellStyle name="输出 8 5 2" xfId="7498" xr:uid="{00000000-0005-0000-0000-00004A1D0000}"/>
    <cellStyle name="输出 8 6" xfId="6255" xr:uid="{00000000-0005-0000-0000-00006F180000}"/>
    <cellStyle name="输出 9" xfId="3816" xr:uid="{00000000-0005-0000-0000-0000E80E0000}"/>
    <cellStyle name="输出 9 2" xfId="6022" xr:uid="{00000000-0005-0000-0000-000086170000}"/>
    <cellStyle name="输出 9 2 2" xfId="6794" xr:uid="{00000000-0005-0000-0000-00008A1A0000}"/>
    <cellStyle name="输出 9 2 2 2" xfId="7642" xr:uid="{00000000-0005-0000-0000-0000DA1D0000}"/>
    <cellStyle name="输出 9 2 3" xfId="6920" xr:uid="{00000000-0005-0000-0000-0000081B0000}"/>
    <cellStyle name="输出 9 2 3 2" xfId="7768" xr:uid="{00000000-0005-0000-0000-0000581E0000}"/>
    <cellStyle name="输出 9 2 4" xfId="7046" xr:uid="{00000000-0005-0000-0000-0000861B0000}"/>
    <cellStyle name="输出 9 2 4 2" xfId="7893" xr:uid="{00000000-0005-0000-0000-0000D51E0000}"/>
    <cellStyle name="输出 9 2 5" xfId="7065" xr:uid="{00000000-0005-0000-0000-0000991B0000}"/>
    <cellStyle name="输出 9 3" xfId="6431" xr:uid="{00000000-0005-0000-0000-00001F190000}"/>
    <cellStyle name="输出 9 3 2" xfId="7384" xr:uid="{00000000-0005-0000-0000-0000D81C0000}"/>
    <cellStyle name="输出 9 4" xfId="6173" xr:uid="{00000000-0005-0000-0000-00001D180000}"/>
    <cellStyle name="输出 9 4 2" xfId="7186" xr:uid="{00000000-0005-0000-0000-0000121C0000}"/>
    <cellStyle name="输出 9 5" xfId="6628" xr:uid="{00000000-0005-0000-0000-0000E4190000}"/>
    <cellStyle name="输出 9 5 2" xfId="7499" xr:uid="{00000000-0005-0000-0000-00004B1D0000}"/>
    <cellStyle name="输出 9 6" xfId="6256" xr:uid="{00000000-0005-0000-0000-000070180000}"/>
    <cellStyle name="쉼표 [0] 16" xfId="3095" xr:uid="{00000000-0005-0000-0000-0000170C0000}"/>
    <cellStyle name="쉼표 [0] 2" xfId="280" xr:uid="{00000000-0005-0000-0000-000018010000}"/>
    <cellStyle name="쉼표 [0] 2 10" xfId="322" xr:uid="{00000000-0005-0000-0000-000042010000}"/>
    <cellStyle name="쉼표 [0] 2 10 2" xfId="3098" xr:uid="{00000000-0005-0000-0000-00001A0C0000}"/>
    <cellStyle name="쉼표 [0] 2 10 3" xfId="3097" xr:uid="{00000000-0005-0000-0000-0000190C0000}"/>
    <cellStyle name="쉼표 [0] 2 11" xfId="323" xr:uid="{00000000-0005-0000-0000-000043010000}"/>
    <cellStyle name="쉼표 [0] 2 11 2" xfId="3100" xr:uid="{00000000-0005-0000-0000-00001C0C0000}"/>
    <cellStyle name="쉼표 [0] 2 11 3" xfId="3099" xr:uid="{00000000-0005-0000-0000-00001B0C0000}"/>
    <cellStyle name="쉼표 [0] 2 12" xfId="324" xr:uid="{00000000-0005-0000-0000-000044010000}"/>
    <cellStyle name="쉼표 [0] 2 12 2" xfId="3102" xr:uid="{00000000-0005-0000-0000-00001E0C0000}"/>
    <cellStyle name="쉼표 [0] 2 12 3" xfId="3101" xr:uid="{00000000-0005-0000-0000-00001D0C0000}"/>
    <cellStyle name="쉼표 [0] 2 13" xfId="325" xr:uid="{00000000-0005-0000-0000-000045010000}"/>
    <cellStyle name="쉼표 [0] 2 13 2" xfId="3104" xr:uid="{00000000-0005-0000-0000-0000200C0000}"/>
    <cellStyle name="쉼표 [0] 2 13 3" xfId="3103" xr:uid="{00000000-0005-0000-0000-00001F0C0000}"/>
    <cellStyle name="쉼표 [0] 2 14" xfId="326" xr:uid="{00000000-0005-0000-0000-000046010000}"/>
    <cellStyle name="쉼표 [0] 2 14 2" xfId="3106" xr:uid="{00000000-0005-0000-0000-0000220C0000}"/>
    <cellStyle name="쉼표 [0] 2 14 3" xfId="3105" xr:uid="{00000000-0005-0000-0000-0000210C0000}"/>
    <cellStyle name="쉼표 [0] 2 15" xfId="327" xr:uid="{00000000-0005-0000-0000-000047010000}"/>
    <cellStyle name="쉼표 [0] 2 15 2" xfId="3108" xr:uid="{00000000-0005-0000-0000-0000240C0000}"/>
    <cellStyle name="쉼표 [0] 2 15 3" xfId="3107" xr:uid="{00000000-0005-0000-0000-0000230C0000}"/>
    <cellStyle name="쉼표 [0] 2 16" xfId="328" xr:uid="{00000000-0005-0000-0000-000048010000}"/>
    <cellStyle name="쉼표 [0] 2 16 2" xfId="3110" xr:uid="{00000000-0005-0000-0000-0000260C0000}"/>
    <cellStyle name="쉼표 [0] 2 16 3" xfId="3109" xr:uid="{00000000-0005-0000-0000-0000250C0000}"/>
    <cellStyle name="쉼표 [0] 2 17" xfId="329" xr:uid="{00000000-0005-0000-0000-000049010000}"/>
    <cellStyle name="쉼표 [0] 2 17 2" xfId="3112" xr:uid="{00000000-0005-0000-0000-0000280C0000}"/>
    <cellStyle name="쉼표 [0] 2 17 3" xfId="3111" xr:uid="{00000000-0005-0000-0000-0000270C0000}"/>
    <cellStyle name="쉼표 [0] 2 18" xfId="330" xr:uid="{00000000-0005-0000-0000-00004A010000}"/>
    <cellStyle name="쉼표 [0] 2 18 2" xfId="3114" xr:uid="{00000000-0005-0000-0000-00002A0C0000}"/>
    <cellStyle name="쉼표 [0] 2 18 3" xfId="3113" xr:uid="{00000000-0005-0000-0000-0000290C0000}"/>
    <cellStyle name="쉼표 [0] 2 19" xfId="331" xr:uid="{00000000-0005-0000-0000-00004B010000}"/>
    <cellStyle name="쉼표 [0] 2 2" xfId="332" xr:uid="{00000000-0005-0000-0000-00004C010000}"/>
    <cellStyle name="쉼표 [0] 2 2 2" xfId="3116" xr:uid="{00000000-0005-0000-0000-00002C0C0000}"/>
    <cellStyle name="쉼표 [0] 2 2 3" xfId="3115" xr:uid="{00000000-0005-0000-0000-00002B0C0000}"/>
    <cellStyle name="쉼표 [0] 2 20" xfId="333" xr:uid="{00000000-0005-0000-0000-00004D010000}"/>
    <cellStyle name="쉼표 [0] 2 21" xfId="334" xr:uid="{00000000-0005-0000-0000-00004E010000}"/>
    <cellStyle name="쉼표 [0] 2 22" xfId="483" xr:uid="{00000000-0005-0000-0000-0000E3010000}"/>
    <cellStyle name="쉼표 [0] 2 23" xfId="3096" xr:uid="{00000000-0005-0000-0000-0000180C0000}"/>
    <cellStyle name="쉼표 [0] 2 3" xfId="335" xr:uid="{00000000-0005-0000-0000-00004F010000}"/>
    <cellStyle name="쉼표 [0] 2 3 2" xfId="3118" xr:uid="{00000000-0005-0000-0000-00002E0C0000}"/>
    <cellStyle name="쉼표 [0] 2 3 3" xfId="3117" xr:uid="{00000000-0005-0000-0000-00002D0C0000}"/>
    <cellStyle name="쉼표 [0] 2 4" xfId="336" xr:uid="{00000000-0005-0000-0000-000050010000}"/>
    <cellStyle name="쉼표 [0] 2 4 2" xfId="3120" xr:uid="{00000000-0005-0000-0000-0000300C0000}"/>
    <cellStyle name="쉼표 [0] 2 4 3" xfId="3119" xr:uid="{00000000-0005-0000-0000-00002F0C0000}"/>
    <cellStyle name="쉼표 [0] 2 5" xfId="337" xr:uid="{00000000-0005-0000-0000-000051010000}"/>
    <cellStyle name="쉼표 [0] 2 5 2" xfId="3122" xr:uid="{00000000-0005-0000-0000-0000320C0000}"/>
    <cellStyle name="쉼표 [0] 2 5 3" xfId="3121" xr:uid="{00000000-0005-0000-0000-0000310C0000}"/>
    <cellStyle name="쉼표 [0] 2 6" xfId="338" xr:uid="{00000000-0005-0000-0000-000052010000}"/>
    <cellStyle name="쉼표 [0] 2 6 2" xfId="3124" xr:uid="{00000000-0005-0000-0000-0000340C0000}"/>
    <cellStyle name="쉼표 [0] 2 6 3" xfId="3123" xr:uid="{00000000-0005-0000-0000-0000330C0000}"/>
    <cellStyle name="쉼표 [0] 2 7" xfId="339" xr:uid="{00000000-0005-0000-0000-000053010000}"/>
    <cellStyle name="쉼표 [0] 2 7 2" xfId="3126" xr:uid="{00000000-0005-0000-0000-0000360C0000}"/>
    <cellStyle name="쉼표 [0] 2 7 3" xfId="3125" xr:uid="{00000000-0005-0000-0000-0000350C0000}"/>
    <cellStyle name="쉼표 [0] 2 8" xfId="340" xr:uid="{00000000-0005-0000-0000-000054010000}"/>
    <cellStyle name="쉼표 [0] 2 8 2" xfId="3128" xr:uid="{00000000-0005-0000-0000-0000380C0000}"/>
    <cellStyle name="쉼표 [0] 2 8 3" xfId="3127" xr:uid="{00000000-0005-0000-0000-0000370C0000}"/>
    <cellStyle name="쉼표 [0] 2 9" xfId="341" xr:uid="{00000000-0005-0000-0000-000055010000}"/>
    <cellStyle name="쉼표 [0] 2 9 2" xfId="3130" xr:uid="{00000000-0005-0000-0000-00003A0C0000}"/>
    <cellStyle name="쉼표 [0] 2 9 3" xfId="3129" xr:uid="{00000000-0005-0000-0000-0000390C0000}"/>
    <cellStyle name="쉼표 [0] 3" xfId="321" xr:uid="{00000000-0005-0000-0000-000041010000}"/>
    <cellStyle name="쉼표 [0] 4" xfId="7993" xr:uid="{00000000-0005-0000-0000-0000391F0000}"/>
    <cellStyle name="쉼표 [0] 5" xfId="504" xr:uid="{00000000-0005-0000-0000-0000F8010000}"/>
    <cellStyle name="쉼표 [0] 6" xfId="485" xr:uid="{00000000-0005-0000-0000-0000E5010000}"/>
    <cellStyle name="쉼표 [0] 8" xfId="507" xr:uid="{00000000-0005-0000-0000-0000FB010000}"/>
    <cellStyle name="스타일 1" xfId="3131" xr:uid="{00000000-0005-0000-0000-00003B0C0000}"/>
    <cellStyle name="스타일 1 10" xfId="3132" xr:uid="{00000000-0005-0000-0000-00003C0C0000}"/>
    <cellStyle name="스타일 1 11" xfId="3133" xr:uid="{00000000-0005-0000-0000-00003D0C0000}"/>
    <cellStyle name="스타일 1 12" xfId="3134" xr:uid="{00000000-0005-0000-0000-00003E0C0000}"/>
    <cellStyle name="스타일 1 13" xfId="3135" xr:uid="{00000000-0005-0000-0000-00003F0C0000}"/>
    <cellStyle name="스타일 1 14" xfId="3136" xr:uid="{00000000-0005-0000-0000-0000400C0000}"/>
    <cellStyle name="스타일 1 15" xfId="3137" xr:uid="{00000000-0005-0000-0000-0000410C0000}"/>
    <cellStyle name="스타일 1 16" xfId="3138" xr:uid="{00000000-0005-0000-0000-0000420C0000}"/>
    <cellStyle name="스타일 1 17" xfId="3139" xr:uid="{00000000-0005-0000-0000-0000430C0000}"/>
    <cellStyle name="스타일 1 18" xfId="3140" xr:uid="{00000000-0005-0000-0000-0000440C0000}"/>
    <cellStyle name="스타일 1 2" xfId="3141" xr:uid="{00000000-0005-0000-0000-0000450C0000}"/>
    <cellStyle name="스타일 1 3" xfId="3142" xr:uid="{00000000-0005-0000-0000-0000460C0000}"/>
    <cellStyle name="스타일 1 4" xfId="3143" xr:uid="{00000000-0005-0000-0000-0000470C0000}"/>
    <cellStyle name="스타일 1 5" xfId="3144" xr:uid="{00000000-0005-0000-0000-0000480C0000}"/>
    <cellStyle name="스타일 1 6" xfId="3145" xr:uid="{00000000-0005-0000-0000-0000490C0000}"/>
    <cellStyle name="스타일 1 7" xfId="3146" xr:uid="{00000000-0005-0000-0000-00004A0C0000}"/>
    <cellStyle name="스타일 1 8" xfId="3147" xr:uid="{00000000-0005-0000-0000-00004B0C0000}"/>
    <cellStyle name="스타일 1 9" xfId="3148" xr:uid="{00000000-0005-0000-0000-00004C0C0000}"/>
    <cellStyle name="연결된 셀 2" xfId="156" xr:uid="{00000000-0005-0000-0000-00009C000000}"/>
    <cellStyle name="연결된 셀 2 2" xfId="3149" xr:uid="{00000000-0005-0000-0000-00004D0C0000}"/>
    <cellStyle name="연결된 셀 2 3" xfId="5861" xr:uid="{00000000-0005-0000-0000-0000E5160000}"/>
    <cellStyle name="연결된 셀 3" xfId="157" xr:uid="{00000000-0005-0000-0000-00009D000000}"/>
    <cellStyle name="연결된 셀 3 2" xfId="3150" xr:uid="{00000000-0005-0000-0000-00004E0C0000}"/>
    <cellStyle name="연결된 셀 4" xfId="158" xr:uid="{00000000-0005-0000-0000-00009E000000}"/>
    <cellStyle name="연결된 셀 4 2" xfId="3151" xr:uid="{00000000-0005-0000-0000-00004F0C0000}"/>
    <cellStyle name="연결된 셀 5" xfId="159" xr:uid="{00000000-0005-0000-0000-00009F000000}"/>
    <cellStyle name="연결된 셀 6" xfId="160" xr:uid="{00000000-0005-0000-0000-0000A0000000}"/>
    <cellStyle name="연결된 셀 6 2" xfId="3152" xr:uid="{00000000-0005-0000-0000-0000500C0000}"/>
    <cellStyle name="연결된 셀 7" xfId="269" xr:uid="{00000000-0005-0000-0000-00000D010000}"/>
    <cellStyle name="열어 본 하이퍼링크" xfId="8153" builtinId="9" hidden="1"/>
    <cellStyle name="열어본 하이퍼링크" xfId="3153" xr:uid="{00000000-0005-0000-0000-0000510C0000}"/>
    <cellStyle name="霓付 [0]_  辆  钦  " xfId="3154" xr:uid="{00000000-0005-0000-0000-0000520C0000}"/>
    <cellStyle name="霓付_  辆  钦  " xfId="3155" xr:uid="{00000000-0005-0000-0000-0000530C0000}"/>
    <cellStyle name="요약 10" xfId="6094" xr:uid="{00000000-0005-0000-0000-0000CE170000}"/>
    <cellStyle name="요약 10 2" xfId="7145" xr:uid="{00000000-0005-0000-0000-0000E91B0000}"/>
    <cellStyle name="요약 11" xfId="3058" xr:uid="{00000000-0005-0000-0000-0000F20B0000}"/>
    <cellStyle name="요약 2" xfId="161" xr:uid="{00000000-0005-0000-0000-0000A1000000}"/>
    <cellStyle name="요약 2 2" xfId="3156" xr:uid="{00000000-0005-0000-0000-0000540C0000}"/>
    <cellStyle name="요약 2 3" xfId="5862" xr:uid="{00000000-0005-0000-0000-0000E6160000}"/>
    <cellStyle name="요약 2 4" xfId="5863" xr:uid="{00000000-0005-0000-0000-0000E7160000}"/>
    <cellStyle name="요약 2 4 2" xfId="6664" xr:uid="{00000000-0005-0000-0000-0000081A0000}"/>
    <cellStyle name="요약 2 4 2 2" xfId="7527" xr:uid="{00000000-0005-0000-0000-0000671D0000}"/>
    <cellStyle name="요약 2 4 3" xfId="6805" xr:uid="{00000000-0005-0000-0000-0000951A0000}"/>
    <cellStyle name="요약 2 4 3 2" xfId="7653" xr:uid="{00000000-0005-0000-0000-0000E51D0000}"/>
    <cellStyle name="요약 2 4 4" xfId="6931" xr:uid="{00000000-0005-0000-0000-0000131B0000}"/>
    <cellStyle name="요약 2 4 4 2" xfId="7778" xr:uid="{00000000-0005-0000-0000-0000621E0000}"/>
    <cellStyle name="요약 2 4 5" xfId="6144" xr:uid="{00000000-0005-0000-0000-000000180000}"/>
    <cellStyle name="요약 2 5" xfId="6296" xr:uid="{00000000-0005-0000-0000-000098180000}"/>
    <cellStyle name="요약 2 5 2" xfId="7267" xr:uid="{00000000-0005-0000-0000-0000631C0000}"/>
    <cellStyle name="요약 2 6" xfId="6478" xr:uid="{00000000-0005-0000-0000-00004E190000}"/>
    <cellStyle name="요약 2 6 2" xfId="7431" xr:uid="{00000000-0005-0000-0000-0000071D0000}"/>
    <cellStyle name="요약 2 7" xfId="6095" xr:uid="{00000000-0005-0000-0000-0000CF170000}"/>
    <cellStyle name="요약 2 7 2" xfId="7146" xr:uid="{00000000-0005-0000-0000-0000EA1B0000}"/>
    <cellStyle name="요약 2 8" xfId="3057" xr:uid="{00000000-0005-0000-0000-0000F10B0000}"/>
    <cellStyle name="요약 3" xfId="162" xr:uid="{00000000-0005-0000-0000-0000A2000000}"/>
    <cellStyle name="요약 3 2" xfId="3157" xr:uid="{00000000-0005-0000-0000-0000550C0000}"/>
    <cellStyle name="요약 3 3" xfId="7105" xr:uid="{00000000-0005-0000-0000-0000C11B0000}"/>
    <cellStyle name="요약 4" xfId="163" xr:uid="{00000000-0005-0000-0000-0000A3000000}"/>
    <cellStyle name="요약 4 2" xfId="3158" xr:uid="{00000000-0005-0000-0000-0000560C0000}"/>
    <cellStyle name="요약 4 3" xfId="7106" xr:uid="{00000000-0005-0000-0000-0000C21B0000}"/>
    <cellStyle name="요약 5" xfId="164" xr:uid="{00000000-0005-0000-0000-0000A4000000}"/>
    <cellStyle name="요약 5 2" xfId="5864" xr:uid="{00000000-0005-0000-0000-0000E8160000}"/>
    <cellStyle name="요약 5 2 2" xfId="6665" xr:uid="{00000000-0005-0000-0000-0000091A0000}"/>
    <cellStyle name="요약 5 2 2 2" xfId="7528" xr:uid="{00000000-0005-0000-0000-0000681D0000}"/>
    <cellStyle name="요약 5 2 3" xfId="6806" xr:uid="{00000000-0005-0000-0000-0000961A0000}"/>
    <cellStyle name="요약 5 2 3 2" xfId="7654" xr:uid="{00000000-0005-0000-0000-0000E61D0000}"/>
    <cellStyle name="요약 5 2 4" xfId="6932" xr:uid="{00000000-0005-0000-0000-0000141B0000}"/>
    <cellStyle name="요약 5 2 4 2" xfId="7779" xr:uid="{00000000-0005-0000-0000-0000631E0000}"/>
    <cellStyle name="요약 5 2 5" xfId="6145" xr:uid="{00000000-0005-0000-0000-000001180000}"/>
    <cellStyle name="요약 5 3" xfId="6297" xr:uid="{00000000-0005-0000-0000-000099180000}"/>
    <cellStyle name="요약 5 3 2" xfId="7268" xr:uid="{00000000-0005-0000-0000-0000641C0000}"/>
    <cellStyle name="요약 5 4" xfId="6474" xr:uid="{00000000-0005-0000-0000-00004A190000}"/>
    <cellStyle name="요약 5 4 2" xfId="7427" xr:uid="{00000000-0005-0000-0000-0000031D0000}"/>
    <cellStyle name="요약 5 5" xfId="6096" xr:uid="{00000000-0005-0000-0000-0000D0170000}"/>
    <cellStyle name="요약 5 5 2" xfId="7147" xr:uid="{00000000-0005-0000-0000-0000EB1B0000}"/>
    <cellStyle name="요약 5 6" xfId="2985" xr:uid="{00000000-0005-0000-0000-0000A90B0000}"/>
    <cellStyle name="요약 6" xfId="165" xr:uid="{00000000-0005-0000-0000-0000A5000000}"/>
    <cellStyle name="요약 6 2" xfId="3159" xr:uid="{00000000-0005-0000-0000-0000570C0000}"/>
    <cellStyle name="요약 6 3" xfId="7107" xr:uid="{00000000-0005-0000-0000-0000C31B0000}"/>
    <cellStyle name="요약 7" xfId="270" xr:uid="{00000000-0005-0000-0000-00000E010000}"/>
    <cellStyle name="요약 7 2" xfId="6666" xr:uid="{00000000-0005-0000-0000-00000A1A0000}"/>
    <cellStyle name="요약 7 2 2" xfId="7529" xr:uid="{00000000-0005-0000-0000-0000691D0000}"/>
    <cellStyle name="요약 7 3" xfId="6807" xr:uid="{00000000-0005-0000-0000-0000971A0000}"/>
    <cellStyle name="요약 7 3 2" xfId="7655" xr:uid="{00000000-0005-0000-0000-0000E71D0000}"/>
    <cellStyle name="요약 7 4" xfId="6933" xr:uid="{00000000-0005-0000-0000-0000151B0000}"/>
    <cellStyle name="요약 7 4 2" xfId="7780" xr:uid="{00000000-0005-0000-0000-0000641E0000}"/>
    <cellStyle name="요약 7 5" xfId="6146" xr:uid="{00000000-0005-0000-0000-000002180000}"/>
    <cellStyle name="요약 8" xfId="6295" xr:uid="{00000000-0005-0000-0000-000097180000}"/>
    <cellStyle name="요약 8 2" xfId="7266" xr:uid="{00000000-0005-0000-0000-0000621C0000}"/>
    <cellStyle name="요약 9" xfId="6479" xr:uid="{00000000-0005-0000-0000-00004F190000}"/>
    <cellStyle name="요약 9 2" xfId="7432" xr:uid="{00000000-0005-0000-0000-0000081D0000}"/>
    <cellStyle name="一般_CYCLONE VENDOR FILE  EE " xfId="3160" xr:uid="{00000000-0005-0000-0000-0000580C0000}"/>
    <cellStyle name="입력 10" xfId="6097" xr:uid="{00000000-0005-0000-0000-0000D1170000}"/>
    <cellStyle name="입력 10 2" xfId="7148" xr:uid="{00000000-0005-0000-0000-0000EC1B0000}"/>
    <cellStyle name="입력 11" xfId="2905" xr:uid="{00000000-0005-0000-0000-0000590B0000}"/>
    <cellStyle name="입력 2" xfId="166" xr:uid="{00000000-0005-0000-0000-0000A6000000}"/>
    <cellStyle name="입력 2 2" xfId="3161" xr:uid="{00000000-0005-0000-0000-0000590C0000}"/>
    <cellStyle name="입력 2 3" xfId="5865" xr:uid="{00000000-0005-0000-0000-0000E9160000}"/>
    <cellStyle name="입력 2 4" xfId="5866" xr:uid="{00000000-0005-0000-0000-0000EA160000}"/>
    <cellStyle name="입력 2 4 2" xfId="6667" xr:uid="{00000000-0005-0000-0000-00000B1A0000}"/>
    <cellStyle name="입력 2 4 2 2" xfId="7530" xr:uid="{00000000-0005-0000-0000-00006A1D0000}"/>
    <cellStyle name="입력 2 4 3" xfId="6808" xr:uid="{00000000-0005-0000-0000-0000981A0000}"/>
    <cellStyle name="입력 2 4 3 2" xfId="7656" xr:uid="{00000000-0005-0000-0000-0000E81D0000}"/>
    <cellStyle name="입력 2 4 4" xfId="6934" xr:uid="{00000000-0005-0000-0000-0000161B0000}"/>
    <cellStyle name="입력 2 4 4 2" xfId="7781" xr:uid="{00000000-0005-0000-0000-0000651E0000}"/>
    <cellStyle name="입력 2 4 5" xfId="6147" xr:uid="{00000000-0005-0000-0000-000003180000}"/>
    <cellStyle name="입력 2 5" xfId="6299" xr:uid="{00000000-0005-0000-0000-00009B180000}"/>
    <cellStyle name="입력 2 5 2" xfId="7270" xr:uid="{00000000-0005-0000-0000-0000661C0000}"/>
    <cellStyle name="입력 2 6" xfId="6471" xr:uid="{00000000-0005-0000-0000-000047190000}"/>
    <cellStyle name="입력 2 6 2" xfId="7424" xr:uid="{00000000-0005-0000-0000-0000001D0000}"/>
    <cellStyle name="입력 2 7" xfId="6098" xr:uid="{00000000-0005-0000-0000-0000D2170000}"/>
    <cellStyle name="입력 2 7 2" xfId="7149" xr:uid="{00000000-0005-0000-0000-0000ED1B0000}"/>
    <cellStyle name="입력 2 8" xfId="2904" xr:uid="{00000000-0005-0000-0000-0000580B0000}"/>
    <cellStyle name="입력 3" xfId="167" xr:uid="{00000000-0005-0000-0000-0000A7000000}"/>
    <cellStyle name="입력 3 2" xfId="3162" xr:uid="{00000000-0005-0000-0000-00005A0C0000}"/>
    <cellStyle name="입력 3 3" xfId="7108" xr:uid="{00000000-0005-0000-0000-0000C41B0000}"/>
    <cellStyle name="입력 4" xfId="168" xr:uid="{00000000-0005-0000-0000-0000A8000000}"/>
    <cellStyle name="입력 4 2" xfId="3163" xr:uid="{00000000-0005-0000-0000-00005B0C0000}"/>
    <cellStyle name="입력 4 3" xfId="7109" xr:uid="{00000000-0005-0000-0000-0000C51B0000}"/>
    <cellStyle name="입력 5" xfId="169" xr:uid="{00000000-0005-0000-0000-0000A9000000}"/>
    <cellStyle name="입력 5 2" xfId="5867" xr:uid="{00000000-0005-0000-0000-0000EB160000}"/>
    <cellStyle name="입력 5 2 2" xfId="6668" xr:uid="{00000000-0005-0000-0000-00000C1A0000}"/>
    <cellStyle name="입력 5 2 2 2" xfId="7531" xr:uid="{00000000-0005-0000-0000-00006B1D0000}"/>
    <cellStyle name="입력 5 2 3" xfId="6809" xr:uid="{00000000-0005-0000-0000-0000991A0000}"/>
    <cellStyle name="입력 5 2 3 2" xfId="7657" xr:uid="{00000000-0005-0000-0000-0000E91D0000}"/>
    <cellStyle name="입력 5 2 4" xfId="6935" xr:uid="{00000000-0005-0000-0000-0000171B0000}"/>
    <cellStyle name="입력 5 2 4 2" xfId="7782" xr:uid="{00000000-0005-0000-0000-0000661E0000}"/>
    <cellStyle name="입력 5 2 5" xfId="6148" xr:uid="{00000000-0005-0000-0000-000004180000}"/>
    <cellStyle name="입력 5 3" xfId="6300" xr:uid="{00000000-0005-0000-0000-00009C180000}"/>
    <cellStyle name="입력 5 3 2" xfId="7271" xr:uid="{00000000-0005-0000-0000-0000671C0000}"/>
    <cellStyle name="입력 5 4" xfId="6470" xr:uid="{00000000-0005-0000-0000-000046190000}"/>
    <cellStyle name="입력 5 4 2" xfId="7423" xr:uid="{00000000-0005-0000-0000-0000FF1C0000}"/>
    <cellStyle name="입력 5 5" xfId="6099" xr:uid="{00000000-0005-0000-0000-0000D3170000}"/>
    <cellStyle name="입력 5 5 2" xfId="7150" xr:uid="{00000000-0005-0000-0000-0000EE1B0000}"/>
    <cellStyle name="입력 5 6" xfId="2767" xr:uid="{00000000-0005-0000-0000-0000CF0A0000}"/>
    <cellStyle name="입력 6" xfId="170" xr:uid="{00000000-0005-0000-0000-0000AA000000}"/>
    <cellStyle name="입력 6 2" xfId="3164" xr:uid="{00000000-0005-0000-0000-00005C0C0000}"/>
    <cellStyle name="입력 6 3" xfId="7110" xr:uid="{00000000-0005-0000-0000-0000C61B0000}"/>
    <cellStyle name="입력 7" xfId="271" xr:uid="{00000000-0005-0000-0000-00000F010000}"/>
    <cellStyle name="입력 7 2" xfId="6669" xr:uid="{00000000-0005-0000-0000-00000D1A0000}"/>
    <cellStyle name="입력 7 2 2" xfId="7532" xr:uid="{00000000-0005-0000-0000-00006C1D0000}"/>
    <cellStyle name="입력 7 3" xfId="6810" xr:uid="{00000000-0005-0000-0000-00009A1A0000}"/>
    <cellStyle name="입력 7 3 2" xfId="7658" xr:uid="{00000000-0005-0000-0000-0000EA1D0000}"/>
    <cellStyle name="입력 7 4" xfId="6936" xr:uid="{00000000-0005-0000-0000-0000181B0000}"/>
    <cellStyle name="입력 7 4 2" xfId="7783" xr:uid="{00000000-0005-0000-0000-0000671E0000}"/>
    <cellStyle name="입력 7 5" xfId="6149" xr:uid="{00000000-0005-0000-0000-000005180000}"/>
    <cellStyle name="입력 8" xfId="6298" xr:uid="{00000000-0005-0000-0000-00009A180000}"/>
    <cellStyle name="입력 8 2" xfId="7269" xr:uid="{00000000-0005-0000-0000-0000651C0000}"/>
    <cellStyle name="입력 9" xfId="6472" xr:uid="{00000000-0005-0000-0000-000048190000}"/>
    <cellStyle name="입력 9 2" xfId="7425" xr:uid="{00000000-0005-0000-0000-0000011D0000}"/>
    <cellStyle name="자리수" xfId="3165" xr:uid="{00000000-0005-0000-0000-00005D0C0000}"/>
    <cellStyle name="자리수 10" xfId="3166" xr:uid="{00000000-0005-0000-0000-00005E0C0000}"/>
    <cellStyle name="자리수 11" xfId="3167" xr:uid="{00000000-0005-0000-0000-00005F0C0000}"/>
    <cellStyle name="자리수 12" xfId="3168" xr:uid="{00000000-0005-0000-0000-0000600C0000}"/>
    <cellStyle name="자리수 13" xfId="3169" xr:uid="{00000000-0005-0000-0000-0000610C0000}"/>
    <cellStyle name="자리수 14" xfId="3170" xr:uid="{00000000-0005-0000-0000-0000620C0000}"/>
    <cellStyle name="자리수 15" xfId="3171" xr:uid="{00000000-0005-0000-0000-0000630C0000}"/>
    <cellStyle name="자리수 16" xfId="3172" xr:uid="{00000000-0005-0000-0000-0000640C0000}"/>
    <cellStyle name="자리수 17" xfId="3173" xr:uid="{00000000-0005-0000-0000-0000650C0000}"/>
    <cellStyle name="자리수 18" xfId="3174" xr:uid="{00000000-0005-0000-0000-0000660C0000}"/>
    <cellStyle name="자리수 2" xfId="3175" xr:uid="{00000000-0005-0000-0000-0000670C0000}"/>
    <cellStyle name="자리수 3" xfId="3176" xr:uid="{00000000-0005-0000-0000-0000680C0000}"/>
    <cellStyle name="자리수 4" xfId="3177" xr:uid="{00000000-0005-0000-0000-0000690C0000}"/>
    <cellStyle name="자리수 5" xfId="3178" xr:uid="{00000000-0005-0000-0000-00006A0C0000}"/>
    <cellStyle name="자리수 6" xfId="3179" xr:uid="{00000000-0005-0000-0000-00006B0C0000}"/>
    <cellStyle name="자리수 7" xfId="3180" xr:uid="{00000000-0005-0000-0000-00006C0C0000}"/>
    <cellStyle name="자리수 8" xfId="3181" xr:uid="{00000000-0005-0000-0000-00006D0C0000}"/>
    <cellStyle name="자리수 9" xfId="3182" xr:uid="{00000000-0005-0000-0000-00006E0C0000}"/>
    <cellStyle name="자리수_BMB_UGA NEXT(audio_DPP2 Ver1.0)2008.xx.xx" xfId="3183" xr:uid="{00000000-0005-0000-0000-00006F0C0000}"/>
    <cellStyle name="자리수0" xfId="3184" xr:uid="{00000000-0005-0000-0000-0000700C0000}"/>
    <cellStyle name="자리수0 10" xfId="3185" xr:uid="{00000000-0005-0000-0000-0000710C0000}"/>
    <cellStyle name="자리수0 11" xfId="3186" xr:uid="{00000000-0005-0000-0000-0000720C0000}"/>
    <cellStyle name="자리수0 12" xfId="3187" xr:uid="{00000000-0005-0000-0000-0000730C0000}"/>
    <cellStyle name="자리수0 13" xfId="3188" xr:uid="{00000000-0005-0000-0000-0000740C0000}"/>
    <cellStyle name="자리수0 14" xfId="3189" xr:uid="{00000000-0005-0000-0000-0000750C0000}"/>
    <cellStyle name="자리수0 15" xfId="3190" xr:uid="{00000000-0005-0000-0000-0000760C0000}"/>
    <cellStyle name="자리수0 16" xfId="3191" xr:uid="{00000000-0005-0000-0000-0000770C0000}"/>
    <cellStyle name="자리수0 17" xfId="3192" xr:uid="{00000000-0005-0000-0000-0000780C0000}"/>
    <cellStyle name="자리수0 18" xfId="3193" xr:uid="{00000000-0005-0000-0000-0000790C0000}"/>
    <cellStyle name="자리수0 2" xfId="3194" xr:uid="{00000000-0005-0000-0000-00007A0C0000}"/>
    <cellStyle name="자리수0 3" xfId="3195" xr:uid="{00000000-0005-0000-0000-00007B0C0000}"/>
    <cellStyle name="자리수0 4" xfId="3196" xr:uid="{00000000-0005-0000-0000-00007C0C0000}"/>
    <cellStyle name="자리수0 5" xfId="3197" xr:uid="{00000000-0005-0000-0000-00007D0C0000}"/>
    <cellStyle name="자리수0 6" xfId="3198" xr:uid="{00000000-0005-0000-0000-00007E0C0000}"/>
    <cellStyle name="자리수0 7" xfId="3199" xr:uid="{00000000-0005-0000-0000-00007F0C0000}"/>
    <cellStyle name="자리수0 8" xfId="3200" xr:uid="{00000000-0005-0000-0000-0000800C0000}"/>
    <cellStyle name="자리수0 9" xfId="3201" xr:uid="{00000000-0005-0000-0000-0000810C0000}"/>
    <cellStyle name="자리수0_BMB_UGA NEXT(audio_DPP2 Ver1.0)2008.xx.xx" xfId="3202" xr:uid="{00000000-0005-0000-0000-0000820C0000}"/>
    <cellStyle name="제목 1 1" xfId="3203" xr:uid="{00000000-0005-0000-0000-0000830C0000}"/>
    <cellStyle name="제목 1 2" xfId="171" xr:uid="{00000000-0005-0000-0000-0000AB000000}"/>
    <cellStyle name="제목 1 2 2" xfId="3204" xr:uid="{00000000-0005-0000-0000-0000840C0000}"/>
    <cellStyle name="제목 1 2 3" xfId="5868" xr:uid="{00000000-0005-0000-0000-0000EC160000}"/>
    <cellStyle name="제목 1 3" xfId="172" xr:uid="{00000000-0005-0000-0000-0000AC000000}"/>
    <cellStyle name="제목 1 3 2" xfId="3205" xr:uid="{00000000-0005-0000-0000-0000850C0000}"/>
    <cellStyle name="제목 1 4" xfId="173" xr:uid="{00000000-0005-0000-0000-0000AD000000}"/>
    <cellStyle name="제목 1 4 2" xfId="3206" xr:uid="{00000000-0005-0000-0000-0000860C0000}"/>
    <cellStyle name="제목 1 5" xfId="174" xr:uid="{00000000-0005-0000-0000-0000AE000000}"/>
    <cellStyle name="제목 1 6" xfId="175" xr:uid="{00000000-0005-0000-0000-0000AF000000}"/>
    <cellStyle name="제목 1 6 2" xfId="3207" xr:uid="{00000000-0005-0000-0000-0000870C0000}"/>
    <cellStyle name="제목 1 7" xfId="273" xr:uid="{00000000-0005-0000-0000-000011010000}"/>
    <cellStyle name="제목 10" xfId="272" xr:uid="{00000000-0005-0000-0000-000010010000}"/>
    <cellStyle name="제목 2 2" xfId="176" xr:uid="{00000000-0005-0000-0000-0000B0000000}"/>
    <cellStyle name="제목 2 2 2" xfId="3208" xr:uid="{00000000-0005-0000-0000-0000880C0000}"/>
    <cellStyle name="제목 2 2 3" xfId="5869" xr:uid="{00000000-0005-0000-0000-0000ED160000}"/>
    <cellStyle name="제목 2 3" xfId="177" xr:uid="{00000000-0005-0000-0000-0000B1000000}"/>
    <cellStyle name="제목 2 3 2" xfId="3209" xr:uid="{00000000-0005-0000-0000-0000890C0000}"/>
    <cellStyle name="제목 2 4" xfId="178" xr:uid="{00000000-0005-0000-0000-0000B2000000}"/>
    <cellStyle name="제목 2 4 2" xfId="3210" xr:uid="{00000000-0005-0000-0000-00008A0C0000}"/>
    <cellStyle name="제목 2 5" xfId="179" xr:uid="{00000000-0005-0000-0000-0000B3000000}"/>
    <cellStyle name="제목 2 6" xfId="180" xr:uid="{00000000-0005-0000-0000-0000B4000000}"/>
    <cellStyle name="제목 2 6 2" xfId="3211" xr:uid="{00000000-0005-0000-0000-00008B0C0000}"/>
    <cellStyle name="제목 2 7" xfId="274" xr:uid="{00000000-0005-0000-0000-000012010000}"/>
    <cellStyle name="제목 3 2" xfId="181" xr:uid="{00000000-0005-0000-0000-0000B5000000}"/>
    <cellStyle name="제목 3 2 2" xfId="3212" xr:uid="{00000000-0005-0000-0000-00008C0C0000}"/>
    <cellStyle name="제목 3 2 3" xfId="5870" xr:uid="{00000000-0005-0000-0000-0000EE160000}"/>
    <cellStyle name="제목 3 3" xfId="182" xr:uid="{00000000-0005-0000-0000-0000B6000000}"/>
    <cellStyle name="제목 3 3 2" xfId="3213" xr:uid="{00000000-0005-0000-0000-00008D0C0000}"/>
    <cellStyle name="제목 3 4" xfId="183" xr:uid="{00000000-0005-0000-0000-0000B7000000}"/>
    <cellStyle name="제목 3 4 2" xfId="3214" xr:uid="{00000000-0005-0000-0000-00008E0C0000}"/>
    <cellStyle name="제목 3 5" xfId="184" xr:uid="{00000000-0005-0000-0000-0000B8000000}"/>
    <cellStyle name="제목 3 6" xfId="185" xr:uid="{00000000-0005-0000-0000-0000B9000000}"/>
    <cellStyle name="제목 3 6 2" xfId="3215" xr:uid="{00000000-0005-0000-0000-00008F0C0000}"/>
    <cellStyle name="제목 3 7" xfId="275" xr:uid="{00000000-0005-0000-0000-000013010000}"/>
    <cellStyle name="제목 4 2" xfId="186" xr:uid="{00000000-0005-0000-0000-0000BA000000}"/>
    <cellStyle name="제목 4 2 2" xfId="3216" xr:uid="{00000000-0005-0000-0000-0000900C0000}"/>
    <cellStyle name="제목 4 2 3" xfId="5871" xr:uid="{00000000-0005-0000-0000-0000EF160000}"/>
    <cellStyle name="제목 4 3" xfId="187" xr:uid="{00000000-0005-0000-0000-0000BB000000}"/>
    <cellStyle name="제목 4 3 2" xfId="3217" xr:uid="{00000000-0005-0000-0000-0000910C0000}"/>
    <cellStyle name="제목 4 4" xfId="188" xr:uid="{00000000-0005-0000-0000-0000BC000000}"/>
    <cellStyle name="제목 4 4 2" xfId="3218" xr:uid="{00000000-0005-0000-0000-0000920C0000}"/>
    <cellStyle name="제목 4 5" xfId="189" xr:uid="{00000000-0005-0000-0000-0000BD000000}"/>
    <cellStyle name="제목 4 6" xfId="190" xr:uid="{00000000-0005-0000-0000-0000BE000000}"/>
    <cellStyle name="제목 4 6 2" xfId="3219" xr:uid="{00000000-0005-0000-0000-0000930C0000}"/>
    <cellStyle name="제목 4 7" xfId="276" xr:uid="{00000000-0005-0000-0000-000014010000}"/>
    <cellStyle name="제목 5" xfId="191" xr:uid="{00000000-0005-0000-0000-0000BF000000}"/>
    <cellStyle name="제목 5 2" xfId="5872" xr:uid="{00000000-0005-0000-0000-0000F0160000}"/>
    <cellStyle name="제목 6" xfId="192" xr:uid="{00000000-0005-0000-0000-0000C0000000}"/>
    <cellStyle name="제목 6 2" xfId="3220" xr:uid="{00000000-0005-0000-0000-0000940C0000}"/>
    <cellStyle name="제목 7" xfId="193" xr:uid="{00000000-0005-0000-0000-0000C1000000}"/>
    <cellStyle name="제목 8" xfId="194" xr:uid="{00000000-0005-0000-0000-0000C2000000}"/>
    <cellStyle name="제목 8 2" xfId="3221" xr:uid="{00000000-0005-0000-0000-0000950C0000}"/>
    <cellStyle name="제목 9" xfId="195" xr:uid="{00000000-0005-0000-0000-0000C3000000}"/>
    <cellStyle name="좋음 2" xfId="196" xr:uid="{00000000-0005-0000-0000-0000C4000000}"/>
    <cellStyle name="좋음 2 2" xfId="3222" xr:uid="{00000000-0005-0000-0000-0000960C0000}"/>
    <cellStyle name="좋음 2 3" xfId="5873" xr:uid="{00000000-0005-0000-0000-0000F1160000}"/>
    <cellStyle name="좋음 3" xfId="197" xr:uid="{00000000-0005-0000-0000-0000C5000000}"/>
    <cellStyle name="좋음 3 2" xfId="3223" xr:uid="{00000000-0005-0000-0000-0000970C0000}"/>
    <cellStyle name="좋음 4" xfId="198" xr:uid="{00000000-0005-0000-0000-0000C6000000}"/>
    <cellStyle name="좋음 4 2" xfId="3224" xr:uid="{00000000-0005-0000-0000-0000980C0000}"/>
    <cellStyle name="좋음 5" xfId="199" xr:uid="{00000000-0005-0000-0000-0000C7000000}"/>
    <cellStyle name="좋음 6" xfId="200" xr:uid="{00000000-0005-0000-0000-0000C8000000}"/>
    <cellStyle name="좋음 6 2" xfId="3225" xr:uid="{00000000-0005-0000-0000-0000990C0000}"/>
    <cellStyle name="좋음 7" xfId="277" xr:uid="{00000000-0005-0000-0000-000015010000}"/>
    <cellStyle name="注释" xfId="3226" xr:uid="{00000000-0005-0000-0000-00009A0C0000}"/>
    <cellStyle name="注释 10" xfId="3227" xr:uid="{00000000-0005-0000-0000-00009B0C0000}"/>
    <cellStyle name="注释 10 2" xfId="3228" xr:uid="{00000000-0005-0000-0000-00009C0C0000}"/>
    <cellStyle name="注释 10 2 2" xfId="5874" xr:uid="{00000000-0005-0000-0000-0000F2160000}"/>
    <cellStyle name="注释 10 2 2 2" xfId="6670" xr:uid="{00000000-0005-0000-0000-00000E1A0000}"/>
    <cellStyle name="注释 10 2 2 2 2" xfId="7533" xr:uid="{00000000-0005-0000-0000-00006D1D0000}"/>
    <cellStyle name="注释 10 2 2 3" xfId="6811" xr:uid="{00000000-0005-0000-0000-00009B1A0000}"/>
    <cellStyle name="注释 10 2 2 3 2" xfId="7659" xr:uid="{00000000-0005-0000-0000-0000EB1D0000}"/>
    <cellStyle name="注释 10 2 2 4" xfId="6937" xr:uid="{00000000-0005-0000-0000-0000191B0000}"/>
    <cellStyle name="注释 10 2 2 4 2" xfId="7784" xr:uid="{00000000-0005-0000-0000-0000681E0000}"/>
    <cellStyle name="注释 10 2 2 5" xfId="6150" xr:uid="{00000000-0005-0000-0000-000006180000}"/>
    <cellStyle name="注释 10 2 3" xfId="6303" xr:uid="{00000000-0005-0000-0000-00009F180000}"/>
    <cellStyle name="注释 10 2 3 2" xfId="7274" xr:uid="{00000000-0005-0000-0000-00006A1C0000}"/>
    <cellStyle name="注释 10 2 4" xfId="6467" xr:uid="{00000000-0005-0000-0000-000043190000}"/>
    <cellStyle name="注释 10 2 4 2" xfId="7420" xr:uid="{00000000-0005-0000-0000-0000FC1C0000}"/>
    <cellStyle name="注释 10 2 5" xfId="6102" xr:uid="{00000000-0005-0000-0000-0000D6170000}"/>
    <cellStyle name="注释 10 2 5 2" xfId="7153" xr:uid="{00000000-0005-0000-0000-0000F11B0000}"/>
    <cellStyle name="注释 10 2 6" xfId="6031" xr:uid="{00000000-0005-0000-0000-00008F170000}"/>
    <cellStyle name="注释 10 3" xfId="5875" xr:uid="{00000000-0005-0000-0000-0000F3160000}"/>
    <cellStyle name="注释 10 3 2" xfId="6671" xr:uid="{00000000-0005-0000-0000-00000F1A0000}"/>
    <cellStyle name="注释 10 3 2 2" xfId="7534" xr:uid="{00000000-0005-0000-0000-00006E1D0000}"/>
    <cellStyle name="注释 10 3 3" xfId="6812" xr:uid="{00000000-0005-0000-0000-00009C1A0000}"/>
    <cellStyle name="注释 10 3 3 2" xfId="7660" xr:uid="{00000000-0005-0000-0000-0000EC1D0000}"/>
    <cellStyle name="注释 10 3 4" xfId="6938" xr:uid="{00000000-0005-0000-0000-00001A1B0000}"/>
    <cellStyle name="注释 10 3 4 2" xfId="7785" xr:uid="{00000000-0005-0000-0000-0000691E0000}"/>
    <cellStyle name="注释 10 3 5" xfId="6151" xr:uid="{00000000-0005-0000-0000-000007180000}"/>
    <cellStyle name="注释 10 4" xfId="6302" xr:uid="{00000000-0005-0000-0000-00009E180000}"/>
    <cellStyle name="注释 10 4 2" xfId="7273" xr:uid="{00000000-0005-0000-0000-0000691C0000}"/>
    <cellStyle name="注释 10 5" xfId="6468" xr:uid="{00000000-0005-0000-0000-000044190000}"/>
    <cellStyle name="注释 10 5 2" xfId="7421" xr:uid="{00000000-0005-0000-0000-0000FD1C0000}"/>
    <cellStyle name="注释 10 6" xfId="6101" xr:uid="{00000000-0005-0000-0000-0000D5170000}"/>
    <cellStyle name="注释 10 6 2" xfId="7152" xr:uid="{00000000-0005-0000-0000-0000F01B0000}"/>
    <cellStyle name="注释 10 7" xfId="6030" xr:uid="{00000000-0005-0000-0000-00008E170000}"/>
    <cellStyle name="注释 11" xfId="3229" xr:uid="{00000000-0005-0000-0000-00009D0C0000}"/>
    <cellStyle name="注释 11 2" xfId="3230" xr:uid="{00000000-0005-0000-0000-00009E0C0000}"/>
    <cellStyle name="注释 11 2 2" xfId="5876" xr:uid="{00000000-0005-0000-0000-0000F4160000}"/>
    <cellStyle name="注释 11 2 2 2" xfId="6672" xr:uid="{00000000-0005-0000-0000-0000101A0000}"/>
    <cellStyle name="注释 11 2 2 2 2" xfId="7535" xr:uid="{00000000-0005-0000-0000-00006F1D0000}"/>
    <cellStyle name="注释 11 2 2 3" xfId="6813" xr:uid="{00000000-0005-0000-0000-00009D1A0000}"/>
    <cellStyle name="注释 11 2 2 3 2" xfId="7661" xr:uid="{00000000-0005-0000-0000-0000ED1D0000}"/>
    <cellStyle name="注释 11 2 2 4" xfId="6939" xr:uid="{00000000-0005-0000-0000-00001B1B0000}"/>
    <cellStyle name="注释 11 2 2 4 2" xfId="7786" xr:uid="{00000000-0005-0000-0000-00006A1E0000}"/>
    <cellStyle name="注释 11 2 2 5" xfId="6152" xr:uid="{00000000-0005-0000-0000-000008180000}"/>
    <cellStyle name="注释 11 2 3" xfId="6305" xr:uid="{00000000-0005-0000-0000-0000A1180000}"/>
    <cellStyle name="注释 11 2 3 2" xfId="7276" xr:uid="{00000000-0005-0000-0000-00006C1C0000}"/>
    <cellStyle name="注释 11 2 4" xfId="6465" xr:uid="{00000000-0005-0000-0000-000041190000}"/>
    <cellStyle name="注释 11 2 4 2" xfId="7418" xr:uid="{00000000-0005-0000-0000-0000FA1C0000}"/>
    <cellStyle name="注释 11 2 5" xfId="6104" xr:uid="{00000000-0005-0000-0000-0000D8170000}"/>
    <cellStyle name="注释 11 2 5 2" xfId="7155" xr:uid="{00000000-0005-0000-0000-0000F31B0000}"/>
    <cellStyle name="注释 11 2 6" xfId="6033" xr:uid="{00000000-0005-0000-0000-000091170000}"/>
    <cellStyle name="注释 11 3" xfId="5877" xr:uid="{00000000-0005-0000-0000-0000F5160000}"/>
    <cellStyle name="注释 11 3 2" xfId="6673" xr:uid="{00000000-0005-0000-0000-0000111A0000}"/>
    <cellStyle name="注释 11 3 2 2" xfId="7536" xr:uid="{00000000-0005-0000-0000-0000701D0000}"/>
    <cellStyle name="注释 11 3 3" xfId="6814" xr:uid="{00000000-0005-0000-0000-00009E1A0000}"/>
    <cellStyle name="注释 11 3 3 2" xfId="7662" xr:uid="{00000000-0005-0000-0000-0000EE1D0000}"/>
    <cellStyle name="注释 11 3 4" xfId="6940" xr:uid="{00000000-0005-0000-0000-00001C1B0000}"/>
    <cellStyle name="注释 11 3 4 2" xfId="7787" xr:uid="{00000000-0005-0000-0000-00006B1E0000}"/>
    <cellStyle name="注释 11 3 5" xfId="6153" xr:uid="{00000000-0005-0000-0000-000009180000}"/>
    <cellStyle name="注释 11 4" xfId="6304" xr:uid="{00000000-0005-0000-0000-0000A0180000}"/>
    <cellStyle name="注释 11 4 2" xfId="7275" xr:uid="{00000000-0005-0000-0000-00006B1C0000}"/>
    <cellStyle name="注释 11 5" xfId="6466" xr:uid="{00000000-0005-0000-0000-000042190000}"/>
    <cellStyle name="注释 11 5 2" xfId="7419" xr:uid="{00000000-0005-0000-0000-0000FB1C0000}"/>
    <cellStyle name="注释 11 6" xfId="6103" xr:uid="{00000000-0005-0000-0000-0000D7170000}"/>
    <cellStyle name="注释 11 6 2" xfId="7154" xr:uid="{00000000-0005-0000-0000-0000F21B0000}"/>
    <cellStyle name="注释 11 7" xfId="6032" xr:uid="{00000000-0005-0000-0000-000090170000}"/>
    <cellStyle name="注释 12" xfId="3231" xr:uid="{00000000-0005-0000-0000-00009F0C0000}"/>
    <cellStyle name="注释 12 2" xfId="3232" xr:uid="{00000000-0005-0000-0000-0000A00C0000}"/>
    <cellStyle name="注释 12 2 2" xfId="5878" xr:uid="{00000000-0005-0000-0000-0000F6160000}"/>
    <cellStyle name="注释 12 2 2 2" xfId="6674" xr:uid="{00000000-0005-0000-0000-0000121A0000}"/>
    <cellStyle name="注释 12 2 2 2 2" xfId="7537" xr:uid="{00000000-0005-0000-0000-0000711D0000}"/>
    <cellStyle name="注释 12 2 2 3" xfId="6815" xr:uid="{00000000-0005-0000-0000-00009F1A0000}"/>
    <cellStyle name="注释 12 2 2 3 2" xfId="7663" xr:uid="{00000000-0005-0000-0000-0000EF1D0000}"/>
    <cellStyle name="注释 12 2 2 4" xfId="6941" xr:uid="{00000000-0005-0000-0000-00001D1B0000}"/>
    <cellStyle name="注释 12 2 2 4 2" xfId="7788" xr:uid="{00000000-0005-0000-0000-00006C1E0000}"/>
    <cellStyle name="注释 12 2 2 5" xfId="6154" xr:uid="{00000000-0005-0000-0000-00000A180000}"/>
    <cellStyle name="注释 12 2 3" xfId="6307" xr:uid="{00000000-0005-0000-0000-0000A3180000}"/>
    <cellStyle name="注释 12 2 3 2" xfId="7278" xr:uid="{00000000-0005-0000-0000-00006E1C0000}"/>
    <cellStyle name="注释 12 2 4" xfId="6463" xr:uid="{00000000-0005-0000-0000-00003F190000}"/>
    <cellStyle name="注释 12 2 4 2" xfId="7416" xr:uid="{00000000-0005-0000-0000-0000F81C0000}"/>
    <cellStyle name="注释 12 2 5" xfId="6106" xr:uid="{00000000-0005-0000-0000-0000DA170000}"/>
    <cellStyle name="注释 12 2 5 2" xfId="7157" xr:uid="{00000000-0005-0000-0000-0000F51B0000}"/>
    <cellStyle name="注释 12 2 6" xfId="6035" xr:uid="{00000000-0005-0000-0000-000093170000}"/>
    <cellStyle name="注释 12 3" xfId="5879" xr:uid="{00000000-0005-0000-0000-0000F7160000}"/>
    <cellStyle name="注释 12 3 2" xfId="6675" xr:uid="{00000000-0005-0000-0000-0000131A0000}"/>
    <cellStyle name="注释 12 3 2 2" xfId="7538" xr:uid="{00000000-0005-0000-0000-0000721D0000}"/>
    <cellStyle name="注释 12 3 3" xfId="6816" xr:uid="{00000000-0005-0000-0000-0000A01A0000}"/>
    <cellStyle name="注释 12 3 3 2" xfId="7664" xr:uid="{00000000-0005-0000-0000-0000F01D0000}"/>
    <cellStyle name="注释 12 3 4" xfId="6942" xr:uid="{00000000-0005-0000-0000-00001E1B0000}"/>
    <cellStyle name="注释 12 3 4 2" xfId="7789" xr:uid="{00000000-0005-0000-0000-00006D1E0000}"/>
    <cellStyle name="注释 12 3 5" xfId="6155" xr:uid="{00000000-0005-0000-0000-00000B180000}"/>
    <cellStyle name="注释 12 4" xfId="6306" xr:uid="{00000000-0005-0000-0000-0000A2180000}"/>
    <cellStyle name="注释 12 4 2" xfId="7277" xr:uid="{00000000-0005-0000-0000-00006D1C0000}"/>
    <cellStyle name="注释 12 5" xfId="6464" xr:uid="{00000000-0005-0000-0000-000040190000}"/>
    <cellStyle name="注释 12 5 2" xfId="7417" xr:uid="{00000000-0005-0000-0000-0000F91C0000}"/>
    <cellStyle name="注释 12 6" xfId="6105" xr:uid="{00000000-0005-0000-0000-0000D9170000}"/>
    <cellStyle name="注释 12 6 2" xfId="7156" xr:uid="{00000000-0005-0000-0000-0000F41B0000}"/>
    <cellStyle name="注释 12 7" xfId="6034" xr:uid="{00000000-0005-0000-0000-000092170000}"/>
    <cellStyle name="注释 13" xfId="3233" xr:uid="{00000000-0005-0000-0000-0000A10C0000}"/>
    <cellStyle name="注释 13 2" xfId="3234" xr:uid="{00000000-0005-0000-0000-0000A20C0000}"/>
    <cellStyle name="注释 13 2 2" xfId="5880" xr:uid="{00000000-0005-0000-0000-0000F8160000}"/>
    <cellStyle name="注释 13 2 2 2" xfId="6676" xr:uid="{00000000-0005-0000-0000-0000141A0000}"/>
    <cellStyle name="注释 13 2 2 2 2" xfId="7539" xr:uid="{00000000-0005-0000-0000-0000731D0000}"/>
    <cellStyle name="注释 13 2 2 3" xfId="6817" xr:uid="{00000000-0005-0000-0000-0000A11A0000}"/>
    <cellStyle name="注释 13 2 2 3 2" xfId="7665" xr:uid="{00000000-0005-0000-0000-0000F11D0000}"/>
    <cellStyle name="注释 13 2 2 4" xfId="6943" xr:uid="{00000000-0005-0000-0000-00001F1B0000}"/>
    <cellStyle name="注释 13 2 2 4 2" xfId="7790" xr:uid="{00000000-0005-0000-0000-00006E1E0000}"/>
    <cellStyle name="注释 13 2 2 5" xfId="6156" xr:uid="{00000000-0005-0000-0000-00000C180000}"/>
    <cellStyle name="注释 13 2 3" xfId="6309" xr:uid="{00000000-0005-0000-0000-0000A5180000}"/>
    <cellStyle name="注释 13 2 3 2" xfId="7280" xr:uid="{00000000-0005-0000-0000-0000701C0000}"/>
    <cellStyle name="注释 13 2 4" xfId="6461" xr:uid="{00000000-0005-0000-0000-00003D190000}"/>
    <cellStyle name="注释 13 2 4 2" xfId="7414" xr:uid="{00000000-0005-0000-0000-0000F61C0000}"/>
    <cellStyle name="注释 13 2 5" xfId="6108" xr:uid="{00000000-0005-0000-0000-0000DC170000}"/>
    <cellStyle name="注释 13 2 5 2" xfId="7159" xr:uid="{00000000-0005-0000-0000-0000F71B0000}"/>
    <cellStyle name="注释 13 2 6" xfId="6037" xr:uid="{00000000-0005-0000-0000-000095170000}"/>
    <cellStyle name="注释 13 3" xfId="5881" xr:uid="{00000000-0005-0000-0000-0000F9160000}"/>
    <cellStyle name="注释 13 3 2" xfId="6677" xr:uid="{00000000-0005-0000-0000-0000151A0000}"/>
    <cellStyle name="注释 13 3 2 2" xfId="7540" xr:uid="{00000000-0005-0000-0000-0000741D0000}"/>
    <cellStyle name="注释 13 3 3" xfId="6818" xr:uid="{00000000-0005-0000-0000-0000A21A0000}"/>
    <cellStyle name="注释 13 3 3 2" xfId="7666" xr:uid="{00000000-0005-0000-0000-0000F21D0000}"/>
    <cellStyle name="注释 13 3 4" xfId="6944" xr:uid="{00000000-0005-0000-0000-0000201B0000}"/>
    <cellStyle name="注释 13 3 4 2" xfId="7791" xr:uid="{00000000-0005-0000-0000-00006F1E0000}"/>
    <cellStyle name="注释 13 3 5" xfId="6157" xr:uid="{00000000-0005-0000-0000-00000D180000}"/>
    <cellStyle name="注释 13 4" xfId="6308" xr:uid="{00000000-0005-0000-0000-0000A4180000}"/>
    <cellStyle name="注释 13 4 2" xfId="7279" xr:uid="{00000000-0005-0000-0000-00006F1C0000}"/>
    <cellStyle name="注释 13 5" xfId="6462" xr:uid="{00000000-0005-0000-0000-00003E190000}"/>
    <cellStyle name="注释 13 5 2" xfId="7415" xr:uid="{00000000-0005-0000-0000-0000F71C0000}"/>
    <cellStyle name="注释 13 6" xfId="6107" xr:uid="{00000000-0005-0000-0000-0000DB170000}"/>
    <cellStyle name="注释 13 6 2" xfId="7158" xr:uid="{00000000-0005-0000-0000-0000F61B0000}"/>
    <cellStyle name="注释 13 7" xfId="6036" xr:uid="{00000000-0005-0000-0000-000094170000}"/>
    <cellStyle name="注释 14" xfId="3235" xr:uid="{00000000-0005-0000-0000-0000A30C0000}"/>
    <cellStyle name="注释 14 2" xfId="3236" xr:uid="{00000000-0005-0000-0000-0000A40C0000}"/>
    <cellStyle name="注释 14 2 2" xfId="5882" xr:uid="{00000000-0005-0000-0000-0000FA160000}"/>
    <cellStyle name="注释 14 2 2 2" xfId="6678" xr:uid="{00000000-0005-0000-0000-0000161A0000}"/>
    <cellStyle name="注释 14 2 2 2 2" xfId="7541" xr:uid="{00000000-0005-0000-0000-0000751D0000}"/>
    <cellStyle name="注释 14 2 2 3" xfId="6819" xr:uid="{00000000-0005-0000-0000-0000A31A0000}"/>
    <cellStyle name="注释 14 2 2 3 2" xfId="7667" xr:uid="{00000000-0005-0000-0000-0000F31D0000}"/>
    <cellStyle name="注释 14 2 2 4" xfId="6945" xr:uid="{00000000-0005-0000-0000-0000211B0000}"/>
    <cellStyle name="注释 14 2 2 4 2" xfId="7792" xr:uid="{00000000-0005-0000-0000-0000701E0000}"/>
    <cellStyle name="注释 14 2 2 5" xfId="6158" xr:uid="{00000000-0005-0000-0000-00000E180000}"/>
    <cellStyle name="注释 14 2 3" xfId="6311" xr:uid="{00000000-0005-0000-0000-0000A7180000}"/>
    <cellStyle name="注释 14 2 3 2" xfId="7282" xr:uid="{00000000-0005-0000-0000-0000721C0000}"/>
    <cellStyle name="注释 14 2 4" xfId="6459" xr:uid="{00000000-0005-0000-0000-00003B190000}"/>
    <cellStyle name="注释 14 2 4 2" xfId="7412" xr:uid="{00000000-0005-0000-0000-0000F41C0000}"/>
    <cellStyle name="注释 14 2 5" xfId="6110" xr:uid="{00000000-0005-0000-0000-0000DE170000}"/>
    <cellStyle name="注释 14 2 5 2" xfId="7161" xr:uid="{00000000-0005-0000-0000-0000F91B0000}"/>
    <cellStyle name="注释 14 2 6" xfId="6039" xr:uid="{00000000-0005-0000-0000-000097170000}"/>
    <cellStyle name="注释 14 3" xfId="5883" xr:uid="{00000000-0005-0000-0000-0000FB160000}"/>
    <cellStyle name="注释 14 3 2" xfId="6679" xr:uid="{00000000-0005-0000-0000-0000171A0000}"/>
    <cellStyle name="注释 14 3 2 2" xfId="7542" xr:uid="{00000000-0005-0000-0000-0000761D0000}"/>
    <cellStyle name="注释 14 3 3" xfId="6820" xr:uid="{00000000-0005-0000-0000-0000A41A0000}"/>
    <cellStyle name="注释 14 3 3 2" xfId="7668" xr:uid="{00000000-0005-0000-0000-0000F41D0000}"/>
    <cellStyle name="注释 14 3 4" xfId="6946" xr:uid="{00000000-0005-0000-0000-0000221B0000}"/>
    <cellStyle name="注释 14 3 4 2" xfId="7793" xr:uid="{00000000-0005-0000-0000-0000711E0000}"/>
    <cellStyle name="注释 14 3 5" xfId="6159" xr:uid="{00000000-0005-0000-0000-00000F180000}"/>
    <cellStyle name="注释 14 4" xfId="6310" xr:uid="{00000000-0005-0000-0000-0000A6180000}"/>
    <cellStyle name="注释 14 4 2" xfId="7281" xr:uid="{00000000-0005-0000-0000-0000711C0000}"/>
    <cellStyle name="注释 14 5" xfId="6460" xr:uid="{00000000-0005-0000-0000-00003C190000}"/>
    <cellStyle name="注释 14 5 2" xfId="7413" xr:uid="{00000000-0005-0000-0000-0000F51C0000}"/>
    <cellStyle name="注释 14 6" xfId="6109" xr:uid="{00000000-0005-0000-0000-0000DD170000}"/>
    <cellStyle name="注释 14 6 2" xfId="7160" xr:uid="{00000000-0005-0000-0000-0000F81B0000}"/>
    <cellStyle name="注释 14 7" xfId="6038" xr:uid="{00000000-0005-0000-0000-000096170000}"/>
    <cellStyle name="注释 15" xfId="3237" xr:uid="{00000000-0005-0000-0000-0000A50C0000}"/>
    <cellStyle name="注释 15 2" xfId="3238" xr:uid="{00000000-0005-0000-0000-0000A60C0000}"/>
    <cellStyle name="注释 15 2 2" xfId="5884" xr:uid="{00000000-0005-0000-0000-0000FC160000}"/>
    <cellStyle name="注释 15 2 2 2" xfId="6680" xr:uid="{00000000-0005-0000-0000-0000181A0000}"/>
    <cellStyle name="注释 15 2 2 2 2" xfId="7543" xr:uid="{00000000-0005-0000-0000-0000771D0000}"/>
    <cellStyle name="注释 15 2 2 3" xfId="6821" xr:uid="{00000000-0005-0000-0000-0000A51A0000}"/>
    <cellStyle name="注释 15 2 2 3 2" xfId="7669" xr:uid="{00000000-0005-0000-0000-0000F51D0000}"/>
    <cellStyle name="注释 15 2 2 4" xfId="6947" xr:uid="{00000000-0005-0000-0000-0000231B0000}"/>
    <cellStyle name="注释 15 2 2 4 2" xfId="7794" xr:uid="{00000000-0005-0000-0000-0000721E0000}"/>
    <cellStyle name="注释 15 2 2 5" xfId="6160" xr:uid="{00000000-0005-0000-0000-000010180000}"/>
    <cellStyle name="注释 15 2 3" xfId="6313" xr:uid="{00000000-0005-0000-0000-0000A9180000}"/>
    <cellStyle name="注释 15 2 3 2" xfId="7284" xr:uid="{00000000-0005-0000-0000-0000741C0000}"/>
    <cellStyle name="注释 15 2 4" xfId="6457" xr:uid="{00000000-0005-0000-0000-000039190000}"/>
    <cellStyle name="注释 15 2 4 2" xfId="7410" xr:uid="{00000000-0005-0000-0000-0000F21C0000}"/>
    <cellStyle name="注释 15 2 5" xfId="6112" xr:uid="{00000000-0005-0000-0000-0000E0170000}"/>
    <cellStyle name="注释 15 2 5 2" xfId="7163" xr:uid="{00000000-0005-0000-0000-0000FB1B0000}"/>
    <cellStyle name="注释 15 2 6" xfId="6041" xr:uid="{00000000-0005-0000-0000-000099170000}"/>
    <cellStyle name="注释 15 3" xfId="5885" xr:uid="{00000000-0005-0000-0000-0000FD160000}"/>
    <cellStyle name="注释 15 3 2" xfId="6681" xr:uid="{00000000-0005-0000-0000-0000191A0000}"/>
    <cellStyle name="注释 15 3 2 2" xfId="7544" xr:uid="{00000000-0005-0000-0000-0000781D0000}"/>
    <cellStyle name="注释 15 3 3" xfId="6822" xr:uid="{00000000-0005-0000-0000-0000A61A0000}"/>
    <cellStyle name="注释 15 3 3 2" xfId="7670" xr:uid="{00000000-0005-0000-0000-0000F61D0000}"/>
    <cellStyle name="注释 15 3 4" xfId="6948" xr:uid="{00000000-0005-0000-0000-0000241B0000}"/>
    <cellStyle name="注释 15 3 4 2" xfId="7795" xr:uid="{00000000-0005-0000-0000-0000731E0000}"/>
    <cellStyle name="注释 15 3 5" xfId="6161" xr:uid="{00000000-0005-0000-0000-000011180000}"/>
    <cellStyle name="注释 15 4" xfId="6312" xr:uid="{00000000-0005-0000-0000-0000A8180000}"/>
    <cellStyle name="注释 15 4 2" xfId="7283" xr:uid="{00000000-0005-0000-0000-0000731C0000}"/>
    <cellStyle name="注释 15 5" xfId="6458" xr:uid="{00000000-0005-0000-0000-00003A190000}"/>
    <cellStyle name="注释 15 5 2" xfId="7411" xr:uid="{00000000-0005-0000-0000-0000F31C0000}"/>
    <cellStyle name="注释 15 6" xfId="6111" xr:uid="{00000000-0005-0000-0000-0000DF170000}"/>
    <cellStyle name="注释 15 6 2" xfId="7162" xr:uid="{00000000-0005-0000-0000-0000FA1B0000}"/>
    <cellStyle name="注释 15 7" xfId="6040" xr:uid="{00000000-0005-0000-0000-000098170000}"/>
    <cellStyle name="注释 16" xfId="3239" xr:uid="{00000000-0005-0000-0000-0000A70C0000}"/>
    <cellStyle name="注释 16 2" xfId="3240" xr:uid="{00000000-0005-0000-0000-0000A80C0000}"/>
    <cellStyle name="注释 16 2 2" xfId="5886" xr:uid="{00000000-0005-0000-0000-0000FE160000}"/>
    <cellStyle name="注释 16 2 2 2" xfId="6682" xr:uid="{00000000-0005-0000-0000-00001A1A0000}"/>
    <cellStyle name="注释 16 2 2 2 2" xfId="7545" xr:uid="{00000000-0005-0000-0000-0000791D0000}"/>
    <cellStyle name="注释 16 2 2 3" xfId="6823" xr:uid="{00000000-0005-0000-0000-0000A71A0000}"/>
    <cellStyle name="注释 16 2 2 3 2" xfId="7671" xr:uid="{00000000-0005-0000-0000-0000F71D0000}"/>
    <cellStyle name="注释 16 2 2 4" xfId="6949" xr:uid="{00000000-0005-0000-0000-0000251B0000}"/>
    <cellStyle name="注释 16 2 2 4 2" xfId="7796" xr:uid="{00000000-0005-0000-0000-0000741E0000}"/>
    <cellStyle name="注释 16 2 2 5" xfId="6162" xr:uid="{00000000-0005-0000-0000-000012180000}"/>
    <cellStyle name="注释 16 2 3" xfId="6315" xr:uid="{00000000-0005-0000-0000-0000AB180000}"/>
    <cellStyle name="注释 16 2 3 2" xfId="7286" xr:uid="{00000000-0005-0000-0000-0000761C0000}"/>
    <cellStyle name="注释 16 2 4" xfId="6455" xr:uid="{00000000-0005-0000-0000-000037190000}"/>
    <cellStyle name="注释 16 2 4 2" xfId="7408" xr:uid="{00000000-0005-0000-0000-0000F01C0000}"/>
    <cellStyle name="注释 16 2 5" xfId="6114" xr:uid="{00000000-0005-0000-0000-0000E2170000}"/>
    <cellStyle name="注释 16 2 5 2" xfId="7165" xr:uid="{00000000-0005-0000-0000-0000FD1B0000}"/>
    <cellStyle name="注释 16 2 6" xfId="6043" xr:uid="{00000000-0005-0000-0000-00009B170000}"/>
    <cellStyle name="注释 16 3" xfId="5887" xr:uid="{00000000-0005-0000-0000-0000FF160000}"/>
    <cellStyle name="注释 16 3 2" xfId="6683" xr:uid="{00000000-0005-0000-0000-00001B1A0000}"/>
    <cellStyle name="注释 16 3 2 2" xfId="7546" xr:uid="{00000000-0005-0000-0000-00007A1D0000}"/>
    <cellStyle name="注释 16 3 3" xfId="6824" xr:uid="{00000000-0005-0000-0000-0000A81A0000}"/>
    <cellStyle name="注释 16 3 3 2" xfId="7672" xr:uid="{00000000-0005-0000-0000-0000F81D0000}"/>
    <cellStyle name="注释 16 3 4" xfId="6950" xr:uid="{00000000-0005-0000-0000-0000261B0000}"/>
    <cellStyle name="注释 16 3 4 2" xfId="7797" xr:uid="{00000000-0005-0000-0000-0000751E0000}"/>
    <cellStyle name="注释 16 3 5" xfId="6163" xr:uid="{00000000-0005-0000-0000-000013180000}"/>
    <cellStyle name="注释 16 4" xfId="6314" xr:uid="{00000000-0005-0000-0000-0000AA180000}"/>
    <cellStyle name="注释 16 4 2" xfId="7285" xr:uid="{00000000-0005-0000-0000-0000751C0000}"/>
    <cellStyle name="注释 16 5" xfId="6456" xr:uid="{00000000-0005-0000-0000-000038190000}"/>
    <cellStyle name="注释 16 5 2" xfId="7409" xr:uid="{00000000-0005-0000-0000-0000F11C0000}"/>
    <cellStyle name="注释 16 6" xfId="6113" xr:uid="{00000000-0005-0000-0000-0000E1170000}"/>
    <cellStyle name="注释 16 6 2" xfId="7164" xr:uid="{00000000-0005-0000-0000-0000FC1B0000}"/>
    <cellStyle name="注释 16 7" xfId="6042" xr:uid="{00000000-0005-0000-0000-00009A170000}"/>
    <cellStyle name="注释 17" xfId="3241" xr:uid="{00000000-0005-0000-0000-0000A90C0000}"/>
    <cellStyle name="注释 17 2" xfId="3242" xr:uid="{00000000-0005-0000-0000-0000AA0C0000}"/>
    <cellStyle name="注释 17 2 2" xfId="5888" xr:uid="{00000000-0005-0000-0000-000000170000}"/>
    <cellStyle name="注释 17 2 2 2" xfId="6684" xr:uid="{00000000-0005-0000-0000-00001C1A0000}"/>
    <cellStyle name="注释 17 2 2 2 2" xfId="7547" xr:uid="{00000000-0005-0000-0000-00007B1D0000}"/>
    <cellStyle name="注释 17 2 2 3" xfId="6825" xr:uid="{00000000-0005-0000-0000-0000A91A0000}"/>
    <cellStyle name="注释 17 2 2 3 2" xfId="7673" xr:uid="{00000000-0005-0000-0000-0000F91D0000}"/>
    <cellStyle name="注释 17 2 2 4" xfId="6951" xr:uid="{00000000-0005-0000-0000-0000271B0000}"/>
    <cellStyle name="注释 17 2 2 4 2" xfId="7798" xr:uid="{00000000-0005-0000-0000-0000761E0000}"/>
    <cellStyle name="注释 17 2 2 5" xfId="6164" xr:uid="{00000000-0005-0000-0000-000014180000}"/>
    <cellStyle name="注释 17 2 3" xfId="6317" xr:uid="{00000000-0005-0000-0000-0000AD180000}"/>
    <cellStyle name="注释 17 2 3 2" xfId="7288" xr:uid="{00000000-0005-0000-0000-0000781C0000}"/>
    <cellStyle name="注释 17 2 4" xfId="6453" xr:uid="{00000000-0005-0000-0000-000035190000}"/>
    <cellStyle name="注释 17 2 4 2" xfId="7406" xr:uid="{00000000-0005-0000-0000-0000EE1C0000}"/>
    <cellStyle name="注释 17 2 5" xfId="6116" xr:uid="{00000000-0005-0000-0000-0000E4170000}"/>
    <cellStyle name="注释 17 2 5 2" xfId="7167" xr:uid="{00000000-0005-0000-0000-0000FF1B0000}"/>
    <cellStyle name="注释 17 2 6" xfId="6045" xr:uid="{00000000-0005-0000-0000-00009D170000}"/>
    <cellStyle name="注释 17 3" xfId="5889" xr:uid="{00000000-0005-0000-0000-000001170000}"/>
    <cellStyle name="注释 17 3 2" xfId="6685" xr:uid="{00000000-0005-0000-0000-00001D1A0000}"/>
    <cellStyle name="注释 17 3 2 2" xfId="7548" xr:uid="{00000000-0005-0000-0000-00007C1D0000}"/>
    <cellStyle name="注释 17 3 3" xfId="6826" xr:uid="{00000000-0005-0000-0000-0000AA1A0000}"/>
    <cellStyle name="注释 17 3 3 2" xfId="7674" xr:uid="{00000000-0005-0000-0000-0000FA1D0000}"/>
    <cellStyle name="注释 17 3 4" xfId="6952" xr:uid="{00000000-0005-0000-0000-0000281B0000}"/>
    <cellStyle name="注释 17 3 4 2" xfId="7799" xr:uid="{00000000-0005-0000-0000-0000771E0000}"/>
    <cellStyle name="注释 17 3 5" xfId="6165" xr:uid="{00000000-0005-0000-0000-000015180000}"/>
    <cellStyle name="注释 17 4" xfId="6316" xr:uid="{00000000-0005-0000-0000-0000AC180000}"/>
    <cellStyle name="注释 17 4 2" xfId="7287" xr:uid="{00000000-0005-0000-0000-0000771C0000}"/>
    <cellStyle name="注释 17 5" xfId="6454" xr:uid="{00000000-0005-0000-0000-000036190000}"/>
    <cellStyle name="注释 17 5 2" xfId="7407" xr:uid="{00000000-0005-0000-0000-0000EF1C0000}"/>
    <cellStyle name="注释 17 6" xfId="6115" xr:uid="{00000000-0005-0000-0000-0000E3170000}"/>
    <cellStyle name="注释 17 6 2" xfId="7166" xr:uid="{00000000-0005-0000-0000-0000FE1B0000}"/>
    <cellStyle name="注释 17 7" xfId="6044" xr:uid="{00000000-0005-0000-0000-00009C170000}"/>
    <cellStyle name="注释 18" xfId="3243" xr:uid="{00000000-0005-0000-0000-0000AB0C0000}"/>
    <cellStyle name="注释 18 2" xfId="3244" xr:uid="{00000000-0005-0000-0000-0000AC0C0000}"/>
    <cellStyle name="注释 18 2 2" xfId="5890" xr:uid="{00000000-0005-0000-0000-000002170000}"/>
    <cellStyle name="注释 18 2 2 2" xfId="6686" xr:uid="{00000000-0005-0000-0000-00001E1A0000}"/>
    <cellStyle name="注释 18 2 2 2 2" xfId="7549" xr:uid="{00000000-0005-0000-0000-00007D1D0000}"/>
    <cellStyle name="注释 18 2 2 3" xfId="6827" xr:uid="{00000000-0005-0000-0000-0000AB1A0000}"/>
    <cellStyle name="注释 18 2 2 3 2" xfId="7675" xr:uid="{00000000-0005-0000-0000-0000FB1D0000}"/>
    <cellStyle name="注释 18 2 2 4" xfId="6953" xr:uid="{00000000-0005-0000-0000-0000291B0000}"/>
    <cellStyle name="注释 18 2 2 4 2" xfId="7800" xr:uid="{00000000-0005-0000-0000-0000781E0000}"/>
    <cellStyle name="注释 18 2 2 5" xfId="6166" xr:uid="{00000000-0005-0000-0000-000016180000}"/>
    <cellStyle name="注释 18 2 3" xfId="6319" xr:uid="{00000000-0005-0000-0000-0000AF180000}"/>
    <cellStyle name="注释 18 2 3 2" xfId="7290" xr:uid="{00000000-0005-0000-0000-00007A1C0000}"/>
    <cellStyle name="注释 18 2 4" xfId="6451" xr:uid="{00000000-0005-0000-0000-000033190000}"/>
    <cellStyle name="注释 18 2 4 2" xfId="7404" xr:uid="{00000000-0005-0000-0000-0000EC1C0000}"/>
    <cellStyle name="注释 18 2 5" xfId="6118" xr:uid="{00000000-0005-0000-0000-0000E6170000}"/>
    <cellStyle name="注释 18 2 5 2" xfId="7169" xr:uid="{00000000-0005-0000-0000-0000011C0000}"/>
    <cellStyle name="注释 18 2 6" xfId="6047" xr:uid="{00000000-0005-0000-0000-00009F170000}"/>
    <cellStyle name="注释 18 3" xfId="5891" xr:uid="{00000000-0005-0000-0000-000003170000}"/>
    <cellStyle name="注释 18 3 2" xfId="6687" xr:uid="{00000000-0005-0000-0000-00001F1A0000}"/>
    <cellStyle name="注释 18 3 2 2" xfId="7550" xr:uid="{00000000-0005-0000-0000-00007E1D0000}"/>
    <cellStyle name="注释 18 3 3" xfId="6828" xr:uid="{00000000-0005-0000-0000-0000AC1A0000}"/>
    <cellStyle name="注释 18 3 3 2" xfId="7676" xr:uid="{00000000-0005-0000-0000-0000FC1D0000}"/>
    <cellStyle name="注释 18 3 4" xfId="6954" xr:uid="{00000000-0005-0000-0000-00002A1B0000}"/>
    <cellStyle name="注释 18 3 4 2" xfId="7801" xr:uid="{00000000-0005-0000-0000-0000791E0000}"/>
    <cellStyle name="注释 18 3 5" xfId="6167" xr:uid="{00000000-0005-0000-0000-000017180000}"/>
    <cellStyle name="注释 18 4" xfId="6318" xr:uid="{00000000-0005-0000-0000-0000AE180000}"/>
    <cellStyle name="注释 18 4 2" xfId="7289" xr:uid="{00000000-0005-0000-0000-0000791C0000}"/>
    <cellStyle name="注释 18 5" xfId="6452" xr:uid="{00000000-0005-0000-0000-000034190000}"/>
    <cellStyle name="注释 18 5 2" xfId="7405" xr:uid="{00000000-0005-0000-0000-0000ED1C0000}"/>
    <cellStyle name="注释 18 6" xfId="6117" xr:uid="{00000000-0005-0000-0000-0000E5170000}"/>
    <cellStyle name="注释 18 6 2" xfId="7168" xr:uid="{00000000-0005-0000-0000-0000001C0000}"/>
    <cellStyle name="注释 18 7" xfId="6046" xr:uid="{00000000-0005-0000-0000-00009E170000}"/>
    <cellStyle name="注释 19" xfId="5892" xr:uid="{00000000-0005-0000-0000-000004170000}"/>
    <cellStyle name="注释 19 2" xfId="6688" xr:uid="{00000000-0005-0000-0000-0000201A0000}"/>
    <cellStyle name="注释 19 2 2" xfId="7551" xr:uid="{00000000-0005-0000-0000-00007F1D0000}"/>
    <cellStyle name="注释 19 3" xfId="6829" xr:uid="{00000000-0005-0000-0000-0000AD1A0000}"/>
    <cellStyle name="注释 19 3 2" xfId="7677" xr:uid="{00000000-0005-0000-0000-0000FD1D0000}"/>
    <cellStyle name="注释 19 4" xfId="6955" xr:uid="{00000000-0005-0000-0000-00002B1B0000}"/>
    <cellStyle name="注释 19 4 2" xfId="7802" xr:uid="{00000000-0005-0000-0000-00007A1E0000}"/>
    <cellStyle name="注释 19 5" xfId="6168" xr:uid="{00000000-0005-0000-0000-000018180000}"/>
    <cellStyle name="注释 2" xfId="3245" xr:uid="{00000000-0005-0000-0000-0000AD0C0000}"/>
    <cellStyle name="注释 2 2" xfId="3246" xr:uid="{00000000-0005-0000-0000-0000AE0C0000}"/>
    <cellStyle name="注释 2 2 2" xfId="5893" xr:uid="{00000000-0005-0000-0000-000005170000}"/>
    <cellStyle name="注释 2 2 2 2" xfId="6689" xr:uid="{00000000-0005-0000-0000-0000211A0000}"/>
    <cellStyle name="注释 2 2 2 2 2" xfId="7552" xr:uid="{00000000-0005-0000-0000-0000801D0000}"/>
    <cellStyle name="注释 2 2 2 3" xfId="6830" xr:uid="{00000000-0005-0000-0000-0000AE1A0000}"/>
    <cellStyle name="注释 2 2 2 3 2" xfId="7678" xr:uid="{00000000-0005-0000-0000-0000FE1D0000}"/>
    <cellStyle name="注释 2 2 2 4" xfId="6956" xr:uid="{00000000-0005-0000-0000-00002C1B0000}"/>
    <cellStyle name="注释 2 2 2 4 2" xfId="7803" xr:uid="{00000000-0005-0000-0000-00007B1E0000}"/>
    <cellStyle name="注释 2 2 2 5" xfId="6169" xr:uid="{00000000-0005-0000-0000-000019180000}"/>
    <cellStyle name="注释 2 2 3" xfId="6321" xr:uid="{00000000-0005-0000-0000-0000B1180000}"/>
    <cellStyle name="注释 2 2 3 2" xfId="7292" xr:uid="{00000000-0005-0000-0000-00007C1C0000}"/>
    <cellStyle name="注释 2 2 4" xfId="6449" xr:uid="{00000000-0005-0000-0000-000031190000}"/>
    <cellStyle name="注释 2 2 4 2" xfId="7402" xr:uid="{00000000-0005-0000-0000-0000EA1C0000}"/>
    <cellStyle name="注释 2 2 5" xfId="6120" xr:uid="{00000000-0005-0000-0000-0000E8170000}"/>
    <cellStyle name="注释 2 2 5 2" xfId="7171" xr:uid="{00000000-0005-0000-0000-0000031C0000}"/>
    <cellStyle name="注释 2 2 6" xfId="6049" xr:uid="{00000000-0005-0000-0000-0000A1170000}"/>
    <cellStyle name="注释 2 3" xfId="5894" xr:uid="{00000000-0005-0000-0000-000006170000}"/>
    <cellStyle name="注释 2 3 2" xfId="6690" xr:uid="{00000000-0005-0000-0000-0000221A0000}"/>
    <cellStyle name="注释 2 3 2 2" xfId="7553" xr:uid="{00000000-0005-0000-0000-0000811D0000}"/>
    <cellStyle name="注释 2 3 3" xfId="6831" xr:uid="{00000000-0005-0000-0000-0000AF1A0000}"/>
    <cellStyle name="注释 2 3 3 2" xfId="7679" xr:uid="{00000000-0005-0000-0000-0000FF1D0000}"/>
    <cellStyle name="注释 2 3 4" xfId="6957" xr:uid="{00000000-0005-0000-0000-00002D1B0000}"/>
    <cellStyle name="注释 2 3 4 2" xfId="7804" xr:uid="{00000000-0005-0000-0000-00007C1E0000}"/>
    <cellStyle name="注释 2 3 5" xfId="6170" xr:uid="{00000000-0005-0000-0000-00001A180000}"/>
    <cellStyle name="注释 2 4" xfId="6320" xr:uid="{00000000-0005-0000-0000-0000B0180000}"/>
    <cellStyle name="注释 2 4 2" xfId="7291" xr:uid="{00000000-0005-0000-0000-00007B1C0000}"/>
    <cellStyle name="注释 2 5" xfId="6450" xr:uid="{00000000-0005-0000-0000-000032190000}"/>
    <cellStyle name="注释 2 5 2" xfId="7403" xr:uid="{00000000-0005-0000-0000-0000EB1C0000}"/>
    <cellStyle name="注释 2 6" xfId="6119" xr:uid="{00000000-0005-0000-0000-0000E7170000}"/>
    <cellStyle name="注释 2 6 2" xfId="7170" xr:uid="{00000000-0005-0000-0000-0000021C0000}"/>
    <cellStyle name="注释 2 7" xfId="6048" xr:uid="{00000000-0005-0000-0000-0000A0170000}"/>
    <cellStyle name="注释 20" xfId="6301" xr:uid="{00000000-0005-0000-0000-00009D180000}"/>
    <cellStyle name="注释 20 2" xfId="7272" xr:uid="{00000000-0005-0000-0000-0000681C0000}"/>
    <cellStyle name="注释 21" xfId="6469" xr:uid="{00000000-0005-0000-0000-000045190000}"/>
    <cellStyle name="注释 21 2" xfId="7422" xr:uid="{00000000-0005-0000-0000-0000FE1C0000}"/>
    <cellStyle name="注释 22" xfId="6100" xr:uid="{00000000-0005-0000-0000-0000D4170000}"/>
    <cellStyle name="注释 22 2" xfId="7151" xr:uid="{00000000-0005-0000-0000-0000EF1B0000}"/>
    <cellStyle name="注释 23" xfId="6029" xr:uid="{00000000-0005-0000-0000-00008D170000}"/>
    <cellStyle name="注释 3" xfId="3247" xr:uid="{00000000-0005-0000-0000-0000AF0C0000}"/>
    <cellStyle name="注释 3 2" xfId="3248" xr:uid="{00000000-0005-0000-0000-0000B00C0000}"/>
    <cellStyle name="注释 3 2 2" xfId="5895" xr:uid="{00000000-0005-0000-0000-000007170000}"/>
    <cellStyle name="注释 3 2 2 2" xfId="6691" xr:uid="{00000000-0005-0000-0000-0000231A0000}"/>
    <cellStyle name="注释 3 2 2 2 2" xfId="7554" xr:uid="{00000000-0005-0000-0000-0000821D0000}"/>
    <cellStyle name="注释 3 2 2 3" xfId="6832" xr:uid="{00000000-0005-0000-0000-0000B01A0000}"/>
    <cellStyle name="注释 3 2 2 3 2" xfId="7680" xr:uid="{00000000-0005-0000-0000-0000001E0000}"/>
    <cellStyle name="注释 3 2 2 4" xfId="6958" xr:uid="{00000000-0005-0000-0000-00002E1B0000}"/>
    <cellStyle name="注释 3 2 2 4 2" xfId="7805" xr:uid="{00000000-0005-0000-0000-00007D1E0000}"/>
    <cellStyle name="注释 3 2 2 5" xfId="6171" xr:uid="{00000000-0005-0000-0000-00001B180000}"/>
    <cellStyle name="注释 3 2 3" xfId="6323" xr:uid="{00000000-0005-0000-0000-0000B3180000}"/>
    <cellStyle name="注释 3 2 3 2" xfId="7294" xr:uid="{00000000-0005-0000-0000-00007E1C0000}"/>
    <cellStyle name="注释 3 2 4" xfId="6447" xr:uid="{00000000-0005-0000-0000-00002F190000}"/>
    <cellStyle name="注释 3 2 4 2" xfId="7400" xr:uid="{00000000-0005-0000-0000-0000E81C0000}"/>
    <cellStyle name="注释 3 2 5" xfId="6122" xr:uid="{00000000-0005-0000-0000-0000EA170000}"/>
    <cellStyle name="注释 3 2 5 2" xfId="7173" xr:uid="{00000000-0005-0000-0000-0000051C0000}"/>
    <cellStyle name="注释 3 2 6" xfId="6051" xr:uid="{00000000-0005-0000-0000-0000A3170000}"/>
    <cellStyle name="注释 3 3" xfId="5896" xr:uid="{00000000-0005-0000-0000-000008170000}"/>
    <cellStyle name="注释 3 3 2" xfId="6692" xr:uid="{00000000-0005-0000-0000-0000241A0000}"/>
    <cellStyle name="注释 3 3 2 2" xfId="7555" xr:uid="{00000000-0005-0000-0000-0000831D0000}"/>
    <cellStyle name="注释 3 3 3" xfId="6833" xr:uid="{00000000-0005-0000-0000-0000B11A0000}"/>
    <cellStyle name="注释 3 3 3 2" xfId="7681" xr:uid="{00000000-0005-0000-0000-0000011E0000}"/>
    <cellStyle name="注释 3 3 4" xfId="6959" xr:uid="{00000000-0005-0000-0000-00002F1B0000}"/>
    <cellStyle name="注释 3 3 4 2" xfId="7806" xr:uid="{00000000-0005-0000-0000-00007E1E0000}"/>
    <cellStyle name="注释 3 3 5" xfId="6172" xr:uid="{00000000-0005-0000-0000-00001C180000}"/>
    <cellStyle name="注释 3 4" xfId="6322" xr:uid="{00000000-0005-0000-0000-0000B2180000}"/>
    <cellStyle name="注释 3 4 2" xfId="7293" xr:uid="{00000000-0005-0000-0000-00007D1C0000}"/>
    <cellStyle name="注释 3 5" xfId="6448" xr:uid="{00000000-0005-0000-0000-000030190000}"/>
    <cellStyle name="注释 3 5 2" xfId="7401" xr:uid="{00000000-0005-0000-0000-0000E91C0000}"/>
    <cellStyle name="注释 3 6" xfId="6121" xr:uid="{00000000-0005-0000-0000-0000E9170000}"/>
    <cellStyle name="注释 3 6 2" xfId="7172" xr:uid="{00000000-0005-0000-0000-0000041C0000}"/>
    <cellStyle name="注释 3 7" xfId="6050" xr:uid="{00000000-0005-0000-0000-0000A2170000}"/>
    <cellStyle name="注释 4" xfId="3249" xr:uid="{00000000-0005-0000-0000-0000B10C0000}"/>
    <cellStyle name="注释 4 2" xfId="3250" xr:uid="{00000000-0005-0000-0000-0000B20C0000}"/>
    <cellStyle name="注释 4 2 2" xfId="5897" xr:uid="{00000000-0005-0000-0000-000009170000}"/>
    <cellStyle name="注释 4 2 2 2" xfId="6693" xr:uid="{00000000-0005-0000-0000-0000251A0000}"/>
    <cellStyle name="注释 4 2 2 2 2" xfId="7556" xr:uid="{00000000-0005-0000-0000-0000841D0000}"/>
    <cellStyle name="注释 4 2 2 3" xfId="6834" xr:uid="{00000000-0005-0000-0000-0000B21A0000}"/>
    <cellStyle name="注释 4 2 2 3 2" xfId="7682" xr:uid="{00000000-0005-0000-0000-0000021E0000}"/>
    <cellStyle name="注释 4 2 2 4" xfId="6960" xr:uid="{00000000-0005-0000-0000-0000301B0000}"/>
    <cellStyle name="注释 4 2 2 4 2" xfId="7807" xr:uid="{00000000-0005-0000-0000-00007F1E0000}"/>
    <cellStyle name="注释 4 2 2 5" xfId="6537" xr:uid="{00000000-0005-0000-0000-000089190000}"/>
    <cellStyle name="注释 4 2 3" xfId="6325" xr:uid="{00000000-0005-0000-0000-0000B5180000}"/>
    <cellStyle name="注释 4 2 3 2" xfId="7296" xr:uid="{00000000-0005-0000-0000-0000801C0000}"/>
    <cellStyle name="注释 4 2 4" xfId="6445" xr:uid="{00000000-0005-0000-0000-00002D190000}"/>
    <cellStyle name="注释 4 2 4 2" xfId="7398" xr:uid="{00000000-0005-0000-0000-0000E61C0000}"/>
    <cellStyle name="注释 4 2 5" xfId="6124" xr:uid="{00000000-0005-0000-0000-0000EC170000}"/>
    <cellStyle name="注释 4 2 5 2" xfId="7175" xr:uid="{00000000-0005-0000-0000-0000071C0000}"/>
    <cellStyle name="注释 4 2 6" xfId="6053" xr:uid="{00000000-0005-0000-0000-0000A5170000}"/>
    <cellStyle name="注释 4 3" xfId="5898" xr:uid="{00000000-0005-0000-0000-00000A170000}"/>
    <cellStyle name="注释 4 3 2" xfId="6694" xr:uid="{00000000-0005-0000-0000-0000261A0000}"/>
    <cellStyle name="注释 4 3 2 2" xfId="7557" xr:uid="{00000000-0005-0000-0000-0000851D0000}"/>
    <cellStyle name="注释 4 3 3" xfId="6835" xr:uid="{00000000-0005-0000-0000-0000B31A0000}"/>
    <cellStyle name="注释 4 3 3 2" xfId="7683" xr:uid="{00000000-0005-0000-0000-0000031E0000}"/>
    <cellStyle name="注释 4 3 4" xfId="6961" xr:uid="{00000000-0005-0000-0000-0000311B0000}"/>
    <cellStyle name="注释 4 3 4 2" xfId="7808" xr:uid="{00000000-0005-0000-0000-0000801E0000}"/>
    <cellStyle name="注释 4 3 5" xfId="6538" xr:uid="{00000000-0005-0000-0000-00008A190000}"/>
    <cellStyle name="注释 4 4" xfId="6324" xr:uid="{00000000-0005-0000-0000-0000B4180000}"/>
    <cellStyle name="注释 4 4 2" xfId="7295" xr:uid="{00000000-0005-0000-0000-00007F1C0000}"/>
    <cellStyle name="注释 4 5" xfId="6446" xr:uid="{00000000-0005-0000-0000-00002E190000}"/>
    <cellStyle name="注释 4 5 2" xfId="7399" xr:uid="{00000000-0005-0000-0000-0000E71C0000}"/>
    <cellStyle name="注释 4 6" xfId="6123" xr:uid="{00000000-0005-0000-0000-0000EB170000}"/>
    <cellStyle name="注释 4 6 2" xfId="7174" xr:uid="{00000000-0005-0000-0000-0000061C0000}"/>
    <cellStyle name="注释 4 7" xfId="6052" xr:uid="{00000000-0005-0000-0000-0000A4170000}"/>
    <cellStyle name="注释 5" xfId="3251" xr:uid="{00000000-0005-0000-0000-0000B30C0000}"/>
    <cellStyle name="注释 5 2" xfId="3252" xr:uid="{00000000-0005-0000-0000-0000B40C0000}"/>
    <cellStyle name="注释 5 2 2" xfId="5899" xr:uid="{00000000-0005-0000-0000-00000B170000}"/>
    <cellStyle name="注释 5 2 2 2" xfId="6695" xr:uid="{00000000-0005-0000-0000-0000271A0000}"/>
    <cellStyle name="注释 5 2 2 2 2" xfId="7558" xr:uid="{00000000-0005-0000-0000-0000861D0000}"/>
    <cellStyle name="注释 5 2 2 3" xfId="6836" xr:uid="{00000000-0005-0000-0000-0000B41A0000}"/>
    <cellStyle name="注释 5 2 2 3 2" xfId="7684" xr:uid="{00000000-0005-0000-0000-0000041E0000}"/>
    <cellStyle name="注释 5 2 2 4" xfId="6962" xr:uid="{00000000-0005-0000-0000-0000321B0000}"/>
    <cellStyle name="注释 5 2 2 4 2" xfId="7809" xr:uid="{00000000-0005-0000-0000-0000811E0000}"/>
    <cellStyle name="注释 5 2 2 5" xfId="6539" xr:uid="{00000000-0005-0000-0000-00008B190000}"/>
    <cellStyle name="注释 5 2 3" xfId="6327" xr:uid="{00000000-0005-0000-0000-0000B7180000}"/>
    <cellStyle name="注释 5 2 3 2" xfId="7298" xr:uid="{00000000-0005-0000-0000-0000821C0000}"/>
    <cellStyle name="注释 5 2 4" xfId="6443" xr:uid="{00000000-0005-0000-0000-00002B190000}"/>
    <cellStyle name="注释 5 2 4 2" xfId="7396" xr:uid="{00000000-0005-0000-0000-0000E41C0000}"/>
    <cellStyle name="注释 5 2 5" xfId="6126" xr:uid="{00000000-0005-0000-0000-0000EE170000}"/>
    <cellStyle name="注释 5 2 5 2" xfId="7177" xr:uid="{00000000-0005-0000-0000-0000091C0000}"/>
    <cellStyle name="注释 5 2 6" xfId="6055" xr:uid="{00000000-0005-0000-0000-0000A7170000}"/>
    <cellStyle name="注释 5 3" xfId="5900" xr:uid="{00000000-0005-0000-0000-00000C170000}"/>
    <cellStyle name="注释 5 3 2" xfId="6696" xr:uid="{00000000-0005-0000-0000-0000281A0000}"/>
    <cellStyle name="注释 5 3 2 2" xfId="7559" xr:uid="{00000000-0005-0000-0000-0000871D0000}"/>
    <cellStyle name="注释 5 3 3" xfId="6837" xr:uid="{00000000-0005-0000-0000-0000B51A0000}"/>
    <cellStyle name="注释 5 3 3 2" xfId="7685" xr:uid="{00000000-0005-0000-0000-0000051E0000}"/>
    <cellStyle name="注释 5 3 4" xfId="6963" xr:uid="{00000000-0005-0000-0000-0000331B0000}"/>
    <cellStyle name="注释 5 3 4 2" xfId="7810" xr:uid="{00000000-0005-0000-0000-0000821E0000}"/>
    <cellStyle name="注释 5 3 5" xfId="6540" xr:uid="{00000000-0005-0000-0000-00008C190000}"/>
    <cellStyle name="注释 5 4" xfId="6326" xr:uid="{00000000-0005-0000-0000-0000B6180000}"/>
    <cellStyle name="注释 5 4 2" xfId="7297" xr:uid="{00000000-0005-0000-0000-0000811C0000}"/>
    <cellStyle name="注释 5 5" xfId="6444" xr:uid="{00000000-0005-0000-0000-00002C190000}"/>
    <cellStyle name="注释 5 5 2" xfId="7397" xr:uid="{00000000-0005-0000-0000-0000E51C0000}"/>
    <cellStyle name="注释 5 6" xfId="6125" xr:uid="{00000000-0005-0000-0000-0000ED170000}"/>
    <cellStyle name="注释 5 6 2" xfId="7176" xr:uid="{00000000-0005-0000-0000-0000081C0000}"/>
    <cellStyle name="注释 5 7" xfId="6054" xr:uid="{00000000-0005-0000-0000-0000A6170000}"/>
    <cellStyle name="注释 6" xfId="3253" xr:uid="{00000000-0005-0000-0000-0000B50C0000}"/>
    <cellStyle name="注释 6 2" xfId="3254" xr:uid="{00000000-0005-0000-0000-0000B60C0000}"/>
    <cellStyle name="注释 6 2 2" xfId="5901" xr:uid="{00000000-0005-0000-0000-00000D170000}"/>
    <cellStyle name="注释 6 2 2 2" xfId="6697" xr:uid="{00000000-0005-0000-0000-0000291A0000}"/>
    <cellStyle name="注释 6 2 2 2 2" xfId="7560" xr:uid="{00000000-0005-0000-0000-0000881D0000}"/>
    <cellStyle name="注释 6 2 2 3" xfId="6838" xr:uid="{00000000-0005-0000-0000-0000B61A0000}"/>
    <cellStyle name="注释 6 2 2 3 2" xfId="7686" xr:uid="{00000000-0005-0000-0000-0000061E0000}"/>
    <cellStyle name="注释 6 2 2 4" xfId="6964" xr:uid="{00000000-0005-0000-0000-0000341B0000}"/>
    <cellStyle name="注释 6 2 2 4 2" xfId="7811" xr:uid="{00000000-0005-0000-0000-0000831E0000}"/>
    <cellStyle name="注释 6 2 2 5" xfId="6541" xr:uid="{00000000-0005-0000-0000-00008D190000}"/>
    <cellStyle name="注释 6 2 3" xfId="6329" xr:uid="{00000000-0005-0000-0000-0000B9180000}"/>
    <cellStyle name="注释 6 2 3 2" xfId="7300" xr:uid="{00000000-0005-0000-0000-0000841C0000}"/>
    <cellStyle name="注释 6 2 4" xfId="6441" xr:uid="{00000000-0005-0000-0000-000029190000}"/>
    <cellStyle name="注释 6 2 4 2" xfId="7394" xr:uid="{00000000-0005-0000-0000-0000E21C0000}"/>
    <cellStyle name="注释 6 2 5" xfId="6128" xr:uid="{00000000-0005-0000-0000-0000F0170000}"/>
    <cellStyle name="注释 6 2 5 2" xfId="7179" xr:uid="{00000000-0005-0000-0000-00000B1C0000}"/>
    <cellStyle name="注释 6 2 6" xfId="6057" xr:uid="{00000000-0005-0000-0000-0000A9170000}"/>
    <cellStyle name="注释 6 3" xfId="5902" xr:uid="{00000000-0005-0000-0000-00000E170000}"/>
    <cellStyle name="注释 6 3 2" xfId="6698" xr:uid="{00000000-0005-0000-0000-00002A1A0000}"/>
    <cellStyle name="注释 6 3 2 2" xfId="7561" xr:uid="{00000000-0005-0000-0000-0000891D0000}"/>
    <cellStyle name="注释 6 3 3" xfId="6839" xr:uid="{00000000-0005-0000-0000-0000B71A0000}"/>
    <cellStyle name="注释 6 3 3 2" xfId="7687" xr:uid="{00000000-0005-0000-0000-0000071E0000}"/>
    <cellStyle name="注释 6 3 4" xfId="6965" xr:uid="{00000000-0005-0000-0000-0000351B0000}"/>
    <cellStyle name="注释 6 3 4 2" xfId="7812" xr:uid="{00000000-0005-0000-0000-0000841E0000}"/>
    <cellStyle name="注释 6 3 5" xfId="6542" xr:uid="{00000000-0005-0000-0000-00008E190000}"/>
    <cellStyle name="注释 6 4" xfId="6328" xr:uid="{00000000-0005-0000-0000-0000B8180000}"/>
    <cellStyle name="注释 6 4 2" xfId="7299" xr:uid="{00000000-0005-0000-0000-0000831C0000}"/>
    <cellStyle name="注释 6 5" xfId="6442" xr:uid="{00000000-0005-0000-0000-00002A190000}"/>
    <cellStyle name="注释 6 5 2" xfId="7395" xr:uid="{00000000-0005-0000-0000-0000E31C0000}"/>
    <cellStyle name="注释 6 6" xfId="6127" xr:uid="{00000000-0005-0000-0000-0000EF170000}"/>
    <cellStyle name="注释 6 6 2" xfId="7178" xr:uid="{00000000-0005-0000-0000-00000A1C0000}"/>
    <cellStyle name="注释 6 7" xfId="6056" xr:uid="{00000000-0005-0000-0000-0000A8170000}"/>
    <cellStyle name="注释 7" xfId="3255" xr:uid="{00000000-0005-0000-0000-0000B70C0000}"/>
    <cellStyle name="注释 7 2" xfId="3256" xr:uid="{00000000-0005-0000-0000-0000B80C0000}"/>
    <cellStyle name="注释 7 2 2" xfId="5903" xr:uid="{00000000-0005-0000-0000-00000F170000}"/>
    <cellStyle name="注释 7 2 2 2" xfId="6699" xr:uid="{00000000-0005-0000-0000-00002B1A0000}"/>
    <cellStyle name="注释 7 2 2 2 2" xfId="7562" xr:uid="{00000000-0005-0000-0000-00008A1D0000}"/>
    <cellStyle name="注释 7 2 2 3" xfId="6840" xr:uid="{00000000-0005-0000-0000-0000B81A0000}"/>
    <cellStyle name="注释 7 2 2 3 2" xfId="7688" xr:uid="{00000000-0005-0000-0000-0000081E0000}"/>
    <cellStyle name="注释 7 2 2 4" xfId="6966" xr:uid="{00000000-0005-0000-0000-0000361B0000}"/>
    <cellStyle name="注释 7 2 2 4 2" xfId="7813" xr:uid="{00000000-0005-0000-0000-0000851E0000}"/>
    <cellStyle name="注释 7 2 2 5" xfId="6543" xr:uid="{00000000-0005-0000-0000-00008F190000}"/>
    <cellStyle name="注释 7 2 3" xfId="6331" xr:uid="{00000000-0005-0000-0000-0000BB180000}"/>
    <cellStyle name="注释 7 2 3 2" xfId="7302" xr:uid="{00000000-0005-0000-0000-0000861C0000}"/>
    <cellStyle name="注释 7 2 4" xfId="6439" xr:uid="{00000000-0005-0000-0000-000027190000}"/>
    <cellStyle name="注释 7 2 4 2" xfId="7392" xr:uid="{00000000-0005-0000-0000-0000E01C0000}"/>
    <cellStyle name="注释 7 2 5" xfId="6130" xr:uid="{00000000-0005-0000-0000-0000F2170000}"/>
    <cellStyle name="注释 7 2 5 2" xfId="7181" xr:uid="{00000000-0005-0000-0000-00000D1C0000}"/>
    <cellStyle name="注释 7 2 6" xfId="6059" xr:uid="{00000000-0005-0000-0000-0000AB170000}"/>
    <cellStyle name="注释 7 3" xfId="5904" xr:uid="{00000000-0005-0000-0000-000010170000}"/>
    <cellStyle name="注释 7 3 2" xfId="6700" xr:uid="{00000000-0005-0000-0000-00002C1A0000}"/>
    <cellStyle name="注释 7 3 2 2" xfId="7563" xr:uid="{00000000-0005-0000-0000-00008B1D0000}"/>
    <cellStyle name="注释 7 3 3" xfId="6841" xr:uid="{00000000-0005-0000-0000-0000B91A0000}"/>
    <cellStyle name="注释 7 3 3 2" xfId="7689" xr:uid="{00000000-0005-0000-0000-0000091E0000}"/>
    <cellStyle name="注释 7 3 4" xfId="6967" xr:uid="{00000000-0005-0000-0000-0000371B0000}"/>
    <cellStyle name="注释 7 3 4 2" xfId="7814" xr:uid="{00000000-0005-0000-0000-0000861E0000}"/>
    <cellStyle name="注释 7 3 5" xfId="6544" xr:uid="{00000000-0005-0000-0000-000090190000}"/>
    <cellStyle name="注释 7 4" xfId="6330" xr:uid="{00000000-0005-0000-0000-0000BA180000}"/>
    <cellStyle name="注释 7 4 2" xfId="7301" xr:uid="{00000000-0005-0000-0000-0000851C0000}"/>
    <cellStyle name="注释 7 5" xfId="6440" xr:uid="{00000000-0005-0000-0000-000028190000}"/>
    <cellStyle name="注释 7 5 2" xfId="7393" xr:uid="{00000000-0005-0000-0000-0000E11C0000}"/>
    <cellStyle name="注释 7 6" xfId="6129" xr:uid="{00000000-0005-0000-0000-0000F1170000}"/>
    <cellStyle name="注释 7 6 2" xfId="7180" xr:uid="{00000000-0005-0000-0000-00000C1C0000}"/>
    <cellStyle name="注释 7 7" xfId="6058" xr:uid="{00000000-0005-0000-0000-0000AA170000}"/>
    <cellStyle name="注释 8" xfId="3257" xr:uid="{00000000-0005-0000-0000-0000B90C0000}"/>
    <cellStyle name="注释 8 2" xfId="3258" xr:uid="{00000000-0005-0000-0000-0000BA0C0000}"/>
    <cellStyle name="注释 8 2 2" xfId="5905" xr:uid="{00000000-0005-0000-0000-000011170000}"/>
    <cellStyle name="注释 8 2 2 2" xfId="6701" xr:uid="{00000000-0005-0000-0000-00002D1A0000}"/>
    <cellStyle name="注释 8 2 2 2 2" xfId="7564" xr:uid="{00000000-0005-0000-0000-00008C1D0000}"/>
    <cellStyle name="注释 8 2 2 3" xfId="6842" xr:uid="{00000000-0005-0000-0000-0000BA1A0000}"/>
    <cellStyle name="注释 8 2 2 3 2" xfId="7690" xr:uid="{00000000-0005-0000-0000-00000A1E0000}"/>
    <cellStyle name="注释 8 2 2 4" xfId="6968" xr:uid="{00000000-0005-0000-0000-0000381B0000}"/>
    <cellStyle name="注释 8 2 2 4 2" xfId="7815" xr:uid="{00000000-0005-0000-0000-0000871E0000}"/>
    <cellStyle name="注释 8 2 2 5" xfId="6545" xr:uid="{00000000-0005-0000-0000-000091190000}"/>
    <cellStyle name="注释 8 2 3" xfId="6333" xr:uid="{00000000-0005-0000-0000-0000BD180000}"/>
    <cellStyle name="注释 8 2 3 2" xfId="7304" xr:uid="{00000000-0005-0000-0000-0000881C0000}"/>
    <cellStyle name="注释 8 2 4" xfId="6437" xr:uid="{00000000-0005-0000-0000-000025190000}"/>
    <cellStyle name="注释 8 2 4 2" xfId="7390" xr:uid="{00000000-0005-0000-0000-0000DE1C0000}"/>
    <cellStyle name="注释 8 2 5" xfId="6132" xr:uid="{00000000-0005-0000-0000-0000F4170000}"/>
    <cellStyle name="注释 8 2 5 2" xfId="7183" xr:uid="{00000000-0005-0000-0000-00000F1C0000}"/>
    <cellStyle name="注释 8 2 6" xfId="6061" xr:uid="{00000000-0005-0000-0000-0000AD170000}"/>
    <cellStyle name="注释 8 3" xfId="5906" xr:uid="{00000000-0005-0000-0000-000012170000}"/>
    <cellStyle name="注释 8 3 2" xfId="6702" xr:uid="{00000000-0005-0000-0000-00002E1A0000}"/>
    <cellStyle name="注释 8 3 2 2" xfId="7565" xr:uid="{00000000-0005-0000-0000-00008D1D0000}"/>
    <cellStyle name="注释 8 3 3" xfId="6843" xr:uid="{00000000-0005-0000-0000-0000BB1A0000}"/>
    <cellStyle name="注释 8 3 3 2" xfId="7691" xr:uid="{00000000-0005-0000-0000-00000B1E0000}"/>
    <cellStyle name="注释 8 3 4" xfId="6969" xr:uid="{00000000-0005-0000-0000-0000391B0000}"/>
    <cellStyle name="注释 8 3 4 2" xfId="7816" xr:uid="{00000000-0005-0000-0000-0000881E0000}"/>
    <cellStyle name="注释 8 3 5" xfId="6546" xr:uid="{00000000-0005-0000-0000-000092190000}"/>
    <cellStyle name="注释 8 4" xfId="6332" xr:uid="{00000000-0005-0000-0000-0000BC180000}"/>
    <cellStyle name="注释 8 4 2" xfId="7303" xr:uid="{00000000-0005-0000-0000-0000871C0000}"/>
    <cellStyle name="注释 8 5" xfId="6438" xr:uid="{00000000-0005-0000-0000-000026190000}"/>
    <cellStyle name="注释 8 5 2" xfId="7391" xr:uid="{00000000-0005-0000-0000-0000DF1C0000}"/>
    <cellStyle name="注释 8 6" xfId="6131" xr:uid="{00000000-0005-0000-0000-0000F3170000}"/>
    <cellStyle name="注释 8 6 2" xfId="7182" xr:uid="{00000000-0005-0000-0000-00000E1C0000}"/>
    <cellStyle name="注释 8 7" xfId="6060" xr:uid="{00000000-0005-0000-0000-0000AC170000}"/>
    <cellStyle name="注释 9" xfId="3259" xr:uid="{00000000-0005-0000-0000-0000BB0C0000}"/>
    <cellStyle name="注释 9 2" xfId="3260" xr:uid="{00000000-0005-0000-0000-0000BC0C0000}"/>
    <cellStyle name="注释 9 2 2" xfId="5907" xr:uid="{00000000-0005-0000-0000-000013170000}"/>
    <cellStyle name="注释 9 2 2 2" xfId="6703" xr:uid="{00000000-0005-0000-0000-00002F1A0000}"/>
    <cellStyle name="注释 9 2 2 2 2" xfId="7566" xr:uid="{00000000-0005-0000-0000-00008E1D0000}"/>
    <cellStyle name="注释 9 2 2 3" xfId="6844" xr:uid="{00000000-0005-0000-0000-0000BC1A0000}"/>
    <cellStyle name="注释 9 2 2 3 2" xfId="7692" xr:uid="{00000000-0005-0000-0000-00000C1E0000}"/>
    <cellStyle name="注释 9 2 2 4" xfId="6970" xr:uid="{00000000-0005-0000-0000-00003A1B0000}"/>
    <cellStyle name="注释 9 2 2 4 2" xfId="7817" xr:uid="{00000000-0005-0000-0000-0000891E0000}"/>
    <cellStyle name="注释 9 2 2 5" xfId="6547" xr:uid="{00000000-0005-0000-0000-000093190000}"/>
    <cellStyle name="注释 9 2 3" xfId="6335" xr:uid="{00000000-0005-0000-0000-0000BF180000}"/>
    <cellStyle name="注释 9 2 3 2" xfId="7306" xr:uid="{00000000-0005-0000-0000-00008A1C0000}"/>
    <cellStyle name="注释 9 2 4" xfId="6435" xr:uid="{00000000-0005-0000-0000-000023190000}"/>
    <cellStyle name="注释 9 2 4 2" xfId="7388" xr:uid="{00000000-0005-0000-0000-0000DC1C0000}"/>
    <cellStyle name="注释 9 2 5" xfId="6134" xr:uid="{00000000-0005-0000-0000-0000F6170000}"/>
    <cellStyle name="注释 9 2 5 2" xfId="7185" xr:uid="{00000000-0005-0000-0000-0000111C0000}"/>
    <cellStyle name="注释 9 2 6" xfId="6063" xr:uid="{00000000-0005-0000-0000-0000AF170000}"/>
    <cellStyle name="注释 9 3" xfId="5908" xr:uid="{00000000-0005-0000-0000-000014170000}"/>
    <cellStyle name="注释 9 3 2" xfId="6704" xr:uid="{00000000-0005-0000-0000-0000301A0000}"/>
    <cellStyle name="注释 9 3 2 2" xfId="7567" xr:uid="{00000000-0005-0000-0000-00008F1D0000}"/>
    <cellStyle name="注释 9 3 3" xfId="6845" xr:uid="{00000000-0005-0000-0000-0000BD1A0000}"/>
    <cellStyle name="注释 9 3 3 2" xfId="7693" xr:uid="{00000000-0005-0000-0000-00000D1E0000}"/>
    <cellStyle name="注释 9 3 4" xfId="6971" xr:uid="{00000000-0005-0000-0000-00003B1B0000}"/>
    <cellStyle name="注释 9 3 4 2" xfId="7818" xr:uid="{00000000-0005-0000-0000-00008A1E0000}"/>
    <cellStyle name="注释 9 3 5" xfId="6548" xr:uid="{00000000-0005-0000-0000-000094190000}"/>
    <cellStyle name="注释 9 4" xfId="6334" xr:uid="{00000000-0005-0000-0000-0000BE180000}"/>
    <cellStyle name="注释 9 4 2" xfId="7305" xr:uid="{00000000-0005-0000-0000-0000891C0000}"/>
    <cellStyle name="注释 9 5" xfId="6436" xr:uid="{00000000-0005-0000-0000-000024190000}"/>
    <cellStyle name="注释 9 5 2" xfId="7389" xr:uid="{00000000-0005-0000-0000-0000DD1C0000}"/>
    <cellStyle name="注释 9 6" xfId="6133" xr:uid="{00000000-0005-0000-0000-0000F5170000}"/>
    <cellStyle name="注释 9 6 2" xfId="7184" xr:uid="{00000000-0005-0000-0000-0000101C0000}"/>
    <cellStyle name="注释 9 7" xfId="6062" xr:uid="{00000000-0005-0000-0000-0000AE170000}"/>
    <cellStyle name="差" xfId="3261" xr:uid="{00000000-0005-0000-0000-0000BD0C0000}"/>
    <cellStyle name="差 10" xfId="3262" xr:uid="{00000000-0005-0000-0000-0000BE0C0000}"/>
    <cellStyle name="差 11" xfId="3263" xr:uid="{00000000-0005-0000-0000-0000BF0C0000}"/>
    <cellStyle name="差 12" xfId="3264" xr:uid="{00000000-0005-0000-0000-0000C00C0000}"/>
    <cellStyle name="差 13" xfId="3265" xr:uid="{00000000-0005-0000-0000-0000C10C0000}"/>
    <cellStyle name="差 14" xfId="3266" xr:uid="{00000000-0005-0000-0000-0000C20C0000}"/>
    <cellStyle name="差 15" xfId="3267" xr:uid="{00000000-0005-0000-0000-0000C30C0000}"/>
    <cellStyle name="差 16" xfId="3268" xr:uid="{00000000-0005-0000-0000-0000C40C0000}"/>
    <cellStyle name="差 17" xfId="3269" xr:uid="{00000000-0005-0000-0000-0000C50C0000}"/>
    <cellStyle name="差 18" xfId="3270" xr:uid="{00000000-0005-0000-0000-0000C60C0000}"/>
    <cellStyle name="差 2" xfId="3271" xr:uid="{00000000-0005-0000-0000-0000C70C0000}"/>
    <cellStyle name="差 3" xfId="3272" xr:uid="{00000000-0005-0000-0000-0000C80C0000}"/>
    <cellStyle name="差 4" xfId="3273" xr:uid="{00000000-0005-0000-0000-0000C90C0000}"/>
    <cellStyle name="差 5" xfId="3274" xr:uid="{00000000-0005-0000-0000-0000CA0C0000}"/>
    <cellStyle name="差 6" xfId="3275" xr:uid="{00000000-0005-0000-0000-0000CB0C0000}"/>
    <cellStyle name="差 7" xfId="3276" xr:uid="{00000000-0005-0000-0000-0000CC0C0000}"/>
    <cellStyle name="差 8" xfId="3277" xr:uid="{00000000-0005-0000-0000-0000CD0C0000}"/>
    <cellStyle name="差 9" xfId="3278" xr:uid="{00000000-0005-0000-0000-0000CE0C0000}"/>
    <cellStyle name="钎霖_  辆  钦  " xfId="3817" xr:uid="{00000000-0005-0000-0000-0000E90E0000}"/>
    <cellStyle name="千分位[0]" xfId="3279" xr:uid="{00000000-0005-0000-0000-0000CF0C0000}"/>
    <cellStyle name="千分位_空白FAX" xfId="3280" xr:uid="{00000000-0005-0000-0000-0000D00C0000}"/>
    <cellStyle name="千位[0]_12月加班现况 (3)" xfId="3281" xr:uid="{00000000-0005-0000-0000-0000D10C0000}"/>
    <cellStyle name="千位_12月加班现况 (3)" xfId="3282" xr:uid="{00000000-0005-0000-0000-0000D20C0000}"/>
    <cellStyle name="千位分隔[0]_20000420" xfId="3283" xr:uid="{00000000-0005-0000-0000-0000D30C0000}"/>
    <cellStyle name="千位分隔_20000420" xfId="3284" xr:uid="{00000000-0005-0000-0000-0000D40C0000}"/>
    <cellStyle name="출력 10" xfId="6091" xr:uid="{00000000-0005-0000-0000-0000CB170000}"/>
    <cellStyle name="출력 10 2" xfId="7142" xr:uid="{00000000-0005-0000-0000-0000E61B0000}"/>
    <cellStyle name="출력 11" xfId="6064" xr:uid="{00000000-0005-0000-0000-0000B0170000}"/>
    <cellStyle name="출력 2" xfId="201" xr:uid="{00000000-0005-0000-0000-0000C9000000}"/>
    <cellStyle name="출력 2 2" xfId="3285" xr:uid="{00000000-0005-0000-0000-0000D50C0000}"/>
    <cellStyle name="출력 2 3" xfId="5909" xr:uid="{00000000-0005-0000-0000-000015170000}"/>
    <cellStyle name="출력 2 4" xfId="5910" xr:uid="{00000000-0005-0000-0000-000016170000}"/>
    <cellStyle name="출력 2 4 2" xfId="6705" xr:uid="{00000000-0005-0000-0000-0000311A0000}"/>
    <cellStyle name="출력 2 4 2 2" xfId="7568" xr:uid="{00000000-0005-0000-0000-0000901D0000}"/>
    <cellStyle name="출력 2 4 3" xfId="6846" xr:uid="{00000000-0005-0000-0000-0000BE1A0000}"/>
    <cellStyle name="출력 2 4 3 2" xfId="7694" xr:uid="{00000000-0005-0000-0000-00000E1E0000}"/>
    <cellStyle name="출력 2 4 4" xfId="6972" xr:uid="{00000000-0005-0000-0000-00003C1B0000}"/>
    <cellStyle name="출력 2 4 4 2" xfId="7819" xr:uid="{00000000-0005-0000-0000-00008B1E0000}"/>
    <cellStyle name="출력 2 4 5" xfId="6549" xr:uid="{00000000-0005-0000-0000-000095190000}"/>
    <cellStyle name="출력 2 5" xfId="6337" xr:uid="{00000000-0005-0000-0000-0000C1180000}"/>
    <cellStyle name="출력 2 5 2" xfId="7308" xr:uid="{00000000-0005-0000-0000-00008C1C0000}"/>
    <cellStyle name="출력 2 6" xfId="6433" xr:uid="{00000000-0005-0000-0000-000021190000}"/>
    <cellStyle name="출력 2 6 2" xfId="7386" xr:uid="{00000000-0005-0000-0000-0000DA1C0000}"/>
    <cellStyle name="출력 2 7" xfId="6092" xr:uid="{00000000-0005-0000-0000-0000CC170000}"/>
    <cellStyle name="출력 2 7 2" xfId="7143" xr:uid="{00000000-0005-0000-0000-0000E71B0000}"/>
    <cellStyle name="출력 2 8" xfId="6065" xr:uid="{00000000-0005-0000-0000-0000B1170000}"/>
    <cellStyle name="출력 3" xfId="202" xr:uid="{00000000-0005-0000-0000-0000CA000000}"/>
    <cellStyle name="출력 3 2" xfId="3286" xr:uid="{00000000-0005-0000-0000-0000D60C0000}"/>
    <cellStyle name="출력 3 3" xfId="7111" xr:uid="{00000000-0005-0000-0000-0000C71B0000}"/>
    <cellStyle name="출력 4" xfId="203" xr:uid="{00000000-0005-0000-0000-0000CB000000}"/>
    <cellStyle name="출력 4 2" xfId="3287" xr:uid="{00000000-0005-0000-0000-0000D70C0000}"/>
    <cellStyle name="출력 4 3" xfId="7112" xr:uid="{00000000-0005-0000-0000-0000C81B0000}"/>
    <cellStyle name="출력 5" xfId="204" xr:uid="{00000000-0005-0000-0000-0000CC000000}"/>
    <cellStyle name="출력 5 2" xfId="5911" xr:uid="{00000000-0005-0000-0000-000017170000}"/>
    <cellStyle name="출력 5 2 2" xfId="6706" xr:uid="{00000000-0005-0000-0000-0000321A0000}"/>
    <cellStyle name="출력 5 2 2 2" xfId="7569" xr:uid="{00000000-0005-0000-0000-0000911D0000}"/>
    <cellStyle name="출력 5 2 3" xfId="6847" xr:uid="{00000000-0005-0000-0000-0000BF1A0000}"/>
    <cellStyle name="출력 5 2 3 2" xfId="7695" xr:uid="{00000000-0005-0000-0000-00000F1E0000}"/>
    <cellStyle name="출력 5 2 4" xfId="6973" xr:uid="{00000000-0005-0000-0000-00003D1B0000}"/>
    <cellStyle name="출력 5 2 4 2" xfId="7820" xr:uid="{00000000-0005-0000-0000-00008C1E0000}"/>
    <cellStyle name="출력 5 2 5" xfId="6550" xr:uid="{00000000-0005-0000-0000-000096190000}"/>
    <cellStyle name="출력 5 3" xfId="6338" xr:uid="{00000000-0005-0000-0000-0000C2180000}"/>
    <cellStyle name="출력 5 3 2" xfId="7309" xr:uid="{00000000-0005-0000-0000-00008D1C0000}"/>
    <cellStyle name="출력 5 4" xfId="6432" xr:uid="{00000000-0005-0000-0000-000020190000}"/>
    <cellStyle name="출력 5 4 2" xfId="7385" xr:uid="{00000000-0005-0000-0000-0000D91C0000}"/>
    <cellStyle name="출력 5 5" xfId="6093" xr:uid="{00000000-0005-0000-0000-0000CD170000}"/>
    <cellStyle name="출력 5 5 2" xfId="7144" xr:uid="{00000000-0005-0000-0000-0000E81B0000}"/>
    <cellStyle name="출력 5 6" xfId="6066" xr:uid="{00000000-0005-0000-0000-0000B2170000}"/>
    <cellStyle name="출력 6" xfId="205" xr:uid="{00000000-0005-0000-0000-0000CD000000}"/>
    <cellStyle name="출력 6 2" xfId="3288" xr:uid="{00000000-0005-0000-0000-0000D80C0000}"/>
    <cellStyle name="출력 6 3" xfId="7113" xr:uid="{00000000-0005-0000-0000-0000C91B0000}"/>
    <cellStyle name="출력 7" xfId="278" xr:uid="{00000000-0005-0000-0000-000016010000}"/>
    <cellStyle name="출력 7 2" xfId="6707" xr:uid="{00000000-0005-0000-0000-0000331A0000}"/>
    <cellStyle name="출력 7 2 2" xfId="7570" xr:uid="{00000000-0005-0000-0000-0000921D0000}"/>
    <cellStyle name="출력 7 3" xfId="6848" xr:uid="{00000000-0005-0000-0000-0000C01A0000}"/>
    <cellStyle name="출력 7 3 2" xfId="7696" xr:uid="{00000000-0005-0000-0000-0000101E0000}"/>
    <cellStyle name="출력 7 4" xfId="6974" xr:uid="{00000000-0005-0000-0000-00003E1B0000}"/>
    <cellStyle name="출력 7 4 2" xfId="7821" xr:uid="{00000000-0005-0000-0000-00008D1E0000}"/>
    <cellStyle name="출력 7 5" xfId="6921" xr:uid="{00000000-0005-0000-0000-0000091B0000}"/>
    <cellStyle name="출력 8" xfId="6336" xr:uid="{00000000-0005-0000-0000-0000C0180000}"/>
    <cellStyle name="출력 8 2" xfId="7307" xr:uid="{00000000-0005-0000-0000-00008B1C0000}"/>
    <cellStyle name="출력 9" xfId="6434" xr:uid="{00000000-0005-0000-0000-000022190000}"/>
    <cellStyle name="출력 9 2" xfId="7387" xr:uid="{00000000-0005-0000-0000-0000DB1C0000}"/>
    <cellStyle name="콤마 [0]_  F A X - 3월 " xfId="342" xr:uid="{00000000-0005-0000-0000-000056010000}"/>
    <cellStyle name="콤마_  F A X - 3월 " xfId="343" xr:uid="{00000000-0005-0000-0000-000057010000}"/>
    <cellStyle name="脱浦 [0.00]_laroux" xfId="3759" xr:uid="{00000000-0005-0000-0000-0000AF0E0000}"/>
    <cellStyle name="脱浦_laroux" xfId="3760" xr:uid="{00000000-0005-0000-0000-0000B00E0000}"/>
    <cellStyle name="통화 " xfId="3289" xr:uid="{00000000-0005-0000-0000-0000D90C0000}"/>
    <cellStyle name="통화  10" xfId="3290" xr:uid="{00000000-0005-0000-0000-0000DA0C0000}"/>
    <cellStyle name="통화  10 2" xfId="3291" xr:uid="{00000000-0005-0000-0000-0000DB0C0000}"/>
    <cellStyle name="통화  11" xfId="3292" xr:uid="{00000000-0005-0000-0000-0000DC0C0000}"/>
    <cellStyle name="통화  11 2" xfId="3293" xr:uid="{00000000-0005-0000-0000-0000DD0C0000}"/>
    <cellStyle name="통화  12" xfId="3294" xr:uid="{00000000-0005-0000-0000-0000DE0C0000}"/>
    <cellStyle name="통화  12 2" xfId="3295" xr:uid="{00000000-0005-0000-0000-0000DF0C0000}"/>
    <cellStyle name="통화  13" xfId="3296" xr:uid="{00000000-0005-0000-0000-0000E00C0000}"/>
    <cellStyle name="통화  13 2" xfId="3297" xr:uid="{00000000-0005-0000-0000-0000E10C0000}"/>
    <cellStyle name="통화  14" xfId="3298" xr:uid="{00000000-0005-0000-0000-0000E20C0000}"/>
    <cellStyle name="통화  14 2" xfId="3299" xr:uid="{00000000-0005-0000-0000-0000E30C0000}"/>
    <cellStyle name="통화  15" xfId="3300" xr:uid="{00000000-0005-0000-0000-0000E40C0000}"/>
    <cellStyle name="통화  15 2" xfId="3301" xr:uid="{00000000-0005-0000-0000-0000E50C0000}"/>
    <cellStyle name="통화  16" xfId="3302" xr:uid="{00000000-0005-0000-0000-0000E60C0000}"/>
    <cellStyle name="통화  16 2" xfId="3303" xr:uid="{00000000-0005-0000-0000-0000E70C0000}"/>
    <cellStyle name="통화  17" xfId="3304" xr:uid="{00000000-0005-0000-0000-0000E80C0000}"/>
    <cellStyle name="통화  17 2" xfId="3305" xr:uid="{00000000-0005-0000-0000-0000E90C0000}"/>
    <cellStyle name="통화  18" xfId="3306" xr:uid="{00000000-0005-0000-0000-0000EA0C0000}"/>
    <cellStyle name="통화  18 2" xfId="3307" xr:uid="{00000000-0005-0000-0000-0000EB0C0000}"/>
    <cellStyle name="통화  2" xfId="3308" xr:uid="{00000000-0005-0000-0000-0000EC0C0000}"/>
    <cellStyle name="통화  2 2" xfId="3309" xr:uid="{00000000-0005-0000-0000-0000ED0C0000}"/>
    <cellStyle name="통화  3" xfId="3310" xr:uid="{00000000-0005-0000-0000-0000EE0C0000}"/>
    <cellStyle name="통화  3 2" xfId="3311" xr:uid="{00000000-0005-0000-0000-0000EF0C0000}"/>
    <cellStyle name="통화  4" xfId="3312" xr:uid="{00000000-0005-0000-0000-0000F00C0000}"/>
    <cellStyle name="통화  4 2" xfId="3313" xr:uid="{00000000-0005-0000-0000-0000F10C0000}"/>
    <cellStyle name="통화  5" xfId="3314" xr:uid="{00000000-0005-0000-0000-0000F20C0000}"/>
    <cellStyle name="통화  5 2" xfId="3315" xr:uid="{00000000-0005-0000-0000-0000F30C0000}"/>
    <cellStyle name="통화  6" xfId="3316" xr:uid="{00000000-0005-0000-0000-0000F40C0000}"/>
    <cellStyle name="통화  6 2" xfId="3317" xr:uid="{00000000-0005-0000-0000-0000F50C0000}"/>
    <cellStyle name="통화  7" xfId="3318" xr:uid="{00000000-0005-0000-0000-0000F60C0000}"/>
    <cellStyle name="통화  7 2" xfId="3319" xr:uid="{00000000-0005-0000-0000-0000F70C0000}"/>
    <cellStyle name="통화  8" xfId="3320" xr:uid="{00000000-0005-0000-0000-0000F80C0000}"/>
    <cellStyle name="통화  8 2" xfId="3321" xr:uid="{00000000-0005-0000-0000-0000F90C0000}"/>
    <cellStyle name="통화  9" xfId="3322" xr:uid="{00000000-0005-0000-0000-0000FA0C0000}"/>
    <cellStyle name="통화  9 2" xfId="3323" xr:uid="{00000000-0005-0000-0000-0000FB0C0000}"/>
    <cellStyle name="통화 [0] 10" xfId="344" xr:uid="{00000000-0005-0000-0000-000058010000}"/>
    <cellStyle name="통화 [0] 2" xfId="206" xr:uid="{00000000-0005-0000-0000-0000CE000000}"/>
    <cellStyle name="통화 [0] 2 10" xfId="345" xr:uid="{00000000-0005-0000-0000-000059010000}"/>
    <cellStyle name="통화 [0] 2 10 2" xfId="3326" xr:uid="{00000000-0005-0000-0000-0000FE0C0000}"/>
    <cellStyle name="통화 [0] 2 10 3" xfId="3325" xr:uid="{00000000-0005-0000-0000-0000FD0C0000}"/>
    <cellStyle name="통화 [0] 2 11" xfId="346" xr:uid="{00000000-0005-0000-0000-00005A010000}"/>
    <cellStyle name="통화 [0] 2 11 2" xfId="3328" xr:uid="{00000000-0005-0000-0000-0000000D0000}"/>
    <cellStyle name="통화 [0] 2 11 3" xfId="3327" xr:uid="{00000000-0005-0000-0000-0000FF0C0000}"/>
    <cellStyle name="통화 [0] 2 12" xfId="347" xr:uid="{00000000-0005-0000-0000-00005B010000}"/>
    <cellStyle name="통화 [0] 2 12 2" xfId="3330" xr:uid="{00000000-0005-0000-0000-0000020D0000}"/>
    <cellStyle name="통화 [0] 2 12 3" xfId="3329" xr:uid="{00000000-0005-0000-0000-0000010D0000}"/>
    <cellStyle name="통화 [0] 2 13" xfId="348" xr:uid="{00000000-0005-0000-0000-00005C010000}"/>
    <cellStyle name="통화 [0] 2 13 2" xfId="3332" xr:uid="{00000000-0005-0000-0000-0000040D0000}"/>
    <cellStyle name="통화 [0] 2 13 3" xfId="3331" xr:uid="{00000000-0005-0000-0000-0000030D0000}"/>
    <cellStyle name="통화 [0] 2 14" xfId="349" xr:uid="{00000000-0005-0000-0000-00005D010000}"/>
    <cellStyle name="통화 [0] 2 14 2" xfId="3334" xr:uid="{00000000-0005-0000-0000-0000060D0000}"/>
    <cellStyle name="통화 [0] 2 14 3" xfId="3333" xr:uid="{00000000-0005-0000-0000-0000050D0000}"/>
    <cellStyle name="통화 [0] 2 15" xfId="350" xr:uid="{00000000-0005-0000-0000-00005E010000}"/>
    <cellStyle name="통화 [0] 2 15 2" xfId="3336" xr:uid="{00000000-0005-0000-0000-0000080D0000}"/>
    <cellStyle name="통화 [0] 2 15 3" xfId="3335" xr:uid="{00000000-0005-0000-0000-0000070D0000}"/>
    <cellStyle name="통화 [0] 2 16" xfId="351" xr:uid="{00000000-0005-0000-0000-00005F010000}"/>
    <cellStyle name="통화 [0] 2 16 2" xfId="3338" xr:uid="{00000000-0005-0000-0000-00000A0D0000}"/>
    <cellStyle name="통화 [0] 2 16 3" xfId="3337" xr:uid="{00000000-0005-0000-0000-0000090D0000}"/>
    <cellStyle name="통화 [0] 2 17" xfId="352" xr:uid="{00000000-0005-0000-0000-000060010000}"/>
    <cellStyle name="통화 [0] 2 17 2" xfId="3340" xr:uid="{00000000-0005-0000-0000-00000C0D0000}"/>
    <cellStyle name="통화 [0] 2 17 3" xfId="3339" xr:uid="{00000000-0005-0000-0000-00000B0D0000}"/>
    <cellStyle name="통화 [0] 2 18" xfId="353" xr:uid="{00000000-0005-0000-0000-000061010000}"/>
    <cellStyle name="통화 [0] 2 18 2" xfId="3342" xr:uid="{00000000-0005-0000-0000-00000E0D0000}"/>
    <cellStyle name="통화 [0] 2 18 3" xfId="3341" xr:uid="{00000000-0005-0000-0000-00000D0D0000}"/>
    <cellStyle name="통화 [0] 2 19" xfId="354" xr:uid="{00000000-0005-0000-0000-000062010000}"/>
    <cellStyle name="통화 [0] 2 2" xfId="281" xr:uid="{00000000-0005-0000-0000-000019010000}"/>
    <cellStyle name="통화 [0] 2 2 2" xfId="3344" xr:uid="{00000000-0005-0000-0000-0000100D0000}"/>
    <cellStyle name="통화 [0] 2 2 3" xfId="3343" xr:uid="{00000000-0005-0000-0000-00000F0D0000}"/>
    <cellStyle name="통화 [0] 2 20" xfId="355" xr:uid="{00000000-0005-0000-0000-000063010000}"/>
    <cellStyle name="통화 [0] 2 21" xfId="356" xr:uid="{00000000-0005-0000-0000-000064010000}"/>
    <cellStyle name="통화 [0] 2 22" xfId="3324" xr:uid="{00000000-0005-0000-0000-0000FC0C0000}"/>
    <cellStyle name="통화 [0] 2 3" xfId="286" xr:uid="{00000000-0005-0000-0000-00001E010000}"/>
    <cellStyle name="통화 [0] 2 3 2" xfId="3346" xr:uid="{00000000-0005-0000-0000-0000120D0000}"/>
    <cellStyle name="통화 [0] 2 3 3" xfId="3345" xr:uid="{00000000-0005-0000-0000-0000110D0000}"/>
    <cellStyle name="통화 [0] 2 4" xfId="357" xr:uid="{00000000-0005-0000-0000-000065010000}"/>
    <cellStyle name="통화 [0] 2 4 2" xfId="3348" xr:uid="{00000000-0005-0000-0000-0000140D0000}"/>
    <cellStyle name="통화 [0] 2 4 3" xfId="3347" xr:uid="{00000000-0005-0000-0000-0000130D0000}"/>
    <cellStyle name="통화 [0] 2 5" xfId="358" xr:uid="{00000000-0005-0000-0000-000066010000}"/>
    <cellStyle name="통화 [0] 2 5 2" xfId="3350" xr:uid="{00000000-0005-0000-0000-0000160D0000}"/>
    <cellStyle name="통화 [0] 2 5 3" xfId="3349" xr:uid="{00000000-0005-0000-0000-0000150D0000}"/>
    <cellStyle name="통화 [0] 2 6" xfId="359" xr:uid="{00000000-0005-0000-0000-000067010000}"/>
    <cellStyle name="통화 [0] 2 6 2" xfId="3352" xr:uid="{00000000-0005-0000-0000-0000180D0000}"/>
    <cellStyle name="통화 [0] 2 6 3" xfId="3351" xr:uid="{00000000-0005-0000-0000-0000170D0000}"/>
    <cellStyle name="통화 [0] 2 7" xfId="360" xr:uid="{00000000-0005-0000-0000-000068010000}"/>
    <cellStyle name="통화 [0] 2 7 2" xfId="3354" xr:uid="{00000000-0005-0000-0000-00001A0D0000}"/>
    <cellStyle name="통화 [0] 2 7 3" xfId="3353" xr:uid="{00000000-0005-0000-0000-0000190D0000}"/>
    <cellStyle name="통화 [0] 2 8" xfId="361" xr:uid="{00000000-0005-0000-0000-000069010000}"/>
    <cellStyle name="통화 [0] 2 8 2" xfId="3356" xr:uid="{00000000-0005-0000-0000-00001C0D0000}"/>
    <cellStyle name="통화 [0] 2 8 3" xfId="3355" xr:uid="{00000000-0005-0000-0000-00001B0D0000}"/>
    <cellStyle name="통화 [0] 2 9" xfId="362" xr:uid="{00000000-0005-0000-0000-00006A010000}"/>
    <cellStyle name="통화 [0] 2 9 2" xfId="3358" xr:uid="{00000000-0005-0000-0000-00001E0D0000}"/>
    <cellStyle name="통화 [0] 2 9 3" xfId="3357" xr:uid="{00000000-0005-0000-0000-00001D0D0000}"/>
    <cellStyle name="통화 [0] 2_BMB_UGA NEXT(audio_DPP2 Ver1.0)2008.xx.xx" xfId="3359" xr:uid="{00000000-0005-0000-0000-00001F0D0000}"/>
    <cellStyle name="통화 [0] 20" xfId="363" xr:uid="{00000000-0005-0000-0000-00006B010000}"/>
    <cellStyle name="통화 [0] 27" xfId="364" xr:uid="{00000000-0005-0000-0000-00006C010000}"/>
    <cellStyle name="통화 [0] 3" xfId="279" xr:uid="{00000000-0005-0000-0000-000017010000}"/>
    <cellStyle name="통화 [0] 3 2" xfId="285" xr:uid="{00000000-0005-0000-0000-00001D010000}"/>
    <cellStyle name="통화 [0] 38" xfId="365" xr:uid="{00000000-0005-0000-0000-00006D010000}"/>
    <cellStyle name="통화 [0] 4" xfId="6025" xr:uid="{00000000-0005-0000-0000-000089170000}"/>
    <cellStyle name="통화 [0] 41" xfId="366" xr:uid="{00000000-0005-0000-0000-00006E010000}"/>
    <cellStyle name="통화 [0] 5" xfId="6027" xr:uid="{00000000-0005-0000-0000-00008B170000}"/>
    <cellStyle name="통화 [0] 5 2" xfId="7089" xr:uid="{00000000-0005-0000-0000-0000B11B0000}"/>
    <cellStyle name="통화 [0] 5 2 2" xfId="7903" xr:uid="{00000000-0005-0000-0000-0000DF1E0000}"/>
    <cellStyle name="통화 [0] 5 2 2 2" xfId="7989" xr:uid="{00000000-0005-0000-0000-0000351F0000}"/>
    <cellStyle name="통화 [0] 5 2 2 2 2" xfId="8150" xr:uid="{00000000-0005-0000-0000-0000D61F0000}"/>
    <cellStyle name="통화 [0] 5 2 2 3" xfId="8139" xr:uid="{00000000-0005-0000-0000-0000CB1F0000}"/>
    <cellStyle name="통화 [0] 5 2 3" xfId="7984" xr:uid="{00000000-0005-0000-0000-0000301F0000}"/>
    <cellStyle name="통화 [0] 5 2 3 2" xfId="8145" xr:uid="{00000000-0005-0000-0000-0000D11F0000}"/>
    <cellStyle name="통화 [0] 5 2 4" xfId="8132" xr:uid="{00000000-0005-0000-0000-0000C41F0000}"/>
    <cellStyle name="통화 [0] 5 3" xfId="7126" xr:uid="{00000000-0005-0000-0000-0000D61B0000}"/>
    <cellStyle name="통화 [0] 5 3 2" xfId="7987" xr:uid="{00000000-0005-0000-0000-0000331F0000}"/>
    <cellStyle name="통화 [0] 5 3 2 2" xfId="8148" xr:uid="{00000000-0005-0000-0000-0000D41F0000}"/>
    <cellStyle name="통화 [0] 5 3 3" xfId="8135" xr:uid="{00000000-0005-0000-0000-0000C71F0000}"/>
    <cellStyle name="통화 [0] 5 4" xfId="7940" xr:uid="{00000000-0005-0000-0000-0000041F0000}"/>
    <cellStyle name="통화 [0] 5 4 2" xfId="8143" xr:uid="{00000000-0005-0000-0000-0000CF1F0000}"/>
    <cellStyle name="통화 [0] 5 5" xfId="8083" xr:uid="{00000000-0005-0000-0000-0000931F0000}"/>
    <cellStyle name="通貨_01-10LEGACY進捗(商企）" xfId="3360" xr:uid="{00000000-0005-0000-0000-0000200D0000}"/>
    <cellStyle name="팹繫_첼휑饋좆깊 (2)" xfId="3361" xr:uid="{00000000-0005-0000-0000-0000210D0000}"/>
    <cellStyle name="烹拳 [0]_  辆  钦  " xfId="3362" xr:uid="{00000000-0005-0000-0000-0000220D0000}"/>
    <cellStyle name="烹拳_  辆  钦  " xfId="3363" xr:uid="{00000000-0005-0000-0000-0000230D0000}"/>
    <cellStyle name="퍼센트" xfId="3364" xr:uid="{00000000-0005-0000-0000-0000240D0000}"/>
    <cellStyle name="퍼센트 10" xfId="3365" xr:uid="{00000000-0005-0000-0000-0000250D0000}"/>
    <cellStyle name="퍼센트 11" xfId="3366" xr:uid="{00000000-0005-0000-0000-0000260D0000}"/>
    <cellStyle name="퍼센트 12" xfId="3367" xr:uid="{00000000-0005-0000-0000-0000270D0000}"/>
    <cellStyle name="퍼센트 13" xfId="3368" xr:uid="{00000000-0005-0000-0000-0000280D0000}"/>
    <cellStyle name="퍼센트 14" xfId="3369" xr:uid="{00000000-0005-0000-0000-0000290D0000}"/>
    <cellStyle name="퍼센트 15" xfId="3370" xr:uid="{00000000-0005-0000-0000-00002A0D0000}"/>
    <cellStyle name="퍼센트 16" xfId="3371" xr:uid="{00000000-0005-0000-0000-00002B0D0000}"/>
    <cellStyle name="퍼센트 17" xfId="3372" xr:uid="{00000000-0005-0000-0000-00002C0D0000}"/>
    <cellStyle name="퍼센트 18" xfId="3373" xr:uid="{00000000-0005-0000-0000-00002D0D0000}"/>
    <cellStyle name="퍼센트 2" xfId="3374" xr:uid="{00000000-0005-0000-0000-00002E0D0000}"/>
    <cellStyle name="퍼센트 3" xfId="3375" xr:uid="{00000000-0005-0000-0000-00002F0D0000}"/>
    <cellStyle name="퍼센트 4" xfId="3376" xr:uid="{00000000-0005-0000-0000-0000300D0000}"/>
    <cellStyle name="퍼센트 5" xfId="3377" xr:uid="{00000000-0005-0000-0000-0000310D0000}"/>
    <cellStyle name="퍼센트 6" xfId="3378" xr:uid="{00000000-0005-0000-0000-0000320D0000}"/>
    <cellStyle name="퍼센트 7" xfId="3379" xr:uid="{00000000-0005-0000-0000-0000330D0000}"/>
    <cellStyle name="퍼센트 8" xfId="3380" xr:uid="{00000000-0005-0000-0000-0000340D0000}"/>
    <cellStyle name="퍼센트 9" xfId="3381" xr:uid="{00000000-0005-0000-0000-0000350D0000}"/>
    <cellStyle name="퍼센트_BMB_UGA NEXT(audio_DPP2 Ver1.0)2008.xx.xx" xfId="3382" xr:uid="{00000000-0005-0000-0000-0000360D0000}"/>
    <cellStyle name="标题" xfId="3633" xr:uid="{00000000-0005-0000-0000-0000310E0000}"/>
    <cellStyle name="标题 1" xfId="3634" xr:uid="{00000000-0005-0000-0000-0000320E0000}"/>
    <cellStyle name="标题 1 10" xfId="3635" xr:uid="{00000000-0005-0000-0000-0000330E0000}"/>
    <cellStyle name="标题 1 11" xfId="3636" xr:uid="{00000000-0005-0000-0000-0000340E0000}"/>
    <cellStyle name="标题 1 12" xfId="3637" xr:uid="{00000000-0005-0000-0000-0000350E0000}"/>
    <cellStyle name="标题 1 13" xfId="3638" xr:uid="{00000000-0005-0000-0000-0000360E0000}"/>
    <cellStyle name="标题 1 14" xfId="3639" xr:uid="{00000000-0005-0000-0000-0000370E0000}"/>
    <cellStyle name="标题 1 15" xfId="3640" xr:uid="{00000000-0005-0000-0000-0000380E0000}"/>
    <cellStyle name="标题 1 16" xfId="3641" xr:uid="{00000000-0005-0000-0000-0000390E0000}"/>
    <cellStyle name="标题 1 17" xfId="3642" xr:uid="{00000000-0005-0000-0000-00003A0E0000}"/>
    <cellStyle name="标题 1 18" xfId="3643" xr:uid="{00000000-0005-0000-0000-00003B0E0000}"/>
    <cellStyle name="标题 1 2" xfId="3644" xr:uid="{00000000-0005-0000-0000-00003C0E0000}"/>
    <cellStyle name="标题 1 3" xfId="3645" xr:uid="{00000000-0005-0000-0000-00003D0E0000}"/>
    <cellStyle name="标题 1 4" xfId="3646" xr:uid="{00000000-0005-0000-0000-00003E0E0000}"/>
    <cellStyle name="标题 1 5" xfId="3647" xr:uid="{00000000-0005-0000-0000-00003F0E0000}"/>
    <cellStyle name="标题 1 6" xfId="3648" xr:uid="{00000000-0005-0000-0000-0000400E0000}"/>
    <cellStyle name="标题 1 7" xfId="3649" xr:uid="{00000000-0005-0000-0000-0000410E0000}"/>
    <cellStyle name="标题 1 8" xfId="3650" xr:uid="{00000000-0005-0000-0000-0000420E0000}"/>
    <cellStyle name="标题 1 9" xfId="3651" xr:uid="{00000000-0005-0000-0000-0000430E0000}"/>
    <cellStyle name="标题 10" xfId="3652" xr:uid="{00000000-0005-0000-0000-0000440E0000}"/>
    <cellStyle name="标题 11" xfId="3653" xr:uid="{00000000-0005-0000-0000-0000450E0000}"/>
    <cellStyle name="标题 12" xfId="3654" xr:uid="{00000000-0005-0000-0000-0000460E0000}"/>
    <cellStyle name="标题 13" xfId="3655" xr:uid="{00000000-0005-0000-0000-0000470E0000}"/>
    <cellStyle name="标题 14" xfId="3656" xr:uid="{00000000-0005-0000-0000-0000480E0000}"/>
    <cellStyle name="标题 15" xfId="3657" xr:uid="{00000000-0005-0000-0000-0000490E0000}"/>
    <cellStyle name="标题 16" xfId="3658" xr:uid="{00000000-0005-0000-0000-00004A0E0000}"/>
    <cellStyle name="标题 17" xfId="3659" xr:uid="{00000000-0005-0000-0000-00004B0E0000}"/>
    <cellStyle name="标题 18" xfId="3660" xr:uid="{00000000-0005-0000-0000-00004C0E0000}"/>
    <cellStyle name="标题 19" xfId="3661" xr:uid="{00000000-0005-0000-0000-00004D0E0000}"/>
    <cellStyle name="标题 2" xfId="3662" xr:uid="{00000000-0005-0000-0000-00004E0E0000}"/>
    <cellStyle name="标题 2 10" xfId="3663" xr:uid="{00000000-0005-0000-0000-00004F0E0000}"/>
    <cellStyle name="标题 2 11" xfId="3664" xr:uid="{00000000-0005-0000-0000-0000500E0000}"/>
    <cellStyle name="标题 2 12" xfId="3665" xr:uid="{00000000-0005-0000-0000-0000510E0000}"/>
    <cellStyle name="标题 2 13" xfId="3666" xr:uid="{00000000-0005-0000-0000-0000520E0000}"/>
    <cellStyle name="标题 2 14" xfId="3667" xr:uid="{00000000-0005-0000-0000-0000530E0000}"/>
    <cellStyle name="标题 2 15" xfId="3668" xr:uid="{00000000-0005-0000-0000-0000540E0000}"/>
    <cellStyle name="标题 2 16" xfId="3669" xr:uid="{00000000-0005-0000-0000-0000550E0000}"/>
    <cellStyle name="标题 2 17" xfId="3670" xr:uid="{00000000-0005-0000-0000-0000560E0000}"/>
    <cellStyle name="标题 2 18" xfId="3671" xr:uid="{00000000-0005-0000-0000-0000570E0000}"/>
    <cellStyle name="标题 2 2" xfId="3672" xr:uid="{00000000-0005-0000-0000-0000580E0000}"/>
    <cellStyle name="标题 2 3" xfId="3673" xr:uid="{00000000-0005-0000-0000-0000590E0000}"/>
    <cellStyle name="标题 2 4" xfId="3674" xr:uid="{00000000-0005-0000-0000-00005A0E0000}"/>
    <cellStyle name="标题 2 5" xfId="3675" xr:uid="{00000000-0005-0000-0000-00005B0E0000}"/>
    <cellStyle name="标题 2 6" xfId="3676" xr:uid="{00000000-0005-0000-0000-00005C0E0000}"/>
    <cellStyle name="标题 2 7" xfId="3677" xr:uid="{00000000-0005-0000-0000-00005D0E0000}"/>
    <cellStyle name="标题 2 8" xfId="3678" xr:uid="{00000000-0005-0000-0000-00005E0E0000}"/>
    <cellStyle name="标题 2 9" xfId="3679" xr:uid="{00000000-0005-0000-0000-00005F0E0000}"/>
    <cellStyle name="标题 20" xfId="3680" xr:uid="{00000000-0005-0000-0000-0000600E0000}"/>
    <cellStyle name="标题 21" xfId="3681" xr:uid="{00000000-0005-0000-0000-0000610E0000}"/>
    <cellStyle name="标题 3" xfId="3682" xr:uid="{00000000-0005-0000-0000-0000620E0000}"/>
    <cellStyle name="标题 3 10" xfId="3683" xr:uid="{00000000-0005-0000-0000-0000630E0000}"/>
    <cellStyle name="标题 3 11" xfId="3684" xr:uid="{00000000-0005-0000-0000-0000640E0000}"/>
    <cellStyle name="标题 3 12" xfId="3685" xr:uid="{00000000-0005-0000-0000-0000650E0000}"/>
    <cellStyle name="标题 3 13" xfId="3686" xr:uid="{00000000-0005-0000-0000-0000660E0000}"/>
    <cellStyle name="标题 3 14" xfId="3687" xr:uid="{00000000-0005-0000-0000-0000670E0000}"/>
    <cellStyle name="标题 3 15" xfId="3688" xr:uid="{00000000-0005-0000-0000-0000680E0000}"/>
    <cellStyle name="标题 3 16" xfId="3689" xr:uid="{00000000-0005-0000-0000-0000690E0000}"/>
    <cellStyle name="标题 3 17" xfId="3690" xr:uid="{00000000-0005-0000-0000-00006A0E0000}"/>
    <cellStyle name="标题 3 18" xfId="3691" xr:uid="{00000000-0005-0000-0000-00006B0E0000}"/>
    <cellStyle name="标题 3 2" xfId="3692" xr:uid="{00000000-0005-0000-0000-00006C0E0000}"/>
    <cellStyle name="标题 3 3" xfId="3693" xr:uid="{00000000-0005-0000-0000-00006D0E0000}"/>
    <cellStyle name="标题 3 4" xfId="3694" xr:uid="{00000000-0005-0000-0000-00006E0E0000}"/>
    <cellStyle name="标题 3 5" xfId="3695" xr:uid="{00000000-0005-0000-0000-00006F0E0000}"/>
    <cellStyle name="标题 3 6" xfId="3696" xr:uid="{00000000-0005-0000-0000-0000700E0000}"/>
    <cellStyle name="标题 3 7" xfId="3697" xr:uid="{00000000-0005-0000-0000-0000710E0000}"/>
    <cellStyle name="标题 3 8" xfId="3698" xr:uid="{00000000-0005-0000-0000-0000720E0000}"/>
    <cellStyle name="标题 3 9" xfId="3699" xr:uid="{00000000-0005-0000-0000-0000730E0000}"/>
    <cellStyle name="标题 4" xfId="3700" xr:uid="{00000000-0005-0000-0000-0000740E0000}"/>
    <cellStyle name="标题 4 10" xfId="3701" xr:uid="{00000000-0005-0000-0000-0000750E0000}"/>
    <cellStyle name="标题 4 11" xfId="3702" xr:uid="{00000000-0005-0000-0000-0000760E0000}"/>
    <cellStyle name="标题 4 12" xfId="3703" xr:uid="{00000000-0005-0000-0000-0000770E0000}"/>
    <cellStyle name="标题 4 13" xfId="3704" xr:uid="{00000000-0005-0000-0000-0000780E0000}"/>
    <cellStyle name="标题 4 14" xfId="3705" xr:uid="{00000000-0005-0000-0000-0000790E0000}"/>
    <cellStyle name="标题 4 15" xfId="3706" xr:uid="{00000000-0005-0000-0000-00007A0E0000}"/>
    <cellStyle name="标题 4 16" xfId="3707" xr:uid="{00000000-0005-0000-0000-00007B0E0000}"/>
    <cellStyle name="标题 4 17" xfId="3708" xr:uid="{00000000-0005-0000-0000-00007C0E0000}"/>
    <cellStyle name="标题 4 18" xfId="3709" xr:uid="{00000000-0005-0000-0000-00007D0E0000}"/>
    <cellStyle name="标题 4 2" xfId="3710" xr:uid="{00000000-0005-0000-0000-00007E0E0000}"/>
    <cellStyle name="标题 4 3" xfId="3711" xr:uid="{00000000-0005-0000-0000-00007F0E0000}"/>
    <cellStyle name="标题 4 4" xfId="3712" xr:uid="{00000000-0005-0000-0000-0000800E0000}"/>
    <cellStyle name="标题 4 5" xfId="3713" xr:uid="{00000000-0005-0000-0000-0000810E0000}"/>
    <cellStyle name="标题 4 6" xfId="3714" xr:uid="{00000000-0005-0000-0000-0000820E0000}"/>
    <cellStyle name="标题 4 7" xfId="3715" xr:uid="{00000000-0005-0000-0000-0000830E0000}"/>
    <cellStyle name="标题 4 8" xfId="3716" xr:uid="{00000000-0005-0000-0000-0000840E0000}"/>
    <cellStyle name="标题 4 9" xfId="3717" xr:uid="{00000000-0005-0000-0000-0000850E0000}"/>
    <cellStyle name="标题 5" xfId="3718" xr:uid="{00000000-0005-0000-0000-0000860E0000}"/>
    <cellStyle name="标题 6" xfId="3719" xr:uid="{00000000-0005-0000-0000-0000870E0000}"/>
    <cellStyle name="标题 7" xfId="3720" xr:uid="{00000000-0005-0000-0000-0000880E0000}"/>
    <cellStyle name="标题 8" xfId="3721" xr:uid="{00000000-0005-0000-0000-0000890E0000}"/>
    <cellStyle name="标题 9" xfId="3722" xr:uid="{00000000-0005-0000-0000-00008A0E0000}"/>
    <cellStyle name="표준" xfId="0" builtinId="0"/>
    <cellStyle name="표준 10" xfId="207" xr:uid="{00000000-0005-0000-0000-0000CF000000}"/>
    <cellStyle name="표준 10 2" xfId="520" xr:uid="{00000000-0005-0000-0000-000008020000}"/>
    <cellStyle name="표준 10 2 2" xfId="3384" xr:uid="{00000000-0005-0000-0000-0000380D0000}"/>
    <cellStyle name="표준 10 3" xfId="534" xr:uid="{00000000-0005-0000-0000-000016020000}"/>
    <cellStyle name="표준 10 4" xfId="540" xr:uid="{00000000-0005-0000-0000-00001C020000}"/>
    <cellStyle name="표준 10 5" xfId="3383" xr:uid="{00000000-0005-0000-0000-0000370D0000}"/>
    <cellStyle name="표준 10 6" xfId="7911" xr:uid="{00000000-0005-0000-0000-0000E71E0000}"/>
    <cellStyle name="표준 11" xfId="208" xr:uid="{00000000-0005-0000-0000-0000D0000000}"/>
    <cellStyle name="표준 11 2" xfId="513" xr:uid="{00000000-0005-0000-0000-000001020000}"/>
    <cellStyle name="표준 11 2 2" xfId="3386" xr:uid="{00000000-0005-0000-0000-00003A0D0000}"/>
    <cellStyle name="표준 11 3" xfId="524" xr:uid="{00000000-0005-0000-0000-00000C020000}"/>
    <cellStyle name="표준 11 4" xfId="527" xr:uid="{00000000-0005-0000-0000-00000F020000}"/>
    <cellStyle name="표준 11 5" xfId="3385" xr:uid="{00000000-0005-0000-0000-0000390D0000}"/>
    <cellStyle name="표준 11 6" xfId="7912" xr:uid="{00000000-0005-0000-0000-0000E81E0000}"/>
    <cellStyle name="표준 12" xfId="209" xr:uid="{00000000-0005-0000-0000-0000D1000000}"/>
    <cellStyle name="표준 12 2" xfId="515" xr:uid="{00000000-0005-0000-0000-000003020000}"/>
    <cellStyle name="표준 12 2 2" xfId="3388" xr:uid="{00000000-0005-0000-0000-00003C0D0000}"/>
    <cellStyle name="표준 12 3" xfId="530" xr:uid="{00000000-0005-0000-0000-000012020000}"/>
    <cellStyle name="표준 12 4" xfId="536" xr:uid="{00000000-0005-0000-0000-000018020000}"/>
    <cellStyle name="표준 12 5" xfId="3387" xr:uid="{00000000-0005-0000-0000-00003B0D0000}"/>
    <cellStyle name="표준 12 6" xfId="7913" xr:uid="{00000000-0005-0000-0000-0000E91E0000}"/>
    <cellStyle name="표준 13" xfId="210" xr:uid="{00000000-0005-0000-0000-0000D2000000}"/>
    <cellStyle name="표준 13 2" xfId="3390" xr:uid="{00000000-0005-0000-0000-00003E0D0000}"/>
    <cellStyle name="표준 13 3" xfId="3389" xr:uid="{00000000-0005-0000-0000-00003D0D0000}"/>
    <cellStyle name="표준 14" xfId="211" xr:uid="{00000000-0005-0000-0000-0000D3000000}"/>
    <cellStyle name="표준 14 2" xfId="509" xr:uid="{00000000-0005-0000-0000-0000FD010000}"/>
    <cellStyle name="표준 14 2 2" xfId="3392" xr:uid="{00000000-0005-0000-0000-0000400D0000}"/>
    <cellStyle name="표준 14 3" xfId="3391" xr:uid="{00000000-0005-0000-0000-00003F0D0000}"/>
    <cellStyle name="표준 15" xfId="212" xr:uid="{00000000-0005-0000-0000-0000D4000000}"/>
    <cellStyle name="표준 15 2" xfId="3394" xr:uid="{00000000-0005-0000-0000-0000420D0000}"/>
    <cellStyle name="표준 15 3" xfId="3393" xr:uid="{00000000-0005-0000-0000-0000410D0000}"/>
    <cellStyle name="표준 16" xfId="213" xr:uid="{00000000-0005-0000-0000-0000D5000000}"/>
    <cellStyle name="표준 16 2" xfId="510" xr:uid="{00000000-0005-0000-0000-0000FE010000}"/>
    <cellStyle name="표준 16 2 2" xfId="3396" xr:uid="{00000000-0005-0000-0000-0000440D0000}"/>
    <cellStyle name="표준 16 3" xfId="3395" xr:uid="{00000000-0005-0000-0000-0000430D0000}"/>
    <cellStyle name="표준 17" xfId="214" xr:uid="{00000000-0005-0000-0000-0000D6000000}"/>
    <cellStyle name="표준 17 2" xfId="3398" xr:uid="{00000000-0005-0000-0000-0000460D0000}"/>
    <cellStyle name="표준 17 3" xfId="3397" xr:uid="{00000000-0005-0000-0000-0000450D0000}"/>
    <cellStyle name="표준 18" xfId="237" xr:uid="{00000000-0005-0000-0000-0000ED000000}"/>
    <cellStyle name="표준 18 2" xfId="3400" xr:uid="{00000000-0005-0000-0000-0000480D0000}"/>
    <cellStyle name="표준 18 3" xfId="3399" xr:uid="{00000000-0005-0000-0000-0000470D0000}"/>
    <cellStyle name="표준 19" xfId="3401" xr:uid="{00000000-0005-0000-0000-0000490D0000}"/>
    <cellStyle name="표준 19 2" xfId="3402" xr:uid="{00000000-0005-0000-0000-00004A0D0000}"/>
    <cellStyle name="표준 2" xfId="215" xr:uid="{00000000-0005-0000-0000-0000D7000000}"/>
    <cellStyle name="표준 2 10" xfId="368" xr:uid="{00000000-0005-0000-0000-000070010000}"/>
    <cellStyle name="표준 2 10 2" xfId="3403" xr:uid="{00000000-0005-0000-0000-00004B0D0000}"/>
    <cellStyle name="표준 2 11" xfId="369" xr:uid="{00000000-0005-0000-0000-000071010000}"/>
    <cellStyle name="표준 2 11 2" xfId="3404" xr:uid="{00000000-0005-0000-0000-00004C0D0000}"/>
    <cellStyle name="표준 2 12" xfId="370" xr:uid="{00000000-0005-0000-0000-000072010000}"/>
    <cellStyle name="표준 2 12 2" xfId="3405" xr:uid="{00000000-0005-0000-0000-00004D0D0000}"/>
    <cellStyle name="표준 2 13" xfId="371" xr:uid="{00000000-0005-0000-0000-000073010000}"/>
    <cellStyle name="표준 2 13 2" xfId="3406" xr:uid="{00000000-0005-0000-0000-00004E0D0000}"/>
    <cellStyle name="표준 2 14" xfId="372" xr:uid="{00000000-0005-0000-0000-000074010000}"/>
    <cellStyle name="표준 2 14 2" xfId="3407" xr:uid="{00000000-0005-0000-0000-00004F0D0000}"/>
    <cellStyle name="표준 2 15" xfId="373" xr:uid="{00000000-0005-0000-0000-000075010000}"/>
    <cellStyle name="표준 2 15 2" xfId="3408" xr:uid="{00000000-0005-0000-0000-0000500D0000}"/>
    <cellStyle name="표준 2 16" xfId="374" xr:uid="{00000000-0005-0000-0000-000076010000}"/>
    <cellStyle name="표준 2 16 2" xfId="3409" xr:uid="{00000000-0005-0000-0000-0000510D0000}"/>
    <cellStyle name="표준 2 17" xfId="375" xr:uid="{00000000-0005-0000-0000-000077010000}"/>
    <cellStyle name="표준 2 17 2" xfId="3410" xr:uid="{00000000-0005-0000-0000-0000520D0000}"/>
    <cellStyle name="표준 2 18" xfId="376" xr:uid="{00000000-0005-0000-0000-000078010000}"/>
    <cellStyle name="표준 2 18 2" xfId="3411" xr:uid="{00000000-0005-0000-0000-0000530D0000}"/>
    <cellStyle name="표준 2 19" xfId="377" xr:uid="{00000000-0005-0000-0000-000079010000}"/>
    <cellStyle name="표준 2 19 2" xfId="3412" xr:uid="{00000000-0005-0000-0000-0000540D0000}"/>
    <cellStyle name="표준 2 2" xfId="282" xr:uid="{00000000-0005-0000-0000-00001A010000}"/>
    <cellStyle name="표준 2 2 2" xfId="3413" xr:uid="{00000000-0005-0000-0000-0000550D0000}"/>
    <cellStyle name="표준 2 2 2 2" xfId="8155" xr:uid="{00000000-0005-0000-0000-0000DB1F0000}"/>
    <cellStyle name="표준 2 2 3" xfId="7995" xr:uid="{00000000-0005-0000-0000-00003B1F0000}"/>
    <cellStyle name="표준 2 20" xfId="378" xr:uid="{00000000-0005-0000-0000-00007A010000}"/>
    <cellStyle name="표준 2 20 2" xfId="3414" xr:uid="{00000000-0005-0000-0000-0000560D0000}"/>
    <cellStyle name="표준 2 21" xfId="379" xr:uid="{00000000-0005-0000-0000-00007B010000}"/>
    <cellStyle name="표준 2 21 2" xfId="3415" xr:uid="{00000000-0005-0000-0000-0000570D0000}"/>
    <cellStyle name="표준 2 22" xfId="491" xr:uid="{00000000-0005-0000-0000-0000EB010000}"/>
    <cellStyle name="표준 2 22 2" xfId="5815" xr:uid="{00000000-0005-0000-0000-0000B7160000}"/>
    <cellStyle name="표준 2 23" xfId="502" xr:uid="{00000000-0005-0000-0000-0000F6010000}"/>
    <cellStyle name="표준 2 23 2" xfId="6023" xr:uid="{00000000-0005-0000-0000-000087170000}"/>
    <cellStyle name="표준 2 24" xfId="495" xr:uid="{00000000-0005-0000-0000-0000EF010000}"/>
    <cellStyle name="표준 2 25" xfId="494" xr:uid="{00000000-0005-0000-0000-0000EE010000}"/>
    <cellStyle name="표준 2 26" xfId="505" xr:uid="{00000000-0005-0000-0000-0000F9010000}"/>
    <cellStyle name="표준 2 27" xfId="514" xr:uid="{00000000-0005-0000-0000-000002020000}"/>
    <cellStyle name="표준 2 28" xfId="526" xr:uid="{00000000-0005-0000-0000-00000E020000}"/>
    <cellStyle name="표준 2 29" xfId="525" xr:uid="{00000000-0005-0000-0000-00000D020000}"/>
    <cellStyle name="표준 2 3" xfId="287" xr:uid="{00000000-0005-0000-0000-00001F010000}"/>
    <cellStyle name="표준 2 3 2" xfId="3416" xr:uid="{00000000-0005-0000-0000-0000580D0000}"/>
    <cellStyle name="표준 2 30" xfId="7914" xr:uid="{00000000-0005-0000-0000-0000EA1E0000}"/>
    <cellStyle name="표준 2 31" xfId="7992" xr:uid="{00000000-0005-0000-0000-0000381F0000}"/>
    <cellStyle name="표준 2 4" xfId="367" xr:uid="{00000000-0005-0000-0000-00006F010000}"/>
    <cellStyle name="표준 2 4 2" xfId="380" xr:uid="{00000000-0005-0000-0000-00007C010000}"/>
    <cellStyle name="표준 2 4 3" xfId="497" xr:uid="{00000000-0005-0000-0000-0000F1010000}"/>
    <cellStyle name="표준 2 4 4" xfId="499" xr:uid="{00000000-0005-0000-0000-0000F3010000}"/>
    <cellStyle name="표준 2 4 5" xfId="500" xr:uid="{00000000-0005-0000-0000-0000F4010000}"/>
    <cellStyle name="표준 2 4 6" xfId="489" xr:uid="{00000000-0005-0000-0000-0000E9010000}"/>
    <cellStyle name="표준 2 4 7" xfId="487" xr:uid="{00000000-0005-0000-0000-0000E7010000}"/>
    <cellStyle name="표준 2 4 8" xfId="3417" xr:uid="{00000000-0005-0000-0000-0000590D0000}"/>
    <cellStyle name="표준 2 5" xfId="381" xr:uid="{00000000-0005-0000-0000-00007D010000}"/>
    <cellStyle name="표준 2 5 2" xfId="3418" xr:uid="{00000000-0005-0000-0000-00005A0D0000}"/>
    <cellStyle name="표준 2 6" xfId="382" xr:uid="{00000000-0005-0000-0000-00007E010000}"/>
    <cellStyle name="표준 2 6 2" xfId="3419" xr:uid="{00000000-0005-0000-0000-00005B0D0000}"/>
    <cellStyle name="표준 2 7" xfId="383" xr:uid="{00000000-0005-0000-0000-00007F010000}"/>
    <cellStyle name="표준 2 7 2" xfId="3420" xr:uid="{00000000-0005-0000-0000-00005C0D0000}"/>
    <cellStyle name="표준 2 8" xfId="384" xr:uid="{00000000-0005-0000-0000-000080010000}"/>
    <cellStyle name="표준 2 8 2" xfId="3421" xr:uid="{00000000-0005-0000-0000-00005D0D0000}"/>
    <cellStyle name="표준 2 9" xfId="385" xr:uid="{00000000-0005-0000-0000-000081010000}"/>
    <cellStyle name="표준 2 9 2" xfId="511" xr:uid="{00000000-0005-0000-0000-0000FF010000}"/>
    <cellStyle name="표준 2 9 3" xfId="522" xr:uid="{00000000-0005-0000-0000-00000A020000}"/>
    <cellStyle name="표준 2 9 4" xfId="529" xr:uid="{00000000-0005-0000-0000-000011020000}"/>
    <cellStyle name="표준 2 9 5" xfId="3422" xr:uid="{00000000-0005-0000-0000-00005E0D0000}"/>
    <cellStyle name="표준 2 9 6" xfId="7921" xr:uid="{00000000-0005-0000-0000-0000F11E0000}"/>
    <cellStyle name="표준 2_BMB_UGA NEXT(audio_DPP2 Ver1.0)2008.xx.xx" xfId="3423" xr:uid="{00000000-0005-0000-0000-00005F0D0000}"/>
    <cellStyle name="표준 20" xfId="3424" xr:uid="{00000000-0005-0000-0000-0000600D0000}"/>
    <cellStyle name="표준 20 2" xfId="3425" xr:uid="{00000000-0005-0000-0000-0000610D0000}"/>
    <cellStyle name="표준 21" xfId="3426" xr:uid="{00000000-0005-0000-0000-0000620D0000}"/>
    <cellStyle name="표준 21 2" xfId="3427" xr:uid="{00000000-0005-0000-0000-0000630D0000}"/>
    <cellStyle name="표준 22" xfId="3428" xr:uid="{00000000-0005-0000-0000-0000640D0000}"/>
    <cellStyle name="표준 22 2" xfId="3429" xr:uid="{00000000-0005-0000-0000-0000650D0000}"/>
    <cellStyle name="표준 23" xfId="3430" xr:uid="{00000000-0005-0000-0000-0000660D0000}"/>
    <cellStyle name="표준 23 2" xfId="3431" xr:uid="{00000000-0005-0000-0000-0000670D0000}"/>
    <cellStyle name="표준 24" xfId="3432" xr:uid="{00000000-0005-0000-0000-0000680D0000}"/>
    <cellStyle name="표준 24 2" xfId="3433" xr:uid="{00000000-0005-0000-0000-0000690D0000}"/>
    <cellStyle name="표준 25" xfId="3434" xr:uid="{00000000-0005-0000-0000-00006A0D0000}"/>
    <cellStyle name="표준 25 2" xfId="3435" xr:uid="{00000000-0005-0000-0000-00006B0D0000}"/>
    <cellStyle name="표준 26" xfId="3436" xr:uid="{00000000-0005-0000-0000-00006C0D0000}"/>
    <cellStyle name="표준 26 2" xfId="3437" xr:uid="{00000000-0005-0000-0000-00006D0D0000}"/>
    <cellStyle name="표준 27" xfId="3438" xr:uid="{00000000-0005-0000-0000-00006E0D0000}"/>
    <cellStyle name="표준 27 2" xfId="3439" xr:uid="{00000000-0005-0000-0000-00006F0D0000}"/>
    <cellStyle name="표준 28" xfId="3440" xr:uid="{00000000-0005-0000-0000-0000700D0000}"/>
    <cellStyle name="표준 28 2" xfId="3441" xr:uid="{00000000-0005-0000-0000-0000710D0000}"/>
    <cellStyle name="표준 29" xfId="3442" xr:uid="{00000000-0005-0000-0000-0000720D0000}"/>
    <cellStyle name="표준 29 2" xfId="3443" xr:uid="{00000000-0005-0000-0000-0000730D0000}"/>
    <cellStyle name="표준 3" xfId="216" xr:uid="{00000000-0005-0000-0000-0000D8000000}"/>
    <cellStyle name="표준 3 10" xfId="217" xr:uid="{00000000-0005-0000-0000-0000D9000000}"/>
    <cellStyle name="표준 3 10 2" xfId="3445" xr:uid="{00000000-0005-0000-0000-0000750D0000}"/>
    <cellStyle name="표준 3 11" xfId="508" xr:uid="{00000000-0005-0000-0000-0000FC010000}"/>
    <cellStyle name="표준 3 11 2" xfId="3446" xr:uid="{00000000-0005-0000-0000-0000760D0000}"/>
    <cellStyle name="표준 3 12" xfId="3447" xr:uid="{00000000-0005-0000-0000-0000770D0000}"/>
    <cellStyle name="표준 3 13" xfId="3448" xr:uid="{00000000-0005-0000-0000-0000780D0000}"/>
    <cellStyle name="표준 3 14" xfId="3449" xr:uid="{00000000-0005-0000-0000-0000790D0000}"/>
    <cellStyle name="표준 3 15" xfId="3450" xr:uid="{00000000-0005-0000-0000-00007A0D0000}"/>
    <cellStyle name="표준 3 16" xfId="3451" xr:uid="{00000000-0005-0000-0000-00007B0D0000}"/>
    <cellStyle name="표준 3 17" xfId="3452" xr:uid="{00000000-0005-0000-0000-00007C0D0000}"/>
    <cellStyle name="표준 3 18" xfId="3453" xr:uid="{00000000-0005-0000-0000-00007D0D0000}"/>
    <cellStyle name="표준 3 19" xfId="3454" xr:uid="{00000000-0005-0000-0000-00007E0D0000}"/>
    <cellStyle name="표준 3 2" xfId="218" xr:uid="{00000000-0005-0000-0000-0000DA000000}"/>
    <cellStyle name="표준 3 2 2" xfId="284" xr:uid="{00000000-0005-0000-0000-00001C010000}"/>
    <cellStyle name="표준 3 2 3" xfId="3455" xr:uid="{00000000-0005-0000-0000-00007F0D0000}"/>
    <cellStyle name="표준 3 20" xfId="3456" xr:uid="{00000000-0005-0000-0000-0000800D0000}"/>
    <cellStyle name="표준 3 21" xfId="3444" xr:uid="{00000000-0005-0000-0000-0000740D0000}"/>
    <cellStyle name="표준 3 22" xfId="7994" xr:uid="{00000000-0005-0000-0000-00003A1F0000}"/>
    <cellStyle name="표준 3 23" xfId="8156" xr:uid="{00000000-0005-0000-0000-0000DC1F0000}"/>
    <cellStyle name="표준 3 3" xfId="219" xr:uid="{00000000-0005-0000-0000-0000DB000000}"/>
    <cellStyle name="표준 3 3 2" xfId="517" xr:uid="{00000000-0005-0000-0000-000005020000}"/>
    <cellStyle name="표준 3 3 3" xfId="531" xr:uid="{00000000-0005-0000-0000-000013020000}"/>
    <cellStyle name="표준 3 3 4" xfId="537" xr:uid="{00000000-0005-0000-0000-000019020000}"/>
    <cellStyle name="표준 3 3 5" xfId="3457" xr:uid="{00000000-0005-0000-0000-0000810D0000}"/>
    <cellStyle name="표준 3 3 6" xfId="7915" xr:uid="{00000000-0005-0000-0000-0000EB1E0000}"/>
    <cellStyle name="표준 3 4" xfId="220" xr:uid="{00000000-0005-0000-0000-0000DC000000}"/>
    <cellStyle name="표준 3 4 2" xfId="3458" xr:uid="{00000000-0005-0000-0000-0000820D0000}"/>
    <cellStyle name="표준 3 5" xfId="221" xr:uid="{00000000-0005-0000-0000-0000DD000000}"/>
    <cellStyle name="표준 3 5 2" xfId="3459" xr:uid="{00000000-0005-0000-0000-0000830D0000}"/>
    <cellStyle name="표준 3 6" xfId="222" xr:uid="{00000000-0005-0000-0000-0000DE000000}"/>
    <cellStyle name="표준 3 6 2" xfId="3460" xr:uid="{00000000-0005-0000-0000-0000840D0000}"/>
    <cellStyle name="표준 3 7" xfId="223" xr:uid="{00000000-0005-0000-0000-0000DF000000}"/>
    <cellStyle name="표준 3 7 2" xfId="3461" xr:uid="{00000000-0005-0000-0000-0000850D0000}"/>
    <cellStyle name="표준 3 8" xfId="224" xr:uid="{00000000-0005-0000-0000-0000E0000000}"/>
    <cellStyle name="표준 3 8 2" xfId="3462" xr:uid="{00000000-0005-0000-0000-0000860D0000}"/>
    <cellStyle name="표준 3 9" xfId="225" xr:uid="{00000000-0005-0000-0000-0000E1000000}"/>
    <cellStyle name="표준 3 9 2" xfId="3463" xr:uid="{00000000-0005-0000-0000-0000870D0000}"/>
    <cellStyle name="표준 3_양식품번부여" xfId="3464" xr:uid="{00000000-0005-0000-0000-0000880D0000}"/>
    <cellStyle name="표준 30" xfId="3465" xr:uid="{00000000-0005-0000-0000-0000890D0000}"/>
    <cellStyle name="표준 30 2" xfId="3466" xr:uid="{00000000-0005-0000-0000-00008A0D0000}"/>
    <cellStyle name="표준 31" xfId="3467" xr:uid="{00000000-0005-0000-0000-00008B0D0000}"/>
    <cellStyle name="표준 31 2" xfId="3468" xr:uid="{00000000-0005-0000-0000-00008C0D0000}"/>
    <cellStyle name="표준 32" xfId="3469" xr:uid="{00000000-0005-0000-0000-00008D0D0000}"/>
    <cellStyle name="표준 32 2" xfId="3470" xr:uid="{00000000-0005-0000-0000-00008E0D0000}"/>
    <cellStyle name="표준 33" xfId="3471" xr:uid="{00000000-0005-0000-0000-00008F0D0000}"/>
    <cellStyle name="표준 33 2" xfId="3472" xr:uid="{00000000-0005-0000-0000-0000900D0000}"/>
    <cellStyle name="표준 34" xfId="3473" xr:uid="{00000000-0005-0000-0000-0000910D0000}"/>
    <cellStyle name="표준 34 2" xfId="3474" xr:uid="{00000000-0005-0000-0000-0000920D0000}"/>
    <cellStyle name="표준 35" xfId="3475" xr:uid="{00000000-0005-0000-0000-0000930D0000}"/>
    <cellStyle name="표준 35 2" xfId="3476" xr:uid="{00000000-0005-0000-0000-0000940D0000}"/>
    <cellStyle name="표준 36" xfId="3477" xr:uid="{00000000-0005-0000-0000-0000950D0000}"/>
    <cellStyle name="표준 36 2" xfId="3478" xr:uid="{00000000-0005-0000-0000-0000960D0000}"/>
    <cellStyle name="표준 37" xfId="3479" xr:uid="{00000000-0005-0000-0000-0000970D0000}"/>
    <cellStyle name="표준 37 2" xfId="3480" xr:uid="{00000000-0005-0000-0000-0000980D0000}"/>
    <cellStyle name="표준 38" xfId="3481" xr:uid="{00000000-0005-0000-0000-0000990D0000}"/>
    <cellStyle name="표준 39" xfId="3482" xr:uid="{00000000-0005-0000-0000-00009A0D0000}"/>
    <cellStyle name="표준 4" xfId="226" xr:uid="{00000000-0005-0000-0000-0000E2000000}"/>
    <cellStyle name="표준 4 10" xfId="3484" xr:uid="{00000000-0005-0000-0000-00009C0D0000}"/>
    <cellStyle name="표준 4 10 2" xfId="8154" xr:uid="{00000000-0005-0000-0000-0000DA1F0000}"/>
    <cellStyle name="표준 4 11" xfId="3485" xr:uid="{00000000-0005-0000-0000-00009D0D0000}"/>
    <cellStyle name="표준 4 12" xfId="3486" xr:uid="{00000000-0005-0000-0000-00009E0D0000}"/>
    <cellStyle name="표준 4 13" xfId="3487" xr:uid="{00000000-0005-0000-0000-00009F0D0000}"/>
    <cellStyle name="표준 4 14" xfId="3488" xr:uid="{00000000-0005-0000-0000-0000A00D0000}"/>
    <cellStyle name="표준 4 15" xfId="3489" xr:uid="{00000000-0005-0000-0000-0000A10D0000}"/>
    <cellStyle name="표준 4 16" xfId="3490" xr:uid="{00000000-0005-0000-0000-0000A20D0000}"/>
    <cellStyle name="표준 4 17" xfId="3491" xr:uid="{00000000-0005-0000-0000-0000A30D0000}"/>
    <cellStyle name="표준 4 18" xfId="3492" xr:uid="{00000000-0005-0000-0000-0000A40D0000}"/>
    <cellStyle name="표준 4 19" xfId="3493" xr:uid="{00000000-0005-0000-0000-0000A50D0000}"/>
    <cellStyle name="표준 4 2" xfId="516" xr:uid="{00000000-0005-0000-0000-000004020000}"/>
    <cellStyle name="표준 4 2 2" xfId="3494" xr:uid="{00000000-0005-0000-0000-0000A60D0000}"/>
    <cellStyle name="표준 4 20" xfId="3483" xr:uid="{00000000-0005-0000-0000-00009B0D0000}"/>
    <cellStyle name="표준 4 3" xfId="3495" xr:uid="{00000000-0005-0000-0000-0000A70D0000}"/>
    <cellStyle name="표준 4 4" xfId="3496" xr:uid="{00000000-0005-0000-0000-0000A80D0000}"/>
    <cellStyle name="표준 4 5" xfId="3497" xr:uid="{00000000-0005-0000-0000-0000A90D0000}"/>
    <cellStyle name="표준 4 6" xfId="3498" xr:uid="{00000000-0005-0000-0000-0000AA0D0000}"/>
    <cellStyle name="표준 4 7" xfId="3499" xr:uid="{00000000-0005-0000-0000-0000AB0D0000}"/>
    <cellStyle name="표준 4 8" xfId="3500" xr:uid="{00000000-0005-0000-0000-0000AC0D0000}"/>
    <cellStyle name="표준 4 9" xfId="3501" xr:uid="{00000000-0005-0000-0000-0000AD0D0000}"/>
    <cellStyle name="표준 4_BMB_UGA NEXT(audio_DPP2 Ver1.0)2008.xx.xx" xfId="3502" xr:uid="{00000000-0005-0000-0000-0000AE0D0000}"/>
    <cellStyle name="표준 40" xfId="3503" xr:uid="{00000000-0005-0000-0000-0000AF0D0000}"/>
    <cellStyle name="표준 40 2" xfId="3504" xr:uid="{00000000-0005-0000-0000-0000B00D0000}"/>
    <cellStyle name="표준 41" xfId="3505" xr:uid="{00000000-0005-0000-0000-0000B10D0000}"/>
    <cellStyle name="표준 42" xfId="3506" xr:uid="{00000000-0005-0000-0000-0000B20D0000}"/>
    <cellStyle name="표준 43" xfId="3507" xr:uid="{00000000-0005-0000-0000-0000B30D0000}"/>
    <cellStyle name="표준 44" xfId="3508" xr:uid="{00000000-0005-0000-0000-0000B40D0000}"/>
    <cellStyle name="표준 45" xfId="3509" xr:uid="{00000000-0005-0000-0000-0000B50D0000}"/>
    <cellStyle name="표준 46" xfId="3510" xr:uid="{00000000-0005-0000-0000-0000B60D0000}"/>
    <cellStyle name="표준 47" xfId="3511" xr:uid="{00000000-0005-0000-0000-0000B70D0000}"/>
    <cellStyle name="표준 48" xfId="3512" xr:uid="{00000000-0005-0000-0000-0000B80D0000}"/>
    <cellStyle name="표준 49" xfId="3513" xr:uid="{00000000-0005-0000-0000-0000B90D0000}"/>
    <cellStyle name="표준 5" xfId="227" xr:uid="{00000000-0005-0000-0000-0000E3000000}"/>
    <cellStyle name="표준 5 2" xfId="3515" xr:uid="{00000000-0005-0000-0000-0000BB0D0000}"/>
    <cellStyle name="표준 5 3" xfId="3516" xr:uid="{00000000-0005-0000-0000-0000BC0D0000}"/>
    <cellStyle name="표준 5 4" xfId="3514" xr:uid="{00000000-0005-0000-0000-0000BA0D0000}"/>
    <cellStyle name="표준 50" xfId="3517" xr:uid="{00000000-0005-0000-0000-0000BD0D0000}"/>
    <cellStyle name="표준 51" xfId="3518" xr:uid="{00000000-0005-0000-0000-0000BE0D0000}"/>
    <cellStyle name="표준 52" xfId="3519" xr:uid="{00000000-0005-0000-0000-0000BF0D0000}"/>
    <cellStyle name="표준 53" xfId="3520" xr:uid="{00000000-0005-0000-0000-0000C00D0000}"/>
    <cellStyle name="표준 54" xfId="3521" xr:uid="{00000000-0005-0000-0000-0000C10D0000}"/>
    <cellStyle name="표준 55" xfId="5804" xr:uid="{00000000-0005-0000-0000-0000AC160000}"/>
    <cellStyle name="표준 56" xfId="5805" xr:uid="{00000000-0005-0000-0000-0000AD160000}"/>
    <cellStyle name="표준 57" xfId="5806" xr:uid="{00000000-0005-0000-0000-0000AE160000}"/>
    <cellStyle name="표준 58" xfId="5807" xr:uid="{00000000-0005-0000-0000-0000AF160000}"/>
    <cellStyle name="표준 59" xfId="5808" xr:uid="{00000000-0005-0000-0000-0000B0160000}"/>
    <cellStyle name="표준 6" xfId="228" xr:uid="{00000000-0005-0000-0000-0000E4000000}"/>
    <cellStyle name="표준 6 2" xfId="512" xr:uid="{00000000-0005-0000-0000-000000020000}"/>
    <cellStyle name="표준 6 2 2" xfId="3523" xr:uid="{00000000-0005-0000-0000-0000C30D0000}"/>
    <cellStyle name="표준 6 3" xfId="523" xr:uid="{00000000-0005-0000-0000-00000B020000}"/>
    <cellStyle name="표준 6 4" xfId="528" xr:uid="{00000000-0005-0000-0000-000010020000}"/>
    <cellStyle name="표준 6 5" xfId="3522" xr:uid="{00000000-0005-0000-0000-0000C20D0000}"/>
    <cellStyle name="표준 6 6" xfId="7916" xr:uid="{00000000-0005-0000-0000-0000EC1E0000}"/>
    <cellStyle name="표준 60" xfId="5912" xr:uid="{00000000-0005-0000-0000-000018170000}"/>
    <cellStyle name="표준 61" xfId="5809" xr:uid="{00000000-0005-0000-0000-0000B1160000}"/>
    <cellStyle name="표준 62" xfId="5810" xr:uid="{00000000-0005-0000-0000-0000B2160000}"/>
    <cellStyle name="표준 63" xfId="386" xr:uid="{00000000-0005-0000-0000-000082010000}"/>
    <cellStyle name="표준 63 2" xfId="5811" xr:uid="{00000000-0005-0000-0000-0000B3160000}"/>
    <cellStyle name="표준 64" xfId="5812" xr:uid="{00000000-0005-0000-0000-0000B4160000}"/>
    <cellStyle name="표준 65" xfId="5813" xr:uid="{00000000-0005-0000-0000-0000B5160000}"/>
    <cellStyle name="표준 66" xfId="5913" xr:uid="{00000000-0005-0000-0000-000019170000}"/>
    <cellStyle name="표준 67" xfId="5914" xr:uid="{00000000-0005-0000-0000-00001A170000}"/>
    <cellStyle name="표준 68" xfId="5915" xr:uid="{00000000-0005-0000-0000-00001B170000}"/>
    <cellStyle name="표준 69" xfId="5814" xr:uid="{00000000-0005-0000-0000-0000B6160000}"/>
    <cellStyle name="표준 7" xfId="229" xr:uid="{00000000-0005-0000-0000-0000E5000000}"/>
    <cellStyle name="표준 7 2" xfId="521" xr:uid="{00000000-0005-0000-0000-000009020000}"/>
    <cellStyle name="표준 7 2 2" xfId="3525" xr:uid="{00000000-0005-0000-0000-0000C50D0000}"/>
    <cellStyle name="표준 7 3" xfId="535" xr:uid="{00000000-0005-0000-0000-000017020000}"/>
    <cellStyle name="표준 7 4" xfId="541" xr:uid="{00000000-0005-0000-0000-00001D020000}"/>
    <cellStyle name="표준 7 5" xfId="3524" xr:uid="{00000000-0005-0000-0000-0000C40D0000}"/>
    <cellStyle name="표준 7 6" xfId="7917" xr:uid="{00000000-0005-0000-0000-0000ED1E0000}"/>
    <cellStyle name="표준 70" xfId="5790" xr:uid="{00000000-0005-0000-0000-00009E160000}"/>
    <cellStyle name="표준 71" xfId="5792" xr:uid="{00000000-0005-0000-0000-0000A0160000}"/>
    <cellStyle name="표준 72" xfId="5791" xr:uid="{00000000-0005-0000-0000-00009F160000}"/>
    <cellStyle name="표준 73" xfId="5793" xr:uid="{00000000-0005-0000-0000-0000A1160000}"/>
    <cellStyle name="표준 74" xfId="5795" xr:uid="{00000000-0005-0000-0000-0000A3160000}"/>
    <cellStyle name="표준 75" xfId="5794" xr:uid="{00000000-0005-0000-0000-0000A2160000}"/>
    <cellStyle name="표준 76" xfId="5796" xr:uid="{00000000-0005-0000-0000-0000A4160000}"/>
    <cellStyle name="표준 77" xfId="5797" xr:uid="{00000000-0005-0000-0000-0000A5160000}"/>
    <cellStyle name="표준 78" xfId="5798" xr:uid="{00000000-0005-0000-0000-0000A6160000}"/>
    <cellStyle name="표준 79" xfId="5799" xr:uid="{00000000-0005-0000-0000-0000A7160000}"/>
    <cellStyle name="표준 8" xfId="230" xr:uid="{00000000-0005-0000-0000-0000E6000000}"/>
    <cellStyle name="표준 8 2" xfId="518" xr:uid="{00000000-0005-0000-0000-000006020000}"/>
    <cellStyle name="표준 8 2 2" xfId="3527" xr:uid="{00000000-0005-0000-0000-0000C70D0000}"/>
    <cellStyle name="표준 8 3" xfId="532" xr:uid="{00000000-0005-0000-0000-000014020000}"/>
    <cellStyle name="표준 8 4" xfId="538" xr:uid="{00000000-0005-0000-0000-00001A020000}"/>
    <cellStyle name="표준 8 5" xfId="3526" xr:uid="{00000000-0005-0000-0000-0000C60D0000}"/>
    <cellStyle name="표준 8 6" xfId="7918" xr:uid="{00000000-0005-0000-0000-0000EE1E0000}"/>
    <cellStyle name="표준 80" xfId="5800" xr:uid="{00000000-0005-0000-0000-0000A8160000}"/>
    <cellStyle name="표준 81" xfId="5801" xr:uid="{00000000-0005-0000-0000-0000A9160000}"/>
    <cellStyle name="표준 82" xfId="5802" xr:uid="{00000000-0005-0000-0000-0000AA160000}"/>
    <cellStyle name="표준 83" xfId="5803" xr:uid="{00000000-0005-0000-0000-0000AB160000}"/>
    <cellStyle name="표준 84" xfId="6024" xr:uid="{00000000-0005-0000-0000-000088170000}"/>
    <cellStyle name="표준 85" xfId="6026" xr:uid="{00000000-0005-0000-0000-00008A170000}"/>
    <cellStyle name="표준 85 2" xfId="7088" xr:uid="{00000000-0005-0000-0000-0000B01B0000}"/>
    <cellStyle name="표준 85 2 2" xfId="7902" xr:uid="{00000000-0005-0000-0000-0000DE1E0000}"/>
    <cellStyle name="표준 85 2 2 2" xfId="7988" xr:uid="{00000000-0005-0000-0000-0000341F0000}"/>
    <cellStyle name="표준 85 2 2 2 2" xfId="8149" xr:uid="{00000000-0005-0000-0000-0000D51F0000}"/>
    <cellStyle name="표준 85 2 2 3" xfId="8138" xr:uid="{00000000-0005-0000-0000-0000CA1F0000}"/>
    <cellStyle name="표준 85 2 3" xfId="7983" xr:uid="{00000000-0005-0000-0000-00002F1F0000}"/>
    <cellStyle name="표준 85 2 3 2" xfId="8144" xr:uid="{00000000-0005-0000-0000-0000D01F0000}"/>
    <cellStyle name="표준 85 2 4" xfId="8131" xr:uid="{00000000-0005-0000-0000-0000C31F0000}"/>
    <cellStyle name="표준 85 3" xfId="7090" xr:uid="{00000000-0005-0000-0000-0000B21B0000}"/>
    <cellStyle name="표준 85 3 2" xfId="7904" xr:uid="{00000000-0005-0000-0000-0000E01E0000}"/>
    <cellStyle name="표준 85 3 2 2" xfId="7990" xr:uid="{00000000-0005-0000-0000-0000361F0000}"/>
    <cellStyle name="표준 85 3 2 2 2" xfId="8151" xr:uid="{00000000-0005-0000-0000-0000D71F0000}"/>
    <cellStyle name="표준 85 3 2 3" xfId="8140" xr:uid="{00000000-0005-0000-0000-0000CC1F0000}"/>
    <cellStyle name="표준 85 3 3" xfId="7985" xr:uid="{00000000-0005-0000-0000-0000311F0000}"/>
    <cellStyle name="표준 85 3 3 2" xfId="8146" xr:uid="{00000000-0005-0000-0000-0000D21F0000}"/>
    <cellStyle name="표준 85 3 4" xfId="8133" xr:uid="{00000000-0005-0000-0000-0000C51F0000}"/>
    <cellStyle name="표준 85 4" xfId="7125" xr:uid="{00000000-0005-0000-0000-0000D51B0000}"/>
    <cellStyle name="표준 85 4 2" xfId="7986" xr:uid="{00000000-0005-0000-0000-0000321F0000}"/>
    <cellStyle name="표준 85 4 2 2" xfId="8147" xr:uid="{00000000-0005-0000-0000-0000D31F0000}"/>
    <cellStyle name="표준 85 4 3" xfId="8134" xr:uid="{00000000-0005-0000-0000-0000C61F0000}"/>
    <cellStyle name="표준 85 5" xfId="7939" xr:uid="{00000000-0005-0000-0000-0000031F0000}"/>
    <cellStyle name="표준 85 5 2" xfId="8142" xr:uid="{00000000-0005-0000-0000-0000CE1F0000}"/>
    <cellStyle name="표준 85 6" xfId="8082" xr:uid="{00000000-0005-0000-0000-0000921F0000}"/>
    <cellStyle name="표준 86" xfId="542" xr:uid="{00000000-0005-0000-0000-00001E020000}"/>
    <cellStyle name="표준 87" xfId="6028" xr:uid="{00000000-0005-0000-0000-00008C170000}"/>
    <cellStyle name="표준 88" xfId="6345" xr:uid="{00000000-0005-0000-0000-0000C9180000}"/>
    <cellStyle name="표준 89" xfId="6196" xr:uid="{00000000-0005-0000-0000-000034180000}"/>
    <cellStyle name="표준 9" xfId="231" xr:uid="{00000000-0005-0000-0000-0000E7000000}"/>
    <cellStyle name="표준 9 2" xfId="519" xr:uid="{00000000-0005-0000-0000-000007020000}"/>
    <cellStyle name="표준 9 2 2" xfId="3529" xr:uid="{00000000-0005-0000-0000-0000C90D0000}"/>
    <cellStyle name="표준 9 3" xfId="533" xr:uid="{00000000-0005-0000-0000-000015020000}"/>
    <cellStyle name="표준 9 4" xfId="539" xr:uid="{00000000-0005-0000-0000-00001B020000}"/>
    <cellStyle name="표준 9 5" xfId="3528" xr:uid="{00000000-0005-0000-0000-0000C80D0000}"/>
    <cellStyle name="표준 9 6" xfId="7919" xr:uid="{00000000-0005-0000-0000-0000EF1E0000}"/>
    <cellStyle name="표준 90" xfId="6607" xr:uid="{00000000-0005-0000-0000-0000CF190000}"/>
    <cellStyle name="표준 91" xfId="7050" xr:uid="{00000000-0005-0000-0000-00008A1B0000}"/>
    <cellStyle name="표준 92" xfId="6067" xr:uid="{00000000-0005-0000-0000-0000B3170000}"/>
    <cellStyle name="표준 93" xfId="7070" xr:uid="{00000000-0005-0000-0000-00009E1B0000}"/>
    <cellStyle name="표준 94" xfId="7905" xr:uid="{00000000-0005-0000-0000-0000E11E0000}"/>
    <cellStyle name="표준 94 2" xfId="8141" xr:uid="{00000000-0005-0000-0000-0000CD1F0000}"/>
    <cellStyle name="표준 95" xfId="7991" xr:uid="{00000000-0005-0000-0000-0000371F0000}"/>
    <cellStyle name="標準_01-10LEGACY進捗(商企）" xfId="3530" xr:uid="{00000000-0005-0000-0000-0000CA0D0000}"/>
    <cellStyle name="표준_Sheet1" xfId="232" xr:uid="{00000000-0005-0000-0000-0000E8000000}"/>
    <cellStyle name="푤貫[0]_laroux" xfId="3531" xr:uid="{00000000-0005-0000-0000-0000CB0D0000}"/>
    <cellStyle name="푤貫_laroux" xfId="3532" xr:uid="{00000000-0005-0000-0000-0000CC0D0000}"/>
    <cellStyle name="하이퍼링크" xfId="8152" builtinId="8" hidden="1"/>
    <cellStyle name="하이퍼링크 2" xfId="283" xr:uid="{00000000-0005-0000-0000-00001B010000}"/>
    <cellStyle name="하이퍼링크 2 10" xfId="388" xr:uid="{00000000-0005-0000-0000-000084010000}"/>
    <cellStyle name="하이퍼링크 2 11" xfId="389" xr:uid="{00000000-0005-0000-0000-000085010000}"/>
    <cellStyle name="하이퍼링크 2 12" xfId="390" xr:uid="{00000000-0005-0000-0000-000086010000}"/>
    <cellStyle name="하이퍼링크 2 13" xfId="391" xr:uid="{00000000-0005-0000-0000-000087010000}"/>
    <cellStyle name="하이퍼링크 2 14" xfId="392" xr:uid="{00000000-0005-0000-0000-000088010000}"/>
    <cellStyle name="하이퍼링크 2 15" xfId="393" xr:uid="{00000000-0005-0000-0000-000089010000}"/>
    <cellStyle name="하이퍼링크 2 16" xfId="394" xr:uid="{00000000-0005-0000-0000-00008A010000}"/>
    <cellStyle name="하이퍼링크 2 17" xfId="395" xr:uid="{00000000-0005-0000-0000-00008B010000}"/>
    <cellStyle name="하이퍼링크 2 18" xfId="396" xr:uid="{00000000-0005-0000-0000-00008C010000}"/>
    <cellStyle name="하이퍼링크 2 19" xfId="397" xr:uid="{00000000-0005-0000-0000-00008D010000}"/>
    <cellStyle name="하이퍼링크 2 2" xfId="387" xr:uid="{00000000-0005-0000-0000-000083010000}"/>
    <cellStyle name="하이퍼링크 2 2 2" xfId="398" xr:uid="{00000000-0005-0000-0000-00008E010000}"/>
    <cellStyle name="하이퍼링크 2 2 3" xfId="501" xr:uid="{00000000-0005-0000-0000-0000F5010000}"/>
    <cellStyle name="하이퍼링크 2 2 4" xfId="492" xr:uid="{00000000-0005-0000-0000-0000EC010000}"/>
    <cellStyle name="하이퍼링크 2 2 5" xfId="503" xr:uid="{00000000-0005-0000-0000-0000F7010000}"/>
    <cellStyle name="하이퍼링크 2 2 6" xfId="486" xr:uid="{00000000-0005-0000-0000-0000E6010000}"/>
    <cellStyle name="하이퍼링크 2 2 7" xfId="493" xr:uid="{00000000-0005-0000-0000-0000ED010000}"/>
    <cellStyle name="하이퍼링크 2 20" xfId="399" xr:uid="{00000000-0005-0000-0000-00008F010000}"/>
    <cellStyle name="하이퍼링크 2 21" xfId="400" xr:uid="{00000000-0005-0000-0000-000090010000}"/>
    <cellStyle name="하이퍼링크 2 22" xfId="484" xr:uid="{00000000-0005-0000-0000-0000E4010000}"/>
    <cellStyle name="하이퍼링크 2 23" xfId="498" xr:uid="{00000000-0005-0000-0000-0000F2010000}"/>
    <cellStyle name="하이퍼링크 2 24" xfId="496" xr:uid="{00000000-0005-0000-0000-0000F0010000}"/>
    <cellStyle name="하이퍼링크 2 25" xfId="506" xr:uid="{00000000-0005-0000-0000-0000FA010000}"/>
    <cellStyle name="하이퍼링크 2 26" xfId="488" xr:uid="{00000000-0005-0000-0000-0000E8010000}"/>
    <cellStyle name="하이퍼링크 2 27" xfId="490" xr:uid="{00000000-0005-0000-0000-0000EA010000}"/>
    <cellStyle name="하이퍼링크 2 28" xfId="3533" xr:uid="{00000000-0005-0000-0000-0000CD0D0000}"/>
    <cellStyle name="하이퍼링크 2 29" xfId="7996" xr:uid="{00000000-0005-0000-0000-00003C1F0000}"/>
    <cellStyle name="하이퍼링크 2 3" xfId="401" xr:uid="{00000000-0005-0000-0000-000091010000}"/>
    <cellStyle name="하이퍼링크 2 4" xfId="402" xr:uid="{00000000-0005-0000-0000-000092010000}"/>
    <cellStyle name="하이퍼링크 2 5" xfId="403" xr:uid="{00000000-0005-0000-0000-000093010000}"/>
    <cellStyle name="하이퍼링크 2 6" xfId="404" xr:uid="{00000000-0005-0000-0000-000094010000}"/>
    <cellStyle name="하이퍼링크 2 7" xfId="405" xr:uid="{00000000-0005-0000-0000-000095010000}"/>
    <cellStyle name="하이퍼링크 2 8" xfId="406" xr:uid="{00000000-0005-0000-0000-000096010000}"/>
    <cellStyle name="하이퍼링크 2 9" xfId="407" xr:uid="{00000000-0005-0000-0000-000097010000}"/>
    <cellStyle name="하이퍼링크 4" xfId="408" xr:uid="{00000000-0005-0000-0000-000098010000}"/>
    <cellStyle name="합산" xfId="3534" xr:uid="{00000000-0005-0000-0000-0000CE0D0000}"/>
    <cellStyle name="합산 10" xfId="3535" xr:uid="{00000000-0005-0000-0000-0000CF0D0000}"/>
    <cellStyle name="합산 10 2" xfId="5916" xr:uid="{00000000-0005-0000-0000-00001C170000}"/>
    <cellStyle name="합산 11" xfId="3536" xr:uid="{00000000-0005-0000-0000-0000D00D0000}"/>
    <cellStyle name="합산 11 2" xfId="5917" xr:uid="{00000000-0005-0000-0000-00001D170000}"/>
    <cellStyle name="합산 12" xfId="3537" xr:uid="{00000000-0005-0000-0000-0000D10D0000}"/>
    <cellStyle name="합산 12 2" xfId="5918" xr:uid="{00000000-0005-0000-0000-00001E170000}"/>
    <cellStyle name="합산 13" xfId="3538" xr:uid="{00000000-0005-0000-0000-0000D20D0000}"/>
    <cellStyle name="합산 13 2" xfId="5919" xr:uid="{00000000-0005-0000-0000-00001F170000}"/>
    <cellStyle name="합산 14" xfId="3539" xr:uid="{00000000-0005-0000-0000-0000D30D0000}"/>
    <cellStyle name="합산 14 2" xfId="5920" xr:uid="{00000000-0005-0000-0000-000020170000}"/>
    <cellStyle name="합산 15" xfId="3540" xr:uid="{00000000-0005-0000-0000-0000D40D0000}"/>
    <cellStyle name="합산 15 2" xfId="5921" xr:uid="{00000000-0005-0000-0000-000021170000}"/>
    <cellStyle name="합산 16" xfId="3541" xr:uid="{00000000-0005-0000-0000-0000D50D0000}"/>
    <cellStyle name="합산 16 2" xfId="5922" xr:uid="{00000000-0005-0000-0000-000022170000}"/>
    <cellStyle name="합산 17" xfId="3542" xr:uid="{00000000-0005-0000-0000-0000D60D0000}"/>
    <cellStyle name="합산 17 2" xfId="5923" xr:uid="{00000000-0005-0000-0000-000023170000}"/>
    <cellStyle name="합산 18" xfId="3543" xr:uid="{00000000-0005-0000-0000-0000D70D0000}"/>
    <cellStyle name="합산 18 2" xfId="5924" xr:uid="{00000000-0005-0000-0000-000024170000}"/>
    <cellStyle name="합산 2" xfId="3544" xr:uid="{00000000-0005-0000-0000-0000D80D0000}"/>
    <cellStyle name="합산 2 2" xfId="5925" xr:uid="{00000000-0005-0000-0000-000025170000}"/>
    <cellStyle name="합산 3" xfId="3545" xr:uid="{00000000-0005-0000-0000-0000D90D0000}"/>
    <cellStyle name="합산 3 2" xfId="5926" xr:uid="{00000000-0005-0000-0000-000026170000}"/>
    <cellStyle name="합산 4" xfId="3546" xr:uid="{00000000-0005-0000-0000-0000DA0D0000}"/>
    <cellStyle name="합산 4 2" xfId="5927" xr:uid="{00000000-0005-0000-0000-000027170000}"/>
    <cellStyle name="합산 5" xfId="3547" xr:uid="{00000000-0005-0000-0000-0000DB0D0000}"/>
    <cellStyle name="합산 5 2" xfId="5928" xr:uid="{00000000-0005-0000-0000-000028170000}"/>
    <cellStyle name="합산 6" xfId="3548" xr:uid="{00000000-0005-0000-0000-0000DC0D0000}"/>
    <cellStyle name="합산 6 2" xfId="5929" xr:uid="{00000000-0005-0000-0000-000029170000}"/>
    <cellStyle name="합산 7" xfId="3549" xr:uid="{00000000-0005-0000-0000-0000DD0D0000}"/>
    <cellStyle name="합산 7 2" xfId="5930" xr:uid="{00000000-0005-0000-0000-00002A170000}"/>
    <cellStyle name="합산 8" xfId="3550" xr:uid="{00000000-0005-0000-0000-0000DE0D0000}"/>
    <cellStyle name="합산 8 2" xfId="5931" xr:uid="{00000000-0005-0000-0000-00002B170000}"/>
    <cellStyle name="합산 9" xfId="3551" xr:uid="{00000000-0005-0000-0000-0000DF0D0000}"/>
    <cellStyle name="합산 9 2" xfId="5932" xr:uid="{00000000-0005-0000-0000-00002C170000}"/>
    <cellStyle name="합산_BMB_UGA NEXT(audio_DPP2 Ver1.0)2008.xx.xx" xfId="3552" xr:uid="{00000000-0005-0000-0000-0000E00D0000}"/>
    <cellStyle name="桁区切り_01-10LEGACY進捗(商企）" xfId="3555" xr:uid="{00000000-0005-0000-0000-0000E30D0000}"/>
    <cellStyle name="桁蟻唇Ｆ [0.00]_1997 Cal. Plan" xfId="3553" xr:uid="{00000000-0005-0000-0000-0000E10D0000}"/>
    <cellStyle name="桁蟻唇Ｆ_laroux" xfId="3554" xr:uid="{00000000-0005-0000-0000-0000E20D0000}"/>
    <cellStyle name="解释性文本" xfId="3556" xr:uid="{00000000-0005-0000-0000-0000E40D0000}"/>
    <cellStyle name="解释性文本 10" xfId="3557" xr:uid="{00000000-0005-0000-0000-0000E50D0000}"/>
    <cellStyle name="解释性文本 11" xfId="3558" xr:uid="{00000000-0005-0000-0000-0000E60D0000}"/>
    <cellStyle name="解释性文本 12" xfId="3559" xr:uid="{00000000-0005-0000-0000-0000E70D0000}"/>
    <cellStyle name="解释性文本 13" xfId="3560" xr:uid="{00000000-0005-0000-0000-0000E80D0000}"/>
    <cellStyle name="解释性文本 14" xfId="3561" xr:uid="{00000000-0005-0000-0000-0000E90D0000}"/>
    <cellStyle name="解释性文本 15" xfId="3562" xr:uid="{00000000-0005-0000-0000-0000EA0D0000}"/>
    <cellStyle name="解释性文本 16" xfId="3563" xr:uid="{00000000-0005-0000-0000-0000EB0D0000}"/>
    <cellStyle name="解释性文本 17" xfId="3564" xr:uid="{00000000-0005-0000-0000-0000EC0D0000}"/>
    <cellStyle name="解释性文本 18" xfId="3565" xr:uid="{00000000-0005-0000-0000-0000ED0D0000}"/>
    <cellStyle name="解释性文本 2" xfId="3566" xr:uid="{00000000-0005-0000-0000-0000EE0D0000}"/>
    <cellStyle name="解释性文本 3" xfId="3567" xr:uid="{00000000-0005-0000-0000-0000EF0D0000}"/>
    <cellStyle name="解释性文本 4" xfId="3568" xr:uid="{00000000-0005-0000-0000-0000F00D0000}"/>
    <cellStyle name="解释性文本 5" xfId="3569" xr:uid="{00000000-0005-0000-0000-0000F10D0000}"/>
    <cellStyle name="解释性文本 6" xfId="3570" xr:uid="{00000000-0005-0000-0000-0000F20D0000}"/>
    <cellStyle name="解释性文本 7" xfId="3571" xr:uid="{00000000-0005-0000-0000-0000F30D0000}"/>
    <cellStyle name="解释性文本 8" xfId="3572" xr:uid="{00000000-0005-0000-0000-0000F40D0000}"/>
    <cellStyle name="解释性文本 9" xfId="3573" xr:uid="{00000000-0005-0000-0000-0000F50D0000}"/>
    <cellStyle name="好" xfId="3574" xr:uid="{00000000-0005-0000-0000-0000F60D0000}"/>
    <cellStyle name="好 10" xfId="3575" xr:uid="{00000000-0005-0000-0000-0000F70D0000}"/>
    <cellStyle name="好 11" xfId="3576" xr:uid="{00000000-0005-0000-0000-0000F80D0000}"/>
    <cellStyle name="好 12" xfId="3577" xr:uid="{00000000-0005-0000-0000-0000F90D0000}"/>
    <cellStyle name="好 13" xfId="3578" xr:uid="{00000000-0005-0000-0000-0000FA0D0000}"/>
    <cellStyle name="好 14" xfId="3579" xr:uid="{00000000-0005-0000-0000-0000FB0D0000}"/>
    <cellStyle name="好 15" xfId="3580" xr:uid="{00000000-0005-0000-0000-0000FC0D0000}"/>
    <cellStyle name="好 16" xfId="3581" xr:uid="{00000000-0005-0000-0000-0000FD0D0000}"/>
    <cellStyle name="好 17" xfId="3582" xr:uid="{00000000-0005-0000-0000-0000FE0D0000}"/>
    <cellStyle name="好 18" xfId="3583" xr:uid="{00000000-0005-0000-0000-0000FF0D0000}"/>
    <cellStyle name="好 2" xfId="3584" xr:uid="{00000000-0005-0000-0000-0000000E0000}"/>
    <cellStyle name="好 3" xfId="3585" xr:uid="{00000000-0005-0000-0000-0000010E0000}"/>
    <cellStyle name="好 4" xfId="3586" xr:uid="{00000000-0005-0000-0000-0000020E0000}"/>
    <cellStyle name="好 5" xfId="3587" xr:uid="{00000000-0005-0000-0000-0000030E0000}"/>
    <cellStyle name="好 6" xfId="3588" xr:uid="{00000000-0005-0000-0000-0000040E0000}"/>
    <cellStyle name="好 7" xfId="3589" xr:uid="{00000000-0005-0000-0000-0000050E0000}"/>
    <cellStyle name="好 8" xfId="3590" xr:uid="{00000000-0005-0000-0000-0000060E0000}"/>
    <cellStyle name="好 9" xfId="3591" xr:uid="{00000000-0005-0000-0000-0000070E0000}"/>
    <cellStyle name="货币[0]_1.开发目标" xfId="3779" xr:uid="{00000000-0005-0000-0000-0000C30E0000}"/>
    <cellStyle name="货币_1.开发目标" xfId="3780" xr:uid="{00000000-0005-0000-0000-0000C40E0000}"/>
    <cellStyle name="貨幣 [0]_laroux" xfId="3592" xr:uid="{00000000-0005-0000-0000-0000080E0000}"/>
    <cellStyle name="貨幣[0]_laroux" xfId="3593" xr:uid="{00000000-0005-0000-0000-0000090E0000}"/>
    <cellStyle name="貨幣_laroux" xfId="3594" xr:uid="{00000000-0005-0000-0000-00000A0E0000}"/>
    <cellStyle name="화폐기호" xfId="3595" xr:uid="{00000000-0005-0000-0000-00000B0E0000}"/>
    <cellStyle name="화폐기호 10" xfId="3596" xr:uid="{00000000-0005-0000-0000-00000C0E0000}"/>
    <cellStyle name="화폐기호 11" xfId="3597" xr:uid="{00000000-0005-0000-0000-00000D0E0000}"/>
    <cellStyle name="화폐기호 12" xfId="3598" xr:uid="{00000000-0005-0000-0000-00000E0E0000}"/>
    <cellStyle name="화폐기호 13" xfId="3599" xr:uid="{00000000-0005-0000-0000-00000F0E0000}"/>
    <cellStyle name="화폐기호 14" xfId="3600" xr:uid="{00000000-0005-0000-0000-0000100E0000}"/>
    <cellStyle name="화폐기호 15" xfId="3601" xr:uid="{00000000-0005-0000-0000-0000110E0000}"/>
    <cellStyle name="화폐기호 16" xfId="3602" xr:uid="{00000000-0005-0000-0000-0000120E0000}"/>
    <cellStyle name="화폐기호 17" xfId="3603" xr:uid="{00000000-0005-0000-0000-0000130E0000}"/>
    <cellStyle name="화폐기호 18" xfId="3604" xr:uid="{00000000-0005-0000-0000-0000140E0000}"/>
    <cellStyle name="화폐기호 2" xfId="3605" xr:uid="{00000000-0005-0000-0000-0000150E0000}"/>
    <cellStyle name="화폐기호 3" xfId="3606" xr:uid="{00000000-0005-0000-0000-0000160E0000}"/>
    <cellStyle name="화폐기호 4" xfId="3607" xr:uid="{00000000-0005-0000-0000-0000170E0000}"/>
    <cellStyle name="화폐기호 5" xfId="3608" xr:uid="{00000000-0005-0000-0000-0000180E0000}"/>
    <cellStyle name="화폐기호 6" xfId="3609" xr:uid="{00000000-0005-0000-0000-0000190E0000}"/>
    <cellStyle name="화폐기호 7" xfId="3610" xr:uid="{00000000-0005-0000-0000-00001A0E0000}"/>
    <cellStyle name="화폐기호 8" xfId="3611" xr:uid="{00000000-0005-0000-0000-00001B0E0000}"/>
    <cellStyle name="화폐기호 9" xfId="3612" xr:uid="{00000000-0005-0000-0000-00001C0E0000}"/>
    <cellStyle name="화폐기호_BMB_UGA NEXT(audio_DPP2 Ver1.0)2008.xx.xx" xfId="3613" xr:uid="{00000000-0005-0000-0000-00001D0E0000}"/>
    <cellStyle name="화폐기호0" xfId="3614" xr:uid="{00000000-0005-0000-0000-00001E0E0000}"/>
    <cellStyle name="화폐기호0 10" xfId="3615" xr:uid="{00000000-0005-0000-0000-00001F0E0000}"/>
    <cellStyle name="화폐기호0 11" xfId="3616" xr:uid="{00000000-0005-0000-0000-0000200E0000}"/>
    <cellStyle name="화폐기호0 12" xfId="3617" xr:uid="{00000000-0005-0000-0000-0000210E0000}"/>
    <cellStyle name="화폐기호0 13" xfId="3618" xr:uid="{00000000-0005-0000-0000-0000220E0000}"/>
    <cellStyle name="화폐기호0 14" xfId="3619" xr:uid="{00000000-0005-0000-0000-0000230E0000}"/>
    <cellStyle name="화폐기호0 15" xfId="3620" xr:uid="{00000000-0005-0000-0000-0000240E0000}"/>
    <cellStyle name="화폐기호0 16" xfId="3621" xr:uid="{00000000-0005-0000-0000-0000250E0000}"/>
    <cellStyle name="화폐기호0 17" xfId="3622" xr:uid="{00000000-0005-0000-0000-0000260E0000}"/>
    <cellStyle name="화폐기호0 18" xfId="3623" xr:uid="{00000000-0005-0000-0000-0000270E0000}"/>
    <cellStyle name="화폐기호0 2" xfId="3624" xr:uid="{00000000-0005-0000-0000-0000280E0000}"/>
    <cellStyle name="화폐기호0 3" xfId="3625" xr:uid="{00000000-0005-0000-0000-0000290E0000}"/>
    <cellStyle name="화폐기호0 4" xfId="3626" xr:uid="{00000000-0005-0000-0000-00002A0E0000}"/>
    <cellStyle name="화폐기호0 5" xfId="3627" xr:uid="{00000000-0005-0000-0000-00002B0E0000}"/>
    <cellStyle name="화폐기호0 6" xfId="3628" xr:uid="{00000000-0005-0000-0000-00002C0E0000}"/>
    <cellStyle name="화폐기호0 7" xfId="3629" xr:uid="{00000000-0005-0000-0000-00002D0E0000}"/>
    <cellStyle name="화폐기호0 8" xfId="3630" xr:uid="{00000000-0005-0000-0000-00002E0E0000}"/>
    <cellStyle name="화폐기호0 9" xfId="3631" xr:uid="{00000000-0005-0000-0000-00002F0E0000}"/>
    <cellStyle name="화폐기호0_BMB_UGA NEXT(audio_DPP2 Ver1.0)2008.xx.xx" xfId="3632" xr:uid="{00000000-0005-0000-0000-0000300E0000}"/>
    <cellStyle name="汇总" xfId="3741" xr:uid="{00000000-0005-0000-0000-00009D0E0000}"/>
    <cellStyle name="汇总 10" xfId="3742" xr:uid="{00000000-0005-0000-0000-00009E0E0000}"/>
    <cellStyle name="汇总 10 2" xfId="5951" xr:uid="{00000000-0005-0000-0000-00003F170000}"/>
    <cellStyle name="汇总 10 2 2" xfId="6723" xr:uid="{00000000-0005-0000-0000-0000431A0000}"/>
    <cellStyle name="汇总 10 2 2 2" xfId="7571" xr:uid="{00000000-0005-0000-0000-0000931D0000}"/>
    <cellStyle name="汇总 10 2 3" xfId="6849" xr:uid="{00000000-0005-0000-0000-0000C11A0000}"/>
    <cellStyle name="汇总 10 2 3 2" xfId="7697" xr:uid="{00000000-0005-0000-0000-0000111E0000}"/>
    <cellStyle name="汇总 10 2 4" xfId="6975" xr:uid="{00000000-0005-0000-0000-00003F1B0000}"/>
    <cellStyle name="汇总 10 2 4 2" xfId="7822" xr:uid="{00000000-0005-0000-0000-00008E1E0000}"/>
    <cellStyle name="汇总 10 2 5" xfId="6553" xr:uid="{00000000-0005-0000-0000-000099190000}"/>
    <cellStyle name="汇总 10 3" xfId="6361" xr:uid="{00000000-0005-0000-0000-0000D9180000}"/>
    <cellStyle name="汇总 10 3 2" xfId="7314" xr:uid="{00000000-0005-0000-0000-0000921C0000}"/>
    <cellStyle name="汇总 10 4" xfId="6244" xr:uid="{00000000-0005-0000-0000-000064180000}"/>
    <cellStyle name="汇总 10 4 2" xfId="7256" xr:uid="{00000000-0005-0000-0000-0000581C0000}"/>
    <cellStyle name="汇总 10 5" xfId="6500" xr:uid="{00000000-0005-0000-0000-000064190000}"/>
    <cellStyle name="汇总 10 5 2" xfId="7444" xr:uid="{00000000-0005-0000-0000-0000141D0000}"/>
    <cellStyle name="汇总 10 6" xfId="6269" xr:uid="{00000000-0005-0000-0000-00007D180000}"/>
    <cellStyle name="汇总 11" xfId="3743" xr:uid="{00000000-0005-0000-0000-00009F0E0000}"/>
    <cellStyle name="汇总 11 2" xfId="5952" xr:uid="{00000000-0005-0000-0000-000040170000}"/>
    <cellStyle name="汇总 11 2 2" xfId="6724" xr:uid="{00000000-0005-0000-0000-0000441A0000}"/>
    <cellStyle name="汇总 11 2 2 2" xfId="7572" xr:uid="{00000000-0005-0000-0000-0000941D0000}"/>
    <cellStyle name="汇总 11 2 3" xfId="6850" xr:uid="{00000000-0005-0000-0000-0000C21A0000}"/>
    <cellStyle name="汇总 11 2 3 2" xfId="7698" xr:uid="{00000000-0005-0000-0000-0000121E0000}"/>
    <cellStyle name="汇总 11 2 4" xfId="6976" xr:uid="{00000000-0005-0000-0000-0000401B0000}"/>
    <cellStyle name="汇总 11 2 4 2" xfId="7823" xr:uid="{00000000-0005-0000-0000-00008F1E0000}"/>
    <cellStyle name="汇总 11 2 5" xfId="6551" xr:uid="{00000000-0005-0000-0000-000097190000}"/>
    <cellStyle name="汇总 11 3" xfId="6362" xr:uid="{00000000-0005-0000-0000-0000DA180000}"/>
    <cellStyle name="汇总 11 3 2" xfId="7315" xr:uid="{00000000-0005-0000-0000-0000931C0000}"/>
    <cellStyle name="汇总 11 4" xfId="6243" xr:uid="{00000000-0005-0000-0000-000063180000}"/>
    <cellStyle name="汇总 11 4 2" xfId="7255" xr:uid="{00000000-0005-0000-0000-0000571C0000}"/>
    <cellStyle name="汇总 11 5" xfId="6501" xr:uid="{00000000-0005-0000-0000-000065190000}"/>
    <cellStyle name="汇总 11 5 2" xfId="7445" xr:uid="{00000000-0005-0000-0000-0000151D0000}"/>
    <cellStyle name="汇总 11 6" xfId="6270" xr:uid="{00000000-0005-0000-0000-00007E180000}"/>
    <cellStyle name="汇总 12" xfId="3744" xr:uid="{00000000-0005-0000-0000-0000A00E0000}"/>
    <cellStyle name="汇总 12 2" xfId="5953" xr:uid="{00000000-0005-0000-0000-000041170000}"/>
    <cellStyle name="汇总 12 2 2" xfId="6725" xr:uid="{00000000-0005-0000-0000-0000451A0000}"/>
    <cellStyle name="汇总 12 2 2 2" xfId="7573" xr:uid="{00000000-0005-0000-0000-0000951D0000}"/>
    <cellStyle name="汇总 12 2 3" xfId="6851" xr:uid="{00000000-0005-0000-0000-0000C31A0000}"/>
    <cellStyle name="汇总 12 2 3 2" xfId="7699" xr:uid="{00000000-0005-0000-0000-0000131E0000}"/>
    <cellStyle name="汇总 12 2 4" xfId="6977" xr:uid="{00000000-0005-0000-0000-0000411B0000}"/>
    <cellStyle name="汇总 12 2 4 2" xfId="7824" xr:uid="{00000000-0005-0000-0000-0000901E0000}"/>
    <cellStyle name="汇总 12 2 5" xfId="6552" xr:uid="{00000000-0005-0000-0000-000098190000}"/>
    <cellStyle name="汇总 12 3" xfId="6363" xr:uid="{00000000-0005-0000-0000-0000DB180000}"/>
    <cellStyle name="汇总 12 3 2" xfId="7316" xr:uid="{00000000-0005-0000-0000-0000941C0000}"/>
    <cellStyle name="汇总 12 4" xfId="6242" xr:uid="{00000000-0005-0000-0000-000062180000}"/>
    <cellStyle name="汇总 12 4 2" xfId="7254" xr:uid="{00000000-0005-0000-0000-0000561C0000}"/>
    <cellStyle name="汇总 12 5" xfId="6629" xr:uid="{00000000-0005-0000-0000-0000E5190000}"/>
    <cellStyle name="汇总 12 5 2" xfId="7500" xr:uid="{00000000-0005-0000-0000-00004C1D0000}"/>
    <cellStyle name="汇总 12 6" xfId="6271" xr:uid="{00000000-0005-0000-0000-00007F180000}"/>
    <cellStyle name="汇总 13" xfId="3745" xr:uid="{00000000-0005-0000-0000-0000A10E0000}"/>
    <cellStyle name="汇总 13 2" xfId="5954" xr:uid="{00000000-0005-0000-0000-000042170000}"/>
    <cellStyle name="汇总 13 2 2" xfId="6726" xr:uid="{00000000-0005-0000-0000-0000461A0000}"/>
    <cellStyle name="汇总 13 2 2 2" xfId="7574" xr:uid="{00000000-0005-0000-0000-0000961D0000}"/>
    <cellStyle name="汇总 13 2 3" xfId="6852" xr:uid="{00000000-0005-0000-0000-0000C41A0000}"/>
    <cellStyle name="汇总 13 2 3 2" xfId="7700" xr:uid="{00000000-0005-0000-0000-0000141E0000}"/>
    <cellStyle name="汇总 13 2 4" xfId="6978" xr:uid="{00000000-0005-0000-0000-0000421B0000}"/>
    <cellStyle name="汇总 13 2 4 2" xfId="7825" xr:uid="{00000000-0005-0000-0000-0000911E0000}"/>
    <cellStyle name="汇总 13 2 5" xfId="6554" xr:uid="{00000000-0005-0000-0000-00009A190000}"/>
    <cellStyle name="汇总 13 3" xfId="6364" xr:uid="{00000000-0005-0000-0000-0000DC180000}"/>
    <cellStyle name="汇总 13 3 2" xfId="7317" xr:uid="{00000000-0005-0000-0000-0000951C0000}"/>
    <cellStyle name="汇总 13 4" xfId="6241" xr:uid="{00000000-0005-0000-0000-000061180000}"/>
    <cellStyle name="汇总 13 4 2" xfId="7253" xr:uid="{00000000-0005-0000-0000-0000551C0000}"/>
    <cellStyle name="汇总 13 5" xfId="6630" xr:uid="{00000000-0005-0000-0000-0000E6190000}"/>
    <cellStyle name="汇总 13 5 2" xfId="7501" xr:uid="{00000000-0005-0000-0000-00004D1D0000}"/>
    <cellStyle name="汇总 13 6" xfId="6272" xr:uid="{00000000-0005-0000-0000-000080180000}"/>
    <cellStyle name="汇总 14" xfId="3746" xr:uid="{00000000-0005-0000-0000-0000A20E0000}"/>
    <cellStyle name="汇总 14 2" xfId="5955" xr:uid="{00000000-0005-0000-0000-000043170000}"/>
    <cellStyle name="汇总 14 2 2" xfId="6727" xr:uid="{00000000-0005-0000-0000-0000471A0000}"/>
    <cellStyle name="汇总 14 2 2 2" xfId="7575" xr:uid="{00000000-0005-0000-0000-0000971D0000}"/>
    <cellStyle name="汇总 14 2 3" xfId="6853" xr:uid="{00000000-0005-0000-0000-0000C51A0000}"/>
    <cellStyle name="汇总 14 2 3 2" xfId="7701" xr:uid="{00000000-0005-0000-0000-0000151E0000}"/>
    <cellStyle name="汇总 14 2 4" xfId="6979" xr:uid="{00000000-0005-0000-0000-0000431B0000}"/>
    <cellStyle name="汇总 14 2 4 2" xfId="7826" xr:uid="{00000000-0005-0000-0000-0000921E0000}"/>
    <cellStyle name="汇总 14 2 5" xfId="6555" xr:uid="{00000000-0005-0000-0000-00009B190000}"/>
    <cellStyle name="汇总 14 3" xfId="6365" xr:uid="{00000000-0005-0000-0000-0000DD180000}"/>
    <cellStyle name="汇总 14 3 2" xfId="7318" xr:uid="{00000000-0005-0000-0000-0000961C0000}"/>
    <cellStyle name="汇总 14 4" xfId="6240" xr:uid="{00000000-0005-0000-0000-000060180000}"/>
    <cellStyle name="汇总 14 4 2" xfId="7252" xr:uid="{00000000-0005-0000-0000-0000541C0000}"/>
    <cellStyle name="汇总 14 5" xfId="6631" xr:uid="{00000000-0005-0000-0000-0000E7190000}"/>
    <cellStyle name="汇总 14 5 2" xfId="7502" xr:uid="{00000000-0005-0000-0000-00004E1D0000}"/>
    <cellStyle name="汇总 14 6" xfId="6273" xr:uid="{00000000-0005-0000-0000-000081180000}"/>
    <cellStyle name="汇总 15" xfId="3747" xr:uid="{00000000-0005-0000-0000-0000A30E0000}"/>
    <cellStyle name="汇总 15 2" xfId="5956" xr:uid="{00000000-0005-0000-0000-000044170000}"/>
    <cellStyle name="汇总 15 2 2" xfId="6728" xr:uid="{00000000-0005-0000-0000-0000481A0000}"/>
    <cellStyle name="汇总 15 2 2 2" xfId="7576" xr:uid="{00000000-0005-0000-0000-0000981D0000}"/>
    <cellStyle name="汇总 15 2 3" xfId="6854" xr:uid="{00000000-0005-0000-0000-0000C61A0000}"/>
    <cellStyle name="汇总 15 2 3 2" xfId="7702" xr:uid="{00000000-0005-0000-0000-0000161E0000}"/>
    <cellStyle name="汇总 15 2 4" xfId="6980" xr:uid="{00000000-0005-0000-0000-0000441B0000}"/>
    <cellStyle name="汇总 15 2 4 2" xfId="7827" xr:uid="{00000000-0005-0000-0000-0000931E0000}"/>
    <cellStyle name="汇总 15 2 5" xfId="6556" xr:uid="{00000000-0005-0000-0000-00009C190000}"/>
    <cellStyle name="汇总 15 3" xfId="6366" xr:uid="{00000000-0005-0000-0000-0000DE180000}"/>
    <cellStyle name="汇总 15 3 2" xfId="7319" xr:uid="{00000000-0005-0000-0000-0000971C0000}"/>
    <cellStyle name="汇总 15 4" xfId="6239" xr:uid="{00000000-0005-0000-0000-00005F180000}"/>
    <cellStyle name="汇总 15 4 2" xfId="7251" xr:uid="{00000000-0005-0000-0000-0000531C0000}"/>
    <cellStyle name="汇总 15 5" xfId="6632" xr:uid="{00000000-0005-0000-0000-0000E8190000}"/>
    <cellStyle name="汇总 15 5 2" xfId="7503" xr:uid="{00000000-0005-0000-0000-00004F1D0000}"/>
    <cellStyle name="汇总 15 6" xfId="6660" xr:uid="{00000000-0005-0000-0000-0000041A0000}"/>
    <cellStyle name="汇总 16" xfId="3748" xr:uid="{00000000-0005-0000-0000-0000A40E0000}"/>
    <cellStyle name="汇总 16 2" xfId="5957" xr:uid="{00000000-0005-0000-0000-000045170000}"/>
    <cellStyle name="汇总 16 2 2" xfId="6729" xr:uid="{00000000-0005-0000-0000-0000491A0000}"/>
    <cellStyle name="汇总 16 2 2 2" xfId="7577" xr:uid="{00000000-0005-0000-0000-0000991D0000}"/>
    <cellStyle name="汇总 16 2 3" xfId="6855" xr:uid="{00000000-0005-0000-0000-0000C71A0000}"/>
    <cellStyle name="汇总 16 2 3 2" xfId="7703" xr:uid="{00000000-0005-0000-0000-0000171E0000}"/>
    <cellStyle name="汇总 16 2 4" xfId="6981" xr:uid="{00000000-0005-0000-0000-0000451B0000}"/>
    <cellStyle name="汇总 16 2 4 2" xfId="7828" xr:uid="{00000000-0005-0000-0000-0000941E0000}"/>
    <cellStyle name="汇总 16 2 5" xfId="6557" xr:uid="{00000000-0005-0000-0000-00009D190000}"/>
    <cellStyle name="汇总 16 3" xfId="6367" xr:uid="{00000000-0005-0000-0000-0000DF180000}"/>
    <cellStyle name="汇总 16 3 2" xfId="7320" xr:uid="{00000000-0005-0000-0000-0000981C0000}"/>
    <cellStyle name="汇总 16 4" xfId="6238" xr:uid="{00000000-0005-0000-0000-00005E180000}"/>
    <cellStyle name="汇总 16 4 2" xfId="7250" xr:uid="{00000000-0005-0000-0000-0000521C0000}"/>
    <cellStyle name="汇总 16 5" xfId="6633" xr:uid="{00000000-0005-0000-0000-0000E9190000}"/>
    <cellStyle name="汇总 16 5 2" xfId="7504" xr:uid="{00000000-0005-0000-0000-0000501D0000}"/>
    <cellStyle name="汇总 16 6" xfId="6274" xr:uid="{00000000-0005-0000-0000-000082180000}"/>
    <cellStyle name="汇总 17" xfId="3749" xr:uid="{00000000-0005-0000-0000-0000A50E0000}"/>
    <cellStyle name="汇总 17 2" xfId="5958" xr:uid="{00000000-0005-0000-0000-000046170000}"/>
    <cellStyle name="汇总 17 2 2" xfId="6730" xr:uid="{00000000-0005-0000-0000-00004A1A0000}"/>
    <cellStyle name="汇总 17 2 2 2" xfId="7578" xr:uid="{00000000-0005-0000-0000-00009A1D0000}"/>
    <cellStyle name="汇总 17 2 3" xfId="6856" xr:uid="{00000000-0005-0000-0000-0000C81A0000}"/>
    <cellStyle name="汇总 17 2 3 2" xfId="7704" xr:uid="{00000000-0005-0000-0000-0000181E0000}"/>
    <cellStyle name="汇总 17 2 4" xfId="6982" xr:uid="{00000000-0005-0000-0000-0000461B0000}"/>
    <cellStyle name="汇总 17 2 4 2" xfId="7829" xr:uid="{00000000-0005-0000-0000-0000951E0000}"/>
    <cellStyle name="汇总 17 2 5" xfId="6558" xr:uid="{00000000-0005-0000-0000-00009E190000}"/>
    <cellStyle name="汇总 17 3" xfId="6368" xr:uid="{00000000-0005-0000-0000-0000E0180000}"/>
    <cellStyle name="汇总 17 3 2" xfId="7321" xr:uid="{00000000-0005-0000-0000-0000991C0000}"/>
    <cellStyle name="汇总 17 4" xfId="6237" xr:uid="{00000000-0005-0000-0000-00005D180000}"/>
    <cellStyle name="汇总 17 4 2" xfId="7249" xr:uid="{00000000-0005-0000-0000-0000511C0000}"/>
    <cellStyle name="汇总 17 5" xfId="6634" xr:uid="{00000000-0005-0000-0000-0000EA190000}"/>
    <cellStyle name="汇总 17 5 2" xfId="7505" xr:uid="{00000000-0005-0000-0000-0000511D0000}"/>
    <cellStyle name="汇总 17 6" xfId="6275" xr:uid="{00000000-0005-0000-0000-000083180000}"/>
    <cellStyle name="汇总 18" xfId="3750" xr:uid="{00000000-0005-0000-0000-0000A60E0000}"/>
    <cellStyle name="汇总 18 2" xfId="5959" xr:uid="{00000000-0005-0000-0000-000047170000}"/>
    <cellStyle name="汇总 18 2 2" xfId="6731" xr:uid="{00000000-0005-0000-0000-00004B1A0000}"/>
    <cellStyle name="汇总 18 2 2 2" xfId="7579" xr:uid="{00000000-0005-0000-0000-00009B1D0000}"/>
    <cellStyle name="汇总 18 2 3" xfId="6857" xr:uid="{00000000-0005-0000-0000-0000C91A0000}"/>
    <cellStyle name="汇总 18 2 3 2" xfId="7705" xr:uid="{00000000-0005-0000-0000-0000191E0000}"/>
    <cellStyle name="汇总 18 2 4" xfId="6983" xr:uid="{00000000-0005-0000-0000-0000471B0000}"/>
    <cellStyle name="汇总 18 2 4 2" xfId="7830" xr:uid="{00000000-0005-0000-0000-0000961E0000}"/>
    <cellStyle name="汇总 18 2 5" xfId="6559" xr:uid="{00000000-0005-0000-0000-00009F190000}"/>
    <cellStyle name="汇总 18 3" xfId="6369" xr:uid="{00000000-0005-0000-0000-0000E1180000}"/>
    <cellStyle name="汇总 18 3 2" xfId="7322" xr:uid="{00000000-0005-0000-0000-00009A1C0000}"/>
    <cellStyle name="汇总 18 4" xfId="6236" xr:uid="{00000000-0005-0000-0000-00005C180000}"/>
    <cellStyle name="汇总 18 4 2" xfId="7248" xr:uid="{00000000-0005-0000-0000-0000501C0000}"/>
    <cellStyle name="汇总 18 5" xfId="6635" xr:uid="{00000000-0005-0000-0000-0000EB190000}"/>
    <cellStyle name="汇总 18 5 2" xfId="7506" xr:uid="{00000000-0005-0000-0000-0000521D0000}"/>
    <cellStyle name="汇总 18 6" xfId="6276" xr:uid="{00000000-0005-0000-0000-000084180000}"/>
    <cellStyle name="汇总 19" xfId="5960" xr:uid="{00000000-0005-0000-0000-000048170000}"/>
    <cellStyle name="汇总 19 2" xfId="6732" xr:uid="{00000000-0005-0000-0000-00004C1A0000}"/>
    <cellStyle name="汇总 19 2 2" xfId="7580" xr:uid="{00000000-0005-0000-0000-00009C1D0000}"/>
    <cellStyle name="汇总 19 3" xfId="6858" xr:uid="{00000000-0005-0000-0000-0000CA1A0000}"/>
    <cellStyle name="汇总 19 3 2" xfId="7706" xr:uid="{00000000-0005-0000-0000-00001A1E0000}"/>
    <cellStyle name="汇总 19 4" xfId="6984" xr:uid="{00000000-0005-0000-0000-0000481B0000}"/>
    <cellStyle name="汇总 19 4 2" xfId="7831" xr:uid="{00000000-0005-0000-0000-0000971E0000}"/>
    <cellStyle name="汇总 19 5" xfId="6560" xr:uid="{00000000-0005-0000-0000-0000A0190000}"/>
    <cellStyle name="汇总 2" xfId="3751" xr:uid="{00000000-0005-0000-0000-0000A70E0000}"/>
    <cellStyle name="汇总 2 2" xfId="5961" xr:uid="{00000000-0005-0000-0000-000049170000}"/>
    <cellStyle name="汇总 2 2 2" xfId="6733" xr:uid="{00000000-0005-0000-0000-00004D1A0000}"/>
    <cellStyle name="汇总 2 2 2 2" xfId="7581" xr:uid="{00000000-0005-0000-0000-00009D1D0000}"/>
    <cellStyle name="汇总 2 2 3" xfId="6859" xr:uid="{00000000-0005-0000-0000-0000CB1A0000}"/>
    <cellStyle name="汇总 2 2 3 2" xfId="7707" xr:uid="{00000000-0005-0000-0000-00001B1E0000}"/>
    <cellStyle name="汇总 2 2 4" xfId="6985" xr:uid="{00000000-0005-0000-0000-0000491B0000}"/>
    <cellStyle name="汇总 2 2 4 2" xfId="7832" xr:uid="{00000000-0005-0000-0000-0000981E0000}"/>
    <cellStyle name="汇总 2 2 5" xfId="6561" xr:uid="{00000000-0005-0000-0000-0000A1190000}"/>
    <cellStyle name="汇总 2 3" xfId="6370" xr:uid="{00000000-0005-0000-0000-0000E2180000}"/>
    <cellStyle name="汇总 2 3 2" xfId="7323" xr:uid="{00000000-0005-0000-0000-00009B1C0000}"/>
    <cellStyle name="汇总 2 4" xfId="6235" xr:uid="{00000000-0005-0000-0000-00005B180000}"/>
    <cellStyle name="汇总 2 4 2" xfId="7247" xr:uid="{00000000-0005-0000-0000-00004F1C0000}"/>
    <cellStyle name="汇总 2 5" xfId="6636" xr:uid="{00000000-0005-0000-0000-0000EC190000}"/>
    <cellStyle name="汇总 2 5 2" xfId="7507" xr:uid="{00000000-0005-0000-0000-0000531D0000}"/>
    <cellStyle name="汇总 2 6" xfId="6277" xr:uid="{00000000-0005-0000-0000-000085180000}"/>
    <cellStyle name="汇总 20" xfId="6360" xr:uid="{00000000-0005-0000-0000-0000D8180000}"/>
    <cellStyle name="汇总 20 2" xfId="7313" xr:uid="{00000000-0005-0000-0000-0000911C0000}"/>
    <cellStyle name="汇总 21" xfId="6245" xr:uid="{00000000-0005-0000-0000-000065180000}"/>
    <cellStyle name="汇总 21 2" xfId="7257" xr:uid="{00000000-0005-0000-0000-0000591C0000}"/>
    <cellStyle name="汇总 22" xfId="6499" xr:uid="{00000000-0005-0000-0000-000063190000}"/>
    <cellStyle name="汇总 22 2" xfId="7443" xr:uid="{00000000-0005-0000-0000-0000131D0000}"/>
    <cellStyle name="汇总 23" xfId="6268" xr:uid="{00000000-0005-0000-0000-00007C180000}"/>
    <cellStyle name="汇总 3" xfId="3752" xr:uid="{00000000-0005-0000-0000-0000A80E0000}"/>
    <cellStyle name="汇总 3 2" xfId="5962" xr:uid="{00000000-0005-0000-0000-00004A170000}"/>
    <cellStyle name="汇总 3 2 2" xfId="6734" xr:uid="{00000000-0005-0000-0000-00004E1A0000}"/>
    <cellStyle name="汇总 3 2 2 2" xfId="7582" xr:uid="{00000000-0005-0000-0000-00009E1D0000}"/>
    <cellStyle name="汇总 3 2 3" xfId="6860" xr:uid="{00000000-0005-0000-0000-0000CC1A0000}"/>
    <cellStyle name="汇总 3 2 3 2" xfId="7708" xr:uid="{00000000-0005-0000-0000-00001C1E0000}"/>
    <cellStyle name="汇总 3 2 4" xfId="6986" xr:uid="{00000000-0005-0000-0000-00004A1B0000}"/>
    <cellStyle name="汇总 3 2 4 2" xfId="7833" xr:uid="{00000000-0005-0000-0000-0000991E0000}"/>
    <cellStyle name="汇总 3 2 5" xfId="6562" xr:uid="{00000000-0005-0000-0000-0000A2190000}"/>
    <cellStyle name="汇总 3 3" xfId="6371" xr:uid="{00000000-0005-0000-0000-0000E3180000}"/>
    <cellStyle name="汇总 3 3 2" xfId="7324" xr:uid="{00000000-0005-0000-0000-00009C1C0000}"/>
    <cellStyle name="汇总 3 4" xfId="6234" xr:uid="{00000000-0005-0000-0000-00005A180000}"/>
    <cellStyle name="汇总 3 4 2" xfId="7246" xr:uid="{00000000-0005-0000-0000-00004E1C0000}"/>
    <cellStyle name="汇总 3 5" xfId="6637" xr:uid="{00000000-0005-0000-0000-0000ED190000}"/>
    <cellStyle name="汇总 3 5 2" xfId="7508" xr:uid="{00000000-0005-0000-0000-0000541D0000}"/>
    <cellStyle name="汇总 3 6" xfId="6278" xr:uid="{00000000-0005-0000-0000-000086180000}"/>
    <cellStyle name="汇总 4" xfId="3753" xr:uid="{00000000-0005-0000-0000-0000A90E0000}"/>
    <cellStyle name="汇总 4 2" xfId="5963" xr:uid="{00000000-0005-0000-0000-00004B170000}"/>
    <cellStyle name="汇总 4 2 2" xfId="6735" xr:uid="{00000000-0005-0000-0000-00004F1A0000}"/>
    <cellStyle name="汇总 4 2 2 2" xfId="7583" xr:uid="{00000000-0005-0000-0000-00009F1D0000}"/>
    <cellStyle name="汇总 4 2 3" xfId="6861" xr:uid="{00000000-0005-0000-0000-0000CD1A0000}"/>
    <cellStyle name="汇总 4 2 3 2" xfId="7709" xr:uid="{00000000-0005-0000-0000-00001D1E0000}"/>
    <cellStyle name="汇总 4 2 4" xfId="6987" xr:uid="{00000000-0005-0000-0000-00004B1B0000}"/>
    <cellStyle name="汇总 4 2 4 2" xfId="7834" xr:uid="{00000000-0005-0000-0000-00009A1E0000}"/>
    <cellStyle name="汇总 4 2 5" xfId="6563" xr:uid="{00000000-0005-0000-0000-0000A3190000}"/>
    <cellStyle name="汇总 4 3" xfId="6372" xr:uid="{00000000-0005-0000-0000-0000E4180000}"/>
    <cellStyle name="汇总 4 3 2" xfId="7325" xr:uid="{00000000-0005-0000-0000-00009D1C0000}"/>
    <cellStyle name="汇总 4 4" xfId="6233" xr:uid="{00000000-0005-0000-0000-000059180000}"/>
    <cellStyle name="汇总 4 4 2" xfId="7245" xr:uid="{00000000-0005-0000-0000-00004D1C0000}"/>
    <cellStyle name="汇总 4 5" xfId="6638" xr:uid="{00000000-0005-0000-0000-0000EE190000}"/>
    <cellStyle name="汇总 4 5 2" xfId="7509" xr:uid="{00000000-0005-0000-0000-0000551D0000}"/>
    <cellStyle name="汇总 4 6" xfId="6279" xr:uid="{00000000-0005-0000-0000-000087180000}"/>
    <cellStyle name="汇总 5" xfId="3754" xr:uid="{00000000-0005-0000-0000-0000AA0E0000}"/>
    <cellStyle name="汇总 5 2" xfId="5964" xr:uid="{00000000-0005-0000-0000-00004C170000}"/>
    <cellStyle name="汇总 5 2 2" xfId="6736" xr:uid="{00000000-0005-0000-0000-0000501A0000}"/>
    <cellStyle name="汇总 5 2 2 2" xfId="7584" xr:uid="{00000000-0005-0000-0000-0000A01D0000}"/>
    <cellStyle name="汇总 5 2 3" xfId="6862" xr:uid="{00000000-0005-0000-0000-0000CE1A0000}"/>
    <cellStyle name="汇总 5 2 3 2" xfId="7710" xr:uid="{00000000-0005-0000-0000-00001E1E0000}"/>
    <cellStyle name="汇总 5 2 4" xfId="6988" xr:uid="{00000000-0005-0000-0000-00004C1B0000}"/>
    <cellStyle name="汇总 5 2 4 2" xfId="7835" xr:uid="{00000000-0005-0000-0000-00009B1E0000}"/>
    <cellStyle name="汇总 5 2 5" xfId="6564" xr:uid="{00000000-0005-0000-0000-0000A4190000}"/>
    <cellStyle name="汇总 5 3" xfId="6373" xr:uid="{00000000-0005-0000-0000-0000E5180000}"/>
    <cellStyle name="汇总 5 3 2" xfId="7326" xr:uid="{00000000-0005-0000-0000-00009E1C0000}"/>
    <cellStyle name="汇总 5 4" xfId="6232" xr:uid="{00000000-0005-0000-0000-000058180000}"/>
    <cellStyle name="汇总 5 4 2" xfId="7244" xr:uid="{00000000-0005-0000-0000-00004C1C0000}"/>
    <cellStyle name="汇总 5 5" xfId="6639" xr:uid="{00000000-0005-0000-0000-0000EF190000}"/>
    <cellStyle name="汇总 5 5 2" xfId="7510" xr:uid="{00000000-0005-0000-0000-0000561D0000}"/>
    <cellStyle name="汇总 5 6" xfId="6280" xr:uid="{00000000-0005-0000-0000-000088180000}"/>
    <cellStyle name="汇总 6" xfId="3755" xr:uid="{00000000-0005-0000-0000-0000AB0E0000}"/>
    <cellStyle name="汇总 6 2" xfId="5965" xr:uid="{00000000-0005-0000-0000-00004D170000}"/>
    <cellStyle name="汇总 6 2 2" xfId="6737" xr:uid="{00000000-0005-0000-0000-0000511A0000}"/>
    <cellStyle name="汇总 6 2 2 2" xfId="7585" xr:uid="{00000000-0005-0000-0000-0000A11D0000}"/>
    <cellStyle name="汇总 6 2 3" xfId="6863" xr:uid="{00000000-0005-0000-0000-0000CF1A0000}"/>
    <cellStyle name="汇总 6 2 3 2" xfId="7711" xr:uid="{00000000-0005-0000-0000-00001F1E0000}"/>
    <cellStyle name="汇总 6 2 4" xfId="6989" xr:uid="{00000000-0005-0000-0000-00004D1B0000}"/>
    <cellStyle name="汇总 6 2 4 2" xfId="7836" xr:uid="{00000000-0005-0000-0000-00009C1E0000}"/>
    <cellStyle name="汇总 6 2 5" xfId="6565" xr:uid="{00000000-0005-0000-0000-0000A5190000}"/>
    <cellStyle name="汇总 6 3" xfId="6374" xr:uid="{00000000-0005-0000-0000-0000E6180000}"/>
    <cellStyle name="汇总 6 3 2" xfId="7327" xr:uid="{00000000-0005-0000-0000-00009F1C0000}"/>
    <cellStyle name="汇总 6 4" xfId="6231" xr:uid="{00000000-0005-0000-0000-000057180000}"/>
    <cellStyle name="汇总 6 4 2" xfId="7243" xr:uid="{00000000-0005-0000-0000-00004B1C0000}"/>
    <cellStyle name="汇总 6 5" xfId="6640" xr:uid="{00000000-0005-0000-0000-0000F0190000}"/>
    <cellStyle name="汇总 6 5 2" xfId="7511" xr:uid="{00000000-0005-0000-0000-0000571D0000}"/>
    <cellStyle name="汇总 6 6" xfId="6661" xr:uid="{00000000-0005-0000-0000-0000051A0000}"/>
    <cellStyle name="汇总 7" xfId="3756" xr:uid="{00000000-0005-0000-0000-0000AC0E0000}"/>
    <cellStyle name="汇总 7 2" xfId="5966" xr:uid="{00000000-0005-0000-0000-00004E170000}"/>
    <cellStyle name="汇总 7 2 2" xfId="6738" xr:uid="{00000000-0005-0000-0000-0000521A0000}"/>
    <cellStyle name="汇总 7 2 2 2" xfId="7586" xr:uid="{00000000-0005-0000-0000-0000A21D0000}"/>
    <cellStyle name="汇总 7 2 3" xfId="6864" xr:uid="{00000000-0005-0000-0000-0000D01A0000}"/>
    <cellStyle name="汇总 7 2 3 2" xfId="7712" xr:uid="{00000000-0005-0000-0000-0000201E0000}"/>
    <cellStyle name="汇总 7 2 4" xfId="6990" xr:uid="{00000000-0005-0000-0000-00004E1B0000}"/>
    <cellStyle name="汇总 7 2 4 2" xfId="7837" xr:uid="{00000000-0005-0000-0000-00009D1E0000}"/>
    <cellStyle name="汇总 7 2 5" xfId="6566" xr:uid="{00000000-0005-0000-0000-0000A6190000}"/>
    <cellStyle name="汇总 7 3" xfId="6375" xr:uid="{00000000-0005-0000-0000-0000E7180000}"/>
    <cellStyle name="汇总 7 3 2" xfId="7328" xr:uid="{00000000-0005-0000-0000-0000A01C0000}"/>
    <cellStyle name="汇总 7 4" xfId="6230" xr:uid="{00000000-0005-0000-0000-000056180000}"/>
    <cellStyle name="汇总 7 4 2" xfId="7242" xr:uid="{00000000-0005-0000-0000-00004A1C0000}"/>
    <cellStyle name="汇总 7 5" xfId="6641" xr:uid="{00000000-0005-0000-0000-0000F1190000}"/>
    <cellStyle name="汇总 7 5 2" xfId="7512" xr:uid="{00000000-0005-0000-0000-0000581D0000}"/>
    <cellStyle name="汇总 7 6" xfId="6662" xr:uid="{00000000-0005-0000-0000-0000061A0000}"/>
    <cellStyle name="汇总 8" xfId="3757" xr:uid="{00000000-0005-0000-0000-0000AD0E0000}"/>
    <cellStyle name="汇总 8 2" xfId="5967" xr:uid="{00000000-0005-0000-0000-00004F170000}"/>
    <cellStyle name="汇总 8 2 2" xfId="6739" xr:uid="{00000000-0005-0000-0000-0000531A0000}"/>
    <cellStyle name="汇总 8 2 2 2" xfId="7587" xr:uid="{00000000-0005-0000-0000-0000A31D0000}"/>
    <cellStyle name="汇总 8 2 3" xfId="6865" xr:uid="{00000000-0005-0000-0000-0000D11A0000}"/>
    <cellStyle name="汇总 8 2 3 2" xfId="7713" xr:uid="{00000000-0005-0000-0000-0000211E0000}"/>
    <cellStyle name="汇总 8 2 4" xfId="6991" xr:uid="{00000000-0005-0000-0000-00004F1B0000}"/>
    <cellStyle name="汇总 8 2 4 2" xfId="7838" xr:uid="{00000000-0005-0000-0000-00009E1E0000}"/>
    <cellStyle name="汇总 8 2 5" xfId="6567" xr:uid="{00000000-0005-0000-0000-0000A7190000}"/>
    <cellStyle name="汇总 8 3" xfId="6376" xr:uid="{00000000-0005-0000-0000-0000E8180000}"/>
    <cellStyle name="汇总 8 3 2" xfId="7329" xr:uid="{00000000-0005-0000-0000-0000A11C0000}"/>
    <cellStyle name="汇总 8 4" xfId="6229" xr:uid="{00000000-0005-0000-0000-000055180000}"/>
    <cellStyle name="汇总 8 4 2" xfId="7241" xr:uid="{00000000-0005-0000-0000-0000491C0000}"/>
    <cellStyle name="汇总 8 5" xfId="6642" xr:uid="{00000000-0005-0000-0000-0000F2190000}"/>
    <cellStyle name="汇总 8 5 2" xfId="7513" xr:uid="{00000000-0005-0000-0000-0000591D0000}"/>
    <cellStyle name="汇总 8 6" xfId="6281" xr:uid="{00000000-0005-0000-0000-000089180000}"/>
    <cellStyle name="汇总 9" xfId="3758" xr:uid="{00000000-0005-0000-0000-0000AE0E0000}"/>
    <cellStyle name="汇总 9 2" xfId="5968" xr:uid="{00000000-0005-0000-0000-000050170000}"/>
    <cellStyle name="汇总 9 2 2" xfId="6740" xr:uid="{00000000-0005-0000-0000-0000541A0000}"/>
    <cellStyle name="汇总 9 2 2 2" xfId="7588" xr:uid="{00000000-0005-0000-0000-0000A41D0000}"/>
    <cellStyle name="汇总 9 2 3" xfId="6866" xr:uid="{00000000-0005-0000-0000-0000D21A0000}"/>
    <cellStyle name="汇总 9 2 3 2" xfId="7714" xr:uid="{00000000-0005-0000-0000-0000221E0000}"/>
    <cellStyle name="汇总 9 2 4" xfId="6992" xr:uid="{00000000-0005-0000-0000-0000501B0000}"/>
    <cellStyle name="汇总 9 2 4 2" xfId="7839" xr:uid="{00000000-0005-0000-0000-00009F1E0000}"/>
    <cellStyle name="汇总 9 2 5" xfId="6568" xr:uid="{00000000-0005-0000-0000-0000A8190000}"/>
    <cellStyle name="汇总 9 3" xfId="6377" xr:uid="{00000000-0005-0000-0000-0000E9180000}"/>
    <cellStyle name="汇总 9 3 2" xfId="7330" xr:uid="{00000000-0005-0000-0000-0000A21C0000}"/>
    <cellStyle name="汇总 9 4" xfId="6228" xr:uid="{00000000-0005-0000-0000-000054180000}"/>
    <cellStyle name="汇总 9 4 2" xfId="7240" xr:uid="{00000000-0005-0000-0000-0000481C0000}"/>
    <cellStyle name="汇总 9 5" xfId="6643" xr:uid="{00000000-0005-0000-0000-0000F3190000}"/>
    <cellStyle name="汇总 9 5 2" xfId="7514" xr:uid="{00000000-0005-0000-0000-00005A1D0000}"/>
    <cellStyle name="汇总 9 6" xfId="6282" xr:uid="{00000000-0005-0000-0000-00008A180000}"/>
  </cellStyles>
  <dxfs count="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45236;&#47928;&#49436;\&#9632;%20&#50629;&#47924;&#44288;&#47144;&#51088;&#47308;\2.%20&#54408;&#51656;&#49884;&#49828;&#53596;&#51088;&#47308;\ERP&amp;BOM\FCC\PL\050418\PART%20LIST(FCC-1000)%20&#44592;&#44396;%200504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9733;2013&#45380;%20&#49688;&#51452;&#54788;&#54889;%20&#48143;%20&#49373;&#49328;&#44228;&#54925;&#54364;%2020130125(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표 표지"/>
      <sheetName val="INDEX TABLE"/>
      <sheetName val="부품표"/>
      <sheetName val="기구"/>
      <sheetName val="screw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상피벗"/>
      <sheetName val="예상"/>
      <sheetName val="통합"/>
      <sheetName val="완료"/>
      <sheetName val="진행"/>
      <sheetName val="일정표"/>
      <sheetName val="일정완료"/>
      <sheetName val="타입"/>
      <sheetName val="보고"/>
      <sheetName val="TREND"/>
      <sheetName val="월보고"/>
      <sheetName val="데이터"/>
      <sheetName val="1301"/>
      <sheetName val="챠트"/>
      <sheetName val="판매지역"/>
      <sheetName val="취소"/>
      <sheetName val="예상(OEM)"/>
      <sheetName val="양식"/>
      <sheetName val="양2"/>
      <sheetName val="양3"/>
    </sheetNames>
    <sheetDataSet>
      <sheetData sheetId="0"/>
      <sheetData sheetId="1"/>
      <sheetData sheetId="2">
        <row r="3">
          <cell r="I3" t="str">
            <v>휴비츠</v>
          </cell>
          <cell r="J3" t="str">
            <v>입력</v>
          </cell>
        </row>
        <row r="4">
          <cell r="D4" t="str">
            <v>국내</v>
          </cell>
          <cell r="E4" t="str">
            <v>심재형</v>
          </cell>
          <cell r="I4" t="str">
            <v>한국톱콘</v>
          </cell>
          <cell r="J4" t="str">
            <v>입력</v>
          </cell>
        </row>
        <row r="5">
          <cell r="D5" t="str">
            <v>해외</v>
          </cell>
          <cell r="E5" t="str">
            <v>김찬욱</v>
          </cell>
          <cell r="I5" t="str">
            <v>LTO</v>
          </cell>
          <cell r="J5" t="str">
            <v>입력</v>
          </cell>
        </row>
        <row r="6">
          <cell r="I6" t="str">
            <v>리더스케이알</v>
          </cell>
          <cell r="J6" t="str">
            <v>입력</v>
          </cell>
        </row>
        <row r="7">
          <cell r="I7" t="str">
            <v>제일메디칼</v>
          </cell>
          <cell r="J7" t="str">
            <v>KSC-2000</v>
          </cell>
        </row>
        <row r="8">
          <cell r="I8" t="str">
            <v>그랜드세이코</v>
          </cell>
          <cell r="J8" t="str">
            <v>GV-900</v>
          </cell>
        </row>
        <row r="11">
          <cell r="A11" t="str">
            <v>179</v>
          </cell>
          <cell r="B11" t="str">
            <v>12년06월</v>
          </cell>
          <cell r="C11">
            <v>41073</v>
          </cell>
          <cell r="D11" t="str">
            <v>해외</v>
          </cell>
          <cell r="E11" t="str">
            <v>그랜드세이코</v>
          </cell>
          <cell r="F11" t="str">
            <v>19</v>
          </cell>
          <cell r="G11" t="str">
            <v>19</v>
          </cell>
          <cell r="H11" t="str">
            <v>VLC-1900</v>
          </cell>
          <cell r="I11" t="str">
            <v>GV-900</v>
          </cell>
          <cell r="J11">
            <v>20</v>
          </cell>
          <cell r="K11">
            <v>41086</v>
          </cell>
          <cell r="L11" t="str">
            <v>이정환</v>
          </cell>
          <cell r="M11">
            <v>18</v>
          </cell>
          <cell r="N11">
            <v>41117</v>
          </cell>
          <cell r="O11">
            <v>2</v>
          </cell>
          <cell r="P11">
            <v>41145</v>
          </cell>
          <cell r="Q11" t="str">
            <v>잔여</v>
          </cell>
          <cell r="R11" t="str">
            <v>출고지연</v>
          </cell>
          <cell r="S11" t="str">
            <v>?</v>
          </cell>
          <cell r="T11" t="str">
            <v>A:12 B:4 C:4대</v>
          </cell>
          <cell r="U11" t="str">
            <v>판매</v>
          </cell>
          <cell r="V11" t="str">
            <v>구두</v>
          </cell>
          <cell r="W11">
            <v>1</v>
          </cell>
          <cell r="X11">
            <v>0</v>
          </cell>
          <cell r="Y11" t="str">
            <v>해외12년06월19</v>
          </cell>
          <cell r="Z11" t="str">
            <v>06월</v>
          </cell>
          <cell r="AA11" t="str">
            <v>해외12년08월19</v>
          </cell>
          <cell r="AB11" t="str">
            <v>08월</v>
          </cell>
        </row>
        <row r="12">
          <cell r="A12" t="str">
            <v>231</v>
          </cell>
          <cell r="B12" t="str">
            <v>12년08월</v>
          </cell>
          <cell r="C12">
            <v>41128</v>
          </cell>
          <cell r="D12" t="str">
            <v>국내</v>
          </cell>
          <cell r="E12" t="str">
            <v>월드옵틱</v>
          </cell>
          <cell r="F12" t="str">
            <v>24</v>
          </cell>
          <cell r="G12" t="str">
            <v>24</v>
          </cell>
          <cell r="H12" t="str">
            <v>VLC-2400</v>
          </cell>
          <cell r="I12">
            <v>0</v>
          </cell>
          <cell r="K12">
            <v>41131</v>
          </cell>
          <cell r="L12" t="str">
            <v>심재형</v>
          </cell>
          <cell r="N12">
            <v>41129</v>
          </cell>
          <cell r="P12">
            <v>41297</v>
          </cell>
          <cell r="Q12" t="str">
            <v>취소</v>
          </cell>
          <cell r="R12" t="str">
            <v>130123 1대 취소</v>
          </cell>
          <cell r="S12" t="str">
            <v>A</v>
          </cell>
          <cell r="U12" t="str">
            <v>판매</v>
          </cell>
          <cell r="V12" t="str">
            <v>구두</v>
          </cell>
          <cell r="W12">
            <v>1</v>
          </cell>
          <cell r="X12">
            <v>41275</v>
          </cell>
          <cell r="Y12" t="str">
            <v>국내12년08월24</v>
          </cell>
          <cell r="Z12" t="str">
            <v>08월</v>
          </cell>
          <cell r="AA12" t="str">
            <v>국내13년01월24</v>
          </cell>
          <cell r="AB12" t="str">
            <v>01월</v>
          </cell>
        </row>
        <row r="13">
          <cell r="A13" t="str">
            <v>242B</v>
          </cell>
          <cell r="B13" t="str">
            <v>12년08월</v>
          </cell>
          <cell r="C13">
            <v>41138</v>
          </cell>
          <cell r="D13" t="str">
            <v>국내</v>
          </cell>
          <cell r="E13" t="str">
            <v>신성메디칼</v>
          </cell>
          <cell r="F13" t="str">
            <v>19</v>
          </cell>
          <cell r="G13" t="str">
            <v>19</v>
          </cell>
          <cell r="H13" t="str">
            <v>VLC-1900</v>
          </cell>
          <cell r="I13">
            <v>0</v>
          </cell>
          <cell r="K13">
            <v>41141</v>
          </cell>
          <cell r="L13" t="str">
            <v>심재형</v>
          </cell>
          <cell r="N13">
            <v>41141</v>
          </cell>
          <cell r="P13">
            <v>41297</v>
          </cell>
          <cell r="Q13" t="str">
            <v>취소</v>
          </cell>
          <cell r="R13" t="str">
            <v>130123 1대 취소</v>
          </cell>
          <cell r="S13" t="str">
            <v>A</v>
          </cell>
          <cell r="T13" t="str">
            <v>3*5배열 연동케이블</v>
          </cell>
          <cell r="U13" t="str">
            <v>판매</v>
          </cell>
          <cell r="V13" t="str">
            <v>구두</v>
          </cell>
          <cell r="W13">
            <v>1</v>
          </cell>
          <cell r="X13">
            <v>41275</v>
          </cell>
          <cell r="Y13" t="str">
            <v>국내12년08월19</v>
          </cell>
          <cell r="Z13" t="str">
            <v>08월</v>
          </cell>
          <cell r="AA13" t="str">
            <v>국내13년01월19</v>
          </cell>
          <cell r="AB13" t="str">
            <v>01월</v>
          </cell>
        </row>
        <row r="14">
          <cell r="A14" t="str">
            <v>268</v>
          </cell>
          <cell r="B14" t="str">
            <v>12년09월</v>
          </cell>
          <cell r="C14">
            <v>41170</v>
          </cell>
          <cell r="D14" t="str">
            <v>국내</v>
          </cell>
          <cell r="E14" t="str">
            <v>성우</v>
          </cell>
          <cell r="F14" t="str">
            <v>24</v>
          </cell>
          <cell r="G14" t="str">
            <v>24</v>
          </cell>
          <cell r="H14" t="str">
            <v>VLC-2400</v>
          </cell>
          <cell r="I14">
            <v>0</v>
          </cell>
          <cell r="J14">
            <v>1</v>
          </cell>
          <cell r="K14">
            <v>41170</v>
          </cell>
          <cell r="L14" t="str">
            <v>심재형</v>
          </cell>
          <cell r="M14">
            <v>1</v>
          </cell>
          <cell r="N14">
            <v>41166</v>
          </cell>
          <cell r="Q14" t="str">
            <v>대기</v>
          </cell>
          <cell r="R14" t="str">
            <v>고객출고 예정130125</v>
          </cell>
          <cell r="S14" t="str">
            <v>A</v>
          </cell>
          <cell r="T14" t="str">
            <v>120918 전향: 1대 연동케이블, 251B 모아분 전향</v>
          </cell>
          <cell r="U14" t="str">
            <v>판매</v>
          </cell>
          <cell r="V14" t="str">
            <v>구두</v>
          </cell>
          <cell r="W14">
            <v>1</v>
          </cell>
          <cell r="X14">
            <v>41275</v>
          </cell>
          <cell r="Y14" t="str">
            <v>국내12년09월24</v>
          </cell>
          <cell r="Z14" t="str">
            <v>09월</v>
          </cell>
          <cell r="AA14" t="str">
            <v>국내24</v>
          </cell>
          <cell r="AB14">
            <v>0</v>
          </cell>
        </row>
        <row r="15">
          <cell r="A15" t="str">
            <v>326</v>
          </cell>
          <cell r="B15" t="str">
            <v>12년11월</v>
          </cell>
          <cell r="C15">
            <v>41232</v>
          </cell>
          <cell r="D15" t="str">
            <v>해외</v>
          </cell>
          <cell r="E15" t="str">
            <v>미국</v>
          </cell>
          <cell r="F15" t="str">
            <v>24</v>
          </cell>
          <cell r="G15" t="str">
            <v>24</v>
          </cell>
          <cell r="H15" t="str">
            <v>VLC-2400</v>
          </cell>
          <cell r="I15">
            <v>0</v>
          </cell>
          <cell r="J15">
            <v>22</v>
          </cell>
          <cell r="K15">
            <v>41263</v>
          </cell>
          <cell r="L15" t="str">
            <v>김찬욱</v>
          </cell>
          <cell r="N15">
            <v>41261</v>
          </cell>
          <cell r="O15">
            <v>22</v>
          </cell>
          <cell r="P15">
            <v>41283</v>
          </cell>
          <cell r="Q15" t="str">
            <v>완료</v>
          </cell>
          <cell r="S15" t="str">
            <v>B</v>
          </cell>
          <cell r="T15" t="str">
            <v>SW:CK27 부팅시 영문시표</v>
          </cell>
          <cell r="U15" t="str">
            <v>판매</v>
          </cell>
          <cell r="V15" t="str">
            <v>구두</v>
          </cell>
          <cell r="W15">
            <v>1</v>
          </cell>
          <cell r="X15">
            <v>41275</v>
          </cell>
          <cell r="Y15" t="str">
            <v>해외12년11월24</v>
          </cell>
          <cell r="Z15" t="str">
            <v>12월</v>
          </cell>
          <cell r="AA15" t="str">
            <v>해외13년01월24</v>
          </cell>
          <cell r="AB15" t="str">
            <v>01월</v>
          </cell>
        </row>
        <row r="16">
          <cell r="A16" t="str">
            <v>333</v>
          </cell>
          <cell r="B16" t="str">
            <v>12년11월</v>
          </cell>
          <cell r="C16">
            <v>41242</v>
          </cell>
          <cell r="D16" t="str">
            <v>해외</v>
          </cell>
          <cell r="E16" t="str">
            <v>이스라엘</v>
          </cell>
          <cell r="F16" t="str">
            <v>19</v>
          </cell>
          <cell r="G16" t="str">
            <v>19</v>
          </cell>
          <cell r="H16" t="str">
            <v>VLC-1900</v>
          </cell>
          <cell r="I16">
            <v>0</v>
          </cell>
          <cell r="J16">
            <v>2</v>
          </cell>
          <cell r="K16">
            <v>41247</v>
          </cell>
          <cell r="L16" t="str">
            <v>심재형</v>
          </cell>
          <cell r="N16">
            <v>41247</v>
          </cell>
          <cell r="O16">
            <v>2</v>
          </cell>
          <cell r="P16">
            <v>41291</v>
          </cell>
          <cell r="Q16" t="str">
            <v>완료</v>
          </cell>
          <cell r="S16" t="str">
            <v>A</v>
          </cell>
          <cell r="U16" t="str">
            <v>판매</v>
          </cell>
          <cell r="V16" t="str">
            <v>구두</v>
          </cell>
          <cell r="W16">
            <v>1</v>
          </cell>
          <cell r="X16">
            <v>41275</v>
          </cell>
          <cell r="Y16" t="str">
            <v>해외12년11월19</v>
          </cell>
          <cell r="Z16" t="str">
            <v>12월</v>
          </cell>
          <cell r="AA16" t="str">
            <v>해외13년01월19</v>
          </cell>
          <cell r="AB16" t="str">
            <v>01월</v>
          </cell>
        </row>
        <row r="17">
          <cell r="A17" t="str">
            <v>334</v>
          </cell>
          <cell r="B17" t="str">
            <v>12년11월</v>
          </cell>
          <cell r="C17">
            <v>41242</v>
          </cell>
          <cell r="D17" t="str">
            <v>해외</v>
          </cell>
          <cell r="E17" t="str">
            <v>이스라엘</v>
          </cell>
          <cell r="F17" t="str">
            <v>19</v>
          </cell>
          <cell r="G17" t="str">
            <v>19P</v>
          </cell>
          <cell r="H17" t="str">
            <v>VLC-1900P</v>
          </cell>
          <cell r="I17">
            <v>0</v>
          </cell>
          <cell r="J17">
            <v>1</v>
          </cell>
          <cell r="K17">
            <v>41247</v>
          </cell>
          <cell r="L17" t="str">
            <v>심재형</v>
          </cell>
          <cell r="M17">
            <v>1</v>
          </cell>
          <cell r="N17">
            <v>41247</v>
          </cell>
          <cell r="Q17" t="str">
            <v>대기</v>
          </cell>
          <cell r="S17" t="str">
            <v>A</v>
          </cell>
          <cell r="U17" t="str">
            <v>판매</v>
          </cell>
          <cell r="V17" t="str">
            <v>구두</v>
          </cell>
          <cell r="W17">
            <v>1</v>
          </cell>
          <cell r="X17">
            <v>41275</v>
          </cell>
          <cell r="Y17" t="str">
            <v>해외12년11월19P</v>
          </cell>
          <cell r="Z17" t="str">
            <v>12월</v>
          </cell>
          <cell r="AA17" t="str">
            <v>해외19P</v>
          </cell>
          <cell r="AB17">
            <v>0</v>
          </cell>
        </row>
        <row r="18">
          <cell r="A18" t="str">
            <v>001</v>
          </cell>
          <cell r="B18" t="str">
            <v>13년01월</v>
          </cell>
          <cell r="C18">
            <v>41276</v>
          </cell>
          <cell r="D18" t="str">
            <v>국내</v>
          </cell>
          <cell r="E18" t="str">
            <v>모아광학</v>
          </cell>
          <cell r="F18" t="str">
            <v>19</v>
          </cell>
          <cell r="G18" t="str">
            <v>19</v>
          </cell>
          <cell r="H18" t="str">
            <v>VLC-1900</v>
          </cell>
          <cell r="I18">
            <v>0</v>
          </cell>
          <cell r="J18">
            <v>1</v>
          </cell>
          <cell r="K18">
            <v>41277</v>
          </cell>
          <cell r="L18" t="str">
            <v>심재형</v>
          </cell>
          <cell r="N18">
            <v>41277</v>
          </cell>
          <cell r="O18">
            <v>1</v>
          </cell>
          <cell r="P18">
            <v>41277</v>
          </cell>
          <cell r="Q18" t="str">
            <v>완료</v>
          </cell>
          <cell r="S18" t="str">
            <v>A</v>
          </cell>
          <cell r="T18" t="str">
            <v>sw:CI27 3*5</v>
          </cell>
          <cell r="U18" t="str">
            <v>판매</v>
          </cell>
          <cell r="V18" t="str">
            <v>구두</v>
          </cell>
          <cell r="W18">
            <v>1</v>
          </cell>
          <cell r="X18">
            <v>41275</v>
          </cell>
          <cell r="Y18" t="str">
            <v>국내13년01월19</v>
          </cell>
          <cell r="Z18" t="str">
            <v>01월</v>
          </cell>
          <cell r="AA18" t="str">
            <v>국내13년01월19</v>
          </cell>
          <cell r="AB18" t="str">
            <v>01월</v>
          </cell>
        </row>
        <row r="19">
          <cell r="A19" t="str">
            <v>002</v>
          </cell>
          <cell r="B19" t="str">
            <v>13년01월</v>
          </cell>
          <cell r="C19">
            <v>41276</v>
          </cell>
          <cell r="D19" t="str">
            <v>국내</v>
          </cell>
          <cell r="E19" t="str">
            <v>유니코스</v>
          </cell>
          <cell r="F19" t="str">
            <v>24</v>
          </cell>
          <cell r="G19" t="str">
            <v>24P</v>
          </cell>
          <cell r="H19" t="str">
            <v>VLC-2400P</v>
          </cell>
          <cell r="I19" t="str">
            <v>ULC-800AP</v>
          </cell>
          <cell r="J19">
            <v>5</v>
          </cell>
          <cell r="K19">
            <v>41292</v>
          </cell>
          <cell r="L19" t="str">
            <v>김찬욱</v>
          </cell>
          <cell r="N19">
            <v>41292</v>
          </cell>
          <cell r="O19">
            <v>5</v>
          </cell>
          <cell r="P19">
            <v>41292</v>
          </cell>
          <cell r="Q19" t="str">
            <v>완료</v>
          </cell>
          <cell r="R19" t="str">
            <v>130109수량정정</v>
          </cell>
          <cell r="S19" t="str">
            <v>A</v>
          </cell>
          <cell r="T19" t="str">
            <v>연동케이블</v>
          </cell>
          <cell r="U19" t="str">
            <v>판매</v>
          </cell>
          <cell r="V19" t="str">
            <v>구두</v>
          </cell>
          <cell r="W19">
            <v>1</v>
          </cell>
          <cell r="X19">
            <v>41275</v>
          </cell>
          <cell r="Y19" t="str">
            <v>국내13년01월24P</v>
          </cell>
          <cell r="Z19" t="str">
            <v>01월</v>
          </cell>
          <cell r="AA19" t="str">
            <v>국내13년01월24P</v>
          </cell>
          <cell r="AB19" t="str">
            <v>01월</v>
          </cell>
        </row>
        <row r="20">
          <cell r="A20" t="str">
            <v>003</v>
          </cell>
          <cell r="B20" t="str">
            <v>13년01월</v>
          </cell>
          <cell r="C20">
            <v>41276</v>
          </cell>
          <cell r="D20" t="str">
            <v>국내</v>
          </cell>
          <cell r="E20" t="str">
            <v>유니코스</v>
          </cell>
          <cell r="F20" t="str">
            <v>24</v>
          </cell>
          <cell r="G20" t="str">
            <v>24</v>
          </cell>
          <cell r="H20" t="str">
            <v>VLC-2400</v>
          </cell>
          <cell r="I20" t="str">
            <v>ULC-800ANP</v>
          </cell>
          <cell r="J20">
            <v>9</v>
          </cell>
          <cell r="K20">
            <v>41292</v>
          </cell>
          <cell r="L20" t="str">
            <v>김찬욱</v>
          </cell>
          <cell r="N20">
            <v>41292</v>
          </cell>
          <cell r="O20">
            <v>9</v>
          </cell>
          <cell r="P20">
            <v>41292</v>
          </cell>
          <cell r="Q20" t="str">
            <v>완료</v>
          </cell>
          <cell r="R20" t="str">
            <v>130109수량정정</v>
          </cell>
          <cell r="S20" t="str">
            <v>A</v>
          </cell>
          <cell r="T20" t="str">
            <v>연동케이블</v>
          </cell>
          <cell r="U20" t="str">
            <v>판매</v>
          </cell>
          <cell r="V20" t="str">
            <v>구두</v>
          </cell>
          <cell r="W20">
            <v>1</v>
          </cell>
          <cell r="X20">
            <v>41275</v>
          </cell>
          <cell r="Y20" t="str">
            <v>국내13년01월24</v>
          </cell>
          <cell r="Z20" t="str">
            <v>01월</v>
          </cell>
          <cell r="AA20" t="str">
            <v>국내13년01월24</v>
          </cell>
          <cell r="AB20" t="str">
            <v>01월</v>
          </cell>
        </row>
        <row r="21">
          <cell r="A21" t="str">
            <v>004</v>
          </cell>
          <cell r="B21" t="str">
            <v>13년01월</v>
          </cell>
          <cell r="C21">
            <v>41277</v>
          </cell>
          <cell r="D21" t="str">
            <v>해외</v>
          </cell>
          <cell r="E21" t="str">
            <v>에실러</v>
          </cell>
          <cell r="F21" t="str">
            <v>24</v>
          </cell>
          <cell r="G21" t="str">
            <v>24P</v>
          </cell>
          <cell r="H21" t="str">
            <v>VLC-2400P</v>
          </cell>
          <cell r="I21">
            <v>0</v>
          </cell>
          <cell r="J21">
            <v>5</v>
          </cell>
          <cell r="K21">
            <v>41285</v>
          </cell>
          <cell r="L21" t="str">
            <v>김찬욱</v>
          </cell>
          <cell r="N21">
            <v>41285</v>
          </cell>
          <cell r="O21">
            <v>5</v>
          </cell>
          <cell r="P21">
            <v>41285</v>
          </cell>
          <cell r="Q21" t="str">
            <v>완료</v>
          </cell>
          <cell r="S21" t="str">
            <v>A</v>
          </cell>
          <cell r="T21" t="str">
            <v>전면흰색아크릴,탑콘연동형/케이블</v>
          </cell>
          <cell r="U21" t="str">
            <v>판매</v>
          </cell>
          <cell r="V21" t="str">
            <v>구두</v>
          </cell>
          <cell r="W21">
            <v>1</v>
          </cell>
          <cell r="X21">
            <v>41275</v>
          </cell>
          <cell r="Y21" t="str">
            <v>해외13년01월24P</v>
          </cell>
          <cell r="Z21" t="str">
            <v>01월</v>
          </cell>
          <cell r="AA21" t="str">
            <v>해외13년01월24P</v>
          </cell>
          <cell r="AB21" t="str">
            <v>01월</v>
          </cell>
        </row>
        <row r="22">
          <cell r="A22" t="str">
            <v>005</v>
          </cell>
          <cell r="B22" t="str">
            <v>13년01월</v>
          </cell>
          <cell r="C22">
            <v>41278</v>
          </cell>
          <cell r="D22" t="str">
            <v>해외</v>
          </cell>
          <cell r="E22" t="str">
            <v>홍콩</v>
          </cell>
          <cell r="F22" t="str">
            <v>19</v>
          </cell>
          <cell r="G22" t="str">
            <v>19</v>
          </cell>
          <cell r="H22" t="str">
            <v>VLC-1900</v>
          </cell>
          <cell r="I22">
            <v>0</v>
          </cell>
          <cell r="J22">
            <v>3</v>
          </cell>
          <cell r="K22">
            <v>41285</v>
          </cell>
          <cell r="L22" t="str">
            <v>김찬욱</v>
          </cell>
          <cell r="N22">
            <v>41282</v>
          </cell>
          <cell r="O22">
            <v>3</v>
          </cell>
          <cell r="P22">
            <v>41290</v>
          </cell>
          <cell r="Q22" t="str">
            <v>완료</v>
          </cell>
          <cell r="S22" t="str">
            <v>A</v>
          </cell>
          <cell r="T22" t="str">
            <v>SW:CB16 탑콘연동형/케이블</v>
          </cell>
          <cell r="U22" t="str">
            <v>판매</v>
          </cell>
          <cell r="V22" t="str">
            <v>구두</v>
          </cell>
          <cell r="W22">
            <v>1</v>
          </cell>
          <cell r="X22">
            <v>41275</v>
          </cell>
          <cell r="Y22" t="str">
            <v>해외13년01월19</v>
          </cell>
          <cell r="Z22" t="str">
            <v>01월</v>
          </cell>
          <cell r="AA22" t="str">
            <v>해외13년01월19</v>
          </cell>
          <cell r="AB22" t="str">
            <v>01월</v>
          </cell>
        </row>
        <row r="23">
          <cell r="A23" t="str">
            <v>007</v>
          </cell>
          <cell r="B23" t="str">
            <v>13년01월</v>
          </cell>
          <cell r="C23">
            <v>41281</v>
          </cell>
          <cell r="D23" t="str">
            <v>국내</v>
          </cell>
          <cell r="E23" t="str">
            <v>제일메디칼</v>
          </cell>
          <cell r="F23" t="str">
            <v>19</v>
          </cell>
          <cell r="G23" t="str">
            <v>19</v>
          </cell>
          <cell r="H23" t="str">
            <v>VLC-1900</v>
          </cell>
          <cell r="I23" t="str">
            <v>KSC-2000</v>
          </cell>
          <cell r="J23">
            <v>5</v>
          </cell>
          <cell r="K23">
            <v>41288</v>
          </cell>
          <cell r="L23" t="str">
            <v>심재형</v>
          </cell>
          <cell r="N23">
            <v>41283</v>
          </cell>
          <cell r="O23">
            <v>5</v>
          </cell>
          <cell r="P23">
            <v>41285</v>
          </cell>
          <cell r="Q23" t="str">
            <v>완료</v>
          </cell>
          <cell r="S23" t="str">
            <v>A</v>
          </cell>
          <cell r="T23" t="str">
            <v>SW:제일메디칼 잔여:5대</v>
          </cell>
          <cell r="U23" t="str">
            <v>판매</v>
          </cell>
          <cell r="V23" t="str">
            <v>구두</v>
          </cell>
          <cell r="W23">
            <v>1</v>
          </cell>
          <cell r="X23">
            <v>41275</v>
          </cell>
          <cell r="Y23" t="str">
            <v>국내13년01월19</v>
          </cell>
          <cell r="Z23" t="str">
            <v>01월</v>
          </cell>
          <cell r="AA23" t="str">
            <v>국내13년01월19</v>
          </cell>
          <cell r="AB23" t="str">
            <v>01월</v>
          </cell>
        </row>
        <row r="24">
          <cell r="A24" t="str">
            <v>008</v>
          </cell>
          <cell r="B24" t="str">
            <v>13년01월</v>
          </cell>
          <cell r="C24">
            <v>41283</v>
          </cell>
          <cell r="D24" t="str">
            <v>해외</v>
          </cell>
          <cell r="E24" t="str">
            <v>LTO</v>
          </cell>
          <cell r="F24" t="str">
            <v>24</v>
          </cell>
          <cell r="G24" t="str">
            <v>24P</v>
          </cell>
          <cell r="H24" t="str">
            <v>L40 24P</v>
          </cell>
          <cell r="I24" t="str">
            <v>입력</v>
          </cell>
          <cell r="J24">
            <v>50</v>
          </cell>
          <cell r="K24">
            <v>41304</v>
          </cell>
          <cell r="L24" t="str">
            <v xml:space="preserve"> 김찬욱</v>
          </cell>
          <cell r="Q24" t="str">
            <v>진행</v>
          </cell>
          <cell r="S24" t="str">
            <v>X</v>
          </cell>
          <cell r="T24" t="str">
            <v>R/G, 폴라안경, 아답터, 파워케이블, 리모콘, 배터리, 영/프매뉴얼</v>
          </cell>
          <cell r="U24" t="str">
            <v>판매</v>
          </cell>
          <cell r="V24" t="str">
            <v>구두</v>
          </cell>
          <cell r="W24">
            <v>1</v>
          </cell>
          <cell r="X24">
            <v>0</v>
          </cell>
          <cell r="Y24" t="str">
            <v>해외13년01월24P</v>
          </cell>
          <cell r="Z24" t="str">
            <v>01월</v>
          </cell>
          <cell r="AA24" t="str">
            <v>해외24P</v>
          </cell>
          <cell r="AB24">
            <v>0</v>
          </cell>
        </row>
        <row r="25">
          <cell r="A25" t="str">
            <v>009</v>
          </cell>
          <cell r="B25" t="str">
            <v>13년01월</v>
          </cell>
          <cell r="C25">
            <v>41289</v>
          </cell>
          <cell r="D25" t="str">
            <v>국내</v>
          </cell>
          <cell r="E25" t="str">
            <v>한국톱콘</v>
          </cell>
          <cell r="F25" t="str">
            <v>19</v>
          </cell>
          <cell r="G25" t="str">
            <v>19</v>
          </cell>
          <cell r="H25" t="str">
            <v>VLC-1900</v>
          </cell>
          <cell r="I25" t="str">
            <v>LC-100</v>
          </cell>
          <cell r="J25">
            <v>5</v>
          </cell>
          <cell r="K25">
            <v>41295</v>
          </cell>
          <cell r="L25" t="str">
            <v>심재형</v>
          </cell>
          <cell r="N25">
            <v>41295</v>
          </cell>
          <cell r="O25">
            <v>5</v>
          </cell>
          <cell r="P25">
            <v>41295</v>
          </cell>
          <cell r="Q25" t="str">
            <v>완료</v>
          </cell>
          <cell r="S25" t="str">
            <v>A</v>
          </cell>
          <cell r="T25" t="str">
            <v>연동케이블</v>
          </cell>
          <cell r="U25" t="str">
            <v>판매</v>
          </cell>
          <cell r="V25" t="str">
            <v>구두</v>
          </cell>
          <cell r="W25">
            <v>1</v>
          </cell>
          <cell r="X25">
            <v>41275</v>
          </cell>
          <cell r="Y25" t="str">
            <v>국내13년01월19</v>
          </cell>
          <cell r="Z25" t="str">
            <v>01월</v>
          </cell>
          <cell r="AA25" t="str">
            <v>국내13년01월19</v>
          </cell>
          <cell r="AB25" t="str">
            <v>01월</v>
          </cell>
        </row>
        <row r="26">
          <cell r="A26" t="str">
            <v>010</v>
          </cell>
          <cell r="B26" t="str">
            <v>13년01월</v>
          </cell>
          <cell r="C26">
            <v>41297</v>
          </cell>
          <cell r="D26" t="str">
            <v>국내</v>
          </cell>
          <cell r="E26" t="str">
            <v>모아광학</v>
          </cell>
          <cell r="F26" t="str">
            <v>19</v>
          </cell>
          <cell r="G26" t="str">
            <v>19</v>
          </cell>
          <cell r="H26" t="str">
            <v>VLC-1900</v>
          </cell>
          <cell r="I26">
            <v>0</v>
          </cell>
          <cell r="J26">
            <v>6</v>
          </cell>
          <cell r="K26">
            <v>41302</v>
          </cell>
          <cell r="L26" t="str">
            <v>심재형</v>
          </cell>
          <cell r="N26">
            <v>41297</v>
          </cell>
          <cell r="O26">
            <v>6</v>
          </cell>
          <cell r="P26">
            <v>41298</v>
          </cell>
          <cell r="Q26" t="str">
            <v>완료</v>
          </cell>
          <cell r="S26" t="str">
            <v>A</v>
          </cell>
          <cell r="T26" t="str">
            <v>국내안경원 W3*5 연동케이블</v>
          </cell>
          <cell r="U26" t="str">
            <v>판매</v>
          </cell>
          <cell r="V26" t="str">
            <v>구두</v>
          </cell>
          <cell r="W26">
            <v>1</v>
          </cell>
          <cell r="X26">
            <v>41275</v>
          </cell>
          <cell r="Y26" t="str">
            <v>국내13년01월19</v>
          </cell>
          <cell r="Z26" t="str">
            <v>01월</v>
          </cell>
          <cell r="AA26" t="str">
            <v>국내13년01월19</v>
          </cell>
          <cell r="AB26" t="str">
            <v>01월</v>
          </cell>
        </row>
        <row r="27">
          <cell r="A27" t="str">
            <v>011</v>
          </cell>
          <cell r="B27" t="str">
            <v>13년01월</v>
          </cell>
          <cell r="C27">
            <v>41297</v>
          </cell>
          <cell r="D27" t="str">
            <v>국내</v>
          </cell>
          <cell r="E27" t="str">
            <v>모아광학</v>
          </cell>
          <cell r="F27" t="str">
            <v>24</v>
          </cell>
          <cell r="G27" t="str">
            <v>24</v>
          </cell>
          <cell r="H27" t="str">
            <v>VLC-2400</v>
          </cell>
          <cell r="I27">
            <v>0</v>
          </cell>
          <cell r="J27">
            <v>2</v>
          </cell>
          <cell r="K27">
            <v>41302</v>
          </cell>
          <cell r="L27" t="str">
            <v>심재형</v>
          </cell>
          <cell r="M27">
            <v>2</v>
          </cell>
          <cell r="N27">
            <v>41298</v>
          </cell>
          <cell r="Q27" t="str">
            <v>대기</v>
          </cell>
          <cell r="R27" t="str">
            <v>취소분 2대 전향</v>
          </cell>
          <cell r="S27" t="str">
            <v>A</v>
          </cell>
          <cell r="T27" t="str">
            <v>CG23 연동케이블</v>
          </cell>
          <cell r="U27" t="str">
            <v>판매</v>
          </cell>
          <cell r="V27" t="str">
            <v>구두</v>
          </cell>
          <cell r="W27" t="str">
            <v>-</v>
          </cell>
          <cell r="X27">
            <v>41275</v>
          </cell>
          <cell r="Y27" t="str">
            <v>국내13년01월24</v>
          </cell>
          <cell r="Z27" t="str">
            <v>01월</v>
          </cell>
          <cell r="AA27" t="str">
            <v>국내24</v>
          </cell>
          <cell r="AB27">
            <v>0</v>
          </cell>
        </row>
        <row r="28">
          <cell r="A28" t="str">
            <v>012</v>
          </cell>
          <cell r="B28" t="str">
            <v>13년01월</v>
          </cell>
          <cell r="C28">
            <v>41297</v>
          </cell>
          <cell r="D28" t="str">
            <v>국내</v>
          </cell>
          <cell r="E28" t="str">
            <v>모아광학</v>
          </cell>
          <cell r="F28" t="str">
            <v>24</v>
          </cell>
          <cell r="G28" t="str">
            <v>24P</v>
          </cell>
          <cell r="H28" t="str">
            <v>VLC-2400P</v>
          </cell>
          <cell r="I28">
            <v>0</v>
          </cell>
          <cell r="J28">
            <v>1</v>
          </cell>
          <cell r="K28">
            <v>41302</v>
          </cell>
          <cell r="L28" t="str">
            <v>심재형</v>
          </cell>
          <cell r="M28">
            <v>1</v>
          </cell>
          <cell r="N28">
            <v>41299</v>
          </cell>
          <cell r="Q28" t="str">
            <v>대기</v>
          </cell>
          <cell r="S28" t="str">
            <v>A</v>
          </cell>
          <cell r="T28" t="str">
            <v>CG23 연동케이블</v>
          </cell>
          <cell r="U28" t="str">
            <v>판매</v>
          </cell>
          <cell r="V28" t="str">
            <v>구두</v>
          </cell>
          <cell r="W28">
            <v>1</v>
          </cell>
          <cell r="X28">
            <v>41275</v>
          </cell>
          <cell r="Y28" t="str">
            <v>국내13년01월24P</v>
          </cell>
          <cell r="Z28" t="str">
            <v>01월</v>
          </cell>
          <cell r="AA28" t="str">
            <v>국내24P</v>
          </cell>
          <cell r="AB28">
            <v>0</v>
          </cell>
        </row>
        <row r="29">
          <cell r="A29" t="str">
            <v>013</v>
          </cell>
          <cell r="B29" t="str">
            <v>13년01월</v>
          </cell>
          <cell r="C29">
            <v>41297</v>
          </cell>
          <cell r="D29" t="str">
            <v>해외</v>
          </cell>
          <cell r="E29" t="str">
            <v>이라크</v>
          </cell>
          <cell r="F29" t="str">
            <v>19</v>
          </cell>
          <cell r="G29" t="str">
            <v>19</v>
          </cell>
          <cell r="H29" t="str">
            <v>VLC-1900</v>
          </cell>
          <cell r="I29">
            <v>0</v>
          </cell>
          <cell r="J29">
            <v>2</v>
          </cell>
          <cell r="K29">
            <v>41302</v>
          </cell>
          <cell r="L29" t="str">
            <v>심재형</v>
          </cell>
          <cell r="M29">
            <v>2</v>
          </cell>
          <cell r="N29">
            <v>41299</v>
          </cell>
          <cell r="Q29" t="str">
            <v>대기</v>
          </cell>
          <cell r="S29" t="str">
            <v>C</v>
          </cell>
          <cell r="T29" t="str">
            <v>CG27 연동케이블</v>
          </cell>
          <cell r="U29" t="str">
            <v>판매</v>
          </cell>
          <cell r="V29" t="str">
            <v>구두</v>
          </cell>
          <cell r="W29">
            <v>1</v>
          </cell>
          <cell r="X29">
            <v>41275</v>
          </cell>
          <cell r="Y29" t="str">
            <v>해외13년01월19</v>
          </cell>
          <cell r="Z29" t="str">
            <v>01월</v>
          </cell>
          <cell r="AA29" t="str">
            <v>해외19</v>
          </cell>
          <cell r="AB29">
            <v>0</v>
          </cell>
        </row>
        <row r="30">
          <cell r="A30" t="str">
            <v>014</v>
          </cell>
          <cell r="B30" t="str">
            <v>13년01월</v>
          </cell>
          <cell r="C30">
            <v>41297</v>
          </cell>
          <cell r="D30" t="str">
            <v>해외</v>
          </cell>
          <cell r="E30" t="str">
            <v>중국</v>
          </cell>
          <cell r="F30" t="str">
            <v>19</v>
          </cell>
          <cell r="G30" t="str">
            <v>19</v>
          </cell>
          <cell r="H30" t="str">
            <v>VLC-1900</v>
          </cell>
          <cell r="I30">
            <v>0</v>
          </cell>
          <cell r="J30">
            <v>5</v>
          </cell>
          <cell r="K30">
            <v>41320</v>
          </cell>
          <cell r="L30" t="str">
            <v>김찬욱</v>
          </cell>
          <cell r="Q30" t="str">
            <v>진행</v>
          </cell>
          <cell r="S30" t="str">
            <v>A</v>
          </cell>
          <cell r="T30" t="str">
            <v>CG27 연동케이블</v>
          </cell>
          <cell r="U30" t="str">
            <v>판매</v>
          </cell>
          <cell r="V30" t="str">
            <v>구두</v>
          </cell>
          <cell r="W30">
            <v>1</v>
          </cell>
          <cell r="X30">
            <v>0</v>
          </cell>
          <cell r="Y30" t="str">
            <v>해외13년01월19</v>
          </cell>
          <cell r="Z30" t="str">
            <v>02월</v>
          </cell>
          <cell r="AA30" t="str">
            <v>해외19</v>
          </cell>
          <cell r="AB30">
            <v>0</v>
          </cell>
        </row>
        <row r="31">
          <cell r="A31" t="str">
            <v>015</v>
          </cell>
          <cell r="B31" t="str">
            <v>13년01월</v>
          </cell>
          <cell r="C31">
            <v>41292</v>
          </cell>
          <cell r="D31" t="str">
            <v>국내</v>
          </cell>
          <cell r="E31" t="str">
            <v>유니코스</v>
          </cell>
          <cell r="F31" t="str">
            <v>24</v>
          </cell>
          <cell r="G31" t="str">
            <v>24P</v>
          </cell>
          <cell r="H31" t="str">
            <v>VLC-2400P</v>
          </cell>
          <cell r="I31" t="str">
            <v>ULC-800AP</v>
          </cell>
          <cell r="J31">
            <v>9</v>
          </cell>
          <cell r="K31">
            <v>41319</v>
          </cell>
          <cell r="L31" t="str">
            <v>김찬욱</v>
          </cell>
          <cell r="Q31" t="str">
            <v>진행</v>
          </cell>
          <cell r="S31" t="str">
            <v>A</v>
          </cell>
          <cell r="T31" t="str">
            <v>연동케이블</v>
          </cell>
          <cell r="U31" t="str">
            <v>판매</v>
          </cell>
          <cell r="V31" t="str">
            <v>구두</v>
          </cell>
          <cell r="W31">
            <v>1</v>
          </cell>
          <cell r="X31">
            <v>0</v>
          </cell>
          <cell r="Y31" t="str">
            <v>국내13년01월24P</v>
          </cell>
          <cell r="Z31" t="str">
            <v>02월</v>
          </cell>
          <cell r="AA31" t="str">
            <v>국내24P</v>
          </cell>
          <cell r="AB31">
            <v>0</v>
          </cell>
        </row>
        <row r="32">
          <cell r="A32" t="str">
            <v>016</v>
          </cell>
          <cell r="B32" t="str">
            <v>13년01월</v>
          </cell>
          <cell r="C32">
            <v>41292</v>
          </cell>
          <cell r="D32" t="str">
            <v>국내</v>
          </cell>
          <cell r="E32" t="str">
            <v>유니코스</v>
          </cell>
          <cell r="F32" t="str">
            <v>24</v>
          </cell>
          <cell r="G32" t="str">
            <v>24</v>
          </cell>
          <cell r="H32" t="str">
            <v>VLC-2400</v>
          </cell>
          <cell r="I32" t="str">
            <v>ULC-800ANP</v>
          </cell>
          <cell r="J32">
            <v>5</v>
          </cell>
          <cell r="K32">
            <v>41319</v>
          </cell>
          <cell r="L32" t="str">
            <v>김찬욱</v>
          </cell>
          <cell r="Q32" t="str">
            <v>진행</v>
          </cell>
          <cell r="S32" t="str">
            <v>A</v>
          </cell>
          <cell r="T32" t="str">
            <v>연동케이블</v>
          </cell>
          <cell r="U32" t="str">
            <v>판매</v>
          </cell>
          <cell r="V32" t="str">
            <v>구두</v>
          </cell>
          <cell r="W32">
            <v>1</v>
          </cell>
          <cell r="X32">
            <v>0</v>
          </cell>
          <cell r="Y32" t="str">
            <v>국내13년01월24</v>
          </cell>
          <cell r="Z32" t="str">
            <v>02월</v>
          </cell>
          <cell r="AA32" t="str">
            <v>국내24</v>
          </cell>
          <cell r="AB32">
            <v>0</v>
          </cell>
        </row>
        <row r="33">
          <cell r="A33" t="str">
            <v>017</v>
          </cell>
          <cell r="B33" t="str">
            <v>13년01월</v>
          </cell>
          <cell r="C33">
            <v>41298</v>
          </cell>
          <cell r="D33" t="str">
            <v>해외</v>
          </cell>
          <cell r="E33" t="str">
            <v>요르단</v>
          </cell>
          <cell r="F33" t="str">
            <v>19</v>
          </cell>
          <cell r="G33" t="str">
            <v>19</v>
          </cell>
          <cell r="H33" t="str">
            <v>VLC-1900</v>
          </cell>
          <cell r="I33">
            <v>0</v>
          </cell>
          <cell r="J33">
            <v>1</v>
          </cell>
          <cell r="K33">
            <v>41302</v>
          </cell>
          <cell r="L33" t="str">
            <v>김찬욱</v>
          </cell>
          <cell r="M33">
            <v>1</v>
          </cell>
          <cell r="N33">
            <v>41299</v>
          </cell>
          <cell r="Q33" t="str">
            <v>대기</v>
          </cell>
          <cell r="S33" t="str">
            <v>A</v>
          </cell>
          <cell r="T33" t="str">
            <v>연동케이블</v>
          </cell>
          <cell r="U33" t="str">
            <v>판매</v>
          </cell>
          <cell r="V33" t="str">
            <v>구두</v>
          </cell>
          <cell r="W33">
            <v>1</v>
          </cell>
          <cell r="X33">
            <v>41275</v>
          </cell>
          <cell r="Y33" t="str">
            <v>해외13년01월19</v>
          </cell>
          <cell r="Z33" t="str">
            <v>01월</v>
          </cell>
          <cell r="AA33" t="str">
            <v>해외19</v>
          </cell>
          <cell r="AB33">
            <v>0</v>
          </cell>
        </row>
        <row r="34">
          <cell r="A34" t="str">
            <v>018</v>
          </cell>
          <cell r="B34">
            <v>0</v>
          </cell>
          <cell r="F34">
            <v>0</v>
          </cell>
          <cell r="G34">
            <v>0</v>
          </cell>
          <cell r="I34">
            <v>0</v>
          </cell>
          <cell r="Q34">
            <v>0</v>
          </cell>
          <cell r="S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 t="str">
            <v>019</v>
          </cell>
          <cell r="B35">
            <v>0</v>
          </cell>
          <cell r="F35">
            <v>0</v>
          </cell>
          <cell r="G35">
            <v>0</v>
          </cell>
          <cell r="I35">
            <v>0</v>
          </cell>
          <cell r="Q35">
            <v>0</v>
          </cell>
          <cell r="S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020</v>
          </cell>
          <cell r="B36">
            <v>0</v>
          </cell>
          <cell r="F36">
            <v>0</v>
          </cell>
          <cell r="G36">
            <v>0</v>
          </cell>
          <cell r="I36">
            <v>0</v>
          </cell>
          <cell r="Q36">
            <v>0</v>
          </cell>
          <cell r="S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021</v>
          </cell>
          <cell r="B37">
            <v>0</v>
          </cell>
          <cell r="F37">
            <v>0</v>
          </cell>
          <cell r="G37">
            <v>0</v>
          </cell>
          <cell r="I37">
            <v>0</v>
          </cell>
          <cell r="Q37">
            <v>0</v>
          </cell>
          <cell r="S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022</v>
          </cell>
          <cell r="B38">
            <v>0</v>
          </cell>
          <cell r="F38">
            <v>0</v>
          </cell>
          <cell r="G38">
            <v>0</v>
          </cell>
          <cell r="I38">
            <v>0</v>
          </cell>
          <cell r="Q38">
            <v>0</v>
          </cell>
          <cell r="S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A39" t="str">
            <v>023</v>
          </cell>
          <cell r="B39">
            <v>0</v>
          </cell>
          <cell r="F39">
            <v>0</v>
          </cell>
          <cell r="G39">
            <v>0</v>
          </cell>
          <cell r="I39">
            <v>0</v>
          </cell>
          <cell r="Q39">
            <v>0</v>
          </cell>
          <cell r="S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024</v>
          </cell>
          <cell r="B40">
            <v>0</v>
          </cell>
          <cell r="F40">
            <v>0</v>
          </cell>
          <cell r="G40">
            <v>0</v>
          </cell>
          <cell r="I40">
            <v>0</v>
          </cell>
          <cell r="Q40">
            <v>0</v>
          </cell>
          <cell r="S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025</v>
          </cell>
          <cell r="B41">
            <v>0</v>
          </cell>
          <cell r="F41">
            <v>0</v>
          </cell>
          <cell r="G41">
            <v>0</v>
          </cell>
          <cell r="I41">
            <v>0</v>
          </cell>
          <cell r="Q41">
            <v>0</v>
          </cell>
          <cell r="S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 t="str">
            <v>026</v>
          </cell>
          <cell r="B42">
            <v>0</v>
          </cell>
          <cell r="F42">
            <v>0</v>
          </cell>
          <cell r="G42">
            <v>0</v>
          </cell>
          <cell r="I42">
            <v>0</v>
          </cell>
          <cell r="Q42">
            <v>0</v>
          </cell>
          <cell r="S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027</v>
          </cell>
          <cell r="B43">
            <v>0</v>
          </cell>
          <cell r="F43">
            <v>0</v>
          </cell>
          <cell r="G43">
            <v>0</v>
          </cell>
          <cell r="I43">
            <v>0</v>
          </cell>
          <cell r="Q43">
            <v>0</v>
          </cell>
          <cell r="S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028</v>
          </cell>
          <cell r="B44">
            <v>0</v>
          </cell>
          <cell r="F44">
            <v>0</v>
          </cell>
          <cell r="G44">
            <v>0</v>
          </cell>
          <cell r="I44">
            <v>0</v>
          </cell>
          <cell r="Q44">
            <v>0</v>
          </cell>
          <cell r="S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A45" t="str">
            <v>029</v>
          </cell>
          <cell r="B45">
            <v>0</v>
          </cell>
          <cell r="F45">
            <v>0</v>
          </cell>
          <cell r="G45">
            <v>0</v>
          </cell>
          <cell r="I45">
            <v>0</v>
          </cell>
          <cell r="Q45">
            <v>0</v>
          </cell>
          <cell r="S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030</v>
          </cell>
          <cell r="B46">
            <v>0</v>
          </cell>
          <cell r="F46">
            <v>0</v>
          </cell>
          <cell r="G46">
            <v>0</v>
          </cell>
          <cell r="I46">
            <v>0</v>
          </cell>
          <cell r="Q46">
            <v>0</v>
          </cell>
          <cell r="S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A47" t="str">
            <v>031</v>
          </cell>
          <cell r="B47">
            <v>0</v>
          </cell>
          <cell r="F47">
            <v>0</v>
          </cell>
          <cell r="G47">
            <v>0</v>
          </cell>
          <cell r="I47">
            <v>0</v>
          </cell>
          <cell r="Q47">
            <v>0</v>
          </cell>
          <cell r="S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032</v>
          </cell>
          <cell r="B48">
            <v>0</v>
          </cell>
          <cell r="F48">
            <v>0</v>
          </cell>
          <cell r="G48">
            <v>0</v>
          </cell>
          <cell r="I48">
            <v>0</v>
          </cell>
          <cell r="Q48">
            <v>0</v>
          </cell>
          <cell r="S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033</v>
          </cell>
          <cell r="B49">
            <v>0</v>
          </cell>
          <cell r="F49">
            <v>0</v>
          </cell>
          <cell r="G49">
            <v>0</v>
          </cell>
          <cell r="I49">
            <v>0</v>
          </cell>
          <cell r="Q49">
            <v>0</v>
          </cell>
          <cell r="S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034</v>
          </cell>
          <cell r="B50">
            <v>0</v>
          </cell>
          <cell r="F50">
            <v>0</v>
          </cell>
          <cell r="G50">
            <v>0</v>
          </cell>
          <cell r="I50">
            <v>0</v>
          </cell>
          <cell r="Q50">
            <v>0</v>
          </cell>
          <cell r="S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 t="str">
            <v>035</v>
          </cell>
          <cell r="B51">
            <v>0</v>
          </cell>
          <cell r="F51">
            <v>0</v>
          </cell>
          <cell r="G51">
            <v>0</v>
          </cell>
          <cell r="I51">
            <v>0</v>
          </cell>
          <cell r="Q51">
            <v>0</v>
          </cell>
          <cell r="S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A52" t="str">
            <v>036</v>
          </cell>
          <cell r="B52">
            <v>0</v>
          </cell>
          <cell r="F52">
            <v>0</v>
          </cell>
          <cell r="G52">
            <v>0</v>
          </cell>
          <cell r="I52">
            <v>0</v>
          </cell>
          <cell r="Q52">
            <v>0</v>
          </cell>
          <cell r="S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A53" t="str">
            <v>037</v>
          </cell>
          <cell r="B53">
            <v>0</v>
          </cell>
          <cell r="F53">
            <v>0</v>
          </cell>
          <cell r="G53">
            <v>0</v>
          </cell>
          <cell r="I53">
            <v>0</v>
          </cell>
          <cell r="Q53">
            <v>0</v>
          </cell>
          <cell r="S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A54" t="str">
            <v>038</v>
          </cell>
          <cell r="B54">
            <v>0</v>
          </cell>
          <cell r="F54">
            <v>0</v>
          </cell>
          <cell r="G54">
            <v>0</v>
          </cell>
          <cell r="I54">
            <v>0</v>
          </cell>
          <cell r="Q54">
            <v>0</v>
          </cell>
          <cell r="S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A55" t="str">
            <v>039</v>
          </cell>
          <cell r="B55">
            <v>0</v>
          </cell>
          <cell r="F55">
            <v>0</v>
          </cell>
          <cell r="G55">
            <v>0</v>
          </cell>
          <cell r="I55">
            <v>0</v>
          </cell>
          <cell r="Q55">
            <v>0</v>
          </cell>
          <cell r="S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A56" t="str">
            <v>040</v>
          </cell>
          <cell r="B56">
            <v>0</v>
          </cell>
          <cell r="F56">
            <v>0</v>
          </cell>
          <cell r="G56">
            <v>0</v>
          </cell>
          <cell r="I56">
            <v>0</v>
          </cell>
          <cell r="Q56">
            <v>0</v>
          </cell>
          <cell r="S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041</v>
          </cell>
          <cell r="B57">
            <v>0</v>
          </cell>
          <cell r="F57">
            <v>0</v>
          </cell>
          <cell r="G57">
            <v>0</v>
          </cell>
          <cell r="I57">
            <v>0</v>
          </cell>
          <cell r="Q57">
            <v>0</v>
          </cell>
          <cell r="S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A58" t="str">
            <v>042</v>
          </cell>
          <cell r="B58">
            <v>0</v>
          </cell>
          <cell r="F58">
            <v>0</v>
          </cell>
          <cell r="G58">
            <v>0</v>
          </cell>
          <cell r="I58">
            <v>0</v>
          </cell>
          <cell r="Q58">
            <v>0</v>
          </cell>
          <cell r="S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043</v>
          </cell>
          <cell r="B59">
            <v>0</v>
          </cell>
          <cell r="F59">
            <v>0</v>
          </cell>
          <cell r="G59">
            <v>0</v>
          </cell>
          <cell r="I59">
            <v>0</v>
          </cell>
          <cell r="Q59">
            <v>0</v>
          </cell>
          <cell r="S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A60" t="str">
            <v>044</v>
          </cell>
          <cell r="B60">
            <v>0</v>
          </cell>
          <cell r="F60">
            <v>0</v>
          </cell>
          <cell r="G60">
            <v>0</v>
          </cell>
          <cell r="I60">
            <v>0</v>
          </cell>
          <cell r="Q60">
            <v>0</v>
          </cell>
          <cell r="S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A61" t="str">
            <v>045</v>
          </cell>
          <cell r="B61">
            <v>0</v>
          </cell>
          <cell r="F61">
            <v>0</v>
          </cell>
          <cell r="G61">
            <v>0</v>
          </cell>
          <cell r="I61">
            <v>0</v>
          </cell>
          <cell r="Q61">
            <v>0</v>
          </cell>
          <cell r="S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046</v>
          </cell>
          <cell r="B62">
            <v>0</v>
          </cell>
          <cell r="F62">
            <v>0</v>
          </cell>
          <cell r="G62">
            <v>0</v>
          </cell>
          <cell r="I62">
            <v>0</v>
          </cell>
          <cell r="Q62">
            <v>0</v>
          </cell>
          <cell r="S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A63" t="str">
            <v>047</v>
          </cell>
          <cell r="B63">
            <v>0</v>
          </cell>
          <cell r="F63">
            <v>0</v>
          </cell>
          <cell r="G63">
            <v>0</v>
          </cell>
          <cell r="I63">
            <v>0</v>
          </cell>
          <cell r="Q63">
            <v>0</v>
          </cell>
          <cell r="S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048</v>
          </cell>
          <cell r="B64">
            <v>0</v>
          </cell>
          <cell r="F64">
            <v>0</v>
          </cell>
          <cell r="G64">
            <v>0</v>
          </cell>
          <cell r="I64">
            <v>0</v>
          </cell>
          <cell r="Q64">
            <v>0</v>
          </cell>
          <cell r="S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A65" t="str">
            <v>049</v>
          </cell>
          <cell r="B65">
            <v>0</v>
          </cell>
          <cell r="F65">
            <v>0</v>
          </cell>
          <cell r="G65">
            <v>0</v>
          </cell>
          <cell r="I65">
            <v>0</v>
          </cell>
          <cell r="Q65">
            <v>0</v>
          </cell>
          <cell r="S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050</v>
          </cell>
          <cell r="B66">
            <v>0</v>
          </cell>
          <cell r="F66">
            <v>0</v>
          </cell>
          <cell r="G66">
            <v>0</v>
          </cell>
          <cell r="I66">
            <v>0</v>
          </cell>
          <cell r="Q66">
            <v>0</v>
          </cell>
          <cell r="S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051</v>
          </cell>
          <cell r="B67">
            <v>0</v>
          </cell>
          <cell r="F67">
            <v>0</v>
          </cell>
          <cell r="G67">
            <v>0</v>
          </cell>
          <cell r="I67">
            <v>0</v>
          </cell>
          <cell r="Q67">
            <v>0</v>
          </cell>
          <cell r="S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</sheetData>
      <sheetData sheetId="3"/>
      <sheetData sheetId="4"/>
      <sheetData sheetId="5"/>
      <sheetData sheetId="6"/>
      <sheetData sheetId="7">
        <row r="4">
          <cell r="C4" t="str">
            <v>대성메디칼</v>
          </cell>
          <cell r="D4" t="str">
            <v>A</v>
          </cell>
          <cell r="E4">
            <v>0</v>
          </cell>
          <cell r="F4" t="str">
            <v>국내</v>
          </cell>
        </row>
        <row r="5">
          <cell r="C5" t="str">
            <v>대승의료기</v>
          </cell>
          <cell r="D5" t="str">
            <v>A</v>
          </cell>
          <cell r="E5">
            <v>0</v>
          </cell>
          <cell r="F5" t="str">
            <v>국내</v>
          </cell>
        </row>
        <row r="6">
          <cell r="C6" t="str">
            <v>동광메디칼</v>
          </cell>
          <cell r="D6" t="str">
            <v>A</v>
          </cell>
          <cell r="E6">
            <v>0</v>
          </cell>
          <cell r="F6" t="str">
            <v>국내</v>
          </cell>
        </row>
        <row r="7">
          <cell r="C7" t="str">
            <v>동아광학</v>
          </cell>
          <cell r="D7" t="str">
            <v>A</v>
          </cell>
          <cell r="E7">
            <v>0</v>
          </cell>
          <cell r="F7" t="str">
            <v>국내</v>
          </cell>
        </row>
        <row r="8">
          <cell r="C8" t="str">
            <v>메디아나</v>
          </cell>
          <cell r="D8" t="str">
            <v>A</v>
          </cell>
          <cell r="E8">
            <v>0</v>
          </cell>
          <cell r="F8" t="str">
            <v>국내</v>
          </cell>
        </row>
        <row r="9">
          <cell r="C9" t="str">
            <v>모아광학</v>
          </cell>
          <cell r="D9" t="str">
            <v>A</v>
          </cell>
          <cell r="E9">
            <v>0</v>
          </cell>
          <cell r="F9" t="str">
            <v>국내</v>
          </cell>
        </row>
        <row r="10">
          <cell r="C10" t="str">
            <v>서광메디텍</v>
          </cell>
          <cell r="D10" t="str">
            <v>A</v>
          </cell>
          <cell r="E10">
            <v>0</v>
          </cell>
          <cell r="F10" t="str">
            <v>국내</v>
          </cell>
        </row>
        <row r="11">
          <cell r="C11" t="str">
            <v>성우</v>
          </cell>
          <cell r="D11" t="str">
            <v>A</v>
          </cell>
          <cell r="E11">
            <v>0</v>
          </cell>
          <cell r="F11" t="str">
            <v>국내</v>
          </cell>
        </row>
        <row r="12">
          <cell r="C12" t="str">
            <v>신일광학</v>
          </cell>
          <cell r="D12" t="str">
            <v>A</v>
          </cell>
          <cell r="E12">
            <v>0</v>
          </cell>
          <cell r="F12" t="str">
            <v>국내</v>
          </cell>
        </row>
        <row r="13">
          <cell r="C13" t="str">
            <v>신성메디칼</v>
          </cell>
          <cell r="D13" t="str">
            <v>A</v>
          </cell>
          <cell r="E13">
            <v>0</v>
          </cell>
          <cell r="F13" t="str">
            <v>국내</v>
          </cell>
        </row>
        <row r="14">
          <cell r="C14" t="str">
            <v>오성메딕스</v>
          </cell>
          <cell r="D14" t="str">
            <v>A</v>
          </cell>
          <cell r="E14">
            <v>0</v>
          </cell>
          <cell r="F14" t="str">
            <v>국내</v>
          </cell>
        </row>
        <row r="15">
          <cell r="C15" t="str">
            <v>월드옵틱</v>
          </cell>
          <cell r="D15" t="str">
            <v>A</v>
          </cell>
          <cell r="E15">
            <v>0</v>
          </cell>
          <cell r="F15" t="str">
            <v>국내</v>
          </cell>
        </row>
        <row r="16">
          <cell r="C16" t="str">
            <v>유니코스</v>
          </cell>
          <cell r="D16" t="str">
            <v>A</v>
          </cell>
          <cell r="E16">
            <v>0</v>
          </cell>
          <cell r="F16" t="str">
            <v>국내</v>
          </cell>
        </row>
        <row r="17">
          <cell r="C17" t="str">
            <v>유진메디칼</v>
          </cell>
          <cell r="D17" t="str">
            <v>A</v>
          </cell>
          <cell r="E17">
            <v>0</v>
          </cell>
          <cell r="F17" t="str">
            <v>국내</v>
          </cell>
        </row>
        <row r="18">
          <cell r="C18" t="str">
            <v>리더스케이알</v>
          </cell>
          <cell r="D18" t="str">
            <v>A</v>
          </cell>
          <cell r="E18">
            <v>0</v>
          </cell>
          <cell r="F18" t="str">
            <v>국내</v>
          </cell>
        </row>
        <row r="19">
          <cell r="C19" t="str">
            <v>제일메디칼</v>
          </cell>
          <cell r="D19" t="str">
            <v>A</v>
          </cell>
          <cell r="E19">
            <v>0</v>
          </cell>
          <cell r="F19" t="str">
            <v>국내</v>
          </cell>
        </row>
        <row r="20">
          <cell r="C20" t="str">
            <v>한국톱콘</v>
          </cell>
          <cell r="D20" t="str">
            <v>A</v>
          </cell>
          <cell r="E20">
            <v>0</v>
          </cell>
          <cell r="F20" t="str">
            <v>국내</v>
          </cell>
        </row>
        <row r="21">
          <cell r="C21" t="str">
            <v>해운메디칼</v>
          </cell>
          <cell r="D21" t="str">
            <v>A</v>
          </cell>
          <cell r="E21">
            <v>0</v>
          </cell>
          <cell r="F21" t="str">
            <v>국내</v>
          </cell>
        </row>
        <row r="22">
          <cell r="C22" t="str">
            <v>휴비츠</v>
          </cell>
          <cell r="D22" t="str">
            <v>A</v>
          </cell>
          <cell r="E22">
            <v>0</v>
          </cell>
          <cell r="F22" t="str">
            <v>국내</v>
          </cell>
        </row>
        <row r="23">
          <cell r="C23" t="str">
            <v>BK메디칼</v>
          </cell>
          <cell r="D23" t="str">
            <v>A</v>
          </cell>
          <cell r="E23">
            <v>0</v>
          </cell>
          <cell r="F23" t="str">
            <v>국내</v>
          </cell>
        </row>
        <row r="24">
          <cell r="C24" t="str">
            <v>그리스</v>
          </cell>
          <cell r="D24" t="str">
            <v>A</v>
          </cell>
          <cell r="E24">
            <v>0</v>
          </cell>
          <cell r="F24" t="str">
            <v>유럽</v>
          </cell>
        </row>
        <row r="25">
          <cell r="C25" t="str">
            <v>그랜드세이코</v>
          </cell>
          <cell r="D25" t="str">
            <v>?</v>
          </cell>
          <cell r="E25">
            <v>0</v>
          </cell>
          <cell r="F25" t="str">
            <v>A중동</v>
          </cell>
        </row>
        <row r="26">
          <cell r="C26" t="str">
            <v>남아공</v>
          </cell>
          <cell r="D26" t="str">
            <v>A</v>
          </cell>
          <cell r="E26">
            <v>0</v>
          </cell>
          <cell r="F26" t="str">
            <v>아프리카</v>
          </cell>
        </row>
        <row r="27">
          <cell r="C27" t="str">
            <v>네덜란드</v>
          </cell>
          <cell r="D27" t="str">
            <v>A</v>
          </cell>
          <cell r="E27">
            <v>0</v>
          </cell>
          <cell r="F27" t="str">
            <v>유럽</v>
          </cell>
        </row>
        <row r="28">
          <cell r="C28" t="str">
            <v>노르웨이</v>
          </cell>
          <cell r="D28" t="str">
            <v>A</v>
          </cell>
          <cell r="E28">
            <v>0</v>
          </cell>
          <cell r="F28" t="str">
            <v>유럽</v>
          </cell>
        </row>
        <row r="29">
          <cell r="C29" t="str">
            <v>뉴질랜드</v>
          </cell>
          <cell r="D29" t="str">
            <v>A/C</v>
          </cell>
          <cell r="E29">
            <v>0</v>
          </cell>
          <cell r="F29" t="str">
            <v>오세아니아</v>
          </cell>
        </row>
        <row r="30">
          <cell r="C30" t="str">
            <v>대만</v>
          </cell>
          <cell r="D30" t="str">
            <v>A</v>
          </cell>
          <cell r="E30">
            <v>0</v>
          </cell>
          <cell r="F30" t="str">
            <v>A동북</v>
          </cell>
        </row>
        <row r="31">
          <cell r="C31" t="str">
            <v>독일</v>
          </cell>
          <cell r="D31" t="str">
            <v>A</v>
          </cell>
          <cell r="E31">
            <v>0</v>
          </cell>
          <cell r="F31" t="str">
            <v>유럽</v>
          </cell>
        </row>
        <row r="32">
          <cell r="C32" t="str">
            <v>라트비아</v>
          </cell>
          <cell r="D32" t="str">
            <v>A</v>
          </cell>
          <cell r="E32">
            <v>0</v>
          </cell>
          <cell r="F32" t="str">
            <v>유럽</v>
          </cell>
        </row>
        <row r="33">
          <cell r="C33" t="str">
            <v>마케도니아</v>
          </cell>
          <cell r="D33" t="str">
            <v>A</v>
          </cell>
          <cell r="E33">
            <v>0</v>
          </cell>
          <cell r="F33" t="str">
            <v>유럽</v>
          </cell>
        </row>
        <row r="34">
          <cell r="C34" t="str">
            <v>미국</v>
          </cell>
          <cell r="D34" t="str">
            <v>B</v>
          </cell>
          <cell r="E34">
            <v>0</v>
          </cell>
          <cell r="F34" t="str">
            <v>북미</v>
          </cell>
        </row>
        <row r="35">
          <cell r="C35" t="str">
            <v>미국:뷰라이트</v>
          </cell>
          <cell r="D35" t="str">
            <v>B</v>
          </cell>
          <cell r="E35">
            <v>0</v>
          </cell>
          <cell r="F35" t="str">
            <v>북미</v>
          </cell>
        </row>
        <row r="36">
          <cell r="C36" t="str">
            <v>모로코</v>
          </cell>
          <cell r="D36" t="str">
            <v>A</v>
          </cell>
          <cell r="E36">
            <v>0</v>
          </cell>
          <cell r="F36" t="str">
            <v>아프리카</v>
          </cell>
        </row>
        <row r="37">
          <cell r="C37" t="str">
            <v>모리셔스</v>
          </cell>
          <cell r="D37" t="str">
            <v>C</v>
          </cell>
          <cell r="E37">
            <v>0</v>
          </cell>
          <cell r="F37" t="str">
            <v>아프리카</v>
          </cell>
        </row>
        <row r="38">
          <cell r="C38" t="str">
            <v>베네주엘라</v>
          </cell>
          <cell r="D38" t="str">
            <v>A</v>
          </cell>
          <cell r="E38">
            <v>0</v>
          </cell>
          <cell r="F38" t="str">
            <v>남미</v>
          </cell>
        </row>
        <row r="39">
          <cell r="C39" t="str">
            <v>벨기에</v>
          </cell>
          <cell r="D39" t="str">
            <v>C</v>
          </cell>
          <cell r="E39">
            <v>0</v>
          </cell>
          <cell r="F39" t="str">
            <v>유럽</v>
          </cell>
        </row>
        <row r="40">
          <cell r="C40" t="str">
            <v>브라질</v>
          </cell>
          <cell r="D40" t="str">
            <v>A</v>
          </cell>
          <cell r="E40">
            <v>0</v>
          </cell>
          <cell r="F40" t="str">
            <v>남미</v>
          </cell>
        </row>
        <row r="41">
          <cell r="C41" t="str">
            <v>불가리아</v>
          </cell>
          <cell r="D41" t="str">
            <v>A</v>
          </cell>
          <cell r="E41">
            <v>0</v>
          </cell>
          <cell r="F41" t="str">
            <v>유럽</v>
          </cell>
        </row>
        <row r="42">
          <cell r="C42" t="str">
            <v>사우디</v>
          </cell>
          <cell r="D42" t="str">
            <v>A</v>
          </cell>
          <cell r="E42">
            <v>0</v>
          </cell>
          <cell r="F42" t="str">
            <v>A중동</v>
          </cell>
        </row>
        <row r="43">
          <cell r="C43" t="str">
            <v>수단</v>
          </cell>
          <cell r="D43" t="str">
            <v>C</v>
          </cell>
          <cell r="E43">
            <v>0</v>
          </cell>
          <cell r="F43" t="str">
            <v>아프리카</v>
          </cell>
        </row>
        <row r="44">
          <cell r="C44" t="str">
            <v>슬로바키아</v>
          </cell>
          <cell r="D44" t="str">
            <v>A</v>
          </cell>
          <cell r="E44">
            <v>0</v>
          </cell>
          <cell r="F44" t="str">
            <v>유럽</v>
          </cell>
        </row>
        <row r="45">
          <cell r="C45" t="str">
            <v>스페인</v>
          </cell>
          <cell r="D45" t="str">
            <v>A</v>
          </cell>
          <cell r="E45">
            <v>0</v>
          </cell>
          <cell r="F45" t="str">
            <v>유럽</v>
          </cell>
        </row>
        <row r="46">
          <cell r="C46" t="str">
            <v>시리아</v>
          </cell>
          <cell r="D46" t="str">
            <v>A</v>
          </cell>
          <cell r="E46">
            <v>0</v>
          </cell>
          <cell r="F46" t="str">
            <v>A중동</v>
          </cell>
        </row>
        <row r="47">
          <cell r="C47" t="str">
            <v>싱가폴</v>
          </cell>
          <cell r="D47" t="str">
            <v>C</v>
          </cell>
          <cell r="E47">
            <v>0</v>
          </cell>
          <cell r="F47" t="str">
            <v>A동남</v>
          </cell>
        </row>
        <row r="48">
          <cell r="C48" t="str">
            <v>아르헨티나</v>
          </cell>
          <cell r="D48" t="str">
            <v>B</v>
          </cell>
          <cell r="E48">
            <v>0</v>
          </cell>
          <cell r="F48" t="str">
            <v>남미</v>
          </cell>
        </row>
        <row r="49">
          <cell r="C49" t="str">
            <v>알바니아</v>
          </cell>
          <cell r="D49" t="str">
            <v>A</v>
          </cell>
          <cell r="E49">
            <v>0</v>
          </cell>
          <cell r="F49" t="str">
            <v>유럽</v>
          </cell>
        </row>
        <row r="50">
          <cell r="C50" t="str">
            <v>알제리</v>
          </cell>
          <cell r="D50" t="str">
            <v>A</v>
          </cell>
          <cell r="E50">
            <v>0</v>
          </cell>
          <cell r="F50" t="str">
            <v>아프리카</v>
          </cell>
        </row>
        <row r="51">
          <cell r="C51" t="str">
            <v>에실러</v>
          </cell>
          <cell r="D51" t="str">
            <v>A</v>
          </cell>
          <cell r="E51">
            <v>0</v>
          </cell>
          <cell r="F51" t="str">
            <v>유럽</v>
          </cell>
        </row>
        <row r="52">
          <cell r="C52" t="str">
            <v>에스토니아</v>
          </cell>
          <cell r="D52" t="str">
            <v>A</v>
          </cell>
          <cell r="E52">
            <v>0</v>
          </cell>
          <cell r="F52" t="str">
            <v>유럽</v>
          </cell>
        </row>
        <row r="53">
          <cell r="C53" t="str">
            <v>영국</v>
          </cell>
          <cell r="D53" t="str">
            <v>A</v>
          </cell>
          <cell r="E53">
            <v>0</v>
          </cell>
          <cell r="F53" t="str">
            <v>유럽</v>
          </cell>
        </row>
        <row r="54">
          <cell r="C54" t="str">
            <v>예멘</v>
          </cell>
          <cell r="D54" t="str">
            <v>A</v>
          </cell>
          <cell r="E54">
            <v>0</v>
          </cell>
          <cell r="F54" t="str">
            <v>A중동</v>
          </cell>
        </row>
        <row r="55">
          <cell r="C55" t="str">
            <v>오스트리아</v>
          </cell>
          <cell r="D55" t="str">
            <v>A</v>
          </cell>
          <cell r="E55">
            <v>0</v>
          </cell>
          <cell r="F55" t="str">
            <v>유럽</v>
          </cell>
        </row>
        <row r="56">
          <cell r="C56" t="str">
            <v>요르단</v>
          </cell>
          <cell r="D56" t="str">
            <v>A</v>
          </cell>
          <cell r="E56">
            <v>0</v>
          </cell>
          <cell r="F56" t="str">
            <v>A중동</v>
          </cell>
        </row>
        <row r="57">
          <cell r="C57" t="str">
            <v>이란</v>
          </cell>
          <cell r="D57" t="str">
            <v>A</v>
          </cell>
          <cell r="E57">
            <v>0</v>
          </cell>
          <cell r="F57" t="str">
            <v>A중동</v>
          </cell>
        </row>
        <row r="58">
          <cell r="C58" t="str">
            <v>이라크</v>
          </cell>
          <cell r="D58" t="str">
            <v>C</v>
          </cell>
          <cell r="E58">
            <v>0</v>
          </cell>
          <cell r="F58" t="str">
            <v>A중동</v>
          </cell>
        </row>
        <row r="59">
          <cell r="C59" t="str">
            <v>이스라엘</v>
          </cell>
          <cell r="D59" t="str">
            <v>A</v>
          </cell>
          <cell r="E59">
            <v>0</v>
          </cell>
          <cell r="F59" t="str">
            <v>A중동</v>
          </cell>
        </row>
        <row r="60">
          <cell r="C60" t="str">
            <v>이탈리아</v>
          </cell>
          <cell r="D60" t="str">
            <v>A</v>
          </cell>
          <cell r="E60">
            <v>0</v>
          </cell>
          <cell r="F60" t="str">
            <v>유럽</v>
          </cell>
        </row>
        <row r="61">
          <cell r="C61" t="str">
            <v>이집트</v>
          </cell>
          <cell r="D61" t="str">
            <v>A</v>
          </cell>
          <cell r="E61">
            <v>0</v>
          </cell>
          <cell r="F61" t="str">
            <v>아프리카</v>
          </cell>
        </row>
        <row r="62">
          <cell r="C62" t="str">
            <v>인도</v>
          </cell>
          <cell r="D62" t="str">
            <v>A</v>
          </cell>
          <cell r="E62">
            <v>0</v>
          </cell>
          <cell r="F62" t="str">
            <v>A동남</v>
          </cell>
        </row>
        <row r="63">
          <cell r="C63" t="str">
            <v>일본</v>
          </cell>
          <cell r="D63" t="str">
            <v>A</v>
          </cell>
          <cell r="E63">
            <v>0</v>
          </cell>
          <cell r="F63" t="str">
            <v>A동북</v>
          </cell>
        </row>
        <row r="64">
          <cell r="C64" t="str">
            <v>중국</v>
          </cell>
          <cell r="D64" t="str">
            <v>A</v>
          </cell>
          <cell r="E64">
            <v>0</v>
          </cell>
          <cell r="F64" t="str">
            <v>A동북</v>
          </cell>
        </row>
        <row r="65">
          <cell r="C65" t="str">
            <v>체코</v>
          </cell>
          <cell r="D65" t="str">
            <v>A</v>
          </cell>
          <cell r="E65">
            <v>0</v>
          </cell>
          <cell r="F65" t="str">
            <v>유럽</v>
          </cell>
        </row>
        <row r="66">
          <cell r="C66" t="str">
            <v>캐나다</v>
          </cell>
          <cell r="D66" t="str">
            <v>A</v>
          </cell>
          <cell r="E66">
            <v>0</v>
          </cell>
          <cell r="F66" t="str">
            <v>북미</v>
          </cell>
        </row>
        <row r="67">
          <cell r="C67" t="str">
            <v>케냐</v>
          </cell>
          <cell r="D67" t="str">
            <v>A</v>
          </cell>
          <cell r="E67">
            <v>0</v>
          </cell>
          <cell r="F67" t="str">
            <v>아프리카</v>
          </cell>
        </row>
        <row r="68">
          <cell r="C68" t="str">
            <v>콜롬비아</v>
          </cell>
          <cell r="D68" t="str">
            <v>B</v>
          </cell>
          <cell r="E68">
            <v>0</v>
          </cell>
          <cell r="F68" t="str">
            <v>남미</v>
          </cell>
        </row>
        <row r="69">
          <cell r="C69" t="str">
            <v>크로아티아</v>
          </cell>
          <cell r="D69" t="str">
            <v>A</v>
          </cell>
          <cell r="E69">
            <v>0</v>
          </cell>
          <cell r="F69" t="str">
            <v>유럽</v>
          </cell>
        </row>
        <row r="70">
          <cell r="C70" t="str">
            <v>탑콘(토쿄)</v>
          </cell>
          <cell r="D70" t="str">
            <v>A</v>
          </cell>
          <cell r="E70">
            <v>0</v>
          </cell>
          <cell r="F70" t="str">
            <v>A동북</v>
          </cell>
        </row>
        <row r="71">
          <cell r="C71" t="str">
            <v>태국</v>
          </cell>
          <cell r="D71" t="str">
            <v>C</v>
          </cell>
          <cell r="E71" t="str">
            <v>중복</v>
          </cell>
          <cell r="F71" t="str">
            <v>A동남</v>
          </cell>
        </row>
        <row r="72">
          <cell r="C72" t="str">
            <v>태국</v>
          </cell>
          <cell r="D72" t="str">
            <v>B</v>
          </cell>
          <cell r="E72" t="str">
            <v>중복</v>
          </cell>
          <cell r="F72" t="str">
            <v>A동남</v>
          </cell>
        </row>
        <row r="73">
          <cell r="C73" t="str">
            <v>터키</v>
          </cell>
          <cell r="D73" t="str">
            <v>A</v>
          </cell>
          <cell r="E73">
            <v>0</v>
          </cell>
          <cell r="F73" t="str">
            <v>A중동</v>
          </cell>
        </row>
        <row r="74">
          <cell r="C74" t="str">
            <v>튀니지</v>
          </cell>
          <cell r="D74" t="str">
            <v>B</v>
          </cell>
          <cell r="E74">
            <v>0</v>
          </cell>
          <cell r="F74" t="str">
            <v>아프리카</v>
          </cell>
        </row>
        <row r="75">
          <cell r="C75" t="str">
            <v>파키스탄</v>
          </cell>
          <cell r="D75" t="str">
            <v>A</v>
          </cell>
          <cell r="E75">
            <v>0</v>
          </cell>
          <cell r="F75" t="str">
            <v>A중동</v>
          </cell>
        </row>
        <row r="76">
          <cell r="C76" t="str">
            <v>팔레스타인</v>
          </cell>
          <cell r="D76" t="str">
            <v>A</v>
          </cell>
          <cell r="E76">
            <v>0</v>
          </cell>
          <cell r="F76" t="str">
            <v>A중동</v>
          </cell>
        </row>
        <row r="77">
          <cell r="C77" t="str">
            <v>페루</v>
          </cell>
          <cell r="D77" t="str">
            <v>B</v>
          </cell>
          <cell r="E77">
            <v>0</v>
          </cell>
          <cell r="F77" t="str">
            <v>남미</v>
          </cell>
        </row>
        <row r="78">
          <cell r="C78" t="str">
            <v>포르투갈</v>
          </cell>
          <cell r="D78" t="str">
            <v>A</v>
          </cell>
          <cell r="E78">
            <v>0</v>
          </cell>
          <cell r="F78" t="str">
            <v>유럽</v>
          </cell>
        </row>
        <row r="79">
          <cell r="C79" t="str">
            <v>폴란드</v>
          </cell>
          <cell r="D79" t="str">
            <v>A</v>
          </cell>
          <cell r="E79">
            <v>0</v>
          </cell>
          <cell r="F79" t="str">
            <v>유럽</v>
          </cell>
        </row>
        <row r="80">
          <cell r="C80" t="str">
            <v>푸에토리코</v>
          </cell>
          <cell r="D80" t="str">
            <v>A</v>
          </cell>
          <cell r="E80">
            <v>0</v>
          </cell>
          <cell r="F80" t="str">
            <v>북미</v>
          </cell>
        </row>
        <row r="81">
          <cell r="C81" t="str">
            <v>프랑스</v>
          </cell>
          <cell r="D81" t="str">
            <v>A</v>
          </cell>
          <cell r="E81">
            <v>0</v>
          </cell>
          <cell r="F81" t="str">
            <v>유럽</v>
          </cell>
        </row>
        <row r="82">
          <cell r="C82" t="str">
            <v>핀란드</v>
          </cell>
          <cell r="D82" t="str">
            <v>A</v>
          </cell>
          <cell r="E82">
            <v>0</v>
          </cell>
          <cell r="F82" t="str">
            <v>유럽</v>
          </cell>
        </row>
        <row r="83">
          <cell r="C83" t="str">
            <v>헝가리</v>
          </cell>
          <cell r="D83" t="str">
            <v>A</v>
          </cell>
          <cell r="E83">
            <v>0</v>
          </cell>
          <cell r="F83" t="str">
            <v>유럽</v>
          </cell>
        </row>
        <row r="84">
          <cell r="C84" t="str">
            <v>호주</v>
          </cell>
          <cell r="D84" t="str">
            <v>C</v>
          </cell>
          <cell r="E84">
            <v>0</v>
          </cell>
          <cell r="F84" t="str">
            <v>오세아니아</v>
          </cell>
        </row>
        <row r="85">
          <cell r="C85" t="str">
            <v>홍콩</v>
          </cell>
          <cell r="D85" t="str">
            <v>A</v>
          </cell>
          <cell r="E85">
            <v>0</v>
          </cell>
          <cell r="F85" t="str">
            <v>A동남</v>
          </cell>
        </row>
        <row r="86">
          <cell r="C86" t="str">
            <v>UAE</v>
          </cell>
          <cell r="D86" t="str">
            <v>A</v>
          </cell>
          <cell r="E86">
            <v>0</v>
          </cell>
          <cell r="F86" t="str">
            <v>A중동</v>
          </cell>
        </row>
        <row r="87">
          <cell r="C87" t="str">
            <v>LTO</v>
          </cell>
          <cell r="D87" t="str">
            <v>X</v>
          </cell>
          <cell r="E87">
            <v>0</v>
          </cell>
          <cell r="F87" t="str">
            <v>유럽</v>
          </cell>
        </row>
        <row r="88">
          <cell r="C88" t="str">
            <v>국내영업</v>
          </cell>
          <cell r="D88" t="str">
            <v>A</v>
          </cell>
          <cell r="E88">
            <v>0</v>
          </cell>
          <cell r="F88" t="str">
            <v>국내</v>
          </cell>
        </row>
        <row r="89">
          <cell r="C89" t="str">
            <v>해외영업</v>
          </cell>
          <cell r="D89" t="str">
            <v>?</v>
          </cell>
          <cell r="E89">
            <v>0</v>
          </cell>
          <cell r="F89" t="str">
            <v>해외</v>
          </cell>
        </row>
        <row r="90">
          <cell r="D90" t="str">
            <v>?</v>
          </cell>
          <cell r="F90" t="str">
            <v>해외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BF654"/>
  <sheetViews>
    <sheetView showGridLines="0" zoomScaleNormal="100" workbookViewId="0">
      <pane xSplit="4" ySplit="3" topLeftCell="E151" activePane="bottomRight" state="frozen"/>
      <selection pane="topRight" activeCell="E1" sqref="E1"/>
      <selection pane="bottomLeft" activeCell="A5" sqref="A5"/>
      <selection pane="bottomRight" activeCell="E52" sqref="E52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6.5" style="7" customWidth="1"/>
    <col min="6" max="6" width="10.625" style="1" customWidth="1" outlineLevel="1"/>
    <col min="7" max="7" width="17.375" style="8" customWidth="1" collapsed="1"/>
    <col min="8" max="8" width="15.625" style="8" customWidth="1"/>
    <col min="9" max="10" width="11.25" style="1" customWidth="1" outlineLevel="1"/>
    <col min="11" max="11" width="7.5" style="1" customWidth="1" collapsed="1"/>
    <col min="12" max="14" width="8.5" style="8" customWidth="1" outlineLevel="1"/>
    <col min="15" max="15" width="7.5" style="1" customWidth="1" collapsed="1"/>
    <col min="16" max="16" width="5" style="1" customWidth="1" outlineLevel="1"/>
    <col min="17" max="17" width="5" style="43" customWidth="1" outlineLevel="1"/>
    <col min="18" max="18" width="5" style="1" customWidth="1" outlineLevel="1"/>
    <col min="19" max="19" width="5" style="43" customWidth="1" outlineLevel="1"/>
    <col min="20" max="20" width="5" style="1" customWidth="1" outlineLevel="1"/>
    <col min="21" max="21" width="5" style="43" customWidth="1" outlineLevel="1"/>
    <col min="22" max="22" width="5.625" style="1" customWidth="1" collapsed="1"/>
    <col min="23" max="23" width="5" style="1" customWidth="1" outlineLevel="1"/>
    <col min="24" max="24" width="5" style="43" customWidth="1" outlineLevel="1"/>
    <col min="25" max="25" width="5" style="1" customWidth="1" outlineLevel="1"/>
    <col min="26" max="26" width="5" style="43" customWidth="1" outlineLevel="1"/>
    <col min="27" max="27" width="5" style="1" customWidth="1" outlineLevel="1"/>
    <col min="28" max="28" width="5" style="43" customWidth="1" outlineLevel="1"/>
    <col min="29" max="29" width="5" style="1" customWidth="1" outlineLevel="1"/>
    <col min="30" max="30" width="5" style="43" customWidth="1" outlineLevel="1"/>
    <col min="31" max="31" width="5.625" style="1" customWidth="1" collapsed="1"/>
    <col min="32" max="32" width="5.625" style="100" customWidth="1" outlineLevel="1"/>
    <col min="33" max="33" width="5.625" style="45" customWidth="1" outlineLevel="1"/>
    <col min="34" max="34" width="5.625" style="1" customWidth="1" outlineLevel="1"/>
    <col min="35" max="35" width="5.625" style="45" customWidth="1" outlineLevel="1"/>
    <col min="36" max="36" width="5.625" style="1" customWidth="1" outlineLevel="1"/>
    <col min="37" max="37" width="5.625" style="45" customWidth="1" outlineLevel="1"/>
    <col min="38" max="38" width="5.625" style="1" customWidth="1" outlineLevel="1"/>
    <col min="39" max="39" width="5.625" style="45" customWidth="1" outlineLevel="1"/>
    <col min="40" max="40" width="5.625" style="1" customWidth="1" outlineLevel="1"/>
    <col min="41" max="41" width="5.625" style="45" customWidth="1" outlineLevel="1"/>
    <col min="42" max="42" width="5.625" style="1" customWidth="1" outlineLevel="1"/>
    <col min="43" max="43" width="5.625" style="45" customWidth="1" outlineLevel="1"/>
    <col min="44" max="44" width="5.625" style="1" customWidth="1" outlineLevel="1"/>
    <col min="45" max="45" width="5.625" style="45" customWidth="1" outlineLevel="1"/>
    <col min="46" max="46" width="5.625" style="1" customWidth="1" outlineLevel="1"/>
    <col min="47" max="47" width="5.625" style="45" customWidth="1" outlineLevel="1"/>
    <col min="48" max="48" width="5.625" style="1" customWidth="1" outlineLevel="1"/>
    <col min="49" max="49" width="5.625" style="45" customWidth="1" outlineLevel="1"/>
    <col min="50" max="50" width="5.625" style="1" customWidth="1" outlineLevel="1"/>
    <col min="51" max="51" width="5.625" style="45" customWidth="1" outlineLevel="1"/>
    <col min="52" max="52" width="5.625" style="1" customWidth="1"/>
    <col min="53" max="53" width="5" style="1" customWidth="1" outlineLevel="1"/>
    <col min="54" max="54" width="5" style="43" customWidth="1" outlineLevel="1"/>
    <col min="55" max="55" width="5" style="1" customWidth="1" outlineLevel="1"/>
    <col min="56" max="56" width="5" style="43" customWidth="1" outlineLevel="1"/>
    <col min="57" max="57" width="5.625" style="1" customWidth="1" collapsed="1"/>
    <col min="58" max="58" width="9" style="8" customWidth="1"/>
    <col min="59" max="68" width="9" style="1" customWidth="1"/>
    <col min="69" max="16384" width="9" style="1"/>
  </cols>
  <sheetData>
    <row r="1" spans="1:58" ht="27" customHeight="1">
      <c r="B1" s="2"/>
      <c r="C1" s="105" t="s">
        <v>0</v>
      </c>
      <c r="D1" s="106"/>
      <c r="E1" s="2"/>
      <c r="F1" s="2"/>
      <c r="G1" s="2"/>
      <c r="H1" s="2"/>
      <c r="I1" s="2"/>
      <c r="J1" s="2"/>
      <c r="K1" s="2"/>
      <c r="L1" s="2"/>
      <c r="M1" s="2"/>
      <c r="N1" s="2"/>
      <c r="O1" s="37"/>
      <c r="P1" s="2"/>
      <c r="Q1" s="40"/>
    </row>
    <row r="2" spans="1:58">
      <c r="A2" s="3"/>
      <c r="B2" s="3"/>
      <c r="C2" s="90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1"/>
    </row>
    <row r="3" spans="1:58" s="4" customFormat="1" ht="36" customHeight="1">
      <c r="A3" s="25" t="s">
        <v>1</v>
      </c>
      <c r="B3" s="26" t="s">
        <v>2</v>
      </c>
      <c r="C3" s="91"/>
      <c r="D3" s="55" t="s">
        <v>3</v>
      </c>
      <c r="E3" s="27" t="s">
        <v>4</v>
      </c>
      <c r="F3" s="28" t="s">
        <v>5</v>
      </c>
      <c r="G3" s="29" t="s">
        <v>6</v>
      </c>
      <c r="H3" s="29" t="s">
        <v>7</v>
      </c>
      <c r="I3" s="30" t="s">
        <v>8</v>
      </c>
      <c r="J3" s="28" t="s">
        <v>9</v>
      </c>
      <c r="K3" s="31" t="s">
        <v>10</v>
      </c>
      <c r="L3" s="32" t="s">
        <v>11</v>
      </c>
      <c r="M3" s="32" t="s">
        <v>12</v>
      </c>
      <c r="N3" s="32" t="s">
        <v>13</v>
      </c>
      <c r="O3" s="31" t="s">
        <v>14</v>
      </c>
      <c r="P3" s="111" t="s">
        <v>15</v>
      </c>
      <c r="Q3" s="108"/>
      <c r="R3" s="108"/>
      <c r="S3" s="108"/>
      <c r="T3" s="108"/>
      <c r="U3" s="109"/>
      <c r="V3" s="34" t="s">
        <v>16</v>
      </c>
      <c r="W3" s="112" t="s">
        <v>17</v>
      </c>
      <c r="X3" s="113"/>
      <c r="Y3" s="113"/>
      <c r="Z3" s="113"/>
      <c r="AA3" s="113"/>
      <c r="AB3" s="113"/>
      <c r="AC3" s="113"/>
      <c r="AD3" s="114"/>
      <c r="AE3" s="34" t="s">
        <v>18</v>
      </c>
      <c r="AF3" s="107" t="s">
        <v>19</v>
      </c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9"/>
      <c r="AZ3" s="33" t="s">
        <v>20</v>
      </c>
      <c r="BA3" s="110" t="s">
        <v>21</v>
      </c>
      <c r="BB3" s="108"/>
      <c r="BC3" s="108"/>
      <c r="BD3" s="109"/>
      <c r="BE3" s="33" t="s">
        <v>22</v>
      </c>
      <c r="BF3" s="39"/>
    </row>
    <row r="4" spans="1:58" ht="22.5" customHeight="1">
      <c r="A4" s="9"/>
      <c r="B4" s="16" t="s">
        <v>23</v>
      </c>
      <c r="C4" s="89" t="s">
        <v>24</v>
      </c>
      <c r="D4" s="56" t="s">
        <v>25</v>
      </c>
      <c r="E4" s="11" t="s">
        <v>26</v>
      </c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ref="O4:O67" si="0">K4+V4-AE4-AZ4</f>
        <v>0</v>
      </c>
      <c r="P4" s="12"/>
      <c r="Q4" s="42"/>
      <c r="R4" s="15"/>
      <c r="S4" s="44"/>
      <c r="T4" s="15"/>
      <c r="U4" s="44"/>
      <c r="V4" s="15">
        <f t="shared" ref="V4:V67" si="1">P4+R4+T4</f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ref="AE4:AE67" si="2">(W4+Y4+AA4+AC4)</f>
        <v>0</v>
      </c>
      <c r="AF4" s="101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15"/>
      <c r="BB4" s="44"/>
      <c r="BC4" s="15"/>
      <c r="BD4" s="44"/>
      <c r="BE4" s="15"/>
    </row>
    <row r="5" spans="1:58" ht="22.5" customHeight="1">
      <c r="A5" s="9"/>
      <c r="B5" s="16" t="s">
        <v>27</v>
      </c>
      <c r="C5" s="89" t="s">
        <v>24</v>
      </c>
      <c r="D5" s="56" t="s">
        <v>28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01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ref="AZ5:AZ35" si="3">AF5+AH5+AJ5+AL5+AN5+AP5+AR5+AT5+AV5+AX5</f>
        <v>0</v>
      </c>
      <c r="BA5" s="15"/>
      <c r="BB5" s="44"/>
      <c r="BC5" s="15"/>
      <c r="BD5" s="44"/>
      <c r="BE5" s="15">
        <f t="shared" ref="BE5:BE35" si="4">(BA5+BC5)</f>
        <v>0</v>
      </c>
    </row>
    <row r="6" spans="1:58" ht="22.5" customHeight="1">
      <c r="A6" s="9"/>
      <c r="B6" s="16" t="s">
        <v>27</v>
      </c>
      <c r="C6" s="89" t="s">
        <v>24</v>
      </c>
      <c r="D6" s="56" t="s">
        <v>28</v>
      </c>
      <c r="E6" s="11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01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8" ht="22.5" customHeight="1">
      <c r="A7" s="9"/>
      <c r="B7" s="16" t="s">
        <v>29</v>
      </c>
      <c r="C7" s="89" t="s">
        <v>30</v>
      </c>
      <c r="D7" s="56" t="s">
        <v>29</v>
      </c>
      <c r="E7" s="11"/>
      <c r="F7" s="95"/>
      <c r="G7" s="9"/>
      <c r="H7" s="9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01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8" ht="22.5" customHeight="1">
      <c r="A8" s="9"/>
      <c r="B8" s="16" t="s">
        <v>31</v>
      </c>
      <c r="C8" s="89" t="s">
        <v>24</v>
      </c>
      <c r="D8" s="56" t="s">
        <v>32</v>
      </c>
      <c r="E8" s="35"/>
      <c r="F8" s="95"/>
      <c r="G8" s="9"/>
      <c r="H8" s="9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01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8" ht="22.5" customHeight="1">
      <c r="A9" s="9"/>
      <c r="B9" s="16" t="s">
        <v>31</v>
      </c>
      <c r="C9" s="89" t="s">
        <v>24</v>
      </c>
      <c r="D9" s="58" t="s">
        <v>33</v>
      </c>
      <c r="E9" s="11"/>
      <c r="F9" s="95"/>
      <c r="G9" s="21"/>
      <c r="H9" s="21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01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8" ht="22.5" customHeight="1">
      <c r="A10" s="9"/>
      <c r="B10" s="18" t="s">
        <v>34</v>
      </c>
      <c r="C10" s="89" t="s">
        <v>24</v>
      </c>
      <c r="D10" s="56" t="s">
        <v>35</v>
      </c>
      <c r="E10" s="35"/>
      <c r="F10" s="95"/>
      <c r="G10" s="21"/>
      <c r="H10" s="21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01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8" ht="22.5" customHeight="1">
      <c r="A11" s="9"/>
      <c r="B11" s="18" t="s">
        <v>34</v>
      </c>
      <c r="C11" s="89" t="s">
        <v>24</v>
      </c>
      <c r="D11" s="56" t="s">
        <v>36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01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8" ht="22.5" customHeight="1">
      <c r="A12" s="9"/>
      <c r="B12" s="16" t="s">
        <v>37</v>
      </c>
      <c r="C12" s="89" t="s">
        <v>24</v>
      </c>
      <c r="D12" s="58" t="s">
        <v>37</v>
      </c>
      <c r="E12" s="11"/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01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8" ht="22.5" customHeight="1">
      <c r="A13" s="9"/>
      <c r="B13" s="16" t="s">
        <v>37</v>
      </c>
      <c r="C13" s="89" t="s">
        <v>24</v>
      </c>
      <c r="D13" s="58" t="s">
        <v>38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01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8" ht="22.5" customHeight="1">
      <c r="A14" s="9"/>
      <c r="B14" s="16" t="s">
        <v>23</v>
      </c>
      <c r="C14" s="89" t="s">
        <v>39</v>
      </c>
      <c r="D14" s="56" t="s">
        <v>40</v>
      </c>
      <c r="E14" s="11" t="s">
        <v>26</v>
      </c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01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8" ht="22.5" customHeight="1">
      <c r="A15" s="9"/>
      <c r="B15" s="16" t="s">
        <v>27</v>
      </c>
      <c r="C15" s="89" t="s">
        <v>39</v>
      </c>
      <c r="D15" s="56" t="s">
        <v>28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01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8" ht="22.5" customHeight="1">
      <c r="A16" s="9"/>
      <c r="B16" s="16" t="s">
        <v>31</v>
      </c>
      <c r="C16" s="89" t="s">
        <v>39</v>
      </c>
      <c r="D16" s="56" t="s">
        <v>32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01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 s="8" customFormat="1" ht="22.5" customHeight="1">
      <c r="A17" s="9"/>
      <c r="B17" s="16" t="s">
        <v>31</v>
      </c>
      <c r="C17" s="89" t="s">
        <v>39</v>
      </c>
      <c r="D17" s="56" t="s">
        <v>41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01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 ht="22.5" customHeight="1">
      <c r="A18" s="9"/>
      <c r="B18" s="16" t="s">
        <v>31</v>
      </c>
      <c r="C18" s="89" t="s">
        <v>39</v>
      </c>
      <c r="D18" s="58" t="s">
        <v>33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01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 ht="22.5" customHeight="1">
      <c r="A19" s="9"/>
      <c r="B19" s="18" t="s">
        <v>34</v>
      </c>
      <c r="C19" s="89" t="s">
        <v>39</v>
      </c>
      <c r="D19" s="56" t="s">
        <v>35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01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 ht="22.5" customHeight="1">
      <c r="A20" s="9"/>
      <c r="B20" s="18" t="s">
        <v>34</v>
      </c>
      <c r="C20" s="89" t="s">
        <v>39</v>
      </c>
      <c r="D20" s="56" t="s">
        <v>42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01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2.5" customHeight="1">
      <c r="A21" s="9"/>
      <c r="B21" s="16" t="s">
        <v>37</v>
      </c>
      <c r="C21" s="89" t="s">
        <v>39</v>
      </c>
      <c r="D21" s="58" t="s">
        <v>37</v>
      </c>
      <c r="E21" s="11"/>
      <c r="F21" s="95"/>
      <c r="G21" s="9"/>
      <c r="H21" s="9"/>
      <c r="I21" s="14"/>
      <c r="J21" s="14"/>
      <c r="K21" s="12">
        <v>0</v>
      </c>
      <c r="L21" s="9"/>
      <c r="M21" s="9"/>
      <c r="N21" s="9"/>
      <c r="O21" s="38">
        <f t="shared" si="0"/>
        <v>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01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 ht="22.5" customHeight="1">
      <c r="A22" s="9"/>
      <c r="B22" s="16" t="s">
        <v>37</v>
      </c>
      <c r="C22" s="89" t="s">
        <v>39</v>
      </c>
      <c r="D22" s="58" t="s">
        <v>38</v>
      </c>
      <c r="E22" s="11"/>
      <c r="F22" s="95"/>
      <c r="G22" s="9"/>
      <c r="H22" s="9"/>
      <c r="I22" s="14"/>
      <c r="J22" s="14"/>
      <c r="K22" s="12">
        <v>0</v>
      </c>
      <c r="L22" s="9"/>
      <c r="M22" s="9"/>
      <c r="N22" s="9"/>
      <c r="O22" s="38">
        <f t="shared" si="0"/>
        <v>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01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 ht="22.5" customHeight="1">
      <c r="A23" s="9"/>
      <c r="B23" s="16" t="s">
        <v>43</v>
      </c>
      <c r="C23" s="89" t="s">
        <v>44</v>
      </c>
      <c r="D23" s="56" t="s">
        <v>45</v>
      </c>
      <c r="E23" s="11" t="s">
        <v>46</v>
      </c>
      <c r="F23" s="95"/>
      <c r="G23" s="9"/>
      <c r="H23" s="9" t="s">
        <v>47</v>
      </c>
      <c r="I23" s="14"/>
      <c r="J23" s="14"/>
      <c r="K23" s="12">
        <v>1000</v>
      </c>
      <c r="L23" s="9"/>
      <c r="M23" s="9"/>
      <c r="N23" s="9"/>
      <c r="O23" s="38">
        <f t="shared" si="0"/>
        <v>1000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01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 ht="22.5" customHeight="1">
      <c r="A24" s="9"/>
      <c r="B24" s="16" t="s">
        <v>43</v>
      </c>
      <c r="C24" s="89" t="s">
        <v>48</v>
      </c>
      <c r="D24" s="56" t="s">
        <v>45</v>
      </c>
      <c r="E24" s="11" t="s">
        <v>49</v>
      </c>
      <c r="F24" s="95"/>
      <c r="G24" s="9"/>
      <c r="H24" s="9" t="s">
        <v>47</v>
      </c>
      <c r="I24" s="14"/>
      <c r="J24" s="14"/>
      <c r="K24" s="12">
        <v>400</v>
      </c>
      <c r="L24" s="9"/>
      <c r="M24" s="9"/>
      <c r="N24" s="9"/>
      <c r="O24" s="38">
        <f t="shared" si="0"/>
        <v>400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01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 ht="22.5" customHeight="1">
      <c r="A25" s="9"/>
      <c r="B25" s="16" t="s">
        <v>43</v>
      </c>
      <c r="C25" s="89" t="s">
        <v>50</v>
      </c>
      <c r="D25" s="56" t="s">
        <v>45</v>
      </c>
      <c r="E25" s="11" t="s">
        <v>51</v>
      </c>
      <c r="F25" s="95"/>
      <c r="G25" s="9"/>
      <c r="H25" s="9"/>
      <c r="I25" s="14"/>
      <c r="J25" s="14"/>
      <c r="K25" s="12">
        <v>0</v>
      </c>
      <c r="L25" s="9"/>
      <c r="M25" s="9"/>
      <c r="N25" s="9"/>
      <c r="O25" s="38">
        <f t="shared" si="0"/>
        <v>0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01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 ht="22.5" customHeight="1">
      <c r="A26" s="9"/>
      <c r="B26" s="16" t="s">
        <v>43</v>
      </c>
      <c r="C26" s="89" t="s">
        <v>52</v>
      </c>
      <c r="D26" s="56" t="s">
        <v>45</v>
      </c>
      <c r="E26" s="11" t="s">
        <v>53</v>
      </c>
      <c r="F26" s="95"/>
      <c r="G26" s="9"/>
      <c r="H26" s="9" t="s">
        <v>47</v>
      </c>
      <c r="I26" s="14"/>
      <c r="J26" s="14"/>
      <c r="K26" s="12">
        <v>500</v>
      </c>
      <c r="L26" s="9"/>
      <c r="M26" s="9"/>
      <c r="N26" s="9"/>
      <c r="O26" s="38">
        <f t="shared" si="0"/>
        <v>500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01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22.5" customHeight="1">
      <c r="A27" s="9"/>
      <c r="B27" s="16" t="s">
        <v>43</v>
      </c>
      <c r="C27" s="89" t="s">
        <v>52</v>
      </c>
      <c r="D27" s="56" t="s">
        <v>45</v>
      </c>
      <c r="E27" s="11" t="s">
        <v>54</v>
      </c>
      <c r="F27" s="95"/>
      <c r="G27" s="9"/>
      <c r="H27" s="9" t="s">
        <v>55</v>
      </c>
      <c r="I27" s="14"/>
      <c r="J27" s="14"/>
      <c r="K27" s="12">
        <v>622</v>
      </c>
      <c r="L27" s="9"/>
      <c r="M27" s="9"/>
      <c r="N27" s="9"/>
      <c r="O27" s="38">
        <f t="shared" si="0"/>
        <v>622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01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 ht="22.5" customHeight="1">
      <c r="A28" s="9"/>
      <c r="B28" s="16" t="s">
        <v>43</v>
      </c>
      <c r="C28" s="89" t="s">
        <v>56</v>
      </c>
      <c r="D28" s="56" t="s">
        <v>45</v>
      </c>
      <c r="E28" s="11" t="s">
        <v>57</v>
      </c>
      <c r="F28" s="95"/>
      <c r="G28" s="9"/>
      <c r="H28" s="9"/>
      <c r="I28" s="14"/>
      <c r="J28" s="14"/>
      <c r="K28" s="12">
        <v>0</v>
      </c>
      <c r="L28" s="9"/>
      <c r="M28" s="9"/>
      <c r="N28" s="9"/>
      <c r="O28" s="38">
        <f t="shared" si="0"/>
        <v>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01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 ht="22.5" customHeight="1">
      <c r="A29" s="9"/>
      <c r="B29" s="16" t="s">
        <v>58</v>
      </c>
      <c r="C29" s="89" t="s">
        <v>59</v>
      </c>
      <c r="D29" s="57" t="s">
        <v>60</v>
      </c>
      <c r="E29" s="11" t="s">
        <v>58</v>
      </c>
      <c r="F29" s="95"/>
      <c r="G29" s="9"/>
      <c r="H29" s="9" t="s">
        <v>61</v>
      </c>
      <c r="I29" s="14"/>
      <c r="J29" s="14"/>
      <c r="K29" s="12">
        <v>800</v>
      </c>
      <c r="L29" s="9"/>
      <c r="M29" s="9"/>
      <c r="N29" s="9"/>
      <c r="O29" s="38">
        <f t="shared" si="0"/>
        <v>800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01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22.5" customHeight="1">
      <c r="A30" s="9"/>
      <c r="B30" s="18" t="s">
        <v>62</v>
      </c>
      <c r="C30" s="89" t="s">
        <v>48</v>
      </c>
      <c r="D30" s="58" t="s">
        <v>60</v>
      </c>
      <c r="E30" s="35" t="s">
        <v>62</v>
      </c>
      <c r="F30" s="95"/>
      <c r="G30" s="21"/>
      <c r="H30" s="21" t="s">
        <v>61</v>
      </c>
      <c r="I30" s="14"/>
      <c r="J30" s="14"/>
      <c r="K30" s="12">
        <v>360</v>
      </c>
      <c r="L30" s="9"/>
      <c r="M30" s="9"/>
      <c r="N30" s="9"/>
      <c r="O30" s="38">
        <f t="shared" si="0"/>
        <v>360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01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2.5" customHeight="1">
      <c r="A31" s="9"/>
      <c r="B31" s="18" t="s">
        <v>62</v>
      </c>
      <c r="C31" s="89" t="s">
        <v>50</v>
      </c>
      <c r="D31" s="58" t="s">
        <v>60</v>
      </c>
      <c r="E31" s="35" t="s">
        <v>62</v>
      </c>
      <c r="F31" s="95"/>
      <c r="G31" s="21"/>
      <c r="H31" s="21" t="s">
        <v>61</v>
      </c>
      <c r="I31" s="14"/>
      <c r="J31" s="14"/>
      <c r="K31" s="12">
        <v>100</v>
      </c>
      <c r="L31" s="9"/>
      <c r="M31" s="9"/>
      <c r="N31" s="9"/>
      <c r="O31" s="38">
        <f t="shared" si="0"/>
        <v>100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01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22.5" customHeight="1">
      <c r="A32" s="9"/>
      <c r="B32" s="16" t="s">
        <v>63</v>
      </c>
      <c r="C32" s="89" t="s">
        <v>64</v>
      </c>
      <c r="D32" s="59" t="s">
        <v>65</v>
      </c>
      <c r="E32" s="11" t="s">
        <v>66</v>
      </c>
      <c r="F32" s="95"/>
      <c r="G32" s="9"/>
      <c r="H32" s="9" t="s">
        <v>67</v>
      </c>
      <c r="I32" s="14"/>
      <c r="J32" s="14"/>
      <c r="K32" s="12">
        <v>1000</v>
      </c>
      <c r="L32" s="9"/>
      <c r="M32" s="9"/>
      <c r="N32" s="9"/>
      <c r="O32" s="38">
        <f t="shared" si="0"/>
        <v>1000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01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 ht="22.5" customHeight="1">
      <c r="A33" s="9"/>
      <c r="B33" s="16" t="s">
        <v>68</v>
      </c>
      <c r="C33" s="89" t="s">
        <v>44</v>
      </c>
      <c r="D33" s="56" t="s">
        <v>69</v>
      </c>
      <c r="E33" s="11" t="s">
        <v>70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01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2.5" customHeight="1">
      <c r="A34" s="9"/>
      <c r="B34" s="16" t="s">
        <v>68</v>
      </c>
      <c r="C34" s="89" t="s">
        <v>59</v>
      </c>
      <c r="D34" s="56" t="s">
        <v>69</v>
      </c>
      <c r="E34" s="11" t="s">
        <v>72</v>
      </c>
      <c r="F34" s="95"/>
      <c r="G34" s="9"/>
      <c r="H34" s="9" t="s">
        <v>71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01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22.5" customHeight="1">
      <c r="A35" s="9"/>
      <c r="B35" s="16" t="s">
        <v>68</v>
      </c>
      <c r="C35" s="89" t="s">
        <v>48</v>
      </c>
      <c r="D35" s="56" t="s">
        <v>69</v>
      </c>
      <c r="E35" s="11" t="s">
        <v>73</v>
      </c>
      <c r="F35" s="95"/>
      <c r="G35" s="9"/>
      <c r="H35" s="9" t="s">
        <v>71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01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si="4"/>
        <v>0</v>
      </c>
    </row>
    <row r="36" spans="1:57" ht="22.5" customHeight="1">
      <c r="A36" s="9"/>
      <c r="B36" s="16" t="s">
        <v>68</v>
      </c>
      <c r="C36" s="89" t="s">
        <v>48</v>
      </c>
      <c r="D36" s="56" t="s">
        <v>74</v>
      </c>
      <c r="E36" s="11" t="s">
        <v>75</v>
      </c>
      <c r="F36" s="95"/>
      <c r="G36" s="9"/>
      <c r="H36" s="9" t="s">
        <v>67</v>
      </c>
      <c r="I36" s="14"/>
      <c r="J36" s="14"/>
      <c r="K36" s="12">
        <v>1000</v>
      </c>
      <c r="L36" s="9"/>
      <c r="M36" s="9"/>
      <c r="N36" s="9"/>
      <c r="O36" s="38">
        <f t="shared" si="0"/>
        <v>1000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01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15"/>
      <c r="BB36" s="44"/>
      <c r="BC36" s="15"/>
      <c r="BD36" s="44"/>
      <c r="BE36" s="15"/>
    </row>
    <row r="37" spans="1:57" ht="22.5" customHeight="1">
      <c r="A37" s="9"/>
      <c r="B37" s="16" t="s">
        <v>76</v>
      </c>
      <c r="C37" s="89" t="s">
        <v>44</v>
      </c>
      <c r="D37" s="60" t="s">
        <v>77</v>
      </c>
      <c r="E37" s="11" t="s">
        <v>78</v>
      </c>
      <c r="F37" s="95"/>
      <c r="G37" s="9"/>
      <c r="H37" s="9" t="s">
        <v>67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01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ref="AZ37:AZ100" si="5">AF37+AH37+AJ37+AL37+AN37+AP37+AR37+AT37+AV37+AX37</f>
        <v>0</v>
      </c>
      <c r="BA37" s="15"/>
      <c r="BB37" s="44"/>
      <c r="BC37" s="15"/>
      <c r="BD37" s="44"/>
      <c r="BE37" s="15">
        <f t="shared" ref="BE37:BE68" si="6">(BA37+BC37)</f>
        <v>0</v>
      </c>
    </row>
    <row r="38" spans="1:57" ht="22.5" customHeight="1">
      <c r="A38" s="9"/>
      <c r="B38" s="16" t="s">
        <v>76</v>
      </c>
      <c r="C38" s="89" t="s">
        <v>59</v>
      </c>
      <c r="D38" s="60" t="s">
        <v>79</v>
      </c>
      <c r="E38" s="11" t="s">
        <v>80</v>
      </c>
      <c r="F38" s="95"/>
      <c r="G38" s="9"/>
      <c r="H38" s="9" t="s">
        <v>67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01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5"/>
        <v>0</v>
      </c>
      <c r="BA38" s="15"/>
      <c r="BB38" s="44"/>
      <c r="BC38" s="15"/>
      <c r="BD38" s="44"/>
      <c r="BE38" s="15">
        <f t="shared" si="6"/>
        <v>0</v>
      </c>
    </row>
    <row r="39" spans="1:57" ht="22.5" customHeight="1">
      <c r="A39" s="9"/>
      <c r="B39" s="16" t="s">
        <v>76</v>
      </c>
      <c r="C39" s="89" t="s">
        <v>52</v>
      </c>
      <c r="D39" s="61" t="s">
        <v>81</v>
      </c>
      <c r="E39" s="11" t="s">
        <v>82</v>
      </c>
      <c r="F39" s="95"/>
      <c r="G39" s="9"/>
      <c r="H39" s="9" t="s">
        <v>67</v>
      </c>
      <c r="I39" s="14"/>
      <c r="J39" s="14"/>
      <c r="K39" s="12">
        <v>5000</v>
      </c>
      <c r="L39" s="9"/>
      <c r="M39" s="9"/>
      <c r="N39" s="9"/>
      <c r="O39" s="38">
        <f t="shared" si="0"/>
        <v>5000</v>
      </c>
      <c r="P39" s="12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01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5"/>
        <v>0</v>
      </c>
      <c r="BA39" s="15"/>
      <c r="BB39" s="44"/>
      <c r="BC39" s="15"/>
      <c r="BD39" s="44"/>
      <c r="BE39" s="15">
        <f t="shared" si="6"/>
        <v>0</v>
      </c>
    </row>
    <row r="40" spans="1:57" s="8" customFormat="1" ht="22.5" customHeight="1">
      <c r="A40" s="9"/>
      <c r="B40" s="16" t="s">
        <v>76</v>
      </c>
      <c r="C40" s="89" t="s">
        <v>44</v>
      </c>
      <c r="D40" s="59" t="s">
        <v>83</v>
      </c>
      <c r="E40" s="11" t="s">
        <v>84</v>
      </c>
      <c r="F40" s="95"/>
      <c r="G40" s="9"/>
      <c r="H40" s="9" t="s">
        <v>71</v>
      </c>
      <c r="I40" s="14"/>
      <c r="J40" s="14"/>
      <c r="K40" s="12">
        <v>0</v>
      </c>
      <c r="L40" s="9"/>
      <c r="M40" s="9"/>
      <c r="N40" s="9"/>
      <c r="O40" s="38">
        <f t="shared" si="0"/>
        <v>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01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5"/>
        <v>0</v>
      </c>
      <c r="BA40" s="15"/>
      <c r="BB40" s="44"/>
      <c r="BC40" s="15"/>
      <c r="BD40" s="44"/>
      <c r="BE40" s="15">
        <f t="shared" si="6"/>
        <v>0</v>
      </c>
    </row>
    <row r="41" spans="1:57" s="8" customFormat="1" ht="22.5" customHeight="1">
      <c r="A41" s="9"/>
      <c r="B41" s="16" t="s">
        <v>76</v>
      </c>
      <c r="C41" s="89" t="s">
        <v>48</v>
      </c>
      <c r="D41" s="56" t="s">
        <v>85</v>
      </c>
      <c r="E41" s="11" t="s">
        <v>86</v>
      </c>
      <c r="F41" s="95"/>
      <c r="G41" s="9"/>
      <c r="H41" s="9" t="s">
        <v>71</v>
      </c>
      <c r="I41" s="14"/>
      <c r="J41" s="14"/>
      <c r="K41" s="12">
        <v>0</v>
      </c>
      <c r="L41" s="9"/>
      <c r="M41" s="9"/>
      <c r="N41" s="9"/>
      <c r="O41" s="38">
        <f t="shared" si="0"/>
        <v>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01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5"/>
        <v>0</v>
      </c>
      <c r="BA41" s="15"/>
      <c r="BB41" s="44"/>
      <c r="BC41" s="15"/>
      <c r="BD41" s="44"/>
      <c r="BE41" s="15">
        <f t="shared" si="6"/>
        <v>0</v>
      </c>
    </row>
    <row r="42" spans="1:57" s="8" customFormat="1" ht="22.5" customHeight="1">
      <c r="A42" s="9"/>
      <c r="B42" s="16" t="s">
        <v>76</v>
      </c>
      <c r="C42" s="89" t="s">
        <v>59</v>
      </c>
      <c r="D42" s="56" t="s">
        <v>87</v>
      </c>
      <c r="E42" s="11" t="s">
        <v>88</v>
      </c>
      <c r="F42" s="95"/>
      <c r="G42" s="9"/>
      <c r="H42" s="9" t="s">
        <v>71</v>
      </c>
      <c r="I42" s="14"/>
      <c r="J42" s="14"/>
      <c r="K42" s="12">
        <v>0</v>
      </c>
      <c r="L42" s="9"/>
      <c r="M42" s="9"/>
      <c r="N42" s="9"/>
      <c r="O42" s="38">
        <f t="shared" si="0"/>
        <v>0</v>
      </c>
      <c r="P42" s="15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01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5"/>
        <v>0</v>
      </c>
      <c r="BA42" s="15"/>
      <c r="BB42" s="44"/>
      <c r="BC42" s="15"/>
      <c r="BD42" s="44"/>
      <c r="BE42" s="15">
        <f t="shared" si="6"/>
        <v>0</v>
      </c>
    </row>
    <row r="43" spans="1:57" s="8" customFormat="1" ht="22.5" customHeight="1">
      <c r="A43" s="9"/>
      <c r="B43" s="16" t="s">
        <v>34</v>
      </c>
      <c r="C43" s="89" t="s">
        <v>59</v>
      </c>
      <c r="D43" s="60" t="s">
        <v>89</v>
      </c>
      <c r="E43" s="11" t="s">
        <v>90</v>
      </c>
      <c r="F43" s="95"/>
      <c r="G43" s="9"/>
      <c r="H43" s="9" t="s">
        <v>67</v>
      </c>
      <c r="I43" s="14"/>
      <c r="J43" s="14"/>
      <c r="K43" s="12">
        <v>4000</v>
      </c>
      <c r="L43" s="9"/>
      <c r="M43" s="9"/>
      <c r="N43" s="9"/>
      <c r="O43" s="38">
        <f t="shared" si="0"/>
        <v>4000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01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5"/>
        <v>0</v>
      </c>
      <c r="BA43" s="15"/>
      <c r="BB43" s="44"/>
      <c r="BC43" s="15"/>
      <c r="BD43" s="44"/>
      <c r="BE43" s="15">
        <f t="shared" si="6"/>
        <v>0</v>
      </c>
    </row>
    <row r="44" spans="1:57" s="8" customFormat="1" ht="22.5" customHeight="1">
      <c r="A44" s="9"/>
      <c r="B44" s="16" t="s">
        <v>34</v>
      </c>
      <c r="C44" s="89" t="s">
        <v>59</v>
      </c>
      <c r="D44" s="60" t="s">
        <v>91</v>
      </c>
      <c r="E44" s="11" t="s">
        <v>92</v>
      </c>
      <c r="F44" s="95"/>
      <c r="G44" s="9"/>
      <c r="H44" s="9" t="s">
        <v>67</v>
      </c>
      <c r="I44" s="14"/>
      <c r="J44" s="14"/>
      <c r="K44" s="12">
        <v>5000</v>
      </c>
      <c r="L44" s="9"/>
      <c r="M44" s="9"/>
      <c r="N44" s="9"/>
      <c r="O44" s="38">
        <f t="shared" si="0"/>
        <v>5000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01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5"/>
        <v>0</v>
      </c>
      <c r="BA44" s="15"/>
      <c r="BB44" s="44"/>
      <c r="BC44" s="15"/>
      <c r="BD44" s="44"/>
      <c r="BE44" s="15">
        <f t="shared" si="6"/>
        <v>0</v>
      </c>
    </row>
    <row r="45" spans="1:57" s="8" customFormat="1" ht="22.5" customHeight="1">
      <c r="A45" s="9"/>
      <c r="B45" s="16" t="s">
        <v>34</v>
      </c>
      <c r="C45" s="89" t="s">
        <v>44</v>
      </c>
      <c r="D45" s="60" t="s">
        <v>93</v>
      </c>
      <c r="E45" s="11" t="s">
        <v>94</v>
      </c>
      <c r="F45" s="95"/>
      <c r="G45" s="9"/>
      <c r="H45" s="9" t="s">
        <v>95</v>
      </c>
      <c r="I45" s="14"/>
      <c r="J45" s="14"/>
      <c r="K45" s="12">
        <v>2050</v>
      </c>
      <c r="L45" s="9"/>
      <c r="M45" s="9"/>
      <c r="N45" s="9"/>
      <c r="O45" s="38">
        <f t="shared" si="0"/>
        <v>2050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01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5"/>
        <v>0</v>
      </c>
      <c r="BA45" s="15"/>
      <c r="BB45" s="44"/>
      <c r="BC45" s="15"/>
      <c r="BD45" s="44"/>
      <c r="BE45" s="15">
        <f t="shared" si="6"/>
        <v>0</v>
      </c>
    </row>
    <row r="46" spans="1:57" s="8" customFormat="1" ht="22.5" customHeight="1">
      <c r="A46" s="9"/>
      <c r="B46" s="16" t="s">
        <v>34</v>
      </c>
      <c r="C46" s="89" t="s">
        <v>96</v>
      </c>
      <c r="D46" s="60" t="s">
        <v>97</v>
      </c>
      <c r="E46" s="11" t="s">
        <v>98</v>
      </c>
      <c r="F46" s="95"/>
      <c r="G46" s="9"/>
      <c r="H46" s="9" t="s">
        <v>95</v>
      </c>
      <c r="I46" s="14"/>
      <c r="J46" s="14"/>
      <c r="K46" s="12">
        <v>0</v>
      </c>
      <c r="L46" s="9"/>
      <c r="M46" s="9"/>
      <c r="N46" s="9"/>
      <c r="O46" s="38">
        <f t="shared" si="0"/>
        <v>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01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5"/>
        <v>0</v>
      </c>
      <c r="BA46" s="15"/>
      <c r="BB46" s="44"/>
      <c r="BC46" s="15"/>
      <c r="BD46" s="44"/>
      <c r="BE46" s="15">
        <f t="shared" si="6"/>
        <v>0</v>
      </c>
    </row>
    <row r="47" spans="1:57" s="8" customFormat="1" ht="22.5" customHeight="1">
      <c r="A47" s="9"/>
      <c r="B47" s="16" t="s">
        <v>34</v>
      </c>
      <c r="C47" s="89" t="s">
        <v>96</v>
      </c>
      <c r="D47" s="60" t="s">
        <v>99</v>
      </c>
      <c r="E47" s="11" t="s">
        <v>100</v>
      </c>
      <c r="F47" s="95"/>
      <c r="G47" s="9"/>
      <c r="H47" s="9" t="s">
        <v>67</v>
      </c>
      <c r="I47" s="14"/>
      <c r="J47" s="14"/>
      <c r="K47" s="12">
        <v>30000</v>
      </c>
      <c r="L47" s="9"/>
      <c r="M47" s="9"/>
      <c r="N47" s="9"/>
      <c r="O47" s="38">
        <f t="shared" si="0"/>
        <v>28000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01">
        <v>2000</v>
      </c>
      <c r="AG47" s="42">
        <v>46029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5"/>
        <v>2000</v>
      </c>
      <c r="BA47" s="15"/>
      <c r="BB47" s="44"/>
      <c r="BC47" s="15"/>
      <c r="BD47" s="44"/>
      <c r="BE47" s="15">
        <f t="shared" si="6"/>
        <v>0</v>
      </c>
    </row>
    <row r="48" spans="1:57" s="8" customFormat="1" ht="22.5" customHeight="1">
      <c r="A48" s="9"/>
      <c r="B48" s="16" t="s">
        <v>101</v>
      </c>
      <c r="C48" s="89" t="s">
        <v>48</v>
      </c>
      <c r="D48" s="56" t="s">
        <v>102</v>
      </c>
      <c r="E48" s="11" t="s">
        <v>103</v>
      </c>
      <c r="F48" s="95"/>
      <c r="G48" s="9"/>
      <c r="H48" s="9" t="s">
        <v>67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01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5"/>
        <v>0</v>
      </c>
      <c r="BA48" s="15"/>
      <c r="BB48" s="44"/>
      <c r="BC48" s="15"/>
      <c r="BD48" s="44"/>
      <c r="BE48" s="15">
        <f t="shared" si="6"/>
        <v>0</v>
      </c>
    </row>
    <row r="49" spans="1:57" s="8" customFormat="1" ht="22.5" customHeight="1">
      <c r="A49" s="9"/>
      <c r="B49" s="16" t="s">
        <v>104</v>
      </c>
      <c r="C49" s="89" t="s">
        <v>44</v>
      </c>
      <c r="D49" s="59" t="s">
        <v>105</v>
      </c>
      <c r="E49" s="11" t="s">
        <v>106</v>
      </c>
      <c r="F49" s="95"/>
      <c r="G49" s="9"/>
      <c r="H49" s="9" t="s">
        <v>107</v>
      </c>
      <c r="I49" s="14"/>
      <c r="J49" s="14"/>
      <c r="K49" s="12">
        <v>500</v>
      </c>
      <c r="L49" s="9"/>
      <c r="M49" s="9"/>
      <c r="N49" s="9"/>
      <c r="O49" s="38">
        <f t="shared" si="0"/>
        <v>500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01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5"/>
        <v>0</v>
      </c>
      <c r="BA49" s="15"/>
      <c r="BB49" s="44"/>
      <c r="BC49" s="15"/>
      <c r="BD49" s="44"/>
      <c r="BE49" s="15">
        <f t="shared" si="6"/>
        <v>0</v>
      </c>
    </row>
    <row r="50" spans="1:57" s="8" customFormat="1" ht="22.5" customHeight="1">
      <c r="A50" s="9"/>
      <c r="B50" s="16" t="s">
        <v>104</v>
      </c>
      <c r="C50" s="89" t="s">
        <v>48</v>
      </c>
      <c r="D50" s="62" t="s">
        <v>105</v>
      </c>
      <c r="E50" s="11" t="s">
        <v>108</v>
      </c>
      <c r="F50" s="95"/>
      <c r="G50" s="9"/>
      <c r="H50" s="9" t="s">
        <v>107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01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5"/>
        <v>0</v>
      </c>
      <c r="BA50" s="15"/>
      <c r="BB50" s="44"/>
      <c r="BC50" s="15"/>
      <c r="BD50" s="44"/>
      <c r="BE50" s="15">
        <f t="shared" si="6"/>
        <v>0</v>
      </c>
    </row>
    <row r="51" spans="1:57" s="8" customFormat="1" ht="22.5" customHeight="1">
      <c r="A51" s="9"/>
      <c r="B51" s="16" t="s">
        <v>104</v>
      </c>
      <c r="C51" s="89" t="s">
        <v>52</v>
      </c>
      <c r="D51" s="61" t="s">
        <v>109</v>
      </c>
      <c r="E51" s="11" t="s">
        <v>110</v>
      </c>
      <c r="F51" s="95"/>
      <c r="G51" s="9"/>
      <c r="H51" s="9" t="s">
        <v>107</v>
      </c>
      <c r="I51" s="14"/>
      <c r="J51" s="14"/>
      <c r="K51" s="12">
        <v>0</v>
      </c>
      <c r="L51" s="9"/>
      <c r="M51" s="9"/>
      <c r="N51" s="9"/>
      <c r="O51" s="38">
        <f t="shared" si="0"/>
        <v>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01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5"/>
        <v>0</v>
      </c>
      <c r="BA51" s="15"/>
      <c r="BB51" s="44"/>
      <c r="BC51" s="15"/>
      <c r="BD51" s="44"/>
      <c r="BE51" s="15">
        <f t="shared" si="6"/>
        <v>0</v>
      </c>
    </row>
    <row r="52" spans="1:57" s="8" customFormat="1" ht="22.5" customHeight="1">
      <c r="A52" s="9"/>
      <c r="B52" s="16" t="s">
        <v>111</v>
      </c>
      <c r="C52" s="89" t="s">
        <v>59</v>
      </c>
      <c r="D52" s="61" t="s">
        <v>112</v>
      </c>
      <c r="E52" s="11" t="s">
        <v>113</v>
      </c>
      <c r="F52" s="95"/>
      <c r="G52" s="9"/>
      <c r="H52" s="9" t="s">
        <v>114</v>
      </c>
      <c r="I52" s="14"/>
      <c r="J52" s="14"/>
      <c r="K52" s="12">
        <v>880</v>
      </c>
      <c r="L52" s="9"/>
      <c r="M52" s="9"/>
      <c r="N52" s="9"/>
      <c r="O52" s="38">
        <f t="shared" si="0"/>
        <v>880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01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5"/>
        <v>0</v>
      </c>
      <c r="BA52" s="15"/>
      <c r="BB52" s="44"/>
      <c r="BC52" s="15"/>
      <c r="BD52" s="44"/>
      <c r="BE52" s="15">
        <f t="shared" si="6"/>
        <v>0</v>
      </c>
    </row>
    <row r="53" spans="1:57" s="8" customFormat="1" ht="22.5" customHeight="1">
      <c r="A53" s="9"/>
      <c r="B53" s="16" t="s">
        <v>111</v>
      </c>
      <c r="C53" s="89" t="s">
        <v>50</v>
      </c>
      <c r="D53" s="61" t="s">
        <v>112</v>
      </c>
      <c r="E53" s="11" t="s">
        <v>115</v>
      </c>
      <c r="F53" s="95"/>
      <c r="G53" s="9"/>
      <c r="H53" s="9" t="s">
        <v>116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01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5"/>
        <v>0</v>
      </c>
      <c r="BA53" s="15"/>
      <c r="BB53" s="44"/>
      <c r="BC53" s="15"/>
      <c r="BD53" s="44"/>
      <c r="BE53" s="15">
        <f t="shared" si="6"/>
        <v>0</v>
      </c>
    </row>
    <row r="54" spans="1:57" s="8" customFormat="1" ht="22.5" customHeight="1">
      <c r="A54" s="9"/>
      <c r="B54" s="16" t="s">
        <v>111</v>
      </c>
      <c r="C54" s="89" t="s">
        <v>52</v>
      </c>
      <c r="D54" s="61" t="s">
        <v>117</v>
      </c>
      <c r="E54" s="11" t="s">
        <v>118</v>
      </c>
      <c r="F54" s="95"/>
      <c r="G54" s="9"/>
      <c r="H54" s="9" t="s">
        <v>119</v>
      </c>
      <c r="I54" s="14"/>
      <c r="J54" s="14"/>
      <c r="K54" s="12">
        <v>250</v>
      </c>
      <c r="L54" s="9"/>
      <c r="M54" s="9"/>
      <c r="N54" s="9"/>
      <c r="O54" s="38">
        <f t="shared" si="0"/>
        <v>250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01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5"/>
        <v>0</v>
      </c>
      <c r="BA54" s="15"/>
      <c r="BB54" s="44"/>
      <c r="BC54" s="15"/>
      <c r="BD54" s="44"/>
      <c r="BE54" s="15">
        <f t="shared" si="6"/>
        <v>0</v>
      </c>
    </row>
    <row r="55" spans="1:57" s="8" customFormat="1" ht="22.5" customHeight="1">
      <c r="A55" s="9"/>
      <c r="B55" s="16" t="s">
        <v>120</v>
      </c>
      <c r="C55" s="89" t="s">
        <v>59</v>
      </c>
      <c r="D55" s="61" t="s">
        <v>121</v>
      </c>
      <c r="E55" s="11" t="s">
        <v>122</v>
      </c>
      <c r="F55" s="95"/>
      <c r="G55" s="9"/>
      <c r="H55" s="9" t="s">
        <v>123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01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5"/>
        <v>0</v>
      </c>
      <c r="BA55" s="15"/>
      <c r="BB55" s="44"/>
      <c r="BC55" s="15"/>
      <c r="BD55" s="44"/>
      <c r="BE55" s="15">
        <f t="shared" si="6"/>
        <v>0</v>
      </c>
    </row>
    <row r="56" spans="1:57" s="8" customFormat="1" ht="22.5" customHeight="1">
      <c r="A56" s="9"/>
      <c r="B56" s="16" t="s">
        <v>120</v>
      </c>
      <c r="C56" s="89" t="s">
        <v>59</v>
      </c>
      <c r="D56" s="61" t="s">
        <v>124</v>
      </c>
      <c r="E56" s="11" t="s">
        <v>125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01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5"/>
        <v>0</v>
      </c>
      <c r="BA56" s="15"/>
      <c r="BB56" s="44"/>
      <c r="BC56" s="15"/>
      <c r="BD56" s="44"/>
      <c r="BE56" s="15">
        <f t="shared" si="6"/>
        <v>0</v>
      </c>
    </row>
    <row r="57" spans="1:57" s="8" customFormat="1" ht="22.5" customHeight="1">
      <c r="A57" s="9"/>
      <c r="B57" s="16" t="s">
        <v>120</v>
      </c>
      <c r="C57" s="89" t="s">
        <v>50</v>
      </c>
      <c r="D57" s="61" t="s">
        <v>126</v>
      </c>
      <c r="E57" s="11" t="s">
        <v>127</v>
      </c>
      <c r="F57" s="95"/>
      <c r="G57" s="9"/>
      <c r="H57" s="9" t="s">
        <v>128</v>
      </c>
      <c r="I57" s="14"/>
      <c r="J57" s="14"/>
      <c r="K57" s="12">
        <v>0</v>
      </c>
      <c r="L57" s="9"/>
      <c r="M57" s="9"/>
      <c r="N57" s="9"/>
      <c r="O57" s="38">
        <f t="shared" si="0"/>
        <v>0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01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5"/>
        <v>0</v>
      </c>
      <c r="BA57" s="15"/>
      <c r="BB57" s="44"/>
      <c r="BC57" s="15"/>
      <c r="BD57" s="44"/>
      <c r="BE57" s="15">
        <f t="shared" si="6"/>
        <v>0</v>
      </c>
    </row>
    <row r="58" spans="1:57" s="8" customFormat="1" ht="22.5" customHeight="1">
      <c r="A58" s="9"/>
      <c r="B58" s="16" t="s">
        <v>129</v>
      </c>
      <c r="C58" s="89" t="s">
        <v>44</v>
      </c>
      <c r="D58" s="60" t="s">
        <v>130</v>
      </c>
      <c r="E58" s="11"/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01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5"/>
        <v>0</v>
      </c>
      <c r="BA58" s="15"/>
      <c r="BB58" s="44"/>
      <c r="BC58" s="15"/>
      <c r="BD58" s="44"/>
      <c r="BE58" s="15">
        <f t="shared" si="6"/>
        <v>0</v>
      </c>
    </row>
    <row r="59" spans="1:57" s="8" customFormat="1" ht="22.5" customHeight="1">
      <c r="A59" s="9"/>
      <c r="B59" s="16" t="s">
        <v>129</v>
      </c>
      <c r="C59" s="89" t="s">
        <v>132</v>
      </c>
      <c r="D59" s="63" t="s">
        <v>133</v>
      </c>
      <c r="E59" s="11" t="s">
        <v>134</v>
      </c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01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5"/>
        <v>0</v>
      </c>
      <c r="BA59" s="15"/>
      <c r="BB59" s="44"/>
      <c r="BC59" s="15"/>
      <c r="BD59" s="44"/>
      <c r="BE59" s="15">
        <f t="shared" si="6"/>
        <v>0</v>
      </c>
    </row>
    <row r="60" spans="1:57" s="8" customFormat="1" ht="22.5" customHeight="1">
      <c r="A60" s="9"/>
      <c r="B60" s="16" t="s">
        <v>129</v>
      </c>
      <c r="C60" s="89" t="s">
        <v>48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1192</v>
      </c>
      <c r="L60" s="9"/>
      <c r="M60" s="9"/>
      <c r="N60" s="9"/>
      <c r="O60" s="38">
        <f t="shared" si="0"/>
        <v>1192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01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5"/>
        <v>0</v>
      </c>
      <c r="BA60" s="15"/>
      <c r="BB60" s="44"/>
      <c r="BC60" s="15"/>
      <c r="BD60" s="44"/>
      <c r="BE60" s="15">
        <f t="shared" si="6"/>
        <v>0</v>
      </c>
    </row>
    <row r="61" spans="1:57" s="8" customFormat="1" ht="22.5" customHeight="1">
      <c r="A61" s="9"/>
      <c r="B61" s="16" t="s">
        <v>129</v>
      </c>
      <c r="C61" s="89" t="s">
        <v>48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01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5"/>
        <v>0</v>
      </c>
      <c r="BA61" s="15"/>
      <c r="BB61" s="44"/>
      <c r="BC61" s="15"/>
      <c r="BD61" s="44"/>
      <c r="BE61" s="15">
        <f t="shared" si="6"/>
        <v>0</v>
      </c>
    </row>
    <row r="62" spans="1:57" s="8" customFormat="1" ht="22.5" customHeight="1">
      <c r="A62" s="9"/>
      <c r="B62" s="16" t="s">
        <v>129</v>
      </c>
      <c r="C62" s="89" t="s">
        <v>50</v>
      </c>
      <c r="D62" s="60" t="s">
        <v>130</v>
      </c>
      <c r="E62" s="11"/>
      <c r="F62" s="95"/>
      <c r="G62" s="9"/>
      <c r="H62" s="9" t="s">
        <v>67</v>
      </c>
      <c r="I62" s="14"/>
      <c r="J62" s="14"/>
      <c r="K62" s="12">
        <v>0</v>
      </c>
      <c r="L62" s="9"/>
      <c r="M62" s="9"/>
      <c r="N62" s="9"/>
      <c r="O62" s="38">
        <f t="shared" si="0"/>
        <v>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01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5"/>
        <v>0</v>
      </c>
      <c r="BA62" s="15"/>
      <c r="BB62" s="44"/>
      <c r="BC62" s="15"/>
      <c r="BD62" s="44"/>
      <c r="BE62" s="15">
        <f t="shared" si="6"/>
        <v>0</v>
      </c>
    </row>
    <row r="63" spans="1:57" s="8" customFormat="1" ht="22.5" customHeight="1">
      <c r="A63" s="9"/>
      <c r="B63" s="16" t="s">
        <v>129</v>
      </c>
      <c r="C63" s="89" t="s">
        <v>52</v>
      </c>
      <c r="D63" s="60" t="s">
        <v>130</v>
      </c>
      <c r="E63" s="11" t="s">
        <v>135</v>
      </c>
      <c r="F63" s="95"/>
      <c r="G63" s="9"/>
      <c r="H63" s="9" t="s">
        <v>131</v>
      </c>
      <c r="I63" s="14"/>
      <c r="J63" s="14"/>
      <c r="K63" s="12">
        <v>176</v>
      </c>
      <c r="L63" s="9"/>
      <c r="M63" s="9"/>
      <c r="N63" s="9"/>
      <c r="O63" s="38">
        <f t="shared" si="0"/>
        <v>176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01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5"/>
        <v>0</v>
      </c>
      <c r="BA63" s="15"/>
      <c r="BB63" s="44"/>
      <c r="BC63" s="15"/>
      <c r="BD63" s="44"/>
      <c r="BE63" s="15">
        <f t="shared" si="6"/>
        <v>0</v>
      </c>
    </row>
    <row r="64" spans="1:57" s="8" customFormat="1" ht="22.5" customHeight="1">
      <c r="A64" s="9"/>
      <c r="B64" s="16" t="s">
        <v>129</v>
      </c>
      <c r="C64" s="89" t="s">
        <v>52</v>
      </c>
      <c r="D64" s="60" t="s">
        <v>130</v>
      </c>
      <c r="E64" s="11" t="s">
        <v>136</v>
      </c>
      <c r="F64" s="95"/>
      <c r="G64" s="9"/>
      <c r="H64" s="9" t="s">
        <v>131</v>
      </c>
      <c r="I64" s="14"/>
      <c r="J64" s="14"/>
      <c r="K64" s="12">
        <v>0</v>
      </c>
      <c r="L64" s="9"/>
      <c r="M64" s="9"/>
      <c r="N64" s="9"/>
      <c r="O64" s="38">
        <f t="shared" si="0"/>
        <v>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01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5"/>
        <v>0</v>
      </c>
      <c r="BA64" s="15"/>
      <c r="BB64" s="44"/>
      <c r="BC64" s="15"/>
      <c r="BD64" s="44"/>
      <c r="BE64" s="15">
        <f t="shared" si="6"/>
        <v>0</v>
      </c>
    </row>
    <row r="65" spans="1:57" s="8" customFormat="1" ht="22.5" customHeight="1">
      <c r="A65" s="9"/>
      <c r="B65" s="16" t="s">
        <v>129</v>
      </c>
      <c r="C65" s="89" t="s">
        <v>44</v>
      </c>
      <c r="D65" s="57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1000</v>
      </c>
      <c r="L65" s="9"/>
      <c r="M65" s="9"/>
      <c r="N65" s="9"/>
      <c r="O65" s="38">
        <f t="shared" si="0"/>
        <v>1000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01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5"/>
        <v>0</v>
      </c>
      <c r="BA65" s="15"/>
      <c r="BB65" s="44"/>
      <c r="BC65" s="15"/>
      <c r="BD65" s="44"/>
      <c r="BE65" s="15">
        <f t="shared" si="6"/>
        <v>0</v>
      </c>
    </row>
    <row r="66" spans="1:57" s="8" customFormat="1" ht="22.5" customHeight="1">
      <c r="A66" s="9"/>
      <c r="B66" s="16" t="s">
        <v>129</v>
      </c>
      <c r="C66" s="89" t="s">
        <v>132</v>
      </c>
      <c r="D66" s="56" t="s">
        <v>139</v>
      </c>
      <c r="E66" s="11" t="s">
        <v>27</v>
      </c>
      <c r="F66" s="95"/>
      <c r="G66" s="9"/>
      <c r="H66" s="9" t="s">
        <v>131</v>
      </c>
      <c r="I66" s="14"/>
      <c r="J66" s="14"/>
      <c r="K66" s="12">
        <v>1800</v>
      </c>
      <c r="L66" s="9"/>
      <c r="M66" s="9"/>
      <c r="N66" s="9"/>
      <c r="O66" s="38">
        <f t="shared" si="0"/>
        <v>1800</v>
      </c>
      <c r="P66" s="12"/>
      <c r="Q66" s="42"/>
      <c r="R66" s="15"/>
      <c r="S66" s="44"/>
      <c r="T66" s="15"/>
      <c r="U66" s="44"/>
      <c r="V66" s="15">
        <f t="shared" si="1"/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si="2"/>
        <v>0</v>
      </c>
      <c r="AF66" s="101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5"/>
        <v>0</v>
      </c>
      <c r="BA66" s="15"/>
      <c r="BB66" s="44"/>
      <c r="BC66" s="15"/>
      <c r="BD66" s="44"/>
      <c r="BE66" s="15">
        <f t="shared" si="6"/>
        <v>0</v>
      </c>
    </row>
    <row r="67" spans="1:57" s="8" customFormat="1" ht="22.5" customHeight="1">
      <c r="A67" s="9"/>
      <c r="B67" s="16" t="s">
        <v>129</v>
      </c>
      <c r="C67" s="89" t="s">
        <v>140</v>
      </c>
      <c r="D67" s="64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2040</v>
      </c>
      <c r="L67" s="9"/>
      <c r="M67" s="9"/>
      <c r="N67" s="9"/>
      <c r="O67" s="38">
        <f t="shared" si="0"/>
        <v>2040</v>
      </c>
      <c r="P67" s="12"/>
      <c r="Q67" s="42"/>
      <c r="R67" s="15"/>
      <c r="S67" s="44"/>
      <c r="T67" s="15"/>
      <c r="U67" s="44"/>
      <c r="V67" s="15">
        <f t="shared" si="1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2"/>
        <v>0</v>
      </c>
      <c r="AF67" s="101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si="5"/>
        <v>0</v>
      </c>
      <c r="BA67" s="15"/>
      <c r="BB67" s="44"/>
      <c r="BC67" s="15"/>
      <c r="BD67" s="44"/>
      <c r="BE67" s="15">
        <f t="shared" si="6"/>
        <v>0</v>
      </c>
    </row>
    <row r="68" spans="1:57" s="8" customFormat="1" ht="22.5" customHeight="1">
      <c r="A68" s="9"/>
      <c r="B68" s="16" t="s">
        <v>129</v>
      </c>
      <c r="C68" s="89" t="s">
        <v>48</v>
      </c>
      <c r="D68" s="61" t="s">
        <v>137</v>
      </c>
      <c r="E68" s="11" t="s">
        <v>138</v>
      </c>
      <c r="F68" s="95"/>
      <c r="G68" s="9"/>
      <c r="H68" s="9" t="s">
        <v>131</v>
      </c>
      <c r="I68" s="14"/>
      <c r="J68" s="14"/>
      <c r="K68" s="12">
        <v>1202</v>
      </c>
      <c r="L68" s="9"/>
      <c r="M68" s="9"/>
      <c r="N68" s="9"/>
      <c r="O68" s="38">
        <f t="shared" ref="O68:O131" si="7">K68+V68-AE68-AZ68</f>
        <v>1202</v>
      </c>
      <c r="P68" s="12"/>
      <c r="Q68" s="42"/>
      <c r="R68" s="15"/>
      <c r="S68" s="44"/>
      <c r="T68" s="15"/>
      <c r="U68" s="44"/>
      <c r="V68" s="15">
        <f t="shared" ref="V68:V131" si="8">P68+R68+T68</f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ref="AE68:AE131" si="9">(W68+Y68+AA68+AC68)</f>
        <v>0</v>
      </c>
      <c r="AF68" s="101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5"/>
        <v>0</v>
      </c>
      <c r="BA68" s="15"/>
      <c r="BB68" s="44"/>
      <c r="BC68" s="15"/>
      <c r="BD68" s="44"/>
      <c r="BE68" s="15">
        <f t="shared" si="6"/>
        <v>0</v>
      </c>
    </row>
    <row r="69" spans="1:57" s="8" customFormat="1" ht="22.5" customHeight="1">
      <c r="A69" s="9"/>
      <c r="B69" s="16" t="s">
        <v>129</v>
      </c>
      <c r="C69" s="89" t="s">
        <v>52</v>
      </c>
      <c r="D69" s="61" t="s">
        <v>137</v>
      </c>
      <c r="E69" s="11" t="s">
        <v>138</v>
      </c>
      <c r="F69" s="95"/>
      <c r="G69" s="9"/>
      <c r="H69" s="9" t="s">
        <v>131</v>
      </c>
      <c r="I69" s="14"/>
      <c r="J69" s="14"/>
      <c r="K69" s="12">
        <v>0</v>
      </c>
      <c r="L69" s="9"/>
      <c r="M69" s="9"/>
      <c r="N69" s="9"/>
      <c r="O69" s="38">
        <f t="shared" si="7"/>
        <v>0</v>
      </c>
      <c r="P69" s="12"/>
      <c r="Q69" s="42"/>
      <c r="R69" s="15"/>
      <c r="S69" s="44"/>
      <c r="T69" s="15"/>
      <c r="U69" s="44"/>
      <c r="V69" s="15">
        <f t="shared" si="8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9"/>
        <v>0</v>
      </c>
      <c r="AF69" s="101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5"/>
        <v>0</v>
      </c>
      <c r="BA69" s="15"/>
      <c r="BB69" s="44"/>
      <c r="BC69" s="15"/>
      <c r="BD69" s="44"/>
      <c r="BE69" s="15">
        <f t="shared" ref="BE69:BE96" si="10">(BA69+BC69)</f>
        <v>0</v>
      </c>
    </row>
    <row r="70" spans="1:57" s="8" customFormat="1" ht="22.5" customHeight="1">
      <c r="A70" s="9"/>
      <c r="B70" s="16" t="s">
        <v>129</v>
      </c>
      <c r="C70" s="89" t="s">
        <v>52</v>
      </c>
      <c r="D70" s="56" t="s">
        <v>139</v>
      </c>
      <c r="E70" s="11" t="s">
        <v>27</v>
      </c>
      <c r="F70" s="95"/>
      <c r="G70" s="9"/>
      <c r="H70" s="9" t="s">
        <v>131</v>
      </c>
      <c r="I70" s="14"/>
      <c r="J70" s="14"/>
      <c r="K70" s="12">
        <v>0</v>
      </c>
      <c r="L70" s="9"/>
      <c r="M70" s="9"/>
      <c r="N70" s="9"/>
      <c r="O70" s="38">
        <f t="shared" si="7"/>
        <v>0</v>
      </c>
      <c r="P70" s="12"/>
      <c r="Q70" s="42"/>
      <c r="R70" s="15"/>
      <c r="S70" s="44"/>
      <c r="T70" s="15"/>
      <c r="U70" s="44"/>
      <c r="V70" s="15">
        <f t="shared" si="8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9"/>
        <v>0</v>
      </c>
      <c r="AF70" s="101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5"/>
        <v>0</v>
      </c>
      <c r="BA70" s="15"/>
      <c r="BB70" s="44"/>
      <c r="BC70" s="15"/>
      <c r="BD70" s="44"/>
      <c r="BE70" s="15">
        <f t="shared" si="10"/>
        <v>0</v>
      </c>
    </row>
    <row r="71" spans="1:57" s="8" customFormat="1" ht="22.5" customHeight="1">
      <c r="A71" s="9"/>
      <c r="B71" s="18" t="s">
        <v>58</v>
      </c>
      <c r="C71" s="89" t="s">
        <v>59</v>
      </c>
      <c r="D71" s="58" t="s">
        <v>141</v>
      </c>
      <c r="E71" s="35" t="s">
        <v>58</v>
      </c>
      <c r="F71" s="95"/>
      <c r="G71" s="21"/>
      <c r="H71" s="21" t="s">
        <v>61</v>
      </c>
      <c r="I71" s="14"/>
      <c r="J71" s="14"/>
      <c r="K71" s="12">
        <v>733</v>
      </c>
      <c r="L71" s="9"/>
      <c r="M71" s="9"/>
      <c r="N71" s="9"/>
      <c r="O71" s="38">
        <f t="shared" si="7"/>
        <v>733</v>
      </c>
      <c r="P71" s="12"/>
      <c r="Q71" s="42"/>
      <c r="R71" s="15"/>
      <c r="S71" s="44"/>
      <c r="T71" s="15"/>
      <c r="U71" s="44"/>
      <c r="V71" s="15">
        <f t="shared" si="8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9"/>
        <v>0</v>
      </c>
      <c r="AF71" s="101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5"/>
        <v>0</v>
      </c>
      <c r="BA71" s="15"/>
      <c r="BB71" s="44"/>
      <c r="BC71" s="15"/>
      <c r="BD71" s="44"/>
      <c r="BE71" s="15">
        <f t="shared" si="10"/>
        <v>0</v>
      </c>
    </row>
    <row r="72" spans="1:57" s="8" customFormat="1" ht="22.5" customHeight="1">
      <c r="A72" s="9"/>
      <c r="B72" s="18" t="s">
        <v>62</v>
      </c>
      <c r="C72" s="89" t="s">
        <v>48</v>
      </c>
      <c r="D72" s="58" t="s">
        <v>142</v>
      </c>
      <c r="E72" s="35" t="s">
        <v>62</v>
      </c>
      <c r="F72" s="95"/>
      <c r="G72" s="21"/>
      <c r="H72" s="21" t="s">
        <v>61</v>
      </c>
      <c r="I72" s="14"/>
      <c r="J72" s="14"/>
      <c r="K72" s="12">
        <v>112</v>
      </c>
      <c r="L72" s="9"/>
      <c r="M72" s="9"/>
      <c r="N72" s="9"/>
      <c r="O72" s="38">
        <f t="shared" si="7"/>
        <v>112</v>
      </c>
      <c r="P72" s="12"/>
      <c r="Q72" s="42"/>
      <c r="R72" s="15"/>
      <c r="S72" s="44"/>
      <c r="T72" s="15"/>
      <c r="U72" s="44"/>
      <c r="V72" s="15">
        <f t="shared" si="8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9"/>
        <v>0</v>
      </c>
      <c r="AF72" s="101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5"/>
        <v>0</v>
      </c>
      <c r="BA72" s="15"/>
      <c r="BB72" s="44"/>
      <c r="BC72" s="15"/>
      <c r="BD72" s="44"/>
      <c r="BE72" s="15">
        <f t="shared" si="10"/>
        <v>0</v>
      </c>
    </row>
    <row r="73" spans="1:57" s="8" customFormat="1" ht="22.5" customHeight="1">
      <c r="A73" s="9"/>
      <c r="B73" s="18" t="s">
        <v>62</v>
      </c>
      <c r="C73" s="89" t="s">
        <v>50</v>
      </c>
      <c r="D73" s="58" t="s">
        <v>142</v>
      </c>
      <c r="E73" s="35" t="s">
        <v>62</v>
      </c>
      <c r="F73" s="95"/>
      <c r="G73" s="21"/>
      <c r="H73" s="21" t="s">
        <v>61</v>
      </c>
      <c r="I73" s="14"/>
      <c r="J73" s="14"/>
      <c r="K73" s="12">
        <v>40</v>
      </c>
      <c r="L73" s="9"/>
      <c r="M73" s="9"/>
      <c r="N73" s="9"/>
      <c r="O73" s="38">
        <f t="shared" si="7"/>
        <v>40</v>
      </c>
      <c r="P73" s="12"/>
      <c r="Q73" s="42"/>
      <c r="R73" s="15"/>
      <c r="S73" s="44"/>
      <c r="T73" s="15"/>
      <c r="U73" s="44"/>
      <c r="V73" s="15">
        <f t="shared" si="8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9"/>
        <v>0</v>
      </c>
      <c r="AF73" s="101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5"/>
        <v>0</v>
      </c>
      <c r="BA73" s="15"/>
      <c r="BB73" s="44"/>
      <c r="BC73" s="15"/>
      <c r="BD73" s="44"/>
      <c r="BE73" s="15">
        <f t="shared" si="10"/>
        <v>0</v>
      </c>
    </row>
    <row r="74" spans="1:57" s="8" customFormat="1" ht="22.5" customHeight="1">
      <c r="A74" s="9"/>
      <c r="B74" s="18" t="s">
        <v>62</v>
      </c>
      <c r="C74" s="89" t="s">
        <v>48</v>
      </c>
      <c r="D74" s="58" t="s">
        <v>143</v>
      </c>
      <c r="E74" s="35" t="s">
        <v>62</v>
      </c>
      <c r="F74" s="95"/>
      <c r="G74" s="21"/>
      <c r="H74" s="21" t="s">
        <v>61</v>
      </c>
      <c r="I74" s="14"/>
      <c r="J74" s="14"/>
      <c r="K74" s="12">
        <v>200</v>
      </c>
      <c r="L74" s="9"/>
      <c r="M74" s="9"/>
      <c r="N74" s="9"/>
      <c r="O74" s="38">
        <f t="shared" si="7"/>
        <v>200</v>
      </c>
      <c r="P74" s="12"/>
      <c r="Q74" s="42"/>
      <c r="R74" s="15"/>
      <c r="S74" s="44"/>
      <c r="T74" s="15"/>
      <c r="U74" s="44"/>
      <c r="V74" s="15">
        <f t="shared" si="8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9"/>
        <v>0</v>
      </c>
      <c r="AF74" s="101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5"/>
        <v>0</v>
      </c>
      <c r="BA74" s="15"/>
      <c r="BB74" s="44"/>
      <c r="BC74" s="15"/>
      <c r="BD74" s="44"/>
      <c r="BE74" s="15">
        <f t="shared" si="10"/>
        <v>0</v>
      </c>
    </row>
    <row r="75" spans="1:57" s="8" customFormat="1" ht="22.5" customHeight="1">
      <c r="A75" s="9"/>
      <c r="B75" s="18" t="s">
        <v>144</v>
      </c>
      <c r="C75" s="89" t="s">
        <v>132</v>
      </c>
      <c r="D75" s="65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893</v>
      </c>
      <c r="L75" s="9"/>
      <c r="M75" s="9"/>
      <c r="N75" s="9"/>
      <c r="O75" s="38">
        <f t="shared" si="7"/>
        <v>893</v>
      </c>
      <c r="P75" s="12"/>
      <c r="Q75" s="42"/>
      <c r="R75" s="15"/>
      <c r="S75" s="44"/>
      <c r="T75" s="15"/>
      <c r="U75" s="44"/>
      <c r="V75" s="15">
        <f t="shared" si="8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9"/>
        <v>0</v>
      </c>
      <c r="AF75" s="101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5"/>
        <v>0</v>
      </c>
      <c r="BA75" s="15"/>
      <c r="BB75" s="44"/>
      <c r="BC75" s="15"/>
      <c r="BD75" s="44"/>
      <c r="BE75" s="15">
        <f t="shared" si="10"/>
        <v>0</v>
      </c>
    </row>
    <row r="76" spans="1:57" s="8" customFormat="1" ht="22.5" customHeight="1">
      <c r="A76" s="9"/>
      <c r="B76" s="18" t="s">
        <v>144</v>
      </c>
      <c r="C76" s="89" t="s">
        <v>48</v>
      </c>
      <c r="D76" s="58" t="s">
        <v>145</v>
      </c>
      <c r="E76" s="35" t="s">
        <v>146</v>
      </c>
      <c r="F76" s="95"/>
      <c r="G76" s="21"/>
      <c r="H76" s="21" t="s">
        <v>148</v>
      </c>
      <c r="I76" s="14"/>
      <c r="J76" s="14"/>
      <c r="K76" s="12">
        <v>654</v>
      </c>
      <c r="L76" s="9"/>
      <c r="M76" s="9"/>
      <c r="N76" s="9"/>
      <c r="O76" s="38">
        <f t="shared" si="7"/>
        <v>654</v>
      </c>
      <c r="P76" s="12"/>
      <c r="Q76" s="42"/>
      <c r="R76" s="15"/>
      <c r="S76" s="44"/>
      <c r="T76" s="15"/>
      <c r="U76" s="44"/>
      <c r="V76" s="15">
        <f t="shared" si="8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9"/>
        <v>0</v>
      </c>
      <c r="AF76" s="101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5"/>
        <v>0</v>
      </c>
      <c r="BA76" s="15"/>
      <c r="BB76" s="44"/>
      <c r="BC76" s="15"/>
      <c r="BD76" s="44"/>
      <c r="BE76" s="15">
        <f t="shared" si="10"/>
        <v>0</v>
      </c>
    </row>
    <row r="77" spans="1:57" s="8" customFormat="1" ht="22.5" customHeight="1">
      <c r="A77" s="9"/>
      <c r="B77" s="18" t="s">
        <v>144</v>
      </c>
      <c r="C77" s="89" t="s">
        <v>50</v>
      </c>
      <c r="D77" s="58" t="s">
        <v>145</v>
      </c>
      <c r="E77" s="35" t="s">
        <v>146</v>
      </c>
      <c r="F77" s="95"/>
      <c r="G77" s="21"/>
      <c r="H77" s="21" t="s">
        <v>148</v>
      </c>
      <c r="I77" s="14"/>
      <c r="J77" s="14"/>
      <c r="K77" s="12">
        <v>0</v>
      </c>
      <c r="L77" s="9"/>
      <c r="M77" s="9"/>
      <c r="N77" s="9"/>
      <c r="O77" s="38">
        <f t="shared" si="7"/>
        <v>0</v>
      </c>
      <c r="P77" s="12"/>
      <c r="Q77" s="42"/>
      <c r="R77" s="15"/>
      <c r="S77" s="44"/>
      <c r="T77" s="15"/>
      <c r="U77" s="44"/>
      <c r="V77" s="15">
        <f t="shared" si="8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9"/>
        <v>0</v>
      </c>
      <c r="AF77" s="101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5"/>
        <v>0</v>
      </c>
      <c r="BA77" s="15"/>
      <c r="BB77" s="44"/>
      <c r="BC77" s="15"/>
      <c r="BD77" s="44"/>
      <c r="BE77" s="15">
        <f t="shared" si="10"/>
        <v>0</v>
      </c>
    </row>
    <row r="78" spans="1:57" s="8" customFormat="1" ht="22.5" customHeight="1">
      <c r="A78" s="9"/>
      <c r="B78" s="18" t="s">
        <v>144</v>
      </c>
      <c r="C78" s="89" t="s">
        <v>140</v>
      </c>
      <c r="D78" s="58" t="s">
        <v>145</v>
      </c>
      <c r="E78" s="35" t="s">
        <v>146</v>
      </c>
      <c r="F78" s="95"/>
      <c r="G78" s="21"/>
      <c r="H78" s="21" t="s">
        <v>147</v>
      </c>
      <c r="I78" s="14"/>
      <c r="J78" s="14"/>
      <c r="K78" s="12">
        <v>273</v>
      </c>
      <c r="L78" s="9"/>
      <c r="M78" s="9"/>
      <c r="N78" s="9"/>
      <c r="O78" s="38">
        <f t="shared" si="7"/>
        <v>273</v>
      </c>
      <c r="P78" s="12"/>
      <c r="Q78" s="42"/>
      <c r="R78" s="15"/>
      <c r="S78" s="44"/>
      <c r="T78" s="15"/>
      <c r="U78" s="44"/>
      <c r="V78" s="15">
        <f t="shared" si="8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9"/>
        <v>0</v>
      </c>
      <c r="AF78" s="101"/>
      <c r="AG78" s="42"/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5"/>
        <v>0</v>
      </c>
      <c r="BA78" s="15"/>
      <c r="BB78" s="44"/>
      <c r="BC78" s="15"/>
      <c r="BD78" s="44"/>
      <c r="BE78" s="15">
        <f t="shared" si="10"/>
        <v>0</v>
      </c>
    </row>
    <row r="79" spans="1:57" s="8" customFormat="1" ht="22.5" customHeight="1">
      <c r="A79" s="9"/>
      <c r="B79" s="18" t="s">
        <v>144</v>
      </c>
      <c r="C79" s="89" t="s">
        <v>52</v>
      </c>
      <c r="D79" s="58" t="s">
        <v>145</v>
      </c>
      <c r="E79" s="35" t="s">
        <v>149</v>
      </c>
      <c r="F79" s="95"/>
      <c r="G79" s="21"/>
      <c r="H79" s="21" t="s">
        <v>147</v>
      </c>
      <c r="I79" s="14"/>
      <c r="J79" s="14"/>
      <c r="K79" s="12">
        <v>200</v>
      </c>
      <c r="L79" s="9"/>
      <c r="M79" s="9"/>
      <c r="N79" s="9"/>
      <c r="O79" s="38">
        <f t="shared" si="7"/>
        <v>200</v>
      </c>
      <c r="P79" s="12"/>
      <c r="Q79" s="42"/>
      <c r="R79" s="15"/>
      <c r="S79" s="44"/>
      <c r="T79" s="15"/>
      <c r="U79" s="44"/>
      <c r="V79" s="15">
        <f t="shared" si="8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9"/>
        <v>0</v>
      </c>
      <c r="AF79" s="101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5"/>
        <v>0</v>
      </c>
      <c r="BA79" s="15"/>
      <c r="BB79" s="44"/>
      <c r="BC79" s="15"/>
      <c r="BD79" s="44"/>
      <c r="BE79" s="15">
        <f t="shared" si="10"/>
        <v>0</v>
      </c>
    </row>
    <row r="80" spans="1:57" s="8" customFormat="1" ht="22.5" customHeight="1">
      <c r="A80" s="9"/>
      <c r="B80" s="18" t="s">
        <v>144</v>
      </c>
      <c r="C80" s="89" t="s">
        <v>59</v>
      </c>
      <c r="D80" s="58" t="s">
        <v>150</v>
      </c>
      <c r="E80" s="35" t="s">
        <v>146</v>
      </c>
      <c r="F80" s="95"/>
      <c r="G80" s="21"/>
      <c r="H80" s="21" t="s">
        <v>147</v>
      </c>
      <c r="I80" s="14"/>
      <c r="J80" s="14"/>
      <c r="K80" s="12">
        <v>737</v>
      </c>
      <c r="L80" s="9"/>
      <c r="M80" s="9"/>
      <c r="N80" s="9"/>
      <c r="O80" s="38">
        <f t="shared" si="7"/>
        <v>737</v>
      </c>
      <c r="P80" s="12"/>
      <c r="Q80" s="42"/>
      <c r="R80" s="15"/>
      <c r="S80" s="44"/>
      <c r="T80" s="15"/>
      <c r="U80" s="44"/>
      <c r="V80" s="15">
        <f t="shared" si="8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9"/>
        <v>0</v>
      </c>
      <c r="AF80" s="101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5"/>
        <v>0</v>
      </c>
      <c r="BA80" s="15"/>
      <c r="BB80" s="44"/>
      <c r="BC80" s="15"/>
      <c r="BD80" s="44"/>
      <c r="BE80" s="15">
        <f t="shared" si="10"/>
        <v>0</v>
      </c>
    </row>
    <row r="81" spans="1:57" s="8" customFormat="1" ht="22.5" customHeight="1">
      <c r="A81" s="9"/>
      <c r="B81" s="18" t="s">
        <v>144</v>
      </c>
      <c r="C81" s="89" t="s">
        <v>48</v>
      </c>
      <c r="D81" s="65" t="s">
        <v>150</v>
      </c>
      <c r="E81" s="35" t="s">
        <v>146</v>
      </c>
      <c r="F81" s="95"/>
      <c r="G81" s="21"/>
      <c r="H81" s="21" t="s">
        <v>148</v>
      </c>
      <c r="I81" s="14"/>
      <c r="J81" s="14"/>
      <c r="K81" s="12">
        <v>232</v>
      </c>
      <c r="L81" s="9"/>
      <c r="M81" s="9"/>
      <c r="N81" s="9"/>
      <c r="O81" s="38">
        <f t="shared" si="7"/>
        <v>232</v>
      </c>
      <c r="P81" s="12"/>
      <c r="Q81" s="42"/>
      <c r="R81" s="15"/>
      <c r="S81" s="44"/>
      <c r="T81" s="15"/>
      <c r="U81" s="44"/>
      <c r="V81" s="15">
        <f t="shared" si="8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9"/>
        <v>0</v>
      </c>
      <c r="AF81" s="101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5"/>
        <v>0</v>
      </c>
      <c r="BA81" s="15"/>
      <c r="BB81" s="44"/>
      <c r="BC81" s="15"/>
      <c r="BD81" s="44"/>
      <c r="BE81" s="15">
        <f t="shared" si="10"/>
        <v>0</v>
      </c>
    </row>
    <row r="82" spans="1:57" s="8" customFormat="1" ht="22.5" customHeight="1">
      <c r="A82" s="9"/>
      <c r="B82" s="18" t="s">
        <v>144</v>
      </c>
      <c r="C82" s="89" t="s">
        <v>50</v>
      </c>
      <c r="D82" s="65" t="s">
        <v>150</v>
      </c>
      <c r="E82" s="35" t="s">
        <v>146</v>
      </c>
      <c r="F82" s="95"/>
      <c r="G82" s="21"/>
      <c r="H82" s="21" t="s">
        <v>148</v>
      </c>
      <c r="I82" s="14"/>
      <c r="J82" s="14"/>
      <c r="K82" s="12">
        <v>50</v>
      </c>
      <c r="L82" s="9"/>
      <c r="M82" s="9"/>
      <c r="N82" s="9"/>
      <c r="O82" s="38">
        <f t="shared" si="7"/>
        <v>50</v>
      </c>
      <c r="P82" s="12"/>
      <c r="Q82" s="42"/>
      <c r="R82" s="15"/>
      <c r="S82" s="44"/>
      <c r="T82" s="15"/>
      <c r="U82" s="44"/>
      <c r="V82" s="15">
        <f t="shared" si="8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9"/>
        <v>0</v>
      </c>
      <c r="AF82" s="101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5"/>
        <v>0</v>
      </c>
      <c r="BA82" s="15"/>
      <c r="BB82" s="44"/>
      <c r="BC82" s="15"/>
      <c r="BD82" s="44"/>
      <c r="BE82" s="15">
        <f t="shared" si="10"/>
        <v>0</v>
      </c>
    </row>
    <row r="83" spans="1:57" s="8" customFormat="1" ht="22.5" customHeight="1">
      <c r="A83" s="9"/>
      <c r="B83" s="18" t="s">
        <v>144</v>
      </c>
      <c r="C83" s="92" t="s">
        <v>151</v>
      </c>
      <c r="D83" s="58" t="s">
        <v>152</v>
      </c>
      <c r="E83" s="35"/>
      <c r="F83" s="95"/>
      <c r="G83" s="21"/>
      <c r="H83" s="21" t="s">
        <v>147</v>
      </c>
      <c r="I83" s="14"/>
      <c r="J83" s="14"/>
      <c r="K83" s="12">
        <v>0</v>
      </c>
      <c r="L83" s="9"/>
      <c r="M83" s="9"/>
      <c r="N83" s="9"/>
      <c r="O83" s="38">
        <f t="shared" si="7"/>
        <v>0</v>
      </c>
      <c r="P83" s="12"/>
      <c r="Q83" s="42"/>
      <c r="R83" s="15"/>
      <c r="S83" s="44"/>
      <c r="T83" s="15"/>
      <c r="U83" s="44"/>
      <c r="V83" s="15">
        <f t="shared" si="8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9"/>
        <v>0</v>
      </c>
      <c r="AF83" s="101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5"/>
        <v>0</v>
      </c>
      <c r="BA83" s="15"/>
      <c r="BB83" s="44"/>
      <c r="BC83" s="15"/>
      <c r="BD83" s="44"/>
      <c r="BE83" s="15">
        <f t="shared" si="10"/>
        <v>0</v>
      </c>
    </row>
    <row r="84" spans="1:57" s="8" customFormat="1" ht="22.5" customHeight="1">
      <c r="A84" s="9"/>
      <c r="B84" s="18" t="s">
        <v>144</v>
      </c>
      <c r="C84" s="92" t="s">
        <v>151</v>
      </c>
      <c r="D84" s="58" t="s">
        <v>152</v>
      </c>
      <c r="E84" s="35" t="s">
        <v>153</v>
      </c>
      <c r="F84" s="95"/>
      <c r="G84" s="21"/>
      <c r="H84" s="21" t="s">
        <v>147</v>
      </c>
      <c r="I84" s="14"/>
      <c r="J84" s="14"/>
      <c r="K84" s="12">
        <v>100</v>
      </c>
      <c r="L84" s="9"/>
      <c r="M84" s="9"/>
      <c r="N84" s="9"/>
      <c r="O84" s="38">
        <f t="shared" si="7"/>
        <v>100</v>
      </c>
      <c r="P84" s="12"/>
      <c r="Q84" s="42"/>
      <c r="R84" s="15"/>
      <c r="S84" s="44"/>
      <c r="T84" s="15"/>
      <c r="U84" s="44"/>
      <c r="V84" s="15">
        <f t="shared" si="8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9"/>
        <v>0</v>
      </c>
      <c r="AF84" s="101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5"/>
        <v>0</v>
      </c>
      <c r="BA84" s="15"/>
      <c r="BB84" s="44"/>
      <c r="BC84" s="15"/>
      <c r="BD84" s="44"/>
      <c r="BE84" s="15">
        <f t="shared" si="10"/>
        <v>0</v>
      </c>
    </row>
    <row r="85" spans="1:57" s="8" customFormat="1" ht="22.5" customHeight="1">
      <c r="A85" s="9"/>
      <c r="B85" s="18" t="s">
        <v>144</v>
      </c>
      <c r="C85" s="92" t="s">
        <v>151</v>
      </c>
      <c r="D85" s="65" t="s">
        <v>154</v>
      </c>
      <c r="E85" s="35"/>
      <c r="F85" s="95"/>
      <c r="G85" s="21"/>
      <c r="H85" s="21" t="s">
        <v>147</v>
      </c>
      <c r="I85" s="14"/>
      <c r="J85" s="14"/>
      <c r="K85" s="12">
        <v>1188</v>
      </c>
      <c r="L85" s="9"/>
      <c r="M85" s="9"/>
      <c r="N85" s="9"/>
      <c r="O85" s="38">
        <f t="shared" si="7"/>
        <v>1188</v>
      </c>
      <c r="P85" s="12"/>
      <c r="Q85" s="42"/>
      <c r="R85" s="15"/>
      <c r="S85" s="44"/>
      <c r="T85" s="15"/>
      <c r="U85" s="44"/>
      <c r="V85" s="15">
        <f t="shared" si="8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9"/>
        <v>0</v>
      </c>
      <c r="AF85" s="101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5"/>
        <v>0</v>
      </c>
      <c r="BA85" s="15"/>
      <c r="BB85" s="44"/>
      <c r="BC85" s="15"/>
      <c r="BD85" s="44"/>
      <c r="BE85" s="15">
        <f t="shared" si="10"/>
        <v>0</v>
      </c>
    </row>
    <row r="86" spans="1:57" s="8" customFormat="1" ht="22.5" customHeight="1">
      <c r="A86" s="9"/>
      <c r="B86" s="18" t="s">
        <v>155</v>
      </c>
      <c r="C86" s="89" t="s">
        <v>59</v>
      </c>
      <c r="D86" s="58" t="s">
        <v>156</v>
      </c>
      <c r="E86" s="35" t="s">
        <v>157</v>
      </c>
      <c r="F86" s="95"/>
      <c r="G86" s="21"/>
      <c r="H86" s="21" t="s">
        <v>158</v>
      </c>
      <c r="I86" s="14"/>
      <c r="J86" s="14"/>
      <c r="K86" s="12">
        <v>1543</v>
      </c>
      <c r="L86" s="9"/>
      <c r="M86" s="9"/>
      <c r="N86" s="9"/>
      <c r="O86" s="38">
        <f t="shared" si="7"/>
        <v>1543</v>
      </c>
      <c r="P86" s="12"/>
      <c r="Q86" s="42"/>
      <c r="R86" s="15"/>
      <c r="S86" s="44"/>
      <c r="T86" s="15"/>
      <c r="U86" s="44"/>
      <c r="V86" s="15">
        <f t="shared" si="8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9"/>
        <v>0</v>
      </c>
      <c r="AF86" s="101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5"/>
        <v>0</v>
      </c>
      <c r="BA86" s="15"/>
      <c r="BB86" s="44"/>
      <c r="BC86" s="15"/>
      <c r="BD86" s="44"/>
      <c r="BE86" s="15">
        <f t="shared" si="10"/>
        <v>0</v>
      </c>
    </row>
    <row r="87" spans="1:57" s="8" customFormat="1" ht="22.5" customHeight="1">
      <c r="A87" s="9"/>
      <c r="B87" s="18" t="s">
        <v>155</v>
      </c>
      <c r="C87" s="89" t="s">
        <v>48</v>
      </c>
      <c r="D87" s="58" t="s">
        <v>156</v>
      </c>
      <c r="E87" s="35" t="s">
        <v>159</v>
      </c>
      <c r="F87" s="95"/>
      <c r="G87" s="21"/>
      <c r="H87" s="21" t="s">
        <v>158</v>
      </c>
      <c r="I87" s="14"/>
      <c r="J87" s="14"/>
      <c r="K87" s="12">
        <v>0</v>
      </c>
      <c r="L87" s="9"/>
      <c r="M87" s="9"/>
      <c r="N87" s="9"/>
      <c r="O87" s="38">
        <f t="shared" si="7"/>
        <v>0</v>
      </c>
      <c r="P87" s="12"/>
      <c r="Q87" s="42"/>
      <c r="R87" s="15"/>
      <c r="S87" s="44"/>
      <c r="T87" s="15"/>
      <c r="U87" s="44"/>
      <c r="V87" s="15">
        <f t="shared" si="8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9"/>
        <v>0</v>
      </c>
      <c r="AF87" s="101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5"/>
        <v>0</v>
      </c>
      <c r="BA87" s="15"/>
      <c r="BB87" s="44"/>
      <c r="BC87" s="15"/>
      <c r="BD87" s="44"/>
      <c r="BE87" s="15">
        <f t="shared" si="10"/>
        <v>0</v>
      </c>
    </row>
    <row r="88" spans="1:57" s="8" customFormat="1" ht="22.5" customHeight="1">
      <c r="A88" s="9"/>
      <c r="B88" s="18" t="s">
        <v>155</v>
      </c>
      <c r="C88" s="89" t="s">
        <v>52</v>
      </c>
      <c r="D88" s="58" t="s">
        <v>156</v>
      </c>
      <c r="E88" s="35" t="s">
        <v>160</v>
      </c>
      <c r="F88" s="95"/>
      <c r="G88" s="21"/>
      <c r="H88" s="21" t="s">
        <v>158</v>
      </c>
      <c r="I88" s="14"/>
      <c r="J88" s="14"/>
      <c r="K88" s="12">
        <v>0</v>
      </c>
      <c r="L88" s="9"/>
      <c r="M88" s="9"/>
      <c r="N88" s="9"/>
      <c r="O88" s="38">
        <f t="shared" si="7"/>
        <v>0</v>
      </c>
      <c r="P88" s="12"/>
      <c r="Q88" s="42"/>
      <c r="R88" s="15"/>
      <c r="S88" s="44"/>
      <c r="T88" s="15"/>
      <c r="U88" s="44"/>
      <c r="V88" s="15">
        <f t="shared" si="8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9"/>
        <v>0</v>
      </c>
      <c r="AF88" s="101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5"/>
        <v>0</v>
      </c>
      <c r="BA88" s="15"/>
      <c r="BB88" s="44"/>
      <c r="BC88" s="15"/>
      <c r="BD88" s="44"/>
      <c r="BE88" s="15">
        <f t="shared" si="10"/>
        <v>0</v>
      </c>
    </row>
    <row r="89" spans="1:57" s="8" customFormat="1" ht="22.5" customHeight="1">
      <c r="A89" s="9"/>
      <c r="B89" s="18" t="s">
        <v>161</v>
      </c>
      <c r="C89" s="92" t="s">
        <v>151</v>
      </c>
      <c r="D89" s="58" t="s">
        <v>162</v>
      </c>
      <c r="E89" s="35" t="s">
        <v>163</v>
      </c>
      <c r="F89" s="95"/>
      <c r="G89" s="21"/>
      <c r="H89" s="21"/>
      <c r="I89" s="14"/>
      <c r="J89" s="14"/>
      <c r="K89" s="12">
        <v>0</v>
      </c>
      <c r="L89" s="9"/>
      <c r="M89" s="9"/>
      <c r="N89" s="9"/>
      <c r="O89" s="38">
        <f t="shared" si="7"/>
        <v>0</v>
      </c>
      <c r="P89" s="12"/>
      <c r="Q89" s="42"/>
      <c r="R89" s="15"/>
      <c r="S89" s="44"/>
      <c r="T89" s="15"/>
      <c r="U89" s="44"/>
      <c r="V89" s="15">
        <f t="shared" si="8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9"/>
        <v>0</v>
      </c>
      <c r="AF89" s="101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5"/>
        <v>0</v>
      </c>
      <c r="BA89" s="15"/>
      <c r="BB89" s="44"/>
      <c r="BC89" s="15"/>
      <c r="BD89" s="44"/>
      <c r="BE89" s="15">
        <f t="shared" si="10"/>
        <v>0</v>
      </c>
    </row>
    <row r="90" spans="1:57" s="8" customFormat="1" ht="22.5" customHeight="1">
      <c r="A90" s="9"/>
      <c r="B90" s="18" t="s">
        <v>129</v>
      </c>
      <c r="C90" s="89" t="s">
        <v>44</v>
      </c>
      <c r="D90" s="66" t="s">
        <v>164</v>
      </c>
      <c r="E90" s="35"/>
      <c r="F90" s="95"/>
      <c r="G90" s="21"/>
      <c r="H90" s="21"/>
      <c r="I90" s="14"/>
      <c r="J90" s="14"/>
      <c r="K90" s="12">
        <v>0</v>
      </c>
      <c r="L90" s="9"/>
      <c r="M90" s="9"/>
      <c r="N90" s="9"/>
      <c r="O90" s="38">
        <f t="shared" si="7"/>
        <v>0</v>
      </c>
      <c r="P90" s="12"/>
      <c r="Q90" s="42"/>
      <c r="R90" s="15"/>
      <c r="S90" s="44"/>
      <c r="T90" s="15"/>
      <c r="U90" s="44"/>
      <c r="V90" s="15">
        <f t="shared" si="8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9"/>
        <v>0</v>
      </c>
      <c r="AF90" s="101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5"/>
        <v>0</v>
      </c>
      <c r="BA90" s="15"/>
      <c r="BB90" s="44"/>
      <c r="BC90" s="15"/>
      <c r="BD90" s="44"/>
      <c r="BE90" s="15">
        <f t="shared" si="10"/>
        <v>0</v>
      </c>
    </row>
    <row r="91" spans="1:57" s="8" customFormat="1" ht="22.5" customHeight="1">
      <c r="A91" s="9"/>
      <c r="B91" s="18" t="s">
        <v>129</v>
      </c>
      <c r="C91" s="89" t="s">
        <v>165</v>
      </c>
      <c r="D91" s="66" t="s">
        <v>166</v>
      </c>
      <c r="E91" s="35"/>
      <c r="F91" s="95"/>
      <c r="G91" s="21"/>
      <c r="H91" s="21"/>
      <c r="I91" s="14"/>
      <c r="J91" s="14"/>
      <c r="K91" s="12">
        <v>0</v>
      </c>
      <c r="L91" s="9"/>
      <c r="M91" s="9"/>
      <c r="N91" s="9"/>
      <c r="O91" s="38">
        <f t="shared" si="7"/>
        <v>0</v>
      </c>
      <c r="P91" s="12"/>
      <c r="Q91" s="42"/>
      <c r="R91" s="15"/>
      <c r="S91" s="44"/>
      <c r="T91" s="15"/>
      <c r="U91" s="44"/>
      <c r="V91" s="15">
        <f t="shared" si="8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9"/>
        <v>0</v>
      </c>
      <c r="AF91" s="101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5"/>
        <v>0</v>
      </c>
      <c r="BA91" s="15"/>
      <c r="BB91" s="44"/>
      <c r="BC91" s="15"/>
      <c r="BD91" s="44"/>
      <c r="BE91" s="15">
        <f t="shared" si="10"/>
        <v>0</v>
      </c>
    </row>
    <row r="92" spans="1:57" s="8" customFormat="1" ht="22.5" customHeight="1">
      <c r="A92" s="9"/>
      <c r="B92" s="18" t="s">
        <v>129</v>
      </c>
      <c r="C92" s="89" t="s">
        <v>44</v>
      </c>
      <c r="D92" s="66" t="s">
        <v>167</v>
      </c>
      <c r="E92" s="35"/>
      <c r="F92" s="95"/>
      <c r="G92" s="21"/>
      <c r="H92" s="21" t="s">
        <v>131</v>
      </c>
      <c r="I92" s="14"/>
      <c r="J92" s="14"/>
      <c r="K92" s="12">
        <v>574</v>
      </c>
      <c r="L92" s="9"/>
      <c r="M92" s="9"/>
      <c r="N92" s="9"/>
      <c r="O92" s="38">
        <f t="shared" si="7"/>
        <v>574</v>
      </c>
      <c r="P92" s="12"/>
      <c r="Q92" s="42"/>
      <c r="R92" s="15"/>
      <c r="S92" s="44"/>
      <c r="T92" s="15"/>
      <c r="U92" s="44"/>
      <c r="V92" s="15">
        <f t="shared" si="8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9"/>
        <v>0</v>
      </c>
      <c r="AF92" s="101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5"/>
        <v>0</v>
      </c>
      <c r="BA92" s="15"/>
      <c r="BB92" s="44"/>
      <c r="BC92" s="15"/>
      <c r="BD92" s="44"/>
      <c r="BE92" s="15">
        <f t="shared" si="10"/>
        <v>0</v>
      </c>
    </row>
    <row r="93" spans="1:57" s="8" customFormat="1" ht="22.5" customHeight="1">
      <c r="A93" s="9"/>
      <c r="B93" s="18" t="s">
        <v>129</v>
      </c>
      <c r="C93" s="89" t="s">
        <v>132</v>
      </c>
      <c r="D93" s="66" t="s">
        <v>168</v>
      </c>
      <c r="E93" s="35"/>
      <c r="F93" s="95"/>
      <c r="G93" s="21"/>
      <c r="H93" s="21" t="s">
        <v>67</v>
      </c>
      <c r="I93" s="14"/>
      <c r="J93" s="14"/>
      <c r="K93" s="12">
        <v>604</v>
      </c>
      <c r="L93" s="9"/>
      <c r="M93" s="9"/>
      <c r="N93" s="9"/>
      <c r="O93" s="38">
        <f t="shared" si="7"/>
        <v>604</v>
      </c>
      <c r="P93" s="12"/>
      <c r="Q93" s="42"/>
      <c r="R93" s="15"/>
      <c r="S93" s="44"/>
      <c r="T93" s="15"/>
      <c r="U93" s="44"/>
      <c r="V93" s="15">
        <f t="shared" si="8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9"/>
        <v>0</v>
      </c>
      <c r="AF93" s="101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5"/>
        <v>0</v>
      </c>
      <c r="BA93" s="15"/>
      <c r="BB93" s="44"/>
      <c r="BC93" s="15"/>
      <c r="BD93" s="44"/>
      <c r="BE93" s="15">
        <f t="shared" si="10"/>
        <v>0</v>
      </c>
    </row>
    <row r="94" spans="1:57" s="8" customFormat="1" ht="22.5" customHeight="1">
      <c r="A94" s="9"/>
      <c r="B94" s="18" t="s">
        <v>129</v>
      </c>
      <c r="C94" s="89" t="s">
        <v>48</v>
      </c>
      <c r="D94" s="58" t="s">
        <v>169</v>
      </c>
      <c r="E94" s="35"/>
      <c r="F94" s="95"/>
      <c r="G94" s="21"/>
      <c r="H94" s="21" t="s">
        <v>131</v>
      </c>
      <c r="I94" s="14"/>
      <c r="J94" s="14"/>
      <c r="K94" s="12">
        <v>400</v>
      </c>
      <c r="L94" s="9"/>
      <c r="M94" s="9"/>
      <c r="N94" s="9"/>
      <c r="O94" s="38">
        <f t="shared" si="7"/>
        <v>400</v>
      </c>
      <c r="P94" s="12"/>
      <c r="Q94" s="42"/>
      <c r="R94" s="15"/>
      <c r="S94" s="44"/>
      <c r="T94" s="15"/>
      <c r="U94" s="44"/>
      <c r="V94" s="15">
        <f t="shared" si="8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9"/>
        <v>0</v>
      </c>
      <c r="AF94" s="101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5"/>
        <v>0</v>
      </c>
      <c r="BA94" s="15"/>
      <c r="BB94" s="44"/>
      <c r="BC94" s="15"/>
      <c r="BD94" s="44"/>
      <c r="BE94" s="15">
        <f t="shared" si="10"/>
        <v>0</v>
      </c>
    </row>
    <row r="95" spans="1:57" s="8" customFormat="1" ht="22.5" customHeight="1">
      <c r="A95" s="9"/>
      <c r="B95" s="18" t="s">
        <v>129</v>
      </c>
      <c r="C95" s="89" t="s">
        <v>50</v>
      </c>
      <c r="D95" s="58" t="s">
        <v>170</v>
      </c>
      <c r="E95" s="35"/>
      <c r="F95" s="95"/>
      <c r="G95" s="21"/>
      <c r="H95" s="21" t="s">
        <v>131</v>
      </c>
      <c r="I95" s="14"/>
      <c r="J95" s="14"/>
      <c r="K95" s="12">
        <v>260</v>
      </c>
      <c r="L95" s="9"/>
      <c r="M95" s="9"/>
      <c r="N95" s="9"/>
      <c r="O95" s="38">
        <f t="shared" si="7"/>
        <v>260</v>
      </c>
      <c r="P95" s="12"/>
      <c r="Q95" s="42"/>
      <c r="R95" s="15"/>
      <c r="S95" s="44"/>
      <c r="T95" s="15"/>
      <c r="U95" s="44"/>
      <c r="V95" s="15">
        <f t="shared" si="8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9"/>
        <v>0</v>
      </c>
      <c r="AF95" s="101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5"/>
        <v>0</v>
      </c>
      <c r="BA95" s="15"/>
      <c r="BB95" s="44"/>
      <c r="BC95" s="15"/>
      <c r="BD95" s="44"/>
      <c r="BE95" s="15">
        <f t="shared" si="10"/>
        <v>0</v>
      </c>
    </row>
    <row r="96" spans="1:57" s="8" customFormat="1" ht="22.5" customHeight="1">
      <c r="A96" s="9"/>
      <c r="B96" s="18" t="s">
        <v>129</v>
      </c>
      <c r="C96" s="89" t="s">
        <v>52</v>
      </c>
      <c r="D96" s="58" t="s">
        <v>171</v>
      </c>
      <c r="E96" s="35"/>
      <c r="F96" s="95"/>
      <c r="G96" s="21"/>
      <c r="H96" s="21" t="s">
        <v>131</v>
      </c>
      <c r="I96" s="14"/>
      <c r="J96" s="14"/>
      <c r="K96" s="12">
        <v>0</v>
      </c>
      <c r="L96" s="9"/>
      <c r="M96" s="9"/>
      <c r="N96" s="9"/>
      <c r="O96" s="38">
        <f t="shared" si="7"/>
        <v>0</v>
      </c>
      <c r="P96" s="12"/>
      <c r="Q96" s="42"/>
      <c r="R96" s="15"/>
      <c r="S96" s="44"/>
      <c r="T96" s="15"/>
      <c r="U96" s="44"/>
      <c r="V96" s="15">
        <f t="shared" si="8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9"/>
        <v>0</v>
      </c>
      <c r="AF96" s="101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5"/>
        <v>0</v>
      </c>
      <c r="BA96" s="15"/>
      <c r="BB96" s="44"/>
      <c r="BC96" s="15"/>
      <c r="BD96" s="44"/>
      <c r="BE96" s="15">
        <f t="shared" si="10"/>
        <v>0</v>
      </c>
    </row>
    <row r="97" spans="1:57" s="8" customFormat="1" ht="22.5" customHeight="1">
      <c r="A97" s="9"/>
      <c r="B97" s="18" t="s">
        <v>172</v>
      </c>
      <c r="C97" s="89" t="s">
        <v>132</v>
      </c>
      <c r="D97" s="58" t="s">
        <v>173</v>
      </c>
      <c r="E97" s="35"/>
      <c r="F97" s="96"/>
      <c r="G97" s="21"/>
      <c r="H97" s="21" t="s">
        <v>67</v>
      </c>
      <c r="I97" s="14"/>
      <c r="J97" s="14"/>
      <c r="K97" s="12">
        <v>249</v>
      </c>
      <c r="L97" s="9"/>
      <c r="M97" s="9"/>
      <c r="N97" s="9"/>
      <c r="O97" s="38">
        <f t="shared" si="7"/>
        <v>249</v>
      </c>
      <c r="P97" s="12"/>
      <c r="Q97" s="42"/>
      <c r="R97" s="15"/>
      <c r="S97" s="44"/>
      <c r="T97" s="15"/>
      <c r="U97" s="44"/>
      <c r="V97" s="15">
        <f t="shared" si="8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9"/>
        <v>0</v>
      </c>
      <c r="AF97" s="101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5"/>
        <v>0</v>
      </c>
      <c r="BA97" s="15"/>
      <c r="BB97" s="44"/>
      <c r="BC97" s="15"/>
      <c r="BD97" s="44"/>
      <c r="BE97" s="15">
        <v>0</v>
      </c>
    </row>
    <row r="98" spans="1:57" s="8" customFormat="1" ht="22.5" customHeight="1">
      <c r="A98" s="9"/>
      <c r="B98" s="18" t="s">
        <v>172</v>
      </c>
      <c r="C98" s="89" t="s">
        <v>132</v>
      </c>
      <c r="D98" s="66" t="s">
        <v>174</v>
      </c>
      <c r="E98" s="35"/>
      <c r="F98" s="96"/>
      <c r="G98" s="21"/>
      <c r="H98" s="21" t="s">
        <v>67</v>
      </c>
      <c r="I98" s="14"/>
      <c r="J98" s="14"/>
      <c r="K98" s="12">
        <v>100</v>
      </c>
      <c r="L98" s="9"/>
      <c r="M98" s="9"/>
      <c r="N98" s="9"/>
      <c r="O98" s="38">
        <f t="shared" si="7"/>
        <v>100</v>
      </c>
      <c r="P98" s="12"/>
      <c r="Q98" s="42"/>
      <c r="R98" s="15"/>
      <c r="S98" s="44"/>
      <c r="T98" s="15"/>
      <c r="U98" s="44"/>
      <c r="V98" s="15">
        <f t="shared" si="8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9"/>
        <v>0</v>
      </c>
      <c r="AF98" s="101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5"/>
        <v>0</v>
      </c>
      <c r="BA98" s="15"/>
      <c r="BB98" s="44"/>
      <c r="BC98" s="15"/>
      <c r="BD98" s="44"/>
      <c r="BE98" s="15">
        <f t="shared" ref="BE98:BE161" si="11">(BA98+BC98)</f>
        <v>0</v>
      </c>
    </row>
    <row r="99" spans="1:57" s="8" customFormat="1" ht="22.5" customHeight="1">
      <c r="A99" s="9"/>
      <c r="B99" s="18" t="s">
        <v>172</v>
      </c>
      <c r="C99" s="89" t="s">
        <v>132</v>
      </c>
      <c r="D99" s="66" t="s">
        <v>175</v>
      </c>
      <c r="E99" s="35" t="s">
        <v>176</v>
      </c>
      <c r="F99" s="96"/>
      <c r="G99" s="21"/>
      <c r="H99" s="21" t="s">
        <v>67</v>
      </c>
      <c r="I99" s="14"/>
      <c r="J99" s="14"/>
      <c r="K99" s="12">
        <v>164</v>
      </c>
      <c r="L99" s="9"/>
      <c r="M99" s="9"/>
      <c r="N99" s="9"/>
      <c r="O99" s="38">
        <f t="shared" si="7"/>
        <v>164</v>
      </c>
      <c r="P99" s="12"/>
      <c r="Q99" s="42"/>
      <c r="R99" s="15"/>
      <c r="S99" s="44"/>
      <c r="T99" s="15"/>
      <c r="U99" s="44"/>
      <c r="V99" s="15">
        <f t="shared" si="8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9"/>
        <v>0</v>
      </c>
      <c r="AF99" s="101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5"/>
        <v>0</v>
      </c>
      <c r="BA99" s="15"/>
      <c r="BB99" s="44"/>
      <c r="BC99" s="15"/>
      <c r="BD99" s="44"/>
      <c r="BE99" s="15">
        <f t="shared" si="11"/>
        <v>0</v>
      </c>
    </row>
    <row r="100" spans="1:57" s="8" customFormat="1" ht="22.5" customHeight="1">
      <c r="A100" s="9"/>
      <c r="B100" s="18" t="s">
        <v>172</v>
      </c>
      <c r="C100" s="89" t="s">
        <v>132</v>
      </c>
      <c r="D100" s="58" t="s">
        <v>177</v>
      </c>
      <c r="E100" s="19"/>
      <c r="F100" s="96"/>
      <c r="G100" s="21"/>
      <c r="H100" s="21" t="s">
        <v>67</v>
      </c>
      <c r="I100" s="14"/>
      <c r="J100" s="14"/>
      <c r="K100" s="12">
        <v>300</v>
      </c>
      <c r="L100" s="9"/>
      <c r="M100" s="9"/>
      <c r="N100" s="9"/>
      <c r="O100" s="38">
        <f t="shared" si="7"/>
        <v>300</v>
      </c>
      <c r="P100" s="12"/>
      <c r="Q100" s="42"/>
      <c r="R100" s="15"/>
      <c r="S100" s="44"/>
      <c r="T100" s="15"/>
      <c r="U100" s="44"/>
      <c r="V100" s="15">
        <f t="shared" si="8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9"/>
        <v>0</v>
      </c>
      <c r="AF100" s="101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5"/>
        <v>0</v>
      </c>
      <c r="BA100" s="15"/>
      <c r="BB100" s="44"/>
      <c r="BC100" s="15"/>
      <c r="BD100" s="44"/>
      <c r="BE100" s="15">
        <f t="shared" si="11"/>
        <v>0</v>
      </c>
    </row>
    <row r="101" spans="1:57" s="8" customFormat="1" ht="22.5" customHeight="1">
      <c r="A101" s="9"/>
      <c r="B101" s="18" t="s">
        <v>172</v>
      </c>
      <c r="C101" s="89" t="s">
        <v>132</v>
      </c>
      <c r="D101" s="58" t="s">
        <v>178</v>
      </c>
      <c r="E101" s="19" t="s">
        <v>179</v>
      </c>
      <c r="F101" s="96"/>
      <c r="G101" s="21"/>
      <c r="H101" s="21" t="s">
        <v>67</v>
      </c>
      <c r="I101" s="14"/>
      <c r="J101" s="14"/>
      <c r="K101" s="12">
        <v>102</v>
      </c>
      <c r="L101" s="9"/>
      <c r="M101" s="9"/>
      <c r="N101" s="9"/>
      <c r="O101" s="38">
        <f t="shared" si="7"/>
        <v>102</v>
      </c>
      <c r="P101" s="12"/>
      <c r="Q101" s="42"/>
      <c r="R101" s="15"/>
      <c r="S101" s="44"/>
      <c r="T101" s="15"/>
      <c r="U101" s="44"/>
      <c r="V101" s="15">
        <f t="shared" si="8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9"/>
        <v>0</v>
      </c>
      <c r="AF101" s="101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ref="AZ101:AZ164" si="12">AF101+AH101+AJ101+AL101+AN101+AP101+AR101+AT101+AV101+AX101</f>
        <v>0</v>
      </c>
      <c r="BA101" s="15"/>
      <c r="BB101" s="44"/>
      <c r="BC101" s="15"/>
      <c r="BD101" s="44"/>
      <c r="BE101" s="15">
        <f t="shared" si="11"/>
        <v>0</v>
      </c>
    </row>
    <row r="102" spans="1:57" s="8" customFormat="1" ht="22.5" customHeight="1">
      <c r="A102" s="9"/>
      <c r="B102" s="18" t="s">
        <v>172</v>
      </c>
      <c r="C102" s="89" t="s">
        <v>132</v>
      </c>
      <c r="D102" s="58" t="s">
        <v>180</v>
      </c>
      <c r="E102" s="19"/>
      <c r="F102" s="96"/>
      <c r="G102" s="21"/>
      <c r="H102" s="21" t="s">
        <v>67</v>
      </c>
      <c r="I102" s="14"/>
      <c r="J102" s="14"/>
      <c r="K102" s="12">
        <v>0</v>
      </c>
      <c r="L102" s="9"/>
      <c r="M102" s="9"/>
      <c r="N102" s="9"/>
      <c r="O102" s="38">
        <f t="shared" si="7"/>
        <v>0</v>
      </c>
      <c r="P102" s="12"/>
      <c r="Q102" s="42"/>
      <c r="R102" s="15"/>
      <c r="S102" s="44"/>
      <c r="T102" s="15"/>
      <c r="U102" s="44"/>
      <c r="V102" s="15">
        <f t="shared" si="8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9"/>
        <v>0</v>
      </c>
      <c r="AF102" s="101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12"/>
        <v>0</v>
      </c>
      <c r="BA102" s="15"/>
      <c r="BB102" s="44"/>
      <c r="BC102" s="15"/>
      <c r="BD102" s="44"/>
      <c r="BE102" s="15">
        <f t="shared" si="11"/>
        <v>0</v>
      </c>
    </row>
    <row r="103" spans="1:57" s="8" customFormat="1" ht="22.5" customHeight="1">
      <c r="A103" s="9"/>
      <c r="B103" s="18" t="s">
        <v>172</v>
      </c>
      <c r="C103" s="89" t="s">
        <v>132</v>
      </c>
      <c r="D103" s="58" t="s">
        <v>181</v>
      </c>
      <c r="E103" s="19"/>
      <c r="F103" s="96"/>
      <c r="G103" s="21"/>
      <c r="H103" s="21" t="s">
        <v>67</v>
      </c>
      <c r="I103" s="14"/>
      <c r="J103" s="14"/>
      <c r="K103" s="12">
        <v>0</v>
      </c>
      <c r="L103" s="9"/>
      <c r="M103" s="9"/>
      <c r="N103" s="9"/>
      <c r="O103" s="38">
        <f t="shared" si="7"/>
        <v>0</v>
      </c>
      <c r="P103" s="12"/>
      <c r="Q103" s="42"/>
      <c r="R103" s="15"/>
      <c r="S103" s="44"/>
      <c r="T103" s="15"/>
      <c r="U103" s="44"/>
      <c r="V103" s="15">
        <f t="shared" si="8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9"/>
        <v>0</v>
      </c>
      <c r="AF103" s="101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12"/>
        <v>0</v>
      </c>
      <c r="BA103" s="15"/>
      <c r="BB103" s="44"/>
      <c r="BC103" s="15"/>
      <c r="BD103" s="44"/>
      <c r="BE103" s="15">
        <f t="shared" si="11"/>
        <v>0</v>
      </c>
    </row>
    <row r="104" spans="1:57" s="8" customFormat="1" ht="22.5" customHeight="1">
      <c r="A104" s="9"/>
      <c r="B104" s="18" t="s">
        <v>172</v>
      </c>
      <c r="C104" s="89" t="s">
        <v>132</v>
      </c>
      <c r="D104" s="58" t="s">
        <v>182</v>
      </c>
      <c r="E104" s="19"/>
      <c r="F104" s="96"/>
      <c r="G104" s="21"/>
      <c r="H104" s="21" t="s">
        <v>67</v>
      </c>
      <c r="I104" s="14"/>
      <c r="J104" s="14"/>
      <c r="K104" s="12">
        <v>240</v>
      </c>
      <c r="L104" s="9"/>
      <c r="M104" s="9"/>
      <c r="N104" s="9"/>
      <c r="O104" s="38">
        <f t="shared" si="7"/>
        <v>240</v>
      </c>
      <c r="P104" s="12"/>
      <c r="Q104" s="42"/>
      <c r="R104" s="15"/>
      <c r="S104" s="44"/>
      <c r="T104" s="15"/>
      <c r="U104" s="44"/>
      <c r="V104" s="15">
        <f t="shared" si="8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9"/>
        <v>0</v>
      </c>
      <c r="AF104" s="101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12"/>
        <v>0</v>
      </c>
      <c r="BA104" s="15"/>
      <c r="BB104" s="44"/>
      <c r="BC104" s="15"/>
      <c r="BD104" s="44"/>
      <c r="BE104" s="15">
        <f t="shared" si="11"/>
        <v>0</v>
      </c>
    </row>
    <row r="105" spans="1:57" s="8" customFormat="1" ht="22.5" customHeight="1">
      <c r="A105" s="9"/>
      <c r="B105" s="18" t="s">
        <v>172</v>
      </c>
      <c r="C105" s="89" t="s">
        <v>132</v>
      </c>
      <c r="D105" s="58" t="s">
        <v>183</v>
      </c>
      <c r="E105" s="19"/>
      <c r="F105" s="96"/>
      <c r="G105" s="21"/>
      <c r="H105" s="21" t="s">
        <v>67</v>
      </c>
      <c r="I105" s="14"/>
      <c r="J105" s="14"/>
      <c r="K105" s="12">
        <v>240</v>
      </c>
      <c r="L105" s="9"/>
      <c r="M105" s="9"/>
      <c r="N105" s="9"/>
      <c r="O105" s="38">
        <f t="shared" si="7"/>
        <v>240</v>
      </c>
      <c r="P105" s="12"/>
      <c r="Q105" s="42"/>
      <c r="R105" s="15"/>
      <c r="S105" s="44"/>
      <c r="T105" s="15"/>
      <c r="U105" s="44"/>
      <c r="V105" s="15">
        <f t="shared" si="8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9"/>
        <v>0</v>
      </c>
      <c r="AF105" s="101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12"/>
        <v>0</v>
      </c>
      <c r="BA105" s="15"/>
      <c r="BB105" s="44"/>
      <c r="BC105" s="15"/>
      <c r="BD105" s="44"/>
      <c r="BE105" s="15">
        <f t="shared" si="11"/>
        <v>0</v>
      </c>
    </row>
    <row r="106" spans="1:57" s="8" customFormat="1" ht="22.5" customHeight="1">
      <c r="A106" s="9"/>
      <c r="B106" s="18" t="s">
        <v>172</v>
      </c>
      <c r="C106" s="89" t="s">
        <v>132</v>
      </c>
      <c r="D106" s="58" t="s">
        <v>184</v>
      </c>
      <c r="E106" s="19"/>
      <c r="F106" s="96"/>
      <c r="G106" s="21"/>
      <c r="H106" s="21" t="s">
        <v>67</v>
      </c>
      <c r="I106" s="14"/>
      <c r="J106" s="14"/>
      <c r="K106" s="12">
        <v>88</v>
      </c>
      <c r="L106" s="9"/>
      <c r="M106" s="9"/>
      <c r="N106" s="9"/>
      <c r="O106" s="38">
        <f t="shared" si="7"/>
        <v>88</v>
      </c>
      <c r="P106" s="12"/>
      <c r="Q106" s="42"/>
      <c r="R106" s="15"/>
      <c r="S106" s="44"/>
      <c r="T106" s="15"/>
      <c r="U106" s="44"/>
      <c r="V106" s="15">
        <f t="shared" si="8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9"/>
        <v>0</v>
      </c>
      <c r="AF106" s="101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12"/>
        <v>0</v>
      </c>
      <c r="BA106" s="15"/>
      <c r="BB106" s="44"/>
      <c r="BC106" s="15"/>
      <c r="BD106" s="44"/>
      <c r="BE106" s="15">
        <f t="shared" si="11"/>
        <v>0</v>
      </c>
    </row>
    <row r="107" spans="1:57" s="8" customFormat="1" ht="22.5" customHeight="1">
      <c r="A107" s="9"/>
      <c r="B107" s="16" t="s">
        <v>172</v>
      </c>
      <c r="C107" s="89" t="s">
        <v>132</v>
      </c>
      <c r="D107" s="68" t="s">
        <v>185</v>
      </c>
      <c r="E107" s="13"/>
      <c r="F107" s="96"/>
      <c r="G107" s="9"/>
      <c r="H107" s="9" t="s">
        <v>67</v>
      </c>
      <c r="I107" s="14"/>
      <c r="J107" s="14"/>
      <c r="K107" s="12">
        <v>0</v>
      </c>
      <c r="L107" s="9"/>
      <c r="M107" s="9"/>
      <c r="N107" s="9"/>
      <c r="O107" s="38">
        <f t="shared" si="7"/>
        <v>0</v>
      </c>
      <c r="P107" s="12"/>
      <c r="Q107" s="42"/>
      <c r="R107" s="15"/>
      <c r="S107" s="44"/>
      <c r="T107" s="15"/>
      <c r="U107" s="44"/>
      <c r="V107" s="15">
        <f t="shared" si="8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9"/>
        <v>0</v>
      </c>
      <c r="AF107" s="101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12"/>
        <v>0</v>
      </c>
      <c r="BA107" s="15"/>
      <c r="BB107" s="44"/>
      <c r="BC107" s="15"/>
      <c r="BD107" s="44"/>
      <c r="BE107" s="15">
        <f t="shared" si="11"/>
        <v>0</v>
      </c>
    </row>
    <row r="108" spans="1:57" s="8" customFormat="1" ht="22.5" customHeight="1">
      <c r="A108" s="9"/>
      <c r="B108" s="16" t="s">
        <v>172</v>
      </c>
      <c r="C108" s="89" t="s">
        <v>132</v>
      </c>
      <c r="D108" s="69" t="s">
        <v>186</v>
      </c>
      <c r="E108" s="13" t="s">
        <v>179</v>
      </c>
      <c r="F108" s="96"/>
      <c r="G108" s="9"/>
      <c r="H108" s="9" t="s">
        <v>67</v>
      </c>
      <c r="I108" s="14"/>
      <c r="J108" s="14"/>
      <c r="K108" s="12">
        <v>378</v>
      </c>
      <c r="L108" s="9"/>
      <c r="M108" s="9"/>
      <c r="N108" s="9"/>
      <c r="O108" s="38">
        <f t="shared" si="7"/>
        <v>378</v>
      </c>
      <c r="P108" s="12"/>
      <c r="Q108" s="42"/>
      <c r="R108" s="15"/>
      <c r="S108" s="44"/>
      <c r="T108" s="15"/>
      <c r="U108" s="44"/>
      <c r="V108" s="15">
        <f t="shared" si="8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9"/>
        <v>0</v>
      </c>
      <c r="AF108" s="101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12"/>
        <v>0</v>
      </c>
      <c r="BA108" s="15"/>
      <c r="BB108" s="44"/>
      <c r="BC108" s="15"/>
      <c r="BD108" s="44"/>
      <c r="BE108" s="15">
        <f t="shared" si="11"/>
        <v>0</v>
      </c>
    </row>
    <row r="109" spans="1:57" s="8" customFormat="1" ht="22.5" customHeight="1">
      <c r="A109" s="9"/>
      <c r="B109" s="18" t="s">
        <v>187</v>
      </c>
      <c r="C109" s="89" t="s">
        <v>132</v>
      </c>
      <c r="D109" s="58" t="s">
        <v>188</v>
      </c>
      <c r="E109" s="35" t="s">
        <v>189</v>
      </c>
      <c r="F109" s="96"/>
      <c r="G109" s="21"/>
      <c r="H109" s="21" t="s">
        <v>67</v>
      </c>
      <c r="I109" s="14"/>
      <c r="J109" s="14"/>
      <c r="K109" s="12">
        <v>855</v>
      </c>
      <c r="L109" s="36"/>
      <c r="M109" s="36"/>
      <c r="N109" s="36"/>
      <c r="O109" s="38">
        <f t="shared" si="7"/>
        <v>855</v>
      </c>
      <c r="P109" s="12"/>
      <c r="Q109" s="42"/>
      <c r="R109" s="15"/>
      <c r="S109" s="44"/>
      <c r="T109" s="15"/>
      <c r="U109" s="44"/>
      <c r="V109" s="15">
        <f t="shared" si="8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9"/>
        <v>0</v>
      </c>
      <c r="AF109" s="101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12"/>
        <v>0</v>
      </c>
      <c r="BA109" s="15"/>
      <c r="BB109" s="44"/>
      <c r="BC109" s="15"/>
      <c r="BD109" s="44"/>
      <c r="BE109" s="15">
        <f t="shared" si="11"/>
        <v>0</v>
      </c>
    </row>
    <row r="110" spans="1:57" s="8" customFormat="1" ht="22.5" customHeight="1">
      <c r="A110" s="9"/>
      <c r="B110" s="18" t="s">
        <v>187</v>
      </c>
      <c r="C110" s="89" t="s">
        <v>190</v>
      </c>
      <c r="D110" s="58" t="s">
        <v>191</v>
      </c>
      <c r="E110" s="35" t="s">
        <v>192</v>
      </c>
      <c r="F110" s="96"/>
      <c r="G110" s="21"/>
      <c r="H110" s="21" t="s">
        <v>193</v>
      </c>
      <c r="I110" s="14"/>
      <c r="J110" s="14"/>
      <c r="K110" s="12">
        <v>823</v>
      </c>
      <c r="L110" s="9"/>
      <c r="M110" s="9"/>
      <c r="N110" s="9"/>
      <c r="O110" s="38">
        <f t="shared" si="7"/>
        <v>823</v>
      </c>
      <c r="P110" s="12"/>
      <c r="Q110" s="42"/>
      <c r="R110" s="15"/>
      <c r="S110" s="44"/>
      <c r="T110" s="15"/>
      <c r="U110" s="44"/>
      <c r="V110" s="15">
        <f t="shared" si="8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9"/>
        <v>0</v>
      </c>
      <c r="AF110" s="101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12"/>
        <v>0</v>
      </c>
      <c r="BA110" s="15"/>
      <c r="BB110" s="44"/>
      <c r="BC110" s="15"/>
      <c r="BD110" s="44"/>
      <c r="BE110" s="15">
        <f t="shared" si="11"/>
        <v>0</v>
      </c>
    </row>
    <row r="111" spans="1:57" s="8" customFormat="1" ht="22.5" customHeight="1">
      <c r="A111" s="9"/>
      <c r="B111" s="18" t="s">
        <v>120</v>
      </c>
      <c r="C111" s="89" t="s">
        <v>132</v>
      </c>
      <c r="D111" s="58" t="s">
        <v>194</v>
      </c>
      <c r="E111" s="35" t="s">
        <v>195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7"/>
        <v>0</v>
      </c>
      <c r="P111" s="12"/>
      <c r="Q111" s="42"/>
      <c r="R111" s="15"/>
      <c r="S111" s="44"/>
      <c r="T111" s="15"/>
      <c r="U111" s="44"/>
      <c r="V111" s="15">
        <f t="shared" si="8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9"/>
        <v>0</v>
      </c>
      <c r="AF111" s="101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12"/>
        <v>0</v>
      </c>
      <c r="BA111" s="15"/>
      <c r="BB111" s="44"/>
      <c r="BC111" s="15"/>
      <c r="BD111" s="44"/>
      <c r="BE111" s="15">
        <f t="shared" si="11"/>
        <v>0</v>
      </c>
    </row>
    <row r="112" spans="1:57" s="8" customFormat="1" ht="22.5" customHeight="1">
      <c r="A112" s="9"/>
      <c r="B112" s="18" t="s">
        <v>120</v>
      </c>
      <c r="C112" s="89" t="s">
        <v>132</v>
      </c>
      <c r="D112" s="58" t="s">
        <v>196</v>
      </c>
      <c r="E112" s="35" t="s">
        <v>197</v>
      </c>
      <c r="F112" s="96"/>
      <c r="G112" s="21"/>
      <c r="H112" s="21" t="s">
        <v>67</v>
      </c>
      <c r="I112" s="14"/>
      <c r="J112" s="14"/>
      <c r="K112" s="12">
        <v>0</v>
      </c>
      <c r="L112" s="9"/>
      <c r="M112" s="9"/>
      <c r="N112" s="9"/>
      <c r="O112" s="38">
        <f t="shared" si="7"/>
        <v>0</v>
      </c>
      <c r="P112" s="12"/>
      <c r="Q112" s="42"/>
      <c r="R112" s="15"/>
      <c r="S112" s="44"/>
      <c r="T112" s="15"/>
      <c r="U112" s="44"/>
      <c r="V112" s="15">
        <f t="shared" si="8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9"/>
        <v>0</v>
      </c>
      <c r="AF112" s="101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12"/>
        <v>0</v>
      </c>
      <c r="BA112" s="15"/>
      <c r="BB112" s="44"/>
      <c r="BC112" s="15"/>
      <c r="BD112" s="44"/>
      <c r="BE112" s="15">
        <f t="shared" si="11"/>
        <v>0</v>
      </c>
    </row>
    <row r="113" spans="1:57" s="8" customFormat="1" ht="22.5" customHeight="1">
      <c r="A113" s="9"/>
      <c r="B113" s="18" t="s">
        <v>120</v>
      </c>
      <c r="C113" s="89" t="s">
        <v>132</v>
      </c>
      <c r="D113" s="58" t="s">
        <v>198</v>
      </c>
      <c r="E113" s="19" t="s">
        <v>199</v>
      </c>
      <c r="F113" s="96"/>
      <c r="G113" s="21"/>
      <c r="H113" s="21" t="s">
        <v>67</v>
      </c>
      <c r="I113" s="14"/>
      <c r="J113" s="14"/>
      <c r="K113" s="12">
        <v>0</v>
      </c>
      <c r="L113" s="9"/>
      <c r="M113" s="9"/>
      <c r="N113" s="9"/>
      <c r="O113" s="38">
        <f t="shared" si="7"/>
        <v>0</v>
      </c>
      <c r="P113" s="12"/>
      <c r="Q113" s="42"/>
      <c r="R113" s="15"/>
      <c r="S113" s="44"/>
      <c r="T113" s="15"/>
      <c r="U113" s="44"/>
      <c r="V113" s="15">
        <f t="shared" si="8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9"/>
        <v>0</v>
      </c>
      <c r="AF113" s="101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12"/>
        <v>0</v>
      </c>
      <c r="BA113" s="15"/>
      <c r="BB113" s="44"/>
      <c r="BC113" s="15"/>
      <c r="BD113" s="44"/>
      <c r="BE113" s="15">
        <f t="shared" si="11"/>
        <v>0</v>
      </c>
    </row>
    <row r="114" spans="1:57" s="8" customFormat="1" ht="22.5" customHeight="1">
      <c r="A114" s="9"/>
      <c r="B114" s="18" t="s">
        <v>120</v>
      </c>
      <c r="C114" s="89" t="s">
        <v>132</v>
      </c>
      <c r="D114" s="58" t="s">
        <v>200</v>
      </c>
      <c r="E114" s="19" t="s">
        <v>201</v>
      </c>
      <c r="F114" s="96"/>
      <c r="G114" s="21"/>
      <c r="H114" s="21" t="s">
        <v>67</v>
      </c>
      <c r="I114" s="14"/>
      <c r="J114" s="14"/>
      <c r="K114" s="12">
        <v>0</v>
      </c>
      <c r="L114" s="9"/>
      <c r="M114" s="9"/>
      <c r="N114" s="9"/>
      <c r="O114" s="38">
        <f t="shared" si="7"/>
        <v>0</v>
      </c>
      <c r="P114" s="12"/>
      <c r="Q114" s="42"/>
      <c r="R114" s="15"/>
      <c r="S114" s="44"/>
      <c r="T114" s="15"/>
      <c r="U114" s="44"/>
      <c r="V114" s="15">
        <f t="shared" si="8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9"/>
        <v>0</v>
      </c>
      <c r="AF114" s="101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12"/>
        <v>0</v>
      </c>
      <c r="BA114" s="15"/>
      <c r="BB114" s="44"/>
      <c r="BC114" s="15"/>
      <c r="BD114" s="44"/>
      <c r="BE114" s="15">
        <f t="shared" si="11"/>
        <v>0</v>
      </c>
    </row>
    <row r="115" spans="1:57" s="8" customFormat="1" ht="22.5" customHeight="1">
      <c r="A115" s="9"/>
      <c r="B115" s="18" t="s">
        <v>120</v>
      </c>
      <c r="C115" s="89" t="s">
        <v>132</v>
      </c>
      <c r="D115" s="58" t="s">
        <v>202</v>
      </c>
      <c r="E115" s="19" t="s">
        <v>203</v>
      </c>
      <c r="F115" s="96"/>
      <c r="G115" s="21"/>
      <c r="H115" s="21" t="s">
        <v>67</v>
      </c>
      <c r="I115" s="14"/>
      <c r="J115" s="14"/>
      <c r="K115" s="12">
        <v>98</v>
      </c>
      <c r="L115" s="9"/>
      <c r="M115" s="9"/>
      <c r="N115" s="9"/>
      <c r="O115" s="38">
        <f t="shared" si="7"/>
        <v>98</v>
      </c>
      <c r="P115" s="12"/>
      <c r="Q115" s="42"/>
      <c r="R115" s="15"/>
      <c r="S115" s="44"/>
      <c r="T115" s="15"/>
      <c r="U115" s="44"/>
      <c r="V115" s="15">
        <f t="shared" si="8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9"/>
        <v>0</v>
      </c>
      <c r="AF115" s="101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12"/>
        <v>0</v>
      </c>
      <c r="BA115" s="15"/>
      <c r="BB115" s="44"/>
      <c r="BC115" s="15"/>
      <c r="BD115" s="44"/>
      <c r="BE115" s="15">
        <f t="shared" si="11"/>
        <v>0</v>
      </c>
    </row>
    <row r="116" spans="1:57" s="8" customFormat="1" ht="22.5" customHeight="1">
      <c r="A116" s="9"/>
      <c r="B116" s="18" t="s">
        <v>204</v>
      </c>
      <c r="C116" s="89" t="s">
        <v>132</v>
      </c>
      <c r="D116" s="58" t="s">
        <v>205</v>
      </c>
      <c r="E116" s="35" t="s">
        <v>206</v>
      </c>
      <c r="F116" s="96"/>
      <c r="G116" s="21"/>
      <c r="H116" s="21" t="s">
        <v>207</v>
      </c>
      <c r="I116" s="14"/>
      <c r="J116" s="14"/>
      <c r="K116" s="12">
        <v>340</v>
      </c>
      <c r="L116" s="9"/>
      <c r="M116" s="9"/>
      <c r="N116" s="9"/>
      <c r="O116" s="38">
        <f t="shared" si="7"/>
        <v>340</v>
      </c>
      <c r="P116" s="12"/>
      <c r="Q116" s="42"/>
      <c r="R116" s="15"/>
      <c r="S116" s="44"/>
      <c r="T116" s="15"/>
      <c r="U116" s="44"/>
      <c r="V116" s="15">
        <f t="shared" si="8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9"/>
        <v>0</v>
      </c>
      <c r="AF116" s="101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12"/>
        <v>0</v>
      </c>
      <c r="BA116" s="15"/>
      <c r="BB116" s="44"/>
      <c r="BC116" s="15"/>
      <c r="BD116" s="44"/>
      <c r="BE116" s="15">
        <f t="shared" si="11"/>
        <v>0</v>
      </c>
    </row>
    <row r="117" spans="1:57" s="8" customFormat="1" ht="22.5" customHeight="1">
      <c r="A117" s="9"/>
      <c r="B117" s="18" t="s">
        <v>204</v>
      </c>
      <c r="C117" s="89" t="s">
        <v>132</v>
      </c>
      <c r="D117" s="99" t="s">
        <v>208</v>
      </c>
      <c r="E117" s="35"/>
      <c r="F117" s="96"/>
      <c r="G117" s="21"/>
      <c r="H117" s="21" t="s">
        <v>67</v>
      </c>
      <c r="I117" s="14"/>
      <c r="J117" s="14"/>
      <c r="K117" s="12">
        <v>247</v>
      </c>
      <c r="L117" s="9"/>
      <c r="M117" s="9"/>
      <c r="N117" s="9"/>
      <c r="O117" s="38">
        <f t="shared" si="7"/>
        <v>247</v>
      </c>
      <c r="P117" s="12"/>
      <c r="Q117" s="42"/>
      <c r="R117" s="15"/>
      <c r="S117" s="44"/>
      <c r="T117" s="15"/>
      <c r="U117" s="44"/>
      <c r="V117" s="15">
        <f t="shared" si="8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9"/>
        <v>0</v>
      </c>
      <c r="AF117" s="101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12"/>
        <v>0</v>
      </c>
      <c r="BA117" s="15"/>
      <c r="BB117" s="44"/>
      <c r="BC117" s="15"/>
      <c r="BD117" s="44"/>
      <c r="BE117" s="15">
        <f t="shared" si="11"/>
        <v>0</v>
      </c>
    </row>
    <row r="118" spans="1:57" s="8" customFormat="1" ht="22.5" customHeight="1">
      <c r="A118" s="9"/>
      <c r="B118" s="18" t="s">
        <v>204</v>
      </c>
      <c r="C118" s="89" t="s">
        <v>132</v>
      </c>
      <c r="D118" s="58" t="s">
        <v>209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302</v>
      </c>
      <c r="L118" s="9"/>
      <c r="M118" s="9"/>
      <c r="N118" s="9"/>
      <c r="O118" s="38">
        <f t="shared" si="7"/>
        <v>302</v>
      </c>
      <c r="P118" s="12"/>
      <c r="Q118" s="42"/>
      <c r="R118" s="15"/>
      <c r="S118" s="44"/>
      <c r="T118" s="15"/>
      <c r="U118" s="44"/>
      <c r="V118" s="15">
        <f t="shared" si="8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9"/>
        <v>0</v>
      </c>
      <c r="AF118" s="101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12"/>
        <v>0</v>
      </c>
      <c r="BA118" s="15"/>
      <c r="BB118" s="44"/>
      <c r="BC118" s="15"/>
      <c r="BD118" s="44"/>
      <c r="BE118" s="15">
        <f t="shared" si="11"/>
        <v>0</v>
      </c>
    </row>
    <row r="119" spans="1:57" s="8" customFormat="1" ht="22.5" customHeight="1">
      <c r="A119" s="9"/>
      <c r="B119" s="18" t="s">
        <v>204</v>
      </c>
      <c r="C119" s="89" t="s">
        <v>132</v>
      </c>
      <c r="D119" s="58" t="s">
        <v>209</v>
      </c>
      <c r="E119" s="35" t="s">
        <v>211</v>
      </c>
      <c r="F119" s="96"/>
      <c r="G119" s="21"/>
      <c r="H119" s="21" t="s">
        <v>207</v>
      </c>
      <c r="I119" s="14"/>
      <c r="J119" s="14"/>
      <c r="K119" s="12">
        <v>0</v>
      </c>
      <c r="L119" s="9"/>
      <c r="M119" s="9"/>
      <c r="N119" s="9"/>
      <c r="O119" s="38">
        <f t="shared" si="7"/>
        <v>0</v>
      </c>
      <c r="P119" s="12"/>
      <c r="Q119" s="42"/>
      <c r="R119" s="15"/>
      <c r="S119" s="44"/>
      <c r="T119" s="15"/>
      <c r="U119" s="44"/>
      <c r="V119" s="15">
        <f t="shared" si="8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9"/>
        <v>0</v>
      </c>
      <c r="AF119" s="101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12"/>
        <v>0</v>
      </c>
      <c r="BA119" s="15"/>
      <c r="BB119" s="44"/>
      <c r="BC119" s="15"/>
      <c r="BD119" s="44"/>
      <c r="BE119" s="15">
        <f t="shared" si="11"/>
        <v>0</v>
      </c>
    </row>
    <row r="120" spans="1:57" s="8" customFormat="1" ht="22.5" customHeight="1">
      <c r="A120" s="9"/>
      <c r="B120" s="18" t="s">
        <v>204</v>
      </c>
      <c r="C120" s="89" t="s">
        <v>132</v>
      </c>
      <c r="D120" s="58" t="s">
        <v>209</v>
      </c>
      <c r="E120" s="35" t="s">
        <v>206</v>
      </c>
      <c r="F120" s="96"/>
      <c r="G120" s="21"/>
      <c r="H120" s="21" t="s">
        <v>207</v>
      </c>
      <c r="I120" s="14"/>
      <c r="J120" s="14"/>
      <c r="K120" s="12">
        <v>306</v>
      </c>
      <c r="L120" s="9"/>
      <c r="M120" s="9"/>
      <c r="N120" s="9"/>
      <c r="O120" s="38">
        <f t="shared" si="7"/>
        <v>306</v>
      </c>
      <c r="P120" s="12"/>
      <c r="Q120" s="42"/>
      <c r="R120" s="15"/>
      <c r="S120" s="44"/>
      <c r="T120" s="15"/>
      <c r="U120" s="44"/>
      <c r="V120" s="15">
        <f t="shared" si="8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9"/>
        <v>0</v>
      </c>
      <c r="AF120" s="101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12"/>
        <v>0</v>
      </c>
      <c r="BA120" s="15"/>
      <c r="BB120" s="44"/>
      <c r="BC120" s="15"/>
      <c r="BD120" s="44"/>
      <c r="BE120" s="15">
        <f t="shared" si="11"/>
        <v>0</v>
      </c>
    </row>
    <row r="121" spans="1:57" s="8" customFormat="1" ht="22.5" customHeight="1">
      <c r="A121" s="9"/>
      <c r="B121" s="18" t="s">
        <v>204</v>
      </c>
      <c r="C121" s="89" t="s">
        <v>132</v>
      </c>
      <c r="D121" s="58" t="s">
        <v>212</v>
      </c>
      <c r="E121" s="35" t="s">
        <v>210</v>
      </c>
      <c r="F121" s="96"/>
      <c r="G121" s="21"/>
      <c r="H121" s="21" t="s">
        <v>207</v>
      </c>
      <c r="I121" s="14"/>
      <c r="J121" s="14"/>
      <c r="K121" s="12">
        <v>40</v>
      </c>
      <c r="L121" s="9"/>
      <c r="M121" s="9"/>
      <c r="N121" s="9"/>
      <c r="O121" s="38">
        <f t="shared" si="7"/>
        <v>40</v>
      </c>
      <c r="P121" s="12"/>
      <c r="Q121" s="42"/>
      <c r="R121" s="15"/>
      <c r="S121" s="44"/>
      <c r="T121" s="15"/>
      <c r="U121" s="44"/>
      <c r="V121" s="15">
        <f t="shared" si="8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9"/>
        <v>0</v>
      </c>
      <c r="AF121" s="101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12"/>
        <v>0</v>
      </c>
      <c r="BA121" s="15"/>
      <c r="BB121" s="44"/>
      <c r="BC121" s="15"/>
      <c r="BD121" s="44"/>
      <c r="BE121" s="15">
        <f t="shared" si="11"/>
        <v>0</v>
      </c>
    </row>
    <row r="122" spans="1:57" s="8" customFormat="1" ht="22.5" customHeight="1">
      <c r="A122" s="9"/>
      <c r="B122" s="18" t="s">
        <v>204</v>
      </c>
      <c r="C122" s="89" t="s">
        <v>132</v>
      </c>
      <c r="D122" s="58" t="s">
        <v>212</v>
      </c>
      <c r="E122" s="35" t="s">
        <v>206</v>
      </c>
      <c r="F122" s="96"/>
      <c r="G122" s="21"/>
      <c r="H122" s="21" t="s">
        <v>207</v>
      </c>
      <c r="I122" s="14"/>
      <c r="J122" s="14"/>
      <c r="K122" s="12">
        <v>372</v>
      </c>
      <c r="L122" s="9"/>
      <c r="M122" s="9"/>
      <c r="N122" s="9"/>
      <c r="O122" s="38">
        <f t="shared" si="7"/>
        <v>372</v>
      </c>
      <c r="P122" s="12"/>
      <c r="Q122" s="42"/>
      <c r="R122" s="15"/>
      <c r="S122" s="44"/>
      <c r="T122" s="15"/>
      <c r="U122" s="44"/>
      <c r="V122" s="15">
        <f t="shared" si="8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9"/>
        <v>0</v>
      </c>
      <c r="AF122" s="101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12"/>
        <v>0</v>
      </c>
      <c r="BA122" s="15"/>
      <c r="BB122" s="44"/>
      <c r="BC122" s="15"/>
      <c r="BD122" s="44"/>
      <c r="BE122" s="15">
        <f t="shared" si="11"/>
        <v>0</v>
      </c>
    </row>
    <row r="123" spans="1:57" s="8" customFormat="1" ht="22.5" customHeight="1">
      <c r="A123" s="9"/>
      <c r="B123" s="18" t="s">
        <v>204</v>
      </c>
      <c r="C123" s="89" t="s">
        <v>132</v>
      </c>
      <c r="D123" s="58" t="s">
        <v>213</v>
      </c>
      <c r="E123" s="35" t="s">
        <v>214</v>
      </c>
      <c r="F123" s="96"/>
      <c r="G123" s="21"/>
      <c r="H123" s="21" t="s">
        <v>207</v>
      </c>
      <c r="I123" s="14"/>
      <c r="J123" s="14"/>
      <c r="K123" s="12">
        <v>525</v>
      </c>
      <c r="L123" s="9"/>
      <c r="M123" s="9"/>
      <c r="N123" s="9"/>
      <c r="O123" s="38">
        <f t="shared" si="7"/>
        <v>525</v>
      </c>
      <c r="P123" s="12"/>
      <c r="Q123" s="42"/>
      <c r="R123" s="15"/>
      <c r="S123" s="44"/>
      <c r="T123" s="15"/>
      <c r="U123" s="44"/>
      <c r="V123" s="15">
        <f t="shared" si="8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9"/>
        <v>0</v>
      </c>
      <c r="AF123" s="101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12"/>
        <v>0</v>
      </c>
      <c r="BA123" s="15"/>
      <c r="BB123" s="44"/>
      <c r="BC123" s="15"/>
      <c r="BD123" s="44"/>
      <c r="BE123" s="15">
        <f t="shared" si="11"/>
        <v>0</v>
      </c>
    </row>
    <row r="124" spans="1:57" s="8" customFormat="1" ht="22.5" customHeight="1">
      <c r="A124" s="9"/>
      <c r="B124" s="18" t="s">
        <v>204</v>
      </c>
      <c r="C124" s="89" t="s">
        <v>132</v>
      </c>
      <c r="D124" s="58" t="s">
        <v>213</v>
      </c>
      <c r="E124" s="35" t="s">
        <v>206</v>
      </c>
      <c r="F124" s="96"/>
      <c r="G124" s="21"/>
      <c r="H124" s="21" t="s">
        <v>207</v>
      </c>
      <c r="I124" s="14"/>
      <c r="J124" s="14"/>
      <c r="K124" s="12">
        <v>0</v>
      </c>
      <c r="L124" s="9"/>
      <c r="M124" s="9"/>
      <c r="N124" s="9"/>
      <c r="O124" s="38">
        <f t="shared" si="7"/>
        <v>0</v>
      </c>
      <c r="P124" s="12"/>
      <c r="Q124" s="42"/>
      <c r="R124" s="15"/>
      <c r="S124" s="44"/>
      <c r="T124" s="15"/>
      <c r="U124" s="44"/>
      <c r="V124" s="15">
        <f t="shared" si="8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9"/>
        <v>0</v>
      </c>
      <c r="AF124" s="101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12"/>
        <v>0</v>
      </c>
      <c r="BA124" s="15"/>
      <c r="BB124" s="44"/>
      <c r="BC124" s="15"/>
      <c r="BD124" s="44"/>
      <c r="BE124" s="15">
        <f t="shared" si="11"/>
        <v>0</v>
      </c>
    </row>
    <row r="125" spans="1:57" s="8" customFormat="1" ht="22.5" customHeight="1">
      <c r="A125" s="9"/>
      <c r="B125" s="18" t="s">
        <v>204</v>
      </c>
      <c r="C125" s="89" t="s">
        <v>132</v>
      </c>
      <c r="D125" s="58" t="s">
        <v>213</v>
      </c>
      <c r="E125" s="35" t="s">
        <v>215</v>
      </c>
      <c r="F125" s="96"/>
      <c r="G125" s="21"/>
      <c r="H125" s="21" t="s">
        <v>207</v>
      </c>
      <c r="I125" s="14"/>
      <c r="J125" s="14"/>
      <c r="K125" s="12">
        <v>2109</v>
      </c>
      <c r="L125" s="9"/>
      <c r="M125" s="9"/>
      <c r="N125" s="9"/>
      <c r="O125" s="38">
        <f t="shared" si="7"/>
        <v>2109</v>
      </c>
      <c r="P125" s="12"/>
      <c r="Q125" s="42"/>
      <c r="R125" s="15"/>
      <c r="S125" s="44"/>
      <c r="T125" s="15"/>
      <c r="U125" s="44"/>
      <c r="V125" s="15">
        <f t="shared" si="8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9"/>
        <v>0</v>
      </c>
      <c r="AF125" s="101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12"/>
        <v>0</v>
      </c>
      <c r="BA125" s="15"/>
      <c r="BB125" s="44"/>
      <c r="BC125" s="15"/>
      <c r="BD125" s="44"/>
      <c r="BE125" s="15">
        <f t="shared" si="11"/>
        <v>0</v>
      </c>
    </row>
    <row r="126" spans="1:57" s="8" customFormat="1" ht="22.5" customHeight="1">
      <c r="A126" s="9"/>
      <c r="B126" s="18" t="s">
        <v>204</v>
      </c>
      <c r="C126" s="89" t="s">
        <v>132</v>
      </c>
      <c r="D126" s="58" t="s">
        <v>216</v>
      </c>
      <c r="E126" s="35" t="s">
        <v>217</v>
      </c>
      <c r="F126" s="96"/>
      <c r="G126" s="21"/>
      <c r="H126" s="21" t="s">
        <v>207</v>
      </c>
      <c r="I126" s="14"/>
      <c r="J126" s="14"/>
      <c r="K126" s="12">
        <v>60</v>
      </c>
      <c r="L126" s="9"/>
      <c r="M126" s="9"/>
      <c r="N126" s="9"/>
      <c r="O126" s="38">
        <f t="shared" si="7"/>
        <v>60</v>
      </c>
      <c r="P126" s="12"/>
      <c r="Q126" s="42"/>
      <c r="R126" s="15"/>
      <c r="S126" s="44"/>
      <c r="T126" s="15"/>
      <c r="U126" s="44"/>
      <c r="V126" s="15">
        <f t="shared" si="8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9"/>
        <v>0</v>
      </c>
      <c r="AF126" s="101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12"/>
        <v>0</v>
      </c>
      <c r="BA126" s="15"/>
      <c r="BB126" s="44"/>
      <c r="BC126" s="15"/>
      <c r="BD126" s="44"/>
      <c r="BE126" s="15">
        <f t="shared" si="11"/>
        <v>0</v>
      </c>
    </row>
    <row r="127" spans="1:57" s="8" customFormat="1" ht="22.5" customHeight="1">
      <c r="A127" s="9"/>
      <c r="B127" s="18" t="s">
        <v>204</v>
      </c>
      <c r="C127" s="89" t="s">
        <v>132</v>
      </c>
      <c r="D127" s="58" t="s">
        <v>218</v>
      </c>
      <c r="E127" s="35" t="s">
        <v>217</v>
      </c>
      <c r="F127" s="96"/>
      <c r="G127" s="21"/>
      <c r="H127" s="21" t="s">
        <v>207</v>
      </c>
      <c r="I127" s="14"/>
      <c r="J127" s="14"/>
      <c r="K127" s="12">
        <v>540</v>
      </c>
      <c r="L127" s="9"/>
      <c r="M127" s="9"/>
      <c r="N127" s="9"/>
      <c r="O127" s="38">
        <f t="shared" si="7"/>
        <v>540</v>
      </c>
      <c r="P127" s="12"/>
      <c r="Q127" s="42"/>
      <c r="R127" s="15"/>
      <c r="S127" s="44"/>
      <c r="T127" s="15"/>
      <c r="U127" s="44"/>
      <c r="V127" s="15">
        <f t="shared" si="8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9"/>
        <v>0</v>
      </c>
      <c r="AF127" s="101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12"/>
        <v>0</v>
      </c>
      <c r="BA127" s="15"/>
      <c r="BB127" s="44"/>
      <c r="BC127" s="15"/>
      <c r="BD127" s="44"/>
      <c r="BE127" s="15">
        <f t="shared" si="11"/>
        <v>0</v>
      </c>
    </row>
    <row r="128" spans="1:57" s="8" customFormat="1" ht="22.5" customHeight="1">
      <c r="A128" s="9"/>
      <c r="B128" s="18" t="s">
        <v>204</v>
      </c>
      <c r="C128" s="89" t="s">
        <v>132</v>
      </c>
      <c r="D128" s="58" t="s">
        <v>219</v>
      </c>
      <c r="E128" s="35" t="s">
        <v>217</v>
      </c>
      <c r="F128" s="96"/>
      <c r="G128" s="21"/>
      <c r="H128" s="21" t="s">
        <v>207</v>
      </c>
      <c r="I128" s="14"/>
      <c r="J128" s="14"/>
      <c r="K128" s="12">
        <v>94</v>
      </c>
      <c r="L128" s="9"/>
      <c r="M128" s="9"/>
      <c r="N128" s="9"/>
      <c r="O128" s="38">
        <f t="shared" si="7"/>
        <v>94</v>
      </c>
      <c r="P128" s="12"/>
      <c r="Q128" s="42"/>
      <c r="R128" s="15"/>
      <c r="S128" s="44"/>
      <c r="T128" s="15"/>
      <c r="U128" s="44"/>
      <c r="V128" s="15">
        <f t="shared" si="8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9"/>
        <v>0</v>
      </c>
      <c r="AF128" s="101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12"/>
        <v>0</v>
      </c>
      <c r="BA128" s="15"/>
      <c r="BB128" s="44"/>
      <c r="BC128" s="15"/>
      <c r="BD128" s="44"/>
      <c r="BE128" s="15">
        <f t="shared" si="11"/>
        <v>0</v>
      </c>
    </row>
    <row r="129" spans="1:57" s="8" customFormat="1" ht="22.5" customHeight="1">
      <c r="A129" s="9"/>
      <c r="B129" s="18" t="s">
        <v>204</v>
      </c>
      <c r="C129" s="89" t="s">
        <v>132</v>
      </c>
      <c r="D129" s="58" t="s">
        <v>220</v>
      </c>
      <c r="E129" s="35" t="s">
        <v>215</v>
      </c>
      <c r="F129" s="96"/>
      <c r="G129" s="21"/>
      <c r="H129" s="21" t="s">
        <v>207</v>
      </c>
      <c r="I129" s="14"/>
      <c r="J129" s="14"/>
      <c r="K129" s="12">
        <v>759</v>
      </c>
      <c r="L129" s="9"/>
      <c r="M129" s="9"/>
      <c r="N129" s="9"/>
      <c r="O129" s="38">
        <f t="shared" si="7"/>
        <v>759</v>
      </c>
      <c r="P129" s="12"/>
      <c r="Q129" s="42"/>
      <c r="R129" s="15"/>
      <c r="S129" s="44"/>
      <c r="T129" s="15"/>
      <c r="U129" s="44"/>
      <c r="V129" s="15">
        <f t="shared" si="8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9"/>
        <v>0</v>
      </c>
      <c r="AF129" s="101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12"/>
        <v>0</v>
      </c>
      <c r="BA129" s="15"/>
      <c r="BB129" s="44"/>
      <c r="BC129" s="15"/>
      <c r="BD129" s="44"/>
      <c r="BE129" s="15">
        <f t="shared" si="11"/>
        <v>0</v>
      </c>
    </row>
    <row r="130" spans="1:57" s="8" customFormat="1" ht="22.5" customHeight="1">
      <c r="A130" s="9"/>
      <c r="B130" s="18" t="s">
        <v>204</v>
      </c>
      <c r="C130" s="89" t="s">
        <v>132</v>
      </c>
      <c r="D130" s="58" t="s">
        <v>221</v>
      </c>
      <c r="E130" s="35" t="s">
        <v>222</v>
      </c>
      <c r="F130" s="96"/>
      <c r="G130" s="21"/>
      <c r="H130" s="21" t="s">
        <v>207</v>
      </c>
      <c r="I130" s="14"/>
      <c r="J130" s="14"/>
      <c r="K130" s="12">
        <v>0</v>
      </c>
      <c r="L130" s="9"/>
      <c r="M130" s="9"/>
      <c r="N130" s="9"/>
      <c r="O130" s="38">
        <f t="shared" si="7"/>
        <v>0</v>
      </c>
      <c r="P130" s="12"/>
      <c r="Q130" s="42"/>
      <c r="R130" s="15"/>
      <c r="S130" s="44"/>
      <c r="T130" s="15"/>
      <c r="U130" s="44"/>
      <c r="V130" s="15">
        <f t="shared" si="8"/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si="9"/>
        <v>0</v>
      </c>
      <c r="AF130" s="101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12"/>
        <v>0</v>
      </c>
      <c r="BA130" s="15"/>
      <c r="BB130" s="44"/>
      <c r="BC130" s="15"/>
      <c r="BD130" s="44"/>
      <c r="BE130" s="15">
        <f t="shared" si="11"/>
        <v>0</v>
      </c>
    </row>
    <row r="131" spans="1:57" s="8" customFormat="1" ht="22.5" customHeight="1">
      <c r="A131" s="9"/>
      <c r="B131" s="18" t="s">
        <v>204</v>
      </c>
      <c r="C131" s="89" t="s">
        <v>132</v>
      </c>
      <c r="D131" s="58" t="s">
        <v>221</v>
      </c>
      <c r="E131" s="35" t="s">
        <v>206</v>
      </c>
      <c r="F131" s="96"/>
      <c r="G131" s="21"/>
      <c r="H131" s="21" t="s">
        <v>207</v>
      </c>
      <c r="I131" s="14"/>
      <c r="J131" s="14"/>
      <c r="K131" s="12">
        <v>592</v>
      </c>
      <c r="L131" s="9"/>
      <c r="M131" s="9"/>
      <c r="N131" s="9"/>
      <c r="O131" s="38">
        <f t="shared" si="7"/>
        <v>592</v>
      </c>
      <c r="P131" s="12"/>
      <c r="Q131" s="42"/>
      <c r="R131" s="15"/>
      <c r="S131" s="44"/>
      <c r="T131" s="15"/>
      <c r="U131" s="44"/>
      <c r="V131" s="15">
        <f t="shared" si="8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9"/>
        <v>0</v>
      </c>
      <c r="AF131" s="101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si="12"/>
        <v>0</v>
      </c>
      <c r="BA131" s="15"/>
      <c r="BB131" s="44"/>
      <c r="BC131" s="15"/>
      <c r="BD131" s="44"/>
      <c r="BE131" s="15">
        <f t="shared" si="11"/>
        <v>0</v>
      </c>
    </row>
    <row r="132" spans="1:57" s="8" customFormat="1" ht="22.5" customHeight="1">
      <c r="A132" s="9"/>
      <c r="B132" s="18" t="s">
        <v>204</v>
      </c>
      <c r="C132" s="89" t="s">
        <v>132</v>
      </c>
      <c r="D132" s="58" t="s">
        <v>223</v>
      </c>
      <c r="E132" s="35" t="s">
        <v>206</v>
      </c>
      <c r="F132" s="96"/>
      <c r="G132" s="21"/>
      <c r="H132" s="21" t="s">
        <v>207</v>
      </c>
      <c r="I132" s="14"/>
      <c r="J132" s="14"/>
      <c r="K132" s="12">
        <v>129</v>
      </c>
      <c r="L132" s="9"/>
      <c r="M132" s="9"/>
      <c r="N132" s="9"/>
      <c r="O132" s="38">
        <f t="shared" ref="O132:O195" si="13">K132+V132-AE132-AZ132</f>
        <v>129</v>
      </c>
      <c r="P132" s="12"/>
      <c r="Q132" s="42"/>
      <c r="R132" s="15"/>
      <c r="S132" s="44"/>
      <c r="T132" s="15"/>
      <c r="U132" s="44"/>
      <c r="V132" s="15">
        <f t="shared" ref="V132:V195" si="14">P132+R132+T132</f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ref="AE132:AE195" si="15">(W132+Y132+AA132+AC132)</f>
        <v>0</v>
      </c>
      <c r="AF132" s="101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2"/>
        <v>0</v>
      </c>
      <c r="BA132" s="15"/>
      <c r="BB132" s="44"/>
      <c r="BC132" s="15"/>
      <c r="BD132" s="44"/>
      <c r="BE132" s="15">
        <f t="shared" si="11"/>
        <v>0</v>
      </c>
    </row>
    <row r="133" spans="1:57" s="8" customFormat="1" ht="22.5" customHeight="1">
      <c r="A133" s="9"/>
      <c r="B133" s="18" t="s">
        <v>204</v>
      </c>
      <c r="C133" s="89" t="s">
        <v>132</v>
      </c>
      <c r="D133" s="58" t="s">
        <v>224</v>
      </c>
      <c r="E133" s="35" t="s">
        <v>225</v>
      </c>
      <c r="F133" s="96"/>
      <c r="G133" s="21"/>
      <c r="H133" s="21" t="s">
        <v>207</v>
      </c>
      <c r="I133" s="14"/>
      <c r="J133" s="14"/>
      <c r="K133" s="12">
        <v>214</v>
      </c>
      <c r="L133" s="9"/>
      <c r="M133" s="9"/>
      <c r="N133" s="9"/>
      <c r="O133" s="38">
        <f t="shared" si="13"/>
        <v>214</v>
      </c>
      <c r="P133" s="12"/>
      <c r="Q133" s="42"/>
      <c r="R133" s="15"/>
      <c r="S133" s="44"/>
      <c r="T133" s="15"/>
      <c r="U133" s="44"/>
      <c r="V133" s="15">
        <f t="shared" si="14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5"/>
        <v>0</v>
      </c>
      <c r="AF133" s="101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2"/>
        <v>0</v>
      </c>
      <c r="BA133" s="15"/>
      <c r="BB133" s="44"/>
      <c r="BC133" s="15"/>
      <c r="BD133" s="44"/>
      <c r="BE133" s="15">
        <f t="shared" si="11"/>
        <v>0</v>
      </c>
    </row>
    <row r="134" spans="1:57" s="8" customFormat="1" ht="22.5" customHeight="1">
      <c r="A134" s="9"/>
      <c r="B134" s="18" t="s">
        <v>204</v>
      </c>
      <c r="C134" s="89" t="s">
        <v>132</v>
      </c>
      <c r="D134" s="58" t="s">
        <v>226</v>
      </c>
      <c r="E134" s="35" t="s">
        <v>215</v>
      </c>
      <c r="F134" s="96"/>
      <c r="G134" s="21"/>
      <c r="H134" s="21" t="s">
        <v>207</v>
      </c>
      <c r="I134" s="14"/>
      <c r="J134" s="14"/>
      <c r="K134" s="12">
        <v>484</v>
      </c>
      <c r="L134" s="9"/>
      <c r="M134" s="9"/>
      <c r="N134" s="9"/>
      <c r="O134" s="38">
        <f t="shared" si="13"/>
        <v>484</v>
      </c>
      <c r="P134" s="12"/>
      <c r="Q134" s="42"/>
      <c r="R134" s="15"/>
      <c r="S134" s="44"/>
      <c r="T134" s="15"/>
      <c r="U134" s="44"/>
      <c r="V134" s="15">
        <f t="shared" si="14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5"/>
        <v>0</v>
      </c>
      <c r="AF134" s="101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2"/>
        <v>0</v>
      </c>
      <c r="BA134" s="15"/>
      <c r="BB134" s="44"/>
      <c r="BC134" s="15"/>
      <c r="BD134" s="44"/>
      <c r="BE134" s="15">
        <f t="shared" si="11"/>
        <v>0</v>
      </c>
    </row>
    <row r="135" spans="1:57" s="8" customFormat="1" ht="22.5" customHeight="1">
      <c r="A135" s="9"/>
      <c r="B135" s="18" t="s">
        <v>204</v>
      </c>
      <c r="C135" s="89" t="s">
        <v>132</v>
      </c>
      <c r="D135" s="58" t="s">
        <v>227</v>
      </c>
      <c r="E135" s="35" t="s">
        <v>215</v>
      </c>
      <c r="F135" s="96"/>
      <c r="G135" s="21"/>
      <c r="H135" s="21" t="s">
        <v>207</v>
      </c>
      <c r="I135" s="14"/>
      <c r="J135" s="14"/>
      <c r="K135" s="12">
        <v>0</v>
      </c>
      <c r="L135" s="9"/>
      <c r="M135" s="9"/>
      <c r="N135" s="9"/>
      <c r="O135" s="38">
        <f t="shared" si="13"/>
        <v>0</v>
      </c>
      <c r="P135" s="12"/>
      <c r="Q135" s="42"/>
      <c r="R135" s="15"/>
      <c r="S135" s="44"/>
      <c r="T135" s="15"/>
      <c r="U135" s="44"/>
      <c r="V135" s="15">
        <f t="shared" si="14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5"/>
        <v>0</v>
      </c>
      <c r="AF135" s="101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2"/>
        <v>0</v>
      </c>
      <c r="BA135" s="15"/>
      <c r="BB135" s="44"/>
      <c r="BC135" s="15"/>
      <c r="BD135" s="44"/>
      <c r="BE135" s="15">
        <f t="shared" si="11"/>
        <v>0</v>
      </c>
    </row>
    <row r="136" spans="1:57" s="8" customFormat="1" ht="22.5" customHeight="1">
      <c r="A136" s="9"/>
      <c r="B136" s="18" t="s">
        <v>204</v>
      </c>
      <c r="C136" s="89" t="s">
        <v>132</v>
      </c>
      <c r="D136" s="58" t="s">
        <v>228</v>
      </c>
      <c r="E136" s="35" t="s">
        <v>206</v>
      </c>
      <c r="F136" s="96"/>
      <c r="G136" s="21"/>
      <c r="H136" s="21" t="s">
        <v>207</v>
      </c>
      <c r="I136" s="14"/>
      <c r="J136" s="14"/>
      <c r="K136" s="12">
        <v>0</v>
      </c>
      <c r="L136" s="9"/>
      <c r="M136" s="9"/>
      <c r="N136" s="9"/>
      <c r="O136" s="38">
        <f t="shared" si="13"/>
        <v>0</v>
      </c>
      <c r="P136" s="12"/>
      <c r="Q136" s="42"/>
      <c r="R136" s="15"/>
      <c r="S136" s="44"/>
      <c r="T136" s="15"/>
      <c r="U136" s="44"/>
      <c r="V136" s="15">
        <f t="shared" si="14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5"/>
        <v>0</v>
      </c>
      <c r="AF136" s="101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2"/>
        <v>0</v>
      </c>
      <c r="BA136" s="15"/>
      <c r="BB136" s="44"/>
      <c r="BC136" s="15"/>
      <c r="BD136" s="44"/>
      <c r="BE136" s="15">
        <f t="shared" si="11"/>
        <v>0</v>
      </c>
    </row>
    <row r="137" spans="1:57" s="8" customFormat="1" ht="22.5" customHeight="1">
      <c r="A137" s="9"/>
      <c r="B137" s="18" t="s">
        <v>204</v>
      </c>
      <c r="C137" s="89" t="s">
        <v>132</v>
      </c>
      <c r="D137" s="58" t="s">
        <v>229</v>
      </c>
      <c r="E137" s="35" t="s">
        <v>222</v>
      </c>
      <c r="F137" s="96"/>
      <c r="G137" s="21"/>
      <c r="H137" s="21" t="s">
        <v>207</v>
      </c>
      <c r="I137" s="14"/>
      <c r="J137" s="14"/>
      <c r="K137" s="12">
        <v>0</v>
      </c>
      <c r="L137" s="9"/>
      <c r="M137" s="9"/>
      <c r="N137" s="9"/>
      <c r="O137" s="38">
        <f t="shared" si="13"/>
        <v>0</v>
      </c>
      <c r="P137" s="12"/>
      <c r="Q137" s="42"/>
      <c r="R137" s="15"/>
      <c r="S137" s="44"/>
      <c r="T137" s="15"/>
      <c r="U137" s="44"/>
      <c r="V137" s="15">
        <f t="shared" si="14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5"/>
        <v>0</v>
      </c>
      <c r="AF137" s="101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2"/>
        <v>0</v>
      </c>
      <c r="BA137" s="15"/>
      <c r="BB137" s="44"/>
      <c r="BC137" s="15"/>
      <c r="BD137" s="44"/>
      <c r="BE137" s="15">
        <f t="shared" si="11"/>
        <v>0</v>
      </c>
    </row>
    <row r="138" spans="1:57" s="8" customFormat="1" ht="22.5" customHeight="1">
      <c r="A138" s="9"/>
      <c r="B138" s="18" t="s">
        <v>204</v>
      </c>
      <c r="C138" s="89" t="s">
        <v>132</v>
      </c>
      <c r="D138" s="58" t="s">
        <v>230</v>
      </c>
      <c r="E138" s="35" t="s">
        <v>210</v>
      </c>
      <c r="F138" s="96"/>
      <c r="G138" s="21"/>
      <c r="H138" s="21" t="s">
        <v>231</v>
      </c>
      <c r="I138" s="14"/>
      <c r="J138" s="14"/>
      <c r="K138" s="12">
        <v>61</v>
      </c>
      <c r="L138" s="9"/>
      <c r="M138" s="9"/>
      <c r="N138" s="9"/>
      <c r="O138" s="38">
        <f t="shared" si="13"/>
        <v>61</v>
      </c>
      <c r="P138" s="12"/>
      <c r="Q138" s="42"/>
      <c r="R138" s="15"/>
      <c r="S138" s="44"/>
      <c r="T138" s="15"/>
      <c r="U138" s="44"/>
      <c r="V138" s="15">
        <f t="shared" si="14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5"/>
        <v>0</v>
      </c>
      <c r="AF138" s="101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2"/>
        <v>0</v>
      </c>
      <c r="BA138" s="15"/>
      <c r="BB138" s="44"/>
      <c r="BC138" s="15"/>
      <c r="BD138" s="44"/>
      <c r="BE138" s="15">
        <f t="shared" si="11"/>
        <v>0</v>
      </c>
    </row>
    <row r="139" spans="1:57" s="8" customFormat="1" ht="22.5" customHeight="1">
      <c r="A139" s="9"/>
      <c r="B139" s="18" t="s">
        <v>204</v>
      </c>
      <c r="C139" s="89" t="s">
        <v>132</v>
      </c>
      <c r="D139" s="58" t="s">
        <v>232</v>
      </c>
      <c r="E139" s="35" t="s">
        <v>222</v>
      </c>
      <c r="F139" s="96"/>
      <c r="G139" s="21"/>
      <c r="H139" s="21" t="s">
        <v>231</v>
      </c>
      <c r="I139" s="14"/>
      <c r="J139" s="14"/>
      <c r="K139" s="12">
        <v>106</v>
      </c>
      <c r="L139" s="9"/>
      <c r="M139" s="9"/>
      <c r="N139" s="9"/>
      <c r="O139" s="38">
        <f t="shared" si="13"/>
        <v>106</v>
      </c>
      <c r="P139" s="12"/>
      <c r="Q139" s="42"/>
      <c r="R139" s="15"/>
      <c r="S139" s="44"/>
      <c r="T139" s="15"/>
      <c r="U139" s="44"/>
      <c r="V139" s="15">
        <f t="shared" si="14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5"/>
        <v>0</v>
      </c>
      <c r="AF139" s="101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2"/>
        <v>0</v>
      </c>
      <c r="BA139" s="15"/>
      <c r="BB139" s="44"/>
      <c r="BC139" s="15"/>
      <c r="BD139" s="44"/>
      <c r="BE139" s="15">
        <f t="shared" si="11"/>
        <v>0</v>
      </c>
    </row>
    <row r="140" spans="1:57" s="8" customFormat="1" ht="22.5" customHeight="1">
      <c r="A140" s="9"/>
      <c r="B140" s="18" t="s">
        <v>233</v>
      </c>
      <c r="C140" s="89" t="s">
        <v>132</v>
      </c>
      <c r="D140" s="58" t="s">
        <v>234</v>
      </c>
      <c r="E140" s="35" t="s">
        <v>235</v>
      </c>
      <c r="F140" s="96"/>
      <c r="G140" s="21"/>
      <c r="H140" s="21" t="s">
        <v>207</v>
      </c>
      <c r="I140" s="14"/>
      <c r="J140" s="14"/>
      <c r="K140" s="12">
        <v>280</v>
      </c>
      <c r="L140" s="9"/>
      <c r="M140" s="9"/>
      <c r="N140" s="9"/>
      <c r="O140" s="38">
        <f t="shared" si="13"/>
        <v>280</v>
      </c>
      <c r="P140" s="12"/>
      <c r="Q140" s="42"/>
      <c r="R140" s="15"/>
      <c r="S140" s="44"/>
      <c r="T140" s="15"/>
      <c r="U140" s="44"/>
      <c r="V140" s="15">
        <f t="shared" si="14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5"/>
        <v>0</v>
      </c>
      <c r="AF140" s="101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2"/>
        <v>0</v>
      </c>
      <c r="BA140" s="15"/>
      <c r="BB140" s="44"/>
      <c r="BC140" s="15"/>
      <c r="BD140" s="44"/>
      <c r="BE140" s="15">
        <f t="shared" si="11"/>
        <v>0</v>
      </c>
    </row>
    <row r="141" spans="1:57" s="8" customFormat="1" ht="22.5" customHeight="1">
      <c r="A141" s="9"/>
      <c r="B141" s="18" t="s">
        <v>233</v>
      </c>
      <c r="C141" s="89" t="s">
        <v>132</v>
      </c>
      <c r="D141" s="58" t="s">
        <v>236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100</v>
      </c>
      <c r="L141" s="9"/>
      <c r="M141" s="9"/>
      <c r="N141" s="9"/>
      <c r="O141" s="38">
        <f t="shared" si="13"/>
        <v>100</v>
      </c>
      <c r="P141" s="12"/>
      <c r="Q141" s="42"/>
      <c r="R141" s="15"/>
      <c r="S141" s="44"/>
      <c r="T141" s="15"/>
      <c r="U141" s="44"/>
      <c r="V141" s="15">
        <f t="shared" si="14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5"/>
        <v>0</v>
      </c>
      <c r="AF141" s="101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2"/>
        <v>0</v>
      </c>
      <c r="BA141" s="15"/>
      <c r="BB141" s="44"/>
      <c r="BC141" s="15"/>
      <c r="BD141" s="44"/>
      <c r="BE141" s="15">
        <f t="shared" si="11"/>
        <v>0</v>
      </c>
    </row>
    <row r="142" spans="1:57" s="8" customFormat="1" ht="22.5" customHeight="1">
      <c r="A142" s="9"/>
      <c r="B142" s="18" t="s">
        <v>233</v>
      </c>
      <c r="C142" s="89" t="s">
        <v>132</v>
      </c>
      <c r="D142" s="58" t="s">
        <v>238</v>
      </c>
      <c r="E142" s="35" t="s">
        <v>237</v>
      </c>
      <c r="F142" s="96"/>
      <c r="G142" s="21"/>
      <c r="H142" s="21" t="s">
        <v>207</v>
      </c>
      <c r="I142" s="14"/>
      <c r="J142" s="14"/>
      <c r="K142" s="12">
        <v>612</v>
      </c>
      <c r="L142" s="9"/>
      <c r="M142" s="9"/>
      <c r="N142" s="9"/>
      <c r="O142" s="38">
        <f t="shared" si="13"/>
        <v>612</v>
      </c>
      <c r="P142" s="12"/>
      <c r="Q142" s="42"/>
      <c r="R142" s="15"/>
      <c r="S142" s="44"/>
      <c r="T142" s="15"/>
      <c r="U142" s="44"/>
      <c r="V142" s="15">
        <f t="shared" si="14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5"/>
        <v>0</v>
      </c>
      <c r="AF142" s="101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2"/>
        <v>0</v>
      </c>
      <c r="BA142" s="15"/>
      <c r="BB142" s="44"/>
      <c r="BC142" s="15"/>
      <c r="BD142" s="44"/>
      <c r="BE142" s="15">
        <f t="shared" si="11"/>
        <v>0</v>
      </c>
    </row>
    <row r="143" spans="1:57" s="8" customFormat="1" ht="22.5" customHeight="1">
      <c r="A143" s="9"/>
      <c r="B143" s="18" t="s">
        <v>233</v>
      </c>
      <c r="C143" s="89" t="s">
        <v>132</v>
      </c>
      <c r="D143" s="58" t="s">
        <v>239</v>
      </c>
      <c r="E143" s="35" t="s">
        <v>237</v>
      </c>
      <c r="F143" s="96"/>
      <c r="G143" s="21"/>
      <c r="H143" s="21" t="s">
        <v>207</v>
      </c>
      <c r="I143" s="14"/>
      <c r="J143" s="14"/>
      <c r="K143" s="12">
        <v>300</v>
      </c>
      <c r="L143" s="9"/>
      <c r="M143" s="9"/>
      <c r="N143" s="9"/>
      <c r="O143" s="38">
        <f t="shared" si="13"/>
        <v>300</v>
      </c>
      <c r="P143" s="12"/>
      <c r="Q143" s="42"/>
      <c r="R143" s="15"/>
      <c r="S143" s="44"/>
      <c r="T143" s="15"/>
      <c r="U143" s="44"/>
      <c r="V143" s="15">
        <f t="shared" si="14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5"/>
        <v>0</v>
      </c>
      <c r="AF143" s="101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2"/>
        <v>0</v>
      </c>
      <c r="BA143" s="15"/>
      <c r="BB143" s="44"/>
      <c r="BC143" s="15"/>
      <c r="BD143" s="44"/>
      <c r="BE143" s="15">
        <f t="shared" si="11"/>
        <v>0</v>
      </c>
    </row>
    <row r="144" spans="1:57" s="8" customFormat="1" ht="22.5" customHeight="1">
      <c r="A144" s="9"/>
      <c r="B144" s="18" t="s">
        <v>233</v>
      </c>
      <c r="C144" s="89" t="s">
        <v>132</v>
      </c>
      <c r="D144" s="58" t="s">
        <v>240</v>
      </c>
      <c r="E144" s="35" t="s">
        <v>237</v>
      </c>
      <c r="F144" s="96"/>
      <c r="G144" s="21"/>
      <c r="H144" s="21" t="s">
        <v>207</v>
      </c>
      <c r="I144" s="14"/>
      <c r="J144" s="14"/>
      <c r="K144" s="12">
        <v>300</v>
      </c>
      <c r="L144" s="9"/>
      <c r="M144" s="9"/>
      <c r="N144" s="9"/>
      <c r="O144" s="38">
        <f t="shared" si="13"/>
        <v>300</v>
      </c>
      <c r="P144" s="12"/>
      <c r="Q144" s="42"/>
      <c r="R144" s="15"/>
      <c r="S144" s="44"/>
      <c r="T144" s="15"/>
      <c r="U144" s="44"/>
      <c r="V144" s="15">
        <f t="shared" si="14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5"/>
        <v>0</v>
      </c>
      <c r="AF144" s="101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2"/>
        <v>0</v>
      </c>
      <c r="BA144" s="15"/>
      <c r="BB144" s="44"/>
      <c r="BC144" s="15"/>
      <c r="BD144" s="44"/>
      <c r="BE144" s="15">
        <f t="shared" si="11"/>
        <v>0</v>
      </c>
    </row>
    <row r="145" spans="1:57" s="8" customFormat="1" ht="22.5" customHeight="1">
      <c r="A145" s="9"/>
      <c r="B145" s="16" t="s">
        <v>233</v>
      </c>
      <c r="C145" s="89" t="s">
        <v>132</v>
      </c>
      <c r="D145" s="70" t="s">
        <v>241</v>
      </c>
      <c r="E145" s="13"/>
      <c r="F145" s="96"/>
      <c r="G145" s="9"/>
      <c r="H145" s="9"/>
      <c r="I145" s="14"/>
      <c r="J145" s="14"/>
      <c r="K145" s="12">
        <v>124</v>
      </c>
      <c r="L145" s="9"/>
      <c r="M145" s="9"/>
      <c r="N145" s="9"/>
      <c r="O145" s="38">
        <f t="shared" si="13"/>
        <v>124</v>
      </c>
      <c r="P145" s="12"/>
      <c r="Q145" s="42"/>
      <c r="R145" s="15"/>
      <c r="S145" s="44"/>
      <c r="T145" s="15"/>
      <c r="U145" s="44"/>
      <c r="V145" s="15">
        <f t="shared" si="14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5"/>
        <v>0</v>
      </c>
      <c r="AF145" s="101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2"/>
        <v>0</v>
      </c>
      <c r="BA145" s="15"/>
      <c r="BB145" s="44"/>
      <c r="BC145" s="15"/>
      <c r="BD145" s="44"/>
      <c r="BE145" s="15">
        <f t="shared" si="11"/>
        <v>0</v>
      </c>
    </row>
    <row r="146" spans="1:57" s="8" customFormat="1" ht="22.5" customHeight="1">
      <c r="A146" s="9"/>
      <c r="B146" s="16" t="s">
        <v>155</v>
      </c>
      <c r="C146" s="89" t="s">
        <v>132</v>
      </c>
      <c r="D146" s="70" t="s">
        <v>156</v>
      </c>
      <c r="E146" s="13" t="s">
        <v>242</v>
      </c>
      <c r="F146" s="96"/>
      <c r="G146" s="9"/>
      <c r="H146" s="9" t="s">
        <v>158</v>
      </c>
      <c r="I146" s="14"/>
      <c r="J146" s="14"/>
      <c r="K146" s="12">
        <v>652</v>
      </c>
      <c r="L146" s="9"/>
      <c r="M146" s="9"/>
      <c r="N146" s="9"/>
      <c r="O146" s="38">
        <f t="shared" si="13"/>
        <v>652</v>
      </c>
      <c r="P146" s="12"/>
      <c r="Q146" s="42"/>
      <c r="R146" s="15"/>
      <c r="S146" s="44"/>
      <c r="T146" s="15"/>
      <c r="U146" s="44"/>
      <c r="V146" s="15">
        <f t="shared" si="14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5"/>
        <v>0</v>
      </c>
      <c r="AF146" s="101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2"/>
        <v>0</v>
      </c>
      <c r="BA146" s="15"/>
      <c r="BB146" s="44"/>
      <c r="BC146" s="15"/>
      <c r="BD146" s="44"/>
      <c r="BE146" s="15">
        <f t="shared" si="11"/>
        <v>0</v>
      </c>
    </row>
    <row r="147" spans="1:57" s="8" customFormat="1" ht="22.5" customHeight="1">
      <c r="A147" s="9"/>
      <c r="B147" s="16" t="s">
        <v>155</v>
      </c>
      <c r="C147" s="89" t="s">
        <v>132</v>
      </c>
      <c r="D147" s="69" t="s">
        <v>156</v>
      </c>
      <c r="E147" s="13" t="s">
        <v>243</v>
      </c>
      <c r="F147" s="96"/>
      <c r="G147" s="9"/>
      <c r="H147" s="9" t="s">
        <v>158</v>
      </c>
      <c r="I147" s="14"/>
      <c r="J147" s="14"/>
      <c r="K147" s="12">
        <v>34</v>
      </c>
      <c r="L147" s="9"/>
      <c r="M147" s="9"/>
      <c r="N147" s="9"/>
      <c r="O147" s="38">
        <f t="shared" si="13"/>
        <v>34</v>
      </c>
      <c r="P147" s="12"/>
      <c r="Q147" s="42"/>
      <c r="R147" s="15"/>
      <c r="S147" s="44"/>
      <c r="T147" s="15"/>
      <c r="U147" s="44"/>
      <c r="V147" s="15">
        <f t="shared" si="14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5"/>
        <v>0</v>
      </c>
      <c r="AF147" s="101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2"/>
        <v>0</v>
      </c>
      <c r="BA147" s="15"/>
      <c r="BB147" s="44"/>
      <c r="BC147" s="15"/>
      <c r="BD147" s="44"/>
      <c r="BE147" s="15">
        <f t="shared" si="11"/>
        <v>0</v>
      </c>
    </row>
    <row r="148" spans="1:57" s="8" customFormat="1" ht="22.5" customHeight="1">
      <c r="A148" s="9"/>
      <c r="B148" s="16" t="s">
        <v>244</v>
      </c>
      <c r="C148" s="89" t="s">
        <v>132</v>
      </c>
      <c r="D148" s="69" t="s">
        <v>245</v>
      </c>
      <c r="E148" s="13" t="s">
        <v>246</v>
      </c>
      <c r="F148" s="96"/>
      <c r="G148" s="9"/>
      <c r="H148" s="9" t="s">
        <v>247</v>
      </c>
      <c r="I148" s="14"/>
      <c r="J148" s="14"/>
      <c r="K148" s="12">
        <v>0</v>
      </c>
      <c r="L148" s="9"/>
      <c r="M148" s="9"/>
      <c r="N148" s="9"/>
      <c r="O148" s="38">
        <f t="shared" si="13"/>
        <v>0</v>
      </c>
      <c r="P148" s="12"/>
      <c r="Q148" s="42"/>
      <c r="R148" s="15"/>
      <c r="S148" s="44"/>
      <c r="T148" s="15"/>
      <c r="U148" s="44"/>
      <c r="V148" s="15">
        <f t="shared" si="14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5"/>
        <v>0</v>
      </c>
      <c r="AF148" s="101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2"/>
        <v>0</v>
      </c>
      <c r="BA148" s="15"/>
      <c r="BB148" s="44"/>
      <c r="BC148" s="15"/>
      <c r="BD148" s="44"/>
      <c r="BE148" s="15">
        <f t="shared" si="11"/>
        <v>0</v>
      </c>
    </row>
    <row r="149" spans="1:57" s="8" customFormat="1" ht="22.5" customHeight="1">
      <c r="A149" s="9"/>
      <c r="B149" s="16" t="s">
        <v>244</v>
      </c>
      <c r="C149" s="89" t="s">
        <v>132</v>
      </c>
      <c r="D149" s="69" t="s">
        <v>248</v>
      </c>
      <c r="E149" s="13" t="s">
        <v>246</v>
      </c>
      <c r="F149" s="96"/>
      <c r="G149" s="9"/>
      <c r="H149" s="9" t="s">
        <v>247</v>
      </c>
      <c r="I149" s="14"/>
      <c r="J149" s="14"/>
      <c r="K149" s="12">
        <v>240</v>
      </c>
      <c r="L149" s="9"/>
      <c r="M149" s="9"/>
      <c r="N149" s="9"/>
      <c r="O149" s="38">
        <f t="shared" si="13"/>
        <v>240</v>
      </c>
      <c r="P149" s="12"/>
      <c r="Q149" s="42"/>
      <c r="R149" s="15"/>
      <c r="S149" s="44"/>
      <c r="T149" s="15"/>
      <c r="U149" s="44"/>
      <c r="V149" s="15">
        <f t="shared" si="14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5"/>
        <v>0</v>
      </c>
      <c r="AF149" s="101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2"/>
        <v>0</v>
      </c>
      <c r="BA149" s="15"/>
      <c r="BB149" s="44"/>
      <c r="BC149" s="15"/>
      <c r="BD149" s="44"/>
      <c r="BE149" s="15">
        <f t="shared" si="11"/>
        <v>0</v>
      </c>
    </row>
    <row r="150" spans="1:57" s="8" customFormat="1" ht="22.5" customHeight="1">
      <c r="A150" s="9"/>
      <c r="B150" s="16" t="s">
        <v>249</v>
      </c>
      <c r="C150" s="89" t="s">
        <v>44</v>
      </c>
      <c r="D150" s="69" t="s">
        <v>250</v>
      </c>
      <c r="E150" s="13" t="s">
        <v>251</v>
      </c>
      <c r="F150" s="96"/>
      <c r="G150" s="9"/>
      <c r="H150" s="9" t="s">
        <v>247</v>
      </c>
      <c r="I150" s="14"/>
      <c r="J150" s="14"/>
      <c r="K150" s="12">
        <v>407</v>
      </c>
      <c r="L150" s="9"/>
      <c r="M150" s="9"/>
      <c r="N150" s="9"/>
      <c r="O150" s="38">
        <f t="shared" si="13"/>
        <v>407</v>
      </c>
      <c r="P150" s="12"/>
      <c r="Q150" s="42"/>
      <c r="R150" s="15"/>
      <c r="S150" s="44"/>
      <c r="T150" s="15"/>
      <c r="U150" s="44"/>
      <c r="V150" s="15">
        <f t="shared" si="14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5"/>
        <v>0</v>
      </c>
      <c r="AF150" s="101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2"/>
        <v>0</v>
      </c>
      <c r="BA150" s="15"/>
      <c r="BB150" s="44"/>
      <c r="BC150" s="15"/>
      <c r="BD150" s="44"/>
      <c r="BE150" s="15">
        <f t="shared" si="11"/>
        <v>0</v>
      </c>
    </row>
    <row r="151" spans="1:57" s="8" customFormat="1" ht="22.5" customHeight="1">
      <c r="A151" s="9"/>
      <c r="B151" s="16" t="s">
        <v>249</v>
      </c>
      <c r="C151" s="89" t="s">
        <v>132</v>
      </c>
      <c r="D151" s="69" t="s">
        <v>252</v>
      </c>
      <c r="E151" s="13" t="s">
        <v>251</v>
      </c>
      <c r="F151" s="96"/>
      <c r="G151" s="9"/>
      <c r="H151" s="9" t="s">
        <v>247</v>
      </c>
      <c r="I151" s="14"/>
      <c r="J151" s="14"/>
      <c r="K151" s="12">
        <v>409</v>
      </c>
      <c r="L151" s="9"/>
      <c r="M151" s="9"/>
      <c r="N151" s="9"/>
      <c r="O151" s="38">
        <f t="shared" si="13"/>
        <v>409</v>
      </c>
      <c r="P151" s="12"/>
      <c r="Q151" s="42"/>
      <c r="R151" s="15"/>
      <c r="S151" s="44"/>
      <c r="T151" s="15"/>
      <c r="U151" s="44"/>
      <c r="V151" s="15">
        <f t="shared" si="14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5"/>
        <v>0</v>
      </c>
      <c r="AF151" s="101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2"/>
        <v>0</v>
      </c>
      <c r="BA151" s="15"/>
      <c r="BB151" s="44"/>
      <c r="BC151" s="15"/>
      <c r="BD151" s="44"/>
      <c r="BE151" s="15">
        <f t="shared" si="11"/>
        <v>0</v>
      </c>
    </row>
    <row r="152" spans="1:57" s="8" customFormat="1" ht="22.5" customHeight="1">
      <c r="A152" s="9"/>
      <c r="B152" s="18" t="s">
        <v>172</v>
      </c>
      <c r="C152" s="89" t="s">
        <v>48</v>
      </c>
      <c r="D152" s="66" t="s">
        <v>253</v>
      </c>
      <c r="E152" s="35"/>
      <c r="F152" s="96"/>
      <c r="G152" s="21"/>
      <c r="H152" s="21" t="s">
        <v>67</v>
      </c>
      <c r="I152" s="14"/>
      <c r="J152" s="14"/>
      <c r="K152" s="12">
        <v>0</v>
      </c>
      <c r="L152" s="9"/>
      <c r="M152" s="9"/>
      <c r="N152" s="9"/>
      <c r="O152" s="38">
        <f t="shared" si="13"/>
        <v>0</v>
      </c>
      <c r="P152" s="12"/>
      <c r="Q152" s="42"/>
      <c r="R152" s="15"/>
      <c r="S152" s="44"/>
      <c r="T152" s="15"/>
      <c r="U152" s="44"/>
      <c r="V152" s="15">
        <f t="shared" si="14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5"/>
        <v>0</v>
      </c>
      <c r="AF152" s="101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2"/>
        <v>0</v>
      </c>
      <c r="BA152" s="15"/>
      <c r="BB152" s="44"/>
      <c r="BC152" s="15"/>
      <c r="BD152" s="44"/>
      <c r="BE152" s="15">
        <f t="shared" si="11"/>
        <v>0</v>
      </c>
    </row>
    <row r="153" spans="1:57" s="8" customFormat="1" ht="22.5" customHeight="1">
      <c r="A153" s="9"/>
      <c r="B153" s="18" t="s">
        <v>172</v>
      </c>
      <c r="C153" s="89" t="s">
        <v>48</v>
      </c>
      <c r="D153" s="58" t="s">
        <v>254</v>
      </c>
      <c r="E153" s="35" t="s">
        <v>255</v>
      </c>
      <c r="F153" s="96"/>
      <c r="G153" s="21"/>
      <c r="H153" s="21" t="s">
        <v>67</v>
      </c>
      <c r="I153" s="14"/>
      <c r="J153" s="14"/>
      <c r="K153" s="12">
        <v>93</v>
      </c>
      <c r="L153" s="9"/>
      <c r="M153" s="9"/>
      <c r="N153" s="9"/>
      <c r="O153" s="38">
        <f t="shared" si="13"/>
        <v>93</v>
      </c>
      <c r="P153" s="12"/>
      <c r="Q153" s="42"/>
      <c r="R153" s="15"/>
      <c r="S153" s="44"/>
      <c r="T153" s="15"/>
      <c r="U153" s="44"/>
      <c r="V153" s="15">
        <f t="shared" si="14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5"/>
        <v>0</v>
      </c>
      <c r="AF153" s="101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2"/>
        <v>0</v>
      </c>
      <c r="BA153" s="15"/>
      <c r="BB153" s="44"/>
      <c r="BC153" s="15"/>
      <c r="BD153" s="44"/>
      <c r="BE153" s="15">
        <f t="shared" si="11"/>
        <v>0</v>
      </c>
    </row>
    <row r="154" spans="1:57" s="8" customFormat="1" ht="22.5" customHeight="1">
      <c r="A154" s="9"/>
      <c r="B154" s="16" t="s">
        <v>172</v>
      </c>
      <c r="C154" s="89" t="s">
        <v>48</v>
      </c>
      <c r="D154" s="72" t="s">
        <v>256</v>
      </c>
      <c r="E154" s="13"/>
      <c r="F154" s="96"/>
      <c r="G154" s="9"/>
      <c r="H154" s="9" t="s">
        <v>67</v>
      </c>
      <c r="I154" s="14"/>
      <c r="J154" s="14"/>
      <c r="K154" s="12">
        <v>755</v>
      </c>
      <c r="L154" s="9"/>
      <c r="M154" s="9"/>
      <c r="N154" s="9"/>
      <c r="O154" s="38">
        <f t="shared" si="13"/>
        <v>755</v>
      </c>
      <c r="P154" s="12"/>
      <c r="Q154" s="42"/>
      <c r="R154" s="15"/>
      <c r="S154" s="44"/>
      <c r="T154" s="15"/>
      <c r="U154" s="44"/>
      <c r="V154" s="15">
        <f t="shared" si="14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5"/>
        <v>0</v>
      </c>
      <c r="AF154" s="101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2"/>
        <v>0</v>
      </c>
      <c r="BA154" s="15"/>
      <c r="BB154" s="44"/>
      <c r="BC154" s="15"/>
      <c r="BD154" s="44"/>
      <c r="BE154" s="15">
        <f t="shared" si="11"/>
        <v>0</v>
      </c>
    </row>
    <row r="155" spans="1:57" s="8" customFormat="1" ht="22.5" customHeight="1">
      <c r="A155" s="9"/>
      <c r="B155" s="16" t="s">
        <v>172</v>
      </c>
      <c r="C155" s="89" t="s">
        <v>48</v>
      </c>
      <c r="D155" s="78" t="s">
        <v>257</v>
      </c>
      <c r="E155" s="13"/>
      <c r="F155" s="96"/>
      <c r="G155" s="9"/>
      <c r="H155" s="9" t="s">
        <v>67</v>
      </c>
      <c r="I155" s="14"/>
      <c r="J155" s="14"/>
      <c r="K155" s="12">
        <v>98</v>
      </c>
      <c r="L155" s="9"/>
      <c r="M155" s="9"/>
      <c r="N155" s="9"/>
      <c r="O155" s="38">
        <f t="shared" si="13"/>
        <v>98</v>
      </c>
      <c r="P155" s="12"/>
      <c r="Q155" s="42"/>
      <c r="R155" s="15"/>
      <c r="S155" s="44"/>
      <c r="T155" s="15"/>
      <c r="U155" s="44"/>
      <c r="V155" s="15">
        <f t="shared" si="14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5"/>
        <v>0</v>
      </c>
      <c r="AF155" s="101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2"/>
        <v>0</v>
      </c>
      <c r="BA155" s="15"/>
      <c r="BB155" s="44"/>
      <c r="BC155" s="15"/>
      <c r="BD155" s="44"/>
      <c r="BE155" s="15">
        <f t="shared" si="11"/>
        <v>0</v>
      </c>
    </row>
    <row r="156" spans="1:57" s="8" customFormat="1" ht="22.5" customHeight="1">
      <c r="A156" s="9"/>
      <c r="B156" s="16" t="s">
        <v>172</v>
      </c>
      <c r="C156" s="89" t="s">
        <v>48</v>
      </c>
      <c r="D156" s="78" t="s">
        <v>258</v>
      </c>
      <c r="E156" s="13"/>
      <c r="F156" s="96"/>
      <c r="G156" s="9"/>
      <c r="H156" s="9" t="s">
        <v>67</v>
      </c>
      <c r="I156" s="14"/>
      <c r="J156" s="14"/>
      <c r="K156" s="12">
        <v>200</v>
      </c>
      <c r="L156" s="9"/>
      <c r="M156" s="9"/>
      <c r="N156" s="9"/>
      <c r="O156" s="38">
        <f t="shared" si="13"/>
        <v>200</v>
      </c>
      <c r="P156" s="12"/>
      <c r="Q156" s="42"/>
      <c r="R156" s="15"/>
      <c r="S156" s="44"/>
      <c r="T156" s="15"/>
      <c r="U156" s="44"/>
      <c r="V156" s="15">
        <f t="shared" si="14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5"/>
        <v>0</v>
      </c>
      <c r="AF156" s="101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2"/>
        <v>0</v>
      </c>
      <c r="BA156" s="15"/>
      <c r="BB156" s="44"/>
      <c r="BC156" s="15"/>
      <c r="BD156" s="44"/>
      <c r="BE156" s="15">
        <f t="shared" si="11"/>
        <v>0</v>
      </c>
    </row>
    <row r="157" spans="1:57" s="8" customFormat="1" ht="22.5" customHeight="1">
      <c r="A157" s="9"/>
      <c r="B157" s="16" t="s">
        <v>172</v>
      </c>
      <c r="C157" s="89" t="s">
        <v>48</v>
      </c>
      <c r="D157" s="78" t="s">
        <v>259</v>
      </c>
      <c r="E157" s="13"/>
      <c r="F157" s="96"/>
      <c r="G157" s="9"/>
      <c r="H157" s="9" t="s">
        <v>67</v>
      </c>
      <c r="I157" s="14"/>
      <c r="J157" s="14"/>
      <c r="K157" s="12">
        <v>189</v>
      </c>
      <c r="L157" s="9"/>
      <c r="M157" s="9"/>
      <c r="N157" s="9"/>
      <c r="O157" s="38">
        <f t="shared" si="13"/>
        <v>189</v>
      </c>
      <c r="P157" s="12"/>
      <c r="Q157" s="42"/>
      <c r="R157" s="15"/>
      <c r="S157" s="44"/>
      <c r="T157" s="15"/>
      <c r="U157" s="44"/>
      <c r="V157" s="15">
        <f t="shared" si="14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5"/>
        <v>0</v>
      </c>
      <c r="AF157" s="101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2"/>
        <v>0</v>
      </c>
      <c r="BA157" s="15"/>
      <c r="BB157" s="44"/>
      <c r="BC157" s="15"/>
      <c r="BD157" s="44"/>
      <c r="BE157" s="15">
        <f t="shared" si="11"/>
        <v>0</v>
      </c>
    </row>
    <row r="158" spans="1:57" s="8" customFormat="1" ht="22.5" customHeight="1">
      <c r="A158" s="9"/>
      <c r="B158" s="16" t="s">
        <v>172</v>
      </c>
      <c r="C158" s="89" t="s">
        <v>48</v>
      </c>
      <c r="D158" s="78" t="s">
        <v>260</v>
      </c>
      <c r="E158" s="13"/>
      <c r="F158" s="96"/>
      <c r="G158" s="9"/>
      <c r="H158" s="9" t="s">
        <v>67</v>
      </c>
      <c r="I158" s="14"/>
      <c r="J158" s="14"/>
      <c r="K158" s="12">
        <v>656</v>
      </c>
      <c r="L158" s="9"/>
      <c r="M158" s="9"/>
      <c r="N158" s="9"/>
      <c r="O158" s="38">
        <f t="shared" si="13"/>
        <v>656</v>
      </c>
      <c r="P158" s="12"/>
      <c r="Q158" s="42"/>
      <c r="R158" s="15"/>
      <c r="S158" s="44"/>
      <c r="T158" s="15"/>
      <c r="U158" s="44"/>
      <c r="V158" s="15">
        <f t="shared" si="14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5"/>
        <v>0</v>
      </c>
      <c r="AF158" s="101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2"/>
        <v>0</v>
      </c>
      <c r="BA158" s="15"/>
      <c r="BB158" s="44"/>
      <c r="BC158" s="15"/>
      <c r="BD158" s="44"/>
      <c r="BE158" s="15">
        <f t="shared" si="11"/>
        <v>0</v>
      </c>
    </row>
    <row r="159" spans="1:57" s="8" customFormat="1" ht="22.5" customHeight="1">
      <c r="A159" s="9"/>
      <c r="B159" s="16" t="s">
        <v>172</v>
      </c>
      <c r="C159" s="89" t="s">
        <v>48</v>
      </c>
      <c r="D159" s="78" t="s">
        <v>261</v>
      </c>
      <c r="E159" s="13"/>
      <c r="F159" s="96"/>
      <c r="G159" s="9"/>
      <c r="H159" s="9" t="s">
        <v>67</v>
      </c>
      <c r="I159" s="14"/>
      <c r="J159" s="14"/>
      <c r="K159" s="12">
        <v>0</v>
      </c>
      <c r="L159" s="9"/>
      <c r="M159" s="9"/>
      <c r="N159" s="9"/>
      <c r="O159" s="38">
        <f t="shared" si="13"/>
        <v>0</v>
      </c>
      <c r="P159" s="12"/>
      <c r="Q159" s="42"/>
      <c r="R159" s="15"/>
      <c r="S159" s="44"/>
      <c r="T159" s="15"/>
      <c r="U159" s="44"/>
      <c r="V159" s="15">
        <f t="shared" si="14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5"/>
        <v>0</v>
      </c>
      <c r="AF159" s="101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2"/>
        <v>0</v>
      </c>
      <c r="BA159" s="15"/>
      <c r="BB159" s="44"/>
      <c r="BC159" s="15"/>
      <c r="BD159" s="44"/>
      <c r="BE159" s="15">
        <f t="shared" si="11"/>
        <v>0</v>
      </c>
    </row>
    <row r="160" spans="1:57" s="8" customFormat="1" ht="22.5" customHeight="1">
      <c r="A160" s="9"/>
      <c r="B160" s="16" t="s">
        <v>120</v>
      </c>
      <c r="C160" s="89" t="s">
        <v>48</v>
      </c>
      <c r="D160" s="68" t="s">
        <v>194</v>
      </c>
      <c r="E160" s="13" t="s">
        <v>262</v>
      </c>
      <c r="F160" s="96"/>
      <c r="G160" s="9"/>
      <c r="H160" s="9" t="s">
        <v>67</v>
      </c>
      <c r="I160" s="14"/>
      <c r="J160" s="14"/>
      <c r="K160" s="12">
        <v>215</v>
      </c>
      <c r="L160" s="9"/>
      <c r="M160" s="9"/>
      <c r="N160" s="9"/>
      <c r="O160" s="38">
        <f t="shared" si="13"/>
        <v>215</v>
      </c>
      <c r="P160" s="12"/>
      <c r="Q160" s="42"/>
      <c r="R160" s="15"/>
      <c r="S160" s="44"/>
      <c r="T160" s="15"/>
      <c r="U160" s="44"/>
      <c r="V160" s="15">
        <f t="shared" si="14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5"/>
        <v>0</v>
      </c>
      <c r="AF160" s="101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2"/>
        <v>0</v>
      </c>
      <c r="BA160" s="15"/>
      <c r="BB160" s="44"/>
      <c r="BC160" s="15"/>
      <c r="BD160" s="44"/>
      <c r="BE160" s="15">
        <f t="shared" si="11"/>
        <v>0</v>
      </c>
    </row>
    <row r="161" spans="1:57" s="8" customFormat="1" ht="22.5" customHeight="1">
      <c r="A161" s="9"/>
      <c r="B161" s="16" t="s">
        <v>120</v>
      </c>
      <c r="C161" s="89" t="s">
        <v>48</v>
      </c>
      <c r="D161" s="74" t="s">
        <v>263</v>
      </c>
      <c r="E161" s="13" t="s">
        <v>264</v>
      </c>
      <c r="F161" s="96"/>
      <c r="G161" s="9"/>
      <c r="H161" s="9" t="s">
        <v>67</v>
      </c>
      <c r="I161" s="14"/>
      <c r="J161" s="14"/>
      <c r="K161" s="12">
        <v>424</v>
      </c>
      <c r="L161" s="9"/>
      <c r="M161" s="9"/>
      <c r="N161" s="9"/>
      <c r="O161" s="38">
        <f t="shared" si="13"/>
        <v>424</v>
      </c>
      <c r="P161" s="12"/>
      <c r="Q161" s="42"/>
      <c r="R161" s="15"/>
      <c r="S161" s="44"/>
      <c r="T161" s="15"/>
      <c r="U161" s="44"/>
      <c r="V161" s="15">
        <f t="shared" si="14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5"/>
        <v>0</v>
      </c>
      <c r="AF161" s="101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2"/>
        <v>0</v>
      </c>
      <c r="BA161" s="15"/>
      <c r="BB161" s="44"/>
      <c r="BC161" s="15"/>
      <c r="BD161" s="44"/>
      <c r="BE161" s="15">
        <f t="shared" si="11"/>
        <v>0</v>
      </c>
    </row>
    <row r="162" spans="1:57" s="8" customFormat="1" ht="22.5" customHeight="1">
      <c r="A162" s="9"/>
      <c r="B162" s="16" t="s">
        <v>120</v>
      </c>
      <c r="C162" s="89" t="s">
        <v>48</v>
      </c>
      <c r="D162" s="74" t="s">
        <v>265</v>
      </c>
      <c r="E162" s="13" t="s">
        <v>266</v>
      </c>
      <c r="F162" s="96"/>
      <c r="G162" s="9"/>
      <c r="H162" s="9" t="s">
        <v>67</v>
      </c>
      <c r="I162" s="14"/>
      <c r="J162" s="14"/>
      <c r="K162" s="12">
        <v>374</v>
      </c>
      <c r="L162" s="9"/>
      <c r="M162" s="9"/>
      <c r="N162" s="9"/>
      <c r="O162" s="38">
        <f t="shared" si="13"/>
        <v>374</v>
      </c>
      <c r="P162" s="12"/>
      <c r="Q162" s="42"/>
      <c r="R162" s="15"/>
      <c r="S162" s="44"/>
      <c r="T162" s="15"/>
      <c r="U162" s="44"/>
      <c r="V162" s="15">
        <f t="shared" si="14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5"/>
        <v>0</v>
      </c>
      <c r="AF162" s="101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2"/>
        <v>0</v>
      </c>
      <c r="BA162" s="15"/>
      <c r="BB162" s="44"/>
      <c r="BC162" s="15"/>
      <c r="BD162" s="44"/>
      <c r="BE162" s="15">
        <f t="shared" ref="BE162:BE225" si="16">(BA162+BC162)</f>
        <v>0</v>
      </c>
    </row>
    <row r="163" spans="1:57" s="8" customFormat="1" ht="22.5" customHeight="1">
      <c r="A163" s="9"/>
      <c r="B163" s="16" t="s">
        <v>120</v>
      </c>
      <c r="C163" s="89" t="s">
        <v>48</v>
      </c>
      <c r="D163" s="74" t="s">
        <v>196</v>
      </c>
      <c r="E163" s="13" t="s">
        <v>267</v>
      </c>
      <c r="F163" s="96"/>
      <c r="G163" s="9"/>
      <c r="H163" s="9" t="s">
        <v>67</v>
      </c>
      <c r="I163" s="14"/>
      <c r="J163" s="14"/>
      <c r="K163" s="12">
        <v>0</v>
      </c>
      <c r="L163" s="9"/>
      <c r="M163" s="9"/>
      <c r="N163" s="9"/>
      <c r="O163" s="38">
        <f t="shared" si="13"/>
        <v>0</v>
      </c>
      <c r="P163" s="12"/>
      <c r="Q163" s="42"/>
      <c r="R163" s="15"/>
      <c r="S163" s="44"/>
      <c r="T163" s="15"/>
      <c r="U163" s="44"/>
      <c r="V163" s="15">
        <f t="shared" si="14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5"/>
        <v>0</v>
      </c>
      <c r="AF163" s="101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2"/>
        <v>0</v>
      </c>
      <c r="BA163" s="15"/>
      <c r="BB163" s="44"/>
      <c r="BC163" s="15"/>
      <c r="BD163" s="44"/>
      <c r="BE163" s="15">
        <f t="shared" si="16"/>
        <v>0</v>
      </c>
    </row>
    <row r="164" spans="1:57" s="8" customFormat="1" ht="22.5" customHeight="1">
      <c r="A164" s="9"/>
      <c r="B164" s="16" t="s">
        <v>120</v>
      </c>
      <c r="C164" s="89" t="s">
        <v>48</v>
      </c>
      <c r="D164" s="75" t="s">
        <v>198</v>
      </c>
      <c r="E164" s="10" t="s">
        <v>268</v>
      </c>
      <c r="F164" s="96"/>
      <c r="G164" s="9"/>
      <c r="H164" s="9" t="s">
        <v>67</v>
      </c>
      <c r="I164" s="14"/>
      <c r="J164" s="14"/>
      <c r="K164" s="12">
        <v>492</v>
      </c>
      <c r="L164" s="9"/>
      <c r="M164" s="9"/>
      <c r="N164" s="9"/>
      <c r="O164" s="38">
        <f t="shared" si="13"/>
        <v>492</v>
      </c>
      <c r="P164" s="12"/>
      <c r="Q164" s="42"/>
      <c r="R164" s="15"/>
      <c r="S164" s="44"/>
      <c r="T164" s="15"/>
      <c r="U164" s="44"/>
      <c r="V164" s="15">
        <f t="shared" si="14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5"/>
        <v>0</v>
      </c>
      <c r="AF164" s="101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2"/>
        <v>0</v>
      </c>
      <c r="BA164" s="15"/>
      <c r="BB164" s="44"/>
      <c r="BC164" s="15"/>
      <c r="BD164" s="44"/>
      <c r="BE164" s="15">
        <f t="shared" si="16"/>
        <v>0</v>
      </c>
    </row>
    <row r="165" spans="1:57" s="8" customFormat="1" ht="22.5" customHeight="1">
      <c r="A165" s="9"/>
      <c r="B165" s="16" t="s">
        <v>120</v>
      </c>
      <c r="C165" s="89" t="s">
        <v>48</v>
      </c>
      <c r="D165" s="76" t="s">
        <v>200</v>
      </c>
      <c r="E165" s="13" t="s">
        <v>269</v>
      </c>
      <c r="F165" s="96"/>
      <c r="G165" s="9"/>
      <c r="H165" s="9" t="s">
        <v>67</v>
      </c>
      <c r="I165" s="14"/>
      <c r="J165" s="14"/>
      <c r="K165" s="12">
        <v>300</v>
      </c>
      <c r="L165" s="9"/>
      <c r="M165" s="9"/>
      <c r="N165" s="9"/>
      <c r="O165" s="38">
        <f t="shared" si="13"/>
        <v>300</v>
      </c>
      <c r="P165" s="12"/>
      <c r="Q165" s="42"/>
      <c r="R165" s="15"/>
      <c r="S165" s="44"/>
      <c r="T165" s="15"/>
      <c r="U165" s="44"/>
      <c r="V165" s="15">
        <f t="shared" si="14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5"/>
        <v>0</v>
      </c>
      <c r="AF165" s="101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ref="AZ165:AZ228" si="17">AF165+AH165+AJ165+AL165+AN165+AP165+AR165+AT165+AV165+AX165</f>
        <v>0</v>
      </c>
      <c r="BA165" s="15"/>
      <c r="BB165" s="44"/>
      <c r="BC165" s="15"/>
      <c r="BD165" s="44"/>
      <c r="BE165" s="15">
        <f t="shared" si="16"/>
        <v>0</v>
      </c>
    </row>
    <row r="166" spans="1:57" s="8" customFormat="1" ht="22.5" customHeight="1">
      <c r="A166" s="9"/>
      <c r="B166" s="16" t="s">
        <v>120</v>
      </c>
      <c r="C166" s="89" t="s">
        <v>48</v>
      </c>
      <c r="D166" s="77" t="s">
        <v>270</v>
      </c>
      <c r="E166" s="13" t="s">
        <v>271</v>
      </c>
      <c r="F166" s="96"/>
      <c r="G166" s="9"/>
      <c r="H166" s="9" t="s">
        <v>67</v>
      </c>
      <c r="I166" s="14"/>
      <c r="J166" s="14"/>
      <c r="K166" s="12">
        <v>356</v>
      </c>
      <c r="L166" s="9"/>
      <c r="M166" s="9"/>
      <c r="N166" s="9"/>
      <c r="O166" s="38">
        <f t="shared" si="13"/>
        <v>356</v>
      </c>
      <c r="P166" s="12"/>
      <c r="Q166" s="42"/>
      <c r="R166" s="15"/>
      <c r="S166" s="44"/>
      <c r="T166" s="15"/>
      <c r="U166" s="44"/>
      <c r="V166" s="15">
        <f t="shared" si="14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5"/>
        <v>0</v>
      </c>
      <c r="AF166" s="101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7"/>
        <v>0</v>
      </c>
      <c r="BA166" s="15"/>
      <c r="BB166" s="44"/>
      <c r="BC166" s="15"/>
      <c r="BD166" s="44"/>
      <c r="BE166" s="15">
        <f t="shared" si="16"/>
        <v>0</v>
      </c>
    </row>
    <row r="167" spans="1:57" s="8" customFormat="1" ht="22.5" customHeight="1">
      <c r="A167" s="9"/>
      <c r="B167" s="16" t="s">
        <v>120</v>
      </c>
      <c r="C167" s="89" t="s">
        <v>48</v>
      </c>
      <c r="D167" s="72" t="s">
        <v>272</v>
      </c>
      <c r="E167" s="13" t="s">
        <v>273</v>
      </c>
      <c r="F167" s="96"/>
      <c r="G167" s="9"/>
      <c r="H167" s="9" t="s">
        <v>67</v>
      </c>
      <c r="I167" s="14"/>
      <c r="J167" s="14"/>
      <c r="K167" s="12">
        <v>431</v>
      </c>
      <c r="L167" s="9"/>
      <c r="M167" s="9"/>
      <c r="N167" s="9"/>
      <c r="O167" s="38">
        <f t="shared" si="13"/>
        <v>431</v>
      </c>
      <c r="P167" s="12"/>
      <c r="Q167" s="42"/>
      <c r="R167" s="15"/>
      <c r="S167" s="44"/>
      <c r="T167" s="15"/>
      <c r="U167" s="44"/>
      <c r="V167" s="15">
        <f t="shared" si="14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5"/>
        <v>0</v>
      </c>
      <c r="AF167" s="101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7"/>
        <v>0</v>
      </c>
      <c r="BA167" s="15"/>
      <c r="BB167" s="44"/>
      <c r="BC167" s="15"/>
      <c r="BD167" s="44"/>
      <c r="BE167" s="15">
        <f t="shared" si="16"/>
        <v>0</v>
      </c>
    </row>
    <row r="168" spans="1:57" s="8" customFormat="1" ht="22.5" customHeight="1">
      <c r="A168" s="9"/>
      <c r="B168" s="16" t="s">
        <v>120</v>
      </c>
      <c r="C168" s="89" t="s">
        <v>48</v>
      </c>
      <c r="D168" s="72" t="s">
        <v>274</v>
      </c>
      <c r="E168" s="13" t="s">
        <v>275</v>
      </c>
      <c r="F168" s="96"/>
      <c r="G168" s="9"/>
      <c r="H168" s="9" t="s">
        <v>67</v>
      </c>
      <c r="I168" s="14"/>
      <c r="J168" s="14"/>
      <c r="K168" s="12">
        <v>277</v>
      </c>
      <c r="L168" s="9"/>
      <c r="M168" s="9"/>
      <c r="N168" s="9"/>
      <c r="O168" s="38">
        <f t="shared" si="13"/>
        <v>277</v>
      </c>
      <c r="P168" s="12"/>
      <c r="Q168" s="42"/>
      <c r="R168" s="15"/>
      <c r="S168" s="44"/>
      <c r="T168" s="15"/>
      <c r="U168" s="44"/>
      <c r="V168" s="15">
        <f t="shared" si="14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5"/>
        <v>0</v>
      </c>
      <c r="AF168" s="101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7"/>
        <v>0</v>
      </c>
      <c r="BA168" s="15"/>
      <c r="BB168" s="44"/>
      <c r="BC168" s="15"/>
      <c r="BD168" s="44"/>
      <c r="BE168" s="15">
        <f t="shared" si="16"/>
        <v>0</v>
      </c>
    </row>
    <row r="169" spans="1:57" s="8" customFormat="1" ht="22.5" customHeight="1">
      <c r="A169" s="9"/>
      <c r="B169" s="16" t="s">
        <v>187</v>
      </c>
      <c r="C169" s="89" t="s">
        <v>48</v>
      </c>
      <c r="D169" s="69" t="s">
        <v>276</v>
      </c>
      <c r="E169" s="13" t="s">
        <v>277</v>
      </c>
      <c r="F169" s="96"/>
      <c r="G169" s="9"/>
      <c r="H169" s="9" t="s">
        <v>67</v>
      </c>
      <c r="I169" s="14"/>
      <c r="J169" s="14"/>
      <c r="K169" s="12">
        <v>0</v>
      </c>
      <c r="L169" s="9"/>
      <c r="M169" s="9"/>
      <c r="N169" s="9"/>
      <c r="O169" s="38">
        <f t="shared" si="13"/>
        <v>0</v>
      </c>
      <c r="P169" s="12"/>
      <c r="Q169" s="42"/>
      <c r="R169" s="15"/>
      <c r="S169" s="44"/>
      <c r="T169" s="15"/>
      <c r="U169" s="44"/>
      <c r="V169" s="15">
        <f t="shared" si="14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5"/>
        <v>0</v>
      </c>
      <c r="AF169" s="101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7"/>
        <v>0</v>
      </c>
      <c r="BA169" s="15"/>
      <c r="BB169" s="44"/>
      <c r="BC169" s="15"/>
      <c r="BD169" s="44"/>
      <c r="BE169" s="15">
        <f t="shared" si="16"/>
        <v>0</v>
      </c>
    </row>
    <row r="170" spans="1:57" s="8" customFormat="1" ht="22.5" customHeight="1">
      <c r="A170" s="9"/>
      <c r="B170" s="16" t="s">
        <v>204</v>
      </c>
      <c r="C170" s="89" t="s">
        <v>48</v>
      </c>
      <c r="D170" s="69" t="s">
        <v>278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303</v>
      </c>
      <c r="L170" s="9"/>
      <c r="M170" s="9"/>
      <c r="N170" s="9"/>
      <c r="O170" s="38">
        <f t="shared" si="13"/>
        <v>303</v>
      </c>
      <c r="P170" s="12"/>
      <c r="Q170" s="42"/>
      <c r="R170" s="15"/>
      <c r="S170" s="44"/>
      <c r="T170" s="15"/>
      <c r="U170" s="44"/>
      <c r="V170" s="15">
        <f t="shared" si="14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5"/>
        <v>0</v>
      </c>
      <c r="AF170" s="101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7"/>
        <v>0</v>
      </c>
      <c r="BA170" s="15"/>
      <c r="BB170" s="44"/>
      <c r="BC170" s="15"/>
      <c r="BD170" s="44"/>
      <c r="BE170" s="15">
        <f t="shared" si="16"/>
        <v>0</v>
      </c>
    </row>
    <row r="171" spans="1:57" s="8" customFormat="1" ht="22.5" customHeight="1">
      <c r="A171" s="9"/>
      <c r="B171" s="16" t="s">
        <v>204</v>
      </c>
      <c r="C171" s="89" t="s">
        <v>48</v>
      </c>
      <c r="D171" s="69" t="s">
        <v>280</v>
      </c>
      <c r="E171" s="13" t="s">
        <v>281</v>
      </c>
      <c r="F171" s="96"/>
      <c r="G171" s="9"/>
      <c r="H171" s="9" t="s">
        <v>207</v>
      </c>
      <c r="I171" s="14"/>
      <c r="J171" s="14"/>
      <c r="K171" s="12">
        <v>0</v>
      </c>
      <c r="L171" s="9"/>
      <c r="M171" s="9"/>
      <c r="N171" s="9"/>
      <c r="O171" s="38">
        <f t="shared" si="13"/>
        <v>0</v>
      </c>
      <c r="P171" s="12"/>
      <c r="Q171" s="42"/>
      <c r="R171" s="15"/>
      <c r="S171" s="44"/>
      <c r="T171" s="15"/>
      <c r="U171" s="44"/>
      <c r="V171" s="15">
        <f t="shared" si="14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5"/>
        <v>0</v>
      </c>
      <c r="AF171" s="101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7"/>
        <v>0</v>
      </c>
      <c r="BA171" s="15"/>
      <c r="BB171" s="44"/>
      <c r="BC171" s="15"/>
      <c r="BD171" s="44"/>
      <c r="BE171" s="15">
        <f t="shared" si="16"/>
        <v>0</v>
      </c>
    </row>
    <row r="172" spans="1:57" s="8" customFormat="1" ht="22.5" customHeight="1">
      <c r="A172" s="9"/>
      <c r="B172" s="16" t="s">
        <v>204</v>
      </c>
      <c r="C172" s="89" t="s">
        <v>48</v>
      </c>
      <c r="D172" s="70" t="s">
        <v>282</v>
      </c>
      <c r="E172" s="13" t="s">
        <v>206</v>
      </c>
      <c r="F172" s="96"/>
      <c r="G172" s="9"/>
      <c r="H172" s="9" t="s">
        <v>207</v>
      </c>
      <c r="I172" s="14"/>
      <c r="J172" s="14"/>
      <c r="K172" s="12">
        <v>0</v>
      </c>
      <c r="L172" s="9"/>
      <c r="M172" s="9"/>
      <c r="N172" s="9"/>
      <c r="O172" s="38">
        <f t="shared" si="13"/>
        <v>0</v>
      </c>
      <c r="P172" s="12"/>
      <c r="Q172" s="42"/>
      <c r="R172" s="15"/>
      <c r="S172" s="44"/>
      <c r="T172" s="15"/>
      <c r="U172" s="44"/>
      <c r="V172" s="15">
        <f t="shared" si="14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5"/>
        <v>0</v>
      </c>
      <c r="AF172" s="101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7"/>
        <v>0</v>
      </c>
      <c r="BA172" s="15"/>
      <c r="BB172" s="44"/>
      <c r="BC172" s="15"/>
      <c r="BD172" s="44"/>
      <c r="BE172" s="15">
        <f t="shared" si="16"/>
        <v>0</v>
      </c>
    </row>
    <row r="173" spans="1:57" s="8" customFormat="1" ht="22.5" customHeight="1">
      <c r="A173" s="9"/>
      <c r="B173" s="16" t="s">
        <v>204</v>
      </c>
      <c r="C173" s="89" t="s">
        <v>48</v>
      </c>
      <c r="D173" s="69" t="s">
        <v>216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324</v>
      </c>
      <c r="L173" s="9"/>
      <c r="M173" s="9"/>
      <c r="N173" s="9"/>
      <c r="O173" s="38">
        <f t="shared" si="13"/>
        <v>324</v>
      </c>
      <c r="P173" s="12"/>
      <c r="Q173" s="42"/>
      <c r="R173" s="15"/>
      <c r="S173" s="44"/>
      <c r="T173" s="15"/>
      <c r="U173" s="44"/>
      <c r="V173" s="15">
        <f t="shared" si="14"/>
        <v>0</v>
      </c>
      <c r="W173" s="15"/>
      <c r="X173" s="44"/>
      <c r="Y173" s="15"/>
      <c r="Z173" s="44"/>
      <c r="AA173" s="15"/>
      <c r="AB173" s="44"/>
      <c r="AC173" s="15"/>
      <c r="AD173" s="44"/>
      <c r="AE173" s="15">
        <f t="shared" si="15"/>
        <v>0</v>
      </c>
      <c r="AF173" s="101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7"/>
        <v>0</v>
      </c>
      <c r="BA173" s="15"/>
      <c r="BB173" s="44"/>
      <c r="BC173" s="15"/>
      <c r="BD173" s="44"/>
      <c r="BE173" s="15">
        <f t="shared" si="16"/>
        <v>0</v>
      </c>
    </row>
    <row r="174" spans="1:57" s="8" customFormat="1" ht="22.5" customHeight="1">
      <c r="A174" s="9"/>
      <c r="B174" s="16" t="s">
        <v>204</v>
      </c>
      <c r="C174" s="89" t="s">
        <v>48</v>
      </c>
      <c r="D174" s="70" t="s">
        <v>283</v>
      </c>
      <c r="E174" s="13" t="s">
        <v>206</v>
      </c>
      <c r="F174" s="96"/>
      <c r="G174" s="9"/>
      <c r="H174" s="9" t="s">
        <v>207</v>
      </c>
      <c r="I174" s="14"/>
      <c r="J174" s="14"/>
      <c r="K174" s="12">
        <v>259</v>
      </c>
      <c r="L174" s="9"/>
      <c r="M174" s="9"/>
      <c r="N174" s="9"/>
      <c r="O174" s="38">
        <f t="shared" si="13"/>
        <v>259</v>
      </c>
      <c r="P174" s="12"/>
      <c r="Q174" s="42"/>
      <c r="R174" s="15"/>
      <c r="S174" s="44"/>
      <c r="T174" s="15"/>
      <c r="U174" s="44"/>
      <c r="V174" s="15">
        <f t="shared" si="14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5"/>
        <v>0</v>
      </c>
      <c r="AF174" s="101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7"/>
        <v>0</v>
      </c>
      <c r="BA174" s="15"/>
      <c r="BB174" s="44"/>
      <c r="BC174" s="15"/>
      <c r="BD174" s="44"/>
      <c r="BE174" s="15">
        <f t="shared" si="16"/>
        <v>0</v>
      </c>
    </row>
    <row r="175" spans="1:57" s="8" customFormat="1" ht="22.5" customHeight="1">
      <c r="A175" s="9"/>
      <c r="B175" s="16" t="s">
        <v>204</v>
      </c>
      <c r="C175" s="89" t="s">
        <v>48</v>
      </c>
      <c r="D175" s="69" t="s">
        <v>284</v>
      </c>
      <c r="E175" s="13" t="s">
        <v>237</v>
      </c>
      <c r="F175" s="96"/>
      <c r="G175" s="9"/>
      <c r="H175" s="9" t="s">
        <v>207</v>
      </c>
      <c r="I175" s="14"/>
      <c r="J175" s="14"/>
      <c r="K175" s="12">
        <v>156</v>
      </c>
      <c r="L175" s="9"/>
      <c r="M175" s="9"/>
      <c r="N175" s="9"/>
      <c r="O175" s="38">
        <f t="shared" si="13"/>
        <v>156</v>
      </c>
      <c r="P175" s="12"/>
      <c r="Q175" s="42"/>
      <c r="R175" s="15"/>
      <c r="S175" s="44"/>
      <c r="T175" s="15"/>
      <c r="U175" s="44"/>
      <c r="V175" s="15">
        <f t="shared" si="14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5"/>
        <v>0</v>
      </c>
      <c r="AF175" s="101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7"/>
        <v>0</v>
      </c>
      <c r="BA175" s="15"/>
      <c r="BB175" s="44"/>
      <c r="BC175" s="15"/>
      <c r="BD175" s="44"/>
      <c r="BE175" s="15">
        <f t="shared" si="16"/>
        <v>0</v>
      </c>
    </row>
    <row r="176" spans="1:57" s="8" customFormat="1" ht="22.5" customHeight="1">
      <c r="A176" s="9"/>
      <c r="B176" s="16" t="s">
        <v>204</v>
      </c>
      <c r="C176" s="89" t="s">
        <v>48</v>
      </c>
      <c r="D176" s="70" t="s">
        <v>285</v>
      </c>
      <c r="E176" s="13" t="s">
        <v>279</v>
      </c>
      <c r="F176" s="96"/>
      <c r="G176" s="9"/>
      <c r="H176" s="9" t="s">
        <v>207</v>
      </c>
      <c r="I176" s="14"/>
      <c r="J176" s="14"/>
      <c r="K176" s="12">
        <v>69</v>
      </c>
      <c r="L176" s="9"/>
      <c r="M176" s="9"/>
      <c r="N176" s="9"/>
      <c r="O176" s="38">
        <f t="shared" si="13"/>
        <v>69</v>
      </c>
      <c r="P176" s="12"/>
      <c r="Q176" s="42"/>
      <c r="R176" s="15"/>
      <c r="S176" s="44"/>
      <c r="T176" s="15"/>
      <c r="U176" s="44"/>
      <c r="V176" s="15">
        <f t="shared" si="14"/>
        <v>0</v>
      </c>
      <c r="W176" s="15"/>
      <c r="X176" s="44"/>
      <c r="Y176" s="15"/>
      <c r="Z176" s="44"/>
      <c r="AA176" s="24"/>
      <c r="AB176" s="44"/>
      <c r="AC176" s="24"/>
      <c r="AD176" s="44"/>
      <c r="AE176" s="15">
        <f t="shared" si="15"/>
        <v>0</v>
      </c>
      <c r="AF176" s="101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7"/>
        <v>0</v>
      </c>
      <c r="BA176" s="15"/>
      <c r="BB176" s="44"/>
      <c r="BC176" s="15"/>
      <c r="BD176" s="44"/>
      <c r="BE176" s="15">
        <f t="shared" si="16"/>
        <v>0</v>
      </c>
    </row>
    <row r="177" spans="1:57" s="8" customFormat="1" ht="22.5" customHeight="1">
      <c r="A177" s="9"/>
      <c r="B177" s="16" t="s">
        <v>204</v>
      </c>
      <c r="C177" s="89" t="s">
        <v>48</v>
      </c>
      <c r="D177" s="69" t="s">
        <v>286</v>
      </c>
      <c r="E177" s="13" t="s">
        <v>287</v>
      </c>
      <c r="F177" s="96"/>
      <c r="G177" s="9"/>
      <c r="H177" s="9" t="s">
        <v>207</v>
      </c>
      <c r="I177" s="14"/>
      <c r="J177" s="14"/>
      <c r="K177" s="12">
        <v>29</v>
      </c>
      <c r="L177" s="9"/>
      <c r="M177" s="9"/>
      <c r="N177" s="9"/>
      <c r="O177" s="38">
        <f t="shared" si="13"/>
        <v>29</v>
      </c>
      <c r="P177" s="12"/>
      <c r="Q177" s="42"/>
      <c r="R177" s="15"/>
      <c r="S177" s="44"/>
      <c r="T177" s="15"/>
      <c r="U177" s="44"/>
      <c r="V177" s="15">
        <f t="shared" si="14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5"/>
        <v>0</v>
      </c>
      <c r="AF177" s="101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7"/>
        <v>0</v>
      </c>
      <c r="BA177" s="15"/>
      <c r="BB177" s="44"/>
      <c r="BC177" s="15"/>
      <c r="BD177" s="44"/>
      <c r="BE177" s="15">
        <f t="shared" si="16"/>
        <v>0</v>
      </c>
    </row>
    <row r="178" spans="1:57" s="8" customFormat="1" ht="22.5" customHeight="1">
      <c r="A178" s="9"/>
      <c r="B178" s="16" t="s">
        <v>204</v>
      </c>
      <c r="C178" s="89" t="s">
        <v>48</v>
      </c>
      <c r="D178" s="70" t="s">
        <v>288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207</v>
      </c>
      <c r="L178" s="9"/>
      <c r="M178" s="9"/>
      <c r="N178" s="9"/>
      <c r="O178" s="38">
        <f t="shared" si="13"/>
        <v>207</v>
      </c>
      <c r="P178" s="12"/>
      <c r="Q178" s="42"/>
      <c r="R178" s="12"/>
      <c r="S178" s="42"/>
      <c r="T178" s="15"/>
      <c r="U178" s="44"/>
      <c r="V178" s="15">
        <f t="shared" si="14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5"/>
        <v>0</v>
      </c>
      <c r="AF178" s="101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7"/>
        <v>0</v>
      </c>
      <c r="BA178" s="15"/>
      <c r="BB178" s="44"/>
      <c r="BC178" s="15"/>
      <c r="BD178" s="44"/>
      <c r="BE178" s="15">
        <f t="shared" si="16"/>
        <v>0</v>
      </c>
    </row>
    <row r="179" spans="1:57" s="8" customFormat="1" ht="22.5" customHeight="1">
      <c r="A179" s="9"/>
      <c r="B179" s="16" t="s">
        <v>204</v>
      </c>
      <c r="C179" s="89" t="s">
        <v>48</v>
      </c>
      <c r="D179" s="71" t="s">
        <v>289</v>
      </c>
      <c r="E179" s="13" t="s">
        <v>290</v>
      </c>
      <c r="F179" s="96"/>
      <c r="G179" s="9"/>
      <c r="H179" s="9" t="s">
        <v>207</v>
      </c>
      <c r="I179" s="14"/>
      <c r="J179" s="14"/>
      <c r="K179" s="12">
        <v>165</v>
      </c>
      <c r="L179" s="9"/>
      <c r="M179" s="9"/>
      <c r="N179" s="9"/>
      <c r="O179" s="38">
        <f t="shared" si="13"/>
        <v>165</v>
      </c>
      <c r="P179" s="12"/>
      <c r="Q179" s="42"/>
      <c r="R179" s="15"/>
      <c r="S179" s="44"/>
      <c r="T179" s="15"/>
      <c r="U179" s="44"/>
      <c r="V179" s="15">
        <f t="shared" si="14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5"/>
        <v>0</v>
      </c>
      <c r="AF179" s="101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7"/>
        <v>0</v>
      </c>
      <c r="BA179" s="15"/>
      <c r="BB179" s="44"/>
      <c r="BC179" s="15"/>
      <c r="BD179" s="44"/>
      <c r="BE179" s="15">
        <f t="shared" si="16"/>
        <v>0</v>
      </c>
    </row>
    <row r="180" spans="1:57" s="8" customFormat="1" ht="22.5" customHeight="1">
      <c r="A180" s="9"/>
      <c r="B180" s="16" t="s">
        <v>204</v>
      </c>
      <c r="C180" s="89" t="s">
        <v>48</v>
      </c>
      <c r="D180" s="71" t="s">
        <v>291</v>
      </c>
      <c r="E180" s="13" t="s">
        <v>281</v>
      </c>
      <c r="F180" s="96"/>
      <c r="G180" s="9"/>
      <c r="H180" s="9" t="s">
        <v>207</v>
      </c>
      <c r="I180" s="14"/>
      <c r="J180" s="14"/>
      <c r="K180" s="12">
        <v>248</v>
      </c>
      <c r="L180" s="9"/>
      <c r="M180" s="9"/>
      <c r="N180" s="9"/>
      <c r="O180" s="38">
        <f t="shared" si="13"/>
        <v>248</v>
      </c>
      <c r="P180" s="12"/>
      <c r="Q180" s="42"/>
      <c r="R180" s="15"/>
      <c r="S180" s="44"/>
      <c r="T180" s="15"/>
      <c r="U180" s="44"/>
      <c r="V180" s="15">
        <f t="shared" si="14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5"/>
        <v>0</v>
      </c>
      <c r="AF180" s="101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7"/>
        <v>0</v>
      </c>
      <c r="BA180" s="15"/>
      <c r="BB180" s="44"/>
      <c r="BC180" s="15"/>
      <c r="BD180" s="44"/>
      <c r="BE180" s="15">
        <f t="shared" si="16"/>
        <v>0</v>
      </c>
    </row>
    <row r="181" spans="1:57" s="8" customFormat="1" ht="22.5" customHeight="1">
      <c r="A181" s="9"/>
      <c r="B181" s="16" t="s">
        <v>204</v>
      </c>
      <c r="C181" s="89" t="s">
        <v>48</v>
      </c>
      <c r="D181" s="71" t="s">
        <v>292</v>
      </c>
      <c r="E181" s="13" t="s">
        <v>281</v>
      </c>
      <c r="F181" s="96"/>
      <c r="G181" s="9"/>
      <c r="H181" s="9" t="s">
        <v>207</v>
      </c>
      <c r="I181" s="14"/>
      <c r="J181" s="14"/>
      <c r="K181" s="12">
        <v>295</v>
      </c>
      <c r="L181" s="9"/>
      <c r="M181" s="9"/>
      <c r="N181" s="9"/>
      <c r="O181" s="38">
        <f t="shared" si="13"/>
        <v>295</v>
      </c>
      <c r="P181" s="12"/>
      <c r="Q181" s="42"/>
      <c r="R181" s="15"/>
      <c r="S181" s="44"/>
      <c r="T181" s="15"/>
      <c r="U181" s="44"/>
      <c r="V181" s="15">
        <f t="shared" si="14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5"/>
        <v>0</v>
      </c>
      <c r="AF181" s="101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7"/>
        <v>0</v>
      </c>
      <c r="BA181" s="15"/>
      <c r="BB181" s="44"/>
      <c r="BC181" s="15"/>
      <c r="BD181" s="44"/>
      <c r="BE181" s="15">
        <f t="shared" si="16"/>
        <v>0</v>
      </c>
    </row>
    <row r="182" spans="1:57" s="8" customFormat="1" ht="22.5" customHeight="1">
      <c r="A182" s="9"/>
      <c r="B182" s="16" t="s">
        <v>204</v>
      </c>
      <c r="C182" s="89" t="s">
        <v>48</v>
      </c>
      <c r="D182" s="71" t="s">
        <v>293</v>
      </c>
      <c r="E182" s="13" t="s">
        <v>206</v>
      </c>
      <c r="F182" s="96"/>
      <c r="G182" s="9"/>
      <c r="H182" s="9" t="s">
        <v>207</v>
      </c>
      <c r="I182" s="14"/>
      <c r="J182" s="14"/>
      <c r="K182" s="12">
        <v>260</v>
      </c>
      <c r="L182" s="9"/>
      <c r="M182" s="9"/>
      <c r="N182" s="9"/>
      <c r="O182" s="38">
        <f t="shared" si="13"/>
        <v>260</v>
      </c>
      <c r="P182" s="12"/>
      <c r="Q182" s="42"/>
      <c r="R182" s="15"/>
      <c r="S182" s="44"/>
      <c r="T182" s="15"/>
      <c r="U182" s="44"/>
      <c r="V182" s="15">
        <f t="shared" si="14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5"/>
        <v>0</v>
      </c>
      <c r="AF182" s="101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7"/>
        <v>0</v>
      </c>
      <c r="BA182" s="15"/>
      <c r="BB182" s="44"/>
      <c r="BC182" s="15"/>
      <c r="BD182" s="44"/>
      <c r="BE182" s="15">
        <f t="shared" si="16"/>
        <v>0</v>
      </c>
    </row>
    <row r="183" spans="1:57" s="8" customFormat="1" ht="22.5" customHeight="1">
      <c r="A183" s="9"/>
      <c r="B183" s="16" t="s">
        <v>204</v>
      </c>
      <c r="C183" s="89" t="s">
        <v>48</v>
      </c>
      <c r="D183" s="69" t="s">
        <v>294</v>
      </c>
      <c r="E183" s="13" t="s">
        <v>206</v>
      </c>
      <c r="F183" s="96"/>
      <c r="G183" s="9"/>
      <c r="H183" s="9" t="s">
        <v>207</v>
      </c>
      <c r="I183" s="14"/>
      <c r="J183" s="14"/>
      <c r="K183" s="12">
        <v>420</v>
      </c>
      <c r="L183" s="9"/>
      <c r="M183" s="9"/>
      <c r="N183" s="9"/>
      <c r="O183" s="38">
        <f t="shared" si="13"/>
        <v>420</v>
      </c>
      <c r="P183" s="12"/>
      <c r="Q183" s="42"/>
      <c r="R183" s="15"/>
      <c r="S183" s="44"/>
      <c r="T183" s="15"/>
      <c r="U183" s="44"/>
      <c r="V183" s="15">
        <f t="shared" si="14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5"/>
        <v>0</v>
      </c>
      <c r="AF183" s="101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7"/>
        <v>0</v>
      </c>
      <c r="BA183" s="15"/>
      <c r="BB183" s="44"/>
      <c r="BC183" s="15"/>
      <c r="BD183" s="44"/>
      <c r="BE183" s="15">
        <f t="shared" si="16"/>
        <v>0</v>
      </c>
    </row>
    <row r="184" spans="1:57" s="8" customFormat="1" ht="22.5" customHeight="1">
      <c r="A184" s="9"/>
      <c r="B184" s="16" t="s">
        <v>204</v>
      </c>
      <c r="C184" s="89" t="s">
        <v>48</v>
      </c>
      <c r="D184" s="72" t="s">
        <v>295</v>
      </c>
      <c r="E184" s="13" t="s">
        <v>279</v>
      </c>
      <c r="F184" s="96"/>
      <c r="G184" s="9"/>
      <c r="H184" s="9" t="s">
        <v>207</v>
      </c>
      <c r="I184" s="14"/>
      <c r="J184" s="14"/>
      <c r="K184" s="12">
        <v>80</v>
      </c>
      <c r="L184" s="9"/>
      <c r="M184" s="9"/>
      <c r="N184" s="9"/>
      <c r="O184" s="38">
        <f t="shared" si="13"/>
        <v>80</v>
      </c>
      <c r="P184" s="12"/>
      <c r="Q184" s="42"/>
      <c r="R184" s="15"/>
      <c r="S184" s="44"/>
      <c r="T184" s="15"/>
      <c r="U184" s="44"/>
      <c r="V184" s="15">
        <f t="shared" si="14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5"/>
        <v>0</v>
      </c>
      <c r="AF184" s="101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7"/>
        <v>0</v>
      </c>
      <c r="BA184" s="15"/>
      <c r="BB184" s="44"/>
      <c r="BC184" s="15"/>
      <c r="BD184" s="44"/>
      <c r="BE184" s="15">
        <f t="shared" si="16"/>
        <v>0</v>
      </c>
    </row>
    <row r="185" spans="1:57" s="8" customFormat="1" ht="22.5" customHeight="1">
      <c r="A185" s="9"/>
      <c r="B185" s="16" t="s">
        <v>204</v>
      </c>
      <c r="C185" s="89" t="s">
        <v>48</v>
      </c>
      <c r="D185" s="69" t="s">
        <v>296</v>
      </c>
      <c r="E185" s="13" t="s">
        <v>287</v>
      </c>
      <c r="F185" s="96"/>
      <c r="G185" s="9"/>
      <c r="H185" s="9" t="s">
        <v>207</v>
      </c>
      <c r="I185" s="14"/>
      <c r="J185" s="14"/>
      <c r="K185" s="12">
        <v>490</v>
      </c>
      <c r="L185" s="9"/>
      <c r="M185" s="9"/>
      <c r="N185" s="9"/>
      <c r="O185" s="38">
        <f t="shared" si="13"/>
        <v>490</v>
      </c>
      <c r="P185" s="12"/>
      <c r="Q185" s="42"/>
      <c r="R185" s="15"/>
      <c r="S185" s="44"/>
      <c r="T185" s="15"/>
      <c r="U185" s="44"/>
      <c r="V185" s="15">
        <f t="shared" si="14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5"/>
        <v>0</v>
      </c>
      <c r="AF185" s="101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7"/>
        <v>0</v>
      </c>
      <c r="BA185" s="15"/>
      <c r="BB185" s="44"/>
      <c r="BC185" s="15"/>
      <c r="BD185" s="44"/>
      <c r="BE185" s="15">
        <f t="shared" si="16"/>
        <v>0</v>
      </c>
    </row>
    <row r="186" spans="1:57" s="8" customFormat="1" ht="22.5" customHeight="1">
      <c r="A186" s="9"/>
      <c r="B186" s="16" t="s">
        <v>204</v>
      </c>
      <c r="C186" s="89" t="s">
        <v>48</v>
      </c>
      <c r="D186" s="69" t="s">
        <v>297</v>
      </c>
      <c r="E186" s="13" t="s">
        <v>281</v>
      </c>
      <c r="F186" s="96"/>
      <c r="G186" s="9"/>
      <c r="H186" s="9" t="s">
        <v>207</v>
      </c>
      <c r="I186" s="14"/>
      <c r="J186" s="14"/>
      <c r="K186" s="12">
        <v>433</v>
      </c>
      <c r="L186" s="9"/>
      <c r="M186" s="9"/>
      <c r="N186" s="9"/>
      <c r="O186" s="38">
        <f t="shared" si="13"/>
        <v>433</v>
      </c>
      <c r="P186" s="12"/>
      <c r="Q186" s="42"/>
      <c r="R186" s="12"/>
      <c r="S186" s="42"/>
      <c r="T186" s="15"/>
      <c r="U186" s="44"/>
      <c r="V186" s="15">
        <f t="shared" si="14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5"/>
        <v>0</v>
      </c>
      <c r="AF186" s="101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7"/>
        <v>0</v>
      </c>
      <c r="BA186" s="15"/>
      <c r="BB186" s="44"/>
      <c r="BC186" s="15"/>
      <c r="BD186" s="44"/>
      <c r="BE186" s="15">
        <f t="shared" si="16"/>
        <v>0</v>
      </c>
    </row>
    <row r="187" spans="1:57" s="8" customFormat="1" ht="22.5" customHeight="1">
      <c r="A187" s="9"/>
      <c r="B187" s="16" t="s">
        <v>204</v>
      </c>
      <c r="C187" s="89" t="s">
        <v>48</v>
      </c>
      <c r="D187" s="69" t="s">
        <v>298</v>
      </c>
      <c r="E187" s="13" t="s">
        <v>290</v>
      </c>
      <c r="F187" s="96"/>
      <c r="G187" s="9"/>
      <c r="H187" s="9" t="s">
        <v>207</v>
      </c>
      <c r="I187" s="14"/>
      <c r="J187" s="14"/>
      <c r="K187" s="12">
        <v>48</v>
      </c>
      <c r="L187" s="9"/>
      <c r="M187" s="9"/>
      <c r="N187" s="9"/>
      <c r="O187" s="38">
        <f t="shared" si="13"/>
        <v>48</v>
      </c>
      <c r="P187" s="12"/>
      <c r="Q187" s="42"/>
      <c r="R187" s="15"/>
      <c r="S187" s="44"/>
      <c r="T187" s="15"/>
      <c r="U187" s="44"/>
      <c r="V187" s="15">
        <f t="shared" si="14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5"/>
        <v>0</v>
      </c>
      <c r="AF187" s="101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7"/>
        <v>0</v>
      </c>
      <c r="BA187" s="15"/>
      <c r="BB187" s="44"/>
      <c r="BC187" s="15"/>
      <c r="BD187" s="44"/>
      <c r="BE187" s="15">
        <f t="shared" si="16"/>
        <v>0</v>
      </c>
    </row>
    <row r="188" spans="1:57" s="8" customFormat="1" ht="22.5" customHeight="1">
      <c r="A188" s="9"/>
      <c r="B188" s="16" t="s">
        <v>204</v>
      </c>
      <c r="C188" s="89" t="s">
        <v>48</v>
      </c>
      <c r="D188" s="73" t="s">
        <v>299</v>
      </c>
      <c r="E188" s="13" t="s">
        <v>281</v>
      </c>
      <c r="F188" s="96"/>
      <c r="G188" s="9"/>
      <c r="H188" s="9" t="s">
        <v>207</v>
      </c>
      <c r="I188" s="14"/>
      <c r="J188" s="14"/>
      <c r="K188" s="12">
        <v>90</v>
      </c>
      <c r="L188" s="9"/>
      <c r="M188" s="9"/>
      <c r="N188" s="9"/>
      <c r="O188" s="38">
        <f t="shared" si="13"/>
        <v>90</v>
      </c>
      <c r="P188" s="12"/>
      <c r="Q188" s="42"/>
      <c r="R188" s="15"/>
      <c r="S188" s="44"/>
      <c r="T188" s="15"/>
      <c r="U188" s="44"/>
      <c r="V188" s="15">
        <f t="shared" si="14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5"/>
        <v>0</v>
      </c>
      <c r="AF188" s="101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7"/>
        <v>0</v>
      </c>
      <c r="BA188" s="15"/>
      <c r="BB188" s="44"/>
      <c r="BC188" s="15"/>
      <c r="BD188" s="44"/>
      <c r="BE188" s="15">
        <f t="shared" si="16"/>
        <v>0</v>
      </c>
    </row>
    <row r="189" spans="1:57" s="8" customFormat="1" ht="22.5" customHeight="1">
      <c r="A189" s="9"/>
      <c r="B189" s="16" t="s">
        <v>300</v>
      </c>
      <c r="C189" s="89" t="s">
        <v>48</v>
      </c>
      <c r="D189" s="69" t="s">
        <v>301</v>
      </c>
      <c r="E189" s="13" t="s">
        <v>302</v>
      </c>
      <c r="F189" s="96"/>
      <c r="G189" s="9"/>
      <c r="H189" s="9" t="s">
        <v>207</v>
      </c>
      <c r="I189" s="14"/>
      <c r="J189" s="14"/>
      <c r="K189" s="12">
        <v>103</v>
      </c>
      <c r="L189" s="9"/>
      <c r="M189" s="9"/>
      <c r="N189" s="9"/>
      <c r="O189" s="38">
        <f t="shared" si="13"/>
        <v>103</v>
      </c>
      <c r="P189" s="12"/>
      <c r="Q189" s="42"/>
      <c r="R189" s="15"/>
      <c r="S189" s="44"/>
      <c r="T189" s="15"/>
      <c r="U189" s="44"/>
      <c r="V189" s="15">
        <f t="shared" si="14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5"/>
        <v>0</v>
      </c>
      <c r="AF189" s="101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7"/>
        <v>0</v>
      </c>
      <c r="BA189" s="15"/>
      <c r="BB189" s="44"/>
      <c r="BC189" s="15"/>
      <c r="BD189" s="44"/>
      <c r="BE189" s="15">
        <f t="shared" si="16"/>
        <v>0</v>
      </c>
    </row>
    <row r="190" spans="1:57" s="8" customFormat="1" ht="22.5" customHeight="1">
      <c r="A190" s="9"/>
      <c r="B190" s="16" t="s">
        <v>204</v>
      </c>
      <c r="C190" s="89" t="s">
        <v>48</v>
      </c>
      <c r="D190" s="69" t="s">
        <v>303</v>
      </c>
      <c r="E190" s="13" t="s">
        <v>304</v>
      </c>
      <c r="F190" s="96"/>
      <c r="G190" s="9"/>
      <c r="H190" s="9" t="s">
        <v>207</v>
      </c>
      <c r="I190" s="14"/>
      <c r="J190" s="14"/>
      <c r="K190" s="12">
        <v>165</v>
      </c>
      <c r="L190" s="9"/>
      <c r="M190" s="9"/>
      <c r="N190" s="9"/>
      <c r="O190" s="38">
        <f t="shared" si="13"/>
        <v>165</v>
      </c>
      <c r="P190" s="12"/>
      <c r="Q190" s="42"/>
      <c r="R190" s="15"/>
      <c r="S190" s="44"/>
      <c r="T190" s="15"/>
      <c r="U190" s="44"/>
      <c r="V190" s="15">
        <f t="shared" si="14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5"/>
        <v>0</v>
      </c>
      <c r="AF190" s="101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7"/>
        <v>0</v>
      </c>
      <c r="BA190" s="15"/>
      <c r="BB190" s="44"/>
      <c r="BC190" s="15"/>
      <c r="BD190" s="44"/>
      <c r="BE190" s="15">
        <f t="shared" si="16"/>
        <v>0</v>
      </c>
    </row>
    <row r="191" spans="1:57" s="8" customFormat="1" ht="22.5" customHeight="1">
      <c r="A191" s="9"/>
      <c r="B191" s="16" t="s">
        <v>204</v>
      </c>
      <c r="C191" s="89" t="s">
        <v>48</v>
      </c>
      <c r="D191" s="70" t="s">
        <v>305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0</v>
      </c>
      <c r="L191" s="9"/>
      <c r="M191" s="9"/>
      <c r="N191" s="9"/>
      <c r="O191" s="38">
        <f t="shared" si="13"/>
        <v>0</v>
      </c>
      <c r="P191" s="12"/>
      <c r="Q191" s="42"/>
      <c r="R191" s="15"/>
      <c r="S191" s="44"/>
      <c r="T191" s="15"/>
      <c r="U191" s="44"/>
      <c r="V191" s="15">
        <f t="shared" si="14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5"/>
        <v>0</v>
      </c>
      <c r="AF191" s="101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7"/>
        <v>0</v>
      </c>
      <c r="BA191" s="15"/>
      <c r="BB191" s="44"/>
      <c r="BC191" s="15"/>
      <c r="BD191" s="44"/>
      <c r="BE191" s="15">
        <f t="shared" si="16"/>
        <v>0</v>
      </c>
    </row>
    <row r="192" spans="1:57" s="8" customFormat="1" ht="22.5" customHeight="1">
      <c r="A192" s="9"/>
      <c r="B192" s="16" t="s">
        <v>204</v>
      </c>
      <c r="C192" s="89" t="s">
        <v>48</v>
      </c>
      <c r="D192" s="69" t="s">
        <v>306</v>
      </c>
      <c r="E192" s="13" t="s">
        <v>307</v>
      </c>
      <c r="F192" s="96"/>
      <c r="G192" s="9"/>
      <c r="H192" s="9" t="s">
        <v>207</v>
      </c>
      <c r="I192" s="14"/>
      <c r="J192" s="14"/>
      <c r="K192" s="12">
        <v>332</v>
      </c>
      <c r="L192" s="9"/>
      <c r="M192" s="9"/>
      <c r="N192" s="9"/>
      <c r="O192" s="38">
        <f t="shared" si="13"/>
        <v>332</v>
      </c>
      <c r="P192" s="12"/>
      <c r="Q192" s="42"/>
      <c r="R192" s="15"/>
      <c r="S192" s="44"/>
      <c r="T192" s="15"/>
      <c r="U192" s="44"/>
      <c r="V192" s="15">
        <f t="shared" si="14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5"/>
        <v>0</v>
      </c>
      <c r="AF192" s="101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7"/>
        <v>0</v>
      </c>
      <c r="BA192" s="15"/>
      <c r="BB192" s="44"/>
      <c r="BC192" s="15"/>
      <c r="BD192" s="44"/>
      <c r="BE192" s="15">
        <f t="shared" si="16"/>
        <v>0</v>
      </c>
    </row>
    <row r="193" spans="1:57" s="8" customFormat="1" ht="22.5" customHeight="1">
      <c r="A193" s="9"/>
      <c r="B193" s="16" t="s">
        <v>204</v>
      </c>
      <c r="C193" s="89" t="s">
        <v>48</v>
      </c>
      <c r="D193" s="70" t="s">
        <v>308</v>
      </c>
      <c r="E193" s="13" t="s">
        <v>307</v>
      </c>
      <c r="F193" s="96"/>
      <c r="G193" s="9"/>
      <c r="H193" s="9" t="s">
        <v>207</v>
      </c>
      <c r="I193" s="14"/>
      <c r="J193" s="14"/>
      <c r="K193" s="12">
        <v>400</v>
      </c>
      <c r="L193" s="9"/>
      <c r="M193" s="9"/>
      <c r="N193" s="9"/>
      <c r="O193" s="38">
        <f t="shared" si="13"/>
        <v>400</v>
      </c>
      <c r="P193" s="12"/>
      <c r="Q193" s="42"/>
      <c r="R193" s="15"/>
      <c r="S193" s="44"/>
      <c r="T193" s="15"/>
      <c r="U193" s="44"/>
      <c r="V193" s="15">
        <f t="shared" si="14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5"/>
        <v>0</v>
      </c>
      <c r="AF193" s="101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7"/>
        <v>0</v>
      </c>
      <c r="BA193" s="15"/>
      <c r="BB193" s="44"/>
      <c r="BC193" s="15"/>
      <c r="BD193" s="44"/>
      <c r="BE193" s="15">
        <f t="shared" si="16"/>
        <v>0</v>
      </c>
    </row>
    <row r="194" spans="1:57" s="8" customFormat="1" ht="22.5" customHeight="1">
      <c r="A194" s="9"/>
      <c r="B194" s="16" t="s">
        <v>204</v>
      </c>
      <c r="C194" s="89" t="s">
        <v>48</v>
      </c>
      <c r="D194" s="69" t="s">
        <v>309</v>
      </c>
      <c r="E194" s="13" t="s">
        <v>206</v>
      </c>
      <c r="F194" s="96"/>
      <c r="G194" s="9"/>
      <c r="H194" s="9" t="s">
        <v>207</v>
      </c>
      <c r="I194" s="14"/>
      <c r="J194" s="14"/>
      <c r="K194" s="12">
        <v>471</v>
      </c>
      <c r="L194" s="9"/>
      <c r="M194" s="9"/>
      <c r="N194" s="9"/>
      <c r="O194" s="38">
        <f t="shared" si="13"/>
        <v>471</v>
      </c>
      <c r="P194" s="12"/>
      <c r="Q194" s="42"/>
      <c r="R194" s="15"/>
      <c r="S194" s="44"/>
      <c r="T194" s="15"/>
      <c r="U194" s="44"/>
      <c r="V194" s="15">
        <f t="shared" si="14"/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si="15"/>
        <v>0</v>
      </c>
      <c r="AF194" s="101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7"/>
        <v>0</v>
      </c>
      <c r="BA194" s="15"/>
      <c r="BB194" s="44"/>
      <c r="BC194" s="15"/>
      <c r="BD194" s="44"/>
      <c r="BE194" s="15">
        <f t="shared" si="16"/>
        <v>0</v>
      </c>
    </row>
    <row r="195" spans="1:57" s="8" customFormat="1" ht="22.5" customHeight="1">
      <c r="A195" s="9"/>
      <c r="B195" s="16" t="s">
        <v>204</v>
      </c>
      <c r="C195" s="89" t="s">
        <v>48</v>
      </c>
      <c r="D195" s="73" t="s">
        <v>310</v>
      </c>
      <c r="E195" s="13"/>
      <c r="F195" s="96"/>
      <c r="G195" s="9"/>
      <c r="H195" s="9" t="s">
        <v>311</v>
      </c>
      <c r="I195" s="14"/>
      <c r="J195" s="14"/>
      <c r="K195" s="12">
        <v>658</v>
      </c>
      <c r="L195" s="9"/>
      <c r="M195" s="9"/>
      <c r="N195" s="9"/>
      <c r="O195" s="38">
        <f t="shared" si="13"/>
        <v>658</v>
      </c>
      <c r="P195" s="12"/>
      <c r="Q195" s="42"/>
      <c r="R195" s="15"/>
      <c r="S195" s="44"/>
      <c r="T195" s="15"/>
      <c r="U195" s="44"/>
      <c r="V195" s="15">
        <f t="shared" si="14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5"/>
        <v>0</v>
      </c>
      <c r="AF195" s="101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si="17"/>
        <v>0</v>
      </c>
      <c r="BA195" s="15"/>
      <c r="BB195" s="44"/>
      <c r="BC195" s="15"/>
      <c r="BD195" s="44"/>
      <c r="BE195" s="15">
        <f t="shared" si="16"/>
        <v>0</v>
      </c>
    </row>
    <row r="196" spans="1:57" s="8" customFormat="1" ht="22.5" customHeight="1">
      <c r="A196" s="9"/>
      <c r="B196" s="16" t="s">
        <v>204</v>
      </c>
      <c r="C196" s="89" t="s">
        <v>48</v>
      </c>
      <c r="D196" s="73" t="s">
        <v>312</v>
      </c>
      <c r="E196" s="13"/>
      <c r="F196" s="96"/>
      <c r="G196" s="9"/>
      <c r="H196" s="9" t="s">
        <v>311</v>
      </c>
      <c r="I196" s="14"/>
      <c r="J196" s="14"/>
      <c r="K196" s="12">
        <v>257</v>
      </c>
      <c r="L196" s="9"/>
      <c r="M196" s="9"/>
      <c r="N196" s="9"/>
      <c r="O196" s="38">
        <f t="shared" ref="O196:O259" si="18">K196+V196-AE196-AZ196</f>
        <v>257</v>
      </c>
      <c r="P196" s="12"/>
      <c r="Q196" s="42"/>
      <c r="R196" s="15"/>
      <c r="S196" s="44"/>
      <c r="T196" s="15"/>
      <c r="U196" s="44"/>
      <c r="V196" s="15">
        <f t="shared" ref="V196:V259" si="19">P196+R196+T196</f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ref="AE196:AE259" si="20">(W196+Y196+AA196+AC196)</f>
        <v>0</v>
      </c>
      <c r="AF196" s="101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17"/>
        <v>0</v>
      </c>
      <c r="BA196" s="15"/>
      <c r="BB196" s="44"/>
      <c r="BC196" s="15"/>
      <c r="BD196" s="44"/>
      <c r="BE196" s="15">
        <f t="shared" si="16"/>
        <v>0</v>
      </c>
    </row>
    <row r="197" spans="1:57" s="8" customFormat="1" ht="22.5" customHeight="1">
      <c r="A197" s="9"/>
      <c r="B197" s="16" t="s">
        <v>204</v>
      </c>
      <c r="C197" s="89" t="s">
        <v>48</v>
      </c>
      <c r="D197" s="73" t="s">
        <v>313</v>
      </c>
      <c r="E197" s="13"/>
      <c r="F197" s="96"/>
      <c r="G197" s="9"/>
      <c r="H197" s="9" t="s">
        <v>314</v>
      </c>
      <c r="I197" s="14"/>
      <c r="J197" s="14"/>
      <c r="K197" s="12">
        <v>0</v>
      </c>
      <c r="L197" s="9"/>
      <c r="M197" s="9"/>
      <c r="N197" s="9"/>
      <c r="O197" s="38">
        <f t="shared" si="18"/>
        <v>0</v>
      </c>
      <c r="P197" s="12"/>
      <c r="Q197" s="42"/>
      <c r="R197" s="15"/>
      <c r="S197" s="44"/>
      <c r="T197" s="15"/>
      <c r="U197" s="44"/>
      <c r="V197" s="15">
        <f t="shared" si="19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20"/>
        <v>0</v>
      </c>
      <c r="AF197" s="101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17"/>
        <v>0</v>
      </c>
      <c r="BA197" s="15"/>
      <c r="BB197" s="44"/>
      <c r="BC197" s="15"/>
      <c r="BD197" s="44"/>
      <c r="BE197" s="15">
        <f t="shared" si="16"/>
        <v>0</v>
      </c>
    </row>
    <row r="198" spans="1:57" s="8" customFormat="1" ht="22.5" customHeight="1">
      <c r="A198" s="9"/>
      <c r="B198" s="16" t="s">
        <v>233</v>
      </c>
      <c r="C198" s="89" t="s">
        <v>48</v>
      </c>
      <c r="D198" s="79" t="s">
        <v>315</v>
      </c>
      <c r="E198" s="13" t="s">
        <v>316</v>
      </c>
      <c r="F198" s="96"/>
      <c r="G198" s="9"/>
      <c r="H198" s="9" t="s">
        <v>317</v>
      </c>
      <c r="I198" s="14"/>
      <c r="J198" s="14"/>
      <c r="K198" s="12">
        <v>270</v>
      </c>
      <c r="L198" s="9"/>
      <c r="M198" s="9"/>
      <c r="N198" s="9"/>
      <c r="O198" s="38">
        <f t="shared" si="18"/>
        <v>270</v>
      </c>
      <c r="P198" s="12"/>
      <c r="Q198" s="42"/>
      <c r="R198" s="15"/>
      <c r="S198" s="44"/>
      <c r="T198" s="15"/>
      <c r="U198" s="44"/>
      <c r="V198" s="15">
        <f t="shared" si="19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20"/>
        <v>0</v>
      </c>
      <c r="AF198" s="101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17"/>
        <v>0</v>
      </c>
      <c r="BA198" s="15"/>
      <c r="BB198" s="44"/>
      <c r="BC198" s="15"/>
      <c r="BD198" s="44"/>
      <c r="BE198" s="15">
        <f t="shared" si="16"/>
        <v>0</v>
      </c>
    </row>
    <row r="199" spans="1:57" s="8" customFormat="1" ht="22.5" customHeight="1">
      <c r="A199" s="9"/>
      <c r="B199" s="16" t="s">
        <v>233</v>
      </c>
      <c r="C199" s="89" t="s">
        <v>48</v>
      </c>
      <c r="D199" s="79" t="s">
        <v>315</v>
      </c>
      <c r="E199" s="13" t="s">
        <v>318</v>
      </c>
      <c r="F199" s="96"/>
      <c r="G199" s="9"/>
      <c r="H199" s="9" t="s">
        <v>317</v>
      </c>
      <c r="I199" s="14"/>
      <c r="J199" s="14"/>
      <c r="K199" s="12">
        <v>500</v>
      </c>
      <c r="L199" s="9"/>
      <c r="M199" s="9"/>
      <c r="N199" s="9"/>
      <c r="O199" s="38">
        <f t="shared" si="18"/>
        <v>500</v>
      </c>
      <c r="P199" s="12"/>
      <c r="Q199" s="42"/>
      <c r="R199" s="15"/>
      <c r="S199" s="44"/>
      <c r="T199" s="15"/>
      <c r="U199" s="44"/>
      <c r="V199" s="15">
        <f t="shared" si="19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20"/>
        <v>0</v>
      </c>
      <c r="AF199" s="101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17"/>
        <v>0</v>
      </c>
      <c r="BA199" s="15"/>
      <c r="BB199" s="44"/>
      <c r="BC199" s="15"/>
      <c r="BD199" s="44"/>
      <c r="BE199" s="15">
        <f t="shared" si="16"/>
        <v>0</v>
      </c>
    </row>
    <row r="200" spans="1:57" s="8" customFormat="1" ht="22.5" customHeight="1">
      <c r="A200" s="9"/>
      <c r="B200" s="16" t="s">
        <v>233</v>
      </c>
      <c r="C200" s="89" t="s">
        <v>48</v>
      </c>
      <c r="D200" s="79" t="s">
        <v>319</v>
      </c>
      <c r="E200" s="13" t="s">
        <v>233</v>
      </c>
      <c r="F200" s="96"/>
      <c r="G200" s="9"/>
      <c r="H200" s="9"/>
      <c r="I200" s="14"/>
      <c r="J200" s="14"/>
      <c r="K200" s="12">
        <v>0</v>
      </c>
      <c r="L200" s="9"/>
      <c r="M200" s="9"/>
      <c r="N200" s="9"/>
      <c r="O200" s="38">
        <f t="shared" si="18"/>
        <v>0</v>
      </c>
      <c r="P200" s="12"/>
      <c r="Q200" s="42"/>
      <c r="R200" s="15"/>
      <c r="S200" s="44"/>
      <c r="T200" s="15"/>
      <c r="U200" s="44"/>
      <c r="V200" s="15">
        <f t="shared" si="19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20"/>
        <v>0</v>
      </c>
      <c r="AF200" s="101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17"/>
        <v>0</v>
      </c>
      <c r="BA200" s="15"/>
      <c r="BB200" s="44"/>
      <c r="BC200" s="15"/>
      <c r="BD200" s="44"/>
      <c r="BE200" s="15">
        <f t="shared" si="16"/>
        <v>0</v>
      </c>
    </row>
    <row r="201" spans="1:57" s="8" customFormat="1" ht="22.5" customHeight="1">
      <c r="A201" s="9"/>
      <c r="B201" s="16" t="s">
        <v>233</v>
      </c>
      <c r="C201" s="89" t="s">
        <v>48</v>
      </c>
      <c r="D201" s="79" t="s">
        <v>320</v>
      </c>
      <c r="E201" s="13" t="s">
        <v>321</v>
      </c>
      <c r="F201" s="96"/>
      <c r="G201" s="9"/>
      <c r="H201" s="9"/>
      <c r="I201" s="14"/>
      <c r="J201" s="14"/>
      <c r="K201" s="12">
        <v>0</v>
      </c>
      <c r="L201" s="9"/>
      <c r="M201" s="9"/>
      <c r="N201" s="9"/>
      <c r="O201" s="38">
        <f t="shared" si="18"/>
        <v>0</v>
      </c>
      <c r="P201" s="12"/>
      <c r="Q201" s="42"/>
      <c r="R201" s="15"/>
      <c r="S201" s="44"/>
      <c r="T201" s="15"/>
      <c r="U201" s="44"/>
      <c r="V201" s="15">
        <f t="shared" si="19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20"/>
        <v>0</v>
      </c>
      <c r="AF201" s="101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17"/>
        <v>0</v>
      </c>
      <c r="BA201" s="15"/>
      <c r="BB201" s="44"/>
      <c r="BC201" s="15"/>
      <c r="BD201" s="44"/>
      <c r="BE201" s="15">
        <f t="shared" si="16"/>
        <v>0</v>
      </c>
    </row>
    <row r="202" spans="1:57" s="8" customFormat="1" ht="22.5" customHeight="1">
      <c r="A202" s="9"/>
      <c r="B202" s="16" t="s">
        <v>233</v>
      </c>
      <c r="C202" s="89" t="s">
        <v>48</v>
      </c>
      <c r="D202" s="79" t="s">
        <v>322</v>
      </c>
      <c r="E202" s="13" t="s">
        <v>323</v>
      </c>
      <c r="F202" s="96"/>
      <c r="G202" s="9"/>
      <c r="H202" s="9"/>
      <c r="I202" s="14"/>
      <c r="J202" s="14"/>
      <c r="K202" s="12">
        <v>0</v>
      </c>
      <c r="L202" s="9"/>
      <c r="M202" s="9"/>
      <c r="N202" s="9"/>
      <c r="O202" s="38">
        <f t="shared" si="18"/>
        <v>0</v>
      </c>
      <c r="P202" s="12"/>
      <c r="Q202" s="42"/>
      <c r="R202" s="15"/>
      <c r="S202" s="44"/>
      <c r="T202" s="15"/>
      <c r="U202" s="44"/>
      <c r="V202" s="15">
        <f t="shared" si="19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20"/>
        <v>0</v>
      </c>
      <c r="AF202" s="101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17"/>
        <v>0</v>
      </c>
      <c r="BA202" s="15"/>
      <c r="BB202" s="44"/>
      <c r="BC202" s="15"/>
      <c r="BD202" s="44"/>
      <c r="BE202" s="15">
        <f t="shared" si="16"/>
        <v>0</v>
      </c>
    </row>
    <row r="203" spans="1:57" s="8" customFormat="1" ht="22.5" customHeight="1">
      <c r="A203" s="9"/>
      <c r="B203" s="16" t="s">
        <v>233</v>
      </c>
      <c r="C203" s="89" t="s">
        <v>48</v>
      </c>
      <c r="D203" s="79" t="s">
        <v>324</v>
      </c>
      <c r="E203" s="13" t="s">
        <v>325</v>
      </c>
      <c r="F203" s="96"/>
      <c r="G203" s="9"/>
      <c r="H203" s="9"/>
      <c r="I203" s="14"/>
      <c r="J203" s="14"/>
      <c r="K203" s="12">
        <v>208</v>
      </c>
      <c r="L203" s="9"/>
      <c r="M203" s="9"/>
      <c r="N203" s="9"/>
      <c r="O203" s="38">
        <f t="shared" si="18"/>
        <v>208</v>
      </c>
      <c r="P203" s="12"/>
      <c r="Q203" s="42"/>
      <c r="R203" s="15"/>
      <c r="S203" s="44"/>
      <c r="T203" s="15"/>
      <c r="U203" s="44"/>
      <c r="V203" s="15">
        <f t="shared" si="19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20"/>
        <v>0</v>
      </c>
      <c r="AF203" s="101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17"/>
        <v>0</v>
      </c>
      <c r="BA203" s="15"/>
      <c r="BB203" s="44"/>
      <c r="BC203" s="15"/>
      <c r="BD203" s="44"/>
      <c r="BE203" s="15">
        <f t="shared" si="16"/>
        <v>0</v>
      </c>
    </row>
    <row r="204" spans="1:57" s="8" customFormat="1" ht="22.5" customHeight="1">
      <c r="A204" s="9"/>
      <c r="B204" s="16" t="s">
        <v>233</v>
      </c>
      <c r="C204" s="89" t="s">
        <v>48</v>
      </c>
      <c r="D204" s="79" t="s">
        <v>326</v>
      </c>
      <c r="E204" s="13" t="s">
        <v>327</v>
      </c>
      <c r="F204" s="96"/>
      <c r="G204" s="9"/>
      <c r="H204" s="9"/>
      <c r="I204" s="14"/>
      <c r="J204" s="14"/>
      <c r="K204" s="12">
        <v>108</v>
      </c>
      <c r="L204" s="9"/>
      <c r="M204" s="9"/>
      <c r="N204" s="9"/>
      <c r="O204" s="38">
        <f t="shared" si="18"/>
        <v>108</v>
      </c>
      <c r="P204" s="12"/>
      <c r="Q204" s="42"/>
      <c r="R204" s="15"/>
      <c r="S204" s="44"/>
      <c r="T204" s="15"/>
      <c r="U204" s="44"/>
      <c r="V204" s="15">
        <f t="shared" si="19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20"/>
        <v>0</v>
      </c>
      <c r="AF204" s="101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17"/>
        <v>0</v>
      </c>
      <c r="BA204" s="15"/>
      <c r="BB204" s="44"/>
      <c r="BC204" s="15"/>
      <c r="BD204" s="44"/>
      <c r="BE204" s="15">
        <f t="shared" si="16"/>
        <v>0</v>
      </c>
    </row>
    <row r="205" spans="1:57" s="8" customFormat="1" ht="22.5" customHeight="1">
      <c r="A205" s="9"/>
      <c r="B205" s="16" t="s">
        <v>155</v>
      </c>
      <c r="C205" s="89" t="s">
        <v>48</v>
      </c>
      <c r="D205" s="70" t="s">
        <v>328</v>
      </c>
      <c r="E205" s="13" t="s">
        <v>329</v>
      </c>
      <c r="F205" s="96"/>
      <c r="G205" s="9"/>
      <c r="H205" s="9" t="s">
        <v>158</v>
      </c>
      <c r="I205" s="14"/>
      <c r="J205" s="14"/>
      <c r="K205" s="12">
        <v>596</v>
      </c>
      <c r="L205" s="9"/>
      <c r="M205" s="9"/>
      <c r="N205" s="9"/>
      <c r="O205" s="38">
        <f t="shared" si="18"/>
        <v>596</v>
      </c>
      <c r="P205" s="12"/>
      <c r="Q205" s="42"/>
      <c r="R205" s="15"/>
      <c r="S205" s="44"/>
      <c r="T205" s="15"/>
      <c r="U205" s="44"/>
      <c r="V205" s="15">
        <f t="shared" si="19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20"/>
        <v>0</v>
      </c>
      <c r="AF205" s="101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17"/>
        <v>0</v>
      </c>
      <c r="BA205" s="15"/>
      <c r="BB205" s="44"/>
      <c r="BC205" s="15"/>
      <c r="BD205" s="44"/>
      <c r="BE205" s="15">
        <f t="shared" si="16"/>
        <v>0</v>
      </c>
    </row>
    <row r="206" spans="1:57" s="8" customFormat="1" ht="22.5" customHeight="1">
      <c r="A206" s="9"/>
      <c r="B206" s="16" t="s">
        <v>330</v>
      </c>
      <c r="C206" s="89" t="s">
        <v>48</v>
      </c>
      <c r="D206" s="69" t="s">
        <v>331</v>
      </c>
      <c r="E206" s="13" t="s">
        <v>330</v>
      </c>
      <c r="F206" s="96"/>
      <c r="G206" s="9"/>
      <c r="H206" s="9" t="s">
        <v>332</v>
      </c>
      <c r="I206" s="14"/>
      <c r="J206" s="14"/>
      <c r="K206" s="12">
        <v>364</v>
      </c>
      <c r="L206" s="9"/>
      <c r="M206" s="9"/>
      <c r="N206" s="9"/>
      <c r="O206" s="38">
        <f t="shared" si="18"/>
        <v>364</v>
      </c>
      <c r="P206" s="12"/>
      <c r="Q206" s="42"/>
      <c r="R206" s="15"/>
      <c r="S206" s="44"/>
      <c r="T206" s="15"/>
      <c r="U206" s="44"/>
      <c r="V206" s="15">
        <f t="shared" si="19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20"/>
        <v>0</v>
      </c>
      <c r="AF206" s="101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17"/>
        <v>0</v>
      </c>
      <c r="BA206" s="15"/>
      <c r="BB206" s="44"/>
      <c r="BC206" s="15"/>
      <c r="BD206" s="44"/>
      <c r="BE206" s="15">
        <f t="shared" si="16"/>
        <v>0</v>
      </c>
    </row>
    <row r="207" spans="1:57" s="8" customFormat="1" ht="22.5" customHeight="1">
      <c r="A207" s="9"/>
      <c r="B207" s="16" t="s">
        <v>330</v>
      </c>
      <c r="C207" s="89" t="s">
        <v>48</v>
      </c>
      <c r="D207" s="70" t="s">
        <v>333</v>
      </c>
      <c r="E207" s="13" t="s">
        <v>330</v>
      </c>
      <c r="F207" s="96"/>
      <c r="G207" s="9"/>
      <c r="H207" s="9" t="s">
        <v>332</v>
      </c>
      <c r="I207" s="14"/>
      <c r="J207" s="14"/>
      <c r="K207" s="12">
        <v>0</v>
      </c>
      <c r="L207" s="9"/>
      <c r="M207" s="9"/>
      <c r="N207" s="9"/>
      <c r="O207" s="38">
        <f t="shared" si="18"/>
        <v>0</v>
      </c>
      <c r="P207" s="12"/>
      <c r="Q207" s="42"/>
      <c r="R207" s="15"/>
      <c r="S207" s="44"/>
      <c r="T207" s="15"/>
      <c r="U207" s="44"/>
      <c r="V207" s="15">
        <f t="shared" si="19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20"/>
        <v>0</v>
      </c>
      <c r="AF207" s="101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17"/>
        <v>0</v>
      </c>
      <c r="BA207" s="15"/>
      <c r="BB207" s="44"/>
      <c r="BC207" s="15"/>
      <c r="BD207" s="44"/>
      <c r="BE207" s="15">
        <f t="shared" si="16"/>
        <v>0</v>
      </c>
    </row>
    <row r="208" spans="1:57" s="8" customFormat="1" ht="22.5" customHeight="1">
      <c r="A208" s="9"/>
      <c r="B208" s="16" t="s">
        <v>334</v>
      </c>
      <c r="C208" s="89" t="s">
        <v>48</v>
      </c>
      <c r="D208" s="79" t="s">
        <v>335</v>
      </c>
      <c r="E208" s="13" t="s">
        <v>336</v>
      </c>
      <c r="F208" s="96"/>
      <c r="G208" s="9"/>
      <c r="H208" s="9" t="s">
        <v>314</v>
      </c>
      <c r="I208" s="14"/>
      <c r="J208" s="14"/>
      <c r="K208" s="12">
        <v>0</v>
      </c>
      <c r="L208" s="9"/>
      <c r="M208" s="9"/>
      <c r="N208" s="9"/>
      <c r="O208" s="38">
        <f t="shared" si="18"/>
        <v>0</v>
      </c>
      <c r="P208" s="12"/>
      <c r="Q208" s="42"/>
      <c r="R208" s="15"/>
      <c r="S208" s="44"/>
      <c r="T208" s="15"/>
      <c r="U208" s="44"/>
      <c r="V208" s="15">
        <f t="shared" si="19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20"/>
        <v>0</v>
      </c>
      <c r="AF208" s="101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17"/>
        <v>0</v>
      </c>
      <c r="BA208" s="15"/>
      <c r="BB208" s="44"/>
      <c r="BC208" s="15"/>
      <c r="BD208" s="44"/>
      <c r="BE208" s="15">
        <f t="shared" si="16"/>
        <v>0</v>
      </c>
    </row>
    <row r="209" spans="1:57" s="8" customFormat="1" ht="22.5" customHeight="1">
      <c r="A209" s="9"/>
      <c r="B209" s="16" t="s">
        <v>337</v>
      </c>
      <c r="C209" s="89" t="s">
        <v>48</v>
      </c>
      <c r="D209" s="79" t="s">
        <v>338</v>
      </c>
      <c r="E209" s="13" t="s">
        <v>337</v>
      </c>
      <c r="F209" s="96"/>
      <c r="G209" s="9"/>
      <c r="H209" s="9" t="s">
        <v>339</v>
      </c>
      <c r="I209" s="14"/>
      <c r="J209" s="14"/>
      <c r="K209" s="12">
        <v>0</v>
      </c>
      <c r="L209" s="9"/>
      <c r="M209" s="9"/>
      <c r="N209" s="9"/>
      <c r="O209" s="38">
        <f t="shared" si="18"/>
        <v>0</v>
      </c>
      <c r="P209" s="12"/>
      <c r="Q209" s="42"/>
      <c r="R209" s="15"/>
      <c r="S209" s="44"/>
      <c r="T209" s="15"/>
      <c r="U209" s="44"/>
      <c r="V209" s="15">
        <f t="shared" si="19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20"/>
        <v>0</v>
      </c>
      <c r="AF209" s="101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17"/>
        <v>0</v>
      </c>
      <c r="BA209" s="15"/>
      <c r="BB209" s="44"/>
      <c r="BC209" s="15"/>
      <c r="BD209" s="44"/>
      <c r="BE209" s="15">
        <f t="shared" si="16"/>
        <v>0</v>
      </c>
    </row>
    <row r="210" spans="1:57" s="8" customFormat="1" ht="22.5" customHeight="1">
      <c r="A210" s="9"/>
      <c r="B210" s="16" t="s">
        <v>337</v>
      </c>
      <c r="C210" s="89" t="s">
        <v>48</v>
      </c>
      <c r="D210" s="79" t="s">
        <v>340</v>
      </c>
      <c r="E210" s="13" t="s">
        <v>337</v>
      </c>
      <c r="F210" s="96"/>
      <c r="G210" s="9"/>
      <c r="H210" s="9" t="s">
        <v>339</v>
      </c>
      <c r="I210" s="14"/>
      <c r="J210" s="14"/>
      <c r="K210" s="12">
        <v>0</v>
      </c>
      <c r="L210" s="9"/>
      <c r="M210" s="9"/>
      <c r="N210" s="9"/>
      <c r="O210" s="38">
        <f t="shared" si="18"/>
        <v>0</v>
      </c>
      <c r="P210" s="12"/>
      <c r="Q210" s="42"/>
      <c r="R210" s="15"/>
      <c r="S210" s="44"/>
      <c r="T210" s="15"/>
      <c r="U210" s="44"/>
      <c r="V210" s="15">
        <f t="shared" si="19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20"/>
        <v>0</v>
      </c>
      <c r="AF210" s="101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17"/>
        <v>0</v>
      </c>
      <c r="BA210" s="15"/>
      <c r="BB210" s="44"/>
      <c r="BC210" s="15"/>
      <c r="BD210" s="44"/>
      <c r="BE210" s="15">
        <f t="shared" si="16"/>
        <v>0</v>
      </c>
    </row>
    <row r="211" spans="1:57" s="8" customFormat="1" ht="22.5" customHeight="1">
      <c r="A211" s="9"/>
      <c r="B211" s="16" t="s">
        <v>249</v>
      </c>
      <c r="C211" s="89" t="s">
        <v>48</v>
      </c>
      <c r="D211" s="79" t="s">
        <v>341</v>
      </c>
      <c r="E211" s="13" t="s">
        <v>342</v>
      </c>
      <c r="F211" s="96"/>
      <c r="G211" s="9"/>
      <c r="H211" s="9" t="s">
        <v>247</v>
      </c>
      <c r="I211" s="14"/>
      <c r="J211" s="14"/>
      <c r="K211" s="12">
        <v>351</v>
      </c>
      <c r="L211" s="9"/>
      <c r="M211" s="9"/>
      <c r="N211" s="9"/>
      <c r="O211" s="38">
        <f t="shared" si="18"/>
        <v>351</v>
      </c>
      <c r="P211" s="12"/>
      <c r="Q211" s="42"/>
      <c r="R211" s="15"/>
      <c r="S211" s="44"/>
      <c r="T211" s="15"/>
      <c r="U211" s="44"/>
      <c r="V211" s="15">
        <f t="shared" si="19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20"/>
        <v>0</v>
      </c>
      <c r="AF211" s="101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17"/>
        <v>0</v>
      </c>
      <c r="BA211" s="15"/>
      <c r="BB211" s="44"/>
      <c r="BC211" s="15"/>
      <c r="BD211" s="44"/>
      <c r="BE211" s="15">
        <f t="shared" si="16"/>
        <v>0</v>
      </c>
    </row>
    <row r="212" spans="1:57" s="8" customFormat="1" ht="22.5" customHeight="1">
      <c r="A212" s="9"/>
      <c r="B212" s="16" t="s">
        <v>343</v>
      </c>
      <c r="C212" s="89" t="s">
        <v>48</v>
      </c>
      <c r="D212" s="79" t="s">
        <v>343</v>
      </c>
      <c r="E212" s="13" t="s">
        <v>344</v>
      </c>
      <c r="F212" s="96"/>
      <c r="G212" s="9"/>
      <c r="H212" s="9" t="s">
        <v>345</v>
      </c>
      <c r="I212" s="14"/>
      <c r="J212" s="14"/>
      <c r="K212" s="12">
        <v>0</v>
      </c>
      <c r="L212" s="9"/>
      <c r="M212" s="9"/>
      <c r="N212" s="9"/>
      <c r="O212" s="38">
        <f t="shared" si="18"/>
        <v>0</v>
      </c>
      <c r="P212" s="12"/>
      <c r="Q212" s="42"/>
      <c r="R212" s="15"/>
      <c r="S212" s="44"/>
      <c r="T212" s="15"/>
      <c r="U212" s="44"/>
      <c r="V212" s="15">
        <f t="shared" si="19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20"/>
        <v>0</v>
      </c>
      <c r="AF212" s="101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17"/>
        <v>0</v>
      </c>
      <c r="BA212" s="15"/>
      <c r="BB212" s="44"/>
      <c r="BC212" s="15"/>
      <c r="BD212" s="44"/>
      <c r="BE212" s="15">
        <f t="shared" si="16"/>
        <v>0</v>
      </c>
    </row>
    <row r="213" spans="1:57" s="8" customFormat="1" ht="22.5" customHeight="1">
      <c r="A213" s="9"/>
      <c r="B213" s="16" t="s">
        <v>204</v>
      </c>
      <c r="C213" s="89" t="s">
        <v>48</v>
      </c>
      <c r="D213" s="70" t="s">
        <v>288</v>
      </c>
      <c r="E213" s="13" t="s">
        <v>222</v>
      </c>
      <c r="F213" s="96"/>
      <c r="G213" s="9"/>
      <c r="H213" s="9" t="s">
        <v>207</v>
      </c>
      <c r="I213" s="14"/>
      <c r="J213" s="14"/>
      <c r="K213" s="12">
        <v>34</v>
      </c>
      <c r="L213" s="9"/>
      <c r="M213" s="9"/>
      <c r="N213" s="9"/>
      <c r="O213" s="38">
        <f t="shared" si="18"/>
        <v>34</v>
      </c>
      <c r="P213" s="12"/>
      <c r="Q213" s="42"/>
      <c r="R213" s="15"/>
      <c r="S213" s="44"/>
      <c r="T213" s="15"/>
      <c r="U213" s="44"/>
      <c r="V213" s="15">
        <f t="shared" si="19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20"/>
        <v>0</v>
      </c>
      <c r="AF213" s="101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17"/>
        <v>0</v>
      </c>
      <c r="BA213" s="15"/>
      <c r="BB213" s="44"/>
      <c r="BC213" s="15"/>
      <c r="BD213" s="44"/>
      <c r="BE213" s="15">
        <f t="shared" si="16"/>
        <v>0</v>
      </c>
    </row>
    <row r="214" spans="1:57" s="8" customFormat="1" ht="22.5" customHeight="1">
      <c r="A214" s="9"/>
      <c r="B214" s="16" t="s">
        <v>204</v>
      </c>
      <c r="C214" s="89" t="s">
        <v>48</v>
      </c>
      <c r="D214" s="71" t="s">
        <v>289</v>
      </c>
      <c r="E214" s="13" t="s">
        <v>222</v>
      </c>
      <c r="F214" s="96"/>
      <c r="G214" s="9"/>
      <c r="H214" s="9" t="s">
        <v>207</v>
      </c>
      <c r="I214" s="14"/>
      <c r="J214" s="14"/>
      <c r="K214" s="12">
        <v>239</v>
      </c>
      <c r="L214" s="9"/>
      <c r="M214" s="9"/>
      <c r="N214" s="9"/>
      <c r="O214" s="38">
        <f t="shared" si="18"/>
        <v>239</v>
      </c>
      <c r="P214" s="12"/>
      <c r="Q214" s="42"/>
      <c r="R214" s="15"/>
      <c r="S214" s="44"/>
      <c r="T214" s="15"/>
      <c r="U214" s="44"/>
      <c r="V214" s="15">
        <f t="shared" si="19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20"/>
        <v>0</v>
      </c>
      <c r="AF214" s="101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17"/>
        <v>0</v>
      </c>
      <c r="BA214" s="15"/>
      <c r="BB214" s="44"/>
      <c r="BC214" s="15"/>
      <c r="BD214" s="44"/>
      <c r="BE214" s="15">
        <f t="shared" si="16"/>
        <v>0</v>
      </c>
    </row>
    <row r="215" spans="1:57" s="8" customFormat="1" ht="22.5" customHeight="1">
      <c r="A215" s="9"/>
      <c r="B215" s="16" t="s">
        <v>204</v>
      </c>
      <c r="C215" s="89" t="s">
        <v>48</v>
      </c>
      <c r="D215" s="71" t="s">
        <v>291</v>
      </c>
      <c r="E215" s="13" t="s">
        <v>222</v>
      </c>
      <c r="F215" s="96"/>
      <c r="G215" s="9"/>
      <c r="H215" s="9" t="s">
        <v>207</v>
      </c>
      <c r="I215" s="14"/>
      <c r="J215" s="14"/>
      <c r="K215" s="12">
        <v>145</v>
      </c>
      <c r="L215" s="9"/>
      <c r="M215" s="9"/>
      <c r="N215" s="9"/>
      <c r="O215" s="38">
        <f t="shared" si="18"/>
        <v>145</v>
      </c>
      <c r="P215" s="12"/>
      <c r="Q215" s="42"/>
      <c r="R215" s="15"/>
      <c r="S215" s="44"/>
      <c r="T215" s="15"/>
      <c r="U215" s="44"/>
      <c r="V215" s="15">
        <f t="shared" si="19"/>
        <v>0</v>
      </c>
      <c r="W215" s="15"/>
      <c r="X215" s="44"/>
      <c r="Y215" s="15"/>
      <c r="Z215" s="44"/>
      <c r="AA215" s="15"/>
      <c r="AB215" s="44"/>
      <c r="AC215" s="15"/>
      <c r="AD215" s="44"/>
      <c r="AE215" s="15">
        <f t="shared" si="20"/>
        <v>0</v>
      </c>
      <c r="AF215" s="101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17"/>
        <v>0</v>
      </c>
      <c r="BA215" s="15"/>
      <c r="BB215" s="44"/>
      <c r="BC215" s="15"/>
      <c r="BD215" s="44"/>
      <c r="BE215" s="15">
        <f t="shared" si="16"/>
        <v>0</v>
      </c>
    </row>
    <row r="216" spans="1:57" s="8" customFormat="1" ht="22.5" customHeight="1">
      <c r="A216" s="9"/>
      <c r="B216" s="16" t="s">
        <v>204</v>
      </c>
      <c r="C216" s="89" t="s">
        <v>48</v>
      </c>
      <c r="D216" s="71" t="s">
        <v>292</v>
      </c>
      <c r="E216" s="13" t="s">
        <v>346</v>
      </c>
      <c r="F216" s="96"/>
      <c r="G216" s="9"/>
      <c r="H216" s="9" t="s">
        <v>207</v>
      </c>
      <c r="I216" s="14"/>
      <c r="J216" s="14"/>
      <c r="K216" s="12">
        <v>488</v>
      </c>
      <c r="L216" s="9"/>
      <c r="M216" s="9"/>
      <c r="N216" s="9"/>
      <c r="O216" s="38">
        <f t="shared" si="18"/>
        <v>488</v>
      </c>
      <c r="P216" s="12"/>
      <c r="Q216" s="42"/>
      <c r="R216" s="15"/>
      <c r="S216" s="44"/>
      <c r="T216" s="15"/>
      <c r="U216" s="44"/>
      <c r="V216" s="15">
        <f t="shared" si="19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20"/>
        <v>0</v>
      </c>
      <c r="AF216" s="101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17"/>
        <v>0</v>
      </c>
      <c r="BA216" s="15"/>
      <c r="BB216" s="44"/>
      <c r="BC216" s="15"/>
      <c r="BD216" s="44"/>
      <c r="BE216" s="15">
        <f t="shared" si="16"/>
        <v>0</v>
      </c>
    </row>
    <row r="217" spans="1:57" s="8" customFormat="1" ht="22.5" customHeight="1">
      <c r="A217" s="9"/>
      <c r="B217" s="16" t="s">
        <v>204</v>
      </c>
      <c r="C217" s="89" t="s">
        <v>48</v>
      </c>
      <c r="D217" s="69" t="s">
        <v>216</v>
      </c>
      <c r="E217" s="13" t="s">
        <v>347</v>
      </c>
      <c r="F217" s="96"/>
      <c r="G217" s="9"/>
      <c r="H217" s="9" t="s">
        <v>207</v>
      </c>
      <c r="I217" s="14"/>
      <c r="J217" s="14"/>
      <c r="K217" s="12">
        <v>465</v>
      </c>
      <c r="L217" s="9"/>
      <c r="M217" s="9"/>
      <c r="N217" s="9"/>
      <c r="O217" s="38">
        <f t="shared" si="18"/>
        <v>465</v>
      </c>
      <c r="P217" s="12"/>
      <c r="Q217" s="42"/>
      <c r="R217" s="15"/>
      <c r="S217" s="44"/>
      <c r="T217" s="15"/>
      <c r="U217" s="44"/>
      <c r="V217" s="15">
        <f t="shared" si="19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20"/>
        <v>0</v>
      </c>
      <c r="AF217" s="101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17"/>
        <v>0</v>
      </c>
      <c r="BA217" s="15"/>
      <c r="BB217" s="44"/>
      <c r="BC217" s="15"/>
      <c r="BD217" s="44"/>
      <c r="BE217" s="15">
        <f t="shared" si="16"/>
        <v>0</v>
      </c>
    </row>
    <row r="218" spans="1:57" s="8" customFormat="1" ht="22.5" customHeight="1">
      <c r="A218" s="9"/>
      <c r="B218" s="16" t="s">
        <v>204</v>
      </c>
      <c r="C218" s="89" t="s">
        <v>48</v>
      </c>
      <c r="D218" s="70" t="s">
        <v>285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171</v>
      </c>
      <c r="L218" s="9"/>
      <c r="M218" s="9"/>
      <c r="N218" s="9"/>
      <c r="O218" s="38">
        <f t="shared" si="18"/>
        <v>171</v>
      </c>
      <c r="P218" s="12"/>
      <c r="Q218" s="42"/>
      <c r="R218" s="15"/>
      <c r="S218" s="44"/>
      <c r="T218" s="15"/>
      <c r="U218" s="44"/>
      <c r="V218" s="15">
        <f t="shared" si="19"/>
        <v>0</v>
      </c>
      <c r="W218" s="15"/>
      <c r="X218" s="44"/>
      <c r="Y218" s="15"/>
      <c r="Z218" s="44"/>
      <c r="AA218" s="24"/>
      <c r="AB218" s="44"/>
      <c r="AC218" s="24"/>
      <c r="AD218" s="44"/>
      <c r="AE218" s="15">
        <f t="shared" si="20"/>
        <v>0</v>
      </c>
      <c r="AF218" s="101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17"/>
        <v>0</v>
      </c>
      <c r="BA218" s="15"/>
      <c r="BB218" s="44"/>
      <c r="BC218" s="15"/>
      <c r="BD218" s="44"/>
      <c r="BE218" s="15">
        <f t="shared" si="16"/>
        <v>0</v>
      </c>
    </row>
    <row r="219" spans="1:57" s="8" customFormat="1" ht="22.5" customHeight="1">
      <c r="A219" s="9"/>
      <c r="B219" s="16" t="s">
        <v>204</v>
      </c>
      <c r="C219" s="89" t="s">
        <v>48</v>
      </c>
      <c r="D219" s="69" t="s">
        <v>286</v>
      </c>
      <c r="E219" s="13" t="s">
        <v>206</v>
      </c>
      <c r="F219" s="96"/>
      <c r="G219" s="9"/>
      <c r="H219" s="9" t="s">
        <v>207</v>
      </c>
      <c r="I219" s="14"/>
      <c r="J219" s="14"/>
      <c r="K219" s="12">
        <v>279</v>
      </c>
      <c r="L219" s="9"/>
      <c r="M219" s="9"/>
      <c r="N219" s="9"/>
      <c r="O219" s="38">
        <f t="shared" si="18"/>
        <v>279</v>
      </c>
      <c r="P219" s="12"/>
      <c r="Q219" s="42"/>
      <c r="R219" s="15"/>
      <c r="S219" s="44"/>
      <c r="T219" s="15"/>
      <c r="U219" s="44"/>
      <c r="V219" s="15">
        <f t="shared" si="19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20"/>
        <v>0</v>
      </c>
      <c r="AF219" s="101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17"/>
        <v>0</v>
      </c>
      <c r="BA219" s="15"/>
      <c r="BB219" s="44"/>
      <c r="BC219" s="15"/>
      <c r="BD219" s="44"/>
      <c r="BE219" s="15">
        <f t="shared" si="16"/>
        <v>0</v>
      </c>
    </row>
    <row r="220" spans="1:57" s="8" customFormat="1" ht="22.5" customHeight="1">
      <c r="A220" s="9"/>
      <c r="B220" s="16" t="s">
        <v>204</v>
      </c>
      <c r="C220" s="89" t="s">
        <v>48</v>
      </c>
      <c r="D220" s="72" t="s">
        <v>295</v>
      </c>
      <c r="E220" s="13" t="s">
        <v>348</v>
      </c>
      <c r="F220" s="96"/>
      <c r="G220" s="9"/>
      <c r="H220" s="9" t="s">
        <v>207</v>
      </c>
      <c r="I220" s="14"/>
      <c r="J220" s="14"/>
      <c r="K220" s="12">
        <v>0</v>
      </c>
      <c r="L220" s="9"/>
      <c r="M220" s="9"/>
      <c r="N220" s="9"/>
      <c r="O220" s="38">
        <f t="shared" si="18"/>
        <v>0</v>
      </c>
      <c r="P220" s="12"/>
      <c r="Q220" s="42"/>
      <c r="R220" s="15"/>
      <c r="S220" s="44"/>
      <c r="T220" s="15"/>
      <c r="U220" s="44"/>
      <c r="V220" s="15">
        <f t="shared" si="19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20"/>
        <v>0</v>
      </c>
      <c r="AF220" s="101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17"/>
        <v>0</v>
      </c>
      <c r="BA220" s="15"/>
      <c r="BB220" s="44"/>
      <c r="BC220" s="15"/>
      <c r="BD220" s="44"/>
      <c r="BE220" s="15">
        <f t="shared" si="16"/>
        <v>0</v>
      </c>
    </row>
    <row r="221" spans="1:57" s="8" customFormat="1" ht="22.5" customHeight="1">
      <c r="A221" s="9"/>
      <c r="B221" s="16" t="s">
        <v>204</v>
      </c>
      <c r="C221" s="89" t="s">
        <v>48</v>
      </c>
      <c r="D221" s="69" t="s">
        <v>296</v>
      </c>
      <c r="E221" s="13" t="s">
        <v>347</v>
      </c>
      <c r="F221" s="96"/>
      <c r="G221" s="9"/>
      <c r="H221" s="9" t="s">
        <v>207</v>
      </c>
      <c r="I221" s="14"/>
      <c r="J221" s="14"/>
      <c r="K221" s="12">
        <v>0</v>
      </c>
      <c r="L221" s="9"/>
      <c r="M221" s="9"/>
      <c r="N221" s="9"/>
      <c r="O221" s="38">
        <f t="shared" si="18"/>
        <v>0</v>
      </c>
      <c r="P221" s="12"/>
      <c r="Q221" s="42"/>
      <c r="R221" s="15"/>
      <c r="S221" s="44"/>
      <c r="T221" s="15"/>
      <c r="U221" s="44"/>
      <c r="V221" s="15">
        <f t="shared" si="19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20"/>
        <v>0</v>
      </c>
      <c r="AF221" s="101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17"/>
        <v>0</v>
      </c>
      <c r="BA221" s="15"/>
      <c r="BB221" s="44"/>
      <c r="BC221" s="15"/>
      <c r="BD221" s="44"/>
      <c r="BE221" s="15">
        <f t="shared" si="16"/>
        <v>0</v>
      </c>
    </row>
    <row r="222" spans="1:57" s="8" customFormat="1" ht="22.5" customHeight="1">
      <c r="A222" s="9"/>
      <c r="B222" s="16" t="s">
        <v>204</v>
      </c>
      <c r="C222" s="89" t="s">
        <v>48</v>
      </c>
      <c r="D222" s="69" t="s">
        <v>297</v>
      </c>
      <c r="E222" s="13" t="s">
        <v>222</v>
      </c>
      <c r="F222" s="96"/>
      <c r="G222" s="9"/>
      <c r="H222" s="9" t="s">
        <v>207</v>
      </c>
      <c r="I222" s="14"/>
      <c r="J222" s="14"/>
      <c r="K222" s="12">
        <v>49</v>
      </c>
      <c r="L222" s="9"/>
      <c r="M222" s="9"/>
      <c r="N222" s="9"/>
      <c r="O222" s="38">
        <f t="shared" si="18"/>
        <v>49</v>
      </c>
      <c r="P222" s="12"/>
      <c r="Q222" s="42"/>
      <c r="R222" s="15"/>
      <c r="S222" s="44"/>
      <c r="T222" s="15"/>
      <c r="U222" s="44"/>
      <c r="V222" s="15">
        <f t="shared" si="19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20"/>
        <v>0</v>
      </c>
      <c r="AF222" s="101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17"/>
        <v>0</v>
      </c>
      <c r="BA222" s="15"/>
      <c r="BB222" s="44"/>
      <c r="BC222" s="15"/>
      <c r="BD222" s="44"/>
      <c r="BE222" s="15">
        <f t="shared" si="16"/>
        <v>0</v>
      </c>
    </row>
    <row r="223" spans="1:57" s="8" customFormat="1" ht="22.5" customHeight="1">
      <c r="A223" s="9"/>
      <c r="B223" s="18" t="s">
        <v>172</v>
      </c>
      <c r="C223" s="89" t="s">
        <v>50</v>
      </c>
      <c r="D223" s="66" t="s">
        <v>349</v>
      </c>
      <c r="E223" s="35"/>
      <c r="F223" s="96"/>
      <c r="G223" s="21"/>
      <c r="H223" s="21" t="s">
        <v>67</v>
      </c>
      <c r="I223" s="14"/>
      <c r="J223" s="14"/>
      <c r="K223" s="12">
        <v>0</v>
      </c>
      <c r="L223" s="9"/>
      <c r="M223" s="9"/>
      <c r="N223" s="9"/>
      <c r="O223" s="38">
        <f t="shared" si="18"/>
        <v>0</v>
      </c>
      <c r="P223" s="12"/>
      <c r="Q223" s="42"/>
      <c r="R223" s="15"/>
      <c r="S223" s="44"/>
      <c r="T223" s="15"/>
      <c r="U223" s="44"/>
      <c r="V223" s="15">
        <f t="shared" si="19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20"/>
        <v>0</v>
      </c>
      <c r="AF223" s="101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17"/>
        <v>0</v>
      </c>
      <c r="BA223" s="15"/>
      <c r="BB223" s="44"/>
      <c r="BC223" s="15"/>
      <c r="BD223" s="44"/>
      <c r="BE223" s="15">
        <f t="shared" si="16"/>
        <v>0</v>
      </c>
    </row>
    <row r="224" spans="1:57" s="8" customFormat="1" ht="22.5" customHeight="1">
      <c r="A224" s="9"/>
      <c r="B224" s="18" t="s">
        <v>172</v>
      </c>
      <c r="C224" s="89" t="s">
        <v>50</v>
      </c>
      <c r="D224" s="58" t="s">
        <v>350</v>
      </c>
      <c r="E224" s="35"/>
      <c r="F224" s="96"/>
      <c r="G224" s="21"/>
      <c r="H224" s="21" t="s">
        <v>67</v>
      </c>
      <c r="I224" s="14"/>
      <c r="J224" s="14"/>
      <c r="K224" s="12">
        <v>0</v>
      </c>
      <c r="L224" s="9"/>
      <c r="M224" s="9"/>
      <c r="N224" s="9"/>
      <c r="O224" s="38">
        <f t="shared" si="18"/>
        <v>0</v>
      </c>
      <c r="P224" s="12"/>
      <c r="Q224" s="42"/>
      <c r="R224" s="15"/>
      <c r="S224" s="44"/>
      <c r="T224" s="15"/>
      <c r="U224" s="44"/>
      <c r="V224" s="15">
        <f t="shared" si="19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20"/>
        <v>0</v>
      </c>
      <c r="AF224" s="101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17"/>
        <v>0</v>
      </c>
      <c r="BA224" s="15"/>
      <c r="BB224" s="44"/>
      <c r="BC224" s="15"/>
      <c r="BD224" s="44"/>
      <c r="BE224" s="15">
        <f t="shared" si="16"/>
        <v>0</v>
      </c>
    </row>
    <row r="225" spans="1:57" s="8" customFormat="1" ht="22.5" customHeight="1">
      <c r="A225" s="9"/>
      <c r="B225" s="16" t="s">
        <v>172</v>
      </c>
      <c r="C225" s="89" t="s">
        <v>50</v>
      </c>
      <c r="D225" s="72" t="s">
        <v>351</v>
      </c>
      <c r="E225" s="13"/>
      <c r="F225" s="96"/>
      <c r="G225" s="9"/>
      <c r="H225" s="9" t="s">
        <v>67</v>
      </c>
      <c r="I225" s="14"/>
      <c r="J225" s="14"/>
      <c r="K225" s="12">
        <v>62</v>
      </c>
      <c r="L225" s="9"/>
      <c r="M225" s="9"/>
      <c r="N225" s="9"/>
      <c r="O225" s="38">
        <f t="shared" si="18"/>
        <v>62</v>
      </c>
      <c r="P225" s="12"/>
      <c r="Q225" s="42"/>
      <c r="R225" s="15"/>
      <c r="S225" s="44"/>
      <c r="T225" s="15"/>
      <c r="U225" s="44"/>
      <c r="V225" s="15">
        <f t="shared" si="19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20"/>
        <v>0</v>
      </c>
      <c r="AF225" s="101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17"/>
        <v>0</v>
      </c>
      <c r="BA225" s="15"/>
      <c r="BB225" s="44"/>
      <c r="BC225" s="15"/>
      <c r="BD225" s="44"/>
      <c r="BE225" s="15">
        <f t="shared" si="16"/>
        <v>0</v>
      </c>
    </row>
    <row r="226" spans="1:57" s="8" customFormat="1" ht="22.5" customHeight="1">
      <c r="A226" s="9"/>
      <c r="B226" s="16" t="s">
        <v>172</v>
      </c>
      <c r="C226" s="89" t="s">
        <v>50</v>
      </c>
      <c r="D226" s="78" t="s">
        <v>352</v>
      </c>
      <c r="E226" s="13"/>
      <c r="F226" s="96"/>
      <c r="G226" s="9"/>
      <c r="H226" s="9" t="s">
        <v>67</v>
      </c>
      <c r="I226" s="14"/>
      <c r="J226" s="14"/>
      <c r="K226" s="12">
        <v>0</v>
      </c>
      <c r="L226" s="9"/>
      <c r="M226" s="9"/>
      <c r="N226" s="9"/>
      <c r="O226" s="38">
        <f t="shared" si="18"/>
        <v>0</v>
      </c>
      <c r="P226" s="12"/>
      <c r="Q226" s="42"/>
      <c r="R226" s="15"/>
      <c r="S226" s="44"/>
      <c r="T226" s="15"/>
      <c r="U226" s="44"/>
      <c r="V226" s="15">
        <f t="shared" si="19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20"/>
        <v>0</v>
      </c>
      <c r="AF226" s="101"/>
      <c r="AG226" s="42"/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17"/>
        <v>0</v>
      </c>
      <c r="BA226" s="15"/>
      <c r="BB226" s="44"/>
      <c r="BC226" s="15"/>
      <c r="BD226" s="44"/>
      <c r="BE226" s="15">
        <f t="shared" ref="BE226:BE289" si="21">(BA226+BC226)</f>
        <v>0</v>
      </c>
    </row>
    <row r="227" spans="1:57" s="8" customFormat="1" ht="22.5" customHeight="1">
      <c r="A227" s="9"/>
      <c r="B227" s="16" t="s">
        <v>172</v>
      </c>
      <c r="C227" s="89" t="s">
        <v>50</v>
      </c>
      <c r="D227" s="78" t="s">
        <v>353</v>
      </c>
      <c r="E227" s="13"/>
      <c r="F227" s="96"/>
      <c r="G227" s="9"/>
      <c r="H227" s="9" t="s">
        <v>67</v>
      </c>
      <c r="I227" s="14"/>
      <c r="J227" s="14"/>
      <c r="K227" s="12">
        <v>68</v>
      </c>
      <c r="L227" s="9"/>
      <c r="M227" s="9"/>
      <c r="N227" s="9"/>
      <c r="O227" s="38">
        <f t="shared" si="18"/>
        <v>68</v>
      </c>
      <c r="P227" s="12"/>
      <c r="Q227" s="42"/>
      <c r="R227" s="15"/>
      <c r="S227" s="44"/>
      <c r="T227" s="15"/>
      <c r="U227" s="44"/>
      <c r="V227" s="15">
        <f t="shared" si="19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20"/>
        <v>0</v>
      </c>
      <c r="AF227" s="101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17"/>
        <v>0</v>
      </c>
      <c r="BA227" s="15"/>
      <c r="BB227" s="44"/>
      <c r="BC227" s="15"/>
      <c r="BD227" s="44"/>
      <c r="BE227" s="15">
        <f t="shared" si="21"/>
        <v>0</v>
      </c>
    </row>
    <row r="228" spans="1:57" s="8" customFormat="1" ht="22.5" customHeight="1">
      <c r="A228" s="9"/>
      <c r="B228" s="16" t="s">
        <v>172</v>
      </c>
      <c r="C228" s="89" t="s">
        <v>50</v>
      </c>
      <c r="D228" s="78" t="s">
        <v>354</v>
      </c>
      <c r="E228" s="13"/>
      <c r="F228" s="96"/>
      <c r="G228" s="9"/>
      <c r="H228" s="9" t="s">
        <v>67</v>
      </c>
      <c r="I228" s="14"/>
      <c r="J228" s="14"/>
      <c r="K228" s="12">
        <v>0</v>
      </c>
      <c r="L228" s="9"/>
      <c r="M228" s="9"/>
      <c r="N228" s="9"/>
      <c r="O228" s="38">
        <f t="shared" si="18"/>
        <v>0</v>
      </c>
      <c r="P228" s="12"/>
      <c r="Q228" s="42"/>
      <c r="R228" s="15"/>
      <c r="S228" s="44"/>
      <c r="T228" s="15"/>
      <c r="U228" s="44"/>
      <c r="V228" s="15">
        <f t="shared" si="19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20"/>
        <v>0</v>
      </c>
      <c r="AF228" s="101"/>
      <c r="AG228" s="42"/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17"/>
        <v>0</v>
      </c>
      <c r="BA228" s="15"/>
      <c r="BB228" s="44"/>
      <c r="BC228" s="15"/>
      <c r="BD228" s="44"/>
      <c r="BE228" s="15">
        <f t="shared" si="21"/>
        <v>0</v>
      </c>
    </row>
    <row r="229" spans="1:57" s="8" customFormat="1" ht="22.5" customHeight="1">
      <c r="A229" s="9"/>
      <c r="B229" s="16" t="s">
        <v>172</v>
      </c>
      <c r="C229" s="89" t="s">
        <v>50</v>
      </c>
      <c r="D229" s="78" t="s">
        <v>355</v>
      </c>
      <c r="E229" s="13"/>
      <c r="F229" s="96"/>
      <c r="G229" s="9"/>
      <c r="H229" s="9" t="s">
        <v>67</v>
      </c>
      <c r="I229" s="14"/>
      <c r="J229" s="14"/>
      <c r="K229" s="12">
        <v>31</v>
      </c>
      <c r="L229" s="9"/>
      <c r="M229" s="9"/>
      <c r="N229" s="9"/>
      <c r="O229" s="38">
        <f t="shared" si="18"/>
        <v>31</v>
      </c>
      <c r="P229" s="12"/>
      <c r="Q229" s="42"/>
      <c r="R229" s="15"/>
      <c r="S229" s="44"/>
      <c r="T229" s="15"/>
      <c r="U229" s="44"/>
      <c r="V229" s="15">
        <f t="shared" si="19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20"/>
        <v>0</v>
      </c>
      <c r="AF229" s="101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ref="AZ229:AZ292" si="22">AF229+AH229+AJ229+AL229+AN229+AP229+AR229+AT229+AV229+AX229</f>
        <v>0</v>
      </c>
      <c r="BA229" s="15"/>
      <c r="BB229" s="44"/>
      <c r="BC229" s="15"/>
      <c r="BD229" s="44"/>
      <c r="BE229" s="15">
        <f t="shared" si="21"/>
        <v>0</v>
      </c>
    </row>
    <row r="230" spans="1:57" s="8" customFormat="1" ht="22.5" customHeight="1">
      <c r="A230" s="9"/>
      <c r="B230" s="16" t="s">
        <v>120</v>
      </c>
      <c r="C230" s="92" t="s">
        <v>50</v>
      </c>
      <c r="D230" s="79" t="s">
        <v>356</v>
      </c>
      <c r="E230" s="13" t="s">
        <v>357</v>
      </c>
      <c r="F230" s="12"/>
      <c r="G230" s="9"/>
      <c r="H230" s="9" t="s">
        <v>67</v>
      </c>
      <c r="I230" s="14"/>
      <c r="J230" s="14"/>
      <c r="K230" s="12">
        <v>616</v>
      </c>
      <c r="L230" s="9"/>
      <c r="M230" s="9"/>
      <c r="N230" s="9"/>
      <c r="O230" s="38">
        <f t="shared" si="18"/>
        <v>616</v>
      </c>
      <c r="P230" s="12"/>
      <c r="Q230" s="42"/>
      <c r="R230" s="15"/>
      <c r="S230" s="44"/>
      <c r="T230" s="15"/>
      <c r="U230" s="44"/>
      <c r="V230" s="15">
        <f t="shared" si="19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20"/>
        <v>0</v>
      </c>
      <c r="AF230" s="101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2"/>
        <v>0</v>
      </c>
      <c r="BA230" s="15"/>
      <c r="BB230" s="44"/>
      <c r="BC230" s="15"/>
      <c r="BD230" s="44"/>
      <c r="BE230" s="15">
        <f t="shared" si="21"/>
        <v>0</v>
      </c>
    </row>
    <row r="231" spans="1:57" s="8" customFormat="1" ht="22.5" customHeight="1">
      <c r="A231" s="9"/>
      <c r="B231" s="16" t="s">
        <v>120</v>
      </c>
      <c r="C231" s="92" t="s">
        <v>50</v>
      </c>
      <c r="D231" s="79" t="s">
        <v>358</v>
      </c>
      <c r="E231" s="13" t="s">
        <v>359</v>
      </c>
      <c r="F231" s="12"/>
      <c r="G231" s="9"/>
      <c r="H231" s="9" t="s">
        <v>67</v>
      </c>
      <c r="I231" s="14"/>
      <c r="J231" s="14"/>
      <c r="K231" s="12">
        <v>73</v>
      </c>
      <c r="L231" s="9"/>
      <c r="M231" s="9"/>
      <c r="N231" s="9"/>
      <c r="O231" s="38">
        <f t="shared" si="18"/>
        <v>73</v>
      </c>
      <c r="P231" s="12"/>
      <c r="Q231" s="42"/>
      <c r="R231" s="15"/>
      <c r="S231" s="44"/>
      <c r="T231" s="15"/>
      <c r="U231" s="44"/>
      <c r="V231" s="15">
        <f t="shared" si="19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20"/>
        <v>0</v>
      </c>
      <c r="AF231" s="101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2"/>
        <v>0</v>
      </c>
      <c r="BA231" s="15"/>
      <c r="BB231" s="44"/>
      <c r="BC231" s="15"/>
      <c r="BD231" s="44"/>
      <c r="BE231" s="15">
        <f t="shared" si="21"/>
        <v>0</v>
      </c>
    </row>
    <row r="232" spans="1:57" s="8" customFormat="1" ht="22.5" customHeight="1">
      <c r="A232" s="9"/>
      <c r="B232" s="16" t="s">
        <v>120</v>
      </c>
      <c r="C232" s="92" t="s">
        <v>50</v>
      </c>
      <c r="D232" s="79" t="s">
        <v>360</v>
      </c>
      <c r="E232" s="13" t="s">
        <v>361</v>
      </c>
      <c r="F232" s="12"/>
      <c r="G232" s="9"/>
      <c r="H232" s="9" t="s">
        <v>67</v>
      </c>
      <c r="I232" s="14"/>
      <c r="J232" s="14"/>
      <c r="K232" s="12">
        <v>227</v>
      </c>
      <c r="L232" s="9"/>
      <c r="M232" s="9"/>
      <c r="N232" s="9"/>
      <c r="O232" s="38">
        <f t="shared" si="18"/>
        <v>227</v>
      </c>
      <c r="P232" s="12"/>
      <c r="Q232" s="42"/>
      <c r="R232" s="15"/>
      <c r="S232" s="44"/>
      <c r="T232" s="15"/>
      <c r="U232" s="44"/>
      <c r="V232" s="15">
        <f t="shared" si="19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20"/>
        <v>0</v>
      </c>
      <c r="AF232" s="101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2"/>
        <v>0</v>
      </c>
      <c r="BA232" s="15"/>
      <c r="BB232" s="44"/>
      <c r="BC232" s="15"/>
      <c r="BD232" s="44"/>
      <c r="BE232" s="15">
        <f t="shared" si="21"/>
        <v>0</v>
      </c>
    </row>
    <row r="233" spans="1:57" s="8" customFormat="1" ht="22.5" customHeight="1">
      <c r="A233" s="9"/>
      <c r="B233" s="16" t="s">
        <v>120</v>
      </c>
      <c r="C233" s="92" t="s">
        <v>50</v>
      </c>
      <c r="D233" s="79" t="s">
        <v>362</v>
      </c>
      <c r="E233" s="13" t="s">
        <v>363</v>
      </c>
      <c r="F233" s="12"/>
      <c r="G233" s="9"/>
      <c r="H233" s="9" t="s">
        <v>67</v>
      </c>
      <c r="I233" s="14"/>
      <c r="J233" s="14"/>
      <c r="K233" s="12">
        <v>250</v>
      </c>
      <c r="L233" s="9"/>
      <c r="M233" s="9"/>
      <c r="N233" s="9"/>
      <c r="O233" s="38">
        <f t="shared" si="18"/>
        <v>250</v>
      </c>
      <c r="P233" s="12"/>
      <c r="Q233" s="42"/>
      <c r="R233" s="15"/>
      <c r="S233" s="44"/>
      <c r="T233" s="15"/>
      <c r="U233" s="44"/>
      <c r="V233" s="15">
        <f t="shared" si="19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20"/>
        <v>0</v>
      </c>
      <c r="AF233" s="101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2"/>
        <v>0</v>
      </c>
      <c r="BA233" s="15"/>
      <c r="BB233" s="44"/>
      <c r="BC233" s="15"/>
      <c r="BD233" s="44"/>
      <c r="BE233" s="15">
        <f t="shared" si="21"/>
        <v>0</v>
      </c>
    </row>
    <row r="234" spans="1:57" s="8" customFormat="1" ht="21.95" customHeight="1">
      <c r="A234" s="9"/>
      <c r="B234" s="16" t="s">
        <v>204</v>
      </c>
      <c r="C234" s="92" t="s">
        <v>50</v>
      </c>
      <c r="D234" s="58" t="s">
        <v>364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164</v>
      </c>
      <c r="L234" s="9"/>
      <c r="M234" s="9"/>
      <c r="N234" s="9"/>
      <c r="O234" s="38">
        <f t="shared" si="18"/>
        <v>164</v>
      </c>
      <c r="P234" s="12"/>
      <c r="Q234" s="42"/>
      <c r="R234" s="15"/>
      <c r="S234" s="44"/>
      <c r="T234" s="15"/>
      <c r="U234" s="44"/>
      <c r="V234" s="15">
        <f t="shared" si="19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20"/>
        <v>0</v>
      </c>
      <c r="AF234" s="101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2"/>
        <v>0</v>
      </c>
      <c r="BA234" s="15"/>
      <c r="BB234" s="44"/>
      <c r="BC234" s="15"/>
      <c r="BD234" s="44"/>
      <c r="BE234" s="15">
        <f t="shared" si="21"/>
        <v>0</v>
      </c>
    </row>
    <row r="235" spans="1:57" s="8" customFormat="1" ht="21.95" customHeight="1">
      <c r="A235" s="9"/>
      <c r="B235" s="16" t="s">
        <v>204</v>
      </c>
      <c r="C235" s="92" t="s">
        <v>50</v>
      </c>
      <c r="D235" s="58" t="s">
        <v>366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178</v>
      </c>
      <c r="L235" s="9"/>
      <c r="M235" s="9"/>
      <c r="N235" s="9"/>
      <c r="O235" s="38">
        <f t="shared" si="18"/>
        <v>178</v>
      </c>
      <c r="P235" s="12"/>
      <c r="Q235" s="42"/>
      <c r="R235" s="15"/>
      <c r="S235" s="44"/>
      <c r="T235" s="15"/>
      <c r="U235" s="44"/>
      <c r="V235" s="15">
        <f t="shared" si="19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20"/>
        <v>0</v>
      </c>
      <c r="AF235" s="101"/>
      <c r="AG235" s="42"/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2"/>
        <v>0</v>
      </c>
      <c r="BA235" s="15"/>
      <c r="BB235" s="44"/>
      <c r="BC235" s="15"/>
      <c r="BD235" s="44"/>
      <c r="BE235" s="15">
        <f t="shared" si="21"/>
        <v>0</v>
      </c>
    </row>
    <row r="236" spans="1:57" s="8" customFormat="1" ht="21.95" customHeight="1">
      <c r="A236" s="9"/>
      <c r="B236" s="16" t="s">
        <v>204</v>
      </c>
      <c r="C236" s="92" t="s">
        <v>50</v>
      </c>
      <c r="D236" s="58" t="s">
        <v>367</v>
      </c>
      <c r="E236" s="35" t="s">
        <v>368</v>
      </c>
      <c r="F236" s="20"/>
      <c r="G236" s="21"/>
      <c r="H236" s="21" t="s">
        <v>207</v>
      </c>
      <c r="I236" s="14"/>
      <c r="J236" s="14"/>
      <c r="K236" s="12">
        <v>205</v>
      </c>
      <c r="L236" s="9"/>
      <c r="M236" s="9"/>
      <c r="N236" s="9"/>
      <c r="O236" s="38">
        <f t="shared" si="18"/>
        <v>205</v>
      </c>
      <c r="P236" s="12"/>
      <c r="Q236" s="42"/>
      <c r="R236" s="15"/>
      <c r="S236" s="44"/>
      <c r="T236" s="15"/>
      <c r="U236" s="44"/>
      <c r="V236" s="15">
        <f t="shared" si="19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20"/>
        <v>0</v>
      </c>
      <c r="AF236" s="101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2"/>
        <v>0</v>
      </c>
      <c r="BA236" s="15"/>
      <c r="BB236" s="44"/>
      <c r="BC236" s="15"/>
      <c r="BD236" s="44"/>
      <c r="BE236" s="15">
        <f t="shared" si="21"/>
        <v>0</v>
      </c>
    </row>
    <row r="237" spans="1:57" s="8" customFormat="1" ht="21.95" customHeight="1">
      <c r="A237" s="9"/>
      <c r="B237" s="16" t="s">
        <v>204</v>
      </c>
      <c r="C237" s="92" t="s">
        <v>50</v>
      </c>
      <c r="D237" s="58" t="s">
        <v>369</v>
      </c>
      <c r="E237" s="35" t="s">
        <v>365</v>
      </c>
      <c r="F237" s="20"/>
      <c r="G237" s="21"/>
      <c r="H237" s="21" t="s">
        <v>207</v>
      </c>
      <c r="I237" s="14"/>
      <c r="J237" s="14"/>
      <c r="K237" s="12">
        <v>36</v>
      </c>
      <c r="L237" s="9"/>
      <c r="M237" s="9"/>
      <c r="N237" s="9"/>
      <c r="O237" s="38">
        <f t="shared" si="18"/>
        <v>36</v>
      </c>
      <c r="P237" s="12"/>
      <c r="Q237" s="42"/>
      <c r="R237" s="15"/>
      <c r="S237" s="44"/>
      <c r="T237" s="15"/>
      <c r="U237" s="44"/>
      <c r="V237" s="15">
        <f t="shared" si="19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20"/>
        <v>0</v>
      </c>
      <c r="AF237" s="101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2"/>
        <v>0</v>
      </c>
      <c r="BA237" s="15"/>
      <c r="BB237" s="44"/>
      <c r="BC237" s="15"/>
      <c r="BD237" s="44"/>
      <c r="BE237" s="15">
        <f t="shared" si="21"/>
        <v>0</v>
      </c>
    </row>
    <row r="238" spans="1:57" s="8" customFormat="1" ht="21.95" customHeight="1">
      <c r="A238" s="9"/>
      <c r="B238" s="16" t="s">
        <v>204</v>
      </c>
      <c r="C238" s="92" t="s">
        <v>50</v>
      </c>
      <c r="D238" s="58" t="s">
        <v>370</v>
      </c>
      <c r="E238" s="35" t="s">
        <v>365</v>
      </c>
      <c r="F238" s="20"/>
      <c r="G238" s="21"/>
      <c r="H238" s="21" t="s">
        <v>207</v>
      </c>
      <c r="I238" s="14"/>
      <c r="J238" s="14"/>
      <c r="K238" s="12">
        <v>544</v>
      </c>
      <c r="L238" s="9"/>
      <c r="M238" s="9"/>
      <c r="N238" s="9"/>
      <c r="O238" s="38">
        <f t="shared" si="18"/>
        <v>544</v>
      </c>
      <c r="P238" s="12"/>
      <c r="Q238" s="42"/>
      <c r="R238" s="15"/>
      <c r="S238" s="44"/>
      <c r="T238" s="15"/>
      <c r="U238" s="44"/>
      <c r="V238" s="15">
        <f t="shared" si="19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20"/>
        <v>0</v>
      </c>
      <c r="AF238" s="101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2"/>
        <v>0</v>
      </c>
      <c r="BA238" s="15"/>
      <c r="BB238" s="44"/>
      <c r="BC238" s="15"/>
      <c r="BD238" s="44"/>
      <c r="BE238" s="15">
        <f t="shared" si="21"/>
        <v>0</v>
      </c>
    </row>
    <row r="239" spans="1:57" s="8" customFormat="1" ht="21.95" customHeight="1">
      <c r="A239" s="9"/>
      <c r="B239" s="16" t="s">
        <v>204</v>
      </c>
      <c r="C239" s="92" t="s">
        <v>50</v>
      </c>
      <c r="D239" s="58" t="s">
        <v>371</v>
      </c>
      <c r="E239" s="35" t="s">
        <v>365</v>
      </c>
      <c r="F239" s="20"/>
      <c r="G239" s="21"/>
      <c r="H239" s="21" t="s">
        <v>207</v>
      </c>
      <c r="I239" s="14"/>
      <c r="J239" s="14"/>
      <c r="K239" s="12">
        <v>537</v>
      </c>
      <c r="L239" s="9"/>
      <c r="M239" s="9"/>
      <c r="N239" s="9"/>
      <c r="O239" s="38">
        <f t="shared" si="18"/>
        <v>537</v>
      </c>
      <c r="P239" s="12"/>
      <c r="Q239" s="42"/>
      <c r="R239" s="15"/>
      <c r="S239" s="44"/>
      <c r="T239" s="15"/>
      <c r="U239" s="44"/>
      <c r="V239" s="15">
        <f t="shared" si="19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20"/>
        <v>0</v>
      </c>
      <c r="AF239" s="101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2"/>
        <v>0</v>
      </c>
      <c r="BA239" s="15"/>
      <c r="BB239" s="44"/>
      <c r="BC239" s="15"/>
      <c r="BD239" s="44"/>
      <c r="BE239" s="15">
        <f t="shared" si="21"/>
        <v>0</v>
      </c>
    </row>
    <row r="240" spans="1:57" s="8" customFormat="1" ht="21.95" customHeight="1">
      <c r="A240" s="9"/>
      <c r="B240" s="16" t="s">
        <v>204</v>
      </c>
      <c r="C240" s="92" t="s">
        <v>50</v>
      </c>
      <c r="D240" s="58" t="s">
        <v>372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0</v>
      </c>
      <c r="L240" s="9"/>
      <c r="M240" s="9"/>
      <c r="N240" s="9"/>
      <c r="O240" s="38">
        <f t="shared" si="18"/>
        <v>0</v>
      </c>
      <c r="P240" s="12"/>
      <c r="Q240" s="42"/>
      <c r="R240" s="15"/>
      <c r="S240" s="44"/>
      <c r="T240" s="15"/>
      <c r="U240" s="44"/>
      <c r="V240" s="15">
        <f t="shared" si="19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20"/>
        <v>0</v>
      </c>
      <c r="AF240" s="101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2"/>
        <v>0</v>
      </c>
      <c r="BA240" s="15"/>
      <c r="BB240" s="44"/>
      <c r="BC240" s="15"/>
      <c r="BD240" s="44"/>
      <c r="BE240" s="15">
        <f t="shared" si="21"/>
        <v>0</v>
      </c>
    </row>
    <row r="241" spans="1:57" s="8" customFormat="1" ht="21.95" customHeight="1">
      <c r="A241" s="9"/>
      <c r="B241" s="16" t="s">
        <v>204</v>
      </c>
      <c r="C241" s="92" t="s">
        <v>50</v>
      </c>
      <c r="D241" s="58" t="s">
        <v>205</v>
      </c>
      <c r="E241" s="35" t="s">
        <v>373</v>
      </c>
      <c r="F241" s="20"/>
      <c r="G241" s="21"/>
      <c r="H241" s="21" t="s">
        <v>374</v>
      </c>
      <c r="I241" s="14"/>
      <c r="J241" s="14"/>
      <c r="K241" s="12">
        <v>71</v>
      </c>
      <c r="L241" s="9"/>
      <c r="M241" s="9"/>
      <c r="N241" s="9"/>
      <c r="O241" s="38">
        <f t="shared" si="18"/>
        <v>71</v>
      </c>
      <c r="P241" s="12"/>
      <c r="Q241" s="42"/>
      <c r="R241" s="15"/>
      <c r="S241" s="44"/>
      <c r="T241" s="15"/>
      <c r="U241" s="44"/>
      <c r="V241" s="15">
        <f t="shared" si="19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20"/>
        <v>0</v>
      </c>
      <c r="AF241" s="101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2"/>
        <v>0</v>
      </c>
      <c r="BA241" s="15"/>
      <c r="BB241" s="44"/>
      <c r="BC241" s="15"/>
      <c r="BD241" s="44"/>
      <c r="BE241" s="15">
        <f t="shared" si="21"/>
        <v>0</v>
      </c>
    </row>
    <row r="242" spans="1:57" s="8" customFormat="1" ht="21.95" customHeight="1">
      <c r="A242" s="9"/>
      <c r="B242" s="16" t="s">
        <v>204</v>
      </c>
      <c r="C242" s="92" t="s">
        <v>50</v>
      </c>
      <c r="D242" s="58" t="s">
        <v>375</v>
      </c>
      <c r="E242" s="35" t="s">
        <v>373</v>
      </c>
      <c r="F242" s="20"/>
      <c r="G242" s="21"/>
      <c r="H242" s="21" t="s">
        <v>207</v>
      </c>
      <c r="I242" s="14"/>
      <c r="J242" s="14"/>
      <c r="K242" s="12">
        <v>553</v>
      </c>
      <c r="L242" s="9"/>
      <c r="M242" s="9"/>
      <c r="N242" s="9"/>
      <c r="O242" s="38">
        <f t="shared" si="18"/>
        <v>553</v>
      </c>
      <c r="P242" s="12"/>
      <c r="Q242" s="42"/>
      <c r="R242" s="15"/>
      <c r="S242" s="44"/>
      <c r="T242" s="15"/>
      <c r="U242" s="44"/>
      <c r="V242" s="15">
        <f t="shared" si="19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20"/>
        <v>0</v>
      </c>
      <c r="AF242" s="101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2"/>
        <v>0</v>
      </c>
      <c r="BA242" s="15"/>
      <c r="BB242" s="44"/>
      <c r="BC242" s="15"/>
      <c r="BD242" s="44"/>
      <c r="BE242" s="15">
        <f t="shared" si="21"/>
        <v>0</v>
      </c>
    </row>
    <row r="243" spans="1:57" s="8" customFormat="1" ht="21.95" customHeight="1">
      <c r="A243" s="9"/>
      <c r="B243" s="16" t="s">
        <v>204</v>
      </c>
      <c r="C243" s="92" t="s">
        <v>50</v>
      </c>
      <c r="D243" s="58" t="s">
        <v>376</v>
      </c>
      <c r="E243" s="35" t="s">
        <v>373</v>
      </c>
      <c r="F243" s="20"/>
      <c r="G243" s="21"/>
      <c r="H243" s="21" t="s">
        <v>207</v>
      </c>
      <c r="I243" s="14"/>
      <c r="J243" s="14"/>
      <c r="K243" s="12">
        <v>529</v>
      </c>
      <c r="L243" s="9"/>
      <c r="M243" s="9"/>
      <c r="N243" s="9"/>
      <c r="O243" s="38">
        <f t="shared" si="18"/>
        <v>529</v>
      </c>
      <c r="P243" s="12"/>
      <c r="Q243" s="42"/>
      <c r="R243" s="15"/>
      <c r="S243" s="44"/>
      <c r="T243" s="15"/>
      <c r="U243" s="44"/>
      <c r="V243" s="15">
        <f t="shared" si="19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20"/>
        <v>0</v>
      </c>
      <c r="AF243" s="101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2"/>
        <v>0</v>
      </c>
      <c r="BA243" s="15"/>
      <c r="BB243" s="44"/>
      <c r="BC243" s="15"/>
      <c r="BD243" s="44"/>
      <c r="BE243" s="15">
        <f t="shared" si="21"/>
        <v>0</v>
      </c>
    </row>
    <row r="244" spans="1:57" s="8" customFormat="1" ht="21.95" customHeight="1">
      <c r="A244" s="9"/>
      <c r="B244" s="16" t="s">
        <v>204</v>
      </c>
      <c r="C244" s="92" t="s">
        <v>50</v>
      </c>
      <c r="D244" s="58" t="s">
        <v>377</v>
      </c>
      <c r="E244" s="35" t="s">
        <v>365</v>
      </c>
      <c r="F244" s="20"/>
      <c r="G244" s="21"/>
      <c r="H244" s="21" t="s">
        <v>207</v>
      </c>
      <c r="I244" s="14"/>
      <c r="J244" s="14"/>
      <c r="K244" s="12">
        <v>554</v>
      </c>
      <c r="L244" s="9"/>
      <c r="M244" s="9"/>
      <c r="N244" s="9"/>
      <c r="O244" s="38">
        <f t="shared" si="18"/>
        <v>554</v>
      </c>
      <c r="P244" s="12"/>
      <c r="Q244" s="42"/>
      <c r="R244" s="15"/>
      <c r="S244" s="44"/>
      <c r="T244" s="15"/>
      <c r="U244" s="44"/>
      <c r="V244" s="15">
        <f t="shared" si="19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20"/>
        <v>0</v>
      </c>
      <c r="AF244" s="101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2"/>
        <v>0</v>
      </c>
      <c r="BA244" s="15"/>
      <c r="BB244" s="44"/>
      <c r="BC244" s="15"/>
      <c r="BD244" s="44"/>
      <c r="BE244" s="15">
        <f t="shared" si="21"/>
        <v>0</v>
      </c>
    </row>
    <row r="245" spans="1:57" s="8" customFormat="1" ht="21.95" customHeight="1">
      <c r="A245" s="9"/>
      <c r="B245" s="16" t="s">
        <v>204</v>
      </c>
      <c r="C245" s="92" t="s">
        <v>50</v>
      </c>
      <c r="D245" s="58" t="s">
        <v>378</v>
      </c>
      <c r="E245" s="35" t="s">
        <v>368</v>
      </c>
      <c r="F245" s="20"/>
      <c r="G245" s="21"/>
      <c r="H245" s="21" t="s">
        <v>207</v>
      </c>
      <c r="I245" s="14"/>
      <c r="J245" s="14"/>
      <c r="K245" s="12">
        <v>500</v>
      </c>
      <c r="L245" s="9"/>
      <c r="M245" s="9"/>
      <c r="N245" s="9"/>
      <c r="O245" s="38">
        <f t="shared" si="18"/>
        <v>500</v>
      </c>
      <c r="P245" s="12"/>
      <c r="Q245" s="42"/>
      <c r="R245" s="15"/>
      <c r="S245" s="44"/>
      <c r="T245" s="15"/>
      <c r="U245" s="44"/>
      <c r="V245" s="15">
        <f t="shared" si="19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20"/>
        <v>0</v>
      </c>
      <c r="AF245" s="101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2"/>
        <v>0</v>
      </c>
      <c r="BA245" s="15"/>
      <c r="BB245" s="44"/>
      <c r="BC245" s="15"/>
      <c r="BD245" s="44"/>
      <c r="BE245" s="15">
        <f t="shared" si="21"/>
        <v>0</v>
      </c>
    </row>
    <row r="246" spans="1:57" s="8" customFormat="1" ht="21.95" customHeight="1">
      <c r="A246" s="9"/>
      <c r="B246" s="16" t="s">
        <v>204</v>
      </c>
      <c r="C246" s="92" t="s">
        <v>50</v>
      </c>
      <c r="D246" s="58" t="s">
        <v>379</v>
      </c>
      <c r="E246" s="35" t="s">
        <v>368</v>
      </c>
      <c r="F246" s="20"/>
      <c r="G246" s="21"/>
      <c r="H246" s="21" t="s">
        <v>207</v>
      </c>
      <c r="I246" s="14"/>
      <c r="J246" s="14"/>
      <c r="K246" s="12">
        <v>139</v>
      </c>
      <c r="L246" s="9"/>
      <c r="M246" s="9"/>
      <c r="N246" s="9"/>
      <c r="O246" s="38">
        <f t="shared" si="18"/>
        <v>139</v>
      </c>
      <c r="P246" s="12"/>
      <c r="Q246" s="42"/>
      <c r="R246" s="15"/>
      <c r="S246" s="44"/>
      <c r="T246" s="15"/>
      <c r="U246" s="44"/>
      <c r="V246" s="15">
        <f t="shared" si="19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20"/>
        <v>0</v>
      </c>
      <c r="AF246" s="101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2"/>
        <v>0</v>
      </c>
      <c r="BA246" s="15"/>
      <c r="BB246" s="44"/>
      <c r="BC246" s="15"/>
      <c r="BD246" s="44"/>
      <c r="BE246" s="15">
        <f t="shared" si="21"/>
        <v>0</v>
      </c>
    </row>
    <row r="247" spans="1:57" s="8" customFormat="1" ht="21.95" customHeight="1">
      <c r="A247" s="9"/>
      <c r="B247" s="16" t="s">
        <v>204</v>
      </c>
      <c r="C247" s="92" t="s">
        <v>50</v>
      </c>
      <c r="D247" s="58" t="s">
        <v>380</v>
      </c>
      <c r="E247" s="35" t="s">
        <v>373</v>
      </c>
      <c r="F247" s="20"/>
      <c r="G247" s="21"/>
      <c r="H247" s="21" t="s">
        <v>207</v>
      </c>
      <c r="I247" s="14"/>
      <c r="J247" s="14"/>
      <c r="K247" s="12">
        <v>550</v>
      </c>
      <c r="L247" s="9"/>
      <c r="M247" s="9"/>
      <c r="N247" s="9"/>
      <c r="O247" s="38">
        <f t="shared" si="18"/>
        <v>550</v>
      </c>
      <c r="P247" s="12"/>
      <c r="Q247" s="42"/>
      <c r="R247" s="15"/>
      <c r="S247" s="44"/>
      <c r="T247" s="15"/>
      <c r="U247" s="44"/>
      <c r="V247" s="15">
        <f t="shared" si="19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20"/>
        <v>0</v>
      </c>
      <c r="AF247" s="101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2"/>
        <v>0</v>
      </c>
      <c r="BA247" s="15"/>
      <c r="BB247" s="44"/>
      <c r="BC247" s="15"/>
      <c r="BD247" s="44"/>
      <c r="BE247" s="15">
        <f t="shared" si="21"/>
        <v>0</v>
      </c>
    </row>
    <row r="248" spans="1:57" s="8" customFormat="1" ht="21.95" customHeight="1">
      <c r="A248" s="9"/>
      <c r="B248" s="16" t="s">
        <v>204</v>
      </c>
      <c r="C248" s="92" t="s">
        <v>50</v>
      </c>
      <c r="D248" s="58" t="s">
        <v>381</v>
      </c>
      <c r="E248" s="35" t="s">
        <v>382</v>
      </c>
      <c r="F248" s="20"/>
      <c r="G248" s="21"/>
      <c r="H248" s="21" t="s">
        <v>207</v>
      </c>
      <c r="I248" s="14"/>
      <c r="J248" s="14"/>
      <c r="K248" s="12">
        <v>551</v>
      </c>
      <c r="L248" s="9"/>
      <c r="M248" s="9"/>
      <c r="N248" s="9"/>
      <c r="O248" s="38">
        <f t="shared" si="18"/>
        <v>551</v>
      </c>
      <c r="P248" s="12"/>
      <c r="Q248" s="42"/>
      <c r="R248" s="15"/>
      <c r="S248" s="44"/>
      <c r="T248" s="15"/>
      <c r="U248" s="44"/>
      <c r="V248" s="15">
        <f t="shared" si="19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20"/>
        <v>0</v>
      </c>
      <c r="AF248" s="101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2"/>
        <v>0</v>
      </c>
      <c r="BA248" s="15"/>
      <c r="BB248" s="44"/>
      <c r="BC248" s="15"/>
      <c r="BD248" s="44"/>
      <c r="BE248" s="15">
        <f t="shared" si="21"/>
        <v>0</v>
      </c>
    </row>
    <row r="249" spans="1:57" s="8" customFormat="1" ht="21.95" customHeight="1">
      <c r="A249" s="9"/>
      <c r="B249" s="16" t="s">
        <v>204</v>
      </c>
      <c r="C249" s="92" t="s">
        <v>50</v>
      </c>
      <c r="D249" s="58" t="s">
        <v>383</v>
      </c>
      <c r="E249" s="35" t="s">
        <v>384</v>
      </c>
      <c r="F249" s="20"/>
      <c r="G249" s="21"/>
      <c r="H249" s="21" t="s">
        <v>207</v>
      </c>
      <c r="I249" s="14"/>
      <c r="J249" s="14"/>
      <c r="K249" s="12">
        <v>552</v>
      </c>
      <c r="L249" s="9"/>
      <c r="M249" s="9"/>
      <c r="N249" s="9"/>
      <c r="O249" s="38">
        <f t="shared" si="18"/>
        <v>552</v>
      </c>
      <c r="P249" s="12"/>
      <c r="Q249" s="42"/>
      <c r="R249" s="15"/>
      <c r="S249" s="44"/>
      <c r="T249" s="15"/>
      <c r="U249" s="44"/>
      <c r="V249" s="15">
        <f t="shared" si="19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20"/>
        <v>0</v>
      </c>
      <c r="AF249" s="101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2"/>
        <v>0</v>
      </c>
      <c r="BA249" s="15"/>
      <c r="BB249" s="44"/>
      <c r="BC249" s="15"/>
      <c r="BD249" s="44"/>
      <c r="BE249" s="15">
        <f t="shared" si="21"/>
        <v>0</v>
      </c>
    </row>
    <row r="250" spans="1:57" s="8" customFormat="1" ht="21.95" customHeight="1">
      <c r="A250" s="9"/>
      <c r="B250" s="16" t="s">
        <v>204</v>
      </c>
      <c r="C250" s="92" t="s">
        <v>50</v>
      </c>
      <c r="D250" s="58" t="s">
        <v>385</v>
      </c>
      <c r="E250" s="35" t="s">
        <v>368</v>
      </c>
      <c r="F250" s="20"/>
      <c r="G250" s="21"/>
      <c r="H250" s="21" t="s">
        <v>207</v>
      </c>
      <c r="I250" s="14"/>
      <c r="J250" s="14"/>
      <c r="K250" s="12">
        <v>53</v>
      </c>
      <c r="L250" s="9"/>
      <c r="M250" s="9"/>
      <c r="N250" s="9"/>
      <c r="O250" s="38">
        <f t="shared" si="18"/>
        <v>53</v>
      </c>
      <c r="P250" s="12"/>
      <c r="Q250" s="42"/>
      <c r="R250" s="15"/>
      <c r="S250" s="44"/>
      <c r="T250" s="15"/>
      <c r="U250" s="44"/>
      <c r="V250" s="15">
        <f t="shared" si="19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20"/>
        <v>0</v>
      </c>
      <c r="AF250" s="101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2"/>
        <v>0</v>
      </c>
      <c r="BA250" s="15"/>
      <c r="BB250" s="44"/>
      <c r="BC250" s="15"/>
      <c r="BD250" s="44"/>
      <c r="BE250" s="15">
        <f t="shared" si="21"/>
        <v>0</v>
      </c>
    </row>
    <row r="251" spans="1:57" s="8" customFormat="1" ht="21.95" customHeight="1">
      <c r="A251" s="9"/>
      <c r="B251" s="16" t="s">
        <v>204</v>
      </c>
      <c r="C251" s="92" t="s">
        <v>50</v>
      </c>
      <c r="D251" s="58" t="s">
        <v>386</v>
      </c>
      <c r="E251" s="35"/>
      <c r="F251" s="20"/>
      <c r="G251" s="21"/>
      <c r="H251" s="21" t="s">
        <v>207</v>
      </c>
      <c r="I251" s="14"/>
      <c r="J251" s="14"/>
      <c r="K251" s="12">
        <v>552</v>
      </c>
      <c r="L251" s="9"/>
      <c r="M251" s="9"/>
      <c r="N251" s="9"/>
      <c r="O251" s="38">
        <f t="shared" si="18"/>
        <v>552</v>
      </c>
      <c r="P251" s="12"/>
      <c r="Q251" s="42"/>
      <c r="R251" s="15"/>
      <c r="S251" s="44"/>
      <c r="T251" s="15"/>
      <c r="U251" s="44"/>
      <c r="V251" s="15">
        <f t="shared" si="19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20"/>
        <v>0</v>
      </c>
      <c r="AF251" s="101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2"/>
        <v>0</v>
      </c>
      <c r="BA251" s="15"/>
      <c r="BB251" s="44"/>
      <c r="BC251" s="15"/>
      <c r="BD251" s="44"/>
      <c r="BE251" s="15">
        <f t="shared" si="21"/>
        <v>0</v>
      </c>
    </row>
    <row r="252" spans="1:57" s="8" customFormat="1" ht="21.95" customHeight="1">
      <c r="A252" s="9"/>
      <c r="B252" s="16" t="s">
        <v>204</v>
      </c>
      <c r="C252" s="92" t="s">
        <v>50</v>
      </c>
      <c r="D252" s="58" t="s">
        <v>387</v>
      </c>
      <c r="E252" s="35" t="s">
        <v>365</v>
      </c>
      <c r="F252" s="20"/>
      <c r="G252" s="21"/>
      <c r="H252" s="21" t="s">
        <v>207</v>
      </c>
      <c r="I252" s="14"/>
      <c r="J252" s="14"/>
      <c r="K252" s="12">
        <v>0</v>
      </c>
      <c r="L252" s="9"/>
      <c r="M252" s="9"/>
      <c r="N252" s="9"/>
      <c r="O252" s="38">
        <f t="shared" si="18"/>
        <v>0</v>
      </c>
      <c r="P252" s="12"/>
      <c r="Q252" s="42"/>
      <c r="R252" s="15"/>
      <c r="S252" s="44"/>
      <c r="T252" s="15"/>
      <c r="U252" s="44"/>
      <c r="V252" s="15">
        <f t="shared" si="19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20"/>
        <v>0</v>
      </c>
      <c r="AF252" s="101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2"/>
        <v>0</v>
      </c>
      <c r="BA252" s="15"/>
      <c r="BB252" s="44"/>
      <c r="BC252" s="15"/>
      <c r="BD252" s="44"/>
      <c r="BE252" s="15">
        <f t="shared" si="21"/>
        <v>0</v>
      </c>
    </row>
    <row r="253" spans="1:57" s="8" customFormat="1" ht="21.95" customHeight="1">
      <c r="A253" s="9"/>
      <c r="B253" s="16" t="s">
        <v>233</v>
      </c>
      <c r="C253" s="92" t="s">
        <v>50</v>
      </c>
      <c r="D253" s="58" t="s">
        <v>388</v>
      </c>
      <c r="E253" s="98" t="s">
        <v>389</v>
      </c>
      <c r="F253" s="20"/>
      <c r="G253" s="21"/>
      <c r="H253" s="21" t="s">
        <v>207</v>
      </c>
      <c r="I253" s="14"/>
      <c r="J253" s="14"/>
      <c r="K253" s="12">
        <v>527</v>
      </c>
      <c r="L253" s="9"/>
      <c r="M253" s="9"/>
      <c r="N253" s="9"/>
      <c r="O253" s="38">
        <f t="shared" si="18"/>
        <v>527</v>
      </c>
      <c r="P253" s="12"/>
      <c r="Q253" s="42"/>
      <c r="R253" s="15"/>
      <c r="S253" s="44"/>
      <c r="T253" s="15"/>
      <c r="U253" s="44"/>
      <c r="V253" s="15">
        <f t="shared" si="19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20"/>
        <v>0</v>
      </c>
      <c r="AF253" s="101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2"/>
        <v>0</v>
      </c>
      <c r="BA253" s="15"/>
      <c r="BB253" s="44"/>
      <c r="BC253" s="15"/>
      <c r="BD253" s="44"/>
      <c r="BE253" s="15">
        <f t="shared" si="21"/>
        <v>0</v>
      </c>
    </row>
    <row r="254" spans="1:57" s="8" customFormat="1" ht="21.95" customHeight="1">
      <c r="A254" s="9"/>
      <c r="B254" s="16" t="s">
        <v>233</v>
      </c>
      <c r="C254" s="92" t="s">
        <v>50</v>
      </c>
      <c r="D254" s="58" t="s">
        <v>390</v>
      </c>
      <c r="E254" s="35" t="s">
        <v>391</v>
      </c>
      <c r="F254" s="20"/>
      <c r="G254" s="21"/>
      <c r="H254" s="21" t="s">
        <v>207</v>
      </c>
      <c r="I254" s="14"/>
      <c r="J254" s="14"/>
      <c r="K254" s="12">
        <v>493</v>
      </c>
      <c r="L254" s="9"/>
      <c r="M254" s="9"/>
      <c r="N254" s="9"/>
      <c r="O254" s="38">
        <f t="shared" si="18"/>
        <v>493</v>
      </c>
      <c r="P254" s="12"/>
      <c r="Q254" s="42"/>
      <c r="R254" s="15"/>
      <c r="S254" s="44"/>
      <c r="T254" s="15"/>
      <c r="U254" s="44"/>
      <c r="V254" s="15">
        <f t="shared" si="19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20"/>
        <v>0</v>
      </c>
      <c r="AF254" s="101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2"/>
        <v>0</v>
      </c>
      <c r="BA254" s="15"/>
      <c r="BB254" s="44"/>
      <c r="BC254" s="15"/>
      <c r="BD254" s="44"/>
      <c r="BE254" s="15">
        <f t="shared" si="21"/>
        <v>0</v>
      </c>
    </row>
    <row r="255" spans="1:57" s="8" customFormat="1" ht="21.95" customHeight="1">
      <c r="A255" s="9"/>
      <c r="B255" s="16" t="s">
        <v>233</v>
      </c>
      <c r="C255" s="92" t="s">
        <v>50</v>
      </c>
      <c r="D255" s="58" t="s">
        <v>392</v>
      </c>
      <c r="E255" s="98" t="s">
        <v>389</v>
      </c>
      <c r="F255" s="20"/>
      <c r="G255" s="21"/>
      <c r="H255" s="21" t="s">
        <v>207</v>
      </c>
      <c r="I255" s="14"/>
      <c r="J255" s="14"/>
      <c r="K255" s="12">
        <v>554</v>
      </c>
      <c r="L255" s="9"/>
      <c r="M255" s="9"/>
      <c r="N255" s="9"/>
      <c r="O255" s="38">
        <f t="shared" si="18"/>
        <v>554</v>
      </c>
      <c r="P255" s="12"/>
      <c r="Q255" s="42"/>
      <c r="R255" s="15"/>
      <c r="S255" s="44"/>
      <c r="T255" s="15"/>
      <c r="U255" s="44"/>
      <c r="V255" s="15">
        <f t="shared" si="19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20"/>
        <v>0</v>
      </c>
      <c r="AF255" s="101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2"/>
        <v>0</v>
      </c>
      <c r="BA255" s="15"/>
      <c r="BB255" s="44"/>
      <c r="BC255" s="15"/>
      <c r="BD255" s="44"/>
      <c r="BE255" s="15">
        <f t="shared" si="21"/>
        <v>0</v>
      </c>
    </row>
    <row r="256" spans="1:57" s="8" customFormat="1" ht="21.95" customHeight="1">
      <c r="A256" s="9"/>
      <c r="B256" s="16" t="s">
        <v>233</v>
      </c>
      <c r="C256" s="92" t="s">
        <v>50</v>
      </c>
      <c r="D256" s="58" t="s">
        <v>393</v>
      </c>
      <c r="E256" s="35" t="s">
        <v>394</v>
      </c>
      <c r="F256" s="20"/>
      <c r="G256" s="21"/>
      <c r="H256" s="21" t="s">
        <v>207</v>
      </c>
      <c r="I256" s="14"/>
      <c r="J256" s="14"/>
      <c r="K256" s="12">
        <v>476</v>
      </c>
      <c r="L256" s="9"/>
      <c r="M256" s="9"/>
      <c r="N256" s="9"/>
      <c r="O256" s="38">
        <f t="shared" si="18"/>
        <v>476</v>
      </c>
      <c r="P256" s="12"/>
      <c r="Q256" s="42"/>
      <c r="R256" s="15"/>
      <c r="S256" s="44"/>
      <c r="T256" s="15"/>
      <c r="U256" s="44"/>
      <c r="V256" s="15">
        <f t="shared" si="19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20"/>
        <v>0</v>
      </c>
      <c r="AF256" s="101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2"/>
        <v>0</v>
      </c>
      <c r="BA256" s="15"/>
      <c r="BB256" s="44"/>
      <c r="BC256" s="15"/>
      <c r="BD256" s="44"/>
      <c r="BE256" s="15">
        <f t="shared" si="21"/>
        <v>0</v>
      </c>
    </row>
    <row r="257" spans="1:57" s="8" customFormat="1" ht="21.95" customHeight="1">
      <c r="A257" s="9"/>
      <c r="B257" s="16" t="s">
        <v>233</v>
      </c>
      <c r="C257" s="92" t="s">
        <v>50</v>
      </c>
      <c r="D257" s="58" t="s">
        <v>395</v>
      </c>
      <c r="E257" s="98" t="s">
        <v>389</v>
      </c>
      <c r="F257" s="20"/>
      <c r="G257" s="21"/>
      <c r="H257" s="21" t="s">
        <v>207</v>
      </c>
      <c r="I257" s="14"/>
      <c r="J257" s="14"/>
      <c r="K257" s="12">
        <v>548</v>
      </c>
      <c r="L257" s="9"/>
      <c r="M257" s="9"/>
      <c r="N257" s="9"/>
      <c r="O257" s="38">
        <f t="shared" si="18"/>
        <v>548</v>
      </c>
      <c r="P257" s="12"/>
      <c r="Q257" s="42"/>
      <c r="R257" s="15"/>
      <c r="S257" s="44"/>
      <c r="T257" s="15"/>
      <c r="U257" s="44"/>
      <c r="V257" s="15">
        <f t="shared" si="19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20"/>
        <v>0</v>
      </c>
      <c r="AF257" s="101"/>
      <c r="AG257" s="42"/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2"/>
        <v>0</v>
      </c>
      <c r="BA257" s="15"/>
      <c r="BB257" s="44"/>
      <c r="BC257" s="15"/>
      <c r="BD257" s="44"/>
      <c r="BE257" s="15">
        <f t="shared" si="21"/>
        <v>0</v>
      </c>
    </row>
    <row r="258" spans="1:57" s="8" customFormat="1" ht="21.95" customHeight="1">
      <c r="A258" s="9"/>
      <c r="B258" s="16" t="s">
        <v>396</v>
      </c>
      <c r="C258" s="92" t="s">
        <v>50</v>
      </c>
      <c r="D258" s="58" t="s">
        <v>397</v>
      </c>
      <c r="E258" s="35" t="s">
        <v>398</v>
      </c>
      <c r="F258" s="20"/>
      <c r="G258" s="21"/>
      <c r="H258" s="21"/>
      <c r="I258" s="14"/>
      <c r="J258" s="14"/>
      <c r="K258" s="12">
        <v>1499</v>
      </c>
      <c r="L258" s="9"/>
      <c r="M258" s="9"/>
      <c r="N258" s="9"/>
      <c r="O258" s="38">
        <f t="shared" si="18"/>
        <v>1499</v>
      </c>
      <c r="P258" s="12"/>
      <c r="Q258" s="42"/>
      <c r="R258" s="15"/>
      <c r="S258" s="44"/>
      <c r="T258" s="15"/>
      <c r="U258" s="44"/>
      <c r="V258" s="15">
        <f t="shared" si="19"/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si="20"/>
        <v>0</v>
      </c>
      <c r="AF258" s="101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2"/>
        <v>0</v>
      </c>
      <c r="BA258" s="15"/>
      <c r="BB258" s="44"/>
      <c r="BC258" s="15"/>
      <c r="BD258" s="44"/>
      <c r="BE258" s="15">
        <f t="shared" si="21"/>
        <v>0</v>
      </c>
    </row>
    <row r="259" spans="1:57" s="8" customFormat="1" ht="22.5" customHeight="1">
      <c r="A259" s="9"/>
      <c r="B259" s="16" t="s">
        <v>155</v>
      </c>
      <c r="C259" s="89" t="s">
        <v>50</v>
      </c>
      <c r="D259" s="79" t="s">
        <v>399</v>
      </c>
      <c r="E259" s="13" t="s">
        <v>400</v>
      </c>
      <c r="F259" s="96"/>
      <c r="G259" s="9"/>
      <c r="H259" s="9"/>
      <c r="I259" s="14"/>
      <c r="J259" s="14"/>
      <c r="K259" s="12">
        <v>248</v>
      </c>
      <c r="L259" s="9"/>
      <c r="M259" s="9"/>
      <c r="N259" s="9"/>
      <c r="O259" s="38">
        <f t="shared" si="18"/>
        <v>248</v>
      </c>
      <c r="P259" s="12"/>
      <c r="Q259" s="42"/>
      <c r="R259" s="15"/>
      <c r="S259" s="44"/>
      <c r="T259" s="15"/>
      <c r="U259" s="44"/>
      <c r="V259" s="15">
        <f t="shared" si="19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0"/>
        <v>0</v>
      </c>
      <c r="AF259" s="101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si="22"/>
        <v>0</v>
      </c>
      <c r="BA259" s="15"/>
      <c r="BB259" s="44"/>
      <c r="BC259" s="15"/>
      <c r="BD259" s="44"/>
      <c r="BE259" s="15">
        <f t="shared" si="21"/>
        <v>0</v>
      </c>
    </row>
    <row r="260" spans="1:57" s="8" customFormat="1" ht="22.5" customHeight="1">
      <c r="A260" s="9"/>
      <c r="B260" s="16" t="s">
        <v>330</v>
      </c>
      <c r="C260" s="89" t="s">
        <v>50</v>
      </c>
      <c r="D260" s="69" t="s">
        <v>331</v>
      </c>
      <c r="E260" s="13" t="s">
        <v>401</v>
      </c>
      <c r="F260" s="96"/>
      <c r="G260" s="9"/>
      <c r="H260" s="9" t="s">
        <v>332</v>
      </c>
      <c r="I260" s="14"/>
      <c r="J260" s="14"/>
      <c r="K260" s="12">
        <v>467</v>
      </c>
      <c r="L260" s="9"/>
      <c r="M260" s="9"/>
      <c r="N260" s="9"/>
      <c r="O260" s="38">
        <f t="shared" ref="O260:O323" si="23">K260+V260-AE260-AZ260</f>
        <v>467</v>
      </c>
      <c r="P260" s="12"/>
      <c r="Q260" s="42"/>
      <c r="R260" s="15"/>
      <c r="S260" s="44"/>
      <c r="T260" s="15"/>
      <c r="U260" s="44"/>
      <c r="V260" s="15">
        <f t="shared" ref="V260:V323" si="24">P260+R260+T260</f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ref="AE260:AE323" si="25">(W260+Y260+AA260+AC260)</f>
        <v>0</v>
      </c>
      <c r="AF260" s="101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2"/>
        <v>0</v>
      </c>
      <c r="BA260" s="15"/>
      <c r="BB260" s="44"/>
      <c r="BC260" s="15"/>
      <c r="BD260" s="44"/>
      <c r="BE260" s="15">
        <f t="shared" si="21"/>
        <v>0</v>
      </c>
    </row>
    <row r="261" spans="1:57" s="8" customFormat="1" ht="22.5" customHeight="1">
      <c r="A261" s="9"/>
      <c r="B261" s="16" t="s">
        <v>204</v>
      </c>
      <c r="C261" s="89" t="s">
        <v>402</v>
      </c>
      <c r="D261" s="73" t="s">
        <v>403</v>
      </c>
      <c r="E261" s="13" t="s">
        <v>404</v>
      </c>
      <c r="F261" s="96"/>
      <c r="G261" s="9"/>
      <c r="H261" s="9" t="s">
        <v>311</v>
      </c>
      <c r="I261" s="14"/>
      <c r="J261" s="14"/>
      <c r="K261" s="12">
        <v>0</v>
      </c>
      <c r="L261" s="9"/>
      <c r="M261" s="9"/>
      <c r="N261" s="9"/>
      <c r="O261" s="38">
        <f t="shared" si="23"/>
        <v>0</v>
      </c>
      <c r="P261" s="12"/>
      <c r="Q261" s="42"/>
      <c r="R261" s="15"/>
      <c r="S261" s="44"/>
      <c r="T261" s="15"/>
      <c r="U261" s="44"/>
      <c r="V261" s="15">
        <f t="shared" si="24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5"/>
        <v>0</v>
      </c>
      <c r="AF261" s="101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2"/>
        <v>0</v>
      </c>
      <c r="BA261" s="15"/>
      <c r="BB261" s="44"/>
      <c r="BC261" s="15"/>
      <c r="BD261" s="44"/>
      <c r="BE261" s="15">
        <f t="shared" si="21"/>
        <v>0</v>
      </c>
    </row>
    <row r="262" spans="1:57" s="8" customFormat="1" ht="22.5" customHeight="1">
      <c r="A262" s="9"/>
      <c r="B262" s="16" t="s">
        <v>233</v>
      </c>
      <c r="C262" s="89" t="s">
        <v>402</v>
      </c>
      <c r="D262" s="82" t="s">
        <v>405</v>
      </c>
      <c r="E262" s="22" t="s">
        <v>406</v>
      </c>
      <c r="F262" s="95"/>
      <c r="G262" s="9"/>
      <c r="H262" s="9" t="s">
        <v>407</v>
      </c>
      <c r="I262" s="14"/>
      <c r="J262" s="14"/>
      <c r="K262" s="12">
        <v>0</v>
      </c>
      <c r="L262" s="9"/>
      <c r="M262" s="9"/>
      <c r="N262" s="9"/>
      <c r="O262" s="38">
        <f t="shared" si="23"/>
        <v>0</v>
      </c>
      <c r="P262" s="12"/>
      <c r="Q262" s="42"/>
      <c r="R262" s="15"/>
      <c r="S262" s="44"/>
      <c r="T262" s="15"/>
      <c r="U262" s="44"/>
      <c r="V262" s="15">
        <f t="shared" si="24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5"/>
        <v>0</v>
      </c>
      <c r="AF262" s="101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2"/>
        <v>0</v>
      </c>
      <c r="BA262" s="15"/>
      <c r="BB262" s="44"/>
      <c r="BC262" s="15"/>
      <c r="BD262" s="44"/>
      <c r="BE262" s="15">
        <f t="shared" si="21"/>
        <v>0</v>
      </c>
    </row>
    <row r="263" spans="1:57" s="8" customFormat="1" ht="22.5" customHeight="1">
      <c r="A263" s="9"/>
      <c r="B263" s="16" t="s">
        <v>172</v>
      </c>
      <c r="C263" s="89" t="s">
        <v>402</v>
      </c>
      <c r="D263" s="82" t="s">
        <v>408</v>
      </c>
      <c r="E263" s="22" t="s">
        <v>409</v>
      </c>
      <c r="F263" s="95"/>
      <c r="G263" s="9"/>
      <c r="H263" s="9" t="s">
        <v>67</v>
      </c>
      <c r="I263" s="14"/>
      <c r="J263" s="14"/>
      <c r="K263" s="12">
        <v>0</v>
      </c>
      <c r="L263" s="9"/>
      <c r="M263" s="9"/>
      <c r="N263" s="9"/>
      <c r="O263" s="38">
        <f t="shared" si="23"/>
        <v>0</v>
      </c>
      <c r="P263" s="12"/>
      <c r="Q263" s="42"/>
      <c r="R263" s="15"/>
      <c r="S263" s="44"/>
      <c r="T263" s="15"/>
      <c r="U263" s="44"/>
      <c r="V263" s="15">
        <f t="shared" si="24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5"/>
        <v>0</v>
      </c>
      <c r="AF263" s="101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2"/>
        <v>0</v>
      </c>
      <c r="BA263" s="15"/>
      <c r="BB263" s="44"/>
      <c r="BC263" s="15"/>
      <c r="BD263" s="44"/>
      <c r="BE263" s="15">
        <f t="shared" si="21"/>
        <v>0</v>
      </c>
    </row>
    <row r="264" spans="1:57" s="8" customFormat="1" ht="22.5" customHeight="1">
      <c r="A264" s="9"/>
      <c r="B264" s="16" t="s">
        <v>155</v>
      </c>
      <c r="C264" s="89" t="s">
        <v>402</v>
      </c>
      <c r="D264" s="82" t="s">
        <v>410</v>
      </c>
      <c r="E264" s="22" t="s">
        <v>411</v>
      </c>
      <c r="F264" s="95"/>
      <c r="G264" s="9"/>
      <c r="H264" s="9" t="s">
        <v>412</v>
      </c>
      <c r="I264" s="14"/>
      <c r="J264" s="14"/>
      <c r="K264" s="12">
        <v>824</v>
      </c>
      <c r="L264" s="9"/>
      <c r="M264" s="9"/>
      <c r="N264" s="9"/>
      <c r="O264" s="38">
        <f t="shared" si="23"/>
        <v>824</v>
      </c>
      <c r="P264" s="12"/>
      <c r="Q264" s="42"/>
      <c r="R264" s="15"/>
      <c r="S264" s="44"/>
      <c r="T264" s="15"/>
      <c r="U264" s="44"/>
      <c r="V264" s="15">
        <f t="shared" si="24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5"/>
        <v>0</v>
      </c>
      <c r="AF264" s="101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2"/>
        <v>0</v>
      </c>
      <c r="BA264" s="15"/>
      <c r="BB264" s="44"/>
      <c r="BC264" s="15"/>
      <c r="BD264" s="44"/>
      <c r="BE264" s="15">
        <f t="shared" si="21"/>
        <v>0</v>
      </c>
    </row>
    <row r="265" spans="1:57" s="8" customFormat="1" ht="22.5" customHeight="1">
      <c r="A265" s="9"/>
      <c r="B265" s="18" t="s">
        <v>172</v>
      </c>
      <c r="C265" s="89" t="s">
        <v>140</v>
      </c>
      <c r="D265" s="58" t="s">
        <v>253</v>
      </c>
      <c r="E265" s="35" t="s">
        <v>413</v>
      </c>
      <c r="F265" s="96"/>
      <c r="G265" s="21"/>
      <c r="H265" s="21" t="s">
        <v>67</v>
      </c>
      <c r="I265" s="14"/>
      <c r="J265" s="14"/>
      <c r="K265" s="12">
        <v>87</v>
      </c>
      <c r="L265" s="9"/>
      <c r="M265" s="9"/>
      <c r="N265" s="9"/>
      <c r="O265" s="38">
        <f t="shared" si="23"/>
        <v>87</v>
      </c>
      <c r="P265" s="12"/>
      <c r="Q265" s="42"/>
      <c r="R265" s="15"/>
      <c r="S265" s="44"/>
      <c r="T265" s="15"/>
      <c r="U265" s="44"/>
      <c r="V265" s="15">
        <f t="shared" si="24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5"/>
        <v>0</v>
      </c>
      <c r="AF265" s="101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2"/>
        <v>0</v>
      </c>
      <c r="BA265" s="15"/>
      <c r="BB265" s="44"/>
      <c r="BC265" s="15"/>
      <c r="BD265" s="44"/>
      <c r="BE265" s="15">
        <f t="shared" si="21"/>
        <v>0</v>
      </c>
    </row>
    <row r="266" spans="1:57" s="8" customFormat="1" ht="22.5" customHeight="1">
      <c r="A266" s="9"/>
      <c r="B266" s="16" t="s">
        <v>172</v>
      </c>
      <c r="C266" s="89" t="s">
        <v>140</v>
      </c>
      <c r="D266" s="61" t="s">
        <v>414</v>
      </c>
      <c r="E266" s="13"/>
      <c r="F266" s="96"/>
      <c r="G266" s="9"/>
      <c r="H266" s="9" t="s">
        <v>67</v>
      </c>
      <c r="I266" s="14"/>
      <c r="J266" s="14"/>
      <c r="K266" s="12">
        <v>224</v>
      </c>
      <c r="L266" s="9"/>
      <c r="M266" s="9"/>
      <c r="N266" s="9"/>
      <c r="O266" s="38">
        <f t="shared" si="23"/>
        <v>224</v>
      </c>
      <c r="P266" s="12"/>
      <c r="Q266" s="42"/>
      <c r="R266" s="15"/>
      <c r="S266" s="44"/>
      <c r="T266" s="15"/>
      <c r="U266" s="44"/>
      <c r="V266" s="15">
        <f t="shared" si="24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5"/>
        <v>0</v>
      </c>
      <c r="AF266" s="101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2"/>
        <v>0</v>
      </c>
      <c r="BA266" s="15"/>
      <c r="BB266" s="44"/>
      <c r="BC266" s="15"/>
      <c r="BD266" s="44"/>
      <c r="BE266" s="15">
        <f t="shared" si="21"/>
        <v>0</v>
      </c>
    </row>
    <row r="267" spans="1:57" s="8" customFormat="1" ht="22.5" customHeight="1">
      <c r="A267" s="9"/>
      <c r="B267" s="16" t="s">
        <v>172</v>
      </c>
      <c r="C267" s="89" t="s">
        <v>140</v>
      </c>
      <c r="D267" s="61" t="s">
        <v>415</v>
      </c>
      <c r="E267" s="13"/>
      <c r="F267" s="96"/>
      <c r="G267" s="9"/>
      <c r="H267" s="9" t="s">
        <v>67</v>
      </c>
      <c r="I267" s="14"/>
      <c r="J267" s="14"/>
      <c r="K267" s="12">
        <v>138</v>
      </c>
      <c r="L267" s="9"/>
      <c r="M267" s="9"/>
      <c r="N267" s="9"/>
      <c r="O267" s="38">
        <f t="shared" si="23"/>
        <v>138</v>
      </c>
      <c r="P267" s="12"/>
      <c r="Q267" s="42"/>
      <c r="R267" s="15"/>
      <c r="S267" s="44"/>
      <c r="T267" s="15"/>
      <c r="U267" s="44"/>
      <c r="V267" s="15">
        <f t="shared" si="24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5"/>
        <v>0</v>
      </c>
      <c r="AF267" s="101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2"/>
        <v>0</v>
      </c>
      <c r="BA267" s="15"/>
      <c r="BB267" s="44"/>
      <c r="BC267" s="15"/>
      <c r="BD267" s="44"/>
      <c r="BE267" s="15">
        <f t="shared" si="21"/>
        <v>0</v>
      </c>
    </row>
    <row r="268" spans="1:57" s="8" customFormat="1" ht="22.5" customHeight="1">
      <c r="A268" s="9"/>
      <c r="B268" s="16" t="s">
        <v>172</v>
      </c>
      <c r="C268" s="89" t="s">
        <v>140</v>
      </c>
      <c r="D268" s="79" t="s">
        <v>416</v>
      </c>
      <c r="E268" s="13"/>
      <c r="F268" s="96"/>
      <c r="G268" s="9"/>
      <c r="H268" s="9" t="s">
        <v>67</v>
      </c>
      <c r="I268" s="14"/>
      <c r="J268" s="14"/>
      <c r="K268" s="12">
        <v>116</v>
      </c>
      <c r="L268" s="9"/>
      <c r="M268" s="9"/>
      <c r="N268" s="9"/>
      <c r="O268" s="38">
        <f t="shared" si="23"/>
        <v>116</v>
      </c>
      <c r="P268" s="12"/>
      <c r="Q268" s="42"/>
      <c r="R268" s="15"/>
      <c r="S268" s="44"/>
      <c r="T268" s="15"/>
      <c r="U268" s="44"/>
      <c r="V268" s="15">
        <f t="shared" si="24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5"/>
        <v>0</v>
      </c>
      <c r="AF268" s="101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2"/>
        <v>0</v>
      </c>
      <c r="BA268" s="15"/>
      <c r="BB268" s="44"/>
      <c r="BC268" s="15"/>
      <c r="BD268" s="44"/>
      <c r="BE268" s="15">
        <f t="shared" si="21"/>
        <v>0</v>
      </c>
    </row>
    <row r="269" spans="1:57" s="8" customFormat="1" ht="22.5" customHeight="1">
      <c r="A269" s="9"/>
      <c r="B269" s="16" t="s">
        <v>172</v>
      </c>
      <c r="C269" s="89" t="s">
        <v>140</v>
      </c>
      <c r="D269" s="78" t="s">
        <v>417</v>
      </c>
      <c r="E269" s="13"/>
      <c r="F269" s="96"/>
      <c r="G269" s="9"/>
      <c r="H269" s="9" t="s">
        <v>67</v>
      </c>
      <c r="I269" s="14"/>
      <c r="J269" s="14"/>
      <c r="K269" s="12">
        <v>170</v>
      </c>
      <c r="L269" s="9"/>
      <c r="M269" s="9"/>
      <c r="N269" s="9"/>
      <c r="O269" s="38">
        <f t="shared" si="23"/>
        <v>170</v>
      </c>
      <c r="P269" s="12"/>
      <c r="Q269" s="42"/>
      <c r="R269" s="15"/>
      <c r="S269" s="44"/>
      <c r="T269" s="15"/>
      <c r="U269" s="44"/>
      <c r="V269" s="15">
        <f t="shared" si="24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5"/>
        <v>0</v>
      </c>
      <c r="AF269" s="101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2"/>
        <v>0</v>
      </c>
      <c r="BA269" s="15"/>
      <c r="BB269" s="44"/>
      <c r="BC269" s="15"/>
      <c r="BD269" s="44"/>
      <c r="BE269" s="15">
        <f t="shared" si="21"/>
        <v>0</v>
      </c>
    </row>
    <row r="270" spans="1:57" s="8" customFormat="1" ht="22.5" customHeight="1">
      <c r="A270" s="9"/>
      <c r="B270" s="16" t="s">
        <v>172</v>
      </c>
      <c r="C270" s="89" t="s">
        <v>140</v>
      </c>
      <c r="D270" s="78" t="s">
        <v>418</v>
      </c>
      <c r="E270" s="13"/>
      <c r="F270" s="96"/>
      <c r="G270" s="9"/>
      <c r="H270" s="9" t="s">
        <v>67</v>
      </c>
      <c r="I270" s="14"/>
      <c r="J270" s="14"/>
      <c r="K270" s="12">
        <v>6</v>
      </c>
      <c r="L270" s="9"/>
      <c r="M270" s="9"/>
      <c r="N270" s="9"/>
      <c r="O270" s="38">
        <f t="shared" si="23"/>
        <v>6</v>
      </c>
      <c r="P270" s="12"/>
      <c r="Q270" s="42"/>
      <c r="R270" s="15"/>
      <c r="S270" s="44"/>
      <c r="T270" s="15"/>
      <c r="U270" s="44"/>
      <c r="V270" s="15">
        <f t="shared" si="24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5"/>
        <v>0</v>
      </c>
      <c r="AF270" s="101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2"/>
        <v>0</v>
      </c>
      <c r="BA270" s="15"/>
      <c r="BB270" s="44"/>
      <c r="BC270" s="15"/>
      <c r="BD270" s="44"/>
      <c r="BE270" s="15">
        <f t="shared" si="21"/>
        <v>0</v>
      </c>
    </row>
    <row r="271" spans="1:57" s="8" customFormat="1" ht="22.5" customHeight="1">
      <c r="A271" s="9"/>
      <c r="B271" s="16" t="s">
        <v>172</v>
      </c>
      <c r="C271" s="89" t="s">
        <v>140</v>
      </c>
      <c r="D271" s="78" t="s">
        <v>419</v>
      </c>
      <c r="E271" s="13"/>
      <c r="F271" s="96"/>
      <c r="G271" s="9"/>
      <c r="H271" s="9" t="s">
        <v>420</v>
      </c>
      <c r="I271" s="14"/>
      <c r="J271" s="14"/>
      <c r="K271" s="12">
        <v>0</v>
      </c>
      <c r="L271" s="9"/>
      <c r="M271" s="9"/>
      <c r="N271" s="9"/>
      <c r="O271" s="38">
        <f t="shared" si="23"/>
        <v>0</v>
      </c>
      <c r="P271" s="12"/>
      <c r="Q271" s="42"/>
      <c r="R271" s="15"/>
      <c r="S271" s="44"/>
      <c r="T271" s="15"/>
      <c r="U271" s="44"/>
      <c r="V271" s="15">
        <f t="shared" si="24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5"/>
        <v>0</v>
      </c>
      <c r="AF271" s="101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2"/>
        <v>0</v>
      </c>
      <c r="BA271" s="15"/>
      <c r="BB271" s="44"/>
      <c r="BC271" s="15"/>
      <c r="BD271" s="44"/>
      <c r="BE271" s="15">
        <f t="shared" si="21"/>
        <v>0</v>
      </c>
    </row>
    <row r="272" spans="1:57" s="8" customFormat="1" ht="22.5" customHeight="1">
      <c r="A272" s="9"/>
      <c r="B272" s="16" t="s">
        <v>172</v>
      </c>
      <c r="C272" s="89" t="s">
        <v>140</v>
      </c>
      <c r="D272" s="61" t="s">
        <v>421</v>
      </c>
      <c r="E272" s="13"/>
      <c r="F272" s="96"/>
      <c r="G272" s="9"/>
      <c r="H272" s="9" t="s">
        <v>422</v>
      </c>
      <c r="I272" s="14"/>
      <c r="J272" s="14"/>
      <c r="K272" s="12">
        <v>126</v>
      </c>
      <c r="L272" s="9"/>
      <c r="M272" s="9"/>
      <c r="N272" s="9"/>
      <c r="O272" s="38">
        <f t="shared" si="23"/>
        <v>126</v>
      </c>
      <c r="P272" s="12"/>
      <c r="Q272" s="42"/>
      <c r="R272" s="15"/>
      <c r="S272" s="44"/>
      <c r="T272" s="15"/>
      <c r="U272" s="44"/>
      <c r="V272" s="15">
        <f t="shared" si="24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5"/>
        <v>0</v>
      </c>
      <c r="AF272" s="101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2"/>
        <v>0</v>
      </c>
      <c r="BA272" s="15"/>
      <c r="BB272" s="44"/>
      <c r="BC272" s="15"/>
      <c r="BD272" s="44"/>
      <c r="BE272" s="15">
        <f t="shared" si="21"/>
        <v>0</v>
      </c>
    </row>
    <row r="273" spans="1:57" s="8" customFormat="1" ht="22.5" customHeight="1">
      <c r="A273" s="9"/>
      <c r="B273" s="16" t="s">
        <v>172</v>
      </c>
      <c r="C273" s="89" t="s">
        <v>140</v>
      </c>
      <c r="D273" s="61" t="s">
        <v>423</v>
      </c>
      <c r="E273" s="13"/>
      <c r="F273" s="96"/>
      <c r="G273" s="9"/>
      <c r="H273" s="9" t="s">
        <v>424</v>
      </c>
      <c r="I273" s="14"/>
      <c r="J273" s="14"/>
      <c r="K273" s="12">
        <v>37</v>
      </c>
      <c r="L273" s="9"/>
      <c r="M273" s="9"/>
      <c r="N273" s="9"/>
      <c r="O273" s="38">
        <f t="shared" si="23"/>
        <v>37</v>
      </c>
      <c r="P273" s="12"/>
      <c r="Q273" s="42"/>
      <c r="R273" s="15"/>
      <c r="S273" s="44"/>
      <c r="T273" s="15"/>
      <c r="U273" s="44"/>
      <c r="V273" s="15">
        <f t="shared" si="24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5"/>
        <v>0</v>
      </c>
      <c r="AF273" s="101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2"/>
        <v>0</v>
      </c>
      <c r="BA273" s="15"/>
      <c r="BB273" s="44"/>
      <c r="BC273" s="15"/>
      <c r="BD273" s="44"/>
      <c r="BE273" s="15">
        <f t="shared" si="21"/>
        <v>0</v>
      </c>
    </row>
    <row r="274" spans="1:57" s="8" customFormat="1" ht="22.5" customHeight="1">
      <c r="A274" s="9"/>
      <c r="B274" s="16" t="s">
        <v>172</v>
      </c>
      <c r="C274" s="89" t="s">
        <v>140</v>
      </c>
      <c r="D274" s="61" t="s">
        <v>425</v>
      </c>
      <c r="E274" s="13"/>
      <c r="F274" s="96"/>
      <c r="G274" s="9"/>
      <c r="H274" s="9" t="s">
        <v>422</v>
      </c>
      <c r="I274" s="14"/>
      <c r="J274" s="14"/>
      <c r="K274" s="12">
        <v>12</v>
      </c>
      <c r="L274" s="9"/>
      <c r="M274" s="9"/>
      <c r="N274" s="9"/>
      <c r="O274" s="38">
        <f t="shared" si="23"/>
        <v>12</v>
      </c>
      <c r="P274" s="12"/>
      <c r="Q274" s="42"/>
      <c r="R274" s="15"/>
      <c r="S274" s="44"/>
      <c r="T274" s="15"/>
      <c r="U274" s="44"/>
      <c r="V274" s="15">
        <f t="shared" si="24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5"/>
        <v>0</v>
      </c>
      <c r="AF274" s="101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2"/>
        <v>0</v>
      </c>
      <c r="BA274" s="15"/>
      <c r="BB274" s="44"/>
      <c r="BC274" s="15"/>
      <c r="BD274" s="44"/>
      <c r="BE274" s="15">
        <f t="shared" si="21"/>
        <v>0</v>
      </c>
    </row>
    <row r="275" spans="1:57" s="8" customFormat="1" ht="22.5" customHeight="1">
      <c r="A275" s="9"/>
      <c r="B275" s="16" t="s">
        <v>172</v>
      </c>
      <c r="C275" s="89" t="s">
        <v>140</v>
      </c>
      <c r="D275" s="61" t="s">
        <v>426</v>
      </c>
      <c r="E275" s="13"/>
      <c r="F275" s="96"/>
      <c r="G275" s="9"/>
      <c r="H275" s="9" t="s">
        <v>67</v>
      </c>
      <c r="I275" s="14"/>
      <c r="J275" s="14"/>
      <c r="K275" s="12">
        <v>0</v>
      </c>
      <c r="L275" s="9"/>
      <c r="M275" s="9"/>
      <c r="N275" s="9"/>
      <c r="O275" s="38">
        <f t="shared" si="23"/>
        <v>0</v>
      </c>
      <c r="P275" s="12"/>
      <c r="Q275" s="42"/>
      <c r="R275" s="15"/>
      <c r="S275" s="44"/>
      <c r="T275" s="15"/>
      <c r="U275" s="44"/>
      <c r="V275" s="15">
        <f t="shared" si="24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5"/>
        <v>0</v>
      </c>
      <c r="AF275" s="101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2"/>
        <v>0</v>
      </c>
      <c r="BA275" s="15"/>
      <c r="BB275" s="44"/>
      <c r="BC275" s="15"/>
      <c r="BD275" s="44"/>
      <c r="BE275" s="15">
        <f t="shared" si="21"/>
        <v>0</v>
      </c>
    </row>
    <row r="276" spans="1:57" s="8" customFormat="1" ht="22.5" customHeight="1">
      <c r="A276" s="9"/>
      <c r="B276" s="16" t="s">
        <v>172</v>
      </c>
      <c r="C276" s="89" t="s">
        <v>140</v>
      </c>
      <c r="D276" s="61" t="s">
        <v>427</v>
      </c>
      <c r="E276" s="13"/>
      <c r="F276" s="96"/>
      <c r="G276" s="9"/>
      <c r="H276" s="9" t="s">
        <v>67</v>
      </c>
      <c r="I276" s="14"/>
      <c r="J276" s="14"/>
      <c r="K276" s="12">
        <v>48</v>
      </c>
      <c r="L276" s="9"/>
      <c r="M276" s="9"/>
      <c r="N276" s="9"/>
      <c r="O276" s="38">
        <f t="shared" si="23"/>
        <v>48</v>
      </c>
      <c r="P276" s="12"/>
      <c r="Q276" s="42"/>
      <c r="R276" s="15"/>
      <c r="S276" s="44"/>
      <c r="T276" s="15"/>
      <c r="U276" s="44"/>
      <c r="V276" s="15">
        <f t="shared" si="24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5"/>
        <v>0</v>
      </c>
      <c r="AF276" s="101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2"/>
        <v>0</v>
      </c>
      <c r="BA276" s="15"/>
      <c r="BB276" s="44"/>
      <c r="BC276" s="15"/>
      <c r="BD276" s="44"/>
      <c r="BE276" s="15">
        <f t="shared" si="21"/>
        <v>0</v>
      </c>
    </row>
    <row r="277" spans="1:57" s="8" customFormat="1" ht="22.5" customHeight="1">
      <c r="A277" s="9"/>
      <c r="B277" s="16" t="s">
        <v>187</v>
      </c>
      <c r="C277" s="89" t="s">
        <v>140</v>
      </c>
      <c r="D277" s="79" t="s">
        <v>428</v>
      </c>
      <c r="E277" s="13" t="s">
        <v>429</v>
      </c>
      <c r="F277" s="96"/>
      <c r="G277" s="9"/>
      <c r="H277" s="9" t="s">
        <v>430</v>
      </c>
      <c r="I277" s="14"/>
      <c r="J277" s="14"/>
      <c r="K277" s="12"/>
      <c r="L277" s="9"/>
      <c r="M277" s="9"/>
      <c r="N277" s="9"/>
      <c r="O277" s="38">
        <f t="shared" si="23"/>
        <v>0</v>
      </c>
      <c r="P277" s="12"/>
      <c r="Q277" s="42"/>
      <c r="R277" s="15"/>
      <c r="S277" s="44"/>
      <c r="T277" s="15"/>
      <c r="U277" s="44"/>
      <c r="V277" s="15">
        <f t="shared" si="24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5"/>
        <v>0</v>
      </c>
      <c r="AF277" s="101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2"/>
        <v>0</v>
      </c>
      <c r="BA277" s="15"/>
      <c r="BB277" s="44"/>
      <c r="BC277" s="15"/>
      <c r="BD277" s="44"/>
      <c r="BE277" s="15">
        <f t="shared" si="21"/>
        <v>0</v>
      </c>
    </row>
    <row r="278" spans="1:57" s="8" customFormat="1" ht="22.5" customHeight="1">
      <c r="A278" s="9"/>
      <c r="B278" s="16" t="s">
        <v>187</v>
      </c>
      <c r="C278" s="89" t="s">
        <v>140</v>
      </c>
      <c r="D278" s="79" t="s">
        <v>431</v>
      </c>
      <c r="E278" s="13" t="s">
        <v>432</v>
      </c>
      <c r="F278" s="96"/>
      <c r="G278" s="9"/>
      <c r="H278" s="9" t="s">
        <v>67</v>
      </c>
      <c r="I278" s="14"/>
      <c r="J278" s="14"/>
      <c r="K278" s="12">
        <v>15</v>
      </c>
      <c r="L278" s="9"/>
      <c r="M278" s="9"/>
      <c r="N278" s="9"/>
      <c r="O278" s="38">
        <f t="shared" si="23"/>
        <v>15</v>
      </c>
      <c r="P278" s="12"/>
      <c r="Q278" s="42"/>
      <c r="R278" s="15"/>
      <c r="S278" s="44"/>
      <c r="T278" s="15"/>
      <c r="U278" s="44"/>
      <c r="V278" s="15">
        <f t="shared" si="24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5"/>
        <v>0</v>
      </c>
      <c r="AF278" s="101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2"/>
        <v>0</v>
      </c>
      <c r="BA278" s="15"/>
      <c r="BB278" s="44"/>
      <c r="BC278" s="15"/>
      <c r="BD278" s="44"/>
      <c r="BE278" s="15">
        <f t="shared" si="21"/>
        <v>0</v>
      </c>
    </row>
    <row r="279" spans="1:57" s="8" customFormat="1" ht="22.5" customHeight="1">
      <c r="A279" s="9"/>
      <c r="B279" s="16" t="s">
        <v>120</v>
      </c>
      <c r="C279" s="89" t="s">
        <v>140</v>
      </c>
      <c r="D279" s="61" t="s">
        <v>433</v>
      </c>
      <c r="E279" s="13" t="s">
        <v>434</v>
      </c>
      <c r="F279" s="96"/>
      <c r="G279" s="9"/>
      <c r="H279" s="9" t="s">
        <v>67</v>
      </c>
      <c r="I279" s="14"/>
      <c r="J279" s="14"/>
      <c r="K279" s="12">
        <v>104</v>
      </c>
      <c r="L279" s="9"/>
      <c r="M279" s="9"/>
      <c r="N279" s="9"/>
      <c r="O279" s="38">
        <f t="shared" si="23"/>
        <v>104</v>
      </c>
      <c r="P279" s="12"/>
      <c r="Q279" s="42"/>
      <c r="R279" s="15"/>
      <c r="S279" s="44"/>
      <c r="T279" s="15"/>
      <c r="U279" s="44"/>
      <c r="V279" s="15">
        <f t="shared" si="24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5"/>
        <v>0</v>
      </c>
      <c r="AF279" s="101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2"/>
        <v>0</v>
      </c>
      <c r="BA279" s="15"/>
      <c r="BB279" s="44"/>
      <c r="BC279" s="15"/>
      <c r="BD279" s="44"/>
      <c r="BE279" s="15">
        <f t="shared" si="21"/>
        <v>0</v>
      </c>
    </row>
    <row r="280" spans="1:57" s="8" customFormat="1" ht="22.5" customHeight="1">
      <c r="A280" s="9"/>
      <c r="B280" s="16" t="s">
        <v>120</v>
      </c>
      <c r="C280" s="89" t="s">
        <v>140</v>
      </c>
      <c r="D280" s="78" t="s">
        <v>435</v>
      </c>
      <c r="E280" s="13"/>
      <c r="F280" s="96"/>
      <c r="G280" s="9"/>
      <c r="H280" s="9" t="s">
        <v>67</v>
      </c>
      <c r="I280" s="14"/>
      <c r="J280" s="14"/>
      <c r="K280" s="12">
        <v>87</v>
      </c>
      <c r="L280" s="9"/>
      <c r="M280" s="9"/>
      <c r="N280" s="9"/>
      <c r="O280" s="38">
        <f t="shared" si="23"/>
        <v>87</v>
      </c>
      <c r="P280" s="12"/>
      <c r="Q280" s="42"/>
      <c r="R280" s="15"/>
      <c r="S280" s="44"/>
      <c r="T280" s="15"/>
      <c r="U280" s="44"/>
      <c r="V280" s="15">
        <f t="shared" si="24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5"/>
        <v>0</v>
      </c>
      <c r="AF280" s="101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2"/>
        <v>0</v>
      </c>
      <c r="BA280" s="15"/>
      <c r="BB280" s="44"/>
      <c r="BC280" s="15"/>
      <c r="BD280" s="44"/>
      <c r="BE280" s="15">
        <f t="shared" si="21"/>
        <v>0</v>
      </c>
    </row>
    <row r="281" spans="1:57" s="8" customFormat="1" ht="22.5" customHeight="1">
      <c r="A281" s="9"/>
      <c r="B281" s="16" t="s">
        <v>120</v>
      </c>
      <c r="C281" s="89" t="s">
        <v>140</v>
      </c>
      <c r="D281" s="78" t="s">
        <v>436</v>
      </c>
      <c r="E281" s="13"/>
      <c r="F281" s="96"/>
      <c r="G281" s="9"/>
      <c r="H281" s="9" t="s">
        <v>67</v>
      </c>
      <c r="I281" s="14"/>
      <c r="J281" s="14"/>
      <c r="K281" s="12">
        <v>90</v>
      </c>
      <c r="L281" s="9"/>
      <c r="M281" s="9"/>
      <c r="N281" s="9"/>
      <c r="O281" s="38">
        <f t="shared" si="23"/>
        <v>90</v>
      </c>
      <c r="P281" s="12"/>
      <c r="Q281" s="42"/>
      <c r="R281" s="15"/>
      <c r="S281" s="44"/>
      <c r="T281" s="15"/>
      <c r="U281" s="44"/>
      <c r="V281" s="15">
        <f t="shared" si="24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5"/>
        <v>0</v>
      </c>
      <c r="AF281" s="101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2"/>
        <v>0</v>
      </c>
      <c r="BA281" s="15"/>
      <c r="BB281" s="44"/>
      <c r="BC281" s="15"/>
      <c r="BD281" s="44"/>
      <c r="BE281" s="15">
        <f t="shared" si="21"/>
        <v>0</v>
      </c>
    </row>
    <row r="282" spans="1:57" s="8" customFormat="1" ht="22.5" customHeight="1">
      <c r="A282" s="9"/>
      <c r="B282" s="16" t="s">
        <v>120</v>
      </c>
      <c r="C282" s="89" t="s">
        <v>140</v>
      </c>
      <c r="D282" s="78" t="s">
        <v>437</v>
      </c>
      <c r="E282" s="13"/>
      <c r="F282" s="96"/>
      <c r="G282" s="9"/>
      <c r="H282" s="9" t="s">
        <v>67</v>
      </c>
      <c r="I282" s="14"/>
      <c r="J282" s="14"/>
      <c r="K282" s="12">
        <v>72</v>
      </c>
      <c r="L282" s="9"/>
      <c r="M282" s="9"/>
      <c r="N282" s="9"/>
      <c r="O282" s="38">
        <f t="shared" si="23"/>
        <v>72</v>
      </c>
      <c r="P282" s="12"/>
      <c r="Q282" s="42"/>
      <c r="R282" s="15"/>
      <c r="S282" s="44"/>
      <c r="T282" s="15"/>
      <c r="U282" s="44"/>
      <c r="V282" s="15">
        <f t="shared" si="24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5"/>
        <v>0</v>
      </c>
      <c r="AF282" s="101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2"/>
        <v>0</v>
      </c>
      <c r="BA282" s="15"/>
      <c r="BB282" s="44"/>
      <c r="BC282" s="15"/>
      <c r="BD282" s="44"/>
      <c r="BE282" s="15">
        <f t="shared" si="21"/>
        <v>0</v>
      </c>
    </row>
    <row r="283" spans="1:57" s="8" customFormat="1" ht="22.5" customHeight="1">
      <c r="A283" s="9"/>
      <c r="B283" s="16" t="s">
        <v>120</v>
      </c>
      <c r="C283" s="89" t="s">
        <v>140</v>
      </c>
      <c r="D283" s="78" t="s">
        <v>438</v>
      </c>
      <c r="E283" s="13"/>
      <c r="F283" s="96"/>
      <c r="G283" s="9"/>
      <c r="H283" s="9" t="s">
        <v>67</v>
      </c>
      <c r="I283" s="14"/>
      <c r="J283" s="14"/>
      <c r="K283" s="12">
        <v>38</v>
      </c>
      <c r="L283" s="9"/>
      <c r="M283" s="9"/>
      <c r="N283" s="9"/>
      <c r="O283" s="38">
        <f t="shared" si="23"/>
        <v>38</v>
      </c>
      <c r="P283" s="12"/>
      <c r="Q283" s="42"/>
      <c r="R283" s="15"/>
      <c r="S283" s="44"/>
      <c r="T283" s="15"/>
      <c r="U283" s="44"/>
      <c r="V283" s="15">
        <f t="shared" si="24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5"/>
        <v>0</v>
      </c>
      <c r="AF283" s="101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2"/>
        <v>0</v>
      </c>
      <c r="BA283" s="15"/>
      <c r="BB283" s="44"/>
      <c r="BC283" s="15"/>
      <c r="BD283" s="44"/>
      <c r="BE283" s="15">
        <f t="shared" si="21"/>
        <v>0</v>
      </c>
    </row>
    <row r="284" spans="1:57" s="8" customFormat="1" ht="22.5" customHeight="1">
      <c r="A284" s="9"/>
      <c r="B284" s="16" t="s">
        <v>120</v>
      </c>
      <c r="C284" s="89" t="s">
        <v>140</v>
      </c>
      <c r="D284" s="78" t="s">
        <v>439</v>
      </c>
      <c r="E284" s="13"/>
      <c r="F284" s="96"/>
      <c r="G284" s="9"/>
      <c r="H284" s="9" t="s">
        <v>67</v>
      </c>
      <c r="I284" s="14"/>
      <c r="J284" s="14"/>
      <c r="K284" s="12">
        <v>146</v>
      </c>
      <c r="L284" s="9"/>
      <c r="M284" s="9"/>
      <c r="N284" s="9"/>
      <c r="O284" s="38">
        <f t="shared" si="23"/>
        <v>146</v>
      </c>
      <c r="P284" s="12"/>
      <c r="Q284" s="42"/>
      <c r="R284" s="15"/>
      <c r="S284" s="44"/>
      <c r="T284" s="15"/>
      <c r="U284" s="44"/>
      <c r="V284" s="15">
        <f t="shared" si="24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5"/>
        <v>0</v>
      </c>
      <c r="AF284" s="101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2"/>
        <v>0</v>
      </c>
      <c r="BA284" s="15"/>
      <c r="BB284" s="44"/>
      <c r="BC284" s="15"/>
      <c r="BD284" s="44"/>
      <c r="BE284" s="15">
        <f t="shared" si="21"/>
        <v>0</v>
      </c>
    </row>
    <row r="285" spans="1:57" s="8" customFormat="1" ht="22.5" customHeight="1">
      <c r="A285" s="9"/>
      <c r="B285" s="16" t="s">
        <v>120</v>
      </c>
      <c r="C285" s="89" t="s">
        <v>140</v>
      </c>
      <c r="D285" s="78" t="s">
        <v>440</v>
      </c>
      <c r="E285" s="13"/>
      <c r="F285" s="96"/>
      <c r="G285" s="9"/>
      <c r="H285" s="9" t="s">
        <v>67</v>
      </c>
      <c r="I285" s="14"/>
      <c r="J285" s="14"/>
      <c r="K285" s="12">
        <v>512</v>
      </c>
      <c r="L285" s="9"/>
      <c r="M285" s="9"/>
      <c r="N285" s="9"/>
      <c r="O285" s="38">
        <f t="shared" si="23"/>
        <v>512</v>
      </c>
      <c r="P285" s="12"/>
      <c r="Q285" s="42"/>
      <c r="R285" s="15"/>
      <c r="S285" s="44"/>
      <c r="T285" s="15"/>
      <c r="U285" s="44"/>
      <c r="V285" s="15">
        <f t="shared" si="24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5"/>
        <v>0</v>
      </c>
      <c r="AF285" s="101"/>
      <c r="AG285" s="42"/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2"/>
        <v>0</v>
      </c>
      <c r="BA285" s="15"/>
      <c r="BB285" s="44"/>
      <c r="BC285" s="15"/>
      <c r="BD285" s="44"/>
      <c r="BE285" s="15">
        <f t="shared" si="21"/>
        <v>0</v>
      </c>
    </row>
    <row r="286" spans="1:57" s="8" customFormat="1" ht="22.5" customHeight="1">
      <c r="A286" s="9"/>
      <c r="B286" s="16" t="s">
        <v>204</v>
      </c>
      <c r="C286" s="89" t="s">
        <v>140</v>
      </c>
      <c r="D286" s="79" t="s">
        <v>441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101</v>
      </c>
      <c r="L286" s="9"/>
      <c r="M286" s="9"/>
      <c r="N286" s="9"/>
      <c r="O286" s="38">
        <f t="shared" si="23"/>
        <v>101</v>
      </c>
      <c r="P286" s="12"/>
      <c r="Q286" s="42"/>
      <c r="R286" s="15"/>
      <c r="S286" s="44"/>
      <c r="T286" s="15"/>
      <c r="U286" s="44"/>
      <c r="V286" s="15">
        <f t="shared" si="24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5"/>
        <v>0</v>
      </c>
      <c r="AF286" s="101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2"/>
        <v>0</v>
      </c>
      <c r="BA286" s="15"/>
      <c r="BB286" s="44"/>
      <c r="BC286" s="15"/>
      <c r="BD286" s="44"/>
      <c r="BE286" s="15">
        <f t="shared" si="21"/>
        <v>0</v>
      </c>
    </row>
    <row r="287" spans="1:57" s="8" customFormat="1" ht="22.5" customHeight="1">
      <c r="A287" s="9"/>
      <c r="B287" s="16" t="s">
        <v>204</v>
      </c>
      <c r="C287" s="89" t="s">
        <v>140</v>
      </c>
      <c r="D287" s="79" t="s">
        <v>442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101</v>
      </c>
      <c r="L287" s="9"/>
      <c r="M287" s="9"/>
      <c r="N287" s="9"/>
      <c r="O287" s="38">
        <f t="shared" si="23"/>
        <v>101</v>
      </c>
      <c r="P287" s="12"/>
      <c r="Q287" s="42"/>
      <c r="R287" s="15"/>
      <c r="S287" s="44"/>
      <c r="T287" s="15"/>
      <c r="U287" s="44"/>
      <c r="V287" s="15">
        <f t="shared" si="24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5"/>
        <v>0</v>
      </c>
      <c r="AF287" s="101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2"/>
        <v>0</v>
      </c>
      <c r="BA287" s="15"/>
      <c r="BB287" s="44"/>
      <c r="BC287" s="15"/>
      <c r="BD287" s="44"/>
      <c r="BE287" s="15">
        <f t="shared" si="21"/>
        <v>0</v>
      </c>
    </row>
    <row r="288" spans="1:57" s="8" customFormat="1" ht="22.5" customHeight="1">
      <c r="A288" s="9"/>
      <c r="B288" s="16" t="s">
        <v>204</v>
      </c>
      <c r="C288" s="89" t="s">
        <v>140</v>
      </c>
      <c r="D288" s="79" t="s">
        <v>205</v>
      </c>
      <c r="E288" s="13" t="s">
        <v>206</v>
      </c>
      <c r="F288" s="96"/>
      <c r="G288" s="9"/>
      <c r="H288" s="9" t="s">
        <v>207</v>
      </c>
      <c r="I288" s="14"/>
      <c r="J288" s="14"/>
      <c r="K288" s="12">
        <v>2058</v>
      </c>
      <c r="L288" s="9"/>
      <c r="M288" s="9"/>
      <c r="N288" s="9"/>
      <c r="O288" s="38">
        <f t="shared" si="23"/>
        <v>2058</v>
      </c>
      <c r="P288" s="12"/>
      <c r="Q288" s="42"/>
      <c r="R288" s="15"/>
      <c r="S288" s="44"/>
      <c r="T288" s="15"/>
      <c r="U288" s="44"/>
      <c r="V288" s="15">
        <f t="shared" si="24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5"/>
        <v>0</v>
      </c>
      <c r="AF288" s="101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2"/>
        <v>0</v>
      </c>
      <c r="BA288" s="15"/>
      <c r="BB288" s="44"/>
      <c r="BC288" s="15"/>
      <c r="BD288" s="44"/>
      <c r="BE288" s="15">
        <f t="shared" si="21"/>
        <v>0</v>
      </c>
    </row>
    <row r="289" spans="1:57" s="8" customFormat="1" ht="22.5" customHeight="1">
      <c r="A289" s="9"/>
      <c r="B289" s="16" t="s">
        <v>204</v>
      </c>
      <c r="C289" s="89" t="s">
        <v>140</v>
      </c>
      <c r="D289" s="79" t="s">
        <v>443</v>
      </c>
      <c r="E289" s="13" t="s">
        <v>206</v>
      </c>
      <c r="F289" s="96"/>
      <c r="G289" s="9"/>
      <c r="H289" s="9" t="s">
        <v>207</v>
      </c>
      <c r="I289" s="14"/>
      <c r="J289" s="14"/>
      <c r="K289" s="12">
        <v>0</v>
      </c>
      <c r="L289" s="9"/>
      <c r="M289" s="9"/>
      <c r="N289" s="9"/>
      <c r="O289" s="38">
        <f t="shared" si="23"/>
        <v>0</v>
      </c>
      <c r="P289" s="12"/>
      <c r="Q289" s="42"/>
      <c r="R289" s="15"/>
      <c r="S289" s="44"/>
      <c r="T289" s="15"/>
      <c r="U289" s="44"/>
      <c r="V289" s="15">
        <f t="shared" si="24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5"/>
        <v>0</v>
      </c>
      <c r="AF289" s="101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2"/>
        <v>0</v>
      </c>
      <c r="BA289" s="15"/>
      <c r="BB289" s="44"/>
      <c r="BC289" s="15"/>
      <c r="BD289" s="44"/>
      <c r="BE289" s="15">
        <f t="shared" si="21"/>
        <v>0</v>
      </c>
    </row>
    <row r="290" spans="1:57" s="8" customFormat="1" ht="22.5" customHeight="1">
      <c r="A290" s="9"/>
      <c r="B290" s="16" t="s">
        <v>204</v>
      </c>
      <c r="C290" s="89" t="s">
        <v>140</v>
      </c>
      <c r="D290" s="79" t="s">
        <v>444</v>
      </c>
      <c r="E290" s="13" t="s">
        <v>206</v>
      </c>
      <c r="F290" s="96"/>
      <c r="G290" s="9"/>
      <c r="H290" s="9" t="s">
        <v>207</v>
      </c>
      <c r="I290" s="14"/>
      <c r="J290" s="14"/>
      <c r="K290" s="12">
        <v>0</v>
      </c>
      <c r="L290" s="9"/>
      <c r="M290" s="9"/>
      <c r="N290" s="9"/>
      <c r="O290" s="38">
        <f t="shared" si="23"/>
        <v>0</v>
      </c>
      <c r="P290" s="12"/>
      <c r="Q290" s="42"/>
      <c r="R290" s="15"/>
      <c r="S290" s="44"/>
      <c r="T290" s="15"/>
      <c r="U290" s="44"/>
      <c r="V290" s="15">
        <f t="shared" si="24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5"/>
        <v>0</v>
      </c>
      <c r="AF290" s="101"/>
      <c r="AG290" s="42"/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2"/>
        <v>0</v>
      </c>
      <c r="BA290" s="15"/>
      <c r="BB290" s="44"/>
      <c r="BC290" s="15"/>
      <c r="BD290" s="44"/>
      <c r="BE290" s="15">
        <f t="shared" ref="BE290:BE353" si="26">(BA290+BC290)</f>
        <v>0</v>
      </c>
    </row>
    <row r="291" spans="1:57" s="8" customFormat="1" ht="22.5" customHeight="1">
      <c r="A291" s="9"/>
      <c r="B291" s="16" t="s">
        <v>204</v>
      </c>
      <c r="C291" s="89" t="s">
        <v>140</v>
      </c>
      <c r="D291" s="79" t="s">
        <v>213</v>
      </c>
      <c r="E291" s="13" t="s">
        <v>215</v>
      </c>
      <c r="F291" s="96"/>
      <c r="G291" s="9"/>
      <c r="H291" s="9" t="s">
        <v>207</v>
      </c>
      <c r="I291" s="14"/>
      <c r="J291" s="14"/>
      <c r="K291" s="12">
        <v>56</v>
      </c>
      <c r="L291" s="9"/>
      <c r="M291" s="9"/>
      <c r="N291" s="9"/>
      <c r="O291" s="38">
        <f t="shared" si="23"/>
        <v>56</v>
      </c>
      <c r="P291" s="12"/>
      <c r="Q291" s="42"/>
      <c r="R291" s="15"/>
      <c r="S291" s="44"/>
      <c r="T291" s="15"/>
      <c r="U291" s="44"/>
      <c r="V291" s="15">
        <f t="shared" si="24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5"/>
        <v>0</v>
      </c>
      <c r="AF291" s="101"/>
      <c r="AG291" s="42"/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2"/>
        <v>0</v>
      </c>
      <c r="BA291" s="15"/>
      <c r="BB291" s="44"/>
      <c r="BC291" s="15"/>
      <c r="BD291" s="44"/>
      <c r="BE291" s="15">
        <f t="shared" si="26"/>
        <v>0</v>
      </c>
    </row>
    <row r="292" spans="1:57" s="8" customFormat="1" ht="22.5" customHeight="1">
      <c r="A292" s="9"/>
      <c r="B292" s="16" t="s">
        <v>204</v>
      </c>
      <c r="C292" s="89" t="s">
        <v>140</v>
      </c>
      <c r="D292" s="79" t="s">
        <v>445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32</v>
      </c>
      <c r="L292" s="9"/>
      <c r="M292" s="9"/>
      <c r="N292" s="9"/>
      <c r="O292" s="38">
        <f t="shared" si="23"/>
        <v>32</v>
      </c>
      <c r="P292" s="12"/>
      <c r="Q292" s="42"/>
      <c r="R292" s="15"/>
      <c r="S292" s="44"/>
      <c r="T292" s="15"/>
      <c r="U292" s="44"/>
      <c r="V292" s="15">
        <f t="shared" si="24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5"/>
        <v>0</v>
      </c>
      <c r="AF292" s="101"/>
      <c r="AG292" s="42"/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2"/>
        <v>0</v>
      </c>
      <c r="BA292" s="15"/>
      <c r="BB292" s="44"/>
      <c r="BC292" s="15"/>
      <c r="BD292" s="44"/>
      <c r="BE292" s="15">
        <f t="shared" si="26"/>
        <v>0</v>
      </c>
    </row>
    <row r="293" spans="1:57" s="8" customFormat="1" ht="22.5" customHeight="1">
      <c r="A293" s="9"/>
      <c r="B293" s="16" t="s">
        <v>204</v>
      </c>
      <c r="C293" s="89" t="s">
        <v>140</v>
      </c>
      <c r="D293" s="79" t="s">
        <v>446</v>
      </c>
      <c r="E293" s="13" t="s">
        <v>237</v>
      </c>
      <c r="F293" s="96"/>
      <c r="G293" s="9"/>
      <c r="H293" s="9" t="s">
        <v>207</v>
      </c>
      <c r="I293" s="14"/>
      <c r="J293" s="14"/>
      <c r="K293" s="12">
        <v>2263</v>
      </c>
      <c r="L293" s="9"/>
      <c r="M293" s="9"/>
      <c r="N293" s="9"/>
      <c r="O293" s="38">
        <f t="shared" si="23"/>
        <v>2263</v>
      </c>
      <c r="P293" s="12"/>
      <c r="Q293" s="42"/>
      <c r="R293" s="15"/>
      <c r="S293" s="44"/>
      <c r="T293" s="15"/>
      <c r="U293" s="44"/>
      <c r="V293" s="15">
        <f t="shared" si="24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5"/>
        <v>0</v>
      </c>
      <c r="AF293" s="101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ref="AZ293:AZ356" si="27">AF293+AH293+AJ293+AL293+AN293+AP293+AR293+AT293+AV293+AX293</f>
        <v>0</v>
      </c>
      <c r="BA293" s="15"/>
      <c r="BB293" s="44"/>
      <c r="BC293" s="15"/>
      <c r="BD293" s="44"/>
      <c r="BE293" s="15">
        <f t="shared" si="26"/>
        <v>0</v>
      </c>
    </row>
    <row r="294" spans="1:57" s="8" customFormat="1" ht="22.5" customHeight="1">
      <c r="A294" s="9"/>
      <c r="B294" s="16" t="s">
        <v>204</v>
      </c>
      <c r="C294" s="89" t="s">
        <v>140</v>
      </c>
      <c r="D294" s="79" t="s">
        <v>447</v>
      </c>
      <c r="E294" s="13" t="s">
        <v>237</v>
      </c>
      <c r="F294" s="96"/>
      <c r="G294" s="9"/>
      <c r="H294" s="9" t="s">
        <v>207</v>
      </c>
      <c r="I294" s="14"/>
      <c r="J294" s="14"/>
      <c r="K294" s="12">
        <v>3652</v>
      </c>
      <c r="L294" s="9"/>
      <c r="M294" s="9"/>
      <c r="N294" s="9"/>
      <c r="O294" s="38">
        <f t="shared" si="23"/>
        <v>3652</v>
      </c>
      <c r="P294" s="12"/>
      <c r="Q294" s="42"/>
      <c r="R294" s="15"/>
      <c r="S294" s="44"/>
      <c r="T294" s="15"/>
      <c r="U294" s="44"/>
      <c r="V294" s="15">
        <f t="shared" si="24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5"/>
        <v>0</v>
      </c>
      <c r="AF294" s="101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7"/>
        <v>0</v>
      </c>
      <c r="BA294" s="15"/>
      <c r="BB294" s="44"/>
      <c r="BC294" s="15"/>
      <c r="BD294" s="44"/>
      <c r="BE294" s="15">
        <f t="shared" si="26"/>
        <v>0</v>
      </c>
    </row>
    <row r="295" spans="1:57" s="8" customFormat="1" ht="22.5" customHeight="1">
      <c r="A295" s="9"/>
      <c r="B295" s="16" t="s">
        <v>204</v>
      </c>
      <c r="C295" s="89" t="s">
        <v>140</v>
      </c>
      <c r="D295" s="61" t="s">
        <v>448</v>
      </c>
      <c r="E295" s="13" t="s">
        <v>215</v>
      </c>
      <c r="F295" s="96"/>
      <c r="G295" s="9"/>
      <c r="H295" s="9" t="s">
        <v>207</v>
      </c>
      <c r="I295" s="14"/>
      <c r="J295" s="14"/>
      <c r="K295" s="12">
        <v>185</v>
      </c>
      <c r="L295" s="9"/>
      <c r="M295" s="9"/>
      <c r="N295" s="9"/>
      <c r="O295" s="38">
        <f t="shared" si="23"/>
        <v>185</v>
      </c>
      <c r="P295" s="12"/>
      <c r="Q295" s="42"/>
      <c r="R295" s="15"/>
      <c r="S295" s="44"/>
      <c r="T295" s="15"/>
      <c r="U295" s="44"/>
      <c r="V295" s="15">
        <f t="shared" si="24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5"/>
        <v>0</v>
      </c>
      <c r="AF295" s="101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7"/>
        <v>0</v>
      </c>
      <c r="BA295" s="15"/>
      <c r="BB295" s="44"/>
      <c r="BC295" s="15"/>
      <c r="BD295" s="44"/>
      <c r="BE295" s="15">
        <f t="shared" si="26"/>
        <v>0</v>
      </c>
    </row>
    <row r="296" spans="1:57" s="8" customFormat="1" ht="22.5" customHeight="1">
      <c r="A296" s="9"/>
      <c r="B296" s="16" t="s">
        <v>204</v>
      </c>
      <c r="C296" s="89" t="s">
        <v>140</v>
      </c>
      <c r="D296" s="61" t="s">
        <v>449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4840</v>
      </c>
      <c r="L296" s="9"/>
      <c r="M296" s="9"/>
      <c r="N296" s="9"/>
      <c r="O296" s="38">
        <f t="shared" si="23"/>
        <v>4840</v>
      </c>
      <c r="P296" s="12"/>
      <c r="Q296" s="42"/>
      <c r="R296" s="15"/>
      <c r="S296" s="44"/>
      <c r="T296" s="15"/>
      <c r="U296" s="44"/>
      <c r="V296" s="15">
        <f t="shared" si="24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5"/>
        <v>0</v>
      </c>
      <c r="AF296" s="101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7"/>
        <v>0</v>
      </c>
      <c r="BA296" s="15"/>
      <c r="BB296" s="44"/>
      <c r="BC296" s="15"/>
      <c r="BD296" s="44"/>
      <c r="BE296" s="15">
        <f t="shared" si="26"/>
        <v>0</v>
      </c>
    </row>
    <row r="297" spans="1:57" s="8" customFormat="1" ht="22.5" customHeight="1">
      <c r="A297" s="9"/>
      <c r="B297" s="16" t="s">
        <v>204</v>
      </c>
      <c r="C297" s="89" t="s">
        <v>140</v>
      </c>
      <c r="D297" s="61" t="s">
        <v>450</v>
      </c>
      <c r="E297" s="13" t="s">
        <v>206</v>
      </c>
      <c r="F297" s="96"/>
      <c r="G297" s="9"/>
      <c r="H297" s="9" t="s">
        <v>207</v>
      </c>
      <c r="I297" s="14"/>
      <c r="J297" s="14"/>
      <c r="K297" s="12">
        <v>225</v>
      </c>
      <c r="L297" s="9"/>
      <c r="M297" s="9"/>
      <c r="N297" s="9"/>
      <c r="O297" s="38">
        <f t="shared" si="23"/>
        <v>225</v>
      </c>
      <c r="P297" s="12"/>
      <c r="Q297" s="42"/>
      <c r="R297" s="15"/>
      <c r="S297" s="44"/>
      <c r="T297" s="15"/>
      <c r="U297" s="44"/>
      <c r="V297" s="15">
        <f t="shared" si="24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5"/>
        <v>0</v>
      </c>
      <c r="AF297" s="101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7"/>
        <v>0</v>
      </c>
      <c r="BA297" s="15"/>
      <c r="BB297" s="44"/>
      <c r="BC297" s="15"/>
      <c r="BD297" s="44"/>
      <c r="BE297" s="15">
        <f t="shared" si="26"/>
        <v>0</v>
      </c>
    </row>
    <row r="298" spans="1:57" s="8" customFormat="1" ht="22.5" customHeight="1">
      <c r="A298" s="9"/>
      <c r="B298" s="16" t="s">
        <v>204</v>
      </c>
      <c r="C298" s="89" t="s">
        <v>140</v>
      </c>
      <c r="D298" s="79" t="s">
        <v>216</v>
      </c>
      <c r="E298" s="13" t="s">
        <v>217</v>
      </c>
      <c r="F298" s="96"/>
      <c r="G298" s="9"/>
      <c r="H298" s="9" t="s">
        <v>207</v>
      </c>
      <c r="I298" s="14"/>
      <c r="J298" s="14"/>
      <c r="K298" s="12">
        <v>93</v>
      </c>
      <c r="L298" s="9"/>
      <c r="M298" s="9"/>
      <c r="N298" s="9"/>
      <c r="O298" s="38">
        <f t="shared" si="23"/>
        <v>93</v>
      </c>
      <c r="P298" s="12"/>
      <c r="Q298" s="42"/>
      <c r="R298" s="15"/>
      <c r="S298" s="44"/>
      <c r="T298" s="15"/>
      <c r="U298" s="44"/>
      <c r="V298" s="15">
        <f t="shared" si="24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5"/>
        <v>0</v>
      </c>
      <c r="AF298" s="101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7"/>
        <v>0</v>
      </c>
      <c r="BA298" s="15"/>
      <c r="BB298" s="44"/>
      <c r="BC298" s="15"/>
      <c r="BD298" s="44"/>
      <c r="BE298" s="15">
        <f t="shared" si="26"/>
        <v>0</v>
      </c>
    </row>
    <row r="299" spans="1:57" s="8" customFormat="1" ht="22.5" customHeight="1">
      <c r="A299" s="9"/>
      <c r="B299" s="16" t="s">
        <v>204</v>
      </c>
      <c r="C299" s="89" t="s">
        <v>140</v>
      </c>
      <c r="D299" s="61" t="s">
        <v>451</v>
      </c>
      <c r="E299" s="13" t="s">
        <v>206</v>
      </c>
      <c r="F299" s="96"/>
      <c r="G299" s="9"/>
      <c r="H299" s="9" t="s">
        <v>207</v>
      </c>
      <c r="I299" s="14"/>
      <c r="J299" s="14"/>
      <c r="K299" s="12">
        <v>3331</v>
      </c>
      <c r="L299" s="9"/>
      <c r="M299" s="9"/>
      <c r="N299" s="9"/>
      <c r="O299" s="38">
        <f t="shared" si="23"/>
        <v>3331</v>
      </c>
      <c r="P299" s="12"/>
      <c r="Q299" s="42"/>
      <c r="R299" s="15"/>
      <c r="S299" s="44"/>
      <c r="T299" s="15"/>
      <c r="U299" s="44"/>
      <c r="V299" s="15">
        <f t="shared" si="24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5"/>
        <v>0</v>
      </c>
      <c r="AF299" s="101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7"/>
        <v>0</v>
      </c>
      <c r="BA299" s="15"/>
      <c r="BB299" s="44"/>
      <c r="BC299" s="15"/>
      <c r="BD299" s="44"/>
      <c r="BE299" s="15">
        <f t="shared" si="26"/>
        <v>0</v>
      </c>
    </row>
    <row r="300" spans="1:57" s="8" customFormat="1" ht="22.5" customHeight="1">
      <c r="A300" s="9"/>
      <c r="B300" s="16" t="s">
        <v>204</v>
      </c>
      <c r="C300" s="89" t="s">
        <v>140</v>
      </c>
      <c r="D300" s="79" t="s">
        <v>452</v>
      </c>
      <c r="E300" s="13" t="s">
        <v>217</v>
      </c>
      <c r="F300" s="96"/>
      <c r="G300" s="9"/>
      <c r="H300" s="9" t="s">
        <v>207</v>
      </c>
      <c r="I300" s="14"/>
      <c r="J300" s="14"/>
      <c r="K300" s="12">
        <v>6</v>
      </c>
      <c r="L300" s="9"/>
      <c r="M300" s="9"/>
      <c r="N300" s="9"/>
      <c r="O300" s="38">
        <f t="shared" si="23"/>
        <v>6</v>
      </c>
      <c r="P300" s="12"/>
      <c r="Q300" s="42"/>
      <c r="R300" s="15"/>
      <c r="S300" s="44"/>
      <c r="T300" s="15"/>
      <c r="U300" s="44"/>
      <c r="V300" s="15">
        <f t="shared" si="24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5"/>
        <v>0</v>
      </c>
      <c r="AF300" s="101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7"/>
        <v>0</v>
      </c>
      <c r="BA300" s="15"/>
      <c r="BB300" s="44"/>
      <c r="BC300" s="15"/>
      <c r="BD300" s="44"/>
      <c r="BE300" s="15">
        <f t="shared" si="26"/>
        <v>0</v>
      </c>
    </row>
    <row r="301" spans="1:57" s="8" customFormat="1" ht="22.5" customHeight="1">
      <c r="A301" s="9"/>
      <c r="B301" s="16" t="s">
        <v>204</v>
      </c>
      <c r="C301" s="89" t="s">
        <v>140</v>
      </c>
      <c r="D301" s="78" t="s">
        <v>453</v>
      </c>
      <c r="E301" s="13" t="s">
        <v>206</v>
      </c>
      <c r="F301" s="96"/>
      <c r="G301" s="9"/>
      <c r="H301" s="9" t="s">
        <v>207</v>
      </c>
      <c r="I301" s="14"/>
      <c r="J301" s="14"/>
      <c r="K301" s="12">
        <v>3432</v>
      </c>
      <c r="L301" s="9"/>
      <c r="M301" s="9"/>
      <c r="N301" s="9"/>
      <c r="O301" s="38">
        <f t="shared" si="23"/>
        <v>3432</v>
      </c>
      <c r="P301" s="12"/>
      <c r="Q301" s="42"/>
      <c r="R301" s="15"/>
      <c r="S301" s="44"/>
      <c r="T301" s="15"/>
      <c r="U301" s="44"/>
      <c r="V301" s="15">
        <f t="shared" si="24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5"/>
        <v>0</v>
      </c>
      <c r="AF301" s="101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7"/>
        <v>0</v>
      </c>
      <c r="BA301" s="15"/>
      <c r="BB301" s="44"/>
      <c r="BC301" s="15"/>
      <c r="BD301" s="44"/>
      <c r="BE301" s="15">
        <f t="shared" si="26"/>
        <v>0</v>
      </c>
    </row>
    <row r="302" spans="1:57" s="8" customFormat="1" ht="22.5" customHeight="1">
      <c r="A302" s="9"/>
      <c r="B302" s="16" t="s">
        <v>204</v>
      </c>
      <c r="C302" s="89" t="s">
        <v>140</v>
      </c>
      <c r="D302" s="78" t="s">
        <v>454</v>
      </c>
      <c r="E302" s="13" t="s">
        <v>217</v>
      </c>
      <c r="F302" s="96"/>
      <c r="G302" s="9"/>
      <c r="H302" s="9" t="s">
        <v>207</v>
      </c>
      <c r="I302" s="14"/>
      <c r="J302" s="14"/>
      <c r="K302" s="12">
        <v>35</v>
      </c>
      <c r="L302" s="9"/>
      <c r="M302" s="9"/>
      <c r="N302" s="9"/>
      <c r="O302" s="38">
        <f t="shared" si="23"/>
        <v>35</v>
      </c>
      <c r="P302" s="12"/>
      <c r="Q302" s="42"/>
      <c r="R302" s="15"/>
      <c r="S302" s="44"/>
      <c r="T302" s="15"/>
      <c r="U302" s="44"/>
      <c r="V302" s="15">
        <f t="shared" si="24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5"/>
        <v>0</v>
      </c>
      <c r="AF302" s="101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7"/>
        <v>0</v>
      </c>
      <c r="BA302" s="15"/>
      <c r="BB302" s="44"/>
      <c r="BC302" s="15"/>
      <c r="BD302" s="44"/>
      <c r="BE302" s="15">
        <f t="shared" si="26"/>
        <v>0</v>
      </c>
    </row>
    <row r="303" spans="1:57" s="8" customFormat="1" ht="22.5" customHeight="1">
      <c r="A303" s="9"/>
      <c r="B303" s="16" t="s">
        <v>204</v>
      </c>
      <c r="C303" s="89" t="s">
        <v>140</v>
      </c>
      <c r="D303" s="78" t="s">
        <v>455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2756</v>
      </c>
      <c r="L303" s="9"/>
      <c r="M303" s="9"/>
      <c r="N303" s="9"/>
      <c r="O303" s="38">
        <f t="shared" si="23"/>
        <v>2756</v>
      </c>
      <c r="P303" s="12"/>
      <c r="Q303" s="42"/>
      <c r="R303" s="15"/>
      <c r="S303" s="44"/>
      <c r="T303" s="15"/>
      <c r="U303" s="44"/>
      <c r="V303" s="15">
        <f t="shared" si="24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5"/>
        <v>0</v>
      </c>
      <c r="AF303" s="101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7"/>
        <v>0</v>
      </c>
      <c r="BA303" s="15"/>
      <c r="BB303" s="44"/>
      <c r="BC303" s="15"/>
      <c r="BD303" s="44"/>
      <c r="BE303" s="15">
        <f t="shared" si="26"/>
        <v>0</v>
      </c>
    </row>
    <row r="304" spans="1:57" s="8" customFormat="1" ht="22.5" customHeight="1">
      <c r="A304" s="9"/>
      <c r="B304" s="16" t="s">
        <v>204</v>
      </c>
      <c r="C304" s="89" t="s">
        <v>140</v>
      </c>
      <c r="D304" s="78" t="s">
        <v>456</v>
      </c>
      <c r="E304" s="13" t="s">
        <v>217</v>
      </c>
      <c r="F304" s="96"/>
      <c r="G304" s="9"/>
      <c r="H304" s="9" t="s">
        <v>207</v>
      </c>
      <c r="I304" s="14"/>
      <c r="J304" s="14"/>
      <c r="K304" s="12">
        <v>74</v>
      </c>
      <c r="L304" s="9"/>
      <c r="M304" s="9"/>
      <c r="N304" s="9"/>
      <c r="O304" s="38">
        <f t="shared" si="23"/>
        <v>74</v>
      </c>
      <c r="P304" s="12"/>
      <c r="Q304" s="42"/>
      <c r="R304" s="15"/>
      <c r="S304" s="44"/>
      <c r="T304" s="15"/>
      <c r="U304" s="44"/>
      <c r="V304" s="15">
        <f t="shared" si="24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5"/>
        <v>0</v>
      </c>
      <c r="AF304" s="101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7"/>
        <v>0</v>
      </c>
      <c r="BA304" s="15"/>
      <c r="BB304" s="44"/>
      <c r="BC304" s="15"/>
      <c r="BD304" s="44"/>
      <c r="BE304" s="15">
        <f t="shared" si="26"/>
        <v>0</v>
      </c>
    </row>
    <row r="305" spans="1:57" s="8" customFormat="1" ht="22.5" customHeight="1">
      <c r="A305" s="9"/>
      <c r="B305" s="16" t="s">
        <v>204</v>
      </c>
      <c r="C305" s="89" t="s">
        <v>140</v>
      </c>
      <c r="D305" s="78" t="s">
        <v>457</v>
      </c>
      <c r="E305" s="13" t="s">
        <v>458</v>
      </c>
      <c r="F305" s="96"/>
      <c r="G305" s="9"/>
      <c r="H305" s="9" t="s">
        <v>207</v>
      </c>
      <c r="I305" s="14"/>
      <c r="J305" s="14"/>
      <c r="K305" s="12">
        <v>78</v>
      </c>
      <c r="L305" s="9"/>
      <c r="M305" s="9"/>
      <c r="N305" s="9"/>
      <c r="O305" s="38">
        <f t="shared" si="23"/>
        <v>78</v>
      </c>
      <c r="P305" s="12"/>
      <c r="Q305" s="42"/>
      <c r="R305" s="15"/>
      <c r="S305" s="44"/>
      <c r="T305" s="15"/>
      <c r="U305" s="44"/>
      <c r="V305" s="15">
        <f t="shared" si="24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5"/>
        <v>0</v>
      </c>
      <c r="AF305" s="101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7"/>
        <v>0</v>
      </c>
      <c r="BA305" s="15"/>
      <c r="BB305" s="44"/>
      <c r="BC305" s="15"/>
      <c r="BD305" s="44"/>
      <c r="BE305" s="15">
        <f t="shared" si="26"/>
        <v>0</v>
      </c>
    </row>
    <row r="306" spans="1:57" s="8" customFormat="1" ht="22.5" customHeight="1">
      <c r="A306" s="9"/>
      <c r="B306" s="16" t="s">
        <v>204</v>
      </c>
      <c r="C306" s="89" t="s">
        <v>140</v>
      </c>
      <c r="D306" s="78" t="s">
        <v>459</v>
      </c>
      <c r="E306" s="13" t="s">
        <v>206</v>
      </c>
      <c r="F306" s="96"/>
      <c r="G306" s="9"/>
      <c r="H306" s="9" t="s">
        <v>207</v>
      </c>
      <c r="I306" s="14"/>
      <c r="J306" s="14"/>
      <c r="K306" s="12">
        <v>3340</v>
      </c>
      <c r="L306" s="9"/>
      <c r="M306" s="9"/>
      <c r="N306" s="9"/>
      <c r="O306" s="38">
        <f t="shared" si="23"/>
        <v>3340</v>
      </c>
      <c r="P306" s="12"/>
      <c r="Q306" s="42"/>
      <c r="R306" s="15"/>
      <c r="S306" s="44"/>
      <c r="T306" s="15"/>
      <c r="U306" s="44"/>
      <c r="V306" s="15">
        <f t="shared" si="24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5"/>
        <v>0</v>
      </c>
      <c r="AF306" s="101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7"/>
        <v>0</v>
      </c>
      <c r="BA306" s="15"/>
      <c r="BB306" s="44"/>
      <c r="BC306" s="15"/>
      <c r="BD306" s="44"/>
      <c r="BE306" s="15">
        <f t="shared" si="26"/>
        <v>0</v>
      </c>
    </row>
    <row r="307" spans="1:57" s="8" customFormat="1" ht="22.5" customHeight="1">
      <c r="A307" s="9"/>
      <c r="B307" s="16" t="s">
        <v>204</v>
      </c>
      <c r="C307" s="89" t="s">
        <v>140</v>
      </c>
      <c r="D307" s="61" t="s">
        <v>460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133</v>
      </c>
      <c r="L307" s="9"/>
      <c r="M307" s="9"/>
      <c r="N307" s="9"/>
      <c r="O307" s="38">
        <f t="shared" si="23"/>
        <v>133</v>
      </c>
      <c r="P307" s="12"/>
      <c r="Q307" s="42"/>
      <c r="R307" s="15"/>
      <c r="S307" s="44"/>
      <c r="T307" s="15"/>
      <c r="U307" s="44"/>
      <c r="V307" s="15">
        <f t="shared" si="24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5"/>
        <v>0</v>
      </c>
      <c r="AF307" s="101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7"/>
        <v>0</v>
      </c>
      <c r="BA307" s="15"/>
      <c r="BB307" s="44"/>
      <c r="BC307" s="15"/>
      <c r="BD307" s="44"/>
      <c r="BE307" s="15">
        <f t="shared" si="26"/>
        <v>0</v>
      </c>
    </row>
    <row r="308" spans="1:57" s="8" customFormat="1" ht="22.5" customHeight="1">
      <c r="A308" s="9"/>
      <c r="B308" s="16" t="s">
        <v>204</v>
      </c>
      <c r="C308" s="89" t="s">
        <v>140</v>
      </c>
      <c r="D308" s="61" t="s">
        <v>461</v>
      </c>
      <c r="E308" s="13" t="s">
        <v>215</v>
      </c>
      <c r="F308" s="96"/>
      <c r="G308" s="9"/>
      <c r="H308" s="9" t="s">
        <v>207</v>
      </c>
      <c r="I308" s="14"/>
      <c r="J308" s="14"/>
      <c r="K308" s="12">
        <v>123</v>
      </c>
      <c r="L308" s="9"/>
      <c r="M308" s="9"/>
      <c r="N308" s="9"/>
      <c r="O308" s="38">
        <f t="shared" si="23"/>
        <v>123</v>
      </c>
      <c r="P308" s="12"/>
      <c r="Q308" s="42"/>
      <c r="R308" s="15"/>
      <c r="S308" s="44"/>
      <c r="T308" s="15"/>
      <c r="U308" s="44"/>
      <c r="V308" s="15">
        <f t="shared" si="24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5"/>
        <v>0</v>
      </c>
      <c r="AF308" s="101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7"/>
        <v>0</v>
      </c>
      <c r="BA308" s="15"/>
      <c r="BB308" s="44"/>
      <c r="BC308" s="15"/>
      <c r="BD308" s="44"/>
      <c r="BE308" s="15">
        <f t="shared" si="26"/>
        <v>0</v>
      </c>
    </row>
    <row r="309" spans="1:57" s="8" customFormat="1" ht="22.5" customHeight="1">
      <c r="A309" s="9"/>
      <c r="B309" s="16" t="s">
        <v>204</v>
      </c>
      <c r="C309" s="89" t="s">
        <v>140</v>
      </c>
      <c r="D309" s="79" t="s">
        <v>221</v>
      </c>
      <c r="E309" s="13" t="s">
        <v>215</v>
      </c>
      <c r="F309" s="96"/>
      <c r="G309" s="9"/>
      <c r="H309" s="9" t="s">
        <v>207</v>
      </c>
      <c r="I309" s="14"/>
      <c r="J309" s="14"/>
      <c r="K309" s="12">
        <v>134</v>
      </c>
      <c r="L309" s="9"/>
      <c r="M309" s="9"/>
      <c r="N309" s="9"/>
      <c r="O309" s="38">
        <f t="shared" si="23"/>
        <v>134</v>
      </c>
      <c r="P309" s="12"/>
      <c r="Q309" s="42"/>
      <c r="R309" s="15"/>
      <c r="S309" s="44"/>
      <c r="T309" s="15"/>
      <c r="U309" s="44"/>
      <c r="V309" s="15">
        <f t="shared" si="24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5"/>
        <v>0</v>
      </c>
      <c r="AF309" s="101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7"/>
        <v>0</v>
      </c>
      <c r="BA309" s="15"/>
      <c r="BB309" s="44"/>
      <c r="BC309" s="15"/>
      <c r="BD309" s="44"/>
      <c r="BE309" s="15">
        <f t="shared" si="26"/>
        <v>0</v>
      </c>
    </row>
    <row r="310" spans="1:57" s="8" customFormat="1" ht="22.5" customHeight="1">
      <c r="A310" s="9"/>
      <c r="B310" s="16" t="s">
        <v>204</v>
      </c>
      <c r="C310" s="89" t="s">
        <v>140</v>
      </c>
      <c r="D310" s="79" t="s">
        <v>223</v>
      </c>
      <c r="E310" s="13" t="s">
        <v>215</v>
      </c>
      <c r="F310" s="96"/>
      <c r="G310" s="9"/>
      <c r="H310" s="9" t="s">
        <v>207</v>
      </c>
      <c r="I310" s="14"/>
      <c r="J310" s="14"/>
      <c r="K310" s="12">
        <v>113</v>
      </c>
      <c r="L310" s="9"/>
      <c r="M310" s="9"/>
      <c r="N310" s="9"/>
      <c r="O310" s="38">
        <f t="shared" si="23"/>
        <v>113</v>
      </c>
      <c r="P310" s="12"/>
      <c r="Q310" s="42"/>
      <c r="R310" s="15"/>
      <c r="S310" s="44"/>
      <c r="T310" s="15"/>
      <c r="U310" s="44"/>
      <c r="V310" s="15">
        <f t="shared" si="24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5"/>
        <v>0</v>
      </c>
      <c r="AF310" s="101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7"/>
        <v>0</v>
      </c>
      <c r="BA310" s="15"/>
      <c r="BB310" s="44"/>
      <c r="BC310" s="15"/>
      <c r="BD310" s="44"/>
      <c r="BE310" s="15">
        <f t="shared" si="26"/>
        <v>0</v>
      </c>
    </row>
    <row r="311" spans="1:57" s="8" customFormat="1" ht="22.5" customHeight="1">
      <c r="A311" s="9"/>
      <c r="B311" s="16" t="s">
        <v>155</v>
      </c>
      <c r="C311" s="89" t="s">
        <v>140</v>
      </c>
      <c r="D311" s="80" t="s">
        <v>462</v>
      </c>
      <c r="E311" s="13"/>
      <c r="F311" s="96"/>
      <c r="G311" s="9"/>
      <c r="H311" s="9" t="s">
        <v>314</v>
      </c>
      <c r="I311" s="14"/>
      <c r="J311" s="14"/>
      <c r="K311" s="12">
        <v>59</v>
      </c>
      <c r="L311" s="9"/>
      <c r="M311" s="9"/>
      <c r="N311" s="9"/>
      <c r="O311" s="38">
        <f t="shared" si="23"/>
        <v>59</v>
      </c>
      <c r="P311" s="12"/>
      <c r="Q311" s="42"/>
      <c r="R311" s="15"/>
      <c r="S311" s="44"/>
      <c r="T311" s="15"/>
      <c r="U311" s="44"/>
      <c r="V311" s="15">
        <f t="shared" si="24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5"/>
        <v>0</v>
      </c>
      <c r="AF311" s="101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7"/>
        <v>0</v>
      </c>
      <c r="BA311" s="15"/>
      <c r="BB311" s="44"/>
      <c r="BC311" s="15"/>
      <c r="BD311" s="44"/>
      <c r="BE311" s="15">
        <f t="shared" si="26"/>
        <v>0</v>
      </c>
    </row>
    <row r="312" spans="1:57" s="8" customFormat="1" ht="22.5" customHeight="1">
      <c r="A312" s="9"/>
      <c r="B312" s="16" t="s">
        <v>155</v>
      </c>
      <c r="C312" s="89" t="s">
        <v>140</v>
      </c>
      <c r="D312" s="80" t="s">
        <v>463</v>
      </c>
      <c r="E312" s="13"/>
      <c r="F312" s="96"/>
      <c r="G312" s="9"/>
      <c r="H312" s="9" t="s">
        <v>314</v>
      </c>
      <c r="I312" s="14"/>
      <c r="J312" s="14"/>
      <c r="K312" s="12">
        <v>0</v>
      </c>
      <c r="L312" s="9"/>
      <c r="M312" s="9"/>
      <c r="N312" s="9"/>
      <c r="O312" s="38">
        <f t="shared" si="23"/>
        <v>0</v>
      </c>
      <c r="P312" s="12"/>
      <c r="Q312" s="42"/>
      <c r="R312" s="15"/>
      <c r="S312" s="44"/>
      <c r="T312" s="15"/>
      <c r="U312" s="44"/>
      <c r="V312" s="15">
        <f t="shared" si="24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5"/>
        <v>0</v>
      </c>
      <c r="AF312" s="101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7"/>
        <v>0</v>
      </c>
      <c r="BA312" s="15"/>
      <c r="BB312" s="44"/>
      <c r="BC312" s="15"/>
      <c r="BD312" s="44"/>
      <c r="BE312" s="15">
        <f t="shared" si="26"/>
        <v>0</v>
      </c>
    </row>
    <row r="313" spans="1:57" s="8" customFormat="1" ht="22.5" customHeight="1">
      <c r="A313" s="9"/>
      <c r="B313" s="16" t="s">
        <v>464</v>
      </c>
      <c r="C313" s="89" t="s">
        <v>140</v>
      </c>
      <c r="D313" s="80" t="s">
        <v>465</v>
      </c>
      <c r="E313" s="13" t="s">
        <v>466</v>
      </c>
      <c r="F313" s="96"/>
      <c r="G313" s="9"/>
      <c r="H313" s="9" t="s">
        <v>467</v>
      </c>
      <c r="I313" s="14"/>
      <c r="J313" s="14"/>
      <c r="K313" s="12">
        <v>54</v>
      </c>
      <c r="L313" s="9"/>
      <c r="M313" s="9"/>
      <c r="N313" s="9"/>
      <c r="O313" s="38">
        <f t="shared" si="23"/>
        <v>54</v>
      </c>
      <c r="P313" s="12"/>
      <c r="Q313" s="42"/>
      <c r="R313" s="15"/>
      <c r="S313" s="44"/>
      <c r="T313" s="15"/>
      <c r="U313" s="44"/>
      <c r="V313" s="15">
        <f t="shared" si="24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5"/>
        <v>0</v>
      </c>
      <c r="AF313" s="101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7"/>
        <v>0</v>
      </c>
      <c r="BA313" s="15"/>
      <c r="BB313" s="44"/>
      <c r="BC313" s="15"/>
      <c r="BD313" s="44"/>
      <c r="BE313" s="15">
        <f t="shared" si="26"/>
        <v>0</v>
      </c>
    </row>
    <row r="314" spans="1:57" s="8" customFormat="1" ht="22.5" customHeight="1">
      <c r="A314" s="9"/>
      <c r="B314" s="16" t="s">
        <v>464</v>
      </c>
      <c r="C314" s="89" t="s">
        <v>140</v>
      </c>
      <c r="D314" s="80" t="s">
        <v>468</v>
      </c>
      <c r="E314" s="13" t="s">
        <v>469</v>
      </c>
      <c r="F314" s="96"/>
      <c r="G314" s="9"/>
      <c r="H314" s="9" t="s">
        <v>467</v>
      </c>
      <c r="I314" s="14"/>
      <c r="J314" s="14"/>
      <c r="K314" s="12">
        <v>0</v>
      </c>
      <c r="L314" s="9"/>
      <c r="M314" s="9"/>
      <c r="N314" s="9"/>
      <c r="O314" s="38">
        <f t="shared" si="23"/>
        <v>0</v>
      </c>
      <c r="P314" s="12"/>
      <c r="Q314" s="42"/>
      <c r="R314" s="15"/>
      <c r="S314" s="44"/>
      <c r="T314" s="15"/>
      <c r="U314" s="44"/>
      <c r="V314" s="15">
        <f t="shared" si="24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5"/>
        <v>0</v>
      </c>
      <c r="AF314" s="101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7"/>
        <v>0</v>
      </c>
      <c r="BA314" s="15"/>
      <c r="BB314" s="44"/>
      <c r="BC314" s="15"/>
      <c r="BD314" s="44"/>
      <c r="BE314" s="15">
        <f t="shared" si="26"/>
        <v>0</v>
      </c>
    </row>
    <row r="315" spans="1:57" s="8" customFormat="1" ht="22.5" customHeight="1">
      <c r="A315" s="9"/>
      <c r="B315" s="16" t="s">
        <v>470</v>
      </c>
      <c r="C315" s="89" t="s">
        <v>140</v>
      </c>
      <c r="D315" s="80" t="s">
        <v>471</v>
      </c>
      <c r="E315" s="13"/>
      <c r="F315" s="96"/>
      <c r="G315" s="9"/>
      <c r="H315" s="9" t="s">
        <v>467</v>
      </c>
      <c r="I315" s="14"/>
      <c r="J315" s="14"/>
      <c r="K315" s="12">
        <v>71</v>
      </c>
      <c r="L315" s="9"/>
      <c r="M315" s="9"/>
      <c r="N315" s="9"/>
      <c r="O315" s="38">
        <f t="shared" si="23"/>
        <v>71</v>
      </c>
      <c r="P315" s="12"/>
      <c r="Q315" s="42"/>
      <c r="R315" s="15"/>
      <c r="S315" s="44"/>
      <c r="T315" s="15"/>
      <c r="U315" s="44"/>
      <c r="V315" s="15">
        <f t="shared" si="24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5"/>
        <v>0</v>
      </c>
      <c r="AF315" s="101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7"/>
        <v>0</v>
      </c>
      <c r="BA315" s="15"/>
      <c r="BB315" s="44"/>
      <c r="BC315" s="15"/>
      <c r="BD315" s="44"/>
      <c r="BE315" s="15">
        <f t="shared" si="26"/>
        <v>0</v>
      </c>
    </row>
    <row r="316" spans="1:57" s="8" customFormat="1" ht="22.5" customHeight="1">
      <c r="A316" s="9"/>
      <c r="B316" s="16" t="s">
        <v>472</v>
      </c>
      <c r="C316" s="89" t="s">
        <v>140</v>
      </c>
      <c r="D316" s="80" t="s">
        <v>473</v>
      </c>
      <c r="E316" s="13" t="s">
        <v>474</v>
      </c>
      <c r="F316" s="96"/>
      <c r="G316" s="9"/>
      <c r="H316" s="9" t="s">
        <v>67</v>
      </c>
      <c r="I316" s="14"/>
      <c r="J316" s="14"/>
      <c r="K316" s="12">
        <v>301</v>
      </c>
      <c r="L316" s="9"/>
      <c r="M316" s="9"/>
      <c r="N316" s="9"/>
      <c r="O316" s="38">
        <f t="shared" si="23"/>
        <v>301</v>
      </c>
      <c r="P316" s="12"/>
      <c r="Q316" s="42"/>
      <c r="R316" s="15"/>
      <c r="S316" s="44"/>
      <c r="T316" s="15"/>
      <c r="U316" s="44"/>
      <c r="V316" s="15">
        <f t="shared" si="24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5"/>
        <v>0</v>
      </c>
      <c r="AF316" s="101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7"/>
        <v>0</v>
      </c>
      <c r="BA316" s="15"/>
      <c r="BB316" s="44"/>
      <c r="BC316" s="15"/>
      <c r="BD316" s="44"/>
      <c r="BE316" s="15">
        <f t="shared" si="26"/>
        <v>0</v>
      </c>
    </row>
    <row r="317" spans="1:57" s="8" customFormat="1" ht="22.5" customHeight="1">
      <c r="A317" s="9"/>
      <c r="B317" s="16" t="s">
        <v>472</v>
      </c>
      <c r="C317" s="89" t="s">
        <v>140</v>
      </c>
      <c r="D317" s="80" t="s">
        <v>475</v>
      </c>
      <c r="E317" s="13" t="s">
        <v>476</v>
      </c>
      <c r="F317" s="96"/>
      <c r="G317" s="9"/>
      <c r="H317" s="9" t="s">
        <v>67</v>
      </c>
      <c r="I317" s="14"/>
      <c r="J317" s="14"/>
      <c r="K317" s="12">
        <v>352</v>
      </c>
      <c r="L317" s="9"/>
      <c r="M317" s="9"/>
      <c r="N317" s="9"/>
      <c r="O317" s="38">
        <f t="shared" si="23"/>
        <v>352</v>
      </c>
      <c r="P317" s="12"/>
      <c r="Q317" s="42"/>
      <c r="R317" s="15"/>
      <c r="S317" s="44"/>
      <c r="T317" s="15"/>
      <c r="U317" s="44"/>
      <c r="V317" s="15">
        <f t="shared" si="24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5"/>
        <v>0</v>
      </c>
      <c r="AF317" s="101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7"/>
        <v>0</v>
      </c>
      <c r="BA317" s="15"/>
      <c r="BB317" s="44"/>
      <c r="BC317" s="15"/>
      <c r="BD317" s="44"/>
      <c r="BE317" s="15">
        <f t="shared" si="26"/>
        <v>0</v>
      </c>
    </row>
    <row r="318" spans="1:57" s="8" customFormat="1" ht="22.5" customHeight="1">
      <c r="A318" s="9"/>
      <c r="B318" s="16" t="s">
        <v>477</v>
      </c>
      <c r="C318" s="89" t="s">
        <v>140</v>
      </c>
      <c r="D318" s="80" t="s">
        <v>478</v>
      </c>
      <c r="E318" s="13"/>
      <c r="F318" s="96"/>
      <c r="G318" s="9"/>
      <c r="H318" s="9" t="s">
        <v>467</v>
      </c>
      <c r="I318" s="14"/>
      <c r="J318" s="14"/>
      <c r="K318" s="12">
        <v>200</v>
      </c>
      <c r="L318" s="9"/>
      <c r="M318" s="9"/>
      <c r="N318" s="9"/>
      <c r="O318" s="38">
        <f t="shared" si="23"/>
        <v>200</v>
      </c>
      <c r="P318" s="12"/>
      <c r="Q318" s="42"/>
      <c r="R318" s="15"/>
      <c r="S318" s="44"/>
      <c r="T318" s="15"/>
      <c r="U318" s="44"/>
      <c r="V318" s="15">
        <f t="shared" si="24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5"/>
        <v>0</v>
      </c>
      <c r="AF318" s="101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7"/>
        <v>0</v>
      </c>
      <c r="BA318" s="15"/>
      <c r="BB318" s="44"/>
      <c r="BC318" s="15"/>
      <c r="BD318" s="44"/>
      <c r="BE318" s="15">
        <f t="shared" si="26"/>
        <v>0</v>
      </c>
    </row>
    <row r="319" spans="1:57" s="8" customFormat="1" ht="22.5" customHeight="1">
      <c r="A319" s="9"/>
      <c r="B319" s="16" t="s">
        <v>477</v>
      </c>
      <c r="C319" s="89" t="s">
        <v>140</v>
      </c>
      <c r="D319" s="80" t="s">
        <v>479</v>
      </c>
      <c r="E319" s="13"/>
      <c r="F319" s="96"/>
      <c r="G319" s="9"/>
      <c r="H319" s="9" t="s">
        <v>467</v>
      </c>
      <c r="I319" s="14"/>
      <c r="J319" s="14"/>
      <c r="K319" s="12">
        <v>35</v>
      </c>
      <c r="L319" s="9"/>
      <c r="M319" s="9"/>
      <c r="N319" s="9"/>
      <c r="O319" s="38">
        <f t="shared" si="23"/>
        <v>35</v>
      </c>
      <c r="P319" s="12"/>
      <c r="Q319" s="42"/>
      <c r="R319" s="15"/>
      <c r="S319" s="44"/>
      <c r="T319" s="15"/>
      <c r="U319" s="44"/>
      <c r="V319" s="15">
        <f t="shared" si="24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5"/>
        <v>0</v>
      </c>
      <c r="AF319" s="101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7"/>
        <v>0</v>
      </c>
      <c r="BA319" s="15"/>
      <c r="BB319" s="44"/>
      <c r="BC319" s="15"/>
      <c r="BD319" s="44"/>
      <c r="BE319" s="15">
        <f t="shared" si="26"/>
        <v>0</v>
      </c>
    </row>
    <row r="320" spans="1:57" s="8" customFormat="1" ht="22.5" customHeight="1">
      <c r="A320" s="9"/>
      <c r="B320" s="16" t="s">
        <v>477</v>
      </c>
      <c r="C320" s="89" t="s">
        <v>140</v>
      </c>
      <c r="D320" s="80" t="s">
        <v>480</v>
      </c>
      <c r="E320" s="13" t="s">
        <v>481</v>
      </c>
      <c r="F320" s="96"/>
      <c r="G320" s="9"/>
      <c r="H320" s="9" t="s">
        <v>482</v>
      </c>
      <c r="I320" s="14"/>
      <c r="J320" s="14"/>
      <c r="K320" s="12">
        <v>0</v>
      </c>
      <c r="L320" s="9"/>
      <c r="M320" s="9"/>
      <c r="N320" s="9"/>
      <c r="O320" s="38">
        <f t="shared" si="23"/>
        <v>0</v>
      </c>
      <c r="P320" s="12"/>
      <c r="Q320" s="42"/>
      <c r="R320" s="15"/>
      <c r="S320" s="44"/>
      <c r="T320" s="15"/>
      <c r="U320" s="44"/>
      <c r="V320" s="15">
        <f t="shared" si="24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5"/>
        <v>0</v>
      </c>
      <c r="AF320" s="101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7"/>
        <v>0</v>
      </c>
      <c r="BA320" s="15"/>
      <c r="BB320" s="44"/>
      <c r="BC320" s="15"/>
      <c r="BD320" s="44"/>
      <c r="BE320" s="15">
        <f t="shared" si="26"/>
        <v>0</v>
      </c>
    </row>
    <row r="321" spans="1:57" s="8" customFormat="1" ht="22.5" customHeight="1">
      <c r="A321" s="9"/>
      <c r="B321" s="16" t="s">
        <v>483</v>
      </c>
      <c r="C321" s="89" t="s">
        <v>140</v>
      </c>
      <c r="D321" s="80" t="s">
        <v>484</v>
      </c>
      <c r="E321" s="13" t="s">
        <v>485</v>
      </c>
      <c r="F321" s="96"/>
      <c r="G321" s="9"/>
      <c r="H321" s="9" t="s">
        <v>467</v>
      </c>
      <c r="I321" s="14"/>
      <c r="J321" s="14"/>
      <c r="K321" s="12">
        <v>20</v>
      </c>
      <c r="L321" s="9"/>
      <c r="M321" s="9"/>
      <c r="N321" s="9"/>
      <c r="O321" s="38">
        <f t="shared" si="23"/>
        <v>20</v>
      </c>
      <c r="P321" s="12"/>
      <c r="Q321" s="42"/>
      <c r="R321" s="15"/>
      <c r="S321" s="44"/>
      <c r="T321" s="15"/>
      <c r="U321" s="44"/>
      <c r="V321" s="15">
        <f t="shared" si="24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5"/>
        <v>0</v>
      </c>
      <c r="AF321" s="101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7"/>
        <v>0</v>
      </c>
      <c r="BA321" s="15"/>
      <c r="BB321" s="44"/>
      <c r="BC321" s="15"/>
      <c r="BD321" s="44"/>
      <c r="BE321" s="15">
        <f t="shared" si="26"/>
        <v>0</v>
      </c>
    </row>
    <row r="322" spans="1:57" s="8" customFormat="1" ht="22.5" customHeight="1">
      <c r="A322" s="9"/>
      <c r="B322" s="16" t="s">
        <v>486</v>
      </c>
      <c r="C322" s="89" t="s">
        <v>140</v>
      </c>
      <c r="D322" s="80" t="s">
        <v>487</v>
      </c>
      <c r="E322" s="13"/>
      <c r="F322" s="96"/>
      <c r="G322" s="9"/>
      <c r="H322" s="9" t="s">
        <v>467</v>
      </c>
      <c r="I322" s="14"/>
      <c r="J322" s="14"/>
      <c r="K322" s="12">
        <v>0</v>
      </c>
      <c r="L322" s="9"/>
      <c r="M322" s="9"/>
      <c r="N322" s="9"/>
      <c r="O322" s="38">
        <f t="shared" si="23"/>
        <v>0</v>
      </c>
      <c r="P322" s="12"/>
      <c r="Q322" s="42"/>
      <c r="R322" s="15"/>
      <c r="S322" s="44"/>
      <c r="T322" s="15"/>
      <c r="U322" s="44"/>
      <c r="V322" s="15">
        <f t="shared" si="24"/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si="25"/>
        <v>0</v>
      </c>
      <c r="AF322" s="101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7"/>
        <v>0</v>
      </c>
      <c r="BA322" s="15"/>
      <c r="BB322" s="44"/>
      <c r="BC322" s="15"/>
      <c r="BD322" s="44"/>
      <c r="BE322" s="15">
        <f t="shared" si="26"/>
        <v>0</v>
      </c>
    </row>
    <row r="323" spans="1:57" s="8" customFormat="1" ht="22.5" customHeight="1">
      <c r="A323" s="9"/>
      <c r="B323" s="16" t="s">
        <v>486</v>
      </c>
      <c r="C323" s="89" t="s">
        <v>140</v>
      </c>
      <c r="D323" s="80" t="s">
        <v>488</v>
      </c>
      <c r="E323" s="13"/>
      <c r="F323" s="96"/>
      <c r="G323" s="9"/>
      <c r="H323" s="9" t="s">
        <v>467</v>
      </c>
      <c r="I323" s="14"/>
      <c r="J323" s="14"/>
      <c r="K323" s="12">
        <v>0</v>
      </c>
      <c r="L323" s="9"/>
      <c r="M323" s="9"/>
      <c r="N323" s="9"/>
      <c r="O323" s="38">
        <f t="shared" si="23"/>
        <v>0</v>
      </c>
      <c r="P323" s="12"/>
      <c r="Q323" s="42"/>
      <c r="R323" s="15"/>
      <c r="S323" s="44"/>
      <c r="T323" s="15"/>
      <c r="U323" s="44"/>
      <c r="V323" s="15">
        <f t="shared" si="24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5"/>
        <v>0</v>
      </c>
      <c r="AF323" s="101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si="27"/>
        <v>0</v>
      </c>
      <c r="BA323" s="15"/>
      <c r="BB323" s="44"/>
      <c r="BC323" s="15"/>
      <c r="BD323" s="44"/>
      <c r="BE323" s="15">
        <f t="shared" si="26"/>
        <v>0</v>
      </c>
    </row>
    <row r="324" spans="1:57" s="8" customFormat="1" ht="22.5" customHeight="1">
      <c r="A324" s="9"/>
      <c r="B324" s="16" t="s">
        <v>489</v>
      </c>
      <c r="C324" s="89" t="s">
        <v>140</v>
      </c>
      <c r="D324" s="80" t="s">
        <v>490</v>
      </c>
      <c r="E324" s="13" t="s">
        <v>206</v>
      </c>
      <c r="F324" s="96"/>
      <c r="G324" s="9"/>
      <c r="H324" s="9" t="s">
        <v>207</v>
      </c>
      <c r="I324" s="14"/>
      <c r="J324" s="14"/>
      <c r="K324" s="12">
        <v>490</v>
      </c>
      <c r="L324" s="9"/>
      <c r="M324" s="9"/>
      <c r="N324" s="9"/>
      <c r="O324" s="38">
        <f t="shared" ref="O324:O387" si="28">K324+V324-AE324-AZ324</f>
        <v>490</v>
      </c>
      <c r="P324" s="12"/>
      <c r="Q324" s="42"/>
      <c r="R324" s="15"/>
      <c r="S324" s="44"/>
      <c r="T324" s="15"/>
      <c r="U324" s="44"/>
      <c r="V324" s="15">
        <f t="shared" ref="V324:V387" si="29">P324+R324+T324</f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ref="AE324:AE387" si="30">(W324+Y324+AA324+AC324)</f>
        <v>0</v>
      </c>
      <c r="AF324" s="101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27"/>
        <v>0</v>
      </c>
      <c r="BA324" s="15"/>
      <c r="BB324" s="44"/>
      <c r="BC324" s="15"/>
      <c r="BD324" s="44"/>
      <c r="BE324" s="15">
        <f t="shared" si="26"/>
        <v>0</v>
      </c>
    </row>
    <row r="325" spans="1:57" s="8" customFormat="1" ht="22.5" customHeight="1">
      <c r="A325" s="9"/>
      <c r="B325" s="16" t="s">
        <v>244</v>
      </c>
      <c r="C325" s="89" t="s">
        <v>140</v>
      </c>
      <c r="D325" s="80" t="s">
        <v>491</v>
      </c>
      <c r="E325" s="13" t="s">
        <v>492</v>
      </c>
      <c r="F325" s="96"/>
      <c r="G325" s="9"/>
      <c r="H325" s="9" t="s">
        <v>247</v>
      </c>
      <c r="I325" s="14"/>
      <c r="J325" s="14"/>
      <c r="K325" s="12">
        <v>71</v>
      </c>
      <c r="L325" s="9"/>
      <c r="M325" s="9"/>
      <c r="N325" s="9"/>
      <c r="O325" s="38">
        <f t="shared" si="28"/>
        <v>71</v>
      </c>
      <c r="P325" s="12"/>
      <c r="Q325" s="42"/>
      <c r="R325" s="15"/>
      <c r="S325" s="44"/>
      <c r="T325" s="15"/>
      <c r="U325" s="44"/>
      <c r="V325" s="15">
        <f t="shared" si="29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30"/>
        <v>0</v>
      </c>
      <c r="AF325" s="101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27"/>
        <v>0</v>
      </c>
      <c r="BA325" s="15"/>
      <c r="BB325" s="44"/>
      <c r="BC325" s="15"/>
      <c r="BD325" s="44"/>
      <c r="BE325" s="15">
        <f t="shared" si="26"/>
        <v>0</v>
      </c>
    </row>
    <row r="326" spans="1:57" s="8" customFormat="1" ht="22.5" customHeight="1">
      <c r="A326" s="9"/>
      <c r="B326" s="16" t="s">
        <v>244</v>
      </c>
      <c r="C326" s="89" t="s">
        <v>140</v>
      </c>
      <c r="D326" s="80" t="s">
        <v>493</v>
      </c>
      <c r="E326" s="13" t="s">
        <v>492</v>
      </c>
      <c r="F326" s="96"/>
      <c r="G326" s="9"/>
      <c r="H326" s="9" t="s">
        <v>247</v>
      </c>
      <c r="I326" s="14"/>
      <c r="J326" s="14"/>
      <c r="K326" s="12">
        <v>144</v>
      </c>
      <c r="L326" s="9"/>
      <c r="M326" s="9"/>
      <c r="N326" s="9"/>
      <c r="O326" s="38">
        <f t="shared" si="28"/>
        <v>144</v>
      </c>
      <c r="P326" s="12"/>
      <c r="Q326" s="42"/>
      <c r="R326" s="15"/>
      <c r="S326" s="44"/>
      <c r="T326" s="15"/>
      <c r="U326" s="44"/>
      <c r="V326" s="15">
        <f t="shared" si="29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30"/>
        <v>0</v>
      </c>
      <c r="AF326" s="101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27"/>
        <v>0</v>
      </c>
      <c r="BA326" s="15"/>
      <c r="BB326" s="44"/>
      <c r="BC326" s="15"/>
      <c r="BD326" s="44"/>
      <c r="BE326" s="15">
        <f t="shared" si="26"/>
        <v>0</v>
      </c>
    </row>
    <row r="327" spans="1:57" s="8" customFormat="1" ht="22.5" customHeight="1">
      <c r="A327" s="9"/>
      <c r="B327" s="18" t="s">
        <v>172</v>
      </c>
      <c r="C327" s="89" t="s">
        <v>494</v>
      </c>
      <c r="D327" s="58" t="s">
        <v>253</v>
      </c>
      <c r="E327" s="35"/>
      <c r="F327" s="96"/>
      <c r="G327" s="21"/>
      <c r="H327" s="21" t="s">
        <v>67</v>
      </c>
      <c r="I327" s="14"/>
      <c r="J327" s="14"/>
      <c r="K327" s="12">
        <v>235</v>
      </c>
      <c r="L327" s="9"/>
      <c r="M327" s="9"/>
      <c r="N327" s="9"/>
      <c r="O327" s="38">
        <f t="shared" si="28"/>
        <v>235</v>
      </c>
      <c r="P327" s="12"/>
      <c r="Q327" s="42"/>
      <c r="R327" s="15"/>
      <c r="S327" s="44"/>
      <c r="T327" s="15"/>
      <c r="U327" s="44"/>
      <c r="V327" s="15">
        <f t="shared" si="29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30"/>
        <v>0</v>
      </c>
      <c r="AF327" s="101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27"/>
        <v>0</v>
      </c>
      <c r="BA327" s="15"/>
      <c r="BB327" s="44"/>
      <c r="BC327" s="15"/>
      <c r="BD327" s="44"/>
      <c r="BE327" s="15">
        <f t="shared" si="26"/>
        <v>0</v>
      </c>
    </row>
    <row r="328" spans="1:57" s="8" customFormat="1" ht="22.5" customHeight="1">
      <c r="A328" s="9"/>
      <c r="B328" s="18" t="s">
        <v>172</v>
      </c>
      <c r="C328" s="89" t="s">
        <v>52</v>
      </c>
      <c r="D328" s="58" t="s">
        <v>495</v>
      </c>
      <c r="E328" s="35" t="s">
        <v>496</v>
      </c>
      <c r="F328" s="96"/>
      <c r="G328" s="21"/>
      <c r="H328" s="21" t="s">
        <v>67</v>
      </c>
      <c r="I328" s="14"/>
      <c r="J328" s="14"/>
      <c r="K328" s="12">
        <v>500</v>
      </c>
      <c r="L328" s="9"/>
      <c r="M328" s="9"/>
      <c r="N328" s="9"/>
      <c r="O328" s="38">
        <f t="shared" si="28"/>
        <v>500</v>
      </c>
      <c r="P328" s="12"/>
      <c r="Q328" s="42"/>
      <c r="R328" s="15"/>
      <c r="S328" s="44"/>
      <c r="T328" s="15"/>
      <c r="U328" s="44"/>
      <c r="V328" s="15">
        <f t="shared" si="29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30"/>
        <v>0</v>
      </c>
      <c r="AF328" s="101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27"/>
        <v>0</v>
      </c>
      <c r="BA328" s="15"/>
      <c r="BB328" s="44"/>
      <c r="BC328" s="15"/>
      <c r="BD328" s="44"/>
      <c r="BE328" s="15">
        <f t="shared" si="26"/>
        <v>0</v>
      </c>
    </row>
    <row r="329" spans="1:57" s="8" customFormat="1" ht="22.5" customHeight="1">
      <c r="A329" s="9"/>
      <c r="B329" s="16" t="s">
        <v>172</v>
      </c>
      <c r="C329" s="89" t="s">
        <v>494</v>
      </c>
      <c r="D329" s="61" t="s">
        <v>497</v>
      </c>
      <c r="E329" s="13"/>
      <c r="F329" s="96"/>
      <c r="G329" s="9"/>
      <c r="H329" s="9" t="s">
        <v>67</v>
      </c>
      <c r="I329" s="14"/>
      <c r="J329" s="14"/>
      <c r="K329" s="12">
        <v>205</v>
      </c>
      <c r="L329" s="9"/>
      <c r="M329" s="9"/>
      <c r="N329" s="9"/>
      <c r="O329" s="38">
        <f t="shared" si="28"/>
        <v>205</v>
      </c>
      <c r="P329" s="12"/>
      <c r="Q329" s="42"/>
      <c r="R329" s="15"/>
      <c r="S329" s="44"/>
      <c r="T329" s="15"/>
      <c r="U329" s="44"/>
      <c r="V329" s="15">
        <f t="shared" si="29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30"/>
        <v>0</v>
      </c>
      <c r="AF329" s="101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27"/>
        <v>0</v>
      </c>
      <c r="BA329" s="15"/>
      <c r="BB329" s="44"/>
      <c r="BC329" s="15"/>
      <c r="BD329" s="44"/>
      <c r="BE329" s="15">
        <f t="shared" si="26"/>
        <v>0</v>
      </c>
    </row>
    <row r="330" spans="1:57" s="8" customFormat="1" ht="22.5" customHeight="1">
      <c r="A330" s="9"/>
      <c r="B330" s="16" t="s">
        <v>172</v>
      </c>
      <c r="C330" s="89" t="s">
        <v>494</v>
      </c>
      <c r="D330" s="84" t="s">
        <v>498</v>
      </c>
      <c r="E330" s="13" t="s">
        <v>499</v>
      </c>
      <c r="F330" s="96"/>
      <c r="G330" s="9"/>
      <c r="H330" s="9" t="s">
        <v>67</v>
      </c>
      <c r="I330" s="14"/>
      <c r="J330" s="14"/>
      <c r="K330" s="12">
        <v>90</v>
      </c>
      <c r="L330" s="9"/>
      <c r="M330" s="9"/>
      <c r="N330" s="9"/>
      <c r="O330" s="38">
        <f t="shared" si="28"/>
        <v>90</v>
      </c>
      <c r="P330" s="12"/>
      <c r="Q330" s="42"/>
      <c r="R330" s="15"/>
      <c r="S330" s="44"/>
      <c r="T330" s="15"/>
      <c r="U330" s="44"/>
      <c r="V330" s="15">
        <f t="shared" si="29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30"/>
        <v>0</v>
      </c>
      <c r="AF330" s="101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27"/>
        <v>0</v>
      </c>
      <c r="BA330" s="15"/>
      <c r="BB330" s="44"/>
      <c r="BC330" s="15"/>
      <c r="BD330" s="44"/>
      <c r="BE330" s="15">
        <f t="shared" si="26"/>
        <v>0</v>
      </c>
    </row>
    <row r="331" spans="1:57" s="8" customFormat="1" ht="22.5" customHeight="1">
      <c r="A331" s="9"/>
      <c r="B331" s="16" t="s">
        <v>172</v>
      </c>
      <c r="C331" s="89" t="s">
        <v>494</v>
      </c>
      <c r="D331" s="80" t="s">
        <v>500</v>
      </c>
      <c r="E331" s="13" t="s">
        <v>501</v>
      </c>
      <c r="F331" s="96"/>
      <c r="G331" s="9"/>
      <c r="H331" s="9" t="s">
        <v>67</v>
      </c>
      <c r="I331" s="14"/>
      <c r="J331" s="14"/>
      <c r="K331" s="12">
        <v>109</v>
      </c>
      <c r="L331" s="9"/>
      <c r="M331" s="9"/>
      <c r="N331" s="9"/>
      <c r="O331" s="38">
        <f t="shared" si="28"/>
        <v>109</v>
      </c>
      <c r="P331" s="12"/>
      <c r="Q331" s="42"/>
      <c r="R331" s="15"/>
      <c r="S331" s="44"/>
      <c r="T331" s="15"/>
      <c r="U331" s="44"/>
      <c r="V331" s="15">
        <f t="shared" si="29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30"/>
        <v>0</v>
      </c>
      <c r="AF331" s="101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27"/>
        <v>0</v>
      </c>
      <c r="BA331" s="15"/>
      <c r="BB331" s="44"/>
      <c r="BC331" s="15"/>
      <c r="BD331" s="44"/>
      <c r="BE331" s="15">
        <f t="shared" si="26"/>
        <v>0</v>
      </c>
    </row>
    <row r="332" spans="1:57" s="8" customFormat="1" ht="22.5" customHeight="1">
      <c r="A332" s="9"/>
      <c r="B332" s="16" t="s">
        <v>172</v>
      </c>
      <c r="C332" s="89" t="s">
        <v>52</v>
      </c>
      <c r="D332" s="80" t="s">
        <v>502</v>
      </c>
      <c r="E332" s="13"/>
      <c r="F332" s="96"/>
      <c r="G332" s="9"/>
      <c r="H332" s="9" t="s">
        <v>67</v>
      </c>
      <c r="I332" s="14"/>
      <c r="J332" s="14"/>
      <c r="K332" s="12">
        <v>106</v>
      </c>
      <c r="L332" s="9"/>
      <c r="M332" s="9"/>
      <c r="N332" s="9"/>
      <c r="O332" s="38">
        <f t="shared" si="28"/>
        <v>106</v>
      </c>
      <c r="P332" s="12"/>
      <c r="Q332" s="42"/>
      <c r="R332" s="15"/>
      <c r="S332" s="44"/>
      <c r="T332" s="15"/>
      <c r="U332" s="44"/>
      <c r="V332" s="15">
        <f t="shared" si="29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30"/>
        <v>0</v>
      </c>
      <c r="AF332" s="101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27"/>
        <v>0</v>
      </c>
      <c r="BA332" s="15"/>
      <c r="BB332" s="44"/>
      <c r="BC332" s="15"/>
      <c r="BD332" s="44"/>
      <c r="BE332" s="15">
        <f t="shared" si="26"/>
        <v>0</v>
      </c>
    </row>
    <row r="333" spans="1:57" s="8" customFormat="1" ht="22.5" customHeight="1">
      <c r="A333" s="9"/>
      <c r="B333" s="16" t="s">
        <v>172</v>
      </c>
      <c r="C333" s="89" t="s">
        <v>52</v>
      </c>
      <c r="D333" s="80" t="s">
        <v>416</v>
      </c>
      <c r="E333" s="13"/>
      <c r="F333" s="96"/>
      <c r="G333" s="9"/>
      <c r="H333" s="9" t="s">
        <v>67</v>
      </c>
      <c r="I333" s="14"/>
      <c r="J333" s="14"/>
      <c r="K333" s="12">
        <v>108</v>
      </c>
      <c r="L333" s="9"/>
      <c r="M333" s="9"/>
      <c r="N333" s="9"/>
      <c r="O333" s="38">
        <f t="shared" si="28"/>
        <v>108</v>
      </c>
      <c r="P333" s="12"/>
      <c r="Q333" s="42"/>
      <c r="R333" s="15"/>
      <c r="S333" s="44"/>
      <c r="T333" s="15"/>
      <c r="U333" s="44"/>
      <c r="V333" s="15">
        <f t="shared" si="29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30"/>
        <v>0</v>
      </c>
      <c r="AF333" s="101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27"/>
        <v>0</v>
      </c>
      <c r="BA333" s="15"/>
      <c r="BB333" s="44"/>
      <c r="BC333" s="15"/>
      <c r="BD333" s="44"/>
      <c r="BE333" s="15">
        <f t="shared" si="26"/>
        <v>0</v>
      </c>
    </row>
    <row r="334" spans="1:57" s="8" customFormat="1" ht="22.5" customHeight="1">
      <c r="A334" s="9"/>
      <c r="B334" s="16" t="s">
        <v>172</v>
      </c>
      <c r="C334" s="89" t="s">
        <v>52</v>
      </c>
      <c r="D334" s="80" t="s">
        <v>503</v>
      </c>
      <c r="E334" s="13"/>
      <c r="F334" s="96"/>
      <c r="G334" s="9"/>
      <c r="H334" s="9" t="s">
        <v>67</v>
      </c>
      <c r="I334" s="14"/>
      <c r="J334" s="14"/>
      <c r="K334" s="12">
        <v>280</v>
      </c>
      <c r="L334" s="9"/>
      <c r="M334" s="9"/>
      <c r="N334" s="9"/>
      <c r="O334" s="38">
        <f t="shared" si="28"/>
        <v>280</v>
      </c>
      <c r="P334" s="12"/>
      <c r="Q334" s="42"/>
      <c r="R334" s="15"/>
      <c r="S334" s="44"/>
      <c r="T334" s="15"/>
      <c r="U334" s="44"/>
      <c r="V334" s="15">
        <f t="shared" si="29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30"/>
        <v>0</v>
      </c>
      <c r="AF334" s="101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27"/>
        <v>0</v>
      </c>
      <c r="BA334" s="15"/>
      <c r="BB334" s="44"/>
      <c r="BC334" s="15"/>
      <c r="BD334" s="44"/>
      <c r="BE334" s="15">
        <f t="shared" si="26"/>
        <v>0</v>
      </c>
    </row>
    <row r="335" spans="1:57" s="8" customFormat="1" ht="22.5" customHeight="1">
      <c r="A335" s="9"/>
      <c r="B335" s="16" t="s">
        <v>172</v>
      </c>
      <c r="C335" s="89" t="s">
        <v>52</v>
      </c>
      <c r="D335" s="80" t="s">
        <v>504</v>
      </c>
      <c r="E335" s="13"/>
      <c r="F335" s="96"/>
      <c r="G335" s="9"/>
      <c r="H335" s="9" t="s">
        <v>67</v>
      </c>
      <c r="I335" s="14"/>
      <c r="J335" s="14"/>
      <c r="K335" s="12">
        <v>192</v>
      </c>
      <c r="L335" s="9"/>
      <c r="M335" s="9"/>
      <c r="N335" s="9"/>
      <c r="O335" s="38">
        <f t="shared" si="28"/>
        <v>192</v>
      </c>
      <c r="P335" s="12"/>
      <c r="Q335" s="42"/>
      <c r="R335" s="15"/>
      <c r="S335" s="44"/>
      <c r="T335" s="15"/>
      <c r="U335" s="44"/>
      <c r="V335" s="15">
        <f t="shared" si="29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30"/>
        <v>0</v>
      </c>
      <c r="AF335" s="101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27"/>
        <v>0</v>
      </c>
      <c r="BA335" s="15"/>
      <c r="BB335" s="44"/>
      <c r="BC335" s="15"/>
      <c r="BD335" s="44"/>
      <c r="BE335" s="15">
        <f t="shared" si="26"/>
        <v>0</v>
      </c>
    </row>
    <row r="336" spans="1:57" s="8" customFormat="1" ht="22.5" customHeight="1">
      <c r="A336" s="9"/>
      <c r="B336" s="16" t="s">
        <v>172</v>
      </c>
      <c r="C336" s="89" t="s">
        <v>52</v>
      </c>
      <c r="D336" s="80" t="s">
        <v>505</v>
      </c>
      <c r="E336" s="13"/>
      <c r="F336" s="96"/>
      <c r="G336" s="9"/>
      <c r="H336" s="9" t="s">
        <v>67</v>
      </c>
      <c r="I336" s="14"/>
      <c r="J336" s="14"/>
      <c r="K336" s="12">
        <v>194</v>
      </c>
      <c r="L336" s="9"/>
      <c r="M336" s="9"/>
      <c r="N336" s="9"/>
      <c r="O336" s="38">
        <f t="shared" si="28"/>
        <v>194</v>
      </c>
      <c r="P336" s="12"/>
      <c r="Q336" s="42"/>
      <c r="R336" s="15"/>
      <c r="S336" s="44"/>
      <c r="T336" s="15"/>
      <c r="U336" s="44"/>
      <c r="V336" s="15">
        <f t="shared" si="29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30"/>
        <v>0</v>
      </c>
      <c r="AF336" s="101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27"/>
        <v>0</v>
      </c>
      <c r="BA336" s="15"/>
      <c r="BB336" s="44"/>
      <c r="BC336" s="15"/>
      <c r="BD336" s="44"/>
      <c r="BE336" s="15">
        <f t="shared" si="26"/>
        <v>0</v>
      </c>
    </row>
    <row r="337" spans="1:57" s="8" customFormat="1" ht="22.5" customHeight="1">
      <c r="A337" s="9"/>
      <c r="B337" s="16" t="s">
        <v>172</v>
      </c>
      <c r="C337" s="89" t="s">
        <v>52</v>
      </c>
      <c r="D337" s="80" t="s">
        <v>506</v>
      </c>
      <c r="E337" s="13"/>
      <c r="F337" s="96"/>
      <c r="G337" s="9"/>
      <c r="H337" s="9" t="s">
        <v>67</v>
      </c>
      <c r="I337" s="14"/>
      <c r="J337" s="14"/>
      <c r="K337" s="12">
        <v>0</v>
      </c>
      <c r="L337" s="9"/>
      <c r="M337" s="9"/>
      <c r="N337" s="9"/>
      <c r="O337" s="38">
        <f t="shared" si="28"/>
        <v>0</v>
      </c>
      <c r="P337" s="12"/>
      <c r="Q337" s="42"/>
      <c r="R337" s="15"/>
      <c r="S337" s="44"/>
      <c r="T337" s="15"/>
      <c r="U337" s="44"/>
      <c r="V337" s="15">
        <f t="shared" si="29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30"/>
        <v>0</v>
      </c>
      <c r="AF337" s="101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27"/>
        <v>0</v>
      </c>
      <c r="BA337" s="15"/>
      <c r="BB337" s="44"/>
      <c r="BC337" s="15"/>
      <c r="BD337" s="44"/>
      <c r="BE337" s="15">
        <f t="shared" si="26"/>
        <v>0</v>
      </c>
    </row>
    <row r="338" spans="1:57" s="8" customFormat="1" ht="22.5" customHeight="1">
      <c r="A338" s="9"/>
      <c r="B338" s="16" t="s">
        <v>120</v>
      </c>
      <c r="C338" s="89" t="s">
        <v>507</v>
      </c>
      <c r="D338" s="72" t="s">
        <v>508</v>
      </c>
      <c r="E338" s="13" t="s">
        <v>509</v>
      </c>
      <c r="F338" s="96"/>
      <c r="G338" s="9"/>
      <c r="H338" s="9" t="s">
        <v>67</v>
      </c>
      <c r="I338" s="14"/>
      <c r="J338" s="14"/>
      <c r="K338" s="12">
        <v>157</v>
      </c>
      <c r="L338" s="9"/>
      <c r="M338" s="9"/>
      <c r="N338" s="9"/>
      <c r="O338" s="38">
        <f t="shared" si="28"/>
        <v>157</v>
      </c>
      <c r="P338" s="12"/>
      <c r="Q338" s="42"/>
      <c r="R338" s="15"/>
      <c r="S338" s="44"/>
      <c r="T338" s="15"/>
      <c r="U338" s="44"/>
      <c r="V338" s="15">
        <f t="shared" si="29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30"/>
        <v>0</v>
      </c>
      <c r="AF338" s="101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27"/>
        <v>0</v>
      </c>
      <c r="BA338" s="15"/>
      <c r="BB338" s="44"/>
      <c r="BC338" s="15"/>
      <c r="BD338" s="44"/>
      <c r="BE338" s="15">
        <f t="shared" si="26"/>
        <v>0</v>
      </c>
    </row>
    <row r="339" spans="1:57" s="8" customFormat="1" ht="22.5" customHeight="1">
      <c r="A339" s="9"/>
      <c r="B339" s="16" t="s">
        <v>120</v>
      </c>
      <c r="C339" s="89" t="s">
        <v>494</v>
      </c>
      <c r="D339" s="56" t="s">
        <v>194</v>
      </c>
      <c r="E339" s="13" t="s">
        <v>510</v>
      </c>
      <c r="F339" s="96"/>
      <c r="G339" s="9"/>
      <c r="H339" s="9" t="s">
        <v>67</v>
      </c>
      <c r="I339" s="14"/>
      <c r="J339" s="14"/>
      <c r="K339" s="12">
        <v>123</v>
      </c>
      <c r="L339" s="9"/>
      <c r="M339" s="9"/>
      <c r="N339" s="9"/>
      <c r="O339" s="38">
        <f t="shared" si="28"/>
        <v>123</v>
      </c>
      <c r="P339" s="12"/>
      <c r="Q339" s="42"/>
      <c r="R339" s="15"/>
      <c r="S339" s="44"/>
      <c r="T339" s="15"/>
      <c r="U339" s="44"/>
      <c r="V339" s="15">
        <f t="shared" si="29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30"/>
        <v>0</v>
      </c>
      <c r="AF339" s="101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27"/>
        <v>0</v>
      </c>
      <c r="BA339" s="15"/>
      <c r="BB339" s="44"/>
      <c r="BC339" s="15"/>
      <c r="BD339" s="44"/>
      <c r="BE339" s="15">
        <f t="shared" si="26"/>
        <v>0</v>
      </c>
    </row>
    <row r="340" spans="1:57" s="8" customFormat="1" ht="22.5" customHeight="1">
      <c r="A340" s="9"/>
      <c r="B340" s="16" t="s">
        <v>120</v>
      </c>
      <c r="C340" s="89" t="s">
        <v>494</v>
      </c>
      <c r="D340" s="80" t="s">
        <v>263</v>
      </c>
      <c r="E340" s="13" t="s">
        <v>511</v>
      </c>
      <c r="F340" s="96"/>
      <c r="G340" s="9"/>
      <c r="H340" s="9" t="s">
        <v>67</v>
      </c>
      <c r="I340" s="14"/>
      <c r="J340" s="14"/>
      <c r="K340" s="12">
        <v>240</v>
      </c>
      <c r="L340" s="9"/>
      <c r="M340" s="9"/>
      <c r="N340" s="9"/>
      <c r="O340" s="38">
        <f t="shared" si="28"/>
        <v>240</v>
      </c>
      <c r="P340" s="12"/>
      <c r="Q340" s="42"/>
      <c r="R340" s="15"/>
      <c r="S340" s="44"/>
      <c r="T340" s="15"/>
      <c r="U340" s="44"/>
      <c r="V340" s="15">
        <f t="shared" si="29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30"/>
        <v>0</v>
      </c>
      <c r="AF340" s="101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27"/>
        <v>0</v>
      </c>
      <c r="BA340" s="15"/>
      <c r="BB340" s="44"/>
      <c r="BC340" s="15"/>
      <c r="BD340" s="44"/>
      <c r="BE340" s="15">
        <f t="shared" si="26"/>
        <v>0</v>
      </c>
    </row>
    <row r="341" spans="1:57" s="8" customFormat="1" ht="22.5" customHeight="1">
      <c r="A341" s="9"/>
      <c r="B341" s="16" t="s">
        <v>120</v>
      </c>
      <c r="C341" s="89" t="s">
        <v>52</v>
      </c>
      <c r="D341" s="80" t="s">
        <v>265</v>
      </c>
      <c r="E341" s="13" t="s">
        <v>512</v>
      </c>
      <c r="F341" s="96"/>
      <c r="G341" s="9"/>
      <c r="H341" s="9" t="s">
        <v>67</v>
      </c>
      <c r="I341" s="14"/>
      <c r="J341" s="14"/>
      <c r="K341" s="12">
        <v>203</v>
      </c>
      <c r="L341" s="9"/>
      <c r="M341" s="9"/>
      <c r="N341" s="9"/>
      <c r="O341" s="38">
        <f t="shared" si="28"/>
        <v>203</v>
      </c>
      <c r="P341" s="12"/>
      <c r="Q341" s="42"/>
      <c r="R341" s="15"/>
      <c r="S341" s="44"/>
      <c r="T341" s="15"/>
      <c r="U341" s="44"/>
      <c r="V341" s="15">
        <f t="shared" si="29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30"/>
        <v>0</v>
      </c>
      <c r="AF341" s="101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27"/>
        <v>0</v>
      </c>
      <c r="BA341" s="15"/>
      <c r="BB341" s="44"/>
      <c r="BC341" s="15"/>
      <c r="BD341" s="44"/>
      <c r="BE341" s="15">
        <f t="shared" si="26"/>
        <v>0</v>
      </c>
    </row>
    <row r="342" spans="1:57" s="8" customFormat="1" ht="22.5" customHeight="1">
      <c r="A342" s="9"/>
      <c r="B342" s="16" t="s">
        <v>120</v>
      </c>
      <c r="C342" s="89" t="s">
        <v>52</v>
      </c>
      <c r="D342" s="80" t="s">
        <v>198</v>
      </c>
      <c r="E342" s="13" t="s">
        <v>513</v>
      </c>
      <c r="F342" s="96"/>
      <c r="G342" s="9"/>
      <c r="H342" s="9" t="s">
        <v>67</v>
      </c>
      <c r="I342" s="14"/>
      <c r="J342" s="14"/>
      <c r="K342" s="12">
        <v>0</v>
      </c>
      <c r="L342" s="9"/>
      <c r="M342" s="9"/>
      <c r="N342" s="9"/>
      <c r="O342" s="38">
        <f t="shared" si="28"/>
        <v>0</v>
      </c>
      <c r="P342" s="12"/>
      <c r="Q342" s="42"/>
      <c r="R342" s="15"/>
      <c r="S342" s="44"/>
      <c r="T342" s="15"/>
      <c r="U342" s="44"/>
      <c r="V342" s="15">
        <f t="shared" si="29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30"/>
        <v>0</v>
      </c>
      <c r="AF342" s="101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27"/>
        <v>0</v>
      </c>
      <c r="BA342" s="15"/>
      <c r="BB342" s="44"/>
      <c r="BC342" s="15"/>
      <c r="BD342" s="44"/>
      <c r="BE342" s="15">
        <f t="shared" si="26"/>
        <v>0</v>
      </c>
    </row>
    <row r="343" spans="1:57" s="8" customFormat="1" ht="22.5" customHeight="1">
      <c r="A343" s="9"/>
      <c r="B343" s="16" t="s">
        <v>120</v>
      </c>
      <c r="C343" s="89" t="s">
        <v>494</v>
      </c>
      <c r="D343" s="80" t="s">
        <v>514</v>
      </c>
      <c r="E343" s="13" t="s">
        <v>515</v>
      </c>
      <c r="F343" s="96"/>
      <c r="G343" s="9"/>
      <c r="H343" s="9" t="s">
        <v>67</v>
      </c>
      <c r="I343" s="14"/>
      <c r="J343" s="14"/>
      <c r="K343" s="12">
        <v>234</v>
      </c>
      <c r="L343" s="9"/>
      <c r="M343" s="9"/>
      <c r="N343" s="9"/>
      <c r="O343" s="38">
        <f t="shared" si="28"/>
        <v>234</v>
      </c>
      <c r="P343" s="12"/>
      <c r="Q343" s="42"/>
      <c r="R343" s="15"/>
      <c r="S343" s="44"/>
      <c r="T343" s="15"/>
      <c r="U343" s="44"/>
      <c r="V343" s="15">
        <f t="shared" si="29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30"/>
        <v>0</v>
      </c>
      <c r="AF343" s="101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27"/>
        <v>0</v>
      </c>
      <c r="BA343" s="15"/>
      <c r="BB343" s="44"/>
      <c r="BC343" s="15"/>
      <c r="BD343" s="44"/>
      <c r="BE343" s="15">
        <f t="shared" si="26"/>
        <v>0</v>
      </c>
    </row>
    <row r="344" spans="1:57" s="8" customFormat="1" ht="22.5" customHeight="1">
      <c r="A344" s="9"/>
      <c r="B344" s="16" t="s">
        <v>120</v>
      </c>
      <c r="C344" s="89" t="s">
        <v>494</v>
      </c>
      <c r="D344" s="80" t="s">
        <v>200</v>
      </c>
      <c r="E344" s="13" t="s">
        <v>516</v>
      </c>
      <c r="F344" s="96"/>
      <c r="G344" s="9"/>
      <c r="H344" s="9" t="s">
        <v>67</v>
      </c>
      <c r="I344" s="14"/>
      <c r="J344" s="14"/>
      <c r="K344" s="12">
        <v>512</v>
      </c>
      <c r="L344" s="9"/>
      <c r="M344" s="9"/>
      <c r="N344" s="9"/>
      <c r="O344" s="38">
        <f t="shared" si="28"/>
        <v>512</v>
      </c>
      <c r="P344" s="12"/>
      <c r="Q344" s="42"/>
      <c r="R344" s="15"/>
      <c r="S344" s="44"/>
      <c r="T344" s="15"/>
      <c r="U344" s="44"/>
      <c r="V344" s="15">
        <f t="shared" si="29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30"/>
        <v>0</v>
      </c>
      <c r="AF344" s="101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27"/>
        <v>0</v>
      </c>
      <c r="BA344" s="15"/>
      <c r="BB344" s="44"/>
      <c r="BC344" s="15"/>
      <c r="BD344" s="44"/>
      <c r="BE344" s="15">
        <f t="shared" si="26"/>
        <v>0</v>
      </c>
    </row>
    <row r="345" spans="1:57" s="8" customFormat="1" ht="22.5" customHeight="1">
      <c r="A345" s="9"/>
      <c r="B345" s="16" t="s">
        <v>120</v>
      </c>
      <c r="C345" s="89" t="s">
        <v>494</v>
      </c>
      <c r="D345" s="80" t="s">
        <v>517</v>
      </c>
      <c r="E345" s="13" t="s">
        <v>518</v>
      </c>
      <c r="F345" s="96"/>
      <c r="G345" s="9"/>
      <c r="H345" s="9" t="s">
        <v>67</v>
      </c>
      <c r="I345" s="14"/>
      <c r="J345" s="14"/>
      <c r="K345" s="12">
        <v>501</v>
      </c>
      <c r="L345" s="9"/>
      <c r="M345" s="9"/>
      <c r="N345" s="9"/>
      <c r="O345" s="38">
        <f t="shared" si="28"/>
        <v>501</v>
      </c>
      <c r="P345" s="12"/>
      <c r="Q345" s="42"/>
      <c r="R345" s="15"/>
      <c r="S345" s="44"/>
      <c r="T345" s="15"/>
      <c r="U345" s="44"/>
      <c r="V345" s="15">
        <f t="shared" si="29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30"/>
        <v>0</v>
      </c>
      <c r="AF345" s="101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27"/>
        <v>0</v>
      </c>
      <c r="BA345" s="15"/>
      <c r="BB345" s="44"/>
      <c r="BC345" s="15"/>
      <c r="BD345" s="44"/>
      <c r="BE345" s="15">
        <f t="shared" si="26"/>
        <v>0</v>
      </c>
    </row>
    <row r="346" spans="1:57" s="8" customFormat="1" ht="22.5" customHeight="1">
      <c r="A346" s="9"/>
      <c r="B346" s="16" t="s">
        <v>120</v>
      </c>
      <c r="C346" s="89" t="s">
        <v>494</v>
      </c>
      <c r="D346" s="80" t="s">
        <v>519</v>
      </c>
      <c r="E346" s="13" t="s">
        <v>520</v>
      </c>
      <c r="F346" s="96"/>
      <c r="G346" s="9"/>
      <c r="H346" s="9" t="s">
        <v>67</v>
      </c>
      <c r="I346" s="14"/>
      <c r="J346" s="14"/>
      <c r="K346" s="12">
        <v>210</v>
      </c>
      <c r="L346" s="9"/>
      <c r="M346" s="9"/>
      <c r="N346" s="9"/>
      <c r="O346" s="38">
        <f t="shared" si="28"/>
        <v>210</v>
      </c>
      <c r="P346" s="12"/>
      <c r="Q346" s="42"/>
      <c r="R346" s="15"/>
      <c r="S346" s="44"/>
      <c r="T346" s="15"/>
      <c r="U346" s="44"/>
      <c r="V346" s="15">
        <f t="shared" si="29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30"/>
        <v>0</v>
      </c>
      <c r="AF346" s="101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27"/>
        <v>0</v>
      </c>
      <c r="BA346" s="15"/>
      <c r="BB346" s="44"/>
      <c r="BC346" s="15"/>
      <c r="BD346" s="44"/>
      <c r="BE346" s="15">
        <f t="shared" si="26"/>
        <v>0</v>
      </c>
    </row>
    <row r="347" spans="1:57" s="8" customFormat="1" ht="22.5" customHeight="1">
      <c r="A347" s="9"/>
      <c r="B347" s="16" t="s">
        <v>120</v>
      </c>
      <c r="C347" s="89" t="s">
        <v>52</v>
      </c>
      <c r="D347" s="80" t="s">
        <v>270</v>
      </c>
      <c r="E347" s="13" t="s">
        <v>521</v>
      </c>
      <c r="F347" s="96"/>
      <c r="G347" s="9"/>
      <c r="H347" s="9" t="s">
        <v>67</v>
      </c>
      <c r="I347" s="14"/>
      <c r="J347" s="14"/>
      <c r="K347" s="12">
        <v>354</v>
      </c>
      <c r="L347" s="9"/>
      <c r="M347" s="9"/>
      <c r="N347" s="9"/>
      <c r="O347" s="38">
        <f t="shared" si="28"/>
        <v>354</v>
      </c>
      <c r="P347" s="12"/>
      <c r="Q347" s="42"/>
      <c r="R347" s="15"/>
      <c r="S347" s="44"/>
      <c r="T347" s="15"/>
      <c r="U347" s="44"/>
      <c r="V347" s="15">
        <f t="shared" si="29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30"/>
        <v>0</v>
      </c>
      <c r="AF347" s="101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27"/>
        <v>0</v>
      </c>
      <c r="BA347" s="15"/>
      <c r="BB347" s="44"/>
      <c r="BC347" s="15"/>
      <c r="BD347" s="44"/>
      <c r="BE347" s="15">
        <f t="shared" si="26"/>
        <v>0</v>
      </c>
    </row>
    <row r="348" spans="1:57" s="8" customFormat="1" ht="22.5" customHeight="1">
      <c r="A348" s="9"/>
      <c r="B348" s="16" t="s">
        <v>120</v>
      </c>
      <c r="C348" s="89" t="s">
        <v>494</v>
      </c>
      <c r="D348" s="80" t="s">
        <v>522</v>
      </c>
      <c r="E348" s="13" t="s">
        <v>523</v>
      </c>
      <c r="F348" s="96"/>
      <c r="G348" s="9"/>
      <c r="H348" s="9" t="s">
        <v>67</v>
      </c>
      <c r="I348" s="14"/>
      <c r="J348" s="14"/>
      <c r="K348" s="12">
        <v>0</v>
      </c>
      <c r="L348" s="9"/>
      <c r="M348" s="9"/>
      <c r="N348" s="9"/>
      <c r="O348" s="38">
        <f t="shared" si="28"/>
        <v>0</v>
      </c>
      <c r="P348" s="12"/>
      <c r="Q348" s="42"/>
      <c r="R348" s="15"/>
      <c r="S348" s="44"/>
      <c r="T348" s="15"/>
      <c r="U348" s="44"/>
      <c r="V348" s="15">
        <f t="shared" si="29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30"/>
        <v>0</v>
      </c>
      <c r="AF348" s="101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27"/>
        <v>0</v>
      </c>
      <c r="BA348" s="15"/>
      <c r="BB348" s="44"/>
      <c r="BC348" s="15"/>
      <c r="BD348" s="44"/>
      <c r="BE348" s="15">
        <f t="shared" si="26"/>
        <v>0</v>
      </c>
    </row>
    <row r="349" spans="1:57" s="8" customFormat="1" ht="22.5" customHeight="1">
      <c r="A349" s="9"/>
      <c r="B349" s="16" t="s">
        <v>120</v>
      </c>
      <c r="C349" s="89" t="s">
        <v>52</v>
      </c>
      <c r="D349" s="81" t="s">
        <v>524</v>
      </c>
      <c r="E349" s="22" t="s">
        <v>525</v>
      </c>
      <c r="F349" s="96"/>
      <c r="G349" s="9"/>
      <c r="H349" s="9" t="s">
        <v>67</v>
      </c>
      <c r="I349" s="14"/>
      <c r="J349" s="14"/>
      <c r="K349" s="12">
        <v>712</v>
      </c>
      <c r="L349" s="9"/>
      <c r="M349" s="9"/>
      <c r="N349" s="9"/>
      <c r="O349" s="38">
        <f t="shared" si="28"/>
        <v>712</v>
      </c>
      <c r="P349" s="12"/>
      <c r="Q349" s="42"/>
      <c r="R349" s="15"/>
      <c r="S349" s="44"/>
      <c r="T349" s="15"/>
      <c r="U349" s="44"/>
      <c r="V349" s="15">
        <f t="shared" si="29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30"/>
        <v>0</v>
      </c>
      <c r="AF349" s="101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27"/>
        <v>0</v>
      </c>
      <c r="BA349" s="15"/>
      <c r="BB349" s="44"/>
      <c r="BC349" s="15"/>
      <c r="BD349" s="44"/>
      <c r="BE349" s="15">
        <f t="shared" si="26"/>
        <v>0</v>
      </c>
    </row>
    <row r="350" spans="1:57" s="8" customFormat="1" ht="22.5" customHeight="1">
      <c r="A350" s="9"/>
      <c r="B350" s="16" t="s">
        <v>187</v>
      </c>
      <c r="C350" s="89" t="s">
        <v>494</v>
      </c>
      <c r="D350" s="61" t="s">
        <v>526</v>
      </c>
      <c r="E350" s="13" t="s">
        <v>499</v>
      </c>
      <c r="F350" s="96"/>
      <c r="G350" s="9"/>
      <c r="H350" s="9" t="s">
        <v>527</v>
      </c>
      <c r="I350" s="14"/>
      <c r="J350" s="14"/>
      <c r="K350" s="12">
        <v>0</v>
      </c>
      <c r="L350" s="9"/>
      <c r="M350" s="9"/>
      <c r="N350" s="9"/>
      <c r="O350" s="38">
        <f t="shared" si="28"/>
        <v>0</v>
      </c>
      <c r="P350" s="12"/>
      <c r="Q350" s="42"/>
      <c r="R350" s="15"/>
      <c r="S350" s="44"/>
      <c r="T350" s="15"/>
      <c r="U350" s="44"/>
      <c r="V350" s="15">
        <f t="shared" si="29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30"/>
        <v>0</v>
      </c>
      <c r="AF350" s="101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27"/>
        <v>0</v>
      </c>
      <c r="BA350" s="15"/>
      <c r="BB350" s="44"/>
      <c r="BC350" s="15"/>
      <c r="BD350" s="44"/>
      <c r="BE350" s="15">
        <f t="shared" si="26"/>
        <v>0</v>
      </c>
    </row>
    <row r="351" spans="1:57" s="8" customFormat="1" ht="22.5" customHeight="1">
      <c r="A351" s="9"/>
      <c r="B351" s="16" t="s">
        <v>528</v>
      </c>
      <c r="C351" s="89" t="s">
        <v>494</v>
      </c>
      <c r="D351" s="80" t="s">
        <v>529</v>
      </c>
      <c r="E351" s="13" t="s">
        <v>499</v>
      </c>
      <c r="F351" s="96"/>
      <c r="G351" s="9"/>
      <c r="H351" s="9" t="s">
        <v>527</v>
      </c>
      <c r="I351" s="14"/>
      <c r="J351" s="14"/>
      <c r="K351" s="12">
        <v>0</v>
      </c>
      <c r="L351" s="9"/>
      <c r="M351" s="9"/>
      <c r="N351" s="9"/>
      <c r="O351" s="38">
        <f t="shared" si="28"/>
        <v>0</v>
      </c>
      <c r="P351" s="12"/>
      <c r="Q351" s="42"/>
      <c r="R351" s="15"/>
      <c r="S351" s="44"/>
      <c r="T351" s="15"/>
      <c r="U351" s="44"/>
      <c r="V351" s="15">
        <f t="shared" si="29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30"/>
        <v>0</v>
      </c>
      <c r="AF351" s="101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27"/>
        <v>0</v>
      </c>
      <c r="BA351" s="15"/>
      <c r="BB351" s="44"/>
      <c r="BC351" s="15"/>
      <c r="BD351" s="44"/>
      <c r="BE351" s="15">
        <f t="shared" si="26"/>
        <v>0</v>
      </c>
    </row>
    <row r="352" spans="1:57" s="8" customFormat="1" ht="22.5" customHeight="1">
      <c r="A352" s="9"/>
      <c r="B352" s="16" t="s">
        <v>204</v>
      </c>
      <c r="C352" s="89" t="s">
        <v>52</v>
      </c>
      <c r="D352" s="80" t="s">
        <v>530</v>
      </c>
      <c r="E352" s="13" t="s">
        <v>531</v>
      </c>
      <c r="F352" s="96"/>
      <c r="G352" s="9"/>
      <c r="H352" s="9" t="s">
        <v>207</v>
      </c>
      <c r="I352" s="14"/>
      <c r="J352" s="14"/>
      <c r="K352" s="12">
        <v>348</v>
      </c>
      <c r="L352" s="9"/>
      <c r="M352" s="9"/>
      <c r="N352" s="9"/>
      <c r="O352" s="38">
        <f t="shared" si="28"/>
        <v>348</v>
      </c>
      <c r="P352" s="12"/>
      <c r="Q352" s="42"/>
      <c r="R352" s="15"/>
      <c r="S352" s="44"/>
      <c r="T352" s="15"/>
      <c r="U352" s="44"/>
      <c r="V352" s="15">
        <f t="shared" si="29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30"/>
        <v>0</v>
      </c>
      <c r="AF352" s="101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27"/>
        <v>0</v>
      </c>
      <c r="BA352" s="15"/>
      <c r="BB352" s="44"/>
      <c r="BC352" s="15"/>
      <c r="BD352" s="44"/>
      <c r="BE352" s="15">
        <f t="shared" si="26"/>
        <v>0</v>
      </c>
    </row>
    <row r="353" spans="1:57" s="8" customFormat="1" ht="22.5" customHeight="1">
      <c r="A353" s="9"/>
      <c r="B353" s="16" t="s">
        <v>204</v>
      </c>
      <c r="C353" s="89" t="s">
        <v>52</v>
      </c>
      <c r="D353" s="80" t="s">
        <v>532</v>
      </c>
      <c r="E353" s="13" t="s">
        <v>531</v>
      </c>
      <c r="F353" s="96"/>
      <c r="G353" s="9"/>
      <c r="H353" s="9" t="s">
        <v>207</v>
      </c>
      <c r="I353" s="14"/>
      <c r="J353" s="14"/>
      <c r="K353" s="12">
        <v>326</v>
      </c>
      <c r="L353" s="9"/>
      <c r="M353" s="9"/>
      <c r="N353" s="9"/>
      <c r="O353" s="38">
        <f t="shared" si="28"/>
        <v>326</v>
      </c>
      <c r="P353" s="12"/>
      <c r="Q353" s="42"/>
      <c r="R353" s="15"/>
      <c r="S353" s="44"/>
      <c r="T353" s="15"/>
      <c r="U353" s="44"/>
      <c r="V353" s="15">
        <f t="shared" si="29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30"/>
        <v>0</v>
      </c>
      <c r="AF353" s="101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27"/>
        <v>0</v>
      </c>
      <c r="BA353" s="15"/>
      <c r="BB353" s="44"/>
      <c r="BC353" s="15"/>
      <c r="BD353" s="44"/>
      <c r="BE353" s="15">
        <f t="shared" si="26"/>
        <v>0</v>
      </c>
    </row>
    <row r="354" spans="1:57" s="8" customFormat="1" ht="22.5" customHeight="1">
      <c r="A354" s="9"/>
      <c r="B354" s="16" t="s">
        <v>204</v>
      </c>
      <c r="C354" s="89" t="s">
        <v>52</v>
      </c>
      <c r="D354" s="80" t="s">
        <v>533</v>
      </c>
      <c r="E354" s="13" t="s">
        <v>531</v>
      </c>
      <c r="F354" s="96"/>
      <c r="G354" s="9"/>
      <c r="H354" s="9" t="s">
        <v>207</v>
      </c>
      <c r="I354" s="14"/>
      <c r="J354" s="14"/>
      <c r="K354" s="12">
        <v>306</v>
      </c>
      <c r="L354" s="9"/>
      <c r="M354" s="9"/>
      <c r="N354" s="9"/>
      <c r="O354" s="38">
        <f t="shared" si="28"/>
        <v>306</v>
      </c>
      <c r="P354" s="12"/>
      <c r="Q354" s="42"/>
      <c r="R354" s="15"/>
      <c r="S354" s="44"/>
      <c r="T354" s="15"/>
      <c r="U354" s="44"/>
      <c r="V354" s="15">
        <f t="shared" si="29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30"/>
        <v>0</v>
      </c>
      <c r="AF354" s="101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27"/>
        <v>0</v>
      </c>
      <c r="BA354" s="15"/>
      <c r="BB354" s="44"/>
      <c r="BC354" s="15"/>
      <c r="BD354" s="44"/>
      <c r="BE354" s="15">
        <f t="shared" ref="BE354:BE417" si="31">(BA354+BC354)</f>
        <v>0</v>
      </c>
    </row>
    <row r="355" spans="1:57" s="8" customFormat="1" ht="22.5" customHeight="1">
      <c r="A355" s="9"/>
      <c r="B355" s="16" t="s">
        <v>204</v>
      </c>
      <c r="C355" s="89" t="s">
        <v>52</v>
      </c>
      <c r="D355" s="80" t="s">
        <v>533</v>
      </c>
      <c r="E355" s="13" t="s">
        <v>534</v>
      </c>
      <c r="F355" s="96"/>
      <c r="G355" s="9"/>
      <c r="H355" s="9" t="s">
        <v>207</v>
      </c>
      <c r="I355" s="14"/>
      <c r="J355" s="14"/>
      <c r="K355" s="12">
        <v>0</v>
      </c>
      <c r="L355" s="9"/>
      <c r="M355" s="9"/>
      <c r="N355" s="9"/>
      <c r="O355" s="38">
        <f t="shared" si="28"/>
        <v>0</v>
      </c>
      <c r="P355" s="12"/>
      <c r="Q355" s="42"/>
      <c r="R355" s="15"/>
      <c r="S355" s="44"/>
      <c r="T355" s="15"/>
      <c r="U355" s="44"/>
      <c r="V355" s="15">
        <f t="shared" si="29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30"/>
        <v>0</v>
      </c>
      <c r="AF355" s="101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27"/>
        <v>0</v>
      </c>
      <c r="BA355" s="15"/>
      <c r="BB355" s="44"/>
      <c r="BC355" s="15"/>
      <c r="BD355" s="44"/>
      <c r="BE355" s="15">
        <f t="shared" si="31"/>
        <v>0</v>
      </c>
    </row>
    <row r="356" spans="1:57" s="8" customFormat="1" ht="22.5" customHeight="1">
      <c r="A356" s="9"/>
      <c r="B356" s="16" t="s">
        <v>204</v>
      </c>
      <c r="C356" s="89" t="s">
        <v>52</v>
      </c>
      <c r="D356" s="80" t="s">
        <v>535</v>
      </c>
      <c r="E356" s="13" t="s">
        <v>210</v>
      </c>
      <c r="F356" s="96"/>
      <c r="G356" s="9"/>
      <c r="H356" s="9" t="s">
        <v>231</v>
      </c>
      <c r="I356" s="14"/>
      <c r="J356" s="14"/>
      <c r="K356" s="12">
        <v>0</v>
      </c>
      <c r="L356" s="9"/>
      <c r="M356" s="9"/>
      <c r="N356" s="9"/>
      <c r="O356" s="38">
        <f t="shared" si="28"/>
        <v>0</v>
      </c>
      <c r="P356" s="12"/>
      <c r="Q356" s="42"/>
      <c r="R356" s="15"/>
      <c r="S356" s="44"/>
      <c r="T356" s="15"/>
      <c r="U356" s="44"/>
      <c r="V356" s="15">
        <f t="shared" si="29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30"/>
        <v>0</v>
      </c>
      <c r="AF356" s="101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27"/>
        <v>0</v>
      </c>
      <c r="BA356" s="15"/>
      <c r="BB356" s="44"/>
      <c r="BC356" s="15"/>
      <c r="BD356" s="44"/>
      <c r="BE356" s="15">
        <f t="shared" si="31"/>
        <v>0</v>
      </c>
    </row>
    <row r="357" spans="1:57" s="8" customFormat="1" ht="22.5" customHeight="1">
      <c r="A357" s="9"/>
      <c r="B357" s="16" t="s">
        <v>204</v>
      </c>
      <c r="C357" s="89" t="s">
        <v>52</v>
      </c>
      <c r="D357" s="80" t="s">
        <v>536</v>
      </c>
      <c r="E357" s="13" t="s">
        <v>537</v>
      </c>
      <c r="F357" s="96"/>
      <c r="G357" s="9"/>
      <c r="H357" s="9" t="s">
        <v>207</v>
      </c>
      <c r="I357" s="14"/>
      <c r="J357" s="14"/>
      <c r="K357" s="12">
        <v>327</v>
      </c>
      <c r="L357" s="9"/>
      <c r="M357" s="9"/>
      <c r="N357" s="9"/>
      <c r="O357" s="38">
        <f t="shared" si="28"/>
        <v>327</v>
      </c>
      <c r="P357" s="12"/>
      <c r="Q357" s="42"/>
      <c r="R357" s="15"/>
      <c r="S357" s="44"/>
      <c r="T357" s="15"/>
      <c r="U357" s="44"/>
      <c r="V357" s="15">
        <f t="shared" si="29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30"/>
        <v>0</v>
      </c>
      <c r="AF357" s="101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ref="AZ357:AZ420" si="32">AF357+AH357+AJ357+AL357+AN357+AP357+AR357+AT357+AV357+AX357</f>
        <v>0</v>
      </c>
      <c r="BA357" s="15"/>
      <c r="BB357" s="44"/>
      <c r="BC357" s="15"/>
      <c r="BD357" s="44"/>
      <c r="BE357" s="15">
        <f t="shared" si="31"/>
        <v>0</v>
      </c>
    </row>
    <row r="358" spans="1:57" s="8" customFormat="1" ht="22.5" customHeight="1">
      <c r="A358" s="9"/>
      <c r="B358" s="16" t="s">
        <v>204</v>
      </c>
      <c r="C358" s="89" t="s">
        <v>52</v>
      </c>
      <c r="D358" s="80" t="s">
        <v>538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355</v>
      </c>
      <c r="L358" s="9"/>
      <c r="M358" s="9"/>
      <c r="N358" s="9"/>
      <c r="O358" s="38">
        <f t="shared" si="28"/>
        <v>355</v>
      </c>
      <c r="P358" s="12"/>
      <c r="Q358" s="42"/>
      <c r="R358" s="15"/>
      <c r="S358" s="44"/>
      <c r="T358" s="15"/>
      <c r="U358" s="44"/>
      <c r="V358" s="15">
        <f t="shared" si="29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30"/>
        <v>0</v>
      </c>
      <c r="AF358" s="101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2"/>
        <v>0</v>
      </c>
      <c r="BA358" s="15"/>
      <c r="BB358" s="44"/>
      <c r="BC358" s="15"/>
      <c r="BD358" s="44"/>
      <c r="BE358" s="15">
        <f t="shared" si="31"/>
        <v>0</v>
      </c>
    </row>
    <row r="359" spans="1:57" s="8" customFormat="1" ht="22.5" customHeight="1">
      <c r="A359" s="9"/>
      <c r="B359" s="16" t="s">
        <v>204</v>
      </c>
      <c r="C359" s="89" t="s">
        <v>52</v>
      </c>
      <c r="D359" s="80" t="s">
        <v>539</v>
      </c>
      <c r="E359" s="13" t="s">
        <v>531</v>
      </c>
      <c r="F359" s="96"/>
      <c r="G359" s="9"/>
      <c r="H359" s="9" t="s">
        <v>207</v>
      </c>
      <c r="I359" s="14"/>
      <c r="J359" s="14"/>
      <c r="K359" s="12">
        <v>0</v>
      </c>
      <c r="L359" s="9"/>
      <c r="M359" s="9"/>
      <c r="N359" s="9"/>
      <c r="O359" s="38">
        <f t="shared" si="28"/>
        <v>0</v>
      </c>
      <c r="P359" s="12"/>
      <c r="Q359" s="42"/>
      <c r="R359" s="15"/>
      <c r="S359" s="44"/>
      <c r="T359" s="15"/>
      <c r="U359" s="44"/>
      <c r="V359" s="15">
        <f t="shared" si="29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30"/>
        <v>0</v>
      </c>
      <c r="AF359" s="101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2"/>
        <v>0</v>
      </c>
      <c r="BA359" s="15"/>
      <c r="BB359" s="44"/>
      <c r="BC359" s="15"/>
      <c r="BD359" s="44"/>
      <c r="BE359" s="15">
        <f t="shared" si="31"/>
        <v>0</v>
      </c>
    </row>
    <row r="360" spans="1:57" s="8" customFormat="1" ht="22.5" customHeight="1">
      <c r="A360" s="9"/>
      <c r="B360" s="16" t="s">
        <v>204</v>
      </c>
      <c r="C360" s="89" t="s">
        <v>52</v>
      </c>
      <c r="D360" s="80" t="s">
        <v>540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26</v>
      </c>
      <c r="L360" s="9"/>
      <c r="M360" s="9"/>
      <c r="N360" s="9"/>
      <c r="O360" s="38">
        <f t="shared" si="28"/>
        <v>26</v>
      </c>
      <c r="P360" s="12"/>
      <c r="Q360" s="42"/>
      <c r="R360" s="15"/>
      <c r="S360" s="44"/>
      <c r="T360" s="15"/>
      <c r="U360" s="44"/>
      <c r="V360" s="15">
        <f t="shared" si="29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30"/>
        <v>0</v>
      </c>
      <c r="AF360" s="101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2"/>
        <v>0</v>
      </c>
      <c r="BA360" s="15"/>
      <c r="BB360" s="44"/>
      <c r="BC360" s="15"/>
      <c r="BD360" s="44"/>
      <c r="BE360" s="15">
        <f t="shared" si="31"/>
        <v>0</v>
      </c>
    </row>
    <row r="361" spans="1:57" s="8" customFormat="1" ht="22.5" customHeight="1">
      <c r="A361" s="9"/>
      <c r="B361" s="16" t="s">
        <v>204</v>
      </c>
      <c r="C361" s="89" t="s">
        <v>52</v>
      </c>
      <c r="D361" s="80" t="s">
        <v>541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1009</v>
      </c>
      <c r="L361" s="9"/>
      <c r="M361" s="9"/>
      <c r="N361" s="9"/>
      <c r="O361" s="38">
        <f t="shared" si="28"/>
        <v>1009</v>
      </c>
      <c r="P361" s="12"/>
      <c r="Q361" s="42"/>
      <c r="R361" s="15"/>
      <c r="S361" s="44"/>
      <c r="T361" s="15"/>
      <c r="U361" s="44"/>
      <c r="V361" s="15">
        <f t="shared" si="29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30"/>
        <v>0</v>
      </c>
      <c r="AF361" s="101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2"/>
        <v>0</v>
      </c>
      <c r="BA361" s="15"/>
      <c r="BB361" s="44"/>
      <c r="BC361" s="15"/>
      <c r="BD361" s="44"/>
      <c r="BE361" s="15">
        <f t="shared" si="31"/>
        <v>0</v>
      </c>
    </row>
    <row r="362" spans="1:57" s="8" customFormat="1" ht="22.5" customHeight="1">
      <c r="A362" s="9"/>
      <c r="B362" s="16" t="s">
        <v>204</v>
      </c>
      <c r="C362" s="89" t="s">
        <v>52</v>
      </c>
      <c r="D362" s="81" t="s">
        <v>542</v>
      </c>
      <c r="E362" s="13" t="s">
        <v>206</v>
      </c>
      <c r="F362" s="96"/>
      <c r="G362" s="9"/>
      <c r="H362" s="9" t="s">
        <v>207</v>
      </c>
      <c r="I362" s="14"/>
      <c r="J362" s="14"/>
      <c r="K362" s="12">
        <v>335</v>
      </c>
      <c r="L362" s="9"/>
      <c r="M362" s="9"/>
      <c r="N362" s="9"/>
      <c r="O362" s="38">
        <f t="shared" si="28"/>
        <v>335</v>
      </c>
      <c r="P362" s="12"/>
      <c r="Q362" s="42"/>
      <c r="R362" s="15"/>
      <c r="S362" s="44"/>
      <c r="T362" s="15"/>
      <c r="U362" s="44"/>
      <c r="V362" s="15">
        <f t="shared" si="29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30"/>
        <v>0</v>
      </c>
      <c r="AF362" s="101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2"/>
        <v>0</v>
      </c>
      <c r="BA362" s="15"/>
      <c r="BB362" s="44"/>
      <c r="BC362" s="15"/>
      <c r="BD362" s="44"/>
      <c r="BE362" s="15">
        <f t="shared" si="31"/>
        <v>0</v>
      </c>
    </row>
    <row r="363" spans="1:57" s="8" customFormat="1" ht="22.5" customHeight="1">
      <c r="A363" s="9"/>
      <c r="B363" s="16" t="s">
        <v>204</v>
      </c>
      <c r="C363" s="89" t="s">
        <v>52</v>
      </c>
      <c r="D363" s="56" t="s">
        <v>543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0</v>
      </c>
      <c r="L363" s="9"/>
      <c r="M363" s="9"/>
      <c r="N363" s="9"/>
      <c r="O363" s="38">
        <f t="shared" si="28"/>
        <v>0</v>
      </c>
      <c r="P363" s="12"/>
      <c r="Q363" s="42"/>
      <c r="R363" s="15"/>
      <c r="S363" s="44"/>
      <c r="T363" s="15"/>
      <c r="U363" s="44"/>
      <c r="V363" s="15">
        <f t="shared" si="29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30"/>
        <v>0</v>
      </c>
      <c r="AF363" s="101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2"/>
        <v>0</v>
      </c>
      <c r="BA363" s="15"/>
      <c r="BB363" s="44"/>
      <c r="BC363" s="15"/>
      <c r="BD363" s="44"/>
      <c r="BE363" s="15">
        <f t="shared" si="31"/>
        <v>0</v>
      </c>
    </row>
    <row r="364" spans="1:57" s="8" customFormat="1" ht="22.5" customHeight="1">
      <c r="A364" s="9"/>
      <c r="B364" s="16" t="s">
        <v>204</v>
      </c>
      <c r="C364" s="89" t="s">
        <v>52</v>
      </c>
      <c r="D364" s="81" t="s">
        <v>544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536</v>
      </c>
      <c r="L364" s="9"/>
      <c r="M364" s="9"/>
      <c r="N364" s="9"/>
      <c r="O364" s="38">
        <f t="shared" si="28"/>
        <v>536</v>
      </c>
      <c r="P364" s="12"/>
      <c r="Q364" s="42"/>
      <c r="R364" s="15"/>
      <c r="S364" s="44"/>
      <c r="T364" s="15"/>
      <c r="U364" s="44"/>
      <c r="V364" s="15">
        <f t="shared" si="29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30"/>
        <v>0</v>
      </c>
      <c r="AF364" s="101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2"/>
        <v>0</v>
      </c>
      <c r="BA364" s="15"/>
      <c r="BB364" s="44"/>
      <c r="BC364" s="15"/>
      <c r="BD364" s="44"/>
      <c r="BE364" s="15">
        <f t="shared" si="31"/>
        <v>0</v>
      </c>
    </row>
    <row r="365" spans="1:57" s="8" customFormat="1" ht="22.5" customHeight="1">
      <c r="A365" s="9"/>
      <c r="B365" s="16" t="s">
        <v>204</v>
      </c>
      <c r="C365" s="89" t="s">
        <v>52</v>
      </c>
      <c r="D365" s="97" t="s">
        <v>545</v>
      </c>
      <c r="E365" s="13" t="s">
        <v>531</v>
      </c>
      <c r="F365" s="96"/>
      <c r="G365" s="9"/>
      <c r="H365" s="9" t="s">
        <v>207</v>
      </c>
      <c r="I365" s="14"/>
      <c r="J365" s="14"/>
      <c r="K365" s="12">
        <v>8</v>
      </c>
      <c r="L365" s="9"/>
      <c r="M365" s="9"/>
      <c r="N365" s="9"/>
      <c r="O365" s="38">
        <f t="shared" si="28"/>
        <v>8</v>
      </c>
      <c r="P365" s="12"/>
      <c r="Q365" s="42"/>
      <c r="R365" s="15"/>
      <c r="S365" s="44"/>
      <c r="T365" s="15"/>
      <c r="U365" s="44"/>
      <c r="V365" s="15">
        <f t="shared" si="29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30"/>
        <v>0</v>
      </c>
      <c r="AF365" s="101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2"/>
        <v>0</v>
      </c>
      <c r="BA365" s="15"/>
      <c r="BB365" s="44"/>
      <c r="BC365" s="15"/>
      <c r="BD365" s="44"/>
      <c r="BE365" s="15">
        <f t="shared" si="31"/>
        <v>0</v>
      </c>
    </row>
    <row r="366" spans="1:57" s="8" customFormat="1" ht="22.5" customHeight="1">
      <c r="A366" s="9"/>
      <c r="B366" s="16" t="s">
        <v>204</v>
      </c>
      <c r="C366" s="89" t="s">
        <v>52</v>
      </c>
      <c r="D366" s="80" t="s">
        <v>546</v>
      </c>
      <c r="E366" s="13" t="s">
        <v>531</v>
      </c>
      <c r="F366" s="96"/>
      <c r="G366" s="9"/>
      <c r="H366" s="9" t="s">
        <v>207</v>
      </c>
      <c r="I366" s="14"/>
      <c r="J366" s="14"/>
      <c r="K366" s="12">
        <v>586</v>
      </c>
      <c r="L366" s="9"/>
      <c r="M366" s="9"/>
      <c r="N366" s="9"/>
      <c r="O366" s="38">
        <f t="shared" si="28"/>
        <v>586</v>
      </c>
      <c r="P366" s="12"/>
      <c r="Q366" s="42"/>
      <c r="R366" s="15"/>
      <c r="S366" s="44"/>
      <c r="T366" s="15"/>
      <c r="U366" s="44"/>
      <c r="V366" s="15">
        <f t="shared" si="29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30"/>
        <v>0</v>
      </c>
      <c r="AF366" s="101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2"/>
        <v>0</v>
      </c>
      <c r="BA366" s="15"/>
      <c r="BB366" s="44"/>
      <c r="BC366" s="15"/>
      <c r="BD366" s="44"/>
      <c r="BE366" s="15">
        <f t="shared" si="31"/>
        <v>0</v>
      </c>
    </row>
    <row r="367" spans="1:57" s="8" customFormat="1" ht="22.5" customHeight="1">
      <c r="A367" s="9"/>
      <c r="B367" s="16" t="s">
        <v>204</v>
      </c>
      <c r="C367" s="89" t="s">
        <v>52</v>
      </c>
      <c r="D367" s="81" t="s">
        <v>547</v>
      </c>
      <c r="E367" s="13" t="s">
        <v>531</v>
      </c>
      <c r="F367" s="96"/>
      <c r="G367" s="9"/>
      <c r="H367" s="9" t="s">
        <v>207</v>
      </c>
      <c r="I367" s="14"/>
      <c r="J367" s="14"/>
      <c r="K367" s="12">
        <v>309</v>
      </c>
      <c r="L367" s="9"/>
      <c r="M367" s="9"/>
      <c r="N367" s="9"/>
      <c r="O367" s="38">
        <f t="shared" si="28"/>
        <v>309</v>
      </c>
      <c r="P367" s="12"/>
      <c r="Q367" s="42"/>
      <c r="R367" s="15"/>
      <c r="S367" s="44"/>
      <c r="T367" s="15"/>
      <c r="U367" s="44"/>
      <c r="V367" s="15">
        <f t="shared" si="29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30"/>
        <v>0</v>
      </c>
      <c r="AF367" s="101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2"/>
        <v>0</v>
      </c>
      <c r="BA367" s="15"/>
      <c r="BB367" s="44"/>
      <c r="BC367" s="15"/>
      <c r="BD367" s="44"/>
      <c r="BE367" s="15">
        <f t="shared" si="31"/>
        <v>0</v>
      </c>
    </row>
    <row r="368" spans="1:57" s="8" customFormat="1" ht="22.5" customHeight="1">
      <c r="A368" s="9"/>
      <c r="B368" s="16" t="s">
        <v>204</v>
      </c>
      <c r="C368" s="89" t="s">
        <v>52</v>
      </c>
      <c r="D368" s="82" t="s">
        <v>548</v>
      </c>
      <c r="E368" s="22" t="s">
        <v>531</v>
      </c>
      <c r="F368" s="96"/>
      <c r="G368" s="9"/>
      <c r="H368" s="9" t="s">
        <v>207</v>
      </c>
      <c r="I368" s="14"/>
      <c r="J368" s="14"/>
      <c r="K368" s="12">
        <v>109</v>
      </c>
      <c r="L368" s="9"/>
      <c r="M368" s="9"/>
      <c r="N368" s="9"/>
      <c r="O368" s="38">
        <f t="shared" si="28"/>
        <v>109</v>
      </c>
      <c r="P368" s="12"/>
      <c r="Q368" s="42"/>
      <c r="R368" s="15"/>
      <c r="S368" s="44"/>
      <c r="T368" s="15"/>
      <c r="U368" s="44"/>
      <c r="V368" s="15">
        <f t="shared" si="29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30"/>
        <v>0</v>
      </c>
      <c r="AF368" s="101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2"/>
        <v>0</v>
      </c>
      <c r="BA368" s="15"/>
      <c r="BB368" s="44"/>
      <c r="BC368" s="15"/>
      <c r="BD368" s="44"/>
      <c r="BE368" s="15">
        <f t="shared" si="31"/>
        <v>0</v>
      </c>
    </row>
    <row r="369" spans="1:57" s="8" customFormat="1" ht="22.5" customHeight="1">
      <c r="A369" s="9"/>
      <c r="B369" s="16" t="s">
        <v>204</v>
      </c>
      <c r="C369" s="89" t="s">
        <v>52</v>
      </c>
      <c r="D369" s="81" t="s">
        <v>549</v>
      </c>
      <c r="E369" s="22" t="s">
        <v>550</v>
      </c>
      <c r="F369" s="96"/>
      <c r="G369" s="9"/>
      <c r="H369" s="9" t="s">
        <v>207</v>
      </c>
      <c r="I369" s="14"/>
      <c r="J369" s="14"/>
      <c r="K369" s="12">
        <v>21</v>
      </c>
      <c r="L369" s="9"/>
      <c r="M369" s="9"/>
      <c r="N369" s="9"/>
      <c r="O369" s="38">
        <f t="shared" si="28"/>
        <v>21</v>
      </c>
      <c r="P369" s="12"/>
      <c r="Q369" s="42"/>
      <c r="R369" s="15"/>
      <c r="S369" s="44"/>
      <c r="T369" s="15"/>
      <c r="U369" s="44"/>
      <c r="V369" s="15">
        <f t="shared" si="29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30"/>
        <v>0</v>
      </c>
      <c r="AF369" s="101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2"/>
        <v>0</v>
      </c>
      <c r="BA369" s="15"/>
      <c r="BB369" s="44"/>
      <c r="BC369" s="15"/>
      <c r="BD369" s="44"/>
      <c r="BE369" s="15">
        <f t="shared" si="31"/>
        <v>0</v>
      </c>
    </row>
    <row r="370" spans="1:57" s="8" customFormat="1" ht="22.5" customHeight="1">
      <c r="A370" s="9"/>
      <c r="B370" s="16" t="s">
        <v>204</v>
      </c>
      <c r="C370" s="89" t="s">
        <v>52</v>
      </c>
      <c r="D370" s="59" t="s">
        <v>551</v>
      </c>
      <c r="E370" s="22" t="s">
        <v>531</v>
      </c>
      <c r="F370" s="96"/>
      <c r="G370" s="9"/>
      <c r="H370" s="9" t="s">
        <v>207</v>
      </c>
      <c r="I370" s="14"/>
      <c r="J370" s="14"/>
      <c r="K370" s="12">
        <v>193</v>
      </c>
      <c r="L370" s="9"/>
      <c r="M370" s="9"/>
      <c r="N370" s="9"/>
      <c r="O370" s="38">
        <f t="shared" si="28"/>
        <v>193</v>
      </c>
      <c r="P370" s="12"/>
      <c r="Q370" s="42"/>
      <c r="R370" s="15"/>
      <c r="S370" s="44"/>
      <c r="T370" s="15"/>
      <c r="U370" s="44"/>
      <c r="V370" s="15">
        <f t="shared" si="29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30"/>
        <v>0</v>
      </c>
      <c r="AF370" s="101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2"/>
        <v>0</v>
      </c>
      <c r="BA370" s="15"/>
      <c r="BB370" s="44"/>
      <c r="BC370" s="15"/>
      <c r="BD370" s="44"/>
      <c r="BE370" s="15">
        <f t="shared" si="31"/>
        <v>0</v>
      </c>
    </row>
    <row r="371" spans="1:57" s="8" customFormat="1" ht="22.5" customHeight="1">
      <c r="A371" s="9"/>
      <c r="B371" s="16" t="s">
        <v>204</v>
      </c>
      <c r="C371" s="89" t="s">
        <v>52</v>
      </c>
      <c r="D371" s="59" t="s">
        <v>552</v>
      </c>
      <c r="E371" s="13" t="s">
        <v>206</v>
      </c>
      <c r="F371" s="96"/>
      <c r="G371" s="9"/>
      <c r="H371" s="9" t="s">
        <v>374</v>
      </c>
      <c r="I371" s="14"/>
      <c r="J371" s="14"/>
      <c r="K371" s="12">
        <v>352</v>
      </c>
      <c r="L371" s="9"/>
      <c r="M371" s="9"/>
      <c r="N371" s="9"/>
      <c r="O371" s="38">
        <f t="shared" si="28"/>
        <v>352</v>
      </c>
      <c r="P371" s="12"/>
      <c r="Q371" s="42"/>
      <c r="R371" s="15"/>
      <c r="S371" s="44"/>
      <c r="T371" s="15"/>
      <c r="U371" s="44"/>
      <c r="V371" s="15">
        <f t="shared" si="29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30"/>
        <v>0</v>
      </c>
      <c r="AF371" s="101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2"/>
        <v>0</v>
      </c>
      <c r="BA371" s="15"/>
      <c r="BB371" s="44"/>
      <c r="BC371" s="15"/>
      <c r="BD371" s="44"/>
      <c r="BE371" s="15">
        <f t="shared" si="31"/>
        <v>0</v>
      </c>
    </row>
    <row r="372" spans="1:57" s="8" customFormat="1" ht="22.5" customHeight="1">
      <c r="A372" s="9"/>
      <c r="B372" s="16" t="s">
        <v>233</v>
      </c>
      <c r="C372" s="89" t="s">
        <v>52</v>
      </c>
      <c r="D372" s="56" t="s">
        <v>553</v>
      </c>
      <c r="E372" s="22" t="s">
        <v>554</v>
      </c>
      <c r="F372" s="96"/>
      <c r="G372" s="9"/>
      <c r="H372" s="9" t="s">
        <v>207</v>
      </c>
      <c r="I372" s="14"/>
      <c r="J372" s="14"/>
      <c r="K372" s="12">
        <v>379</v>
      </c>
      <c r="L372" s="9"/>
      <c r="M372" s="9"/>
      <c r="N372" s="9"/>
      <c r="O372" s="38">
        <f t="shared" si="28"/>
        <v>379</v>
      </c>
      <c r="P372" s="12"/>
      <c r="Q372" s="42"/>
      <c r="R372" s="15"/>
      <c r="S372" s="44"/>
      <c r="T372" s="15"/>
      <c r="U372" s="44"/>
      <c r="V372" s="15">
        <f t="shared" si="29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30"/>
        <v>0</v>
      </c>
      <c r="AF372" s="101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2"/>
        <v>0</v>
      </c>
      <c r="BA372" s="15"/>
      <c r="BB372" s="44"/>
      <c r="BC372" s="15"/>
      <c r="BD372" s="44"/>
      <c r="BE372" s="15">
        <f t="shared" si="31"/>
        <v>0</v>
      </c>
    </row>
    <row r="373" spans="1:57" s="8" customFormat="1" ht="22.5" customHeight="1">
      <c r="A373" s="9"/>
      <c r="B373" s="16" t="s">
        <v>233</v>
      </c>
      <c r="C373" s="89" t="s">
        <v>52</v>
      </c>
      <c r="D373" s="81" t="s">
        <v>555</v>
      </c>
      <c r="E373" s="22" t="s">
        <v>554</v>
      </c>
      <c r="F373" s="96"/>
      <c r="G373" s="9"/>
      <c r="H373" s="9" t="s">
        <v>207</v>
      </c>
      <c r="I373" s="14"/>
      <c r="J373" s="14"/>
      <c r="K373" s="12">
        <v>4</v>
      </c>
      <c r="L373" s="9"/>
      <c r="M373" s="9"/>
      <c r="N373" s="9"/>
      <c r="O373" s="38">
        <f t="shared" si="28"/>
        <v>4</v>
      </c>
      <c r="P373" s="12"/>
      <c r="Q373" s="42"/>
      <c r="R373" s="15"/>
      <c r="S373" s="44"/>
      <c r="T373" s="15"/>
      <c r="U373" s="44"/>
      <c r="V373" s="15">
        <f t="shared" si="29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30"/>
        <v>0</v>
      </c>
      <c r="AF373" s="101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2"/>
        <v>0</v>
      </c>
      <c r="BA373" s="15"/>
      <c r="BB373" s="44"/>
      <c r="BC373" s="15"/>
      <c r="BD373" s="44"/>
      <c r="BE373" s="15">
        <f t="shared" si="31"/>
        <v>0</v>
      </c>
    </row>
    <row r="374" spans="1:57" s="8" customFormat="1" ht="22.5" customHeight="1">
      <c r="A374" s="9"/>
      <c r="B374" s="16" t="s">
        <v>233</v>
      </c>
      <c r="C374" s="89" t="s">
        <v>52</v>
      </c>
      <c r="D374" s="80" t="s">
        <v>556</v>
      </c>
      <c r="E374" s="22" t="s">
        <v>554</v>
      </c>
      <c r="F374" s="96"/>
      <c r="G374" s="9"/>
      <c r="H374" s="9" t="s">
        <v>207</v>
      </c>
      <c r="I374" s="14"/>
      <c r="J374" s="14"/>
      <c r="K374" s="12">
        <v>575</v>
      </c>
      <c r="L374" s="9"/>
      <c r="M374" s="9"/>
      <c r="N374" s="9"/>
      <c r="O374" s="38">
        <f t="shared" si="28"/>
        <v>575</v>
      </c>
      <c r="P374" s="12"/>
      <c r="Q374" s="42"/>
      <c r="R374" s="15"/>
      <c r="S374" s="44"/>
      <c r="T374" s="15"/>
      <c r="U374" s="44"/>
      <c r="V374" s="15">
        <f t="shared" si="29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30"/>
        <v>0</v>
      </c>
      <c r="AF374" s="101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2"/>
        <v>0</v>
      </c>
      <c r="BA374" s="15"/>
      <c r="BB374" s="44"/>
      <c r="BC374" s="15"/>
      <c r="BD374" s="44"/>
      <c r="BE374" s="15">
        <f t="shared" si="31"/>
        <v>0</v>
      </c>
    </row>
    <row r="375" spans="1:57" s="8" customFormat="1" ht="22.5" customHeight="1">
      <c r="A375" s="9"/>
      <c r="B375" s="16" t="s">
        <v>233</v>
      </c>
      <c r="C375" s="89" t="s">
        <v>52</v>
      </c>
      <c r="D375" s="80" t="s">
        <v>557</v>
      </c>
      <c r="E375" s="22" t="s">
        <v>235</v>
      </c>
      <c r="F375" s="96"/>
      <c r="G375" s="9"/>
      <c r="H375" s="9" t="s">
        <v>558</v>
      </c>
      <c r="I375" s="14"/>
      <c r="J375" s="14"/>
      <c r="K375" s="12">
        <v>56</v>
      </c>
      <c r="L375" s="9"/>
      <c r="M375" s="9"/>
      <c r="N375" s="9"/>
      <c r="O375" s="38">
        <f t="shared" si="28"/>
        <v>56</v>
      </c>
      <c r="P375" s="12"/>
      <c r="Q375" s="42"/>
      <c r="R375" s="15"/>
      <c r="S375" s="44"/>
      <c r="T375" s="15"/>
      <c r="U375" s="44"/>
      <c r="V375" s="15">
        <f t="shared" si="29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30"/>
        <v>0</v>
      </c>
      <c r="AF375" s="101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2"/>
        <v>0</v>
      </c>
      <c r="BA375" s="15"/>
      <c r="BB375" s="44"/>
      <c r="BC375" s="15"/>
      <c r="BD375" s="44"/>
      <c r="BE375" s="15">
        <f t="shared" si="31"/>
        <v>0</v>
      </c>
    </row>
    <row r="376" spans="1:57" s="8" customFormat="1" ht="22.5" customHeight="1">
      <c r="A376" s="9"/>
      <c r="B376" s="16" t="s">
        <v>233</v>
      </c>
      <c r="C376" s="89" t="s">
        <v>52</v>
      </c>
      <c r="D376" s="80" t="s">
        <v>559</v>
      </c>
      <c r="E376" s="22" t="s">
        <v>560</v>
      </c>
      <c r="F376" s="96"/>
      <c r="G376" s="9"/>
      <c r="H376" s="9" t="s">
        <v>558</v>
      </c>
      <c r="I376" s="14"/>
      <c r="J376" s="14"/>
      <c r="K376" s="12">
        <v>0</v>
      </c>
      <c r="L376" s="9"/>
      <c r="M376" s="9"/>
      <c r="N376" s="9"/>
      <c r="O376" s="38">
        <f t="shared" si="28"/>
        <v>0</v>
      </c>
      <c r="P376" s="12"/>
      <c r="Q376" s="42"/>
      <c r="R376" s="15"/>
      <c r="S376" s="44"/>
      <c r="T376" s="15"/>
      <c r="U376" s="44"/>
      <c r="V376" s="15">
        <f t="shared" si="29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30"/>
        <v>0</v>
      </c>
      <c r="AF376" s="101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2"/>
        <v>0</v>
      </c>
      <c r="BA376" s="15"/>
      <c r="BB376" s="44"/>
      <c r="BC376" s="15"/>
      <c r="BD376" s="44"/>
      <c r="BE376" s="15">
        <f t="shared" si="31"/>
        <v>0</v>
      </c>
    </row>
    <row r="377" spans="1:57" s="8" customFormat="1" ht="22.5" customHeight="1">
      <c r="A377" s="9"/>
      <c r="B377" s="16" t="s">
        <v>249</v>
      </c>
      <c r="C377" s="89" t="s">
        <v>52</v>
      </c>
      <c r="D377" s="80" t="s">
        <v>561</v>
      </c>
      <c r="E377" s="13" t="s">
        <v>562</v>
      </c>
      <c r="F377" s="96"/>
      <c r="G377" s="9"/>
      <c r="H377" s="9" t="s">
        <v>563</v>
      </c>
      <c r="I377" s="14"/>
      <c r="J377" s="14"/>
      <c r="K377" s="12">
        <v>12</v>
      </c>
      <c r="L377" s="9"/>
      <c r="M377" s="9"/>
      <c r="N377" s="9"/>
      <c r="O377" s="38">
        <f t="shared" si="28"/>
        <v>12</v>
      </c>
      <c r="P377" s="12"/>
      <c r="Q377" s="42"/>
      <c r="R377" s="15"/>
      <c r="S377" s="44"/>
      <c r="T377" s="15"/>
      <c r="U377" s="44"/>
      <c r="V377" s="15">
        <f t="shared" si="29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30"/>
        <v>0</v>
      </c>
      <c r="AF377" s="101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2"/>
        <v>0</v>
      </c>
      <c r="BA377" s="15"/>
      <c r="BB377" s="44"/>
      <c r="BC377" s="15"/>
      <c r="BD377" s="44"/>
      <c r="BE377" s="15">
        <f t="shared" si="31"/>
        <v>0</v>
      </c>
    </row>
    <row r="378" spans="1:57" s="8" customFormat="1" ht="22.5" customHeight="1">
      <c r="A378" s="9"/>
      <c r="B378" s="16" t="s">
        <v>155</v>
      </c>
      <c r="C378" s="89" t="s">
        <v>52</v>
      </c>
      <c r="D378" s="80" t="s">
        <v>564</v>
      </c>
      <c r="E378" s="13" t="s">
        <v>565</v>
      </c>
      <c r="F378" s="96"/>
      <c r="G378" s="9"/>
      <c r="H378" s="9" t="s">
        <v>566</v>
      </c>
      <c r="I378" s="14"/>
      <c r="J378" s="14"/>
      <c r="K378" s="12">
        <v>0</v>
      </c>
      <c r="L378" s="9"/>
      <c r="M378" s="9"/>
      <c r="N378" s="9"/>
      <c r="O378" s="38">
        <f t="shared" si="28"/>
        <v>0</v>
      </c>
      <c r="P378" s="12"/>
      <c r="Q378" s="42"/>
      <c r="R378" s="15"/>
      <c r="S378" s="44"/>
      <c r="T378" s="15"/>
      <c r="U378" s="44"/>
      <c r="V378" s="15">
        <f t="shared" si="29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30"/>
        <v>0</v>
      </c>
      <c r="AF378" s="101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2"/>
        <v>0</v>
      </c>
      <c r="BA378" s="15"/>
      <c r="BB378" s="44"/>
      <c r="BC378" s="15"/>
      <c r="BD378" s="44"/>
      <c r="BE378" s="15">
        <f t="shared" si="31"/>
        <v>0</v>
      </c>
    </row>
    <row r="379" spans="1:57" s="8" customFormat="1" ht="22.5" customHeight="1">
      <c r="A379" s="9"/>
      <c r="B379" s="16" t="s">
        <v>155</v>
      </c>
      <c r="C379" s="89" t="s">
        <v>52</v>
      </c>
      <c r="D379" s="59" t="s">
        <v>567</v>
      </c>
      <c r="E379" s="13" t="s">
        <v>565</v>
      </c>
      <c r="F379" s="96"/>
      <c r="G379" s="9"/>
      <c r="H379" s="9" t="s">
        <v>566</v>
      </c>
      <c r="I379" s="14"/>
      <c r="J379" s="14"/>
      <c r="K379" s="12">
        <v>27</v>
      </c>
      <c r="L379" s="9"/>
      <c r="M379" s="9"/>
      <c r="N379" s="9"/>
      <c r="O379" s="38">
        <f t="shared" si="28"/>
        <v>27</v>
      </c>
      <c r="P379" s="12"/>
      <c r="Q379" s="42"/>
      <c r="R379" s="15"/>
      <c r="S379" s="44"/>
      <c r="T379" s="15"/>
      <c r="U379" s="44"/>
      <c r="V379" s="15">
        <f t="shared" si="29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30"/>
        <v>0</v>
      </c>
      <c r="AF379" s="101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2"/>
        <v>0</v>
      </c>
      <c r="BA379" s="15"/>
      <c r="BB379" s="44"/>
      <c r="BC379" s="15"/>
      <c r="BD379" s="44"/>
      <c r="BE379" s="15">
        <f t="shared" si="31"/>
        <v>0</v>
      </c>
    </row>
    <row r="380" spans="1:57" s="8" customFormat="1" ht="22.5" customHeight="1">
      <c r="A380" s="9"/>
      <c r="B380" s="16" t="s">
        <v>155</v>
      </c>
      <c r="C380" s="89" t="s">
        <v>52</v>
      </c>
      <c r="D380" s="59" t="s">
        <v>568</v>
      </c>
      <c r="E380" s="13" t="s">
        <v>569</v>
      </c>
      <c r="F380" s="96"/>
      <c r="G380" s="9"/>
      <c r="H380" s="9" t="s">
        <v>566</v>
      </c>
      <c r="I380" s="14"/>
      <c r="J380" s="14"/>
      <c r="K380" s="12">
        <v>0</v>
      </c>
      <c r="L380" s="9"/>
      <c r="M380" s="9"/>
      <c r="N380" s="9"/>
      <c r="O380" s="38">
        <f t="shared" si="28"/>
        <v>0</v>
      </c>
      <c r="P380" s="12"/>
      <c r="Q380" s="42"/>
      <c r="R380" s="15"/>
      <c r="S380" s="44"/>
      <c r="T380" s="15"/>
      <c r="U380" s="44"/>
      <c r="V380" s="15">
        <f t="shared" si="29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30"/>
        <v>0</v>
      </c>
      <c r="AF380" s="101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2"/>
        <v>0</v>
      </c>
      <c r="BA380" s="15"/>
      <c r="BB380" s="44"/>
      <c r="BC380" s="15"/>
      <c r="BD380" s="44"/>
      <c r="BE380" s="15">
        <f t="shared" si="31"/>
        <v>0</v>
      </c>
    </row>
    <row r="381" spans="1:57" s="8" customFormat="1" ht="22.5" customHeight="1">
      <c r="A381" s="9"/>
      <c r="B381" s="16" t="s">
        <v>330</v>
      </c>
      <c r="C381" s="89" t="s">
        <v>52</v>
      </c>
      <c r="D381" s="70" t="s">
        <v>333</v>
      </c>
      <c r="E381" s="13" t="s">
        <v>330</v>
      </c>
      <c r="F381" s="96"/>
      <c r="G381" s="9"/>
      <c r="H381" s="9" t="s">
        <v>332</v>
      </c>
      <c r="I381" s="14"/>
      <c r="J381" s="14"/>
      <c r="K381" s="12">
        <v>3600</v>
      </c>
      <c r="L381" s="9"/>
      <c r="M381" s="9"/>
      <c r="N381" s="9"/>
      <c r="O381" s="38">
        <f t="shared" si="28"/>
        <v>3600</v>
      </c>
      <c r="P381" s="12"/>
      <c r="Q381" s="42"/>
      <c r="R381" s="15"/>
      <c r="S381" s="44"/>
      <c r="T381" s="15"/>
      <c r="U381" s="44"/>
      <c r="V381" s="15">
        <f t="shared" si="29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30"/>
        <v>0</v>
      </c>
      <c r="AF381" s="101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2"/>
        <v>0</v>
      </c>
      <c r="BA381" s="15"/>
      <c r="BB381" s="44"/>
      <c r="BC381" s="15"/>
      <c r="BD381" s="44"/>
      <c r="BE381" s="15">
        <f t="shared" si="31"/>
        <v>0</v>
      </c>
    </row>
    <row r="382" spans="1:57" s="8" customFormat="1" ht="22.5" customHeight="1">
      <c r="A382" s="9"/>
      <c r="B382" s="16" t="s">
        <v>570</v>
      </c>
      <c r="C382" s="89" t="s">
        <v>52</v>
      </c>
      <c r="D382" s="59" t="s">
        <v>571</v>
      </c>
      <c r="E382" s="13" t="s">
        <v>562</v>
      </c>
      <c r="F382" s="96"/>
      <c r="G382" s="9"/>
      <c r="H382" s="9" t="s">
        <v>314</v>
      </c>
      <c r="I382" s="14"/>
      <c r="J382" s="14"/>
      <c r="K382" s="12">
        <v>0</v>
      </c>
      <c r="L382" s="9"/>
      <c r="M382" s="9"/>
      <c r="N382" s="9"/>
      <c r="O382" s="38">
        <f t="shared" si="28"/>
        <v>0</v>
      </c>
      <c r="P382" s="12"/>
      <c r="Q382" s="42"/>
      <c r="R382" s="15"/>
      <c r="S382" s="44"/>
      <c r="T382" s="15"/>
      <c r="U382" s="44"/>
      <c r="V382" s="15">
        <f t="shared" si="29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30"/>
        <v>0</v>
      </c>
      <c r="AF382" s="101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2"/>
        <v>0</v>
      </c>
      <c r="BA382" s="15"/>
      <c r="BB382" s="44"/>
      <c r="BC382" s="15"/>
      <c r="BD382" s="44"/>
      <c r="BE382" s="15">
        <f t="shared" si="31"/>
        <v>0</v>
      </c>
    </row>
    <row r="383" spans="1:57" s="8" customFormat="1" ht="22.5" customHeight="1">
      <c r="A383" s="9"/>
      <c r="B383" s="16" t="s">
        <v>472</v>
      </c>
      <c r="C383" s="89" t="s">
        <v>52</v>
      </c>
      <c r="D383" s="59" t="s">
        <v>572</v>
      </c>
      <c r="E383" s="13" t="s">
        <v>573</v>
      </c>
      <c r="F383" s="96"/>
      <c r="G383" s="9"/>
      <c r="H383" s="9" t="s">
        <v>67</v>
      </c>
      <c r="I383" s="14"/>
      <c r="J383" s="14"/>
      <c r="K383" s="12">
        <v>384</v>
      </c>
      <c r="L383" s="9"/>
      <c r="M383" s="9"/>
      <c r="N383" s="9"/>
      <c r="O383" s="38">
        <f t="shared" si="28"/>
        <v>384</v>
      </c>
      <c r="P383" s="12"/>
      <c r="Q383" s="42"/>
      <c r="R383" s="15"/>
      <c r="S383" s="44"/>
      <c r="T383" s="15"/>
      <c r="U383" s="44"/>
      <c r="V383" s="15">
        <f t="shared" si="29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30"/>
        <v>0</v>
      </c>
      <c r="AF383" s="101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2"/>
        <v>0</v>
      </c>
      <c r="BA383" s="15"/>
      <c r="BB383" s="44"/>
      <c r="BC383" s="15"/>
      <c r="BD383" s="44"/>
      <c r="BE383" s="15">
        <f t="shared" si="31"/>
        <v>0</v>
      </c>
    </row>
    <row r="384" spans="1:57" s="8" customFormat="1" ht="22.5" customHeight="1">
      <c r="A384" s="9"/>
      <c r="B384" s="16" t="s">
        <v>574</v>
      </c>
      <c r="C384" s="89" t="s">
        <v>494</v>
      </c>
      <c r="D384" s="59" t="s">
        <v>575</v>
      </c>
      <c r="E384" s="13"/>
      <c r="F384" s="96"/>
      <c r="G384" s="9"/>
      <c r="H384" s="9" t="s">
        <v>576</v>
      </c>
      <c r="I384" s="14"/>
      <c r="J384" s="14"/>
      <c r="K384" s="12">
        <v>0</v>
      </c>
      <c r="L384" s="9"/>
      <c r="M384" s="9"/>
      <c r="N384" s="9"/>
      <c r="O384" s="38">
        <f t="shared" si="28"/>
        <v>0</v>
      </c>
      <c r="P384" s="12"/>
      <c r="Q384" s="42"/>
      <c r="R384" s="15"/>
      <c r="S384" s="44"/>
      <c r="T384" s="15"/>
      <c r="U384" s="44"/>
      <c r="V384" s="15">
        <f t="shared" si="29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30"/>
        <v>0</v>
      </c>
      <c r="AF384" s="101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2"/>
        <v>0</v>
      </c>
      <c r="BA384" s="15"/>
      <c r="BB384" s="44"/>
      <c r="BC384" s="15"/>
      <c r="BD384" s="44"/>
      <c r="BE384" s="15">
        <f t="shared" si="31"/>
        <v>0</v>
      </c>
    </row>
    <row r="385" spans="1:57" s="8" customFormat="1" ht="22.5" customHeight="1">
      <c r="A385" s="9"/>
      <c r="B385" s="16" t="s">
        <v>574</v>
      </c>
      <c r="C385" s="89" t="s">
        <v>494</v>
      </c>
      <c r="D385" s="59" t="s">
        <v>577</v>
      </c>
      <c r="E385" s="13" t="s">
        <v>578</v>
      </c>
      <c r="F385" s="96"/>
      <c r="G385" s="9"/>
      <c r="H385" s="9" t="s">
        <v>576</v>
      </c>
      <c r="I385" s="14"/>
      <c r="J385" s="14"/>
      <c r="K385" s="12">
        <v>0</v>
      </c>
      <c r="L385" s="9"/>
      <c r="M385" s="9"/>
      <c r="N385" s="9"/>
      <c r="O385" s="38">
        <f t="shared" si="28"/>
        <v>0</v>
      </c>
      <c r="P385" s="12"/>
      <c r="Q385" s="42"/>
      <c r="R385" s="15"/>
      <c r="S385" s="44"/>
      <c r="T385" s="15"/>
      <c r="U385" s="44"/>
      <c r="V385" s="15">
        <f t="shared" si="29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30"/>
        <v>0</v>
      </c>
      <c r="AF385" s="101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2"/>
        <v>0</v>
      </c>
      <c r="BA385" s="15"/>
      <c r="BB385" s="44"/>
      <c r="BC385" s="15"/>
      <c r="BD385" s="44"/>
      <c r="BE385" s="15">
        <f t="shared" si="31"/>
        <v>0</v>
      </c>
    </row>
    <row r="386" spans="1:57" s="8" customFormat="1" ht="22.5" customHeight="1">
      <c r="A386" s="9"/>
      <c r="B386" s="16" t="s">
        <v>244</v>
      </c>
      <c r="C386" s="89" t="s">
        <v>52</v>
      </c>
      <c r="D386" s="59" t="s">
        <v>579</v>
      </c>
      <c r="E386" s="13" t="s">
        <v>246</v>
      </c>
      <c r="F386" s="96"/>
      <c r="G386" s="9"/>
      <c r="H386" s="9" t="s">
        <v>247</v>
      </c>
      <c r="I386" s="14"/>
      <c r="J386" s="14"/>
      <c r="K386" s="12">
        <v>0</v>
      </c>
      <c r="L386" s="9"/>
      <c r="M386" s="9"/>
      <c r="N386" s="9"/>
      <c r="O386" s="38">
        <f t="shared" si="28"/>
        <v>0</v>
      </c>
      <c r="P386" s="12"/>
      <c r="Q386" s="42"/>
      <c r="R386" s="15"/>
      <c r="S386" s="44"/>
      <c r="T386" s="15"/>
      <c r="U386" s="44"/>
      <c r="V386" s="15">
        <f t="shared" si="29"/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si="30"/>
        <v>0</v>
      </c>
      <c r="AF386" s="101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2"/>
        <v>0</v>
      </c>
      <c r="BA386" s="15"/>
      <c r="BB386" s="44"/>
      <c r="BC386" s="15"/>
      <c r="BD386" s="44"/>
      <c r="BE386" s="15">
        <f t="shared" si="31"/>
        <v>0</v>
      </c>
    </row>
    <row r="387" spans="1:57" s="8" customFormat="1" ht="22.5" customHeight="1">
      <c r="A387" s="9"/>
      <c r="B387" s="16" t="s">
        <v>244</v>
      </c>
      <c r="C387" s="89" t="s">
        <v>52</v>
      </c>
      <c r="D387" s="56" t="s">
        <v>580</v>
      </c>
      <c r="E387" s="13" t="s">
        <v>246</v>
      </c>
      <c r="F387" s="96"/>
      <c r="G387" s="9"/>
      <c r="H387" s="9" t="s">
        <v>247</v>
      </c>
      <c r="I387" s="14"/>
      <c r="J387" s="14"/>
      <c r="K387" s="12">
        <v>192</v>
      </c>
      <c r="L387" s="9"/>
      <c r="M387" s="9"/>
      <c r="N387" s="9"/>
      <c r="O387" s="38">
        <f t="shared" si="28"/>
        <v>192</v>
      </c>
      <c r="P387" s="12"/>
      <c r="Q387" s="42"/>
      <c r="R387" s="15"/>
      <c r="S387" s="44"/>
      <c r="T387" s="15"/>
      <c r="U387" s="44"/>
      <c r="V387" s="15">
        <f t="shared" si="29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0"/>
        <v>0</v>
      </c>
      <c r="AF387" s="101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si="32"/>
        <v>0</v>
      </c>
      <c r="BA387" s="15"/>
      <c r="BB387" s="44"/>
      <c r="BC387" s="15"/>
      <c r="BD387" s="44"/>
      <c r="BE387" s="15">
        <f t="shared" si="31"/>
        <v>0</v>
      </c>
    </row>
    <row r="388" spans="1:57" s="8" customFormat="1" ht="22.5" customHeight="1">
      <c r="A388" s="9"/>
      <c r="B388" s="16" t="s">
        <v>343</v>
      </c>
      <c r="C388" s="89" t="s">
        <v>52</v>
      </c>
      <c r="D388" s="56" t="s">
        <v>343</v>
      </c>
      <c r="E388" s="13"/>
      <c r="F388" s="96"/>
      <c r="G388" s="9"/>
      <c r="H388" s="9" t="s">
        <v>345</v>
      </c>
      <c r="I388" s="14"/>
      <c r="J388" s="14"/>
      <c r="K388" s="12">
        <v>0</v>
      </c>
      <c r="L388" s="9"/>
      <c r="M388" s="9"/>
      <c r="N388" s="9"/>
      <c r="O388" s="38">
        <f t="shared" ref="O388:O451" si="33">K388+V388-AE388-AZ388</f>
        <v>0</v>
      </c>
      <c r="P388" s="12"/>
      <c r="Q388" s="42"/>
      <c r="R388" s="15"/>
      <c r="S388" s="44"/>
      <c r="T388" s="15"/>
      <c r="U388" s="44"/>
      <c r="V388" s="15">
        <f t="shared" ref="V388:V451" si="34">P388+R388+T388</f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ref="AE388:AE451" si="35">(W388+Y388+AA388+AC388)</f>
        <v>0</v>
      </c>
      <c r="AF388" s="101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2"/>
        <v>0</v>
      </c>
      <c r="BA388" s="15"/>
      <c r="BB388" s="44"/>
      <c r="BC388" s="15"/>
      <c r="BD388" s="44"/>
      <c r="BE388" s="15">
        <f t="shared" si="31"/>
        <v>0</v>
      </c>
    </row>
    <row r="389" spans="1:57" s="8" customFormat="1" ht="22.5" customHeight="1">
      <c r="A389" s="9"/>
      <c r="B389" s="16" t="s">
        <v>581</v>
      </c>
      <c r="C389" s="89" t="s">
        <v>44</v>
      </c>
      <c r="D389" s="59" t="s">
        <v>582</v>
      </c>
      <c r="E389" s="13" t="s">
        <v>583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3"/>
        <v>0</v>
      </c>
      <c r="P389" s="12"/>
      <c r="Q389" s="42"/>
      <c r="R389" s="15"/>
      <c r="S389" s="44"/>
      <c r="T389" s="15"/>
      <c r="U389" s="44"/>
      <c r="V389" s="15">
        <f t="shared" si="34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5"/>
        <v>0</v>
      </c>
      <c r="AF389" s="101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2"/>
        <v>0</v>
      </c>
      <c r="BA389" s="15"/>
      <c r="BB389" s="44"/>
      <c r="BC389" s="15"/>
      <c r="BD389" s="44"/>
      <c r="BE389" s="15">
        <f t="shared" si="31"/>
        <v>0</v>
      </c>
    </row>
    <row r="390" spans="1:57" s="8" customFormat="1" ht="22.5" customHeight="1">
      <c r="A390" s="9"/>
      <c r="B390" s="16" t="s">
        <v>581</v>
      </c>
      <c r="C390" s="89" t="s">
        <v>132</v>
      </c>
      <c r="D390" s="59" t="s">
        <v>585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3"/>
        <v>0</v>
      </c>
      <c r="P390" s="12"/>
      <c r="Q390" s="42"/>
      <c r="R390" s="15"/>
      <c r="S390" s="44"/>
      <c r="T390" s="15"/>
      <c r="U390" s="44"/>
      <c r="V390" s="15">
        <f t="shared" si="34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5"/>
        <v>0</v>
      </c>
      <c r="AF390" s="101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2"/>
        <v>0</v>
      </c>
      <c r="BA390" s="15"/>
      <c r="BB390" s="44"/>
      <c r="BC390" s="15"/>
      <c r="BD390" s="44"/>
      <c r="BE390" s="15">
        <f t="shared" si="31"/>
        <v>0</v>
      </c>
    </row>
    <row r="391" spans="1:57" s="8" customFormat="1" ht="22.5" customHeight="1">
      <c r="A391" s="9"/>
      <c r="B391" s="16" t="s">
        <v>581</v>
      </c>
      <c r="C391" s="89" t="s">
        <v>48</v>
      </c>
      <c r="D391" s="59" t="s">
        <v>585</v>
      </c>
      <c r="E391" s="13" t="s">
        <v>586</v>
      </c>
      <c r="F391" s="95"/>
      <c r="G391" s="9"/>
      <c r="H391" s="9" t="s">
        <v>584</v>
      </c>
      <c r="I391" s="14"/>
      <c r="J391" s="14"/>
      <c r="K391" s="12">
        <v>0</v>
      </c>
      <c r="L391" s="9"/>
      <c r="M391" s="9"/>
      <c r="N391" s="9"/>
      <c r="O391" s="38">
        <f t="shared" si="33"/>
        <v>0</v>
      </c>
      <c r="P391" s="12"/>
      <c r="Q391" s="42"/>
      <c r="R391" s="15"/>
      <c r="S391" s="44"/>
      <c r="T391" s="15"/>
      <c r="U391" s="44"/>
      <c r="V391" s="15">
        <f t="shared" si="34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5"/>
        <v>0</v>
      </c>
      <c r="AF391" s="101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2"/>
        <v>0</v>
      </c>
      <c r="BA391" s="15"/>
      <c r="BB391" s="44"/>
      <c r="BC391" s="15"/>
      <c r="BD391" s="44"/>
      <c r="BE391" s="15">
        <f t="shared" si="31"/>
        <v>0</v>
      </c>
    </row>
    <row r="392" spans="1:57" s="8" customFormat="1" ht="22.5" customHeight="1">
      <c r="A392" s="9"/>
      <c r="B392" s="16" t="s">
        <v>581</v>
      </c>
      <c r="C392" s="89" t="s">
        <v>48</v>
      </c>
      <c r="D392" s="59" t="s">
        <v>587</v>
      </c>
      <c r="E392" s="13" t="s">
        <v>586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3"/>
        <v>0</v>
      </c>
      <c r="P392" s="12"/>
      <c r="Q392" s="42"/>
      <c r="R392" s="15"/>
      <c r="S392" s="44"/>
      <c r="T392" s="15"/>
      <c r="U392" s="44"/>
      <c r="V392" s="15">
        <f t="shared" si="34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5"/>
        <v>0</v>
      </c>
      <c r="AF392" s="101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2"/>
        <v>0</v>
      </c>
      <c r="BA392" s="15"/>
      <c r="BB392" s="44"/>
      <c r="BC392" s="15"/>
      <c r="BD392" s="44"/>
      <c r="BE392" s="15">
        <f t="shared" si="31"/>
        <v>0</v>
      </c>
    </row>
    <row r="393" spans="1:57" s="8" customFormat="1" ht="22.5" customHeight="1">
      <c r="A393" s="9"/>
      <c r="B393" s="16" t="s">
        <v>581</v>
      </c>
      <c r="C393" s="89" t="s">
        <v>132</v>
      </c>
      <c r="D393" s="59" t="s">
        <v>588</v>
      </c>
      <c r="E393" s="13" t="s">
        <v>583</v>
      </c>
      <c r="F393" s="95"/>
      <c r="G393" s="9"/>
      <c r="H393" s="9" t="s">
        <v>584</v>
      </c>
      <c r="I393" s="14"/>
      <c r="J393" s="14"/>
      <c r="K393" s="12">
        <v>0</v>
      </c>
      <c r="L393" s="9"/>
      <c r="M393" s="9"/>
      <c r="N393" s="9"/>
      <c r="O393" s="38">
        <f t="shared" si="33"/>
        <v>0</v>
      </c>
      <c r="P393" s="12"/>
      <c r="Q393" s="42"/>
      <c r="R393" s="15"/>
      <c r="S393" s="44"/>
      <c r="T393" s="15"/>
      <c r="U393" s="44"/>
      <c r="V393" s="15">
        <f t="shared" si="34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5"/>
        <v>0</v>
      </c>
      <c r="AF393" s="101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2"/>
        <v>0</v>
      </c>
      <c r="BA393" s="15"/>
      <c r="BB393" s="44"/>
      <c r="BC393" s="15"/>
      <c r="BD393" s="44"/>
      <c r="BE393" s="15">
        <f t="shared" si="31"/>
        <v>0</v>
      </c>
    </row>
    <row r="394" spans="1:57" s="8" customFormat="1" ht="22.5" customHeight="1">
      <c r="A394" s="9"/>
      <c r="B394" s="16" t="s">
        <v>581</v>
      </c>
      <c r="C394" s="89" t="s">
        <v>52</v>
      </c>
      <c r="D394" s="56" t="s">
        <v>582</v>
      </c>
      <c r="E394" s="13" t="s">
        <v>589</v>
      </c>
      <c r="F394" s="95"/>
      <c r="G394" s="9"/>
      <c r="H394" s="9" t="s">
        <v>584</v>
      </c>
      <c r="I394" s="14"/>
      <c r="J394" s="14"/>
      <c r="K394" s="12">
        <v>190</v>
      </c>
      <c r="L394" s="9"/>
      <c r="M394" s="9"/>
      <c r="N394" s="9"/>
      <c r="O394" s="38">
        <f t="shared" si="33"/>
        <v>190</v>
      </c>
      <c r="P394" s="12"/>
      <c r="Q394" s="42"/>
      <c r="R394" s="15"/>
      <c r="S394" s="44"/>
      <c r="T394" s="15"/>
      <c r="U394" s="44"/>
      <c r="V394" s="15">
        <f t="shared" si="34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5"/>
        <v>0</v>
      </c>
      <c r="AF394" s="101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2"/>
        <v>0</v>
      </c>
      <c r="BA394" s="15"/>
      <c r="BB394" s="44"/>
      <c r="BC394" s="15"/>
      <c r="BD394" s="44"/>
      <c r="BE394" s="15">
        <f t="shared" si="31"/>
        <v>0</v>
      </c>
    </row>
    <row r="395" spans="1:57" s="8" customFormat="1" ht="22.5" customHeight="1">
      <c r="A395" s="9"/>
      <c r="B395" s="16" t="s">
        <v>581</v>
      </c>
      <c r="C395" s="89" t="s">
        <v>52</v>
      </c>
      <c r="D395" s="59" t="s">
        <v>587</v>
      </c>
      <c r="E395" s="13" t="s">
        <v>590</v>
      </c>
      <c r="F395" s="95"/>
      <c r="G395" s="9"/>
      <c r="H395" s="9" t="s">
        <v>584</v>
      </c>
      <c r="I395" s="14"/>
      <c r="J395" s="14"/>
      <c r="K395" s="12">
        <v>0</v>
      </c>
      <c r="L395" s="9"/>
      <c r="M395" s="9"/>
      <c r="N395" s="9"/>
      <c r="O395" s="38">
        <f t="shared" si="33"/>
        <v>0</v>
      </c>
      <c r="P395" s="12"/>
      <c r="Q395" s="42"/>
      <c r="R395" s="15"/>
      <c r="S395" s="44"/>
      <c r="T395" s="15"/>
      <c r="U395" s="44"/>
      <c r="V395" s="15">
        <f t="shared" si="34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5"/>
        <v>0</v>
      </c>
      <c r="AF395" s="101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2"/>
        <v>0</v>
      </c>
      <c r="BA395" s="15"/>
      <c r="BB395" s="44"/>
      <c r="BC395" s="15"/>
      <c r="BD395" s="44"/>
      <c r="BE395" s="15">
        <f t="shared" si="31"/>
        <v>0</v>
      </c>
    </row>
    <row r="396" spans="1:57" s="8" customFormat="1" ht="22.5" customHeight="1">
      <c r="A396" s="9"/>
      <c r="B396" s="16" t="s">
        <v>591</v>
      </c>
      <c r="C396" s="92" t="s">
        <v>151</v>
      </c>
      <c r="D396" s="85" t="s">
        <v>592</v>
      </c>
      <c r="E396" s="13" t="s">
        <v>593</v>
      </c>
      <c r="F396" s="95"/>
      <c r="G396" s="9"/>
      <c r="H396" s="9" t="s">
        <v>594</v>
      </c>
      <c r="I396" s="14"/>
      <c r="J396" s="14"/>
      <c r="K396" s="12">
        <v>1300</v>
      </c>
      <c r="L396" s="9"/>
      <c r="M396" s="9"/>
      <c r="N396" s="9"/>
      <c r="O396" s="38">
        <f t="shared" si="33"/>
        <v>1300</v>
      </c>
      <c r="P396" s="12"/>
      <c r="Q396" s="42"/>
      <c r="R396" s="15"/>
      <c r="S396" s="44"/>
      <c r="T396" s="15"/>
      <c r="U396" s="44"/>
      <c r="V396" s="15">
        <f t="shared" si="34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5"/>
        <v>0</v>
      </c>
      <c r="AF396" s="101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2"/>
        <v>0</v>
      </c>
      <c r="BA396" s="15"/>
      <c r="BB396" s="44"/>
      <c r="BC396" s="15"/>
      <c r="BD396" s="44"/>
      <c r="BE396" s="15">
        <f t="shared" si="31"/>
        <v>0</v>
      </c>
    </row>
    <row r="397" spans="1:57" s="8" customFormat="1" ht="22.5" customHeight="1">
      <c r="A397" s="9"/>
      <c r="B397" s="16" t="s">
        <v>591</v>
      </c>
      <c r="C397" s="92" t="s">
        <v>151</v>
      </c>
      <c r="D397" s="59" t="s">
        <v>595</v>
      </c>
      <c r="E397" s="13" t="s">
        <v>596</v>
      </c>
      <c r="F397" s="95"/>
      <c r="G397" s="9"/>
      <c r="H397" s="9" t="s">
        <v>594</v>
      </c>
      <c r="I397" s="14"/>
      <c r="J397" s="14"/>
      <c r="K397" s="12">
        <v>0</v>
      </c>
      <c r="L397" s="9"/>
      <c r="M397" s="9"/>
      <c r="N397" s="9"/>
      <c r="O397" s="38">
        <f t="shared" si="33"/>
        <v>0</v>
      </c>
      <c r="P397" s="12"/>
      <c r="Q397" s="42"/>
      <c r="R397" s="15"/>
      <c r="S397" s="44"/>
      <c r="T397" s="15"/>
      <c r="U397" s="44"/>
      <c r="V397" s="15">
        <f t="shared" si="34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5"/>
        <v>0</v>
      </c>
      <c r="AF397" s="101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2"/>
        <v>0</v>
      </c>
      <c r="BA397" s="15"/>
      <c r="BB397" s="44"/>
      <c r="BC397" s="15"/>
      <c r="BD397" s="44"/>
      <c r="BE397" s="15">
        <f t="shared" si="31"/>
        <v>0</v>
      </c>
    </row>
    <row r="398" spans="1:57" s="8" customFormat="1" ht="22.5" customHeight="1">
      <c r="A398" s="9"/>
      <c r="B398" s="16" t="s">
        <v>591</v>
      </c>
      <c r="C398" s="92" t="s">
        <v>151</v>
      </c>
      <c r="D398" s="59" t="s">
        <v>597</v>
      </c>
      <c r="E398" s="13" t="s">
        <v>598</v>
      </c>
      <c r="F398" s="95"/>
      <c r="G398" s="9"/>
      <c r="H398" s="9" t="s">
        <v>594</v>
      </c>
      <c r="I398" s="14"/>
      <c r="J398" s="14"/>
      <c r="K398" s="12">
        <v>208</v>
      </c>
      <c r="L398" s="9"/>
      <c r="M398" s="9"/>
      <c r="N398" s="9"/>
      <c r="O398" s="38">
        <f t="shared" si="33"/>
        <v>208</v>
      </c>
      <c r="P398" s="12"/>
      <c r="Q398" s="42"/>
      <c r="R398" s="15"/>
      <c r="S398" s="44"/>
      <c r="T398" s="15"/>
      <c r="U398" s="44"/>
      <c r="V398" s="15">
        <f t="shared" si="34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5"/>
        <v>0</v>
      </c>
      <c r="AF398" s="101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2"/>
        <v>0</v>
      </c>
      <c r="BA398" s="15"/>
      <c r="BB398" s="44"/>
      <c r="BC398" s="15"/>
      <c r="BD398" s="44"/>
      <c r="BE398" s="15">
        <f t="shared" si="31"/>
        <v>0</v>
      </c>
    </row>
    <row r="399" spans="1:57" s="8" customFormat="1" ht="22.5" customHeight="1">
      <c r="A399" s="9"/>
      <c r="B399" s="16" t="s">
        <v>591</v>
      </c>
      <c r="C399" s="92" t="s">
        <v>151</v>
      </c>
      <c r="D399" s="59" t="s">
        <v>599</v>
      </c>
      <c r="E399" s="13" t="s">
        <v>596</v>
      </c>
      <c r="F399" s="95"/>
      <c r="G399" s="9"/>
      <c r="H399" s="9" t="s">
        <v>594</v>
      </c>
      <c r="I399" s="14"/>
      <c r="J399" s="14"/>
      <c r="K399" s="12">
        <v>96</v>
      </c>
      <c r="L399" s="9"/>
      <c r="M399" s="9"/>
      <c r="N399" s="9"/>
      <c r="O399" s="38">
        <f t="shared" si="33"/>
        <v>96</v>
      </c>
      <c r="P399" s="12"/>
      <c r="Q399" s="42"/>
      <c r="R399" s="15"/>
      <c r="S399" s="44"/>
      <c r="T399" s="15"/>
      <c r="U399" s="44"/>
      <c r="V399" s="15">
        <f t="shared" si="34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5"/>
        <v>0</v>
      </c>
      <c r="AF399" s="101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2"/>
        <v>0</v>
      </c>
      <c r="BA399" s="15"/>
      <c r="BB399" s="44"/>
      <c r="BC399" s="15"/>
      <c r="BD399" s="44"/>
      <c r="BE399" s="15">
        <f t="shared" si="31"/>
        <v>0</v>
      </c>
    </row>
    <row r="400" spans="1:57" s="8" customFormat="1" ht="22.5" customHeight="1">
      <c r="A400" s="9"/>
      <c r="B400" s="16" t="s">
        <v>591</v>
      </c>
      <c r="C400" s="92" t="s">
        <v>151</v>
      </c>
      <c r="D400" s="59" t="s">
        <v>600</v>
      </c>
      <c r="E400" s="13" t="s">
        <v>601</v>
      </c>
      <c r="F400" s="95"/>
      <c r="G400" s="9"/>
      <c r="H400" s="9" t="s">
        <v>594</v>
      </c>
      <c r="I400" s="14"/>
      <c r="J400" s="14"/>
      <c r="K400" s="12">
        <v>600</v>
      </c>
      <c r="L400" s="9"/>
      <c r="M400" s="9"/>
      <c r="N400" s="9"/>
      <c r="O400" s="38">
        <f t="shared" si="33"/>
        <v>600</v>
      </c>
      <c r="P400" s="12"/>
      <c r="Q400" s="42"/>
      <c r="R400" s="15"/>
      <c r="S400" s="44"/>
      <c r="T400" s="15"/>
      <c r="U400" s="44"/>
      <c r="V400" s="15">
        <f t="shared" si="34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5"/>
        <v>0</v>
      </c>
      <c r="AF400" s="101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2"/>
        <v>0</v>
      </c>
      <c r="BA400" s="15"/>
      <c r="BB400" s="44"/>
      <c r="BC400" s="15"/>
      <c r="BD400" s="44"/>
      <c r="BE400" s="15">
        <f t="shared" si="31"/>
        <v>0</v>
      </c>
    </row>
    <row r="401" spans="1:57" s="8" customFormat="1" ht="22.5" customHeight="1">
      <c r="A401" s="9"/>
      <c r="B401" s="16" t="s">
        <v>591</v>
      </c>
      <c r="C401" s="92" t="s">
        <v>151</v>
      </c>
      <c r="D401" s="59" t="s">
        <v>602</v>
      </c>
      <c r="E401" s="13" t="s">
        <v>603</v>
      </c>
      <c r="F401" s="95"/>
      <c r="G401" s="9"/>
      <c r="H401" s="9" t="s">
        <v>594</v>
      </c>
      <c r="I401" s="14"/>
      <c r="J401" s="14"/>
      <c r="K401" s="12">
        <v>190</v>
      </c>
      <c r="L401" s="9"/>
      <c r="M401" s="9"/>
      <c r="N401" s="9"/>
      <c r="O401" s="38">
        <f t="shared" si="33"/>
        <v>190</v>
      </c>
      <c r="P401" s="12"/>
      <c r="Q401" s="42"/>
      <c r="R401" s="15"/>
      <c r="S401" s="44"/>
      <c r="T401" s="15"/>
      <c r="U401" s="44"/>
      <c r="V401" s="15">
        <f t="shared" si="34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5"/>
        <v>0</v>
      </c>
      <c r="AF401" s="101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2"/>
        <v>0</v>
      </c>
      <c r="BA401" s="15"/>
      <c r="BB401" s="44"/>
      <c r="BC401" s="15"/>
      <c r="BD401" s="44"/>
      <c r="BE401" s="15">
        <f t="shared" si="31"/>
        <v>0</v>
      </c>
    </row>
    <row r="402" spans="1:57" s="8" customFormat="1" ht="22.5" customHeight="1">
      <c r="A402" s="9"/>
      <c r="B402" s="16" t="s">
        <v>591</v>
      </c>
      <c r="C402" s="92" t="s">
        <v>151</v>
      </c>
      <c r="D402" s="56" t="s">
        <v>604</v>
      </c>
      <c r="E402" s="13" t="s">
        <v>605</v>
      </c>
      <c r="F402" s="95"/>
      <c r="G402" s="9"/>
      <c r="H402" s="9" t="s">
        <v>594</v>
      </c>
      <c r="I402" s="14"/>
      <c r="J402" s="14"/>
      <c r="K402" s="12">
        <v>300</v>
      </c>
      <c r="L402" s="9"/>
      <c r="M402" s="9"/>
      <c r="N402" s="9"/>
      <c r="O402" s="38">
        <f t="shared" si="33"/>
        <v>300</v>
      </c>
      <c r="P402" s="12"/>
      <c r="Q402" s="42"/>
      <c r="R402" s="15"/>
      <c r="S402" s="44"/>
      <c r="T402" s="15"/>
      <c r="U402" s="44"/>
      <c r="V402" s="15">
        <f t="shared" si="34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5"/>
        <v>0</v>
      </c>
      <c r="AF402" s="101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2"/>
        <v>0</v>
      </c>
      <c r="BA402" s="15"/>
      <c r="BB402" s="44"/>
      <c r="BC402" s="15"/>
      <c r="BD402" s="44"/>
      <c r="BE402" s="15">
        <f t="shared" si="31"/>
        <v>0</v>
      </c>
    </row>
    <row r="403" spans="1:57" s="8" customFormat="1" ht="22.5" customHeight="1">
      <c r="A403" s="9"/>
      <c r="B403" s="16" t="s">
        <v>606</v>
      </c>
      <c r="C403" s="92" t="s">
        <v>151</v>
      </c>
      <c r="D403" s="56" t="s">
        <v>607</v>
      </c>
      <c r="E403" s="13" t="s">
        <v>608</v>
      </c>
      <c r="F403" s="95"/>
      <c r="G403" s="9"/>
      <c r="H403" s="9" t="s">
        <v>594</v>
      </c>
      <c r="I403" s="14"/>
      <c r="J403" s="14"/>
      <c r="K403" s="12">
        <v>560</v>
      </c>
      <c r="L403" s="9"/>
      <c r="M403" s="9"/>
      <c r="N403" s="9"/>
      <c r="O403" s="38">
        <f t="shared" si="33"/>
        <v>560</v>
      </c>
      <c r="P403" s="12"/>
      <c r="Q403" s="42"/>
      <c r="R403" s="15"/>
      <c r="S403" s="44"/>
      <c r="T403" s="15"/>
      <c r="U403" s="44"/>
      <c r="V403" s="15">
        <f t="shared" si="34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5"/>
        <v>0</v>
      </c>
      <c r="AF403" s="101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2"/>
        <v>0</v>
      </c>
      <c r="BA403" s="15"/>
      <c r="BB403" s="44"/>
      <c r="BC403" s="15"/>
      <c r="BD403" s="44"/>
      <c r="BE403" s="15">
        <f t="shared" si="31"/>
        <v>0</v>
      </c>
    </row>
    <row r="404" spans="1:57" s="8" customFormat="1" ht="22.5" customHeight="1">
      <c r="A404" s="9"/>
      <c r="B404" s="16" t="s">
        <v>606</v>
      </c>
      <c r="C404" s="92" t="s">
        <v>151</v>
      </c>
      <c r="D404" s="56" t="s">
        <v>609</v>
      </c>
      <c r="E404" s="13" t="s">
        <v>610</v>
      </c>
      <c r="F404" s="95"/>
      <c r="G404" s="9"/>
      <c r="H404" s="9" t="s">
        <v>594</v>
      </c>
      <c r="I404" s="14"/>
      <c r="J404" s="14"/>
      <c r="K404" s="12">
        <v>560</v>
      </c>
      <c r="L404" s="9"/>
      <c r="M404" s="9"/>
      <c r="N404" s="9"/>
      <c r="O404" s="38">
        <f t="shared" si="33"/>
        <v>560</v>
      </c>
      <c r="P404" s="12"/>
      <c r="Q404" s="42"/>
      <c r="R404" s="15"/>
      <c r="S404" s="44"/>
      <c r="T404" s="15"/>
      <c r="U404" s="44"/>
      <c r="V404" s="15">
        <f t="shared" si="34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5"/>
        <v>0</v>
      </c>
      <c r="AF404" s="101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2"/>
        <v>0</v>
      </c>
      <c r="BA404" s="15"/>
      <c r="BB404" s="44"/>
      <c r="BC404" s="15"/>
      <c r="BD404" s="44"/>
      <c r="BE404" s="15">
        <f t="shared" si="31"/>
        <v>0</v>
      </c>
    </row>
    <row r="405" spans="1:57" s="8" customFormat="1" ht="22.5" customHeight="1">
      <c r="A405" s="9"/>
      <c r="B405" s="16" t="s">
        <v>606</v>
      </c>
      <c r="C405" s="89" t="s">
        <v>52</v>
      </c>
      <c r="D405" s="61" t="s">
        <v>611</v>
      </c>
      <c r="E405" s="13" t="s">
        <v>612</v>
      </c>
      <c r="F405" s="95"/>
      <c r="G405" s="9"/>
      <c r="H405" s="9" t="s">
        <v>594</v>
      </c>
      <c r="I405" s="14"/>
      <c r="J405" s="14"/>
      <c r="K405" s="12">
        <v>1040</v>
      </c>
      <c r="L405" s="9"/>
      <c r="M405" s="9"/>
      <c r="N405" s="9"/>
      <c r="O405" s="38">
        <f t="shared" si="33"/>
        <v>1020</v>
      </c>
      <c r="P405" s="12"/>
      <c r="Q405" s="42"/>
      <c r="R405" s="15"/>
      <c r="S405" s="44"/>
      <c r="T405" s="15"/>
      <c r="U405" s="44"/>
      <c r="V405" s="15">
        <f t="shared" si="34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5"/>
        <v>0</v>
      </c>
      <c r="AF405" s="101">
        <v>20</v>
      </c>
      <c r="AG405" s="42">
        <v>46029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2"/>
        <v>20</v>
      </c>
      <c r="BA405" s="15"/>
      <c r="BB405" s="44"/>
      <c r="BC405" s="15"/>
      <c r="BD405" s="44"/>
      <c r="BE405" s="15">
        <f t="shared" si="31"/>
        <v>0</v>
      </c>
    </row>
    <row r="406" spans="1:57" s="8" customFormat="1" ht="22.5" customHeight="1">
      <c r="A406" s="9"/>
      <c r="B406" s="16" t="s">
        <v>606</v>
      </c>
      <c r="C406" s="89" t="s">
        <v>52</v>
      </c>
      <c r="D406" s="56" t="s">
        <v>613</v>
      </c>
      <c r="E406" s="13" t="s">
        <v>614</v>
      </c>
      <c r="F406" s="95"/>
      <c r="G406" s="9"/>
      <c r="H406" s="9" t="s">
        <v>594</v>
      </c>
      <c r="I406" s="14"/>
      <c r="J406" s="14"/>
      <c r="K406" s="12">
        <v>7</v>
      </c>
      <c r="L406" s="9"/>
      <c r="M406" s="9"/>
      <c r="N406" s="9"/>
      <c r="O406" s="38">
        <f t="shared" si="33"/>
        <v>7</v>
      </c>
      <c r="P406" s="12"/>
      <c r="Q406" s="42"/>
      <c r="R406" s="15"/>
      <c r="S406" s="44"/>
      <c r="T406" s="15"/>
      <c r="U406" s="44"/>
      <c r="V406" s="15">
        <f t="shared" si="34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5"/>
        <v>0</v>
      </c>
      <c r="AF406" s="101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2"/>
        <v>0</v>
      </c>
      <c r="BA406" s="15"/>
      <c r="BB406" s="44"/>
      <c r="BC406" s="15"/>
      <c r="BD406" s="44"/>
      <c r="BE406" s="15">
        <f t="shared" si="31"/>
        <v>0</v>
      </c>
    </row>
    <row r="407" spans="1:57" s="8" customFormat="1" ht="22.5" customHeight="1">
      <c r="A407" s="9"/>
      <c r="B407" s="16" t="s">
        <v>606</v>
      </c>
      <c r="C407" s="92" t="s">
        <v>151</v>
      </c>
      <c r="D407" s="56" t="s">
        <v>615</v>
      </c>
      <c r="E407" s="13" t="s">
        <v>593</v>
      </c>
      <c r="F407" s="95"/>
      <c r="G407" s="9"/>
      <c r="H407" s="9" t="s">
        <v>594</v>
      </c>
      <c r="I407" s="14"/>
      <c r="J407" s="14"/>
      <c r="K407" s="12">
        <v>0</v>
      </c>
      <c r="L407" s="9"/>
      <c r="M407" s="9"/>
      <c r="N407" s="9"/>
      <c r="O407" s="38">
        <f t="shared" si="33"/>
        <v>0</v>
      </c>
      <c r="P407" s="12"/>
      <c r="Q407" s="42"/>
      <c r="R407" s="15"/>
      <c r="S407" s="44"/>
      <c r="T407" s="15"/>
      <c r="U407" s="44"/>
      <c r="V407" s="15">
        <f t="shared" si="34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5"/>
        <v>0</v>
      </c>
      <c r="AF407" s="101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2"/>
        <v>0</v>
      </c>
      <c r="BA407" s="15"/>
      <c r="BB407" s="44"/>
      <c r="BC407" s="15"/>
      <c r="BD407" s="44"/>
      <c r="BE407" s="15">
        <f t="shared" si="31"/>
        <v>0</v>
      </c>
    </row>
    <row r="408" spans="1:57" s="8" customFormat="1" ht="22.5" customHeight="1">
      <c r="A408" s="9"/>
      <c r="B408" s="16" t="s">
        <v>606</v>
      </c>
      <c r="C408" s="92" t="s">
        <v>151</v>
      </c>
      <c r="D408" s="59" t="s">
        <v>615</v>
      </c>
      <c r="E408" s="13" t="s">
        <v>616</v>
      </c>
      <c r="F408" s="95"/>
      <c r="G408" s="9"/>
      <c r="H408" s="9" t="s">
        <v>594</v>
      </c>
      <c r="I408" s="14"/>
      <c r="J408" s="14"/>
      <c r="K408" s="12">
        <v>0</v>
      </c>
      <c r="L408" s="9"/>
      <c r="M408" s="9"/>
      <c r="N408" s="9"/>
      <c r="O408" s="38">
        <f t="shared" si="33"/>
        <v>0</v>
      </c>
      <c r="P408" s="12"/>
      <c r="Q408" s="42"/>
      <c r="R408" s="15"/>
      <c r="S408" s="44"/>
      <c r="T408" s="15"/>
      <c r="U408" s="44"/>
      <c r="V408" s="15">
        <f t="shared" si="34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5"/>
        <v>0</v>
      </c>
      <c r="AF408" s="101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2"/>
        <v>0</v>
      </c>
      <c r="BA408" s="15"/>
      <c r="BB408" s="44"/>
      <c r="BC408" s="15"/>
      <c r="BD408" s="44"/>
      <c r="BE408" s="15">
        <f t="shared" si="31"/>
        <v>0</v>
      </c>
    </row>
    <row r="409" spans="1:57" s="8" customFormat="1" ht="22.5" customHeight="1">
      <c r="A409" s="9"/>
      <c r="B409" s="16" t="s">
        <v>617</v>
      </c>
      <c r="C409" s="92" t="s">
        <v>151</v>
      </c>
      <c r="D409" s="59" t="s">
        <v>618</v>
      </c>
      <c r="E409" s="13"/>
      <c r="F409" s="95"/>
      <c r="G409" s="9"/>
      <c r="H409" s="9" t="s">
        <v>467</v>
      </c>
      <c r="I409" s="14"/>
      <c r="J409" s="14"/>
      <c r="K409" s="12">
        <v>0</v>
      </c>
      <c r="L409" s="9"/>
      <c r="M409" s="9"/>
      <c r="N409" s="9"/>
      <c r="O409" s="38">
        <f t="shared" si="33"/>
        <v>0</v>
      </c>
      <c r="P409" s="12"/>
      <c r="Q409" s="42"/>
      <c r="R409" s="15"/>
      <c r="S409" s="44"/>
      <c r="T409" s="15"/>
      <c r="U409" s="44"/>
      <c r="V409" s="15">
        <f t="shared" si="34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5"/>
        <v>0</v>
      </c>
      <c r="AF409" s="101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2"/>
        <v>0</v>
      </c>
      <c r="BA409" s="15"/>
      <c r="BB409" s="44"/>
      <c r="BC409" s="15"/>
      <c r="BD409" s="44"/>
      <c r="BE409" s="15">
        <f t="shared" si="31"/>
        <v>0</v>
      </c>
    </row>
    <row r="410" spans="1:57" s="8" customFormat="1" ht="22.5" customHeight="1">
      <c r="A410" s="9"/>
      <c r="B410" s="16" t="s">
        <v>619</v>
      </c>
      <c r="C410" s="89" t="s">
        <v>44</v>
      </c>
      <c r="D410" s="56" t="s">
        <v>620</v>
      </c>
      <c r="E410" s="13" t="s">
        <v>621</v>
      </c>
      <c r="F410" s="95"/>
      <c r="G410" s="9"/>
      <c r="H410" s="9" t="s">
        <v>67</v>
      </c>
      <c r="I410" s="14"/>
      <c r="J410" s="14"/>
      <c r="K410" s="12">
        <v>0</v>
      </c>
      <c r="L410" s="9"/>
      <c r="M410" s="9"/>
      <c r="N410" s="9"/>
      <c r="O410" s="38">
        <f t="shared" si="33"/>
        <v>0</v>
      </c>
      <c r="P410" s="12"/>
      <c r="Q410" s="42"/>
      <c r="R410" s="15"/>
      <c r="S410" s="44"/>
      <c r="T410" s="15"/>
      <c r="U410" s="44"/>
      <c r="V410" s="15">
        <f t="shared" si="34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5"/>
        <v>0</v>
      </c>
      <c r="AF410" s="101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2"/>
        <v>0</v>
      </c>
      <c r="BA410" s="15"/>
      <c r="BB410" s="44"/>
      <c r="BC410" s="15"/>
      <c r="BD410" s="44"/>
      <c r="BE410" s="15">
        <f t="shared" si="31"/>
        <v>0</v>
      </c>
    </row>
    <row r="411" spans="1:57" s="8" customFormat="1" ht="22.5" customHeight="1">
      <c r="A411" s="9"/>
      <c r="B411" s="16" t="s">
        <v>120</v>
      </c>
      <c r="C411" s="92" t="s">
        <v>151</v>
      </c>
      <c r="D411" s="59" t="s">
        <v>622</v>
      </c>
      <c r="E411" s="13"/>
      <c r="F411" s="95"/>
      <c r="G411" s="9"/>
      <c r="H411" s="9" t="s">
        <v>67</v>
      </c>
      <c r="I411" s="14"/>
      <c r="J411" s="14"/>
      <c r="K411" s="12">
        <v>0</v>
      </c>
      <c r="L411" s="9"/>
      <c r="M411" s="9"/>
      <c r="N411" s="9"/>
      <c r="O411" s="38">
        <f t="shared" si="33"/>
        <v>0</v>
      </c>
      <c r="P411" s="12"/>
      <c r="Q411" s="42"/>
      <c r="R411" s="15"/>
      <c r="S411" s="44"/>
      <c r="T411" s="15"/>
      <c r="U411" s="44"/>
      <c r="V411" s="15">
        <f t="shared" si="34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5"/>
        <v>0</v>
      </c>
      <c r="AF411" s="101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2"/>
        <v>0</v>
      </c>
      <c r="BA411" s="15"/>
      <c r="BB411" s="44"/>
      <c r="BC411" s="15"/>
      <c r="BD411" s="44"/>
      <c r="BE411" s="15">
        <f t="shared" si="31"/>
        <v>0</v>
      </c>
    </row>
    <row r="412" spans="1:57" s="8" customFormat="1" ht="22.5" customHeight="1">
      <c r="A412" s="9"/>
      <c r="B412" s="16" t="s">
        <v>120</v>
      </c>
      <c r="C412" s="89" t="s">
        <v>140</v>
      </c>
      <c r="D412" s="59" t="s">
        <v>623</v>
      </c>
      <c r="E412" s="13" t="s">
        <v>624</v>
      </c>
      <c r="F412" s="95"/>
      <c r="G412" s="9"/>
      <c r="H412" s="9" t="s">
        <v>625</v>
      </c>
      <c r="I412" s="14"/>
      <c r="J412" s="14"/>
      <c r="K412" s="12">
        <v>0</v>
      </c>
      <c r="L412" s="9"/>
      <c r="M412" s="9"/>
      <c r="N412" s="9"/>
      <c r="O412" s="38">
        <f t="shared" si="33"/>
        <v>0</v>
      </c>
      <c r="P412" s="12"/>
      <c r="Q412" s="42"/>
      <c r="R412" s="15"/>
      <c r="S412" s="44"/>
      <c r="T412" s="15"/>
      <c r="U412" s="44"/>
      <c r="V412" s="15">
        <f t="shared" si="34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5"/>
        <v>0</v>
      </c>
      <c r="AF412" s="101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2"/>
        <v>0</v>
      </c>
      <c r="BA412" s="15"/>
      <c r="BB412" s="44"/>
      <c r="BC412" s="15"/>
      <c r="BD412" s="44"/>
      <c r="BE412" s="15">
        <f t="shared" si="31"/>
        <v>0</v>
      </c>
    </row>
    <row r="413" spans="1:57" s="8" customFormat="1" ht="22.5" customHeight="1">
      <c r="A413" s="9"/>
      <c r="B413" s="16" t="s">
        <v>120</v>
      </c>
      <c r="C413" s="89" t="s">
        <v>140</v>
      </c>
      <c r="D413" s="56" t="s">
        <v>623</v>
      </c>
      <c r="E413" s="13" t="s">
        <v>626</v>
      </c>
      <c r="F413" s="95"/>
      <c r="G413" s="9"/>
      <c r="H413" s="9" t="s">
        <v>627</v>
      </c>
      <c r="I413" s="14"/>
      <c r="J413" s="14"/>
      <c r="K413" s="12">
        <v>0</v>
      </c>
      <c r="L413" s="9"/>
      <c r="M413" s="9"/>
      <c r="N413" s="9"/>
      <c r="O413" s="38">
        <f t="shared" si="33"/>
        <v>0</v>
      </c>
      <c r="P413" s="12"/>
      <c r="Q413" s="42"/>
      <c r="R413" s="15"/>
      <c r="S413" s="44"/>
      <c r="T413" s="15"/>
      <c r="U413" s="44"/>
      <c r="V413" s="15">
        <f t="shared" si="34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5"/>
        <v>0</v>
      </c>
      <c r="AF413" s="101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2"/>
        <v>0</v>
      </c>
      <c r="BA413" s="15"/>
      <c r="BB413" s="44"/>
      <c r="BC413" s="15"/>
      <c r="BD413" s="44"/>
      <c r="BE413" s="15">
        <f t="shared" si="31"/>
        <v>0</v>
      </c>
    </row>
    <row r="414" spans="1:57" s="8" customFormat="1" ht="22.5" customHeight="1">
      <c r="A414" s="9"/>
      <c r="B414" s="16" t="s">
        <v>120</v>
      </c>
      <c r="C414" s="89" t="s">
        <v>140</v>
      </c>
      <c r="D414" s="56" t="s">
        <v>623</v>
      </c>
      <c r="E414" s="13" t="s">
        <v>628</v>
      </c>
      <c r="F414" s="95"/>
      <c r="G414" s="9"/>
      <c r="H414" s="9" t="s">
        <v>627</v>
      </c>
      <c r="I414" s="14"/>
      <c r="J414" s="14"/>
      <c r="K414" s="12">
        <v>0</v>
      </c>
      <c r="L414" s="9"/>
      <c r="M414" s="9"/>
      <c r="N414" s="9"/>
      <c r="O414" s="38">
        <f t="shared" si="33"/>
        <v>0</v>
      </c>
      <c r="P414" s="12"/>
      <c r="Q414" s="42"/>
      <c r="R414" s="15"/>
      <c r="S414" s="44"/>
      <c r="T414" s="15"/>
      <c r="U414" s="44"/>
      <c r="V414" s="15">
        <f t="shared" si="34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5"/>
        <v>0</v>
      </c>
      <c r="AF414" s="101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2"/>
        <v>0</v>
      </c>
      <c r="BA414" s="15"/>
      <c r="BB414" s="44"/>
      <c r="BC414" s="15"/>
      <c r="BD414" s="44"/>
      <c r="BE414" s="15">
        <f t="shared" si="31"/>
        <v>0</v>
      </c>
    </row>
    <row r="415" spans="1:57" s="8" customFormat="1" ht="22.5" customHeight="1">
      <c r="A415" s="9"/>
      <c r="B415" s="16" t="s">
        <v>120</v>
      </c>
      <c r="C415" s="89" t="s">
        <v>52</v>
      </c>
      <c r="D415" s="56" t="s">
        <v>629</v>
      </c>
      <c r="E415" s="13"/>
      <c r="F415" s="95"/>
      <c r="G415" s="9"/>
      <c r="H415" s="9" t="s">
        <v>467</v>
      </c>
      <c r="I415" s="14"/>
      <c r="J415" s="14"/>
      <c r="K415" s="12">
        <v>27</v>
      </c>
      <c r="L415" s="9"/>
      <c r="M415" s="9"/>
      <c r="N415" s="9"/>
      <c r="O415" s="38">
        <f t="shared" si="33"/>
        <v>27</v>
      </c>
      <c r="P415" s="12"/>
      <c r="Q415" s="42"/>
      <c r="R415" s="15"/>
      <c r="S415" s="44"/>
      <c r="T415" s="15"/>
      <c r="U415" s="44"/>
      <c r="V415" s="15">
        <f t="shared" si="34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5"/>
        <v>0</v>
      </c>
      <c r="AF415" s="101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2"/>
        <v>0</v>
      </c>
      <c r="BA415" s="15"/>
      <c r="BB415" s="44"/>
      <c r="BC415" s="15"/>
      <c r="BD415" s="44"/>
      <c r="BE415" s="15">
        <f t="shared" si="31"/>
        <v>0</v>
      </c>
    </row>
    <row r="416" spans="1:57" s="8" customFormat="1" ht="22.5" customHeight="1">
      <c r="A416" s="9"/>
      <c r="B416" s="16" t="s">
        <v>172</v>
      </c>
      <c r="C416" s="92" t="s">
        <v>151</v>
      </c>
      <c r="D416" s="59" t="s">
        <v>630</v>
      </c>
      <c r="E416" s="13" t="s">
        <v>631</v>
      </c>
      <c r="F416" s="95"/>
      <c r="G416" s="9"/>
      <c r="H416" s="9" t="s">
        <v>67</v>
      </c>
      <c r="I416" s="14"/>
      <c r="J416" s="14"/>
      <c r="K416" s="12">
        <v>0</v>
      </c>
      <c r="L416" s="9"/>
      <c r="M416" s="9"/>
      <c r="N416" s="9"/>
      <c r="O416" s="38">
        <f t="shared" si="33"/>
        <v>0</v>
      </c>
      <c r="P416" s="12"/>
      <c r="Q416" s="42"/>
      <c r="R416" s="15"/>
      <c r="S416" s="44"/>
      <c r="T416" s="15"/>
      <c r="U416" s="44"/>
      <c r="V416" s="15">
        <f t="shared" si="34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5"/>
        <v>0</v>
      </c>
      <c r="AF416" s="101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2"/>
        <v>0</v>
      </c>
      <c r="BA416" s="15"/>
      <c r="BB416" s="44"/>
      <c r="BC416" s="15"/>
      <c r="BD416" s="44"/>
      <c r="BE416" s="15">
        <f t="shared" si="31"/>
        <v>0</v>
      </c>
    </row>
    <row r="417" spans="1:57" s="8" customFormat="1" ht="22.5" customHeight="1">
      <c r="A417" s="9"/>
      <c r="B417" s="16" t="s">
        <v>632</v>
      </c>
      <c r="C417" s="89" t="s">
        <v>132</v>
      </c>
      <c r="D417" s="59" t="s">
        <v>633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3"/>
        <v>0</v>
      </c>
      <c r="P417" s="12"/>
      <c r="Q417" s="42"/>
      <c r="R417" s="15"/>
      <c r="S417" s="44"/>
      <c r="T417" s="15"/>
      <c r="U417" s="44"/>
      <c r="V417" s="15">
        <f t="shared" si="34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5"/>
        <v>0</v>
      </c>
      <c r="AF417" s="101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2"/>
        <v>0</v>
      </c>
      <c r="BA417" s="15"/>
      <c r="BB417" s="44"/>
      <c r="BC417" s="15"/>
      <c r="BD417" s="44"/>
      <c r="BE417" s="15">
        <f t="shared" si="31"/>
        <v>0</v>
      </c>
    </row>
    <row r="418" spans="1:57" s="8" customFormat="1" ht="22.5" customHeight="1">
      <c r="A418" s="9"/>
      <c r="B418" s="16" t="s">
        <v>632</v>
      </c>
      <c r="C418" s="89" t="s">
        <v>132</v>
      </c>
      <c r="D418" s="61" t="s">
        <v>634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3"/>
        <v>0</v>
      </c>
      <c r="P418" s="12"/>
      <c r="Q418" s="42"/>
      <c r="R418" s="15"/>
      <c r="S418" s="44"/>
      <c r="T418" s="15"/>
      <c r="U418" s="44"/>
      <c r="V418" s="15">
        <f t="shared" si="34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5"/>
        <v>0</v>
      </c>
      <c r="AF418" s="101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2"/>
        <v>0</v>
      </c>
      <c r="BA418" s="15"/>
      <c r="BB418" s="44"/>
      <c r="BC418" s="15"/>
      <c r="BD418" s="44"/>
      <c r="BE418" s="15">
        <f t="shared" ref="BE418:BE481" si="36">(BA418+BC418)</f>
        <v>0</v>
      </c>
    </row>
    <row r="419" spans="1:57" s="8" customFormat="1" ht="22.5" customHeight="1">
      <c r="A419" s="9"/>
      <c r="B419" s="16" t="s">
        <v>632</v>
      </c>
      <c r="C419" s="89" t="s">
        <v>132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3"/>
        <v>0</v>
      </c>
      <c r="P419" s="12"/>
      <c r="Q419" s="42"/>
      <c r="R419" s="15"/>
      <c r="S419" s="44"/>
      <c r="T419" s="15"/>
      <c r="U419" s="44"/>
      <c r="V419" s="15">
        <f t="shared" si="34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5"/>
        <v>0</v>
      </c>
      <c r="AF419" s="101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2"/>
        <v>0</v>
      </c>
      <c r="BA419" s="15"/>
      <c r="BB419" s="44"/>
      <c r="BC419" s="15"/>
      <c r="BD419" s="44"/>
      <c r="BE419" s="15">
        <f t="shared" si="36"/>
        <v>0</v>
      </c>
    </row>
    <row r="420" spans="1:57" s="8" customFormat="1" ht="22.5" customHeight="1">
      <c r="A420" s="9"/>
      <c r="B420" s="16" t="s">
        <v>632</v>
      </c>
      <c r="C420" s="89" t="s">
        <v>132</v>
      </c>
      <c r="D420" s="61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3"/>
        <v>0</v>
      </c>
      <c r="P420" s="12"/>
      <c r="Q420" s="42"/>
      <c r="R420" s="15"/>
      <c r="S420" s="44"/>
      <c r="T420" s="15"/>
      <c r="U420" s="44"/>
      <c r="V420" s="15">
        <f t="shared" si="34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5"/>
        <v>0</v>
      </c>
      <c r="AF420" s="101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2"/>
        <v>0</v>
      </c>
      <c r="BA420" s="15"/>
      <c r="BB420" s="44"/>
      <c r="BC420" s="15"/>
      <c r="BD420" s="44"/>
      <c r="BE420" s="15">
        <f t="shared" si="36"/>
        <v>0</v>
      </c>
    </row>
    <row r="421" spans="1:57" s="8" customFormat="1" ht="22.5" customHeight="1">
      <c r="A421" s="9"/>
      <c r="B421" s="16" t="s">
        <v>632</v>
      </c>
      <c r="C421" s="89" t="s">
        <v>48</v>
      </c>
      <c r="D421" s="61" t="s">
        <v>637</v>
      </c>
      <c r="E421" s="13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3"/>
        <v>0</v>
      </c>
      <c r="P421" s="12"/>
      <c r="Q421" s="42"/>
      <c r="R421" s="15"/>
      <c r="S421" s="44"/>
      <c r="T421" s="15"/>
      <c r="U421" s="44"/>
      <c r="V421" s="15">
        <f t="shared" si="34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5"/>
        <v>0</v>
      </c>
      <c r="AF421" s="101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ref="AZ421:AZ484" si="37">AF421+AH421+AJ421+AL421+AN421+AP421+AR421+AT421+AV421+AX421</f>
        <v>0</v>
      </c>
      <c r="BA421" s="15"/>
      <c r="BB421" s="44"/>
      <c r="BC421" s="15"/>
      <c r="BD421" s="44"/>
      <c r="BE421" s="15">
        <f t="shared" si="36"/>
        <v>0</v>
      </c>
    </row>
    <row r="422" spans="1:57" s="8" customFormat="1" ht="22.5" customHeight="1">
      <c r="A422" s="9"/>
      <c r="B422" s="16" t="s">
        <v>632</v>
      </c>
      <c r="C422" s="89" t="s">
        <v>48</v>
      </c>
      <c r="D422" s="61" t="s">
        <v>635</v>
      </c>
      <c r="E422" s="13"/>
      <c r="F422" s="95"/>
      <c r="G422" s="9"/>
      <c r="H422" s="9" t="s">
        <v>247</v>
      </c>
      <c r="I422" s="14"/>
      <c r="J422" s="14"/>
      <c r="K422" s="12">
        <v>0</v>
      </c>
      <c r="L422" s="9"/>
      <c r="M422" s="9"/>
      <c r="N422" s="9"/>
      <c r="O422" s="38">
        <f t="shared" si="33"/>
        <v>0</v>
      </c>
      <c r="P422" s="12"/>
      <c r="Q422" s="42"/>
      <c r="R422" s="15"/>
      <c r="S422" s="44"/>
      <c r="T422" s="15"/>
      <c r="U422" s="44"/>
      <c r="V422" s="15">
        <f t="shared" si="34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5"/>
        <v>0</v>
      </c>
      <c r="AF422" s="101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7"/>
        <v>0</v>
      </c>
      <c r="BA422" s="15"/>
      <c r="BB422" s="44"/>
      <c r="BC422" s="15"/>
      <c r="BD422" s="44"/>
      <c r="BE422" s="15">
        <f t="shared" si="36"/>
        <v>0</v>
      </c>
    </row>
    <row r="423" spans="1:57" s="8" customFormat="1" ht="22.5" customHeight="1">
      <c r="A423" s="9"/>
      <c r="B423" s="16" t="s">
        <v>632</v>
      </c>
      <c r="C423" s="89" t="s">
        <v>48</v>
      </c>
      <c r="D423" s="59" t="s">
        <v>636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3"/>
        <v>0</v>
      </c>
      <c r="P423" s="12"/>
      <c r="Q423" s="42"/>
      <c r="R423" s="15"/>
      <c r="S423" s="44"/>
      <c r="T423" s="15"/>
      <c r="U423" s="44"/>
      <c r="V423" s="15">
        <f t="shared" si="34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5"/>
        <v>0</v>
      </c>
      <c r="AF423" s="101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7"/>
        <v>0</v>
      </c>
      <c r="BA423" s="15"/>
      <c r="BB423" s="44"/>
      <c r="BC423" s="15"/>
      <c r="BD423" s="44"/>
      <c r="BE423" s="15">
        <f t="shared" si="36"/>
        <v>0</v>
      </c>
    </row>
    <row r="424" spans="1:57" s="8" customFormat="1" ht="22.5" customHeight="1">
      <c r="A424" s="9"/>
      <c r="B424" s="16" t="s">
        <v>632</v>
      </c>
      <c r="C424" s="89" t="s">
        <v>52</v>
      </c>
      <c r="D424" s="59" t="s">
        <v>637</v>
      </c>
      <c r="E424" s="17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3"/>
        <v>0</v>
      </c>
      <c r="P424" s="12"/>
      <c r="Q424" s="42"/>
      <c r="R424" s="15"/>
      <c r="S424" s="44"/>
      <c r="T424" s="15"/>
      <c r="U424" s="44"/>
      <c r="V424" s="15">
        <f t="shared" si="34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5"/>
        <v>0</v>
      </c>
      <c r="AF424" s="101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7"/>
        <v>0</v>
      </c>
      <c r="BA424" s="15"/>
      <c r="BB424" s="44"/>
      <c r="BC424" s="15"/>
      <c r="BD424" s="44"/>
      <c r="BE424" s="15">
        <f t="shared" si="36"/>
        <v>0</v>
      </c>
    </row>
    <row r="425" spans="1:57" s="8" customFormat="1" ht="22.5" customHeight="1">
      <c r="A425" s="9"/>
      <c r="B425" s="16" t="s">
        <v>632</v>
      </c>
      <c r="C425" s="89" t="s">
        <v>52</v>
      </c>
      <c r="D425" s="59" t="s">
        <v>638</v>
      </c>
      <c r="E425" s="13"/>
      <c r="F425" s="95"/>
      <c r="G425" s="9"/>
      <c r="H425" s="9" t="s">
        <v>639</v>
      </c>
      <c r="I425" s="14"/>
      <c r="J425" s="14"/>
      <c r="K425" s="12">
        <v>0</v>
      </c>
      <c r="L425" s="9"/>
      <c r="M425" s="9"/>
      <c r="N425" s="9"/>
      <c r="O425" s="38">
        <f t="shared" si="33"/>
        <v>0</v>
      </c>
      <c r="P425" s="12"/>
      <c r="Q425" s="42"/>
      <c r="R425" s="15"/>
      <c r="S425" s="44"/>
      <c r="T425" s="15"/>
      <c r="U425" s="44"/>
      <c r="V425" s="15">
        <f t="shared" si="34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5"/>
        <v>0</v>
      </c>
      <c r="AF425" s="101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7"/>
        <v>0</v>
      </c>
      <c r="BA425" s="15"/>
      <c r="BB425" s="44"/>
      <c r="BC425" s="15"/>
      <c r="BD425" s="44"/>
      <c r="BE425" s="15">
        <f t="shared" si="36"/>
        <v>0</v>
      </c>
    </row>
    <row r="426" spans="1:57" s="8" customFormat="1" ht="22.5" customHeight="1">
      <c r="A426" s="9"/>
      <c r="B426" s="16" t="s">
        <v>632</v>
      </c>
      <c r="C426" s="89" t="s">
        <v>52</v>
      </c>
      <c r="D426" s="59" t="s">
        <v>640</v>
      </c>
      <c r="E426" s="13"/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3"/>
        <v>0</v>
      </c>
      <c r="P426" s="12"/>
      <c r="Q426" s="42"/>
      <c r="R426" s="15"/>
      <c r="S426" s="44"/>
      <c r="T426" s="15"/>
      <c r="U426" s="44"/>
      <c r="V426" s="15">
        <f t="shared" si="34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5"/>
        <v>0</v>
      </c>
      <c r="AF426" s="101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7"/>
        <v>0</v>
      </c>
      <c r="BA426" s="15"/>
      <c r="BB426" s="44"/>
      <c r="BC426" s="15"/>
      <c r="BD426" s="44"/>
      <c r="BE426" s="15">
        <f t="shared" si="36"/>
        <v>0</v>
      </c>
    </row>
    <row r="427" spans="1:57" s="8" customFormat="1" ht="22.5" customHeight="1">
      <c r="A427" s="9"/>
      <c r="B427" s="16" t="s">
        <v>641</v>
      </c>
      <c r="C427" s="89" t="s">
        <v>44</v>
      </c>
      <c r="D427" s="61" t="s">
        <v>642</v>
      </c>
      <c r="E427" s="13"/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3"/>
        <v>0</v>
      </c>
      <c r="P427" s="12"/>
      <c r="Q427" s="42"/>
      <c r="R427" s="15"/>
      <c r="S427" s="44"/>
      <c r="T427" s="15"/>
      <c r="U427" s="44"/>
      <c r="V427" s="15">
        <f t="shared" si="34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5"/>
        <v>0</v>
      </c>
      <c r="AF427" s="101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7"/>
        <v>0</v>
      </c>
      <c r="BA427" s="15"/>
      <c r="BB427" s="44"/>
      <c r="BC427" s="15"/>
      <c r="BD427" s="44"/>
      <c r="BE427" s="15">
        <f t="shared" si="36"/>
        <v>0</v>
      </c>
    </row>
    <row r="428" spans="1:57" s="8" customFormat="1" ht="22.5" customHeight="1">
      <c r="A428" s="9"/>
      <c r="B428" s="16" t="s">
        <v>641</v>
      </c>
      <c r="C428" s="89" t="s">
        <v>643</v>
      </c>
      <c r="D428" s="59" t="s">
        <v>642</v>
      </c>
      <c r="E428" s="13"/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3"/>
        <v>0</v>
      </c>
      <c r="P428" s="12"/>
      <c r="Q428" s="42"/>
      <c r="R428" s="15"/>
      <c r="S428" s="44"/>
      <c r="T428" s="15"/>
      <c r="U428" s="44"/>
      <c r="V428" s="15">
        <f t="shared" si="34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5"/>
        <v>0</v>
      </c>
      <c r="AF428" s="101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7"/>
        <v>0</v>
      </c>
      <c r="BA428" s="15"/>
      <c r="BB428" s="44"/>
      <c r="BC428" s="15"/>
      <c r="BD428" s="44"/>
      <c r="BE428" s="15">
        <f t="shared" si="36"/>
        <v>0</v>
      </c>
    </row>
    <row r="429" spans="1:57" s="8" customFormat="1" ht="22.5" customHeight="1">
      <c r="A429" s="9"/>
      <c r="B429" s="16" t="s">
        <v>641</v>
      </c>
      <c r="C429" s="89" t="s">
        <v>132</v>
      </c>
      <c r="D429" s="59" t="s">
        <v>644</v>
      </c>
      <c r="E429" s="13" t="s">
        <v>645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3"/>
        <v>0</v>
      </c>
      <c r="P429" s="12"/>
      <c r="Q429" s="42"/>
      <c r="R429" s="15"/>
      <c r="S429" s="44"/>
      <c r="T429" s="15"/>
      <c r="U429" s="44"/>
      <c r="V429" s="15">
        <f t="shared" si="34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5"/>
        <v>0</v>
      </c>
      <c r="AF429" s="101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7"/>
        <v>0</v>
      </c>
      <c r="BA429" s="15"/>
      <c r="BB429" s="44"/>
      <c r="BC429" s="15"/>
      <c r="BD429" s="44"/>
      <c r="BE429" s="15">
        <f t="shared" si="36"/>
        <v>0</v>
      </c>
    </row>
    <row r="430" spans="1:57" s="8" customFormat="1" ht="22.5" customHeight="1">
      <c r="A430" s="9"/>
      <c r="B430" s="16" t="s">
        <v>641</v>
      </c>
      <c r="C430" s="89" t="s">
        <v>132</v>
      </c>
      <c r="D430" s="86" t="s">
        <v>644</v>
      </c>
      <c r="E430" s="13" t="s">
        <v>646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3"/>
        <v>0</v>
      </c>
      <c r="P430" s="12"/>
      <c r="Q430" s="42"/>
      <c r="R430" s="15"/>
      <c r="S430" s="44"/>
      <c r="T430" s="15"/>
      <c r="U430" s="44"/>
      <c r="V430" s="15">
        <f t="shared" si="34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5"/>
        <v>0</v>
      </c>
      <c r="AF430" s="101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7"/>
        <v>0</v>
      </c>
      <c r="BA430" s="15"/>
      <c r="BB430" s="44"/>
      <c r="BC430" s="15"/>
      <c r="BD430" s="44"/>
      <c r="BE430" s="15">
        <f t="shared" si="36"/>
        <v>0</v>
      </c>
    </row>
    <row r="431" spans="1:57" s="8" customFormat="1" ht="22.5" customHeight="1">
      <c r="A431" s="9"/>
      <c r="B431" s="16" t="s">
        <v>641</v>
      </c>
      <c r="C431" s="89" t="s">
        <v>140</v>
      </c>
      <c r="D431" s="59" t="s">
        <v>644</v>
      </c>
      <c r="E431" s="13" t="s">
        <v>645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3"/>
        <v>0</v>
      </c>
      <c r="P431" s="12"/>
      <c r="Q431" s="42"/>
      <c r="R431" s="15"/>
      <c r="S431" s="44"/>
      <c r="T431" s="15"/>
      <c r="U431" s="44"/>
      <c r="V431" s="15">
        <f t="shared" si="34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5"/>
        <v>0</v>
      </c>
      <c r="AF431" s="101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7"/>
        <v>0</v>
      </c>
      <c r="BA431" s="15"/>
      <c r="BB431" s="44"/>
      <c r="BC431" s="15"/>
      <c r="BD431" s="44"/>
      <c r="BE431" s="15">
        <f t="shared" si="36"/>
        <v>0</v>
      </c>
    </row>
    <row r="432" spans="1:57" s="8" customFormat="1" ht="22.5" customHeight="1">
      <c r="A432" s="9"/>
      <c r="B432" s="16" t="s">
        <v>641</v>
      </c>
      <c r="C432" s="89" t="s">
        <v>140</v>
      </c>
      <c r="D432" s="59" t="s">
        <v>644</v>
      </c>
      <c r="E432" s="13" t="s">
        <v>647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3"/>
        <v>0</v>
      </c>
      <c r="P432" s="12"/>
      <c r="Q432" s="42"/>
      <c r="R432" s="15"/>
      <c r="S432" s="44"/>
      <c r="T432" s="15"/>
      <c r="U432" s="44"/>
      <c r="V432" s="15">
        <f t="shared" si="34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5"/>
        <v>0</v>
      </c>
      <c r="AF432" s="101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7"/>
        <v>0</v>
      </c>
      <c r="BA432" s="15"/>
      <c r="BB432" s="44"/>
      <c r="BC432" s="15"/>
      <c r="BD432" s="44"/>
      <c r="BE432" s="15">
        <f t="shared" si="36"/>
        <v>0</v>
      </c>
    </row>
    <row r="433" spans="1:57" s="8" customFormat="1" ht="22.5" customHeight="1">
      <c r="A433" s="9"/>
      <c r="B433" s="16" t="s">
        <v>641</v>
      </c>
      <c r="C433" s="89" t="s">
        <v>48</v>
      </c>
      <c r="D433" s="56" t="s">
        <v>648</v>
      </c>
      <c r="E433" s="13" t="s">
        <v>649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3"/>
        <v>0</v>
      </c>
      <c r="P433" s="12"/>
      <c r="Q433" s="42"/>
      <c r="R433" s="15"/>
      <c r="S433" s="44"/>
      <c r="T433" s="15"/>
      <c r="U433" s="44"/>
      <c r="V433" s="15">
        <f t="shared" si="34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5"/>
        <v>0</v>
      </c>
      <c r="AF433" s="101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7"/>
        <v>0</v>
      </c>
      <c r="BA433" s="15"/>
      <c r="BB433" s="44"/>
      <c r="BC433" s="15"/>
      <c r="BD433" s="44"/>
      <c r="BE433" s="15">
        <f t="shared" si="36"/>
        <v>0</v>
      </c>
    </row>
    <row r="434" spans="1:57" s="8" customFormat="1" ht="22.5" customHeight="1">
      <c r="A434" s="9"/>
      <c r="B434" s="16" t="s">
        <v>641</v>
      </c>
      <c r="C434" s="89" t="s">
        <v>48</v>
      </c>
      <c r="D434" s="56" t="s">
        <v>650</v>
      </c>
      <c r="E434" s="13" t="s">
        <v>649</v>
      </c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3"/>
        <v>0</v>
      </c>
      <c r="P434" s="12"/>
      <c r="Q434" s="42"/>
      <c r="R434" s="15"/>
      <c r="S434" s="44"/>
      <c r="T434" s="15"/>
      <c r="U434" s="44"/>
      <c r="V434" s="15">
        <f t="shared" si="34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5"/>
        <v>0</v>
      </c>
      <c r="AF434" s="101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7"/>
        <v>0</v>
      </c>
      <c r="BA434" s="15"/>
      <c r="BB434" s="44"/>
      <c r="BC434" s="15"/>
      <c r="BD434" s="44"/>
      <c r="BE434" s="15">
        <f t="shared" si="36"/>
        <v>0</v>
      </c>
    </row>
    <row r="435" spans="1:57" s="8" customFormat="1" ht="22.5" customHeight="1">
      <c r="A435" s="9"/>
      <c r="B435" s="16" t="s">
        <v>641</v>
      </c>
      <c r="C435" s="89" t="s">
        <v>48</v>
      </c>
      <c r="D435" s="56" t="s">
        <v>648</v>
      </c>
      <c r="E435" s="13" t="s">
        <v>651</v>
      </c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3"/>
        <v>0</v>
      </c>
      <c r="P435" s="12"/>
      <c r="Q435" s="42"/>
      <c r="R435" s="15"/>
      <c r="S435" s="44"/>
      <c r="T435" s="15"/>
      <c r="U435" s="44"/>
      <c r="V435" s="15">
        <f t="shared" si="34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5"/>
        <v>0</v>
      </c>
      <c r="AF435" s="101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7"/>
        <v>0</v>
      </c>
      <c r="BA435" s="15"/>
      <c r="BB435" s="44"/>
      <c r="BC435" s="15"/>
      <c r="BD435" s="44"/>
      <c r="BE435" s="15">
        <f t="shared" si="36"/>
        <v>0</v>
      </c>
    </row>
    <row r="436" spans="1:57" s="8" customFormat="1" ht="22.5" customHeight="1">
      <c r="A436" s="9"/>
      <c r="B436" s="16" t="s">
        <v>641</v>
      </c>
      <c r="C436" s="89" t="s">
        <v>48</v>
      </c>
      <c r="D436" s="56" t="s">
        <v>650</v>
      </c>
      <c r="E436" s="13" t="s">
        <v>651</v>
      </c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3"/>
        <v>0</v>
      </c>
      <c r="P436" s="12"/>
      <c r="Q436" s="42"/>
      <c r="R436" s="15"/>
      <c r="S436" s="44"/>
      <c r="T436" s="15"/>
      <c r="U436" s="44"/>
      <c r="V436" s="15">
        <f t="shared" si="34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5"/>
        <v>0</v>
      </c>
      <c r="AF436" s="101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7"/>
        <v>0</v>
      </c>
      <c r="BA436" s="15"/>
      <c r="BB436" s="44"/>
      <c r="BC436" s="15"/>
      <c r="BD436" s="44"/>
      <c r="BE436" s="15">
        <f t="shared" si="36"/>
        <v>0</v>
      </c>
    </row>
    <row r="437" spans="1:57" s="8" customFormat="1" ht="22.5" customHeight="1">
      <c r="A437" s="9"/>
      <c r="B437" s="16" t="s">
        <v>641</v>
      </c>
      <c r="C437" s="89" t="s">
        <v>652</v>
      </c>
      <c r="D437" s="61" t="s">
        <v>653</v>
      </c>
      <c r="E437" s="13"/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3"/>
        <v>0</v>
      </c>
      <c r="P437" s="12"/>
      <c r="Q437" s="42"/>
      <c r="R437" s="15"/>
      <c r="S437" s="44"/>
      <c r="T437" s="15"/>
      <c r="U437" s="44"/>
      <c r="V437" s="15">
        <f t="shared" si="34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5"/>
        <v>0</v>
      </c>
      <c r="AF437" s="101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7"/>
        <v>0</v>
      </c>
      <c r="BA437" s="15"/>
      <c r="BB437" s="44"/>
      <c r="BC437" s="15"/>
      <c r="BD437" s="44"/>
      <c r="BE437" s="15">
        <f t="shared" si="36"/>
        <v>0</v>
      </c>
    </row>
    <row r="438" spans="1:57" s="8" customFormat="1" ht="22.5" customHeight="1">
      <c r="A438" s="9"/>
      <c r="B438" s="16" t="s">
        <v>641</v>
      </c>
      <c r="C438" s="89" t="s">
        <v>652</v>
      </c>
      <c r="D438" s="61" t="s">
        <v>654</v>
      </c>
      <c r="E438" s="13"/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3"/>
        <v>0</v>
      </c>
      <c r="P438" s="12"/>
      <c r="Q438" s="42"/>
      <c r="R438" s="15"/>
      <c r="S438" s="44"/>
      <c r="T438" s="15"/>
      <c r="U438" s="44"/>
      <c r="V438" s="15">
        <f t="shared" si="34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5"/>
        <v>0</v>
      </c>
      <c r="AF438" s="101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7"/>
        <v>0</v>
      </c>
      <c r="BA438" s="15"/>
      <c r="BB438" s="44"/>
      <c r="BC438" s="15"/>
      <c r="BD438" s="44"/>
      <c r="BE438" s="15">
        <f t="shared" si="36"/>
        <v>0</v>
      </c>
    </row>
    <row r="439" spans="1:57" s="8" customFormat="1" ht="22.5" customHeight="1">
      <c r="A439" s="9"/>
      <c r="B439" s="16" t="s">
        <v>641</v>
      </c>
      <c r="C439" s="89" t="s">
        <v>652</v>
      </c>
      <c r="D439" s="61" t="s">
        <v>655</v>
      </c>
      <c r="E439" s="13"/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3"/>
        <v>0</v>
      </c>
      <c r="P439" s="12"/>
      <c r="Q439" s="42"/>
      <c r="R439" s="15"/>
      <c r="S439" s="44"/>
      <c r="T439" s="15"/>
      <c r="U439" s="44"/>
      <c r="V439" s="15">
        <f t="shared" si="34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5"/>
        <v>0</v>
      </c>
      <c r="AF439" s="101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7"/>
        <v>0</v>
      </c>
      <c r="BA439" s="15"/>
      <c r="BB439" s="44"/>
      <c r="BC439" s="15"/>
      <c r="BD439" s="44"/>
      <c r="BE439" s="15">
        <f t="shared" si="36"/>
        <v>0</v>
      </c>
    </row>
    <row r="440" spans="1:57" s="8" customFormat="1" ht="22.5" customHeight="1">
      <c r="A440" s="9"/>
      <c r="B440" s="16" t="s">
        <v>641</v>
      </c>
      <c r="C440" s="89" t="s">
        <v>52</v>
      </c>
      <c r="D440" s="61" t="s">
        <v>656</v>
      </c>
      <c r="E440" s="13" t="s">
        <v>657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3"/>
        <v>0</v>
      </c>
      <c r="P440" s="12"/>
      <c r="Q440" s="42"/>
      <c r="R440" s="15"/>
      <c r="S440" s="44"/>
      <c r="T440" s="15"/>
      <c r="U440" s="44"/>
      <c r="V440" s="15">
        <f t="shared" si="34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5"/>
        <v>0</v>
      </c>
      <c r="AF440" s="101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7"/>
        <v>0</v>
      </c>
      <c r="BA440" s="15"/>
      <c r="BB440" s="44"/>
      <c r="BC440" s="15"/>
      <c r="BD440" s="44"/>
      <c r="BE440" s="15">
        <f t="shared" si="36"/>
        <v>0</v>
      </c>
    </row>
    <row r="441" spans="1:57" s="8" customFormat="1" ht="22.5" customHeight="1">
      <c r="A441" s="9"/>
      <c r="B441" s="16" t="s">
        <v>641</v>
      </c>
      <c r="C441" s="89" t="s">
        <v>52</v>
      </c>
      <c r="D441" s="61" t="s">
        <v>656</v>
      </c>
      <c r="E441" s="13" t="s">
        <v>658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3"/>
        <v>0</v>
      </c>
      <c r="P441" s="12"/>
      <c r="Q441" s="42"/>
      <c r="R441" s="15"/>
      <c r="S441" s="44"/>
      <c r="T441" s="15"/>
      <c r="U441" s="44"/>
      <c r="V441" s="15">
        <f t="shared" si="34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5"/>
        <v>0</v>
      </c>
      <c r="AF441" s="101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7"/>
        <v>0</v>
      </c>
      <c r="BA441" s="15"/>
      <c r="BB441" s="44"/>
      <c r="BC441" s="15"/>
      <c r="BD441" s="44"/>
      <c r="BE441" s="15">
        <f t="shared" si="36"/>
        <v>0</v>
      </c>
    </row>
    <row r="442" spans="1:57" s="8" customFormat="1" ht="22.5" customHeight="1">
      <c r="A442" s="9"/>
      <c r="B442" s="16" t="s">
        <v>641</v>
      </c>
      <c r="C442" s="89" t="s">
        <v>52</v>
      </c>
      <c r="D442" s="61" t="s">
        <v>656</v>
      </c>
      <c r="E442" s="13" t="s">
        <v>659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3"/>
        <v>0</v>
      </c>
      <c r="P442" s="12"/>
      <c r="Q442" s="42"/>
      <c r="R442" s="15"/>
      <c r="S442" s="44"/>
      <c r="T442" s="15"/>
      <c r="U442" s="44"/>
      <c r="V442" s="15">
        <f t="shared" si="34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5"/>
        <v>0</v>
      </c>
      <c r="AF442" s="101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7"/>
        <v>0</v>
      </c>
      <c r="BA442" s="15"/>
      <c r="BB442" s="44"/>
      <c r="BC442" s="15"/>
      <c r="BD442" s="44"/>
      <c r="BE442" s="15">
        <f t="shared" si="36"/>
        <v>0</v>
      </c>
    </row>
    <row r="443" spans="1:57" s="8" customFormat="1" ht="22.5" customHeight="1">
      <c r="A443" s="9"/>
      <c r="B443" s="16" t="s">
        <v>641</v>
      </c>
      <c r="C443" s="89" t="s">
        <v>151</v>
      </c>
      <c r="D443" s="61" t="s">
        <v>660</v>
      </c>
      <c r="E443" s="13" t="s">
        <v>661</v>
      </c>
      <c r="F443" s="95"/>
      <c r="G443" s="9"/>
      <c r="H443" s="9" t="s">
        <v>247</v>
      </c>
      <c r="I443" s="14"/>
      <c r="J443" s="14"/>
      <c r="K443" s="12">
        <v>0</v>
      </c>
      <c r="L443" s="9"/>
      <c r="M443" s="9"/>
      <c r="N443" s="9"/>
      <c r="O443" s="38">
        <f t="shared" si="33"/>
        <v>0</v>
      </c>
      <c r="P443" s="12"/>
      <c r="Q443" s="42"/>
      <c r="R443" s="15"/>
      <c r="S443" s="44"/>
      <c r="T443" s="15"/>
      <c r="U443" s="44"/>
      <c r="V443" s="15">
        <f t="shared" si="34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5"/>
        <v>0</v>
      </c>
      <c r="AF443" s="101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7"/>
        <v>0</v>
      </c>
      <c r="BA443" s="15"/>
      <c r="BB443" s="44"/>
      <c r="BC443" s="15"/>
      <c r="BD443" s="44"/>
      <c r="BE443" s="15">
        <f t="shared" si="36"/>
        <v>0</v>
      </c>
    </row>
    <row r="444" spans="1:57" s="8" customFormat="1" ht="22.5" customHeight="1">
      <c r="A444" s="9"/>
      <c r="B444" s="16" t="s">
        <v>641</v>
      </c>
      <c r="C444" s="89" t="s">
        <v>151</v>
      </c>
      <c r="D444" s="56" t="s">
        <v>662</v>
      </c>
      <c r="E444" s="13" t="s">
        <v>663</v>
      </c>
      <c r="F444" s="95"/>
      <c r="G444" s="9"/>
      <c r="H444" s="9" t="s">
        <v>247</v>
      </c>
      <c r="I444" s="14"/>
      <c r="J444" s="14"/>
      <c r="K444" s="12">
        <v>0</v>
      </c>
      <c r="L444" s="9"/>
      <c r="M444" s="9"/>
      <c r="N444" s="9"/>
      <c r="O444" s="38">
        <f t="shared" si="33"/>
        <v>0</v>
      </c>
      <c r="P444" s="12"/>
      <c r="Q444" s="42"/>
      <c r="R444" s="15"/>
      <c r="S444" s="44"/>
      <c r="T444" s="15"/>
      <c r="U444" s="44"/>
      <c r="V444" s="15">
        <f t="shared" si="34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5"/>
        <v>0</v>
      </c>
      <c r="AF444" s="101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7"/>
        <v>0</v>
      </c>
      <c r="BA444" s="15"/>
      <c r="BB444" s="44"/>
      <c r="BC444" s="15"/>
      <c r="BD444" s="44"/>
      <c r="BE444" s="15">
        <f t="shared" si="36"/>
        <v>0</v>
      </c>
    </row>
    <row r="445" spans="1:57" s="8" customFormat="1" ht="22.5" customHeight="1">
      <c r="A445" s="9"/>
      <c r="B445" s="16" t="s">
        <v>641</v>
      </c>
      <c r="C445" s="89" t="s">
        <v>151</v>
      </c>
      <c r="D445" s="56" t="s">
        <v>664</v>
      </c>
      <c r="E445" s="13" t="s">
        <v>665</v>
      </c>
      <c r="F445" s="95"/>
      <c r="G445" s="9"/>
      <c r="H445" s="9" t="s">
        <v>247</v>
      </c>
      <c r="I445" s="14"/>
      <c r="J445" s="14"/>
      <c r="K445" s="12">
        <v>0</v>
      </c>
      <c r="L445" s="9"/>
      <c r="M445" s="9"/>
      <c r="N445" s="9"/>
      <c r="O445" s="38">
        <f t="shared" si="33"/>
        <v>0</v>
      </c>
      <c r="P445" s="12"/>
      <c r="Q445" s="42"/>
      <c r="R445" s="15"/>
      <c r="S445" s="44"/>
      <c r="T445" s="15"/>
      <c r="U445" s="44"/>
      <c r="V445" s="15">
        <f t="shared" si="34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5"/>
        <v>0</v>
      </c>
      <c r="AF445" s="101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7"/>
        <v>0</v>
      </c>
      <c r="BA445" s="15"/>
      <c r="BB445" s="44"/>
      <c r="BC445" s="15"/>
      <c r="BD445" s="44"/>
      <c r="BE445" s="15">
        <f t="shared" si="36"/>
        <v>0</v>
      </c>
    </row>
    <row r="446" spans="1:57" s="8" customFormat="1" ht="22.5" customHeight="1">
      <c r="A446" s="9"/>
      <c r="B446" s="16" t="s">
        <v>666</v>
      </c>
      <c r="C446" s="89" t="s">
        <v>151</v>
      </c>
      <c r="D446" s="56" t="s">
        <v>667</v>
      </c>
      <c r="E446" s="13" t="s">
        <v>668</v>
      </c>
      <c r="F446" s="95"/>
      <c r="G446" s="9"/>
      <c r="H446" s="9" t="s">
        <v>669</v>
      </c>
      <c r="I446" s="14"/>
      <c r="J446" s="14"/>
      <c r="K446" s="12">
        <v>0</v>
      </c>
      <c r="L446" s="9"/>
      <c r="M446" s="9"/>
      <c r="N446" s="9"/>
      <c r="O446" s="38">
        <f t="shared" si="33"/>
        <v>0</v>
      </c>
      <c r="P446" s="12"/>
      <c r="Q446" s="42"/>
      <c r="R446" s="15"/>
      <c r="S446" s="44"/>
      <c r="T446" s="15"/>
      <c r="U446" s="44"/>
      <c r="V446" s="15">
        <f t="shared" si="34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5"/>
        <v>0</v>
      </c>
      <c r="AF446" s="101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7"/>
        <v>0</v>
      </c>
      <c r="BA446" s="15"/>
      <c r="BB446" s="44"/>
      <c r="BC446" s="15"/>
      <c r="BD446" s="44"/>
      <c r="BE446" s="15">
        <f t="shared" si="36"/>
        <v>0</v>
      </c>
    </row>
    <row r="447" spans="1:57" s="8" customFormat="1" ht="22.5" customHeight="1">
      <c r="A447" s="9"/>
      <c r="B447" s="16" t="s">
        <v>666</v>
      </c>
      <c r="C447" s="89" t="s">
        <v>151</v>
      </c>
      <c r="D447" s="56" t="s">
        <v>670</v>
      </c>
      <c r="E447" s="13" t="s">
        <v>671</v>
      </c>
      <c r="F447" s="95"/>
      <c r="G447" s="9"/>
      <c r="H447" s="9" t="s">
        <v>669</v>
      </c>
      <c r="I447" s="14"/>
      <c r="J447" s="14"/>
      <c r="K447" s="12">
        <v>0</v>
      </c>
      <c r="L447" s="9"/>
      <c r="M447" s="9"/>
      <c r="N447" s="9"/>
      <c r="O447" s="38">
        <f t="shared" si="33"/>
        <v>0</v>
      </c>
      <c r="P447" s="12"/>
      <c r="Q447" s="42"/>
      <c r="R447" s="15"/>
      <c r="S447" s="44"/>
      <c r="T447" s="15"/>
      <c r="U447" s="44"/>
      <c r="V447" s="15">
        <f t="shared" si="34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5"/>
        <v>0</v>
      </c>
      <c r="AF447" s="101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7"/>
        <v>0</v>
      </c>
      <c r="BA447" s="15"/>
      <c r="BB447" s="44"/>
      <c r="BC447" s="15"/>
      <c r="BD447" s="44"/>
      <c r="BE447" s="15">
        <f t="shared" si="36"/>
        <v>0</v>
      </c>
    </row>
    <row r="448" spans="1:57" s="8" customFormat="1" ht="22.5" customHeight="1">
      <c r="A448" s="9"/>
      <c r="B448" s="16" t="s">
        <v>666</v>
      </c>
      <c r="C448" s="89" t="s">
        <v>151</v>
      </c>
      <c r="D448" s="56" t="s">
        <v>672</v>
      </c>
      <c r="E448" s="13" t="s">
        <v>673</v>
      </c>
      <c r="F448" s="95"/>
      <c r="G448" s="9"/>
      <c r="H448" s="9" t="s">
        <v>669</v>
      </c>
      <c r="I448" s="14"/>
      <c r="J448" s="14"/>
      <c r="K448" s="12">
        <v>0</v>
      </c>
      <c r="L448" s="9"/>
      <c r="M448" s="9"/>
      <c r="N448" s="9"/>
      <c r="O448" s="38">
        <f t="shared" si="33"/>
        <v>0</v>
      </c>
      <c r="P448" s="12"/>
      <c r="Q448" s="42"/>
      <c r="R448" s="15"/>
      <c r="S448" s="44"/>
      <c r="T448" s="15"/>
      <c r="U448" s="44"/>
      <c r="V448" s="15">
        <f t="shared" si="34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5"/>
        <v>0</v>
      </c>
      <c r="AF448" s="101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7"/>
        <v>0</v>
      </c>
      <c r="BA448" s="15"/>
      <c r="BB448" s="44"/>
      <c r="BC448" s="15"/>
      <c r="BD448" s="44"/>
      <c r="BE448" s="15">
        <f t="shared" si="36"/>
        <v>0</v>
      </c>
    </row>
    <row r="449" spans="1:57" s="8" customFormat="1" ht="22.5" customHeight="1">
      <c r="A449" s="9"/>
      <c r="B449" s="16" t="s">
        <v>674</v>
      </c>
      <c r="C449" s="89" t="s">
        <v>44</v>
      </c>
      <c r="D449" s="56" t="s">
        <v>675</v>
      </c>
      <c r="E449" s="13" t="s">
        <v>676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3"/>
        <v>0</v>
      </c>
      <c r="P449" s="12"/>
      <c r="Q449" s="42"/>
      <c r="R449" s="15"/>
      <c r="S449" s="44"/>
      <c r="T449" s="15"/>
      <c r="U449" s="44"/>
      <c r="V449" s="15">
        <f t="shared" si="34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5"/>
        <v>0</v>
      </c>
      <c r="AF449" s="101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7"/>
        <v>0</v>
      </c>
      <c r="BA449" s="15"/>
      <c r="BB449" s="44"/>
      <c r="BC449" s="15"/>
      <c r="BD449" s="44"/>
      <c r="BE449" s="15">
        <f t="shared" si="36"/>
        <v>0</v>
      </c>
    </row>
    <row r="450" spans="1:57" s="8" customFormat="1" ht="22.5" customHeight="1">
      <c r="A450" s="9"/>
      <c r="B450" s="16" t="s">
        <v>674</v>
      </c>
      <c r="C450" s="89" t="s">
        <v>44</v>
      </c>
      <c r="D450" s="59" t="s">
        <v>678</v>
      </c>
      <c r="E450" s="13" t="s">
        <v>679</v>
      </c>
      <c r="F450" s="95"/>
      <c r="G450" s="9"/>
      <c r="H450" s="9" t="s">
        <v>677</v>
      </c>
      <c r="I450" s="14"/>
      <c r="J450" s="14"/>
      <c r="K450" s="12">
        <v>0</v>
      </c>
      <c r="L450" s="9"/>
      <c r="M450" s="9"/>
      <c r="N450" s="9"/>
      <c r="O450" s="38">
        <f t="shared" si="33"/>
        <v>0</v>
      </c>
      <c r="P450" s="12"/>
      <c r="Q450" s="42"/>
      <c r="R450" s="15"/>
      <c r="S450" s="44"/>
      <c r="T450" s="15"/>
      <c r="U450" s="44"/>
      <c r="V450" s="15">
        <f t="shared" si="34"/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si="35"/>
        <v>0</v>
      </c>
      <c r="AF450" s="101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7"/>
        <v>0</v>
      </c>
      <c r="BA450" s="15"/>
      <c r="BB450" s="44"/>
      <c r="BC450" s="15"/>
      <c r="BD450" s="44"/>
      <c r="BE450" s="15">
        <f t="shared" si="36"/>
        <v>0</v>
      </c>
    </row>
    <row r="451" spans="1:57" s="8" customFormat="1" ht="22.5" customHeight="1">
      <c r="A451" s="9"/>
      <c r="B451" s="16" t="s">
        <v>674</v>
      </c>
      <c r="C451" s="89" t="s">
        <v>48</v>
      </c>
      <c r="D451" s="56" t="s">
        <v>675</v>
      </c>
      <c r="E451" s="13" t="s">
        <v>680</v>
      </c>
      <c r="F451" s="95"/>
      <c r="G451" s="9"/>
      <c r="H451" s="9" t="s">
        <v>677</v>
      </c>
      <c r="I451" s="14"/>
      <c r="J451" s="14"/>
      <c r="K451" s="12">
        <v>0</v>
      </c>
      <c r="L451" s="9"/>
      <c r="M451" s="9"/>
      <c r="N451" s="9"/>
      <c r="O451" s="38">
        <f t="shared" si="33"/>
        <v>0</v>
      </c>
      <c r="P451" s="12"/>
      <c r="Q451" s="42"/>
      <c r="R451" s="15"/>
      <c r="S451" s="44"/>
      <c r="T451" s="15"/>
      <c r="U451" s="44"/>
      <c r="V451" s="15">
        <f t="shared" si="34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5"/>
        <v>0</v>
      </c>
      <c r="AF451" s="101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si="37"/>
        <v>0</v>
      </c>
      <c r="BA451" s="15"/>
      <c r="BB451" s="44"/>
      <c r="BC451" s="15"/>
      <c r="BD451" s="44"/>
      <c r="BE451" s="15">
        <f t="shared" si="36"/>
        <v>0</v>
      </c>
    </row>
    <row r="452" spans="1:57" s="8" customFormat="1" ht="22.5" customHeight="1">
      <c r="A452" s="9"/>
      <c r="B452" s="16" t="s">
        <v>674</v>
      </c>
      <c r="C452" s="89" t="s">
        <v>48</v>
      </c>
      <c r="D452" s="59" t="s">
        <v>678</v>
      </c>
      <c r="E452" s="13" t="s">
        <v>681</v>
      </c>
      <c r="F452" s="95"/>
      <c r="G452" s="9"/>
      <c r="H452" s="9" t="s">
        <v>677</v>
      </c>
      <c r="I452" s="14"/>
      <c r="J452" s="14"/>
      <c r="K452" s="12">
        <v>0</v>
      </c>
      <c r="L452" s="9"/>
      <c r="M452" s="9"/>
      <c r="N452" s="9"/>
      <c r="O452" s="38">
        <f t="shared" ref="O452:O515" si="38">K452+V452-AE452-AZ452</f>
        <v>0</v>
      </c>
      <c r="P452" s="12"/>
      <c r="Q452" s="42"/>
      <c r="R452" s="15"/>
      <c r="S452" s="44"/>
      <c r="T452" s="15"/>
      <c r="U452" s="44"/>
      <c r="V452" s="15">
        <f t="shared" ref="V452:V515" si="39">P452+R452+T452</f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ref="AE452:AE515" si="40">(W452+Y452+AA452+AC452)</f>
        <v>0</v>
      </c>
      <c r="AF452" s="101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37"/>
        <v>0</v>
      </c>
      <c r="BA452" s="15"/>
      <c r="BB452" s="44"/>
      <c r="BC452" s="15"/>
      <c r="BD452" s="44"/>
      <c r="BE452" s="15">
        <f t="shared" si="36"/>
        <v>0</v>
      </c>
    </row>
    <row r="453" spans="1:57" s="8" customFormat="1" ht="22.5" customHeight="1">
      <c r="A453" s="9"/>
      <c r="B453" s="16" t="s">
        <v>674</v>
      </c>
      <c r="C453" s="89" t="s">
        <v>50</v>
      </c>
      <c r="D453" s="59" t="s">
        <v>682</v>
      </c>
      <c r="E453" s="13" t="s">
        <v>683</v>
      </c>
      <c r="F453" s="95"/>
      <c r="G453" s="9"/>
      <c r="H453" s="9" t="s">
        <v>684</v>
      </c>
      <c r="I453" s="14"/>
      <c r="J453" s="14"/>
      <c r="K453" s="12">
        <v>0</v>
      </c>
      <c r="L453" s="9"/>
      <c r="M453" s="9"/>
      <c r="N453" s="9"/>
      <c r="O453" s="38">
        <f t="shared" si="38"/>
        <v>0</v>
      </c>
      <c r="P453" s="12"/>
      <c r="Q453" s="42"/>
      <c r="R453" s="15"/>
      <c r="S453" s="44"/>
      <c r="T453" s="15"/>
      <c r="U453" s="44"/>
      <c r="V453" s="15">
        <f t="shared" si="39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40"/>
        <v>0</v>
      </c>
      <c r="AF453" s="101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37"/>
        <v>0</v>
      </c>
      <c r="BA453" s="15"/>
      <c r="BB453" s="44"/>
      <c r="BC453" s="15"/>
      <c r="BD453" s="44"/>
      <c r="BE453" s="15">
        <f t="shared" si="36"/>
        <v>0</v>
      </c>
    </row>
    <row r="454" spans="1:57" s="8" customFormat="1" ht="22.5" customHeight="1">
      <c r="A454" s="9"/>
      <c r="B454" s="16" t="s">
        <v>674</v>
      </c>
      <c r="C454" s="89" t="s">
        <v>50</v>
      </c>
      <c r="D454" s="56" t="s">
        <v>685</v>
      </c>
      <c r="E454" s="13" t="s">
        <v>686</v>
      </c>
      <c r="F454" s="95"/>
      <c r="G454" s="9"/>
      <c r="H454" s="9" t="s">
        <v>684</v>
      </c>
      <c r="I454" s="14"/>
      <c r="J454" s="14"/>
      <c r="K454" s="12">
        <v>0</v>
      </c>
      <c r="L454" s="9"/>
      <c r="M454" s="9"/>
      <c r="N454" s="9"/>
      <c r="O454" s="38">
        <f t="shared" si="38"/>
        <v>0</v>
      </c>
      <c r="P454" s="12"/>
      <c r="Q454" s="42"/>
      <c r="R454" s="15"/>
      <c r="S454" s="44"/>
      <c r="T454" s="15"/>
      <c r="U454" s="44"/>
      <c r="V454" s="15">
        <f t="shared" si="39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40"/>
        <v>0</v>
      </c>
      <c r="AF454" s="101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37"/>
        <v>0</v>
      </c>
      <c r="BA454" s="15"/>
      <c r="BB454" s="44"/>
      <c r="BC454" s="15"/>
      <c r="BD454" s="44"/>
      <c r="BE454" s="15">
        <f t="shared" si="36"/>
        <v>0</v>
      </c>
    </row>
    <row r="455" spans="1:57" s="8" customFormat="1" ht="22.5" customHeight="1">
      <c r="A455" s="9"/>
      <c r="B455" s="16" t="s">
        <v>674</v>
      </c>
      <c r="C455" s="89" t="s">
        <v>52</v>
      </c>
      <c r="D455" s="56" t="s">
        <v>675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8"/>
        <v>0</v>
      </c>
      <c r="P455" s="12"/>
      <c r="Q455" s="42"/>
      <c r="R455" s="15"/>
      <c r="S455" s="44"/>
      <c r="T455" s="15"/>
      <c r="U455" s="44"/>
      <c r="V455" s="15">
        <f t="shared" si="39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40"/>
        <v>0</v>
      </c>
      <c r="AF455" s="101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37"/>
        <v>0</v>
      </c>
      <c r="BA455" s="15"/>
      <c r="BB455" s="44"/>
      <c r="BC455" s="15"/>
      <c r="BD455" s="44"/>
      <c r="BE455" s="15">
        <f t="shared" si="36"/>
        <v>0</v>
      </c>
    </row>
    <row r="456" spans="1:57" s="8" customFormat="1" ht="22.5" customHeight="1">
      <c r="A456" s="9"/>
      <c r="B456" s="16" t="s">
        <v>674</v>
      </c>
      <c r="C456" s="89" t="s">
        <v>494</v>
      </c>
      <c r="D456" s="56" t="s">
        <v>675</v>
      </c>
      <c r="E456" s="13"/>
      <c r="F456" s="95"/>
      <c r="G456" s="9"/>
      <c r="H456" s="9" t="s">
        <v>687</v>
      </c>
      <c r="I456" s="14"/>
      <c r="J456" s="14"/>
      <c r="K456" s="12">
        <v>0</v>
      </c>
      <c r="L456" s="9"/>
      <c r="M456" s="9"/>
      <c r="N456" s="9"/>
      <c r="O456" s="38">
        <f t="shared" si="38"/>
        <v>0</v>
      </c>
      <c r="P456" s="12"/>
      <c r="Q456" s="42"/>
      <c r="R456" s="15"/>
      <c r="S456" s="44"/>
      <c r="T456" s="15"/>
      <c r="U456" s="44"/>
      <c r="V456" s="15">
        <f t="shared" si="39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40"/>
        <v>0</v>
      </c>
      <c r="AF456" s="101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37"/>
        <v>0</v>
      </c>
      <c r="BA456" s="15"/>
      <c r="BB456" s="44"/>
      <c r="BC456" s="15"/>
      <c r="BD456" s="44"/>
      <c r="BE456" s="15">
        <f t="shared" si="36"/>
        <v>0</v>
      </c>
    </row>
    <row r="457" spans="1:57" s="8" customFormat="1" ht="22.5" customHeight="1">
      <c r="A457" s="9"/>
      <c r="B457" s="16" t="s">
        <v>674</v>
      </c>
      <c r="C457" s="89" t="s">
        <v>494</v>
      </c>
      <c r="D457" s="59" t="s">
        <v>688</v>
      </c>
      <c r="E457" s="13"/>
      <c r="F457" s="95"/>
      <c r="G457" s="9"/>
      <c r="H457" s="9" t="s">
        <v>687</v>
      </c>
      <c r="I457" s="14"/>
      <c r="J457" s="14"/>
      <c r="K457" s="12">
        <v>0</v>
      </c>
      <c r="L457" s="9"/>
      <c r="M457" s="9"/>
      <c r="N457" s="9"/>
      <c r="O457" s="38">
        <f t="shared" si="38"/>
        <v>0</v>
      </c>
      <c r="P457" s="12"/>
      <c r="Q457" s="42"/>
      <c r="R457" s="15"/>
      <c r="S457" s="44"/>
      <c r="T457" s="15"/>
      <c r="U457" s="44"/>
      <c r="V457" s="15">
        <f t="shared" si="39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40"/>
        <v>0</v>
      </c>
      <c r="AF457" s="101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37"/>
        <v>0</v>
      </c>
      <c r="BA457" s="15"/>
      <c r="BB457" s="44"/>
      <c r="BC457" s="15"/>
      <c r="BD457" s="44"/>
      <c r="BE457" s="15">
        <f t="shared" si="36"/>
        <v>0</v>
      </c>
    </row>
    <row r="458" spans="1:57" s="8" customFormat="1" ht="22.5" customHeight="1">
      <c r="A458" s="9"/>
      <c r="B458" s="16" t="s">
        <v>674</v>
      </c>
      <c r="C458" s="89" t="s">
        <v>151</v>
      </c>
      <c r="D458" s="59" t="s">
        <v>689</v>
      </c>
      <c r="E458" s="13"/>
      <c r="F458" s="95"/>
      <c r="G458" s="9"/>
      <c r="H458" s="9" t="s">
        <v>687</v>
      </c>
      <c r="I458" s="14"/>
      <c r="J458" s="14"/>
      <c r="K458" s="12">
        <v>0</v>
      </c>
      <c r="L458" s="9"/>
      <c r="M458" s="9"/>
      <c r="N458" s="9"/>
      <c r="O458" s="38">
        <f t="shared" si="38"/>
        <v>0</v>
      </c>
      <c r="P458" s="12"/>
      <c r="Q458" s="42"/>
      <c r="R458" s="15"/>
      <c r="S458" s="44"/>
      <c r="T458" s="15"/>
      <c r="U458" s="44"/>
      <c r="V458" s="15">
        <f t="shared" si="39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40"/>
        <v>0</v>
      </c>
      <c r="AF458" s="101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37"/>
        <v>0</v>
      </c>
      <c r="BA458" s="15"/>
      <c r="BB458" s="44"/>
      <c r="BC458" s="15"/>
      <c r="BD458" s="44"/>
      <c r="BE458" s="15">
        <f t="shared" si="36"/>
        <v>0</v>
      </c>
    </row>
    <row r="459" spans="1:57" s="8" customFormat="1" ht="22.5" customHeight="1">
      <c r="A459" s="9"/>
      <c r="B459" s="16" t="s">
        <v>674</v>
      </c>
      <c r="C459" s="89" t="s">
        <v>151</v>
      </c>
      <c r="D459" s="59" t="s">
        <v>690</v>
      </c>
      <c r="E459" s="13" t="s">
        <v>691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8"/>
        <v>0</v>
      </c>
      <c r="P459" s="12"/>
      <c r="Q459" s="42"/>
      <c r="R459" s="15"/>
      <c r="S459" s="44"/>
      <c r="T459" s="15"/>
      <c r="U459" s="44"/>
      <c r="V459" s="15">
        <f t="shared" si="39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40"/>
        <v>0</v>
      </c>
      <c r="AF459" s="101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37"/>
        <v>0</v>
      </c>
      <c r="BA459" s="15"/>
      <c r="BB459" s="44"/>
      <c r="BC459" s="15"/>
      <c r="BD459" s="44"/>
      <c r="BE459" s="15">
        <f t="shared" si="36"/>
        <v>0</v>
      </c>
    </row>
    <row r="460" spans="1:57" s="8" customFormat="1" ht="22.5" customHeight="1">
      <c r="A460" s="9"/>
      <c r="B460" s="16" t="s">
        <v>674</v>
      </c>
      <c r="C460" s="89" t="s">
        <v>151</v>
      </c>
      <c r="D460" s="59" t="s">
        <v>693</v>
      </c>
      <c r="E460" s="13" t="s">
        <v>694</v>
      </c>
      <c r="F460" s="95"/>
      <c r="G460" s="9"/>
      <c r="H460" s="9" t="s">
        <v>692</v>
      </c>
      <c r="I460" s="14"/>
      <c r="J460" s="14"/>
      <c r="K460" s="12">
        <v>0</v>
      </c>
      <c r="L460" s="9"/>
      <c r="M460" s="9"/>
      <c r="N460" s="9"/>
      <c r="O460" s="38">
        <f t="shared" si="38"/>
        <v>0</v>
      </c>
      <c r="P460" s="12"/>
      <c r="Q460" s="42"/>
      <c r="R460" s="15"/>
      <c r="S460" s="44"/>
      <c r="T460" s="15"/>
      <c r="U460" s="44"/>
      <c r="V460" s="15">
        <f t="shared" si="39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40"/>
        <v>0</v>
      </c>
      <c r="AF460" s="101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37"/>
        <v>0</v>
      </c>
      <c r="BA460" s="15"/>
      <c r="BB460" s="44"/>
      <c r="BC460" s="15"/>
      <c r="BD460" s="44"/>
      <c r="BE460" s="15">
        <f t="shared" si="36"/>
        <v>0</v>
      </c>
    </row>
    <row r="461" spans="1:57" s="8" customFormat="1" ht="22.5" customHeight="1">
      <c r="A461" s="9"/>
      <c r="B461" s="16" t="s">
        <v>674</v>
      </c>
      <c r="C461" s="89" t="s">
        <v>151</v>
      </c>
      <c r="D461" s="59" t="s">
        <v>695</v>
      </c>
      <c r="E461" s="13" t="s">
        <v>696</v>
      </c>
      <c r="F461" s="95"/>
      <c r="G461" s="9"/>
      <c r="H461" s="9" t="s">
        <v>692</v>
      </c>
      <c r="I461" s="14"/>
      <c r="J461" s="14"/>
      <c r="K461" s="12">
        <v>0</v>
      </c>
      <c r="L461" s="9"/>
      <c r="M461" s="9"/>
      <c r="N461" s="9"/>
      <c r="O461" s="38">
        <f t="shared" si="38"/>
        <v>0</v>
      </c>
      <c r="P461" s="12"/>
      <c r="Q461" s="42"/>
      <c r="R461" s="15"/>
      <c r="S461" s="44"/>
      <c r="T461" s="15"/>
      <c r="U461" s="44"/>
      <c r="V461" s="15">
        <f t="shared" si="39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40"/>
        <v>0</v>
      </c>
      <c r="AF461" s="101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37"/>
        <v>0</v>
      </c>
      <c r="BA461" s="15"/>
      <c r="BB461" s="44"/>
      <c r="BC461" s="15"/>
      <c r="BD461" s="44"/>
      <c r="BE461" s="15">
        <f t="shared" si="36"/>
        <v>0</v>
      </c>
    </row>
    <row r="462" spans="1:57" s="8" customFormat="1" ht="22.5" customHeight="1">
      <c r="A462" s="9"/>
      <c r="B462" s="16" t="s">
        <v>674</v>
      </c>
      <c r="C462" s="89" t="s">
        <v>151</v>
      </c>
      <c r="D462" s="59" t="s">
        <v>697</v>
      </c>
      <c r="E462" s="13" t="s">
        <v>698</v>
      </c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8"/>
        <v>0</v>
      </c>
      <c r="P462" s="12"/>
      <c r="Q462" s="42"/>
      <c r="R462" s="15"/>
      <c r="S462" s="44"/>
      <c r="T462" s="15"/>
      <c r="U462" s="44"/>
      <c r="V462" s="15">
        <f t="shared" si="39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40"/>
        <v>0</v>
      </c>
      <c r="AF462" s="101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37"/>
        <v>0</v>
      </c>
      <c r="BA462" s="15"/>
      <c r="BB462" s="44"/>
      <c r="BC462" s="15"/>
      <c r="BD462" s="44"/>
      <c r="BE462" s="15">
        <f t="shared" si="36"/>
        <v>0</v>
      </c>
    </row>
    <row r="463" spans="1:57" s="8" customFormat="1" ht="22.5" customHeight="1">
      <c r="A463" s="9"/>
      <c r="B463" s="16" t="s">
        <v>674</v>
      </c>
      <c r="C463" s="89" t="s">
        <v>151</v>
      </c>
      <c r="D463" s="59" t="s">
        <v>699</v>
      </c>
      <c r="E463" s="13"/>
      <c r="F463" s="95"/>
      <c r="G463" s="9"/>
      <c r="H463" s="9" t="s">
        <v>687</v>
      </c>
      <c r="I463" s="14"/>
      <c r="J463" s="14"/>
      <c r="K463" s="12">
        <v>0</v>
      </c>
      <c r="L463" s="9"/>
      <c r="M463" s="9"/>
      <c r="N463" s="9"/>
      <c r="O463" s="38">
        <f t="shared" si="38"/>
        <v>0</v>
      </c>
      <c r="P463" s="12"/>
      <c r="Q463" s="42"/>
      <c r="R463" s="15"/>
      <c r="S463" s="44"/>
      <c r="T463" s="15"/>
      <c r="U463" s="44"/>
      <c r="V463" s="15">
        <f t="shared" si="39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40"/>
        <v>0</v>
      </c>
      <c r="AF463" s="101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37"/>
        <v>0</v>
      </c>
      <c r="BA463" s="15"/>
      <c r="BB463" s="44"/>
      <c r="BC463" s="15"/>
      <c r="BD463" s="44"/>
      <c r="BE463" s="15">
        <f t="shared" si="36"/>
        <v>0</v>
      </c>
    </row>
    <row r="464" spans="1:57" s="8" customFormat="1" ht="22.5" customHeight="1">
      <c r="A464" s="9"/>
      <c r="B464" s="16" t="s">
        <v>674</v>
      </c>
      <c r="C464" s="89" t="s">
        <v>151</v>
      </c>
      <c r="D464" s="59" t="s">
        <v>700</v>
      </c>
      <c r="E464" s="13"/>
      <c r="F464" s="95"/>
      <c r="G464" s="9"/>
      <c r="H464" s="9" t="s">
        <v>687</v>
      </c>
      <c r="I464" s="14"/>
      <c r="J464" s="14"/>
      <c r="K464" s="12">
        <v>0</v>
      </c>
      <c r="L464" s="9"/>
      <c r="M464" s="9"/>
      <c r="N464" s="9"/>
      <c r="O464" s="38">
        <f t="shared" si="38"/>
        <v>0</v>
      </c>
      <c r="P464" s="12"/>
      <c r="Q464" s="42"/>
      <c r="R464" s="15"/>
      <c r="S464" s="44"/>
      <c r="T464" s="15"/>
      <c r="U464" s="44"/>
      <c r="V464" s="15">
        <f t="shared" si="39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40"/>
        <v>0</v>
      </c>
      <c r="AF464" s="101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37"/>
        <v>0</v>
      </c>
      <c r="BA464" s="15"/>
      <c r="BB464" s="44"/>
      <c r="BC464" s="15"/>
      <c r="BD464" s="44"/>
      <c r="BE464" s="15">
        <f t="shared" si="36"/>
        <v>0</v>
      </c>
    </row>
    <row r="465" spans="1:57" s="8" customFormat="1" ht="22.5" customHeight="1">
      <c r="A465" s="9"/>
      <c r="B465" s="16" t="s">
        <v>674</v>
      </c>
      <c r="C465" s="89" t="s">
        <v>151</v>
      </c>
      <c r="D465" s="59" t="s">
        <v>701</v>
      </c>
      <c r="E465" s="13"/>
      <c r="F465" s="95"/>
      <c r="G465" s="9"/>
      <c r="H465" s="9" t="s">
        <v>692</v>
      </c>
      <c r="I465" s="14"/>
      <c r="J465" s="14"/>
      <c r="K465" s="12">
        <v>0</v>
      </c>
      <c r="L465" s="9"/>
      <c r="M465" s="9"/>
      <c r="N465" s="9"/>
      <c r="O465" s="38">
        <f t="shared" si="38"/>
        <v>0</v>
      </c>
      <c r="P465" s="12"/>
      <c r="Q465" s="42"/>
      <c r="R465" s="15"/>
      <c r="S465" s="44"/>
      <c r="T465" s="15"/>
      <c r="U465" s="44"/>
      <c r="V465" s="15">
        <f t="shared" si="39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40"/>
        <v>0</v>
      </c>
      <c r="AF465" s="101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37"/>
        <v>0</v>
      </c>
      <c r="BA465" s="15"/>
      <c r="BB465" s="44"/>
      <c r="BC465" s="15"/>
      <c r="BD465" s="44"/>
      <c r="BE465" s="15">
        <f t="shared" si="36"/>
        <v>0</v>
      </c>
    </row>
    <row r="466" spans="1:57" s="8" customFormat="1" ht="22.5" customHeight="1">
      <c r="A466" s="9"/>
      <c r="B466" s="16" t="s">
        <v>674</v>
      </c>
      <c r="C466" s="89" t="s">
        <v>151</v>
      </c>
      <c r="D466" s="59" t="s">
        <v>702</v>
      </c>
      <c r="E466" s="13" t="s">
        <v>703</v>
      </c>
      <c r="F466" s="95"/>
      <c r="G466" s="9"/>
      <c r="H466" s="9" t="s">
        <v>684</v>
      </c>
      <c r="I466" s="14"/>
      <c r="J466" s="14"/>
      <c r="K466" s="12">
        <v>0</v>
      </c>
      <c r="L466" s="9"/>
      <c r="M466" s="9"/>
      <c r="N466" s="9"/>
      <c r="O466" s="38">
        <f t="shared" si="38"/>
        <v>0</v>
      </c>
      <c r="P466" s="12"/>
      <c r="Q466" s="42"/>
      <c r="R466" s="15"/>
      <c r="S466" s="44"/>
      <c r="T466" s="15"/>
      <c r="U466" s="44"/>
      <c r="V466" s="15">
        <f t="shared" si="39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40"/>
        <v>0</v>
      </c>
      <c r="AF466" s="101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37"/>
        <v>0</v>
      </c>
      <c r="BA466" s="15"/>
      <c r="BB466" s="44"/>
      <c r="BC466" s="15"/>
      <c r="BD466" s="44"/>
      <c r="BE466" s="15">
        <f t="shared" si="36"/>
        <v>0</v>
      </c>
    </row>
    <row r="467" spans="1:57" s="8" customFormat="1" ht="22.5" customHeight="1">
      <c r="A467" s="9"/>
      <c r="B467" s="16" t="s">
        <v>704</v>
      </c>
      <c r="C467" s="89" t="s">
        <v>52</v>
      </c>
      <c r="D467" s="56" t="s">
        <v>705</v>
      </c>
      <c r="E467" s="13" t="s">
        <v>706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8"/>
        <v>0</v>
      </c>
      <c r="P467" s="12"/>
      <c r="Q467" s="42"/>
      <c r="R467" s="15"/>
      <c r="S467" s="44"/>
      <c r="T467" s="15"/>
      <c r="U467" s="44"/>
      <c r="V467" s="15">
        <f t="shared" si="39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40"/>
        <v>0</v>
      </c>
      <c r="AF467" s="101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37"/>
        <v>0</v>
      </c>
      <c r="BA467" s="15"/>
      <c r="BB467" s="44"/>
      <c r="BC467" s="15"/>
      <c r="BD467" s="44"/>
      <c r="BE467" s="15">
        <f t="shared" si="36"/>
        <v>0</v>
      </c>
    </row>
    <row r="468" spans="1:57" s="8" customFormat="1" ht="22.5" customHeight="1">
      <c r="A468" s="9"/>
      <c r="B468" s="16" t="s">
        <v>704</v>
      </c>
      <c r="C468" s="89" t="s">
        <v>52</v>
      </c>
      <c r="D468" s="59" t="s">
        <v>707</v>
      </c>
      <c r="E468" s="13" t="s">
        <v>708</v>
      </c>
      <c r="F468" s="95"/>
      <c r="G468" s="9"/>
      <c r="H468" s="9" t="s">
        <v>247</v>
      </c>
      <c r="I468" s="14"/>
      <c r="J468" s="14"/>
      <c r="K468" s="12">
        <v>0</v>
      </c>
      <c r="L468" s="9"/>
      <c r="M468" s="9"/>
      <c r="N468" s="9"/>
      <c r="O468" s="38">
        <f t="shared" si="38"/>
        <v>0</v>
      </c>
      <c r="P468" s="12"/>
      <c r="Q468" s="42"/>
      <c r="R468" s="15"/>
      <c r="S468" s="44"/>
      <c r="T468" s="15"/>
      <c r="U468" s="44"/>
      <c r="V468" s="15">
        <f t="shared" si="39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40"/>
        <v>0</v>
      </c>
      <c r="AF468" s="101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37"/>
        <v>0</v>
      </c>
      <c r="BA468" s="15"/>
      <c r="BB468" s="44"/>
      <c r="BC468" s="15"/>
      <c r="BD468" s="44"/>
      <c r="BE468" s="15">
        <f t="shared" si="36"/>
        <v>0</v>
      </c>
    </row>
    <row r="469" spans="1:57" s="8" customFormat="1" ht="22.5" customHeight="1">
      <c r="A469" s="9"/>
      <c r="B469" s="16" t="s">
        <v>704</v>
      </c>
      <c r="C469" s="89" t="s">
        <v>52</v>
      </c>
      <c r="D469" s="61" t="s">
        <v>709</v>
      </c>
      <c r="E469" s="13" t="s">
        <v>710</v>
      </c>
      <c r="F469" s="95"/>
      <c r="G469" s="9"/>
      <c r="H469" s="9" t="s">
        <v>247</v>
      </c>
      <c r="I469" s="14"/>
      <c r="J469" s="14"/>
      <c r="K469" s="12">
        <v>0</v>
      </c>
      <c r="L469" s="9"/>
      <c r="M469" s="9"/>
      <c r="N469" s="9"/>
      <c r="O469" s="38">
        <f t="shared" si="38"/>
        <v>0</v>
      </c>
      <c r="P469" s="12"/>
      <c r="Q469" s="42"/>
      <c r="R469" s="15"/>
      <c r="S469" s="44"/>
      <c r="T469" s="15"/>
      <c r="U469" s="44"/>
      <c r="V469" s="15">
        <f t="shared" si="39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40"/>
        <v>0</v>
      </c>
      <c r="AF469" s="101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37"/>
        <v>0</v>
      </c>
      <c r="BA469" s="15"/>
      <c r="BB469" s="44"/>
      <c r="BC469" s="15"/>
      <c r="BD469" s="44"/>
      <c r="BE469" s="15">
        <f t="shared" si="36"/>
        <v>0</v>
      </c>
    </row>
    <row r="470" spans="1:57" s="8" customFormat="1" ht="22.5" customHeight="1">
      <c r="A470" s="9"/>
      <c r="B470" s="16" t="s">
        <v>704</v>
      </c>
      <c r="C470" s="89" t="s">
        <v>151</v>
      </c>
      <c r="D470" s="61" t="s">
        <v>711</v>
      </c>
      <c r="E470" s="13" t="s">
        <v>712</v>
      </c>
      <c r="F470" s="95"/>
      <c r="G470" s="9"/>
      <c r="H470" s="9" t="s">
        <v>247</v>
      </c>
      <c r="I470" s="14"/>
      <c r="J470" s="14"/>
      <c r="K470" s="12">
        <v>0</v>
      </c>
      <c r="L470" s="9"/>
      <c r="M470" s="9"/>
      <c r="N470" s="9"/>
      <c r="O470" s="38">
        <f t="shared" si="38"/>
        <v>0</v>
      </c>
      <c r="P470" s="12"/>
      <c r="Q470" s="42"/>
      <c r="R470" s="15"/>
      <c r="S470" s="44"/>
      <c r="T470" s="15"/>
      <c r="U470" s="44"/>
      <c r="V470" s="15">
        <f t="shared" si="39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40"/>
        <v>0</v>
      </c>
      <c r="AF470" s="101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37"/>
        <v>0</v>
      </c>
      <c r="BA470" s="15"/>
      <c r="BB470" s="44"/>
      <c r="BC470" s="15"/>
      <c r="BD470" s="44"/>
      <c r="BE470" s="15">
        <f t="shared" si="36"/>
        <v>0</v>
      </c>
    </row>
    <row r="471" spans="1:57" s="8" customFormat="1" ht="22.5" customHeight="1">
      <c r="A471" s="9"/>
      <c r="B471" s="16" t="s">
        <v>713</v>
      </c>
      <c r="C471" s="89" t="s">
        <v>50</v>
      </c>
      <c r="D471" s="61" t="s">
        <v>714</v>
      </c>
      <c r="E471" s="13"/>
      <c r="F471" s="95"/>
      <c r="G471" s="9"/>
      <c r="H471" s="9" t="s">
        <v>669</v>
      </c>
      <c r="I471" s="14"/>
      <c r="J471" s="14"/>
      <c r="K471" s="12">
        <v>0</v>
      </c>
      <c r="L471" s="9"/>
      <c r="M471" s="9"/>
      <c r="N471" s="9"/>
      <c r="O471" s="38">
        <f t="shared" si="38"/>
        <v>0</v>
      </c>
      <c r="P471" s="12"/>
      <c r="Q471" s="42"/>
      <c r="R471" s="15"/>
      <c r="S471" s="44"/>
      <c r="T471" s="15"/>
      <c r="U471" s="44"/>
      <c r="V471" s="15">
        <f t="shared" si="39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40"/>
        <v>0</v>
      </c>
      <c r="AF471" s="101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37"/>
        <v>0</v>
      </c>
      <c r="BA471" s="15"/>
      <c r="BB471" s="44"/>
      <c r="BC471" s="15"/>
      <c r="BD471" s="44"/>
      <c r="BE471" s="15">
        <f t="shared" si="36"/>
        <v>0</v>
      </c>
    </row>
    <row r="472" spans="1:57" s="8" customFormat="1" ht="22.5" customHeight="1">
      <c r="A472" s="9"/>
      <c r="B472" s="16" t="s">
        <v>715</v>
      </c>
      <c r="C472" s="89" t="s">
        <v>132</v>
      </c>
      <c r="D472" s="61" t="s">
        <v>716</v>
      </c>
      <c r="E472" s="13" t="s">
        <v>717</v>
      </c>
      <c r="F472" s="95"/>
      <c r="G472" s="9"/>
      <c r="H472" s="9" t="s">
        <v>718</v>
      </c>
      <c r="I472" s="14"/>
      <c r="J472" s="14"/>
      <c r="K472" s="12">
        <v>0</v>
      </c>
      <c r="L472" s="9"/>
      <c r="M472" s="9"/>
      <c r="N472" s="9"/>
      <c r="O472" s="38">
        <f t="shared" si="38"/>
        <v>0</v>
      </c>
      <c r="P472" s="12"/>
      <c r="Q472" s="42"/>
      <c r="R472" s="15"/>
      <c r="S472" s="44"/>
      <c r="T472" s="15"/>
      <c r="U472" s="44"/>
      <c r="V472" s="15">
        <f t="shared" si="39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40"/>
        <v>0</v>
      </c>
      <c r="AF472" s="101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37"/>
        <v>0</v>
      </c>
      <c r="BA472" s="15"/>
      <c r="BB472" s="44"/>
      <c r="BC472" s="15"/>
      <c r="BD472" s="44"/>
      <c r="BE472" s="15">
        <f t="shared" si="36"/>
        <v>0</v>
      </c>
    </row>
    <row r="473" spans="1:57" s="8" customFormat="1" ht="22.5" customHeight="1">
      <c r="A473" s="9"/>
      <c r="B473" s="16" t="s">
        <v>715</v>
      </c>
      <c r="C473" s="89" t="s">
        <v>132</v>
      </c>
      <c r="D473" s="61" t="s">
        <v>719</v>
      </c>
      <c r="E473" s="13" t="s">
        <v>720</v>
      </c>
      <c r="F473" s="95"/>
      <c r="G473" s="9"/>
      <c r="H473" s="9" t="s">
        <v>718</v>
      </c>
      <c r="I473" s="14"/>
      <c r="J473" s="14"/>
      <c r="K473" s="12">
        <v>0</v>
      </c>
      <c r="L473" s="9"/>
      <c r="M473" s="9"/>
      <c r="N473" s="9"/>
      <c r="O473" s="38">
        <f t="shared" si="38"/>
        <v>0</v>
      </c>
      <c r="P473" s="12"/>
      <c r="Q473" s="42"/>
      <c r="R473" s="15"/>
      <c r="S473" s="44"/>
      <c r="T473" s="15"/>
      <c r="U473" s="44"/>
      <c r="V473" s="15">
        <f t="shared" si="39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40"/>
        <v>0</v>
      </c>
      <c r="AF473" s="101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37"/>
        <v>0</v>
      </c>
      <c r="BA473" s="15"/>
      <c r="BB473" s="44"/>
      <c r="BC473" s="15"/>
      <c r="BD473" s="44"/>
      <c r="BE473" s="15">
        <f t="shared" si="36"/>
        <v>0</v>
      </c>
    </row>
    <row r="474" spans="1:57" s="8" customFormat="1" ht="22.5" customHeight="1">
      <c r="A474" s="9"/>
      <c r="B474" s="16" t="s">
        <v>715</v>
      </c>
      <c r="C474" s="89" t="s">
        <v>48</v>
      </c>
      <c r="D474" s="61" t="s">
        <v>716</v>
      </c>
      <c r="E474" s="13" t="s">
        <v>721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8"/>
        <v>0</v>
      </c>
      <c r="P474" s="12"/>
      <c r="Q474" s="42"/>
      <c r="R474" s="15"/>
      <c r="S474" s="44"/>
      <c r="T474" s="15"/>
      <c r="U474" s="44"/>
      <c r="V474" s="15">
        <f t="shared" si="39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40"/>
        <v>0</v>
      </c>
      <c r="AF474" s="101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37"/>
        <v>0</v>
      </c>
      <c r="BA474" s="15"/>
      <c r="BB474" s="44"/>
      <c r="BC474" s="15"/>
      <c r="BD474" s="44"/>
      <c r="BE474" s="15">
        <f t="shared" si="36"/>
        <v>0</v>
      </c>
    </row>
    <row r="475" spans="1:57" s="8" customFormat="1" ht="22.5" customHeight="1">
      <c r="A475" s="9"/>
      <c r="B475" s="16" t="s">
        <v>715</v>
      </c>
      <c r="C475" s="89" t="s">
        <v>48</v>
      </c>
      <c r="D475" s="61" t="s">
        <v>719</v>
      </c>
      <c r="E475" s="13" t="s">
        <v>723</v>
      </c>
      <c r="F475" s="95"/>
      <c r="G475" s="9"/>
      <c r="H475" s="9" t="s">
        <v>722</v>
      </c>
      <c r="I475" s="14"/>
      <c r="J475" s="14"/>
      <c r="K475" s="12">
        <v>0</v>
      </c>
      <c r="L475" s="9"/>
      <c r="M475" s="9"/>
      <c r="N475" s="9"/>
      <c r="O475" s="38">
        <f t="shared" si="38"/>
        <v>0</v>
      </c>
      <c r="P475" s="12"/>
      <c r="Q475" s="42"/>
      <c r="R475" s="15"/>
      <c r="S475" s="44"/>
      <c r="T475" s="15"/>
      <c r="U475" s="44"/>
      <c r="V475" s="15">
        <f t="shared" si="39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40"/>
        <v>0</v>
      </c>
      <c r="AF475" s="101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37"/>
        <v>0</v>
      </c>
      <c r="BA475" s="15"/>
      <c r="BB475" s="44"/>
      <c r="BC475" s="15"/>
      <c r="BD475" s="44"/>
      <c r="BE475" s="15">
        <f t="shared" si="36"/>
        <v>0</v>
      </c>
    </row>
    <row r="476" spans="1:57" s="8" customFormat="1" ht="22.5" customHeight="1">
      <c r="A476" s="9"/>
      <c r="B476" s="16" t="s">
        <v>715</v>
      </c>
      <c r="C476" s="89" t="s">
        <v>151</v>
      </c>
      <c r="D476" s="61" t="s">
        <v>724</v>
      </c>
      <c r="E476" s="13" t="s">
        <v>725</v>
      </c>
      <c r="F476" s="95"/>
      <c r="G476" s="9"/>
      <c r="H476" s="9" t="s">
        <v>722</v>
      </c>
      <c r="I476" s="14"/>
      <c r="J476" s="14"/>
      <c r="K476" s="12">
        <v>0</v>
      </c>
      <c r="L476" s="9"/>
      <c r="M476" s="9"/>
      <c r="N476" s="9"/>
      <c r="O476" s="38">
        <f t="shared" si="38"/>
        <v>0</v>
      </c>
      <c r="P476" s="12"/>
      <c r="Q476" s="42"/>
      <c r="R476" s="15"/>
      <c r="S476" s="44"/>
      <c r="T476" s="15"/>
      <c r="U476" s="44"/>
      <c r="V476" s="15">
        <f t="shared" si="39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40"/>
        <v>0</v>
      </c>
      <c r="AF476" s="101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37"/>
        <v>0</v>
      </c>
      <c r="BA476" s="15"/>
      <c r="BB476" s="44"/>
      <c r="BC476" s="15"/>
      <c r="BD476" s="44"/>
      <c r="BE476" s="15">
        <f t="shared" si="36"/>
        <v>0</v>
      </c>
    </row>
    <row r="477" spans="1:57" s="8" customFormat="1" ht="22.5" customHeight="1">
      <c r="A477" s="9"/>
      <c r="B477" s="16" t="s">
        <v>715</v>
      </c>
      <c r="C477" s="89" t="s">
        <v>151</v>
      </c>
      <c r="D477" s="56" t="s">
        <v>726</v>
      </c>
      <c r="E477" s="13" t="s">
        <v>727</v>
      </c>
      <c r="F477" s="95"/>
      <c r="G477" s="9"/>
      <c r="H477" s="9" t="s">
        <v>722</v>
      </c>
      <c r="I477" s="14"/>
      <c r="J477" s="14"/>
      <c r="K477" s="12">
        <v>0</v>
      </c>
      <c r="L477" s="9"/>
      <c r="M477" s="9"/>
      <c r="N477" s="9"/>
      <c r="O477" s="38">
        <f t="shared" si="38"/>
        <v>0</v>
      </c>
      <c r="P477" s="12"/>
      <c r="Q477" s="42"/>
      <c r="R477" s="15"/>
      <c r="S477" s="44"/>
      <c r="T477" s="15"/>
      <c r="U477" s="44"/>
      <c r="V477" s="15">
        <f t="shared" si="39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40"/>
        <v>0</v>
      </c>
      <c r="AF477" s="101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37"/>
        <v>0</v>
      </c>
      <c r="BA477" s="15"/>
      <c r="BB477" s="44"/>
      <c r="BC477" s="15"/>
      <c r="BD477" s="44"/>
      <c r="BE477" s="15">
        <f t="shared" si="36"/>
        <v>0</v>
      </c>
    </row>
    <row r="478" spans="1:57" s="8" customFormat="1" ht="22.5" customHeight="1">
      <c r="A478" s="9"/>
      <c r="B478" s="16" t="s">
        <v>728</v>
      </c>
      <c r="C478" s="89" t="s">
        <v>151</v>
      </c>
      <c r="D478" s="59" t="s">
        <v>729</v>
      </c>
      <c r="E478" s="13" t="s">
        <v>730</v>
      </c>
      <c r="F478" s="95"/>
      <c r="G478" s="9"/>
      <c r="H478" s="9" t="s">
        <v>731</v>
      </c>
      <c r="I478" s="14"/>
      <c r="J478" s="14"/>
      <c r="K478" s="12">
        <v>0</v>
      </c>
      <c r="L478" s="9"/>
      <c r="M478" s="9"/>
      <c r="N478" s="9"/>
      <c r="O478" s="38">
        <f t="shared" si="38"/>
        <v>0</v>
      </c>
      <c r="P478" s="12"/>
      <c r="Q478" s="42"/>
      <c r="R478" s="15"/>
      <c r="S478" s="44"/>
      <c r="T478" s="15"/>
      <c r="U478" s="44"/>
      <c r="V478" s="15">
        <f t="shared" si="39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40"/>
        <v>0</v>
      </c>
      <c r="AF478" s="101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37"/>
        <v>0</v>
      </c>
      <c r="BA478" s="15"/>
      <c r="BB478" s="44"/>
      <c r="BC478" s="15"/>
      <c r="BD478" s="44"/>
      <c r="BE478" s="15">
        <f t="shared" si="36"/>
        <v>0</v>
      </c>
    </row>
    <row r="479" spans="1:57" s="8" customFormat="1" ht="22.5" customHeight="1">
      <c r="A479" s="9"/>
      <c r="B479" s="16" t="s">
        <v>728</v>
      </c>
      <c r="C479" s="89" t="s">
        <v>151</v>
      </c>
      <c r="D479" s="59" t="s">
        <v>729</v>
      </c>
      <c r="E479" s="13" t="s">
        <v>732</v>
      </c>
      <c r="F479" s="95"/>
      <c r="G479" s="9"/>
      <c r="H479" s="9" t="s">
        <v>733</v>
      </c>
      <c r="I479" s="14"/>
      <c r="J479" s="14"/>
      <c r="K479" s="12">
        <v>0</v>
      </c>
      <c r="L479" s="9"/>
      <c r="M479" s="9"/>
      <c r="N479" s="9"/>
      <c r="O479" s="38">
        <f t="shared" si="38"/>
        <v>0</v>
      </c>
      <c r="P479" s="12"/>
      <c r="Q479" s="42"/>
      <c r="R479" s="15"/>
      <c r="S479" s="44"/>
      <c r="T479" s="15"/>
      <c r="U479" s="44"/>
      <c r="V479" s="15">
        <f t="shared" si="39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40"/>
        <v>0</v>
      </c>
      <c r="AF479" s="101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37"/>
        <v>0</v>
      </c>
      <c r="BA479" s="15"/>
      <c r="BB479" s="44"/>
      <c r="BC479" s="15"/>
      <c r="BD479" s="44"/>
      <c r="BE479" s="15">
        <f t="shared" si="36"/>
        <v>0</v>
      </c>
    </row>
    <row r="480" spans="1:57" s="8" customFormat="1" ht="22.5" customHeight="1">
      <c r="A480" s="9"/>
      <c r="B480" s="16" t="s">
        <v>728</v>
      </c>
      <c r="C480" s="89" t="s">
        <v>151</v>
      </c>
      <c r="D480" s="61" t="s">
        <v>729</v>
      </c>
      <c r="E480" s="13" t="s">
        <v>734</v>
      </c>
      <c r="F480" s="95"/>
      <c r="G480" s="9"/>
      <c r="H480" s="9" t="s">
        <v>733</v>
      </c>
      <c r="I480" s="14"/>
      <c r="J480" s="14"/>
      <c r="K480" s="12">
        <v>24</v>
      </c>
      <c r="L480" s="9"/>
      <c r="M480" s="9"/>
      <c r="N480" s="9"/>
      <c r="O480" s="38">
        <f t="shared" si="38"/>
        <v>24</v>
      </c>
      <c r="P480" s="12"/>
      <c r="Q480" s="42"/>
      <c r="R480" s="15"/>
      <c r="S480" s="44"/>
      <c r="T480" s="15"/>
      <c r="U480" s="44"/>
      <c r="V480" s="15">
        <f t="shared" si="39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40"/>
        <v>0</v>
      </c>
      <c r="AF480" s="101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37"/>
        <v>0</v>
      </c>
      <c r="BA480" s="15"/>
      <c r="BB480" s="44"/>
      <c r="BC480" s="15"/>
      <c r="BD480" s="44"/>
      <c r="BE480" s="15">
        <f t="shared" si="36"/>
        <v>0</v>
      </c>
    </row>
    <row r="481" spans="1:57" s="8" customFormat="1" ht="22.5" customHeight="1">
      <c r="A481" s="9"/>
      <c r="B481" s="16" t="s">
        <v>735</v>
      </c>
      <c r="C481" s="89" t="s">
        <v>132</v>
      </c>
      <c r="D481" s="59" t="s">
        <v>736</v>
      </c>
      <c r="E481" s="13" t="s">
        <v>737</v>
      </c>
      <c r="F481" s="95"/>
      <c r="G481" s="9"/>
      <c r="H481" s="9" t="s">
        <v>247</v>
      </c>
      <c r="I481" s="14"/>
      <c r="J481" s="14"/>
      <c r="K481" s="12">
        <v>77</v>
      </c>
      <c r="L481" s="9"/>
      <c r="M481" s="9"/>
      <c r="N481" s="9"/>
      <c r="O481" s="38">
        <f t="shared" si="38"/>
        <v>77</v>
      </c>
      <c r="P481" s="12"/>
      <c r="Q481" s="42"/>
      <c r="R481" s="15"/>
      <c r="S481" s="44"/>
      <c r="T481" s="15"/>
      <c r="U481" s="44"/>
      <c r="V481" s="15">
        <f t="shared" si="39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40"/>
        <v>0</v>
      </c>
      <c r="AF481" s="101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37"/>
        <v>0</v>
      </c>
      <c r="BA481" s="15"/>
      <c r="BB481" s="44"/>
      <c r="BC481" s="15"/>
      <c r="BD481" s="44"/>
      <c r="BE481" s="15">
        <f t="shared" si="36"/>
        <v>0</v>
      </c>
    </row>
    <row r="482" spans="1:57" s="8" customFormat="1" ht="22.5" customHeight="1">
      <c r="A482" s="9"/>
      <c r="B482" s="16" t="s">
        <v>735</v>
      </c>
      <c r="C482" s="89" t="s">
        <v>132</v>
      </c>
      <c r="D482" s="56" t="s">
        <v>738</v>
      </c>
      <c r="E482" s="13" t="s">
        <v>739</v>
      </c>
      <c r="F482" s="95"/>
      <c r="G482" s="9"/>
      <c r="H482" s="9" t="s">
        <v>247</v>
      </c>
      <c r="I482" s="14"/>
      <c r="J482" s="14"/>
      <c r="K482" s="12">
        <v>20</v>
      </c>
      <c r="L482" s="9"/>
      <c r="M482" s="9"/>
      <c r="N482" s="9"/>
      <c r="O482" s="38">
        <f t="shared" si="38"/>
        <v>20</v>
      </c>
      <c r="P482" s="12"/>
      <c r="Q482" s="42"/>
      <c r="R482" s="15"/>
      <c r="S482" s="44"/>
      <c r="T482" s="15"/>
      <c r="U482" s="44"/>
      <c r="V482" s="15">
        <f t="shared" si="39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40"/>
        <v>0</v>
      </c>
      <c r="AF482" s="101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37"/>
        <v>0</v>
      </c>
      <c r="BA482" s="15"/>
      <c r="BB482" s="44"/>
      <c r="BC482" s="15"/>
      <c r="BD482" s="44"/>
      <c r="BE482" s="15">
        <f t="shared" ref="BE482:BE545" si="41">(BA482+BC482)</f>
        <v>0</v>
      </c>
    </row>
    <row r="483" spans="1:57" s="8" customFormat="1" ht="22.5" customHeight="1">
      <c r="A483" s="9"/>
      <c r="B483" s="16" t="s">
        <v>740</v>
      </c>
      <c r="C483" s="89" t="s">
        <v>132</v>
      </c>
      <c r="D483" s="59" t="s">
        <v>741</v>
      </c>
      <c r="E483" s="13"/>
      <c r="F483" s="95"/>
      <c r="G483" s="9"/>
      <c r="H483" s="9" t="s">
        <v>247</v>
      </c>
      <c r="I483" s="14"/>
      <c r="J483" s="14"/>
      <c r="K483" s="12">
        <v>0</v>
      </c>
      <c r="L483" s="9"/>
      <c r="M483" s="9"/>
      <c r="N483" s="9"/>
      <c r="O483" s="38">
        <f t="shared" si="38"/>
        <v>0</v>
      </c>
      <c r="P483" s="12"/>
      <c r="Q483" s="42"/>
      <c r="R483" s="15"/>
      <c r="S483" s="44"/>
      <c r="T483" s="15"/>
      <c r="U483" s="44"/>
      <c r="V483" s="15">
        <f t="shared" si="39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40"/>
        <v>0</v>
      </c>
      <c r="AF483" s="101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37"/>
        <v>0</v>
      </c>
      <c r="BA483" s="15"/>
      <c r="BB483" s="44"/>
      <c r="BC483" s="15"/>
      <c r="BD483" s="44"/>
      <c r="BE483" s="15">
        <f t="shared" si="41"/>
        <v>0</v>
      </c>
    </row>
    <row r="484" spans="1:57" s="8" customFormat="1" ht="22.5" customHeight="1">
      <c r="A484" s="9"/>
      <c r="B484" s="16" t="s">
        <v>742</v>
      </c>
      <c r="C484" s="89" t="s">
        <v>151</v>
      </c>
      <c r="D484" s="59" t="s">
        <v>743</v>
      </c>
      <c r="E484" s="13" t="s">
        <v>744</v>
      </c>
      <c r="F484" s="95"/>
      <c r="G484" s="9"/>
      <c r="H484" s="9" t="s">
        <v>745</v>
      </c>
      <c r="I484" s="14"/>
      <c r="J484" s="14"/>
      <c r="K484" s="12">
        <v>194</v>
      </c>
      <c r="L484" s="9"/>
      <c r="M484" s="9"/>
      <c r="N484" s="9"/>
      <c r="O484" s="38">
        <f t="shared" si="38"/>
        <v>194</v>
      </c>
      <c r="P484" s="12"/>
      <c r="Q484" s="42"/>
      <c r="R484" s="15"/>
      <c r="S484" s="44"/>
      <c r="T484" s="15"/>
      <c r="U484" s="44"/>
      <c r="V484" s="15">
        <f t="shared" si="39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40"/>
        <v>0</v>
      </c>
      <c r="AF484" s="101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37"/>
        <v>0</v>
      </c>
      <c r="BA484" s="15"/>
      <c r="BB484" s="44"/>
      <c r="BC484" s="15"/>
      <c r="BD484" s="44"/>
      <c r="BE484" s="15">
        <f t="shared" si="41"/>
        <v>0</v>
      </c>
    </row>
    <row r="485" spans="1:57" s="8" customFormat="1" ht="22.5" customHeight="1">
      <c r="A485" s="9"/>
      <c r="B485" s="16" t="s">
        <v>742</v>
      </c>
      <c r="C485" s="89" t="s">
        <v>151</v>
      </c>
      <c r="D485" s="59" t="s">
        <v>743</v>
      </c>
      <c r="E485" s="13" t="s">
        <v>744</v>
      </c>
      <c r="F485" s="95"/>
      <c r="G485" s="9"/>
      <c r="H485" s="9" t="s">
        <v>746</v>
      </c>
      <c r="I485" s="14"/>
      <c r="J485" s="14"/>
      <c r="K485" s="12">
        <v>442</v>
      </c>
      <c r="L485" s="9"/>
      <c r="M485" s="9"/>
      <c r="N485" s="9"/>
      <c r="O485" s="38">
        <f t="shared" si="38"/>
        <v>442</v>
      </c>
      <c r="P485" s="12"/>
      <c r="Q485" s="42"/>
      <c r="R485" s="15"/>
      <c r="S485" s="44"/>
      <c r="T485" s="15"/>
      <c r="U485" s="44"/>
      <c r="V485" s="15">
        <f t="shared" si="39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40"/>
        <v>0</v>
      </c>
      <c r="AF485" s="101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ref="AZ485:AZ548" si="42">AF485+AH485+AJ485+AL485+AN485+AP485+AR485+AT485+AV485+AX485</f>
        <v>0</v>
      </c>
      <c r="BA485" s="15"/>
      <c r="BB485" s="44"/>
      <c r="BC485" s="15"/>
      <c r="BD485" s="44"/>
      <c r="BE485" s="15">
        <f t="shared" si="41"/>
        <v>0</v>
      </c>
    </row>
    <row r="486" spans="1:57" s="8" customFormat="1" ht="22.5" customHeight="1">
      <c r="A486" s="9"/>
      <c r="B486" s="16" t="s">
        <v>742</v>
      </c>
      <c r="C486" s="89" t="s">
        <v>151</v>
      </c>
      <c r="D486" s="59" t="s">
        <v>747</v>
      </c>
      <c r="E486" s="13" t="s">
        <v>748</v>
      </c>
      <c r="F486" s="95"/>
      <c r="G486" s="9"/>
      <c r="H486" s="9" t="s">
        <v>745</v>
      </c>
      <c r="I486" s="14"/>
      <c r="J486" s="14"/>
      <c r="K486" s="12">
        <v>24</v>
      </c>
      <c r="L486" s="9"/>
      <c r="M486" s="9"/>
      <c r="N486" s="9"/>
      <c r="O486" s="38">
        <f t="shared" si="38"/>
        <v>24</v>
      </c>
      <c r="P486" s="12"/>
      <c r="Q486" s="42"/>
      <c r="R486" s="15"/>
      <c r="S486" s="44"/>
      <c r="T486" s="15"/>
      <c r="U486" s="44"/>
      <c r="V486" s="15">
        <f t="shared" si="39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40"/>
        <v>0</v>
      </c>
      <c r="AF486" s="101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2"/>
        <v>0</v>
      </c>
      <c r="BA486" s="15"/>
      <c r="BB486" s="44"/>
      <c r="BC486" s="15"/>
      <c r="BD486" s="44"/>
      <c r="BE486" s="15">
        <f t="shared" si="41"/>
        <v>0</v>
      </c>
    </row>
    <row r="487" spans="1:57" s="8" customFormat="1" ht="22.5" customHeight="1">
      <c r="A487" s="9"/>
      <c r="B487" s="16" t="s">
        <v>742</v>
      </c>
      <c r="C487" s="89" t="s">
        <v>151</v>
      </c>
      <c r="D487" s="59" t="s">
        <v>747</v>
      </c>
      <c r="E487" s="13" t="s">
        <v>748</v>
      </c>
      <c r="F487" s="95"/>
      <c r="G487" s="9"/>
      <c r="H487" s="9" t="s">
        <v>746</v>
      </c>
      <c r="I487" s="14"/>
      <c r="J487" s="14"/>
      <c r="K487" s="12">
        <v>274</v>
      </c>
      <c r="L487" s="9"/>
      <c r="M487" s="9"/>
      <c r="N487" s="9"/>
      <c r="O487" s="38">
        <f t="shared" si="38"/>
        <v>274</v>
      </c>
      <c r="P487" s="12"/>
      <c r="Q487" s="42"/>
      <c r="R487" s="15"/>
      <c r="S487" s="44"/>
      <c r="T487" s="15"/>
      <c r="U487" s="44"/>
      <c r="V487" s="15">
        <f t="shared" si="39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40"/>
        <v>0</v>
      </c>
      <c r="AF487" s="101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2"/>
        <v>0</v>
      </c>
      <c r="BA487" s="15"/>
      <c r="BB487" s="44"/>
      <c r="BC487" s="15"/>
      <c r="BD487" s="44"/>
      <c r="BE487" s="15">
        <f t="shared" si="41"/>
        <v>0</v>
      </c>
    </row>
    <row r="488" spans="1:57" s="8" customFormat="1" ht="22.5" customHeight="1">
      <c r="A488" s="9"/>
      <c r="B488" s="16" t="s">
        <v>742</v>
      </c>
      <c r="C488" s="89" t="s">
        <v>151</v>
      </c>
      <c r="D488" s="56" t="s">
        <v>747</v>
      </c>
      <c r="E488" s="13" t="s">
        <v>749</v>
      </c>
      <c r="F488" s="95"/>
      <c r="G488" s="9"/>
      <c r="H488" s="9" t="s">
        <v>745</v>
      </c>
      <c r="I488" s="14"/>
      <c r="J488" s="14"/>
      <c r="K488" s="12">
        <v>0</v>
      </c>
      <c r="L488" s="9"/>
      <c r="M488" s="9"/>
      <c r="N488" s="9"/>
      <c r="O488" s="38">
        <f t="shared" si="38"/>
        <v>0</v>
      </c>
      <c r="P488" s="12"/>
      <c r="Q488" s="42"/>
      <c r="R488" s="15"/>
      <c r="S488" s="44"/>
      <c r="T488" s="15"/>
      <c r="U488" s="44"/>
      <c r="V488" s="15">
        <f t="shared" si="39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40"/>
        <v>0</v>
      </c>
      <c r="AF488" s="101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2"/>
        <v>0</v>
      </c>
      <c r="BA488" s="15"/>
      <c r="BB488" s="44"/>
      <c r="BC488" s="15"/>
      <c r="BD488" s="44"/>
      <c r="BE488" s="15">
        <f t="shared" si="41"/>
        <v>0</v>
      </c>
    </row>
    <row r="489" spans="1:57" s="8" customFormat="1" ht="22.5" customHeight="1">
      <c r="A489" s="9"/>
      <c r="B489" s="16" t="s">
        <v>742</v>
      </c>
      <c r="C489" s="89" t="s">
        <v>151</v>
      </c>
      <c r="D489" s="56" t="s">
        <v>747</v>
      </c>
      <c r="E489" s="13" t="s">
        <v>749</v>
      </c>
      <c r="F489" s="95"/>
      <c r="G489" s="9"/>
      <c r="H489" s="9" t="s">
        <v>746</v>
      </c>
      <c r="I489" s="14"/>
      <c r="J489" s="14"/>
      <c r="K489" s="12">
        <v>80</v>
      </c>
      <c r="L489" s="9"/>
      <c r="M489" s="9"/>
      <c r="N489" s="9"/>
      <c r="O489" s="38">
        <f t="shared" si="38"/>
        <v>80</v>
      </c>
      <c r="P489" s="12"/>
      <c r="Q489" s="42"/>
      <c r="R489" s="15"/>
      <c r="S489" s="44"/>
      <c r="T489" s="15"/>
      <c r="U489" s="44"/>
      <c r="V489" s="15">
        <f t="shared" si="39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40"/>
        <v>0</v>
      </c>
      <c r="AF489" s="101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2"/>
        <v>0</v>
      </c>
      <c r="BA489" s="15"/>
      <c r="BB489" s="44"/>
      <c r="BC489" s="15"/>
      <c r="BD489" s="44"/>
      <c r="BE489" s="15">
        <f t="shared" si="41"/>
        <v>0</v>
      </c>
    </row>
    <row r="490" spans="1:57" s="8" customFormat="1" ht="22.5" customHeight="1">
      <c r="A490" s="9"/>
      <c r="B490" s="16" t="s">
        <v>742</v>
      </c>
      <c r="C490" s="89" t="s">
        <v>52</v>
      </c>
      <c r="D490" s="56" t="s">
        <v>750</v>
      </c>
      <c r="E490" s="13" t="s">
        <v>751</v>
      </c>
      <c r="F490" s="95"/>
      <c r="G490" s="9"/>
      <c r="H490" s="9" t="s">
        <v>745</v>
      </c>
      <c r="I490" s="14"/>
      <c r="J490" s="14"/>
      <c r="K490" s="12">
        <v>0</v>
      </c>
      <c r="L490" s="9"/>
      <c r="M490" s="9"/>
      <c r="N490" s="9"/>
      <c r="O490" s="38">
        <f t="shared" si="38"/>
        <v>0</v>
      </c>
      <c r="P490" s="12"/>
      <c r="Q490" s="42"/>
      <c r="R490" s="15"/>
      <c r="S490" s="44"/>
      <c r="T490" s="15"/>
      <c r="U490" s="44"/>
      <c r="V490" s="15">
        <f t="shared" si="39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40"/>
        <v>0</v>
      </c>
      <c r="AF490" s="101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2"/>
        <v>0</v>
      </c>
      <c r="BA490" s="15"/>
      <c r="BB490" s="44"/>
      <c r="BC490" s="15"/>
      <c r="BD490" s="44"/>
      <c r="BE490" s="15">
        <f t="shared" si="41"/>
        <v>0</v>
      </c>
    </row>
    <row r="491" spans="1:57" s="8" customFormat="1" ht="22.5" customHeight="1">
      <c r="A491" s="9"/>
      <c r="B491" s="16" t="s">
        <v>742</v>
      </c>
      <c r="C491" s="89" t="s">
        <v>52</v>
      </c>
      <c r="D491" s="56" t="s">
        <v>750</v>
      </c>
      <c r="E491" s="13" t="s">
        <v>751</v>
      </c>
      <c r="F491" s="95"/>
      <c r="G491" s="9"/>
      <c r="H491" s="9" t="s">
        <v>746</v>
      </c>
      <c r="I491" s="14"/>
      <c r="J491" s="14"/>
      <c r="K491" s="12">
        <v>59</v>
      </c>
      <c r="L491" s="9"/>
      <c r="M491" s="9"/>
      <c r="N491" s="9"/>
      <c r="O491" s="38">
        <f t="shared" si="38"/>
        <v>59</v>
      </c>
      <c r="P491" s="12"/>
      <c r="Q491" s="42"/>
      <c r="R491" s="15"/>
      <c r="S491" s="44"/>
      <c r="T491" s="15"/>
      <c r="U491" s="44"/>
      <c r="V491" s="15">
        <f t="shared" si="39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40"/>
        <v>0</v>
      </c>
      <c r="AF491" s="101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2"/>
        <v>0</v>
      </c>
      <c r="BA491" s="15"/>
      <c r="BB491" s="44"/>
      <c r="BC491" s="15"/>
      <c r="BD491" s="44"/>
      <c r="BE491" s="15">
        <f t="shared" si="41"/>
        <v>0</v>
      </c>
    </row>
    <row r="492" spans="1:57" s="8" customFormat="1" ht="22.5" customHeight="1">
      <c r="A492" s="9"/>
      <c r="B492" s="16" t="s">
        <v>742</v>
      </c>
      <c r="C492" s="89" t="s">
        <v>52</v>
      </c>
      <c r="D492" s="56" t="s">
        <v>750</v>
      </c>
      <c r="E492" s="13" t="s">
        <v>752</v>
      </c>
      <c r="F492" s="95"/>
      <c r="G492" s="9"/>
      <c r="H492" s="9" t="s">
        <v>745</v>
      </c>
      <c r="I492" s="14"/>
      <c r="J492" s="14"/>
      <c r="K492" s="12">
        <v>0</v>
      </c>
      <c r="L492" s="9"/>
      <c r="M492" s="9"/>
      <c r="N492" s="9"/>
      <c r="O492" s="38">
        <f t="shared" si="38"/>
        <v>0</v>
      </c>
      <c r="P492" s="12"/>
      <c r="Q492" s="42"/>
      <c r="R492" s="15"/>
      <c r="S492" s="44"/>
      <c r="T492" s="15"/>
      <c r="U492" s="44"/>
      <c r="V492" s="15">
        <f t="shared" si="39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40"/>
        <v>0</v>
      </c>
      <c r="AF492" s="101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2"/>
        <v>0</v>
      </c>
      <c r="BA492" s="15"/>
      <c r="BB492" s="44"/>
      <c r="BC492" s="15"/>
      <c r="BD492" s="44"/>
      <c r="BE492" s="15">
        <f t="shared" si="41"/>
        <v>0</v>
      </c>
    </row>
    <row r="493" spans="1:57" s="8" customFormat="1" ht="22.5" customHeight="1">
      <c r="A493" s="9"/>
      <c r="B493" s="16" t="s">
        <v>161</v>
      </c>
      <c r="C493" s="89" t="s">
        <v>52</v>
      </c>
      <c r="D493" s="56" t="s">
        <v>753</v>
      </c>
      <c r="E493" s="13"/>
      <c r="F493" s="95"/>
      <c r="G493" s="9"/>
      <c r="H493" s="9" t="s">
        <v>467</v>
      </c>
      <c r="I493" s="14"/>
      <c r="J493" s="14"/>
      <c r="K493" s="12">
        <v>50</v>
      </c>
      <c r="L493" s="9"/>
      <c r="M493" s="9"/>
      <c r="N493" s="9"/>
      <c r="O493" s="38">
        <f t="shared" si="38"/>
        <v>50</v>
      </c>
      <c r="P493" s="12"/>
      <c r="Q493" s="42"/>
      <c r="R493" s="15"/>
      <c r="S493" s="44"/>
      <c r="T493" s="15"/>
      <c r="U493" s="44"/>
      <c r="V493" s="15">
        <f t="shared" si="39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40"/>
        <v>0</v>
      </c>
      <c r="AF493" s="101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2"/>
        <v>0</v>
      </c>
      <c r="BA493" s="15"/>
      <c r="BB493" s="44"/>
      <c r="BC493" s="15"/>
      <c r="BD493" s="44"/>
      <c r="BE493" s="15">
        <f t="shared" si="41"/>
        <v>0</v>
      </c>
    </row>
    <row r="494" spans="1:57" s="8" customFormat="1" ht="22.5" customHeight="1">
      <c r="A494" s="9"/>
      <c r="B494" s="16" t="s">
        <v>161</v>
      </c>
      <c r="C494" s="89" t="s">
        <v>754</v>
      </c>
      <c r="D494" s="56" t="s">
        <v>753</v>
      </c>
      <c r="E494" s="13"/>
      <c r="F494" s="95"/>
      <c r="G494" s="9"/>
      <c r="H494" s="9" t="s">
        <v>467</v>
      </c>
      <c r="I494" s="14"/>
      <c r="J494" s="14"/>
      <c r="K494" s="12">
        <v>100</v>
      </c>
      <c r="L494" s="9"/>
      <c r="M494" s="9"/>
      <c r="N494" s="9"/>
      <c r="O494" s="38">
        <f t="shared" si="38"/>
        <v>100</v>
      </c>
      <c r="P494" s="12"/>
      <c r="Q494" s="42"/>
      <c r="R494" s="15"/>
      <c r="S494" s="44"/>
      <c r="T494" s="15"/>
      <c r="U494" s="44"/>
      <c r="V494" s="15">
        <f t="shared" si="39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40"/>
        <v>0</v>
      </c>
      <c r="AF494" s="101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2"/>
        <v>0</v>
      </c>
      <c r="BA494" s="15"/>
      <c r="BB494" s="44"/>
      <c r="BC494" s="15"/>
      <c r="BD494" s="44"/>
      <c r="BE494" s="15">
        <f t="shared" si="41"/>
        <v>0</v>
      </c>
    </row>
    <row r="495" spans="1:57" s="8" customFormat="1" ht="22.5" customHeight="1">
      <c r="A495" s="9"/>
      <c r="B495" s="16" t="s">
        <v>161</v>
      </c>
      <c r="C495" s="89" t="s">
        <v>140</v>
      </c>
      <c r="D495" s="59" t="s">
        <v>753</v>
      </c>
      <c r="E495" s="13"/>
      <c r="F495" s="95"/>
      <c r="G495" s="9"/>
      <c r="H495" s="9" t="s">
        <v>467</v>
      </c>
      <c r="I495" s="14"/>
      <c r="J495" s="14"/>
      <c r="K495" s="12">
        <v>0</v>
      </c>
      <c r="L495" s="9"/>
      <c r="M495" s="9"/>
      <c r="N495" s="9"/>
      <c r="O495" s="38">
        <f t="shared" si="38"/>
        <v>0</v>
      </c>
      <c r="P495" s="12"/>
      <c r="Q495" s="42"/>
      <c r="R495" s="15"/>
      <c r="S495" s="44"/>
      <c r="T495" s="15"/>
      <c r="U495" s="44"/>
      <c r="V495" s="15">
        <f t="shared" si="39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40"/>
        <v>0</v>
      </c>
      <c r="AF495" s="101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2"/>
        <v>0</v>
      </c>
      <c r="BA495" s="15"/>
      <c r="BB495" s="44"/>
      <c r="BC495" s="15"/>
      <c r="BD495" s="44"/>
      <c r="BE495" s="15">
        <f t="shared" si="41"/>
        <v>0</v>
      </c>
    </row>
    <row r="496" spans="1:57" s="8" customFormat="1" ht="22.5" customHeight="1">
      <c r="A496" s="9"/>
      <c r="B496" s="16" t="s">
        <v>755</v>
      </c>
      <c r="C496" s="89" t="s">
        <v>754</v>
      </c>
      <c r="D496" s="59" t="s">
        <v>756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8"/>
        <v>0</v>
      </c>
      <c r="P496" s="12"/>
      <c r="Q496" s="42"/>
      <c r="R496" s="15"/>
      <c r="S496" s="44"/>
      <c r="T496" s="15"/>
      <c r="U496" s="44"/>
      <c r="V496" s="15">
        <f t="shared" si="39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40"/>
        <v>0</v>
      </c>
      <c r="AF496" s="101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2"/>
        <v>0</v>
      </c>
      <c r="BA496" s="15"/>
      <c r="BB496" s="44"/>
      <c r="BC496" s="15"/>
      <c r="BD496" s="44"/>
      <c r="BE496" s="15">
        <f t="shared" si="41"/>
        <v>0</v>
      </c>
    </row>
    <row r="497" spans="1:57" s="8" customFormat="1" ht="22.5" customHeight="1">
      <c r="A497" s="9"/>
      <c r="B497" s="16" t="s">
        <v>755</v>
      </c>
      <c r="C497" s="89" t="s">
        <v>132</v>
      </c>
      <c r="D497" s="61" t="s">
        <v>758</v>
      </c>
      <c r="E497" s="13"/>
      <c r="F497" s="95"/>
      <c r="G497" s="9"/>
      <c r="H497" s="9" t="s">
        <v>757</v>
      </c>
      <c r="I497" s="14"/>
      <c r="J497" s="14"/>
      <c r="K497" s="12">
        <v>0</v>
      </c>
      <c r="L497" s="9"/>
      <c r="M497" s="9"/>
      <c r="N497" s="9"/>
      <c r="O497" s="38">
        <f t="shared" si="38"/>
        <v>0</v>
      </c>
      <c r="P497" s="12"/>
      <c r="Q497" s="42"/>
      <c r="R497" s="15"/>
      <c r="S497" s="44"/>
      <c r="T497" s="15"/>
      <c r="U497" s="44"/>
      <c r="V497" s="15">
        <f t="shared" si="39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40"/>
        <v>0</v>
      </c>
      <c r="AF497" s="101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2"/>
        <v>0</v>
      </c>
      <c r="BA497" s="15"/>
      <c r="BB497" s="44"/>
      <c r="BC497" s="15"/>
      <c r="BD497" s="44"/>
      <c r="BE497" s="15">
        <f t="shared" si="41"/>
        <v>0</v>
      </c>
    </row>
    <row r="498" spans="1:57" s="8" customFormat="1" ht="22.5" customHeight="1">
      <c r="A498" s="9"/>
      <c r="B498" s="16" t="s">
        <v>755</v>
      </c>
      <c r="C498" s="89" t="s">
        <v>132</v>
      </c>
      <c r="D498" s="59" t="s">
        <v>759</v>
      </c>
      <c r="E498" s="13"/>
      <c r="F498" s="95"/>
      <c r="G498" s="9"/>
      <c r="H498" s="9" t="s">
        <v>757</v>
      </c>
      <c r="I498" s="14"/>
      <c r="J498" s="14"/>
      <c r="K498" s="12">
        <v>0</v>
      </c>
      <c r="L498" s="9"/>
      <c r="M498" s="9"/>
      <c r="N498" s="9"/>
      <c r="O498" s="38">
        <f t="shared" si="38"/>
        <v>0</v>
      </c>
      <c r="P498" s="12"/>
      <c r="Q498" s="42"/>
      <c r="R498" s="15"/>
      <c r="S498" s="44"/>
      <c r="T498" s="15"/>
      <c r="U498" s="44"/>
      <c r="V498" s="15">
        <f t="shared" si="39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40"/>
        <v>0</v>
      </c>
      <c r="AF498" s="101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2"/>
        <v>0</v>
      </c>
      <c r="BA498" s="15"/>
      <c r="BB498" s="44"/>
      <c r="BC498" s="15"/>
      <c r="BD498" s="44"/>
      <c r="BE498" s="15">
        <f t="shared" si="41"/>
        <v>0</v>
      </c>
    </row>
    <row r="499" spans="1:57" s="8" customFormat="1" ht="22.5" customHeight="1">
      <c r="A499" s="9"/>
      <c r="B499" s="16" t="s">
        <v>755</v>
      </c>
      <c r="C499" s="89" t="s">
        <v>140</v>
      </c>
      <c r="D499" s="59" t="s">
        <v>758</v>
      </c>
      <c r="E499" s="13"/>
      <c r="F499" s="95"/>
      <c r="G499" s="9"/>
      <c r="H499" s="9" t="s">
        <v>757</v>
      </c>
      <c r="I499" s="14"/>
      <c r="J499" s="14"/>
      <c r="K499" s="12">
        <v>0</v>
      </c>
      <c r="L499" s="9"/>
      <c r="M499" s="9"/>
      <c r="N499" s="9"/>
      <c r="O499" s="38">
        <f t="shared" si="38"/>
        <v>0</v>
      </c>
      <c r="P499" s="12"/>
      <c r="Q499" s="42"/>
      <c r="R499" s="15"/>
      <c r="S499" s="44"/>
      <c r="T499" s="15"/>
      <c r="U499" s="44"/>
      <c r="V499" s="15">
        <f t="shared" si="39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40"/>
        <v>0</v>
      </c>
      <c r="AF499" s="101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2"/>
        <v>0</v>
      </c>
      <c r="BA499" s="15"/>
      <c r="BB499" s="44"/>
      <c r="BC499" s="15"/>
      <c r="BD499" s="44"/>
      <c r="BE499" s="15">
        <f t="shared" si="41"/>
        <v>0</v>
      </c>
    </row>
    <row r="500" spans="1:57" s="8" customFormat="1" ht="22.5" customHeight="1">
      <c r="A500" s="9"/>
      <c r="B500" s="16" t="s">
        <v>755</v>
      </c>
      <c r="C500" s="89" t="s">
        <v>52</v>
      </c>
      <c r="D500" s="59" t="s">
        <v>760</v>
      </c>
      <c r="E500" s="13"/>
      <c r="F500" s="95"/>
      <c r="G500" s="9"/>
      <c r="H500" s="9" t="s">
        <v>757</v>
      </c>
      <c r="I500" s="14"/>
      <c r="J500" s="14"/>
      <c r="K500" s="12">
        <v>993</v>
      </c>
      <c r="L500" s="9"/>
      <c r="M500" s="9"/>
      <c r="N500" s="9"/>
      <c r="O500" s="38">
        <f t="shared" si="38"/>
        <v>993</v>
      </c>
      <c r="P500" s="12"/>
      <c r="Q500" s="42"/>
      <c r="R500" s="15"/>
      <c r="S500" s="44"/>
      <c r="T500" s="15"/>
      <c r="U500" s="44"/>
      <c r="V500" s="15">
        <f t="shared" si="39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40"/>
        <v>0</v>
      </c>
      <c r="AF500" s="101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2"/>
        <v>0</v>
      </c>
      <c r="BA500" s="15"/>
      <c r="BB500" s="44"/>
      <c r="BC500" s="15"/>
      <c r="BD500" s="44"/>
      <c r="BE500" s="15">
        <f t="shared" si="41"/>
        <v>0</v>
      </c>
    </row>
    <row r="501" spans="1:57" s="8" customFormat="1" ht="22.5" customHeight="1">
      <c r="A501" s="9"/>
      <c r="B501" s="16" t="s">
        <v>755</v>
      </c>
      <c r="C501" s="89" t="s">
        <v>52</v>
      </c>
      <c r="D501" s="75" t="s">
        <v>761</v>
      </c>
      <c r="E501" s="13"/>
      <c r="F501" s="95"/>
      <c r="G501" s="9"/>
      <c r="H501" s="9" t="s">
        <v>757</v>
      </c>
      <c r="I501" s="14"/>
      <c r="J501" s="14"/>
      <c r="K501" s="12">
        <v>789</v>
      </c>
      <c r="L501" s="9"/>
      <c r="M501" s="9"/>
      <c r="N501" s="9"/>
      <c r="O501" s="38">
        <f t="shared" si="38"/>
        <v>789</v>
      </c>
      <c r="P501" s="12"/>
      <c r="Q501" s="42"/>
      <c r="R501" s="15"/>
      <c r="S501" s="44"/>
      <c r="T501" s="15"/>
      <c r="U501" s="44"/>
      <c r="V501" s="15">
        <f t="shared" si="39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40"/>
        <v>0</v>
      </c>
      <c r="AF501" s="101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2"/>
        <v>0</v>
      </c>
      <c r="BA501" s="15"/>
      <c r="BB501" s="44"/>
      <c r="BC501" s="15"/>
      <c r="BD501" s="44"/>
      <c r="BE501" s="15">
        <f t="shared" si="41"/>
        <v>0</v>
      </c>
    </row>
    <row r="502" spans="1:57" s="8" customFormat="1" ht="22.5" customHeight="1">
      <c r="A502" s="9"/>
      <c r="B502" s="16" t="s">
        <v>755</v>
      </c>
      <c r="C502" s="89" t="s">
        <v>52</v>
      </c>
      <c r="D502" s="87" t="s">
        <v>762</v>
      </c>
      <c r="E502" s="13"/>
      <c r="F502" s="95"/>
      <c r="G502" s="9"/>
      <c r="H502" s="9" t="s">
        <v>757</v>
      </c>
      <c r="I502" s="14"/>
      <c r="J502" s="14"/>
      <c r="K502" s="12">
        <v>893</v>
      </c>
      <c r="L502" s="9"/>
      <c r="M502" s="9"/>
      <c r="N502" s="9"/>
      <c r="O502" s="38">
        <f t="shared" si="38"/>
        <v>893</v>
      </c>
      <c r="P502" s="12"/>
      <c r="Q502" s="42"/>
      <c r="R502" s="15"/>
      <c r="S502" s="44"/>
      <c r="T502" s="15"/>
      <c r="U502" s="44"/>
      <c r="V502" s="15">
        <f t="shared" si="39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40"/>
        <v>0</v>
      </c>
      <c r="AF502" s="101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2"/>
        <v>0</v>
      </c>
      <c r="BA502" s="15"/>
      <c r="BB502" s="44"/>
      <c r="BC502" s="15"/>
      <c r="BD502" s="44"/>
      <c r="BE502" s="15">
        <f t="shared" si="41"/>
        <v>0</v>
      </c>
    </row>
    <row r="503" spans="1:57" s="8" customFormat="1" ht="22.5" customHeight="1">
      <c r="A503" s="9"/>
      <c r="B503" s="16" t="s">
        <v>755</v>
      </c>
      <c r="C503" s="89" t="s">
        <v>52</v>
      </c>
      <c r="D503" s="75" t="s">
        <v>763</v>
      </c>
      <c r="E503" s="13" t="s">
        <v>764</v>
      </c>
      <c r="F503" s="95"/>
      <c r="G503" s="9"/>
      <c r="H503" s="9" t="s">
        <v>757</v>
      </c>
      <c r="I503" s="14"/>
      <c r="J503" s="14"/>
      <c r="K503" s="12">
        <v>216</v>
      </c>
      <c r="L503" s="9"/>
      <c r="M503" s="9"/>
      <c r="N503" s="9"/>
      <c r="O503" s="38">
        <f t="shared" si="38"/>
        <v>216</v>
      </c>
      <c r="P503" s="12"/>
      <c r="Q503" s="42"/>
      <c r="R503" s="15"/>
      <c r="S503" s="44"/>
      <c r="T503" s="15"/>
      <c r="U503" s="44"/>
      <c r="V503" s="15">
        <f t="shared" si="39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40"/>
        <v>0</v>
      </c>
      <c r="AF503" s="101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2"/>
        <v>0</v>
      </c>
      <c r="BA503" s="15"/>
      <c r="BB503" s="44"/>
      <c r="BC503" s="15"/>
      <c r="BD503" s="44"/>
      <c r="BE503" s="15">
        <f t="shared" si="41"/>
        <v>0</v>
      </c>
    </row>
    <row r="504" spans="1:57" s="8" customFormat="1" ht="22.5" customHeight="1">
      <c r="A504" s="9"/>
      <c r="B504" s="16" t="s">
        <v>755</v>
      </c>
      <c r="C504" s="89" t="s">
        <v>52</v>
      </c>
      <c r="D504" s="75" t="s">
        <v>763</v>
      </c>
      <c r="E504" s="13" t="s">
        <v>765</v>
      </c>
      <c r="F504" s="95"/>
      <c r="G504" s="9"/>
      <c r="H504" s="9" t="s">
        <v>757</v>
      </c>
      <c r="I504" s="14"/>
      <c r="J504" s="14"/>
      <c r="K504" s="12">
        <v>57</v>
      </c>
      <c r="L504" s="9"/>
      <c r="M504" s="9"/>
      <c r="N504" s="9"/>
      <c r="O504" s="38">
        <f t="shared" si="38"/>
        <v>57</v>
      </c>
      <c r="P504" s="12"/>
      <c r="Q504" s="42"/>
      <c r="R504" s="15"/>
      <c r="S504" s="44"/>
      <c r="T504" s="15"/>
      <c r="U504" s="44"/>
      <c r="V504" s="15">
        <f t="shared" si="39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40"/>
        <v>0</v>
      </c>
      <c r="AF504" s="101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2"/>
        <v>0</v>
      </c>
      <c r="BA504" s="15"/>
      <c r="BB504" s="44"/>
      <c r="BC504" s="15"/>
      <c r="BD504" s="44"/>
      <c r="BE504" s="15">
        <f t="shared" si="41"/>
        <v>0</v>
      </c>
    </row>
    <row r="505" spans="1:57" s="8" customFormat="1" ht="22.5" customHeight="1">
      <c r="A505" s="9"/>
      <c r="B505" s="16" t="s">
        <v>755</v>
      </c>
      <c r="C505" s="89" t="s">
        <v>151</v>
      </c>
      <c r="D505" s="75" t="s">
        <v>766</v>
      </c>
      <c r="E505" s="13"/>
      <c r="F505" s="95"/>
      <c r="G505" s="9"/>
      <c r="H505" s="9" t="s">
        <v>757</v>
      </c>
      <c r="I505" s="14"/>
      <c r="J505" s="14"/>
      <c r="K505" s="12">
        <v>0</v>
      </c>
      <c r="L505" s="9"/>
      <c r="M505" s="9"/>
      <c r="N505" s="9"/>
      <c r="O505" s="38">
        <f t="shared" si="38"/>
        <v>0</v>
      </c>
      <c r="P505" s="12"/>
      <c r="Q505" s="42"/>
      <c r="R505" s="15"/>
      <c r="S505" s="44"/>
      <c r="T505" s="15"/>
      <c r="U505" s="44"/>
      <c r="V505" s="15">
        <f t="shared" si="39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40"/>
        <v>0</v>
      </c>
      <c r="AF505" s="101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2"/>
        <v>0</v>
      </c>
      <c r="BA505" s="15"/>
      <c r="BB505" s="44"/>
      <c r="BC505" s="15"/>
      <c r="BD505" s="44"/>
      <c r="BE505" s="15">
        <f t="shared" si="41"/>
        <v>0</v>
      </c>
    </row>
    <row r="506" spans="1:57" s="8" customFormat="1" ht="22.5" customHeight="1">
      <c r="A506" s="9"/>
      <c r="B506" s="16" t="s">
        <v>755</v>
      </c>
      <c r="C506" s="89" t="s">
        <v>151</v>
      </c>
      <c r="D506" s="75" t="s">
        <v>763</v>
      </c>
      <c r="E506" s="13" t="s">
        <v>767</v>
      </c>
      <c r="F506" s="95"/>
      <c r="G506" s="9"/>
      <c r="H506" s="9" t="s">
        <v>757</v>
      </c>
      <c r="I506" s="14"/>
      <c r="J506" s="14"/>
      <c r="K506" s="12">
        <v>0</v>
      </c>
      <c r="L506" s="9"/>
      <c r="M506" s="9"/>
      <c r="N506" s="9"/>
      <c r="O506" s="38">
        <f t="shared" si="38"/>
        <v>0</v>
      </c>
      <c r="P506" s="12"/>
      <c r="Q506" s="42"/>
      <c r="R506" s="15"/>
      <c r="S506" s="44"/>
      <c r="T506" s="15"/>
      <c r="U506" s="44"/>
      <c r="V506" s="15">
        <f t="shared" si="39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40"/>
        <v>0</v>
      </c>
      <c r="AF506" s="101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2"/>
        <v>0</v>
      </c>
      <c r="BA506" s="15"/>
      <c r="BB506" s="44"/>
      <c r="BC506" s="15"/>
      <c r="BD506" s="44"/>
      <c r="BE506" s="15">
        <f t="shared" si="41"/>
        <v>0</v>
      </c>
    </row>
    <row r="507" spans="1:57" s="8" customFormat="1" ht="22.5" customHeight="1">
      <c r="A507" s="9"/>
      <c r="B507" s="16" t="s">
        <v>755</v>
      </c>
      <c r="C507" s="89" t="s">
        <v>151</v>
      </c>
      <c r="D507" s="75" t="s">
        <v>763</v>
      </c>
      <c r="E507" s="13" t="s">
        <v>768</v>
      </c>
      <c r="F507" s="95"/>
      <c r="G507" s="9"/>
      <c r="H507" s="9" t="s">
        <v>757</v>
      </c>
      <c r="I507" s="14"/>
      <c r="J507" s="14"/>
      <c r="K507" s="12">
        <v>0</v>
      </c>
      <c r="L507" s="9"/>
      <c r="M507" s="9"/>
      <c r="N507" s="9"/>
      <c r="O507" s="38">
        <f t="shared" si="38"/>
        <v>0</v>
      </c>
      <c r="P507" s="12"/>
      <c r="Q507" s="42"/>
      <c r="R507" s="15"/>
      <c r="S507" s="44"/>
      <c r="T507" s="15"/>
      <c r="U507" s="44"/>
      <c r="V507" s="15">
        <f t="shared" si="39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40"/>
        <v>0</v>
      </c>
      <c r="AF507" s="101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2"/>
        <v>0</v>
      </c>
      <c r="BA507" s="15"/>
      <c r="BB507" s="44"/>
      <c r="BC507" s="15"/>
      <c r="BD507" s="44"/>
      <c r="BE507" s="15">
        <f t="shared" si="41"/>
        <v>0</v>
      </c>
    </row>
    <row r="508" spans="1:57" s="8" customFormat="1" ht="22.5" customHeight="1">
      <c r="A508" s="9"/>
      <c r="B508" s="16" t="s">
        <v>769</v>
      </c>
      <c r="C508" s="89" t="s">
        <v>494</v>
      </c>
      <c r="D508" s="61" t="s">
        <v>770</v>
      </c>
      <c r="E508" s="13"/>
      <c r="F508" s="95"/>
      <c r="G508" s="9"/>
      <c r="H508" s="23" t="s">
        <v>771</v>
      </c>
      <c r="I508" s="14"/>
      <c r="J508" s="14"/>
      <c r="K508" s="12">
        <v>0</v>
      </c>
      <c r="L508" s="9"/>
      <c r="M508" s="9"/>
      <c r="N508" s="9"/>
      <c r="O508" s="38">
        <f t="shared" si="38"/>
        <v>0</v>
      </c>
      <c r="P508" s="12"/>
      <c r="Q508" s="42"/>
      <c r="R508" s="15"/>
      <c r="S508" s="44"/>
      <c r="T508" s="15"/>
      <c r="U508" s="44"/>
      <c r="V508" s="15">
        <f t="shared" si="39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40"/>
        <v>0</v>
      </c>
      <c r="AF508" s="101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2"/>
        <v>0</v>
      </c>
      <c r="BA508" s="15"/>
      <c r="BB508" s="44"/>
      <c r="BC508" s="15"/>
      <c r="BD508" s="44"/>
      <c r="BE508" s="15">
        <f t="shared" si="41"/>
        <v>0</v>
      </c>
    </row>
    <row r="509" spans="1:57" s="8" customFormat="1" ht="22.5" customHeight="1">
      <c r="A509" s="9"/>
      <c r="B509" s="16" t="s">
        <v>772</v>
      </c>
      <c r="C509" s="89" t="s">
        <v>151</v>
      </c>
      <c r="D509" s="61" t="s">
        <v>772</v>
      </c>
      <c r="E509" s="13"/>
      <c r="F509" s="95"/>
      <c r="G509" s="9"/>
      <c r="H509" s="9" t="s">
        <v>773</v>
      </c>
      <c r="I509" s="14"/>
      <c r="J509" s="14"/>
      <c r="K509" s="12">
        <v>0</v>
      </c>
      <c r="L509" s="9"/>
      <c r="M509" s="9"/>
      <c r="N509" s="9"/>
      <c r="O509" s="38">
        <f t="shared" si="38"/>
        <v>0</v>
      </c>
      <c r="P509" s="12"/>
      <c r="Q509" s="42"/>
      <c r="R509" s="15"/>
      <c r="S509" s="44"/>
      <c r="T509" s="15"/>
      <c r="U509" s="44"/>
      <c r="V509" s="15">
        <f t="shared" si="39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40"/>
        <v>0</v>
      </c>
      <c r="AF509" s="101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2"/>
        <v>0</v>
      </c>
      <c r="BA509" s="15"/>
      <c r="BB509" s="44"/>
      <c r="BC509" s="15"/>
      <c r="BD509" s="44"/>
      <c r="BE509" s="15">
        <f t="shared" si="41"/>
        <v>0</v>
      </c>
    </row>
    <row r="510" spans="1:57" s="8" customFormat="1" ht="22.5" customHeight="1">
      <c r="A510" s="9"/>
      <c r="B510" s="16" t="s">
        <v>774</v>
      </c>
      <c r="C510" s="89" t="s">
        <v>151</v>
      </c>
      <c r="D510" s="59" t="s">
        <v>775</v>
      </c>
      <c r="E510" s="13"/>
      <c r="F510" s="95"/>
      <c r="G510" s="9"/>
      <c r="H510" s="9"/>
      <c r="I510" s="14"/>
      <c r="J510" s="14"/>
      <c r="K510" s="12">
        <v>0</v>
      </c>
      <c r="L510" s="9"/>
      <c r="M510" s="9"/>
      <c r="N510" s="9"/>
      <c r="O510" s="38">
        <f t="shared" si="38"/>
        <v>0</v>
      </c>
      <c r="P510" s="12"/>
      <c r="Q510" s="42"/>
      <c r="R510" s="15"/>
      <c r="S510" s="44"/>
      <c r="T510" s="15"/>
      <c r="U510" s="44"/>
      <c r="V510" s="15">
        <f t="shared" si="39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40"/>
        <v>0</v>
      </c>
      <c r="AF510" s="101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2"/>
        <v>0</v>
      </c>
      <c r="BA510" s="15"/>
      <c r="BB510" s="44"/>
      <c r="BC510" s="15"/>
      <c r="BD510" s="44"/>
      <c r="BE510" s="15">
        <f t="shared" si="41"/>
        <v>0</v>
      </c>
    </row>
    <row r="511" spans="1:57" s="8" customFormat="1" ht="22.5" customHeight="1">
      <c r="A511" s="9"/>
      <c r="B511" s="16" t="s">
        <v>776</v>
      </c>
      <c r="C511" s="89" t="s">
        <v>151</v>
      </c>
      <c r="D511" s="56" t="s">
        <v>777</v>
      </c>
      <c r="E511" s="13"/>
      <c r="F511" s="95"/>
      <c r="G511" s="9"/>
      <c r="H511" s="9" t="s">
        <v>314</v>
      </c>
      <c r="I511" s="14"/>
      <c r="J511" s="14"/>
      <c r="K511" s="12">
        <v>0</v>
      </c>
      <c r="L511" s="9"/>
      <c r="M511" s="9"/>
      <c r="N511" s="9"/>
      <c r="O511" s="38">
        <f t="shared" si="38"/>
        <v>0</v>
      </c>
      <c r="P511" s="12"/>
      <c r="Q511" s="42"/>
      <c r="R511" s="15"/>
      <c r="S511" s="44"/>
      <c r="T511" s="15"/>
      <c r="U511" s="44"/>
      <c r="V511" s="15">
        <f t="shared" si="39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40"/>
        <v>0</v>
      </c>
      <c r="AF511" s="101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2"/>
        <v>0</v>
      </c>
      <c r="BA511" s="15"/>
      <c r="BB511" s="44"/>
      <c r="BC511" s="15"/>
      <c r="BD511" s="44"/>
      <c r="BE511" s="15">
        <f t="shared" si="41"/>
        <v>0</v>
      </c>
    </row>
    <row r="512" spans="1:57" s="8" customFormat="1" ht="22.5" customHeight="1">
      <c r="A512" s="9"/>
      <c r="B512" s="16" t="s">
        <v>101</v>
      </c>
      <c r="C512" s="89" t="s">
        <v>151</v>
      </c>
      <c r="D512" s="56" t="s">
        <v>778</v>
      </c>
      <c r="E512" s="13"/>
      <c r="F512" s="95"/>
      <c r="G512" s="9"/>
      <c r="H512" s="9" t="s">
        <v>779</v>
      </c>
      <c r="I512" s="14"/>
      <c r="J512" s="14"/>
      <c r="K512" s="12">
        <v>0</v>
      </c>
      <c r="L512" s="9"/>
      <c r="M512" s="9"/>
      <c r="N512" s="9"/>
      <c r="O512" s="38">
        <f t="shared" si="38"/>
        <v>0</v>
      </c>
      <c r="P512" s="12"/>
      <c r="Q512" s="42"/>
      <c r="R512" s="15"/>
      <c r="S512" s="44"/>
      <c r="T512" s="15"/>
      <c r="U512" s="44"/>
      <c r="V512" s="15">
        <f t="shared" si="39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40"/>
        <v>0</v>
      </c>
      <c r="AF512" s="101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2"/>
        <v>0</v>
      </c>
      <c r="BA512" s="15"/>
      <c r="BB512" s="44"/>
      <c r="BC512" s="15"/>
      <c r="BD512" s="44"/>
      <c r="BE512" s="15">
        <f t="shared" si="41"/>
        <v>0</v>
      </c>
    </row>
    <row r="513" spans="1:57" s="8" customFormat="1" ht="22.5" customHeight="1">
      <c r="A513" s="9"/>
      <c r="B513" s="16" t="s">
        <v>101</v>
      </c>
      <c r="C513" s="89" t="s">
        <v>151</v>
      </c>
      <c r="D513" s="56" t="s">
        <v>780</v>
      </c>
      <c r="E513" s="13"/>
      <c r="F513" s="95"/>
      <c r="G513" s="9"/>
      <c r="H513" s="9" t="s">
        <v>779</v>
      </c>
      <c r="I513" s="14"/>
      <c r="J513" s="14"/>
      <c r="K513" s="12">
        <v>0</v>
      </c>
      <c r="L513" s="9"/>
      <c r="M513" s="9"/>
      <c r="N513" s="9"/>
      <c r="O513" s="38">
        <f t="shared" si="38"/>
        <v>0</v>
      </c>
      <c r="P513" s="12"/>
      <c r="Q513" s="42"/>
      <c r="R513" s="15"/>
      <c r="S513" s="44"/>
      <c r="T513" s="15"/>
      <c r="U513" s="44"/>
      <c r="V513" s="15">
        <f t="shared" si="39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40"/>
        <v>0</v>
      </c>
      <c r="AF513" s="101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2"/>
        <v>0</v>
      </c>
      <c r="BA513" s="15"/>
      <c r="BB513" s="44"/>
      <c r="BC513" s="15"/>
      <c r="BD513" s="44"/>
      <c r="BE513" s="15">
        <f t="shared" si="41"/>
        <v>0</v>
      </c>
    </row>
    <row r="514" spans="1:57" s="8" customFormat="1" ht="22.5" customHeight="1">
      <c r="A514" s="9"/>
      <c r="B514" s="16" t="s">
        <v>101</v>
      </c>
      <c r="C514" s="89" t="s">
        <v>151</v>
      </c>
      <c r="D514" s="56" t="s">
        <v>781</v>
      </c>
      <c r="E514" s="13"/>
      <c r="F514" s="95"/>
      <c r="G514" s="9"/>
      <c r="H514" s="9" t="s">
        <v>779</v>
      </c>
      <c r="I514" s="14"/>
      <c r="J514" s="14"/>
      <c r="K514" s="12">
        <v>0</v>
      </c>
      <c r="L514" s="9"/>
      <c r="M514" s="9"/>
      <c r="N514" s="9"/>
      <c r="O514" s="38">
        <f t="shared" si="38"/>
        <v>0</v>
      </c>
      <c r="P514" s="12"/>
      <c r="Q514" s="42"/>
      <c r="R514" s="15"/>
      <c r="S514" s="44"/>
      <c r="T514" s="15"/>
      <c r="U514" s="44"/>
      <c r="V514" s="15">
        <f t="shared" si="39"/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si="40"/>
        <v>0</v>
      </c>
      <c r="AF514" s="101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2"/>
        <v>0</v>
      </c>
      <c r="BA514" s="15"/>
      <c r="BB514" s="44"/>
      <c r="BC514" s="15"/>
      <c r="BD514" s="44"/>
      <c r="BE514" s="15">
        <f t="shared" si="41"/>
        <v>0</v>
      </c>
    </row>
    <row r="515" spans="1:57" s="8" customFormat="1" ht="22.5" customHeight="1">
      <c r="A515" s="9"/>
      <c r="B515" s="16" t="s">
        <v>101</v>
      </c>
      <c r="C515" s="89" t="s">
        <v>151</v>
      </c>
      <c r="D515" s="56" t="s">
        <v>782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38"/>
        <v>0</v>
      </c>
      <c r="P515" s="12"/>
      <c r="Q515" s="42"/>
      <c r="R515" s="15"/>
      <c r="S515" s="44"/>
      <c r="T515" s="15"/>
      <c r="U515" s="44"/>
      <c r="V515" s="15">
        <f t="shared" si="39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0"/>
        <v>0</v>
      </c>
      <c r="AF515" s="101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si="42"/>
        <v>0</v>
      </c>
      <c r="BA515" s="15"/>
      <c r="BB515" s="44"/>
      <c r="BC515" s="15"/>
      <c r="BD515" s="44"/>
      <c r="BE515" s="15">
        <f t="shared" si="41"/>
        <v>0</v>
      </c>
    </row>
    <row r="516" spans="1:57" s="8" customFormat="1" ht="22.5" customHeight="1">
      <c r="A516" s="9"/>
      <c r="B516" s="16" t="s">
        <v>101</v>
      </c>
      <c r="C516" s="89" t="s">
        <v>151</v>
      </c>
      <c r="D516" s="56" t="s">
        <v>784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ref="O516:O567" si="43">K516+V516-AE516-AZ516</f>
        <v>0</v>
      </c>
      <c r="P516" s="12"/>
      <c r="Q516" s="42"/>
      <c r="R516" s="15"/>
      <c r="S516" s="44"/>
      <c r="T516" s="15"/>
      <c r="U516" s="44"/>
      <c r="V516" s="15">
        <f t="shared" ref="V516:V567" si="44">P516+R516+T516</f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ref="AE516:AE567" si="45">(W516+Y516+AA516+AC516)</f>
        <v>0</v>
      </c>
      <c r="AF516" s="101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2"/>
        <v>0</v>
      </c>
      <c r="BA516" s="15"/>
      <c r="BB516" s="44"/>
      <c r="BC516" s="15"/>
      <c r="BD516" s="44"/>
      <c r="BE516" s="15">
        <f t="shared" si="41"/>
        <v>0</v>
      </c>
    </row>
    <row r="517" spans="1:57" s="8" customFormat="1" ht="22.5" customHeight="1">
      <c r="A517" s="9"/>
      <c r="B517" s="16" t="s">
        <v>101</v>
      </c>
      <c r="C517" s="89" t="s">
        <v>151</v>
      </c>
      <c r="D517" s="56" t="s">
        <v>785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3"/>
        <v>0</v>
      </c>
      <c r="P517" s="12"/>
      <c r="Q517" s="42"/>
      <c r="R517" s="15"/>
      <c r="S517" s="44"/>
      <c r="T517" s="15"/>
      <c r="U517" s="44"/>
      <c r="V517" s="15">
        <f t="shared" si="44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5"/>
        <v>0</v>
      </c>
      <c r="AF517" s="101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2"/>
        <v>0</v>
      </c>
      <c r="BA517" s="15"/>
      <c r="BB517" s="44"/>
      <c r="BC517" s="15"/>
      <c r="BD517" s="44"/>
      <c r="BE517" s="15">
        <f t="shared" si="41"/>
        <v>0</v>
      </c>
    </row>
    <row r="518" spans="1:57" s="8" customFormat="1" ht="22.5" customHeight="1">
      <c r="A518" s="9"/>
      <c r="B518" s="16" t="s">
        <v>101</v>
      </c>
      <c r="C518" s="89" t="s">
        <v>151</v>
      </c>
      <c r="D518" s="56" t="s">
        <v>786</v>
      </c>
      <c r="E518" s="13"/>
      <c r="F518" s="95"/>
      <c r="G518" s="9"/>
      <c r="H518" s="9" t="s">
        <v>783</v>
      </c>
      <c r="I518" s="14"/>
      <c r="J518" s="14"/>
      <c r="K518" s="12">
        <v>0</v>
      </c>
      <c r="L518" s="9"/>
      <c r="M518" s="9"/>
      <c r="N518" s="9"/>
      <c r="O518" s="38">
        <f t="shared" si="43"/>
        <v>0</v>
      </c>
      <c r="P518" s="12"/>
      <c r="Q518" s="42"/>
      <c r="R518" s="15"/>
      <c r="S518" s="44"/>
      <c r="T518" s="15"/>
      <c r="U518" s="44"/>
      <c r="V518" s="15">
        <f t="shared" si="44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5"/>
        <v>0</v>
      </c>
      <c r="AF518" s="101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2"/>
        <v>0</v>
      </c>
      <c r="BA518" s="15"/>
      <c r="BB518" s="44"/>
      <c r="BC518" s="15"/>
      <c r="BD518" s="44"/>
      <c r="BE518" s="15">
        <f t="shared" si="41"/>
        <v>0</v>
      </c>
    </row>
    <row r="519" spans="1:57" s="8" customFormat="1" ht="22.5" customHeight="1">
      <c r="A519" s="9"/>
      <c r="B519" s="16" t="s">
        <v>101</v>
      </c>
      <c r="C519" s="89" t="s">
        <v>151</v>
      </c>
      <c r="D519" s="56" t="s">
        <v>787</v>
      </c>
      <c r="E519" s="13"/>
      <c r="F519" s="95"/>
      <c r="G519" s="9"/>
      <c r="H519" s="9" t="s">
        <v>783</v>
      </c>
      <c r="I519" s="14"/>
      <c r="J519" s="14"/>
      <c r="K519" s="12">
        <v>0</v>
      </c>
      <c r="L519" s="9"/>
      <c r="M519" s="9"/>
      <c r="N519" s="9"/>
      <c r="O519" s="38">
        <f t="shared" si="43"/>
        <v>0</v>
      </c>
      <c r="P519" s="12"/>
      <c r="Q519" s="42"/>
      <c r="R519" s="15"/>
      <c r="S519" s="44"/>
      <c r="T519" s="15"/>
      <c r="U519" s="44"/>
      <c r="V519" s="15">
        <f t="shared" si="44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5"/>
        <v>0</v>
      </c>
      <c r="AF519" s="101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2"/>
        <v>0</v>
      </c>
      <c r="BA519" s="15"/>
      <c r="BB519" s="44"/>
      <c r="BC519" s="15"/>
      <c r="BD519" s="44"/>
      <c r="BE519" s="15">
        <f t="shared" si="41"/>
        <v>0</v>
      </c>
    </row>
    <row r="520" spans="1:57" s="8" customFormat="1" ht="22.5" customHeight="1">
      <c r="A520" s="9"/>
      <c r="B520" s="16" t="s">
        <v>101</v>
      </c>
      <c r="C520" s="89" t="s">
        <v>151</v>
      </c>
      <c r="D520" s="56" t="s">
        <v>788</v>
      </c>
      <c r="E520" s="13"/>
      <c r="F520" s="95"/>
      <c r="G520" s="9"/>
      <c r="H520" s="9" t="s">
        <v>783</v>
      </c>
      <c r="I520" s="14"/>
      <c r="J520" s="14"/>
      <c r="K520" s="12">
        <v>0</v>
      </c>
      <c r="L520" s="9"/>
      <c r="M520" s="9"/>
      <c r="N520" s="9"/>
      <c r="O520" s="38">
        <f t="shared" si="43"/>
        <v>0</v>
      </c>
      <c r="P520" s="12"/>
      <c r="Q520" s="42"/>
      <c r="R520" s="15"/>
      <c r="S520" s="44"/>
      <c r="T520" s="15"/>
      <c r="U520" s="44"/>
      <c r="V520" s="15">
        <f t="shared" si="44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5"/>
        <v>0</v>
      </c>
      <c r="AF520" s="101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2"/>
        <v>0</v>
      </c>
      <c r="BA520" s="15"/>
      <c r="BB520" s="44"/>
      <c r="BC520" s="15"/>
      <c r="BD520" s="44"/>
      <c r="BE520" s="15">
        <f t="shared" si="41"/>
        <v>0</v>
      </c>
    </row>
    <row r="521" spans="1:57" s="8" customFormat="1" ht="22.5" customHeight="1">
      <c r="A521" s="9"/>
      <c r="B521" s="16" t="s">
        <v>101</v>
      </c>
      <c r="C521" s="89" t="s">
        <v>151</v>
      </c>
      <c r="D521" s="56" t="s">
        <v>789</v>
      </c>
      <c r="E521" s="13" t="s">
        <v>790</v>
      </c>
      <c r="F521" s="95"/>
      <c r="G521" s="9"/>
      <c r="H521" s="9" t="s">
        <v>791</v>
      </c>
      <c r="I521" s="14"/>
      <c r="J521" s="14"/>
      <c r="K521" s="12">
        <v>0</v>
      </c>
      <c r="L521" s="9"/>
      <c r="M521" s="9"/>
      <c r="N521" s="9"/>
      <c r="O521" s="38">
        <f t="shared" si="43"/>
        <v>0</v>
      </c>
      <c r="P521" s="12"/>
      <c r="Q521" s="42"/>
      <c r="R521" s="15"/>
      <c r="S521" s="44"/>
      <c r="T521" s="15"/>
      <c r="U521" s="44"/>
      <c r="V521" s="15">
        <f t="shared" si="44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5"/>
        <v>0</v>
      </c>
      <c r="AF521" s="101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2"/>
        <v>0</v>
      </c>
      <c r="BA521" s="15"/>
      <c r="BB521" s="44"/>
      <c r="BC521" s="15"/>
      <c r="BD521" s="44"/>
      <c r="BE521" s="15">
        <f t="shared" si="41"/>
        <v>0</v>
      </c>
    </row>
    <row r="522" spans="1:57" s="8" customFormat="1" ht="22.5" customHeight="1">
      <c r="A522" s="9"/>
      <c r="B522" s="16" t="s">
        <v>101</v>
      </c>
      <c r="C522" s="89" t="s">
        <v>151</v>
      </c>
      <c r="D522" s="56" t="s">
        <v>792</v>
      </c>
      <c r="E522" s="13" t="s">
        <v>793</v>
      </c>
      <c r="F522" s="95"/>
      <c r="G522" s="9"/>
      <c r="H522" s="9" t="s">
        <v>791</v>
      </c>
      <c r="I522" s="14"/>
      <c r="J522" s="14"/>
      <c r="K522" s="12">
        <v>0</v>
      </c>
      <c r="L522" s="9"/>
      <c r="M522" s="9"/>
      <c r="N522" s="9"/>
      <c r="O522" s="38">
        <f t="shared" si="43"/>
        <v>0</v>
      </c>
      <c r="P522" s="12"/>
      <c r="Q522" s="42"/>
      <c r="R522" s="15"/>
      <c r="S522" s="44"/>
      <c r="T522" s="15"/>
      <c r="U522" s="44"/>
      <c r="V522" s="15">
        <f t="shared" si="44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5"/>
        <v>0</v>
      </c>
      <c r="AF522" s="101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2"/>
        <v>0</v>
      </c>
      <c r="BA522" s="15"/>
      <c r="BB522" s="44"/>
      <c r="BC522" s="15"/>
      <c r="BD522" s="44"/>
      <c r="BE522" s="15">
        <f t="shared" si="41"/>
        <v>0</v>
      </c>
    </row>
    <row r="523" spans="1:57" s="8" customFormat="1" ht="22.5" customHeight="1">
      <c r="A523" s="9"/>
      <c r="B523" s="16" t="s">
        <v>330</v>
      </c>
      <c r="C523" s="89" t="s">
        <v>151</v>
      </c>
      <c r="D523" s="56" t="s">
        <v>794</v>
      </c>
      <c r="E523" s="13" t="s">
        <v>330</v>
      </c>
      <c r="F523" s="95"/>
      <c r="G523" s="9"/>
      <c r="H523" s="9" t="s">
        <v>332</v>
      </c>
      <c r="I523" s="14"/>
      <c r="J523" s="14"/>
      <c r="K523" s="12">
        <v>0</v>
      </c>
      <c r="L523" s="9"/>
      <c r="M523" s="9"/>
      <c r="N523" s="9"/>
      <c r="O523" s="38">
        <f t="shared" si="43"/>
        <v>0</v>
      </c>
      <c r="P523" s="12"/>
      <c r="Q523" s="42"/>
      <c r="R523" s="15"/>
      <c r="S523" s="44"/>
      <c r="T523" s="15"/>
      <c r="U523" s="44"/>
      <c r="V523" s="15">
        <f t="shared" si="44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5"/>
        <v>0</v>
      </c>
      <c r="AF523" s="101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2"/>
        <v>0</v>
      </c>
      <c r="BA523" s="15"/>
      <c r="BB523" s="44"/>
      <c r="BC523" s="15"/>
      <c r="BD523" s="44"/>
      <c r="BE523" s="15">
        <f t="shared" si="41"/>
        <v>0</v>
      </c>
    </row>
    <row r="524" spans="1:57" s="8" customFormat="1" ht="22.5" customHeight="1">
      <c r="A524" s="9"/>
      <c r="B524" s="16" t="s">
        <v>330</v>
      </c>
      <c r="C524" s="89" t="s">
        <v>52</v>
      </c>
      <c r="D524" s="56" t="s">
        <v>795</v>
      </c>
      <c r="E524" s="13" t="s">
        <v>796</v>
      </c>
      <c r="F524" s="95"/>
      <c r="G524" s="9"/>
      <c r="H524" s="9" t="s">
        <v>332</v>
      </c>
      <c r="I524" s="14"/>
      <c r="J524" s="14"/>
      <c r="K524" s="12">
        <v>0</v>
      </c>
      <c r="L524" s="9"/>
      <c r="M524" s="9"/>
      <c r="N524" s="9"/>
      <c r="O524" s="38">
        <f t="shared" si="43"/>
        <v>0</v>
      </c>
      <c r="P524" s="12"/>
      <c r="Q524" s="42"/>
      <c r="R524" s="15"/>
      <c r="S524" s="44"/>
      <c r="T524" s="15"/>
      <c r="U524" s="44"/>
      <c r="V524" s="15">
        <f t="shared" si="44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5"/>
        <v>0</v>
      </c>
      <c r="AF524" s="101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2"/>
        <v>0</v>
      </c>
      <c r="BA524" s="15"/>
      <c r="BB524" s="44"/>
      <c r="BC524" s="15"/>
      <c r="BD524" s="44"/>
      <c r="BE524" s="15">
        <f t="shared" si="41"/>
        <v>0</v>
      </c>
    </row>
    <row r="525" spans="1:57" s="8" customFormat="1" ht="22.5" customHeight="1">
      <c r="A525" s="9"/>
      <c r="B525" s="16" t="s">
        <v>797</v>
      </c>
      <c r="C525" s="89" t="s">
        <v>151</v>
      </c>
      <c r="D525" s="56" t="s">
        <v>798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3"/>
        <v>0</v>
      </c>
      <c r="P525" s="12"/>
      <c r="Q525" s="42"/>
      <c r="R525" s="15"/>
      <c r="S525" s="44"/>
      <c r="T525" s="15"/>
      <c r="U525" s="44"/>
      <c r="V525" s="15">
        <f t="shared" si="44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5"/>
        <v>0</v>
      </c>
      <c r="AF525" s="101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2"/>
        <v>0</v>
      </c>
      <c r="BA525" s="15"/>
      <c r="BB525" s="44"/>
      <c r="BC525" s="15"/>
      <c r="BD525" s="44"/>
      <c r="BE525" s="15">
        <f t="shared" si="41"/>
        <v>0</v>
      </c>
    </row>
    <row r="526" spans="1:57" s="8" customFormat="1" ht="22.5" customHeight="1">
      <c r="A526" s="9"/>
      <c r="B526" s="16" t="s">
        <v>799</v>
      </c>
      <c r="C526" s="89"/>
      <c r="D526" s="56" t="s">
        <v>800</v>
      </c>
      <c r="E526" s="13" t="s">
        <v>48</v>
      </c>
      <c r="F526" s="95"/>
      <c r="G526" s="9"/>
      <c r="H526" s="9" t="s">
        <v>687</v>
      </c>
      <c r="I526" s="14"/>
      <c r="J526" s="14"/>
      <c r="K526" s="12">
        <v>236</v>
      </c>
      <c r="L526" s="9"/>
      <c r="M526" s="9"/>
      <c r="N526" s="9"/>
      <c r="O526" s="38">
        <f t="shared" si="43"/>
        <v>236</v>
      </c>
      <c r="P526" s="12"/>
      <c r="Q526" s="42"/>
      <c r="R526" s="15"/>
      <c r="S526" s="44"/>
      <c r="T526" s="15"/>
      <c r="U526" s="44"/>
      <c r="V526" s="15">
        <f t="shared" si="44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5"/>
        <v>0</v>
      </c>
      <c r="AF526" s="101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2"/>
        <v>0</v>
      </c>
      <c r="BA526" s="15"/>
      <c r="BB526" s="44"/>
      <c r="BC526" s="15"/>
      <c r="BD526" s="44"/>
      <c r="BE526" s="15">
        <f t="shared" si="41"/>
        <v>0</v>
      </c>
    </row>
    <row r="527" spans="1:57" s="8" customFormat="1" ht="22.5" customHeight="1">
      <c r="A527" s="9"/>
      <c r="B527" s="16" t="s">
        <v>801</v>
      </c>
      <c r="C527" s="89"/>
      <c r="D527" s="56" t="s">
        <v>802</v>
      </c>
      <c r="E527" s="13"/>
      <c r="F527" s="95"/>
      <c r="G527" s="9"/>
      <c r="H527" s="9" t="s">
        <v>687</v>
      </c>
      <c r="I527" s="14"/>
      <c r="J527" s="14"/>
      <c r="K527" s="12">
        <v>0</v>
      </c>
      <c r="L527" s="9"/>
      <c r="M527" s="9"/>
      <c r="N527" s="9"/>
      <c r="O527" s="38">
        <f t="shared" si="43"/>
        <v>0</v>
      </c>
      <c r="P527" s="12"/>
      <c r="Q527" s="42"/>
      <c r="R527" s="15"/>
      <c r="S527" s="44"/>
      <c r="T527" s="15"/>
      <c r="U527" s="44"/>
      <c r="V527" s="15">
        <f t="shared" si="44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5"/>
        <v>0</v>
      </c>
      <c r="AF527" s="101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2"/>
        <v>0</v>
      </c>
      <c r="BA527" s="15"/>
      <c r="BB527" s="44"/>
      <c r="BC527" s="15"/>
      <c r="BD527" s="44"/>
      <c r="BE527" s="15">
        <f t="shared" si="41"/>
        <v>0</v>
      </c>
    </row>
    <row r="528" spans="1:57" s="8" customFormat="1" ht="22.5" customHeight="1">
      <c r="A528" s="9"/>
      <c r="B528" s="16" t="s">
        <v>801</v>
      </c>
      <c r="C528" s="89"/>
      <c r="D528" s="59" t="s">
        <v>803</v>
      </c>
      <c r="E528" s="13"/>
      <c r="F528" s="95"/>
      <c r="G528" s="9"/>
      <c r="H528" s="9" t="s">
        <v>467</v>
      </c>
      <c r="I528" s="14"/>
      <c r="J528" s="14"/>
      <c r="K528" s="12">
        <v>0</v>
      </c>
      <c r="L528" s="9"/>
      <c r="M528" s="9"/>
      <c r="N528" s="9"/>
      <c r="O528" s="38">
        <f t="shared" si="43"/>
        <v>0</v>
      </c>
      <c r="P528" s="12"/>
      <c r="Q528" s="42"/>
      <c r="R528" s="15"/>
      <c r="S528" s="44"/>
      <c r="T528" s="15"/>
      <c r="U528" s="44"/>
      <c r="V528" s="15">
        <f t="shared" si="44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5"/>
        <v>0</v>
      </c>
      <c r="AF528" s="101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2"/>
        <v>0</v>
      </c>
      <c r="BA528" s="15"/>
      <c r="BB528" s="44"/>
      <c r="BC528" s="15"/>
      <c r="BD528" s="44"/>
      <c r="BE528" s="15">
        <f t="shared" si="41"/>
        <v>0</v>
      </c>
    </row>
    <row r="529" spans="1:57" s="8" customFormat="1" ht="22.5" customHeight="1">
      <c r="A529" s="9"/>
      <c r="B529" s="16" t="s">
        <v>801</v>
      </c>
      <c r="C529" s="89"/>
      <c r="D529" s="87" t="s">
        <v>804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3"/>
        <v>0</v>
      </c>
      <c r="P529" s="12"/>
      <c r="Q529" s="42"/>
      <c r="R529" s="15"/>
      <c r="S529" s="44"/>
      <c r="T529" s="15"/>
      <c r="U529" s="44"/>
      <c r="V529" s="15">
        <f t="shared" si="44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5"/>
        <v>0</v>
      </c>
      <c r="AF529" s="101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2"/>
        <v>0</v>
      </c>
      <c r="BA529" s="15"/>
      <c r="BB529" s="44"/>
      <c r="BC529" s="15"/>
      <c r="BD529" s="44"/>
      <c r="BE529" s="15">
        <f t="shared" si="41"/>
        <v>0</v>
      </c>
    </row>
    <row r="530" spans="1:57" s="8" customFormat="1" ht="22.5" customHeight="1">
      <c r="A530" s="9"/>
      <c r="B530" s="16" t="s">
        <v>801</v>
      </c>
      <c r="C530" s="89" t="s">
        <v>52</v>
      </c>
      <c r="D530" s="56" t="s">
        <v>806</v>
      </c>
      <c r="E530" s="13"/>
      <c r="F530" s="95"/>
      <c r="G530" s="9"/>
      <c r="H530" s="9" t="s">
        <v>805</v>
      </c>
      <c r="I530" s="14"/>
      <c r="J530" s="14"/>
      <c r="K530" s="12">
        <v>7</v>
      </c>
      <c r="L530" s="9"/>
      <c r="M530" s="9"/>
      <c r="N530" s="9"/>
      <c r="O530" s="38">
        <f t="shared" si="43"/>
        <v>7</v>
      </c>
      <c r="P530" s="12"/>
      <c r="Q530" s="42"/>
      <c r="R530" s="15"/>
      <c r="S530" s="44"/>
      <c r="T530" s="15"/>
      <c r="U530" s="44"/>
      <c r="V530" s="15">
        <f t="shared" si="44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5"/>
        <v>0</v>
      </c>
      <c r="AF530" s="101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2"/>
        <v>0</v>
      </c>
      <c r="BA530" s="15"/>
      <c r="BB530" s="44"/>
      <c r="BC530" s="15"/>
      <c r="BD530" s="44"/>
      <c r="BE530" s="15">
        <f t="shared" si="41"/>
        <v>0</v>
      </c>
    </row>
    <row r="531" spans="1:57" s="8" customFormat="1" ht="22.5" customHeight="1">
      <c r="A531" s="9"/>
      <c r="B531" s="16" t="s">
        <v>570</v>
      </c>
      <c r="C531" s="89" t="s">
        <v>52</v>
      </c>
      <c r="D531" s="56" t="s">
        <v>807</v>
      </c>
      <c r="E531" s="13"/>
      <c r="F531" s="95"/>
      <c r="G531" s="9"/>
      <c r="H531" s="9" t="s">
        <v>805</v>
      </c>
      <c r="I531" s="14"/>
      <c r="J531" s="14"/>
      <c r="K531" s="12">
        <v>10</v>
      </c>
      <c r="L531" s="9"/>
      <c r="M531" s="9"/>
      <c r="N531" s="9"/>
      <c r="O531" s="38">
        <f t="shared" si="43"/>
        <v>10</v>
      </c>
      <c r="P531" s="12"/>
      <c r="Q531" s="42"/>
      <c r="R531" s="15"/>
      <c r="S531" s="44"/>
      <c r="T531" s="15"/>
      <c r="U531" s="44"/>
      <c r="V531" s="15">
        <f t="shared" si="44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5"/>
        <v>0</v>
      </c>
      <c r="AF531" s="101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2"/>
        <v>0</v>
      </c>
      <c r="BA531" s="15"/>
      <c r="BB531" s="44"/>
      <c r="BC531" s="15"/>
      <c r="BD531" s="44"/>
      <c r="BE531" s="15">
        <f t="shared" si="41"/>
        <v>0</v>
      </c>
    </row>
    <row r="532" spans="1:57" s="8" customFormat="1" ht="22.5" customHeight="1">
      <c r="A532" s="9"/>
      <c r="B532" s="16" t="s">
        <v>808</v>
      </c>
      <c r="C532" s="89" t="s">
        <v>52</v>
      </c>
      <c r="D532" s="59" t="s">
        <v>809</v>
      </c>
      <c r="E532" s="13"/>
      <c r="F532" s="95"/>
      <c r="G532" s="9"/>
      <c r="H532" s="9" t="s">
        <v>805</v>
      </c>
      <c r="I532" s="14"/>
      <c r="J532" s="14"/>
      <c r="K532" s="12">
        <v>0</v>
      </c>
      <c r="L532" s="9"/>
      <c r="M532" s="9"/>
      <c r="N532" s="9"/>
      <c r="O532" s="38">
        <f t="shared" si="43"/>
        <v>0</v>
      </c>
      <c r="P532" s="12"/>
      <c r="Q532" s="42"/>
      <c r="R532" s="15"/>
      <c r="S532" s="44"/>
      <c r="T532" s="15"/>
      <c r="U532" s="44"/>
      <c r="V532" s="15">
        <f t="shared" si="44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5"/>
        <v>0</v>
      </c>
      <c r="AF532" s="101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2"/>
        <v>0</v>
      </c>
      <c r="BA532" s="15"/>
      <c r="BB532" s="44"/>
      <c r="BC532" s="15"/>
      <c r="BD532" s="44"/>
      <c r="BE532" s="15">
        <f t="shared" si="41"/>
        <v>0</v>
      </c>
    </row>
    <row r="533" spans="1:57" s="8" customFormat="1" ht="22.5" customHeight="1">
      <c r="A533" s="9"/>
      <c r="B533" s="16" t="s">
        <v>808</v>
      </c>
      <c r="C533" s="89" t="s">
        <v>52</v>
      </c>
      <c r="D533" s="59" t="s">
        <v>810</v>
      </c>
      <c r="E533" s="13"/>
      <c r="F533" s="95"/>
      <c r="G533" s="9"/>
      <c r="H533" s="9" t="s">
        <v>314</v>
      </c>
      <c r="I533" s="14"/>
      <c r="J533" s="14"/>
      <c r="K533" s="12">
        <v>0</v>
      </c>
      <c r="L533" s="9"/>
      <c r="M533" s="9"/>
      <c r="N533" s="9"/>
      <c r="O533" s="38">
        <f t="shared" si="43"/>
        <v>0</v>
      </c>
      <c r="P533" s="12"/>
      <c r="Q533" s="42"/>
      <c r="R533" s="15"/>
      <c r="S533" s="44"/>
      <c r="T533" s="15"/>
      <c r="U533" s="44"/>
      <c r="V533" s="15">
        <f t="shared" si="44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5"/>
        <v>0</v>
      </c>
      <c r="AF533" s="101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2"/>
        <v>0</v>
      </c>
      <c r="BA533" s="15"/>
      <c r="BB533" s="44"/>
      <c r="BC533" s="15"/>
      <c r="BD533" s="44"/>
      <c r="BE533" s="15">
        <f t="shared" si="41"/>
        <v>0</v>
      </c>
    </row>
    <row r="534" spans="1:57" s="8" customFormat="1" ht="22.5" customHeight="1">
      <c r="A534" s="9"/>
      <c r="B534" s="16" t="s">
        <v>811</v>
      </c>
      <c r="C534" s="89" t="s">
        <v>140</v>
      </c>
      <c r="D534" s="59" t="s">
        <v>812</v>
      </c>
      <c r="E534" s="13" t="s">
        <v>813</v>
      </c>
      <c r="F534" s="95"/>
      <c r="G534" s="9"/>
      <c r="H534" s="9" t="s">
        <v>566</v>
      </c>
      <c r="I534" s="14"/>
      <c r="J534" s="14"/>
      <c r="K534" s="12">
        <v>0</v>
      </c>
      <c r="L534" s="9"/>
      <c r="M534" s="9"/>
      <c r="N534" s="9"/>
      <c r="O534" s="38">
        <f t="shared" si="43"/>
        <v>0</v>
      </c>
      <c r="P534" s="12"/>
      <c r="Q534" s="42"/>
      <c r="R534" s="15"/>
      <c r="S534" s="44"/>
      <c r="T534" s="15"/>
      <c r="U534" s="44"/>
      <c r="V534" s="15">
        <f t="shared" si="44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5"/>
        <v>0</v>
      </c>
      <c r="AF534" s="101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2"/>
        <v>0</v>
      </c>
      <c r="BA534" s="15"/>
      <c r="BB534" s="44"/>
      <c r="BC534" s="15"/>
      <c r="BD534" s="44"/>
      <c r="BE534" s="15">
        <f t="shared" si="41"/>
        <v>0</v>
      </c>
    </row>
    <row r="535" spans="1:57" s="8" customFormat="1" ht="22.5" customHeight="1">
      <c r="A535" s="9"/>
      <c r="B535" s="16" t="s">
        <v>811</v>
      </c>
      <c r="C535" s="89" t="s">
        <v>132</v>
      </c>
      <c r="D535" s="59" t="s">
        <v>812</v>
      </c>
      <c r="E535" s="13"/>
      <c r="F535" s="95"/>
      <c r="G535" s="9"/>
      <c r="H535" s="9" t="s">
        <v>566</v>
      </c>
      <c r="I535" s="14"/>
      <c r="J535" s="14"/>
      <c r="K535" s="12">
        <v>0</v>
      </c>
      <c r="L535" s="9"/>
      <c r="M535" s="9"/>
      <c r="N535" s="9"/>
      <c r="O535" s="38">
        <f t="shared" si="43"/>
        <v>0</v>
      </c>
      <c r="P535" s="12"/>
      <c r="Q535" s="42"/>
      <c r="R535" s="15"/>
      <c r="S535" s="44"/>
      <c r="T535" s="15"/>
      <c r="U535" s="44"/>
      <c r="V535" s="15">
        <f t="shared" si="44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5"/>
        <v>0</v>
      </c>
      <c r="AF535" s="101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2"/>
        <v>0</v>
      </c>
      <c r="BA535" s="15"/>
      <c r="BB535" s="44"/>
      <c r="BC535" s="15"/>
      <c r="BD535" s="44"/>
      <c r="BE535" s="15">
        <f t="shared" si="41"/>
        <v>0</v>
      </c>
    </row>
    <row r="536" spans="1:57" s="8" customFormat="1" ht="22.5" customHeight="1">
      <c r="A536" s="9"/>
      <c r="B536" s="16" t="s">
        <v>811</v>
      </c>
      <c r="C536" s="89" t="s">
        <v>140</v>
      </c>
      <c r="D536" s="56" t="s">
        <v>814</v>
      </c>
      <c r="E536" s="13" t="s">
        <v>815</v>
      </c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3"/>
        <v>0</v>
      </c>
      <c r="P536" s="12"/>
      <c r="Q536" s="42"/>
      <c r="R536" s="15"/>
      <c r="S536" s="44"/>
      <c r="T536" s="15"/>
      <c r="U536" s="44"/>
      <c r="V536" s="15">
        <f t="shared" si="44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5"/>
        <v>0</v>
      </c>
      <c r="AF536" s="101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2"/>
        <v>0</v>
      </c>
      <c r="BA536" s="15"/>
      <c r="BB536" s="44"/>
      <c r="BC536" s="15"/>
      <c r="BD536" s="44"/>
      <c r="BE536" s="15">
        <f t="shared" si="41"/>
        <v>0</v>
      </c>
    </row>
    <row r="537" spans="1:57" s="8" customFormat="1" ht="22.5" customHeight="1">
      <c r="A537" s="9"/>
      <c r="B537" s="16" t="s">
        <v>204</v>
      </c>
      <c r="C537" s="89" t="s">
        <v>44</v>
      </c>
      <c r="D537" s="56" t="s">
        <v>816</v>
      </c>
      <c r="E537" s="13"/>
      <c r="F537" s="95"/>
      <c r="G537" s="9"/>
      <c r="H537" s="9" t="s">
        <v>817</v>
      </c>
      <c r="I537" s="14"/>
      <c r="J537" s="14"/>
      <c r="K537" s="12">
        <v>0</v>
      </c>
      <c r="L537" s="9"/>
      <c r="M537" s="9"/>
      <c r="N537" s="9"/>
      <c r="O537" s="38">
        <f t="shared" si="43"/>
        <v>0</v>
      </c>
      <c r="P537" s="12"/>
      <c r="Q537" s="42"/>
      <c r="R537" s="15"/>
      <c r="S537" s="44"/>
      <c r="T537" s="15"/>
      <c r="U537" s="44"/>
      <c r="V537" s="15">
        <f t="shared" si="44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5"/>
        <v>0</v>
      </c>
      <c r="AF537" s="101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2"/>
        <v>0</v>
      </c>
      <c r="BA537" s="15"/>
      <c r="BB537" s="44"/>
      <c r="BC537" s="15"/>
      <c r="BD537" s="44"/>
      <c r="BE537" s="15">
        <f t="shared" si="41"/>
        <v>0</v>
      </c>
    </row>
    <row r="538" spans="1:57" s="8" customFormat="1" ht="22.5" customHeight="1">
      <c r="A538" s="9"/>
      <c r="B538" s="16" t="s">
        <v>334</v>
      </c>
      <c r="C538" s="89" t="s">
        <v>44</v>
      </c>
      <c r="D538" s="59" t="s">
        <v>818</v>
      </c>
      <c r="E538" s="13"/>
      <c r="F538" s="95"/>
      <c r="G538" s="9"/>
      <c r="H538" s="9" t="s">
        <v>314</v>
      </c>
      <c r="I538" s="14"/>
      <c r="J538" s="14"/>
      <c r="K538" s="12">
        <v>0</v>
      </c>
      <c r="L538" s="9"/>
      <c r="M538" s="9"/>
      <c r="N538" s="9"/>
      <c r="O538" s="38">
        <f t="shared" si="43"/>
        <v>0</v>
      </c>
      <c r="P538" s="12"/>
      <c r="Q538" s="42"/>
      <c r="R538" s="15"/>
      <c r="S538" s="44"/>
      <c r="T538" s="15"/>
      <c r="U538" s="44"/>
      <c r="V538" s="15">
        <f t="shared" si="44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5"/>
        <v>0</v>
      </c>
      <c r="AF538" s="101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2"/>
        <v>0</v>
      </c>
      <c r="BA538" s="15"/>
      <c r="BB538" s="44"/>
      <c r="BC538" s="15"/>
      <c r="BD538" s="44"/>
      <c r="BE538" s="15">
        <f t="shared" si="41"/>
        <v>0</v>
      </c>
    </row>
    <row r="539" spans="1:57" s="8" customFormat="1" ht="22.5" customHeight="1">
      <c r="A539" s="9"/>
      <c r="B539" s="16" t="s">
        <v>808</v>
      </c>
      <c r="C539" s="89" t="s">
        <v>151</v>
      </c>
      <c r="D539" s="59" t="s">
        <v>819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3"/>
        <v>0</v>
      </c>
      <c r="P539" s="12"/>
      <c r="Q539" s="42"/>
      <c r="R539" s="15"/>
      <c r="S539" s="44"/>
      <c r="T539" s="15"/>
      <c r="U539" s="44"/>
      <c r="V539" s="15">
        <f t="shared" si="44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5"/>
        <v>0</v>
      </c>
      <c r="AF539" s="101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2"/>
        <v>0</v>
      </c>
      <c r="BA539" s="15"/>
      <c r="BB539" s="44"/>
      <c r="BC539" s="15"/>
      <c r="BD539" s="44"/>
      <c r="BE539" s="15">
        <f t="shared" si="41"/>
        <v>0</v>
      </c>
    </row>
    <row r="540" spans="1:57" s="8" customFormat="1" ht="22.5" customHeight="1">
      <c r="A540" s="9"/>
      <c r="B540" s="16" t="s">
        <v>808</v>
      </c>
      <c r="C540" s="89" t="s">
        <v>151</v>
      </c>
      <c r="D540" s="59" t="s">
        <v>820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3"/>
        <v>0</v>
      </c>
      <c r="P540" s="12"/>
      <c r="Q540" s="42"/>
      <c r="R540" s="15"/>
      <c r="S540" s="44"/>
      <c r="T540" s="15"/>
      <c r="U540" s="44"/>
      <c r="V540" s="15">
        <f t="shared" si="44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5"/>
        <v>0</v>
      </c>
      <c r="AF540" s="101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2"/>
        <v>0</v>
      </c>
      <c r="BA540" s="15"/>
      <c r="BB540" s="44"/>
      <c r="BC540" s="15"/>
      <c r="BD540" s="44"/>
      <c r="BE540" s="15">
        <f t="shared" si="41"/>
        <v>0</v>
      </c>
    </row>
    <row r="541" spans="1:57" s="8" customFormat="1" ht="22.5" customHeight="1">
      <c r="A541" s="9"/>
      <c r="B541" s="16" t="s">
        <v>808</v>
      </c>
      <c r="C541" s="89" t="s">
        <v>52</v>
      </c>
      <c r="D541" s="59" t="s">
        <v>821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3"/>
        <v>0</v>
      </c>
      <c r="P541" s="12"/>
      <c r="Q541" s="42"/>
      <c r="R541" s="15"/>
      <c r="S541" s="44"/>
      <c r="T541" s="15"/>
      <c r="U541" s="44"/>
      <c r="V541" s="15">
        <f t="shared" si="44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5"/>
        <v>0</v>
      </c>
      <c r="AF541" s="101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2"/>
        <v>0</v>
      </c>
      <c r="BA541" s="15"/>
      <c r="BB541" s="44"/>
      <c r="BC541" s="15"/>
      <c r="BD541" s="44"/>
      <c r="BE541" s="15">
        <f t="shared" si="41"/>
        <v>0</v>
      </c>
    </row>
    <row r="542" spans="1:57" s="8" customFormat="1" ht="22.5" customHeight="1">
      <c r="A542" s="9"/>
      <c r="B542" s="16" t="s">
        <v>808</v>
      </c>
      <c r="C542" s="89" t="s">
        <v>52</v>
      </c>
      <c r="D542" s="56" t="s">
        <v>822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3"/>
        <v>0</v>
      </c>
      <c r="P542" s="12"/>
      <c r="Q542" s="42"/>
      <c r="R542" s="15"/>
      <c r="S542" s="44"/>
      <c r="T542" s="15"/>
      <c r="U542" s="44"/>
      <c r="V542" s="15">
        <f t="shared" si="44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5"/>
        <v>0</v>
      </c>
      <c r="AF542" s="101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2"/>
        <v>0</v>
      </c>
      <c r="BA542" s="15"/>
      <c r="BB542" s="44"/>
      <c r="BC542" s="15"/>
      <c r="BD542" s="44"/>
      <c r="BE542" s="15">
        <f t="shared" si="41"/>
        <v>0</v>
      </c>
    </row>
    <row r="543" spans="1:57" s="8" customFormat="1" ht="22.5" customHeight="1">
      <c r="A543" s="9"/>
      <c r="B543" s="16" t="s">
        <v>808</v>
      </c>
      <c r="C543" s="89" t="s">
        <v>52</v>
      </c>
      <c r="D543" s="56" t="s">
        <v>823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3"/>
        <v>0</v>
      </c>
      <c r="P543" s="12"/>
      <c r="Q543" s="42"/>
      <c r="R543" s="15"/>
      <c r="S543" s="44"/>
      <c r="T543" s="15"/>
      <c r="U543" s="44"/>
      <c r="V543" s="15">
        <f t="shared" si="44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5"/>
        <v>0</v>
      </c>
      <c r="AF543" s="101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2"/>
        <v>0</v>
      </c>
      <c r="BA543" s="15"/>
      <c r="BB543" s="44"/>
      <c r="BC543" s="15"/>
      <c r="BD543" s="44"/>
      <c r="BE543" s="15">
        <f t="shared" si="41"/>
        <v>0</v>
      </c>
    </row>
    <row r="544" spans="1:57" s="8" customFormat="1" ht="22.5" customHeight="1">
      <c r="A544" s="9"/>
      <c r="B544" s="16" t="s">
        <v>808</v>
      </c>
      <c r="C544" s="89" t="s">
        <v>52</v>
      </c>
      <c r="D544" s="56" t="s">
        <v>824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3"/>
        <v>0</v>
      </c>
      <c r="P544" s="12"/>
      <c r="Q544" s="42"/>
      <c r="R544" s="15"/>
      <c r="S544" s="44"/>
      <c r="T544" s="15"/>
      <c r="U544" s="44"/>
      <c r="V544" s="15">
        <f t="shared" si="44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5"/>
        <v>0</v>
      </c>
      <c r="AF544" s="101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2"/>
        <v>0</v>
      </c>
      <c r="BA544" s="15"/>
      <c r="BB544" s="44"/>
      <c r="BC544" s="15"/>
      <c r="BD544" s="44"/>
      <c r="BE544" s="15">
        <f t="shared" si="41"/>
        <v>0</v>
      </c>
    </row>
    <row r="545" spans="1:57" s="8" customFormat="1" ht="22.5" customHeight="1">
      <c r="A545" s="9"/>
      <c r="B545" s="16" t="s">
        <v>808</v>
      </c>
      <c r="C545" s="89" t="s">
        <v>52</v>
      </c>
      <c r="D545" s="56" t="s">
        <v>825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3"/>
        <v>0</v>
      </c>
      <c r="P545" s="12"/>
      <c r="Q545" s="42"/>
      <c r="R545" s="15"/>
      <c r="S545" s="44"/>
      <c r="T545" s="15"/>
      <c r="U545" s="44"/>
      <c r="V545" s="15">
        <f t="shared" si="44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5"/>
        <v>0</v>
      </c>
      <c r="AF545" s="101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2"/>
        <v>0</v>
      </c>
      <c r="BA545" s="15"/>
      <c r="BB545" s="44"/>
      <c r="BC545" s="15"/>
      <c r="BD545" s="44"/>
      <c r="BE545" s="15">
        <f t="shared" si="41"/>
        <v>0</v>
      </c>
    </row>
    <row r="546" spans="1:57" s="8" customFormat="1" ht="22.5" customHeight="1">
      <c r="A546" s="9"/>
      <c r="B546" s="16" t="s">
        <v>808</v>
      </c>
      <c r="C546" s="89" t="s">
        <v>52</v>
      </c>
      <c r="D546" s="59" t="s">
        <v>826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3"/>
        <v>0</v>
      </c>
      <c r="P546" s="12"/>
      <c r="Q546" s="42"/>
      <c r="R546" s="15"/>
      <c r="S546" s="44"/>
      <c r="T546" s="15"/>
      <c r="U546" s="44"/>
      <c r="V546" s="15">
        <f t="shared" si="44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5"/>
        <v>0</v>
      </c>
      <c r="AF546" s="101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2"/>
        <v>0</v>
      </c>
      <c r="BA546" s="15"/>
      <c r="BB546" s="44"/>
      <c r="BC546" s="15"/>
      <c r="BD546" s="44"/>
      <c r="BE546" s="15">
        <f t="shared" ref="BE546:BE567" si="46">(BA546+BC546)</f>
        <v>0</v>
      </c>
    </row>
    <row r="547" spans="1:57" s="8" customFormat="1" ht="22.5" customHeight="1">
      <c r="A547" s="9"/>
      <c r="B547" s="16" t="s">
        <v>808</v>
      </c>
      <c r="C547" s="89" t="s">
        <v>52</v>
      </c>
      <c r="D547" s="59" t="s">
        <v>827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3"/>
        <v>0</v>
      </c>
      <c r="P547" s="12"/>
      <c r="Q547" s="42"/>
      <c r="R547" s="15"/>
      <c r="S547" s="44"/>
      <c r="T547" s="15"/>
      <c r="U547" s="44"/>
      <c r="V547" s="15">
        <f t="shared" si="44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5"/>
        <v>0</v>
      </c>
      <c r="AF547" s="101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2"/>
        <v>0</v>
      </c>
      <c r="BA547" s="15"/>
      <c r="BB547" s="44"/>
      <c r="BC547" s="15"/>
      <c r="BD547" s="44"/>
      <c r="BE547" s="15">
        <f t="shared" si="46"/>
        <v>0</v>
      </c>
    </row>
    <row r="548" spans="1:57" s="8" customFormat="1" ht="22.5" customHeight="1">
      <c r="A548" s="9"/>
      <c r="B548" s="16" t="s">
        <v>808</v>
      </c>
      <c r="C548" s="89" t="s">
        <v>52</v>
      </c>
      <c r="D548" s="75" t="s">
        <v>828</v>
      </c>
      <c r="E548" s="13"/>
      <c r="F548" s="95"/>
      <c r="G548" s="9"/>
      <c r="H548" s="9" t="s">
        <v>566</v>
      </c>
      <c r="I548" s="14"/>
      <c r="J548" s="14"/>
      <c r="K548" s="12">
        <v>0</v>
      </c>
      <c r="L548" s="9"/>
      <c r="M548" s="9"/>
      <c r="N548" s="9"/>
      <c r="O548" s="38">
        <f t="shared" si="43"/>
        <v>0</v>
      </c>
      <c r="P548" s="12"/>
      <c r="Q548" s="42"/>
      <c r="R548" s="15"/>
      <c r="S548" s="44"/>
      <c r="T548" s="15"/>
      <c r="U548" s="44"/>
      <c r="V548" s="15">
        <f t="shared" si="44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5"/>
        <v>0</v>
      </c>
      <c r="AF548" s="101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2"/>
        <v>0</v>
      </c>
      <c r="BA548" s="15"/>
      <c r="BB548" s="44"/>
      <c r="BC548" s="15"/>
      <c r="BD548" s="44"/>
      <c r="BE548" s="15">
        <f t="shared" si="46"/>
        <v>0</v>
      </c>
    </row>
    <row r="549" spans="1:57" s="8" customFormat="1" ht="22.5" customHeight="1">
      <c r="A549" s="9"/>
      <c r="B549" s="16" t="s">
        <v>808</v>
      </c>
      <c r="C549" s="89" t="s">
        <v>52</v>
      </c>
      <c r="D549" s="87" t="s">
        <v>829</v>
      </c>
      <c r="E549" s="13"/>
      <c r="F549" s="95"/>
      <c r="G549" s="9"/>
      <c r="H549" s="9" t="s">
        <v>566</v>
      </c>
      <c r="I549" s="14"/>
      <c r="J549" s="14"/>
      <c r="K549" s="12">
        <v>0</v>
      </c>
      <c r="L549" s="9"/>
      <c r="M549" s="9"/>
      <c r="N549" s="9"/>
      <c r="O549" s="38">
        <f t="shared" si="43"/>
        <v>0</v>
      </c>
      <c r="P549" s="12"/>
      <c r="Q549" s="42"/>
      <c r="R549" s="15"/>
      <c r="S549" s="44"/>
      <c r="T549" s="15"/>
      <c r="U549" s="44"/>
      <c r="V549" s="15">
        <f t="shared" si="44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5"/>
        <v>0</v>
      </c>
      <c r="AF549" s="101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ref="AZ549:AZ567" si="47">AF549+AH549+AJ549+AL549+AN549+AP549+AR549+AT549+AV549+AX549</f>
        <v>0</v>
      </c>
      <c r="BA549" s="15"/>
      <c r="BB549" s="44"/>
      <c r="BC549" s="15"/>
      <c r="BD549" s="44"/>
      <c r="BE549" s="15">
        <f t="shared" si="46"/>
        <v>0</v>
      </c>
    </row>
    <row r="550" spans="1:57" s="8" customFormat="1" ht="22.5" customHeight="1">
      <c r="A550" s="9"/>
      <c r="B550" s="16" t="s">
        <v>830</v>
      </c>
      <c r="C550" s="89" t="s">
        <v>494</v>
      </c>
      <c r="D550" s="75" t="s">
        <v>830</v>
      </c>
      <c r="E550" s="13"/>
      <c r="F550" s="95"/>
      <c r="G550" s="9"/>
      <c r="H550" s="9" t="s">
        <v>566</v>
      </c>
      <c r="I550" s="14"/>
      <c r="J550" s="14"/>
      <c r="K550" s="12">
        <v>0</v>
      </c>
      <c r="L550" s="9"/>
      <c r="M550" s="9"/>
      <c r="N550" s="9"/>
      <c r="O550" s="38">
        <f t="shared" si="43"/>
        <v>0</v>
      </c>
      <c r="P550" s="12"/>
      <c r="Q550" s="42"/>
      <c r="R550" s="15"/>
      <c r="S550" s="44"/>
      <c r="T550" s="15"/>
      <c r="U550" s="44"/>
      <c r="V550" s="15">
        <f t="shared" si="44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5"/>
        <v>0</v>
      </c>
      <c r="AF550" s="101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7"/>
        <v>0</v>
      </c>
      <c r="BA550" s="15"/>
      <c r="BB550" s="44"/>
      <c r="BC550" s="15"/>
      <c r="BD550" s="44"/>
      <c r="BE550" s="15">
        <f t="shared" si="46"/>
        <v>0</v>
      </c>
    </row>
    <row r="551" spans="1:57" s="8" customFormat="1" ht="22.5" customHeight="1">
      <c r="A551" s="9"/>
      <c r="B551" s="16" t="s">
        <v>831</v>
      </c>
      <c r="C551" s="89" t="s">
        <v>52</v>
      </c>
      <c r="D551" s="75" t="s">
        <v>832</v>
      </c>
      <c r="E551" s="13"/>
      <c r="F551" s="95"/>
      <c r="G551" s="9"/>
      <c r="H551" s="9" t="s">
        <v>314</v>
      </c>
      <c r="I551" s="14"/>
      <c r="J551" s="14"/>
      <c r="K551" s="12">
        <v>37</v>
      </c>
      <c r="L551" s="9"/>
      <c r="M551" s="9"/>
      <c r="N551" s="9"/>
      <c r="O551" s="38">
        <f t="shared" si="43"/>
        <v>37</v>
      </c>
      <c r="P551" s="12"/>
      <c r="Q551" s="42"/>
      <c r="R551" s="15"/>
      <c r="S551" s="44"/>
      <c r="T551" s="15"/>
      <c r="U551" s="44"/>
      <c r="V551" s="15">
        <f t="shared" si="44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5"/>
        <v>0</v>
      </c>
      <c r="AF551" s="101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7"/>
        <v>0</v>
      </c>
      <c r="BA551" s="15"/>
      <c r="BB551" s="44"/>
      <c r="BC551" s="15"/>
      <c r="BD551" s="44"/>
      <c r="BE551" s="15">
        <f t="shared" si="46"/>
        <v>0</v>
      </c>
    </row>
    <row r="552" spans="1:57" s="8" customFormat="1" ht="22.5" customHeight="1">
      <c r="A552" s="9"/>
      <c r="B552" s="16" t="s">
        <v>570</v>
      </c>
      <c r="C552" s="89" t="s">
        <v>52</v>
      </c>
      <c r="D552" s="75" t="s">
        <v>833</v>
      </c>
      <c r="E552" s="13"/>
      <c r="F552" s="95"/>
      <c r="G552" s="9"/>
      <c r="H552" s="9" t="s">
        <v>314</v>
      </c>
      <c r="I552" s="14"/>
      <c r="J552" s="14"/>
      <c r="K552" s="12">
        <v>91</v>
      </c>
      <c r="L552" s="9"/>
      <c r="M552" s="9"/>
      <c r="N552" s="9"/>
      <c r="O552" s="38">
        <f t="shared" si="43"/>
        <v>91</v>
      </c>
      <c r="P552" s="12"/>
      <c r="Q552" s="42"/>
      <c r="R552" s="15"/>
      <c r="S552" s="44"/>
      <c r="T552" s="15"/>
      <c r="U552" s="44"/>
      <c r="V552" s="15">
        <f t="shared" si="44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5"/>
        <v>0</v>
      </c>
      <c r="AF552" s="101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7"/>
        <v>0</v>
      </c>
      <c r="BA552" s="15"/>
      <c r="BB552" s="44"/>
      <c r="BC552" s="15"/>
      <c r="BD552" s="44"/>
      <c r="BE552" s="15">
        <f t="shared" si="46"/>
        <v>0</v>
      </c>
    </row>
    <row r="553" spans="1:57" s="8" customFormat="1" ht="22.5" customHeight="1">
      <c r="A553" s="9"/>
      <c r="B553" s="16" t="s">
        <v>204</v>
      </c>
      <c r="C553" s="89" t="s">
        <v>52</v>
      </c>
      <c r="D553" s="61" t="s">
        <v>834</v>
      </c>
      <c r="E553" s="13"/>
      <c r="F553" s="95"/>
      <c r="G553" s="9"/>
      <c r="H553" s="23" t="s">
        <v>566</v>
      </c>
      <c r="I553" s="14"/>
      <c r="J553" s="14"/>
      <c r="K553" s="12">
        <v>0</v>
      </c>
      <c r="L553" s="9"/>
      <c r="M553" s="9"/>
      <c r="N553" s="9"/>
      <c r="O553" s="38">
        <f t="shared" si="43"/>
        <v>0</v>
      </c>
      <c r="P553" s="12"/>
      <c r="Q553" s="42"/>
      <c r="R553" s="15"/>
      <c r="S553" s="44"/>
      <c r="T553" s="15"/>
      <c r="U553" s="44"/>
      <c r="V553" s="15">
        <f t="shared" si="44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5"/>
        <v>0</v>
      </c>
      <c r="AF553" s="101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7"/>
        <v>0</v>
      </c>
      <c r="BA553" s="15"/>
      <c r="BB553" s="44"/>
      <c r="BC553" s="15"/>
      <c r="BD553" s="44"/>
      <c r="BE553" s="15">
        <f t="shared" si="46"/>
        <v>0</v>
      </c>
    </row>
    <row r="554" spans="1:57" s="8" customFormat="1" ht="22.5" customHeight="1">
      <c r="A554" s="9"/>
      <c r="B554" s="16" t="s">
        <v>233</v>
      </c>
      <c r="C554" s="89" t="s">
        <v>494</v>
      </c>
      <c r="D554" s="61" t="s">
        <v>835</v>
      </c>
      <c r="E554" s="13"/>
      <c r="F554" s="95"/>
      <c r="G554" s="9"/>
      <c r="H554" s="9" t="s">
        <v>558</v>
      </c>
      <c r="I554" s="14"/>
      <c r="J554" s="14"/>
      <c r="K554" s="12">
        <v>53</v>
      </c>
      <c r="L554" s="9"/>
      <c r="M554" s="9"/>
      <c r="N554" s="9"/>
      <c r="O554" s="38">
        <f t="shared" si="43"/>
        <v>53</v>
      </c>
      <c r="P554" s="12"/>
      <c r="Q554" s="42"/>
      <c r="R554" s="15"/>
      <c r="S554" s="44"/>
      <c r="T554" s="15"/>
      <c r="U554" s="44"/>
      <c r="V554" s="15">
        <f t="shared" si="44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5"/>
        <v>0</v>
      </c>
      <c r="AF554" s="101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7"/>
        <v>0</v>
      </c>
      <c r="BA554" s="15"/>
      <c r="BB554" s="44"/>
      <c r="BC554" s="15"/>
      <c r="BD554" s="44"/>
      <c r="BE554" s="15">
        <f t="shared" si="46"/>
        <v>0</v>
      </c>
    </row>
    <row r="555" spans="1:57" s="8" customFormat="1" ht="21.95" customHeight="1">
      <c r="A555" s="9"/>
      <c r="B555" s="16" t="s">
        <v>836</v>
      </c>
      <c r="C555" s="89" t="s">
        <v>151</v>
      </c>
      <c r="D555" s="59" t="s">
        <v>837</v>
      </c>
      <c r="E555" s="13"/>
      <c r="F555" s="95"/>
      <c r="G555" s="9"/>
      <c r="H555" s="9" t="s">
        <v>805</v>
      </c>
      <c r="I555" s="14"/>
      <c r="J555" s="14"/>
      <c r="K555" s="12">
        <v>0</v>
      </c>
      <c r="L555" s="9"/>
      <c r="M555" s="9"/>
      <c r="N555" s="9"/>
      <c r="O555" s="38">
        <f t="shared" si="43"/>
        <v>0</v>
      </c>
      <c r="P555" s="12"/>
      <c r="Q555" s="42"/>
      <c r="R555" s="15"/>
      <c r="S555" s="44"/>
      <c r="T555" s="15"/>
      <c r="U555" s="44"/>
      <c r="V555" s="15">
        <f t="shared" si="44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5"/>
        <v>0</v>
      </c>
      <c r="AF555" s="101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7"/>
        <v>0</v>
      </c>
      <c r="BA555" s="15"/>
      <c r="BB555" s="44"/>
      <c r="BC555" s="15"/>
      <c r="BD555" s="44"/>
      <c r="BE555" s="15">
        <f t="shared" si="46"/>
        <v>0</v>
      </c>
    </row>
    <row r="556" spans="1:57" s="8" customFormat="1" ht="21.95" customHeight="1">
      <c r="A556" s="9"/>
      <c r="B556" s="16" t="s">
        <v>836</v>
      </c>
      <c r="C556" s="89" t="s">
        <v>151</v>
      </c>
      <c r="D556" s="56" t="s">
        <v>838</v>
      </c>
      <c r="E556" s="13"/>
      <c r="F556" s="95"/>
      <c r="G556" s="9"/>
      <c r="H556" s="9" t="s">
        <v>805</v>
      </c>
      <c r="I556" s="14"/>
      <c r="J556" s="14"/>
      <c r="K556" s="12">
        <v>0</v>
      </c>
      <c r="L556" s="9"/>
      <c r="M556" s="9"/>
      <c r="N556" s="9"/>
      <c r="O556" s="38">
        <f t="shared" si="43"/>
        <v>0</v>
      </c>
      <c r="P556" s="12"/>
      <c r="Q556" s="42"/>
      <c r="R556" s="15"/>
      <c r="S556" s="44"/>
      <c r="T556" s="15"/>
      <c r="U556" s="44"/>
      <c r="V556" s="15">
        <f t="shared" si="44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5"/>
        <v>0</v>
      </c>
      <c r="AF556" s="101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7"/>
        <v>0</v>
      </c>
      <c r="BA556" s="15"/>
      <c r="BB556" s="44"/>
      <c r="BC556" s="15"/>
      <c r="BD556" s="44"/>
      <c r="BE556" s="15">
        <f t="shared" si="46"/>
        <v>0</v>
      </c>
    </row>
    <row r="557" spans="1:57" s="8" customFormat="1" ht="21.95" customHeight="1">
      <c r="A557" s="9"/>
      <c r="B557" s="16" t="s">
        <v>836</v>
      </c>
      <c r="C557" s="89" t="s">
        <v>151</v>
      </c>
      <c r="D557" s="59" t="s">
        <v>839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3"/>
        <v>0</v>
      </c>
      <c r="P557" s="12"/>
      <c r="Q557" s="42"/>
      <c r="R557" s="15"/>
      <c r="S557" s="44"/>
      <c r="T557" s="15"/>
      <c r="U557" s="44"/>
      <c r="V557" s="15">
        <f t="shared" si="44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5"/>
        <v>0</v>
      </c>
      <c r="AF557" s="101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7"/>
        <v>0</v>
      </c>
      <c r="BA557" s="15"/>
      <c r="BB557" s="44"/>
      <c r="BC557" s="15"/>
      <c r="BD557" s="44"/>
      <c r="BE557" s="15">
        <f t="shared" si="46"/>
        <v>0</v>
      </c>
    </row>
    <row r="558" spans="1:57" s="8" customFormat="1" ht="21.95" customHeight="1">
      <c r="A558" s="9"/>
      <c r="B558" s="16" t="s">
        <v>836</v>
      </c>
      <c r="C558" s="89" t="s">
        <v>151</v>
      </c>
      <c r="D558" s="59" t="s">
        <v>841</v>
      </c>
      <c r="E558" s="13"/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3"/>
        <v>0</v>
      </c>
      <c r="P558" s="12"/>
      <c r="Q558" s="42"/>
      <c r="R558" s="15"/>
      <c r="S558" s="44"/>
      <c r="T558" s="15"/>
      <c r="U558" s="44"/>
      <c r="V558" s="15">
        <f t="shared" si="44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5"/>
        <v>0</v>
      </c>
      <c r="AF558" s="101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7"/>
        <v>0</v>
      </c>
      <c r="BA558" s="15"/>
      <c r="BB558" s="44"/>
      <c r="BC558" s="15"/>
      <c r="BD558" s="44"/>
      <c r="BE558" s="15">
        <f t="shared" si="46"/>
        <v>0</v>
      </c>
    </row>
    <row r="559" spans="1:57" s="8" customFormat="1" ht="22.5" customHeight="1">
      <c r="A559" s="9"/>
      <c r="B559" s="16" t="s">
        <v>836</v>
      </c>
      <c r="C559" s="89" t="s">
        <v>151</v>
      </c>
      <c r="D559" s="59" t="s">
        <v>842</v>
      </c>
      <c r="E559" s="13"/>
      <c r="F559" s="95"/>
      <c r="G559" s="9"/>
      <c r="H559" s="9" t="s">
        <v>840</v>
      </c>
      <c r="I559" s="14"/>
      <c r="J559" s="14"/>
      <c r="K559" s="12">
        <v>0</v>
      </c>
      <c r="L559" s="9"/>
      <c r="M559" s="9"/>
      <c r="N559" s="9"/>
      <c r="O559" s="38">
        <f t="shared" si="43"/>
        <v>0</v>
      </c>
      <c r="P559" s="12"/>
      <c r="Q559" s="42"/>
      <c r="R559" s="15"/>
      <c r="S559" s="44"/>
      <c r="T559" s="15"/>
      <c r="U559" s="44"/>
      <c r="V559" s="15">
        <f t="shared" si="44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5"/>
        <v>0</v>
      </c>
      <c r="AF559" s="101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7"/>
        <v>0</v>
      </c>
      <c r="BA559" s="15"/>
      <c r="BB559" s="44"/>
      <c r="BC559" s="15"/>
      <c r="BD559" s="44"/>
      <c r="BE559" s="15">
        <f t="shared" si="46"/>
        <v>0</v>
      </c>
    </row>
    <row r="560" spans="1:57" s="8" customFormat="1" ht="22.5" customHeight="1">
      <c r="A560" s="9"/>
      <c r="B560" s="16" t="s">
        <v>836</v>
      </c>
      <c r="C560" s="89" t="s">
        <v>151</v>
      </c>
      <c r="D560" s="59" t="s">
        <v>843</v>
      </c>
      <c r="E560" s="13"/>
      <c r="F560" s="95"/>
      <c r="G560" s="9"/>
      <c r="H560" s="9" t="s">
        <v>840</v>
      </c>
      <c r="I560" s="14"/>
      <c r="J560" s="14"/>
      <c r="K560" s="12">
        <v>0</v>
      </c>
      <c r="L560" s="9"/>
      <c r="M560" s="9"/>
      <c r="N560" s="9"/>
      <c r="O560" s="38">
        <f t="shared" si="43"/>
        <v>0</v>
      </c>
      <c r="P560" s="12"/>
      <c r="Q560" s="42"/>
      <c r="R560" s="15"/>
      <c r="S560" s="44"/>
      <c r="T560" s="15"/>
      <c r="U560" s="44"/>
      <c r="V560" s="15">
        <f t="shared" si="44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5"/>
        <v>0</v>
      </c>
      <c r="AF560" s="101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7"/>
        <v>0</v>
      </c>
      <c r="BA560" s="15"/>
      <c r="BB560" s="44"/>
      <c r="BC560" s="15"/>
      <c r="BD560" s="44"/>
      <c r="BE560" s="15">
        <f t="shared" si="46"/>
        <v>0</v>
      </c>
    </row>
    <row r="561" spans="1:57" s="8" customFormat="1" ht="22.5" customHeight="1">
      <c r="A561" s="9"/>
      <c r="B561" s="16" t="s">
        <v>836</v>
      </c>
      <c r="C561" s="89" t="s">
        <v>151</v>
      </c>
      <c r="D561" s="56" t="s">
        <v>844</v>
      </c>
      <c r="E561" s="13" t="s">
        <v>845</v>
      </c>
      <c r="F561" s="95"/>
      <c r="G561" s="9"/>
      <c r="H561" s="9" t="s">
        <v>840</v>
      </c>
      <c r="I561" s="14"/>
      <c r="J561" s="14"/>
      <c r="K561" s="12">
        <v>0</v>
      </c>
      <c r="L561" s="9"/>
      <c r="M561" s="9"/>
      <c r="N561" s="9"/>
      <c r="O561" s="38">
        <f t="shared" si="43"/>
        <v>0</v>
      </c>
      <c r="P561" s="12"/>
      <c r="Q561" s="42"/>
      <c r="R561" s="15"/>
      <c r="S561" s="44"/>
      <c r="T561" s="15"/>
      <c r="U561" s="44"/>
      <c r="V561" s="15">
        <f t="shared" si="44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5"/>
        <v>0</v>
      </c>
      <c r="AF561" s="101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7"/>
        <v>0</v>
      </c>
      <c r="BA561" s="15"/>
      <c r="BB561" s="44"/>
      <c r="BC561" s="15"/>
      <c r="BD561" s="44"/>
      <c r="BE561" s="15">
        <f t="shared" si="46"/>
        <v>0</v>
      </c>
    </row>
    <row r="562" spans="1:57" s="8" customFormat="1" ht="22.5" customHeight="1">
      <c r="A562" s="9"/>
      <c r="B562" s="16" t="s">
        <v>846</v>
      </c>
      <c r="C562" s="89" t="s">
        <v>151</v>
      </c>
      <c r="D562" s="56" t="s">
        <v>847</v>
      </c>
      <c r="E562" s="13" t="s">
        <v>848</v>
      </c>
      <c r="F562" s="95"/>
      <c r="G562" s="9"/>
      <c r="H562" s="9" t="s">
        <v>746</v>
      </c>
      <c r="I562" s="14"/>
      <c r="J562" s="14"/>
      <c r="K562" s="12">
        <v>0</v>
      </c>
      <c r="L562" s="9"/>
      <c r="M562" s="9"/>
      <c r="N562" s="9"/>
      <c r="O562" s="38">
        <f t="shared" si="43"/>
        <v>0</v>
      </c>
      <c r="P562" s="12"/>
      <c r="Q562" s="42"/>
      <c r="R562" s="15"/>
      <c r="S562" s="44"/>
      <c r="T562" s="15"/>
      <c r="U562" s="44"/>
      <c r="V562" s="15">
        <f t="shared" si="44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5"/>
        <v>0</v>
      </c>
      <c r="AF562" s="101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7"/>
        <v>0</v>
      </c>
      <c r="BA562" s="15"/>
      <c r="BB562" s="44"/>
      <c r="BC562" s="15"/>
      <c r="BD562" s="44"/>
      <c r="BE562" s="15">
        <f t="shared" si="46"/>
        <v>0</v>
      </c>
    </row>
    <row r="563" spans="1:57" s="8" customFormat="1" ht="22.5" customHeight="1">
      <c r="A563" s="9"/>
      <c r="B563" s="16" t="s">
        <v>846</v>
      </c>
      <c r="C563" s="89" t="s">
        <v>151</v>
      </c>
      <c r="D563" s="56" t="s">
        <v>849</v>
      </c>
      <c r="E563" s="13"/>
      <c r="F563" s="95"/>
      <c r="G563" s="9"/>
      <c r="H563" s="9" t="s">
        <v>467</v>
      </c>
      <c r="I563" s="14"/>
      <c r="J563" s="14"/>
      <c r="K563" s="12">
        <v>0</v>
      </c>
      <c r="L563" s="9"/>
      <c r="M563" s="9"/>
      <c r="N563" s="9"/>
      <c r="O563" s="38">
        <f t="shared" si="43"/>
        <v>0</v>
      </c>
      <c r="P563" s="12"/>
      <c r="Q563" s="42"/>
      <c r="R563" s="15"/>
      <c r="S563" s="44"/>
      <c r="T563" s="15"/>
      <c r="U563" s="44"/>
      <c r="V563" s="15">
        <f t="shared" si="44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5"/>
        <v>0</v>
      </c>
      <c r="AF563" s="101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7"/>
        <v>0</v>
      </c>
      <c r="BA563" s="15"/>
      <c r="BB563" s="44"/>
      <c r="BC563" s="15"/>
      <c r="BD563" s="44"/>
      <c r="BE563" s="15">
        <f t="shared" si="46"/>
        <v>0</v>
      </c>
    </row>
    <row r="564" spans="1:57" s="8" customFormat="1" ht="22.5" customHeight="1">
      <c r="A564" s="9"/>
      <c r="B564" s="16" t="s">
        <v>850</v>
      </c>
      <c r="C564" s="89" t="s">
        <v>151</v>
      </c>
      <c r="D564" s="56" t="s">
        <v>851</v>
      </c>
      <c r="E564" s="13"/>
      <c r="F564" s="95"/>
      <c r="G564" s="9"/>
      <c r="H564" s="9" t="s">
        <v>67</v>
      </c>
      <c r="I564" s="14"/>
      <c r="J564" s="14"/>
      <c r="K564" s="12">
        <v>0</v>
      </c>
      <c r="L564" s="9"/>
      <c r="M564" s="9"/>
      <c r="N564" s="9"/>
      <c r="O564" s="38">
        <f t="shared" si="43"/>
        <v>0</v>
      </c>
      <c r="P564" s="12"/>
      <c r="Q564" s="42"/>
      <c r="R564" s="15"/>
      <c r="S564" s="44"/>
      <c r="T564" s="15"/>
      <c r="U564" s="44"/>
      <c r="V564" s="15">
        <f t="shared" si="44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5"/>
        <v>0</v>
      </c>
      <c r="AF564" s="101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7"/>
        <v>0</v>
      </c>
      <c r="BA564" s="15"/>
      <c r="BB564" s="44"/>
      <c r="BC564" s="15"/>
      <c r="BD564" s="44"/>
      <c r="BE564" s="15">
        <f t="shared" si="46"/>
        <v>0</v>
      </c>
    </row>
    <row r="565" spans="1:57" s="8" customFormat="1" ht="22.5" customHeight="1">
      <c r="A565" s="9"/>
      <c r="B565" s="16" t="s">
        <v>161</v>
      </c>
      <c r="C565" s="89" t="s">
        <v>151</v>
      </c>
      <c r="D565" s="59" t="s">
        <v>852</v>
      </c>
      <c r="E565" s="13" t="s">
        <v>853</v>
      </c>
      <c r="F565" s="95"/>
      <c r="G565" s="9"/>
      <c r="H565" s="9" t="s">
        <v>467</v>
      </c>
      <c r="I565" s="14"/>
      <c r="J565" s="14"/>
      <c r="K565" s="12">
        <v>0</v>
      </c>
      <c r="L565" s="9"/>
      <c r="M565" s="9"/>
      <c r="N565" s="9"/>
      <c r="O565" s="38">
        <f t="shared" si="43"/>
        <v>0</v>
      </c>
      <c r="P565" s="12"/>
      <c r="Q565" s="42"/>
      <c r="R565" s="15"/>
      <c r="S565" s="44"/>
      <c r="T565" s="15"/>
      <c r="U565" s="44"/>
      <c r="V565" s="15">
        <f t="shared" si="44"/>
        <v>0</v>
      </c>
      <c r="W565" s="15"/>
      <c r="X565" s="44"/>
      <c r="Y565" s="15"/>
      <c r="Z565" s="44"/>
      <c r="AA565" s="15"/>
      <c r="AB565" s="44"/>
      <c r="AC565" s="15"/>
      <c r="AD565" s="44"/>
      <c r="AE565" s="15">
        <f t="shared" si="45"/>
        <v>0</v>
      </c>
      <c r="AF565" s="101"/>
      <c r="AG565" s="42"/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>
        <f t="shared" si="47"/>
        <v>0</v>
      </c>
      <c r="BA565" s="15"/>
      <c r="BB565" s="44"/>
      <c r="BC565" s="15"/>
      <c r="BD565" s="44"/>
      <c r="BE565" s="15">
        <f t="shared" si="46"/>
        <v>0</v>
      </c>
    </row>
    <row r="566" spans="1:57" s="8" customFormat="1" ht="22.5" customHeight="1">
      <c r="A566" s="9"/>
      <c r="B566" s="16" t="s">
        <v>854</v>
      </c>
      <c r="C566" s="89" t="s">
        <v>140</v>
      </c>
      <c r="D566" s="86" t="s">
        <v>855</v>
      </c>
      <c r="E566" s="13" t="s">
        <v>856</v>
      </c>
      <c r="F566" s="95"/>
      <c r="G566" s="9"/>
      <c r="H566" s="9" t="s">
        <v>422</v>
      </c>
      <c r="I566" s="14"/>
      <c r="J566" s="14"/>
      <c r="K566" s="12">
        <v>0</v>
      </c>
      <c r="L566" s="9"/>
      <c r="M566" s="9"/>
      <c r="N566" s="9"/>
      <c r="O566" s="38">
        <f t="shared" si="43"/>
        <v>0</v>
      </c>
      <c r="P566" s="12"/>
      <c r="Q566" s="42"/>
      <c r="R566" s="15"/>
      <c r="S566" s="44"/>
      <c r="T566" s="15"/>
      <c r="U566" s="44"/>
      <c r="V566" s="15">
        <f t="shared" si="44"/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si="45"/>
        <v>0</v>
      </c>
      <c r="AF566" s="101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si="47"/>
        <v>0</v>
      </c>
      <c r="BA566" s="15"/>
      <c r="BB566" s="44"/>
      <c r="BC566" s="15"/>
      <c r="BD566" s="44"/>
      <c r="BE566" s="15">
        <f t="shared" si="46"/>
        <v>0</v>
      </c>
    </row>
    <row r="567" spans="1:57" s="8" customFormat="1" ht="22.5" customHeight="1">
      <c r="A567" s="9"/>
      <c r="B567" s="16" t="s">
        <v>489</v>
      </c>
      <c r="C567" s="89" t="s">
        <v>132</v>
      </c>
      <c r="D567" s="56" t="s">
        <v>857</v>
      </c>
      <c r="E567" s="13" t="s">
        <v>858</v>
      </c>
      <c r="F567" s="95"/>
      <c r="G567" s="9"/>
      <c r="H567" s="9" t="s">
        <v>859</v>
      </c>
      <c r="I567" s="14"/>
      <c r="J567" s="14"/>
      <c r="K567" s="12">
        <v>1200</v>
      </c>
      <c r="L567" s="9"/>
      <c r="M567" s="9"/>
      <c r="N567" s="9"/>
      <c r="O567" s="38">
        <f t="shared" si="43"/>
        <v>1200</v>
      </c>
      <c r="P567" s="12"/>
      <c r="Q567" s="42"/>
      <c r="R567" s="15"/>
      <c r="S567" s="44"/>
      <c r="T567" s="15"/>
      <c r="U567" s="44"/>
      <c r="V567" s="15">
        <f t="shared" si="44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5"/>
        <v>0</v>
      </c>
      <c r="AF567" s="101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47"/>
        <v>0</v>
      </c>
      <c r="BA567" s="15"/>
      <c r="BB567" s="44"/>
      <c r="BC567" s="15"/>
      <c r="BD567" s="44"/>
      <c r="BE567" s="15">
        <f t="shared" si="46"/>
        <v>0</v>
      </c>
    </row>
    <row r="568" spans="1:57" s="8" customFormat="1" ht="22.5" customHeight="1">
      <c r="A568" s="9"/>
      <c r="B568" s="47"/>
      <c r="C568" s="93"/>
      <c r="D568" s="88"/>
      <c r="E568" s="48"/>
      <c r="F568" s="49"/>
      <c r="G568" s="46"/>
      <c r="H568" s="46"/>
      <c r="I568" s="50"/>
      <c r="J568" s="50"/>
      <c r="K568" s="12">
        <v>0</v>
      </c>
      <c r="L568" s="46"/>
      <c r="M568" s="46"/>
      <c r="N568" s="46"/>
      <c r="O568" s="51"/>
      <c r="P568" s="49"/>
      <c r="Q568" s="52"/>
      <c r="R568" s="53"/>
      <c r="S568" s="54"/>
      <c r="T568" s="53"/>
      <c r="U568" s="54"/>
      <c r="V568" s="53"/>
      <c r="W568" s="53"/>
      <c r="X568" s="54"/>
      <c r="Y568" s="53"/>
      <c r="Z568" s="54"/>
      <c r="AA568" s="53"/>
      <c r="AB568" s="54"/>
      <c r="AC568" s="53"/>
      <c r="AD568" s="54"/>
      <c r="AE568" s="53"/>
      <c r="AF568" s="102"/>
      <c r="AG568" s="52"/>
      <c r="AH568" s="53"/>
      <c r="AI568" s="52"/>
      <c r="AJ568" s="53"/>
      <c r="AK568" s="52"/>
      <c r="AL568" s="53"/>
      <c r="AM568" s="52"/>
      <c r="AN568" s="53"/>
      <c r="AO568" s="52"/>
      <c r="AP568" s="53"/>
      <c r="AQ568" s="52"/>
      <c r="AR568" s="53"/>
      <c r="AS568" s="52"/>
      <c r="AT568" s="53"/>
      <c r="AU568" s="52"/>
      <c r="AV568" s="53"/>
      <c r="AW568" s="52"/>
      <c r="AX568" s="53"/>
      <c r="AY568" s="52"/>
      <c r="AZ568" s="53"/>
      <c r="BA568" s="53"/>
      <c r="BB568" s="54"/>
      <c r="BC568" s="53"/>
      <c r="BD568" s="54"/>
      <c r="BE568" s="53"/>
    </row>
    <row r="569" spans="1:57" s="8" customFormat="1" ht="21.95" customHeight="1">
      <c r="A569" s="9">
        <v>999</v>
      </c>
      <c r="B569" s="16" t="s">
        <v>204</v>
      </c>
      <c r="C569" s="89" t="s">
        <v>132</v>
      </c>
      <c r="D569" s="56" t="s">
        <v>860</v>
      </c>
      <c r="E569" s="11" t="s">
        <v>861</v>
      </c>
      <c r="F569" s="12"/>
      <c r="G569" s="9"/>
      <c r="H569" s="9" t="s">
        <v>207</v>
      </c>
      <c r="I569" s="14"/>
      <c r="J569" s="14"/>
      <c r="K569" s="12">
        <v>0</v>
      </c>
      <c r="L569" s="9"/>
      <c r="M569" s="9"/>
      <c r="N569" s="9"/>
      <c r="O569" s="38">
        <f t="shared" ref="O569:O600" si="48">K569+V569-AE569-AZ569</f>
        <v>0</v>
      </c>
      <c r="P569" s="12"/>
      <c r="Q569" s="42"/>
      <c r="R569" s="15"/>
      <c r="S569" s="44"/>
      <c r="T569" s="15"/>
      <c r="U569" s="44"/>
      <c r="V569" s="15">
        <f t="shared" ref="V569:V580" si="49">P569+R569+T569</f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ref="AE569:AE580" si="50">(W569+Y569+AA569+AC569)</f>
        <v>0</v>
      </c>
      <c r="AF569" s="101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ref="AZ569:AZ580" si="51">AF569+AH569+AJ569+AL569+AN569+AP569+AR569+AT569+AV569+AX569</f>
        <v>0</v>
      </c>
      <c r="BA569" s="15"/>
      <c r="BB569" s="44"/>
      <c r="BC569" s="15"/>
      <c r="BD569" s="44"/>
      <c r="BE569" s="15">
        <f t="shared" ref="BE569:BE580" si="52">(BA569+BC569)</f>
        <v>0</v>
      </c>
    </row>
    <row r="570" spans="1:57" s="8" customFormat="1" ht="21.95" customHeight="1">
      <c r="A570" s="9">
        <v>999</v>
      </c>
      <c r="B570" s="16" t="s">
        <v>204</v>
      </c>
      <c r="C570" s="89" t="s">
        <v>132</v>
      </c>
      <c r="D570" s="56" t="s">
        <v>862</v>
      </c>
      <c r="E570" s="11" t="s">
        <v>861</v>
      </c>
      <c r="F570" s="12"/>
      <c r="G570" s="9"/>
      <c r="H570" s="9" t="s">
        <v>207</v>
      </c>
      <c r="I570" s="14"/>
      <c r="J570" s="14"/>
      <c r="K570" s="12">
        <v>0</v>
      </c>
      <c r="L570" s="9"/>
      <c r="M570" s="9"/>
      <c r="N570" s="9"/>
      <c r="O570" s="38">
        <f t="shared" si="48"/>
        <v>0</v>
      </c>
      <c r="P570" s="12"/>
      <c r="Q570" s="42"/>
      <c r="R570" s="15"/>
      <c r="S570" s="44"/>
      <c r="T570" s="15"/>
      <c r="U570" s="44"/>
      <c r="V570" s="15">
        <f t="shared" si="49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50"/>
        <v>0</v>
      </c>
      <c r="AF570" s="101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1"/>
        <v>0</v>
      </c>
      <c r="BA570" s="15"/>
      <c r="BB570" s="44"/>
      <c r="BC570" s="15"/>
      <c r="BD570" s="44"/>
      <c r="BE570" s="15">
        <f t="shared" si="52"/>
        <v>0</v>
      </c>
    </row>
    <row r="571" spans="1:57" s="8" customFormat="1" ht="21.95" customHeight="1">
      <c r="A571" s="9">
        <v>999</v>
      </c>
      <c r="B571" s="16" t="s">
        <v>334</v>
      </c>
      <c r="C571" s="89" t="s">
        <v>151</v>
      </c>
      <c r="D571" s="56" t="s">
        <v>863</v>
      </c>
      <c r="E571" s="11" t="s">
        <v>861</v>
      </c>
      <c r="F571" s="12"/>
      <c r="G571" s="9"/>
      <c r="H571" s="9" t="s">
        <v>147</v>
      </c>
      <c r="I571" s="14"/>
      <c r="J571" s="14"/>
      <c r="K571" s="12">
        <v>0</v>
      </c>
      <c r="L571" s="9"/>
      <c r="M571" s="9"/>
      <c r="N571" s="9"/>
      <c r="O571" s="38">
        <f t="shared" si="48"/>
        <v>0</v>
      </c>
      <c r="P571" s="12"/>
      <c r="Q571" s="42"/>
      <c r="R571" s="15"/>
      <c r="S571" s="44"/>
      <c r="T571" s="15"/>
      <c r="U571" s="44"/>
      <c r="V571" s="15">
        <f t="shared" si="49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50"/>
        <v>0</v>
      </c>
      <c r="AF571" s="101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1"/>
        <v>0</v>
      </c>
      <c r="BA571" s="15"/>
      <c r="BB571" s="44"/>
      <c r="BC571" s="15"/>
      <c r="BD571" s="44"/>
      <c r="BE571" s="15">
        <f t="shared" si="52"/>
        <v>0</v>
      </c>
    </row>
    <row r="572" spans="1:57" s="8" customFormat="1" ht="22.5" customHeight="1">
      <c r="A572" s="9">
        <v>32</v>
      </c>
      <c r="B572" s="16" t="s">
        <v>129</v>
      </c>
      <c r="C572" s="89" t="s">
        <v>52</v>
      </c>
      <c r="D572" s="60" t="s">
        <v>130</v>
      </c>
      <c r="E572" s="11" t="s">
        <v>864</v>
      </c>
      <c r="F572" s="95"/>
      <c r="G572" s="9"/>
      <c r="H572" s="9" t="s">
        <v>131</v>
      </c>
      <c r="I572" s="14"/>
      <c r="J572" s="14"/>
      <c r="K572" s="12">
        <v>0</v>
      </c>
      <c r="L572" s="9"/>
      <c r="M572" s="9"/>
      <c r="N572" s="9"/>
      <c r="O572" s="38">
        <f t="shared" si="48"/>
        <v>0</v>
      </c>
      <c r="P572" s="12"/>
      <c r="Q572" s="42"/>
      <c r="R572" s="15"/>
      <c r="S572" s="44"/>
      <c r="T572" s="15"/>
      <c r="U572" s="44"/>
      <c r="V572" s="15">
        <f t="shared" si="49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50"/>
        <v>0</v>
      </c>
      <c r="AF572" s="101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1"/>
        <v>0</v>
      </c>
      <c r="BA572" s="15"/>
      <c r="BB572" s="44"/>
      <c r="BC572" s="15"/>
      <c r="BD572" s="44"/>
      <c r="BE572" s="15">
        <f t="shared" si="52"/>
        <v>0</v>
      </c>
    </row>
    <row r="573" spans="1:57" s="8" customFormat="1" ht="22.5" customHeight="1">
      <c r="A573" s="9">
        <v>60</v>
      </c>
      <c r="B573" s="18" t="s">
        <v>129</v>
      </c>
      <c r="C573" s="89" t="s">
        <v>52</v>
      </c>
      <c r="D573" s="58" t="s">
        <v>169</v>
      </c>
      <c r="E573" s="35" t="s">
        <v>865</v>
      </c>
      <c r="F573" s="95"/>
      <c r="G573" s="21"/>
      <c r="H573" s="21" t="s">
        <v>131</v>
      </c>
      <c r="I573" s="14"/>
      <c r="J573" s="14"/>
      <c r="K573" s="12">
        <v>0</v>
      </c>
      <c r="L573" s="9"/>
      <c r="M573" s="9"/>
      <c r="N573" s="9"/>
      <c r="O573" s="38">
        <f t="shared" si="48"/>
        <v>0</v>
      </c>
      <c r="P573" s="12"/>
      <c r="Q573" s="42"/>
      <c r="R573" s="15"/>
      <c r="S573" s="44"/>
      <c r="T573" s="15"/>
      <c r="U573" s="44"/>
      <c r="V573" s="15">
        <f t="shared" si="49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50"/>
        <v>0</v>
      </c>
      <c r="AF573" s="101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1"/>
        <v>0</v>
      </c>
      <c r="BA573" s="15"/>
      <c r="BB573" s="44"/>
      <c r="BC573" s="15"/>
      <c r="BD573" s="44"/>
      <c r="BE573" s="15">
        <f t="shared" si="52"/>
        <v>0</v>
      </c>
    </row>
    <row r="574" spans="1:57" s="8" customFormat="1" ht="21.95" customHeight="1">
      <c r="A574" s="9">
        <v>999</v>
      </c>
      <c r="B574" s="16" t="s">
        <v>68</v>
      </c>
      <c r="C574" s="89" t="s">
        <v>50</v>
      </c>
      <c r="D574" s="56" t="s">
        <v>69</v>
      </c>
      <c r="E574" s="11" t="s">
        <v>866</v>
      </c>
      <c r="F574" s="12"/>
      <c r="G574" s="9"/>
      <c r="H574" s="9" t="s">
        <v>71</v>
      </c>
      <c r="I574" s="14"/>
      <c r="J574" s="14"/>
      <c r="K574" s="12">
        <v>0</v>
      </c>
      <c r="L574" s="9"/>
      <c r="M574" s="9"/>
      <c r="N574" s="9"/>
      <c r="O574" s="38">
        <f t="shared" si="48"/>
        <v>0</v>
      </c>
      <c r="P574" s="12"/>
      <c r="Q574" s="42"/>
      <c r="R574" s="15"/>
      <c r="S574" s="44"/>
      <c r="T574" s="15"/>
      <c r="U574" s="44"/>
      <c r="V574" s="15">
        <f t="shared" si="49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50"/>
        <v>0</v>
      </c>
      <c r="AF574" s="101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1"/>
        <v>0</v>
      </c>
      <c r="BA574" s="15"/>
      <c r="BB574" s="44"/>
      <c r="BC574" s="15"/>
      <c r="BD574" s="44"/>
      <c r="BE574" s="15">
        <f t="shared" si="52"/>
        <v>0</v>
      </c>
    </row>
    <row r="575" spans="1:57" s="8" customFormat="1" ht="21.95" customHeight="1">
      <c r="A575" s="9">
        <v>999</v>
      </c>
      <c r="B575" s="16" t="s">
        <v>34</v>
      </c>
      <c r="C575" s="89" t="s">
        <v>50</v>
      </c>
      <c r="D575" s="56" t="s">
        <v>867</v>
      </c>
      <c r="E575" s="11" t="s">
        <v>868</v>
      </c>
      <c r="F575" s="12"/>
      <c r="G575" s="9"/>
      <c r="H575" s="9" t="s">
        <v>71</v>
      </c>
      <c r="I575" s="14"/>
      <c r="J575" s="14"/>
      <c r="K575" s="12">
        <v>0</v>
      </c>
      <c r="L575" s="9"/>
      <c r="M575" s="9"/>
      <c r="N575" s="9"/>
      <c r="O575" s="38">
        <f t="shared" si="48"/>
        <v>0</v>
      </c>
      <c r="P575" s="12"/>
      <c r="Q575" s="42"/>
      <c r="R575" s="15"/>
      <c r="S575" s="44"/>
      <c r="T575" s="15"/>
      <c r="U575" s="44"/>
      <c r="V575" s="15">
        <f t="shared" si="49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50"/>
        <v>0</v>
      </c>
      <c r="AF575" s="101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1"/>
        <v>0</v>
      </c>
      <c r="BA575" s="15"/>
      <c r="BB575" s="44"/>
      <c r="BC575" s="15"/>
      <c r="BD575" s="44"/>
      <c r="BE575" s="15">
        <f t="shared" si="52"/>
        <v>0</v>
      </c>
    </row>
    <row r="576" spans="1:57" s="8" customFormat="1" ht="21.95" customHeight="1">
      <c r="A576" s="9">
        <v>999</v>
      </c>
      <c r="B576" s="18" t="s">
        <v>62</v>
      </c>
      <c r="C576" s="92" t="s">
        <v>50</v>
      </c>
      <c r="D576" s="58" t="s">
        <v>869</v>
      </c>
      <c r="E576" s="35" t="s">
        <v>62</v>
      </c>
      <c r="F576" s="20"/>
      <c r="G576" s="21"/>
      <c r="H576" s="21" t="s">
        <v>61</v>
      </c>
      <c r="I576" s="14"/>
      <c r="J576" s="14"/>
      <c r="K576" s="12">
        <v>0</v>
      </c>
      <c r="L576" s="9"/>
      <c r="M576" s="9"/>
      <c r="N576" s="9"/>
      <c r="O576" s="38">
        <f t="shared" si="48"/>
        <v>0</v>
      </c>
      <c r="P576" s="12"/>
      <c r="Q576" s="42"/>
      <c r="R576" s="15"/>
      <c r="S576" s="44"/>
      <c r="T576" s="15"/>
      <c r="U576" s="44"/>
      <c r="V576" s="15">
        <f t="shared" si="49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50"/>
        <v>0</v>
      </c>
      <c r="AF576" s="101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1"/>
        <v>0</v>
      </c>
      <c r="BA576" s="15"/>
      <c r="BB576" s="44"/>
      <c r="BC576" s="15"/>
      <c r="BD576" s="44"/>
      <c r="BE576" s="15">
        <f t="shared" si="52"/>
        <v>0</v>
      </c>
    </row>
    <row r="577" spans="1:57" s="8" customFormat="1" ht="21.95" customHeight="1">
      <c r="A577" s="9">
        <v>999</v>
      </c>
      <c r="B577" s="18" t="s">
        <v>62</v>
      </c>
      <c r="C577" s="92" t="s">
        <v>50</v>
      </c>
      <c r="D577" s="58" t="s">
        <v>870</v>
      </c>
      <c r="E577" s="35" t="s">
        <v>62</v>
      </c>
      <c r="F577" s="20"/>
      <c r="G577" s="21"/>
      <c r="H577" s="21" t="s">
        <v>61</v>
      </c>
      <c r="I577" s="14"/>
      <c r="J577" s="14"/>
      <c r="K577" s="12">
        <v>0</v>
      </c>
      <c r="L577" s="9"/>
      <c r="M577" s="9"/>
      <c r="N577" s="9"/>
      <c r="O577" s="38">
        <f t="shared" si="48"/>
        <v>0</v>
      </c>
      <c r="P577" s="12"/>
      <c r="Q577" s="42"/>
      <c r="R577" s="15"/>
      <c r="S577" s="44"/>
      <c r="T577" s="15"/>
      <c r="U577" s="44"/>
      <c r="V577" s="15">
        <f t="shared" si="49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50"/>
        <v>0</v>
      </c>
      <c r="AF577" s="101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1"/>
        <v>0</v>
      </c>
      <c r="BA577" s="15"/>
      <c r="BB577" s="44"/>
      <c r="BC577" s="15"/>
      <c r="BD577" s="44"/>
      <c r="BE577" s="15">
        <f t="shared" si="52"/>
        <v>0</v>
      </c>
    </row>
    <row r="578" spans="1:57" s="8" customFormat="1" ht="21.95" customHeight="1">
      <c r="A578" s="9">
        <v>999</v>
      </c>
      <c r="B578" s="18" t="s">
        <v>62</v>
      </c>
      <c r="C578" s="92" t="s">
        <v>50</v>
      </c>
      <c r="D578" s="58" t="s">
        <v>871</v>
      </c>
      <c r="E578" s="35" t="s">
        <v>62</v>
      </c>
      <c r="F578" s="20"/>
      <c r="G578" s="21"/>
      <c r="H578" s="21" t="s">
        <v>61</v>
      </c>
      <c r="I578" s="14"/>
      <c r="J578" s="14"/>
      <c r="K578" s="12">
        <v>0</v>
      </c>
      <c r="L578" s="9"/>
      <c r="M578" s="9"/>
      <c r="N578" s="9"/>
      <c r="O578" s="38">
        <f t="shared" si="48"/>
        <v>0</v>
      </c>
      <c r="P578" s="12"/>
      <c r="Q578" s="42"/>
      <c r="R578" s="15"/>
      <c r="S578" s="44"/>
      <c r="T578" s="15"/>
      <c r="U578" s="44"/>
      <c r="V578" s="15">
        <f t="shared" si="49"/>
        <v>0</v>
      </c>
      <c r="W578" s="15"/>
      <c r="X578" s="44"/>
      <c r="Y578" s="15"/>
      <c r="Z578" s="44"/>
      <c r="AA578" s="15"/>
      <c r="AB578" s="44"/>
      <c r="AC578" s="15"/>
      <c r="AD578" s="44"/>
      <c r="AE578" s="15">
        <f t="shared" si="50"/>
        <v>0</v>
      </c>
      <c r="AF578" s="101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>
        <f t="shared" si="51"/>
        <v>0</v>
      </c>
      <c r="BA578" s="15"/>
      <c r="BB578" s="44"/>
      <c r="BC578" s="15"/>
      <c r="BD578" s="44"/>
      <c r="BE578" s="15">
        <f t="shared" si="52"/>
        <v>0</v>
      </c>
    </row>
    <row r="579" spans="1:57" s="8" customFormat="1" ht="22.5" customHeight="1">
      <c r="A579" s="9">
        <v>999</v>
      </c>
      <c r="B579" s="16" t="s">
        <v>155</v>
      </c>
      <c r="C579" s="89" t="s">
        <v>50</v>
      </c>
      <c r="D579" s="79" t="s">
        <v>872</v>
      </c>
      <c r="E579" s="13" t="s">
        <v>873</v>
      </c>
      <c r="F579" s="96"/>
      <c r="G579" s="9"/>
      <c r="H579" s="9"/>
      <c r="I579" s="14"/>
      <c r="J579" s="14"/>
      <c r="K579" s="12">
        <v>0</v>
      </c>
      <c r="L579" s="9"/>
      <c r="M579" s="9"/>
      <c r="N579" s="9"/>
      <c r="O579" s="38">
        <f t="shared" si="48"/>
        <v>0</v>
      </c>
      <c r="P579" s="12"/>
      <c r="Q579" s="42"/>
      <c r="R579" s="15"/>
      <c r="S579" s="44"/>
      <c r="T579" s="15"/>
      <c r="U579" s="44"/>
      <c r="V579" s="15">
        <f t="shared" si="49"/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si="50"/>
        <v>0</v>
      </c>
      <c r="AF579" s="101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si="51"/>
        <v>0</v>
      </c>
      <c r="BA579" s="15"/>
      <c r="BB579" s="44"/>
      <c r="BC579" s="15"/>
      <c r="BD579" s="44"/>
      <c r="BE579" s="15">
        <f t="shared" si="52"/>
        <v>0</v>
      </c>
    </row>
    <row r="580" spans="1:57" s="8" customFormat="1" ht="22.5" customHeight="1">
      <c r="A580" s="9">
        <v>999</v>
      </c>
      <c r="B580" s="18" t="s">
        <v>172</v>
      </c>
      <c r="C580" s="89" t="s">
        <v>48</v>
      </c>
      <c r="D580" s="66" t="s">
        <v>874</v>
      </c>
      <c r="E580" s="35"/>
      <c r="F580" s="20"/>
      <c r="G580" s="21"/>
      <c r="H580" s="21" t="s">
        <v>67</v>
      </c>
      <c r="I580" s="14"/>
      <c r="J580" s="14"/>
      <c r="K580" s="12">
        <v>0</v>
      </c>
      <c r="L580" s="9"/>
      <c r="M580" s="9"/>
      <c r="N580" s="9"/>
      <c r="O580" s="38">
        <f t="shared" si="48"/>
        <v>0</v>
      </c>
      <c r="P580" s="12"/>
      <c r="Q580" s="42"/>
      <c r="R580" s="15"/>
      <c r="S580" s="44"/>
      <c r="T580" s="15"/>
      <c r="U580" s="44"/>
      <c r="V580" s="15">
        <f t="shared" si="49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0"/>
        <v>0</v>
      </c>
      <c r="AF580" s="101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1"/>
        <v>0</v>
      </c>
      <c r="BA580" s="15"/>
      <c r="BB580" s="44"/>
      <c r="BC580" s="15"/>
      <c r="BD580" s="44"/>
      <c r="BE580" s="15">
        <f t="shared" si="52"/>
        <v>0</v>
      </c>
    </row>
    <row r="581" spans="1:57" s="8" customFormat="1" ht="22.5" customHeight="1">
      <c r="A581" s="9">
        <v>999</v>
      </c>
      <c r="B581" s="18" t="s">
        <v>172</v>
      </c>
      <c r="C581" s="89" t="s">
        <v>140</v>
      </c>
      <c r="D581" s="58" t="s">
        <v>875</v>
      </c>
      <c r="E581" s="35"/>
      <c r="F581" s="20"/>
      <c r="G581" s="21"/>
      <c r="H581" s="21"/>
      <c r="I581" s="14"/>
      <c r="J581" s="14"/>
      <c r="K581" s="12">
        <v>0</v>
      </c>
      <c r="L581" s="9"/>
      <c r="M581" s="9"/>
      <c r="N581" s="9"/>
      <c r="O581" s="38">
        <f t="shared" si="48"/>
        <v>0</v>
      </c>
      <c r="P581" s="12"/>
      <c r="Q581" s="42"/>
      <c r="R581" s="15"/>
      <c r="S581" s="44"/>
      <c r="T581" s="15"/>
      <c r="U581" s="44"/>
      <c r="V581" s="15"/>
      <c r="W581" s="15"/>
      <c r="X581" s="44"/>
      <c r="Y581" s="15"/>
      <c r="Z581" s="44"/>
      <c r="AA581" s="15"/>
      <c r="AB581" s="44"/>
      <c r="AC581" s="15"/>
      <c r="AD581" s="44"/>
      <c r="AE581" s="15"/>
      <c r="AF581" s="101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15"/>
      <c r="BB581" s="44"/>
      <c r="BC581" s="15"/>
      <c r="BD581" s="44"/>
      <c r="BE581" s="15"/>
    </row>
    <row r="582" spans="1:57" s="8" customFormat="1" ht="22.5" customHeight="1">
      <c r="A582" s="9">
        <v>999</v>
      </c>
      <c r="B582" s="18" t="s">
        <v>187</v>
      </c>
      <c r="C582" s="89" t="s">
        <v>132</v>
      </c>
      <c r="D582" s="58" t="s">
        <v>276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8"/>
        <v>0</v>
      </c>
      <c r="P582" s="12"/>
      <c r="Q582" s="42"/>
      <c r="R582" s="15"/>
      <c r="S582" s="44"/>
      <c r="T582" s="15"/>
      <c r="U582" s="44"/>
      <c r="V582" s="15">
        <f t="shared" ref="V582:V613" si="53">P582+R582+T582</f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ref="AE582:AE613" si="54">(W582+Y582+AA582+AC582)</f>
        <v>0</v>
      </c>
      <c r="AF582" s="101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ref="AZ582:AZ613" si="55">AF582+AH582+AJ582+AL582+AN582+AP582+AR582+AT582+AV582+AX582</f>
        <v>0</v>
      </c>
      <c r="BA582" s="15"/>
      <c r="BB582" s="44"/>
      <c r="BC582" s="15"/>
      <c r="BD582" s="44"/>
      <c r="BE582" s="15">
        <f t="shared" ref="BE582:BE613" si="56">(BA582+BC582)</f>
        <v>0</v>
      </c>
    </row>
    <row r="583" spans="1:57" s="8" customFormat="1" ht="22.5" customHeight="1">
      <c r="A583" s="9">
        <v>999</v>
      </c>
      <c r="B583" s="18" t="s">
        <v>204</v>
      </c>
      <c r="C583" s="89" t="s">
        <v>132</v>
      </c>
      <c r="D583" s="58" t="s">
        <v>282</v>
      </c>
      <c r="E583" s="35" t="s">
        <v>210</v>
      </c>
      <c r="F583" s="20"/>
      <c r="G583" s="21"/>
      <c r="H583" s="21" t="s">
        <v>876</v>
      </c>
      <c r="I583" s="14"/>
      <c r="J583" s="14"/>
      <c r="K583" s="12">
        <v>0</v>
      </c>
      <c r="L583" s="9"/>
      <c r="M583" s="9"/>
      <c r="N583" s="9"/>
      <c r="O583" s="38">
        <f t="shared" si="48"/>
        <v>0</v>
      </c>
      <c r="P583" s="12"/>
      <c r="Q583" s="42"/>
      <c r="R583" s="15"/>
      <c r="S583" s="44"/>
      <c r="T583" s="15"/>
      <c r="U583" s="44"/>
      <c r="V583" s="15">
        <f t="shared" si="53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4"/>
        <v>0</v>
      </c>
      <c r="AF583" s="101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5"/>
        <v>0</v>
      </c>
      <c r="BA583" s="15"/>
      <c r="BB583" s="44"/>
      <c r="BC583" s="15"/>
      <c r="BD583" s="44"/>
      <c r="BE583" s="15">
        <f t="shared" si="56"/>
        <v>0</v>
      </c>
    </row>
    <row r="584" spans="1:57" s="8" customFormat="1" ht="22.5" customHeight="1">
      <c r="A584" s="9">
        <v>999</v>
      </c>
      <c r="B584" s="18" t="s">
        <v>172</v>
      </c>
      <c r="C584" s="89" t="s">
        <v>132</v>
      </c>
      <c r="D584" s="58" t="s">
        <v>877</v>
      </c>
      <c r="E584" s="19"/>
      <c r="F584" s="20"/>
      <c r="G584" s="21"/>
      <c r="H584" s="21" t="s">
        <v>67</v>
      </c>
      <c r="I584" s="14"/>
      <c r="J584" s="14"/>
      <c r="K584" s="12">
        <v>0</v>
      </c>
      <c r="L584" s="9"/>
      <c r="M584" s="9"/>
      <c r="N584" s="9"/>
      <c r="O584" s="38">
        <f t="shared" si="48"/>
        <v>0</v>
      </c>
      <c r="P584" s="12"/>
      <c r="Q584" s="42"/>
      <c r="R584" s="15"/>
      <c r="S584" s="44"/>
      <c r="T584" s="15"/>
      <c r="U584" s="44"/>
      <c r="V584" s="15">
        <f t="shared" si="53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4"/>
        <v>0</v>
      </c>
      <c r="AF584" s="101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5"/>
        <v>0</v>
      </c>
      <c r="BA584" s="15"/>
      <c r="BB584" s="44"/>
      <c r="BC584" s="15"/>
      <c r="BD584" s="44"/>
      <c r="BE584" s="15">
        <f t="shared" si="56"/>
        <v>0</v>
      </c>
    </row>
    <row r="585" spans="1:57" s="8" customFormat="1" ht="22.5" customHeight="1">
      <c r="A585" s="9">
        <v>999</v>
      </c>
      <c r="B585" s="18" t="s">
        <v>120</v>
      </c>
      <c r="C585" s="89" t="s">
        <v>132</v>
      </c>
      <c r="D585" s="58" t="s">
        <v>878</v>
      </c>
      <c r="E585" s="35"/>
      <c r="F585" s="20"/>
      <c r="G585" s="21"/>
      <c r="H585" s="21" t="s">
        <v>67</v>
      </c>
      <c r="I585" s="14"/>
      <c r="J585" s="14"/>
      <c r="K585" s="12">
        <v>0</v>
      </c>
      <c r="L585" s="9"/>
      <c r="M585" s="9"/>
      <c r="N585" s="9"/>
      <c r="O585" s="38">
        <f t="shared" si="48"/>
        <v>0</v>
      </c>
      <c r="P585" s="12"/>
      <c r="Q585" s="42"/>
      <c r="R585" s="15"/>
      <c r="S585" s="44"/>
      <c r="T585" s="15"/>
      <c r="U585" s="44"/>
      <c r="V585" s="15">
        <f t="shared" si="53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4"/>
        <v>0</v>
      </c>
      <c r="AF585" s="101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5"/>
        <v>0</v>
      </c>
      <c r="BA585" s="15"/>
      <c r="BB585" s="44"/>
      <c r="BC585" s="15"/>
      <c r="BD585" s="44"/>
      <c r="BE585" s="15">
        <f t="shared" si="56"/>
        <v>0</v>
      </c>
    </row>
    <row r="586" spans="1:57" s="8" customFormat="1" ht="22.5" customHeight="1">
      <c r="A586" s="9">
        <v>999</v>
      </c>
      <c r="B586" s="16" t="s">
        <v>120</v>
      </c>
      <c r="C586" s="89" t="s">
        <v>48</v>
      </c>
      <c r="D586" s="74" t="s">
        <v>879</v>
      </c>
      <c r="E586" s="13" t="s">
        <v>880</v>
      </c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8"/>
        <v>0</v>
      </c>
      <c r="P586" s="12"/>
      <c r="Q586" s="42"/>
      <c r="R586" s="15"/>
      <c r="S586" s="44"/>
      <c r="T586" s="15"/>
      <c r="U586" s="44"/>
      <c r="V586" s="15">
        <f t="shared" si="53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4"/>
        <v>0</v>
      </c>
      <c r="AF586" s="101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5"/>
        <v>0</v>
      </c>
      <c r="BA586" s="15"/>
      <c r="BB586" s="44"/>
      <c r="BC586" s="15"/>
      <c r="BD586" s="44"/>
      <c r="BE586" s="15">
        <f t="shared" si="56"/>
        <v>0</v>
      </c>
    </row>
    <row r="587" spans="1:57" s="8" customFormat="1" ht="22.5" customHeight="1">
      <c r="A587" s="9">
        <v>999</v>
      </c>
      <c r="B587" s="16" t="s">
        <v>120</v>
      </c>
      <c r="C587" s="89" t="s">
        <v>48</v>
      </c>
      <c r="D587" s="72" t="s">
        <v>881</v>
      </c>
      <c r="E587" s="13" t="s">
        <v>882</v>
      </c>
      <c r="F587" s="12"/>
      <c r="G587" s="9"/>
      <c r="H587" s="9" t="s">
        <v>67</v>
      </c>
      <c r="I587" s="14"/>
      <c r="J587" s="14"/>
      <c r="K587" s="12">
        <v>0</v>
      </c>
      <c r="L587" s="9"/>
      <c r="M587" s="9"/>
      <c r="N587" s="9"/>
      <c r="O587" s="38">
        <f t="shared" si="48"/>
        <v>0</v>
      </c>
      <c r="P587" s="12"/>
      <c r="Q587" s="42"/>
      <c r="R587" s="15"/>
      <c r="S587" s="44"/>
      <c r="T587" s="15"/>
      <c r="U587" s="44"/>
      <c r="V587" s="15">
        <f t="shared" si="53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4"/>
        <v>0</v>
      </c>
      <c r="AF587" s="101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5"/>
        <v>0</v>
      </c>
      <c r="BA587" s="15"/>
      <c r="BB587" s="44"/>
      <c r="BC587" s="15"/>
      <c r="BD587" s="44"/>
      <c r="BE587" s="15">
        <f t="shared" si="56"/>
        <v>0</v>
      </c>
    </row>
    <row r="588" spans="1:57" s="8" customFormat="1" ht="22.5" customHeight="1">
      <c r="A588" s="9">
        <v>999</v>
      </c>
      <c r="B588" s="16" t="s">
        <v>120</v>
      </c>
      <c r="C588" s="89" t="s">
        <v>48</v>
      </c>
      <c r="D588" s="72" t="s">
        <v>883</v>
      </c>
      <c r="E588" s="13" t="s">
        <v>884</v>
      </c>
      <c r="F588" s="12"/>
      <c r="G588" s="9"/>
      <c r="H588" s="9" t="s">
        <v>67</v>
      </c>
      <c r="I588" s="14"/>
      <c r="J588" s="14"/>
      <c r="K588" s="12">
        <v>0</v>
      </c>
      <c r="L588" s="9"/>
      <c r="M588" s="9"/>
      <c r="N588" s="9"/>
      <c r="O588" s="38">
        <f t="shared" si="48"/>
        <v>0</v>
      </c>
      <c r="P588" s="12"/>
      <c r="Q588" s="42"/>
      <c r="R588" s="15"/>
      <c r="S588" s="44"/>
      <c r="T588" s="15"/>
      <c r="U588" s="44"/>
      <c r="V588" s="15">
        <f t="shared" si="53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4"/>
        <v>0</v>
      </c>
      <c r="AF588" s="101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5"/>
        <v>0</v>
      </c>
      <c r="BA588" s="15"/>
      <c r="BB588" s="44"/>
      <c r="BC588" s="15"/>
      <c r="BD588" s="44"/>
      <c r="BE588" s="15">
        <f t="shared" si="56"/>
        <v>0</v>
      </c>
    </row>
    <row r="589" spans="1:57" s="8" customFormat="1" ht="22.5" customHeight="1">
      <c r="A589" s="9">
        <v>999</v>
      </c>
      <c r="B589" s="16" t="s">
        <v>172</v>
      </c>
      <c r="C589" s="89" t="s">
        <v>48</v>
      </c>
      <c r="D589" s="72" t="s">
        <v>415</v>
      </c>
      <c r="E589" s="13"/>
      <c r="F589" s="12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8"/>
        <v>0</v>
      </c>
      <c r="P589" s="12"/>
      <c r="Q589" s="42"/>
      <c r="R589" s="15"/>
      <c r="S589" s="44"/>
      <c r="T589" s="15"/>
      <c r="U589" s="44"/>
      <c r="V589" s="15">
        <f t="shared" si="53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4"/>
        <v>0</v>
      </c>
      <c r="AF589" s="101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5"/>
        <v>0</v>
      </c>
      <c r="BA589" s="15"/>
      <c r="BB589" s="44"/>
      <c r="BC589" s="15"/>
      <c r="BD589" s="44"/>
      <c r="BE589" s="15">
        <f t="shared" si="56"/>
        <v>0</v>
      </c>
    </row>
    <row r="590" spans="1:57" s="8" customFormat="1" ht="22.5" customHeight="1">
      <c r="A590" s="9"/>
      <c r="B590" s="18" t="s">
        <v>172</v>
      </c>
      <c r="C590" s="89" t="s">
        <v>52</v>
      </c>
      <c r="D590" s="58" t="s">
        <v>253</v>
      </c>
      <c r="E590" s="35"/>
      <c r="F590" s="96"/>
      <c r="G590" s="21"/>
      <c r="H590" s="21" t="s">
        <v>67</v>
      </c>
      <c r="I590" s="14"/>
      <c r="J590" s="14"/>
      <c r="K590" s="12">
        <v>0</v>
      </c>
      <c r="L590" s="9"/>
      <c r="M590" s="9"/>
      <c r="N590" s="9"/>
      <c r="O590" s="38">
        <f t="shared" si="48"/>
        <v>0</v>
      </c>
      <c r="P590" s="12"/>
      <c r="Q590" s="42"/>
      <c r="R590" s="15"/>
      <c r="S590" s="44"/>
      <c r="T590" s="15"/>
      <c r="U590" s="44"/>
      <c r="V590" s="15">
        <f t="shared" si="53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4"/>
        <v>0</v>
      </c>
      <c r="AF590" s="101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5"/>
        <v>0</v>
      </c>
      <c r="BA590" s="15"/>
      <c r="BB590" s="44"/>
      <c r="BC590" s="15"/>
      <c r="BD590" s="44"/>
      <c r="BE590" s="15">
        <f t="shared" si="56"/>
        <v>0</v>
      </c>
    </row>
    <row r="591" spans="1:57" s="8" customFormat="1" ht="22.5" customHeight="1">
      <c r="A591" s="9"/>
      <c r="B591" s="18" t="s">
        <v>172</v>
      </c>
      <c r="C591" s="89" t="s">
        <v>52</v>
      </c>
      <c r="D591" s="67" t="s">
        <v>885</v>
      </c>
      <c r="E591" s="35"/>
      <c r="F591" s="96"/>
      <c r="G591" s="21"/>
      <c r="H591" s="21" t="s">
        <v>67</v>
      </c>
      <c r="I591" s="14"/>
      <c r="J591" s="14"/>
      <c r="K591" s="12">
        <v>0</v>
      </c>
      <c r="L591" s="9"/>
      <c r="M591" s="9"/>
      <c r="N591" s="9"/>
      <c r="O591" s="38">
        <f t="shared" si="48"/>
        <v>0</v>
      </c>
      <c r="P591" s="12"/>
      <c r="Q591" s="42"/>
      <c r="R591" s="15"/>
      <c r="S591" s="44"/>
      <c r="T591" s="15"/>
      <c r="U591" s="44"/>
      <c r="V591" s="15">
        <f t="shared" si="53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4"/>
        <v>0</v>
      </c>
      <c r="AF591" s="101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5"/>
        <v>0</v>
      </c>
      <c r="BA591" s="15"/>
      <c r="BB591" s="44"/>
      <c r="BC591" s="15"/>
      <c r="BD591" s="44"/>
      <c r="BE591" s="15">
        <f t="shared" si="56"/>
        <v>0</v>
      </c>
    </row>
    <row r="592" spans="1:57" s="8" customFormat="1" ht="22.5" customHeight="1">
      <c r="A592" s="9"/>
      <c r="B592" s="16" t="s">
        <v>172</v>
      </c>
      <c r="C592" s="89" t="s">
        <v>52</v>
      </c>
      <c r="D592" s="80" t="s">
        <v>497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8"/>
        <v>0</v>
      </c>
      <c r="P592" s="12"/>
      <c r="Q592" s="42"/>
      <c r="R592" s="15"/>
      <c r="S592" s="44"/>
      <c r="T592" s="15"/>
      <c r="U592" s="44"/>
      <c r="V592" s="15">
        <f t="shared" si="53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4"/>
        <v>0</v>
      </c>
      <c r="AF592" s="101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5"/>
        <v>0</v>
      </c>
      <c r="BA592" s="15"/>
      <c r="BB592" s="44"/>
      <c r="BC592" s="15"/>
      <c r="BD592" s="44"/>
      <c r="BE592" s="15">
        <f t="shared" si="56"/>
        <v>0</v>
      </c>
    </row>
    <row r="593" spans="1:57" s="8" customFormat="1" ht="22.5" customHeight="1">
      <c r="A593" s="9"/>
      <c r="B593" s="16" t="s">
        <v>172</v>
      </c>
      <c r="C593" s="89" t="s">
        <v>52</v>
      </c>
      <c r="D593" s="61" t="s">
        <v>886</v>
      </c>
      <c r="E593" s="13"/>
      <c r="F593" s="96"/>
      <c r="G593" s="9"/>
      <c r="H593" s="9" t="s">
        <v>420</v>
      </c>
      <c r="I593" s="14"/>
      <c r="J593" s="14"/>
      <c r="K593" s="12">
        <v>0</v>
      </c>
      <c r="L593" s="9"/>
      <c r="M593" s="9"/>
      <c r="N593" s="9"/>
      <c r="O593" s="38">
        <f t="shared" si="48"/>
        <v>0</v>
      </c>
      <c r="P593" s="12"/>
      <c r="Q593" s="42"/>
      <c r="R593" s="15"/>
      <c r="S593" s="44"/>
      <c r="T593" s="15"/>
      <c r="U593" s="44"/>
      <c r="V593" s="15">
        <f t="shared" si="53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4"/>
        <v>0</v>
      </c>
      <c r="AF593" s="101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5"/>
        <v>0</v>
      </c>
      <c r="BA593" s="15"/>
      <c r="BB593" s="44"/>
      <c r="BC593" s="15"/>
      <c r="BD593" s="44"/>
      <c r="BE593" s="15">
        <f t="shared" si="56"/>
        <v>0</v>
      </c>
    </row>
    <row r="594" spans="1:57" s="8" customFormat="1" ht="22.5" customHeight="1">
      <c r="A594" s="9"/>
      <c r="B594" s="16" t="s">
        <v>172</v>
      </c>
      <c r="C594" s="89" t="s">
        <v>52</v>
      </c>
      <c r="D594" s="80" t="s">
        <v>887</v>
      </c>
      <c r="E594" s="13"/>
      <c r="F594" s="96"/>
      <c r="G594" s="9"/>
      <c r="H594" s="9" t="s">
        <v>420</v>
      </c>
      <c r="I594" s="14"/>
      <c r="J594" s="14"/>
      <c r="K594" s="12">
        <v>0</v>
      </c>
      <c r="L594" s="9"/>
      <c r="M594" s="9"/>
      <c r="N594" s="9"/>
      <c r="O594" s="38">
        <f t="shared" si="48"/>
        <v>0</v>
      </c>
      <c r="P594" s="12"/>
      <c r="Q594" s="42"/>
      <c r="R594" s="15"/>
      <c r="S594" s="44"/>
      <c r="T594" s="15"/>
      <c r="U594" s="44"/>
      <c r="V594" s="15">
        <f t="shared" si="53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4"/>
        <v>0</v>
      </c>
      <c r="AF594" s="101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5"/>
        <v>0</v>
      </c>
      <c r="BA594" s="15"/>
      <c r="BB594" s="44"/>
      <c r="BC594" s="15"/>
      <c r="BD594" s="44"/>
      <c r="BE594" s="15">
        <f t="shared" si="56"/>
        <v>0</v>
      </c>
    </row>
    <row r="595" spans="1:57" s="8" customFormat="1" ht="22.5" customHeight="1">
      <c r="A595" s="9"/>
      <c r="B595" s="16" t="s">
        <v>172</v>
      </c>
      <c r="C595" s="89" t="s">
        <v>494</v>
      </c>
      <c r="D595" s="84" t="s">
        <v>498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8"/>
        <v>0</v>
      </c>
      <c r="P595" s="12"/>
      <c r="Q595" s="42"/>
      <c r="R595" s="15"/>
      <c r="S595" s="44"/>
      <c r="T595" s="15"/>
      <c r="U595" s="44"/>
      <c r="V595" s="15">
        <f t="shared" si="53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4"/>
        <v>0</v>
      </c>
      <c r="AF595" s="101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5"/>
        <v>0</v>
      </c>
      <c r="BA595" s="15"/>
      <c r="BB595" s="44"/>
      <c r="BC595" s="15"/>
      <c r="BD595" s="44"/>
      <c r="BE595" s="15">
        <f t="shared" si="56"/>
        <v>0</v>
      </c>
    </row>
    <row r="596" spans="1:57" s="8" customFormat="1" ht="22.5" customHeight="1">
      <c r="A596" s="9"/>
      <c r="B596" s="16" t="s">
        <v>172</v>
      </c>
      <c r="C596" s="89" t="s">
        <v>494</v>
      </c>
      <c r="D596" s="84" t="s">
        <v>888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8"/>
        <v>0</v>
      </c>
      <c r="P596" s="12"/>
      <c r="Q596" s="42"/>
      <c r="R596" s="15"/>
      <c r="S596" s="44"/>
      <c r="T596" s="15"/>
      <c r="U596" s="44"/>
      <c r="V596" s="15">
        <f t="shared" si="53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4"/>
        <v>0</v>
      </c>
      <c r="AF596" s="101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5"/>
        <v>0</v>
      </c>
      <c r="BA596" s="15"/>
      <c r="BB596" s="44"/>
      <c r="BC596" s="15"/>
      <c r="BD596" s="44"/>
      <c r="BE596" s="15">
        <f t="shared" si="56"/>
        <v>0</v>
      </c>
    </row>
    <row r="597" spans="1:57" s="8" customFormat="1" ht="22.5" customHeight="1">
      <c r="A597" s="9"/>
      <c r="B597" s="16" t="s">
        <v>172</v>
      </c>
      <c r="C597" s="89" t="s">
        <v>52</v>
      </c>
      <c r="D597" s="84" t="s">
        <v>889</v>
      </c>
      <c r="E597" s="13"/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8"/>
        <v>0</v>
      </c>
      <c r="P597" s="12"/>
      <c r="Q597" s="42"/>
      <c r="R597" s="15"/>
      <c r="S597" s="44"/>
      <c r="T597" s="15"/>
      <c r="U597" s="44"/>
      <c r="V597" s="15">
        <f t="shared" si="53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4"/>
        <v>0</v>
      </c>
      <c r="AF597" s="101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5"/>
        <v>0</v>
      </c>
      <c r="BA597" s="15"/>
      <c r="BB597" s="44"/>
      <c r="BC597" s="15"/>
      <c r="BD597" s="44"/>
      <c r="BE597" s="15">
        <f t="shared" si="56"/>
        <v>0</v>
      </c>
    </row>
    <row r="598" spans="1:57" s="8" customFormat="1" ht="22.5" customHeight="1">
      <c r="A598" s="9"/>
      <c r="B598" s="16" t="s">
        <v>172</v>
      </c>
      <c r="C598" s="89" t="s">
        <v>52</v>
      </c>
      <c r="D598" s="84" t="s">
        <v>890</v>
      </c>
      <c r="E598" s="13"/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si="48"/>
        <v>0</v>
      </c>
      <c r="P598" s="12"/>
      <c r="Q598" s="42"/>
      <c r="R598" s="15"/>
      <c r="S598" s="44"/>
      <c r="T598" s="15"/>
      <c r="U598" s="44"/>
      <c r="V598" s="15">
        <f t="shared" si="53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4"/>
        <v>0</v>
      </c>
      <c r="AF598" s="101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5"/>
        <v>0</v>
      </c>
      <c r="BA598" s="15"/>
      <c r="BB598" s="44"/>
      <c r="BC598" s="15"/>
      <c r="BD598" s="44"/>
      <c r="BE598" s="15">
        <f t="shared" si="56"/>
        <v>0</v>
      </c>
    </row>
    <row r="599" spans="1:57" s="8" customFormat="1" ht="22.5" customHeight="1">
      <c r="A599" s="9"/>
      <c r="B599" s="16" t="s">
        <v>172</v>
      </c>
      <c r="C599" s="89" t="s">
        <v>494</v>
      </c>
      <c r="D599" s="84" t="s">
        <v>891</v>
      </c>
      <c r="E599" s="13"/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48"/>
        <v>0</v>
      </c>
      <c r="P599" s="12"/>
      <c r="Q599" s="42"/>
      <c r="R599" s="15"/>
      <c r="S599" s="44"/>
      <c r="T599" s="15"/>
      <c r="U599" s="44"/>
      <c r="V599" s="15">
        <f t="shared" si="53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4"/>
        <v>0</v>
      </c>
      <c r="AF599" s="101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5"/>
        <v>0</v>
      </c>
      <c r="BA599" s="15"/>
      <c r="BB599" s="44"/>
      <c r="BC599" s="15"/>
      <c r="BD599" s="44"/>
      <c r="BE599" s="15">
        <f t="shared" si="56"/>
        <v>0</v>
      </c>
    </row>
    <row r="600" spans="1:57" s="8" customFormat="1" ht="22.5" customHeight="1">
      <c r="A600" s="9"/>
      <c r="B600" s="16" t="s">
        <v>172</v>
      </c>
      <c r="C600" s="89" t="s">
        <v>494</v>
      </c>
      <c r="D600" s="80" t="s">
        <v>500</v>
      </c>
      <c r="E600" s="13" t="s">
        <v>578</v>
      </c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48"/>
        <v>0</v>
      </c>
      <c r="P600" s="12"/>
      <c r="Q600" s="42"/>
      <c r="R600" s="15"/>
      <c r="S600" s="44"/>
      <c r="T600" s="15"/>
      <c r="U600" s="44"/>
      <c r="V600" s="15">
        <f t="shared" si="53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4"/>
        <v>0</v>
      </c>
      <c r="AF600" s="101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5"/>
        <v>0</v>
      </c>
      <c r="BA600" s="15"/>
      <c r="BB600" s="44"/>
      <c r="BC600" s="15"/>
      <c r="BD600" s="44"/>
      <c r="BE600" s="15">
        <f t="shared" si="56"/>
        <v>0</v>
      </c>
    </row>
    <row r="601" spans="1:57" s="8" customFormat="1" ht="22.5" customHeight="1">
      <c r="A601" s="9"/>
      <c r="B601" s="16" t="s">
        <v>172</v>
      </c>
      <c r="C601" s="89" t="s">
        <v>52</v>
      </c>
      <c r="D601" s="61" t="s">
        <v>892</v>
      </c>
      <c r="E601" s="13" t="s">
        <v>893</v>
      </c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ref="O601:O632" si="57">K601+V601-AE601-AZ601</f>
        <v>0</v>
      </c>
      <c r="P601" s="12"/>
      <c r="Q601" s="42"/>
      <c r="R601" s="15"/>
      <c r="S601" s="44"/>
      <c r="T601" s="15"/>
      <c r="U601" s="44"/>
      <c r="V601" s="15">
        <f t="shared" si="53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4"/>
        <v>0</v>
      </c>
      <c r="AF601" s="101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5"/>
        <v>0</v>
      </c>
      <c r="BA601" s="15"/>
      <c r="BB601" s="44"/>
      <c r="BC601" s="15"/>
      <c r="BD601" s="44"/>
      <c r="BE601" s="15">
        <f t="shared" si="56"/>
        <v>0</v>
      </c>
    </row>
    <row r="602" spans="1:57" s="8" customFormat="1" ht="22.5" customHeight="1">
      <c r="A602" s="9"/>
      <c r="B602" s="16" t="s">
        <v>172</v>
      </c>
      <c r="C602" s="89" t="s">
        <v>52</v>
      </c>
      <c r="D602" s="61" t="s">
        <v>892</v>
      </c>
      <c r="E602" s="13" t="s">
        <v>894</v>
      </c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7"/>
        <v>0</v>
      </c>
      <c r="P602" s="12"/>
      <c r="Q602" s="42"/>
      <c r="R602" s="15"/>
      <c r="S602" s="44"/>
      <c r="T602" s="15"/>
      <c r="U602" s="44"/>
      <c r="V602" s="15">
        <f t="shared" si="53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4"/>
        <v>0</v>
      </c>
      <c r="AF602" s="101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5"/>
        <v>0</v>
      </c>
      <c r="BA602" s="15"/>
      <c r="BB602" s="44"/>
      <c r="BC602" s="15"/>
      <c r="BD602" s="44"/>
      <c r="BE602" s="15">
        <f t="shared" si="56"/>
        <v>0</v>
      </c>
    </row>
    <row r="603" spans="1:57" s="8" customFormat="1" ht="22.5" customHeight="1">
      <c r="A603" s="9"/>
      <c r="B603" s="16" t="s">
        <v>172</v>
      </c>
      <c r="C603" s="89" t="s">
        <v>52</v>
      </c>
      <c r="D603" s="80" t="s">
        <v>895</v>
      </c>
      <c r="E603" s="13"/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7"/>
        <v>0</v>
      </c>
      <c r="P603" s="12"/>
      <c r="Q603" s="42"/>
      <c r="R603" s="15"/>
      <c r="S603" s="44"/>
      <c r="T603" s="15"/>
      <c r="U603" s="44"/>
      <c r="V603" s="15">
        <f t="shared" si="53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4"/>
        <v>0</v>
      </c>
      <c r="AF603" s="101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5"/>
        <v>0</v>
      </c>
      <c r="BA603" s="15"/>
      <c r="BB603" s="44"/>
      <c r="BC603" s="15"/>
      <c r="BD603" s="44"/>
      <c r="BE603" s="15">
        <f t="shared" si="56"/>
        <v>0</v>
      </c>
    </row>
    <row r="604" spans="1:57" s="8" customFormat="1" ht="22.5" customHeight="1">
      <c r="A604" s="9"/>
      <c r="B604" s="16" t="s">
        <v>172</v>
      </c>
      <c r="C604" s="89" t="s">
        <v>52</v>
      </c>
      <c r="D604" s="80" t="s">
        <v>896</v>
      </c>
      <c r="E604" s="13"/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7"/>
        <v>0</v>
      </c>
      <c r="P604" s="12"/>
      <c r="Q604" s="42"/>
      <c r="R604" s="15"/>
      <c r="S604" s="44"/>
      <c r="T604" s="15"/>
      <c r="U604" s="44"/>
      <c r="V604" s="15">
        <f t="shared" si="53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4"/>
        <v>0</v>
      </c>
      <c r="AF604" s="101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5"/>
        <v>0</v>
      </c>
      <c r="BA604" s="15"/>
      <c r="BB604" s="44"/>
      <c r="BC604" s="15"/>
      <c r="BD604" s="44"/>
      <c r="BE604" s="15">
        <f t="shared" si="56"/>
        <v>0</v>
      </c>
    </row>
    <row r="605" spans="1:57" s="8" customFormat="1" ht="22.5" customHeight="1">
      <c r="A605" s="9"/>
      <c r="B605" s="16" t="s">
        <v>172</v>
      </c>
      <c r="C605" s="89" t="s">
        <v>52</v>
      </c>
      <c r="D605" s="80" t="s">
        <v>897</v>
      </c>
      <c r="E605" s="13"/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7"/>
        <v>0</v>
      </c>
      <c r="P605" s="12"/>
      <c r="Q605" s="42"/>
      <c r="R605" s="15"/>
      <c r="S605" s="44"/>
      <c r="T605" s="15"/>
      <c r="U605" s="44"/>
      <c r="V605" s="15">
        <f t="shared" si="53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4"/>
        <v>0</v>
      </c>
      <c r="AF605" s="101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5"/>
        <v>0</v>
      </c>
      <c r="BA605" s="15"/>
      <c r="BB605" s="44"/>
      <c r="BC605" s="15"/>
      <c r="BD605" s="44"/>
      <c r="BE605" s="15">
        <f t="shared" si="56"/>
        <v>0</v>
      </c>
    </row>
    <row r="606" spans="1:57" s="8" customFormat="1" ht="22.5" customHeight="1">
      <c r="A606" s="9"/>
      <c r="B606" s="16" t="s">
        <v>172</v>
      </c>
      <c r="C606" s="89" t="s">
        <v>52</v>
      </c>
      <c r="D606" s="80" t="s">
        <v>898</v>
      </c>
      <c r="E606" s="13" t="s">
        <v>899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7"/>
        <v>0</v>
      </c>
      <c r="P606" s="12"/>
      <c r="Q606" s="42"/>
      <c r="R606" s="15"/>
      <c r="S606" s="44"/>
      <c r="T606" s="15"/>
      <c r="U606" s="44"/>
      <c r="V606" s="15">
        <f t="shared" si="53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4"/>
        <v>0</v>
      </c>
      <c r="AF606" s="101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5"/>
        <v>0</v>
      </c>
      <c r="BA606" s="15"/>
      <c r="BB606" s="44"/>
      <c r="BC606" s="15"/>
      <c r="BD606" s="44"/>
      <c r="BE606" s="15">
        <f t="shared" si="56"/>
        <v>0</v>
      </c>
    </row>
    <row r="607" spans="1:57" s="8" customFormat="1" ht="22.5" customHeight="1">
      <c r="A607" s="9"/>
      <c r="B607" s="16" t="s">
        <v>172</v>
      </c>
      <c r="C607" s="89" t="s">
        <v>52</v>
      </c>
      <c r="D607" s="80" t="s">
        <v>900</v>
      </c>
      <c r="E607" s="13" t="s">
        <v>737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7"/>
        <v>0</v>
      </c>
      <c r="P607" s="12"/>
      <c r="Q607" s="42"/>
      <c r="R607" s="15"/>
      <c r="S607" s="44"/>
      <c r="T607" s="15"/>
      <c r="U607" s="44"/>
      <c r="V607" s="15">
        <f t="shared" si="53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4"/>
        <v>0</v>
      </c>
      <c r="AF607" s="101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5"/>
        <v>0</v>
      </c>
      <c r="BA607" s="15"/>
      <c r="BB607" s="44"/>
      <c r="BC607" s="15"/>
      <c r="BD607" s="44"/>
      <c r="BE607" s="15">
        <f t="shared" si="56"/>
        <v>0</v>
      </c>
    </row>
    <row r="608" spans="1:57" s="8" customFormat="1" ht="22.5" customHeight="1">
      <c r="A608" s="9"/>
      <c r="B608" s="16" t="s">
        <v>172</v>
      </c>
      <c r="C608" s="89" t="s">
        <v>52</v>
      </c>
      <c r="D608" s="80" t="s">
        <v>900</v>
      </c>
      <c r="E608" s="13" t="s">
        <v>136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7"/>
        <v>0</v>
      </c>
      <c r="P608" s="12"/>
      <c r="Q608" s="42"/>
      <c r="R608" s="15"/>
      <c r="S608" s="44"/>
      <c r="T608" s="15"/>
      <c r="U608" s="44"/>
      <c r="V608" s="15">
        <f t="shared" si="53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4"/>
        <v>0</v>
      </c>
      <c r="AF608" s="101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5"/>
        <v>0</v>
      </c>
      <c r="BA608" s="15"/>
      <c r="BB608" s="44"/>
      <c r="BC608" s="15"/>
      <c r="BD608" s="44"/>
      <c r="BE608" s="15">
        <f t="shared" si="56"/>
        <v>0</v>
      </c>
    </row>
    <row r="609" spans="1:57" s="8" customFormat="1" ht="22.5" customHeight="1">
      <c r="A609" s="9"/>
      <c r="B609" s="16" t="s">
        <v>120</v>
      </c>
      <c r="C609" s="89" t="s">
        <v>52</v>
      </c>
      <c r="D609" s="56" t="s">
        <v>901</v>
      </c>
      <c r="E609" s="13" t="s">
        <v>902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7"/>
        <v>0</v>
      </c>
      <c r="P609" s="12"/>
      <c r="Q609" s="42"/>
      <c r="R609" s="15"/>
      <c r="S609" s="44"/>
      <c r="T609" s="15"/>
      <c r="U609" s="44"/>
      <c r="V609" s="15">
        <f t="shared" si="53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4"/>
        <v>0</v>
      </c>
      <c r="AF609" s="101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5"/>
        <v>0</v>
      </c>
      <c r="BA609" s="15"/>
      <c r="BB609" s="44"/>
      <c r="BC609" s="15"/>
      <c r="BD609" s="44"/>
      <c r="BE609" s="15">
        <f t="shared" si="56"/>
        <v>0</v>
      </c>
    </row>
    <row r="610" spans="1:57" s="8" customFormat="1" ht="22.5" customHeight="1">
      <c r="A610" s="9"/>
      <c r="B610" s="16" t="s">
        <v>120</v>
      </c>
      <c r="C610" s="89" t="s">
        <v>52</v>
      </c>
      <c r="D610" s="80" t="s">
        <v>202</v>
      </c>
      <c r="E610" s="13" t="s">
        <v>903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7"/>
        <v>0</v>
      </c>
      <c r="P610" s="12"/>
      <c r="Q610" s="42"/>
      <c r="R610" s="15"/>
      <c r="S610" s="44"/>
      <c r="T610" s="15"/>
      <c r="U610" s="44"/>
      <c r="V610" s="15">
        <f t="shared" si="53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4"/>
        <v>0</v>
      </c>
      <c r="AF610" s="101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5"/>
        <v>0</v>
      </c>
      <c r="BA610" s="15"/>
      <c r="BB610" s="44"/>
      <c r="BC610" s="15"/>
      <c r="BD610" s="44"/>
      <c r="BE610" s="15">
        <f t="shared" si="56"/>
        <v>0</v>
      </c>
    </row>
    <row r="611" spans="1:57" s="8" customFormat="1" ht="22.5" customHeight="1">
      <c r="A611" s="9"/>
      <c r="B611" s="16" t="s">
        <v>120</v>
      </c>
      <c r="C611" s="89" t="s">
        <v>494</v>
      </c>
      <c r="D611" s="80" t="s">
        <v>904</v>
      </c>
      <c r="E611" s="13" t="s">
        <v>905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7"/>
        <v>0</v>
      </c>
      <c r="P611" s="12"/>
      <c r="Q611" s="42"/>
      <c r="R611" s="15"/>
      <c r="S611" s="44"/>
      <c r="T611" s="15"/>
      <c r="U611" s="44"/>
      <c r="V611" s="15">
        <f t="shared" si="53"/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si="54"/>
        <v>0</v>
      </c>
      <c r="AF611" s="101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si="55"/>
        <v>0</v>
      </c>
      <c r="BA611" s="15"/>
      <c r="BB611" s="44"/>
      <c r="BC611" s="15"/>
      <c r="BD611" s="44"/>
      <c r="BE611" s="15">
        <f t="shared" si="56"/>
        <v>0</v>
      </c>
    </row>
    <row r="612" spans="1:57" s="8" customFormat="1" ht="22.5" customHeight="1">
      <c r="A612" s="9"/>
      <c r="B612" s="16" t="s">
        <v>120</v>
      </c>
      <c r="C612" s="89" t="s">
        <v>52</v>
      </c>
      <c r="D612" s="80" t="s">
        <v>881</v>
      </c>
      <c r="E612" s="13" t="s">
        <v>906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7"/>
        <v>0</v>
      </c>
      <c r="P612" s="12"/>
      <c r="Q612" s="42"/>
      <c r="R612" s="15"/>
      <c r="S612" s="44"/>
      <c r="T612" s="15"/>
      <c r="U612" s="44"/>
      <c r="V612" s="15">
        <f t="shared" si="53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4"/>
        <v>0</v>
      </c>
      <c r="AF612" s="101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5"/>
        <v>0</v>
      </c>
      <c r="BA612" s="15"/>
      <c r="BB612" s="44"/>
      <c r="BC612" s="15"/>
      <c r="BD612" s="44"/>
      <c r="BE612" s="15">
        <f t="shared" si="56"/>
        <v>0</v>
      </c>
    </row>
    <row r="613" spans="1:57" s="8" customFormat="1" ht="22.5" customHeight="1">
      <c r="A613" s="9"/>
      <c r="B613" s="16" t="s">
        <v>120</v>
      </c>
      <c r="C613" s="89" t="s">
        <v>52</v>
      </c>
      <c r="D613" s="80" t="s">
        <v>907</v>
      </c>
      <c r="E613" s="13" t="s">
        <v>908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7"/>
        <v>0</v>
      </c>
      <c r="P613" s="12"/>
      <c r="Q613" s="42"/>
      <c r="R613" s="15"/>
      <c r="S613" s="44"/>
      <c r="T613" s="15"/>
      <c r="U613" s="44"/>
      <c r="V613" s="15">
        <f t="shared" si="53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4"/>
        <v>0</v>
      </c>
      <c r="AF613" s="101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5"/>
        <v>0</v>
      </c>
      <c r="BA613" s="15"/>
      <c r="BB613" s="44"/>
      <c r="BC613" s="15"/>
      <c r="BD613" s="44"/>
      <c r="BE613" s="15">
        <f t="shared" si="56"/>
        <v>0</v>
      </c>
    </row>
    <row r="614" spans="1:57" s="8" customFormat="1" ht="22.5" customHeight="1">
      <c r="A614" s="9"/>
      <c r="B614" s="16" t="s">
        <v>120</v>
      </c>
      <c r="C614" s="89" t="s">
        <v>52</v>
      </c>
      <c r="D614" s="83" t="s">
        <v>909</v>
      </c>
      <c r="E614" s="13" t="s">
        <v>910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7"/>
        <v>0</v>
      </c>
      <c r="P614" s="12"/>
      <c r="Q614" s="42"/>
      <c r="R614" s="15"/>
      <c r="S614" s="44"/>
      <c r="T614" s="15"/>
      <c r="U614" s="44"/>
      <c r="V614" s="15">
        <f t="shared" ref="V614:V645" si="58">P614+R614+T614</f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ref="AE614:AE645" si="59">(W614+Y614+AA614+AC614)</f>
        <v>0</v>
      </c>
      <c r="AF614" s="101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ref="AZ614:AZ645" si="60">AF614+AH614+AJ614+AL614+AN614+AP614+AR614+AT614+AV614+AX614</f>
        <v>0</v>
      </c>
      <c r="BA614" s="15"/>
      <c r="BB614" s="44"/>
      <c r="BC614" s="15"/>
      <c r="BD614" s="44"/>
      <c r="BE614" s="15">
        <f t="shared" ref="BE614:BE645" si="61">(BA614+BC614)</f>
        <v>0</v>
      </c>
    </row>
    <row r="615" spans="1:57" s="8" customFormat="1" ht="22.5" customHeight="1">
      <c r="A615" s="9"/>
      <c r="B615" s="16" t="s">
        <v>120</v>
      </c>
      <c r="C615" s="89" t="s">
        <v>52</v>
      </c>
      <c r="D615" s="56" t="s">
        <v>911</v>
      </c>
      <c r="E615" s="13" t="s">
        <v>525</v>
      </c>
      <c r="F615" s="96"/>
      <c r="G615" s="9"/>
      <c r="H615" s="9" t="s">
        <v>67</v>
      </c>
      <c r="I615" s="14"/>
      <c r="J615" s="14"/>
      <c r="K615" s="12">
        <v>0</v>
      </c>
      <c r="L615" s="9"/>
      <c r="M615" s="9"/>
      <c r="N615" s="9"/>
      <c r="O615" s="38">
        <f t="shared" si="57"/>
        <v>0</v>
      </c>
      <c r="P615" s="12"/>
      <c r="Q615" s="42"/>
      <c r="R615" s="15"/>
      <c r="S615" s="44"/>
      <c r="T615" s="15"/>
      <c r="U615" s="44"/>
      <c r="V615" s="15">
        <f t="shared" si="58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9"/>
        <v>0</v>
      </c>
      <c r="AF615" s="101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60"/>
        <v>0</v>
      </c>
      <c r="BA615" s="15"/>
      <c r="BB615" s="44"/>
      <c r="BC615" s="15"/>
      <c r="BD615" s="44"/>
      <c r="BE615" s="15">
        <f t="shared" si="61"/>
        <v>0</v>
      </c>
    </row>
    <row r="616" spans="1:57" s="8" customFormat="1" ht="22.5" customHeight="1">
      <c r="A616" s="9"/>
      <c r="B616" s="16" t="s">
        <v>120</v>
      </c>
      <c r="C616" s="89" t="s">
        <v>52</v>
      </c>
      <c r="D616" s="56" t="s">
        <v>912</v>
      </c>
      <c r="E616" s="13" t="s">
        <v>913</v>
      </c>
      <c r="F616" s="96"/>
      <c r="G616" s="9"/>
      <c r="H616" s="9" t="s">
        <v>67</v>
      </c>
      <c r="I616" s="14"/>
      <c r="J616" s="14"/>
      <c r="K616" s="12">
        <v>0</v>
      </c>
      <c r="L616" s="9"/>
      <c r="M616" s="9"/>
      <c r="N616" s="9"/>
      <c r="O616" s="38">
        <f t="shared" si="57"/>
        <v>0</v>
      </c>
      <c r="P616" s="12"/>
      <c r="Q616" s="42"/>
      <c r="R616" s="15"/>
      <c r="S616" s="44"/>
      <c r="T616" s="15"/>
      <c r="U616" s="44"/>
      <c r="V616" s="15">
        <f t="shared" si="58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9"/>
        <v>0</v>
      </c>
      <c r="AF616" s="101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60"/>
        <v>0</v>
      </c>
      <c r="BA616" s="15"/>
      <c r="BB616" s="44"/>
      <c r="BC616" s="15"/>
      <c r="BD616" s="44"/>
      <c r="BE616" s="15">
        <f t="shared" si="61"/>
        <v>0</v>
      </c>
    </row>
    <row r="617" spans="1:57" s="8" customFormat="1" ht="22.5" customHeight="1">
      <c r="A617" s="9"/>
      <c r="B617" s="16" t="s">
        <v>120</v>
      </c>
      <c r="C617" s="89" t="s">
        <v>52</v>
      </c>
      <c r="D617" s="56" t="s">
        <v>914</v>
      </c>
      <c r="E617" s="13" t="s">
        <v>915</v>
      </c>
      <c r="F617" s="96"/>
      <c r="G617" s="9"/>
      <c r="H617" s="9" t="s">
        <v>67</v>
      </c>
      <c r="I617" s="14"/>
      <c r="J617" s="14"/>
      <c r="K617" s="12">
        <v>0</v>
      </c>
      <c r="L617" s="9"/>
      <c r="M617" s="9"/>
      <c r="N617" s="9"/>
      <c r="O617" s="38">
        <f t="shared" si="57"/>
        <v>0</v>
      </c>
      <c r="P617" s="12"/>
      <c r="Q617" s="42"/>
      <c r="R617" s="15"/>
      <c r="S617" s="44"/>
      <c r="T617" s="15"/>
      <c r="U617" s="44"/>
      <c r="V617" s="15">
        <f t="shared" si="58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9"/>
        <v>0</v>
      </c>
      <c r="AF617" s="101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60"/>
        <v>0</v>
      </c>
      <c r="BA617" s="15"/>
      <c r="BB617" s="44"/>
      <c r="BC617" s="15"/>
      <c r="BD617" s="44"/>
      <c r="BE617" s="15">
        <f t="shared" si="61"/>
        <v>0</v>
      </c>
    </row>
    <row r="618" spans="1:57" s="8" customFormat="1" ht="22.5" customHeight="1">
      <c r="A618" s="9"/>
      <c r="B618" s="16" t="s">
        <v>187</v>
      </c>
      <c r="C618" s="89" t="s">
        <v>494</v>
      </c>
      <c r="D618" s="80" t="s">
        <v>916</v>
      </c>
      <c r="E618" s="13" t="s">
        <v>917</v>
      </c>
      <c r="F618" s="96"/>
      <c r="G618" s="9"/>
      <c r="H618" s="9" t="s">
        <v>527</v>
      </c>
      <c r="I618" s="14"/>
      <c r="J618" s="14"/>
      <c r="K618" s="12">
        <v>0</v>
      </c>
      <c r="L618" s="9"/>
      <c r="M618" s="9"/>
      <c r="N618" s="9"/>
      <c r="O618" s="38">
        <f t="shared" si="57"/>
        <v>0</v>
      </c>
      <c r="P618" s="12"/>
      <c r="Q618" s="42"/>
      <c r="R618" s="15"/>
      <c r="S618" s="44"/>
      <c r="T618" s="15"/>
      <c r="U618" s="44"/>
      <c r="V618" s="15">
        <f t="shared" si="58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9"/>
        <v>0</v>
      </c>
      <c r="AF618" s="101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60"/>
        <v>0</v>
      </c>
      <c r="BA618" s="15"/>
      <c r="BB618" s="44"/>
      <c r="BC618" s="15"/>
      <c r="BD618" s="44"/>
      <c r="BE618" s="15">
        <f t="shared" si="61"/>
        <v>0</v>
      </c>
    </row>
    <row r="619" spans="1:57" s="8" customFormat="1" ht="22.5" customHeight="1">
      <c r="A619" s="9"/>
      <c r="B619" s="16" t="s">
        <v>528</v>
      </c>
      <c r="C619" s="89" t="s">
        <v>494</v>
      </c>
      <c r="D619" s="80" t="s">
        <v>918</v>
      </c>
      <c r="E619" s="13" t="s">
        <v>917</v>
      </c>
      <c r="F619" s="96"/>
      <c r="G619" s="9"/>
      <c r="H619" s="9" t="s">
        <v>527</v>
      </c>
      <c r="I619" s="14"/>
      <c r="J619" s="14"/>
      <c r="K619" s="12">
        <v>0</v>
      </c>
      <c r="L619" s="9"/>
      <c r="M619" s="9"/>
      <c r="N619" s="9"/>
      <c r="O619" s="38">
        <f t="shared" si="57"/>
        <v>0</v>
      </c>
      <c r="P619" s="12"/>
      <c r="Q619" s="42"/>
      <c r="R619" s="15"/>
      <c r="S619" s="44"/>
      <c r="T619" s="15"/>
      <c r="U619" s="44"/>
      <c r="V619" s="15">
        <f t="shared" si="58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9"/>
        <v>0</v>
      </c>
      <c r="AF619" s="101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60"/>
        <v>0</v>
      </c>
      <c r="BA619" s="15"/>
      <c r="BB619" s="44"/>
      <c r="BC619" s="15"/>
      <c r="BD619" s="44"/>
      <c r="BE619" s="15">
        <f t="shared" si="61"/>
        <v>0</v>
      </c>
    </row>
    <row r="620" spans="1:57" s="8" customFormat="1" ht="22.5" customHeight="1">
      <c r="A620" s="9"/>
      <c r="B620" s="16" t="s">
        <v>204</v>
      </c>
      <c r="C620" s="89" t="s">
        <v>52</v>
      </c>
      <c r="D620" s="80" t="s">
        <v>919</v>
      </c>
      <c r="E620" s="13" t="s">
        <v>531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7"/>
        <v>0</v>
      </c>
      <c r="P620" s="12"/>
      <c r="Q620" s="42"/>
      <c r="R620" s="15"/>
      <c r="S620" s="44"/>
      <c r="T620" s="15"/>
      <c r="U620" s="44"/>
      <c r="V620" s="15">
        <f t="shared" si="58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9"/>
        <v>0</v>
      </c>
      <c r="AF620" s="101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60"/>
        <v>0</v>
      </c>
      <c r="BA620" s="15"/>
      <c r="BB620" s="44"/>
      <c r="BC620" s="15"/>
      <c r="BD620" s="44"/>
      <c r="BE620" s="15">
        <f t="shared" si="61"/>
        <v>0</v>
      </c>
    </row>
    <row r="621" spans="1:57" s="8" customFormat="1" ht="22.5" customHeight="1">
      <c r="A621" s="9"/>
      <c r="B621" s="16" t="s">
        <v>204</v>
      </c>
      <c r="C621" s="89" t="s">
        <v>52</v>
      </c>
      <c r="D621" s="80" t="s">
        <v>920</v>
      </c>
      <c r="E621" s="13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7"/>
        <v>0</v>
      </c>
      <c r="P621" s="12"/>
      <c r="Q621" s="42"/>
      <c r="R621" s="15"/>
      <c r="S621" s="44"/>
      <c r="T621" s="15"/>
      <c r="U621" s="44"/>
      <c r="V621" s="15">
        <f t="shared" si="58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9"/>
        <v>0</v>
      </c>
      <c r="AF621" s="101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60"/>
        <v>0</v>
      </c>
      <c r="BA621" s="15"/>
      <c r="BB621" s="44"/>
      <c r="BC621" s="15"/>
      <c r="BD621" s="44"/>
      <c r="BE621" s="15">
        <f t="shared" si="61"/>
        <v>0</v>
      </c>
    </row>
    <row r="622" spans="1:57" s="8" customFormat="1" ht="22.5" customHeight="1">
      <c r="A622" s="9"/>
      <c r="B622" s="16" t="s">
        <v>204</v>
      </c>
      <c r="C622" s="89" t="s">
        <v>52</v>
      </c>
      <c r="D622" s="80" t="s">
        <v>921</v>
      </c>
      <c r="E622" s="13" t="s">
        <v>531</v>
      </c>
      <c r="F622" s="96"/>
      <c r="G622" s="9"/>
      <c r="H622" s="9" t="s">
        <v>207</v>
      </c>
      <c r="I622" s="14"/>
      <c r="J622" s="14"/>
      <c r="K622" s="12">
        <v>0</v>
      </c>
      <c r="L622" s="9"/>
      <c r="M622" s="9"/>
      <c r="N622" s="9"/>
      <c r="O622" s="38">
        <f t="shared" si="57"/>
        <v>0</v>
      </c>
      <c r="P622" s="12"/>
      <c r="Q622" s="42"/>
      <c r="R622" s="15"/>
      <c r="S622" s="44"/>
      <c r="T622" s="15"/>
      <c r="U622" s="44"/>
      <c r="V622" s="15">
        <f t="shared" si="58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9"/>
        <v>0</v>
      </c>
      <c r="AF622" s="101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60"/>
        <v>0</v>
      </c>
      <c r="BA622" s="15"/>
      <c r="BB622" s="44"/>
      <c r="BC622" s="15"/>
      <c r="BD622" s="44"/>
      <c r="BE622" s="15">
        <f t="shared" si="61"/>
        <v>0</v>
      </c>
    </row>
    <row r="623" spans="1:57" s="8" customFormat="1" ht="22.5" customHeight="1">
      <c r="A623" s="9"/>
      <c r="B623" s="16" t="s">
        <v>204</v>
      </c>
      <c r="C623" s="89" t="s">
        <v>52</v>
      </c>
      <c r="D623" s="80" t="s">
        <v>922</v>
      </c>
      <c r="E623" s="13" t="s">
        <v>923</v>
      </c>
      <c r="F623" s="96"/>
      <c r="G623" s="9"/>
      <c r="H623" s="9" t="s">
        <v>207</v>
      </c>
      <c r="I623" s="14"/>
      <c r="J623" s="14"/>
      <c r="K623" s="12">
        <v>0</v>
      </c>
      <c r="L623" s="9"/>
      <c r="M623" s="9"/>
      <c r="N623" s="9"/>
      <c r="O623" s="38">
        <f t="shared" si="57"/>
        <v>0</v>
      </c>
      <c r="P623" s="12"/>
      <c r="Q623" s="42"/>
      <c r="R623" s="15"/>
      <c r="S623" s="44"/>
      <c r="T623" s="15"/>
      <c r="U623" s="44"/>
      <c r="V623" s="15">
        <f t="shared" si="58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9"/>
        <v>0</v>
      </c>
      <c r="AF623" s="101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60"/>
        <v>0</v>
      </c>
      <c r="BA623" s="15"/>
      <c r="BB623" s="44"/>
      <c r="BC623" s="15"/>
      <c r="BD623" s="44"/>
      <c r="BE623" s="15">
        <f t="shared" si="61"/>
        <v>0</v>
      </c>
    </row>
    <row r="624" spans="1:57" s="8" customFormat="1" ht="22.5" customHeight="1">
      <c r="A624" s="9"/>
      <c r="B624" s="16" t="s">
        <v>204</v>
      </c>
      <c r="C624" s="89" t="s">
        <v>52</v>
      </c>
      <c r="D624" s="82" t="s">
        <v>924</v>
      </c>
      <c r="E624" s="22" t="s">
        <v>531</v>
      </c>
      <c r="F624" s="96"/>
      <c r="G624" s="9"/>
      <c r="H624" s="9" t="s">
        <v>207</v>
      </c>
      <c r="I624" s="14"/>
      <c r="J624" s="14"/>
      <c r="K624" s="12">
        <v>0</v>
      </c>
      <c r="L624" s="9"/>
      <c r="M624" s="9"/>
      <c r="N624" s="9"/>
      <c r="O624" s="38">
        <f t="shared" si="57"/>
        <v>0</v>
      </c>
      <c r="P624" s="12"/>
      <c r="Q624" s="42"/>
      <c r="R624" s="15"/>
      <c r="S624" s="44"/>
      <c r="T624" s="15"/>
      <c r="U624" s="44"/>
      <c r="V624" s="15">
        <f t="shared" si="58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9"/>
        <v>0</v>
      </c>
      <c r="AF624" s="101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60"/>
        <v>0</v>
      </c>
      <c r="BA624" s="15"/>
      <c r="BB624" s="44"/>
      <c r="BC624" s="15"/>
      <c r="BD624" s="44"/>
      <c r="BE624" s="15">
        <f t="shared" si="61"/>
        <v>0</v>
      </c>
    </row>
    <row r="625" spans="1:57" s="8" customFormat="1" ht="22.5" customHeight="1">
      <c r="A625" s="9"/>
      <c r="B625" s="16" t="s">
        <v>233</v>
      </c>
      <c r="C625" s="89" t="s">
        <v>52</v>
      </c>
      <c r="D625" s="82" t="s">
        <v>405</v>
      </c>
      <c r="E625" s="22" t="s">
        <v>925</v>
      </c>
      <c r="F625" s="96"/>
      <c r="G625" s="9"/>
      <c r="H625" s="9" t="s">
        <v>558</v>
      </c>
      <c r="I625" s="14"/>
      <c r="J625" s="14"/>
      <c r="K625" s="12">
        <v>0</v>
      </c>
      <c r="L625" s="9"/>
      <c r="M625" s="9"/>
      <c r="N625" s="9"/>
      <c r="O625" s="38">
        <f t="shared" si="57"/>
        <v>0</v>
      </c>
      <c r="P625" s="12"/>
      <c r="Q625" s="42"/>
      <c r="R625" s="15"/>
      <c r="S625" s="44"/>
      <c r="T625" s="15"/>
      <c r="U625" s="44"/>
      <c r="V625" s="15">
        <f t="shared" si="58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9"/>
        <v>0</v>
      </c>
      <c r="AF625" s="101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60"/>
        <v>0</v>
      </c>
      <c r="BA625" s="15"/>
      <c r="BB625" s="44"/>
      <c r="BC625" s="15"/>
      <c r="BD625" s="44"/>
      <c r="BE625" s="15">
        <f t="shared" si="61"/>
        <v>0</v>
      </c>
    </row>
    <row r="626" spans="1:57" s="8" customFormat="1" ht="22.5" customHeight="1">
      <c r="A626" s="9"/>
      <c r="B626" s="16" t="s">
        <v>926</v>
      </c>
      <c r="C626" s="89" t="s">
        <v>52</v>
      </c>
      <c r="D626" s="80" t="s">
        <v>927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7"/>
        <v>0</v>
      </c>
      <c r="P626" s="12"/>
      <c r="Q626" s="42"/>
      <c r="R626" s="15"/>
      <c r="S626" s="44"/>
      <c r="T626" s="15"/>
      <c r="U626" s="44"/>
      <c r="V626" s="15">
        <f t="shared" si="58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9"/>
        <v>0</v>
      </c>
      <c r="AF626" s="101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60"/>
        <v>0</v>
      </c>
      <c r="BA626" s="15"/>
      <c r="BB626" s="44"/>
      <c r="BC626" s="15"/>
      <c r="BD626" s="44"/>
      <c r="BE626" s="15">
        <f t="shared" si="61"/>
        <v>0</v>
      </c>
    </row>
    <row r="627" spans="1:57" s="8" customFormat="1" ht="22.5" customHeight="1">
      <c r="A627" s="9"/>
      <c r="B627" s="16" t="s">
        <v>926</v>
      </c>
      <c r="C627" s="89" t="s">
        <v>52</v>
      </c>
      <c r="D627" s="56" t="s">
        <v>928</v>
      </c>
      <c r="E627" s="13" t="s">
        <v>929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7"/>
        <v>0</v>
      </c>
      <c r="P627" s="12"/>
      <c r="Q627" s="42"/>
      <c r="R627" s="15"/>
      <c r="S627" s="44"/>
      <c r="T627" s="15"/>
      <c r="U627" s="44"/>
      <c r="V627" s="15">
        <f t="shared" si="58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9"/>
        <v>0</v>
      </c>
      <c r="AF627" s="101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60"/>
        <v>0</v>
      </c>
      <c r="BA627" s="15"/>
      <c r="BB627" s="44"/>
      <c r="BC627" s="15"/>
      <c r="BD627" s="44"/>
      <c r="BE627" s="15">
        <f t="shared" si="61"/>
        <v>0</v>
      </c>
    </row>
    <row r="628" spans="1:57" s="8" customFormat="1" ht="22.5" customHeight="1">
      <c r="A628" s="9"/>
      <c r="B628" s="16" t="s">
        <v>926</v>
      </c>
      <c r="C628" s="89" t="s">
        <v>52</v>
      </c>
      <c r="D628" s="56" t="s">
        <v>930</v>
      </c>
      <c r="E628" s="13"/>
      <c r="F628" s="96"/>
      <c r="G628" s="9"/>
      <c r="H628" s="9" t="s">
        <v>566</v>
      </c>
      <c r="I628" s="14"/>
      <c r="J628" s="14"/>
      <c r="K628" s="12">
        <v>23</v>
      </c>
      <c r="L628" s="9"/>
      <c r="M628" s="9"/>
      <c r="N628" s="9"/>
      <c r="O628" s="38">
        <f t="shared" si="57"/>
        <v>23</v>
      </c>
      <c r="P628" s="12"/>
      <c r="Q628" s="42"/>
      <c r="R628" s="15"/>
      <c r="S628" s="44"/>
      <c r="T628" s="15"/>
      <c r="U628" s="44"/>
      <c r="V628" s="15">
        <f t="shared" si="58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9"/>
        <v>0</v>
      </c>
      <c r="AF628" s="101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60"/>
        <v>0</v>
      </c>
      <c r="BA628" s="15"/>
      <c r="BB628" s="44"/>
      <c r="BC628" s="15"/>
      <c r="BD628" s="44"/>
      <c r="BE628" s="15">
        <f t="shared" si="61"/>
        <v>0</v>
      </c>
    </row>
    <row r="629" spans="1:57" s="8" customFormat="1" ht="22.5" customHeight="1">
      <c r="A629" s="9"/>
      <c r="B629" s="16" t="s">
        <v>155</v>
      </c>
      <c r="C629" s="89" t="s">
        <v>52</v>
      </c>
      <c r="D629" s="56" t="s">
        <v>931</v>
      </c>
      <c r="E629" s="13" t="s">
        <v>565</v>
      </c>
      <c r="F629" s="96"/>
      <c r="G629" s="9"/>
      <c r="H629" s="9" t="s">
        <v>566</v>
      </c>
      <c r="I629" s="14"/>
      <c r="J629" s="14"/>
      <c r="K629" s="12">
        <v>0</v>
      </c>
      <c r="L629" s="9"/>
      <c r="M629" s="9"/>
      <c r="N629" s="9"/>
      <c r="O629" s="38">
        <f t="shared" si="57"/>
        <v>0</v>
      </c>
      <c r="P629" s="12"/>
      <c r="Q629" s="42"/>
      <c r="R629" s="15"/>
      <c r="S629" s="44"/>
      <c r="T629" s="15"/>
      <c r="U629" s="44"/>
      <c r="V629" s="15">
        <f t="shared" si="58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9"/>
        <v>0</v>
      </c>
      <c r="AF629" s="101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60"/>
        <v>0</v>
      </c>
      <c r="BA629" s="15"/>
      <c r="BB629" s="44"/>
      <c r="BC629" s="15"/>
      <c r="BD629" s="44"/>
      <c r="BE629" s="15">
        <f t="shared" si="61"/>
        <v>0</v>
      </c>
    </row>
    <row r="630" spans="1:57" s="8" customFormat="1" ht="22.5" customHeight="1">
      <c r="A630" s="9"/>
      <c r="B630" s="16" t="s">
        <v>155</v>
      </c>
      <c r="C630" s="89" t="s">
        <v>52</v>
      </c>
      <c r="D630" s="59" t="s">
        <v>932</v>
      </c>
      <c r="E630" s="13" t="s">
        <v>569</v>
      </c>
      <c r="F630" s="96"/>
      <c r="G630" s="9"/>
      <c r="H630" s="9" t="s">
        <v>566</v>
      </c>
      <c r="I630" s="14"/>
      <c r="J630" s="14"/>
      <c r="K630" s="12">
        <v>0</v>
      </c>
      <c r="L630" s="9"/>
      <c r="M630" s="9"/>
      <c r="N630" s="9"/>
      <c r="O630" s="38">
        <f t="shared" si="57"/>
        <v>0</v>
      </c>
      <c r="P630" s="12"/>
      <c r="Q630" s="42"/>
      <c r="R630" s="15"/>
      <c r="S630" s="44"/>
      <c r="T630" s="15"/>
      <c r="U630" s="44"/>
      <c r="V630" s="15">
        <f t="shared" si="58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9"/>
        <v>0</v>
      </c>
      <c r="AF630" s="101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60"/>
        <v>0</v>
      </c>
      <c r="BA630" s="15"/>
      <c r="BB630" s="44"/>
      <c r="BC630" s="15"/>
      <c r="BD630" s="44"/>
      <c r="BE630" s="15">
        <f t="shared" si="61"/>
        <v>0</v>
      </c>
    </row>
    <row r="631" spans="1:57" s="8" customFormat="1" ht="22.5" customHeight="1">
      <c r="A631" s="9"/>
      <c r="B631" s="16" t="s">
        <v>155</v>
      </c>
      <c r="C631" s="89" t="s">
        <v>52</v>
      </c>
      <c r="D631" s="59" t="s">
        <v>933</v>
      </c>
      <c r="E631" s="13" t="s">
        <v>565</v>
      </c>
      <c r="F631" s="96"/>
      <c r="G631" s="9"/>
      <c r="H631" s="9" t="s">
        <v>314</v>
      </c>
      <c r="I631" s="14"/>
      <c r="J631" s="14"/>
      <c r="K631" s="12">
        <v>0</v>
      </c>
      <c r="L631" s="9"/>
      <c r="M631" s="9"/>
      <c r="N631" s="9"/>
      <c r="O631" s="38">
        <f t="shared" si="57"/>
        <v>0</v>
      </c>
      <c r="P631" s="12"/>
      <c r="Q631" s="42"/>
      <c r="R631" s="15"/>
      <c r="S631" s="44"/>
      <c r="T631" s="15"/>
      <c r="U631" s="44"/>
      <c r="V631" s="15">
        <f t="shared" si="58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9"/>
        <v>0</v>
      </c>
      <c r="AF631" s="101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60"/>
        <v>0</v>
      </c>
      <c r="BA631" s="15"/>
      <c r="BB631" s="44"/>
      <c r="BC631" s="15"/>
      <c r="BD631" s="44"/>
      <c r="BE631" s="15">
        <f t="shared" si="61"/>
        <v>0</v>
      </c>
    </row>
    <row r="632" spans="1:57" s="8" customFormat="1" ht="22.5" customHeight="1">
      <c r="A632" s="9"/>
      <c r="B632" s="16" t="s">
        <v>330</v>
      </c>
      <c r="C632" s="89" t="s">
        <v>52</v>
      </c>
      <c r="D632" s="56" t="s">
        <v>934</v>
      </c>
      <c r="E632" s="13" t="s">
        <v>330</v>
      </c>
      <c r="F632" s="96"/>
      <c r="G632" s="9"/>
      <c r="H632" s="9" t="s">
        <v>467</v>
      </c>
      <c r="I632" s="14"/>
      <c r="J632" s="14"/>
      <c r="K632" s="12">
        <v>0</v>
      </c>
      <c r="L632" s="9"/>
      <c r="M632" s="9"/>
      <c r="N632" s="9"/>
      <c r="O632" s="38">
        <f t="shared" si="57"/>
        <v>0</v>
      </c>
      <c r="P632" s="12"/>
      <c r="Q632" s="42"/>
      <c r="R632" s="15"/>
      <c r="S632" s="44"/>
      <c r="T632" s="15"/>
      <c r="U632" s="44"/>
      <c r="V632" s="15">
        <f t="shared" si="58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9"/>
        <v>0</v>
      </c>
      <c r="AF632" s="101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60"/>
        <v>0</v>
      </c>
      <c r="BA632" s="15"/>
      <c r="BB632" s="44"/>
      <c r="BC632" s="15"/>
      <c r="BD632" s="44"/>
      <c r="BE632" s="15">
        <f t="shared" si="61"/>
        <v>0</v>
      </c>
    </row>
    <row r="633" spans="1:57" s="8" customFormat="1" ht="22.5" customHeight="1">
      <c r="A633" s="9"/>
      <c r="B633" s="16" t="s">
        <v>330</v>
      </c>
      <c r="C633" s="89" t="s">
        <v>52</v>
      </c>
      <c r="D633" s="56" t="s">
        <v>935</v>
      </c>
      <c r="E633" s="13"/>
      <c r="F633" s="96"/>
      <c r="G633" s="9"/>
      <c r="H633" s="9" t="s">
        <v>467</v>
      </c>
      <c r="I633" s="14"/>
      <c r="J633" s="14"/>
      <c r="K633" s="12">
        <v>0</v>
      </c>
      <c r="L633" s="9"/>
      <c r="M633" s="9"/>
      <c r="N633" s="9"/>
      <c r="O633" s="38">
        <f t="shared" ref="O633:O654" si="62">K633+V633-AE633-AZ633</f>
        <v>0</v>
      </c>
      <c r="P633" s="12"/>
      <c r="Q633" s="42"/>
      <c r="R633" s="15"/>
      <c r="S633" s="44"/>
      <c r="T633" s="15"/>
      <c r="U633" s="44"/>
      <c r="V633" s="15">
        <f t="shared" si="58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9"/>
        <v>0</v>
      </c>
      <c r="AF633" s="101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60"/>
        <v>0</v>
      </c>
      <c r="BA633" s="15"/>
      <c r="BB633" s="44"/>
      <c r="BC633" s="15"/>
      <c r="BD633" s="44"/>
      <c r="BE633" s="15">
        <f t="shared" si="61"/>
        <v>0</v>
      </c>
    </row>
    <row r="634" spans="1:57" s="8" customFormat="1" ht="22.5" customHeight="1">
      <c r="A634" s="9"/>
      <c r="B634" s="16" t="s">
        <v>574</v>
      </c>
      <c r="C634" s="89" t="s">
        <v>52</v>
      </c>
      <c r="D634" s="59" t="s">
        <v>577</v>
      </c>
      <c r="E634" s="13"/>
      <c r="F634" s="96"/>
      <c r="G634" s="9"/>
      <c r="H634" s="9" t="s">
        <v>576</v>
      </c>
      <c r="I634" s="14"/>
      <c r="J634" s="14"/>
      <c r="K634" s="12">
        <v>0</v>
      </c>
      <c r="L634" s="9"/>
      <c r="M634" s="9"/>
      <c r="N634" s="9"/>
      <c r="O634" s="38">
        <f t="shared" si="62"/>
        <v>0</v>
      </c>
      <c r="P634" s="12"/>
      <c r="Q634" s="42"/>
      <c r="R634" s="15"/>
      <c r="S634" s="44"/>
      <c r="T634" s="15"/>
      <c r="U634" s="44"/>
      <c r="V634" s="15">
        <f t="shared" si="58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9"/>
        <v>0</v>
      </c>
      <c r="AF634" s="101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60"/>
        <v>0</v>
      </c>
      <c r="BA634" s="15"/>
      <c r="BB634" s="44"/>
      <c r="BC634" s="15"/>
      <c r="BD634" s="44"/>
      <c r="BE634" s="15">
        <f t="shared" si="61"/>
        <v>0</v>
      </c>
    </row>
    <row r="635" spans="1:57" s="8" customFormat="1" ht="22.5" customHeight="1">
      <c r="A635" s="9"/>
      <c r="B635" s="16" t="s">
        <v>574</v>
      </c>
      <c r="C635" s="89" t="s">
        <v>494</v>
      </c>
      <c r="D635" s="56" t="s">
        <v>577</v>
      </c>
      <c r="E635" s="13"/>
      <c r="F635" s="96"/>
      <c r="G635" s="9"/>
      <c r="H635" s="9" t="s">
        <v>576</v>
      </c>
      <c r="I635" s="14"/>
      <c r="J635" s="14"/>
      <c r="K635" s="12">
        <v>0</v>
      </c>
      <c r="L635" s="9"/>
      <c r="M635" s="9"/>
      <c r="N635" s="9"/>
      <c r="O635" s="38">
        <f t="shared" si="62"/>
        <v>0</v>
      </c>
      <c r="P635" s="12"/>
      <c r="Q635" s="42"/>
      <c r="R635" s="15"/>
      <c r="S635" s="44"/>
      <c r="T635" s="15"/>
      <c r="U635" s="44"/>
      <c r="V635" s="15">
        <f t="shared" si="58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9"/>
        <v>0</v>
      </c>
      <c r="AF635" s="101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60"/>
        <v>0</v>
      </c>
      <c r="BA635" s="15"/>
      <c r="BB635" s="44"/>
      <c r="BC635" s="15"/>
      <c r="BD635" s="44"/>
      <c r="BE635" s="15">
        <f t="shared" si="61"/>
        <v>0</v>
      </c>
    </row>
    <row r="636" spans="1:57" s="8" customFormat="1" ht="22.5" customHeight="1">
      <c r="A636" s="9"/>
      <c r="B636" s="16" t="s">
        <v>574</v>
      </c>
      <c r="C636" s="89" t="s">
        <v>494</v>
      </c>
      <c r="D636" s="59" t="s">
        <v>577</v>
      </c>
      <c r="E636" s="13" t="s">
        <v>936</v>
      </c>
      <c r="F636" s="96"/>
      <c r="G636" s="9"/>
      <c r="H636" s="9" t="s">
        <v>576</v>
      </c>
      <c r="I636" s="14"/>
      <c r="J636" s="14"/>
      <c r="K636" s="12">
        <v>0</v>
      </c>
      <c r="L636" s="9"/>
      <c r="M636" s="9"/>
      <c r="N636" s="9"/>
      <c r="O636" s="38">
        <f t="shared" si="62"/>
        <v>0</v>
      </c>
      <c r="P636" s="12"/>
      <c r="Q636" s="42"/>
      <c r="R636" s="15"/>
      <c r="S636" s="44"/>
      <c r="T636" s="15"/>
      <c r="U636" s="44"/>
      <c r="V636" s="15">
        <f t="shared" si="58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9"/>
        <v>0</v>
      </c>
      <c r="AF636" s="101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60"/>
        <v>0</v>
      </c>
      <c r="BA636" s="15"/>
      <c r="BB636" s="44"/>
      <c r="BC636" s="15"/>
      <c r="BD636" s="44"/>
      <c r="BE636" s="15">
        <f t="shared" si="61"/>
        <v>0</v>
      </c>
    </row>
    <row r="637" spans="1:57" s="8" customFormat="1" ht="22.5" customHeight="1">
      <c r="A637" s="9"/>
      <c r="B637" s="16" t="s">
        <v>244</v>
      </c>
      <c r="C637" s="89" t="s">
        <v>52</v>
      </c>
      <c r="D637" s="59" t="s">
        <v>937</v>
      </c>
      <c r="E637" s="13" t="s">
        <v>246</v>
      </c>
      <c r="F637" s="96"/>
      <c r="G637" s="9"/>
      <c r="H637" s="9" t="s">
        <v>247</v>
      </c>
      <c r="I637" s="14"/>
      <c r="J637" s="14"/>
      <c r="K637" s="12">
        <v>0</v>
      </c>
      <c r="L637" s="9"/>
      <c r="M637" s="9"/>
      <c r="N637" s="9"/>
      <c r="O637" s="38">
        <f t="shared" si="62"/>
        <v>0</v>
      </c>
      <c r="P637" s="12"/>
      <c r="Q637" s="42"/>
      <c r="R637" s="15"/>
      <c r="S637" s="44"/>
      <c r="T637" s="15"/>
      <c r="U637" s="44"/>
      <c r="V637" s="15">
        <f t="shared" si="58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9"/>
        <v>0</v>
      </c>
      <c r="AF637" s="101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60"/>
        <v>0</v>
      </c>
      <c r="BA637" s="15"/>
      <c r="BB637" s="44"/>
      <c r="BC637" s="15"/>
      <c r="BD637" s="44"/>
      <c r="BE637" s="15">
        <f t="shared" si="61"/>
        <v>0</v>
      </c>
    </row>
    <row r="638" spans="1:57" s="8" customFormat="1" ht="22.5" customHeight="1">
      <c r="A638" s="9"/>
      <c r="B638" s="16" t="s">
        <v>244</v>
      </c>
      <c r="C638" s="89" t="s">
        <v>52</v>
      </c>
      <c r="D638" s="56" t="s">
        <v>938</v>
      </c>
      <c r="E638" s="13" t="s">
        <v>246</v>
      </c>
      <c r="F638" s="96"/>
      <c r="G638" s="9"/>
      <c r="H638" s="9" t="s">
        <v>247</v>
      </c>
      <c r="I638" s="14"/>
      <c r="J638" s="14"/>
      <c r="K638" s="12">
        <v>0</v>
      </c>
      <c r="L638" s="9"/>
      <c r="M638" s="9"/>
      <c r="N638" s="9"/>
      <c r="O638" s="38">
        <f t="shared" si="62"/>
        <v>0</v>
      </c>
      <c r="P638" s="12"/>
      <c r="Q638" s="42"/>
      <c r="R638" s="15"/>
      <c r="S638" s="44"/>
      <c r="T638" s="15"/>
      <c r="U638" s="44"/>
      <c r="V638" s="15">
        <f t="shared" si="58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9"/>
        <v>0</v>
      </c>
      <c r="AF638" s="101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60"/>
        <v>0</v>
      </c>
      <c r="BA638" s="15"/>
      <c r="BB638" s="44"/>
      <c r="BC638" s="15"/>
      <c r="BD638" s="44"/>
      <c r="BE638" s="15">
        <f t="shared" si="61"/>
        <v>0</v>
      </c>
    </row>
    <row r="639" spans="1:57" s="8" customFormat="1" ht="22.5" customHeight="1">
      <c r="A639" s="9">
        <v>999</v>
      </c>
      <c r="B639" s="16" t="s">
        <v>204</v>
      </c>
      <c r="C639" s="89" t="s">
        <v>52</v>
      </c>
      <c r="D639" s="56" t="s">
        <v>939</v>
      </c>
      <c r="E639" s="13" t="s">
        <v>940</v>
      </c>
      <c r="F639" s="96"/>
      <c r="G639" s="9"/>
      <c r="H639" s="9" t="s">
        <v>207</v>
      </c>
      <c r="I639" s="14"/>
      <c r="J639" s="14"/>
      <c r="K639" s="12">
        <v>0</v>
      </c>
      <c r="L639" s="9"/>
      <c r="M639" s="9"/>
      <c r="N639" s="9"/>
      <c r="O639" s="38">
        <f t="shared" si="62"/>
        <v>0</v>
      </c>
      <c r="P639" s="12"/>
      <c r="Q639" s="42"/>
      <c r="R639" s="15"/>
      <c r="S639" s="44"/>
      <c r="T639" s="15"/>
      <c r="U639" s="44"/>
      <c r="V639" s="15">
        <f t="shared" si="58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9"/>
        <v>0</v>
      </c>
      <c r="AF639" s="101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60"/>
        <v>0</v>
      </c>
      <c r="BA639" s="15"/>
      <c r="BB639" s="44"/>
      <c r="BC639" s="15"/>
      <c r="BD639" s="44"/>
      <c r="BE639" s="15">
        <f t="shared" si="61"/>
        <v>0</v>
      </c>
    </row>
    <row r="640" spans="1:57" s="8" customFormat="1" ht="22.5" customHeight="1">
      <c r="A640" s="9">
        <v>999</v>
      </c>
      <c r="B640" s="16" t="s">
        <v>204</v>
      </c>
      <c r="C640" s="89" t="s">
        <v>52</v>
      </c>
      <c r="D640" s="56" t="s">
        <v>941</v>
      </c>
      <c r="E640" s="13" t="s">
        <v>940</v>
      </c>
      <c r="F640" s="96"/>
      <c r="G640" s="9"/>
      <c r="H640" s="9" t="s">
        <v>207</v>
      </c>
      <c r="I640" s="14"/>
      <c r="J640" s="14"/>
      <c r="K640" s="12">
        <v>0</v>
      </c>
      <c r="L640" s="9"/>
      <c r="M640" s="9"/>
      <c r="N640" s="9"/>
      <c r="O640" s="38">
        <f t="shared" si="62"/>
        <v>0</v>
      </c>
      <c r="P640" s="12"/>
      <c r="Q640" s="42"/>
      <c r="R640" s="15"/>
      <c r="S640" s="44"/>
      <c r="T640" s="15"/>
      <c r="U640" s="44"/>
      <c r="V640" s="15">
        <f t="shared" si="58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9"/>
        <v>0</v>
      </c>
      <c r="AF640" s="101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60"/>
        <v>0</v>
      </c>
      <c r="BA640" s="15"/>
      <c r="BB640" s="44"/>
      <c r="BC640" s="15"/>
      <c r="BD640" s="44"/>
      <c r="BE640" s="15">
        <f t="shared" si="61"/>
        <v>0</v>
      </c>
    </row>
    <row r="641" spans="1:57" s="8" customFormat="1" ht="22.5" customHeight="1">
      <c r="A641" s="9">
        <v>999</v>
      </c>
      <c r="B641" s="16" t="s">
        <v>942</v>
      </c>
      <c r="C641" s="89" t="s">
        <v>494</v>
      </c>
      <c r="D641" s="56" t="s">
        <v>943</v>
      </c>
      <c r="E641" s="13" t="s">
        <v>944</v>
      </c>
      <c r="F641" s="12"/>
      <c r="G641" s="9"/>
      <c r="H641" s="9" t="s">
        <v>945</v>
      </c>
      <c r="I641" s="14"/>
      <c r="J641" s="14"/>
      <c r="K641" s="12">
        <v>0</v>
      </c>
      <c r="L641" s="9"/>
      <c r="M641" s="9"/>
      <c r="N641" s="9"/>
      <c r="O641" s="38">
        <f t="shared" si="62"/>
        <v>0</v>
      </c>
      <c r="P641" s="12"/>
      <c r="Q641" s="42"/>
      <c r="R641" s="15"/>
      <c r="S641" s="44"/>
      <c r="T641" s="15"/>
      <c r="U641" s="44"/>
      <c r="V641" s="15">
        <f t="shared" si="58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9"/>
        <v>0</v>
      </c>
      <c r="AF641" s="101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60"/>
        <v>0</v>
      </c>
      <c r="BA641" s="15"/>
      <c r="BB641" s="44"/>
      <c r="BC641" s="15"/>
      <c r="BD641" s="44"/>
      <c r="BE641" s="15">
        <f t="shared" si="61"/>
        <v>0</v>
      </c>
    </row>
    <row r="642" spans="1:57" s="8" customFormat="1" ht="22.5" customHeight="1">
      <c r="A642" s="9">
        <v>999</v>
      </c>
      <c r="B642" s="16" t="s">
        <v>942</v>
      </c>
      <c r="C642" s="89" t="s">
        <v>494</v>
      </c>
      <c r="D642" s="56" t="s">
        <v>946</v>
      </c>
      <c r="E642" s="13"/>
      <c r="F642" s="12"/>
      <c r="G642" s="9"/>
      <c r="H642" s="9" t="s">
        <v>945</v>
      </c>
      <c r="I642" s="14"/>
      <c r="J642" s="14"/>
      <c r="K642" s="12">
        <v>0</v>
      </c>
      <c r="L642" s="9"/>
      <c r="M642" s="9"/>
      <c r="N642" s="9"/>
      <c r="O642" s="38">
        <f t="shared" si="62"/>
        <v>0</v>
      </c>
      <c r="P642" s="12"/>
      <c r="Q642" s="42"/>
      <c r="R642" s="15"/>
      <c r="S642" s="44"/>
      <c r="T642" s="15"/>
      <c r="U642" s="44"/>
      <c r="V642" s="15">
        <f t="shared" si="58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9"/>
        <v>0</v>
      </c>
      <c r="AF642" s="101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60"/>
        <v>0</v>
      </c>
      <c r="BA642" s="15"/>
      <c r="BB642" s="44"/>
      <c r="BC642" s="15"/>
      <c r="BD642" s="44"/>
      <c r="BE642" s="15">
        <f t="shared" si="61"/>
        <v>0</v>
      </c>
    </row>
    <row r="643" spans="1:57" s="8" customFormat="1" ht="22.5" customHeight="1">
      <c r="A643" s="9">
        <v>999</v>
      </c>
      <c r="B643" s="16" t="s">
        <v>120</v>
      </c>
      <c r="C643" s="89"/>
      <c r="D643" s="80" t="s">
        <v>947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2"/>
        <v>0</v>
      </c>
      <c r="P643" s="12"/>
      <c r="Q643" s="42"/>
      <c r="R643" s="15"/>
      <c r="S643" s="44"/>
      <c r="T643" s="15"/>
      <c r="U643" s="44"/>
      <c r="V643" s="15">
        <f t="shared" si="58"/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si="59"/>
        <v>0</v>
      </c>
      <c r="AF643" s="101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si="60"/>
        <v>0</v>
      </c>
      <c r="BA643" s="15"/>
      <c r="BB643" s="44"/>
      <c r="BC643" s="15"/>
      <c r="BD643" s="44"/>
      <c r="BE643" s="15">
        <f t="shared" si="61"/>
        <v>0</v>
      </c>
    </row>
    <row r="644" spans="1:57" s="8" customFormat="1" ht="22.5" customHeight="1">
      <c r="A644" s="9">
        <v>999</v>
      </c>
      <c r="B644" s="16" t="s">
        <v>120</v>
      </c>
      <c r="C644" s="89"/>
      <c r="D644" s="80" t="s">
        <v>948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2"/>
        <v>0</v>
      </c>
      <c r="P644" s="12"/>
      <c r="Q644" s="42"/>
      <c r="R644" s="15"/>
      <c r="S644" s="44"/>
      <c r="T644" s="15"/>
      <c r="U644" s="44"/>
      <c r="V644" s="15">
        <f t="shared" si="58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59"/>
        <v>0</v>
      </c>
      <c r="AF644" s="101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0"/>
        <v>0</v>
      </c>
      <c r="BA644" s="15"/>
      <c r="BB644" s="44"/>
      <c r="BC644" s="15"/>
      <c r="BD644" s="44"/>
      <c r="BE644" s="15">
        <f t="shared" si="61"/>
        <v>0</v>
      </c>
    </row>
    <row r="645" spans="1:57" s="8" customFormat="1" ht="22.5" customHeight="1">
      <c r="A645" s="9">
        <v>999</v>
      </c>
      <c r="B645" s="16" t="s">
        <v>120</v>
      </c>
      <c r="C645" s="89"/>
      <c r="D645" s="80" t="s">
        <v>949</v>
      </c>
      <c r="E645" s="13"/>
      <c r="F645" s="12"/>
      <c r="G645" s="9"/>
      <c r="H645" s="9" t="s">
        <v>67</v>
      </c>
      <c r="I645" s="14"/>
      <c r="J645" s="14"/>
      <c r="K645" s="12">
        <v>0</v>
      </c>
      <c r="L645" s="9"/>
      <c r="M645" s="9"/>
      <c r="N645" s="9"/>
      <c r="O645" s="38">
        <f t="shared" si="62"/>
        <v>0</v>
      </c>
      <c r="P645" s="12"/>
      <c r="Q645" s="42"/>
      <c r="R645" s="15"/>
      <c r="S645" s="44"/>
      <c r="T645" s="15"/>
      <c r="U645" s="44"/>
      <c r="V645" s="15">
        <f t="shared" si="58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59"/>
        <v>0</v>
      </c>
      <c r="AF645" s="101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0"/>
        <v>0</v>
      </c>
      <c r="BA645" s="15"/>
      <c r="BB645" s="44"/>
      <c r="BC645" s="15"/>
      <c r="BD645" s="44"/>
      <c r="BE645" s="15">
        <f t="shared" si="61"/>
        <v>0</v>
      </c>
    </row>
    <row r="646" spans="1:57" s="8" customFormat="1" ht="22.5" customHeight="1">
      <c r="A646" s="9">
        <v>999</v>
      </c>
      <c r="B646" s="16" t="s">
        <v>120</v>
      </c>
      <c r="C646" s="89"/>
      <c r="D646" s="80" t="s">
        <v>950</v>
      </c>
      <c r="E646" s="13"/>
      <c r="F646" s="12"/>
      <c r="G646" s="9"/>
      <c r="H646" s="9" t="s">
        <v>67</v>
      </c>
      <c r="I646" s="14"/>
      <c r="J646" s="14"/>
      <c r="K646" s="12">
        <v>0</v>
      </c>
      <c r="L646" s="9"/>
      <c r="M646" s="9"/>
      <c r="N646" s="9"/>
      <c r="O646" s="38">
        <f t="shared" si="62"/>
        <v>0</v>
      </c>
      <c r="P646" s="12"/>
      <c r="Q646" s="42"/>
      <c r="R646" s="15"/>
      <c r="S646" s="44"/>
      <c r="T646" s="15"/>
      <c r="U646" s="44"/>
      <c r="V646" s="15">
        <f t="shared" ref="V646:V654" si="63">P646+R646+T646</f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ref="AE646:AE654" si="64">(W646+Y646+AA646+AC646)</f>
        <v>0</v>
      </c>
      <c r="AF646" s="101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ref="AZ646:AZ654" si="65">AF646+AH646+AJ646+AL646+AN646+AP646+AR646+AT646+AV646+AX646</f>
        <v>0</v>
      </c>
      <c r="BA646" s="15"/>
      <c r="BB646" s="44"/>
      <c r="BC646" s="15"/>
      <c r="BD646" s="44"/>
      <c r="BE646" s="15">
        <f t="shared" ref="BE646:BE654" si="66">(BA646+BC646)</f>
        <v>0</v>
      </c>
    </row>
    <row r="647" spans="1:57" s="8" customFormat="1" ht="22.5" customHeight="1">
      <c r="A647" s="9">
        <v>999</v>
      </c>
      <c r="B647" s="16" t="s">
        <v>120</v>
      </c>
      <c r="C647" s="89"/>
      <c r="D647" s="80" t="s">
        <v>951</v>
      </c>
      <c r="E647" s="13"/>
      <c r="F647" s="12"/>
      <c r="G647" s="9"/>
      <c r="H647" s="9" t="s">
        <v>67</v>
      </c>
      <c r="I647" s="14"/>
      <c r="J647" s="14"/>
      <c r="K647" s="12">
        <v>0</v>
      </c>
      <c r="L647" s="9"/>
      <c r="M647" s="9"/>
      <c r="N647" s="9"/>
      <c r="O647" s="38">
        <f t="shared" si="62"/>
        <v>0</v>
      </c>
      <c r="P647" s="12"/>
      <c r="Q647" s="42"/>
      <c r="R647" s="15"/>
      <c r="S647" s="44"/>
      <c r="T647" s="15"/>
      <c r="U647" s="44"/>
      <c r="V647" s="15">
        <f t="shared" si="63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4"/>
        <v>0</v>
      </c>
      <c r="AF647" s="101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5"/>
        <v>0</v>
      </c>
      <c r="BA647" s="15"/>
      <c r="BB647" s="44"/>
      <c r="BC647" s="15"/>
      <c r="BD647" s="44"/>
      <c r="BE647" s="15">
        <f t="shared" si="66"/>
        <v>0</v>
      </c>
    </row>
    <row r="648" spans="1:57" s="8" customFormat="1" ht="22.5" customHeight="1">
      <c r="A648" s="9">
        <v>999</v>
      </c>
      <c r="B648" s="16" t="s">
        <v>330</v>
      </c>
      <c r="C648" s="89"/>
      <c r="D648" s="56" t="s">
        <v>952</v>
      </c>
      <c r="E648" s="13"/>
      <c r="F648" s="12"/>
      <c r="G648" s="9"/>
      <c r="H648" s="9" t="s">
        <v>467</v>
      </c>
      <c r="I648" s="14"/>
      <c r="J648" s="14"/>
      <c r="K648" s="12">
        <v>0</v>
      </c>
      <c r="L648" s="9"/>
      <c r="M648" s="9"/>
      <c r="N648" s="9"/>
      <c r="O648" s="38">
        <f t="shared" si="62"/>
        <v>0</v>
      </c>
      <c r="P648" s="12"/>
      <c r="Q648" s="42"/>
      <c r="R648" s="15"/>
      <c r="S648" s="44"/>
      <c r="T648" s="15"/>
      <c r="U648" s="44"/>
      <c r="V648" s="15">
        <f t="shared" si="63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4"/>
        <v>0</v>
      </c>
      <c r="AF648" s="101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5"/>
        <v>0</v>
      </c>
      <c r="BA648" s="15"/>
      <c r="BB648" s="44"/>
      <c r="BC648" s="15"/>
      <c r="BD648" s="44"/>
      <c r="BE648" s="15">
        <f t="shared" si="66"/>
        <v>0</v>
      </c>
    </row>
    <row r="649" spans="1:57" s="8" customFormat="1" ht="22.5" customHeight="1">
      <c r="A649" s="9">
        <v>999</v>
      </c>
      <c r="B649" s="16" t="s">
        <v>926</v>
      </c>
      <c r="C649" s="89" t="s">
        <v>132</v>
      </c>
      <c r="D649" s="69" t="s">
        <v>953</v>
      </c>
      <c r="E649" s="13"/>
      <c r="F649" s="12"/>
      <c r="G649" s="9"/>
      <c r="H649" s="9" t="s">
        <v>566</v>
      </c>
      <c r="I649" s="14"/>
      <c r="J649" s="14"/>
      <c r="K649" s="12">
        <v>0</v>
      </c>
      <c r="L649" s="9"/>
      <c r="M649" s="9"/>
      <c r="N649" s="9"/>
      <c r="O649" s="38">
        <f t="shared" si="62"/>
        <v>0</v>
      </c>
      <c r="P649" s="12"/>
      <c r="Q649" s="42"/>
      <c r="R649" s="15"/>
      <c r="S649" s="44"/>
      <c r="T649" s="15"/>
      <c r="U649" s="44"/>
      <c r="V649" s="15">
        <f t="shared" si="63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4"/>
        <v>0</v>
      </c>
      <c r="AF649" s="101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5"/>
        <v>0</v>
      </c>
      <c r="BA649" s="15"/>
      <c r="BB649" s="44"/>
      <c r="BC649" s="15"/>
      <c r="BD649" s="44"/>
      <c r="BE649" s="15">
        <f t="shared" si="66"/>
        <v>0</v>
      </c>
    </row>
    <row r="650" spans="1:57" s="8" customFormat="1" ht="22.5" customHeight="1">
      <c r="A650" s="9">
        <v>999</v>
      </c>
      <c r="B650" s="16" t="s">
        <v>926</v>
      </c>
      <c r="C650" s="89" t="s">
        <v>132</v>
      </c>
      <c r="D650" s="69" t="s">
        <v>954</v>
      </c>
      <c r="E650" s="13"/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2"/>
        <v>0</v>
      </c>
      <c r="P650" s="12"/>
      <c r="Q650" s="42"/>
      <c r="R650" s="15"/>
      <c r="S650" s="44"/>
      <c r="T650" s="15"/>
      <c r="U650" s="44"/>
      <c r="V650" s="15">
        <f t="shared" si="63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4"/>
        <v>0</v>
      </c>
      <c r="AF650" s="101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5"/>
        <v>0</v>
      </c>
      <c r="BA650" s="15"/>
      <c r="BB650" s="44"/>
      <c r="BC650" s="15"/>
      <c r="BD650" s="44"/>
      <c r="BE650" s="15">
        <f t="shared" si="66"/>
        <v>0</v>
      </c>
    </row>
    <row r="651" spans="1:57" s="8" customFormat="1" ht="22.5" customHeight="1">
      <c r="A651" s="9">
        <v>999</v>
      </c>
      <c r="B651" s="16" t="s">
        <v>606</v>
      </c>
      <c r="C651" s="89"/>
      <c r="D651" s="56" t="s">
        <v>955</v>
      </c>
      <c r="E651" s="13" t="s">
        <v>956</v>
      </c>
      <c r="F651" s="12"/>
      <c r="G651" s="9"/>
      <c r="H651" s="9" t="s">
        <v>957</v>
      </c>
      <c r="I651" s="14"/>
      <c r="J651" s="14"/>
      <c r="K651" s="12">
        <v>0</v>
      </c>
      <c r="L651" s="9"/>
      <c r="M651" s="9"/>
      <c r="N651" s="9"/>
      <c r="O651" s="38">
        <f t="shared" si="62"/>
        <v>0</v>
      </c>
      <c r="P651" s="12"/>
      <c r="Q651" s="42"/>
      <c r="R651" s="15"/>
      <c r="S651" s="44"/>
      <c r="T651" s="15"/>
      <c r="U651" s="44"/>
      <c r="V651" s="15">
        <f t="shared" si="63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4"/>
        <v>0</v>
      </c>
      <c r="AF651" s="101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5"/>
        <v>0</v>
      </c>
      <c r="BA651" s="15"/>
      <c r="BB651" s="44"/>
      <c r="BC651" s="15"/>
      <c r="BD651" s="44"/>
      <c r="BE651" s="15">
        <f t="shared" si="66"/>
        <v>0</v>
      </c>
    </row>
    <row r="652" spans="1:57" s="8" customFormat="1" ht="22.5" customHeight="1">
      <c r="A652" s="9">
        <v>999</v>
      </c>
      <c r="B652" s="16" t="s">
        <v>120</v>
      </c>
      <c r="C652" s="89"/>
      <c r="D652" s="56" t="s">
        <v>958</v>
      </c>
      <c r="E652" s="13"/>
      <c r="F652" s="12"/>
      <c r="G652" s="9"/>
      <c r="H652" s="9" t="s">
        <v>67</v>
      </c>
      <c r="I652" s="14"/>
      <c r="J652" s="14"/>
      <c r="K652" s="12">
        <v>0</v>
      </c>
      <c r="L652" s="9"/>
      <c r="M652" s="9"/>
      <c r="N652" s="9"/>
      <c r="O652" s="38">
        <f t="shared" si="62"/>
        <v>0</v>
      </c>
      <c r="P652" s="12"/>
      <c r="Q652" s="42"/>
      <c r="R652" s="15"/>
      <c r="S652" s="44"/>
      <c r="T652" s="15"/>
      <c r="U652" s="44"/>
      <c r="V652" s="15">
        <f t="shared" si="63"/>
        <v>0</v>
      </c>
      <c r="W652" s="15"/>
      <c r="X652" s="44"/>
      <c r="Y652" s="15"/>
      <c r="Z652" s="44"/>
      <c r="AA652" s="15"/>
      <c r="AB652" s="44"/>
      <c r="AC652" s="15"/>
      <c r="AD652" s="44"/>
      <c r="AE652" s="15">
        <f t="shared" si="64"/>
        <v>0</v>
      </c>
      <c r="AF652" s="101"/>
      <c r="AG652" s="42"/>
      <c r="AH652" s="15"/>
      <c r="AI652" s="42"/>
      <c r="AJ652" s="15"/>
      <c r="AK652" s="42"/>
      <c r="AL652" s="15"/>
      <c r="AM652" s="42"/>
      <c r="AN652" s="15"/>
      <c r="AO652" s="42"/>
      <c r="AP652" s="15"/>
      <c r="AQ652" s="42"/>
      <c r="AR652" s="15"/>
      <c r="AS652" s="42"/>
      <c r="AT652" s="15"/>
      <c r="AU652" s="42"/>
      <c r="AV652" s="15"/>
      <c r="AW652" s="42"/>
      <c r="AX652" s="15"/>
      <c r="AY652" s="42"/>
      <c r="AZ652" s="15">
        <f t="shared" si="65"/>
        <v>0</v>
      </c>
      <c r="BA652" s="15"/>
      <c r="BB652" s="44"/>
      <c r="BC652" s="15"/>
      <c r="BD652" s="44"/>
      <c r="BE652" s="15">
        <f t="shared" si="66"/>
        <v>0</v>
      </c>
    </row>
    <row r="653" spans="1:57" s="8" customFormat="1" ht="22.5" customHeight="1">
      <c r="A653" s="9">
        <v>999</v>
      </c>
      <c r="B653" s="16" t="s">
        <v>959</v>
      </c>
      <c r="C653" s="89"/>
      <c r="D653" s="56" t="s">
        <v>960</v>
      </c>
      <c r="E653" s="13" t="s">
        <v>961</v>
      </c>
      <c r="F653" s="12"/>
      <c r="G653" s="9"/>
      <c r="H653" s="9" t="s">
        <v>566</v>
      </c>
      <c r="I653" s="14"/>
      <c r="J653" s="14"/>
      <c r="K653" s="12">
        <v>0</v>
      </c>
      <c r="L653" s="9"/>
      <c r="M653" s="9"/>
      <c r="N653" s="9"/>
      <c r="O653" s="38">
        <f t="shared" si="62"/>
        <v>0</v>
      </c>
      <c r="P653" s="12"/>
      <c r="Q653" s="42"/>
      <c r="R653" s="15"/>
      <c r="S653" s="44"/>
      <c r="T653" s="15"/>
      <c r="U653" s="44"/>
      <c r="V653" s="15">
        <f t="shared" si="63"/>
        <v>0</v>
      </c>
      <c r="W653" s="15"/>
      <c r="X653" s="44"/>
      <c r="Y653" s="15"/>
      <c r="Z653" s="44"/>
      <c r="AA653" s="15"/>
      <c r="AB653" s="44"/>
      <c r="AC653" s="15"/>
      <c r="AD653" s="44"/>
      <c r="AE653" s="15">
        <f t="shared" si="64"/>
        <v>0</v>
      </c>
      <c r="AF653" s="101"/>
      <c r="AG653" s="42"/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>
        <f t="shared" si="65"/>
        <v>0</v>
      </c>
      <c r="BA653" s="15"/>
      <c r="BB653" s="44"/>
      <c r="BC653" s="15"/>
      <c r="BD653" s="44"/>
      <c r="BE653" s="15">
        <f t="shared" si="66"/>
        <v>0</v>
      </c>
    </row>
    <row r="654" spans="1:57" s="8" customFormat="1" ht="22.5" customHeight="1">
      <c r="A654" s="9">
        <v>999</v>
      </c>
      <c r="B654" s="16" t="s">
        <v>962</v>
      </c>
      <c r="C654" s="89"/>
      <c r="D654" s="56" t="s">
        <v>963</v>
      </c>
      <c r="E654" s="13"/>
      <c r="F654" s="12"/>
      <c r="G654" s="9"/>
      <c r="H654" s="9" t="s">
        <v>964</v>
      </c>
      <c r="I654" s="14"/>
      <c r="J654" s="14"/>
      <c r="K654" s="12">
        <v>0</v>
      </c>
      <c r="L654" s="9"/>
      <c r="M654" s="9"/>
      <c r="N654" s="9"/>
      <c r="O654" s="38">
        <f t="shared" si="62"/>
        <v>0</v>
      </c>
      <c r="P654" s="12"/>
      <c r="Q654" s="42"/>
      <c r="R654" s="15"/>
      <c r="S654" s="44"/>
      <c r="T654" s="15"/>
      <c r="U654" s="44"/>
      <c r="V654" s="15">
        <f t="shared" si="63"/>
        <v>0</v>
      </c>
      <c r="W654" s="15"/>
      <c r="X654" s="44"/>
      <c r="Y654" s="15"/>
      <c r="Z654" s="44"/>
      <c r="AA654" s="15"/>
      <c r="AB654" s="44"/>
      <c r="AC654" s="15"/>
      <c r="AD654" s="44"/>
      <c r="AE654" s="15">
        <f t="shared" si="64"/>
        <v>0</v>
      </c>
      <c r="AF654" s="101"/>
      <c r="AG654" s="42"/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>
        <f t="shared" si="65"/>
        <v>0</v>
      </c>
      <c r="BA654" s="15"/>
      <c r="BB654" s="44"/>
      <c r="BC654" s="15"/>
      <c r="BD654" s="44"/>
      <c r="BE654" s="15">
        <f t="shared" si="66"/>
        <v>0</v>
      </c>
    </row>
  </sheetData>
  <autoFilter ref="A3:BE654" xr:uid="{00000000-0009-0000-0000-000000000000}">
    <filterColumn colId="15" showButton="0"/>
    <filterColumn colId="16" showButton="0"/>
    <filterColumn colId="17" showButton="0"/>
    <filterColumn colId="18" showButton="0"/>
    <filterColumn colId="19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2" showButton="0"/>
    <filterColumn colId="53" showButton="0"/>
    <filterColumn colId="54" showButton="0"/>
    <sortState xmlns:xlrd2="http://schemas.microsoft.com/office/spreadsheetml/2017/richdata2" ref="A4:BE563">
      <sortCondition ref="A3:A563"/>
    </sortState>
  </autoFilter>
  <mergeCells count="5">
    <mergeCell ref="C1:D1"/>
    <mergeCell ref="AF3:AY3"/>
    <mergeCell ref="BA3:BD3"/>
    <mergeCell ref="P3:U3"/>
    <mergeCell ref="W3:AD3"/>
  </mergeCells>
  <phoneticPr fontId="130" type="noConversion"/>
  <conditionalFormatting sqref="O4:O654">
    <cfRule type="cellIs" dxfId="7" priority="1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28" fitToHeight="0" orientation="portrait"/>
  <headerFooter>
    <oddFooter>&amp;LF704-03 (R00)&amp;C(주) 덱스코윈&amp;R&amp;P/&amp;N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BH683"/>
  <sheetViews>
    <sheetView showGridLines="0" tabSelected="1" zoomScale="85" zoomScaleNormal="85" workbookViewId="0">
      <pane xSplit="4" ySplit="3" topLeftCell="E665" activePane="bottomRight" state="frozen"/>
      <selection pane="topRight" activeCell="E1" sqref="E1"/>
      <selection pane="bottomLeft" activeCell="A5" sqref="A5"/>
      <selection pane="bottomRight" activeCell="G683" sqref="G683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8.125" style="7" customWidth="1"/>
    <col min="6" max="6" width="110" style="7" bestFit="1" customWidth="1"/>
    <col min="7" max="7" width="25.25" style="7" customWidth="1"/>
    <col min="8" max="8" width="10.625" style="1" customWidth="1" outlineLevel="1"/>
    <col min="9" max="9" width="17.375" style="8" customWidth="1"/>
    <col min="10" max="10" width="15.625" style="8" customWidth="1"/>
    <col min="11" max="12" width="11.25" style="1" customWidth="1" outlineLevel="1"/>
    <col min="13" max="13" width="7.5" style="1" customWidth="1"/>
    <col min="14" max="16" width="8.5" style="8" customWidth="1" outlineLevel="1"/>
    <col min="17" max="17" width="7.5" style="1" customWidth="1"/>
    <col min="18" max="18" width="5" style="1" customWidth="1" outlineLevel="1"/>
    <col min="19" max="19" width="5" style="43" customWidth="1" outlineLevel="1"/>
    <col min="20" max="20" width="5" style="1" customWidth="1" outlineLevel="1"/>
    <col min="21" max="21" width="5" style="43" customWidth="1" outlineLevel="1"/>
    <col min="22" max="22" width="5" style="1" customWidth="1" outlineLevel="1"/>
    <col min="23" max="23" width="5" style="43" customWidth="1" outlineLevel="1"/>
    <col min="24" max="24" width="5.625" style="1" customWidth="1"/>
    <col min="25" max="25" width="5" style="1" customWidth="1" outlineLevel="1"/>
    <col min="26" max="26" width="5" style="43" customWidth="1" outlineLevel="1"/>
    <col min="27" max="27" width="5" style="1" customWidth="1" outlineLevel="1"/>
    <col min="28" max="28" width="5" style="43" customWidth="1" outlineLevel="1"/>
    <col min="29" max="29" width="5" style="1" customWidth="1" outlineLevel="1"/>
    <col min="30" max="30" width="5" style="43" customWidth="1" outlineLevel="1"/>
    <col min="31" max="31" width="5" style="1" customWidth="1" outlineLevel="1"/>
    <col min="32" max="32" width="5" style="43" customWidth="1" outlineLevel="1"/>
    <col min="33" max="33" width="5.625" style="1" customWidth="1"/>
    <col min="34" max="34" width="5" style="1" customWidth="1" outlineLevel="1"/>
    <col min="35" max="35" width="5" style="45" customWidth="1" outlineLevel="1"/>
    <col min="36" max="36" width="5" style="1" customWidth="1" outlineLevel="1"/>
    <col min="37" max="37" width="5" style="45" customWidth="1" outlineLevel="1"/>
    <col min="38" max="38" width="5" style="1" customWidth="1" outlineLevel="1"/>
    <col min="39" max="39" width="5" style="45" customWidth="1" outlineLevel="1"/>
    <col min="40" max="40" width="5" style="1" customWidth="1" outlineLevel="1"/>
    <col min="41" max="41" width="5" style="45" customWidth="1" outlineLevel="1"/>
    <col min="42" max="42" width="5" style="1" customWidth="1" outlineLevel="1"/>
    <col min="43" max="43" width="5" style="45" customWidth="1" outlineLevel="1"/>
    <col min="44" max="44" width="5" style="1" customWidth="1" outlineLevel="1"/>
    <col min="45" max="45" width="5" style="45" customWidth="1" outlineLevel="1"/>
    <col min="46" max="46" width="5" style="1" customWidth="1" outlineLevel="1"/>
    <col min="47" max="47" width="5" style="45" customWidth="1" outlineLevel="1"/>
    <col min="48" max="48" width="5" style="1" customWidth="1" outlineLevel="1"/>
    <col min="49" max="49" width="5" style="45" customWidth="1" outlineLevel="1"/>
    <col min="50" max="50" width="5" style="1" customWidth="1" outlineLevel="1"/>
    <col min="51" max="51" width="5" style="45" customWidth="1" outlineLevel="1"/>
    <col min="52" max="52" width="5" style="1" customWidth="1" outlineLevel="1"/>
    <col min="53" max="53" width="5" style="45" customWidth="1" outlineLevel="1"/>
    <col min="54" max="54" width="5.625" style="1" customWidth="1"/>
    <col min="55" max="55" width="5" style="1" customWidth="1" outlineLevel="1"/>
    <col min="56" max="56" width="5" style="43" customWidth="1" outlineLevel="1"/>
    <col min="57" max="57" width="5" style="1" customWidth="1" outlineLevel="1"/>
    <col min="58" max="58" width="5" style="43" customWidth="1" outlineLevel="1"/>
    <col min="59" max="59" width="5.625" style="1" customWidth="1"/>
    <col min="60" max="60" width="9" style="8" customWidth="1"/>
    <col min="61" max="70" width="9" style="1" customWidth="1"/>
    <col min="71" max="16384" width="9" style="1"/>
  </cols>
  <sheetData>
    <row r="1" spans="1:60" ht="27" customHeight="1">
      <c r="B1" s="2"/>
      <c r="C1" s="105" t="s">
        <v>965</v>
      </c>
      <c r="D1" s="106"/>
      <c r="E1" s="2"/>
      <c r="H1" s="2"/>
      <c r="I1" s="2"/>
      <c r="J1" s="2"/>
      <c r="K1" s="2"/>
      <c r="L1" s="2"/>
      <c r="M1" s="2"/>
      <c r="N1" s="2"/>
      <c r="O1" s="2"/>
      <c r="P1" s="2"/>
      <c r="Q1" s="37"/>
      <c r="R1" s="2"/>
      <c r="S1" s="40"/>
    </row>
    <row r="2" spans="1:60">
      <c r="A2" s="3"/>
      <c r="B2" s="3"/>
      <c r="C2" s="90"/>
      <c r="D2" s="3"/>
      <c r="E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1"/>
    </row>
    <row r="3" spans="1:60" s="4" customFormat="1" ht="36" customHeight="1">
      <c r="A3" s="25" t="s">
        <v>1</v>
      </c>
      <c r="B3" s="26" t="s">
        <v>2</v>
      </c>
      <c r="C3" s="91"/>
      <c r="D3" s="55" t="s">
        <v>3</v>
      </c>
      <c r="E3" s="27" t="s">
        <v>4</v>
      </c>
      <c r="F3" s="103" t="s">
        <v>966</v>
      </c>
      <c r="G3" s="103" t="s">
        <v>967</v>
      </c>
      <c r="H3" s="28" t="s">
        <v>5</v>
      </c>
      <c r="I3" s="29" t="s">
        <v>6</v>
      </c>
      <c r="J3" s="29" t="s">
        <v>7</v>
      </c>
      <c r="K3" s="30" t="s">
        <v>8</v>
      </c>
      <c r="L3" s="28" t="s">
        <v>9</v>
      </c>
      <c r="M3" s="31" t="s">
        <v>10</v>
      </c>
      <c r="N3" s="32" t="s">
        <v>11</v>
      </c>
      <c r="O3" s="32" t="s">
        <v>12</v>
      </c>
      <c r="P3" s="32" t="s">
        <v>13</v>
      </c>
      <c r="Q3" s="31" t="s">
        <v>14</v>
      </c>
      <c r="R3" s="111" t="s">
        <v>15</v>
      </c>
      <c r="S3" s="108"/>
      <c r="T3" s="108"/>
      <c r="U3" s="108"/>
      <c r="V3" s="108"/>
      <c r="W3" s="109"/>
      <c r="X3" s="34" t="s">
        <v>16</v>
      </c>
      <c r="Y3" s="112" t="s">
        <v>17</v>
      </c>
      <c r="Z3" s="113"/>
      <c r="AA3" s="113"/>
      <c r="AB3" s="113"/>
      <c r="AC3" s="113"/>
      <c r="AD3" s="113"/>
      <c r="AE3" s="113"/>
      <c r="AF3" s="114"/>
      <c r="AG3" s="34" t="s">
        <v>18</v>
      </c>
      <c r="AH3" s="107" t="s">
        <v>19</v>
      </c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9"/>
      <c r="BB3" s="33" t="s">
        <v>20</v>
      </c>
      <c r="BC3" s="110" t="s">
        <v>21</v>
      </c>
      <c r="BD3" s="108"/>
      <c r="BE3" s="108"/>
      <c r="BF3" s="109"/>
      <c r="BG3" s="33" t="s">
        <v>22</v>
      </c>
      <c r="BH3" s="39"/>
    </row>
    <row r="4" spans="1:60" s="8" customFormat="1" ht="22.5" customHeight="1">
      <c r="A4" s="9"/>
      <c r="B4" s="16" t="s">
        <v>23</v>
      </c>
      <c r="C4" s="89" t="s">
        <v>24</v>
      </c>
      <c r="D4" s="104" t="s">
        <v>25</v>
      </c>
      <c r="E4" s="104" t="s">
        <v>26</v>
      </c>
      <c r="F4" s="104" t="s">
        <v>25</v>
      </c>
      <c r="G4" s="104" t="s">
        <v>968</v>
      </c>
      <c r="H4" s="12"/>
      <c r="I4" s="9"/>
      <c r="J4" s="9"/>
      <c r="K4" s="14"/>
      <c r="L4" s="14"/>
      <c r="M4" s="12"/>
      <c r="N4" s="9"/>
      <c r="O4" s="9"/>
      <c r="P4" s="9"/>
      <c r="Q4" s="38">
        <f t="shared" ref="Q4:Q67" si="0">M4+X4-AG4-BB4</f>
        <v>0</v>
      </c>
      <c r="R4" s="12"/>
      <c r="S4" s="42"/>
      <c r="T4" s="15"/>
      <c r="U4" s="44"/>
      <c r="V4" s="15"/>
      <c r="W4" s="44"/>
      <c r="X4" s="15">
        <f t="shared" ref="X4:X67" si="1">R4+T4+V4</f>
        <v>0</v>
      </c>
      <c r="Y4" s="15"/>
      <c r="Z4" s="44"/>
      <c r="AA4" s="15"/>
      <c r="AB4" s="44"/>
      <c r="AC4" s="15"/>
      <c r="AD4" s="44"/>
      <c r="AE4" s="15"/>
      <c r="AF4" s="44"/>
      <c r="AG4" s="15">
        <f t="shared" ref="AG4:AG67" si="2">(Y4+AA4+AC4+AE4)</f>
        <v>0</v>
      </c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42"/>
      <c r="BB4" s="15"/>
      <c r="BC4" s="15"/>
      <c r="BD4" s="44"/>
      <c r="BE4" s="15"/>
      <c r="BF4" s="44"/>
      <c r="BG4" s="15"/>
    </row>
    <row r="5" spans="1:60" s="8" customFormat="1" ht="22.5" customHeight="1">
      <c r="A5" s="9"/>
      <c r="B5" s="16" t="s">
        <v>27</v>
      </c>
      <c r="C5" s="89" t="s">
        <v>24</v>
      </c>
      <c r="D5" s="104" t="s">
        <v>28</v>
      </c>
      <c r="E5" s="104"/>
      <c r="F5" s="104" t="s">
        <v>28</v>
      </c>
      <c r="G5" s="104" t="s">
        <v>969</v>
      </c>
      <c r="H5" s="12"/>
      <c r="I5" s="9"/>
      <c r="J5" s="9"/>
      <c r="K5" s="14"/>
      <c r="L5" s="14"/>
      <c r="M5" s="12"/>
      <c r="N5" s="9"/>
      <c r="O5" s="9"/>
      <c r="P5" s="9"/>
      <c r="Q5" s="38">
        <f t="shared" si="0"/>
        <v>0</v>
      </c>
      <c r="R5" s="12"/>
      <c r="S5" s="42"/>
      <c r="T5" s="15"/>
      <c r="U5" s="44"/>
      <c r="V5" s="15"/>
      <c r="W5" s="44"/>
      <c r="X5" s="15">
        <f t="shared" si="1"/>
        <v>0</v>
      </c>
      <c r="Y5" s="15"/>
      <c r="Z5" s="44"/>
      <c r="AA5" s="15"/>
      <c r="AB5" s="44"/>
      <c r="AC5" s="15"/>
      <c r="AD5" s="44"/>
      <c r="AE5" s="15"/>
      <c r="AF5" s="44"/>
      <c r="AG5" s="15">
        <f t="shared" si="2"/>
        <v>0</v>
      </c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/>
      <c r="BA5" s="42"/>
      <c r="BB5" s="15">
        <f t="shared" ref="BB5:BB31" si="3">AH5+AJ5+AL5+AN5+AP5+AR5+AT5+AV5+AX5+AZ5</f>
        <v>0</v>
      </c>
      <c r="BC5" s="15"/>
      <c r="BD5" s="44"/>
      <c r="BE5" s="15"/>
      <c r="BF5" s="44"/>
      <c r="BG5" s="15">
        <f t="shared" ref="BG5:BG31" si="4">(BC5+BE5)</f>
        <v>0</v>
      </c>
    </row>
    <row r="6" spans="1:60" s="8" customFormat="1" ht="22.5" customHeight="1">
      <c r="A6" s="9"/>
      <c r="B6" s="16" t="s">
        <v>27</v>
      </c>
      <c r="C6" s="89" t="s">
        <v>24</v>
      </c>
      <c r="D6" s="104" t="s">
        <v>28</v>
      </c>
      <c r="E6" s="104"/>
      <c r="F6" s="104" t="s">
        <v>28</v>
      </c>
      <c r="G6" s="104" t="s">
        <v>969</v>
      </c>
      <c r="H6" s="12"/>
      <c r="I6" s="9"/>
      <c r="J6" s="9"/>
      <c r="K6" s="14"/>
      <c r="L6" s="14"/>
      <c r="M6" s="12"/>
      <c r="N6" s="9"/>
      <c r="O6" s="9"/>
      <c r="P6" s="9"/>
      <c r="Q6" s="38">
        <f t="shared" si="0"/>
        <v>0</v>
      </c>
      <c r="R6" s="12"/>
      <c r="S6" s="42"/>
      <c r="T6" s="15"/>
      <c r="U6" s="44"/>
      <c r="V6" s="15"/>
      <c r="W6" s="44"/>
      <c r="X6" s="15">
        <f t="shared" si="1"/>
        <v>0</v>
      </c>
      <c r="Y6" s="15"/>
      <c r="Z6" s="44"/>
      <c r="AA6" s="15"/>
      <c r="AB6" s="44"/>
      <c r="AC6" s="15"/>
      <c r="AD6" s="44"/>
      <c r="AE6" s="15"/>
      <c r="AF6" s="44"/>
      <c r="AG6" s="15">
        <f t="shared" si="2"/>
        <v>0</v>
      </c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/>
      <c r="BA6" s="42"/>
      <c r="BB6" s="15">
        <f t="shared" si="3"/>
        <v>0</v>
      </c>
      <c r="BC6" s="15"/>
      <c r="BD6" s="44"/>
      <c r="BE6" s="15"/>
      <c r="BF6" s="44"/>
      <c r="BG6" s="15">
        <f t="shared" si="4"/>
        <v>0</v>
      </c>
    </row>
    <row r="7" spans="1:60" s="8" customFormat="1" ht="22.5" customHeight="1">
      <c r="A7" s="9"/>
      <c r="B7" s="16" t="s">
        <v>29</v>
      </c>
      <c r="C7" s="89" t="s">
        <v>30</v>
      </c>
      <c r="D7" s="104" t="s">
        <v>29</v>
      </c>
      <c r="E7" s="104"/>
      <c r="F7" s="104" t="s">
        <v>29</v>
      </c>
      <c r="G7" s="104" t="s">
        <v>970</v>
      </c>
      <c r="H7" s="12"/>
      <c r="I7" s="9"/>
      <c r="J7" s="9"/>
      <c r="K7" s="14"/>
      <c r="L7" s="14"/>
      <c r="M7" s="12"/>
      <c r="N7" s="9"/>
      <c r="O7" s="9"/>
      <c r="P7" s="9"/>
      <c r="Q7" s="38">
        <f t="shared" si="0"/>
        <v>0</v>
      </c>
      <c r="R7" s="12"/>
      <c r="S7" s="42"/>
      <c r="T7" s="15"/>
      <c r="U7" s="44"/>
      <c r="V7" s="15"/>
      <c r="W7" s="44"/>
      <c r="X7" s="15">
        <f t="shared" si="1"/>
        <v>0</v>
      </c>
      <c r="Y7" s="15"/>
      <c r="Z7" s="44"/>
      <c r="AA7" s="15"/>
      <c r="AB7" s="44"/>
      <c r="AC7" s="15"/>
      <c r="AD7" s="44"/>
      <c r="AE7" s="15"/>
      <c r="AF7" s="44"/>
      <c r="AG7" s="15">
        <f t="shared" si="2"/>
        <v>0</v>
      </c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/>
      <c r="BA7" s="42"/>
      <c r="BB7" s="15">
        <f t="shared" si="3"/>
        <v>0</v>
      </c>
      <c r="BC7" s="15"/>
      <c r="BD7" s="44"/>
      <c r="BE7" s="15"/>
      <c r="BF7" s="44"/>
      <c r="BG7" s="15">
        <f t="shared" si="4"/>
        <v>0</v>
      </c>
    </row>
    <row r="8" spans="1:60" s="8" customFormat="1" ht="22.5" customHeight="1">
      <c r="A8" s="9"/>
      <c r="B8" s="16" t="s">
        <v>31</v>
      </c>
      <c r="C8" s="89" t="s">
        <v>24</v>
      </c>
      <c r="D8" s="104" t="s">
        <v>32</v>
      </c>
      <c r="E8" s="104"/>
      <c r="F8" s="104" t="s">
        <v>971</v>
      </c>
      <c r="G8" s="104" t="s">
        <v>972</v>
      </c>
      <c r="H8" s="12"/>
      <c r="I8" s="9"/>
      <c r="J8" s="9"/>
      <c r="K8" s="14"/>
      <c r="L8" s="14"/>
      <c r="M8" s="12"/>
      <c r="N8" s="9"/>
      <c r="O8" s="9"/>
      <c r="P8" s="9"/>
      <c r="Q8" s="38">
        <f t="shared" si="0"/>
        <v>0</v>
      </c>
      <c r="R8" s="12"/>
      <c r="S8" s="42"/>
      <c r="T8" s="15"/>
      <c r="U8" s="44"/>
      <c r="V8" s="15"/>
      <c r="W8" s="44"/>
      <c r="X8" s="15">
        <f t="shared" si="1"/>
        <v>0</v>
      </c>
      <c r="Y8" s="15"/>
      <c r="Z8" s="44"/>
      <c r="AA8" s="15"/>
      <c r="AB8" s="44"/>
      <c r="AC8" s="15"/>
      <c r="AD8" s="44"/>
      <c r="AE8" s="15"/>
      <c r="AF8" s="44"/>
      <c r="AG8" s="15">
        <f t="shared" si="2"/>
        <v>0</v>
      </c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/>
      <c r="BA8" s="42"/>
      <c r="BB8" s="15">
        <f t="shared" si="3"/>
        <v>0</v>
      </c>
      <c r="BC8" s="15"/>
      <c r="BD8" s="44"/>
      <c r="BE8" s="15"/>
      <c r="BF8" s="44"/>
      <c r="BG8" s="15">
        <f t="shared" si="4"/>
        <v>0</v>
      </c>
    </row>
    <row r="9" spans="1:60" s="8" customFormat="1" ht="22.5" customHeight="1">
      <c r="A9" s="9"/>
      <c r="B9" s="16" t="s">
        <v>31</v>
      </c>
      <c r="C9" s="89" t="s">
        <v>24</v>
      </c>
      <c r="D9" s="104" t="s">
        <v>33</v>
      </c>
      <c r="E9" s="104"/>
      <c r="F9" s="104" t="s">
        <v>973</v>
      </c>
      <c r="G9" s="104" t="s">
        <v>974</v>
      </c>
      <c r="H9" s="12"/>
      <c r="I9" s="9"/>
      <c r="J9" s="9"/>
      <c r="K9" s="14"/>
      <c r="L9" s="14"/>
      <c r="M9" s="12"/>
      <c r="N9" s="9"/>
      <c r="O9" s="9"/>
      <c r="P9" s="9"/>
      <c r="Q9" s="38">
        <f t="shared" si="0"/>
        <v>0</v>
      </c>
      <c r="R9" s="12"/>
      <c r="S9" s="42"/>
      <c r="T9" s="15"/>
      <c r="U9" s="44"/>
      <c r="V9" s="15"/>
      <c r="W9" s="44"/>
      <c r="X9" s="15">
        <f t="shared" si="1"/>
        <v>0</v>
      </c>
      <c r="Y9" s="15"/>
      <c r="Z9" s="44"/>
      <c r="AA9" s="15"/>
      <c r="AB9" s="44"/>
      <c r="AC9" s="15"/>
      <c r="AD9" s="44"/>
      <c r="AE9" s="15"/>
      <c r="AF9" s="44"/>
      <c r="AG9" s="15">
        <f t="shared" si="2"/>
        <v>0</v>
      </c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/>
      <c r="BA9" s="42"/>
      <c r="BB9" s="15">
        <f t="shared" si="3"/>
        <v>0</v>
      </c>
      <c r="BC9" s="15"/>
      <c r="BD9" s="44"/>
      <c r="BE9" s="15"/>
      <c r="BF9" s="44"/>
      <c r="BG9" s="15">
        <f t="shared" si="4"/>
        <v>0</v>
      </c>
    </row>
    <row r="10" spans="1:60" s="8" customFormat="1" ht="22.5" customHeight="1">
      <c r="A10" s="9"/>
      <c r="B10" s="16" t="s">
        <v>34</v>
      </c>
      <c r="C10" s="89" t="s">
        <v>24</v>
      </c>
      <c r="D10" s="104" t="s">
        <v>35</v>
      </c>
      <c r="E10" s="104"/>
      <c r="F10" s="104" t="s">
        <v>975</v>
      </c>
      <c r="G10" s="104" t="s">
        <v>976</v>
      </c>
      <c r="H10" s="12"/>
      <c r="I10" s="9"/>
      <c r="J10" s="9"/>
      <c r="K10" s="14"/>
      <c r="L10" s="14"/>
      <c r="M10" s="12"/>
      <c r="N10" s="9"/>
      <c r="O10" s="9"/>
      <c r="P10" s="9"/>
      <c r="Q10" s="38">
        <f t="shared" si="0"/>
        <v>0</v>
      </c>
      <c r="R10" s="12"/>
      <c r="S10" s="42"/>
      <c r="T10" s="15"/>
      <c r="U10" s="44"/>
      <c r="V10" s="15"/>
      <c r="W10" s="44"/>
      <c r="X10" s="15">
        <f t="shared" si="1"/>
        <v>0</v>
      </c>
      <c r="Y10" s="15"/>
      <c r="Z10" s="44"/>
      <c r="AA10" s="15"/>
      <c r="AB10" s="44"/>
      <c r="AC10" s="15"/>
      <c r="AD10" s="44"/>
      <c r="AE10" s="15"/>
      <c r="AF10" s="44"/>
      <c r="AG10" s="15">
        <f t="shared" si="2"/>
        <v>0</v>
      </c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/>
      <c r="BA10" s="42"/>
      <c r="BB10" s="15">
        <f t="shared" si="3"/>
        <v>0</v>
      </c>
      <c r="BC10" s="15"/>
      <c r="BD10" s="44"/>
      <c r="BE10" s="15"/>
      <c r="BF10" s="44"/>
      <c r="BG10" s="15">
        <f t="shared" si="4"/>
        <v>0</v>
      </c>
    </row>
    <row r="11" spans="1:60" s="8" customFormat="1" ht="22.5" customHeight="1">
      <c r="A11" s="9"/>
      <c r="B11" s="16" t="s">
        <v>34</v>
      </c>
      <c r="C11" s="89" t="s">
        <v>24</v>
      </c>
      <c r="D11" s="104" t="s">
        <v>36</v>
      </c>
      <c r="E11" s="104"/>
      <c r="F11" s="104" t="s">
        <v>977</v>
      </c>
      <c r="G11" s="104" t="s">
        <v>978</v>
      </c>
      <c r="H11" s="12"/>
      <c r="I11" s="9"/>
      <c r="J11" s="9"/>
      <c r="K11" s="14"/>
      <c r="L11" s="14"/>
      <c r="M11" s="12"/>
      <c r="N11" s="9"/>
      <c r="O11" s="9"/>
      <c r="P11" s="9"/>
      <c r="Q11" s="38">
        <f t="shared" si="0"/>
        <v>0</v>
      </c>
      <c r="R11" s="12"/>
      <c r="S11" s="42"/>
      <c r="T11" s="15"/>
      <c r="U11" s="44"/>
      <c r="V11" s="15"/>
      <c r="W11" s="44"/>
      <c r="X11" s="15">
        <f t="shared" si="1"/>
        <v>0</v>
      </c>
      <c r="Y11" s="15"/>
      <c r="Z11" s="44"/>
      <c r="AA11" s="15"/>
      <c r="AB11" s="44"/>
      <c r="AC11" s="15"/>
      <c r="AD11" s="44"/>
      <c r="AE11" s="15"/>
      <c r="AF11" s="44"/>
      <c r="AG11" s="15">
        <f t="shared" si="2"/>
        <v>0</v>
      </c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/>
      <c r="BA11" s="42"/>
      <c r="BB11" s="15">
        <f t="shared" si="3"/>
        <v>0</v>
      </c>
      <c r="BC11" s="15"/>
      <c r="BD11" s="44"/>
      <c r="BE11" s="15"/>
      <c r="BF11" s="44"/>
      <c r="BG11" s="15">
        <f t="shared" si="4"/>
        <v>0</v>
      </c>
    </row>
    <row r="12" spans="1:60" s="8" customFormat="1" ht="22.5" customHeight="1">
      <c r="A12" s="9"/>
      <c r="B12" s="16" t="s">
        <v>37</v>
      </c>
      <c r="C12" s="89" t="s">
        <v>24</v>
      </c>
      <c r="D12" s="104" t="s">
        <v>37</v>
      </c>
      <c r="E12" s="104"/>
      <c r="F12" s="104" t="s">
        <v>979</v>
      </c>
      <c r="G12" s="104" t="s">
        <v>980</v>
      </c>
      <c r="H12" s="12"/>
      <c r="I12" s="9"/>
      <c r="J12" s="9"/>
      <c r="K12" s="14"/>
      <c r="L12" s="14"/>
      <c r="M12" s="12"/>
      <c r="N12" s="9"/>
      <c r="O12" s="9"/>
      <c r="P12" s="9"/>
      <c r="Q12" s="38">
        <f t="shared" si="0"/>
        <v>0</v>
      </c>
      <c r="R12" s="12"/>
      <c r="S12" s="42"/>
      <c r="T12" s="15"/>
      <c r="U12" s="44"/>
      <c r="V12" s="15"/>
      <c r="W12" s="44"/>
      <c r="X12" s="15">
        <f t="shared" si="1"/>
        <v>0</v>
      </c>
      <c r="Y12" s="15"/>
      <c r="Z12" s="44"/>
      <c r="AA12" s="15"/>
      <c r="AB12" s="44"/>
      <c r="AC12" s="15"/>
      <c r="AD12" s="44"/>
      <c r="AE12" s="15"/>
      <c r="AF12" s="44"/>
      <c r="AG12" s="15">
        <f t="shared" si="2"/>
        <v>0</v>
      </c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/>
      <c r="BA12" s="42"/>
      <c r="BB12" s="15">
        <f t="shared" si="3"/>
        <v>0</v>
      </c>
      <c r="BC12" s="15"/>
      <c r="BD12" s="44"/>
      <c r="BE12" s="15"/>
      <c r="BF12" s="44"/>
      <c r="BG12" s="15">
        <f t="shared" si="4"/>
        <v>0</v>
      </c>
    </row>
    <row r="13" spans="1:60" s="8" customFormat="1" ht="22.5" customHeight="1">
      <c r="A13" s="9"/>
      <c r="B13" s="16" t="s">
        <v>37</v>
      </c>
      <c r="C13" s="89" t="s">
        <v>24</v>
      </c>
      <c r="D13" s="104" t="s">
        <v>38</v>
      </c>
      <c r="E13" s="104"/>
      <c r="F13" s="104" t="s">
        <v>981</v>
      </c>
      <c r="G13" s="104" t="s">
        <v>982</v>
      </c>
      <c r="H13" s="12"/>
      <c r="I13" s="9"/>
      <c r="J13" s="9"/>
      <c r="K13" s="14"/>
      <c r="L13" s="14"/>
      <c r="M13" s="12"/>
      <c r="N13" s="9"/>
      <c r="O13" s="9"/>
      <c r="P13" s="9"/>
      <c r="Q13" s="38">
        <f t="shared" si="0"/>
        <v>0</v>
      </c>
      <c r="R13" s="12"/>
      <c r="S13" s="42"/>
      <c r="T13" s="15"/>
      <c r="U13" s="44"/>
      <c r="V13" s="15"/>
      <c r="W13" s="44"/>
      <c r="X13" s="15">
        <f t="shared" si="1"/>
        <v>0</v>
      </c>
      <c r="Y13" s="15"/>
      <c r="Z13" s="44"/>
      <c r="AA13" s="15"/>
      <c r="AB13" s="44"/>
      <c r="AC13" s="15"/>
      <c r="AD13" s="44"/>
      <c r="AE13" s="15"/>
      <c r="AF13" s="44"/>
      <c r="AG13" s="15">
        <f t="shared" si="2"/>
        <v>0</v>
      </c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/>
      <c r="BA13" s="42"/>
      <c r="BB13" s="15">
        <f t="shared" si="3"/>
        <v>0</v>
      </c>
      <c r="BC13" s="15"/>
      <c r="BD13" s="44"/>
      <c r="BE13" s="15"/>
      <c r="BF13" s="44"/>
      <c r="BG13" s="15">
        <f t="shared" si="4"/>
        <v>0</v>
      </c>
    </row>
    <row r="14" spans="1:60" s="8" customFormat="1" ht="22.5" customHeight="1">
      <c r="A14" s="9"/>
      <c r="B14" s="16" t="s">
        <v>23</v>
      </c>
      <c r="C14" s="89" t="s">
        <v>39</v>
      </c>
      <c r="D14" s="104" t="s">
        <v>40</v>
      </c>
      <c r="E14" s="104" t="s">
        <v>26</v>
      </c>
      <c r="F14" s="104" t="s">
        <v>40</v>
      </c>
      <c r="G14" s="104" t="s">
        <v>983</v>
      </c>
      <c r="H14" s="12"/>
      <c r="I14" s="9"/>
      <c r="J14" s="9"/>
      <c r="K14" s="14"/>
      <c r="L14" s="14"/>
      <c r="M14" s="12"/>
      <c r="N14" s="9"/>
      <c r="O14" s="9"/>
      <c r="P14" s="9"/>
      <c r="Q14" s="38">
        <f t="shared" si="0"/>
        <v>0</v>
      </c>
      <c r="R14" s="12"/>
      <c r="S14" s="42"/>
      <c r="T14" s="15"/>
      <c r="U14" s="44"/>
      <c r="V14" s="15"/>
      <c r="W14" s="44"/>
      <c r="X14" s="15">
        <f t="shared" si="1"/>
        <v>0</v>
      </c>
      <c r="Y14" s="15"/>
      <c r="Z14" s="44"/>
      <c r="AA14" s="15"/>
      <c r="AB14" s="44"/>
      <c r="AC14" s="15"/>
      <c r="AD14" s="44"/>
      <c r="AE14" s="15"/>
      <c r="AF14" s="44"/>
      <c r="AG14" s="15">
        <f t="shared" si="2"/>
        <v>0</v>
      </c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/>
      <c r="BA14" s="42"/>
      <c r="BB14" s="15">
        <f t="shared" si="3"/>
        <v>0</v>
      </c>
      <c r="BC14" s="15"/>
      <c r="BD14" s="44"/>
      <c r="BE14" s="15"/>
      <c r="BF14" s="44"/>
      <c r="BG14" s="15">
        <f t="shared" si="4"/>
        <v>0</v>
      </c>
    </row>
    <row r="15" spans="1:60" s="8" customFormat="1" ht="22.5" customHeight="1">
      <c r="A15" s="9"/>
      <c r="B15" s="16" t="s">
        <v>27</v>
      </c>
      <c r="C15" s="89" t="s">
        <v>39</v>
      </c>
      <c r="D15" s="104" t="s">
        <v>28</v>
      </c>
      <c r="E15" s="104"/>
      <c r="F15" s="104" t="s">
        <v>984</v>
      </c>
      <c r="G15" s="104" t="s">
        <v>985</v>
      </c>
      <c r="H15" s="12"/>
      <c r="I15" s="9"/>
      <c r="J15" s="9"/>
      <c r="K15" s="14"/>
      <c r="L15" s="14"/>
      <c r="M15" s="12"/>
      <c r="N15" s="9"/>
      <c r="O15" s="9"/>
      <c r="P15" s="9"/>
      <c r="Q15" s="38">
        <f t="shared" si="0"/>
        <v>0</v>
      </c>
      <c r="R15" s="12"/>
      <c r="S15" s="42"/>
      <c r="T15" s="15"/>
      <c r="U15" s="44"/>
      <c r="V15" s="15"/>
      <c r="W15" s="44"/>
      <c r="X15" s="15">
        <f t="shared" si="1"/>
        <v>0</v>
      </c>
      <c r="Y15" s="15"/>
      <c r="Z15" s="44"/>
      <c r="AA15" s="15"/>
      <c r="AB15" s="44"/>
      <c r="AC15" s="15"/>
      <c r="AD15" s="44"/>
      <c r="AE15" s="15"/>
      <c r="AF15" s="44"/>
      <c r="AG15" s="15">
        <f t="shared" si="2"/>
        <v>0</v>
      </c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/>
      <c r="BA15" s="42"/>
      <c r="BB15" s="15">
        <f t="shared" si="3"/>
        <v>0</v>
      </c>
      <c r="BC15" s="15"/>
      <c r="BD15" s="44"/>
      <c r="BE15" s="15"/>
      <c r="BF15" s="44"/>
      <c r="BG15" s="15">
        <f t="shared" si="4"/>
        <v>0</v>
      </c>
    </row>
    <row r="16" spans="1:60" s="8" customFormat="1" ht="22.5" customHeight="1">
      <c r="A16" s="9"/>
      <c r="B16" s="16" t="s">
        <v>31</v>
      </c>
      <c r="C16" s="89" t="s">
        <v>39</v>
      </c>
      <c r="D16" s="104" t="s">
        <v>32</v>
      </c>
      <c r="E16" s="104"/>
      <c r="F16" s="104" t="s">
        <v>986</v>
      </c>
      <c r="G16" s="104" t="s">
        <v>987</v>
      </c>
      <c r="H16" s="12"/>
      <c r="I16" s="9"/>
      <c r="J16" s="9"/>
      <c r="K16" s="14"/>
      <c r="L16" s="14"/>
      <c r="M16" s="12"/>
      <c r="N16" s="9"/>
      <c r="O16" s="9"/>
      <c r="P16" s="9"/>
      <c r="Q16" s="38">
        <f t="shared" si="0"/>
        <v>0</v>
      </c>
      <c r="R16" s="12"/>
      <c r="S16" s="42"/>
      <c r="T16" s="15"/>
      <c r="U16" s="44"/>
      <c r="V16" s="15"/>
      <c r="W16" s="44"/>
      <c r="X16" s="15">
        <f t="shared" si="1"/>
        <v>0</v>
      </c>
      <c r="Y16" s="15"/>
      <c r="Z16" s="44"/>
      <c r="AA16" s="15"/>
      <c r="AB16" s="44"/>
      <c r="AC16" s="15"/>
      <c r="AD16" s="44"/>
      <c r="AE16" s="15"/>
      <c r="AF16" s="44"/>
      <c r="AG16" s="15">
        <f t="shared" si="2"/>
        <v>0</v>
      </c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/>
      <c r="BA16" s="42"/>
      <c r="BB16" s="15">
        <f t="shared" si="3"/>
        <v>0</v>
      </c>
      <c r="BC16" s="15"/>
      <c r="BD16" s="44"/>
      <c r="BE16" s="15"/>
      <c r="BF16" s="44"/>
      <c r="BG16" s="15">
        <f t="shared" si="4"/>
        <v>0</v>
      </c>
    </row>
    <row r="17" spans="1:59" s="8" customFormat="1" ht="22.5" customHeight="1">
      <c r="A17" s="9"/>
      <c r="B17" s="16" t="s">
        <v>31</v>
      </c>
      <c r="C17" s="89" t="s">
        <v>39</v>
      </c>
      <c r="D17" s="104" t="s">
        <v>41</v>
      </c>
      <c r="E17" s="104"/>
      <c r="F17" s="104" t="s">
        <v>41</v>
      </c>
      <c r="G17" s="104" t="s">
        <v>988</v>
      </c>
      <c r="H17" s="12"/>
      <c r="I17" s="9"/>
      <c r="J17" s="9"/>
      <c r="K17" s="14"/>
      <c r="L17" s="14"/>
      <c r="M17" s="12"/>
      <c r="N17" s="9"/>
      <c r="O17" s="9"/>
      <c r="P17" s="9"/>
      <c r="Q17" s="38">
        <f t="shared" si="0"/>
        <v>0</v>
      </c>
      <c r="R17" s="12"/>
      <c r="S17" s="42"/>
      <c r="T17" s="15"/>
      <c r="U17" s="44"/>
      <c r="V17" s="15"/>
      <c r="W17" s="44"/>
      <c r="X17" s="15">
        <f t="shared" si="1"/>
        <v>0</v>
      </c>
      <c r="Y17" s="15"/>
      <c r="Z17" s="44"/>
      <c r="AA17" s="15"/>
      <c r="AB17" s="44"/>
      <c r="AC17" s="15"/>
      <c r="AD17" s="44"/>
      <c r="AE17" s="15"/>
      <c r="AF17" s="44"/>
      <c r="AG17" s="15">
        <f t="shared" si="2"/>
        <v>0</v>
      </c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/>
      <c r="BA17" s="42"/>
      <c r="BB17" s="15">
        <f t="shared" si="3"/>
        <v>0</v>
      </c>
      <c r="BC17" s="15"/>
      <c r="BD17" s="44"/>
      <c r="BE17" s="15"/>
      <c r="BF17" s="44"/>
      <c r="BG17" s="15">
        <f t="shared" si="4"/>
        <v>0</v>
      </c>
    </row>
    <row r="18" spans="1:59" s="8" customFormat="1" ht="22.5" customHeight="1">
      <c r="A18" s="9"/>
      <c r="B18" s="16" t="s">
        <v>31</v>
      </c>
      <c r="C18" s="89" t="s">
        <v>39</v>
      </c>
      <c r="D18" s="104" t="s">
        <v>33</v>
      </c>
      <c r="E18" s="104"/>
      <c r="F18" s="104" t="s">
        <v>989</v>
      </c>
      <c r="G18" s="104" t="s">
        <v>990</v>
      </c>
      <c r="H18" s="12"/>
      <c r="I18" s="9"/>
      <c r="J18" s="9"/>
      <c r="K18" s="14"/>
      <c r="L18" s="14"/>
      <c r="M18" s="12"/>
      <c r="N18" s="9"/>
      <c r="O18" s="9"/>
      <c r="P18" s="9"/>
      <c r="Q18" s="38">
        <f t="shared" si="0"/>
        <v>0</v>
      </c>
      <c r="R18" s="12"/>
      <c r="S18" s="42"/>
      <c r="T18" s="15"/>
      <c r="U18" s="44"/>
      <c r="V18" s="15"/>
      <c r="W18" s="44"/>
      <c r="X18" s="15">
        <f t="shared" si="1"/>
        <v>0</v>
      </c>
      <c r="Y18" s="15"/>
      <c r="Z18" s="44"/>
      <c r="AA18" s="15"/>
      <c r="AB18" s="44"/>
      <c r="AC18" s="15"/>
      <c r="AD18" s="44"/>
      <c r="AE18" s="15"/>
      <c r="AF18" s="44"/>
      <c r="AG18" s="15">
        <f t="shared" si="2"/>
        <v>0</v>
      </c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/>
      <c r="BA18" s="42"/>
      <c r="BB18" s="15">
        <f t="shared" si="3"/>
        <v>0</v>
      </c>
      <c r="BC18" s="15"/>
      <c r="BD18" s="44"/>
      <c r="BE18" s="15"/>
      <c r="BF18" s="44"/>
      <c r="BG18" s="15">
        <f t="shared" si="4"/>
        <v>0</v>
      </c>
    </row>
    <row r="19" spans="1:59" s="8" customFormat="1" ht="22.5" customHeight="1">
      <c r="A19" s="9"/>
      <c r="B19" s="16" t="s">
        <v>34</v>
      </c>
      <c r="C19" s="89" t="s">
        <v>39</v>
      </c>
      <c r="D19" s="104" t="s">
        <v>35</v>
      </c>
      <c r="E19" s="104"/>
      <c r="F19" s="104" t="s">
        <v>991</v>
      </c>
      <c r="G19" s="104" t="s">
        <v>992</v>
      </c>
      <c r="H19" s="12"/>
      <c r="I19" s="9"/>
      <c r="J19" s="9"/>
      <c r="K19" s="14"/>
      <c r="L19" s="14"/>
      <c r="M19" s="12"/>
      <c r="N19" s="9"/>
      <c r="O19" s="9"/>
      <c r="P19" s="9"/>
      <c r="Q19" s="38">
        <f t="shared" si="0"/>
        <v>0</v>
      </c>
      <c r="R19" s="12"/>
      <c r="S19" s="42"/>
      <c r="T19" s="15"/>
      <c r="U19" s="44"/>
      <c r="V19" s="15"/>
      <c r="W19" s="44"/>
      <c r="X19" s="15">
        <f t="shared" si="1"/>
        <v>0</v>
      </c>
      <c r="Y19" s="15"/>
      <c r="Z19" s="44"/>
      <c r="AA19" s="15"/>
      <c r="AB19" s="44"/>
      <c r="AC19" s="15"/>
      <c r="AD19" s="44"/>
      <c r="AE19" s="15"/>
      <c r="AF19" s="44"/>
      <c r="AG19" s="15">
        <f t="shared" si="2"/>
        <v>0</v>
      </c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/>
      <c r="BA19" s="42"/>
      <c r="BB19" s="15">
        <f t="shared" si="3"/>
        <v>0</v>
      </c>
      <c r="BC19" s="15"/>
      <c r="BD19" s="44"/>
      <c r="BE19" s="15"/>
      <c r="BF19" s="44"/>
      <c r="BG19" s="15">
        <f t="shared" si="4"/>
        <v>0</v>
      </c>
    </row>
    <row r="20" spans="1:59" s="8" customFormat="1" ht="22.5" customHeight="1">
      <c r="A20" s="9"/>
      <c r="B20" s="16" t="s">
        <v>34</v>
      </c>
      <c r="C20" s="89" t="s">
        <v>39</v>
      </c>
      <c r="D20" s="104" t="s">
        <v>42</v>
      </c>
      <c r="E20" s="104"/>
      <c r="F20" s="104" t="s">
        <v>42</v>
      </c>
      <c r="G20" s="104" t="s">
        <v>993</v>
      </c>
      <c r="H20" s="12"/>
      <c r="I20" s="9"/>
      <c r="J20" s="9"/>
      <c r="K20" s="14"/>
      <c r="L20" s="14"/>
      <c r="M20" s="12"/>
      <c r="N20" s="9"/>
      <c r="O20" s="9"/>
      <c r="P20" s="9"/>
      <c r="Q20" s="38">
        <f t="shared" si="0"/>
        <v>0</v>
      </c>
      <c r="R20" s="12"/>
      <c r="S20" s="42"/>
      <c r="T20" s="15"/>
      <c r="U20" s="44"/>
      <c r="V20" s="15"/>
      <c r="W20" s="44"/>
      <c r="X20" s="15">
        <f t="shared" si="1"/>
        <v>0</v>
      </c>
      <c r="Y20" s="15"/>
      <c r="Z20" s="44"/>
      <c r="AA20" s="15"/>
      <c r="AB20" s="44"/>
      <c r="AC20" s="15"/>
      <c r="AD20" s="44"/>
      <c r="AE20" s="15"/>
      <c r="AF20" s="44"/>
      <c r="AG20" s="15">
        <f t="shared" si="2"/>
        <v>0</v>
      </c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/>
      <c r="BA20" s="42"/>
      <c r="BB20" s="15">
        <f t="shared" si="3"/>
        <v>0</v>
      </c>
      <c r="BC20" s="15"/>
      <c r="BD20" s="44"/>
      <c r="BE20" s="15"/>
      <c r="BF20" s="44"/>
      <c r="BG20" s="15">
        <f t="shared" si="4"/>
        <v>0</v>
      </c>
    </row>
    <row r="21" spans="1:59" s="8" customFormat="1" ht="22.5" customHeight="1">
      <c r="A21" s="9"/>
      <c r="B21" s="16" t="s">
        <v>37</v>
      </c>
      <c r="C21" s="89" t="s">
        <v>39</v>
      </c>
      <c r="D21" s="104" t="s">
        <v>37</v>
      </c>
      <c r="E21" s="104"/>
      <c r="F21" s="104" t="s">
        <v>994</v>
      </c>
      <c r="G21" s="104" t="s">
        <v>995</v>
      </c>
      <c r="H21" s="12"/>
      <c r="I21" s="9"/>
      <c r="J21" s="9"/>
      <c r="K21" s="14"/>
      <c r="L21" s="14"/>
      <c r="M21" s="12"/>
      <c r="N21" s="9"/>
      <c r="O21" s="9"/>
      <c r="P21" s="9"/>
      <c r="Q21" s="38">
        <f t="shared" si="0"/>
        <v>0</v>
      </c>
      <c r="R21" s="12"/>
      <c r="S21" s="42"/>
      <c r="T21" s="15"/>
      <c r="U21" s="44"/>
      <c r="V21" s="15"/>
      <c r="W21" s="44"/>
      <c r="X21" s="15">
        <f t="shared" si="1"/>
        <v>0</v>
      </c>
      <c r="Y21" s="15"/>
      <c r="Z21" s="44"/>
      <c r="AA21" s="15"/>
      <c r="AB21" s="44"/>
      <c r="AC21" s="15"/>
      <c r="AD21" s="44"/>
      <c r="AE21" s="15"/>
      <c r="AF21" s="44"/>
      <c r="AG21" s="15">
        <f t="shared" si="2"/>
        <v>0</v>
      </c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/>
      <c r="BA21" s="42"/>
      <c r="BB21" s="15">
        <f t="shared" si="3"/>
        <v>0</v>
      </c>
      <c r="BC21" s="15"/>
      <c r="BD21" s="44"/>
      <c r="BE21" s="15"/>
      <c r="BF21" s="44"/>
      <c r="BG21" s="15">
        <f t="shared" si="4"/>
        <v>0</v>
      </c>
    </row>
    <row r="22" spans="1:59" s="8" customFormat="1" ht="22.5" customHeight="1">
      <c r="A22" s="9"/>
      <c r="B22" s="16" t="s">
        <v>37</v>
      </c>
      <c r="C22" s="89" t="s">
        <v>39</v>
      </c>
      <c r="D22" s="104" t="s">
        <v>38</v>
      </c>
      <c r="E22" s="104"/>
      <c r="F22" s="104" t="s">
        <v>996</v>
      </c>
      <c r="G22" s="104" t="s">
        <v>997</v>
      </c>
      <c r="H22" s="12"/>
      <c r="I22" s="9"/>
      <c r="J22" s="9"/>
      <c r="K22" s="14"/>
      <c r="L22" s="14"/>
      <c r="M22" s="12"/>
      <c r="N22" s="9"/>
      <c r="O22" s="9"/>
      <c r="P22" s="9"/>
      <c r="Q22" s="38">
        <f t="shared" si="0"/>
        <v>0</v>
      </c>
      <c r="R22" s="12"/>
      <c r="S22" s="42"/>
      <c r="T22" s="15"/>
      <c r="U22" s="44"/>
      <c r="V22" s="15"/>
      <c r="W22" s="44"/>
      <c r="X22" s="15">
        <f t="shared" si="1"/>
        <v>0</v>
      </c>
      <c r="Y22" s="15"/>
      <c r="Z22" s="44"/>
      <c r="AA22" s="15"/>
      <c r="AB22" s="44"/>
      <c r="AC22" s="15"/>
      <c r="AD22" s="44"/>
      <c r="AE22" s="15"/>
      <c r="AF22" s="44"/>
      <c r="AG22" s="15">
        <f t="shared" si="2"/>
        <v>0</v>
      </c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/>
      <c r="BA22" s="42"/>
      <c r="BB22" s="15">
        <f t="shared" si="3"/>
        <v>0</v>
      </c>
      <c r="BC22" s="15"/>
      <c r="BD22" s="44"/>
      <c r="BE22" s="15"/>
      <c r="BF22" s="44"/>
      <c r="BG22" s="15">
        <f t="shared" si="4"/>
        <v>0</v>
      </c>
    </row>
    <row r="23" spans="1:59" s="8" customFormat="1" ht="22.5" customHeight="1">
      <c r="A23" s="9"/>
      <c r="B23" s="16" t="s">
        <v>43</v>
      </c>
      <c r="C23" s="89" t="s">
        <v>44</v>
      </c>
      <c r="D23" s="104" t="s">
        <v>45</v>
      </c>
      <c r="E23" s="104" t="s">
        <v>46</v>
      </c>
      <c r="F23" s="104" t="s">
        <v>998</v>
      </c>
      <c r="G23" s="104" t="s">
        <v>999</v>
      </c>
      <c r="H23" s="12"/>
      <c r="I23" s="9"/>
      <c r="J23" s="9" t="s">
        <v>47</v>
      </c>
      <c r="K23" s="14"/>
      <c r="L23" s="14"/>
      <c r="M23" s="12"/>
      <c r="N23" s="9"/>
      <c r="O23" s="9"/>
      <c r="P23" s="9"/>
      <c r="Q23" s="38">
        <f t="shared" si="0"/>
        <v>0</v>
      </c>
      <c r="R23" s="12"/>
      <c r="S23" s="42"/>
      <c r="T23" s="15"/>
      <c r="U23" s="44"/>
      <c r="V23" s="15"/>
      <c r="W23" s="44"/>
      <c r="X23" s="15">
        <f t="shared" si="1"/>
        <v>0</v>
      </c>
      <c r="Y23" s="15"/>
      <c r="Z23" s="44"/>
      <c r="AA23" s="15"/>
      <c r="AB23" s="44"/>
      <c r="AC23" s="15"/>
      <c r="AD23" s="44"/>
      <c r="AE23" s="15"/>
      <c r="AF23" s="44"/>
      <c r="AG23" s="15">
        <f t="shared" si="2"/>
        <v>0</v>
      </c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/>
      <c r="BA23" s="42"/>
      <c r="BB23" s="15">
        <f t="shared" si="3"/>
        <v>0</v>
      </c>
      <c r="BC23" s="15"/>
      <c r="BD23" s="44"/>
      <c r="BE23" s="15"/>
      <c r="BF23" s="44"/>
      <c r="BG23" s="15">
        <f t="shared" si="4"/>
        <v>0</v>
      </c>
    </row>
    <row r="24" spans="1:59" s="8" customFormat="1" ht="22.5" customHeight="1">
      <c r="A24" s="9"/>
      <c r="B24" s="16" t="s">
        <v>43</v>
      </c>
      <c r="C24" s="89" t="s">
        <v>48</v>
      </c>
      <c r="D24" s="104" t="s">
        <v>45</v>
      </c>
      <c r="E24" s="104" t="s">
        <v>49</v>
      </c>
      <c r="F24" s="104" t="s">
        <v>1000</v>
      </c>
      <c r="G24" s="104" t="s">
        <v>1001</v>
      </c>
      <c r="H24" s="12"/>
      <c r="I24" s="9"/>
      <c r="J24" s="9" t="s">
        <v>47</v>
      </c>
      <c r="K24" s="14"/>
      <c r="L24" s="14"/>
      <c r="M24" s="12"/>
      <c r="N24" s="9"/>
      <c r="O24" s="9"/>
      <c r="P24" s="9"/>
      <c r="Q24" s="38">
        <f t="shared" si="0"/>
        <v>0</v>
      </c>
      <c r="R24" s="12"/>
      <c r="S24" s="42"/>
      <c r="T24" s="15"/>
      <c r="U24" s="44"/>
      <c r="V24" s="15"/>
      <c r="W24" s="44"/>
      <c r="X24" s="15">
        <f t="shared" si="1"/>
        <v>0</v>
      </c>
      <c r="Y24" s="15"/>
      <c r="Z24" s="44"/>
      <c r="AA24" s="15"/>
      <c r="AB24" s="44"/>
      <c r="AC24" s="15"/>
      <c r="AD24" s="44"/>
      <c r="AE24" s="15"/>
      <c r="AF24" s="44"/>
      <c r="AG24" s="15">
        <f t="shared" si="2"/>
        <v>0</v>
      </c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/>
      <c r="BA24" s="42"/>
      <c r="BB24" s="15">
        <f t="shared" si="3"/>
        <v>0</v>
      </c>
      <c r="BC24" s="15"/>
      <c r="BD24" s="44"/>
      <c r="BE24" s="15"/>
      <c r="BF24" s="44"/>
      <c r="BG24" s="15">
        <f t="shared" si="4"/>
        <v>0</v>
      </c>
    </row>
    <row r="25" spans="1:59" s="8" customFormat="1" ht="22.5" customHeight="1">
      <c r="A25" s="9"/>
      <c r="B25" s="16" t="s">
        <v>43</v>
      </c>
      <c r="C25" s="89" t="s">
        <v>50</v>
      </c>
      <c r="D25" s="104" t="s">
        <v>45</v>
      </c>
      <c r="E25" s="104" t="s">
        <v>51</v>
      </c>
      <c r="F25" s="104" t="s">
        <v>1002</v>
      </c>
      <c r="G25" s="104" t="s">
        <v>1003</v>
      </c>
      <c r="H25" s="12"/>
      <c r="I25" s="9"/>
      <c r="J25" s="9"/>
      <c r="K25" s="14"/>
      <c r="L25" s="14"/>
      <c r="M25" s="12"/>
      <c r="N25" s="9"/>
      <c r="O25" s="9"/>
      <c r="P25" s="9"/>
      <c r="Q25" s="38">
        <f t="shared" si="0"/>
        <v>0</v>
      </c>
      <c r="R25" s="12"/>
      <c r="S25" s="42"/>
      <c r="T25" s="15"/>
      <c r="U25" s="44"/>
      <c r="V25" s="15"/>
      <c r="W25" s="44"/>
      <c r="X25" s="15">
        <f t="shared" si="1"/>
        <v>0</v>
      </c>
      <c r="Y25" s="15"/>
      <c r="Z25" s="44"/>
      <c r="AA25" s="15"/>
      <c r="AB25" s="44"/>
      <c r="AC25" s="15"/>
      <c r="AD25" s="44"/>
      <c r="AE25" s="15"/>
      <c r="AF25" s="44"/>
      <c r="AG25" s="15">
        <f t="shared" si="2"/>
        <v>0</v>
      </c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/>
      <c r="BA25" s="42"/>
      <c r="BB25" s="15">
        <f t="shared" si="3"/>
        <v>0</v>
      </c>
      <c r="BC25" s="15"/>
      <c r="BD25" s="44"/>
      <c r="BE25" s="15"/>
      <c r="BF25" s="44"/>
      <c r="BG25" s="15">
        <f t="shared" si="4"/>
        <v>0</v>
      </c>
    </row>
    <row r="26" spans="1:59" s="8" customFormat="1" ht="22.5" customHeight="1">
      <c r="A26" s="9"/>
      <c r="B26" s="16" t="s">
        <v>43</v>
      </c>
      <c r="C26" s="89" t="s">
        <v>52</v>
      </c>
      <c r="D26" s="104" t="s">
        <v>45</v>
      </c>
      <c r="E26" s="104" t="s">
        <v>53</v>
      </c>
      <c r="F26" s="104" t="s">
        <v>1004</v>
      </c>
      <c r="G26" s="104" t="s">
        <v>1005</v>
      </c>
      <c r="H26" s="12"/>
      <c r="I26" s="9"/>
      <c r="J26" s="9" t="s">
        <v>47</v>
      </c>
      <c r="K26" s="14"/>
      <c r="L26" s="14"/>
      <c r="M26" s="12"/>
      <c r="N26" s="9"/>
      <c r="O26" s="9"/>
      <c r="P26" s="9"/>
      <c r="Q26" s="38">
        <f t="shared" si="0"/>
        <v>0</v>
      </c>
      <c r="R26" s="12"/>
      <c r="S26" s="42"/>
      <c r="T26" s="15"/>
      <c r="U26" s="44"/>
      <c r="V26" s="15"/>
      <c r="W26" s="44"/>
      <c r="X26" s="15">
        <f t="shared" si="1"/>
        <v>0</v>
      </c>
      <c r="Y26" s="15"/>
      <c r="Z26" s="44"/>
      <c r="AA26" s="15"/>
      <c r="AB26" s="44"/>
      <c r="AC26" s="15"/>
      <c r="AD26" s="44"/>
      <c r="AE26" s="15"/>
      <c r="AF26" s="44"/>
      <c r="AG26" s="15">
        <f t="shared" si="2"/>
        <v>0</v>
      </c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/>
      <c r="BA26" s="42"/>
      <c r="BB26" s="15">
        <f t="shared" si="3"/>
        <v>0</v>
      </c>
      <c r="BC26" s="15"/>
      <c r="BD26" s="44"/>
      <c r="BE26" s="15"/>
      <c r="BF26" s="44"/>
      <c r="BG26" s="15">
        <f t="shared" si="4"/>
        <v>0</v>
      </c>
    </row>
    <row r="27" spans="1:59" s="8" customFormat="1" ht="22.5" customHeight="1">
      <c r="A27" s="9"/>
      <c r="B27" s="16" t="s">
        <v>43</v>
      </c>
      <c r="C27" s="89" t="s">
        <v>52</v>
      </c>
      <c r="D27" s="104" t="s">
        <v>45</v>
      </c>
      <c r="E27" s="104" t="s">
        <v>54</v>
      </c>
      <c r="F27" s="104" t="s">
        <v>1006</v>
      </c>
      <c r="G27" s="104" t="s">
        <v>1007</v>
      </c>
      <c r="H27" s="12"/>
      <c r="I27" s="9"/>
      <c r="J27" s="9" t="s">
        <v>55</v>
      </c>
      <c r="K27" s="14"/>
      <c r="L27" s="14"/>
      <c r="M27" s="12"/>
      <c r="N27" s="9"/>
      <c r="O27" s="9"/>
      <c r="P27" s="9"/>
      <c r="Q27" s="38">
        <f t="shared" si="0"/>
        <v>0</v>
      </c>
      <c r="R27" s="12"/>
      <c r="S27" s="42"/>
      <c r="T27" s="15"/>
      <c r="U27" s="44"/>
      <c r="V27" s="15"/>
      <c r="W27" s="44"/>
      <c r="X27" s="15">
        <f t="shared" si="1"/>
        <v>0</v>
      </c>
      <c r="Y27" s="15"/>
      <c r="Z27" s="44"/>
      <c r="AA27" s="15"/>
      <c r="AB27" s="44"/>
      <c r="AC27" s="15"/>
      <c r="AD27" s="44"/>
      <c r="AE27" s="15"/>
      <c r="AF27" s="44"/>
      <c r="AG27" s="15">
        <f t="shared" si="2"/>
        <v>0</v>
      </c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/>
      <c r="BA27" s="42"/>
      <c r="BB27" s="15">
        <f t="shared" si="3"/>
        <v>0</v>
      </c>
      <c r="BC27" s="15"/>
      <c r="BD27" s="44"/>
      <c r="BE27" s="15"/>
      <c r="BF27" s="44"/>
      <c r="BG27" s="15">
        <f t="shared" si="4"/>
        <v>0</v>
      </c>
    </row>
    <row r="28" spans="1:59" s="8" customFormat="1" ht="22.5" customHeight="1">
      <c r="A28" s="9"/>
      <c r="B28" s="16" t="s">
        <v>43</v>
      </c>
      <c r="C28" s="89" t="s">
        <v>56</v>
      </c>
      <c r="D28" s="104" t="s">
        <v>45</v>
      </c>
      <c r="E28" s="104" t="s">
        <v>57</v>
      </c>
      <c r="F28" s="104" t="s">
        <v>1008</v>
      </c>
      <c r="G28" s="104" t="s">
        <v>1009</v>
      </c>
      <c r="H28" s="12"/>
      <c r="I28" s="9"/>
      <c r="J28" s="9"/>
      <c r="K28" s="14"/>
      <c r="L28" s="14"/>
      <c r="M28" s="12"/>
      <c r="N28" s="9"/>
      <c r="O28" s="9"/>
      <c r="P28" s="9"/>
      <c r="Q28" s="38">
        <f t="shared" si="0"/>
        <v>0</v>
      </c>
      <c r="R28" s="12"/>
      <c r="S28" s="42"/>
      <c r="T28" s="15"/>
      <c r="U28" s="44"/>
      <c r="V28" s="15"/>
      <c r="W28" s="44"/>
      <c r="X28" s="15">
        <f t="shared" si="1"/>
        <v>0</v>
      </c>
      <c r="Y28" s="15"/>
      <c r="Z28" s="44"/>
      <c r="AA28" s="15"/>
      <c r="AB28" s="44"/>
      <c r="AC28" s="15"/>
      <c r="AD28" s="44"/>
      <c r="AE28" s="15"/>
      <c r="AF28" s="44"/>
      <c r="AG28" s="15">
        <f t="shared" si="2"/>
        <v>0</v>
      </c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/>
      <c r="BA28" s="42"/>
      <c r="BB28" s="15">
        <f t="shared" si="3"/>
        <v>0</v>
      </c>
      <c r="BC28" s="15"/>
      <c r="BD28" s="44"/>
      <c r="BE28" s="15"/>
      <c r="BF28" s="44"/>
      <c r="BG28" s="15">
        <f t="shared" si="4"/>
        <v>0</v>
      </c>
    </row>
    <row r="29" spans="1:59" s="8" customFormat="1" ht="22.5" customHeight="1">
      <c r="A29" s="9"/>
      <c r="B29" s="16" t="s">
        <v>58</v>
      </c>
      <c r="C29" s="89" t="s">
        <v>59</v>
      </c>
      <c r="D29" s="104" t="s">
        <v>60</v>
      </c>
      <c r="E29" s="104" t="s">
        <v>58</v>
      </c>
      <c r="F29" s="104" t="s">
        <v>1010</v>
      </c>
      <c r="G29" s="104" t="s">
        <v>1011</v>
      </c>
      <c r="H29" s="12"/>
      <c r="I29" s="9"/>
      <c r="J29" s="9" t="s">
        <v>61</v>
      </c>
      <c r="K29" s="14"/>
      <c r="L29" s="14"/>
      <c r="M29" s="12">
        <v>1300</v>
      </c>
      <c r="N29" s="9"/>
      <c r="O29" s="9"/>
      <c r="P29" s="9"/>
      <c r="Q29" s="38">
        <f t="shared" si="0"/>
        <v>1300</v>
      </c>
      <c r="R29" s="12"/>
      <c r="S29" s="42"/>
      <c r="T29" s="15"/>
      <c r="U29" s="44"/>
      <c r="V29" s="15"/>
      <c r="W29" s="44"/>
      <c r="X29" s="15">
        <f t="shared" si="1"/>
        <v>0</v>
      </c>
      <c r="Y29" s="15"/>
      <c r="Z29" s="44"/>
      <c r="AA29" s="15"/>
      <c r="AB29" s="44"/>
      <c r="AC29" s="15"/>
      <c r="AD29" s="44"/>
      <c r="AE29" s="15"/>
      <c r="AF29" s="44"/>
      <c r="AG29" s="15">
        <f t="shared" si="2"/>
        <v>0</v>
      </c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/>
      <c r="BA29" s="42"/>
      <c r="BB29" s="15">
        <f t="shared" si="3"/>
        <v>0</v>
      </c>
      <c r="BC29" s="15"/>
      <c r="BD29" s="44"/>
      <c r="BE29" s="15"/>
      <c r="BF29" s="44"/>
      <c r="BG29" s="15">
        <f t="shared" si="4"/>
        <v>0</v>
      </c>
    </row>
    <row r="30" spans="1:59" s="8" customFormat="1" ht="22.5" customHeight="1">
      <c r="A30" s="9"/>
      <c r="B30" s="16" t="s">
        <v>62</v>
      </c>
      <c r="C30" s="89" t="s">
        <v>48</v>
      </c>
      <c r="D30" s="104" t="s">
        <v>60</v>
      </c>
      <c r="E30" s="104" t="s">
        <v>62</v>
      </c>
      <c r="F30" s="104" t="s">
        <v>1012</v>
      </c>
      <c r="G30" s="104" t="s">
        <v>1013</v>
      </c>
      <c r="H30" s="12"/>
      <c r="I30" s="9"/>
      <c r="J30" s="9" t="s">
        <v>61</v>
      </c>
      <c r="K30" s="14"/>
      <c r="L30" s="14"/>
      <c r="M30" s="12"/>
      <c r="N30" s="9"/>
      <c r="O30" s="9"/>
      <c r="P30" s="9"/>
      <c r="Q30" s="38">
        <f t="shared" si="0"/>
        <v>0</v>
      </c>
      <c r="R30" s="12"/>
      <c r="S30" s="42"/>
      <c r="T30" s="15"/>
      <c r="U30" s="44"/>
      <c r="V30" s="15"/>
      <c r="W30" s="44"/>
      <c r="X30" s="15">
        <f t="shared" si="1"/>
        <v>0</v>
      </c>
      <c r="Y30" s="15"/>
      <c r="Z30" s="44"/>
      <c r="AA30" s="15"/>
      <c r="AB30" s="44"/>
      <c r="AC30" s="15"/>
      <c r="AD30" s="44"/>
      <c r="AE30" s="15"/>
      <c r="AF30" s="44"/>
      <c r="AG30" s="15">
        <f t="shared" si="2"/>
        <v>0</v>
      </c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/>
      <c r="BA30" s="42"/>
      <c r="BB30" s="15">
        <f t="shared" si="3"/>
        <v>0</v>
      </c>
      <c r="BC30" s="15"/>
      <c r="BD30" s="44"/>
      <c r="BE30" s="15"/>
      <c r="BF30" s="44"/>
      <c r="BG30" s="15">
        <f t="shared" si="4"/>
        <v>0</v>
      </c>
    </row>
    <row r="31" spans="1:59" s="8" customFormat="1" ht="22.5" customHeight="1">
      <c r="A31" s="9"/>
      <c r="B31" s="16" t="s">
        <v>62</v>
      </c>
      <c r="C31" s="89" t="s">
        <v>50</v>
      </c>
      <c r="D31" s="104" t="s">
        <v>60</v>
      </c>
      <c r="E31" s="104" t="s">
        <v>62</v>
      </c>
      <c r="F31" s="104" t="s">
        <v>1014</v>
      </c>
      <c r="G31" s="104" t="s">
        <v>1015</v>
      </c>
      <c r="H31" s="12"/>
      <c r="I31" s="9"/>
      <c r="J31" s="9" t="s">
        <v>61</v>
      </c>
      <c r="K31" s="14"/>
      <c r="L31" s="14"/>
      <c r="M31" s="12">
        <v>500</v>
      </c>
      <c r="N31" s="9"/>
      <c r="O31" s="9"/>
      <c r="P31" s="9"/>
      <c r="Q31" s="38">
        <f t="shared" si="0"/>
        <v>500</v>
      </c>
      <c r="R31" s="12"/>
      <c r="S31" s="42"/>
      <c r="T31" s="15"/>
      <c r="U31" s="44"/>
      <c r="V31" s="15"/>
      <c r="W31" s="44"/>
      <c r="X31" s="15">
        <f t="shared" si="1"/>
        <v>0</v>
      </c>
      <c r="Y31" s="15"/>
      <c r="Z31" s="44"/>
      <c r="AA31" s="15"/>
      <c r="AB31" s="44"/>
      <c r="AC31" s="15"/>
      <c r="AD31" s="44"/>
      <c r="AE31" s="15"/>
      <c r="AF31" s="44"/>
      <c r="AG31" s="15">
        <f t="shared" si="2"/>
        <v>0</v>
      </c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/>
      <c r="BA31" s="42"/>
      <c r="BB31" s="15">
        <f t="shared" si="3"/>
        <v>0</v>
      </c>
      <c r="BC31" s="15"/>
      <c r="BD31" s="44"/>
      <c r="BE31" s="15"/>
      <c r="BF31" s="44"/>
      <c r="BG31" s="15">
        <f t="shared" si="4"/>
        <v>0</v>
      </c>
    </row>
    <row r="32" spans="1:59" s="8" customFormat="1" ht="22.5" customHeight="1">
      <c r="A32" s="9"/>
      <c r="B32" s="16" t="s">
        <v>62</v>
      </c>
      <c r="C32" s="89" t="s">
        <v>1016</v>
      </c>
      <c r="D32" s="104" t="s">
        <v>1017</v>
      </c>
      <c r="E32" s="104" t="s">
        <v>62</v>
      </c>
      <c r="F32" s="104" t="s">
        <v>1012</v>
      </c>
      <c r="G32" s="104" t="s">
        <v>1013</v>
      </c>
      <c r="H32" s="12"/>
      <c r="I32" s="9"/>
      <c r="J32" s="9" t="s">
        <v>61</v>
      </c>
      <c r="K32" s="14"/>
      <c r="L32" s="14"/>
      <c r="M32" s="12">
        <v>0</v>
      </c>
      <c r="N32" s="9"/>
      <c r="O32" s="9"/>
      <c r="P32" s="9"/>
      <c r="Q32" s="38">
        <f t="shared" si="0"/>
        <v>0</v>
      </c>
      <c r="R32" s="12"/>
      <c r="S32" s="42"/>
      <c r="T32" s="15"/>
      <c r="U32" s="44"/>
      <c r="V32" s="15"/>
      <c r="W32" s="44"/>
      <c r="X32" s="15">
        <f t="shared" si="1"/>
        <v>0</v>
      </c>
      <c r="Y32" s="15"/>
      <c r="Z32" s="44"/>
      <c r="AA32" s="15"/>
      <c r="AB32" s="44"/>
      <c r="AC32" s="15"/>
      <c r="AD32" s="44"/>
      <c r="AE32" s="15"/>
      <c r="AF32" s="44"/>
      <c r="AG32" s="15">
        <f t="shared" si="2"/>
        <v>0</v>
      </c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/>
      <c r="BA32" s="42"/>
      <c r="BB32" s="15"/>
      <c r="BC32" s="15"/>
      <c r="BD32" s="44"/>
      <c r="BE32" s="15"/>
      <c r="BF32" s="44"/>
      <c r="BG32" s="15"/>
    </row>
    <row r="33" spans="1:59" s="8" customFormat="1" ht="22.5" customHeight="1">
      <c r="A33" s="9"/>
      <c r="B33" s="16" t="s">
        <v>63</v>
      </c>
      <c r="C33" s="89" t="s">
        <v>64</v>
      </c>
      <c r="D33" s="104" t="s">
        <v>65</v>
      </c>
      <c r="E33" s="104" t="s">
        <v>66</v>
      </c>
      <c r="F33" s="104" t="s">
        <v>1018</v>
      </c>
      <c r="G33" s="104" t="s">
        <v>1019</v>
      </c>
      <c r="H33" s="12"/>
      <c r="I33" s="9"/>
      <c r="J33" s="9" t="s">
        <v>67</v>
      </c>
      <c r="K33" s="14"/>
      <c r="L33" s="14"/>
      <c r="M33" s="12">
        <v>400</v>
      </c>
      <c r="N33" s="9"/>
      <c r="O33" s="9"/>
      <c r="P33" s="9"/>
      <c r="Q33" s="38">
        <f t="shared" si="0"/>
        <v>400</v>
      </c>
      <c r="R33" s="12"/>
      <c r="S33" s="42"/>
      <c r="T33" s="15"/>
      <c r="U33" s="44"/>
      <c r="V33" s="15"/>
      <c r="W33" s="44"/>
      <c r="X33" s="15">
        <f t="shared" si="1"/>
        <v>0</v>
      </c>
      <c r="Y33" s="15"/>
      <c r="Z33" s="44"/>
      <c r="AA33" s="15"/>
      <c r="AB33" s="44"/>
      <c r="AC33" s="15"/>
      <c r="AD33" s="44"/>
      <c r="AE33" s="15"/>
      <c r="AF33" s="44"/>
      <c r="AG33" s="15">
        <f t="shared" si="2"/>
        <v>0</v>
      </c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/>
      <c r="BA33" s="42"/>
      <c r="BB33" s="15">
        <f t="shared" ref="BB33:BB51" si="5">AH33+AJ33+AL33+AN33+AP33+AR33+AT33+AV33+AX33+AZ33</f>
        <v>0</v>
      </c>
      <c r="BC33" s="15"/>
      <c r="BD33" s="44"/>
      <c r="BE33" s="15"/>
      <c r="BF33" s="44"/>
      <c r="BG33" s="15">
        <f t="shared" ref="BG33:BG51" si="6">(BC33+BE33)</f>
        <v>0</v>
      </c>
    </row>
    <row r="34" spans="1:59" s="8" customFormat="1" ht="22.5" customHeight="1">
      <c r="A34" s="9"/>
      <c r="B34" s="16" t="s">
        <v>68</v>
      </c>
      <c r="C34" s="89" t="s">
        <v>44</v>
      </c>
      <c r="D34" s="104" t="s">
        <v>69</v>
      </c>
      <c r="E34" s="104" t="s">
        <v>70</v>
      </c>
      <c r="F34" s="104" t="s">
        <v>1020</v>
      </c>
      <c r="G34" s="104" t="s">
        <v>1021</v>
      </c>
      <c r="H34" s="12"/>
      <c r="I34" s="9"/>
      <c r="J34" s="9" t="s">
        <v>71</v>
      </c>
      <c r="K34" s="14"/>
      <c r="L34" s="14"/>
      <c r="M34" s="12"/>
      <c r="N34" s="9"/>
      <c r="O34" s="9"/>
      <c r="P34" s="9"/>
      <c r="Q34" s="38">
        <f t="shared" si="0"/>
        <v>0</v>
      </c>
      <c r="R34" s="12"/>
      <c r="S34" s="42"/>
      <c r="T34" s="15"/>
      <c r="U34" s="44"/>
      <c r="V34" s="15"/>
      <c r="W34" s="44"/>
      <c r="X34" s="15">
        <f t="shared" si="1"/>
        <v>0</v>
      </c>
      <c r="Y34" s="15"/>
      <c r="Z34" s="44"/>
      <c r="AA34" s="15"/>
      <c r="AB34" s="44"/>
      <c r="AC34" s="15"/>
      <c r="AD34" s="44"/>
      <c r="AE34" s="15"/>
      <c r="AF34" s="44"/>
      <c r="AG34" s="15">
        <f t="shared" si="2"/>
        <v>0</v>
      </c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/>
      <c r="BA34" s="42"/>
      <c r="BB34" s="15">
        <f t="shared" si="5"/>
        <v>0</v>
      </c>
      <c r="BC34" s="15"/>
      <c r="BD34" s="44"/>
      <c r="BE34" s="15"/>
      <c r="BF34" s="44"/>
      <c r="BG34" s="15">
        <f t="shared" si="6"/>
        <v>0</v>
      </c>
    </row>
    <row r="35" spans="1:59" s="8" customFormat="1" ht="22.5" customHeight="1">
      <c r="A35" s="9"/>
      <c r="B35" s="16" t="s">
        <v>68</v>
      </c>
      <c r="C35" s="89" t="s">
        <v>59</v>
      </c>
      <c r="D35" s="104" t="s">
        <v>69</v>
      </c>
      <c r="E35" s="104" t="s">
        <v>72</v>
      </c>
      <c r="F35" s="104" t="s">
        <v>1022</v>
      </c>
      <c r="G35" s="104" t="s">
        <v>1023</v>
      </c>
      <c r="H35" s="12"/>
      <c r="I35" s="9"/>
      <c r="J35" s="9" t="s">
        <v>71</v>
      </c>
      <c r="K35" s="14"/>
      <c r="L35" s="14"/>
      <c r="M35" s="12"/>
      <c r="N35" s="9"/>
      <c r="O35" s="9"/>
      <c r="P35" s="9"/>
      <c r="Q35" s="38">
        <f t="shared" si="0"/>
        <v>0</v>
      </c>
      <c r="R35" s="12"/>
      <c r="S35" s="42"/>
      <c r="T35" s="15"/>
      <c r="U35" s="44"/>
      <c r="V35" s="15"/>
      <c r="W35" s="44"/>
      <c r="X35" s="15">
        <f t="shared" si="1"/>
        <v>0</v>
      </c>
      <c r="Y35" s="15"/>
      <c r="Z35" s="44"/>
      <c r="AA35" s="15"/>
      <c r="AB35" s="44"/>
      <c r="AC35" s="15"/>
      <c r="AD35" s="44"/>
      <c r="AE35" s="15"/>
      <c r="AF35" s="44"/>
      <c r="AG35" s="15">
        <f t="shared" si="2"/>
        <v>0</v>
      </c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/>
      <c r="BA35" s="42"/>
      <c r="BB35" s="15">
        <f t="shared" si="5"/>
        <v>0</v>
      </c>
      <c r="BC35" s="15"/>
      <c r="BD35" s="44"/>
      <c r="BE35" s="15"/>
      <c r="BF35" s="44"/>
      <c r="BG35" s="15">
        <f t="shared" si="6"/>
        <v>0</v>
      </c>
    </row>
    <row r="36" spans="1:59" s="8" customFormat="1" ht="22.5" customHeight="1">
      <c r="A36" s="9"/>
      <c r="B36" s="16" t="s">
        <v>68</v>
      </c>
      <c r="C36" s="89" t="s">
        <v>48</v>
      </c>
      <c r="D36" s="104" t="s">
        <v>69</v>
      </c>
      <c r="E36" s="104" t="s">
        <v>73</v>
      </c>
      <c r="F36" s="104" t="s">
        <v>1024</v>
      </c>
      <c r="G36" s="104" t="s">
        <v>1025</v>
      </c>
      <c r="H36" s="12"/>
      <c r="I36" s="9"/>
      <c r="J36" s="9" t="s">
        <v>71</v>
      </c>
      <c r="K36" s="14"/>
      <c r="L36" s="14"/>
      <c r="M36" s="12"/>
      <c r="N36" s="9"/>
      <c r="O36" s="9"/>
      <c r="P36" s="9"/>
      <c r="Q36" s="38">
        <f t="shared" si="0"/>
        <v>0</v>
      </c>
      <c r="R36" s="12"/>
      <c r="S36" s="42"/>
      <c r="T36" s="15"/>
      <c r="U36" s="44"/>
      <c r="V36" s="15"/>
      <c r="W36" s="44"/>
      <c r="X36" s="15">
        <f t="shared" si="1"/>
        <v>0</v>
      </c>
      <c r="Y36" s="15"/>
      <c r="Z36" s="44"/>
      <c r="AA36" s="15"/>
      <c r="AB36" s="44"/>
      <c r="AC36" s="15"/>
      <c r="AD36" s="44"/>
      <c r="AE36" s="15"/>
      <c r="AF36" s="44"/>
      <c r="AG36" s="15">
        <f t="shared" si="2"/>
        <v>0</v>
      </c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42"/>
      <c r="BB36" s="15">
        <f t="shared" si="5"/>
        <v>0</v>
      </c>
      <c r="BC36" s="15"/>
      <c r="BD36" s="44"/>
      <c r="BE36" s="15"/>
      <c r="BF36" s="44"/>
      <c r="BG36" s="15">
        <f t="shared" si="6"/>
        <v>0</v>
      </c>
    </row>
    <row r="37" spans="1:59" s="8" customFormat="1" ht="22.5" customHeight="1">
      <c r="A37" s="9"/>
      <c r="B37" s="16" t="s">
        <v>76</v>
      </c>
      <c r="C37" s="89" t="s">
        <v>44</v>
      </c>
      <c r="D37" s="104" t="s">
        <v>77</v>
      </c>
      <c r="E37" s="104" t="s">
        <v>78</v>
      </c>
      <c r="F37" s="104" t="s">
        <v>1026</v>
      </c>
      <c r="G37" s="104" t="s">
        <v>1027</v>
      </c>
      <c r="H37" s="12"/>
      <c r="I37" s="9"/>
      <c r="J37" s="9" t="s">
        <v>67</v>
      </c>
      <c r="K37" s="14"/>
      <c r="L37" s="14"/>
      <c r="M37" s="12"/>
      <c r="N37" s="9"/>
      <c r="O37" s="9"/>
      <c r="P37" s="9"/>
      <c r="Q37" s="38">
        <f t="shared" si="0"/>
        <v>0</v>
      </c>
      <c r="R37" s="12"/>
      <c r="S37" s="42"/>
      <c r="T37" s="15"/>
      <c r="U37" s="44"/>
      <c r="V37" s="15"/>
      <c r="W37" s="44"/>
      <c r="X37" s="15">
        <f t="shared" si="1"/>
        <v>0</v>
      </c>
      <c r="Y37" s="15"/>
      <c r="Z37" s="44"/>
      <c r="AA37" s="15"/>
      <c r="AB37" s="44"/>
      <c r="AC37" s="15"/>
      <c r="AD37" s="44"/>
      <c r="AE37" s="15"/>
      <c r="AF37" s="44"/>
      <c r="AG37" s="15">
        <f t="shared" si="2"/>
        <v>0</v>
      </c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/>
      <c r="BA37" s="42"/>
      <c r="BB37" s="15">
        <f t="shared" si="5"/>
        <v>0</v>
      </c>
      <c r="BC37" s="15"/>
      <c r="BD37" s="44"/>
      <c r="BE37" s="15"/>
      <c r="BF37" s="44"/>
      <c r="BG37" s="15">
        <f t="shared" si="6"/>
        <v>0</v>
      </c>
    </row>
    <row r="38" spans="1:59" s="8" customFormat="1" ht="22.5" customHeight="1">
      <c r="A38" s="9"/>
      <c r="B38" s="16" t="s">
        <v>76</v>
      </c>
      <c r="C38" s="89" t="s">
        <v>59</v>
      </c>
      <c r="D38" s="104" t="s">
        <v>79</v>
      </c>
      <c r="E38" s="104" t="s">
        <v>80</v>
      </c>
      <c r="F38" s="104" t="s">
        <v>1028</v>
      </c>
      <c r="G38" s="104" t="s">
        <v>1029</v>
      </c>
      <c r="H38" s="12"/>
      <c r="I38" s="9"/>
      <c r="J38" s="9" t="s">
        <v>67</v>
      </c>
      <c r="K38" s="14"/>
      <c r="L38" s="14"/>
      <c r="M38" s="12">
        <v>5000</v>
      </c>
      <c r="N38" s="9"/>
      <c r="O38" s="9"/>
      <c r="P38" s="9"/>
      <c r="Q38" s="38">
        <f t="shared" si="0"/>
        <v>5000</v>
      </c>
      <c r="R38" s="12"/>
      <c r="S38" s="42"/>
      <c r="T38" s="15"/>
      <c r="U38" s="44"/>
      <c r="V38" s="15"/>
      <c r="W38" s="44"/>
      <c r="X38" s="15">
        <f t="shared" si="1"/>
        <v>0</v>
      </c>
      <c r="Y38" s="15"/>
      <c r="Z38" s="44"/>
      <c r="AA38" s="15"/>
      <c r="AB38" s="44"/>
      <c r="AC38" s="15"/>
      <c r="AD38" s="44"/>
      <c r="AE38" s="15"/>
      <c r="AF38" s="44"/>
      <c r="AG38" s="15">
        <f t="shared" si="2"/>
        <v>0</v>
      </c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/>
      <c r="BA38" s="42"/>
      <c r="BB38" s="15">
        <f t="shared" si="5"/>
        <v>0</v>
      </c>
      <c r="BC38" s="15"/>
      <c r="BD38" s="44"/>
      <c r="BE38" s="15"/>
      <c r="BF38" s="44"/>
      <c r="BG38" s="15">
        <f t="shared" si="6"/>
        <v>0</v>
      </c>
    </row>
    <row r="39" spans="1:59" s="8" customFormat="1" ht="22.5" customHeight="1">
      <c r="A39" s="9"/>
      <c r="B39" s="16" t="s">
        <v>76</v>
      </c>
      <c r="C39" s="89" t="s">
        <v>52</v>
      </c>
      <c r="D39" s="104" t="s">
        <v>81</v>
      </c>
      <c r="E39" s="104" t="s">
        <v>82</v>
      </c>
      <c r="F39" s="104" t="s">
        <v>1030</v>
      </c>
      <c r="G39" s="104" t="s">
        <v>1031</v>
      </c>
      <c r="H39" s="12"/>
      <c r="I39" s="9"/>
      <c r="J39" s="9" t="s">
        <v>67</v>
      </c>
      <c r="K39" s="14"/>
      <c r="L39" s="14"/>
      <c r="M39" s="12">
        <v>5000</v>
      </c>
      <c r="N39" s="9"/>
      <c r="O39" s="9"/>
      <c r="P39" s="9"/>
      <c r="Q39" s="38">
        <f t="shared" si="0"/>
        <v>5000</v>
      </c>
      <c r="R39" s="12"/>
      <c r="S39" s="42"/>
      <c r="T39" s="15"/>
      <c r="U39" s="44"/>
      <c r="V39" s="15"/>
      <c r="W39" s="44"/>
      <c r="X39" s="15">
        <f t="shared" si="1"/>
        <v>0</v>
      </c>
      <c r="Y39" s="15"/>
      <c r="Z39" s="44"/>
      <c r="AA39" s="15"/>
      <c r="AB39" s="44"/>
      <c r="AC39" s="15"/>
      <c r="AD39" s="44"/>
      <c r="AE39" s="15"/>
      <c r="AF39" s="44"/>
      <c r="AG39" s="15">
        <f t="shared" si="2"/>
        <v>0</v>
      </c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/>
      <c r="BA39" s="42"/>
      <c r="BB39" s="15">
        <f t="shared" si="5"/>
        <v>0</v>
      </c>
      <c r="BC39" s="15"/>
      <c r="BD39" s="44"/>
      <c r="BE39" s="15"/>
      <c r="BF39" s="44"/>
      <c r="BG39" s="15">
        <f t="shared" si="6"/>
        <v>0</v>
      </c>
    </row>
    <row r="40" spans="1:59" s="8" customFormat="1" ht="22.5" customHeight="1">
      <c r="A40" s="9"/>
      <c r="B40" s="16" t="s">
        <v>76</v>
      </c>
      <c r="C40" s="89" t="s">
        <v>44</v>
      </c>
      <c r="D40" s="104" t="s">
        <v>83</v>
      </c>
      <c r="E40" s="104" t="s">
        <v>84</v>
      </c>
      <c r="F40" s="104" t="s">
        <v>1032</v>
      </c>
      <c r="G40" s="104" t="s">
        <v>1033</v>
      </c>
      <c r="H40" s="12"/>
      <c r="I40" s="9"/>
      <c r="J40" s="9" t="s">
        <v>71</v>
      </c>
      <c r="K40" s="14"/>
      <c r="L40" s="14"/>
      <c r="M40" s="12"/>
      <c r="N40" s="9"/>
      <c r="O40" s="9"/>
      <c r="P40" s="9"/>
      <c r="Q40" s="38">
        <f t="shared" si="0"/>
        <v>0</v>
      </c>
      <c r="R40" s="12"/>
      <c r="S40" s="42"/>
      <c r="T40" s="15"/>
      <c r="U40" s="44"/>
      <c r="V40" s="15"/>
      <c r="W40" s="44"/>
      <c r="X40" s="15">
        <f t="shared" si="1"/>
        <v>0</v>
      </c>
      <c r="Y40" s="15"/>
      <c r="Z40" s="44"/>
      <c r="AA40" s="15"/>
      <c r="AB40" s="44"/>
      <c r="AC40" s="15"/>
      <c r="AD40" s="44"/>
      <c r="AE40" s="15"/>
      <c r="AF40" s="44"/>
      <c r="AG40" s="15">
        <f t="shared" si="2"/>
        <v>0</v>
      </c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/>
      <c r="BA40" s="42"/>
      <c r="BB40" s="15">
        <f t="shared" si="5"/>
        <v>0</v>
      </c>
      <c r="BC40" s="15"/>
      <c r="BD40" s="44"/>
      <c r="BE40" s="15"/>
      <c r="BF40" s="44"/>
      <c r="BG40" s="15">
        <f t="shared" si="6"/>
        <v>0</v>
      </c>
    </row>
    <row r="41" spans="1:59" s="8" customFormat="1" ht="22.5" customHeight="1">
      <c r="A41" s="9"/>
      <c r="B41" s="16" t="s">
        <v>76</v>
      </c>
      <c r="C41" s="89" t="s">
        <v>48</v>
      </c>
      <c r="D41" s="104" t="s">
        <v>85</v>
      </c>
      <c r="E41" s="104" t="s">
        <v>86</v>
      </c>
      <c r="F41" s="104" t="s">
        <v>1034</v>
      </c>
      <c r="G41" s="104" t="s">
        <v>1035</v>
      </c>
      <c r="H41" s="12"/>
      <c r="I41" s="9"/>
      <c r="J41" s="9" t="s">
        <v>71</v>
      </c>
      <c r="K41" s="14"/>
      <c r="L41" s="14"/>
      <c r="M41" s="12"/>
      <c r="N41" s="9"/>
      <c r="O41" s="9"/>
      <c r="P41" s="9"/>
      <c r="Q41" s="38">
        <f t="shared" si="0"/>
        <v>0</v>
      </c>
      <c r="R41" s="12"/>
      <c r="S41" s="42"/>
      <c r="T41" s="15"/>
      <c r="U41" s="44"/>
      <c r="V41" s="15"/>
      <c r="W41" s="44"/>
      <c r="X41" s="15">
        <f t="shared" si="1"/>
        <v>0</v>
      </c>
      <c r="Y41" s="15"/>
      <c r="Z41" s="44"/>
      <c r="AA41" s="15"/>
      <c r="AB41" s="44"/>
      <c r="AC41" s="15"/>
      <c r="AD41" s="44"/>
      <c r="AE41" s="15"/>
      <c r="AF41" s="44"/>
      <c r="AG41" s="15">
        <f t="shared" si="2"/>
        <v>0</v>
      </c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/>
      <c r="BA41" s="42"/>
      <c r="BB41" s="15">
        <f t="shared" si="5"/>
        <v>0</v>
      </c>
      <c r="BC41" s="15"/>
      <c r="BD41" s="44"/>
      <c r="BE41" s="15"/>
      <c r="BF41" s="44"/>
      <c r="BG41" s="15">
        <f t="shared" si="6"/>
        <v>0</v>
      </c>
    </row>
    <row r="42" spans="1:59" s="8" customFormat="1" ht="22.5" customHeight="1">
      <c r="A42" s="9"/>
      <c r="B42" s="16" t="s">
        <v>76</v>
      </c>
      <c r="C42" s="89" t="s">
        <v>59</v>
      </c>
      <c r="D42" s="104" t="s">
        <v>87</v>
      </c>
      <c r="E42" s="104" t="s">
        <v>88</v>
      </c>
      <c r="F42" s="104" t="s">
        <v>88</v>
      </c>
      <c r="G42" s="104" t="s">
        <v>1036</v>
      </c>
      <c r="H42" s="12"/>
      <c r="I42" s="9"/>
      <c r="J42" s="9" t="s">
        <v>71</v>
      </c>
      <c r="K42" s="14"/>
      <c r="L42" s="14"/>
      <c r="M42" s="12"/>
      <c r="N42" s="9"/>
      <c r="O42" s="9"/>
      <c r="P42" s="9"/>
      <c r="Q42" s="38">
        <f t="shared" si="0"/>
        <v>0</v>
      </c>
      <c r="R42" s="12"/>
      <c r="S42" s="42"/>
      <c r="T42" s="15"/>
      <c r="U42" s="44"/>
      <c r="V42" s="15"/>
      <c r="W42" s="44"/>
      <c r="X42" s="15">
        <f t="shared" si="1"/>
        <v>0</v>
      </c>
      <c r="Y42" s="15"/>
      <c r="Z42" s="44"/>
      <c r="AA42" s="15"/>
      <c r="AB42" s="44"/>
      <c r="AC42" s="15"/>
      <c r="AD42" s="44"/>
      <c r="AE42" s="15"/>
      <c r="AF42" s="44"/>
      <c r="AG42" s="15">
        <f t="shared" si="2"/>
        <v>0</v>
      </c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/>
      <c r="BA42" s="42"/>
      <c r="BB42" s="15">
        <f t="shared" si="5"/>
        <v>0</v>
      </c>
      <c r="BC42" s="15"/>
      <c r="BD42" s="44"/>
      <c r="BE42" s="15"/>
      <c r="BF42" s="44"/>
      <c r="BG42" s="15">
        <f t="shared" si="6"/>
        <v>0</v>
      </c>
    </row>
    <row r="43" spans="1:59" s="8" customFormat="1" ht="22.5" customHeight="1">
      <c r="A43" s="9"/>
      <c r="B43" s="16" t="s">
        <v>34</v>
      </c>
      <c r="C43" s="89" t="s">
        <v>59</v>
      </c>
      <c r="D43" s="104" t="s">
        <v>89</v>
      </c>
      <c r="E43" s="104" t="s">
        <v>1037</v>
      </c>
      <c r="F43" s="104" t="s">
        <v>1038</v>
      </c>
      <c r="G43" s="104" t="s">
        <v>1039</v>
      </c>
      <c r="H43" s="12"/>
      <c r="I43" s="9"/>
      <c r="J43" s="9" t="s">
        <v>67</v>
      </c>
      <c r="K43" s="14"/>
      <c r="L43" s="14"/>
      <c r="M43" s="12">
        <v>1</v>
      </c>
      <c r="N43" s="9"/>
      <c r="O43" s="9"/>
      <c r="P43" s="9"/>
      <c r="Q43" s="38">
        <f t="shared" si="0"/>
        <v>1</v>
      </c>
      <c r="R43" s="12"/>
      <c r="S43" s="42"/>
      <c r="T43" s="15"/>
      <c r="U43" s="44"/>
      <c r="V43" s="15"/>
      <c r="W43" s="44"/>
      <c r="X43" s="15">
        <f t="shared" si="1"/>
        <v>0</v>
      </c>
      <c r="Y43" s="15"/>
      <c r="Z43" s="44"/>
      <c r="AA43" s="15"/>
      <c r="AB43" s="44"/>
      <c r="AC43" s="15"/>
      <c r="AD43" s="44"/>
      <c r="AE43" s="15"/>
      <c r="AF43" s="44"/>
      <c r="AG43" s="15">
        <f t="shared" si="2"/>
        <v>0</v>
      </c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/>
      <c r="BA43" s="42"/>
      <c r="BB43" s="15">
        <f t="shared" si="5"/>
        <v>0</v>
      </c>
      <c r="BC43" s="15"/>
      <c r="BD43" s="44"/>
      <c r="BE43" s="15"/>
      <c r="BF43" s="44"/>
      <c r="BG43" s="15">
        <f t="shared" si="6"/>
        <v>0</v>
      </c>
    </row>
    <row r="44" spans="1:59" s="8" customFormat="1" ht="22.5" customHeight="1">
      <c r="A44" s="9"/>
      <c r="B44" s="16" t="s">
        <v>34</v>
      </c>
      <c r="C44" s="89" t="s">
        <v>59</v>
      </c>
      <c r="D44" s="104" t="s">
        <v>1040</v>
      </c>
      <c r="E44" s="104" t="s">
        <v>92</v>
      </c>
      <c r="F44" s="104" t="s">
        <v>1041</v>
      </c>
      <c r="G44" s="104" t="s">
        <v>1042</v>
      </c>
      <c r="H44" s="12"/>
      <c r="I44" s="9"/>
      <c r="J44" s="9" t="s">
        <v>67</v>
      </c>
      <c r="K44" s="14"/>
      <c r="L44" s="14"/>
      <c r="M44" s="12">
        <v>5000</v>
      </c>
      <c r="N44" s="9"/>
      <c r="O44" s="9"/>
      <c r="P44" s="9"/>
      <c r="Q44" s="38">
        <f t="shared" si="0"/>
        <v>5000</v>
      </c>
      <c r="R44" s="12"/>
      <c r="S44" s="42"/>
      <c r="T44" s="15"/>
      <c r="U44" s="44"/>
      <c r="V44" s="15"/>
      <c r="W44" s="44"/>
      <c r="X44" s="15">
        <f t="shared" si="1"/>
        <v>0</v>
      </c>
      <c r="Y44" s="15"/>
      <c r="Z44" s="44"/>
      <c r="AA44" s="15"/>
      <c r="AB44" s="44"/>
      <c r="AC44" s="15"/>
      <c r="AD44" s="44"/>
      <c r="AE44" s="15"/>
      <c r="AF44" s="44"/>
      <c r="AG44" s="15">
        <f t="shared" si="2"/>
        <v>0</v>
      </c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/>
      <c r="BA44" s="42"/>
      <c r="BB44" s="15">
        <f t="shared" si="5"/>
        <v>0</v>
      </c>
      <c r="BC44" s="15"/>
      <c r="BD44" s="44"/>
      <c r="BE44" s="15"/>
      <c r="BF44" s="44"/>
      <c r="BG44" s="15">
        <f t="shared" si="6"/>
        <v>0</v>
      </c>
    </row>
    <row r="45" spans="1:59" s="8" customFormat="1" ht="22.5" customHeight="1">
      <c r="A45" s="9"/>
      <c r="B45" s="16" t="s">
        <v>34</v>
      </c>
      <c r="C45" s="89" t="s">
        <v>44</v>
      </c>
      <c r="D45" s="104" t="s">
        <v>93</v>
      </c>
      <c r="E45" s="104" t="s">
        <v>94</v>
      </c>
      <c r="F45" s="104" t="s">
        <v>1043</v>
      </c>
      <c r="G45" s="104" t="s">
        <v>1044</v>
      </c>
      <c r="H45" s="12"/>
      <c r="I45" s="9"/>
      <c r="J45" s="9" t="s">
        <v>95</v>
      </c>
      <c r="K45" s="14"/>
      <c r="L45" s="14"/>
      <c r="M45" s="12">
        <v>4050</v>
      </c>
      <c r="N45" s="9"/>
      <c r="O45" s="9"/>
      <c r="P45" s="9"/>
      <c r="Q45" s="38">
        <f t="shared" si="0"/>
        <v>4050</v>
      </c>
      <c r="R45" s="12"/>
      <c r="S45" s="42"/>
      <c r="T45" s="15"/>
      <c r="U45" s="44"/>
      <c r="V45" s="15"/>
      <c r="W45" s="44"/>
      <c r="X45" s="15">
        <f t="shared" si="1"/>
        <v>0</v>
      </c>
      <c r="Y45" s="15"/>
      <c r="Z45" s="44"/>
      <c r="AA45" s="15"/>
      <c r="AB45" s="44"/>
      <c r="AC45" s="15"/>
      <c r="AD45" s="44"/>
      <c r="AE45" s="15"/>
      <c r="AF45" s="44"/>
      <c r="AG45" s="15">
        <f t="shared" si="2"/>
        <v>0</v>
      </c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/>
      <c r="BA45" s="42"/>
      <c r="BB45" s="15">
        <f t="shared" si="5"/>
        <v>0</v>
      </c>
      <c r="BC45" s="15"/>
      <c r="BD45" s="44"/>
      <c r="BE45" s="15"/>
      <c r="BF45" s="44"/>
      <c r="BG45" s="15">
        <f t="shared" si="6"/>
        <v>0</v>
      </c>
    </row>
    <row r="46" spans="1:59" s="8" customFormat="1" ht="22.5" customHeight="1">
      <c r="A46" s="9"/>
      <c r="B46" s="16" t="s">
        <v>34</v>
      </c>
      <c r="C46" s="89" t="s">
        <v>96</v>
      </c>
      <c r="D46" s="104" t="s">
        <v>97</v>
      </c>
      <c r="E46" s="104" t="s">
        <v>98</v>
      </c>
      <c r="F46" s="104" t="s">
        <v>1045</v>
      </c>
      <c r="G46" s="104" t="s">
        <v>1046</v>
      </c>
      <c r="H46" s="12"/>
      <c r="I46" s="9"/>
      <c r="J46" s="9" t="s">
        <v>95</v>
      </c>
      <c r="K46" s="14"/>
      <c r="L46" s="14"/>
      <c r="M46" s="12">
        <v>602</v>
      </c>
      <c r="N46" s="9"/>
      <c r="O46" s="9"/>
      <c r="P46" s="9"/>
      <c r="Q46" s="38">
        <f t="shared" si="0"/>
        <v>602</v>
      </c>
      <c r="R46" s="12"/>
      <c r="S46" s="42"/>
      <c r="T46" s="15"/>
      <c r="U46" s="44"/>
      <c r="V46" s="15"/>
      <c r="W46" s="44"/>
      <c r="X46" s="15">
        <f t="shared" si="1"/>
        <v>0</v>
      </c>
      <c r="Y46" s="15"/>
      <c r="Z46" s="44"/>
      <c r="AA46" s="15"/>
      <c r="AB46" s="44"/>
      <c r="AC46" s="15"/>
      <c r="AD46" s="44"/>
      <c r="AE46" s="15"/>
      <c r="AF46" s="44"/>
      <c r="AG46" s="15">
        <f t="shared" si="2"/>
        <v>0</v>
      </c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/>
      <c r="BA46" s="42"/>
      <c r="BB46" s="15">
        <f t="shared" si="5"/>
        <v>0</v>
      </c>
      <c r="BC46" s="15"/>
      <c r="BD46" s="44"/>
      <c r="BE46" s="15"/>
      <c r="BF46" s="44"/>
      <c r="BG46" s="15">
        <f t="shared" si="6"/>
        <v>0</v>
      </c>
    </row>
    <row r="47" spans="1:59" s="8" customFormat="1" ht="22.5" customHeight="1">
      <c r="A47" s="9"/>
      <c r="B47" s="16" t="s">
        <v>34</v>
      </c>
      <c r="C47" s="89" t="s">
        <v>96</v>
      </c>
      <c r="D47" s="104" t="s">
        <v>99</v>
      </c>
      <c r="E47" s="104" t="s">
        <v>100</v>
      </c>
      <c r="F47" s="104" t="s">
        <v>1047</v>
      </c>
      <c r="G47" s="104" t="s">
        <v>1048</v>
      </c>
      <c r="H47" s="12"/>
      <c r="I47" s="9"/>
      <c r="J47" s="9" t="s">
        <v>67</v>
      </c>
      <c r="K47" s="14"/>
      <c r="L47" s="14"/>
      <c r="M47" s="12">
        <v>21150</v>
      </c>
      <c r="N47" s="9"/>
      <c r="O47" s="9"/>
      <c r="P47" s="9"/>
      <c r="Q47" s="38">
        <f t="shared" si="0"/>
        <v>21150</v>
      </c>
      <c r="R47" s="12"/>
      <c r="S47" s="42"/>
      <c r="T47" s="15"/>
      <c r="U47" s="44"/>
      <c r="V47" s="15"/>
      <c r="W47" s="44"/>
      <c r="X47" s="15">
        <f t="shared" si="1"/>
        <v>0</v>
      </c>
      <c r="Y47" s="15"/>
      <c r="Z47" s="44"/>
      <c r="AA47" s="15"/>
      <c r="AB47" s="44"/>
      <c r="AC47" s="15"/>
      <c r="AD47" s="44"/>
      <c r="AE47" s="15"/>
      <c r="AF47" s="44"/>
      <c r="AG47" s="15">
        <f t="shared" si="2"/>
        <v>0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/>
      <c r="BA47" s="42"/>
      <c r="BB47" s="15">
        <f t="shared" si="5"/>
        <v>0</v>
      </c>
      <c r="BC47" s="15"/>
      <c r="BD47" s="44"/>
      <c r="BE47" s="15"/>
      <c r="BF47" s="44"/>
      <c r="BG47" s="15">
        <f t="shared" si="6"/>
        <v>0</v>
      </c>
    </row>
    <row r="48" spans="1:59" s="8" customFormat="1" ht="22.5" customHeight="1">
      <c r="A48" s="9"/>
      <c r="B48" s="16" t="s">
        <v>101</v>
      </c>
      <c r="C48" s="89" t="s">
        <v>48</v>
      </c>
      <c r="D48" s="104" t="s">
        <v>102</v>
      </c>
      <c r="E48" s="104" t="s">
        <v>103</v>
      </c>
      <c r="F48" s="104" t="s">
        <v>1049</v>
      </c>
      <c r="G48" s="104" t="s">
        <v>1050</v>
      </c>
      <c r="H48" s="12"/>
      <c r="I48" s="9"/>
      <c r="J48" s="9" t="s">
        <v>67</v>
      </c>
      <c r="K48" s="14"/>
      <c r="L48" s="14"/>
      <c r="M48" s="12">
        <v>1000</v>
      </c>
      <c r="N48" s="9"/>
      <c r="O48" s="9"/>
      <c r="P48" s="9"/>
      <c r="Q48" s="38">
        <f t="shared" si="0"/>
        <v>1000</v>
      </c>
      <c r="R48" s="12"/>
      <c r="S48" s="42"/>
      <c r="T48" s="15"/>
      <c r="U48" s="44"/>
      <c r="V48" s="15"/>
      <c r="W48" s="44"/>
      <c r="X48" s="15">
        <f t="shared" si="1"/>
        <v>0</v>
      </c>
      <c r="Y48" s="15"/>
      <c r="Z48" s="44"/>
      <c r="AA48" s="15"/>
      <c r="AB48" s="44"/>
      <c r="AC48" s="15"/>
      <c r="AD48" s="44"/>
      <c r="AE48" s="15"/>
      <c r="AF48" s="44"/>
      <c r="AG48" s="15">
        <f t="shared" si="2"/>
        <v>0</v>
      </c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/>
      <c r="BA48" s="42"/>
      <c r="BB48" s="15">
        <f t="shared" si="5"/>
        <v>0</v>
      </c>
      <c r="BC48" s="15"/>
      <c r="BD48" s="44"/>
      <c r="BE48" s="15"/>
      <c r="BF48" s="44"/>
      <c r="BG48" s="15">
        <f t="shared" si="6"/>
        <v>0</v>
      </c>
    </row>
    <row r="49" spans="1:59" s="8" customFormat="1" ht="22.5" customHeight="1">
      <c r="A49" s="9"/>
      <c r="B49" s="16" t="s">
        <v>104</v>
      </c>
      <c r="C49" s="89" t="s">
        <v>44</v>
      </c>
      <c r="D49" s="104" t="s">
        <v>105</v>
      </c>
      <c r="E49" s="104" t="s">
        <v>106</v>
      </c>
      <c r="F49" s="104" t="s">
        <v>1051</v>
      </c>
      <c r="G49" s="104" t="s">
        <v>1052</v>
      </c>
      <c r="H49" s="12"/>
      <c r="I49" s="9"/>
      <c r="J49" s="9" t="s">
        <v>107</v>
      </c>
      <c r="K49" s="14"/>
      <c r="L49" s="14"/>
      <c r="M49" s="12"/>
      <c r="N49" s="9"/>
      <c r="O49" s="9"/>
      <c r="P49" s="9"/>
      <c r="Q49" s="38">
        <f t="shared" si="0"/>
        <v>0</v>
      </c>
      <c r="R49" s="12"/>
      <c r="S49" s="42"/>
      <c r="T49" s="15"/>
      <c r="U49" s="44"/>
      <c r="V49" s="15"/>
      <c r="W49" s="44"/>
      <c r="X49" s="15">
        <f t="shared" si="1"/>
        <v>0</v>
      </c>
      <c r="Y49" s="15"/>
      <c r="Z49" s="44"/>
      <c r="AA49" s="15"/>
      <c r="AB49" s="44"/>
      <c r="AC49" s="15"/>
      <c r="AD49" s="44"/>
      <c r="AE49" s="15"/>
      <c r="AF49" s="44"/>
      <c r="AG49" s="15">
        <f t="shared" si="2"/>
        <v>0</v>
      </c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/>
      <c r="BA49" s="42"/>
      <c r="BB49" s="15">
        <f t="shared" si="5"/>
        <v>0</v>
      </c>
      <c r="BC49" s="15"/>
      <c r="BD49" s="44"/>
      <c r="BE49" s="15"/>
      <c r="BF49" s="44"/>
      <c r="BG49" s="15">
        <f t="shared" si="6"/>
        <v>0</v>
      </c>
    </row>
    <row r="50" spans="1:59" s="8" customFormat="1" ht="22.5" customHeight="1">
      <c r="A50" s="9"/>
      <c r="B50" s="16" t="s">
        <v>104</v>
      </c>
      <c r="C50" s="89" t="s">
        <v>48</v>
      </c>
      <c r="D50" s="104" t="s">
        <v>105</v>
      </c>
      <c r="E50" s="104" t="s">
        <v>108</v>
      </c>
      <c r="F50" s="104" t="s">
        <v>1053</v>
      </c>
      <c r="G50" s="104" t="s">
        <v>1054</v>
      </c>
      <c r="H50" s="12"/>
      <c r="I50" s="9"/>
      <c r="J50" s="9" t="s">
        <v>107</v>
      </c>
      <c r="K50" s="14"/>
      <c r="L50" s="14"/>
      <c r="M50" s="12"/>
      <c r="N50" s="9"/>
      <c r="O50" s="9"/>
      <c r="P50" s="9"/>
      <c r="Q50" s="38">
        <f t="shared" si="0"/>
        <v>0</v>
      </c>
      <c r="R50" s="12"/>
      <c r="S50" s="42"/>
      <c r="T50" s="15"/>
      <c r="U50" s="44"/>
      <c r="V50" s="15"/>
      <c r="W50" s="44"/>
      <c r="X50" s="15">
        <f t="shared" si="1"/>
        <v>0</v>
      </c>
      <c r="Y50" s="15"/>
      <c r="Z50" s="44"/>
      <c r="AA50" s="15"/>
      <c r="AB50" s="44"/>
      <c r="AC50" s="15"/>
      <c r="AD50" s="44"/>
      <c r="AE50" s="15"/>
      <c r="AF50" s="44"/>
      <c r="AG50" s="15">
        <f t="shared" si="2"/>
        <v>0</v>
      </c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/>
      <c r="BA50" s="42"/>
      <c r="BB50" s="15">
        <f t="shared" si="5"/>
        <v>0</v>
      </c>
      <c r="BC50" s="15"/>
      <c r="BD50" s="44"/>
      <c r="BE50" s="15"/>
      <c r="BF50" s="44"/>
      <c r="BG50" s="15">
        <f t="shared" si="6"/>
        <v>0</v>
      </c>
    </row>
    <row r="51" spans="1:59" s="8" customFormat="1" ht="22.5" customHeight="1">
      <c r="A51" s="9"/>
      <c r="B51" s="16" t="s">
        <v>104</v>
      </c>
      <c r="C51" s="89" t="s">
        <v>52</v>
      </c>
      <c r="D51" s="104" t="s">
        <v>109</v>
      </c>
      <c r="E51" s="104" t="s">
        <v>110</v>
      </c>
      <c r="F51" s="104" t="s">
        <v>1055</v>
      </c>
      <c r="G51" s="104" t="s">
        <v>1056</v>
      </c>
      <c r="H51" s="12"/>
      <c r="I51" s="9"/>
      <c r="J51" s="9" t="s">
        <v>107</v>
      </c>
      <c r="K51" s="14"/>
      <c r="L51" s="14"/>
      <c r="M51" s="12">
        <v>100</v>
      </c>
      <c r="N51" s="9"/>
      <c r="O51" s="9"/>
      <c r="P51" s="9"/>
      <c r="Q51" s="38">
        <f t="shared" si="0"/>
        <v>100</v>
      </c>
      <c r="R51" s="12"/>
      <c r="S51" s="42"/>
      <c r="T51" s="15"/>
      <c r="U51" s="44"/>
      <c r="V51" s="15"/>
      <c r="W51" s="44"/>
      <c r="X51" s="15">
        <f t="shared" si="1"/>
        <v>0</v>
      </c>
      <c r="Y51" s="15"/>
      <c r="Z51" s="44"/>
      <c r="AA51" s="15"/>
      <c r="AB51" s="44"/>
      <c r="AC51" s="15"/>
      <c r="AD51" s="44"/>
      <c r="AE51" s="15"/>
      <c r="AF51" s="44"/>
      <c r="AG51" s="15">
        <f t="shared" si="2"/>
        <v>0</v>
      </c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/>
      <c r="BA51" s="42"/>
      <c r="BB51" s="15">
        <f t="shared" si="5"/>
        <v>0</v>
      </c>
      <c r="BC51" s="15"/>
      <c r="BD51" s="44"/>
      <c r="BE51" s="15"/>
      <c r="BF51" s="44"/>
      <c r="BG51" s="15">
        <f t="shared" si="6"/>
        <v>0</v>
      </c>
    </row>
    <row r="52" spans="1:59" s="8" customFormat="1" ht="22.5" customHeight="1">
      <c r="A52" s="9"/>
      <c r="B52" s="16" t="s">
        <v>104</v>
      </c>
      <c r="C52" s="89" t="s">
        <v>50</v>
      </c>
      <c r="D52" s="104" t="s">
        <v>105</v>
      </c>
      <c r="E52" s="104" t="s">
        <v>108</v>
      </c>
      <c r="F52" s="104" t="s">
        <v>1057</v>
      </c>
      <c r="G52" s="104" t="s">
        <v>1058</v>
      </c>
      <c r="H52" s="12"/>
      <c r="I52" s="9"/>
      <c r="J52" s="9" t="s">
        <v>107</v>
      </c>
      <c r="K52" s="14"/>
      <c r="L52" s="14"/>
      <c r="M52" s="12">
        <v>100</v>
      </c>
      <c r="N52" s="9"/>
      <c r="O52" s="9"/>
      <c r="P52" s="9"/>
      <c r="Q52" s="38">
        <f t="shared" si="0"/>
        <v>100</v>
      </c>
      <c r="R52" s="12"/>
      <c r="S52" s="42"/>
      <c r="T52" s="15"/>
      <c r="U52" s="44"/>
      <c r="V52" s="15"/>
      <c r="W52" s="44"/>
      <c r="X52" s="15">
        <f t="shared" si="1"/>
        <v>0</v>
      </c>
      <c r="Y52" s="15"/>
      <c r="Z52" s="44"/>
      <c r="AA52" s="15"/>
      <c r="AB52" s="44"/>
      <c r="AC52" s="15"/>
      <c r="AD52" s="44"/>
      <c r="AE52" s="15"/>
      <c r="AF52" s="44"/>
      <c r="AG52" s="15">
        <f t="shared" si="2"/>
        <v>0</v>
      </c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/>
      <c r="BA52" s="42"/>
      <c r="BB52" s="15"/>
      <c r="BC52" s="15"/>
      <c r="BD52" s="44"/>
      <c r="BE52" s="15"/>
      <c r="BF52" s="44"/>
      <c r="BG52" s="15"/>
    </row>
    <row r="53" spans="1:59" s="8" customFormat="1" ht="22.5" customHeight="1">
      <c r="A53" s="9"/>
      <c r="B53" s="16" t="s">
        <v>111</v>
      </c>
      <c r="C53" s="89" t="s">
        <v>59</v>
      </c>
      <c r="D53" s="104" t="s">
        <v>112</v>
      </c>
      <c r="E53" s="104" t="s">
        <v>113</v>
      </c>
      <c r="F53" s="104" t="s">
        <v>1059</v>
      </c>
      <c r="G53" s="104" t="s">
        <v>1060</v>
      </c>
      <c r="H53" s="12"/>
      <c r="I53" s="9"/>
      <c r="J53" s="9" t="s">
        <v>114</v>
      </c>
      <c r="K53" s="14"/>
      <c r="L53" s="14"/>
      <c r="M53" s="12"/>
      <c r="N53" s="9"/>
      <c r="O53" s="9"/>
      <c r="P53" s="9"/>
      <c r="Q53" s="38">
        <f t="shared" si="0"/>
        <v>0</v>
      </c>
      <c r="R53" s="12"/>
      <c r="S53" s="42"/>
      <c r="T53" s="15"/>
      <c r="U53" s="44"/>
      <c r="V53" s="15"/>
      <c r="W53" s="44"/>
      <c r="X53" s="15">
        <f t="shared" si="1"/>
        <v>0</v>
      </c>
      <c r="Y53" s="15"/>
      <c r="Z53" s="44"/>
      <c r="AA53" s="15"/>
      <c r="AB53" s="44"/>
      <c r="AC53" s="15"/>
      <c r="AD53" s="44"/>
      <c r="AE53" s="15"/>
      <c r="AF53" s="44"/>
      <c r="AG53" s="15">
        <f t="shared" si="2"/>
        <v>0</v>
      </c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/>
      <c r="BA53" s="42"/>
      <c r="BB53" s="15">
        <f t="shared" ref="BB53:BB72" si="7">AH53+AJ53+AL53+AN53+AP53+AR53+AT53+AV53+AX53+AZ53</f>
        <v>0</v>
      </c>
      <c r="BC53" s="15"/>
      <c r="BD53" s="44"/>
      <c r="BE53" s="15"/>
      <c r="BF53" s="44"/>
      <c r="BG53" s="15">
        <f t="shared" ref="BG53:BG72" si="8">(BC53+BE53)</f>
        <v>0</v>
      </c>
    </row>
    <row r="54" spans="1:59" s="8" customFormat="1" ht="22.5" customHeight="1">
      <c r="A54" s="9"/>
      <c r="B54" s="16" t="s">
        <v>111</v>
      </c>
      <c r="C54" s="89" t="s">
        <v>50</v>
      </c>
      <c r="D54" s="104" t="s">
        <v>112</v>
      </c>
      <c r="E54" s="104" t="s">
        <v>115</v>
      </c>
      <c r="F54" s="104" t="s">
        <v>1061</v>
      </c>
      <c r="G54" s="104" t="s">
        <v>1062</v>
      </c>
      <c r="H54" s="12"/>
      <c r="I54" s="9"/>
      <c r="J54" s="9" t="s">
        <v>116</v>
      </c>
      <c r="K54" s="14"/>
      <c r="L54" s="14"/>
      <c r="M54" s="12"/>
      <c r="N54" s="9"/>
      <c r="O54" s="9"/>
      <c r="P54" s="9"/>
      <c r="Q54" s="38">
        <f t="shared" si="0"/>
        <v>0</v>
      </c>
      <c r="R54" s="12"/>
      <c r="S54" s="42"/>
      <c r="T54" s="15"/>
      <c r="U54" s="44"/>
      <c r="V54" s="15"/>
      <c r="W54" s="44"/>
      <c r="X54" s="15">
        <f t="shared" si="1"/>
        <v>0</v>
      </c>
      <c r="Y54" s="15"/>
      <c r="Z54" s="44"/>
      <c r="AA54" s="15"/>
      <c r="AB54" s="44"/>
      <c r="AC54" s="15"/>
      <c r="AD54" s="44"/>
      <c r="AE54" s="15"/>
      <c r="AF54" s="44"/>
      <c r="AG54" s="15">
        <f t="shared" si="2"/>
        <v>0</v>
      </c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/>
      <c r="BA54" s="42"/>
      <c r="BB54" s="15">
        <f t="shared" si="7"/>
        <v>0</v>
      </c>
      <c r="BC54" s="15"/>
      <c r="BD54" s="44"/>
      <c r="BE54" s="15"/>
      <c r="BF54" s="44"/>
      <c r="BG54" s="15">
        <f t="shared" si="8"/>
        <v>0</v>
      </c>
    </row>
    <row r="55" spans="1:59" s="8" customFormat="1" ht="22.5" customHeight="1">
      <c r="A55" s="9"/>
      <c r="B55" s="16" t="s">
        <v>111</v>
      </c>
      <c r="C55" s="89" t="s">
        <v>52</v>
      </c>
      <c r="D55" s="104" t="s">
        <v>117</v>
      </c>
      <c r="E55" s="104" t="s">
        <v>118</v>
      </c>
      <c r="F55" s="104" t="s">
        <v>1063</v>
      </c>
      <c r="G55" s="104" t="s">
        <v>1064</v>
      </c>
      <c r="H55" s="12"/>
      <c r="I55" s="9"/>
      <c r="J55" s="9" t="s">
        <v>119</v>
      </c>
      <c r="K55" s="14"/>
      <c r="L55" s="14"/>
      <c r="M55" s="12">
        <v>248</v>
      </c>
      <c r="N55" s="9"/>
      <c r="O55" s="9"/>
      <c r="P55" s="9"/>
      <c r="Q55" s="38">
        <f t="shared" si="0"/>
        <v>248</v>
      </c>
      <c r="R55" s="12"/>
      <c r="S55" s="42"/>
      <c r="T55" s="15"/>
      <c r="U55" s="44"/>
      <c r="V55" s="15"/>
      <c r="W55" s="44"/>
      <c r="X55" s="15">
        <f t="shared" si="1"/>
        <v>0</v>
      </c>
      <c r="Y55" s="15"/>
      <c r="Z55" s="44"/>
      <c r="AA55" s="15"/>
      <c r="AB55" s="44"/>
      <c r="AC55" s="15"/>
      <c r="AD55" s="44"/>
      <c r="AE55" s="15"/>
      <c r="AF55" s="44"/>
      <c r="AG55" s="15">
        <f t="shared" si="2"/>
        <v>0</v>
      </c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/>
      <c r="BA55" s="42"/>
      <c r="BB55" s="15">
        <f t="shared" si="7"/>
        <v>0</v>
      </c>
      <c r="BC55" s="15"/>
      <c r="BD55" s="44"/>
      <c r="BE55" s="15"/>
      <c r="BF55" s="44"/>
      <c r="BG55" s="15">
        <f t="shared" si="8"/>
        <v>0</v>
      </c>
    </row>
    <row r="56" spans="1:59" s="8" customFormat="1" ht="22.5" customHeight="1">
      <c r="A56" s="9"/>
      <c r="B56" s="16" t="s">
        <v>120</v>
      </c>
      <c r="C56" s="89" t="s">
        <v>59</v>
      </c>
      <c r="D56" s="104" t="s">
        <v>121</v>
      </c>
      <c r="E56" s="104" t="s">
        <v>122</v>
      </c>
      <c r="F56" s="104" t="s">
        <v>1065</v>
      </c>
      <c r="G56" s="104" t="s">
        <v>1066</v>
      </c>
      <c r="H56" s="12"/>
      <c r="I56" s="9"/>
      <c r="J56" s="9" t="s">
        <v>123</v>
      </c>
      <c r="K56" s="14"/>
      <c r="L56" s="14"/>
      <c r="M56" s="12">
        <v>1</v>
      </c>
      <c r="N56" s="9"/>
      <c r="O56" s="9"/>
      <c r="P56" s="9"/>
      <c r="Q56" s="38">
        <f t="shared" si="0"/>
        <v>1</v>
      </c>
      <c r="R56" s="12"/>
      <c r="S56" s="42"/>
      <c r="T56" s="15"/>
      <c r="U56" s="44"/>
      <c r="V56" s="15"/>
      <c r="W56" s="44"/>
      <c r="X56" s="15">
        <f t="shared" si="1"/>
        <v>0</v>
      </c>
      <c r="Y56" s="15"/>
      <c r="Z56" s="44"/>
      <c r="AA56" s="15"/>
      <c r="AB56" s="44"/>
      <c r="AC56" s="15"/>
      <c r="AD56" s="44"/>
      <c r="AE56" s="15"/>
      <c r="AF56" s="44"/>
      <c r="AG56" s="15">
        <f t="shared" si="2"/>
        <v>0</v>
      </c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/>
      <c r="BA56" s="42"/>
      <c r="BB56" s="15">
        <f t="shared" si="7"/>
        <v>0</v>
      </c>
      <c r="BC56" s="15"/>
      <c r="BD56" s="44"/>
      <c r="BE56" s="15"/>
      <c r="BF56" s="44"/>
      <c r="BG56" s="15">
        <f t="shared" si="8"/>
        <v>0</v>
      </c>
    </row>
    <row r="57" spans="1:59" s="8" customFormat="1" ht="22.5" customHeight="1">
      <c r="A57" s="9"/>
      <c r="B57" s="16" t="s">
        <v>120</v>
      </c>
      <c r="C57" s="89" t="s">
        <v>59</v>
      </c>
      <c r="D57" s="104" t="s">
        <v>124</v>
      </c>
      <c r="E57" s="104" t="s">
        <v>125</v>
      </c>
      <c r="F57" s="104" t="s">
        <v>1067</v>
      </c>
      <c r="G57" s="104" t="s">
        <v>1068</v>
      </c>
      <c r="H57" s="12"/>
      <c r="I57" s="9"/>
      <c r="J57" s="9" t="s">
        <v>67</v>
      </c>
      <c r="K57" s="14"/>
      <c r="L57" s="14"/>
      <c r="M57" s="12">
        <v>1</v>
      </c>
      <c r="N57" s="9"/>
      <c r="O57" s="9"/>
      <c r="P57" s="9"/>
      <c r="Q57" s="38">
        <f t="shared" si="0"/>
        <v>1</v>
      </c>
      <c r="R57" s="12"/>
      <c r="S57" s="42"/>
      <c r="T57" s="15"/>
      <c r="U57" s="44"/>
      <c r="V57" s="15"/>
      <c r="W57" s="44"/>
      <c r="X57" s="15">
        <f t="shared" si="1"/>
        <v>0</v>
      </c>
      <c r="Y57" s="15"/>
      <c r="Z57" s="44"/>
      <c r="AA57" s="15"/>
      <c r="AB57" s="44"/>
      <c r="AC57" s="15"/>
      <c r="AD57" s="44"/>
      <c r="AE57" s="15"/>
      <c r="AF57" s="44"/>
      <c r="AG57" s="15">
        <f t="shared" si="2"/>
        <v>0</v>
      </c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/>
      <c r="BA57" s="42"/>
      <c r="BB57" s="15">
        <f t="shared" si="7"/>
        <v>0</v>
      </c>
      <c r="BC57" s="15"/>
      <c r="BD57" s="44"/>
      <c r="BE57" s="15"/>
      <c r="BF57" s="44"/>
      <c r="BG57" s="15">
        <f t="shared" si="8"/>
        <v>0</v>
      </c>
    </row>
    <row r="58" spans="1:59" s="8" customFormat="1" ht="22.5" customHeight="1">
      <c r="A58" s="9"/>
      <c r="B58" s="16" t="s">
        <v>120</v>
      </c>
      <c r="C58" s="89" t="s">
        <v>50</v>
      </c>
      <c r="D58" s="104" t="s">
        <v>126</v>
      </c>
      <c r="E58" s="104" t="s">
        <v>127</v>
      </c>
      <c r="F58" s="104" t="s">
        <v>1069</v>
      </c>
      <c r="G58" s="104" t="s">
        <v>1070</v>
      </c>
      <c r="H58" s="12"/>
      <c r="I58" s="9"/>
      <c r="J58" s="9" t="s">
        <v>128</v>
      </c>
      <c r="K58" s="14"/>
      <c r="L58" s="14"/>
      <c r="M58" s="12"/>
      <c r="N58" s="9"/>
      <c r="O58" s="9"/>
      <c r="P58" s="9"/>
      <c r="Q58" s="38">
        <f t="shared" si="0"/>
        <v>0</v>
      </c>
      <c r="R58" s="12"/>
      <c r="S58" s="42"/>
      <c r="T58" s="15"/>
      <c r="U58" s="44"/>
      <c r="V58" s="15"/>
      <c r="W58" s="44"/>
      <c r="X58" s="15">
        <f t="shared" si="1"/>
        <v>0</v>
      </c>
      <c r="Y58" s="15"/>
      <c r="Z58" s="44"/>
      <c r="AA58" s="15"/>
      <c r="AB58" s="44"/>
      <c r="AC58" s="15"/>
      <c r="AD58" s="44"/>
      <c r="AE58" s="15"/>
      <c r="AF58" s="44"/>
      <c r="AG58" s="15">
        <f t="shared" si="2"/>
        <v>0</v>
      </c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/>
      <c r="BA58" s="42"/>
      <c r="BB58" s="15">
        <f t="shared" si="7"/>
        <v>0</v>
      </c>
      <c r="BC58" s="15"/>
      <c r="BD58" s="44"/>
      <c r="BE58" s="15"/>
      <c r="BF58" s="44"/>
      <c r="BG58" s="15">
        <f t="shared" si="8"/>
        <v>0</v>
      </c>
    </row>
    <row r="59" spans="1:59" s="8" customFormat="1" ht="22.5" customHeight="1">
      <c r="A59" s="9"/>
      <c r="B59" s="16" t="s">
        <v>129</v>
      </c>
      <c r="C59" s="89" t="s">
        <v>44</v>
      </c>
      <c r="D59" s="104" t="s">
        <v>130</v>
      </c>
      <c r="E59" s="104"/>
      <c r="F59" s="104" t="s">
        <v>1071</v>
      </c>
      <c r="G59" s="104" t="s">
        <v>1072</v>
      </c>
      <c r="H59" s="12"/>
      <c r="I59" s="9"/>
      <c r="J59" s="9" t="s">
        <v>131</v>
      </c>
      <c r="K59" s="14"/>
      <c r="L59" s="14"/>
      <c r="M59" s="12"/>
      <c r="N59" s="9"/>
      <c r="O59" s="9"/>
      <c r="P59" s="9"/>
      <c r="Q59" s="38">
        <f t="shared" si="0"/>
        <v>0</v>
      </c>
      <c r="R59" s="12"/>
      <c r="S59" s="42"/>
      <c r="T59" s="15"/>
      <c r="U59" s="44"/>
      <c r="V59" s="15"/>
      <c r="W59" s="44"/>
      <c r="X59" s="15">
        <f t="shared" si="1"/>
        <v>0</v>
      </c>
      <c r="Y59" s="15"/>
      <c r="Z59" s="44"/>
      <c r="AA59" s="15"/>
      <c r="AB59" s="44"/>
      <c r="AC59" s="15"/>
      <c r="AD59" s="44"/>
      <c r="AE59" s="15"/>
      <c r="AF59" s="44"/>
      <c r="AG59" s="15">
        <f t="shared" si="2"/>
        <v>0</v>
      </c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/>
      <c r="BA59" s="42"/>
      <c r="BB59" s="15">
        <f t="shared" si="7"/>
        <v>0</v>
      </c>
      <c r="BC59" s="15"/>
      <c r="BD59" s="44"/>
      <c r="BE59" s="15"/>
      <c r="BF59" s="44"/>
      <c r="BG59" s="15">
        <f t="shared" si="8"/>
        <v>0</v>
      </c>
    </row>
    <row r="60" spans="1:59" s="8" customFormat="1" ht="22.5" customHeight="1">
      <c r="A60" s="9"/>
      <c r="B60" s="16" t="s">
        <v>129</v>
      </c>
      <c r="C60" s="89" t="s">
        <v>132</v>
      </c>
      <c r="D60" s="104" t="s">
        <v>133</v>
      </c>
      <c r="E60" s="104" t="s">
        <v>1073</v>
      </c>
      <c r="F60" s="104" t="s">
        <v>1074</v>
      </c>
      <c r="G60" s="104" t="s">
        <v>1075</v>
      </c>
      <c r="H60" s="12"/>
      <c r="I60" s="9"/>
      <c r="J60" s="9" t="s">
        <v>67</v>
      </c>
      <c r="K60" s="14"/>
      <c r="L60" s="14"/>
      <c r="M60" s="12">
        <v>176</v>
      </c>
      <c r="N60" s="9"/>
      <c r="O60" s="9"/>
      <c r="P60" s="9"/>
      <c r="Q60" s="38">
        <f t="shared" si="0"/>
        <v>176</v>
      </c>
      <c r="R60" s="12"/>
      <c r="S60" s="42"/>
      <c r="T60" s="15"/>
      <c r="U60" s="44"/>
      <c r="V60" s="15"/>
      <c r="W60" s="44"/>
      <c r="X60" s="15">
        <f t="shared" si="1"/>
        <v>0</v>
      </c>
      <c r="Y60" s="15"/>
      <c r="Z60" s="44"/>
      <c r="AA60" s="15"/>
      <c r="AB60" s="44"/>
      <c r="AC60" s="15"/>
      <c r="AD60" s="44"/>
      <c r="AE60" s="15"/>
      <c r="AF60" s="44"/>
      <c r="AG60" s="15">
        <f t="shared" si="2"/>
        <v>0</v>
      </c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/>
      <c r="BA60" s="42"/>
      <c r="BB60" s="15">
        <f t="shared" si="7"/>
        <v>0</v>
      </c>
      <c r="BC60" s="15"/>
      <c r="BD60" s="44"/>
      <c r="BE60" s="15"/>
      <c r="BF60" s="44"/>
      <c r="BG60" s="15">
        <f t="shared" si="8"/>
        <v>0</v>
      </c>
    </row>
    <row r="61" spans="1:59" s="8" customFormat="1" ht="22.5" customHeight="1">
      <c r="A61" s="9"/>
      <c r="B61" s="16" t="s">
        <v>129</v>
      </c>
      <c r="C61" s="89" t="s">
        <v>48</v>
      </c>
      <c r="D61" s="104" t="s">
        <v>130</v>
      </c>
      <c r="E61" s="104" t="s">
        <v>135</v>
      </c>
      <c r="F61" s="104" t="s">
        <v>1076</v>
      </c>
      <c r="G61" s="104" t="s">
        <v>1077</v>
      </c>
      <c r="H61" s="12"/>
      <c r="I61" s="9"/>
      <c r="J61" s="9" t="s">
        <v>131</v>
      </c>
      <c r="K61" s="14"/>
      <c r="L61" s="14"/>
      <c r="M61" s="12"/>
      <c r="N61" s="9"/>
      <c r="O61" s="9"/>
      <c r="P61" s="9"/>
      <c r="Q61" s="38">
        <f t="shared" si="0"/>
        <v>0</v>
      </c>
      <c r="R61" s="12"/>
      <c r="S61" s="42"/>
      <c r="T61" s="15"/>
      <c r="U61" s="44"/>
      <c r="V61" s="15"/>
      <c r="W61" s="44"/>
      <c r="X61" s="15">
        <f t="shared" si="1"/>
        <v>0</v>
      </c>
      <c r="Y61" s="15"/>
      <c r="Z61" s="44"/>
      <c r="AA61" s="15"/>
      <c r="AB61" s="44"/>
      <c r="AC61" s="15"/>
      <c r="AD61" s="44"/>
      <c r="AE61" s="15"/>
      <c r="AF61" s="44"/>
      <c r="AG61" s="15">
        <f t="shared" si="2"/>
        <v>0</v>
      </c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/>
      <c r="BA61" s="42"/>
      <c r="BB61" s="15">
        <f t="shared" si="7"/>
        <v>0</v>
      </c>
      <c r="BC61" s="15"/>
      <c r="BD61" s="44"/>
      <c r="BE61" s="15"/>
      <c r="BF61" s="44"/>
      <c r="BG61" s="15">
        <f t="shared" si="8"/>
        <v>0</v>
      </c>
    </row>
    <row r="62" spans="1:59" s="8" customFormat="1" ht="22.5" customHeight="1">
      <c r="A62" s="9"/>
      <c r="B62" s="16" t="s">
        <v>129</v>
      </c>
      <c r="C62" s="89" t="s">
        <v>48</v>
      </c>
      <c r="D62" s="104" t="s">
        <v>130</v>
      </c>
      <c r="E62" s="104" t="s">
        <v>1078</v>
      </c>
      <c r="F62" s="104" t="s">
        <v>1079</v>
      </c>
      <c r="G62" s="104" t="s">
        <v>1080</v>
      </c>
      <c r="H62" s="12"/>
      <c r="I62" s="9"/>
      <c r="J62" s="9" t="s">
        <v>131</v>
      </c>
      <c r="K62" s="14"/>
      <c r="L62" s="14"/>
      <c r="M62" s="12">
        <v>1300</v>
      </c>
      <c r="N62" s="9"/>
      <c r="O62" s="9"/>
      <c r="P62" s="9"/>
      <c r="Q62" s="38">
        <f t="shared" si="0"/>
        <v>1300</v>
      </c>
      <c r="R62" s="12"/>
      <c r="S62" s="42"/>
      <c r="T62" s="15"/>
      <c r="U62" s="44"/>
      <c r="V62" s="15"/>
      <c r="W62" s="44"/>
      <c r="X62" s="15">
        <f t="shared" si="1"/>
        <v>0</v>
      </c>
      <c r="Y62" s="15"/>
      <c r="Z62" s="44"/>
      <c r="AA62" s="15"/>
      <c r="AB62" s="44"/>
      <c r="AC62" s="15"/>
      <c r="AD62" s="44"/>
      <c r="AE62" s="15"/>
      <c r="AF62" s="44"/>
      <c r="AG62" s="15">
        <f t="shared" si="2"/>
        <v>0</v>
      </c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/>
      <c r="BA62" s="42"/>
      <c r="BB62" s="15">
        <f t="shared" si="7"/>
        <v>0</v>
      </c>
      <c r="BC62" s="15"/>
      <c r="BD62" s="44"/>
      <c r="BE62" s="15"/>
      <c r="BF62" s="44"/>
      <c r="BG62" s="15">
        <f t="shared" si="8"/>
        <v>0</v>
      </c>
    </row>
    <row r="63" spans="1:59" s="8" customFormat="1" ht="22.5" customHeight="1">
      <c r="A63" s="9"/>
      <c r="B63" s="16" t="s">
        <v>129</v>
      </c>
      <c r="C63" s="89" t="s">
        <v>50</v>
      </c>
      <c r="D63" s="104" t="s">
        <v>130</v>
      </c>
      <c r="E63" s="104"/>
      <c r="F63" s="104" t="s">
        <v>1081</v>
      </c>
      <c r="G63" s="104" t="s">
        <v>1082</v>
      </c>
      <c r="H63" s="12"/>
      <c r="I63" s="9"/>
      <c r="J63" s="9" t="s">
        <v>67</v>
      </c>
      <c r="K63" s="14"/>
      <c r="L63" s="14"/>
      <c r="M63" s="12"/>
      <c r="N63" s="9"/>
      <c r="O63" s="9"/>
      <c r="P63" s="9"/>
      <c r="Q63" s="38">
        <f t="shared" si="0"/>
        <v>0</v>
      </c>
      <c r="R63" s="12"/>
      <c r="S63" s="42"/>
      <c r="T63" s="15"/>
      <c r="U63" s="44"/>
      <c r="V63" s="15"/>
      <c r="W63" s="44"/>
      <c r="X63" s="15">
        <f t="shared" si="1"/>
        <v>0</v>
      </c>
      <c r="Y63" s="15"/>
      <c r="Z63" s="44"/>
      <c r="AA63" s="15"/>
      <c r="AB63" s="44"/>
      <c r="AC63" s="15"/>
      <c r="AD63" s="44"/>
      <c r="AE63" s="15"/>
      <c r="AF63" s="44"/>
      <c r="AG63" s="15">
        <f t="shared" si="2"/>
        <v>0</v>
      </c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/>
      <c r="BA63" s="42"/>
      <c r="BB63" s="15">
        <f t="shared" si="7"/>
        <v>0</v>
      </c>
      <c r="BC63" s="15"/>
      <c r="BD63" s="44"/>
      <c r="BE63" s="15"/>
      <c r="BF63" s="44"/>
      <c r="BG63" s="15">
        <f t="shared" si="8"/>
        <v>0</v>
      </c>
    </row>
    <row r="64" spans="1:59" s="8" customFormat="1" ht="22.5" customHeight="1">
      <c r="A64" s="9"/>
      <c r="B64" s="16" t="s">
        <v>129</v>
      </c>
      <c r="C64" s="89" t="s">
        <v>52</v>
      </c>
      <c r="D64" s="104" t="s">
        <v>130</v>
      </c>
      <c r="E64" s="104" t="s">
        <v>135</v>
      </c>
      <c r="F64" s="104" t="s">
        <v>1083</v>
      </c>
      <c r="G64" s="104" t="s">
        <v>1084</v>
      </c>
      <c r="H64" s="12"/>
      <c r="I64" s="9"/>
      <c r="J64" s="9" t="s">
        <v>131</v>
      </c>
      <c r="K64" s="14"/>
      <c r="L64" s="14"/>
      <c r="M64" s="12">
        <v>0</v>
      </c>
      <c r="N64" s="9"/>
      <c r="O64" s="9"/>
      <c r="P64" s="9"/>
      <c r="Q64" s="38">
        <f t="shared" si="0"/>
        <v>0</v>
      </c>
      <c r="R64" s="12"/>
      <c r="S64" s="42"/>
      <c r="T64" s="15"/>
      <c r="U64" s="44"/>
      <c r="V64" s="15"/>
      <c r="W64" s="44"/>
      <c r="X64" s="15">
        <f t="shared" si="1"/>
        <v>0</v>
      </c>
      <c r="Y64" s="15"/>
      <c r="Z64" s="44"/>
      <c r="AA64" s="15"/>
      <c r="AB64" s="44"/>
      <c r="AC64" s="15"/>
      <c r="AD64" s="44"/>
      <c r="AE64" s="15"/>
      <c r="AF64" s="44"/>
      <c r="AG64" s="15">
        <f t="shared" si="2"/>
        <v>0</v>
      </c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/>
      <c r="BA64" s="42"/>
      <c r="BB64" s="15">
        <f t="shared" si="7"/>
        <v>0</v>
      </c>
      <c r="BC64" s="15"/>
      <c r="BD64" s="44"/>
      <c r="BE64" s="15"/>
      <c r="BF64" s="44"/>
      <c r="BG64" s="15">
        <f t="shared" si="8"/>
        <v>0</v>
      </c>
    </row>
    <row r="65" spans="1:59" s="8" customFormat="1" ht="22.5" customHeight="1">
      <c r="A65" s="9"/>
      <c r="B65" s="16" t="s">
        <v>129</v>
      </c>
      <c r="C65" s="89" t="s">
        <v>52</v>
      </c>
      <c r="D65" s="104" t="s">
        <v>130</v>
      </c>
      <c r="E65" s="104" t="s">
        <v>136</v>
      </c>
      <c r="F65" s="104" t="s">
        <v>1085</v>
      </c>
      <c r="G65" s="104" t="s">
        <v>1086</v>
      </c>
      <c r="H65" s="12"/>
      <c r="I65" s="9"/>
      <c r="J65" s="9" t="s">
        <v>131</v>
      </c>
      <c r="K65" s="14"/>
      <c r="L65" s="14"/>
      <c r="M65" s="12">
        <v>0</v>
      </c>
      <c r="N65" s="9"/>
      <c r="O65" s="9"/>
      <c r="P65" s="9"/>
      <c r="Q65" s="38">
        <f t="shared" si="0"/>
        <v>0</v>
      </c>
      <c r="R65" s="12"/>
      <c r="S65" s="42"/>
      <c r="T65" s="15"/>
      <c r="U65" s="44"/>
      <c r="V65" s="15"/>
      <c r="W65" s="44"/>
      <c r="X65" s="15">
        <f t="shared" si="1"/>
        <v>0</v>
      </c>
      <c r="Y65" s="15"/>
      <c r="Z65" s="44"/>
      <c r="AA65" s="15"/>
      <c r="AB65" s="44"/>
      <c r="AC65" s="15"/>
      <c r="AD65" s="44"/>
      <c r="AE65" s="15"/>
      <c r="AF65" s="44"/>
      <c r="AG65" s="15">
        <f t="shared" si="2"/>
        <v>0</v>
      </c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/>
      <c r="BA65" s="42"/>
      <c r="BB65" s="15">
        <f t="shared" si="7"/>
        <v>0</v>
      </c>
      <c r="BC65" s="15"/>
      <c r="BD65" s="44"/>
      <c r="BE65" s="15"/>
      <c r="BF65" s="44"/>
      <c r="BG65" s="15">
        <f t="shared" si="8"/>
        <v>0</v>
      </c>
    </row>
    <row r="66" spans="1:59" s="8" customFormat="1" ht="22.5" customHeight="1">
      <c r="A66" s="9"/>
      <c r="B66" s="16" t="s">
        <v>129</v>
      </c>
      <c r="C66" s="89" t="s">
        <v>44</v>
      </c>
      <c r="D66" s="104" t="s">
        <v>137</v>
      </c>
      <c r="E66" s="104" t="s">
        <v>138</v>
      </c>
      <c r="F66" s="104" t="s">
        <v>1087</v>
      </c>
      <c r="G66" s="104" t="s">
        <v>1088</v>
      </c>
      <c r="H66" s="12"/>
      <c r="I66" s="9"/>
      <c r="J66" s="9" t="s">
        <v>131</v>
      </c>
      <c r="K66" s="14"/>
      <c r="L66" s="14"/>
      <c r="M66" s="12">
        <v>400</v>
      </c>
      <c r="N66" s="9"/>
      <c r="O66" s="9"/>
      <c r="P66" s="9"/>
      <c r="Q66" s="38">
        <f t="shared" si="0"/>
        <v>400</v>
      </c>
      <c r="R66" s="12"/>
      <c r="S66" s="42"/>
      <c r="T66" s="15"/>
      <c r="U66" s="44"/>
      <c r="V66" s="15"/>
      <c r="W66" s="44"/>
      <c r="X66" s="15">
        <f t="shared" si="1"/>
        <v>0</v>
      </c>
      <c r="Y66" s="15"/>
      <c r="Z66" s="44"/>
      <c r="AA66" s="15"/>
      <c r="AB66" s="44"/>
      <c r="AC66" s="15"/>
      <c r="AD66" s="44"/>
      <c r="AE66" s="15"/>
      <c r="AF66" s="44"/>
      <c r="AG66" s="15">
        <f t="shared" si="2"/>
        <v>0</v>
      </c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/>
      <c r="BA66" s="42"/>
      <c r="BB66" s="15">
        <f t="shared" si="7"/>
        <v>0</v>
      </c>
      <c r="BC66" s="15"/>
      <c r="BD66" s="44"/>
      <c r="BE66" s="15"/>
      <c r="BF66" s="44"/>
      <c r="BG66" s="15">
        <f t="shared" si="8"/>
        <v>0</v>
      </c>
    </row>
    <row r="67" spans="1:59" s="8" customFormat="1" ht="22.5" customHeight="1">
      <c r="A67" s="9"/>
      <c r="B67" s="16" t="s">
        <v>129</v>
      </c>
      <c r="C67" s="89" t="s">
        <v>132</v>
      </c>
      <c r="D67" s="104" t="s">
        <v>139</v>
      </c>
      <c r="E67" s="104" t="s">
        <v>27</v>
      </c>
      <c r="F67" s="104" t="s">
        <v>1089</v>
      </c>
      <c r="G67" s="104" t="s">
        <v>1090</v>
      </c>
      <c r="H67" s="12"/>
      <c r="I67" s="9"/>
      <c r="J67" s="9" t="s">
        <v>131</v>
      </c>
      <c r="K67" s="14"/>
      <c r="L67" s="14"/>
      <c r="M67" s="12">
        <v>1000</v>
      </c>
      <c r="N67" s="9"/>
      <c r="O67" s="9"/>
      <c r="P67" s="9"/>
      <c r="Q67" s="38">
        <f t="shared" si="0"/>
        <v>1000</v>
      </c>
      <c r="R67" s="12"/>
      <c r="S67" s="42"/>
      <c r="T67" s="15"/>
      <c r="U67" s="44"/>
      <c r="V67" s="15"/>
      <c r="W67" s="44"/>
      <c r="X67" s="15">
        <f t="shared" si="1"/>
        <v>0</v>
      </c>
      <c r="Y67" s="15"/>
      <c r="Z67" s="44"/>
      <c r="AA67" s="15"/>
      <c r="AB67" s="44"/>
      <c r="AC67" s="15"/>
      <c r="AD67" s="44"/>
      <c r="AE67" s="15"/>
      <c r="AF67" s="44"/>
      <c r="AG67" s="15">
        <f t="shared" si="2"/>
        <v>0</v>
      </c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/>
      <c r="BA67" s="42"/>
      <c r="BB67" s="15">
        <f t="shared" si="7"/>
        <v>0</v>
      </c>
      <c r="BC67" s="15"/>
      <c r="BD67" s="44"/>
      <c r="BE67" s="15"/>
      <c r="BF67" s="44"/>
      <c r="BG67" s="15">
        <f t="shared" si="8"/>
        <v>0</v>
      </c>
    </row>
    <row r="68" spans="1:59" s="8" customFormat="1" ht="22.5" customHeight="1">
      <c r="A68" s="9"/>
      <c r="B68" s="16" t="s">
        <v>129</v>
      </c>
      <c r="C68" s="89" t="s">
        <v>140</v>
      </c>
      <c r="D68" s="104" t="s">
        <v>139</v>
      </c>
      <c r="E68" s="104" t="s">
        <v>27</v>
      </c>
      <c r="F68" s="104" t="s">
        <v>1091</v>
      </c>
      <c r="G68" s="104" t="s">
        <v>1092</v>
      </c>
      <c r="H68" s="12"/>
      <c r="I68" s="9"/>
      <c r="J68" s="9" t="s">
        <v>131</v>
      </c>
      <c r="K68" s="14"/>
      <c r="L68" s="14"/>
      <c r="M68" s="12">
        <v>960</v>
      </c>
      <c r="N68" s="9"/>
      <c r="O68" s="9"/>
      <c r="P68" s="9"/>
      <c r="Q68" s="38">
        <f t="shared" ref="Q68:Q131" si="9">M68+X68-AG68-BB68</f>
        <v>960</v>
      </c>
      <c r="R68" s="12"/>
      <c r="S68" s="42"/>
      <c r="T68" s="15"/>
      <c r="U68" s="44"/>
      <c r="V68" s="15"/>
      <c r="W68" s="44"/>
      <c r="X68" s="15">
        <f t="shared" ref="X68:X131" si="10">R68+T68+V68</f>
        <v>0</v>
      </c>
      <c r="Y68" s="15"/>
      <c r="Z68" s="44"/>
      <c r="AA68" s="15"/>
      <c r="AB68" s="44"/>
      <c r="AC68" s="15"/>
      <c r="AD68" s="44"/>
      <c r="AE68" s="15"/>
      <c r="AF68" s="44"/>
      <c r="AG68" s="15">
        <f t="shared" ref="AG68:AG131" si="11">(Y68+AA68+AC68+AE68)</f>
        <v>0</v>
      </c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/>
      <c r="BA68" s="42"/>
      <c r="BB68" s="15">
        <f t="shared" si="7"/>
        <v>0</v>
      </c>
      <c r="BC68" s="15"/>
      <c r="BD68" s="44"/>
      <c r="BE68" s="15"/>
      <c r="BF68" s="44"/>
      <c r="BG68" s="15">
        <f t="shared" si="8"/>
        <v>0</v>
      </c>
    </row>
    <row r="69" spans="1:59" s="8" customFormat="1" ht="22.5" customHeight="1">
      <c r="A69" s="9"/>
      <c r="B69" s="16" t="s">
        <v>129</v>
      </c>
      <c r="C69" s="89" t="s">
        <v>48</v>
      </c>
      <c r="D69" s="104" t="s">
        <v>137</v>
      </c>
      <c r="E69" s="104" t="s">
        <v>1093</v>
      </c>
      <c r="F69" s="104" t="s">
        <v>1094</v>
      </c>
      <c r="G69" s="104" t="s">
        <v>1095</v>
      </c>
      <c r="H69" s="12"/>
      <c r="I69" s="9"/>
      <c r="J69" s="9" t="s">
        <v>131</v>
      </c>
      <c r="K69" s="14"/>
      <c r="L69" s="14"/>
      <c r="M69" s="12">
        <v>1314</v>
      </c>
      <c r="N69" s="9"/>
      <c r="O69" s="9"/>
      <c r="P69" s="9"/>
      <c r="Q69" s="38">
        <f t="shared" si="9"/>
        <v>1314</v>
      </c>
      <c r="R69" s="12"/>
      <c r="S69" s="42"/>
      <c r="T69" s="15"/>
      <c r="U69" s="44"/>
      <c r="V69" s="15"/>
      <c r="W69" s="44"/>
      <c r="X69" s="15">
        <f t="shared" si="10"/>
        <v>0</v>
      </c>
      <c r="Y69" s="15"/>
      <c r="Z69" s="44"/>
      <c r="AA69" s="15"/>
      <c r="AB69" s="44"/>
      <c r="AC69" s="15"/>
      <c r="AD69" s="44"/>
      <c r="AE69" s="15"/>
      <c r="AF69" s="44"/>
      <c r="AG69" s="15">
        <f t="shared" si="11"/>
        <v>0</v>
      </c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/>
      <c r="BA69" s="42"/>
      <c r="BB69" s="15">
        <f t="shared" si="7"/>
        <v>0</v>
      </c>
      <c r="BC69" s="15"/>
      <c r="BD69" s="44"/>
      <c r="BE69" s="15"/>
      <c r="BF69" s="44"/>
      <c r="BG69" s="15">
        <f t="shared" si="8"/>
        <v>0</v>
      </c>
    </row>
    <row r="70" spans="1:59" s="8" customFormat="1" ht="22.5" customHeight="1">
      <c r="A70" s="9"/>
      <c r="B70" s="16" t="s">
        <v>129</v>
      </c>
      <c r="C70" s="89" t="s">
        <v>52</v>
      </c>
      <c r="D70" s="104" t="s">
        <v>137</v>
      </c>
      <c r="E70" s="104" t="s">
        <v>138</v>
      </c>
      <c r="F70" s="104" t="s">
        <v>1096</v>
      </c>
      <c r="G70" s="104" t="s">
        <v>1097</v>
      </c>
      <c r="H70" s="12"/>
      <c r="I70" s="9"/>
      <c r="J70" s="9" t="s">
        <v>131</v>
      </c>
      <c r="K70" s="14"/>
      <c r="L70" s="14"/>
      <c r="M70" s="12"/>
      <c r="N70" s="9"/>
      <c r="O70" s="9"/>
      <c r="P70" s="9"/>
      <c r="Q70" s="38">
        <f t="shared" si="9"/>
        <v>0</v>
      </c>
      <c r="R70" s="12"/>
      <c r="S70" s="42"/>
      <c r="T70" s="15"/>
      <c r="U70" s="44"/>
      <c r="V70" s="15"/>
      <c r="W70" s="44"/>
      <c r="X70" s="15">
        <f t="shared" si="10"/>
        <v>0</v>
      </c>
      <c r="Y70" s="15"/>
      <c r="Z70" s="44"/>
      <c r="AA70" s="15"/>
      <c r="AB70" s="44"/>
      <c r="AC70" s="15"/>
      <c r="AD70" s="44"/>
      <c r="AE70" s="15"/>
      <c r="AF70" s="44"/>
      <c r="AG70" s="15">
        <f t="shared" si="11"/>
        <v>0</v>
      </c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/>
      <c r="BA70" s="42"/>
      <c r="BB70" s="15">
        <f t="shared" si="7"/>
        <v>0</v>
      </c>
      <c r="BC70" s="15"/>
      <c r="BD70" s="44"/>
      <c r="BE70" s="15"/>
      <c r="BF70" s="44"/>
      <c r="BG70" s="15">
        <f t="shared" si="8"/>
        <v>0</v>
      </c>
    </row>
    <row r="71" spans="1:59" s="8" customFormat="1" ht="22.5" customHeight="1">
      <c r="A71" s="9"/>
      <c r="B71" s="16" t="s">
        <v>129</v>
      </c>
      <c r="C71" s="89" t="s">
        <v>52</v>
      </c>
      <c r="D71" s="104" t="s">
        <v>139</v>
      </c>
      <c r="E71" s="104" t="s">
        <v>27</v>
      </c>
      <c r="F71" s="104" t="s">
        <v>1098</v>
      </c>
      <c r="G71" s="104" t="s">
        <v>1099</v>
      </c>
      <c r="H71" s="12"/>
      <c r="I71" s="9"/>
      <c r="J71" s="9" t="s">
        <v>131</v>
      </c>
      <c r="K71" s="14"/>
      <c r="L71" s="14"/>
      <c r="M71" s="12"/>
      <c r="N71" s="9"/>
      <c r="O71" s="9"/>
      <c r="P71" s="9"/>
      <c r="Q71" s="38">
        <f t="shared" si="9"/>
        <v>0</v>
      </c>
      <c r="R71" s="12"/>
      <c r="S71" s="42"/>
      <c r="T71" s="15"/>
      <c r="U71" s="44"/>
      <c r="V71" s="15"/>
      <c r="W71" s="44"/>
      <c r="X71" s="15">
        <f t="shared" si="10"/>
        <v>0</v>
      </c>
      <c r="Y71" s="15"/>
      <c r="Z71" s="44"/>
      <c r="AA71" s="15"/>
      <c r="AB71" s="44"/>
      <c r="AC71" s="15"/>
      <c r="AD71" s="44"/>
      <c r="AE71" s="15"/>
      <c r="AF71" s="44"/>
      <c r="AG71" s="15">
        <f t="shared" si="11"/>
        <v>0</v>
      </c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/>
      <c r="BA71" s="42"/>
      <c r="BB71" s="15">
        <f t="shared" si="7"/>
        <v>0</v>
      </c>
      <c r="BC71" s="15"/>
      <c r="BD71" s="44"/>
      <c r="BE71" s="15"/>
      <c r="BF71" s="44"/>
      <c r="BG71" s="15">
        <f t="shared" si="8"/>
        <v>0</v>
      </c>
    </row>
    <row r="72" spans="1:59" s="8" customFormat="1" ht="22.5" customHeight="1">
      <c r="A72" s="9"/>
      <c r="B72" s="16" t="s">
        <v>58</v>
      </c>
      <c r="C72" s="89" t="s">
        <v>59</v>
      </c>
      <c r="D72" s="104" t="s">
        <v>141</v>
      </c>
      <c r="E72" s="104" t="s">
        <v>58</v>
      </c>
      <c r="F72" s="104" t="s">
        <v>141</v>
      </c>
      <c r="G72" s="104" t="s">
        <v>1100</v>
      </c>
      <c r="H72" s="12"/>
      <c r="I72" s="9"/>
      <c r="J72" s="9" t="s">
        <v>61</v>
      </c>
      <c r="K72" s="14"/>
      <c r="L72" s="14"/>
      <c r="M72" s="12">
        <v>930</v>
      </c>
      <c r="N72" s="9"/>
      <c r="O72" s="9"/>
      <c r="P72" s="9"/>
      <c r="Q72" s="38">
        <f t="shared" si="9"/>
        <v>930</v>
      </c>
      <c r="R72" s="12"/>
      <c r="S72" s="42"/>
      <c r="T72" s="15"/>
      <c r="U72" s="44"/>
      <c r="V72" s="15"/>
      <c r="W72" s="44"/>
      <c r="X72" s="15">
        <f t="shared" si="10"/>
        <v>0</v>
      </c>
      <c r="Y72" s="15"/>
      <c r="Z72" s="44"/>
      <c r="AA72" s="15"/>
      <c r="AB72" s="44"/>
      <c r="AC72" s="15"/>
      <c r="AD72" s="44"/>
      <c r="AE72" s="15"/>
      <c r="AF72" s="44"/>
      <c r="AG72" s="15">
        <f t="shared" si="11"/>
        <v>0</v>
      </c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/>
      <c r="BA72" s="42"/>
      <c r="BB72" s="15">
        <f t="shared" si="7"/>
        <v>0</v>
      </c>
      <c r="BC72" s="15"/>
      <c r="BD72" s="44"/>
      <c r="BE72" s="15"/>
      <c r="BF72" s="44"/>
      <c r="BG72" s="15">
        <f t="shared" si="8"/>
        <v>0</v>
      </c>
    </row>
    <row r="73" spans="1:59" s="8" customFormat="1" ht="22.5" customHeight="1">
      <c r="A73" s="9"/>
      <c r="B73" s="16" t="s">
        <v>62</v>
      </c>
      <c r="C73" s="89" t="s">
        <v>52</v>
      </c>
      <c r="D73" s="104" t="s">
        <v>142</v>
      </c>
      <c r="E73" s="104" t="s">
        <v>62</v>
      </c>
      <c r="F73" s="104" t="s">
        <v>1101</v>
      </c>
      <c r="G73" s="104" t="s">
        <v>1102</v>
      </c>
      <c r="H73" s="12"/>
      <c r="I73" s="9"/>
      <c r="J73" s="9" t="s">
        <v>61</v>
      </c>
      <c r="K73" s="14"/>
      <c r="L73" s="14"/>
      <c r="M73" s="12">
        <v>109</v>
      </c>
      <c r="N73" s="9"/>
      <c r="O73" s="9"/>
      <c r="P73" s="9"/>
      <c r="Q73" s="38">
        <f t="shared" si="9"/>
        <v>109</v>
      </c>
      <c r="R73" s="12"/>
      <c r="S73" s="42"/>
      <c r="T73" s="15"/>
      <c r="U73" s="44"/>
      <c r="V73" s="15"/>
      <c r="W73" s="44"/>
      <c r="X73" s="15">
        <f t="shared" si="10"/>
        <v>0</v>
      </c>
      <c r="Y73" s="15"/>
      <c r="Z73" s="44"/>
      <c r="AA73" s="15"/>
      <c r="AB73" s="44"/>
      <c r="AC73" s="15"/>
      <c r="AD73" s="44"/>
      <c r="AE73" s="15"/>
      <c r="AF73" s="44"/>
      <c r="AG73" s="15">
        <f t="shared" si="11"/>
        <v>0</v>
      </c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/>
      <c r="BA73" s="42"/>
      <c r="BB73" s="15"/>
      <c r="BC73" s="15"/>
      <c r="BD73" s="44"/>
      <c r="BE73" s="15"/>
      <c r="BF73" s="44"/>
      <c r="BG73" s="15"/>
    </row>
    <row r="74" spans="1:59" s="8" customFormat="1" ht="22.5" customHeight="1">
      <c r="A74" s="9"/>
      <c r="B74" s="16" t="s">
        <v>62</v>
      </c>
      <c r="C74" s="89" t="s">
        <v>48</v>
      </c>
      <c r="D74" s="104" t="s">
        <v>142</v>
      </c>
      <c r="E74" s="104" t="s">
        <v>62</v>
      </c>
      <c r="F74" s="104" t="s">
        <v>1103</v>
      </c>
      <c r="G74" s="104" t="s">
        <v>1104</v>
      </c>
      <c r="H74" s="12"/>
      <c r="I74" s="9"/>
      <c r="J74" s="9" t="s">
        <v>61</v>
      </c>
      <c r="K74" s="14"/>
      <c r="L74" s="14"/>
      <c r="M74" s="12">
        <v>400</v>
      </c>
      <c r="N74" s="9"/>
      <c r="O74" s="9"/>
      <c r="P74" s="9"/>
      <c r="Q74" s="38">
        <f t="shared" si="9"/>
        <v>400</v>
      </c>
      <c r="R74" s="12"/>
      <c r="S74" s="42"/>
      <c r="T74" s="15"/>
      <c r="U74" s="44"/>
      <c r="V74" s="15"/>
      <c r="W74" s="44"/>
      <c r="X74" s="15">
        <f t="shared" si="10"/>
        <v>0</v>
      </c>
      <c r="Y74" s="15"/>
      <c r="Z74" s="44"/>
      <c r="AA74" s="15"/>
      <c r="AB74" s="44"/>
      <c r="AC74" s="15"/>
      <c r="AD74" s="44"/>
      <c r="AE74" s="15"/>
      <c r="AF74" s="44"/>
      <c r="AG74" s="15">
        <f t="shared" si="11"/>
        <v>0</v>
      </c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/>
      <c r="BA74" s="42"/>
      <c r="BB74" s="15">
        <f t="shared" ref="BB74:BB105" si="12">AH74+AJ74+AL74+AN74+AP74+AR74+AT74+AV74+AX74+AZ74</f>
        <v>0</v>
      </c>
      <c r="BC74" s="15"/>
      <c r="BD74" s="44"/>
      <c r="BE74" s="15"/>
      <c r="BF74" s="44"/>
      <c r="BG74" s="15">
        <f t="shared" ref="BG74:BG98" si="13">(BC74+BE74)</f>
        <v>0</v>
      </c>
    </row>
    <row r="75" spans="1:59" s="8" customFormat="1" ht="22.5" customHeight="1">
      <c r="A75" s="9"/>
      <c r="B75" s="16" t="s">
        <v>62</v>
      </c>
      <c r="C75" s="89" t="s">
        <v>50</v>
      </c>
      <c r="D75" s="104" t="s">
        <v>142</v>
      </c>
      <c r="E75" s="104" t="s">
        <v>62</v>
      </c>
      <c r="F75" s="104" t="s">
        <v>1105</v>
      </c>
      <c r="G75" s="104" t="s">
        <v>1106</v>
      </c>
      <c r="H75" s="12"/>
      <c r="I75" s="9"/>
      <c r="J75" s="9" t="s">
        <v>61</v>
      </c>
      <c r="K75" s="14"/>
      <c r="L75" s="14"/>
      <c r="M75" s="12">
        <v>499</v>
      </c>
      <c r="N75" s="9"/>
      <c r="O75" s="9"/>
      <c r="P75" s="9"/>
      <c r="Q75" s="38">
        <f t="shared" si="9"/>
        <v>499</v>
      </c>
      <c r="R75" s="12"/>
      <c r="S75" s="42"/>
      <c r="T75" s="15"/>
      <c r="U75" s="44"/>
      <c r="V75" s="15"/>
      <c r="W75" s="44"/>
      <c r="X75" s="15">
        <f t="shared" si="10"/>
        <v>0</v>
      </c>
      <c r="Y75" s="15"/>
      <c r="Z75" s="44"/>
      <c r="AA75" s="15"/>
      <c r="AB75" s="44"/>
      <c r="AC75" s="15"/>
      <c r="AD75" s="44"/>
      <c r="AE75" s="15"/>
      <c r="AF75" s="44"/>
      <c r="AG75" s="15">
        <f t="shared" si="11"/>
        <v>0</v>
      </c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/>
      <c r="BA75" s="42"/>
      <c r="BB75" s="15">
        <f t="shared" si="12"/>
        <v>0</v>
      </c>
      <c r="BC75" s="15"/>
      <c r="BD75" s="44"/>
      <c r="BE75" s="15"/>
      <c r="BF75" s="44"/>
      <c r="BG75" s="15">
        <f t="shared" si="13"/>
        <v>0</v>
      </c>
    </row>
    <row r="76" spans="1:59" s="8" customFormat="1" ht="22.5" customHeight="1">
      <c r="A76" s="9"/>
      <c r="B76" s="16" t="s">
        <v>62</v>
      </c>
      <c r="C76" s="89" t="s">
        <v>48</v>
      </c>
      <c r="D76" s="104" t="s">
        <v>143</v>
      </c>
      <c r="E76" s="104" t="s">
        <v>62</v>
      </c>
      <c r="F76" s="104" t="s">
        <v>1107</v>
      </c>
      <c r="G76" s="104" t="s">
        <v>1108</v>
      </c>
      <c r="H76" s="12"/>
      <c r="I76" s="9"/>
      <c r="J76" s="9" t="s">
        <v>61</v>
      </c>
      <c r="K76" s="14"/>
      <c r="L76" s="14"/>
      <c r="M76" s="12">
        <v>750</v>
      </c>
      <c r="N76" s="9"/>
      <c r="O76" s="9"/>
      <c r="P76" s="9"/>
      <c r="Q76" s="38">
        <f t="shared" si="9"/>
        <v>750</v>
      </c>
      <c r="R76" s="12"/>
      <c r="S76" s="42"/>
      <c r="T76" s="15"/>
      <c r="U76" s="44"/>
      <c r="V76" s="15"/>
      <c r="W76" s="44"/>
      <c r="X76" s="15">
        <f t="shared" si="10"/>
        <v>0</v>
      </c>
      <c r="Y76" s="15"/>
      <c r="Z76" s="44"/>
      <c r="AA76" s="15"/>
      <c r="AB76" s="44"/>
      <c r="AC76" s="15"/>
      <c r="AD76" s="44"/>
      <c r="AE76" s="15"/>
      <c r="AF76" s="44"/>
      <c r="AG76" s="15">
        <f t="shared" si="11"/>
        <v>0</v>
      </c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/>
      <c r="BA76" s="42"/>
      <c r="BB76" s="15">
        <f t="shared" si="12"/>
        <v>0</v>
      </c>
      <c r="BC76" s="15"/>
      <c r="BD76" s="44"/>
      <c r="BE76" s="15"/>
      <c r="BF76" s="44"/>
      <c r="BG76" s="15">
        <f t="shared" si="13"/>
        <v>0</v>
      </c>
    </row>
    <row r="77" spans="1:59" s="8" customFormat="1" ht="22.5" customHeight="1">
      <c r="A77" s="9"/>
      <c r="B77" s="16" t="s">
        <v>144</v>
      </c>
      <c r="C77" s="89" t="s">
        <v>132</v>
      </c>
      <c r="D77" s="104" t="s">
        <v>145</v>
      </c>
      <c r="E77" s="104" t="s">
        <v>146</v>
      </c>
      <c r="F77" s="104" t="s">
        <v>1109</v>
      </c>
      <c r="G77" s="104" t="s">
        <v>1110</v>
      </c>
      <c r="H77" s="12"/>
      <c r="I77" s="9"/>
      <c r="J77" s="9" t="s">
        <v>147</v>
      </c>
      <c r="K77" s="14"/>
      <c r="L77" s="14"/>
      <c r="M77" s="12"/>
      <c r="N77" s="9"/>
      <c r="O77" s="9"/>
      <c r="P77" s="9"/>
      <c r="Q77" s="38">
        <f t="shared" si="9"/>
        <v>0</v>
      </c>
      <c r="R77" s="12"/>
      <c r="S77" s="42"/>
      <c r="T77" s="15"/>
      <c r="U77" s="44"/>
      <c r="V77" s="15"/>
      <c r="W77" s="44"/>
      <c r="X77" s="15">
        <f t="shared" si="10"/>
        <v>0</v>
      </c>
      <c r="Y77" s="15"/>
      <c r="Z77" s="44"/>
      <c r="AA77" s="15"/>
      <c r="AB77" s="44"/>
      <c r="AC77" s="15"/>
      <c r="AD77" s="44"/>
      <c r="AE77" s="15"/>
      <c r="AF77" s="44"/>
      <c r="AG77" s="15">
        <f t="shared" si="11"/>
        <v>0</v>
      </c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/>
      <c r="BA77" s="42"/>
      <c r="BB77" s="15">
        <f t="shared" si="12"/>
        <v>0</v>
      </c>
      <c r="BC77" s="15"/>
      <c r="BD77" s="44"/>
      <c r="BE77" s="15"/>
      <c r="BF77" s="44"/>
      <c r="BG77" s="15">
        <f t="shared" si="13"/>
        <v>0</v>
      </c>
    </row>
    <row r="78" spans="1:59" s="8" customFormat="1" ht="22.5" customHeight="1">
      <c r="A78" s="9"/>
      <c r="B78" s="16" t="s">
        <v>144</v>
      </c>
      <c r="C78" s="89" t="s">
        <v>48</v>
      </c>
      <c r="D78" s="104" t="s">
        <v>145</v>
      </c>
      <c r="E78" s="104" t="s">
        <v>146</v>
      </c>
      <c r="F78" s="104" t="s">
        <v>1111</v>
      </c>
      <c r="G78" s="104" t="s">
        <v>1112</v>
      </c>
      <c r="H78" s="12"/>
      <c r="I78" s="9"/>
      <c r="J78" s="9" t="s">
        <v>148</v>
      </c>
      <c r="K78" s="14"/>
      <c r="L78" s="14"/>
      <c r="M78" s="12">
        <v>143</v>
      </c>
      <c r="N78" s="9"/>
      <c r="O78" s="9"/>
      <c r="P78" s="9"/>
      <c r="Q78" s="38">
        <f t="shared" si="9"/>
        <v>143</v>
      </c>
      <c r="R78" s="12"/>
      <c r="S78" s="42"/>
      <c r="T78" s="15"/>
      <c r="U78" s="44"/>
      <c r="V78" s="15"/>
      <c r="W78" s="44"/>
      <c r="X78" s="15">
        <f t="shared" si="10"/>
        <v>0</v>
      </c>
      <c r="Y78" s="15"/>
      <c r="Z78" s="44"/>
      <c r="AA78" s="15"/>
      <c r="AB78" s="44"/>
      <c r="AC78" s="15"/>
      <c r="AD78" s="44"/>
      <c r="AE78" s="15"/>
      <c r="AF78" s="44"/>
      <c r="AG78" s="15">
        <f t="shared" si="11"/>
        <v>0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/>
      <c r="BA78" s="42"/>
      <c r="BB78" s="15">
        <f t="shared" si="12"/>
        <v>0</v>
      </c>
      <c r="BC78" s="15"/>
      <c r="BD78" s="44"/>
      <c r="BE78" s="15"/>
      <c r="BF78" s="44"/>
      <c r="BG78" s="15">
        <f t="shared" si="13"/>
        <v>0</v>
      </c>
    </row>
    <row r="79" spans="1:59" s="8" customFormat="1" ht="22.5" customHeight="1">
      <c r="A79" s="9"/>
      <c r="B79" s="16" t="s">
        <v>144</v>
      </c>
      <c r="C79" s="89" t="s">
        <v>50</v>
      </c>
      <c r="D79" s="104" t="s">
        <v>145</v>
      </c>
      <c r="E79" s="104" t="s">
        <v>146</v>
      </c>
      <c r="F79" s="104" t="s">
        <v>1113</v>
      </c>
      <c r="G79" s="104" t="s">
        <v>1114</v>
      </c>
      <c r="H79" s="12"/>
      <c r="I79" s="9"/>
      <c r="J79" s="9" t="s">
        <v>148</v>
      </c>
      <c r="K79" s="14"/>
      <c r="L79" s="14"/>
      <c r="M79" s="12"/>
      <c r="N79" s="9"/>
      <c r="O79" s="9"/>
      <c r="P79" s="9"/>
      <c r="Q79" s="38">
        <f t="shared" si="9"/>
        <v>0</v>
      </c>
      <c r="R79" s="12"/>
      <c r="S79" s="42"/>
      <c r="T79" s="15"/>
      <c r="U79" s="44"/>
      <c r="V79" s="15"/>
      <c r="W79" s="44"/>
      <c r="X79" s="15">
        <f t="shared" si="10"/>
        <v>0</v>
      </c>
      <c r="Y79" s="15"/>
      <c r="Z79" s="44"/>
      <c r="AA79" s="15"/>
      <c r="AB79" s="44"/>
      <c r="AC79" s="15"/>
      <c r="AD79" s="44"/>
      <c r="AE79" s="15"/>
      <c r="AF79" s="44"/>
      <c r="AG79" s="15">
        <f t="shared" si="11"/>
        <v>0</v>
      </c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/>
      <c r="BA79" s="42"/>
      <c r="BB79" s="15">
        <f t="shared" si="12"/>
        <v>0</v>
      </c>
      <c r="BC79" s="15"/>
      <c r="BD79" s="44"/>
      <c r="BE79" s="15"/>
      <c r="BF79" s="44"/>
      <c r="BG79" s="15">
        <f t="shared" si="13"/>
        <v>0</v>
      </c>
    </row>
    <row r="80" spans="1:59" s="8" customFormat="1" ht="22.5" customHeight="1">
      <c r="A80" s="9"/>
      <c r="B80" s="16" t="s">
        <v>144</v>
      </c>
      <c r="C80" s="89" t="s">
        <v>140</v>
      </c>
      <c r="D80" s="104" t="s">
        <v>145</v>
      </c>
      <c r="E80" s="104" t="s">
        <v>146</v>
      </c>
      <c r="F80" s="104" t="s">
        <v>1115</v>
      </c>
      <c r="G80" s="104" t="s">
        <v>1116</v>
      </c>
      <c r="H80" s="12"/>
      <c r="I80" s="9"/>
      <c r="J80" s="9" t="s">
        <v>147</v>
      </c>
      <c r="K80" s="14"/>
      <c r="L80" s="14"/>
      <c r="M80" s="12"/>
      <c r="N80" s="9"/>
      <c r="O80" s="9"/>
      <c r="P80" s="9"/>
      <c r="Q80" s="38">
        <f t="shared" si="9"/>
        <v>0</v>
      </c>
      <c r="R80" s="12"/>
      <c r="S80" s="42"/>
      <c r="T80" s="15"/>
      <c r="U80" s="44"/>
      <c r="V80" s="15"/>
      <c r="W80" s="44"/>
      <c r="X80" s="15">
        <f t="shared" si="10"/>
        <v>0</v>
      </c>
      <c r="Y80" s="15"/>
      <c r="Z80" s="44"/>
      <c r="AA80" s="15"/>
      <c r="AB80" s="44"/>
      <c r="AC80" s="15"/>
      <c r="AD80" s="44"/>
      <c r="AE80" s="15"/>
      <c r="AF80" s="44"/>
      <c r="AG80" s="15">
        <f t="shared" si="11"/>
        <v>0</v>
      </c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/>
      <c r="BA80" s="42"/>
      <c r="BB80" s="15">
        <f t="shared" si="12"/>
        <v>0</v>
      </c>
      <c r="BC80" s="15"/>
      <c r="BD80" s="44"/>
      <c r="BE80" s="15"/>
      <c r="BF80" s="44"/>
      <c r="BG80" s="15">
        <f t="shared" si="13"/>
        <v>0</v>
      </c>
    </row>
    <row r="81" spans="1:59" s="8" customFormat="1" ht="22.5" customHeight="1">
      <c r="A81" s="9"/>
      <c r="B81" s="16" t="s">
        <v>144</v>
      </c>
      <c r="C81" s="89" t="s">
        <v>52</v>
      </c>
      <c r="D81" s="104" t="s">
        <v>1117</v>
      </c>
      <c r="E81" s="104" t="s">
        <v>149</v>
      </c>
      <c r="F81" s="104" t="s">
        <v>1118</v>
      </c>
      <c r="G81" s="104" t="s">
        <v>1119</v>
      </c>
      <c r="H81" s="12"/>
      <c r="I81" s="9"/>
      <c r="J81" s="9" t="s">
        <v>147</v>
      </c>
      <c r="K81" s="14"/>
      <c r="L81" s="14"/>
      <c r="M81" s="12">
        <v>123</v>
      </c>
      <c r="N81" s="9"/>
      <c r="O81" s="9"/>
      <c r="P81" s="9"/>
      <c r="Q81" s="38">
        <f t="shared" si="9"/>
        <v>123</v>
      </c>
      <c r="R81" s="12"/>
      <c r="S81" s="42"/>
      <c r="T81" s="15"/>
      <c r="U81" s="44"/>
      <c r="V81" s="15"/>
      <c r="W81" s="44"/>
      <c r="X81" s="15">
        <f t="shared" si="10"/>
        <v>0</v>
      </c>
      <c r="Y81" s="15"/>
      <c r="Z81" s="44"/>
      <c r="AA81" s="15"/>
      <c r="AB81" s="44"/>
      <c r="AC81" s="15"/>
      <c r="AD81" s="44"/>
      <c r="AE81" s="15"/>
      <c r="AF81" s="44"/>
      <c r="AG81" s="15">
        <f t="shared" si="11"/>
        <v>0</v>
      </c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/>
      <c r="BA81" s="42"/>
      <c r="BB81" s="15">
        <f t="shared" si="12"/>
        <v>0</v>
      </c>
      <c r="BC81" s="15"/>
      <c r="BD81" s="44"/>
      <c r="BE81" s="15"/>
      <c r="BF81" s="44"/>
      <c r="BG81" s="15">
        <f t="shared" si="13"/>
        <v>0</v>
      </c>
    </row>
    <row r="82" spans="1:59" s="8" customFormat="1" ht="22.5" customHeight="1">
      <c r="A82" s="9"/>
      <c r="B82" s="16" t="s">
        <v>144</v>
      </c>
      <c r="C82" s="89" t="s">
        <v>59</v>
      </c>
      <c r="D82" s="104" t="s">
        <v>150</v>
      </c>
      <c r="E82" s="104" t="s">
        <v>146</v>
      </c>
      <c r="F82" s="104" t="s">
        <v>1120</v>
      </c>
      <c r="G82" s="104" t="s">
        <v>1121</v>
      </c>
      <c r="H82" s="12"/>
      <c r="I82" s="9"/>
      <c r="J82" s="9" t="s">
        <v>147</v>
      </c>
      <c r="K82" s="14"/>
      <c r="L82" s="14"/>
      <c r="M82" s="12">
        <v>367</v>
      </c>
      <c r="N82" s="9"/>
      <c r="O82" s="9"/>
      <c r="P82" s="9"/>
      <c r="Q82" s="38">
        <f t="shared" si="9"/>
        <v>367</v>
      </c>
      <c r="R82" s="12"/>
      <c r="S82" s="42"/>
      <c r="T82" s="15"/>
      <c r="U82" s="44"/>
      <c r="V82" s="15"/>
      <c r="W82" s="44"/>
      <c r="X82" s="15">
        <f t="shared" si="10"/>
        <v>0</v>
      </c>
      <c r="Y82" s="15"/>
      <c r="Z82" s="44"/>
      <c r="AA82" s="15"/>
      <c r="AB82" s="44"/>
      <c r="AC82" s="15"/>
      <c r="AD82" s="44"/>
      <c r="AE82" s="15"/>
      <c r="AF82" s="44"/>
      <c r="AG82" s="15">
        <f t="shared" si="11"/>
        <v>0</v>
      </c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/>
      <c r="BA82" s="42"/>
      <c r="BB82" s="15">
        <f t="shared" si="12"/>
        <v>0</v>
      </c>
      <c r="BC82" s="15"/>
      <c r="BD82" s="44"/>
      <c r="BE82" s="15"/>
      <c r="BF82" s="44"/>
      <c r="BG82" s="15">
        <f t="shared" si="13"/>
        <v>0</v>
      </c>
    </row>
    <row r="83" spans="1:59" s="8" customFormat="1" ht="22.5" customHeight="1">
      <c r="A83" s="9"/>
      <c r="B83" s="16" t="s">
        <v>144</v>
      </c>
      <c r="C83" s="89" t="s">
        <v>48</v>
      </c>
      <c r="D83" s="104" t="s">
        <v>150</v>
      </c>
      <c r="E83" s="104" t="s">
        <v>146</v>
      </c>
      <c r="F83" s="104" t="s">
        <v>1122</v>
      </c>
      <c r="G83" s="104" t="s">
        <v>1123</v>
      </c>
      <c r="H83" s="12"/>
      <c r="I83" s="9"/>
      <c r="J83" s="9" t="s">
        <v>148</v>
      </c>
      <c r="K83" s="14"/>
      <c r="L83" s="14"/>
      <c r="M83" s="12">
        <v>588</v>
      </c>
      <c r="N83" s="9"/>
      <c r="O83" s="9"/>
      <c r="P83" s="9"/>
      <c r="Q83" s="38">
        <f t="shared" si="9"/>
        <v>588</v>
      </c>
      <c r="R83" s="12"/>
      <c r="S83" s="42"/>
      <c r="T83" s="15"/>
      <c r="U83" s="44"/>
      <c r="V83" s="15"/>
      <c r="W83" s="44"/>
      <c r="X83" s="15">
        <f t="shared" si="10"/>
        <v>0</v>
      </c>
      <c r="Y83" s="15"/>
      <c r="Z83" s="44"/>
      <c r="AA83" s="15"/>
      <c r="AB83" s="44"/>
      <c r="AC83" s="15"/>
      <c r="AD83" s="44"/>
      <c r="AE83" s="15"/>
      <c r="AF83" s="44"/>
      <c r="AG83" s="15">
        <f t="shared" si="11"/>
        <v>0</v>
      </c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/>
      <c r="BA83" s="42"/>
      <c r="BB83" s="15">
        <f t="shared" si="12"/>
        <v>0</v>
      </c>
      <c r="BC83" s="15"/>
      <c r="BD83" s="44"/>
      <c r="BE83" s="15"/>
      <c r="BF83" s="44"/>
      <c r="BG83" s="15">
        <f t="shared" si="13"/>
        <v>0</v>
      </c>
    </row>
    <row r="84" spans="1:59" s="8" customFormat="1" ht="22.5" customHeight="1">
      <c r="A84" s="9"/>
      <c r="B84" s="16" t="s">
        <v>144</v>
      </c>
      <c r="C84" s="89" t="s">
        <v>50</v>
      </c>
      <c r="D84" s="104" t="s">
        <v>150</v>
      </c>
      <c r="E84" s="104" t="s">
        <v>146</v>
      </c>
      <c r="F84" s="104" t="s">
        <v>1124</v>
      </c>
      <c r="G84" s="104" t="s">
        <v>1125</v>
      </c>
      <c r="H84" s="12"/>
      <c r="I84" s="9"/>
      <c r="J84" s="9" t="s">
        <v>148</v>
      </c>
      <c r="K84" s="14"/>
      <c r="L84" s="14"/>
      <c r="M84" s="12">
        <v>545</v>
      </c>
      <c r="N84" s="9"/>
      <c r="O84" s="9"/>
      <c r="P84" s="9"/>
      <c r="Q84" s="38">
        <f t="shared" si="9"/>
        <v>545</v>
      </c>
      <c r="R84" s="12"/>
      <c r="S84" s="42"/>
      <c r="T84" s="15"/>
      <c r="U84" s="44"/>
      <c r="V84" s="15"/>
      <c r="W84" s="44"/>
      <c r="X84" s="15">
        <f t="shared" si="10"/>
        <v>0</v>
      </c>
      <c r="Y84" s="15"/>
      <c r="Z84" s="44"/>
      <c r="AA84" s="15"/>
      <c r="AB84" s="44"/>
      <c r="AC84" s="15"/>
      <c r="AD84" s="44"/>
      <c r="AE84" s="15"/>
      <c r="AF84" s="44"/>
      <c r="AG84" s="15">
        <f t="shared" si="11"/>
        <v>0</v>
      </c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/>
      <c r="BA84" s="42"/>
      <c r="BB84" s="15">
        <f t="shared" si="12"/>
        <v>0</v>
      </c>
      <c r="BC84" s="15"/>
      <c r="BD84" s="44"/>
      <c r="BE84" s="15"/>
      <c r="BF84" s="44"/>
      <c r="BG84" s="15">
        <f t="shared" si="13"/>
        <v>0</v>
      </c>
    </row>
    <row r="85" spans="1:59" s="8" customFormat="1" ht="22.5" customHeight="1">
      <c r="A85" s="9"/>
      <c r="B85" s="16" t="s">
        <v>144</v>
      </c>
      <c r="C85" s="89" t="s">
        <v>151</v>
      </c>
      <c r="D85" s="104" t="s">
        <v>152</v>
      </c>
      <c r="E85" s="104"/>
      <c r="F85" s="104" t="s">
        <v>1126</v>
      </c>
      <c r="G85" s="104" t="s">
        <v>1127</v>
      </c>
      <c r="H85" s="12"/>
      <c r="I85" s="9"/>
      <c r="J85" s="9" t="s">
        <v>147</v>
      </c>
      <c r="K85" s="14"/>
      <c r="L85" s="14"/>
      <c r="M85" s="12">
        <v>800</v>
      </c>
      <c r="N85" s="9"/>
      <c r="O85" s="9"/>
      <c r="P85" s="9"/>
      <c r="Q85" s="38">
        <f t="shared" si="9"/>
        <v>800</v>
      </c>
      <c r="R85" s="12"/>
      <c r="S85" s="42"/>
      <c r="T85" s="15"/>
      <c r="U85" s="44"/>
      <c r="V85" s="15"/>
      <c r="W85" s="44"/>
      <c r="X85" s="15">
        <f t="shared" si="10"/>
        <v>0</v>
      </c>
      <c r="Y85" s="15"/>
      <c r="Z85" s="44"/>
      <c r="AA85" s="15"/>
      <c r="AB85" s="44"/>
      <c r="AC85" s="15"/>
      <c r="AD85" s="44"/>
      <c r="AE85" s="15"/>
      <c r="AF85" s="44"/>
      <c r="AG85" s="15">
        <f t="shared" si="11"/>
        <v>0</v>
      </c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/>
      <c r="BA85" s="42"/>
      <c r="BB85" s="15">
        <f t="shared" si="12"/>
        <v>0</v>
      </c>
      <c r="BC85" s="15"/>
      <c r="BD85" s="44"/>
      <c r="BE85" s="15"/>
      <c r="BF85" s="44"/>
      <c r="BG85" s="15">
        <f t="shared" si="13"/>
        <v>0</v>
      </c>
    </row>
    <row r="86" spans="1:59" s="8" customFormat="1" ht="22.5" customHeight="1">
      <c r="A86" s="9"/>
      <c r="B86" s="16" t="s">
        <v>144</v>
      </c>
      <c r="C86" s="89" t="s">
        <v>151</v>
      </c>
      <c r="D86" s="104" t="s">
        <v>152</v>
      </c>
      <c r="E86" s="104" t="s">
        <v>153</v>
      </c>
      <c r="F86" s="104" t="s">
        <v>1128</v>
      </c>
      <c r="G86" s="104" t="s">
        <v>1129</v>
      </c>
      <c r="H86" s="12"/>
      <c r="I86" s="9"/>
      <c r="J86" s="9" t="s">
        <v>147</v>
      </c>
      <c r="K86" s="14"/>
      <c r="L86" s="14"/>
      <c r="M86" s="12"/>
      <c r="N86" s="9"/>
      <c r="O86" s="9"/>
      <c r="P86" s="9"/>
      <c r="Q86" s="38">
        <f t="shared" si="9"/>
        <v>0</v>
      </c>
      <c r="R86" s="12"/>
      <c r="S86" s="42"/>
      <c r="T86" s="15"/>
      <c r="U86" s="44"/>
      <c r="V86" s="15"/>
      <c r="W86" s="44"/>
      <c r="X86" s="15">
        <f t="shared" si="10"/>
        <v>0</v>
      </c>
      <c r="Y86" s="15"/>
      <c r="Z86" s="44"/>
      <c r="AA86" s="15"/>
      <c r="AB86" s="44"/>
      <c r="AC86" s="15"/>
      <c r="AD86" s="44"/>
      <c r="AE86" s="15"/>
      <c r="AF86" s="44"/>
      <c r="AG86" s="15">
        <f t="shared" si="11"/>
        <v>0</v>
      </c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/>
      <c r="BA86" s="42"/>
      <c r="BB86" s="15">
        <f t="shared" si="12"/>
        <v>0</v>
      </c>
      <c r="BC86" s="15"/>
      <c r="BD86" s="44"/>
      <c r="BE86" s="15"/>
      <c r="BF86" s="44"/>
      <c r="BG86" s="15">
        <f t="shared" si="13"/>
        <v>0</v>
      </c>
    </row>
    <row r="87" spans="1:59" s="8" customFormat="1" ht="22.5" customHeight="1">
      <c r="A87" s="9"/>
      <c r="B87" s="16" t="s">
        <v>144</v>
      </c>
      <c r="C87" s="89" t="s">
        <v>151</v>
      </c>
      <c r="D87" s="104" t="s">
        <v>154</v>
      </c>
      <c r="E87" s="104"/>
      <c r="F87" s="104" t="s">
        <v>1130</v>
      </c>
      <c r="G87" s="104" t="s">
        <v>1131</v>
      </c>
      <c r="H87" s="12"/>
      <c r="I87" s="9"/>
      <c r="J87" s="9" t="s">
        <v>147</v>
      </c>
      <c r="K87" s="14"/>
      <c r="L87" s="14"/>
      <c r="M87" s="12">
        <v>3473</v>
      </c>
      <c r="N87" s="9"/>
      <c r="O87" s="9"/>
      <c r="P87" s="9"/>
      <c r="Q87" s="38">
        <f t="shared" si="9"/>
        <v>3473</v>
      </c>
      <c r="R87" s="12"/>
      <c r="S87" s="42"/>
      <c r="T87" s="15"/>
      <c r="U87" s="44"/>
      <c r="V87" s="15"/>
      <c r="W87" s="44"/>
      <c r="X87" s="15">
        <f t="shared" si="10"/>
        <v>0</v>
      </c>
      <c r="Y87" s="15"/>
      <c r="Z87" s="44"/>
      <c r="AA87" s="15"/>
      <c r="AB87" s="44"/>
      <c r="AC87" s="15"/>
      <c r="AD87" s="44"/>
      <c r="AE87" s="15"/>
      <c r="AF87" s="44"/>
      <c r="AG87" s="15">
        <f t="shared" si="11"/>
        <v>0</v>
      </c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/>
      <c r="BA87" s="42"/>
      <c r="BB87" s="15">
        <f t="shared" si="12"/>
        <v>0</v>
      </c>
      <c r="BC87" s="15"/>
      <c r="BD87" s="44"/>
      <c r="BE87" s="15"/>
      <c r="BF87" s="44"/>
      <c r="BG87" s="15">
        <f t="shared" si="13"/>
        <v>0</v>
      </c>
    </row>
    <row r="88" spans="1:59" s="8" customFormat="1" ht="22.5" customHeight="1">
      <c r="A88" s="9"/>
      <c r="B88" s="16" t="s">
        <v>155</v>
      </c>
      <c r="C88" s="89" t="s">
        <v>59</v>
      </c>
      <c r="D88" s="104" t="s">
        <v>156</v>
      </c>
      <c r="E88" s="104" t="s">
        <v>157</v>
      </c>
      <c r="F88" s="104" t="s">
        <v>1132</v>
      </c>
      <c r="G88" s="104" t="s">
        <v>1133</v>
      </c>
      <c r="H88" s="12"/>
      <c r="I88" s="9"/>
      <c r="J88" s="9" t="s">
        <v>158</v>
      </c>
      <c r="K88" s="14"/>
      <c r="L88" s="14"/>
      <c r="M88" s="12">
        <v>1516</v>
      </c>
      <c r="N88" s="9"/>
      <c r="O88" s="9"/>
      <c r="P88" s="9"/>
      <c r="Q88" s="38">
        <f t="shared" si="9"/>
        <v>1516</v>
      </c>
      <c r="R88" s="12"/>
      <c r="S88" s="42"/>
      <c r="T88" s="15"/>
      <c r="U88" s="44"/>
      <c r="V88" s="15"/>
      <c r="W88" s="44"/>
      <c r="X88" s="15">
        <f t="shared" si="10"/>
        <v>0</v>
      </c>
      <c r="Y88" s="15"/>
      <c r="Z88" s="44"/>
      <c r="AA88" s="15"/>
      <c r="AB88" s="44"/>
      <c r="AC88" s="15"/>
      <c r="AD88" s="44"/>
      <c r="AE88" s="15"/>
      <c r="AF88" s="44"/>
      <c r="AG88" s="15">
        <f t="shared" si="11"/>
        <v>0</v>
      </c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/>
      <c r="BA88" s="42"/>
      <c r="BB88" s="15">
        <f t="shared" si="12"/>
        <v>0</v>
      </c>
      <c r="BC88" s="15"/>
      <c r="BD88" s="44"/>
      <c r="BE88" s="15"/>
      <c r="BF88" s="44"/>
      <c r="BG88" s="15">
        <f t="shared" si="13"/>
        <v>0</v>
      </c>
    </row>
    <row r="89" spans="1:59" s="8" customFormat="1" ht="22.5" customHeight="1">
      <c r="A89" s="9"/>
      <c r="B89" s="16" t="s">
        <v>155</v>
      </c>
      <c r="C89" s="89" t="s">
        <v>48</v>
      </c>
      <c r="D89" s="104" t="s">
        <v>156</v>
      </c>
      <c r="E89" s="104" t="s">
        <v>159</v>
      </c>
      <c r="F89" s="104" t="s">
        <v>1134</v>
      </c>
      <c r="G89" s="104" t="s">
        <v>1135</v>
      </c>
      <c r="H89" s="12"/>
      <c r="I89" s="9"/>
      <c r="J89" s="9" t="s">
        <v>158</v>
      </c>
      <c r="K89" s="14"/>
      <c r="L89" s="14"/>
      <c r="M89" s="12"/>
      <c r="N89" s="9"/>
      <c r="O89" s="9"/>
      <c r="P89" s="9"/>
      <c r="Q89" s="38">
        <f t="shared" si="9"/>
        <v>0</v>
      </c>
      <c r="R89" s="12"/>
      <c r="S89" s="42"/>
      <c r="T89" s="15"/>
      <c r="U89" s="44"/>
      <c r="V89" s="15"/>
      <c r="W89" s="44"/>
      <c r="X89" s="15">
        <f t="shared" si="10"/>
        <v>0</v>
      </c>
      <c r="Y89" s="15"/>
      <c r="Z89" s="44"/>
      <c r="AA89" s="15"/>
      <c r="AB89" s="44"/>
      <c r="AC89" s="15"/>
      <c r="AD89" s="44"/>
      <c r="AE89" s="15"/>
      <c r="AF89" s="44"/>
      <c r="AG89" s="15">
        <f t="shared" si="11"/>
        <v>0</v>
      </c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/>
      <c r="BA89" s="42"/>
      <c r="BB89" s="15">
        <f t="shared" si="12"/>
        <v>0</v>
      </c>
      <c r="BC89" s="15"/>
      <c r="BD89" s="44"/>
      <c r="BE89" s="15"/>
      <c r="BF89" s="44"/>
      <c r="BG89" s="15">
        <f t="shared" si="13"/>
        <v>0</v>
      </c>
    </row>
    <row r="90" spans="1:59" s="8" customFormat="1" ht="22.5" customHeight="1">
      <c r="A90" s="9"/>
      <c r="B90" s="16" t="s">
        <v>155</v>
      </c>
      <c r="C90" s="89" t="s">
        <v>52</v>
      </c>
      <c r="D90" s="104" t="s">
        <v>156</v>
      </c>
      <c r="E90" s="104" t="s">
        <v>160</v>
      </c>
      <c r="F90" s="104" t="s">
        <v>1136</v>
      </c>
      <c r="G90" s="104" t="s">
        <v>1137</v>
      </c>
      <c r="H90" s="12"/>
      <c r="I90" s="9"/>
      <c r="J90" s="9" t="s">
        <v>158</v>
      </c>
      <c r="K90" s="14"/>
      <c r="L90" s="14"/>
      <c r="M90" s="12"/>
      <c r="N90" s="9"/>
      <c r="O90" s="9"/>
      <c r="P90" s="9"/>
      <c r="Q90" s="38">
        <f t="shared" si="9"/>
        <v>0</v>
      </c>
      <c r="R90" s="12"/>
      <c r="S90" s="42"/>
      <c r="T90" s="15"/>
      <c r="U90" s="44"/>
      <c r="V90" s="15"/>
      <c r="W90" s="44"/>
      <c r="X90" s="15">
        <f t="shared" si="10"/>
        <v>0</v>
      </c>
      <c r="Y90" s="15"/>
      <c r="Z90" s="44"/>
      <c r="AA90" s="15"/>
      <c r="AB90" s="44"/>
      <c r="AC90" s="15"/>
      <c r="AD90" s="44"/>
      <c r="AE90" s="15"/>
      <c r="AF90" s="44"/>
      <c r="AG90" s="15">
        <f t="shared" si="11"/>
        <v>0</v>
      </c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/>
      <c r="BA90" s="42"/>
      <c r="BB90" s="15">
        <f t="shared" si="12"/>
        <v>0</v>
      </c>
      <c r="BC90" s="15"/>
      <c r="BD90" s="44"/>
      <c r="BE90" s="15"/>
      <c r="BF90" s="44"/>
      <c r="BG90" s="15">
        <f t="shared" si="13"/>
        <v>0</v>
      </c>
    </row>
    <row r="91" spans="1:59" s="8" customFormat="1" ht="22.5" customHeight="1">
      <c r="A91" s="9"/>
      <c r="B91" s="16" t="s">
        <v>161</v>
      </c>
      <c r="C91" s="89" t="s">
        <v>151</v>
      </c>
      <c r="D91" s="104" t="s">
        <v>162</v>
      </c>
      <c r="E91" s="104" t="s">
        <v>163</v>
      </c>
      <c r="F91" s="104" t="s">
        <v>1138</v>
      </c>
      <c r="G91" s="104" t="s">
        <v>1139</v>
      </c>
      <c r="H91" s="12"/>
      <c r="I91" s="9"/>
      <c r="J91" s="9"/>
      <c r="K91" s="14"/>
      <c r="L91" s="14"/>
      <c r="M91" s="12"/>
      <c r="N91" s="9"/>
      <c r="O91" s="9"/>
      <c r="P91" s="9"/>
      <c r="Q91" s="38">
        <f t="shared" si="9"/>
        <v>0</v>
      </c>
      <c r="R91" s="12"/>
      <c r="S91" s="42"/>
      <c r="T91" s="15"/>
      <c r="U91" s="44"/>
      <c r="V91" s="15"/>
      <c r="W91" s="44"/>
      <c r="X91" s="15">
        <f t="shared" si="10"/>
        <v>0</v>
      </c>
      <c r="Y91" s="15"/>
      <c r="Z91" s="44"/>
      <c r="AA91" s="15"/>
      <c r="AB91" s="44"/>
      <c r="AC91" s="15"/>
      <c r="AD91" s="44"/>
      <c r="AE91" s="15"/>
      <c r="AF91" s="44"/>
      <c r="AG91" s="15">
        <f t="shared" si="11"/>
        <v>0</v>
      </c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/>
      <c r="BA91" s="42"/>
      <c r="BB91" s="15">
        <f t="shared" si="12"/>
        <v>0</v>
      </c>
      <c r="BC91" s="15"/>
      <c r="BD91" s="44"/>
      <c r="BE91" s="15"/>
      <c r="BF91" s="44"/>
      <c r="BG91" s="15">
        <f t="shared" si="13"/>
        <v>0</v>
      </c>
    </row>
    <row r="92" spans="1:59" s="8" customFormat="1" ht="22.5" customHeight="1">
      <c r="A92" s="9"/>
      <c r="B92" s="16" t="s">
        <v>129</v>
      </c>
      <c r="C92" s="89" t="s">
        <v>44</v>
      </c>
      <c r="D92" s="104" t="s">
        <v>164</v>
      </c>
      <c r="E92" s="104"/>
      <c r="F92" s="104" t="s">
        <v>1140</v>
      </c>
      <c r="G92" s="104" t="s">
        <v>1141</v>
      </c>
      <c r="H92" s="12"/>
      <c r="I92" s="9"/>
      <c r="J92" s="9"/>
      <c r="K92" s="14"/>
      <c r="L92" s="14"/>
      <c r="M92" s="12"/>
      <c r="N92" s="9"/>
      <c r="O92" s="9"/>
      <c r="P92" s="9"/>
      <c r="Q92" s="38">
        <f t="shared" si="9"/>
        <v>0</v>
      </c>
      <c r="R92" s="12"/>
      <c r="S92" s="42"/>
      <c r="T92" s="15"/>
      <c r="U92" s="44"/>
      <c r="V92" s="15"/>
      <c r="W92" s="44"/>
      <c r="X92" s="15">
        <f t="shared" si="10"/>
        <v>0</v>
      </c>
      <c r="Y92" s="15"/>
      <c r="Z92" s="44"/>
      <c r="AA92" s="15"/>
      <c r="AB92" s="44"/>
      <c r="AC92" s="15"/>
      <c r="AD92" s="44"/>
      <c r="AE92" s="15"/>
      <c r="AF92" s="44"/>
      <c r="AG92" s="15">
        <f t="shared" si="11"/>
        <v>0</v>
      </c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/>
      <c r="BA92" s="42"/>
      <c r="BB92" s="15">
        <f t="shared" si="12"/>
        <v>0</v>
      </c>
      <c r="BC92" s="15"/>
      <c r="BD92" s="44"/>
      <c r="BE92" s="15"/>
      <c r="BF92" s="44"/>
      <c r="BG92" s="15">
        <f t="shared" si="13"/>
        <v>0</v>
      </c>
    </row>
    <row r="93" spans="1:59" s="8" customFormat="1" ht="22.5" customHeight="1">
      <c r="A93" s="9"/>
      <c r="B93" s="16" t="s">
        <v>129</v>
      </c>
      <c r="C93" s="89" t="s">
        <v>165</v>
      </c>
      <c r="D93" s="104" t="s">
        <v>166</v>
      </c>
      <c r="E93" s="104"/>
      <c r="F93" s="104" t="s">
        <v>1142</v>
      </c>
      <c r="G93" s="104" t="s">
        <v>1143</v>
      </c>
      <c r="H93" s="12"/>
      <c r="I93" s="9"/>
      <c r="J93" s="9"/>
      <c r="K93" s="14"/>
      <c r="L93" s="14"/>
      <c r="M93" s="12"/>
      <c r="N93" s="9"/>
      <c r="O93" s="9"/>
      <c r="P93" s="9"/>
      <c r="Q93" s="38">
        <f t="shared" si="9"/>
        <v>0</v>
      </c>
      <c r="R93" s="12"/>
      <c r="S93" s="42"/>
      <c r="T93" s="15"/>
      <c r="U93" s="44"/>
      <c r="V93" s="15"/>
      <c r="W93" s="44"/>
      <c r="X93" s="15">
        <f t="shared" si="10"/>
        <v>0</v>
      </c>
      <c r="Y93" s="15"/>
      <c r="Z93" s="44"/>
      <c r="AA93" s="15"/>
      <c r="AB93" s="44"/>
      <c r="AC93" s="15"/>
      <c r="AD93" s="44"/>
      <c r="AE93" s="15"/>
      <c r="AF93" s="44"/>
      <c r="AG93" s="15">
        <f t="shared" si="11"/>
        <v>0</v>
      </c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/>
      <c r="BA93" s="42"/>
      <c r="BB93" s="15">
        <f t="shared" si="12"/>
        <v>0</v>
      </c>
      <c r="BC93" s="15"/>
      <c r="BD93" s="44"/>
      <c r="BE93" s="15"/>
      <c r="BF93" s="44"/>
      <c r="BG93" s="15">
        <f t="shared" si="13"/>
        <v>0</v>
      </c>
    </row>
    <row r="94" spans="1:59" s="8" customFormat="1" ht="22.5" customHeight="1">
      <c r="A94" s="9"/>
      <c r="B94" s="16" t="s">
        <v>129</v>
      </c>
      <c r="C94" s="89" t="s">
        <v>44</v>
      </c>
      <c r="D94" s="104" t="s">
        <v>167</v>
      </c>
      <c r="E94" s="104" t="s">
        <v>1144</v>
      </c>
      <c r="F94" s="104" t="s">
        <v>1145</v>
      </c>
      <c r="G94" s="104" t="s">
        <v>1146</v>
      </c>
      <c r="H94" s="12"/>
      <c r="I94" s="9"/>
      <c r="J94" s="9" t="s">
        <v>131</v>
      </c>
      <c r="K94" s="14"/>
      <c r="L94" s="14"/>
      <c r="M94" s="12">
        <v>124</v>
      </c>
      <c r="N94" s="9"/>
      <c r="O94" s="9"/>
      <c r="P94" s="9"/>
      <c r="Q94" s="38">
        <f t="shared" si="9"/>
        <v>124</v>
      </c>
      <c r="R94" s="12"/>
      <c r="S94" s="42"/>
      <c r="T94" s="15"/>
      <c r="U94" s="44"/>
      <c r="V94" s="15"/>
      <c r="W94" s="44"/>
      <c r="X94" s="15">
        <f t="shared" si="10"/>
        <v>0</v>
      </c>
      <c r="Y94" s="15"/>
      <c r="Z94" s="44"/>
      <c r="AA94" s="15"/>
      <c r="AB94" s="44"/>
      <c r="AC94" s="15"/>
      <c r="AD94" s="44"/>
      <c r="AE94" s="15"/>
      <c r="AF94" s="44"/>
      <c r="AG94" s="15">
        <f t="shared" si="11"/>
        <v>0</v>
      </c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/>
      <c r="BA94" s="42"/>
      <c r="BB94" s="15">
        <f t="shared" si="12"/>
        <v>0</v>
      </c>
      <c r="BC94" s="15"/>
      <c r="BD94" s="44"/>
      <c r="BE94" s="15"/>
      <c r="BF94" s="44"/>
      <c r="BG94" s="15">
        <f t="shared" si="13"/>
        <v>0</v>
      </c>
    </row>
    <row r="95" spans="1:59" s="8" customFormat="1" ht="22.5" customHeight="1">
      <c r="A95" s="9"/>
      <c r="B95" s="16" t="s">
        <v>129</v>
      </c>
      <c r="C95" s="89" t="s">
        <v>132</v>
      </c>
      <c r="D95" s="104" t="s">
        <v>170</v>
      </c>
      <c r="E95" s="104"/>
      <c r="F95" s="104" t="s">
        <v>1147</v>
      </c>
      <c r="G95" s="104" t="s">
        <v>1148</v>
      </c>
      <c r="H95" s="12"/>
      <c r="I95" s="9"/>
      <c r="J95" s="9" t="s">
        <v>67</v>
      </c>
      <c r="K95" s="14"/>
      <c r="L95" s="14"/>
      <c r="M95" s="12">
        <v>1053</v>
      </c>
      <c r="N95" s="9"/>
      <c r="O95" s="9"/>
      <c r="P95" s="9"/>
      <c r="Q95" s="38">
        <f t="shared" si="9"/>
        <v>1053</v>
      </c>
      <c r="R95" s="12"/>
      <c r="S95" s="42"/>
      <c r="T95" s="15"/>
      <c r="U95" s="44"/>
      <c r="V95" s="15"/>
      <c r="W95" s="44"/>
      <c r="X95" s="15">
        <f t="shared" si="10"/>
        <v>0</v>
      </c>
      <c r="Y95" s="15"/>
      <c r="Z95" s="44"/>
      <c r="AA95" s="15"/>
      <c r="AB95" s="44"/>
      <c r="AC95" s="15"/>
      <c r="AD95" s="44"/>
      <c r="AE95" s="15"/>
      <c r="AF95" s="44"/>
      <c r="AG95" s="15">
        <f t="shared" si="11"/>
        <v>0</v>
      </c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/>
      <c r="BA95" s="42"/>
      <c r="BB95" s="15">
        <f t="shared" si="12"/>
        <v>0</v>
      </c>
      <c r="BC95" s="15"/>
      <c r="BD95" s="44"/>
      <c r="BE95" s="15"/>
      <c r="BF95" s="44"/>
      <c r="BG95" s="15">
        <f t="shared" si="13"/>
        <v>0</v>
      </c>
    </row>
    <row r="96" spans="1:59" s="8" customFormat="1" ht="22.5" customHeight="1">
      <c r="A96" s="9"/>
      <c r="B96" s="16" t="s">
        <v>129</v>
      </c>
      <c r="C96" s="89" t="s">
        <v>48</v>
      </c>
      <c r="D96" s="104" t="s">
        <v>169</v>
      </c>
      <c r="E96" s="104"/>
      <c r="F96" s="104" t="s">
        <v>1149</v>
      </c>
      <c r="G96" s="104" t="s">
        <v>1150</v>
      </c>
      <c r="H96" s="12"/>
      <c r="I96" s="9"/>
      <c r="J96" s="9" t="s">
        <v>131</v>
      </c>
      <c r="K96" s="14"/>
      <c r="L96" s="14"/>
      <c r="M96" s="12">
        <v>0</v>
      </c>
      <c r="N96" s="9"/>
      <c r="O96" s="9"/>
      <c r="P96" s="9"/>
      <c r="Q96" s="38">
        <f t="shared" si="9"/>
        <v>0</v>
      </c>
      <c r="R96" s="12"/>
      <c r="S96" s="42"/>
      <c r="T96" s="15"/>
      <c r="U96" s="44"/>
      <c r="V96" s="15"/>
      <c r="W96" s="44"/>
      <c r="X96" s="15">
        <f t="shared" si="10"/>
        <v>0</v>
      </c>
      <c r="Y96" s="15"/>
      <c r="Z96" s="44"/>
      <c r="AA96" s="15"/>
      <c r="AB96" s="44"/>
      <c r="AC96" s="15"/>
      <c r="AD96" s="44"/>
      <c r="AE96" s="15"/>
      <c r="AF96" s="44"/>
      <c r="AG96" s="15">
        <f t="shared" si="11"/>
        <v>0</v>
      </c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/>
      <c r="BA96" s="42"/>
      <c r="BB96" s="15">
        <f t="shared" si="12"/>
        <v>0</v>
      </c>
      <c r="BC96" s="15"/>
      <c r="BD96" s="44"/>
      <c r="BE96" s="15"/>
      <c r="BF96" s="44"/>
      <c r="BG96" s="15">
        <f t="shared" si="13"/>
        <v>0</v>
      </c>
    </row>
    <row r="97" spans="1:59" s="8" customFormat="1" ht="22.5" customHeight="1">
      <c r="A97" s="9"/>
      <c r="B97" s="16" t="s">
        <v>129</v>
      </c>
      <c r="C97" s="89" t="s">
        <v>50</v>
      </c>
      <c r="D97" s="104" t="s">
        <v>170</v>
      </c>
      <c r="E97" s="104" t="s">
        <v>1151</v>
      </c>
      <c r="F97" s="104" t="s">
        <v>1152</v>
      </c>
      <c r="G97" s="104" t="s">
        <v>1153</v>
      </c>
      <c r="H97" s="12"/>
      <c r="I97" s="9"/>
      <c r="J97" s="9" t="s">
        <v>131</v>
      </c>
      <c r="K97" s="14"/>
      <c r="L97" s="14"/>
      <c r="M97" s="12">
        <v>80</v>
      </c>
      <c r="N97" s="9"/>
      <c r="O97" s="9"/>
      <c r="P97" s="9"/>
      <c r="Q97" s="38">
        <f t="shared" si="9"/>
        <v>80</v>
      </c>
      <c r="R97" s="12"/>
      <c r="S97" s="42"/>
      <c r="T97" s="15"/>
      <c r="U97" s="44"/>
      <c r="V97" s="15"/>
      <c r="W97" s="44"/>
      <c r="X97" s="15">
        <f t="shared" si="10"/>
        <v>0</v>
      </c>
      <c r="Y97" s="15"/>
      <c r="Z97" s="44"/>
      <c r="AA97" s="15"/>
      <c r="AB97" s="44"/>
      <c r="AC97" s="15"/>
      <c r="AD97" s="44"/>
      <c r="AE97" s="15"/>
      <c r="AF97" s="44"/>
      <c r="AG97" s="15">
        <f t="shared" si="11"/>
        <v>0</v>
      </c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/>
      <c r="BA97" s="42"/>
      <c r="BB97" s="15">
        <f t="shared" si="12"/>
        <v>0</v>
      </c>
      <c r="BC97" s="15"/>
      <c r="BD97" s="44"/>
      <c r="BE97" s="15"/>
      <c r="BF97" s="44"/>
      <c r="BG97" s="15">
        <f t="shared" si="13"/>
        <v>0</v>
      </c>
    </row>
    <row r="98" spans="1:59" s="8" customFormat="1" ht="22.5" customHeight="1">
      <c r="A98" s="9"/>
      <c r="B98" s="16" t="s">
        <v>129</v>
      </c>
      <c r="C98" s="89" t="s">
        <v>52</v>
      </c>
      <c r="D98" s="104" t="s">
        <v>171</v>
      </c>
      <c r="E98" s="104"/>
      <c r="F98" s="104" t="s">
        <v>1154</v>
      </c>
      <c r="G98" s="104" t="s">
        <v>1155</v>
      </c>
      <c r="H98" s="12"/>
      <c r="I98" s="9"/>
      <c r="J98" s="9" t="s">
        <v>131</v>
      </c>
      <c r="K98" s="14"/>
      <c r="L98" s="14"/>
      <c r="M98" s="12"/>
      <c r="N98" s="9"/>
      <c r="O98" s="9"/>
      <c r="P98" s="9"/>
      <c r="Q98" s="38">
        <f t="shared" si="9"/>
        <v>0</v>
      </c>
      <c r="R98" s="12"/>
      <c r="S98" s="42"/>
      <c r="T98" s="15"/>
      <c r="U98" s="44"/>
      <c r="V98" s="15"/>
      <c r="W98" s="44"/>
      <c r="X98" s="15">
        <f t="shared" si="10"/>
        <v>0</v>
      </c>
      <c r="Y98" s="15"/>
      <c r="Z98" s="44"/>
      <c r="AA98" s="15"/>
      <c r="AB98" s="44"/>
      <c r="AC98" s="15"/>
      <c r="AD98" s="44"/>
      <c r="AE98" s="15"/>
      <c r="AF98" s="44"/>
      <c r="AG98" s="15">
        <f t="shared" si="11"/>
        <v>0</v>
      </c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/>
      <c r="BA98" s="42"/>
      <c r="BB98" s="15">
        <f t="shared" si="12"/>
        <v>0</v>
      </c>
      <c r="BC98" s="15"/>
      <c r="BD98" s="44"/>
      <c r="BE98" s="15"/>
      <c r="BF98" s="44"/>
      <c r="BG98" s="15">
        <f t="shared" si="13"/>
        <v>0</v>
      </c>
    </row>
    <row r="99" spans="1:59" s="8" customFormat="1" ht="22.5" customHeight="1">
      <c r="A99" s="9"/>
      <c r="B99" s="16" t="s">
        <v>172</v>
      </c>
      <c r="C99" s="89" t="s">
        <v>132</v>
      </c>
      <c r="D99" s="104" t="s">
        <v>1156</v>
      </c>
      <c r="E99" s="104"/>
      <c r="F99" s="104" t="s">
        <v>1157</v>
      </c>
      <c r="G99" s="104" t="s">
        <v>1158</v>
      </c>
      <c r="H99" s="12"/>
      <c r="I99" s="9"/>
      <c r="J99" s="9" t="s">
        <v>67</v>
      </c>
      <c r="K99" s="14"/>
      <c r="L99" s="14"/>
      <c r="M99" s="12">
        <v>161</v>
      </c>
      <c r="N99" s="9"/>
      <c r="O99" s="9"/>
      <c r="P99" s="9"/>
      <c r="Q99" s="38">
        <f t="shared" si="9"/>
        <v>161</v>
      </c>
      <c r="R99" s="12"/>
      <c r="S99" s="42"/>
      <c r="T99" s="15"/>
      <c r="U99" s="44"/>
      <c r="V99" s="15"/>
      <c r="W99" s="44"/>
      <c r="X99" s="15">
        <f t="shared" si="10"/>
        <v>0</v>
      </c>
      <c r="Y99" s="15"/>
      <c r="Z99" s="44"/>
      <c r="AA99" s="15"/>
      <c r="AB99" s="44"/>
      <c r="AC99" s="15"/>
      <c r="AD99" s="44"/>
      <c r="AE99" s="15"/>
      <c r="AF99" s="44"/>
      <c r="AG99" s="15">
        <f t="shared" si="11"/>
        <v>0</v>
      </c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/>
      <c r="BA99" s="42"/>
      <c r="BB99" s="15">
        <f t="shared" si="12"/>
        <v>0</v>
      </c>
      <c r="BC99" s="15"/>
      <c r="BD99" s="44"/>
      <c r="BE99" s="15"/>
      <c r="BF99" s="44"/>
      <c r="BG99" s="15">
        <v>0</v>
      </c>
    </row>
    <row r="100" spans="1:59" s="8" customFormat="1" ht="22.5" customHeight="1">
      <c r="A100" s="9"/>
      <c r="B100" s="16" t="s">
        <v>172</v>
      </c>
      <c r="C100" s="89" t="s">
        <v>132</v>
      </c>
      <c r="D100" s="104" t="s">
        <v>1159</v>
      </c>
      <c r="E100" s="104"/>
      <c r="F100" s="104" t="s">
        <v>1160</v>
      </c>
      <c r="G100" s="104" t="s">
        <v>1161</v>
      </c>
      <c r="H100" s="12"/>
      <c r="I100" s="9"/>
      <c r="J100" s="9" t="s">
        <v>67</v>
      </c>
      <c r="K100" s="14"/>
      <c r="L100" s="14"/>
      <c r="M100" s="12">
        <v>98</v>
      </c>
      <c r="N100" s="9"/>
      <c r="O100" s="9"/>
      <c r="P100" s="9"/>
      <c r="Q100" s="38">
        <f t="shared" si="9"/>
        <v>98</v>
      </c>
      <c r="R100" s="12"/>
      <c r="S100" s="42"/>
      <c r="T100" s="15"/>
      <c r="U100" s="44"/>
      <c r="V100" s="15"/>
      <c r="W100" s="44"/>
      <c r="X100" s="15">
        <f t="shared" si="10"/>
        <v>0</v>
      </c>
      <c r="Y100" s="15"/>
      <c r="Z100" s="44"/>
      <c r="AA100" s="15"/>
      <c r="AB100" s="44"/>
      <c r="AC100" s="15"/>
      <c r="AD100" s="44"/>
      <c r="AE100" s="15"/>
      <c r="AF100" s="44"/>
      <c r="AG100" s="15">
        <f t="shared" si="11"/>
        <v>0</v>
      </c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/>
      <c r="BA100" s="42"/>
      <c r="BB100" s="15">
        <f t="shared" si="12"/>
        <v>0</v>
      </c>
      <c r="BC100" s="15"/>
      <c r="BD100" s="44"/>
      <c r="BE100" s="15"/>
      <c r="BF100" s="44"/>
      <c r="BG100" s="15">
        <f t="shared" ref="BG100:BG131" si="14">(BC100+BE100)</f>
        <v>0</v>
      </c>
    </row>
    <row r="101" spans="1:59" s="8" customFormat="1" ht="22.5" customHeight="1">
      <c r="A101" s="9"/>
      <c r="B101" s="16" t="s">
        <v>172</v>
      </c>
      <c r="C101" s="89" t="s">
        <v>132</v>
      </c>
      <c r="D101" s="104" t="s">
        <v>1162</v>
      </c>
      <c r="E101" s="104" t="s">
        <v>176</v>
      </c>
      <c r="F101" s="104" t="s">
        <v>1163</v>
      </c>
      <c r="G101" s="104" t="s">
        <v>1164</v>
      </c>
      <c r="H101" s="12"/>
      <c r="I101" s="9"/>
      <c r="J101" s="9" t="s">
        <v>67</v>
      </c>
      <c r="K101" s="14"/>
      <c r="L101" s="14"/>
      <c r="M101" s="12">
        <v>164</v>
      </c>
      <c r="N101" s="9"/>
      <c r="O101" s="9"/>
      <c r="P101" s="9"/>
      <c r="Q101" s="38">
        <f t="shared" si="9"/>
        <v>164</v>
      </c>
      <c r="R101" s="12"/>
      <c r="S101" s="42"/>
      <c r="T101" s="15"/>
      <c r="U101" s="44"/>
      <c r="V101" s="15"/>
      <c r="W101" s="44"/>
      <c r="X101" s="15">
        <f t="shared" si="10"/>
        <v>0</v>
      </c>
      <c r="Y101" s="15"/>
      <c r="Z101" s="44"/>
      <c r="AA101" s="15"/>
      <c r="AB101" s="44"/>
      <c r="AC101" s="15"/>
      <c r="AD101" s="44"/>
      <c r="AE101" s="15"/>
      <c r="AF101" s="44"/>
      <c r="AG101" s="15">
        <f t="shared" si="11"/>
        <v>0</v>
      </c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/>
      <c r="BA101" s="42"/>
      <c r="BB101" s="15">
        <f t="shared" si="12"/>
        <v>0</v>
      </c>
      <c r="BC101" s="15"/>
      <c r="BD101" s="44"/>
      <c r="BE101" s="15"/>
      <c r="BF101" s="44"/>
      <c r="BG101" s="15">
        <f t="shared" si="14"/>
        <v>0</v>
      </c>
    </row>
    <row r="102" spans="1:59" s="8" customFormat="1" ht="22.5" customHeight="1">
      <c r="A102" s="9"/>
      <c r="B102" s="16" t="s">
        <v>172</v>
      </c>
      <c r="C102" s="89" t="s">
        <v>132</v>
      </c>
      <c r="D102" s="104" t="s">
        <v>177</v>
      </c>
      <c r="E102" s="104"/>
      <c r="F102" s="104" t="s">
        <v>1165</v>
      </c>
      <c r="G102" s="104" t="s">
        <v>1166</v>
      </c>
      <c r="H102" s="12"/>
      <c r="I102" s="9"/>
      <c r="J102" s="9" t="s">
        <v>67</v>
      </c>
      <c r="K102" s="14"/>
      <c r="L102" s="14"/>
      <c r="M102" s="12">
        <v>300</v>
      </c>
      <c r="N102" s="9"/>
      <c r="O102" s="9"/>
      <c r="P102" s="9"/>
      <c r="Q102" s="38">
        <f t="shared" si="9"/>
        <v>300</v>
      </c>
      <c r="R102" s="12"/>
      <c r="S102" s="42"/>
      <c r="T102" s="15"/>
      <c r="U102" s="44"/>
      <c r="V102" s="15"/>
      <c r="W102" s="44"/>
      <c r="X102" s="15">
        <f t="shared" si="10"/>
        <v>0</v>
      </c>
      <c r="Y102" s="15"/>
      <c r="Z102" s="44"/>
      <c r="AA102" s="15"/>
      <c r="AB102" s="44"/>
      <c r="AC102" s="15"/>
      <c r="AD102" s="44"/>
      <c r="AE102" s="15"/>
      <c r="AF102" s="44"/>
      <c r="AG102" s="15">
        <f t="shared" si="11"/>
        <v>0</v>
      </c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/>
      <c r="BA102" s="42"/>
      <c r="BB102" s="15">
        <f t="shared" si="12"/>
        <v>0</v>
      </c>
      <c r="BC102" s="15"/>
      <c r="BD102" s="44"/>
      <c r="BE102" s="15"/>
      <c r="BF102" s="44"/>
      <c r="BG102" s="15">
        <f t="shared" si="14"/>
        <v>0</v>
      </c>
    </row>
    <row r="103" spans="1:59" s="8" customFormat="1" ht="22.5" customHeight="1">
      <c r="A103" s="9"/>
      <c r="B103" s="16" t="s">
        <v>172</v>
      </c>
      <c r="C103" s="89" t="s">
        <v>132</v>
      </c>
      <c r="D103" s="104" t="s">
        <v>178</v>
      </c>
      <c r="E103" s="104" t="s">
        <v>179</v>
      </c>
      <c r="F103" s="104" t="s">
        <v>1167</v>
      </c>
      <c r="G103" s="104" t="s">
        <v>1168</v>
      </c>
      <c r="H103" s="12"/>
      <c r="I103" s="9"/>
      <c r="J103" s="9" t="s">
        <v>67</v>
      </c>
      <c r="K103" s="14"/>
      <c r="L103" s="14"/>
      <c r="M103" s="12">
        <v>101</v>
      </c>
      <c r="N103" s="9"/>
      <c r="O103" s="9"/>
      <c r="P103" s="9"/>
      <c r="Q103" s="38">
        <f t="shared" si="9"/>
        <v>101</v>
      </c>
      <c r="R103" s="12"/>
      <c r="S103" s="42"/>
      <c r="T103" s="15"/>
      <c r="U103" s="44"/>
      <c r="V103" s="15"/>
      <c r="W103" s="44"/>
      <c r="X103" s="15">
        <f t="shared" si="10"/>
        <v>0</v>
      </c>
      <c r="Y103" s="15"/>
      <c r="Z103" s="44"/>
      <c r="AA103" s="15"/>
      <c r="AB103" s="44"/>
      <c r="AC103" s="15"/>
      <c r="AD103" s="44"/>
      <c r="AE103" s="15"/>
      <c r="AF103" s="44"/>
      <c r="AG103" s="15">
        <f t="shared" si="11"/>
        <v>0</v>
      </c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/>
      <c r="BA103" s="42"/>
      <c r="BB103" s="15">
        <f t="shared" si="12"/>
        <v>0</v>
      </c>
      <c r="BC103" s="15"/>
      <c r="BD103" s="44"/>
      <c r="BE103" s="15"/>
      <c r="BF103" s="44"/>
      <c r="BG103" s="15">
        <f t="shared" si="14"/>
        <v>0</v>
      </c>
    </row>
    <row r="104" spans="1:59" s="8" customFormat="1" ht="22.5" customHeight="1">
      <c r="A104" s="9"/>
      <c r="B104" s="16" t="s">
        <v>172</v>
      </c>
      <c r="C104" s="89" t="s">
        <v>132</v>
      </c>
      <c r="D104" s="104" t="s">
        <v>180</v>
      </c>
      <c r="E104" s="104"/>
      <c r="F104" s="104" t="s">
        <v>1169</v>
      </c>
      <c r="G104" s="104" t="s">
        <v>1170</v>
      </c>
      <c r="H104" s="12"/>
      <c r="I104" s="9"/>
      <c r="J104" s="9" t="s">
        <v>67</v>
      </c>
      <c r="K104" s="14"/>
      <c r="L104" s="14"/>
      <c r="M104" s="12"/>
      <c r="N104" s="9"/>
      <c r="O104" s="9"/>
      <c r="P104" s="9"/>
      <c r="Q104" s="38">
        <f t="shared" si="9"/>
        <v>0</v>
      </c>
      <c r="R104" s="12"/>
      <c r="S104" s="42"/>
      <c r="T104" s="15"/>
      <c r="U104" s="44"/>
      <c r="V104" s="15"/>
      <c r="W104" s="44"/>
      <c r="X104" s="15">
        <f t="shared" si="10"/>
        <v>0</v>
      </c>
      <c r="Y104" s="15"/>
      <c r="Z104" s="44"/>
      <c r="AA104" s="15"/>
      <c r="AB104" s="44"/>
      <c r="AC104" s="15"/>
      <c r="AD104" s="44"/>
      <c r="AE104" s="15"/>
      <c r="AF104" s="44"/>
      <c r="AG104" s="15">
        <f t="shared" si="11"/>
        <v>0</v>
      </c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/>
      <c r="BA104" s="42"/>
      <c r="BB104" s="15">
        <f t="shared" si="12"/>
        <v>0</v>
      </c>
      <c r="BC104" s="15"/>
      <c r="BD104" s="44"/>
      <c r="BE104" s="15"/>
      <c r="BF104" s="44"/>
      <c r="BG104" s="15">
        <f t="shared" si="14"/>
        <v>0</v>
      </c>
    </row>
    <row r="105" spans="1:59" s="8" customFormat="1" ht="22.5" customHeight="1">
      <c r="A105" s="9"/>
      <c r="B105" s="16" t="s">
        <v>172</v>
      </c>
      <c r="C105" s="89" t="s">
        <v>132</v>
      </c>
      <c r="D105" s="104" t="s">
        <v>181</v>
      </c>
      <c r="E105" s="104"/>
      <c r="F105" s="104" t="s">
        <v>1171</v>
      </c>
      <c r="G105" s="104" t="s">
        <v>1172</v>
      </c>
      <c r="H105" s="12"/>
      <c r="I105" s="9"/>
      <c r="J105" s="9" t="s">
        <v>67</v>
      </c>
      <c r="K105" s="14"/>
      <c r="L105" s="14"/>
      <c r="M105" s="12"/>
      <c r="N105" s="9"/>
      <c r="O105" s="9"/>
      <c r="P105" s="9"/>
      <c r="Q105" s="38">
        <f t="shared" si="9"/>
        <v>0</v>
      </c>
      <c r="R105" s="12"/>
      <c r="S105" s="42"/>
      <c r="T105" s="15"/>
      <c r="U105" s="44"/>
      <c r="V105" s="15"/>
      <c r="W105" s="44"/>
      <c r="X105" s="15">
        <f t="shared" si="10"/>
        <v>0</v>
      </c>
      <c r="Y105" s="15"/>
      <c r="Z105" s="44"/>
      <c r="AA105" s="15"/>
      <c r="AB105" s="44"/>
      <c r="AC105" s="15"/>
      <c r="AD105" s="44"/>
      <c r="AE105" s="15"/>
      <c r="AF105" s="44"/>
      <c r="AG105" s="15">
        <f t="shared" si="11"/>
        <v>0</v>
      </c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/>
      <c r="BA105" s="42"/>
      <c r="BB105" s="15">
        <f t="shared" si="12"/>
        <v>0</v>
      </c>
      <c r="BC105" s="15"/>
      <c r="BD105" s="44"/>
      <c r="BE105" s="15"/>
      <c r="BF105" s="44"/>
      <c r="BG105" s="15">
        <f t="shared" si="14"/>
        <v>0</v>
      </c>
    </row>
    <row r="106" spans="1:59" s="8" customFormat="1" ht="22.5" customHeight="1">
      <c r="A106" s="9"/>
      <c r="B106" s="16" t="s">
        <v>172</v>
      </c>
      <c r="C106" s="89" t="s">
        <v>132</v>
      </c>
      <c r="D106" s="104" t="s">
        <v>182</v>
      </c>
      <c r="E106" s="104"/>
      <c r="F106" s="104" t="s">
        <v>1173</v>
      </c>
      <c r="G106" s="104" t="s">
        <v>1174</v>
      </c>
      <c r="H106" s="12"/>
      <c r="I106" s="9"/>
      <c r="J106" s="9" t="s">
        <v>67</v>
      </c>
      <c r="K106" s="14"/>
      <c r="L106" s="14"/>
      <c r="M106" s="12">
        <v>335</v>
      </c>
      <c r="N106" s="9"/>
      <c r="O106" s="9"/>
      <c r="P106" s="9"/>
      <c r="Q106" s="38">
        <f t="shared" si="9"/>
        <v>335</v>
      </c>
      <c r="R106" s="12"/>
      <c r="S106" s="42"/>
      <c r="T106" s="15"/>
      <c r="U106" s="44"/>
      <c r="V106" s="15"/>
      <c r="W106" s="44"/>
      <c r="X106" s="15">
        <f t="shared" si="10"/>
        <v>0</v>
      </c>
      <c r="Y106" s="15"/>
      <c r="Z106" s="44"/>
      <c r="AA106" s="15"/>
      <c r="AB106" s="44"/>
      <c r="AC106" s="15"/>
      <c r="AD106" s="44"/>
      <c r="AE106" s="15"/>
      <c r="AF106" s="44"/>
      <c r="AG106" s="15">
        <f t="shared" si="11"/>
        <v>0</v>
      </c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/>
      <c r="BA106" s="42"/>
      <c r="BB106" s="15">
        <f t="shared" ref="BB106:BB137" si="15">AH106+AJ106+AL106+AN106+AP106+AR106+AT106+AV106+AX106+AZ106</f>
        <v>0</v>
      </c>
      <c r="BC106" s="15"/>
      <c r="BD106" s="44"/>
      <c r="BE106" s="15"/>
      <c r="BF106" s="44"/>
      <c r="BG106" s="15">
        <f t="shared" si="14"/>
        <v>0</v>
      </c>
    </row>
    <row r="107" spans="1:59" s="8" customFormat="1" ht="22.5" customHeight="1">
      <c r="A107" s="9"/>
      <c r="B107" s="16" t="s">
        <v>172</v>
      </c>
      <c r="C107" s="89" t="s">
        <v>132</v>
      </c>
      <c r="D107" s="104" t="s">
        <v>183</v>
      </c>
      <c r="E107" s="104"/>
      <c r="F107" s="104" t="s">
        <v>1175</v>
      </c>
      <c r="G107" s="104" t="s">
        <v>1176</v>
      </c>
      <c r="H107" s="12"/>
      <c r="I107" s="9"/>
      <c r="J107" s="9" t="s">
        <v>67</v>
      </c>
      <c r="K107" s="14"/>
      <c r="L107" s="14"/>
      <c r="M107" s="12">
        <v>335</v>
      </c>
      <c r="N107" s="9"/>
      <c r="O107" s="9"/>
      <c r="P107" s="9"/>
      <c r="Q107" s="38">
        <f t="shared" si="9"/>
        <v>335</v>
      </c>
      <c r="R107" s="12"/>
      <c r="S107" s="42"/>
      <c r="T107" s="15"/>
      <c r="U107" s="44"/>
      <c r="V107" s="15"/>
      <c r="W107" s="44"/>
      <c r="X107" s="15">
        <f t="shared" si="10"/>
        <v>0</v>
      </c>
      <c r="Y107" s="15"/>
      <c r="Z107" s="44"/>
      <c r="AA107" s="15"/>
      <c r="AB107" s="44"/>
      <c r="AC107" s="15"/>
      <c r="AD107" s="44"/>
      <c r="AE107" s="15"/>
      <c r="AF107" s="44"/>
      <c r="AG107" s="15">
        <f t="shared" si="11"/>
        <v>0</v>
      </c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/>
      <c r="BA107" s="42"/>
      <c r="BB107" s="15">
        <f t="shared" si="15"/>
        <v>0</v>
      </c>
      <c r="BC107" s="15"/>
      <c r="BD107" s="44"/>
      <c r="BE107" s="15"/>
      <c r="BF107" s="44"/>
      <c r="BG107" s="15">
        <f t="shared" si="14"/>
        <v>0</v>
      </c>
    </row>
    <row r="108" spans="1:59" s="8" customFormat="1" ht="22.5" customHeight="1">
      <c r="A108" s="9"/>
      <c r="B108" s="16" t="s">
        <v>172</v>
      </c>
      <c r="C108" s="89" t="s">
        <v>132</v>
      </c>
      <c r="D108" s="104" t="s">
        <v>184</v>
      </c>
      <c r="E108" s="104"/>
      <c r="F108" s="104" t="s">
        <v>1177</v>
      </c>
      <c r="G108" s="104" t="s">
        <v>1178</v>
      </c>
      <c r="H108" s="12"/>
      <c r="I108" s="9"/>
      <c r="J108" s="9" t="s">
        <v>67</v>
      </c>
      <c r="K108" s="14"/>
      <c r="L108" s="14"/>
      <c r="M108" s="12">
        <v>58</v>
      </c>
      <c r="N108" s="9"/>
      <c r="O108" s="9"/>
      <c r="P108" s="9"/>
      <c r="Q108" s="38">
        <f t="shared" si="9"/>
        <v>58</v>
      </c>
      <c r="R108" s="12"/>
      <c r="S108" s="42"/>
      <c r="T108" s="15"/>
      <c r="U108" s="44"/>
      <c r="V108" s="15"/>
      <c r="W108" s="44"/>
      <c r="X108" s="15">
        <f t="shared" si="10"/>
        <v>0</v>
      </c>
      <c r="Y108" s="15"/>
      <c r="Z108" s="44"/>
      <c r="AA108" s="15"/>
      <c r="AB108" s="44"/>
      <c r="AC108" s="15"/>
      <c r="AD108" s="44"/>
      <c r="AE108" s="15"/>
      <c r="AF108" s="44"/>
      <c r="AG108" s="15">
        <f t="shared" si="11"/>
        <v>0</v>
      </c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/>
      <c r="BA108" s="42"/>
      <c r="BB108" s="15">
        <f t="shared" si="15"/>
        <v>0</v>
      </c>
      <c r="BC108" s="15"/>
      <c r="BD108" s="44"/>
      <c r="BE108" s="15"/>
      <c r="BF108" s="44"/>
      <c r="BG108" s="15">
        <f t="shared" si="14"/>
        <v>0</v>
      </c>
    </row>
    <row r="109" spans="1:59" s="8" customFormat="1" ht="22.5" customHeight="1">
      <c r="A109" s="9"/>
      <c r="B109" s="16" t="s">
        <v>172</v>
      </c>
      <c r="C109" s="89" t="s">
        <v>132</v>
      </c>
      <c r="D109" s="104" t="s">
        <v>185</v>
      </c>
      <c r="E109" s="104"/>
      <c r="F109" s="104" t="s">
        <v>1179</v>
      </c>
      <c r="G109" s="104" t="s">
        <v>1180</v>
      </c>
      <c r="H109" s="12"/>
      <c r="I109" s="9"/>
      <c r="J109" s="9" t="s">
        <v>67</v>
      </c>
      <c r="K109" s="14"/>
      <c r="L109" s="14"/>
      <c r="M109" s="12"/>
      <c r="N109" s="9"/>
      <c r="O109" s="9"/>
      <c r="P109" s="9"/>
      <c r="Q109" s="38">
        <f t="shared" si="9"/>
        <v>0</v>
      </c>
      <c r="R109" s="12"/>
      <c r="S109" s="42"/>
      <c r="T109" s="15"/>
      <c r="U109" s="44"/>
      <c r="V109" s="15"/>
      <c r="W109" s="44"/>
      <c r="X109" s="15">
        <f t="shared" si="10"/>
        <v>0</v>
      </c>
      <c r="Y109" s="15"/>
      <c r="Z109" s="44"/>
      <c r="AA109" s="15"/>
      <c r="AB109" s="44"/>
      <c r="AC109" s="15"/>
      <c r="AD109" s="44"/>
      <c r="AE109" s="15"/>
      <c r="AF109" s="44"/>
      <c r="AG109" s="15">
        <f t="shared" si="11"/>
        <v>0</v>
      </c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/>
      <c r="BA109" s="42"/>
      <c r="BB109" s="15">
        <f t="shared" si="15"/>
        <v>0</v>
      </c>
      <c r="BC109" s="15"/>
      <c r="BD109" s="44"/>
      <c r="BE109" s="15"/>
      <c r="BF109" s="44"/>
      <c r="BG109" s="15">
        <f t="shared" si="14"/>
        <v>0</v>
      </c>
    </row>
    <row r="110" spans="1:59" s="8" customFormat="1" ht="22.5" customHeight="1">
      <c r="A110" s="9"/>
      <c r="B110" s="16" t="s">
        <v>172</v>
      </c>
      <c r="C110" s="89" t="s">
        <v>132</v>
      </c>
      <c r="D110" s="104" t="s">
        <v>186</v>
      </c>
      <c r="E110" s="104" t="s">
        <v>179</v>
      </c>
      <c r="F110" s="104" t="s">
        <v>1181</v>
      </c>
      <c r="G110" s="104" t="s">
        <v>1182</v>
      </c>
      <c r="H110" s="12"/>
      <c r="I110" s="9"/>
      <c r="J110" s="9" t="s">
        <v>67</v>
      </c>
      <c r="K110" s="14"/>
      <c r="L110" s="14"/>
      <c r="M110" s="12">
        <v>340</v>
      </c>
      <c r="N110" s="9"/>
      <c r="O110" s="9"/>
      <c r="P110" s="9"/>
      <c r="Q110" s="38">
        <f t="shared" si="9"/>
        <v>340</v>
      </c>
      <c r="R110" s="12"/>
      <c r="S110" s="42"/>
      <c r="T110" s="15"/>
      <c r="U110" s="44"/>
      <c r="V110" s="15"/>
      <c r="W110" s="44"/>
      <c r="X110" s="15">
        <f t="shared" si="10"/>
        <v>0</v>
      </c>
      <c r="Y110" s="15"/>
      <c r="Z110" s="44"/>
      <c r="AA110" s="15"/>
      <c r="AB110" s="44"/>
      <c r="AC110" s="15"/>
      <c r="AD110" s="44"/>
      <c r="AE110" s="15"/>
      <c r="AF110" s="44"/>
      <c r="AG110" s="15">
        <f t="shared" si="11"/>
        <v>0</v>
      </c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/>
      <c r="BA110" s="42"/>
      <c r="BB110" s="15">
        <f t="shared" si="15"/>
        <v>0</v>
      </c>
      <c r="BC110" s="15"/>
      <c r="BD110" s="44"/>
      <c r="BE110" s="15"/>
      <c r="BF110" s="44"/>
      <c r="BG110" s="15">
        <f t="shared" si="14"/>
        <v>0</v>
      </c>
    </row>
    <row r="111" spans="1:59" s="8" customFormat="1" ht="22.5" customHeight="1">
      <c r="A111" s="9"/>
      <c r="B111" s="16" t="s">
        <v>187</v>
      </c>
      <c r="C111" s="89" t="s">
        <v>132</v>
      </c>
      <c r="D111" s="104" t="s">
        <v>188</v>
      </c>
      <c r="E111" s="104" t="s">
        <v>189</v>
      </c>
      <c r="F111" s="104" t="s">
        <v>1183</v>
      </c>
      <c r="G111" s="104" t="s">
        <v>1184</v>
      </c>
      <c r="H111" s="12"/>
      <c r="I111" s="9"/>
      <c r="J111" s="9" t="s">
        <v>67</v>
      </c>
      <c r="K111" s="14"/>
      <c r="L111" s="14"/>
      <c r="M111" s="12">
        <v>325</v>
      </c>
      <c r="N111" s="9"/>
      <c r="O111" s="9"/>
      <c r="P111" s="9"/>
      <c r="Q111" s="38">
        <f t="shared" si="9"/>
        <v>325</v>
      </c>
      <c r="R111" s="12"/>
      <c r="S111" s="42"/>
      <c r="T111" s="15"/>
      <c r="U111" s="44"/>
      <c r="V111" s="15"/>
      <c r="W111" s="44"/>
      <c r="X111" s="15">
        <f t="shared" si="10"/>
        <v>0</v>
      </c>
      <c r="Y111" s="15"/>
      <c r="Z111" s="44"/>
      <c r="AA111" s="15"/>
      <c r="AB111" s="44"/>
      <c r="AC111" s="15"/>
      <c r="AD111" s="44"/>
      <c r="AE111" s="15"/>
      <c r="AF111" s="44"/>
      <c r="AG111" s="15">
        <f t="shared" si="11"/>
        <v>0</v>
      </c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/>
      <c r="BA111" s="42"/>
      <c r="BB111" s="15">
        <f t="shared" si="15"/>
        <v>0</v>
      </c>
      <c r="BC111" s="15"/>
      <c r="BD111" s="44"/>
      <c r="BE111" s="15"/>
      <c r="BF111" s="44"/>
      <c r="BG111" s="15">
        <f t="shared" si="14"/>
        <v>0</v>
      </c>
    </row>
    <row r="112" spans="1:59" s="8" customFormat="1" ht="22.5" customHeight="1">
      <c r="A112" s="9"/>
      <c r="B112" s="16" t="s">
        <v>187</v>
      </c>
      <c r="C112" s="89" t="s">
        <v>190</v>
      </c>
      <c r="D112" s="104" t="s">
        <v>191</v>
      </c>
      <c r="E112" s="104" t="s">
        <v>192</v>
      </c>
      <c r="F112" s="104" t="s">
        <v>1185</v>
      </c>
      <c r="G112" s="104" t="s">
        <v>1186</v>
      </c>
      <c r="H112" s="12"/>
      <c r="I112" s="9"/>
      <c r="J112" s="9" t="s">
        <v>193</v>
      </c>
      <c r="K112" s="14"/>
      <c r="L112" s="14"/>
      <c r="M112" s="12">
        <v>440</v>
      </c>
      <c r="N112" s="9"/>
      <c r="O112" s="9"/>
      <c r="P112" s="9"/>
      <c r="Q112" s="38">
        <f t="shared" si="9"/>
        <v>440</v>
      </c>
      <c r="R112" s="12"/>
      <c r="S112" s="42"/>
      <c r="T112" s="15"/>
      <c r="U112" s="44"/>
      <c r="V112" s="15"/>
      <c r="W112" s="44"/>
      <c r="X112" s="15">
        <f t="shared" si="10"/>
        <v>0</v>
      </c>
      <c r="Y112" s="15"/>
      <c r="Z112" s="44"/>
      <c r="AA112" s="15"/>
      <c r="AB112" s="44"/>
      <c r="AC112" s="15"/>
      <c r="AD112" s="44"/>
      <c r="AE112" s="15"/>
      <c r="AF112" s="44"/>
      <c r="AG112" s="15">
        <f t="shared" si="11"/>
        <v>0</v>
      </c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/>
      <c r="BA112" s="42"/>
      <c r="BB112" s="15">
        <f t="shared" si="15"/>
        <v>0</v>
      </c>
      <c r="BC112" s="15"/>
      <c r="BD112" s="44"/>
      <c r="BE112" s="15"/>
      <c r="BF112" s="44"/>
      <c r="BG112" s="15">
        <f t="shared" si="14"/>
        <v>0</v>
      </c>
    </row>
    <row r="113" spans="1:59" s="8" customFormat="1" ht="22.5" customHeight="1">
      <c r="A113" s="9"/>
      <c r="B113" s="16" t="s">
        <v>120</v>
      </c>
      <c r="C113" s="89" t="s">
        <v>132</v>
      </c>
      <c r="D113" s="104" t="s">
        <v>194</v>
      </c>
      <c r="E113" s="104" t="s">
        <v>195</v>
      </c>
      <c r="F113" s="104" t="s">
        <v>1187</v>
      </c>
      <c r="G113" s="104" t="s">
        <v>1188</v>
      </c>
      <c r="H113" s="12"/>
      <c r="I113" s="9"/>
      <c r="J113" s="9" t="s">
        <v>67</v>
      </c>
      <c r="K113" s="14"/>
      <c r="L113" s="14"/>
      <c r="M113" s="12"/>
      <c r="N113" s="9"/>
      <c r="O113" s="9"/>
      <c r="P113" s="9"/>
      <c r="Q113" s="38">
        <f t="shared" si="9"/>
        <v>0</v>
      </c>
      <c r="R113" s="12"/>
      <c r="S113" s="42"/>
      <c r="T113" s="15"/>
      <c r="U113" s="44"/>
      <c r="V113" s="15"/>
      <c r="W113" s="44"/>
      <c r="X113" s="15">
        <f t="shared" si="10"/>
        <v>0</v>
      </c>
      <c r="Y113" s="15"/>
      <c r="Z113" s="44"/>
      <c r="AA113" s="15"/>
      <c r="AB113" s="44"/>
      <c r="AC113" s="15"/>
      <c r="AD113" s="44"/>
      <c r="AE113" s="15"/>
      <c r="AF113" s="44"/>
      <c r="AG113" s="15">
        <f t="shared" si="11"/>
        <v>0</v>
      </c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/>
      <c r="BA113" s="42"/>
      <c r="BB113" s="15">
        <f t="shared" si="15"/>
        <v>0</v>
      </c>
      <c r="BC113" s="15"/>
      <c r="BD113" s="44"/>
      <c r="BE113" s="15"/>
      <c r="BF113" s="44"/>
      <c r="BG113" s="15">
        <f t="shared" si="14"/>
        <v>0</v>
      </c>
    </row>
    <row r="114" spans="1:59" s="8" customFormat="1" ht="22.5" customHeight="1">
      <c r="A114" s="9"/>
      <c r="B114" s="16" t="s">
        <v>120</v>
      </c>
      <c r="C114" s="89" t="s">
        <v>132</v>
      </c>
      <c r="D114" s="104" t="s">
        <v>196</v>
      </c>
      <c r="E114" s="104" t="s">
        <v>197</v>
      </c>
      <c r="F114" s="104" t="s">
        <v>1189</v>
      </c>
      <c r="G114" s="104" t="s">
        <v>1190</v>
      </c>
      <c r="H114" s="12"/>
      <c r="I114" s="9"/>
      <c r="J114" s="9" t="s">
        <v>67</v>
      </c>
      <c r="K114" s="14"/>
      <c r="L114" s="14"/>
      <c r="M114" s="12"/>
      <c r="N114" s="9"/>
      <c r="O114" s="9"/>
      <c r="P114" s="9"/>
      <c r="Q114" s="38">
        <f t="shared" si="9"/>
        <v>0</v>
      </c>
      <c r="R114" s="12"/>
      <c r="S114" s="42"/>
      <c r="T114" s="15"/>
      <c r="U114" s="44"/>
      <c r="V114" s="15"/>
      <c r="W114" s="44"/>
      <c r="X114" s="15">
        <f t="shared" si="10"/>
        <v>0</v>
      </c>
      <c r="Y114" s="15"/>
      <c r="Z114" s="44"/>
      <c r="AA114" s="15"/>
      <c r="AB114" s="44"/>
      <c r="AC114" s="15"/>
      <c r="AD114" s="44"/>
      <c r="AE114" s="15"/>
      <c r="AF114" s="44"/>
      <c r="AG114" s="15">
        <f t="shared" si="11"/>
        <v>0</v>
      </c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/>
      <c r="BA114" s="42"/>
      <c r="BB114" s="15">
        <f t="shared" si="15"/>
        <v>0</v>
      </c>
      <c r="BC114" s="15"/>
      <c r="BD114" s="44"/>
      <c r="BE114" s="15"/>
      <c r="BF114" s="44"/>
      <c r="BG114" s="15">
        <f t="shared" si="14"/>
        <v>0</v>
      </c>
    </row>
    <row r="115" spans="1:59" s="8" customFormat="1" ht="22.5" customHeight="1">
      <c r="A115" s="9"/>
      <c r="B115" s="16" t="s">
        <v>120</v>
      </c>
      <c r="C115" s="89" t="s">
        <v>132</v>
      </c>
      <c r="D115" s="104" t="s">
        <v>198</v>
      </c>
      <c r="E115" s="104" t="s">
        <v>199</v>
      </c>
      <c r="F115" s="104" t="s">
        <v>1191</v>
      </c>
      <c r="G115" s="104" t="s">
        <v>1192</v>
      </c>
      <c r="H115" s="12"/>
      <c r="I115" s="9"/>
      <c r="J115" s="9" t="s">
        <v>67</v>
      </c>
      <c r="K115" s="14"/>
      <c r="L115" s="14"/>
      <c r="M115" s="12"/>
      <c r="N115" s="9"/>
      <c r="O115" s="9"/>
      <c r="P115" s="9"/>
      <c r="Q115" s="38">
        <f t="shared" si="9"/>
        <v>0</v>
      </c>
      <c r="R115" s="12"/>
      <c r="S115" s="42"/>
      <c r="T115" s="15"/>
      <c r="U115" s="44"/>
      <c r="V115" s="15"/>
      <c r="W115" s="44"/>
      <c r="X115" s="15">
        <f t="shared" si="10"/>
        <v>0</v>
      </c>
      <c r="Y115" s="15"/>
      <c r="Z115" s="44"/>
      <c r="AA115" s="15"/>
      <c r="AB115" s="44"/>
      <c r="AC115" s="15"/>
      <c r="AD115" s="44"/>
      <c r="AE115" s="15"/>
      <c r="AF115" s="44"/>
      <c r="AG115" s="15">
        <f t="shared" si="11"/>
        <v>0</v>
      </c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/>
      <c r="BA115" s="42"/>
      <c r="BB115" s="15">
        <f t="shared" si="15"/>
        <v>0</v>
      </c>
      <c r="BC115" s="15"/>
      <c r="BD115" s="44"/>
      <c r="BE115" s="15"/>
      <c r="BF115" s="44"/>
      <c r="BG115" s="15">
        <f t="shared" si="14"/>
        <v>0</v>
      </c>
    </row>
    <row r="116" spans="1:59" s="8" customFormat="1" ht="22.5" customHeight="1">
      <c r="A116" s="9"/>
      <c r="B116" s="16" t="s">
        <v>120</v>
      </c>
      <c r="C116" s="89" t="s">
        <v>132</v>
      </c>
      <c r="D116" s="104" t="s">
        <v>200</v>
      </c>
      <c r="E116" s="104" t="s">
        <v>201</v>
      </c>
      <c r="F116" s="104" t="s">
        <v>1193</v>
      </c>
      <c r="G116" s="104" t="s">
        <v>1194</v>
      </c>
      <c r="H116" s="12"/>
      <c r="I116" s="9"/>
      <c r="J116" s="9" t="s">
        <v>67</v>
      </c>
      <c r="K116" s="14"/>
      <c r="L116" s="14"/>
      <c r="M116" s="12"/>
      <c r="N116" s="9"/>
      <c r="O116" s="9"/>
      <c r="P116" s="9"/>
      <c r="Q116" s="38">
        <f t="shared" si="9"/>
        <v>0</v>
      </c>
      <c r="R116" s="12"/>
      <c r="S116" s="42"/>
      <c r="T116" s="15"/>
      <c r="U116" s="44"/>
      <c r="V116" s="15"/>
      <c r="W116" s="44"/>
      <c r="X116" s="15">
        <f t="shared" si="10"/>
        <v>0</v>
      </c>
      <c r="Y116" s="15"/>
      <c r="Z116" s="44"/>
      <c r="AA116" s="15"/>
      <c r="AB116" s="44"/>
      <c r="AC116" s="15"/>
      <c r="AD116" s="44"/>
      <c r="AE116" s="15"/>
      <c r="AF116" s="44"/>
      <c r="AG116" s="15">
        <f t="shared" si="11"/>
        <v>0</v>
      </c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/>
      <c r="BA116" s="42"/>
      <c r="BB116" s="15">
        <f t="shared" si="15"/>
        <v>0</v>
      </c>
      <c r="BC116" s="15"/>
      <c r="BD116" s="44"/>
      <c r="BE116" s="15"/>
      <c r="BF116" s="44"/>
      <c r="BG116" s="15">
        <f t="shared" si="14"/>
        <v>0</v>
      </c>
    </row>
    <row r="117" spans="1:59" s="8" customFormat="1" ht="22.5" customHeight="1">
      <c r="A117" s="9"/>
      <c r="B117" s="16" t="s">
        <v>120</v>
      </c>
      <c r="C117" s="89" t="s">
        <v>132</v>
      </c>
      <c r="D117" s="104" t="s">
        <v>202</v>
      </c>
      <c r="E117" s="104" t="s">
        <v>203</v>
      </c>
      <c r="F117" s="104" t="s">
        <v>1195</v>
      </c>
      <c r="G117" s="104" t="s">
        <v>1196</v>
      </c>
      <c r="H117" s="12"/>
      <c r="I117" s="9"/>
      <c r="J117" s="9" t="s">
        <v>67</v>
      </c>
      <c r="K117" s="14"/>
      <c r="L117" s="14"/>
      <c r="M117" s="12">
        <v>60</v>
      </c>
      <c r="N117" s="9"/>
      <c r="O117" s="9"/>
      <c r="P117" s="9"/>
      <c r="Q117" s="38">
        <f t="shared" si="9"/>
        <v>60</v>
      </c>
      <c r="R117" s="12"/>
      <c r="S117" s="42"/>
      <c r="T117" s="15"/>
      <c r="U117" s="44"/>
      <c r="V117" s="15"/>
      <c r="W117" s="44"/>
      <c r="X117" s="15">
        <f t="shared" si="10"/>
        <v>0</v>
      </c>
      <c r="Y117" s="15"/>
      <c r="Z117" s="44"/>
      <c r="AA117" s="15"/>
      <c r="AB117" s="44"/>
      <c r="AC117" s="15"/>
      <c r="AD117" s="44"/>
      <c r="AE117" s="15"/>
      <c r="AF117" s="44"/>
      <c r="AG117" s="15">
        <f t="shared" si="11"/>
        <v>0</v>
      </c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/>
      <c r="BA117" s="42"/>
      <c r="BB117" s="15">
        <f t="shared" si="15"/>
        <v>0</v>
      </c>
      <c r="BC117" s="15"/>
      <c r="BD117" s="44"/>
      <c r="BE117" s="15"/>
      <c r="BF117" s="44"/>
      <c r="BG117" s="15">
        <f t="shared" si="14"/>
        <v>0</v>
      </c>
    </row>
    <row r="118" spans="1:59" s="8" customFormat="1" ht="22.5" customHeight="1">
      <c r="A118" s="9"/>
      <c r="B118" s="16" t="s">
        <v>204</v>
      </c>
      <c r="C118" s="89" t="s">
        <v>132</v>
      </c>
      <c r="D118" s="104" t="s">
        <v>205</v>
      </c>
      <c r="E118" s="104" t="s">
        <v>206</v>
      </c>
      <c r="F118" s="104" t="s">
        <v>1197</v>
      </c>
      <c r="G118" s="104" t="s">
        <v>1198</v>
      </c>
      <c r="H118" s="12"/>
      <c r="I118" s="9"/>
      <c r="J118" s="9" t="s">
        <v>207</v>
      </c>
      <c r="K118" s="14"/>
      <c r="L118" s="14"/>
      <c r="M118" s="12">
        <v>350</v>
      </c>
      <c r="N118" s="9"/>
      <c r="O118" s="9"/>
      <c r="P118" s="9"/>
      <c r="Q118" s="38">
        <f t="shared" si="9"/>
        <v>350</v>
      </c>
      <c r="R118" s="12"/>
      <c r="S118" s="42"/>
      <c r="T118" s="15"/>
      <c r="U118" s="44"/>
      <c r="V118" s="15"/>
      <c r="W118" s="44"/>
      <c r="X118" s="15">
        <f t="shared" si="10"/>
        <v>0</v>
      </c>
      <c r="Y118" s="15"/>
      <c r="Z118" s="44"/>
      <c r="AA118" s="15"/>
      <c r="AB118" s="44"/>
      <c r="AC118" s="15"/>
      <c r="AD118" s="44"/>
      <c r="AE118" s="15"/>
      <c r="AF118" s="44"/>
      <c r="AG118" s="15">
        <f t="shared" si="11"/>
        <v>0</v>
      </c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/>
      <c r="BA118" s="42"/>
      <c r="BB118" s="15">
        <f t="shared" si="15"/>
        <v>0</v>
      </c>
      <c r="BC118" s="15"/>
      <c r="BD118" s="44"/>
      <c r="BE118" s="15"/>
      <c r="BF118" s="44"/>
      <c r="BG118" s="15">
        <f t="shared" si="14"/>
        <v>0</v>
      </c>
    </row>
    <row r="119" spans="1:59" s="8" customFormat="1" ht="22.5" customHeight="1">
      <c r="A119" s="9"/>
      <c r="B119" s="16" t="s">
        <v>204</v>
      </c>
      <c r="C119" s="89" t="s">
        <v>132</v>
      </c>
      <c r="D119" s="104" t="s">
        <v>208</v>
      </c>
      <c r="E119" s="104"/>
      <c r="F119" s="104" t="s">
        <v>1199</v>
      </c>
      <c r="G119" s="104" t="s">
        <v>1200</v>
      </c>
      <c r="H119" s="12"/>
      <c r="I119" s="9"/>
      <c r="J119" s="9" t="s">
        <v>67</v>
      </c>
      <c r="K119" s="14"/>
      <c r="L119" s="14"/>
      <c r="M119" s="12">
        <v>87</v>
      </c>
      <c r="N119" s="9"/>
      <c r="O119" s="9"/>
      <c r="P119" s="9"/>
      <c r="Q119" s="38">
        <f t="shared" si="9"/>
        <v>87</v>
      </c>
      <c r="R119" s="12"/>
      <c r="S119" s="42"/>
      <c r="T119" s="15"/>
      <c r="U119" s="44"/>
      <c r="V119" s="15"/>
      <c r="W119" s="44"/>
      <c r="X119" s="15">
        <f t="shared" si="10"/>
        <v>0</v>
      </c>
      <c r="Y119" s="15"/>
      <c r="Z119" s="44"/>
      <c r="AA119" s="15"/>
      <c r="AB119" s="44"/>
      <c r="AC119" s="15"/>
      <c r="AD119" s="44"/>
      <c r="AE119" s="15"/>
      <c r="AF119" s="44"/>
      <c r="AG119" s="15">
        <f t="shared" si="11"/>
        <v>0</v>
      </c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/>
      <c r="BA119" s="42"/>
      <c r="BB119" s="15">
        <f t="shared" si="15"/>
        <v>0</v>
      </c>
      <c r="BC119" s="15"/>
      <c r="BD119" s="44"/>
      <c r="BE119" s="15"/>
      <c r="BF119" s="44"/>
      <c r="BG119" s="15">
        <f t="shared" si="14"/>
        <v>0</v>
      </c>
    </row>
    <row r="120" spans="1:59" s="8" customFormat="1" ht="22.5" customHeight="1">
      <c r="A120" s="9"/>
      <c r="B120" s="16" t="s">
        <v>204</v>
      </c>
      <c r="C120" s="89" t="s">
        <v>132</v>
      </c>
      <c r="D120" s="104" t="s">
        <v>209</v>
      </c>
      <c r="E120" s="104" t="s">
        <v>210</v>
      </c>
      <c r="F120" s="104" t="s">
        <v>1201</v>
      </c>
      <c r="G120" s="104" t="s">
        <v>1202</v>
      </c>
      <c r="H120" s="12"/>
      <c r="I120" s="9"/>
      <c r="J120" s="9" t="s">
        <v>207</v>
      </c>
      <c r="K120" s="14"/>
      <c r="L120" s="14"/>
      <c r="M120" s="12">
        <v>149</v>
      </c>
      <c r="N120" s="9"/>
      <c r="O120" s="9"/>
      <c r="P120" s="9"/>
      <c r="Q120" s="38">
        <f t="shared" si="9"/>
        <v>149</v>
      </c>
      <c r="R120" s="12"/>
      <c r="S120" s="42"/>
      <c r="T120" s="15"/>
      <c r="U120" s="44"/>
      <c r="V120" s="15"/>
      <c r="W120" s="44"/>
      <c r="X120" s="15">
        <f t="shared" si="10"/>
        <v>0</v>
      </c>
      <c r="Y120" s="15"/>
      <c r="Z120" s="44"/>
      <c r="AA120" s="15"/>
      <c r="AB120" s="44"/>
      <c r="AC120" s="15"/>
      <c r="AD120" s="44"/>
      <c r="AE120" s="15"/>
      <c r="AF120" s="44"/>
      <c r="AG120" s="15">
        <f t="shared" si="11"/>
        <v>0</v>
      </c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/>
      <c r="BA120" s="42"/>
      <c r="BB120" s="15">
        <f t="shared" si="15"/>
        <v>0</v>
      </c>
      <c r="BC120" s="15"/>
      <c r="BD120" s="44"/>
      <c r="BE120" s="15"/>
      <c r="BF120" s="44"/>
      <c r="BG120" s="15">
        <f t="shared" si="14"/>
        <v>0</v>
      </c>
    </row>
    <row r="121" spans="1:59" s="8" customFormat="1" ht="22.5" customHeight="1">
      <c r="A121" s="9"/>
      <c r="B121" s="16" t="s">
        <v>204</v>
      </c>
      <c r="C121" s="89" t="s">
        <v>132</v>
      </c>
      <c r="D121" s="104" t="s">
        <v>209</v>
      </c>
      <c r="E121" s="104" t="s">
        <v>206</v>
      </c>
      <c r="F121" s="104" t="s">
        <v>1203</v>
      </c>
      <c r="G121" s="104" t="s">
        <v>1204</v>
      </c>
      <c r="H121" s="12"/>
      <c r="I121" s="9"/>
      <c r="J121" s="9" t="s">
        <v>207</v>
      </c>
      <c r="K121" s="14"/>
      <c r="L121" s="14"/>
      <c r="M121" s="12">
        <v>63</v>
      </c>
      <c r="N121" s="9"/>
      <c r="O121" s="9"/>
      <c r="P121" s="9"/>
      <c r="Q121" s="38">
        <f t="shared" si="9"/>
        <v>63</v>
      </c>
      <c r="R121" s="12"/>
      <c r="S121" s="42"/>
      <c r="T121" s="15"/>
      <c r="U121" s="44"/>
      <c r="V121" s="15"/>
      <c r="W121" s="44"/>
      <c r="X121" s="15">
        <f t="shared" si="10"/>
        <v>0</v>
      </c>
      <c r="Y121" s="15"/>
      <c r="Z121" s="44"/>
      <c r="AA121" s="15"/>
      <c r="AB121" s="44"/>
      <c r="AC121" s="15"/>
      <c r="AD121" s="44"/>
      <c r="AE121" s="15"/>
      <c r="AF121" s="44"/>
      <c r="AG121" s="15">
        <f t="shared" si="11"/>
        <v>0</v>
      </c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/>
      <c r="BA121" s="42"/>
      <c r="BB121" s="15">
        <f t="shared" si="15"/>
        <v>0</v>
      </c>
      <c r="BC121" s="15"/>
      <c r="BD121" s="44"/>
      <c r="BE121" s="15"/>
      <c r="BF121" s="44"/>
      <c r="BG121" s="15">
        <f t="shared" si="14"/>
        <v>0</v>
      </c>
    </row>
    <row r="122" spans="1:59" s="8" customFormat="1" ht="22.5" customHeight="1">
      <c r="A122" s="9"/>
      <c r="B122" s="16" t="s">
        <v>204</v>
      </c>
      <c r="C122" s="89" t="s">
        <v>132</v>
      </c>
      <c r="D122" s="104" t="s">
        <v>212</v>
      </c>
      <c r="E122" s="104" t="s">
        <v>210</v>
      </c>
      <c r="F122" s="104" t="s">
        <v>1205</v>
      </c>
      <c r="G122" s="104" t="s">
        <v>1206</v>
      </c>
      <c r="H122" s="12"/>
      <c r="I122" s="9"/>
      <c r="J122" s="9" t="s">
        <v>207</v>
      </c>
      <c r="K122" s="14"/>
      <c r="L122" s="14"/>
      <c r="M122" s="12">
        <v>198</v>
      </c>
      <c r="N122" s="9"/>
      <c r="O122" s="9"/>
      <c r="P122" s="9"/>
      <c r="Q122" s="38">
        <f t="shared" si="9"/>
        <v>198</v>
      </c>
      <c r="R122" s="12"/>
      <c r="S122" s="42"/>
      <c r="T122" s="15"/>
      <c r="U122" s="44"/>
      <c r="V122" s="15"/>
      <c r="W122" s="44"/>
      <c r="X122" s="15">
        <f t="shared" si="10"/>
        <v>0</v>
      </c>
      <c r="Y122" s="15"/>
      <c r="Z122" s="44"/>
      <c r="AA122" s="15"/>
      <c r="AB122" s="44"/>
      <c r="AC122" s="15"/>
      <c r="AD122" s="44"/>
      <c r="AE122" s="15"/>
      <c r="AF122" s="44"/>
      <c r="AG122" s="15">
        <f t="shared" si="11"/>
        <v>0</v>
      </c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/>
      <c r="BA122" s="42"/>
      <c r="BB122" s="15">
        <f t="shared" si="15"/>
        <v>0</v>
      </c>
      <c r="BC122" s="15"/>
      <c r="BD122" s="44"/>
      <c r="BE122" s="15"/>
      <c r="BF122" s="44"/>
      <c r="BG122" s="15">
        <f t="shared" si="14"/>
        <v>0</v>
      </c>
    </row>
    <row r="123" spans="1:59" s="8" customFormat="1" ht="22.5" customHeight="1">
      <c r="A123" s="9"/>
      <c r="B123" s="16" t="s">
        <v>204</v>
      </c>
      <c r="C123" s="89" t="s">
        <v>132</v>
      </c>
      <c r="D123" s="104" t="s">
        <v>212</v>
      </c>
      <c r="E123" s="104" t="s">
        <v>206</v>
      </c>
      <c r="F123" s="104" t="s">
        <v>1207</v>
      </c>
      <c r="G123" s="104" t="s">
        <v>1208</v>
      </c>
      <c r="H123" s="12"/>
      <c r="I123" s="9"/>
      <c r="J123" s="9" t="s">
        <v>207</v>
      </c>
      <c r="K123" s="14"/>
      <c r="L123" s="14"/>
      <c r="M123" s="12">
        <v>118</v>
      </c>
      <c r="N123" s="9"/>
      <c r="O123" s="9"/>
      <c r="P123" s="9"/>
      <c r="Q123" s="38">
        <f t="shared" si="9"/>
        <v>118</v>
      </c>
      <c r="R123" s="12"/>
      <c r="S123" s="42"/>
      <c r="T123" s="15"/>
      <c r="U123" s="44"/>
      <c r="V123" s="15"/>
      <c r="W123" s="44"/>
      <c r="X123" s="15">
        <f t="shared" si="10"/>
        <v>0</v>
      </c>
      <c r="Y123" s="15"/>
      <c r="Z123" s="44"/>
      <c r="AA123" s="15"/>
      <c r="AB123" s="44"/>
      <c r="AC123" s="15"/>
      <c r="AD123" s="44"/>
      <c r="AE123" s="15"/>
      <c r="AF123" s="44"/>
      <c r="AG123" s="15">
        <f t="shared" si="11"/>
        <v>0</v>
      </c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/>
      <c r="BA123" s="42"/>
      <c r="BB123" s="15">
        <f t="shared" si="15"/>
        <v>0</v>
      </c>
      <c r="BC123" s="15"/>
      <c r="BD123" s="44"/>
      <c r="BE123" s="15"/>
      <c r="BF123" s="44"/>
      <c r="BG123" s="15">
        <f t="shared" si="14"/>
        <v>0</v>
      </c>
    </row>
    <row r="124" spans="1:59" s="8" customFormat="1" ht="22.5" customHeight="1">
      <c r="A124" s="9"/>
      <c r="B124" s="16" t="s">
        <v>204</v>
      </c>
      <c r="C124" s="89" t="s">
        <v>132</v>
      </c>
      <c r="D124" s="104" t="s">
        <v>213</v>
      </c>
      <c r="E124" s="104" t="s">
        <v>214</v>
      </c>
      <c r="F124" s="104" t="s">
        <v>1209</v>
      </c>
      <c r="G124" s="104" t="s">
        <v>1210</v>
      </c>
      <c r="H124" s="12"/>
      <c r="I124" s="9"/>
      <c r="J124" s="9" t="s">
        <v>207</v>
      </c>
      <c r="K124" s="14"/>
      <c r="L124" s="14"/>
      <c r="M124" s="12">
        <v>496</v>
      </c>
      <c r="N124" s="9"/>
      <c r="O124" s="9"/>
      <c r="P124" s="9"/>
      <c r="Q124" s="38">
        <f t="shared" si="9"/>
        <v>496</v>
      </c>
      <c r="R124" s="12"/>
      <c r="S124" s="42"/>
      <c r="T124" s="15"/>
      <c r="U124" s="44"/>
      <c r="V124" s="15"/>
      <c r="W124" s="44"/>
      <c r="X124" s="15">
        <f t="shared" si="10"/>
        <v>0</v>
      </c>
      <c r="Y124" s="15"/>
      <c r="Z124" s="44"/>
      <c r="AA124" s="15"/>
      <c r="AB124" s="44"/>
      <c r="AC124" s="15"/>
      <c r="AD124" s="44"/>
      <c r="AE124" s="15"/>
      <c r="AF124" s="44"/>
      <c r="AG124" s="15">
        <f t="shared" si="11"/>
        <v>0</v>
      </c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/>
      <c r="BA124" s="42"/>
      <c r="BB124" s="15">
        <f t="shared" si="15"/>
        <v>0</v>
      </c>
      <c r="BC124" s="15"/>
      <c r="BD124" s="44"/>
      <c r="BE124" s="15"/>
      <c r="BF124" s="44"/>
      <c r="BG124" s="15">
        <f t="shared" si="14"/>
        <v>0</v>
      </c>
    </row>
    <row r="125" spans="1:59" s="8" customFormat="1" ht="22.5" customHeight="1">
      <c r="A125" s="9"/>
      <c r="B125" s="16" t="s">
        <v>204</v>
      </c>
      <c r="C125" s="89" t="s">
        <v>132</v>
      </c>
      <c r="D125" s="104" t="s">
        <v>216</v>
      </c>
      <c r="E125" s="104" t="s">
        <v>217</v>
      </c>
      <c r="F125" s="104" t="s">
        <v>1211</v>
      </c>
      <c r="G125" s="104" t="s">
        <v>1212</v>
      </c>
      <c r="H125" s="12"/>
      <c r="I125" s="9"/>
      <c r="J125" s="9" t="s">
        <v>207</v>
      </c>
      <c r="K125" s="14"/>
      <c r="L125" s="14"/>
      <c r="M125" s="12">
        <v>520</v>
      </c>
      <c r="N125" s="9"/>
      <c r="O125" s="9"/>
      <c r="P125" s="9"/>
      <c r="Q125" s="38">
        <f t="shared" si="9"/>
        <v>520</v>
      </c>
      <c r="R125" s="12"/>
      <c r="S125" s="42"/>
      <c r="T125" s="15"/>
      <c r="U125" s="44"/>
      <c r="V125" s="15"/>
      <c r="W125" s="44"/>
      <c r="X125" s="15">
        <f t="shared" si="10"/>
        <v>0</v>
      </c>
      <c r="Y125" s="15"/>
      <c r="Z125" s="44"/>
      <c r="AA125" s="15"/>
      <c r="AB125" s="44"/>
      <c r="AC125" s="15"/>
      <c r="AD125" s="44"/>
      <c r="AE125" s="15"/>
      <c r="AF125" s="44"/>
      <c r="AG125" s="15">
        <f t="shared" si="11"/>
        <v>0</v>
      </c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/>
      <c r="BA125" s="42"/>
      <c r="BB125" s="15">
        <f t="shared" si="15"/>
        <v>0</v>
      </c>
      <c r="BC125" s="15"/>
      <c r="BD125" s="44"/>
      <c r="BE125" s="15"/>
      <c r="BF125" s="44"/>
      <c r="BG125" s="15">
        <f t="shared" si="14"/>
        <v>0</v>
      </c>
    </row>
    <row r="126" spans="1:59" s="8" customFormat="1" ht="22.5" customHeight="1">
      <c r="A126" s="9"/>
      <c r="B126" s="16" t="s">
        <v>204</v>
      </c>
      <c r="C126" s="89" t="s">
        <v>132</v>
      </c>
      <c r="D126" s="104" t="s">
        <v>218</v>
      </c>
      <c r="E126" s="104" t="s">
        <v>217</v>
      </c>
      <c r="F126" s="104" t="s">
        <v>1213</v>
      </c>
      <c r="G126" s="104" t="s">
        <v>1214</v>
      </c>
      <c r="H126" s="12"/>
      <c r="I126" s="9"/>
      <c r="J126" s="9" t="s">
        <v>207</v>
      </c>
      <c r="K126" s="14"/>
      <c r="L126" s="14"/>
      <c r="M126" s="12">
        <v>700</v>
      </c>
      <c r="N126" s="9"/>
      <c r="O126" s="9"/>
      <c r="P126" s="9"/>
      <c r="Q126" s="38">
        <f t="shared" si="9"/>
        <v>700</v>
      </c>
      <c r="R126" s="12"/>
      <c r="S126" s="42"/>
      <c r="T126" s="15"/>
      <c r="U126" s="44"/>
      <c r="V126" s="15"/>
      <c r="W126" s="44"/>
      <c r="X126" s="15">
        <f t="shared" si="10"/>
        <v>0</v>
      </c>
      <c r="Y126" s="15"/>
      <c r="Z126" s="44"/>
      <c r="AA126" s="15"/>
      <c r="AB126" s="44"/>
      <c r="AC126" s="15"/>
      <c r="AD126" s="44"/>
      <c r="AE126" s="15"/>
      <c r="AF126" s="44"/>
      <c r="AG126" s="15">
        <f t="shared" si="11"/>
        <v>0</v>
      </c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/>
      <c r="BA126" s="42"/>
      <c r="BB126" s="15">
        <f t="shared" si="15"/>
        <v>0</v>
      </c>
      <c r="BC126" s="15"/>
      <c r="BD126" s="44"/>
      <c r="BE126" s="15"/>
      <c r="BF126" s="44"/>
      <c r="BG126" s="15">
        <f t="shared" si="14"/>
        <v>0</v>
      </c>
    </row>
    <row r="127" spans="1:59" s="8" customFormat="1" ht="22.5" customHeight="1">
      <c r="A127" s="9"/>
      <c r="B127" s="16" t="s">
        <v>204</v>
      </c>
      <c r="C127" s="89" t="s">
        <v>132</v>
      </c>
      <c r="D127" s="104" t="s">
        <v>219</v>
      </c>
      <c r="E127" s="104" t="s">
        <v>217</v>
      </c>
      <c r="F127" s="104" t="s">
        <v>1215</v>
      </c>
      <c r="G127" s="104" t="s">
        <v>1216</v>
      </c>
      <c r="H127" s="12"/>
      <c r="I127" s="9"/>
      <c r="J127" s="9" t="s">
        <v>207</v>
      </c>
      <c r="K127" s="14"/>
      <c r="L127" s="14"/>
      <c r="M127" s="12">
        <v>595</v>
      </c>
      <c r="N127" s="9"/>
      <c r="O127" s="9"/>
      <c r="P127" s="9"/>
      <c r="Q127" s="38">
        <f t="shared" si="9"/>
        <v>595</v>
      </c>
      <c r="R127" s="12"/>
      <c r="S127" s="42"/>
      <c r="T127" s="15"/>
      <c r="U127" s="44"/>
      <c r="V127" s="15"/>
      <c r="W127" s="44"/>
      <c r="X127" s="15">
        <f t="shared" si="10"/>
        <v>0</v>
      </c>
      <c r="Y127" s="15"/>
      <c r="Z127" s="44"/>
      <c r="AA127" s="15"/>
      <c r="AB127" s="44"/>
      <c r="AC127" s="15"/>
      <c r="AD127" s="44"/>
      <c r="AE127" s="15"/>
      <c r="AF127" s="44"/>
      <c r="AG127" s="15">
        <f t="shared" si="11"/>
        <v>0</v>
      </c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/>
      <c r="BA127" s="42"/>
      <c r="BB127" s="15">
        <f t="shared" si="15"/>
        <v>0</v>
      </c>
      <c r="BC127" s="15"/>
      <c r="BD127" s="44"/>
      <c r="BE127" s="15"/>
      <c r="BF127" s="44"/>
      <c r="BG127" s="15">
        <f t="shared" si="14"/>
        <v>0</v>
      </c>
    </row>
    <row r="128" spans="1:59" s="8" customFormat="1" ht="22.5" customHeight="1">
      <c r="A128" s="9"/>
      <c r="B128" s="16" t="s">
        <v>204</v>
      </c>
      <c r="C128" s="89" t="s">
        <v>132</v>
      </c>
      <c r="D128" s="104" t="s">
        <v>220</v>
      </c>
      <c r="E128" s="104" t="s">
        <v>215</v>
      </c>
      <c r="F128" s="104" t="s">
        <v>1217</v>
      </c>
      <c r="G128" s="104" t="s">
        <v>1218</v>
      </c>
      <c r="H128" s="12"/>
      <c r="I128" s="9"/>
      <c r="J128" s="9" t="s">
        <v>207</v>
      </c>
      <c r="K128" s="14"/>
      <c r="L128" s="14"/>
      <c r="M128" s="12">
        <v>265</v>
      </c>
      <c r="N128" s="9"/>
      <c r="O128" s="9"/>
      <c r="P128" s="9"/>
      <c r="Q128" s="38">
        <f t="shared" si="9"/>
        <v>265</v>
      </c>
      <c r="R128" s="12"/>
      <c r="S128" s="42"/>
      <c r="T128" s="15"/>
      <c r="U128" s="44"/>
      <c r="V128" s="15"/>
      <c r="W128" s="44"/>
      <c r="X128" s="15">
        <f t="shared" si="10"/>
        <v>0</v>
      </c>
      <c r="Y128" s="15"/>
      <c r="Z128" s="44"/>
      <c r="AA128" s="15"/>
      <c r="AB128" s="44"/>
      <c r="AC128" s="15"/>
      <c r="AD128" s="44"/>
      <c r="AE128" s="15"/>
      <c r="AF128" s="44"/>
      <c r="AG128" s="15">
        <f t="shared" si="11"/>
        <v>0</v>
      </c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/>
      <c r="BA128" s="42"/>
      <c r="BB128" s="15">
        <f t="shared" si="15"/>
        <v>0</v>
      </c>
      <c r="BC128" s="15"/>
      <c r="BD128" s="44"/>
      <c r="BE128" s="15"/>
      <c r="BF128" s="44"/>
      <c r="BG128" s="15">
        <f t="shared" si="14"/>
        <v>0</v>
      </c>
    </row>
    <row r="129" spans="1:59" s="8" customFormat="1" ht="22.5" customHeight="1">
      <c r="A129" s="9"/>
      <c r="B129" s="16" t="s">
        <v>204</v>
      </c>
      <c r="C129" s="89" t="s">
        <v>132</v>
      </c>
      <c r="D129" s="104" t="s">
        <v>221</v>
      </c>
      <c r="E129" s="104" t="s">
        <v>222</v>
      </c>
      <c r="F129" s="104" t="s">
        <v>1219</v>
      </c>
      <c r="G129" s="104" t="s">
        <v>1220</v>
      </c>
      <c r="H129" s="12"/>
      <c r="I129" s="9"/>
      <c r="J129" s="9" t="s">
        <v>207</v>
      </c>
      <c r="K129" s="14"/>
      <c r="L129" s="14"/>
      <c r="M129" s="12">
        <v>182</v>
      </c>
      <c r="N129" s="9"/>
      <c r="O129" s="9"/>
      <c r="P129" s="9"/>
      <c r="Q129" s="38">
        <f t="shared" si="9"/>
        <v>182</v>
      </c>
      <c r="R129" s="12"/>
      <c r="S129" s="42"/>
      <c r="T129" s="15"/>
      <c r="U129" s="44"/>
      <c r="V129" s="15"/>
      <c r="W129" s="44"/>
      <c r="X129" s="15">
        <f t="shared" si="10"/>
        <v>0</v>
      </c>
      <c r="Y129" s="15"/>
      <c r="Z129" s="44"/>
      <c r="AA129" s="15"/>
      <c r="AB129" s="44"/>
      <c r="AC129" s="15"/>
      <c r="AD129" s="44"/>
      <c r="AE129" s="15"/>
      <c r="AF129" s="44"/>
      <c r="AG129" s="15">
        <f t="shared" si="11"/>
        <v>0</v>
      </c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/>
      <c r="BA129" s="42"/>
      <c r="BB129" s="15">
        <f t="shared" si="15"/>
        <v>0</v>
      </c>
      <c r="BC129" s="15"/>
      <c r="BD129" s="44"/>
      <c r="BE129" s="15"/>
      <c r="BF129" s="44"/>
      <c r="BG129" s="15">
        <f t="shared" si="14"/>
        <v>0</v>
      </c>
    </row>
    <row r="130" spans="1:59" s="8" customFormat="1" ht="22.5" customHeight="1">
      <c r="A130" s="9"/>
      <c r="B130" s="16" t="s">
        <v>204</v>
      </c>
      <c r="C130" s="89" t="s">
        <v>132</v>
      </c>
      <c r="D130" s="104" t="s">
        <v>221</v>
      </c>
      <c r="E130" s="104" t="s">
        <v>206</v>
      </c>
      <c r="F130" s="104" t="s">
        <v>1221</v>
      </c>
      <c r="G130" s="104" t="s">
        <v>1222</v>
      </c>
      <c r="H130" s="12"/>
      <c r="I130" s="9"/>
      <c r="J130" s="9" t="s">
        <v>207</v>
      </c>
      <c r="K130" s="14"/>
      <c r="L130" s="14"/>
      <c r="M130" s="12">
        <v>513</v>
      </c>
      <c r="N130" s="9"/>
      <c r="O130" s="9"/>
      <c r="P130" s="9"/>
      <c r="Q130" s="38">
        <f t="shared" si="9"/>
        <v>513</v>
      </c>
      <c r="R130" s="12"/>
      <c r="S130" s="42"/>
      <c r="T130" s="15"/>
      <c r="U130" s="44"/>
      <c r="V130" s="15"/>
      <c r="W130" s="44"/>
      <c r="X130" s="15">
        <f t="shared" si="10"/>
        <v>0</v>
      </c>
      <c r="Y130" s="15"/>
      <c r="Z130" s="44"/>
      <c r="AA130" s="15"/>
      <c r="AB130" s="44"/>
      <c r="AC130" s="15"/>
      <c r="AD130" s="44"/>
      <c r="AE130" s="15"/>
      <c r="AF130" s="44"/>
      <c r="AG130" s="15">
        <f t="shared" si="11"/>
        <v>0</v>
      </c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/>
      <c r="BA130" s="42"/>
      <c r="BB130" s="15">
        <f t="shared" si="15"/>
        <v>0</v>
      </c>
      <c r="BC130" s="15"/>
      <c r="BD130" s="44"/>
      <c r="BE130" s="15"/>
      <c r="BF130" s="44"/>
      <c r="BG130" s="15">
        <f t="shared" si="14"/>
        <v>0</v>
      </c>
    </row>
    <row r="131" spans="1:59" s="8" customFormat="1" ht="22.5" customHeight="1">
      <c r="A131" s="9"/>
      <c r="B131" s="16" t="s">
        <v>204</v>
      </c>
      <c r="C131" s="89" t="s">
        <v>132</v>
      </c>
      <c r="D131" s="104" t="s">
        <v>223</v>
      </c>
      <c r="E131" s="104" t="s">
        <v>206</v>
      </c>
      <c r="F131" s="104" t="s">
        <v>1223</v>
      </c>
      <c r="G131" s="104" t="s">
        <v>1224</v>
      </c>
      <c r="H131" s="12"/>
      <c r="I131" s="9"/>
      <c r="J131" s="9" t="s">
        <v>207</v>
      </c>
      <c r="K131" s="14"/>
      <c r="L131" s="14"/>
      <c r="M131" s="12">
        <v>85</v>
      </c>
      <c r="N131" s="9"/>
      <c r="O131" s="9"/>
      <c r="P131" s="9"/>
      <c r="Q131" s="38">
        <f t="shared" si="9"/>
        <v>85</v>
      </c>
      <c r="R131" s="12"/>
      <c r="S131" s="42"/>
      <c r="T131" s="15"/>
      <c r="U131" s="44"/>
      <c r="V131" s="15"/>
      <c r="W131" s="44"/>
      <c r="X131" s="15">
        <f t="shared" si="10"/>
        <v>0</v>
      </c>
      <c r="Y131" s="15"/>
      <c r="Z131" s="44"/>
      <c r="AA131" s="15"/>
      <c r="AB131" s="44"/>
      <c r="AC131" s="15"/>
      <c r="AD131" s="44"/>
      <c r="AE131" s="15"/>
      <c r="AF131" s="44"/>
      <c r="AG131" s="15">
        <f t="shared" si="11"/>
        <v>0</v>
      </c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/>
      <c r="BA131" s="42"/>
      <c r="BB131" s="15">
        <f t="shared" si="15"/>
        <v>0</v>
      </c>
      <c r="BC131" s="15"/>
      <c r="BD131" s="44"/>
      <c r="BE131" s="15"/>
      <c r="BF131" s="44"/>
      <c r="BG131" s="15">
        <f t="shared" si="14"/>
        <v>0</v>
      </c>
    </row>
    <row r="132" spans="1:59" s="8" customFormat="1" ht="22.5" customHeight="1">
      <c r="A132" s="9"/>
      <c r="B132" s="16" t="s">
        <v>204</v>
      </c>
      <c r="C132" s="89" t="s">
        <v>132</v>
      </c>
      <c r="D132" s="104" t="s">
        <v>224</v>
      </c>
      <c r="E132" s="104" t="s">
        <v>225</v>
      </c>
      <c r="F132" s="104" t="s">
        <v>1225</v>
      </c>
      <c r="G132" s="104" t="s">
        <v>1226</v>
      </c>
      <c r="H132" s="12"/>
      <c r="I132" s="9"/>
      <c r="J132" s="9" t="s">
        <v>207</v>
      </c>
      <c r="K132" s="14"/>
      <c r="L132" s="14"/>
      <c r="M132" s="12">
        <v>50</v>
      </c>
      <c r="N132" s="9"/>
      <c r="O132" s="9"/>
      <c r="P132" s="9"/>
      <c r="Q132" s="38">
        <f t="shared" ref="Q132:Q195" si="16">M132+X132-AG132-BB132</f>
        <v>50</v>
      </c>
      <c r="R132" s="12"/>
      <c r="S132" s="42"/>
      <c r="T132" s="15"/>
      <c r="U132" s="44"/>
      <c r="V132" s="15"/>
      <c r="W132" s="44"/>
      <c r="X132" s="15">
        <f t="shared" ref="X132:X195" si="17">R132+T132+V132</f>
        <v>0</v>
      </c>
      <c r="Y132" s="15"/>
      <c r="Z132" s="44"/>
      <c r="AA132" s="15"/>
      <c r="AB132" s="44"/>
      <c r="AC132" s="15"/>
      <c r="AD132" s="44"/>
      <c r="AE132" s="15"/>
      <c r="AF132" s="44"/>
      <c r="AG132" s="15">
        <f t="shared" ref="AG132:AG195" si="18">(Y132+AA132+AC132+AE132)</f>
        <v>0</v>
      </c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/>
      <c r="BA132" s="42"/>
      <c r="BB132" s="15">
        <f t="shared" si="15"/>
        <v>0</v>
      </c>
      <c r="BC132" s="15"/>
      <c r="BD132" s="44"/>
      <c r="BE132" s="15"/>
      <c r="BF132" s="44"/>
      <c r="BG132" s="15">
        <f t="shared" ref="BG132:BG163" si="19">(BC132+BE132)</f>
        <v>0</v>
      </c>
    </row>
    <row r="133" spans="1:59" s="8" customFormat="1" ht="22.5" customHeight="1">
      <c r="A133" s="9"/>
      <c r="B133" s="16" t="s">
        <v>204</v>
      </c>
      <c r="C133" s="89" t="s">
        <v>132</v>
      </c>
      <c r="D133" s="104" t="s">
        <v>226</v>
      </c>
      <c r="E133" s="104" t="s">
        <v>215</v>
      </c>
      <c r="F133" s="104" t="s">
        <v>1227</v>
      </c>
      <c r="G133" s="104" t="s">
        <v>1228</v>
      </c>
      <c r="H133" s="12"/>
      <c r="I133" s="9"/>
      <c r="J133" s="9" t="s">
        <v>207</v>
      </c>
      <c r="K133" s="14"/>
      <c r="L133" s="14"/>
      <c r="M133" s="12">
        <v>120</v>
      </c>
      <c r="N133" s="9"/>
      <c r="O133" s="9"/>
      <c r="P133" s="9"/>
      <c r="Q133" s="38">
        <f t="shared" si="16"/>
        <v>120</v>
      </c>
      <c r="R133" s="12"/>
      <c r="S133" s="42"/>
      <c r="T133" s="15"/>
      <c r="U133" s="44"/>
      <c r="V133" s="15"/>
      <c r="W133" s="44"/>
      <c r="X133" s="15">
        <f t="shared" si="17"/>
        <v>0</v>
      </c>
      <c r="Y133" s="15"/>
      <c r="Z133" s="44"/>
      <c r="AA133" s="15"/>
      <c r="AB133" s="44"/>
      <c r="AC133" s="15"/>
      <c r="AD133" s="44"/>
      <c r="AE133" s="15"/>
      <c r="AF133" s="44"/>
      <c r="AG133" s="15">
        <f t="shared" si="18"/>
        <v>0</v>
      </c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/>
      <c r="BA133" s="42"/>
      <c r="BB133" s="15">
        <f t="shared" si="15"/>
        <v>0</v>
      </c>
      <c r="BC133" s="15"/>
      <c r="BD133" s="44"/>
      <c r="BE133" s="15"/>
      <c r="BF133" s="44"/>
      <c r="BG133" s="15">
        <f t="shared" si="19"/>
        <v>0</v>
      </c>
    </row>
    <row r="134" spans="1:59" s="8" customFormat="1" ht="22.5" customHeight="1">
      <c r="A134" s="9"/>
      <c r="B134" s="16" t="s">
        <v>204</v>
      </c>
      <c r="C134" s="89" t="s">
        <v>132</v>
      </c>
      <c r="D134" s="104" t="s">
        <v>229</v>
      </c>
      <c r="E134" s="104" t="s">
        <v>222</v>
      </c>
      <c r="F134" s="104" t="s">
        <v>1229</v>
      </c>
      <c r="G134" s="104" t="s">
        <v>1230</v>
      </c>
      <c r="H134" s="12"/>
      <c r="I134" s="9"/>
      <c r="J134" s="9" t="s">
        <v>207</v>
      </c>
      <c r="K134" s="14"/>
      <c r="L134" s="14"/>
      <c r="M134" s="12"/>
      <c r="N134" s="9"/>
      <c r="O134" s="9"/>
      <c r="P134" s="9"/>
      <c r="Q134" s="38">
        <f t="shared" si="16"/>
        <v>0</v>
      </c>
      <c r="R134" s="12"/>
      <c r="S134" s="42"/>
      <c r="T134" s="15"/>
      <c r="U134" s="44"/>
      <c r="V134" s="15"/>
      <c r="W134" s="44"/>
      <c r="X134" s="15">
        <f t="shared" si="17"/>
        <v>0</v>
      </c>
      <c r="Y134" s="15"/>
      <c r="Z134" s="44"/>
      <c r="AA134" s="15"/>
      <c r="AB134" s="44"/>
      <c r="AC134" s="15"/>
      <c r="AD134" s="44"/>
      <c r="AE134" s="15"/>
      <c r="AF134" s="44"/>
      <c r="AG134" s="15">
        <f t="shared" si="18"/>
        <v>0</v>
      </c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/>
      <c r="BA134" s="42"/>
      <c r="BB134" s="15">
        <f t="shared" si="15"/>
        <v>0</v>
      </c>
      <c r="BC134" s="15"/>
      <c r="BD134" s="44"/>
      <c r="BE134" s="15"/>
      <c r="BF134" s="44"/>
      <c r="BG134" s="15">
        <f t="shared" si="19"/>
        <v>0</v>
      </c>
    </row>
    <row r="135" spans="1:59" s="8" customFormat="1" ht="22.5" customHeight="1">
      <c r="A135" s="9"/>
      <c r="B135" s="16" t="s">
        <v>233</v>
      </c>
      <c r="C135" s="89" t="s">
        <v>132</v>
      </c>
      <c r="D135" s="104" t="s">
        <v>234</v>
      </c>
      <c r="E135" s="104" t="s">
        <v>235</v>
      </c>
      <c r="F135" s="104" t="s">
        <v>1231</v>
      </c>
      <c r="G135" s="104" t="s">
        <v>1232</v>
      </c>
      <c r="H135" s="12"/>
      <c r="I135" s="9"/>
      <c r="J135" s="9" t="s">
        <v>207</v>
      </c>
      <c r="K135" s="14"/>
      <c r="L135" s="14"/>
      <c r="M135" s="12">
        <v>182</v>
      </c>
      <c r="N135" s="9"/>
      <c r="O135" s="9"/>
      <c r="P135" s="9"/>
      <c r="Q135" s="38">
        <f t="shared" si="16"/>
        <v>182</v>
      </c>
      <c r="R135" s="12"/>
      <c r="S135" s="42"/>
      <c r="T135" s="15"/>
      <c r="U135" s="44"/>
      <c r="V135" s="15"/>
      <c r="W135" s="44"/>
      <c r="X135" s="15">
        <f t="shared" si="17"/>
        <v>0</v>
      </c>
      <c r="Y135" s="15"/>
      <c r="Z135" s="44"/>
      <c r="AA135" s="15"/>
      <c r="AB135" s="44"/>
      <c r="AC135" s="15"/>
      <c r="AD135" s="44"/>
      <c r="AE135" s="15"/>
      <c r="AF135" s="44"/>
      <c r="AG135" s="15">
        <f t="shared" si="18"/>
        <v>0</v>
      </c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/>
      <c r="BA135" s="42"/>
      <c r="BB135" s="15">
        <f t="shared" si="15"/>
        <v>0</v>
      </c>
      <c r="BC135" s="15"/>
      <c r="BD135" s="44"/>
      <c r="BE135" s="15"/>
      <c r="BF135" s="44"/>
      <c r="BG135" s="15">
        <f t="shared" si="19"/>
        <v>0</v>
      </c>
    </row>
    <row r="136" spans="1:59" s="8" customFormat="1" ht="22.5" customHeight="1">
      <c r="A136" s="9"/>
      <c r="B136" s="16" t="s">
        <v>233</v>
      </c>
      <c r="C136" s="89" t="s">
        <v>132</v>
      </c>
      <c r="D136" s="104" t="s">
        <v>236</v>
      </c>
      <c r="E136" s="104" t="s">
        <v>237</v>
      </c>
      <c r="F136" s="104" t="s">
        <v>1233</v>
      </c>
      <c r="G136" s="104" t="s">
        <v>1234</v>
      </c>
      <c r="H136" s="12"/>
      <c r="I136" s="9"/>
      <c r="J136" s="9" t="s">
        <v>207</v>
      </c>
      <c r="K136" s="14"/>
      <c r="L136" s="14"/>
      <c r="M136" s="12">
        <v>400</v>
      </c>
      <c r="N136" s="9"/>
      <c r="O136" s="9"/>
      <c r="P136" s="9"/>
      <c r="Q136" s="38">
        <f t="shared" si="16"/>
        <v>400</v>
      </c>
      <c r="R136" s="12"/>
      <c r="S136" s="42"/>
      <c r="T136" s="15"/>
      <c r="U136" s="44"/>
      <c r="V136" s="15"/>
      <c r="W136" s="44"/>
      <c r="X136" s="15">
        <f t="shared" si="17"/>
        <v>0</v>
      </c>
      <c r="Y136" s="15"/>
      <c r="Z136" s="44"/>
      <c r="AA136" s="15"/>
      <c r="AB136" s="44"/>
      <c r="AC136" s="15"/>
      <c r="AD136" s="44"/>
      <c r="AE136" s="15"/>
      <c r="AF136" s="44"/>
      <c r="AG136" s="15">
        <f t="shared" si="18"/>
        <v>0</v>
      </c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/>
      <c r="BA136" s="42"/>
      <c r="BB136" s="15">
        <f t="shared" si="15"/>
        <v>0</v>
      </c>
      <c r="BC136" s="15"/>
      <c r="BD136" s="44"/>
      <c r="BE136" s="15"/>
      <c r="BF136" s="44"/>
      <c r="BG136" s="15">
        <f t="shared" si="19"/>
        <v>0</v>
      </c>
    </row>
    <row r="137" spans="1:59" s="8" customFormat="1" ht="22.5" customHeight="1">
      <c r="A137" s="9"/>
      <c r="B137" s="16" t="s">
        <v>233</v>
      </c>
      <c r="C137" s="89" t="s">
        <v>132</v>
      </c>
      <c r="D137" s="104" t="s">
        <v>238</v>
      </c>
      <c r="E137" s="104" t="s">
        <v>237</v>
      </c>
      <c r="F137" s="104" t="s">
        <v>1235</v>
      </c>
      <c r="G137" s="104" t="s">
        <v>1236</v>
      </c>
      <c r="H137" s="12"/>
      <c r="I137" s="9"/>
      <c r="J137" s="9" t="s">
        <v>207</v>
      </c>
      <c r="K137" s="14"/>
      <c r="L137" s="14"/>
      <c r="M137" s="12">
        <v>999</v>
      </c>
      <c r="N137" s="9"/>
      <c r="O137" s="9"/>
      <c r="P137" s="9"/>
      <c r="Q137" s="38">
        <f t="shared" si="16"/>
        <v>999</v>
      </c>
      <c r="R137" s="12"/>
      <c r="S137" s="42"/>
      <c r="T137" s="15"/>
      <c r="U137" s="44"/>
      <c r="V137" s="15"/>
      <c r="W137" s="44"/>
      <c r="X137" s="15">
        <f t="shared" si="17"/>
        <v>0</v>
      </c>
      <c r="Y137" s="15"/>
      <c r="Z137" s="44"/>
      <c r="AA137" s="15"/>
      <c r="AB137" s="44"/>
      <c r="AC137" s="15"/>
      <c r="AD137" s="44"/>
      <c r="AE137" s="15"/>
      <c r="AF137" s="44"/>
      <c r="AG137" s="15">
        <f t="shared" si="18"/>
        <v>0</v>
      </c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/>
      <c r="BA137" s="42"/>
      <c r="BB137" s="15">
        <f t="shared" si="15"/>
        <v>0</v>
      </c>
      <c r="BC137" s="15"/>
      <c r="BD137" s="44"/>
      <c r="BE137" s="15"/>
      <c r="BF137" s="44"/>
      <c r="BG137" s="15">
        <f t="shared" si="19"/>
        <v>0</v>
      </c>
    </row>
    <row r="138" spans="1:59" s="8" customFormat="1" ht="22.5" customHeight="1">
      <c r="A138" s="9"/>
      <c r="B138" s="16" t="s">
        <v>233</v>
      </c>
      <c r="C138" s="89" t="s">
        <v>132</v>
      </c>
      <c r="D138" s="104" t="s">
        <v>239</v>
      </c>
      <c r="E138" s="104" t="s">
        <v>237</v>
      </c>
      <c r="F138" s="104" t="s">
        <v>1237</v>
      </c>
      <c r="G138" s="104" t="s">
        <v>1238</v>
      </c>
      <c r="H138" s="12"/>
      <c r="I138" s="9"/>
      <c r="J138" s="9" t="s">
        <v>207</v>
      </c>
      <c r="K138" s="14"/>
      <c r="L138" s="14"/>
      <c r="M138" s="12">
        <v>434</v>
      </c>
      <c r="N138" s="9"/>
      <c r="O138" s="9"/>
      <c r="P138" s="9"/>
      <c r="Q138" s="38">
        <f t="shared" si="16"/>
        <v>434</v>
      </c>
      <c r="R138" s="12"/>
      <c r="S138" s="42"/>
      <c r="T138" s="15"/>
      <c r="U138" s="44"/>
      <c r="V138" s="15"/>
      <c r="W138" s="44"/>
      <c r="X138" s="15">
        <f t="shared" si="17"/>
        <v>0</v>
      </c>
      <c r="Y138" s="15"/>
      <c r="Z138" s="44"/>
      <c r="AA138" s="15"/>
      <c r="AB138" s="44"/>
      <c r="AC138" s="15"/>
      <c r="AD138" s="44"/>
      <c r="AE138" s="15"/>
      <c r="AF138" s="44"/>
      <c r="AG138" s="15">
        <f t="shared" si="18"/>
        <v>0</v>
      </c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/>
      <c r="BA138" s="42"/>
      <c r="BB138" s="15">
        <f t="shared" ref="BB138:BB169" si="20">AH138+AJ138+AL138+AN138+AP138+AR138+AT138+AV138+AX138+AZ138</f>
        <v>0</v>
      </c>
      <c r="BC138" s="15"/>
      <c r="BD138" s="44"/>
      <c r="BE138" s="15"/>
      <c r="BF138" s="44"/>
      <c r="BG138" s="15">
        <f t="shared" si="19"/>
        <v>0</v>
      </c>
    </row>
    <row r="139" spans="1:59" s="8" customFormat="1" ht="22.5" customHeight="1">
      <c r="A139" s="9"/>
      <c r="B139" s="16" t="s">
        <v>233</v>
      </c>
      <c r="C139" s="89" t="s">
        <v>132</v>
      </c>
      <c r="D139" s="104" t="s">
        <v>240</v>
      </c>
      <c r="E139" s="104" t="s">
        <v>237</v>
      </c>
      <c r="F139" s="104" t="s">
        <v>1239</v>
      </c>
      <c r="G139" s="104" t="s">
        <v>1240</v>
      </c>
      <c r="H139" s="12"/>
      <c r="I139" s="9"/>
      <c r="J139" s="9" t="s">
        <v>207</v>
      </c>
      <c r="K139" s="14"/>
      <c r="L139" s="14"/>
      <c r="M139" s="12">
        <v>482</v>
      </c>
      <c r="N139" s="9"/>
      <c r="O139" s="9"/>
      <c r="P139" s="9"/>
      <c r="Q139" s="38">
        <f t="shared" si="16"/>
        <v>482</v>
      </c>
      <c r="R139" s="12"/>
      <c r="S139" s="42"/>
      <c r="T139" s="15"/>
      <c r="U139" s="44"/>
      <c r="V139" s="15"/>
      <c r="W139" s="44"/>
      <c r="X139" s="15">
        <f t="shared" si="17"/>
        <v>0</v>
      </c>
      <c r="Y139" s="15"/>
      <c r="Z139" s="44"/>
      <c r="AA139" s="15"/>
      <c r="AB139" s="44"/>
      <c r="AC139" s="15"/>
      <c r="AD139" s="44"/>
      <c r="AE139" s="15"/>
      <c r="AF139" s="44"/>
      <c r="AG139" s="15">
        <f t="shared" si="18"/>
        <v>0</v>
      </c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/>
      <c r="BA139" s="42"/>
      <c r="BB139" s="15">
        <f t="shared" si="20"/>
        <v>0</v>
      </c>
      <c r="BC139" s="15"/>
      <c r="BD139" s="44"/>
      <c r="BE139" s="15"/>
      <c r="BF139" s="44"/>
      <c r="BG139" s="15">
        <f t="shared" si="19"/>
        <v>0</v>
      </c>
    </row>
    <row r="140" spans="1:59" s="8" customFormat="1" ht="22.5" customHeight="1">
      <c r="A140" s="9"/>
      <c r="B140" s="16" t="s">
        <v>233</v>
      </c>
      <c r="C140" s="89" t="s">
        <v>132</v>
      </c>
      <c r="D140" s="104" t="s">
        <v>241</v>
      </c>
      <c r="E140" s="104"/>
      <c r="F140" s="104" t="s">
        <v>1241</v>
      </c>
      <c r="G140" s="104" t="s">
        <v>1242</v>
      </c>
      <c r="H140" s="12"/>
      <c r="I140" s="9"/>
      <c r="J140" s="9"/>
      <c r="K140" s="14"/>
      <c r="L140" s="14"/>
      <c r="M140" s="12">
        <v>0</v>
      </c>
      <c r="N140" s="9"/>
      <c r="O140" s="9"/>
      <c r="P140" s="9"/>
      <c r="Q140" s="38">
        <f t="shared" si="16"/>
        <v>0</v>
      </c>
      <c r="R140" s="12"/>
      <c r="S140" s="42"/>
      <c r="T140" s="15"/>
      <c r="U140" s="44"/>
      <c r="V140" s="15"/>
      <c r="W140" s="44"/>
      <c r="X140" s="15">
        <f t="shared" si="17"/>
        <v>0</v>
      </c>
      <c r="Y140" s="15"/>
      <c r="Z140" s="44"/>
      <c r="AA140" s="15"/>
      <c r="AB140" s="44"/>
      <c r="AC140" s="15"/>
      <c r="AD140" s="44"/>
      <c r="AE140" s="15"/>
      <c r="AF140" s="44"/>
      <c r="AG140" s="15">
        <f t="shared" si="18"/>
        <v>0</v>
      </c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/>
      <c r="BA140" s="42"/>
      <c r="BB140" s="15">
        <f t="shared" si="20"/>
        <v>0</v>
      </c>
      <c r="BC140" s="15"/>
      <c r="BD140" s="44"/>
      <c r="BE140" s="15"/>
      <c r="BF140" s="44"/>
      <c r="BG140" s="15">
        <f t="shared" si="19"/>
        <v>0</v>
      </c>
    </row>
    <row r="141" spans="1:59" s="8" customFormat="1" ht="22.5" customHeight="1">
      <c r="A141" s="9"/>
      <c r="B141" s="16" t="s">
        <v>155</v>
      </c>
      <c r="C141" s="89" t="s">
        <v>132</v>
      </c>
      <c r="D141" s="104" t="s">
        <v>156</v>
      </c>
      <c r="E141" s="104" t="s">
        <v>242</v>
      </c>
      <c r="F141" s="104" t="s">
        <v>1243</v>
      </c>
      <c r="G141" s="104" t="s">
        <v>1244</v>
      </c>
      <c r="H141" s="12"/>
      <c r="I141" s="9"/>
      <c r="J141" s="9" t="s">
        <v>158</v>
      </c>
      <c r="K141" s="14"/>
      <c r="L141" s="14"/>
      <c r="M141" s="12">
        <v>480</v>
      </c>
      <c r="N141" s="9"/>
      <c r="O141" s="9"/>
      <c r="P141" s="9"/>
      <c r="Q141" s="38">
        <f t="shared" si="16"/>
        <v>480</v>
      </c>
      <c r="R141" s="12"/>
      <c r="S141" s="42"/>
      <c r="T141" s="15"/>
      <c r="U141" s="44"/>
      <c r="V141" s="15"/>
      <c r="W141" s="44"/>
      <c r="X141" s="15">
        <f t="shared" si="17"/>
        <v>0</v>
      </c>
      <c r="Y141" s="15"/>
      <c r="Z141" s="44"/>
      <c r="AA141" s="15"/>
      <c r="AB141" s="44"/>
      <c r="AC141" s="15"/>
      <c r="AD141" s="44"/>
      <c r="AE141" s="15"/>
      <c r="AF141" s="44"/>
      <c r="AG141" s="15">
        <f t="shared" si="18"/>
        <v>0</v>
      </c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/>
      <c r="BA141" s="42"/>
      <c r="BB141" s="15">
        <f t="shared" si="20"/>
        <v>0</v>
      </c>
      <c r="BC141" s="15"/>
      <c r="BD141" s="44"/>
      <c r="BE141" s="15"/>
      <c r="BF141" s="44"/>
      <c r="BG141" s="15">
        <f t="shared" si="19"/>
        <v>0</v>
      </c>
    </row>
    <row r="142" spans="1:59" s="8" customFormat="1" ht="22.5" customHeight="1">
      <c r="A142" s="9"/>
      <c r="B142" s="16" t="s">
        <v>155</v>
      </c>
      <c r="C142" s="89" t="s">
        <v>132</v>
      </c>
      <c r="D142" s="104" t="s">
        <v>156</v>
      </c>
      <c r="E142" s="104" t="s">
        <v>243</v>
      </c>
      <c r="F142" s="104" t="s">
        <v>1245</v>
      </c>
      <c r="G142" s="104" t="s">
        <v>1246</v>
      </c>
      <c r="H142" s="12"/>
      <c r="I142" s="9"/>
      <c r="J142" s="9" t="s">
        <v>158</v>
      </c>
      <c r="K142" s="14"/>
      <c r="L142" s="14"/>
      <c r="M142" s="12">
        <v>28</v>
      </c>
      <c r="N142" s="9"/>
      <c r="O142" s="9"/>
      <c r="P142" s="9"/>
      <c r="Q142" s="38">
        <f t="shared" si="16"/>
        <v>28</v>
      </c>
      <c r="R142" s="12"/>
      <c r="S142" s="42"/>
      <c r="T142" s="15"/>
      <c r="U142" s="44"/>
      <c r="V142" s="15"/>
      <c r="W142" s="44"/>
      <c r="X142" s="15">
        <f t="shared" si="17"/>
        <v>0</v>
      </c>
      <c r="Y142" s="15"/>
      <c r="Z142" s="44"/>
      <c r="AA142" s="15"/>
      <c r="AB142" s="44"/>
      <c r="AC142" s="15"/>
      <c r="AD142" s="44"/>
      <c r="AE142" s="15"/>
      <c r="AF142" s="44"/>
      <c r="AG142" s="15">
        <f t="shared" si="18"/>
        <v>0</v>
      </c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/>
      <c r="BA142" s="42"/>
      <c r="BB142" s="15">
        <f t="shared" si="20"/>
        <v>0</v>
      </c>
      <c r="BC142" s="15"/>
      <c r="BD142" s="44"/>
      <c r="BE142" s="15"/>
      <c r="BF142" s="44"/>
      <c r="BG142" s="15">
        <f t="shared" si="19"/>
        <v>0</v>
      </c>
    </row>
    <row r="143" spans="1:59" s="8" customFormat="1" ht="22.5" customHeight="1">
      <c r="A143" s="9"/>
      <c r="B143" s="16" t="s">
        <v>244</v>
      </c>
      <c r="C143" s="89" t="s">
        <v>132</v>
      </c>
      <c r="D143" s="104" t="s">
        <v>245</v>
      </c>
      <c r="E143" s="104" t="s">
        <v>246</v>
      </c>
      <c r="F143" s="104" t="s">
        <v>1247</v>
      </c>
      <c r="G143" s="104" t="s">
        <v>1248</v>
      </c>
      <c r="H143" s="12"/>
      <c r="I143" s="9"/>
      <c r="J143" s="9" t="s">
        <v>247</v>
      </c>
      <c r="K143" s="14"/>
      <c r="L143" s="14"/>
      <c r="M143" s="12">
        <v>0</v>
      </c>
      <c r="N143" s="9"/>
      <c r="O143" s="9"/>
      <c r="P143" s="9"/>
      <c r="Q143" s="38">
        <f t="shared" si="16"/>
        <v>0</v>
      </c>
      <c r="R143" s="12"/>
      <c r="S143" s="42"/>
      <c r="T143" s="15"/>
      <c r="U143" s="44"/>
      <c r="V143" s="15"/>
      <c r="W143" s="44"/>
      <c r="X143" s="15">
        <f t="shared" si="17"/>
        <v>0</v>
      </c>
      <c r="Y143" s="15"/>
      <c r="Z143" s="44"/>
      <c r="AA143" s="15"/>
      <c r="AB143" s="44"/>
      <c r="AC143" s="15"/>
      <c r="AD143" s="44"/>
      <c r="AE143" s="15"/>
      <c r="AF143" s="44"/>
      <c r="AG143" s="15">
        <f t="shared" si="18"/>
        <v>0</v>
      </c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/>
      <c r="BA143" s="42"/>
      <c r="BB143" s="15">
        <f t="shared" si="20"/>
        <v>0</v>
      </c>
      <c r="BC143" s="15"/>
      <c r="BD143" s="44"/>
      <c r="BE143" s="15"/>
      <c r="BF143" s="44"/>
      <c r="BG143" s="15">
        <f t="shared" si="19"/>
        <v>0</v>
      </c>
    </row>
    <row r="144" spans="1:59" s="8" customFormat="1" ht="22.5" customHeight="1">
      <c r="A144" s="9"/>
      <c r="B144" s="16" t="s">
        <v>244</v>
      </c>
      <c r="C144" s="89" t="s">
        <v>132</v>
      </c>
      <c r="D144" s="104" t="s">
        <v>248</v>
      </c>
      <c r="E144" s="104" t="s">
        <v>246</v>
      </c>
      <c r="F144" s="104" t="s">
        <v>1249</v>
      </c>
      <c r="G144" s="104" t="s">
        <v>1250</v>
      </c>
      <c r="H144" s="12"/>
      <c r="I144" s="9"/>
      <c r="J144" s="9" t="s">
        <v>247</v>
      </c>
      <c r="K144" s="14"/>
      <c r="L144" s="14"/>
      <c r="M144" s="12">
        <v>241</v>
      </c>
      <c r="N144" s="9"/>
      <c r="O144" s="9"/>
      <c r="P144" s="9"/>
      <c r="Q144" s="38">
        <f t="shared" si="16"/>
        <v>241</v>
      </c>
      <c r="R144" s="12"/>
      <c r="S144" s="42"/>
      <c r="T144" s="15"/>
      <c r="U144" s="44"/>
      <c r="V144" s="15"/>
      <c r="W144" s="44"/>
      <c r="X144" s="15">
        <f t="shared" si="17"/>
        <v>0</v>
      </c>
      <c r="Y144" s="15"/>
      <c r="Z144" s="44"/>
      <c r="AA144" s="15"/>
      <c r="AB144" s="44"/>
      <c r="AC144" s="15"/>
      <c r="AD144" s="44"/>
      <c r="AE144" s="15"/>
      <c r="AF144" s="44"/>
      <c r="AG144" s="15">
        <f t="shared" si="18"/>
        <v>0</v>
      </c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/>
      <c r="BA144" s="42"/>
      <c r="BB144" s="15">
        <f t="shared" si="20"/>
        <v>0</v>
      </c>
      <c r="BC144" s="15"/>
      <c r="BD144" s="44"/>
      <c r="BE144" s="15"/>
      <c r="BF144" s="44"/>
      <c r="BG144" s="15">
        <f t="shared" si="19"/>
        <v>0</v>
      </c>
    </row>
    <row r="145" spans="1:59" s="8" customFormat="1" ht="22.5" customHeight="1">
      <c r="A145" s="9"/>
      <c r="B145" s="16" t="s">
        <v>249</v>
      </c>
      <c r="C145" s="89" t="s">
        <v>44</v>
      </c>
      <c r="D145" s="104" t="s">
        <v>1251</v>
      </c>
      <c r="E145" s="104" t="s">
        <v>251</v>
      </c>
      <c r="F145" s="104" t="s">
        <v>1252</v>
      </c>
      <c r="G145" s="104" t="s">
        <v>1253</v>
      </c>
      <c r="H145" s="12"/>
      <c r="I145" s="9"/>
      <c r="J145" s="9" t="s">
        <v>247</v>
      </c>
      <c r="K145" s="14"/>
      <c r="L145" s="14"/>
      <c r="M145" s="12">
        <v>400</v>
      </c>
      <c r="N145" s="9"/>
      <c r="O145" s="9"/>
      <c r="P145" s="9"/>
      <c r="Q145" s="38">
        <f t="shared" si="16"/>
        <v>400</v>
      </c>
      <c r="R145" s="12"/>
      <c r="S145" s="42"/>
      <c r="T145" s="15"/>
      <c r="U145" s="44"/>
      <c r="V145" s="15"/>
      <c r="W145" s="44"/>
      <c r="X145" s="15">
        <f t="shared" si="17"/>
        <v>0</v>
      </c>
      <c r="Y145" s="15"/>
      <c r="Z145" s="44"/>
      <c r="AA145" s="15"/>
      <c r="AB145" s="44"/>
      <c r="AC145" s="15"/>
      <c r="AD145" s="44"/>
      <c r="AE145" s="15"/>
      <c r="AF145" s="44"/>
      <c r="AG145" s="15">
        <f t="shared" si="18"/>
        <v>0</v>
      </c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/>
      <c r="BA145" s="42"/>
      <c r="BB145" s="15">
        <f t="shared" si="20"/>
        <v>0</v>
      </c>
      <c r="BC145" s="15"/>
      <c r="BD145" s="44"/>
      <c r="BE145" s="15"/>
      <c r="BF145" s="44"/>
      <c r="BG145" s="15">
        <f t="shared" si="19"/>
        <v>0</v>
      </c>
    </row>
    <row r="146" spans="1:59" s="8" customFormat="1" ht="22.5" customHeight="1">
      <c r="A146" s="9"/>
      <c r="B146" s="16" t="s">
        <v>249</v>
      </c>
      <c r="C146" s="89" t="s">
        <v>132</v>
      </c>
      <c r="D146" s="104" t="s">
        <v>1254</v>
      </c>
      <c r="E146" s="104" t="s">
        <v>251</v>
      </c>
      <c r="F146" s="104" t="s">
        <v>1255</v>
      </c>
      <c r="G146" s="104" t="s">
        <v>1256</v>
      </c>
      <c r="H146" s="12"/>
      <c r="I146" s="9"/>
      <c r="J146" s="9" t="s">
        <v>247</v>
      </c>
      <c r="K146" s="14"/>
      <c r="L146" s="14"/>
      <c r="M146" s="12">
        <v>1000</v>
      </c>
      <c r="N146" s="9"/>
      <c r="O146" s="9"/>
      <c r="P146" s="9"/>
      <c r="Q146" s="38">
        <f t="shared" si="16"/>
        <v>1000</v>
      </c>
      <c r="R146" s="12"/>
      <c r="S146" s="42"/>
      <c r="T146" s="15"/>
      <c r="U146" s="44"/>
      <c r="V146" s="15"/>
      <c r="W146" s="44"/>
      <c r="X146" s="15">
        <f t="shared" si="17"/>
        <v>0</v>
      </c>
      <c r="Y146" s="15"/>
      <c r="Z146" s="44"/>
      <c r="AA146" s="15"/>
      <c r="AB146" s="44"/>
      <c r="AC146" s="15"/>
      <c r="AD146" s="44"/>
      <c r="AE146" s="15"/>
      <c r="AF146" s="44"/>
      <c r="AG146" s="15">
        <f t="shared" si="18"/>
        <v>0</v>
      </c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/>
      <c r="BA146" s="42"/>
      <c r="BB146" s="15">
        <f t="shared" si="20"/>
        <v>0</v>
      </c>
      <c r="BC146" s="15"/>
      <c r="BD146" s="44"/>
      <c r="BE146" s="15"/>
      <c r="BF146" s="44"/>
      <c r="BG146" s="15">
        <f t="shared" si="19"/>
        <v>0</v>
      </c>
    </row>
    <row r="147" spans="1:59" s="8" customFormat="1" ht="22.5" customHeight="1">
      <c r="A147" s="9"/>
      <c r="B147" s="16" t="s">
        <v>172</v>
      </c>
      <c r="C147" s="89" t="s">
        <v>48</v>
      </c>
      <c r="D147" s="104" t="s">
        <v>253</v>
      </c>
      <c r="E147" s="104"/>
      <c r="F147" s="104" t="s">
        <v>1257</v>
      </c>
      <c r="G147" s="104" t="s">
        <v>1258</v>
      </c>
      <c r="H147" s="12"/>
      <c r="I147" s="9"/>
      <c r="J147" s="9" t="s">
        <v>67</v>
      </c>
      <c r="K147" s="14"/>
      <c r="L147" s="14"/>
      <c r="M147" s="12">
        <v>200</v>
      </c>
      <c r="N147" s="9"/>
      <c r="O147" s="9"/>
      <c r="P147" s="9"/>
      <c r="Q147" s="38">
        <f t="shared" si="16"/>
        <v>200</v>
      </c>
      <c r="R147" s="12"/>
      <c r="S147" s="42"/>
      <c r="T147" s="15"/>
      <c r="U147" s="44"/>
      <c r="V147" s="15"/>
      <c r="W147" s="44"/>
      <c r="X147" s="15">
        <f t="shared" si="17"/>
        <v>0</v>
      </c>
      <c r="Y147" s="15"/>
      <c r="Z147" s="44"/>
      <c r="AA147" s="15"/>
      <c r="AB147" s="44"/>
      <c r="AC147" s="15"/>
      <c r="AD147" s="44"/>
      <c r="AE147" s="15"/>
      <c r="AF147" s="44"/>
      <c r="AG147" s="15">
        <f t="shared" si="18"/>
        <v>0</v>
      </c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/>
      <c r="BA147" s="42"/>
      <c r="BB147" s="15">
        <f t="shared" si="20"/>
        <v>0</v>
      </c>
      <c r="BC147" s="15"/>
      <c r="BD147" s="44"/>
      <c r="BE147" s="15"/>
      <c r="BF147" s="44"/>
      <c r="BG147" s="15">
        <f t="shared" si="19"/>
        <v>0</v>
      </c>
    </row>
    <row r="148" spans="1:59" s="8" customFormat="1" ht="22.5" customHeight="1">
      <c r="A148" s="9"/>
      <c r="B148" s="16" t="s">
        <v>172</v>
      </c>
      <c r="C148" s="89" t="s">
        <v>48</v>
      </c>
      <c r="D148" s="104" t="s">
        <v>254</v>
      </c>
      <c r="E148" s="104"/>
      <c r="F148" s="104" t="s">
        <v>1259</v>
      </c>
      <c r="G148" s="104" t="s">
        <v>1260</v>
      </c>
      <c r="H148" s="12"/>
      <c r="I148" s="9"/>
      <c r="J148" s="9" t="s">
        <v>67</v>
      </c>
      <c r="K148" s="14"/>
      <c r="L148" s="14"/>
      <c r="M148" s="12">
        <v>460</v>
      </c>
      <c r="N148" s="9"/>
      <c r="O148" s="9"/>
      <c r="P148" s="9"/>
      <c r="Q148" s="38">
        <f t="shared" si="16"/>
        <v>460</v>
      </c>
      <c r="R148" s="12"/>
      <c r="S148" s="42"/>
      <c r="T148" s="15"/>
      <c r="U148" s="44"/>
      <c r="V148" s="15"/>
      <c r="W148" s="44"/>
      <c r="X148" s="15">
        <f t="shared" si="17"/>
        <v>0</v>
      </c>
      <c r="Y148" s="15"/>
      <c r="Z148" s="44"/>
      <c r="AA148" s="15"/>
      <c r="AB148" s="44"/>
      <c r="AC148" s="15"/>
      <c r="AD148" s="44"/>
      <c r="AE148" s="15"/>
      <c r="AF148" s="44"/>
      <c r="AG148" s="15">
        <f t="shared" si="18"/>
        <v>0</v>
      </c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/>
      <c r="BA148" s="42"/>
      <c r="BB148" s="15">
        <f t="shared" si="20"/>
        <v>0</v>
      </c>
      <c r="BC148" s="15"/>
      <c r="BD148" s="44"/>
      <c r="BE148" s="15"/>
      <c r="BF148" s="44"/>
      <c r="BG148" s="15">
        <f t="shared" si="19"/>
        <v>0</v>
      </c>
    </row>
    <row r="149" spans="1:59" s="8" customFormat="1" ht="22.5" customHeight="1">
      <c r="A149" s="9"/>
      <c r="B149" s="16" t="s">
        <v>172</v>
      </c>
      <c r="C149" s="89" t="s">
        <v>48</v>
      </c>
      <c r="D149" s="104" t="s">
        <v>256</v>
      </c>
      <c r="E149" s="104"/>
      <c r="F149" s="104" t="s">
        <v>1261</v>
      </c>
      <c r="G149" s="104" t="s">
        <v>1262</v>
      </c>
      <c r="H149" s="12"/>
      <c r="I149" s="9"/>
      <c r="J149" s="9" t="s">
        <v>67</v>
      </c>
      <c r="K149" s="14"/>
      <c r="L149" s="14"/>
      <c r="M149" s="12">
        <v>705</v>
      </c>
      <c r="N149" s="9"/>
      <c r="O149" s="9"/>
      <c r="P149" s="9"/>
      <c r="Q149" s="38">
        <f t="shared" si="16"/>
        <v>705</v>
      </c>
      <c r="R149" s="12"/>
      <c r="S149" s="42"/>
      <c r="T149" s="15"/>
      <c r="U149" s="44"/>
      <c r="V149" s="15"/>
      <c r="W149" s="44"/>
      <c r="X149" s="15">
        <f t="shared" si="17"/>
        <v>0</v>
      </c>
      <c r="Y149" s="15"/>
      <c r="Z149" s="44"/>
      <c r="AA149" s="15"/>
      <c r="AB149" s="44"/>
      <c r="AC149" s="15"/>
      <c r="AD149" s="44"/>
      <c r="AE149" s="15"/>
      <c r="AF149" s="44"/>
      <c r="AG149" s="15">
        <f t="shared" si="18"/>
        <v>0</v>
      </c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/>
      <c r="BA149" s="42"/>
      <c r="BB149" s="15">
        <f t="shared" si="20"/>
        <v>0</v>
      </c>
      <c r="BC149" s="15"/>
      <c r="BD149" s="44"/>
      <c r="BE149" s="15"/>
      <c r="BF149" s="44"/>
      <c r="BG149" s="15">
        <f t="shared" si="19"/>
        <v>0</v>
      </c>
    </row>
    <row r="150" spans="1:59" s="8" customFormat="1" ht="22.5" customHeight="1">
      <c r="A150" s="9"/>
      <c r="B150" s="16" t="s">
        <v>172</v>
      </c>
      <c r="C150" s="89" t="s">
        <v>48</v>
      </c>
      <c r="D150" s="104" t="s">
        <v>257</v>
      </c>
      <c r="E150" s="104"/>
      <c r="F150" s="104" t="s">
        <v>1263</v>
      </c>
      <c r="G150" s="104" t="s">
        <v>1264</v>
      </c>
      <c r="H150" s="12"/>
      <c r="I150" s="9"/>
      <c r="J150" s="9" t="s">
        <v>67</v>
      </c>
      <c r="K150" s="14"/>
      <c r="L150" s="14"/>
      <c r="M150" s="12">
        <v>196</v>
      </c>
      <c r="N150" s="9"/>
      <c r="O150" s="9"/>
      <c r="P150" s="9"/>
      <c r="Q150" s="38">
        <f t="shared" si="16"/>
        <v>196</v>
      </c>
      <c r="R150" s="12"/>
      <c r="S150" s="42"/>
      <c r="T150" s="15"/>
      <c r="U150" s="44"/>
      <c r="V150" s="15"/>
      <c r="W150" s="44"/>
      <c r="X150" s="15">
        <f t="shared" si="17"/>
        <v>0</v>
      </c>
      <c r="Y150" s="15"/>
      <c r="Z150" s="44"/>
      <c r="AA150" s="15"/>
      <c r="AB150" s="44"/>
      <c r="AC150" s="15"/>
      <c r="AD150" s="44"/>
      <c r="AE150" s="15"/>
      <c r="AF150" s="44"/>
      <c r="AG150" s="15">
        <f t="shared" si="18"/>
        <v>0</v>
      </c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/>
      <c r="BA150" s="42"/>
      <c r="BB150" s="15">
        <f t="shared" si="20"/>
        <v>0</v>
      </c>
      <c r="BC150" s="15"/>
      <c r="BD150" s="44"/>
      <c r="BE150" s="15"/>
      <c r="BF150" s="44"/>
      <c r="BG150" s="15">
        <f t="shared" si="19"/>
        <v>0</v>
      </c>
    </row>
    <row r="151" spans="1:59" s="8" customFormat="1" ht="22.5" customHeight="1">
      <c r="A151" s="9"/>
      <c r="B151" s="16" t="s">
        <v>172</v>
      </c>
      <c r="C151" s="89" t="s">
        <v>48</v>
      </c>
      <c r="D151" s="104" t="s">
        <v>258</v>
      </c>
      <c r="E151" s="104"/>
      <c r="F151" s="104" t="s">
        <v>1265</v>
      </c>
      <c r="G151" s="104" t="s">
        <v>1266</v>
      </c>
      <c r="H151" s="12"/>
      <c r="I151" s="9"/>
      <c r="J151" s="9" t="s">
        <v>67</v>
      </c>
      <c r="K151" s="14"/>
      <c r="L151" s="14"/>
      <c r="M151" s="12">
        <v>0</v>
      </c>
      <c r="N151" s="9"/>
      <c r="O151" s="9"/>
      <c r="P151" s="9"/>
      <c r="Q151" s="38">
        <f t="shared" si="16"/>
        <v>0</v>
      </c>
      <c r="R151" s="12"/>
      <c r="S151" s="42"/>
      <c r="T151" s="15"/>
      <c r="U151" s="44"/>
      <c r="V151" s="15"/>
      <c r="W151" s="44"/>
      <c r="X151" s="15">
        <f t="shared" si="17"/>
        <v>0</v>
      </c>
      <c r="Y151" s="15"/>
      <c r="Z151" s="44"/>
      <c r="AA151" s="15"/>
      <c r="AB151" s="44"/>
      <c r="AC151" s="15"/>
      <c r="AD151" s="44"/>
      <c r="AE151" s="15"/>
      <c r="AF151" s="44"/>
      <c r="AG151" s="15">
        <f t="shared" si="18"/>
        <v>0</v>
      </c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/>
      <c r="BA151" s="42"/>
      <c r="BB151" s="15">
        <f t="shared" si="20"/>
        <v>0</v>
      </c>
      <c r="BC151" s="15"/>
      <c r="BD151" s="44"/>
      <c r="BE151" s="15"/>
      <c r="BF151" s="44"/>
      <c r="BG151" s="15">
        <f t="shared" si="19"/>
        <v>0</v>
      </c>
    </row>
    <row r="152" spans="1:59" s="8" customFormat="1" ht="22.5" customHeight="1">
      <c r="A152" s="9"/>
      <c r="B152" s="16" t="s">
        <v>172</v>
      </c>
      <c r="C152" s="89" t="s">
        <v>48</v>
      </c>
      <c r="D152" s="104" t="s">
        <v>259</v>
      </c>
      <c r="E152" s="104"/>
      <c r="F152" s="104" t="s">
        <v>1267</v>
      </c>
      <c r="G152" s="104" t="s">
        <v>1268</v>
      </c>
      <c r="H152" s="12"/>
      <c r="I152" s="9"/>
      <c r="J152" s="9" t="s">
        <v>67</v>
      </c>
      <c r="K152" s="14"/>
      <c r="L152" s="14"/>
      <c r="M152" s="12"/>
      <c r="N152" s="9"/>
      <c r="O152" s="9"/>
      <c r="P152" s="9"/>
      <c r="Q152" s="38">
        <f t="shared" si="16"/>
        <v>0</v>
      </c>
      <c r="R152" s="12"/>
      <c r="S152" s="42"/>
      <c r="T152" s="15"/>
      <c r="U152" s="44"/>
      <c r="V152" s="15"/>
      <c r="W152" s="44"/>
      <c r="X152" s="15">
        <f t="shared" si="17"/>
        <v>0</v>
      </c>
      <c r="Y152" s="15"/>
      <c r="Z152" s="44"/>
      <c r="AA152" s="15"/>
      <c r="AB152" s="44"/>
      <c r="AC152" s="15"/>
      <c r="AD152" s="44"/>
      <c r="AE152" s="15"/>
      <c r="AF152" s="44"/>
      <c r="AG152" s="15">
        <f t="shared" si="18"/>
        <v>0</v>
      </c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/>
      <c r="BA152" s="42"/>
      <c r="BB152" s="15">
        <f t="shared" si="20"/>
        <v>0</v>
      </c>
      <c r="BC152" s="15"/>
      <c r="BD152" s="44"/>
      <c r="BE152" s="15"/>
      <c r="BF152" s="44"/>
      <c r="BG152" s="15">
        <f t="shared" si="19"/>
        <v>0</v>
      </c>
    </row>
    <row r="153" spans="1:59" s="8" customFormat="1" ht="22.5" customHeight="1">
      <c r="A153" s="9"/>
      <c r="B153" s="16" t="s">
        <v>172</v>
      </c>
      <c r="C153" s="89" t="s">
        <v>48</v>
      </c>
      <c r="D153" s="104" t="s">
        <v>260</v>
      </c>
      <c r="E153" s="104"/>
      <c r="F153" s="104" t="s">
        <v>1269</v>
      </c>
      <c r="G153" s="104" t="s">
        <v>1270</v>
      </c>
      <c r="H153" s="12"/>
      <c r="I153" s="9"/>
      <c r="J153" s="9" t="s">
        <v>67</v>
      </c>
      <c r="K153" s="14"/>
      <c r="L153" s="14"/>
      <c r="M153" s="12">
        <v>348</v>
      </c>
      <c r="N153" s="9"/>
      <c r="O153" s="9"/>
      <c r="P153" s="9"/>
      <c r="Q153" s="38">
        <f t="shared" si="16"/>
        <v>348</v>
      </c>
      <c r="R153" s="12"/>
      <c r="S153" s="42"/>
      <c r="T153" s="15"/>
      <c r="U153" s="44"/>
      <c r="V153" s="15"/>
      <c r="W153" s="44"/>
      <c r="X153" s="15">
        <f t="shared" si="17"/>
        <v>0</v>
      </c>
      <c r="Y153" s="15"/>
      <c r="Z153" s="44"/>
      <c r="AA153" s="15"/>
      <c r="AB153" s="44"/>
      <c r="AC153" s="15"/>
      <c r="AD153" s="44"/>
      <c r="AE153" s="15"/>
      <c r="AF153" s="44"/>
      <c r="AG153" s="15">
        <f t="shared" si="18"/>
        <v>0</v>
      </c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/>
      <c r="BA153" s="42"/>
      <c r="BB153" s="15">
        <f t="shared" si="20"/>
        <v>0</v>
      </c>
      <c r="BC153" s="15"/>
      <c r="BD153" s="44"/>
      <c r="BE153" s="15"/>
      <c r="BF153" s="44"/>
      <c r="BG153" s="15">
        <f t="shared" si="19"/>
        <v>0</v>
      </c>
    </row>
    <row r="154" spans="1:59" s="8" customFormat="1" ht="22.5" customHeight="1">
      <c r="A154" s="9"/>
      <c r="B154" s="16" t="s">
        <v>172</v>
      </c>
      <c r="C154" s="89" t="s">
        <v>48</v>
      </c>
      <c r="D154" s="104" t="s">
        <v>261</v>
      </c>
      <c r="E154" s="104"/>
      <c r="F154" s="104" t="s">
        <v>1271</v>
      </c>
      <c r="G154" s="104" t="s">
        <v>1272</v>
      </c>
      <c r="H154" s="12"/>
      <c r="I154" s="9"/>
      <c r="J154" s="9" t="s">
        <v>67</v>
      </c>
      <c r="K154" s="14"/>
      <c r="L154" s="14"/>
      <c r="M154" s="12"/>
      <c r="N154" s="9"/>
      <c r="O154" s="9"/>
      <c r="P154" s="9"/>
      <c r="Q154" s="38">
        <f t="shared" si="16"/>
        <v>0</v>
      </c>
      <c r="R154" s="12"/>
      <c r="S154" s="42"/>
      <c r="T154" s="15"/>
      <c r="U154" s="44"/>
      <c r="V154" s="15"/>
      <c r="W154" s="44"/>
      <c r="X154" s="15">
        <f t="shared" si="17"/>
        <v>0</v>
      </c>
      <c r="Y154" s="15"/>
      <c r="Z154" s="44"/>
      <c r="AA154" s="15"/>
      <c r="AB154" s="44"/>
      <c r="AC154" s="15"/>
      <c r="AD154" s="44"/>
      <c r="AE154" s="15"/>
      <c r="AF154" s="44"/>
      <c r="AG154" s="15">
        <f t="shared" si="18"/>
        <v>0</v>
      </c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/>
      <c r="BA154" s="42"/>
      <c r="BB154" s="15">
        <f t="shared" si="20"/>
        <v>0</v>
      </c>
      <c r="BC154" s="15"/>
      <c r="BD154" s="44"/>
      <c r="BE154" s="15"/>
      <c r="BF154" s="44"/>
      <c r="BG154" s="15">
        <f t="shared" si="19"/>
        <v>0</v>
      </c>
    </row>
    <row r="155" spans="1:59" s="8" customFormat="1" ht="22.5" customHeight="1">
      <c r="A155" s="9"/>
      <c r="B155" s="16" t="s">
        <v>120</v>
      </c>
      <c r="C155" s="89" t="s">
        <v>48</v>
      </c>
      <c r="D155" s="104" t="s">
        <v>194</v>
      </c>
      <c r="E155" s="104" t="s">
        <v>262</v>
      </c>
      <c r="F155" s="104" t="s">
        <v>1273</v>
      </c>
      <c r="G155" s="104" t="s">
        <v>1274</v>
      </c>
      <c r="H155" s="12"/>
      <c r="I155" s="9"/>
      <c r="J155" s="9" t="s">
        <v>67</v>
      </c>
      <c r="K155" s="14"/>
      <c r="L155" s="14"/>
      <c r="M155" s="12">
        <v>179</v>
      </c>
      <c r="N155" s="9"/>
      <c r="O155" s="9"/>
      <c r="P155" s="9"/>
      <c r="Q155" s="38">
        <f t="shared" si="16"/>
        <v>179</v>
      </c>
      <c r="R155" s="12"/>
      <c r="S155" s="42"/>
      <c r="T155" s="15"/>
      <c r="U155" s="44"/>
      <c r="V155" s="15"/>
      <c r="W155" s="44"/>
      <c r="X155" s="15">
        <f t="shared" si="17"/>
        <v>0</v>
      </c>
      <c r="Y155" s="15"/>
      <c r="Z155" s="44"/>
      <c r="AA155" s="15"/>
      <c r="AB155" s="44"/>
      <c r="AC155" s="15"/>
      <c r="AD155" s="44"/>
      <c r="AE155" s="15"/>
      <c r="AF155" s="44"/>
      <c r="AG155" s="15">
        <f t="shared" si="18"/>
        <v>0</v>
      </c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/>
      <c r="BA155" s="42"/>
      <c r="BB155" s="15">
        <f t="shared" si="20"/>
        <v>0</v>
      </c>
      <c r="BC155" s="15"/>
      <c r="BD155" s="44"/>
      <c r="BE155" s="15"/>
      <c r="BF155" s="44"/>
      <c r="BG155" s="15">
        <f t="shared" si="19"/>
        <v>0</v>
      </c>
    </row>
    <row r="156" spans="1:59" s="8" customFormat="1" ht="22.5" customHeight="1">
      <c r="A156" s="9"/>
      <c r="B156" s="16" t="s">
        <v>120</v>
      </c>
      <c r="C156" s="89" t="s">
        <v>48</v>
      </c>
      <c r="D156" s="104" t="s">
        <v>263</v>
      </c>
      <c r="E156" s="104" t="s">
        <v>264</v>
      </c>
      <c r="F156" s="104" t="s">
        <v>1275</v>
      </c>
      <c r="G156" s="104" t="s">
        <v>1276</v>
      </c>
      <c r="H156" s="12"/>
      <c r="I156" s="9"/>
      <c r="J156" s="9" t="s">
        <v>67</v>
      </c>
      <c r="K156" s="14"/>
      <c r="L156" s="14"/>
      <c r="M156" s="12">
        <v>516</v>
      </c>
      <c r="N156" s="9"/>
      <c r="O156" s="9"/>
      <c r="P156" s="9"/>
      <c r="Q156" s="38">
        <f t="shared" si="16"/>
        <v>516</v>
      </c>
      <c r="R156" s="12"/>
      <c r="S156" s="42"/>
      <c r="T156" s="15"/>
      <c r="U156" s="44"/>
      <c r="V156" s="15"/>
      <c r="W156" s="44"/>
      <c r="X156" s="15">
        <f t="shared" si="17"/>
        <v>0</v>
      </c>
      <c r="Y156" s="15"/>
      <c r="Z156" s="44"/>
      <c r="AA156" s="15"/>
      <c r="AB156" s="44"/>
      <c r="AC156" s="15"/>
      <c r="AD156" s="44"/>
      <c r="AE156" s="15"/>
      <c r="AF156" s="44"/>
      <c r="AG156" s="15">
        <f t="shared" si="18"/>
        <v>0</v>
      </c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/>
      <c r="BA156" s="42"/>
      <c r="BB156" s="15">
        <f t="shared" si="20"/>
        <v>0</v>
      </c>
      <c r="BC156" s="15"/>
      <c r="BD156" s="44"/>
      <c r="BE156" s="15"/>
      <c r="BF156" s="44"/>
      <c r="BG156" s="15">
        <f t="shared" si="19"/>
        <v>0</v>
      </c>
    </row>
    <row r="157" spans="1:59" s="8" customFormat="1" ht="22.5" customHeight="1">
      <c r="A157" s="9"/>
      <c r="B157" s="16" t="s">
        <v>120</v>
      </c>
      <c r="C157" s="89" t="s">
        <v>48</v>
      </c>
      <c r="D157" s="104" t="s">
        <v>265</v>
      </c>
      <c r="E157" s="104" t="s">
        <v>266</v>
      </c>
      <c r="F157" s="104" t="s">
        <v>1277</v>
      </c>
      <c r="G157" s="104" t="s">
        <v>1278</v>
      </c>
      <c r="H157" s="12"/>
      <c r="I157" s="9"/>
      <c r="J157" s="9" t="s">
        <v>67</v>
      </c>
      <c r="K157" s="14"/>
      <c r="L157" s="14"/>
      <c r="M157" s="12">
        <v>148</v>
      </c>
      <c r="N157" s="9"/>
      <c r="O157" s="9"/>
      <c r="P157" s="9"/>
      <c r="Q157" s="38">
        <f t="shared" si="16"/>
        <v>148</v>
      </c>
      <c r="R157" s="12"/>
      <c r="S157" s="42"/>
      <c r="T157" s="15"/>
      <c r="U157" s="44"/>
      <c r="V157" s="15"/>
      <c r="W157" s="44"/>
      <c r="X157" s="15">
        <f t="shared" si="17"/>
        <v>0</v>
      </c>
      <c r="Y157" s="15"/>
      <c r="Z157" s="44"/>
      <c r="AA157" s="15"/>
      <c r="AB157" s="44"/>
      <c r="AC157" s="15"/>
      <c r="AD157" s="44"/>
      <c r="AE157" s="15"/>
      <c r="AF157" s="44"/>
      <c r="AG157" s="15">
        <f t="shared" si="18"/>
        <v>0</v>
      </c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/>
      <c r="BA157" s="42"/>
      <c r="BB157" s="15">
        <f t="shared" si="20"/>
        <v>0</v>
      </c>
      <c r="BC157" s="15"/>
      <c r="BD157" s="44"/>
      <c r="BE157" s="15"/>
      <c r="BF157" s="44"/>
      <c r="BG157" s="15">
        <f t="shared" si="19"/>
        <v>0</v>
      </c>
    </row>
    <row r="158" spans="1:59" s="8" customFormat="1" ht="22.5" customHeight="1">
      <c r="A158" s="9"/>
      <c r="B158" s="16" t="s">
        <v>120</v>
      </c>
      <c r="C158" s="89" t="s">
        <v>48</v>
      </c>
      <c r="D158" s="104" t="s">
        <v>196</v>
      </c>
      <c r="E158" s="104" t="s">
        <v>267</v>
      </c>
      <c r="F158" s="104" t="s">
        <v>1279</v>
      </c>
      <c r="G158" s="104" t="s">
        <v>1280</v>
      </c>
      <c r="H158" s="12"/>
      <c r="I158" s="9"/>
      <c r="J158" s="9" t="s">
        <v>67</v>
      </c>
      <c r="K158" s="14"/>
      <c r="L158" s="14"/>
      <c r="M158" s="12">
        <v>120</v>
      </c>
      <c r="N158" s="9"/>
      <c r="O158" s="9"/>
      <c r="P158" s="9"/>
      <c r="Q158" s="38">
        <f t="shared" si="16"/>
        <v>120</v>
      </c>
      <c r="R158" s="12"/>
      <c r="S158" s="42"/>
      <c r="T158" s="15"/>
      <c r="U158" s="44"/>
      <c r="V158" s="15"/>
      <c r="W158" s="44"/>
      <c r="X158" s="15">
        <f t="shared" si="17"/>
        <v>0</v>
      </c>
      <c r="Y158" s="15"/>
      <c r="Z158" s="44"/>
      <c r="AA158" s="15"/>
      <c r="AB158" s="44"/>
      <c r="AC158" s="15"/>
      <c r="AD158" s="44"/>
      <c r="AE158" s="15"/>
      <c r="AF158" s="44"/>
      <c r="AG158" s="15">
        <f t="shared" si="18"/>
        <v>0</v>
      </c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/>
      <c r="BA158" s="42"/>
      <c r="BB158" s="15">
        <f t="shared" si="20"/>
        <v>0</v>
      </c>
      <c r="BC158" s="15"/>
      <c r="BD158" s="44"/>
      <c r="BE158" s="15"/>
      <c r="BF158" s="44"/>
      <c r="BG158" s="15">
        <f t="shared" si="19"/>
        <v>0</v>
      </c>
    </row>
    <row r="159" spans="1:59" s="8" customFormat="1" ht="22.5" customHeight="1">
      <c r="A159" s="9"/>
      <c r="B159" s="16" t="s">
        <v>120</v>
      </c>
      <c r="C159" s="89" t="s">
        <v>48</v>
      </c>
      <c r="D159" s="104" t="s">
        <v>198</v>
      </c>
      <c r="E159" s="104" t="s">
        <v>268</v>
      </c>
      <c r="F159" s="104" t="s">
        <v>1281</v>
      </c>
      <c r="G159" s="104" t="s">
        <v>1282</v>
      </c>
      <c r="H159" s="12"/>
      <c r="I159" s="9"/>
      <c r="J159" s="9" t="s">
        <v>67</v>
      </c>
      <c r="K159" s="14"/>
      <c r="L159" s="14"/>
      <c r="M159" s="12">
        <v>509</v>
      </c>
      <c r="N159" s="9"/>
      <c r="O159" s="9"/>
      <c r="P159" s="9"/>
      <c r="Q159" s="38">
        <f t="shared" si="16"/>
        <v>509</v>
      </c>
      <c r="R159" s="12"/>
      <c r="S159" s="42"/>
      <c r="T159" s="15"/>
      <c r="U159" s="44"/>
      <c r="V159" s="15"/>
      <c r="W159" s="44"/>
      <c r="X159" s="15">
        <f t="shared" si="17"/>
        <v>0</v>
      </c>
      <c r="Y159" s="15"/>
      <c r="Z159" s="44"/>
      <c r="AA159" s="15"/>
      <c r="AB159" s="44"/>
      <c r="AC159" s="15"/>
      <c r="AD159" s="44"/>
      <c r="AE159" s="15"/>
      <c r="AF159" s="44"/>
      <c r="AG159" s="15">
        <f t="shared" si="18"/>
        <v>0</v>
      </c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/>
      <c r="BA159" s="42"/>
      <c r="BB159" s="15">
        <f t="shared" si="20"/>
        <v>0</v>
      </c>
      <c r="BC159" s="15"/>
      <c r="BD159" s="44"/>
      <c r="BE159" s="15"/>
      <c r="BF159" s="44"/>
      <c r="BG159" s="15">
        <f t="shared" si="19"/>
        <v>0</v>
      </c>
    </row>
    <row r="160" spans="1:59" s="8" customFormat="1" ht="22.5" customHeight="1">
      <c r="A160" s="9"/>
      <c r="B160" s="16" t="s">
        <v>120</v>
      </c>
      <c r="C160" s="89" t="s">
        <v>48</v>
      </c>
      <c r="D160" s="104" t="s">
        <v>200</v>
      </c>
      <c r="E160" s="104" t="s">
        <v>269</v>
      </c>
      <c r="F160" s="104" t="s">
        <v>1283</v>
      </c>
      <c r="G160" s="104" t="s">
        <v>1284</v>
      </c>
      <c r="H160" s="12"/>
      <c r="I160" s="9"/>
      <c r="J160" s="9" t="s">
        <v>67</v>
      </c>
      <c r="K160" s="14"/>
      <c r="L160" s="14"/>
      <c r="M160" s="12">
        <v>506</v>
      </c>
      <c r="N160" s="9"/>
      <c r="O160" s="9"/>
      <c r="P160" s="9"/>
      <c r="Q160" s="38">
        <f t="shared" si="16"/>
        <v>506</v>
      </c>
      <c r="R160" s="12"/>
      <c r="S160" s="42"/>
      <c r="T160" s="15"/>
      <c r="U160" s="44"/>
      <c r="V160" s="15"/>
      <c r="W160" s="44"/>
      <c r="X160" s="15">
        <f t="shared" si="17"/>
        <v>0</v>
      </c>
      <c r="Y160" s="15"/>
      <c r="Z160" s="44"/>
      <c r="AA160" s="15"/>
      <c r="AB160" s="44"/>
      <c r="AC160" s="15"/>
      <c r="AD160" s="44"/>
      <c r="AE160" s="15"/>
      <c r="AF160" s="44"/>
      <c r="AG160" s="15">
        <f t="shared" si="18"/>
        <v>0</v>
      </c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/>
      <c r="BA160" s="42"/>
      <c r="BB160" s="15">
        <f t="shared" si="20"/>
        <v>0</v>
      </c>
      <c r="BC160" s="15"/>
      <c r="BD160" s="44"/>
      <c r="BE160" s="15"/>
      <c r="BF160" s="44"/>
      <c r="BG160" s="15">
        <f t="shared" si="19"/>
        <v>0</v>
      </c>
    </row>
    <row r="161" spans="1:59" s="8" customFormat="1" ht="22.5" customHeight="1">
      <c r="A161" s="9"/>
      <c r="B161" s="16" t="s">
        <v>120</v>
      </c>
      <c r="C161" s="89" t="s">
        <v>48</v>
      </c>
      <c r="D161" s="104" t="s">
        <v>270</v>
      </c>
      <c r="E161" s="104" t="s">
        <v>271</v>
      </c>
      <c r="F161" s="104" t="s">
        <v>1285</v>
      </c>
      <c r="G161" s="104" t="s">
        <v>1286</v>
      </c>
      <c r="H161" s="12"/>
      <c r="I161" s="9"/>
      <c r="J161" s="9" t="s">
        <v>67</v>
      </c>
      <c r="K161" s="14"/>
      <c r="L161" s="14"/>
      <c r="M161" s="12">
        <v>52</v>
      </c>
      <c r="N161" s="9"/>
      <c r="O161" s="9"/>
      <c r="P161" s="9"/>
      <c r="Q161" s="38">
        <f t="shared" si="16"/>
        <v>52</v>
      </c>
      <c r="R161" s="12"/>
      <c r="S161" s="42"/>
      <c r="T161" s="15"/>
      <c r="U161" s="44"/>
      <c r="V161" s="15"/>
      <c r="W161" s="44"/>
      <c r="X161" s="15">
        <f t="shared" si="17"/>
        <v>0</v>
      </c>
      <c r="Y161" s="15"/>
      <c r="Z161" s="44"/>
      <c r="AA161" s="15"/>
      <c r="AB161" s="44"/>
      <c r="AC161" s="15"/>
      <c r="AD161" s="44"/>
      <c r="AE161" s="15"/>
      <c r="AF161" s="44"/>
      <c r="AG161" s="15">
        <f t="shared" si="18"/>
        <v>0</v>
      </c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/>
      <c r="BA161" s="42"/>
      <c r="BB161" s="15">
        <f t="shared" si="20"/>
        <v>0</v>
      </c>
      <c r="BC161" s="15"/>
      <c r="BD161" s="44"/>
      <c r="BE161" s="15"/>
      <c r="BF161" s="44"/>
      <c r="BG161" s="15">
        <f t="shared" si="19"/>
        <v>0</v>
      </c>
    </row>
    <row r="162" spans="1:59" s="8" customFormat="1" ht="22.5" customHeight="1">
      <c r="A162" s="9"/>
      <c r="B162" s="16" t="s">
        <v>120</v>
      </c>
      <c r="C162" s="89" t="s">
        <v>48</v>
      </c>
      <c r="D162" s="104" t="s">
        <v>272</v>
      </c>
      <c r="E162" s="104" t="s">
        <v>273</v>
      </c>
      <c r="F162" s="104" t="s">
        <v>1287</v>
      </c>
      <c r="G162" s="104" t="s">
        <v>1288</v>
      </c>
      <c r="H162" s="12"/>
      <c r="I162" s="9"/>
      <c r="J162" s="9" t="s">
        <v>67</v>
      </c>
      <c r="K162" s="14"/>
      <c r="L162" s="14"/>
      <c r="M162" s="12">
        <v>200</v>
      </c>
      <c r="N162" s="9"/>
      <c r="O162" s="9"/>
      <c r="P162" s="9"/>
      <c r="Q162" s="38">
        <f t="shared" si="16"/>
        <v>200</v>
      </c>
      <c r="R162" s="12"/>
      <c r="S162" s="42"/>
      <c r="T162" s="15"/>
      <c r="U162" s="44"/>
      <c r="V162" s="15"/>
      <c r="W162" s="44"/>
      <c r="X162" s="15">
        <f t="shared" si="17"/>
        <v>0</v>
      </c>
      <c r="Y162" s="15"/>
      <c r="Z162" s="44"/>
      <c r="AA162" s="15"/>
      <c r="AB162" s="44"/>
      <c r="AC162" s="15"/>
      <c r="AD162" s="44"/>
      <c r="AE162" s="15"/>
      <c r="AF162" s="44"/>
      <c r="AG162" s="15">
        <f t="shared" si="18"/>
        <v>0</v>
      </c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/>
      <c r="BA162" s="42"/>
      <c r="BB162" s="15">
        <f t="shared" si="20"/>
        <v>0</v>
      </c>
      <c r="BC162" s="15"/>
      <c r="BD162" s="44"/>
      <c r="BE162" s="15"/>
      <c r="BF162" s="44"/>
      <c r="BG162" s="15">
        <f t="shared" si="19"/>
        <v>0</v>
      </c>
    </row>
    <row r="163" spans="1:59" s="8" customFormat="1" ht="22.5" customHeight="1">
      <c r="A163" s="9"/>
      <c r="B163" s="16" t="s">
        <v>120</v>
      </c>
      <c r="C163" s="89" t="s">
        <v>48</v>
      </c>
      <c r="D163" s="104" t="s">
        <v>274</v>
      </c>
      <c r="E163" s="104" t="s">
        <v>275</v>
      </c>
      <c r="F163" s="104" t="s">
        <v>1289</v>
      </c>
      <c r="G163" s="104" t="s">
        <v>1290</v>
      </c>
      <c r="H163" s="12"/>
      <c r="I163" s="9"/>
      <c r="J163" s="9" t="s">
        <v>67</v>
      </c>
      <c r="K163" s="14"/>
      <c r="L163" s="14"/>
      <c r="M163" s="12">
        <v>278</v>
      </c>
      <c r="N163" s="9"/>
      <c r="O163" s="9"/>
      <c r="P163" s="9"/>
      <c r="Q163" s="38">
        <f t="shared" si="16"/>
        <v>278</v>
      </c>
      <c r="R163" s="12"/>
      <c r="S163" s="42"/>
      <c r="T163" s="15"/>
      <c r="U163" s="44"/>
      <c r="V163" s="15"/>
      <c r="W163" s="44"/>
      <c r="X163" s="15">
        <f t="shared" si="17"/>
        <v>0</v>
      </c>
      <c r="Y163" s="15"/>
      <c r="Z163" s="44"/>
      <c r="AA163" s="15"/>
      <c r="AB163" s="44"/>
      <c r="AC163" s="15"/>
      <c r="AD163" s="44"/>
      <c r="AE163" s="15"/>
      <c r="AF163" s="44"/>
      <c r="AG163" s="15">
        <f t="shared" si="18"/>
        <v>0</v>
      </c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/>
      <c r="BA163" s="42"/>
      <c r="BB163" s="15">
        <f t="shared" si="20"/>
        <v>0</v>
      </c>
      <c r="BC163" s="15"/>
      <c r="BD163" s="44"/>
      <c r="BE163" s="15"/>
      <c r="BF163" s="44"/>
      <c r="BG163" s="15">
        <f t="shared" si="19"/>
        <v>0</v>
      </c>
    </row>
    <row r="164" spans="1:59" s="8" customFormat="1" ht="22.5" customHeight="1">
      <c r="A164" s="9"/>
      <c r="B164" s="16" t="s">
        <v>187</v>
      </c>
      <c r="C164" s="89" t="s">
        <v>48</v>
      </c>
      <c r="D164" s="104" t="s">
        <v>276</v>
      </c>
      <c r="E164" s="104" t="s">
        <v>277</v>
      </c>
      <c r="F164" s="104" t="s">
        <v>1291</v>
      </c>
      <c r="G164" s="104" t="s">
        <v>1292</v>
      </c>
      <c r="H164" s="12"/>
      <c r="I164" s="9"/>
      <c r="J164" s="9" t="s">
        <v>67</v>
      </c>
      <c r="K164" s="14"/>
      <c r="L164" s="14"/>
      <c r="M164" s="12">
        <v>504</v>
      </c>
      <c r="N164" s="9"/>
      <c r="O164" s="9"/>
      <c r="P164" s="9"/>
      <c r="Q164" s="38">
        <f t="shared" si="16"/>
        <v>504</v>
      </c>
      <c r="R164" s="12"/>
      <c r="S164" s="42"/>
      <c r="T164" s="15"/>
      <c r="U164" s="44"/>
      <c r="V164" s="15"/>
      <c r="W164" s="44"/>
      <c r="X164" s="15">
        <f t="shared" si="17"/>
        <v>0</v>
      </c>
      <c r="Y164" s="15"/>
      <c r="Z164" s="44"/>
      <c r="AA164" s="15"/>
      <c r="AB164" s="44"/>
      <c r="AC164" s="15"/>
      <c r="AD164" s="44"/>
      <c r="AE164" s="15"/>
      <c r="AF164" s="44"/>
      <c r="AG164" s="15">
        <f t="shared" si="18"/>
        <v>0</v>
      </c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/>
      <c r="BA164" s="42"/>
      <c r="BB164" s="15">
        <f t="shared" si="20"/>
        <v>0</v>
      </c>
      <c r="BC164" s="15"/>
      <c r="BD164" s="44"/>
      <c r="BE164" s="15"/>
      <c r="BF164" s="44"/>
      <c r="BG164" s="15">
        <f t="shared" ref="BG164:BG181" si="21">(BC164+BE164)</f>
        <v>0</v>
      </c>
    </row>
    <row r="165" spans="1:59" s="8" customFormat="1" ht="22.5" customHeight="1">
      <c r="A165" s="9"/>
      <c r="B165" s="16" t="s">
        <v>204</v>
      </c>
      <c r="C165" s="89" t="s">
        <v>48</v>
      </c>
      <c r="D165" s="104" t="s">
        <v>278</v>
      </c>
      <c r="E165" s="104" t="s">
        <v>279</v>
      </c>
      <c r="F165" s="104" t="s">
        <v>1293</v>
      </c>
      <c r="G165" s="104" t="s">
        <v>1294</v>
      </c>
      <c r="H165" s="12"/>
      <c r="I165" s="9"/>
      <c r="J165" s="9" t="s">
        <v>207</v>
      </c>
      <c r="K165" s="14"/>
      <c r="L165" s="14"/>
      <c r="M165" s="12">
        <v>304</v>
      </c>
      <c r="N165" s="9"/>
      <c r="O165" s="9"/>
      <c r="P165" s="9"/>
      <c r="Q165" s="38">
        <f t="shared" si="16"/>
        <v>304</v>
      </c>
      <c r="R165" s="12"/>
      <c r="S165" s="42"/>
      <c r="T165" s="15"/>
      <c r="U165" s="44"/>
      <c r="V165" s="15"/>
      <c r="W165" s="44"/>
      <c r="X165" s="15">
        <f t="shared" si="17"/>
        <v>0</v>
      </c>
      <c r="Y165" s="15"/>
      <c r="Z165" s="44"/>
      <c r="AA165" s="15"/>
      <c r="AB165" s="44"/>
      <c r="AC165" s="15"/>
      <c r="AD165" s="44"/>
      <c r="AE165" s="15"/>
      <c r="AF165" s="44"/>
      <c r="AG165" s="15">
        <f t="shared" si="18"/>
        <v>0</v>
      </c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/>
      <c r="BA165" s="42"/>
      <c r="BB165" s="15">
        <f t="shared" si="20"/>
        <v>0</v>
      </c>
      <c r="BC165" s="15"/>
      <c r="BD165" s="44"/>
      <c r="BE165" s="15"/>
      <c r="BF165" s="44"/>
      <c r="BG165" s="15">
        <f t="shared" si="21"/>
        <v>0</v>
      </c>
    </row>
    <row r="166" spans="1:59" s="8" customFormat="1" ht="22.5" customHeight="1">
      <c r="A166" s="9"/>
      <c r="B166" s="16" t="s">
        <v>204</v>
      </c>
      <c r="C166" s="89" t="s">
        <v>48</v>
      </c>
      <c r="D166" s="104" t="s">
        <v>280</v>
      </c>
      <c r="E166" s="104" t="s">
        <v>281</v>
      </c>
      <c r="F166" s="104" t="s">
        <v>1295</v>
      </c>
      <c r="G166" s="104" t="s">
        <v>1296</v>
      </c>
      <c r="H166" s="12"/>
      <c r="I166" s="9"/>
      <c r="J166" s="9" t="s">
        <v>207</v>
      </c>
      <c r="K166" s="14"/>
      <c r="L166" s="14"/>
      <c r="M166" s="12">
        <v>443</v>
      </c>
      <c r="N166" s="9"/>
      <c r="O166" s="9"/>
      <c r="P166" s="9"/>
      <c r="Q166" s="38">
        <f t="shared" si="16"/>
        <v>443</v>
      </c>
      <c r="R166" s="12"/>
      <c r="S166" s="42"/>
      <c r="T166" s="15"/>
      <c r="U166" s="44"/>
      <c r="V166" s="15"/>
      <c r="W166" s="44"/>
      <c r="X166" s="15">
        <f t="shared" si="17"/>
        <v>0</v>
      </c>
      <c r="Y166" s="15"/>
      <c r="Z166" s="44"/>
      <c r="AA166" s="15"/>
      <c r="AB166" s="44"/>
      <c r="AC166" s="15"/>
      <c r="AD166" s="44"/>
      <c r="AE166" s="15"/>
      <c r="AF166" s="44"/>
      <c r="AG166" s="15">
        <f t="shared" si="18"/>
        <v>0</v>
      </c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/>
      <c r="BA166" s="42"/>
      <c r="BB166" s="15">
        <f t="shared" si="20"/>
        <v>0</v>
      </c>
      <c r="BC166" s="15"/>
      <c r="BD166" s="44"/>
      <c r="BE166" s="15"/>
      <c r="BF166" s="44"/>
      <c r="BG166" s="15">
        <f t="shared" si="21"/>
        <v>0</v>
      </c>
    </row>
    <row r="167" spans="1:59" s="8" customFormat="1" ht="22.5" customHeight="1">
      <c r="A167" s="9"/>
      <c r="B167" s="16" t="s">
        <v>204</v>
      </c>
      <c r="C167" s="89" t="s">
        <v>48</v>
      </c>
      <c r="D167" s="104" t="s">
        <v>282</v>
      </c>
      <c r="E167" s="104" t="s">
        <v>206</v>
      </c>
      <c r="F167" s="104" t="s">
        <v>1297</v>
      </c>
      <c r="G167" s="104" t="s">
        <v>1298</v>
      </c>
      <c r="H167" s="12"/>
      <c r="I167" s="9"/>
      <c r="J167" s="9" t="s">
        <v>207</v>
      </c>
      <c r="K167" s="14"/>
      <c r="L167" s="14"/>
      <c r="M167" s="12">
        <v>500</v>
      </c>
      <c r="N167" s="9"/>
      <c r="O167" s="9"/>
      <c r="P167" s="9"/>
      <c r="Q167" s="38">
        <f t="shared" si="16"/>
        <v>500</v>
      </c>
      <c r="R167" s="12"/>
      <c r="S167" s="42"/>
      <c r="T167" s="15"/>
      <c r="U167" s="44"/>
      <c r="V167" s="15"/>
      <c r="W167" s="44"/>
      <c r="X167" s="15">
        <f t="shared" si="17"/>
        <v>0</v>
      </c>
      <c r="Y167" s="15"/>
      <c r="Z167" s="44"/>
      <c r="AA167" s="15"/>
      <c r="AB167" s="44"/>
      <c r="AC167" s="15"/>
      <c r="AD167" s="44"/>
      <c r="AE167" s="15"/>
      <c r="AF167" s="44"/>
      <c r="AG167" s="15">
        <f t="shared" si="18"/>
        <v>0</v>
      </c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/>
      <c r="BA167" s="42"/>
      <c r="BB167" s="15">
        <f t="shared" si="20"/>
        <v>0</v>
      </c>
      <c r="BC167" s="15"/>
      <c r="BD167" s="44"/>
      <c r="BE167" s="15"/>
      <c r="BF167" s="44"/>
      <c r="BG167" s="15">
        <f t="shared" si="21"/>
        <v>0</v>
      </c>
    </row>
    <row r="168" spans="1:59" s="8" customFormat="1" ht="22.5" customHeight="1">
      <c r="A168" s="9"/>
      <c r="B168" s="16" t="s">
        <v>204</v>
      </c>
      <c r="C168" s="89" t="s">
        <v>48</v>
      </c>
      <c r="D168" s="104" t="s">
        <v>216</v>
      </c>
      <c r="E168" s="104" t="s">
        <v>279</v>
      </c>
      <c r="F168" s="104" t="s">
        <v>1299</v>
      </c>
      <c r="G168" s="104" t="s">
        <v>1300</v>
      </c>
      <c r="H168" s="12"/>
      <c r="I168" s="9"/>
      <c r="J168" s="9" t="s">
        <v>207</v>
      </c>
      <c r="K168" s="14"/>
      <c r="L168" s="14"/>
      <c r="M168" s="12">
        <v>274</v>
      </c>
      <c r="N168" s="9"/>
      <c r="O168" s="9"/>
      <c r="P168" s="9"/>
      <c r="Q168" s="38">
        <f t="shared" si="16"/>
        <v>274</v>
      </c>
      <c r="R168" s="12"/>
      <c r="S168" s="42"/>
      <c r="T168" s="15"/>
      <c r="U168" s="44"/>
      <c r="V168" s="15"/>
      <c r="W168" s="44"/>
      <c r="X168" s="15">
        <f t="shared" si="17"/>
        <v>0</v>
      </c>
      <c r="Y168" s="15"/>
      <c r="Z168" s="44"/>
      <c r="AA168" s="15"/>
      <c r="AB168" s="44"/>
      <c r="AC168" s="15"/>
      <c r="AD168" s="44"/>
      <c r="AE168" s="15"/>
      <c r="AF168" s="44"/>
      <c r="AG168" s="15">
        <f t="shared" si="18"/>
        <v>0</v>
      </c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/>
      <c r="BA168" s="42"/>
      <c r="BB168" s="15">
        <f t="shared" si="20"/>
        <v>0</v>
      </c>
      <c r="BC168" s="15"/>
      <c r="BD168" s="44"/>
      <c r="BE168" s="15"/>
      <c r="BF168" s="44"/>
      <c r="BG168" s="15">
        <f t="shared" si="21"/>
        <v>0</v>
      </c>
    </row>
    <row r="169" spans="1:59" s="8" customFormat="1" ht="22.5" customHeight="1">
      <c r="A169" s="9"/>
      <c r="B169" s="16" t="s">
        <v>204</v>
      </c>
      <c r="C169" s="89" t="s">
        <v>48</v>
      </c>
      <c r="D169" s="104" t="s">
        <v>283</v>
      </c>
      <c r="E169" s="104" t="s">
        <v>206</v>
      </c>
      <c r="F169" s="104" t="s">
        <v>1301</v>
      </c>
      <c r="G169" s="104" t="s">
        <v>1302</v>
      </c>
      <c r="H169" s="12"/>
      <c r="I169" s="9"/>
      <c r="J169" s="9" t="s">
        <v>207</v>
      </c>
      <c r="K169" s="14"/>
      <c r="L169" s="14"/>
      <c r="M169" s="12">
        <v>313</v>
      </c>
      <c r="N169" s="9"/>
      <c r="O169" s="9"/>
      <c r="P169" s="9"/>
      <c r="Q169" s="38">
        <f t="shared" si="16"/>
        <v>313</v>
      </c>
      <c r="R169" s="12"/>
      <c r="S169" s="42"/>
      <c r="T169" s="15"/>
      <c r="U169" s="44"/>
      <c r="V169" s="15"/>
      <c r="W169" s="44"/>
      <c r="X169" s="15">
        <f t="shared" si="17"/>
        <v>0</v>
      </c>
      <c r="Y169" s="15"/>
      <c r="Z169" s="44"/>
      <c r="AA169" s="15"/>
      <c r="AB169" s="44"/>
      <c r="AC169" s="15"/>
      <c r="AD169" s="44"/>
      <c r="AE169" s="15"/>
      <c r="AF169" s="44"/>
      <c r="AG169" s="15">
        <f t="shared" si="18"/>
        <v>0</v>
      </c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/>
      <c r="BA169" s="42"/>
      <c r="BB169" s="15">
        <f t="shared" si="20"/>
        <v>0</v>
      </c>
      <c r="BC169" s="15"/>
      <c r="BD169" s="44"/>
      <c r="BE169" s="15"/>
      <c r="BF169" s="44"/>
      <c r="BG169" s="15">
        <f t="shared" si="21"/>
        <v>0</v>
      </c>
    </row>
    <row r="170" spans="1:59" s="8" customFormat="1" ht="22.5" customHeight="1">
      <c r="A170" s="9"/>
      <c r="B170" s="16" t="s">
        <v>204</v>
      </c>
      <c r="C170" s="89" t="s">
        <v>48</v>
      </c>
      <c r="D170" s="104" t="s">
        <v>284</v>
      </c>
      <c r="E170" s="104" t="s">
        <v>237</v>
      </c>
      <c r="F170" s="104" t="s">
        <v>1303</v>
      </c>
      <c r="G170" s="104" t="s">
        <v>1304</v>
      </c>
      <c r="H170" s="12"/>
      <c r="I170" s="9"/>
      <c r="J170" s="9" t="s">
        <v>207</v>
      </c>
      <c r="K170" s="14"/>
      <c r="L170" s="14"/>
      <c r="M170" s="12">
        <v>260</v>
      </c>
      <c r="N170" s="9"/>
      <c r="O170" s="9"/>
      <c r="P170" s="9"/>
      <c r="Q170" s="38">
        <f t="shared" si="16"/>
        <v>260</v>
      </c>
      <c r="R170" s="12"/>
      <c r="S170" s="42"/>
      <c r="T170" s="15"/>
      <c r="U170" s="44"/>
      <c r="V170" s="15"/>
      <c r="W170" s="44"/>
      <c r="X170" s="15">
        <f t="shared" si="17"/>
        <v>0</v>
      </c>
      <c r="Y170" s="15"/>
      <c r="Z170" s="44"/>
      <c r="AA170" s="15"/>
      <c r="AB170" s="44"/>
      <c r="AC170" s="15"/>
      <c r="AD170" s="44"/>
      <c r="AE170" s="15"/>
      <c r="AF170" s="44"/>
      <c r="AG170" s="15">
        <f t="shared" si="18"/>
        <v>0</v>
      </c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/>
      <c r="BA170" s="42"/>
      <c r="BB170" s="15">
        <f t="shared" ref="BB170:BB181" si="22">AH170+AJ170+AL170+AN170+AP170+AR170+AT170+AV170+AX170+AZ170</f>
        <v>0</v>
      </c>
      <c r="BC170" s="15"/>
      <c r="BD170" s="44"/>
      <c r="BE170" s="15"/>
      <c r="BF170" s="44"/>
      <c r="BG170" s="15">
        <f t="shared" si="21"/>
        <v>0</v>
      </c>
    </row>
    <row r="171" spans="1:59" s="8" customFormat="1" ht="22.5" customHeight="1">
      <c r="A171" s="9"/>
      <c r="B171" s="16" t="s">
        <v>204</v>
      </c>
      <c r="C171" s="89" t="s">
        <v>48</v>
      </c>
      <c r="D171" s="104" t="s">
        <v>285</v>
      </c>
      <c r="E171" s="104" t="s">
        <v>279</v>
      </c>
      <c r="F171" s="104" t="s">
        <v>1305</v>
      </c>
      <c r="G171" s="104" t="s">
        <v>1306</v>
      </c>
      <c r="H171" s="12"/>
      <c r="I171" s="9"/>
      <c r="J171" s="9" t="s">
        <v>207</v>
      </c>
      <c r="K171" s="14"/>
      <c r="L171" s="14"/>
      <c r="M171" s="12">
        <v>500</v>
      </c>
      <c r="N171" s="9"/>
      <c r="O171" s="9"/>
      <c r="P171" s="9"/>
      <c r="Q171" s="38">
        <f t="shared" si="16"/>
        <v>500</v>
      </c>
      <c r="R171" s="12"/>
      <c r="S171" s="42"/>
      <c r="T171" s="15"/>
      <c r="U171" s="44"/>
      <c r="V171" s="15"/>
      <c r="W171" s="44"/>
      <c r="X171" s="15">
        <f t="shared" si="17"/>
        <v>0</v>
      </c>
      <c r="Y171" s="15"/>
      <c r="Z171" s="44"/>
      <c r="AA171" s="15"/>
      <c r="AB171" s="44"/>
      <c r="AC171" s="15"/>
      <c r="AD171" s="44"/>
      <c r="AE171" s="15"/>
      <c r="AF171" s="44"/>
      <c r="AG171" s="15">
        <f t="shared" si="18"/>
        <v>0</v>
      </c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/>
      <c r="BA171" s="42"/>
      <c r="BB171" s="15">
        <f t="shared" si="22"/>
        <v>0</v>
      </c>
      <c r="BC171" s="15"/>
      <c r="BD171" s="44"/>
      <c r="BE171" s="15"/>
      <c r="BF171" s="44"/>
      <c r="BG171" s="15">
        <f t="shared" si="21"/>
        <v>0</v>
      </c>
    </row>
    <row r="172" spans="1:59" s="8" customFormat="1" ht="22.5" customHeight="1">
      <c r="A172" s="9"/>
      <c r="B172" s="16" t="s">
        <v>204</v>
      </c>
      <c r="C172" s="89" t="s">
        <v>48</v>
      </c>
      <c r="D172" s="104" t="s">
        <v>286</v>
      </c>
      <c r="E172" s="104" t="s">
        <v>287</v>
      </c>
      <c r="F172" s="104" t="s">
        <v>1307</v>
      </c>
      <c r="G172" s="104" t="s">
        <v>1308</v>
      </c>
      <c r="H172" s="12"/>
      <c r="I172" s="9"/>
      <c r="J172" s="9" t="s">
        <v>207</v>
      </c>
      <c r="K172" s="14"/>
      <c r="L172" s="14"/>
      <c r="M172" s="12">
        <v>476</v>
      </c>
      <c r="N172" s="9"/>
      <c r="O172" s="9"/>
      <c r="P172" s="9"/>
      <c r="Q172" s="38">
        <f t="shared" si="16"/>
        <v>476</v>
      </c>
      <c r="R172" s="12"/>
      <c r="S172" s="42"/>
      <c r="T172" s="15"/>
      <c r="U172" s="44"/>
      <c r="V172" s="15"/>
      <c r="W172" s="44"/>
      <c r="X172" s="15">
        <f t="shared" si="17"/>
        <v>0</v>
      </c>
      <c r="Y172" s="15"/>
      <c r="Z172" s="44"/>
      <c r="AA172" s="15"/>
      <c r="AB172" s="44"/>
      <c r="AC172" s="15"/>
      <c r="AD172" s="44"/>
      <c r="AE172" s="15"/>
      <c r="AF172" s="44"/>
      <c r="AG172" s="15">
        <f t="shared" si="18"/>
        <v>0</v>
      </c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/>
      <c r="BA172" s="42"/>
      <c r="BB172" s="15">
        <f t="shared" si="22"/>
        <v>0</v>
      </c>
      <c r="BC172" s="15"/>
      <c r="BD172" s="44"/>
      <c r="BE172" s="15"/>
      <c r="BF172" s="44"/>
      <c r="BG172" s="15">
        <f t="shared" si="21"/>
        <v>0</v>
      </c>
    </row>
    <row r="173" spans="1:59" s="8" customFormat="1" ht="22.5" customHeight="1">
      <c r="A173" s="9"/>
      <c r="B173" s="16" t="s">
        <v>204</v>
      </c>
      <c r="C173" s="89" t="s">
        <v>48</v>
      </c>
      <c r="D173" s="104" t="s">
        <v>288</v>
      </c>
      <c r="E173" s="104" t="s">
        <v>281</v>
      </c>
      <c r="F173" s="104" t="s">
        <v>1309</v>
      </c>
      <c r="G173" s="104" t="s">
        <v>1310</v>
      </c>
      <c r="H173" s="12"/>
      <c r="I173" s="9"/>
      <c r="J173" s="9" t="s">
        <v>207</v>
      </c>
      <c r="K173" s="14"/>
      <c r="L173" s="14"/>
      <c r="M173" s="12">
        <v>399</v>
      </c>
      <c r="N173" s="9"/>
      <c r="O173" s="9"/>
      <c r="P173" s="9"/>
      <c r="Q173" s="38">
        <f t="shared" si="16"/>
        <v>399</v>
      </c>
      <c r="R173" s="12"/>
      <c r="S173" s="42"/>
      <c r="T173" s="15"/>
      <c r="U173" s="44"/>
      <c r="V173" s="15"/>
      <c r="W173" s="44"/>
      <c r="X173" s="15">
        <f t="shared" si="17"/>
        <v>0</v>
      </c>
      <c r="Y173" s="15"/>
      <c r="Z173" s="44"/>
      <c r="AA173" s="15"/>
      <c r="AB173" s="44"/>
      <c r="AC173" s="15"/>
      <c r="AD173" s="44"/>
      <c r="AE173" s="15"/>
      <c r="AF173" s="44"/>
      <c r="AG173" s="15">
        <f t="shared" si="18"/>
        <v>0</v>
      </c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/>
      <c r="BA173" s="42"/>
      <c r="BB173" s="15">
        <f t="shared" si="22"/>
        <v>0</v>
      </c>
      <c r="BC173" s="15"/>
      <c r="BD173" s="44"/>
      <c r="BE173" s="15"/>
      <c r="BF173" s="44"/>
      <c r="BG173" s="15">
        <f t="shared" si="21"/>
        <v>0</v>
      </c>
    </row>
    <row r="174" spans="1:59" s="8" customFormat="1" ht="22.5" customHeight="1">
      <c r="A174" s="9"/>
      <c r="B174" s="16" t="s">
        <v>204</v>
      </c>
      <c r="C174" s="89" t="s">
        <v>48</v>
      </c>
      <c r="D174" s="104" t="s">
        <v>289</v>
      </c>
      <c r="E174" s="104" t="s">
        <v>290</v>
      </c>
      <c r="F174" s="104" t="s">
        <v>1311</v>
      </c>
      <c r="G174" s="104" t="s">
        <v>1312</v>
      </c>
      <c r="H174" s="12"/>
      <c r="I174" s="9"/>
      <c r="J174" s="9" t="s">
        <v>207</v>
      </c>
      <c r="K174" s="14"/>
      <c r="L174" s="14"/>
      <c r="M174" s="12">
        <v>159</v>
      </c>
      <c r="N174" s="9"/>
      <c r="O174" s="9"/>
      <c r="P174" s="9"/>
      <c r="Q174" s="38">
        <f t="shared" si="16"/>
        <v>159</v>
      </c>
      <c r="R174" s="12"/>
      <c r="S174" s="42"/>
      <c r="T174" s="15"/>
      <c r="U174" s="44"/>
      <c r="V174" s="15"/>
      <c r="W174" s="44"/>
      <c r="X174" s="15">
        <f t="shared" si="17"/>
        <v>0</v>
      </c>
      <c r="Y174" s="15"/>
      <c r="Z174" s="44"/>
      <c r="AA174" s="15"/>
      <c r="AB174" s="44"/>
      <c r="AC174" s="15"/>
      <c r="AD174" s="44"/>
      <c r="AE174" s="15"/>
      <c r="AF174" s="44"/>
      <c r="AG174" s="15">
        <f t="shared" si="18"/>
        <v>0</v>
      </c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/>
      <c r="BA174" s="42"/>
      <c r="BB174" s="15">
        <f t="shared" si="22"/>
        <v>0</v>
      </c>
      <c r="BC174" s="15"/>
      <c r="BD174" s="44"/>
      <c r="BE174" s="15"/>
      <c r="BF174" s="44"/>
      <c r="BG174" s="15">
        <f t="shared" si="21"/>
        <v>0</v>
      </c>
    </row>
    <row r="175" spans="1:59" s="8" customFormat="1" ht="22.5" customHeight="1">
      <c r="A175" s="9"/>
      <c r="B175" s="16" t="s">
        <v>204</v>
      </c>
      <c r="C175" s="89" t="s">
        <v>48</v>
      </c>
      <c r="D175" s="104" t="s">
        <v>291</v>
      </c>
      <c r="E175" s="104" t="s">
        <v>281</v>
      </c>
      <c r="F175" s="104" t="s">
        <v>1313</v>
      </c>
      <c r="G175" s="104" t="s">
        <v>1314</v>
      </c>
      <c r="H175" s="12"/>
      <c r="I175" s="9"/>
      <c r="J175" s="9" t="s">
        <v>207</v>
      </c>
      <c r="K175" s="14"/>
      <c r="L175" s="14"/>
      <c r="M175" s="12">
        <v>393</v>
      </c>
      <c r="N175" s="9"/>
      <c r="O175" s="9"/>
      <c r="P175" s="9"/>
      <c r="Q175" s="38">
        <f t="shared" si="16"/>
        <v>393</v>
      </c>
      <c r="R175" s="12"/>
      <c r="S175" s="42"/>
      <c r="T175" s="15"/>
      <c r="U175" s="44"/>
      <c r="V175" s="15"/>
      <c r="W175" s="44"/>
      <c r="X175" s="15">
        <f t="shared" si="17"/>
        <v>0</v>
      </c>
      <c r="Y175" s="15"/>
      <c r="Z175" s="44"/>
      <c r="AA175" s="15"/>
      <c r="AB175" s="44"/>
      <c r="AC175" s="15"/>
      <c r="AD175" s="44"/>
      <c r="AE175" s="15"/>
      <c r="AF175" s="44"/>
      <c r="AG175" s="15">
        <f t="shared" si="18"/>
        <v>0</v>
      </c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/>
      <c r="BA175" s="42"/>
      <c r="BB175" s="15">
        <f t="shared" si="22"/>
        <v>0</v>
      </c>
      <c r="BC175" s="15"/>
      <c r="BD175" s="44"/>
      <c r="BE175" s="15"/>
      <c r="BF175" s="44"/>
      <c r="BG175" s="15">
        <f t="shared" si="21"/>
        <v>0</v>
      </c>
    </row>
    <row r="176" spans="1:59" s="8" customFormat="1" ht="22.5" customHeight="1">
      <c r="A176" s="9"/>
      <c r="B176" s="16" t="s">
        <v>204</v>
      </c>
      <c r="C176" s="89" t="s">
        <v>48</v>
      </c>
      <c r="D176" s="104" t="s">
        <v>1315</v>
      </c>
      <c r="E176" s="104" t="s">
        <v>281</v>
      </c>
      <c r="F176" s="104" t="s">
        <v>1316</v>
      </c>
      <c r="G176" s="104" t="s">
        <v>1317</v>
      </c>
      <c r="H176" s="12"/>
      <c r="I176" s="9"/>
      <c r="J176" s="9" t="s">
        <v>207</v>
      </c>
      <c r="K176" s="14"/>
      <c r="L176" s="14"/>
      <c r="M176" s="12">
        <v>189</v>
      </c>
      <c r="N176" s="9"/>
      <c r="O176" s="9"/>
      <c r="P176" s="9"/>
      <c r="Q176" s="38">
        <f t="shared" si="16"/>
        <v>189</v>
      </c>
      <c r="R176" s="12"/>
      <c r="S176" s="42"/>
      <c r="T176" s="15"/>
      <c r="U176" s="44"/>
      <c r="V176" s="15"/>
      <c r="W176" s="44"/>
      <c r="X176" s="15">
        <f t="shared" si="17"/>
        <v>0</v>
      </c>
      <c r="Y176" s="15"/>
      <c r="Z176" s="44"/>
      <c r="AA176" s="15"/>
      <c r="AB176" s="44"/>
      <c r="AC176" s="15"/>
      <c r="AD176" s="44"/>
      <c r="AE176" s="15"/>
      <c r="AF176" s="44"/>
      <c r="AG176" s="15">
        <f t="shared" si="18"/>
        <v>0</v>
      </c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/>
      <c r="BA176" s="42"/>
      <c r="BB176" s="15">
        <f t="shared" si="22"/>
        <v>0</v>
      </c>
      <c r="BC176" s="15"/>
      <c r="BD176" s="44"/>
      <c r="BE176" s="15"/>
      <c r="BF176" s="44"/>
      <c r="BG176" s="15">
        <f t="shared" si="21"/>
        <v>0</v>
      </c>
    </row>
    <row r="177" spans="1:59" s="8" customFormat="1" ht="22.5" customHeight="1">
      <c r="A177" s="9"/>
      <c r="B177" s="16" t="s">
        <v>204</v>
      </c>
      <c r="C177" s="89" t="s">
        <v>48</v>
      </c>
      <c r="D177" s="104" t="s">
        <v>293</v>
      </c>
      <c r="E177" s="104" t="s">
        <v>206</v>
      </c>
      <c r="F177" s="104" t="s">
        <v>1318</v>
      </c>
      <c r="G177" s="104" t="s">
        <v>1319</v>
      </c>
      <c r="H177" s="12"/>
      <c r="I177" s="9"/>
      <c r="J177" s="9" t="s">
        <v>207</v>
      </c>
      <c r="K177" s="14"/>
      <c r="L177" s="14"/>
      <c r="M177" s="12">
        <v>500</v>
      </c>
      <c r="N177" s="9"/>
      <c r="O177" s="9"/>
      <c r="P177" s="9"/>
      <c r="Q177" s="38">
        <f t="shared" si="16"/>
        <v>500</v>
      </c>
      <c r="R177" s="12"/>
      <c r="S177" s="42"/>
      <c r="T177" s="15"/>
      <c r="U177" s="44"/>
      <c r="V177" s="15"/>
      <c r="W177" s="44"/>
      <c r="X177" s="15">
        <f t="shared" si="17"/>
        <v>0</v>
      </c>
      <c r="Y177" s="15"/>
      <c r="Z177" s="44"/>
      <c r="AA177" s="15"/>
      <c r="AB177" s="44"/>
      <c r="AC177" s="15"/>
      <c r="AD177" s="44"/>
      <c r="AE177" s="15"/>
      <c r="AF177" s="44"/>
      <c r="AG177" s="15">
        <f t="shared" si="18"/>
        <v>0</v>
      </c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/>
      <c r="BA177" s="42"/>
      <c r="BB177" s="15">
        <f t="shared" si="22"/>
        <v>0</v>
      </c>
      <c r="BC177" s="15"/>
      <c r="BD177" s="44"/>
      <c r="BE177" s="15"/>
      <c r="BF177" s="44"/>
      <c r="BG177" s="15">
        <f t="shared" si="21"/>
        <v>0</v>
      </c>
    </row>
    <row r="178" spans="1:59" s="8" customFormat="1" ht="22.5" customHeight="1">
      <c r="A178" s="9"/>
      <c r="B178" s="16" t="s">
        <v>204</v>
      </c>
      <c r="C178" s="89" t="s">
        <v>48</v>
      </c>
      <c r="D178" s="104" t="s">
        <v>294</v>
      </c>
      <c r="E178" s="104" t="s">
        <v>206</v>
      </c>
      <c r="F178" s="104" t="s">
        <v>1320</v>
      </c>
      <c r="G178" s="104" t="s">
        <v>1321</v>
      </c>
      <c r="H178" s="12"/>
      <c r="I178" s="9"/>
      <c r="J178" s="9" t="s">
        <v>207</v>
      </c>
      <c r="K178" s="14"/>
      <c r="L178" s="14"/>
      <c r="M178" s="12">
        <v>495</v>
      </c>
      <c r="N178" s="9"/>
      <c r="O178" s="9"/>
      <c r="P178" s="9"/>
      <c r="Q178" s="38">
        <f t="shared" si="16"/>
        <v>495</v>
      </c>
      <c r="R178" s="12"/>
      <c r="S178" s="42"/>
      <c r="T178" s="15"/>
      <c r="U178" s="44"/>
      <c r="V178" s="15"/>
      <c r="W178" s="44"/>
      <c r="X178" s="15">
        <f t="shared" si="17"/>
        <v>0</v>
      </c>
      <c r="Y178" s="15"/>
      <c r="Z178" s="44"/>
      <c r="AA178" s="15"/>
      <c r="AB178" s="44"/>
      <c r="AC178" s="15"/>
      <c r="AD178" s="44"/>
      <c r="AE178" s="15"/>
      <c r="AF178" s="44"/>
      <c r="AG178" s="15">
        <f t="shared" si="18"/>
        <v>0</v>
      </c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/>
      <c r="BA178" s="42"/>
      <c r="BB178" s="15">
        <f t="shared" si="22"/>
        <v>0</v>
      </c>
      <c r="BC178" s="15"/>
      <c r="BD178" s="44"/>
      <c r="BE178" s="15"/>
      <c r="BF178" s="44"/>
      <c r="BG178" s="15">
        <f t="shared" si="21"/>
        <v>0</v>
      </c>
    </row>
    <row r="179" spans="1:59" s="8" customFormat="1" ht="22.5" customHeight="1">
      <c r="A179" s="9"/>
      <c r="B179" s="16" t="s">
        <v>204</v>
      </c>
      <c r="C179" s="89" t="s">
        <v>48</v>
      </c>
      <c r="D179" s="104" t="s">
        <v>295</v>
      </c>
      <c r="E179" s="104" t="s">
        <v>279</v>
      </c>
      <c r="F179" s="104" t="s">
        <v>1322</v>
      </c>
      <c r="G179" s="104" t="s">
        <v>1323</v>
      </c>
      <c r="H179" s="12"/>
      <c r="I179" s="9"/>
      <c r="J179" s="9" t="s">
        <v>207</v>
      </c>
      <c r="K179" s="14"/>
      <c r="L179" s="14"/>
      <c r="M179" s="12"/>
      <c r="N179" s="9"/>
      <c r="O179" s="9"/>
      <c r="P179" s="9"/>
      <c r="Q179" s="38">
        <f t="shared" si="16"/>
        <v>0</v>
      </c>
      <c r="R179" s="12"/>
      <c r="S179" s="42"/>
      <c r="T179" s="15"/>
      <c r="U179" s="44"/>
      <c r="V179" s="15"/>
      <c r="W179" s="44"/>
      <c r="X179" s="15">
        <f t="shared" si="17"/>
        <v>0</v>
      </c>
      <c r="Y179" s="15"/>
      <c r="Z179" s="44"/>
      <c r="AA179" s="15"/>
      <c r="AB179" s="44"/>
      <c r="AC179" s="15"/>
      <c r="AD179" s="44"/>
      <c r="AE179" s="15"/>
      <c r="AF179" s="44"/>
      <c r="AG179" s="15">
        <f t="shared" si="18"/>
        <v>0</v>
      </c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/>
      <c r="BA179" s="42"/>
      <c r="BB179" s="15">
        <f t="shared" si="22"/>
        <v>0</v>
      </c>
      <c r="BC179" s="15"/>
      <c r="BD179" s="44"/>
      <c r="BE179" s="15"/>
      <c r="BF179" s="44"/>
      <c r="BG179" s="15">
        <f t="shared" si="21"/>
        <v>0</v>
      </c>
    </row>
    <row r="180" spans="1:59" s="8" customFormat="1" ht="22.5" customHeight="1">
      <c r="A180" s="9"/>
      <c r="B180" s="16" t="s">
        <v>204</v>
      </c>
      <c r="C180" s="89" t="s">
        <v>48</v>
      </c>
      <c r="D180" s="104" t="s">
        <v>296</v>
      </c>
      <c r="E180" s="104" t="s">
        <v>287</v>
      </c>
      <c r="F180" s="104" t="s">
        <v>1324</v>
      </c>
      <c r="G180" s="104" t="s">
        <v>1325</v>
      </c>
      <c r="H180" s="12"/>
      <c r="I180" s="9"/>
      <c r="J180" s="9" t="s">
        <v>207</v>
      </c>
      <c r="K180" s="14"/>
      <c r="L180" s="14"/>
      <c r="M180" s="12">
        <v>302</v>
      </c>
      <c r="N180" s="9"/>
      <c r="O180" s="9"/>
      <c r="P180" s="9"/>
      <c r="Q180" s="38">
        <f t="shared" si="16"/>
        <v>302</v>
      </c>
      <c r="R180" s="12"/>
      <c r="S180" s="42"/>
      <c r="T180" s="15"/>
      <c r="U180" s="44"/>
      <c r="V180" s="15"/>
      <c r="W180" s="44"/>
      <c r="X180" s="15">
        <f t="shared" si="17"/>
        <v>0</v>
      </c>
      <c r="Y180" s="15"/>
      <c r="Z180" s="44"/>
      <c r="AA180" s="15"/>
      <c r="AB180" s="44"/>
      <c r="AC180" s="15"/>
      <c r="AD180" s="44"/>
      <c r="AE180" s="15"/>
      <c r="AF180" s="44"/>
      <c r="AG180" s="15">
        <f t="shared" si="18"/>
        <v>0</v>
      </c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/>
      <c r="BA180" s="42"/>
      <c r="BB180" s="15">
        <f t="shared" si="22"/>
        <v>0</v>
      </c>
      <c r="BC180" s="15"/>
      <c r="BD180" s="44"/>
      <c r="BE180" s="15"/>
      <c r="BF180" s="44"/>
      <c r="BG180" s="15">
        <f t="shared" si="21"/>
        <v>0</v>
      </c>
    </row>
    <row r="181" spans="1:59" s="8" customFormat="1" ht="22.5" customHeight="1">
      <c r="A181" s="9"/>
      <c r="B181" s="16" t="s">
        <v>204</v>
      </c>
      <c r="C181" s="89" t="s">
        <v>48</v>
      </c>
      <c r="D181" s="104" t="s">
        <v>297</v>
      </c>
      <c r="E181" s="104" t="s">
        <v>281</v>
      </c>
      <c r="F181" s="104" t="s">
        <v>1326</v>
      </c>
      <c r="G181" s="104" t="s">
        <v>1327</v>
      </c>
      <c r="H181" s="12"/>
      <c r="I181" s="9"/>
      <c r="J181" s="9" t="s">
        <v>207</v>
      </c>
      <c r="K181" s="14"/>
      <c r="L181" s="14"/>
      <c r="M181" s="12">
        <v>570</v>
      </c>
      <c r="N181" s="9"/>
      <c r="O181" s="9"/>
      <c r="P181" s="9"/>
      <c r="Q181" s="38">
        <f t="shared" si="16"/>
        <v>570</v>
      </c>
      <c r="R181" s="12"/>
      <c r="S181" s="42"/>
      <c r="T181" s="15"/>
      <c r="U181" s="44"/>
      <c r="V181" s="15"/>
      <c r="W181" s="44"/>
      <c r="X181" s="15">
        <f t="shared" si="17"/>
        <v>0</v>
      </c>
      <c r="Y181" s="15"/>
      <c r="Z181" s="44"/>
      <c r="AA181" s="15"/>
      <c r="AB181" s="44"/>
      <c r="AC181" s="15"/>
      <c r="AD181" s="44"/>
      <c r="AE181" s="15"/>
      <c r="AF181" s="44"/>
      <c r="AG181" s="15">
        <f t="shared" si="18"/>
        <v>0</v>
      </c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/>
      <c r="BA181" s="42"/>
      <c r="BB181" s="15">
        <f t="shared" si="22"/>
        <v>0</v>
      </c>
      <c r="BC181" s="15"/>
      <c r="BD181" s="44"/>
      <c r="BE181" s="15"/>
      <c r="BF181" s="44"/>
      <c r="BG181" s="15">
        <f t="shared" si="21"/>
        <v>0</v>
      </c>
    </row>
    <row r="182" spans="1:59" s="8" customFormat="1" ht="22.5" customHeight="1">
      <c r="A182" s="9"/>
      <c r="B182" s="16" t="s">
        <v>204</v>
      </c>
      <c r="C182" s="89" t="s">
        <v>48</v>
      </c>
      <c r="D182" s="104" t="s">
        <v>1328</v>
      </c>
      <c r="E182" s="104" t="s">
        <v>290</v>
      </c>
      <c r="F182" s="104" t="s">
        <v>1329</v>
      </c>
      <c r="G182" s="104" t="s">
        <v>1330</v>
      </c>
      <c r="H182" s="12"/>
      <c r="I182" s="9"/>
      <c r="J182" s="9" t="s">
        <v>207</v>
      </c>
      <c r="K182" s="14"/>
      <c r="L182" s="14"/>
      <c r="M182" s="12">
        <v>288</v>
      </c>
      <c r="N182" s="9">
        <v>0</v>
      </c>
      <c r="O182" s="9">
        <v>0</v>
      </c>
      <c r="P182" s="9">
        <v>0</v>
      </c>
      <c r="Q182" s="38">
        <f t="shared" si="16"/>
        <v>288</v>
      </c>
      <c r="R182" s="12"/>
      <c r="S182" s="42"/>
      <c r="T182" s="15"/>
      <c r="U182" s="44"/>
      <c r="V182" s="15"/>
      <c r="W182" s="44"/>
      <c r="X182" s="15">
        <f t="shared" si="17"/>
        <v>0</v>
      </c>
      <c r="Y182" s="15"/>
      <c r="Z182" s="44"/>
      <c r="AA182" s="15"/>
      <c r="AB182" s="44"/>
      <c r="AC182" s="15"/>
      <c r="AD182" s="44"/>
      <c r="AE182" s="15"/>
      <c r="AF182" s="44"/>
      <c r="AG182" s="15">
        <f t="shared" si="18"/>
        <v>0</v>
      </c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/>
      <c r="BA182" s="42"/>
      <c r="BB182" s="15"/>
      <c r="BC182" s="15"/>
      <c r="BD182" s="44"/>
      <c r="BE182" s="15"/>
      <c r="BF182" s="44"/>
      <c r="BG182" s="15"/>
    </row>
    <row r="183" spans="1:59" s="8" customFormat="1" ht="22.5" customHeight="1">
      <c r="A183" s="9"/>
      <c r="B183" s="16" t="s">
        <v>204</v>
      </c>
      <c r="C183" s="89" t="s">
        <v>48</v>
      </c>
      <c r="D183" s="104" t="s">
        <v>299</v>
      </c>
      <c r="E183" s="104" t="s">
        <v>281</v>
      </c>
      <c r="F183" s="104" t="s">
        <v>1331</v>
      </c>
      <c r="G183" s="104" t="s">
        <v>1332</v>
      </c>
      <c r="H183" s="12"/>
      <c r="I183" s="9"/>
      <c r="J183" s="9" t="s">
        <v>207</v>
      </c>
      <c r="K183" s="14"/>
      <c r="L183" s="14"/>
      <c r="M183" s="12">
        <v>202</v>
      </c>
      <c r="N183" s="9"/>
      <c r="O183" s="9"/>
      <c r="P183" s="9"/>
      <c r="Q183" s="38">
        <f t="shared" si="16"/>
        <v>202</v>
      </c>
      <c r="R183" s="12"/>
      <c r="S183" s="42"/>
      <c r="T183" s="15"/>
      <c r="U183" s="44"/>
      <c r="V183" s="15"/>
      <c r="W183" s="44"/>
      <c r="X183" s="15">
        <f t="shared" si="17"/>
        <v>0</v>
      </c>
      <c r="Y183" s="15"/>
      <c r="Z183" s="44"/>
      <c r="AA183" s="15"/>
      <c r="AB183" s="44"/>
      <c r="AC183" s="15"/>
      <c r="AD183" s="44"/>
      <c r="AE183" s="15"/>
      <c r="AF183" s="44"/>
      <c r="AG183" s="15">
        <f t="shared" si="18"/>
        <v>0</v>
      </c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/>
      <c r="BA183" s="42"/>
      <c r="BB183" s="15">
        <f t="shared" ref="BB183:BB203" si="23">AH183+AJ183+AL183+AN183+AP183+AR183+AT183+AV183+AX183+AZ183</f>
        <v>0</v>
      </c>
      <c r="BC183" s="15"/>
      <c r="BD183" s="44"/>
      <c r="BE183" s="15"/>
      <c r="BF183" s="44"/>
      <c r="BG183" s="15">
        <f t="shared" ref="BG183:BG203" si="24">(BC183+BE183)</f>
        <v>0</v>
      </c>
    </row>
    <row r="184" spans="1:59" s="8" customFormat="1" ht="22.5" customHeight="1">
      <c r="A184" s="9"/>
      <c r="B184" s="16" t="s">
        <v>300</v>
      </c>
      <c r="C184" s="89" t="s">
        <v>48</v>
      </c>
      <c r="D184" s="104" t="s">
        <v>301</v>
      </c>
      <c r="E184" s="104" t="s">
        <v>302</v>
      </c>
      <c r="F184" s="104" t="s">
        <v>1333</v>
      </c>
      <c r="G184" s="104" t="s">
        <v>1334</v>
      </c>
      <c r="H184" s="12"/>
      <c r="I184" s="9"/>
      <c r="J184" s="9" t="s">
        <v>207</v>
      </c>
      <c r="K184" s="14"/>
      <c r="L184" s="14"/>
      <c r="M184" s="12">
        <v>0</v>
      </c>
      <c r="N184" s="9"/>
      <c r="O184" s="9"/>
      <c r="P184" s="9"/>
      <c r="Q184" s="38">
        <f t="shared" si="16"/>
        <v>0</v>
      </c>
      <c r="R184" s="12"/>
      <c r="S184" s="42"/>
      <c r="T184" s="15"/>
      <c r="U184" s="44"/>
      <c r="V184" s="15"/>
      <c r="W184" s="44"/>
      <c r="X184" s="15">
        <f t="shared" si="17"/>
        <v>0</v>
      </c>
      <c r="Y184" s="15"/>
      <c r="Z184" s="44"/>
      <c r="AA184" s="15"/>
      <c r="AB184" s="44"/>
      <c r="AC184" s="15"/>
      <c r="AD184" s="44"/>
      <c r="AE184" s="15"/>
      <c r="AF184" s="44"/>
      <c r="AG184" s="15">
        <f t="shared" si="18"/>
        <v>0</v>
      </c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/>
      <c r="BA184" s="42"/>
      <c r="BB184" s="15">
        <f t="shared" si="23"/>
        <v>0</v>
      </c>
      <c r="BC184" s="15"/>
      <c r="BD184" s="44"/>
      <c r="BE184" s="15"/>
      <c r="BF184" s="44"/>
      <c r="BG184" s="15">
        <f t="shared" si="24"/>
        <v>0</v>
      </c>
    </row>
    <row r="185" spans="1:59" s="8" customFormat="1" ht="22.5" customHeight="1">
      <c r="A185" s="9"/>
      <c r="B185" s="16" t="s">
        <v>204</v>
      </c>
      <c r="C185" s="89" t="s">
        <v>48</v>
      </c>
      <c r="D185" s="104" t="s">
        <v>303</v>
      </c>
      <c r="E185" s="104" t="s">
        <v>304</v>
      </c>
      <c r="F185" s="104" t="s">
        <v>1335</v>
      </c>
      <c r="G185" s="104" t="s">
        <v>1336</v>
      </c>
      <c r="H185" s="12"/>
      <c r="I185" s="9"/>
      <c r="J185" s="9" t="s">
        <v>207</v>
      </c>
      <c r="K185" s="14"/>
      <c r="L185" s="14"/>
      <c r="M185" s="12">
        <v>207</v>
      </c>
      <c r="N185" s="9"/>
      <c r="O185" s="9"/>
      <c r="P185" s="9"/>
      <c r="Q185" s="38">
        <f t="shared" si="16"/>
        <v>207</v>
      </c>
      <c r="R185" s="12"/>
      <c r="S185" s="42"/>
      <c r="T185" s="15"/>
      <c r="U185" s="44"/>
      <c r="V185" s="15"/>
      <c r="W185" s="44"/>
      <c r="X185" s="15">
        <f t="shared" si="17"/>
        <v>0</v>
      </c>
      <c r="Y185" s="15"/>
      <c r="Z185" s="44"/>
      <c r="AA185" s="15"/>
      <c r="AB185" s="44"/>
      <c r="AC185" s="15"/>
      <c r="AD185" s="44"/>
      <c r="AE185" s="15"/>
      <c r="AF185" s="44"/>
      <c r="AG185" s="15">
        <f t="shared" si="18"/>
        <v>0</v>
      </c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/>
      <c r="BA185" s="42"/>
      <c r="BB185" s="15">
        <f t="shared" si="23"/>
        <v>0</v>
      </c>
      <c r="BC185" s="15"/>
      <c r="BD185" s="44"/>
      <c r="BE185" s="15"/>
      <c r="BF185" s="44"/>
      <c r="BG185" s="15">
        <f t="shared" si="24"/>
        <v>0</v>
      </c>
    </row>
    <row r="186" spans="1:59" s="8" customFormat="1" ht="22.5" customHeight="1">
      <c r="A186" s="9"/>
      <c r="B186" s="16" t="s">
        <v>204</v>
      </c>
      <c r="C186" s="89" t="s">
        <v>48</v>
      </c>
      <c r="D186" s="104" t="s">
        <v>305</v>
      </c>
      <c r="E186" s="104" t="s">
        <v>206</v>
      </c>
      <c r="F186" s="104" t="s">
        <v>1337</v>
      </c>
      <c r="G186" s="104" t="s">
        <v>1338</v>
      </c>
      <c r="H186" s="12"/>
      <c r="I186" s="9"/>
      <c r="J186" s="9" t="s">
        <v>207</v>
      </c>
      <c r="K186" s="14"/>
      <c r="L186" s="14"/>
      <c r="M186" s="12">
        <v>562</v>
      </c>
      <c r="N186" s="9"/>
      <c r="O186" s="9"/>
      <c r="P186" s="9"/>
      <c r="Q186" s="38">
        <f t="shared" si="16"/>
        <v>562</v>
      </c>
      <c r="R186" s="12"/>
      <c r="S186" s="42"/>
      <c r="T186" s="15"/>
      <c r="U186" s="44"/>
      <c r="V186" s="15"/>
      <c r="W186" s="44"/>
      <c r="X186" s="15">
        <f t="shared" si="17"/>
        <v>0</v>
      </c>
      <c r="Y186" s="15"/>
      <c r="Z186" s="44"/>
      <c r="AA186" s="15"/>
      <c r="AB186" s="44"/>
      <c r="AC186" s="15"/>
      <c r="AD186" s="44"/>
      <c r="AE186" s="15"/>
      <c r="AF186" s="44"/>
      <c r="AG186" s="15">
        <f t="shared" si="18"/>
        <v>0</v>
      </c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/>
      <c r="BA186" s="42"/>
      <c r="BB186" s="15">
        <f t="shared" si="23"/>
        <v>0</v>
      </c>
      <c r="BC186" s="15"/>
      <c r="BD186" s="44"/>
      <c r="BE186" s="15"/>
      <c r="BF186" s="44"/>
      <c r="BG186" s="15">
        <f t="shared" si="24"/>
        <v>0</v>
      </c>
    </row>
    <row r="187" spans="1:59" s="8" customFormat="1" ht="22.5" customHeight="1">
      <c r="A187" s="9"/>
      <c r="B187" s="16" t="s">
        <v>204</v>
      </c>
      <c r="C187" s="89" t="s">
        <v>48</v>
      </c>
      <c r="D187" s="104" t="s">
        <v>306</v>
      </c>
      <c r="E187" s="104" t="s">
        <v>307</v>
      </c>
      <c r="F187" s="104" t="s">
        <v>1339</v>
      </c>
      <c r="G187" s="104" t="s">
        <v>1340</v>
      </c>
      <c r="H187" s="12"/>
      <c r="I187" s="9"/>
      <c r="J187" s="9" t="s">
        <v>207</v>
      </c>
      <c r="K187" s="14"/>
      <c r="L187" s="14"/>
      <c r="M187" s="12">
        <v>416</v>
      </c>
      <c r="N187" s="9"/>
      <c r="O187" s="9"/>
      <c r="P187" s="9"/>
      <c r="Q187" s="38">
        <f t="shared" si="16"/>
        <v>416</v>
      </c>
      <c r="R187" s="12"/>
      <c r="S187" s="42"/>
      <c r="T187" s="15"/>
      <c r="U187" s="44"/>
      <c r="V187" s="15"/>
      <c r="W187" s="44"/>
      <c r="X187" s="15">
        <f t="shared" si="17"/>
        <v>0</v>
      </c>
      <c r="Y187" s="15"/>
      <c r="Z187" s="44"/>
      <c r="AA187" s="15"/>
      <c r="AB187" s="44"/>
      <c r="AC187" s="15"/>
      <c r="AD187" s="44"/>
      <c r="AE187" s="15"/>
      <c r="AF187" s="44"/>
      <c r="AG187" s="15">
        <f t="shared" si="18"/>
        <v>0</v>
      </c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/>
      <c r="BA187" s="42"/>
      <c r="BB187" s="15">
        <f t="shared" si="23"/>
        <v>0</v>
      </c>
      <c r="BC187" s="15"/>
      <c r="BD187" s="44"/>
      <c r="BE187" s="15"/>
      <c r="BF187" s="44"/>
      <c r="BG187" s="15">
        <f t="shared" si="24"/>
        <v>0</v>
      </c>
    </row>
    <row r="188" spans="1:59" s="8" customFormat="1" ht="22.5" customHeight="1">
      <c r="A188" s="9"/>
      <c r="B188" s="16" t="s">
        <v>204</v>
      </c>
      <c r="C188" s="89" t="s">
        <v>48</v>
      </c>
      <c r="D188" s="104" t="s">
        <v>308</v>
      </c>
      <c r="E188" s="104" t="s">
        <v>307</v>
      </c>
      <c r="F188" s="104" t="s">
        <v>1341</v>
      </c>
      <c r="G188" s="104" t="s">
        <v>1342</v>
      </c>
      <c r="H188" s="12"/>
      <c r="I188" s="9"/>
      <c r="J188" s="9" t="s">
        <v>207</v>
      </c>
      <c r="K188" s="14"/>
      <c r="L188" s="14"/>
      <c r="M188" s="12">
        <v>488</v>
      </c>
      <c r="N188" s="9"/>
      <c r="O188" s="9"/>
      <c r="P188" s="9"/>
      <c r="Q188" s="38">
        <f t="shared" si="16"/>
        <v>488</v>
      </c>
      <c r="R188" s="12"/>
      <c r="S188" s="42"/>
      <c r="T188" s="15"/>
      <c r="U188" s="44"/>
      <c r="V188" s="15"/>
      <c r="W188" s="44"/>
      <c r="X188" s="15">
        <f t="shared" si="17"/>
        <v>0</v>
      </c>
      <c r="Y188" s="15"/>
      <c r="Z188" s="44"/>
      <c r="AA188" s="15"/>
      <c r="AB188" s="44"/>
      <c r="AC188" s="15"/>
      <c r="AD188" s="44"/>
      <c r="AE188" s="15"/>
      <c r="AF188" s="44"/>
      <c r="AG188" s="15">
        <f t="shared" si="18"/>
        <v>0</v>
      </c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/>
      <c r="BA188" s="42"/>
      <c r="BB188" s="15">
        <f t="shared" si="23"/>
        <v>0</v>
      </c>
      <c r="BC188" s="15"/>
      <c r="BD188" s="44"/>
      <c r="BE188" s="15"/>
      <c r="BF188" s="44"/>
      <c r="BG188" s="15">
        <f t="shared" si="24"/>
        <v>0</v>
      </c>
    </row>
    <row r="189" spans="1:59" s="8" customFormat="1" ht="22.5" customHeight="1">
      <c r="A189" s="9"/>
      <c r="B189" s="16" t="s">
        <v>204</v>
      </c>
      <c r="C189" s="89" t="s">
        <v>48</v>
      </c>
      <c r="D189" s="104" t="s">
        <v>309</v>
      </c>
      <c r="E189" s="104" t="s">
        <v>206</v>
      </c>
      <c r="F189" s="104" t="s">
        <v>1343</v>
      </c>
      <c r="G189" s="104" t="s">
        <v>1344</v>
      </c>
      <c r="H189" s="12"/>
      <c r="I189" s="9"/>
      <c r="J189" s="9" t="s">
        <v>207</v>
      </c>
      <c r="K189" s="14"/>
      <c r="L189" s="14"/>
      <c r="M189" s="12">
        <v>196</v>
      </c>
      <c r="N189" s="9"/>
      <c r="O189" s="9"/>
      <c r="P189" s="9"/>
      <c r="Q189" s="38">
        <f t="shared" si="16"/>
        <v>196</v>
      </c>
      <c r="R189" s="12"/>
      <c r="S189" s="42"/>
      <c r="T189" s="15"/>
      <c r="U189" s="44"/>
      <c r="V189" s="15"/>
      <c r="W189" s="44"/>
      <c r="X189" s="15">
        <f t="shared" si="17"/>
        <v>0</v>
      </c>
      <c r="Y189" s="15"/>
      <c r="Z189" s="44"/>
      <c r="AA189" s="15"/>
      <c r="AB189" s="44"/>
      <c r="AC189" s="15"/>
      <c r="AD189" s="44"/>
      <c r="AE189" s="15"/>
      <c r="AF189" s="44"/>
      <c r="AG189" s="15">
        <f t="shared" si="18"/>
        <v>0</v>
      </c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/>
      <c r="BA189" s="42"/>
      <c r="BB189" s="15">
        <f t="shared" si="23"/>
        <v>0</v>
      </c>
      <c r="BC189" s="15"/>
      <c r="BD189" s="44"/>
      <c r="BE189" s="15"/>
      <c r="BF189" s="44"/>
      <c r="BG189" s="15">
        <f t="shared" si="24"/>
        <v>0</v>
      </c>
    </row>
    <row r="190" spans="1:59" s="8" customFormat="1" ht="22.5" customHeight="1">
      <c r="A190" s="9"/>
      <c r="B190" s="16" t="s">
        <v>204</v>
      </c>
      <c r="C190" s="89" t="s">
        <v>48</v>
      </c>
      <c r="D190" s="104" t="s">
        <v>310</v>
      </c>
      <c r="E190" s="104" t="s">
        <v>1345</v>
      </c>
      <c r="F190" s="104" t="s">
        <v>1346</v>
      </c>
      <c r="G190" s="104" t="s">
        <v>1347</v>
      </c>
      <c r="H190" s="12"/>
      <c r="I190" s="9"/>
      <c r="J190" s="9" t="s">
        <v>311</v>
      </c>
      <c r="K190" s="14"/>
      <c r="L190" s="14"/>
      <c r="M190" s="12">
        <v>659</v>
      </c>
      <c r="N190" s="9"/>
      <c r="O190" s="9"/>
      <c r="P190" s="9"/>
      <c r="Q190" s="38">
        <f t="shared" si="16"/>
        <v>659</v>
      </c>
      <c r="R190" s="12"/>
      <c r="S190" s="42"/>
      <c r="T190" s="15"/>
      <c r="U190" s="44"/>
      <c r="V190" s="15"/>
      <c r="W190" s="44"/>
      <c r="X190" s="15">
        <f t="shared" si="17"/>
        <v>0</v>
      </c>
      <c r="Y190" s="15"/>
      <c r="Z190" s="44"/>
      <c r="AA190" s="15"/>
      <c r="AB190" s="44"/>
      <c r="AC190" s="15"/>
      <c r="AD190" s="44"/>
      <c r="AE190" s="15"/>
      <c r="AF190" s="44"/>
      <c r="AG190" s="15">
        <f t="shared" si="18"/>
        <v>0</v>
      </c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/>
      <c r="BA190" s="42"/>
      <c r="BB190" s="15">
        <f t="shared" si="23"/>
        <v>0</v>
      </c>
      <c r="BC190" s="15"/>
      <c r="BD190" s="44"/>
      <c r="BE190" s="15"/>
      <c r="BF190" s="44"/>
      <c r="BG190" s="15">
        <f t="shared" si="24"/>
        <v>0</v>
      </c>
    </row>
    <row r="191" spans="1:59" s="8" customFormat="1" ht="22.5" customHeight="1">
      <c r="A191" s="9"/>
      <c r="B191" s="16" t="s">
        <v>204</v>
      </c>
      <c r="C191" s="89" t="s">
        <v>48</v>
      </c>
      <c r="D191" s="104" t="s">
        <v>312</v>
      </c>
      <c r="E191" s="104" t="s">
        <v>1348</v>
      </c>
      <c r="F191" s="104" t="s">
        <v>1349</v>
      </c>
      <c r="G191" s="104" t="s">
        <v>1350</v>
      </c>
      <c r="H191" s="12"/>
      <c r="I191" s="9"/>
      <c r="J191" s="9" t="s">
        <v>311</v>
      </c>
      <c r="K191" s="14"/>
      <c r="L191" s="14"/>
      <c r="M191" s="12">
        <v>264</v>
      </c>
      <c r="N191" s="9"/>
      <c r="O191" s="9"/>
      <c r="P191" s="9"/>
      <c r="Q191" s="38">
        <f t="shared" si="16"/>
        <v>264</v>
      </c>
      <c r="R191" s="12"/>
      <c r="S191" s="42"/>
      <c r="T191" s="15"/>
      <c r="U191" s="44"/>
      <c r="V191" s="15"/>
      <c r="W191" s="44"/>
      <c r="X191" s="15">
        <f t="shared" si="17"/>
        <v>0</v>
      </c>
      <c r="Y191" s="15"/>
      <c r="Z191" s="44"/>
      <c r="AA191" s="15"/>
      <c r="AB191" s="44"/>
      <c r="AC191" s="15"/>
      <c r="AD191" s="44"/>
      <c r="AE191" s="15"/>
      <c r="AF191" s="44"/>
      <c r="AG191" s="15">
        <f t="shared" si="18"/>
        <v>0</v>
      </c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/>
      <c r="BA191" s="42"/>
      <c r="BB191" s="15">
        <f t="shared" si="23"/>
        <v>0</v>
      </c>
      <c r="BC191" s="15"/>
      <c r="BD191" s="44"/>
      <c r="BE191" s="15"/>
      <c r="BF191" s="44"/>
      <c r="BG191" s="15">
        <f t="shared" si="24"/>
        <v>0</v>
      </c>
    </row>
    <row r="192" spans="1:59" s="8" customFormat="1" ht="22.5" customHeight="1">
      <c r="A192" s="9"/>
      <c r="B192" s="16" t="s">
        <v>204</v>
      </c>
      <c r="C192" s="89" t="s">
        <v>48</v>
      </c>
      <c r="D192" s="104" t="s">
        <v>313</v>
      </c>
      <c r="E192" s="104" t="s">
        <v>1351</v>
      </c>
      <c r="F192" s="104" t="s">
        <v>1352</v>
      </c>
      <c r="G192" s="104" t="s">
        <v>1353</v>
      </c>
      <c r="H192" s="12"/>
      <c r="I192" s="9"/>
      <c r="J192" s="9" t="s">
        <v>314</v>
      </c>
      <c r="K192" s="14"/>
      <c r="L192" s="14"/>
      <c r="M192" s="12">
        <v>214</v>
      </c>
      <c r="N192" s="9"/>
      <c r="O192" s="9"/>
      <c r="P192" s="9"/>
      <c r="Q192" s="38">
        <f t="shared" si="16"/>
        <v>214</v>
      </c>
      <c r="R192" s="12"/>
      <c r="S192" s="42"/>
      <c r="T192" s="15"/>
      <c r="U192" s="44"/>
      <c r="V192" s="15"/>
      <c r="W192" s="44"/>
      <c r="X192" s="15">
        <f t="shared" si="17"/>
        <v>0</v>
      </c>
      <c r="Y192" s="15"/>
      <c r="Z192" s="44"/>
      <c r="AA192" s="15"/>
      <c r="AB192" s="44"/>
      <c r="AC192" s="15"/>
      <c r="AD192" s="44"/>
      <c r="AE192" s="15"/>
      <c r="AF192" s="44"/>
      <c r="AG192" s="15">
        <f t="shared" si="18"/>
        <v>0</v>
      </c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/>
      <c r="BA192" s="42"/>
      <c r="BB192" s="15">
        <f t="shared" si="23"/>
        <v>0</v>
      </c>
      <c r="BC192" s="15"/>
      <c r="BD192" s="44"/>
      <c r="BE192" s="15"/>
      <c r="BF192" s="44"/>
      <c r="BG192" s="15">
        <f t="shared" si="24"/>
        <v>0</v>
      </c>
    </row>
    <row r="193" spans="1:59" s="8" customFormat="1" ht="22.5" customHeight="1">
      <c r="A193" s="9"/>
      <c r="B193" s="16" t="s">
        <v>233</v>
      </c>
      <c r="C193" s="89" t="s">
        <v>48</v>
      </c>
      <c r="D193" s="104" t="s">
        <v>315</v>
      </c>
      <c r="E193" s="104" t="s">
        <v>316</v>
      </c>
      <c r="F193" s="104" t="s">
        <v>1354</v>
      </c>
      <c r="G193" s="104" t="s">
        <v>1355</v>
      </c>
      <c r="H193" s="12"/>
      <c r="I193" s="9"/>
      <c r="J193" s="9" t="s">
        <v>317</v>
      </c>
      <c r="K193" s="14"/>
      <c r="L193" s="14"/>
      <c r="M193" s="12">
        <v>166</v>
      </c>
      <c r="N193" s="9"/>
      <c r="O193" s="9"/>
      <c r="P193" s="9"/>
      <c r="Q193" s="38">
        <f t="shared" si="16"/>
        <v>166</v>
      </c>
      <c r="R193" s="12"/>
      <c r="S193" s="42"/>
      <c r="T193" s="15"/>
      <c r="U193" s="44"/>
      <c r="V193" s="15"/>
      <c r="W193" s="44"/>
      <c r="X193" s="15">
        <f t="shared" si="17"/>
        <v>0</v>
      </c>
      <c r="Y193" s="15"/>
      <c r="Z193" s="44"/>
      <c r="AA193" s="15"/>
      <c r="AB193" s="44"/>
      <c r="AC193" s="15"/>
      <c r="AD193" s="44"/>
      <c r="AE193" s="15"/>
      <c r="AF193" s="44"/>
      <c r="AG193" s="15">
        <f t="shared" si="18"/>
        <v>0</v>
      </c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/>
      <c r="BA193" s="42"/>
      <c r="BB193" s="15">
        <f t="shared" si="23"/>
        <v>0</v>
      </c>
      <c r="BC193" s="15"/>
      <c r="BD193" s="44"/>
      <c r="BE193" s="15"/>
      <c r="BF193" s="44"/>
      <c r="BG193" s="15">
        <f t="shared" si="24"/>
        <v>0</v>
      </c>
    </row>
    <row r="194" spans="1:59" s="8" customFormat="1" ht="22.5" customHeight="1">
      <c r="A194" s="9"/>
      <c r="B194" s="16" t="s">
        <v>233</v>
      </c>
      <c r="C194" s="89" t="s">
        <v>48</v>
      </c>
      <c r="D194" s="104" t="s">
        <v>315</v>
      </c>
      <c r="E194" s="104" t="s">
        <v>318</v>
      </c>
      <c r="F194" s="104" t="s">
        <v>1356</v>
      </c>
      <c r="G194" s="104" t="s">
        <v>1357</v>
      </c>
      <c r="H194" s="12"/>
      <c r="I194" s="9"/>
      <c r="J194" s="9" t="s">
        <v>317</v>
      </c>
      <c r="K194" s="14"/>
      <c r="L194" s="14"/>
      <c r="M194" s="12">
        <v>318</v>
      </c>
      <c r="N194" s="9"/>
      <c r="O194" s="9"/>
      <c r="P194" s="9"/>
      <c r="Q194" s="38">
        <f t="shared" si="16"/>
        <v>318</v>
      </c>
      <c r="R194" s="12"/>
      <c r="S194" s="42"/>
      <c r="T194" s="15"/>
      <c r="U194" s="44"/>
      <c r="V194" s="15"/>
      <c r="W194" s="44"/>
      <c r="X194" s="15">
        <f t="shared" si="17"/>
        <v>0</v>
      </c>
      <c r="Y194" s="15"/>
      <c r="Z194" s="44"/>
      <c r="AA194" s="15"/>
      <c r="AB194" s="44"/>
      <c r="AC194" s="15"/>
      <c r="AD194" s="44"/>
      <c r="AE194" s="15"/>
      <c r="AF194" s="44"/>
      <c r="AG194" s="15">
        <f t="shared" si="18"/>
        <v>0</v>
      </c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/>
      <c r="BA194" s="42"/>
      <c r="BB194" s="15">
        <f t="shared" si="23"/>
        <v>0</v>
      </c>
      <c r="BC194" s="15"/>
      <c r="BD194" s="44"/>
      <c r="BE194" s="15"/>
      <c r="BF194" s="44"/>
      <c r="BG194" s="15">
        <f t="shared" si="24"/>
        <v>0</v>
      </c>
    </row>
    <row r="195" spans="1:59" s="8" customFormat="1" ht="22.5" customHeight="1">
      <c r="A195" s="9"/>
      <c r="B195" s="16" t="s">
        <v>233</v>
      </c>
      <c r="C195" s="89" t="s">
        <v>48</v>
      </c>
      <c r="D195" s="104" t="s">
        <v>319</v>
      </c>
      <c r="E195" s="104" t="s">
        <v>233</v>
      </c>
      <c r="F195" s="104" t="s">
        <v>1358</v>
      </c>
      <c r="G195" s="104" t="s">
        <v>1359</v>
      </c>
      <c r="H195" s="12"/>
      <c r="I195" s="9"/>
      <c r="J195" s="9"/>
      <c r="K195" s="14"/>
      <c r="L195" s="14"/>
      <c r="M195" s="12"/>
      <c r="N195" s="9"/>
      <c r="O195" s="9"/>
      <c r="P195" s="9"/>
      <c r="Q195" s="38">
        <f t="shared" si="16"/>
        <v>0</v>
      </c>
      <c r="R195" s="12"/>
      <c r="S195" s="42"/>
      <c r="T195" s="15"/>
      <c r="U195" s="44"/>
      <c r="V195" s="15"/>
      <c r="W195" s="44"/>
      <c r="X195" s="15">
        <f t="shared" si="17"/>
        <v>0</v>
      </c>
      <c r="Y195" s="15"/>
      <c r="Z195" s="44"/>
      <c r="AA195" s="15"/>
      <c r="AB195" s="44"/>
      <c r="AC195" s="15"/>
      <c r="AD195" s="44"/>
      <c r="AE195" s="15"/>
      <c r="AF195" s="44"/>
      <c r="AG195" s="15">
        <f t="shared" si="18"/>
        <v>0</v>
      </c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/>
      <c r="BA195" s="42"/>
      <c r="BB195" s="15">
        <f t="shared" si="23"/>
        <v>0</v>
      </c>
      <c r="BC195" s="15"/>
      <c r="BD195" s="44"/>
      <c r="BE195" s="15"/>
      <c r="BF195" s="44"/>
      <c r="BG195" s="15">
        <f t="shared" si="24"/>
        <v>0</v>
      </c>
    </row>
    <row r="196" spans="1:59" s="8" customFormat="1" ht="22.5" customHeight="1">
      <c r="A196" s="9"/>
      <c r="B196" s="16" t="s">
        <v>233</v>
      </c>
      <c r="C196" s="89" t="s">
        <v>48</v>
      </c>
      <c r="D196" s="104" t="s">
        <v>320</v>
      </c>
      <c r="E196" s="104" t="s">
        <v>321</v>
      </c>
      <c r="F196" s="104" t="s">
        <v>1360</v>
      </c>
      <c r="G196" s="104" t="s">
        <v>1361</v>
      </c>
      <c r="H196" s="12"/>
      <c r="I196" s="9"/>
      <c r="J196" s="9"/>
      <c r="K196" s="14"/>
      <c r="L196" s="14"/>
      <c r="M196" s="12">
        <v>57</v>
      </c>
      <c r="N196" s="9"/>
      <c r="O196" s="9"/>
      <c r="P196" s="9"/>
      <c r="Q196" s="38">
        <f t="shared" ref="Q196:Q259" si="25">M196+X196-AG196-BB196</f>
        <v>57</v>
      </c>
      <c r="R196" s="12"/>
      <c r="S196" s="42"/>
      <c r="T196" s="15"/>
      <c r="U196" s="44"/>
      <c r="V196" s="15"/>
      <c r="W196" s="44"/>
      <c r="X196" s="15">
        <f t="shared" ref="X196:X259" si="26">R196+T196+V196</f>
        <v>0</v>
      </c>
      <c r="Y196" s="15"/>
      <c r="Z196" s="44"/>
      <c r="AA196" s="15"/>
      <c r="AB196" s="44"/>
      <c r="AC196" s="15"/>
      <c r="AD196" s="44"/>
      <c r="AE196" s="15"/>
      <c r="AF196" s="44"/>
      <c r="AG196" s="15">
        <f t="shared" ref="AG196:AG259" si="27">(Y196+AA196+AC196+AE196)</f>
        <v>0</v>
      </c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/>
      <c r="BA196" s="42"/>
      <c r="BB196" s="15">
        <f t="shared" si="23"/>
        <v>0</v>
      </c>
      <c r="BC196" s="15"/>
      <c r="BD196" s="44"/>
      <c r="BE196" s="15"/>
      <c r="BF196" s="44"/>
      <c r="BG196" s="15">
        <f t="shared" si="24"/>
        <v>0</v>
      </c>
    </row>
    <row r="197" spans="1:59" s="8" customFormat="1" ht="22.5" customHeight="1">
      <c r="A197" s="9"/>
      <c r="B197" s="16" t="s">
        <v>233</v>
      </c>
      <c r="C197" s="89" t="s">
        <v>48</v>
      </c>
      <c r="D197" s="104" t="s">
        <v>322</v>
      </c>
      <c r="E197" s="104" t="s">
        <v>323</v>
      </c>
      <c r="F197" s="104" t="s">
        <v>1362</v>
      </c>
      <c r="G197" s="104" t="s">
        <v>1363</v>
      </c>
      <c r="H197" s="12"/>
      <c r="I197" s="9"/>
      <c r="J197" s="9"/>
      <c r="K197" s="14"/>
      <c r="L197" s="14"/>
      <c r="M197" s="12">
        <v>154</v>
      </c>
      <c r="N197" s="9"/>
      <c r="O197" s="9"/>
      <c r="P197" s="9"/>
      <c r="Q197" s="38">
        <f t="shared" si="25"/>
        <v>154</v>
      </c>
      <c r="R197" s="12"/>
      <c r="S197" s="42"/>
      <c r="T197" s="15"/>
      <c r="U197" s="44"/>
      <c r="V197" s="15"/>
      <c r="W197" s="44"/>
      <c r="X197" s="15">
        <f t="shared" si="26"/>
        <v>0</v>
      </c>
      <c r="Y197" s="15"/>
      <c r="Z197" s="44"/>
      <c r="AA197" s="15"/>
      <c r="AB197" s="44"/>
      <c r="AC197" s="15"/>
      <c r="AD197" s="44"/>
      <c r="AE197" s="15"/>
      <c r="AF197" s="44"/>
      <c r="AG197" s="15">
        <f t="shared" si="27"/>
        <v>0</v>
      </c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/>
      <c r="BA197" s="42"/>
      <c r="BB197" s="15">
        <f t="shared" si="23"/>
        <v>0</v>
      </c>
      <c r="BC197" s="15"/>
      <c r="BD197" s="44"/>
      <c r="BE197" s="15"/>
      <c r="BF197" s="44"/>
      <c r="BG197" s="15">
        <f t="shared" si="24"/>
        <v>0</v>
      </c>
    </row>
    <row r="198" spans="1:59" s="8" customFormat="1" ht="22.5" customHeight="1">
      <c r="A198" s="9"/>
      <c r="B198" s="16" t="s">
        <v>233</v>
      </c>
      <c r="C198" s="89" t="s">
        <v>48</v>
      </c>
      <c r="D198" s="104" t="s">
        <v>324</v>
      </c>
      <c r="E198" s="104" t="s">
        <v>325</v>
      </c>
      <c r="F198" s="104" t="s">
        <v>1364</v>
      </c>
      <c r="G198" s="104" t="s">
        <v>1365</v>
      </c>
      <c r="H198" s="12"/>
      <c r="I198" s="9"/>
      <c r="J198" s="9"/>
      <c r="K198" s="14"/>
      <c r="L198" s="14"/>
      <c r="M198" s="12">
        <v>0</v>
      </c>
      <c r="N198" s="9"/>
      <c r="O198" s="9"/>
      <c r="P198" s="9"/>
      <c r="Q198" s="38">
        <f t="shared" si="25"/>
        <v>0</v>
      </c>
      <c r="R198" s="12"/>
      <c r="S198" s="42"/>
      <c r="T198" s="15"/>
      <c r="U198" s="44"/>
      <c r="V198" s="15"/>
      <c r="W198" s="44"/>
      <c r="X198" s="15">
        <f t="shared" si="26"/>
        <v>0</v>
      </c>
      <c r="Y198" s="15"/>
      <c r="Z198" s="44"/>
      <c r="AA198" s="15"/>
      <c r="AB198" s="44"/>
      <c r="AC198" s="15"/>
      <c r="AD198" s="44"/>
      <c r="AE198" s="15"/>
      <c r="AF198" s="44"/>
      <c r="AG198" s="15">
        <f t="shared" si="27"/>
        <v>0</v>
      </c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/>
      <c r="BA198" s="42"/>
      <c r="BB198" s="15">
        <f t="shared" si="23"/>
        <v>0</v>
      </c>
      <c r="BC198" s="15"/>
      <c r="BD198" s="44"/>
      <c r="BE198" s="15"/>
      <c r="BF198" s="44"/>
      <c r="BG198" s="15">
        <f t="shared" si="24"/>
        <v>0</v>
      </c>
    </row>
    <row r="199" spans="1:59" s="8" customFormat="1" ht="22.5" customHeight="1">
      <c r="A199" s="9"/>
      <c r="B199" s="16" t="s">
        <v>233</v>
      </c>
      <c r="C199" s="89" t="s">
        <v>48</v>
      </c>
      <c r="D199" s="104" t="s">
        <v>326</v>
      </c>
      <c r="E199" s="104" t="s">
        <v>327</v>
      </c>
      <c r="F199" s="104" t="s">
        <v>1366</v>
      </c>
      <c r="G199" s="104" t="s">
        <v>1367</v>
      </c>
      <c r="H199" s="12"/>
      <c r="I199" s="9"/>
      <c r="J199" s="9"/>
      <c r="K199" s="14"/>
      <c r="L199" s="14"/>
      <c r="M199" s="12">
        <v>98</v>
      </c>
      <c r="N199" s="9"/>
      <c r="O199" s="9"/>
      <c r="P199" s="9"/>
      <c r="Q199" s="38">
        <f t="shared" si="25"/>
        <v>98</v>
      </c>
      <c r="R199" s="12"/>
      <c r="S199" s="42"/>
      <c r="T199" s="15"/>
      <c r="U199" s="44"/>
      <c r="V199" s="15"/>
      <c r="W199" s="44"/>
      <c r="X199" s="15">
        <f t="shared" si="26"/>
        <v>0</v>
      </c>
      <c r="Y199" s="15"/>
      <c r="Z199" s="44"/>
      <c r="AA199" s="15"/>
      <c r="AB199" s="44"/>
      <c r="AC199" s="15"/>
      <c r="AD199" s="44"/>
      <c r="AE199" s="15"/>
      <c r="AF199" s="44"/>
      <c r="AG199" s="15">
        <f t="shared" si="27"/>
        <v>0</v>
      </c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/>
      <c r="BA199" s="42"/>
      <c r="BB199" s="15">
        <f t="shared" si="23"/>
        <v>0</v>
      </c>
      <c r="BC199" s="15"/>
      <c r="BD199" s="44"/>
      <c r="BE199" s="15"/>
      <c r="BF199" s="44"/>
      <c r="BG199" s="15">
        <f t="shared" si="24"/>
        <v>0</v>
      </c>
    </row>
    <row r="200" spans="1:59" s="8" customFormat="1" ht="22.5" customHeight="1">
      <c r="A200" s="9"/>
      <c r="B200" s="16" t="s">
        <v>155</v>
      </c>
      <c r="C200" s="89" t="s">
        <v>48</v>
      </c>
      <c r="D200" s="104" t="s">
        <v>328</v>
      </c>
      <c r="E200" s="104" t="s">
        <v>329</v>
      </c>
      <c r="F200" s="104" t="s">
        <v>1368</v>
      </c>
      <c r="G200" s="104" t="s">
        <v>1369</v>
      </c>
      <c r="H200" s="12"/>
      <c r="I200" s="9"/>
      <c r="J200" s="9" t="s">
        <v>158</v>
      </c>
      <c r="K200" s="14"/>
      <c r="L200" s="14"/>
      <c r="M200" s="12">
        <v>400</v>
      </c>
      <c r="N200" s="9"/>
      <c r="O200" s="9"/>
      <c r="P200" s="9"/>
      <c r="Q200" s="38">
        <f t="shared" si="25"/>
        <v>400</v>
      </c>
      <c r="R200" s="12"/>
      <c r="S200" s="42"/>
      <c r="T200" s="15"/>
      <c r="U200" s="44"/>
      <c r="V200" s="15"/>
      <c r="W200" s="44"/>
      <c r="X200" s="15">
        <f t="shared" si="26"/>
        <v>0</v>
      </c>
      <c r="Y200" s="15"/>
      <c r="Z200" s="44"/>
      <c r="AA200" s="15"/>
      <c r="AB200" s="44"/>
      <c r="AC200" s="15"/>
      <c r="AD200" s="44"/>
      <c r="AE200" s="15"/>
      <c r="AF200" s="44"/>
      <c r="AG200" s="15">
        <f t="shared" si="27"/>
        <v>0</v>
      </c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/>
      <c r="BA200" s="42"/>
      <c r="BB200" s="15">
        <f t="shared" si="23"/>
        <v>0</v>
      </c>
      <c r="BC200" s="15"/>
      <c r="BD200" s="44"/>
      <c r="BE200" s="15"/>
      <c r="BF200" s="44"/>
      <c r="BG200" s="15">
        <f t="shared" si="24"/>
        <v>0</v>
      </c>
    </row>
    <row r="201" spans="1:59" s="8" customFormat="1" ht="22.5" customHeight="1">
      <c r="A201" s="9"/>
      <c r="B201" s="16" t="s">
        <v>330</v>
      </c>
      <c r="C201" s="89" t="s">
        <v>48</v>
      </c>
      <c r="D201" s="104" t="s">
        <v>331</v>
      </c>
      <c r="E201" s="104" t="s">
        <v>330</v>
      </c>
      <c r="F201" s="104" t="s">
        <v>1370</v>
      </c>
      <c r="G201" s="104" t="s">
        <v>1371</v>
      </c>
      <c r="H201" s="12"/>
      <c r="I201" s="9"/>
      <c r="J201" s="9" t="s">
        <v>332</v>
      </c>
      <c r="K201" s="14"/>
      <c r="L201" s="14"/>
      <c r="M201" s="12">
        <v>200</v>
      </c>
      <c r="N201" s="9"/>
      <c r="O201" s="9"/>
      <c r="P201" s="9"/>
      <c r="Q201" s="38">
        <f t="shared" si="25"/>
        <v>200</v>
      </c>
      <c r="R201" s="12"/>
      <c r="S201" s="42"/>
      <c r="T201" s="15"/>
      <c r="U201" s="44"/>
      <c r="V201" s="15"/>
      <c r="W201" s="44"/>
      <c r="X201" s="15">
        <f t="shared" si="26"/>
        <v>0</v>
      </c>
      <c r="Y201" s="15"/>
      <c r="Z201" s="44"/>
      <c r="AA201" s="15"/>
      <c r="AB201" s="44"/>
      <c r="AC201" s="15"/>
      <c r="AD201" s="44"/>
      <c r="AE201" s="15"/>
      <c r="AF201" s="44"/>
      <c r="AG201" s="15">
        <f t="shared" si="27"/>
        <v>0</v>
      </c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/>
      <c r="BA201" s="42"/>
      <c r="BB201" s="15">
        <f t="shared" si="23"/>
        <v>0</v>
      </c>
      <c r="BC201" s="15"/>
      <c r="BD201" s="44"/>
      <c r="BE201" s="15"/>
      <c r="BF201" s="44"/>
      <c r="BG201" s="15">
        <f t="shared" si="24"/>
        <v>0</v>
      </c>
    </row>
    <row r="202" spans="1:59" s="8" customFormat="1" ht="22.5" customHeight="1">
      <c r="A202" s="9"/>
      <c r="B202" s="16" t="s">
        <v>330</v>
      </c>
      <c r="C202" s="89" t="s">
        <v>48</v>
      </c>
      <c r="D202" s="104" t="s">
        <v>333</v>
      </c>
      <c r="E202" s="104" t="s">
        <v>330</v>
      </c>
      <c r="F202" s="104" t="s">
        <v>1372</v>
      </c>
      <c r="G202" s="104" t="s">
        <v>1373</v>
      </c>
      <c r="H202" s="12"/>
      <c r="I202" s="9"/>
      <c r="J202" s="9" t="s">
        <v>332</v>
      </c>
      <c r="K202" s="14"/>
      <c r="L202" s="14"/>
      <c r="M202" s="12"/>
      <c r="N202" s="9"/>
      <c r="O202" s="9"/>
      <c r="P202" s="9"/>
      <c r="Q202" s="38">
        <f t="shared" si="25"/>
        <v>0</v>
      </c>
      <c r="R202" s="12"/>
      <c r="S202" s="42"/>
      <c r="T202" s="15"/>
      <c r="U202" s="44"/>
      <c r="V202" s="15"/>
      <c r="W202" s="44"/>
      <c r="X202" s="15">
        <f t="shared" si="26"/>
        <v>0</v>
      </c>
      <c r="Y202" s="15"/>
      <c r="Z202" s="44"/>
      <c r="AA202" s="15"/>
      <c r="AB202" s="44"/>
      <c r="AC202" s="15"/>
      <c r="AD202" s="44"/>
      <c r="AE202" s="15"/>
      <c r="AF202" s="44"/>
      <c r="AG202" s="15">
        <f t="shared" si="27"/>
        <v>0</v>
      </c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/>
      <c r="BA202" s="42"/>
      <c r="BB202" s="15">
        <f t="shared" si="23"/>
        <v>0</v>
      </c>
      <c r="BC202" s="15"/>
      <c r="BD202" s="44"/>
      <c r="BE202" s="15"/>
      <c r="BF202" s="44"/>
      <c r="BG202" s="15">
        <f t="shared" si="24"/>
        <v>0</v>
      </c>
    </row>
    <row r="203" spans="1:59" s="8" customFormat="1" ht="22.5" customHeight="1">
      <c r="A203" s="9"/>
      <c r="B203" s="16" t="s">
        <v>334</v>
      </c>
      <c r="C203" s="89" t="s">
        <v>48</v>
      </c>
      <c r="D203" s="104" t="s">
        <v>335</v>
      </c>
      <c r="E203" s="104" t="s">
        <v>336</v>
      </c>
      <c r="F203" s="104" t="s">
        <v>1374</v>
      </c>
      <c r="G203" s="104" t="s">
        <v>1375</v>
      </c>
      <c r="H203" s="12"/>
      <c r="I203" s="9"/>
      <c r="J203" s="9" t="s">
        <v>314</v>
      </c>
      <c r="K203" s="14"/>
      <c r="L203" s="14"/>
      <c r="M203" s="12"/>
      <c r="N203" s="9"/>
      <c r="O203" s="9"/>
      <c r="P203" s="9"/>
      <c r="Q203" s="38">
        <f t="shared" si="25"/>
        <v>0</v>
      </c>
      <c r="R203" s="12"/>
      <c r="S203" s="42"/>
      <c r="T203" s="15"/>
      <c r="U203" s="44"/>
      <c r="V203" s="15"/>
      <c r="W203" s="44"/>
      <c r="X203" s="15">
        <f t="shared" si="26"/>
        <v>0</v>
      </c>
      <c r="Y203" s="15"/>
      <c r="Z203" s="44"/>
      <c r="AA203" s="15"/>
      <c r="AB203" s="44"/>
      <c r="AC203" s="15"/>
      <c r="AD203" s="44"/>
      <c r="AE203" s="15"/>
      <c r="AF203" s="44"/>
      <c r="AG203" s="15">
        <f t="shared" si="27"/>
        <v>0</v>
      </c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/>
      <c r="BA203" s="42"/>
      <c r="BB203" s="15">
        <f t="shared" si="23"/>
        <v>0</v>
      </c>
      <c r="BC203" s="15"/>
      <c r="BD203" s="44"/>
      <c r="BE203" s="15"/>
      <c r="BF203" s="44"/>
      <c r="BG203" s="15">
        <f t="shared" si="24"/>
        <v>0</v>
      </c>
    </row>
    <row r="204" spans="1:59" s="8" customFormat="1" ht="22.5" customHeight="1">
      <c r="A204" s="9"/>
      <c r="B204" s="16" t="s">
        <v>489</v>
      </c>
      <c r="C204" s="89" t="s">
        <v>48</v>
      </c>
      <c r="D204" s="104" t="s">
        <v>1376</v>
      </c>
      <c r="E204" s="104" t="s">
        <v>1377</v>
      </c>
      <c r="F204" s="104" t="s">
        <v>1378</v>
      </c>
      <c r="G204" s="104" t="s">
        <v>1379</v>
      </c>
      <c r="H204" s="12"/>
      <c r="I204" s="9"/>
      <c r="J204" s="9"/>
      <c r="K204" s="14"/>
      <c r="L204" s="14"/>
      <c r="M204" s="12">
        <v>594</v>
      </c>
      <c r="N204" s="9"/>
      <c r="O204" s="9"/>
      <c r="P204" s="9"/>
      <c r="Q204" s="38">
        <f t="shared" si="25"/>
        <v>594</v>
      </c>
      <c r="R204" s="12"/>
      <c r="S204" s="42"/>
      <c r="T204" s="15"/>
      <c r="U204" s="44"/>
      <c r="V204" s="15"/>
      <c r="W204" s="44"/>
      <c r="X204" s="15">
        <f t="shared" si="26"/>
        <v>0</v>
      </c>
      <c r="Y204" s="15"/>
      <c r="Z204" s="44"/>
      <c r="AA204" s="15"/>
      <c r="AB204" s="44"/>
      <c r="AC204" s="15"/>
      <c r="AD204" s="44"/>
      <c r="AE204" s="15"/>
      <c r="AF204" s="44"/>
      <c r="AG204" s="15">
        <f t="shared" si="27"/>
        <v>0</v>
      </c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/>
      <c r="BA204" s="42"/>
      <c r="BB204" s="15"/>
      <c r="BC204" s="15"/>
      <c r="BD204" s="44"/>
      <c r="BE204" s="15"/>
      <c r="BF204" s="44"/>
      <c r="BG204" s="15"/>
    </row>
    <row r="205" spans="1:59" s="8" customFormat="1" ht="22.5" customHeight="1">
      <c r="A205" s="9"/>
      <c r="B205" s="16" t="s">
        <v>337</v>
      </c>
      <c r="C205" s="89" t="s">
        <v>48</v>
      </c>
      <c r="D205" s="104" t="s">
        <v>338</v>
      </c>
      <c r="E205" s="104" t="s">
        <v>337</v>
      </c>
      <c r="F205" s="104" t="s">
        <v>1380</v>
      </c>
      <c r="G205" s="104" t="s">
        <v>1381</v>
      </c>
      <c r="H205" s="12"/>
      <c r="I205" s="9"/>
      <c r="J205" s="9" t="s">
        <v>339</v>
      </c>
      <c r="K205" s="14"/>
      <c r="L205" s="14"/>
      <c r="M205" s="12"/>
      <c r="N205" s="9"/>
      <c r="O205" s="9"/>
      <c r="P205" s="9"/>
      <c r="Q205" s="38">
        <f t="shared" si="25"/>
        <v>0</v>
      </c>
      <c r="R205" s="12"/>
      <c r="S205" s="42"/>
      <c r="T205" s="15"/>
      <c r="U205" s="44"/>
      <c r="V205" s="15"/>
      <c r="W205" s="44"/>
      <c r="X205" s="15">
        <f t="shared" si="26"/>
        <v>0</v>
      </c>
      <c r="Y205" s="15"/>
      <c r="Z205" s="44"/>
      <c r="AA205" s="15"/>
      <c r="AB205" s="44"/>
      <c r="AC205" s="15"/>
      <c r="AD205" s="44"/>
      <c r="AE205" s="15"/>
      <c r="AF205" s="44"/>
      <c r="AG205" s="15">
        <f t="shared" si="27"/>
        <v>0</v>
      </c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/>
      <c r="BA205" s="42"/>
      <c r="BB205" s="15">
        <f t="shared" ref="BB205:BB236" si="28">AH205+AJ205+AL205+AN205+AP205+AR205+AT205+AV205+AX205+AZ205</f>
        <v>0</v>
      </c>
      <c r="BC205" s="15"/>
      <c r="BD205" s="44"/>
      <c r="BE205" s="15"/>
      <c r="BF205" s="44"/>
      <c r="BG205" s="15">
        <f t="shared" ref="BG205:BG236" si="29">(BC205+BE205)</f>
        <v>0</v>
      </c>
    </row>
    <row r="206" spans="1:59" s="8" customFormat="1" ht="22.5" customHeight="1">
      <c r="A206" s="9"/>
      <c r="B206" s="16" t="s">
        <v>337</v>
      </c>
      <c r="C206" s="89" t="s">
        <v>48</v>
      </c>
      <c r="D206" s="104" t="s">
        <v>340</v>
      </c>
      <c r="E206" s="104" t="s">
        <v>337</v>
      </c>
      <c r="F206" s="104" t="s">
        <v>1382</v>
      </c>
      <c r="G206" s="104" t="s">
        <v>1383</v>
      </c>
      <c r="H206" s="12"/>
      <c r="I206" s="9"/>
      <c r="J206" s="9" t="s">
        <v>339</v>
      </c>
      <c r="K206" s="14"/>
      <c r="L206" s="14"/>
      <c r="M206" s="12"/>
      <c r="N206" s="9"/>
      <c r="O206" s="9"/>
      <c r="P206" s="9"/>
      <c r="Q206" s="38">
        <f t="shared" si="25"/>
        <v>0</v>
      </c>
      <c r="R206" s="12"/>
      <c r="S206" s="42"/>
      <c r="T206" s="15"/>
      <c r="U206" s="44"/>
      <c r="V206" s="15"/>
      <c r="W206" s="44"/>
      <c r="X206" s="15">
        <f t="shared" si="26"/>
        <v>0</v>
      </c>
      <c r="Y206" s="15"/>
      <c r="Z206" s="44"/>
      <c r="AA206" s="15"/>
      <c r="AB206" s="44"/>
      <c r="AC206" s="15"/>
      <c r="AD206" s="44"/>
      <c r="AE206" s="15"/>
      <c r="AF206" s="44"/>
      <c r="AG206" s="15">
        <f t="shared" si="27"/>
        <v>0</v>
      </c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/>
      <c r="BA206" s="42"/>
      <c r="BB206" s="15">
        <f t="shared" si="28"/>
        <v>0</v>
      </c>
      <c r="BC206" s="15"/>
      <c r="BD206" s="44"/>
      <c r="BE206" s="15"/>
      <c r="BF206" s="44"/>
      <c r="BG206" s="15">
        <f t="shared" si="29"/>
        <v>0</v>
      </c>
    </row>
    <row r="207" spans="1:59" s="8" customFormat="1" ht="22.5" customHeight="1">
      <c r="A207" s="9"/>
      <c r="B207" s="16" t="s">
        <v>249</v>
      </c>
      <c r="C207" s="89" t="s">
        <v>48</v>
      </c>
      <c r="D207" s="104" t="s">
        <v>1384</v>
      </c>
      <c r="E207" s="104" t="s">
        <v>251</v>
      </c>
      <c r="F207" s="104" t="s">
        <v>1385</v>
      </c>
      <c r="G207" s="104" t="s">
        <v>1386</v>
      </c>
      <c r="H207" s="12"/>
      <c r="I207" s="9"/>
      <c r="J207" s="9" t="s">
        <v>247</v>
      </c>
      <c r="K207" s="14"/>
      <c r="L207" s="14"/>
      <c r="M207" s="12">
        <v>599</v>
      </c>
      <c r="N207" s="9"/>
      <c r="O207" s="9"/>
      <c r="P207" s="9"/>
      <c r="Q207" s="38">
        <f t="shared" si="25"/>
        <v>599</v>
      </c>
      <c r="R207" s="12"/>
      <c r="S207" s="42"/>
      <c r="T207" s="15"/>
      <c r="U207" s="44"/>
      <c r="V207" s="15"/>
      <c r="W207" s="44"/>
      <c r="X207" s="15">
        <f t="shared" si="26"/>
        <v>0</v>
      </c>
      <c r="Y207" s="15"/>
      <c r="Z207" s="44"/>
      <c r="AA207" s="15"/>
      <c r="AB207" s="44"/>
      <c r="AC207" s="15"/>
      <c r="AD207" s="44"/>
      <c r="AE207" s="15"/>
      <c r="AF207" s="44"/>
      <c r="AG207" s="15">
        <f t="shared" si="27"/>
        <v>0</v>
      </c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/>
      <c r="BA207" s="42"/>
      <c r="BB207" s="15">
        <f t="shared" si="28"/>
        <v>0</v>
      </c>
      <c r="BC207" s="15"/>
      <c r="BD207" s="44"/>
      <c r="BE207" s="15"/>
      <c r="BF207" s="44"/>
      <c r="BG207" s="15">
        <f t="shared" si="29"/>
        <v>0</v>
      </c>
    </row>
    <row r="208" spans="1:59" s="8" customFormat="1" ht="22.5" customHeight="1">
      <c r="A208" s="9"/>
      <c r="B208" s="16" t="s">
        <v>343</v>
      </c>
      <c r="C208" s="89" t="s">
        <v>48</v>
      </c>
      <c r="D208" s="104" t="s">
        <v>343</v>
      </c>
      <c r="E208" s="104" t="s">
        <v>344</v>
      </c>
      <c r="F208" s="104" t="s">
        <v>1387</v>
      </c>
      <c r="G208" s="104" t="s">
        <v>1388</v>
      </c>
      <c r="H208" s="12"/>
      <c r="I208" s="9"/>
      <c r="J208" s="9" t="s">
        <v>345</v>
      </c>
      <c r="K208" s="14"/>
      <c r="L208" s="14"/>
      <c r="M208" s="12">
        <v>669</v>
      </c>
      <c r="N208" s="9"/>
      <c r="O208" s="9"/>
      <c r="P208" s="9"/>
      <c r="Q208" s="38">
        <f t="shared" si="25"/>
        <v>669</v>
      </c>
      <c r="R208" s="12"/>
      <c r="S208" s="42"/>
      <c r="T208" s="15"/>
      <c r="U208" s="44"/>
      <c r="V208" s="15"/>
      <c r="W208" s="44"/>
      <c r="X208" s="15">
        <f t="shared" si="26"/>
        <v>0</v>
      </c>
      <c r="Y208" s="15"/>
      <c r="Z208" s="44"/>
      <c r="AA208" s="15"/>
      <c r="AB208" s="44"/>
      <c r="AC208" s="15"/>
      <c r="AD208" s="44"/>
      <c r="AE208" s="15"/>
      <c r="AF208" s="44"/>
      <c r="AG208" s="15">
        <f t="shared" si="27"/>
        <v>0</v>
      </c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/>
      <c r="BA208" s="42"/>
      <c r="BB208" s="15">
        <f t="shared" si="28"/>
        <v>0</v>
      </c>
      <c r="BC208" s="15"/>
      <c r="BD208" s="44"/>
      <c r="BE208" s="15"/>
      <c r="BF208" s="44"/>
      <c r="BG208" s="15">
        <f t="shared" si="29"/>
        <v>0</v>
      </c>
    </row>
    <row r="209" spans="1:59" s="8" customFormat="1" ht="22.5" customHeight="1">
      <c r="A209" s="9"/>
      <c r="B209" s="16" t="s">
        <v>204</v>
      </c>
      <c r="C209" s="89" t="s">
        <v>48</v>
      </c>
      <c r="D209" s="104" t="s">
        <v>288</v>
      </c>
      <c r="E209" s="104" t="s">
        <v>222</v>
      </c>
      <c r="F209" s="104" t="s">
        <v>1389</v>
      </c>
      <c r="G209" s="104" t="s">
        <v>1390</v>
      </c>
      <c r="H209" s="12"/>
      <c r="I209" s="9"/>
      <c r="J209" s="9" t="s">
        <v>207</v>
      </c>
      <c r="K209" s="14"/>
      <c r="L209" s="14"/>
      <c r="M209" s="12">
        <v>92</v>
      </c>
      <c r="N209" s="9"/>
      <c r="O209" s="9"/>
      <c r="P209" s="9"/>
      <c r="Q209" s="38">
        <f t="shared" si="25"/>
        <v>92</v>
      </c>
      <c r="R209" s="12"/>
      <c r="S209" s="42"/>
      <c r="T209" s="15"/>
      <c r="U209" s="44"/>
      <c r="V209" s="15"/>
      <c r="W209" s="44"/>
      <c r="X209" s="15">
        <f t="shared" si="26"/>
        <v>0</v>
      </c>
      <c r="Y209" s="15"/>
      <c r="Z209" s="44"/>
      <c r="AA209" s="15"/>
      <c r="AB209" s="44"/>
      <c r="AC209" s="15"/>
      <c r="AD209" s="44"/>
      <c r="AE209" s="15"/>
      <c r="AF209" s="44"/>
      <c r="AG209" s="15">
        <f t="shared" si="27"/>
        <v>0</v>
      </c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/>
      <c r="BA209" s="42"/>
      <c r="BB209" s="15">
        <f t="shared" si="28"/>
        <v>0</v>
      </c>
      <c r="BC209" s="15"/>
      <c r="BD209" s="44"/>
      <c r="BE209" s="15"/>
      <c r="BF209" s="44"/>
      <c r="BG209" s="15">
        <f t="shared" si="29"/>
        <v>0</v>
      </c>
    </row>
    <row r="210" spans="1:59" s="8" customFormat="1" ht="22.5" customHeight="1">
      <c r="A210" s="9"/>
      <c r="B210" s="16" t="s">
        <v>204</v>
      </c>
      <c r="C210" s="89" t="s">
        <v>48</v>
      </c>
      <c r="D210" s="104" t="s">
        <v>289</v>
      </c>
      <c r="E210" s="104" t="s">
        <v>222</v>
      </c>
      <c r="F210" s="104" t="s">
        <v>1391</v>
      </c>
      <c r="G210" s="104" t="s">
        <v>1392</v>
      </c>
      <c r="H210" s="12"/>
      <c r="I210" s="9"/>
      <c r="J210" s="9" t="s">
        <v>207</v>
      </c>
      <c r="K210" s="14"/>
      <c r="L210" s="14"/>
      <c r="M210" s="12">
        <v>241</v>
      </c>
      <c r="N210" s="9"/>
      <c r="O210" s="9"/>
      <c r="P210" s="9"/>
      <c r="Q210" s="38">
        <f t="shared" si="25"/>
        <v>241</v>
      </c>
      <c r="R210" s="12"/>
      <c r="S210" s="42"/>
      <c r="T210" s="15"/>
      <c r="U210" s="44"/>
      <c r="V210" s="15"/>
      <c r="W210" s="44"/>
      <c r="X210" s="15">
        <f t="shared" si="26"/>
        <v>0</v>
      </c>
      <c r="Y210" s="15"/>
      <c r="Z210" s="44"/>
      <c r="AA210" s="15"/>
      <c r="AB210" s="44"/>
      <c r="AC210" s="15"/>
      <c r="AD210" s="44"/>
      <c r="AE210" s="15"/>
      <c r="AF210" s="44"/>
      <c r="AG210" s="15">
        <f t="shared" si="27"/>
        <v>0</v>
      </c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/>
      <c r="BA210" s="42"/>
      <c r="BB210" s="15">
        <f t="shared" si="28"/>
        <v>0</v>
      </c>
      <c r="BC210" s="15"/>
      <c r="BD210" s="44"/>
      <c r="BE210" s="15"/>
      <c r="BF210" s="44"/>
      <c r="BG210" s="15">
        <f t="shared" si="29"/>
        <v>0</v>
      </c>
    </row>
    <row r="211" spans="1:59" s="8" customFormat="1" ht="22.5" customHeight="1">
      <c r="A211" s="9"/>
      <c r="B211" s="16" t="s">
        <v>204</v>
      </c>
      <c r="C211" s="89" t="s">
        <v>48</v>
      </c>
      <c r="D211" s="104" t="s">
        <v>291</v>
      </c>
      <c r="E211" s="104" t="s">
        <v>222</v>
      </c>
      <c r="F211" s="104" t="s">
        <v>1393</v>
      </c>
      <c r="G211" s="104" t="s">
        <v>1394</v>
      </c>
      <c r="H211" s="12"/>
      <c r="I211" s="9"/>
      <c r="J211" s="9" t="s">
        <v>207</v>
      </c>
      <c r="K211" s="14"/>
      <c r="L211" s="14"/>
      <c r="M211" s="12">
        <v>70</v>
      </c>
      <c r="N211" s="9"/>
      <c r="O211" s="9"/>
      <c r="P211" s="9"/>
      <c r="Q211" s="38">
        <f t="shared" si="25"/>
        <v>70</v>
      </c>
      <c r="R211" s="12"/>
      <c r="S211" s="42"/>
      <c r="T211" s="15"/>
      <c r="U211" s="44"/>
      <c r="V211" s="15"/>
      <c r="W211" s="44"/>
      <c r="X211" s="15">
        <f t="shared" si="26"/>
        <v>0</v>
      </c>
      <c r="Y211" s="15"/>
      <c r="Z211" s="44"/>
      <c r="AA211" s="15"/>
      <c r="AB211" s="44"/>
      <c r="AC211" s="15"/>
      <c r="AD211" s="44"/>
      <c r="AE211" s="15"/>
      <c r="AF211" s="44"/>
      <c r="AG211" s="15">
        <f t="shared" si="27"/>
        <v>0</v>
      </c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/>
      <c r="BA211" s="42"/>
      <c r="BB211" s="15">
        <f t="shared" si="28"/>
        <v>0</v>
      </c>
      <c r="BC211" s="15"/>
      <c r="BD211" s="44"/>
      <c r="BE211" s="15"/>
      <c r="BF211" s="44"/>
      <c r="BG211" s="15">
        <f t="shared" si="29"/>
        <v>0</v>
      </c>
    </row>
    <row r="212" spans="1:59" s="8" customFormat="1" ht="22.5" customHeight="1">
      <c r="A212" s="9"/>
      <c r="B212" s="16" t="s">
        <v>204</v>
      </c>
      <c r="C212" s="89" t="s">
        <v>48</v>
      </c>
      <c r="D212" s="104" t="s">
        <v>1315</v>
      </c>
      <c r="E212" s="104" t="s">
        <v>346</v>
      </c>
      <c r="F212" s="104" t="s">
        <v>1395</v>
      </c>
      <c r="G212" s="104" t="s">
        <v>1396</v>
      </c>
      <c r="H212" s="12"/>
      <c r="I212" s="9"/>
      <c r="J212" s="9" t="s">
        <v>207</v>
      </c>
      <c r="K212" s="14"/>
      <c r="L212" s="14"/>
      <c r="M212" s="12">
        <v>488</v>
      </c>
      <c r="N212" s="9"/>
      <c r="O212" s="9"/>
      <c r="P212" s="9"/>
      <c r="Q212" s="38">
        <f t="shared" si="25"/>
        <v>488</v>
      </c>
      <c r="R212" s="12"/>
      <c r="S212" s="42"/>
      <c r="T212" s="15"/>
      <c r="U212" s="44"/>
      <c r="V212" s="15"/>
      <c r="W212" s="44"/>
      <c r="X212" s="15">
        <f t="shared" si="26"/>
        <v>0</v>
      </c>
      <c r="Y212" s="15"/>
      <c r="Z212" s="44"/>
      <c r="AA212" s="15"/>
      <c r="AB212" s="44"/>
      <c r="AC212" s="15"/>
      <c r="AD212" s="44"/>
      <c r="AE212" s="15"/>
      <c r="AF212" s="44"/>
      <c r="AG212" s="15">
        <f t="shared" si="27"/>
        <v>0</v>
      </c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/>
      <c r="BA212" s="42"/>
      <c r="BB212" s="15">
        <f t="shared" si="28"/>
        <v>0</v>
      </c>
      <c r="BC212" s="15"/>
      <c r="BD212" s="44"/>
      <c r="BE212" s="15"/>
      <c r="BF212" s="44"/>
      <c r="BG212" s="15">
        <f t="shared" si="29"/>
        <v>0</v>
      </c>
    </row>
    <row r="213" spans="1:59" s="8" customFormat="1" ht="22.5" customHeight="1">
      <c r="A213" s="9"/>
      <c r="B213" s="16" t="s">
        <v>204</v>
      </c>
      <c r="C213" s="89" t="s">
        <v>48</v>
      </c>
      <c r="D213" s="104" t="s">
        <v>216</v>
      </c>
      <c r="E213" s="104" t="s">
        <v>347</v>
      </c>
      <c r="F213" s="104" t="s">
        <v>1397</v>
      </c>
      <c r="G213" s="104" t="s">
        <v>1398</v>
      </c>
      <c r="H213" s="12"/>
      <c r="I213" s="9"/>
      <c r="J213" s="9" t="s">
        <v>207</v>
      </c>
      <c r="K213" s="14"/>
      <c r="L213" s="14"/>
      <c r="M213" s="12">
        <v>134</v>
      </c>
      <c r="N213" s="9"/>
      <c r="O213" s="9"/>
      <c r="P213" s="9"/>
      <c r="Q213" s="38">
        <f t="shared" si="25"/>
        <v>134</v>
      </c>
      <c r="R213" s="12"/>
      <c r="S213" s="42"/>
      <c r="T213" s="15"/>
      <c r="U213" s="44"/>
      <c r="V213" s="15"/>
      <c r="W213" s="44"/>
      <c r="X213" s="15">
        <f t="shared" si="26"/>
        <v>0</v>
      </c>
      <c r="Y213" s="15"/>
      <c r="Z213" s="44"/>
      <c r="AA213" s="15"/>
      <c r="AB213" s="44"/>
      <c r="AC213" s="15"/>
      <c r="AD213" s="44"/>
      <c r="AE213" s="15"/>
      <c r="AF213" s="44"/>
      <c r="AG213" s="15">
        <f t="shared" si="27"/>
        <v>0</v>
      </c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/>
      <c r="BA213" s="42"/>
      <c r="BB213" s="15">
        <f t="shared" si="28"/>
        <v>0</v>
      </c>
      <c r="BC213" s="15"/>
      <c r="BD213" s="44"/>
      <c r="BE213" s="15"/>
      <c r="BF213" s="44"/>
      <c r="BG213" s="15">
        <f t="shared" si="29"/>
        <v>0</v>
      </c>
    </row>
    <row r="214" spans="1:59" s="8" customFormat="1" ht="22.5" customHeight="1">
      <c r="A214" s="9"/>
      <c r="B214" s="16" t="s">
        <v>204</v>
      </c>
      <c r="C214" s="89" t="s">
        <v>48</v>
      </c>
      <c r="D214" s="104" t="s">
        <v>285</v>
      </c>
      <c r="E214" s="104" t="s">
        <v>347</v>
      </c>
      <c r="F214" s="104" t="s">
        <v>1399</v>
      </c>
      <c r="G214" s="104" t="s">
        <v>1400</v>
      </c>
      <c r="H214" s="12"/>
      <c r="I214" s="9"/>
      <c r="J214" s="9" t="s">
        <v>207</v>
      </c>
      <c r="K214" s="14"/>
      <c r="L214" s="14"/>
      <c r="M214" s="12">
        <v>400</v>
      </c>
      <c r="N214" s="9"/>
      <c r="O214" s="9"/>
      <c r="P214" s="9"/>
      <c r="Q214" s="38">
        <f t="shared" si="25"/>
        <v>400</v>
      </c>
      <c r="R214" s="12"/>
      <c r="S214" s="42"/>
      <c r="T214" s="15"/>
      <c r="U214" s="44"/>
      <c r="V214" s="15"/>
      <c r="W214" s="44"/>
      <c r="X214" s="15">
        <f t="shared" si="26"/>
        <v>0</v>
      </c>
      <c r="Y214" s="15"/>
      <c r="Z214" s="44"/>
      <c r="AA214" s="15"/>
      <c r="AB214" s="44"/>
      <c r="AC214" s="15"/>
      <c r="AD214" s="44"/>
      <c r="AE214" s="15"/>
      <c r="AF214" s="44"/>
      <c r="AG214" s="15">
        <f t="shared" si="27"/>
        <v>0</v>
      </c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/>
      <c r="BA214" s="42"/>
      <c r="BB214" s="15">
        <f t="shared" si="28"/>
        <v>0</v>
      </c>
      <c r="BC214" s="15"/>
      <c r="BD214" s="44"/>
      <c r="BE214" s="15"/>
      <c r="BF214" s="44"/>
      <c r="BG214" s="15">
        <f t="shared" si="29"/>
        <v>0</v>
      </c>
    </row>
    <row r="215" spans="1:59" s="8" customFormat="1" ht="22.5" customHeight="1">
      <c r="A215" s="9"/>
      <c r="B215" s="16" t="s">
        <v>204</v>
      </c>
      <c r="C215" s="89" t="s">
        <v>48</v>
      </c>
      <c r="D215" s="104" t="s">
        <v>286</v>
      </c>
      <c r="E215" s="104" t="s">
        <v>206</v>
      </c>
      <c r="F215" s="104" t="s">
        <v>1401</v>
      </c>
      <c r="G215" s="104" t="s">
        <v>1402</v>
      </c>
      <c r="H215" s="12"/>
      <c r="I215" s="9"/>
      <c r="J215" s="9" t="s">
        <v>207</v>
      </c>
      <c r="K215" s="14"/>
      <c r="L215" s="14"/>
      <c r="M215" s="12">
        <v>514</v>
      </c>
      <c r="N215" s="9"/>
      <c r="O215" s="9"/>
      <c r="P215" s="9"/>
      <c r="Q215" s="38">
        <f t="shared" si="25"/>
        <v>514</v>
      </c>
      <c r="R215" s="12"/>
      <c r="S215" s="42"/>
      <c r="T215" s="15"/>
      <c r="U215" s="44"/>
      <c r="V215" s="15"/>
      <c r="W215" s="44"/>
      <c r="X215" s="15">
        <f t="shared" si="26"/>
        <v>0</v>
      </c>
      <c r="Y215" s="15"/>
      <c r="Z215" s="44"/>
      <c r="AA215" s="15"/>
      <c r="AB215" s="44"/>
      <c r="AC215" s="15"/>
      <c r="AD215" s="44"/>
      <c r="AE215" s="15"/>
      <c r="AF215" s="44"/>
      <c r="AG215" s="15">
        <f t="shared" si="27"/>
        <v>0</v>
      </c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/>
      <c r="BA215" s="42"/>
      <c r="BB215" s="15">
        <f t="shared" si="28"/>
        <v>0</v>
      </c>
      <c r="BC215" s="15"/>
      <c r="BD215" s="44"/>
      <c r="BE215" s="15"/>
      <c r="BF215" s="44"/>
      <c r="BG215" s="15">
        <f t="shared" si="29"/>
        <v>0</v>
      </c>
    </row>
    <row r="216" spans="1:59" s="8" customFormat="1" ht="22.5" customHeight="1">
      <c r="A216" s="9"/>
      <c r="B216" s="16" t="s">
        <v>204</v>
      </c>
      <c r="C216" s="89" t="s">
        <v>48</v>
      </c>
      <c r="D216" s="104" t="s">
        <v>297</v>
      </c>
      <c r="E216" s="104" t="s">
        <v>222</v>
      </c>
      <c r="F216" s="104" t="s">
        <v>1403</v>
      </c>
      <c r="G216" s="104" t="s">
        <v>1404</v>
      </c>
      <c r="H216" s="12"/>
      <c r="I216" s="9"/>
      <c r="J216" s="9" t="s">
        <v>207</v>
      </c>
      <c r="K216" s="14"/>
      <c r="L216" s="14"/>
      <c r="M216" s="12">
        <v>181</v>
      </c>
      <c r="N216" s="9"/>
      <c r="O216" s="9"/>
      <c r="P216" s="9"/>
      <c r="Q216" s="38">
        <f t="shared" si="25"/>
        <v>181</v>
      </c>
      <c r="R216" s="12"/>
      <c r="S216" s="42"/>
      <c r="T216" s="15"/>
      <c r="U216" s="44"/>
      <c r="V216" s="15"/>
      <c r="W216" s="44"/>
      <c r="X216" s="15">
        <f t="shared" si="26"/>
        <v>0</v>
      </c>
      <c r="Y216" s="15"/>
      <c r="Z216" s="44"/>
      <c r="AA216" s="15"/>
      <c r="AB216" s="44"/>
      <c r="AC216" s="15"/>
      <c r="AD216" s="44"/>
      <c r="AE216" s="15"/>
      <c r="AF216" s="44"/>
      <c r="AG216" s="15">
        <f t="shared" si="27"/>
        <v>0</v>
      </c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/>
      <c r="BA216" s="42"/>
      <c r="BB216" s="15">
        <f t="shared" si="28"/>
        <v>0</v>
      </c>
      <c r="BC216" s="15"/>
      <c r="BD216" s="44"/>
      <c r="BE216" s="15"/>
      <c r="BF216" s="44"/>
      <c r="BG216" s="15">
        <f t="shared" si="29"/>
        <v>0</v>
      </c>
    </row>
    <row r="217" spans="1:59" s="8" customFormat="1" ht="22.5" customHeight="1">
      <c r="A217" s="9"/>
      <c r="B217" s="16" t="s">
        <v>172</v>
      </c>
      <c r="C217" s="89" t="s">
        <v>50</v>
      </c>
      <c r="D217" s="104" t="s">
        <v>349</v>
      </c>
      <c r="E217" s="104"/>
      <c r="F217" s="104" t="s">
        <v>1405</v>
      </c>
      <c r="G217" s="104" t="s">
        <v>1406</v>
      </c>
      <c r="H217" s="12"/>
      <c r="I217" s="9"/>
      <c r="J217" s="9" t="s">
        <v>67</v>
      </c>
      <c r="K217" s="14"/>
      <c r="L217" s="14"/>
      <c r="M217" s="12">
        <v>186</v>
      </c>
      <c r="N217" s="9"/>
      <c r="O217" s="9"/>
      <c r="P217" s="9"/>
      <c r="Q217" s="38">
        <f t="shared" si="25"/>
        <v>186</v>
      </c>
      <c r="R217" s="12"/>
      <c r="S217" s="42"/>
      <c r="T217" s="15"/>
      <c r="U217" s="44"/>
      <c r="V217" s="15"/>
      <c r="W217" s="44"/>
      <c r="X217" s="15">
        <f t="shared" si="26"/>
        <v>0</v>
      </c>
      <c r="Y217" s="15"/>
      <c r="Z217" s="44"/>
      <c r="AA217" s="15"/>
      <c r="AB217" s="44"/>
      <c r="AC217" s="15"/>
      <c r="AD217" s="44"/>
      <c r="AE217" s="15"/>
      <c r="AF217" s="44"/>
      <c r="AG217" s="15">
        <f t="shared" si="27"/>
        <v>0</v>
      </c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/>
      <c r="BA217" s="42"/>
      <c r="BB217" s="15">
        <f t="shared" si="28"/>
        <v>0</v>
      </c>
      <c r="BC217" s="15"/>
      <c r="BD217" s="44"/>
      <c r="BE217" s="15"/>
      <c r="BF217" s="44"/>
      <c r="BG217" s="15">
        <f t="shared" si="29"/>
        <v>0</v>
      </c>
    </row>
    <row r="218" spans="1:59" s="8" customFormat="1" ht="22.5" customHeight="1">
      <c r="A218" s="9"/>
      <c r="B218" s="16" t="s">
        <v>172</v>
      </c>
      <c r="C218" s="89" t="s">
        <v>50</v>
      </c>
      <c r="D218" s="104" t="s">
        <v>350</v>
      </c>
      <c r="E218" s="104"/>
      <c r="F218" s="104" t="s">
        <v>1407</v>
      </c>
      <c r="G218" s="104" t="s">
        <v>1408</v>
      </c>
      <c r="H218" s="12"/>
      <c r="I218" s="9"/>
      <c r="J218" s="9" t="s">
        <v>67</v>
      </c>
      <c r="K218" s="14"/>
      <c r="L218" s="14"/>
      <c r="M218" s="12"/>
      <c r="N218" s="9"/>
      <c r="O218" s="9"/>
      <c r="P218" s="9"/>
      <c r="Q218" s="38">
        <f t="shared" si="25"/>
        <v>0</v>
      </c>
      <c r="R218" s="12"/>
      <c r="S218" s="42"/>
      <c r="T218" s="15"/>
      <c r="U218" s="44"/>
      <c r="V218" s="15"/>
      <c r="W218" s="44"/>
      <c r="X218" s="15">
        <f t="shared" si="26"/>
        <v>0</v>
      </c>
      <c r="Y218" s="15"/>
      <c r="Z218" s="44"/>
      <c r="AA218" s="15"/>
      <c r="AB218" s="44"/>
      <c r="AC218" s="15"/>
      <c r="AD218" s="44"/>
      <c r="AE218" s="15"/>
      <c r="AF218" s="44"/>
      <c r="AG218" s="15">
        <f t="shared" si="27"/>
        <v>0</v>
      </c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/>
      <c r="BA218" s="42"/>
      <c r="BB218" s="15">
        <f t="shared" si="28"/>
        <v>0</v>
      </c>
      <c r="BC218" s="15"/>
      <c r="BD218" s="44"/>
      <c r="BE218" s="15"/>
      <c r="BF218" s="44"/>
      <c r="BG218" s="15">
        <f t="shared" si="29"/>
        <v>0</v>
      </c>
    </row>
    <row r="219" spans="1:59" s="8" customFormat="1" ht="22.5" customHeight="1">
      <c r="A219" s="9"/>
      <c r="B219" s="16" t="s">
        <v>172</v>
      </c>
      <c r="C219" s="89" t="s">
        <v>50</v>
      </c>
      <c r="D219" s="104" t="s">
        <v>351</v>
      </c>
      <c r="E219" s="104"/>
      <c r="F219" s="104" t="s">
        <v>1409</v>
      </c>
      <c r="G219" s="104" t="s">
        <v>1410</v>
      </c>
      <c r="H219" s="12"/>
      <c r="I219" s="9"/>
      <c r="J219" s="9" t="s">
        <v>67</v>
      </c>
      <c r="K219" s="14"/>
      <c r="L219" s="14"/>
      <c r="M219" s="12">
        <v>278</v>
      </c>
      <c r="N219" s="9"/>
      <c r="O219" s="9"/>
      <c r="P219" s="9"/>
      <c r="Q219" s="38">
        <f t="shared" si="25"/>
        <v>278</v>
      </c>
      <c r="R219" s="12"/>
      <c r="S219" s="42"/>
      <c r="T219" s="15"/>
      <c r="U219" s="44"/>
      <c r="V219" s="15"/>
      <c r="W219" s="44"/>
      <c r="X219" s="15">
        <f t="shared" si="26"/>
        <v>0</v>
      </c>
      <c r="Y219" s="15"/>
      <c r="Z219" s="44"/>
      <c r="AA219" s="15"/>
      <c r="AB219" s="44"/>
      <c r="AC219" s="15"/>
      <c r="AD219" s="44"/>
      <c r="AE219" s="15"/>
      <c r="AF219" s="44"/>
      <c r="AG219" s="15">
        <f t="shared" si="27"/>
        <v>0</v>
      </c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/>
      <c r="BA219" s="42"/>
      <c r="BB219" s="15">
        <f t="shared" si="28"/>
        <v>0</v>
      </c>
      <c r="BC219" s="15"/>
      <c r="BD219" s="44"/>
      <c r="BE219" s="15"/>
      <c r="BF219" s="44"/>
      <c r="BG219" s="15">
        <f t="shared" si="29"/>
        <v>0</v>
      </c>
    </row>
    <row r="220" spans="1:59" s="8" customFormat="1" ht="22.5" customHeight="1">
      <c r="A220" s="9"/>
      <c r="B220" s="16" t="s">
        <v>172</v>
      </c>
      <c r="C220" s="89" t="s">
        <v>50</v>
      </c>
      <c r="D220" s="104" t="s">
        <v>352</v>
      </c>
      <c r="E220" s="104"/>
      <c r="F220" s="104" t="s">
        <v>1411</v>
      </c>
      <c r="G220" s="104" t="s">
        <v>1412</v>
      </c>
      <c r="H220" s="12"/>
      <c r="I220" s="9"/>
      <c r="J220" s="9" t="s">
        <v>67</v>
      </c>
      <c r="K220" s="14"/>
      <c r="L220" s="14"/>
      <c r="M220" s="12">
        <v>210</v>
      </c>
      <c r="N220" s="9"/>
      <c r="O220" s="9"/>
      <c r="P220" s="9"/>
      <c r="Q220" s="38">
        <f t="shared" si="25"/>
        <v>210</v>
      </c>
      <c r="R220" s="12"/>
      <c r="S220" s="42"/>
      <c r="T220" s="15"/>
      <c r="U220" s="44"/>
      <c r="V220" s="15"/>
      <c r="W220" s="44"/>
      <c r="X220" s="15">
        <f t="shared" si="26"/>
        <v>0</v>
      </c>
      <c r="Y220" s="15"/>
      <c r="Z220" s="44"/>
      <c r="AA220" s="15"/>
      <c r="AB220" s="44"/>
      <c r="AC220" s="15"/>
      <c r="AD220" s="44"/>
      <c r="AE220" s="15"/>
      <c r="AF220" s="44"/>
      <c r="AG220" s="15">
        <f t="shared" si="27"/>
        <v>0</v>
      </c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/>
      <c r="BA220" s="42"/>
      <c r="BB220" s="15">
        <f t="shared" si="28"/>
        <v>0</v>
      </c>
      <c r="BC220" s="15"/>
      <c r="BD220" s="44"/>
      <c r="BE220" s="15"/>
      <c r="BF220" s="44"/>
      <c r="BG220" s="15">
        <f t="shared" si="29"/>
        <v>0</v>
      </c>
    </row>
    <row r="221" spans="1:59" s="8" customFormat="1" ht="22.5" customHeight="1">
      <c r="A221" s="9"/>
      <c r="B221" s="16" t="s">
        <v>172</v>
      </c>
      <c r="C221" s="89" t="s">
        <v>50</v>
      </c>
      <c r="D221" s="104" t="s">
        <v>353</v>
      </c>
      <c r="E221" s="104"/>
      <c r="F221" s="104" t="s">
        <v>1413</v>
      </c>
      <c r="G221" s="104" t="s">
        <v>1414</v>
      </c>
      <c r="H221" s="12"/>
      <c r="I221" s="9"/>
      <c r="J221" s="9" t="s">
        <v>67</v>
      </c>
      <c r="K221" s="14"/>
      <c r="L221" s="14"/>
      <c r="M221" s="12">
        <v>277</v>
      </c>
      <c r="N221" s="9"/>
      <c r="O221" s="9"/>
      <c r="P221" s="9"/>
      <c r="Q221" s="38">
        <f t="shared" si="25"/>
        <v>277</v>
      </c>
      <c r="R221" s="12"/>
      <c r="S221" s="42"/>
      <c r="T221" s="15"/>
      <c r="U221" s="44"/>
      <c r="V221" s="15"/>
      <c r="W221" s="44"/>
      <c r="X221" s="15">
        <f t="shared" si="26"/>
        <v>0</v>
      </c>
      <c r="Y221" s="15"/>
      <c r="Z221" s="44"/>
      <c r="AA221" s="15"/>
      <c r="AB221" s="44"/>
      <c r="AC221" s="15"/>
      <c r="AD221" s="44"/>
      <c r="AE221" s="15"/>
      <c r="AF221" s="44"/>
      <c r="AG221" s="15">
        <f t="shared" si="27"/>
        <v>0</v>
      </c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/>
      <c r="BA221" s="42"/>
      <c r="BB221" s="15">
        <f t="shared" si="28"/>
        <v>0</v>
      </c>
      <c r="BC221" s="15"/>
      <c r="BD221" s="44"/>
      <c r="BE221" s="15"/>
      <c r="BF221" s="44"/>
      <c r="BG221" s="15">
        <f t="shared" si="29"/>
        <v>0</v>
      </c>
    </row>
    <row r="222" spans="1:59" s="8" customFormat="1" ht="22.5" customHeight="1">
      <c r="A222" s="9"/>
      <c r="B222" s="16" t="s">
        <v>172</v>
      </c>
      <c r="C222" s="89" t="s">
        <v>50</v>
      </c>
      <c r="D222" s="104" t="s">
        <v>354</v>
      </c>
      <c r="E222" s="104"/>
      <c r="F222" s="104" t="s">
        <v>1415</v>
      </c>
      <c r="G222" s="104" t="s">
        <v>1416</v>
      </c>
      <c r="H222" s="12"/>
      <c r="I222" s="9"/>
      <c r="J222" s="9" t="s">
        <v>67</v>
      </c>
      <c r="K222" s="14"/>
      <c r="L222" s="14"/>
      <c r="M222" s="12">
        <v>157</v>
      </c>
      <c r="N222" s="9"/>
      <c r="O222" s="9"/>
      <c r="P222" s="9"/>
      <c r="Q222" s="38">
        <f t="shared" si="25"/>
        <v>157</v>
      </c>
      <c r="R222" s="12"/>
      <c r="S222" s="42"/>
      <c r="T222" s="15"/>
      <c r="U222" s="44"/>
      <c r="V222" s="15"/>
      <c r="W222" s="44"/>
      <c r="X222" s="15">
        <f t="shared" si="26"/>
        <v>0</v>
      </c>
      <c r="Y222" s="15"/>
      <c r="Z222" s="44"/>
      <c r="AA222" s="15"/>
      <c r="AB222" s="44"/>
      <c r="AC222" s="15"/>
      <c r="AD222" s="44"/>
      <c r="AE222" s="15"/>
      <c r="AF222" s="44"/>
      <c r="AG222" s="15">
        <f t="shared" si="27"/>
        <v>0</v>
      </c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/>
      <c r="BA222" s="42"/>
      <c r="BB222" s="15">
        <f t="shared" si="28"/>
        <v>0</v>
      </c>
      <c r="BC222" s="15"/>
      <c r="BD222" s="44"/>
      <c r="BE222" s="15"/>
      <c r="BF222" s="44"/>
      <c r="BG222" s="15">
        <f t="shared" si="29"/>
        <v>0</v>
      </c>
    </row>
    <row r="223" spans="1:59" s="8" customFormat="1" ht="22.5" customHeight="1">
      <c r="A223" s="9"/>
      <c r="B223" s="16" t="s">
        <v>172</v>
      </c>
      <c r="C223" s="89" t="s">
        <v>50</v>
      </c>
      <c r="D223" s="104" t="s">
        <v>355</v>
      </c>
      <c r="E223" s="104"/>
      <c r="F223" s="104" t="s">
        <v>1417</v>
      </c>
      <c r="G223" s="104" t="s">
        <v>1418</v>
      </c>
      <c r="H223" s="12"/>
      <c r="I223" s="9"/>
      <c r="J223" s="9" t="s">
        <v>67</v>
      </c>
      <c r="K223" s="14"/>
      <c r="L223" s="14"/>
      <c r="M223" s="12">
        <v>187</v>
      </c>
      <c r="N223" s="9"/>
      <c r="O223" s="9"/>
      <c r="P223" s="9"/>
      <c r="Q223" s="38">
        <f t="shared" si="25"/>
        <v>187</v>
      </c>
      <c r="R223" s="12"/>
      <c r="S223" s="42"/>
      <c r="T223" s="15"/>
      <c r="U223" s="44"/>
      <c r="V223" s="15"/>
      <c r="W223" s="44"/>
      <c r="X223" s="15">
        <f t="shared" si="26"/>
        <v>0</v>
      </c>
      <c r="Y223" s="15"/>
      <c r="Z223" s="44"/>
      <c r="AA223" s="15"/>
      <c r="AB223" s="44"/>
      <c r="AC223" s="15"/>
      <c r="AD223" s="44"/>
      <c r="AE223" s="15"/>
      <c r="AF223" s="44"/>
      <c r="AG223" s="15">
        <f t="shared" si="27"/>
        <v>0</v>
      </c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/>
      <c r="BA223" s="42"/>
      <c r="BB223" s="15">
        <f t="shared" si="28"/>
        <v>0</v>
      </c>
      <c r="BC223" s="15"/>
      <c r="BD223" s="44"/>
      <c r="BE223" s="15"/>
      <c r="BF223" s="44"/>
      <c r="BG223" s="15">
        <f t="shared" si="29"/>
        <v>0</v>
      </c>
    </row>
    <row r="224" spans="1:59" s="8" customFormat="1" ht="22.5" customHeight="1">
      <c r="A224" s="9"/>
      <c r="B224" s="16" t="s">
        <v>204</v>
      </c>
      <c r="C224" s="89" t="s">
        <v>50</v>
      </c>
      <c r="D224" s="104" t="s">
        <v>364</v>
      </c>
      <c r="E224" s="104" t="s">
        <v>365</v>
      </c>
      <c r="F224" s="104" t="s">
        <v>1419</v>
      </c>
      <c r="G224" s="104" t="s">
        <v>1420</v>
      </c>
      <c r="H224" s="12"/>
      <c r="I224" s="9"/>
      <c r="J224" s="9" t="s">
        <v>207</v>
      </c>
      <c r="K224" s="14"/>
      <c r="L224" s="14"/>
      <c r="M224" s="12">
        <v>77</v>
      </c>
      <c r="N224" s="9"/>
      <c r="O224" s="9"/>
      <c r="P224" s="9"/>
      <c r="Q224" s="38">
        <f t="shared" si="25"/>
        <v>77</v>
      </c>
      <c r="R224" s="12"/>
      <c r="S224" s="42"/>
      <c r="T224" s="15"/>
      <c r="U224" s="44"/>
      <c r="V224" s="15"/>
      <c r="W224" s="44"/>
      <c r="X224" s="15">
        <f t="shared" si="26"/>
        <v>0</v>
      </c>
      <c r="Y224" s="15"/>
      <c r="Z224" s="44"/>
      <c r="AA224" s="15"/>
      <c r="AB224" s="44"/>
      <c r="AC224" s="15"/>
      <c r="AD224" s="44"/>
      <c r="AE224" s="15"/>
      <c r="AF224" s="44"/>
      <c r="AG224" s="15">
        <f t="shared" si="27"/>
        <v>0</v>
      </c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/>
      <c r="BA224" s="42"/>
      <c r="BB224" s="15">
        <f t="shared" si="28"/>
        <v>0</v>
      </c>
      <c r="BC224" s="15"/>
      <c r="BD224" s="44"/>
      <c r="BE224" s="15"/>
      <c r="BF224" s="44"/>
      <c r="BG224" s="15">
        <f t="shared" si="29"/>
        <v>0</v>
      </c>
    </row>
    <row r="225" spans="1:59" s="8" customFormat="1" ht="22.5" customHeight="1">
      <c r="A225" s="9"/>
      <c r="B225" s="16" t="s">
        <v>204</v>
      </c>
      <c r="C225" s="89" t="s">
        <v>50</v>
      </c>
      <c r="D225" s="104" t="s">
        <v>366</v>
      </c>
      <c r="E225" s="104" t="s">
        <v>365</v>
      </c>
      <c r="F225" s="104" t="s">
        <v>1421</v>
      </c>
      <c r="G225" s="104" t="s">
        <v>1422</v>
      </c>
      <c r="H225" s="12"/>
      <c r="I225" s="9"/>
      <c r="J225" s="9" t="s">
        <v>207</v>
      </c>
      <c r="K225" s="14"/>
      <c r="L225" s="14"/>
      <c r="M225" s="12">
        <v>95</v>
      </c>
      <c r="N225" s="9"/>
      <c r="O225" s="9"/>
      <c r="P225" s="9"/>
      <c r="Q225" s="38">
        <f t="shared" si="25"/>
        <v>95</v>
      </c>
      <c r="R225" s="12"/>
      <c r="S225" s="42"/>
      <c r="T225" s="15"/>
      <c r="U225" s="44"/>
      <c r="V225" s="15"/>
      <c r="W225" s="44"/>
      <c r="X225" s="15">
        <f t="shared" si="26"/>
        <v>0</v>
      </c>
      <c r="Y225" s="15"/>
      <c r="Z225" s="44"/>
      <c r="AA225" s="15"/>
      <c r="AB225" s="44"/>
      <c r="AC225" s="15"/>
      <c r="AD225" s="44"/>
      <c r="AE225" s="15"/>
      <c r="AF225" s="44"/>
      <c r="AG225" s="15">
        <f t="shared" si="27"/>
        <v>0</v>
      </c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/>
      <c r="BA225" s="42"/>
      <c r="BB225" s="15">
        <f t="shared" si="28"/>
        <v>0</v>
      </c>
      <c r="BC225" s="15"/>
      <c r="BD225" s="44"/>
      <c r="BE225" s="15"/>
      <c r="BF225" s="44"/>
      <c r="BG225" s="15">
        <f t="shared" si="29"/>
        <v>0</v>
      </c>
    </row>
    <row r="226" spans="1:59" s="8" customFormat="1" ht="22.5" customHeight="1">
      <c r="A226" s="9"/>
      <c r="B226" s="16" t="s">
        <v>204</v>
      </c>
      <c r="C226" s="89" t="s">
        <v>50</v>
      </c>
      <c r="D226" s="104" t="s">
        <v>367</v>
      </c>
      <c r="E226" s="104" t="s">
        <v>368</v>
      </c>
      <c r="F226" s="104" t="s">
        <v>1423</v>
      </c>
      <c r="G226" s="104" t="s">
        <v>1424</v>
      </c>
      <c r="H226" s="12"/>
      <c r="I226" s="9"/>
      <c r="J226" s="9" t="s">
        <v>207</v>
      </c>
      <c r="K226" s="14"/>
      <c r="L226" s="14"/>
      <c r="M226" s="12">
        <v>13</v>
      </c>
      <c r="N226" s="9"/>
      <c r="O226" s="9"/>
      <c r="P226" s="9"/>
      <c r="Q226" s="38">
        <f t="shared" si="25"/>
        <v>13</v>
      </c>
      <c r="R226" s="12"/>
      <c r="S226" s="42"/>
      <c r="T226" s="15"/>
      <c r="U226" s="44"/>
      <c r="V226" s="15"/>
      <c r="W226" s="44"/>
      <c r="X226" s="15">
        <f t="shared" si="26"/>
        <v>0</v>
      </c>
      <c r="Y226" s="15"/>
      <c r="Z226" s="44"/>
      <c r="AA226" s="15"/>
      <c r="AB226" s="44"/>
      <c r="AC226" s="15"/>
      <c r="AD226" s="44"/>
      <c r="AE226" s="15"/>
      <c r="AF226" s="44"/>
      <c r="AG226" s="15">
        <f t="shared" si="27"/>
        <v>0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/>
      <c r="BA226" s="42"/>
      <c r="BB226" s="15">
        <f t="shared" si="28"/>
        <v>0</v>
      </c>
      <c r="BC226" s="15"/>
      <c r="BD226" s="44"/>
      <c r="BE226" s="15"/>
      <c r="BF226" s="44"/>
      <c r="BG226" s="15">
        <f t="shared" si="29"/>
        <v>0</v>
      </c>
    </row>
    <row r="227" spans="1:59" s="8" customFormat="1" ht="22.5" customHeight="1">
      <c r="A227" s="9"/>
      <c r="B227" s="16" t="s">
        <v>204</v>
      </c>
      <c r="C227" s="89" t="s">
        <v>50</v>
      </c>
      <c r="D227" s="104" t="s">
        <v>369</v>
      </c>
      <c r="E227" s="104" t="s">
        <v>365</v>
      </c>
      <c r="F227" s="104" t="s">
        <v>1425</v>
      </c>
      <c r="G227" s="104" t="s">
        <v>1426</v>
      </c>
      <c r="H227" s="12"/>
      <c r="I227" s="9"/>
      <c r="J227" s="9" t="s">
        <v>207</v>
      </c>
      <c r="K227" s="14"/>
      <c r="L227" s="14"/>
      <c r="M227" s="12">
        <v>418</v>
      </c>
      <c r="N227" s="9"/>
      <c r="O227" s="9"/>
      <c r="P227" s="9"/>
      <c r="Q227" s="38">
        <f t="shared" si="25"/>
        <v>418</v>
      </c>
      <c r="R227" s="12"/>
      <c r="S227" s="42"/>
      <c r="T227" s="15"/>
      <c r="U227" s="44"/>
      <c r="V227" s="15"/>
      <c r="W227" s="44"/>
      <c r="X227" s="15">
        <f t="shared" si="26"/>
        <v>0</v>
      </c>
      <c r="Y227" s="15"/>
      <c r="Z227" s="44"/>
      <c r="AA227" s="15"/>
      <c r="AB227" s="44"/>
      <c r="AC227" s="15"/>
      <c r="AD227" s="44"/>
      <c r="AE227" s="15"/>
      <c r="AF227" s="44"/>
      <c r="AG227" s="15">
        <f t="shared" si="27"/>
        <v>0</v>
      </c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/>
      <c r="BA227" s="42"/>
      <c r="BB227" s="15">
        <f t="shared" si="28"/>
        <v>0</v>
      </c>
      <c r="BC227" s="15"/>
      <c r="BD227" s="44"/>
      <c r="BE227" s="15"/>
      <c r="BF227" s="44"/>
      <c r="BG227" s="15">
        <f t="shared" si="29"/>
        <v>0</v>
      </c>
    </row>
    <row r="228" spans="1:59" s="8" customFormat="1" ht="22.5" customHeight="1">
      <c r="A228" s="9"/>
      <c r="B228" s="16" t="s">
        <v>204</v>
      </c>
      <c r="C228" s="89" t="s">
        <v>50</v>
      </c>
      <c r="D228" s="104" t="s">
        <v>370</v>
      </c>
      <c r="E228" s="104" t="s">
        <v>365</v>
      </c>
      <c r="F228" s="104" t="s">
        <v>1427</v>
      </c>
      <c r="G228" s="104" t="s">
        <v>1428</v>
      </c>
      <c r="H228" s="12"/>
      <c r="I228" s="9"/>
      <c r="J228" s="9" t="s">
        <v>207</v>
      </c>
      <c r="K228" s="14"/>
      <c r="L228" s="14"/>
      <c r="M228" s="12">
        <v>347</v>
      </c>
      <c r="N228" s="9"/>
      <c r="O228" s="9"/>
      <c r="P228" s="9"/>
      <c r="Q228" s="38">
        <f t="shared" si="25"/>
        <v>347</v>
      </c>
      <c r="R228" s="12"/>
      <c r="S228" s="42"/>
      <c r="T228" s="15"/>
      <c r="U228" s="44"/>
      <c r="V228" s="15"/>
      <c r="W228" s="44"/>
      <c r="X228" s="15">
        <f t="shared" si="26"/>
        <v>0</v>
      </c>
      <c r="Y228" s="15"/>
      <c r="Z228" s="44"/>
      <c r="AA228" s="15"/>
      <c r="AB228" s="44"/>
      <c r="AC228" s="15"/>
      <c r="AD228" s="44"/>
      <c r="AE228" s="15"/>
      <c r="AF228" s="44"/>
      <c r="AG228" s="15">
        <f t="shared" si="27"/>
        <v>0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/>
      <c r="BA228" s="42"/>
      <c r="BB228" s="15">
        <f t="shared" si="28"/>
        <v>0</v>
      </c>
      <c r="BC228" s="15"/>
      <c r="BD228" s="44"/>
      <c r="BE228" s="15"/>
      <c r="BF228" s="44"/>
      <c r="BG228" s="15">
        <f t="shared" si="29"/>
        <v>0</v>
      </c>
    </row>
    <row r="229" spans="1:59" s="8" customFormat="1" ht="22.5" customHeight="1">
      <c r="A229" s="9"/>
      <c r="B229" s="16" t="s">
        <v>204</v>
      </c>
      <c r="C229" s="89" t="s">
        <v>50</v>
      </c>
      <c r="D229" s="104" t="s">
        <v>371</v>
      </c>
      <c r="E229" s="104" t="s">
        <v>365</v>
      </c>
      <c r="F229" s="104" t="s">
        <v>1429</v>
      </c>
      <c r="G229" s="104" t="s">
        <v>1430</v>
      </c>
      <c r="H229" s="12"/>
      <c r="I229" s="9"/>
      <c r="J229" s="9" t="s">
        <v>207</v>
      </c>
      <c r="K229" s="14"/>
      <c r="L229" s="14"/>
      <c r="M229" s="12">
        <v>458</v>
      </c>
      <c r="N229" s="9"/>
      <c r="O229" s="9"/>
      <c r="P229" s="9"/>
      <c r="Q229" s="38">
        <f t="shared" si="25"/>
        <v>458</v>
      </c>
      <c r="R229" s="12"/>
      <c r="S229" s="42"/>
      <c r="T229" s="15"/>
      <c r="U229" s="44"/>
      <c r="V229" s="15"/>
      <c r="W229" s="44"/>
      <c r="X229" s="15">
        <f t="shared" si="26"/>
        <v>0</v>
      </c>
      <c r="Y229" s="15"/>
      <c r="Z229" s="44"/>
      <c r="AA229" s="15"/>
      <c r="AB229" s="44"/>
      <c r="AC229" s="15"/>
      <c r="AD229" s="44"/>
      <c r="AE229" s="15"/>
      <c r="AF229" s="44"/>
      <c r="AG229" s="15">
        <f t="shared" si="27"/>
        <v>0</v>
      </c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/>
      <c r="BA229" s="42"/>
      <c r="BB229" s="15">
        <f t="shared" si="28"/>
        <v>0</v>
      </c>
      <c r="BC229" s="15"/>
      <c r="BD229" s="44"/>
      <c r="BE229" s="15"/>
      <c r="BF229" s="44"/>
      <c r="BG229" s="15">
        <f t="shared" si="29"/>
        <v>0</v>
      </c>
    </row>
    <row r="230" spans="1:59" s="8" customFormat="1" ht="22.5" customHeight="1">
      <c r="A230" s="9"/>
      <c r="B230" s="16" t="s">
        <v>204</v>
      </c>
      <c r="C230" s="89" t="s">
        <v>50</v>
      </c>
      <c r="D230" s="104" t="s">
        <v>372</v>
      </c>
      <c r="E230" s="104" t="s">
        <v>373</v>
      </c>
      <c r="F230" s="104" t="s">
        <v>1431</v>
      </c>
      <c r="G230" s="104" t="s">
        <v>1432</v>
      </c>
      <c r="H230" s="12"/>
      <c r="I230" s="9"/>
      <c r="J230" s="9" t="s">
        <v>207</v>
      </c>
      <c r="K230" s="14"/>
      <c r="L230" s="14"/>
      <c r="M230" s="12"/>
      <c r="N230" s="9"/>
      <c r="O230" s="9"/>
      <c r="P230" s="9"/>
      <c r="Q230" s="38">
        <f t="shared" si="25"/>
        <v>0</v>
      </c>
      <c r="R230" s="12"/>
      <c r="S230" s="42"/>
      <c r="T230" s="15"/>
      <c r="U230" s="44"/>
      <c r="V230" s="15"/>
      <c r="W230" s="44"/>
      <c r="X230" s="15">
        <f t="shared" si="26"/>
        <v>0</v>
      </c>
      <c r="Y230" s="15"/>
      <c r="Z230" s="44"/>
      <c r="AA230" s="15"/>
      <c r="AB230" s="44"/>
      <c r="AC230" s="15"/>
      <c r="AD230" s="44"/>
      <c r="AE230" s="15"/>
      <c r="AF230" s="44"/>
      <c r="AG230" s="15">
        <f t="shared" si="27"/>
        <v>0</v>
      </c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/>
      <c r="BA230" s="42"/>
      <c r="BB230" s="15">
        <f t="shared" si="28"/>
        <v>0</v>
      </c>
      <c r="BC230" s="15"/>
      <c r="BD230" s="44"/>
      <c r="BE230" s="15"/>
      <c r="BF230" s="44"/>
      <c r="BG230" s="15">
        <f t="shared" si="29"/>
        <v>0</v>
      </c>
    </row>
    <row r="231" spans="1:59" s="8" customFormat="1" ht="22.5" customHeight="1">
      <c r="A231" s="9"/>
      <c r="B231" s="16" t="s">
        <v>204</v>
      </c>
      <c r="C231" s="89" t="s">
        <v>50</v>
      </c>
      <c r="D231" s="104" t="s">
        <v>205</v>
      </c>
      <c r="E231" s="104" t="s">
        <v>373</v>
      </c>
      <c r="F231" s="104" t="s">
        <v>1433</v>
      </c>
      <c r="G231" s="104" t="s">
        <v>1434</v>
      </c>
      <c r="H231" s="12"/>
      <c r="I231" s="9"/>
      <c r="J231" s="9" t="s">
        <v>374</v>
      </c>
      <c r="K231" s="14"/>
      <c r="L231" s="14"/>
      <c r="M231" s="12"/>
      <c r="N231" s="9"/>
      <c r="O231" s="9"/>
      <c r="P231" s="9"/>
      <c r="Q231" s="38">
        <f t="shared" si="25"/>
        <v>0</v>
      </c>
      <c r="R231" s="12"/>
      <c r="S231" s="42"/>
      <c r="T231" s="15"/>
      <c r="U231" s="44"/>
      <c r="V231" s="15"/>
      <c r="W231" s="44"/>
      <c r="X231" s="15">
        <f t="shared" si="26"/>
        <v>0</v>
      </c>
      <c r="Y231" s="15"/>
      <c r="Z231" s="44"/>
      <c r="AA231" s="15"/>
      <c r="AB231" s="44"/>
      <c r="AC231" s="15"/>
      <c r="AD231" s="44"/>
      <c r="AE231" s="15"/>
      <c r="AF231" s="44"/>
      <c r="AG231" s="15">
        <f t="shared" si="27"/>
        <v>0</v>
      </c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/>
      <c r="BA231" s="42"/>
      <c r="BB231" s="15">
        <f t="shared" si="28"/>
        <v>0</v>
      </c>
      <c r="BC231" s="15"/>
      <c r="BD231" s="44"/>
      <c r="BE231" s="15"/>
      <c r="BF231" s="44"/>
      <c r="BG231" s="15">
        <f t="shared" si="29"/>
        <v>0</v>
      </c>
    </row>
    <row r="232" spans="1:59" s="8" customFormat="1" ht="22.5" customHeight="1">
      <c r="A232" s="9"/>
      <c r="B232" s="16" t="s">
        <v>204</v>
      </c>
      <c r="C232" s="89" t="s">
        <v>50</v>
      </c>
      <c r="D232" s="104" t="s">
        <v>375</v>
      </c>
      <c r="E232" s="104" t="s">
        <v>373</v>
      </c>
      <c r="F232" s="104" t="s">
        <v>1435</v>
      </c>
      <c r="G232" s="104" t="s">
        <v>1436</v>
      </c>
      <c r="H232" s="12"/>
      <c r="I232" s="9"/>
      <c r="J232" s="9" t="s">
        <v>207</v>
      </c>
      <c r="K232" s="14"/>
      <c r="L232" s="14"/>
      <c r="M232" s="12">
        <v>485</v>
      </c>
      <c r="N232" s="9"/>
      <c r="O232" s="9"/>
      <c r="P232" s="9"/>
      <c r="Q232" s="38">
        <f t="shared" si="25"/>
        <v>485</v>
      </c>
      <c r="R232" s="12"/>
      <c r="S232" s="42"/>
      <c r="T232" s="15"/>
      <c r="U232" s="44"/>
      <c r="V232" s="15"/>
      <c r="W232" s="44"/>
      <c r="X232" s="15">
        <f t="shared" si="26"/>
        <v>0</v>
      </c>
      <c r="Y232" s="15"/>
      <c r="Z232" s="44"/>
      <c r="AA232" s="15"/>
      <c r="AB232" s="44"/>
      <c r="AC232" s="15"/>
      <c r="AD232" s="44"/>
      <c r="AE232" s="15"/>
      <c r="AF232" s="44"/>
      <c r="AG232" s="15">
        <f t="shared" si="27"/>
        <v>0</v>
      </c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/>
      <c r="BA232" s="42"/>
      <c r="BB232" s="15">
        <f t="shared" si="28"/>
        <v>0</v>
      </c>
      <c r="BC232" s="15"/>
      <c r="BD232" s="44"/>
      <c r="BE232" s="15"/>
      <c r="BF232" s="44"/>
      <c r="BG232" s="15">
        <f t="shared" si="29"/>
        <v>0</v>
      </c>
    </row>
    <row r="233" spans="1:59" s="8" customFormat="1" ht="22.5" customHeight="1">
      <c r="A233" s="9"/>
      <c r="B233" s="16" t="s">
        <v>204</v>
      </c>
      <c r="C233" s="89" t="s">
        <v>50</v>
      </c>
      <c r="D233" s="104" t="s">
        <v>376</v>
      </c>
      <c r="E233" s="104" t="s">
        <v>373</v>
      </c>
      <c r="F233" s="104" t="s">
        <v>1437</v>
      </c>
      <c r="G233" s="104" t="s">
        <v>1438</v>
      </c>
      <c r="H233" s="12"/>
      <c r="I233" s="9"/>
      <c r="J233" s="9" t="s">
        <v>207</v>
      </c>
      <c r="K233" s="14"/>
      <c r="L233" s="14"/>
      <c r="M233" s="12">
        <v>357</v>
      </c>
      <c r="N233" s="9"/>
      <c r="O233" s="9"/>
      <c r="P233" s="9"/>
      <c r="Q233" s="38">
        <f t="shared" si="25"/>
        <v>357</v>
      </c>
      <c r="R233" s="12"/>
      <c r="S233" s="42"/>
      <c r="T233" s="15"/>
      <c r="U233" s="44"/>
      <c r="V233" s="15"/>
      <c r="W233" s="44"/>
      <c r="X233" s="15">
        <f t="shared" si="26"/>
        <v>0</v>
      </c>
      <c r="Y233" s="15"/>
      <c r="Z233" s="44"/>
      <c r="AA233" s="15"/>
      <c r="AB233" s="44"/>
      <c r="AC233" s="15"/>
      <c r="AD233" s="44"/>
      <c r="AE233" s="15"/>
      <c r="AF233" s="44"/>
      <c r="AG233" s="15">
        <f t="shared" si="27"/>
        <v>0</v>
      </c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/>
      <c r="BA233" s="42"/>
      <c r="BB233" s="15">
        <f t="shared" si="28"/>
        <v>0</v>
      </c>
      <c r="BC233" s="15"/>
      <c r="BD233" s="44"/>
      <c r="BE233" s="15"/>
      <c r="BF233" s="44"/>
      <c r="BG233" s="15">
        <f t="shared" si="29"/>
        <v>0</v>
      </c>
    </row>
    <row r="234" spans="1:59" s="8" customFormat="1" ht="22.5" customHeight="1">
      <c r="A234" s="9"/>
      <c r="B234" s="16" t="s">
        <v>204</v>
      </c>
      <c r="C234" s="89" t="s">
        <v>50</v>
      </c>
      <c r="D234" s="104" t="s">
        <v>377</v>
      </c>
      <c r="E234" s="104" t="s">
        <v>365</v>
      </c>
      <c r="F234" s="104" t="s">
        <v>1439</v>
      </c>
      <c r="G234" s="104" t="s">
        <v>1440</v>
      </c>
      <c r="H234" s="12"/>
      <c r="I234" s="9"/>
      <c r="J234" s="9" t="s">
        <v>207</v>
      </c>
      <c r="K234" s="14"/>
      <c r="L234" s="14"/>
      <c r="M234" s="12">
        <v>361</v>
      </c>
      <c r="N234" s="9"/>
      <c r="O234" s="9"/>
      <c r="P234" s="9"/>
      <c r="Q234" s="38">
        <f t="shared" si="25"/>
        <v>361</v>
      </c>
      <c r="R234" s="12"/>
      <c r="S234" s="42"/>
      <c r="T234" s="15"/>
      <c r="U234" s="44"/>
      <c r="V234" s="15"/>
      <c r="W234" s="44"/>
      <c r="X234" s="15">
        <f t="shared" si="26"/>
        <v>0</v>
      </c>
      <c r="Y234" s="15"/>
      <c r="Z234" s="44"/>
      <c r="AA234" s="15"/>
      <c r="AB234" s="44"/>
      <c r="AC234" s="15"/>
      <c r="AD234" s="44"/>
      <c r="AE234" s="15"/>
      <c r="AF234" s="44"/>
      <c r="AG234" s="15">
        <f t="shared" si="27"/>
        <v>0</v>
      </c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/>
      <c r="BA234" s="42"/>
      <c r="BB234" s="15">
        <f t="shared" si="28"/>
        <v>0</v>
      </c>
      <c r="BC234" s="15"/>
      <c r="BD234" s="44"/>
      <c r="BE234" s="15"/>
      <c r="BF234" s="44"/>
      <c r="BG234" s="15">
        <f t="shared" si="29"/>
        <v>0</v>
      </c>
    </row>
    <row r="235" spans="1:59" s="8" customFormat="1" ht="22.5" customHeight="1">
      <c r="A235" s="9"/>
      <c r="B235" s="16" t="s">
        <v>204</v>
      </c>
      <c r="C235" s="89" t="s">
        <v>50</v>
      </c>
      <c r="D235" s="104" t="s">
        <v>378</v>
      </c>
      <c r="E235" s="104" t="s">
        <v>368</v>
      </c>
      <c r="F235" s="104" t="s">
        <v>1441</v>
      </c>
      <c r="G235" s="104" t="s">
        <v>1442</v>
      </c>
      <c r="H235" s="12"/>
      <c r="I235" s="9"/>
      <c r="J235" s="9" t="s">
        <v>207</v>
      </c>
      <c r="K235" s="14"/>
      <c r="L235" s="14"/>
      <c r="M235" s="12">
        <v>395</v>
      </c>
      <c r="N235" s="9"/>
      <c r="O235" s="9"/>
      <c r="P235" s="9"/>
      <c r="Q235" s="38">
        <f t="shared" si="25"/>
        <v>395</v>
      </c>
      <c r="R235" s="12"/>
      <c r="S235" s="42"/>
      <c r="T235" s="15"/>
      <c r="U235" s="44"/>
      <c r="V235" s="15"/>
      <c r="W235" s="44"/>
      <c r="X235" s="15">
        <f t="shared" si="26"/>
        <v>0</v>
      </c>
      <c r="Y235" s="15"/>
      <c r="Z235" s="44"/>
      <c r="AA235" s="15"/>
      <c r="AB235" s="44"/>
      <c r="AC235" s="15"/>
      <c r="AD235" s="44"/>
      <c r="AE235" s="15"/>
      <c r="AF235" s="44"/>
      <c r="AG235" s="15">
        <f t="shared" si="27"/>
        <v>0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/>
      <c r="BA235" s="42"/>
      <c r="BB235" s="15">
        <f t="shared" si="28"/>
        <v>0</v>
      </c>
      <c r="BC235" s="15"/>
      <c r="BD235" s="44"/>
      <c r="BE235" s="15"/>
      <c r="BF235" s="44"/>
      <c r="BG235" s="15">
        <f t="shared" si="29"/>
        <v>0</v>
      </c>
    </row>
    <row r="236" spans="1:59" s="8" customFormat="1" ht="22.5" customHeight="1">
      <c r="A236" s="9"/>
      <c r="B236" s="16" t="s">
        <v>204</v>
      </c>
      <c r="C236" s="89" t="s">
        <v>50</v>
      </c>
      <c r="D236" s="104" t="s">
        <v>379</v>
      </c>
      <c r="E236" s="104" t="s">
        <v>368</v>
      </c>
      <c r="F236" s="104" t="s">
        <v>1443</v>
      </c>
      <c r="G236" s="104" t="s">
        <v>1444</v>
      </c>
      <c r="H236" s="12"/>
      <c r="I236" s="9"/>
      <c r="J236" s="9" t="s">
        <v>207</v>
      </c>
      <c r="K236" s="14"/>
      <c r="L236" s="14"/>
      <c r="M236" s="12">
        <v>492</v>
      </c>
      <c r="N236" s="9"/>
      <c r="O236" s="9"/>
      <c r="P236" s="9"/>
      <c r="Q236" s="38">
        <f t="shared" si="25"/>
        <v>492</v>
      </c>
      <c r="R236" s="12"/>
      <c r="S236" s="42"/>
      <c r="T236" s="15"/>
      <c r="U236" s="44"/>
      <c r="V236" s="15"/>
      <c r="W236" s="44"/>
      <c r="X236" s="15">
        <f t="shared" si="26"/>
        <v>0</v>
      </c>
      <c r="Y236" s="15"/>
      <c r="Z236" s="44"/>
      <c r="AA236" s="15"/>
      <c r="AB236" s="44"/>
      <c r="AC236" s="15"/>
      <c r="AD236" s="44"/>
      <c r="AE236" s="15"/>
      <c r="AF236" s="44"/>
      <c r="AG236" s="15">
        <f t="shared" si="27"/>
        <v>0</v>
      </c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/>
      <c r="BA236" s="42"/>
      <c r="BB236" s="15">
        <f t="shared" si="28"/>
        <v>0</v>
      </c>
      <c r="BC236" s="15"/>
      <c r="BD236" s="44"/>
      <c r="BE236" s="15"/>
      <c r="BF236" s="44"/>
      <c r="BG236" s="15">
        <f t="shared" si="29"/>
        <v>0</v>
      </c>
    </row>
    <row r="237" spans="1:59" s="8" customFormat="1" ht="22.5" customHeight="1">
      <c r="A237" s="9"/>
      <c r="B237" s="16" t="s">
        <v>204</v>
      </c>
      <c r="C237" s="89" t="s">
        <v>50</v>
      </c>
      <c r="D237" s="104" t="s">
        <v>380</v>
      </c>
      <c r="E237" s="104" t="s">
        <v>373</v>
      </c>
      <c r="F237" s="104" t="s">
        <v>1445</v>
      </c>
      <c r="G237" s="104" t="s">
        <v>1446</v>
      </c>
      <c r="H237" s="12"/>
      <c r="I237" s="9"/>
      <c r="J237" s="9" t="s">
        <v>207</v>
      </c>
      <c r="K237" s="14"/>
      <c r="L237" s="14"/>
      <c r="M237" s="12">
        <v>440</v>
      </c>
      <c r="N237" s="9"/>
      <c r="O237" s="9"/>
      <c r="P237" s="9"/>
      <c r="Q237" s="38">
        <f t="shared" si="25"/>
        <v>440</v>
      </c>
      <c r="R237" s="12"/>
      <c r="S237" s="42"/>
      <c r="T237" s="15"/>
      <c r="U237" s="44"/>
      <c r="V237" s="15"/>
      <c r="W237" s="44"/>
      <c r="X237" s="15">
        <f t="shared" si="26"/>
        <v>0</v>
      </c>
      <c r="Y237" s="15"/>
      <c r="Z237" s="44"/>
      <c r="AA237" s="15"/>
      <c r="AB237" s="44"/>
      <c r="AC237" s="15"/>
      <c r="AD237" s="44"/>
      <c r="AE237" s="15"/>
      <c r="AF237" s="44"/>
      <c r="AG237" s="15">
        <f t="shared" si="27"/>
        <v>0</v>
      </c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/>
      <c r="BA237" s="42"/>
      <c r="BB237" s="15">
        <f t="shared" ref="BB237:BB268" si="30">AH237+AJ237+AL237+AN237+AP237+AR237+AT237+AV237+AX237+AZ237</f>
        <v>0</v>
      </c>
      <c r="BC237" s="15"/>
      <c r="BD237" s="44"/>
      <c r="BE237" s="15"/>
      <c r="BF237" s="44"/>
      <c r="BG237" s="15">
        <f t="shared" ref="BG237:BG268" si="31">(BC237+BE237)</f>
        <v>0</v>
      </c>
    </row>
    <row r="238" spans="1:59" s="8" customFormat="1" ht="22.5" customHeight="1">
      <c r="A238" s="9"/>
      <c r="B238" s="16" t="s">
        <v>204</v>
      </c>
      <c r="C238" s="89" t="s">
        <v>50</v>
      </c>
      <c r="D238" s="104" t="s">
        <v>381</v>
      </c>
      <c r="E238" s="104" t="s">
        <v>382</v>
      </c>
      <c r="F238" s="104" t="s">
        <v>1447</v>
      </c>
      <c r="G238" s="104" t="s">
        <v>1448</v>
      </c>
      <c r="H238" s="12"/>
      <c r="I238" s="9"/>
      <c r="J238" s="9" t="s">
        <v>207</v>
      </c>
      <c r="K238" s="14"/>
      <c r="L238" s="14"/>
      <c r="M238" s="12">
        <v>437</v>
      </c>
      <c r="N238" s="9"/>
      <c r="O238" s="9"/>
      <c r="P238" s="9"/>
      <c r="Q238" s="38">
        <f t="shared" si="25"/>
        <v>437</v>
      </c>
      <c r="R238" s="12"/>
      <c r="S238" s="42"/>
      <c r="T238" s="15"/>
      <c r="U238" s="44"/>
      <c r="V238" s="15"/>
      <c r="W238" s="44"/>
      <c r="X238" s="15">
        <f t="shared" si="26"/>
        <v>0</v>
      </c>
      <c r="Y238" s="15"/>
      <c r="Z238" s="44"/>
      <c r="AA238" s="15"/>
      <c r="AB238" s="44"/>
      <c r="AC238" s="15"/>
      <c r="AD238" s="44"/>
      <c r="AE238" s="15"/>
      <c r="AF238" s="44"/>
      <c r="AG238" s="15">
        <f t="shared" si="27"/>
        <v>0</v>
      </c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/>
      <c r="BA238" s="42"/>
      <c r="BB238" s="15">
        <f t="shared" si="30"/>
        <v>0</v>
      </c>
      <c r="BC238" s="15"/>
      <c r="BD238" s="44"/>
      <c r="BE238" s="15"/>
      <c r="BF238" s="44"/>
      <c r="BG238" s="15">
        <f t="shared" si="31"/>
        <v>0</v>
      </c>
    </row>
    <row r="239" spans="1:59" s="8" customFormat="1" ht="22.5" customHeight="1">
      <c r="A239" s="9"/>
      <c r="B239" s="16" t="s">
        <v>204</v>
      </c>
      <c r="C239" s="89" t="s">
        <v>50</v>
      </c>
      <c r="D239" s="104" t="s">
        <v>383</v>
      </c>
      <c r="E239" s="104" t="s">
        <v>384</v>
      </c>
      <c r="F239" s="104" t="s">
        <v>1449</v>
      </c>
      <c r="G239" s="104" t="s">
        <v>1450</v>
      </c>
      <c r="H239" s="12"/>
      <c r="I239" s="9"/>
      <c r="J239" s="9" t="s">
        <v>207</v>
      </c>
      <c r="K239" s="14"/>
      <c r="L239" s="14"/>
      <c r="M239" s="12">
        <v>436</v>
      </c>
      <c r="N239" s="9"/>
      <c r="O239" s="9"/>
      <c r="P239" s="9"/>
      <c r="Q239" s="38">
        <f t="shared" si="25"/>
        <v>436</v>
      </c>
      <c r="R239" s="12"/>
      <c r="S239" s="42"/>
      <c r="T239" s="15"/>
      <c r="U239" s="44"/>
      <c r="V239" s="15"/>
      <c r="W239" s="44"/>
      <c r="X239" s="15">
        <f t="shared" si="26"/>
        <v>0</v>
      </c>
      <c r="Y239" s="15"/>
      <c r="Z239" s="44"/>
      <c r="AA239" s="15"/>
      <c r="AB239" s="44"/>
      <c r="AC239" s="15"/>
      <c r="AD239" s="44"/>
      <c r="AE239" s="15"/>
      <c r="AF239" s="44"/>
      <c r="AG239" s="15">
        <f t="shared" si="27"/>
        <v>0</v>
      </c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/>
      <c r="BA239" s="42"/>
      <c r="BB239" s="15">
        <f t="shared" si="30"/>
        <v>0</v>
      </c>
      <c r="BC239" s="15"/>
      <c r="BD239" s="44"/>
      <c r="BE239" s="15"/>
      <c r="BF239" s="44"/>
      <c r="BG239" s="15">
        <f t="shared" si="31"/>
        <v>0</v>
      </c>
    </row>
    <row r="240" spans="1:59" s="8" customFormat="1" ht="22.5" customHeight="1">
      <c r="A240" s="9"/>
      <c r="B240" s="16" t="s">
        <v>204</v>
      </c>
      <c r="C240" s="89" t="s">
        <v>50</v>
      </c>
      <c r="D240" s="104" t="s">
        <v>385</v>
      </c>
      <c r="E240" s="104" t="s">
        <v>368</v>
      </c>
      <c r="F240" s="104" t="s">
        <v>1451</v>
      </c>
      <c r="G240" s="104" t="s">
        <v>1452</v>
      </c>
      <c r="H240" s="12"/>
      <c r="I240" s="9"/>
      <c r="J240" s="9" t="s">
        <v>207</v>
      </c>
      <c r="K240" s="14"/>
      <c r="L240" s="14"/>
      <c r="M240" s="12">
        <v>397</v>
      </c>
      <c r="N240" s="9"/>
      <c r="O240" s="9"/>
      <c r="P240" s="9"/>
      <c r="Q240" s="38">
        <f t="shared" si="25"/>
        <v>397</v>
      </c>
      <c r="R240" s="12"/>
      <c r="S240" s="42"/>
      <c r="T240" s="15"/>
      <c r="U240" s="44"/>
      <c r="V240" s="15"/>
      <c r="W240" s="44"/>
      <c r="X240" s="15">
        <f t="shared" si="26"/>
        <v>0</v>
      </c>
      <c r="Y240" s="15"/>
      <c r="Z240" s="44"/>
      <c r="AA240" s="15"/>
      <c r="AB240" s="44"/>
      <c r="AC240" s="15"/>
      <c r="AD240" s="44"/>
      <c r="AE240" s="15"/>
      <c r="AF240" s="44"/>
      <c r="AG240" s="15">
        <f t="shared" si="27"/>
        <v>0</v>
      </c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/>
      <c r="BA240" s="42"/>
      <c r="BB240" s="15">
        <f t="shared" si="30"/>
        <v>0</v>
      </c>
      <c r="BC240" s="15"/>
      <c r="BD240" s="44"/>
      <c r="BE240" s="15"/>
      <c r="BF240" s="44"/>
      <c r="BG240" s="15">
        <f t="shared" si="31"/>
        <v>0</v>
      </c>
    </row>
    <row r="241" spans="1:59" s="8" customFormat="1" ht="22.5" customHeight="1">
      <c r="A241" s="9"/>
      <c r="B241" s="16" t="s">
        <v>204</v>
      </c>
      <c r="C241" s="89" t="s">
        <v>50</v>
      </c>
      <c r="D241" s="104" t="s">
        <v>386</v>
      </c>
      <c r="E241" s="104"/>
      <c r="F241" s="104" t="s">
        <v>1453</v>
      </c>
      <c r="G241" s="104" t="s">
        <v>1454</v>
      </c>
      <c r="H241" s="12"/>
      <c r="I241" s="9"/>
      <c r="J241" s="9" t="s">
        <v>207</v>
      </c>
      <c r="K241" s="14"/>
      <c r="L241" s="14"/>
      <c r="M241" s="12">
        <v>216</v>
      </c>
      <c r="N241" s="9"/>
      <c r="O241" s="9"/>
      <c r="P241" s="9"/>
      <c r="Q241" s="38">
        <f t="shared" si="25"/>
        <v>216</v>
      </c>
      <c r="R241" s="12"/>
      <c r="S241" s="42"/>
      <c r="T241" s="15"/>
      <c r="U241" s="44"/>
      <c r="V241" s="15"/>
      <c r="W241" s="44"/>
      <c r="X241" s="15">
        <f t="shared" si="26"/>
        <v>0</v>
      </c>
      <c r="Y241" s="15"/>
      <c r="Z241" s="44"/>
      <c r="AA241" s="15"/>
      <c r="AB241" s="44"/>
      <c r="AC241" s="15"/>
      <c r="AD241" s="44"/>
      <c r="AE241" s="15"/>
      <c r="AF241" s="44"/>
      <c r="AG241" s="15">
        <f t="shared" si="27"/>
        <v>0</v>
      </c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/>
      <c r="BA241" s="42"/>
      <c r="BB241" s="15">
        <f t="shared" si="30"/>
        <v>0</v>
      </c>
      <c r="BC241" s="15"/>
      <c r="BD241" s="44"/>
      <c r="BE241" s="15"/>
      <c r="BF241" s="44"/>
      <c r="BG241" s="15">
        <f t="shared" si="31"/>
        <v>0</v>
      </c>
    </row>
    <row r="242" spans="1:59" s="8" customFormat="1" ht="22.5" customHeight="1">
      <c r="A242" s="9"/>
      <c r="B242" s="16" t="s">
        <v>204</v>
      </c>
      <c r="C242" s="89" t="s">
        <v>50</v>
      </c>
      <c r="D242" s="104" t="s">
        <v>1455</v>
      </c>
      <c r="E242" s="104" t="s">
        <v>365</v>
      </c>
      <c r="F242" s="104" t="s">
        <v>1456</v>
      </c>
      <c r="G242" s="104" t="s">
        <v>1457</v>
      </c>
      <c r="H242" s="12"/>
      <c r="I242" s="9"/>
      <c r="J242" s="9" t="s">
        <v>207</v>
      </c>
      <c r="K242" s="14"/>
      <c r="L242" s="14"/>
      <c r="M242" s="12">
        <v>365</v>
      </c>
      <c r="N242" s="9"/>
      <c r="O242" s="9"/>
      <c r="P242" s="9"/>
      <c r="Q242" s="38">
        <f t="shared" si="25"/>
        <v>365</v>
      </c>
      <c r="R242" s="12"/>
      <c r="S242" s="42"/>
      <c r="T242" s="15"/>
      <c r="U242" s="44"/>
      <c r="V242" s="15"/>
      <c r="W242" s="44"/>
      <c r="X242" s="15">
        <f t="shared" si="26"/>
        <v>0</v>
      </c>
      <c r="Y242" s="15"/>
      <c r="Z242" s="44"/>
      <c r="AA242" s="15"/>
      <c r="AB242" s="44"/>
      <c r="AC242" s="15"/>
      <c r="AD242" s="44"/>
      <c r="AE242" s="15"/>
      <c r="AF242" s="44"/>
      <c r="AG242" s="15">
        <f t="shared" si="27"/>
        <v>0</v>
      </c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/>
      <c r="BA242" s="42"/>
      <c r="BB242" s="15">
        <f t="shared" si="30"/>
        <v>0</v>
      </c>
      <c r="BC242" s="15"/>
      <c r="BD242" s="44"/>
      <c r="BE242" s="15"/>
      <c r="BF242" s="44"/>
      <c r="BG242" s="15">
        <f t="shared" si="31"/>
        <v>0</v>
      </c>
    </row>
    <row r="243" spans="1:59" s="8" customFormat="1" ht="22.5" customHeight="1">
      <c r="A243" s="9"/>
      <c r="B243" s="16" t="s">
        <v>233</v>
      </c>
      <c r="C243" s="89" t="s">
        <v>50</v>
      </c>
      <c r="D243" s="104" t="s">
        <v>388</v>
      </c>
      <c r="E243" s="104" t="s">
        <v>389</v>
      </c>
      <c r="F243" s="104" t="s">
        <v>1458</v>
      </c>
      <c r="G243" s="104" t="s">
        <v>1459</v>
      </c>
      <c r="H243" s="12"/>
      <c r="I243" s="9"/>
      <c r="J243" s="9" t="s">
        <v>207</v>
      </c>
      <c r="K243" s="14"/>
      <c r="L243" s="14"/>
      <c r="M243" s="12">
        <v>450</v>
      </c>
      <c r="N243" s="9"/>
      <c r="O243" s="9"/>
      <c r="P243" s="9"/>
      <c r="Q243" s="38">
        <f t="shared" si="25"/>
        <v>450</v>
      </c>
      <c r="R243" s="12"/>
      <c r="S243" s="42"/>
      <c r="T243" s="15"/>
      <c r="U243" s="44"/>
      <c r="V243" s="15"/>
      <c r="W243" s="44"/>
      <c r="X243" s="15">
        <f t="shared" si="26"/>
        <v>0</v>
      </c>
      <c r="Y243" s="15"/>
      <c r="Z243" s="44"/>
      <c r="AA243" s="15"/>
      <c r="AB243" s="44"/>
      <c r="AC243" s="15"/>
      <c r="AD243" s="44"/>
      <c r="AE243" s="15"/>
      <c r="AF243" s="44"/>
      <c r="AG243" s="15">
        <f t="shared" si="27"/>
        <v>0</v>
      </c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/>
      <c r="BA243" s="42"/>
      <c r="BB243" s="15">
        <f t="shared" si="30"/>
        <v>0</v>
      </c>
      <c r="BC243" s="15"/>
      <c r="BD243" s="44"/>
      <c r="BE243" s="15"/>
      <c r="BF243" s="44"/>
      <c r="BG243" s="15">
        <f t="shared" si="31"/>
        <v>0</v>
      </c>
    </row>
    <row r="244" spans="1:59" s="8" customFormat="1" ht="22.5" customHeight="1">
      <c r="A244" s="9"/>
      <c r="B244" s="16" t="s">
        <v>233</v>
      </c>
      <c r="C244" s="89" t="s">
        <v>50</v>
      </c>
      <c r="D244" s="104" t="s">
        <v>390</v>
      </c>
      <c r="E244" s="104" t="s">
        <v>1460</v>
      </c>
      <c r="F244" s="104" t="s">
        <v>1461</v>
      </c>
      <c r="G244" s="104" t="s">
        <v>1462</v>
      </c>
      <c r="H244" s="12"/>
      <c r="I244" s="9"/>
      <c r="J244" s="9" t="s">
        <v>207</v>
      </c>
      <c r="K244" s="14"/>
      <c r="L244" s="14"/>
      <c r="M244" s="12">
        <v>216</v>
      </c>
      <c r="N244" s="9"/>
      <c r="O244" s="9"/>
      <c r="P244" s="9"/>
      <c r="Q244" s="38">
        <f t="shared" si="25"/>
        <v>216</v>
      </c>
      <c r="R244" s="12"/>
      <c r="S244" s="42"/>
      <c r="T244" s="15"/>
      <c r="U244" s="44"/>
      <c r="V244" s="15"/>
      <c r="W244" s="44"/>
      <c r="X244" s="15">
        <f t="shared" si="26"/>
        <v>0</v>
      </c>
      <c r="Y244" s="15"/>
      <c r="Z244" s="44"/>
      <c r="AA244" s="15"/>
      <c r="AB244" s="44"/>
      <c r="AC244" s="15"/>
      <c r="AD244" s="44"/>
      <c r="AE244" s="15"/>
      <c r="AF244" s="44"/>
      <c r="AG244" s="15">
        <f t="shared" si="27"/>
        <v>0</v>
      </c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/>
      <c r="BA244" s="42"/>
      <c r="BB244" s="15">
        <f t="shared" si="30"/>
        <v>0</v>
      </c>
      <c r="BC244" s="15"/>
      <c r="BD244" s="44"/>
      <c r="BE244" s="15"/>
      <c r="BF244" s="44"/>
      <c r="BG244" s="15">
        <f t="shared" si="31"/>
        <v>0</v>
      </c>
    </row>
    <row r="245" spans="1:59" s="8" customFormat="1" ht="22.5" customHeight="1">
      <c r="A245" s="9"/>
      <c r="B245" s="16" t="s">
        <v>233</v>
      </c>
      <c r="C245" s="89" t="s">
        <v>50</v>
      </c>
      <c r="D245" s="104" t="s">
        <v>390</v>
      </c>
      <c r="E245" s="104" t="s">
        <v>1463</v>
      </c>
      <c r="F245" s="104" t="s">
        <v>1464</v>
      </c>
      <c r="G245" s="104" t="s">
        <v>1465</v>
      </c>
      <c r="H245" s="12"/>
      <c r="I245" s="9"/>
      <c r="J245" s="9" t="s">
        <v>207</v>
      </c>
      <c r="K245" s="14"/>
      <c r="L245" s="14"/>
      <c r="M245" s="12">
        <v>649</v>
      </c>
      <c r="N245" s="9"/>
      <c r="O245" s="9"/>
      <c r="P245" s="9"/>
      <c r="Q245" s="38">
        <f t="shared" si="25"/>
        <v>649</v>
      </c>
      <c r="R245" s="12"/>
      <c r="S245" s="42"/>
      <c r="T245" s="15"/>
      <c r="U245" s="44"/>
      <c r="V245" s="15"/>
      <c r="W245" s="44"/>
      <c r="X245" s="15">
        <f t="shared" si="26"/>
        <v>0</v>
      </c>
      <c r="Y245" s="15"/>
      <c r="Z245" s="44"/>
      <c r="AA245" s="15"/>
      <c r="AB245" s="44"/>
      <c r="AC245" s="15"/>
      <c r="AD245" s="44"/>
      <c r="AE245" s="15"/>
      <c r="AF245" s="44"/>
      <c r="AG245" s="15">
        <f t="shared" si="27"/>
        <v>0</v>
      </c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/>
      <c r="BA245" s="42"/>
      <c r="BB245" s="15">
        <f t="shared" si="30"/>
        <v>0</v>
      </c>
      <c r="BC245" s="15"/>
      <c r="BD245" s="44"/>
      <c r="BE245" s="15"/>
      <c r="BF245" s="44"/>
      <c r="BG245" s="15">
        <f t="shared" si="31"/>
        <v>0</v>
      </c>
    </row>
    <row r="246" spans="1:59" s="8" customFormat="1" ht="22.5" customHeight="1">
      <c r="A246" s="9"/>
      <c r="B246" s="16" t="s">
        <v>233</v>
      </c>
      <c r="C246" s="89" t="s">
        <v>50</v>
      </c>
      <c r="D246" s="104" t="s">
        <v>392</v>
      </c>
      <c r="E246" s="104" t="s">
        <v>389</v>
      </c>
      <c r="F246" s="104" t="s">
        <v>1466</v>
      </c>
      <c r="G246" s="104" t="s">
        <v>1467</v>
      </c>
      <c r="H246" s="12"/>
      <c r="I246" s="9"/>
      <c r="J246" s="9" t="s">
        <v>207</v>
      </c>
      <c r="K246" s="14"/>
      <c r="L246" s="14"/>
      <c r="M246" s="12">
        <v>546</v>
      </c>
      <c r="N246" s="9"/>
      <c r="O246" s="9"/>
      <c r="P246" s="9"/>
      <c r="Q246" s="38">
        <f t="shared" si="25"/>
        <v>546</v>
      </c>
      <c r="R246" s="12"/>
      <c r="S246" s="42"/>
      <c r="T246" s="15"/>
      <c r="U246" s="44"/>
      <c r="V246" s="15"/>
      <c r="W246" s="44"/>
      <c r="X246" s="15">
        <f t="shared" si="26"/>
        <v>0</v>
      </c>
      <c r="Y246" s="15"/>
      <c r="Z246" s="44"/>
      <c r="AA246" s="15"/>
      <c r="AB246" s="44"/>
      <c r="AC246" s="15"/>
      <c r="AD246" s="44"/>
      <c r="AE246" s="15"/>
      <c r="AF246" s="44"/>
      <c r="AG246" s="15">
        <f t="shared" si="27"/>
        <v>0</v>
      </c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/>
      <c r="BA246" s="42"/>
      <c r="BB246" s="15">
        <f t="shared" si="30"/>
        <v>0</v>
      </c>
      <c r="BC246" s="15"/>
      <c r="BD246" s="44"/>
      <c r="BE246" s="15"/>
      <c r="BF246" s="44"/>
      <c r="BG246" s="15">
        <f t="shared" si="31"/>
        <v>0</v>
      </c>
    </row>
    <row r="247" spans="1:59" s="8" customFormat="1" ht="22.5" customHeight="1">
      <c r="A247" s="9"/>
      <c r="B247" s="16" t="s">
        <v>233</v>
      </c>
      <c r="C247" s="89" t="s">
        <v>50</v>
      </c>
      <c r="D247" s="104" t="s">
        <v>393</v>
      </c>
      <c r="E247" s="104" t="s">
        <v>394</v>
      </c>
      <c r="F247" s="104" t="s">
        <v>1468</v>
      </c>
      <c r="G247" s="104" t="s">
        <v>1469</v>
      </c>
      <c r="H247" s="12"/>
      <c r="I247" s="9"/>
      <c r="J247" s="9" t="s">
        <v>207</v>
      </c>
      <c r="K247" s="14"/>
      <c r="L247" s="14"/>
      <c r="M247" s="12">
        <v>213</v>
      </c>
      <c r="N247" s="9"/>
      <c r="O247" s="9"/>
      <c r="P247" s="9"/>
      <c r="Q247" s="38">
        <f t="shared" si="25"/>
        <v>213</v>
      </c>
      <c r="R247" s="12"/>
      <c r="S247" s="42"/>
      <c r="T247" s="15"/>
      <c r="U247" s="44"/>
      <c r="V247" s="15"/>
      <c r="W247" s="44"/>
      <c r="X247" s="15">
        <f t="shared" si="26"/>
        <v>0</v>
      </c>
      <c r="Y247" s="15"/>
      <c r="Z247" s="44"/>
      <c r="AA247" s="15"/>
      <c r="AB247" s="44"/>
      <c r="AC247" s="15"/>
      <c r="AD247" s="44"/>
      <c r="AE247" s="15"/>
      <c r="AF247" s="44"/>
      <c r="AG247" s="15">
        <f t="shared" si="27"/>
        <v>0</v>
      </c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/>
      <c r="BA247" s="42"/>
      <c r="BB247" s="15">
        <f t="shared" si="30"/>
        <v>0</v>
      </c>
      <c r="BC247" s="15"/>
      <c r="BD247" s="44"/>
      <c r="BE247" s="15"/>
      <c r="BF247" s="44"/>
      <c r="BG247" s="15">
        <f t="shared" si="31"/>
        <v>0</v>
      </c>
    </row>
    <row r="248" spans="1:59" s="8" customFormat="1" ht="22.5" customHeight="1">
      <c r="A248" s="9"/>
      <c r="B248" s="16" t="s">
        <v>233</v>
      </c>
      <c r="C248" s="89" t="s">
        <v>50</v>
      </c>
      <c r="D248" s="104" t="s">
        <v>395</v>
      </c>
      <c r="E248" s="104" t="s">
        <v>389</v>
      </c>
      <c r="F248" s="104" t="s">
        <v>1470</v>
      </c>
      <c r="G248" s="104" t="s">
        <v>1471</v>
      </c>
      <c r="H248" s="12"/>
      <c r="I248" s="9"/>
      <c r="J248" s="9" t="s">
        <v>207</v>
      </c>
      <c r="K248" s="14"/>
      <c r="L248" s="14"/>
      <c r="M248" s="12">
        <v>425</v>
      </c>
      <c r="N248" s="9"/>
      <c r="O248" s="9"/>
      <c r="P248" s="9"/>
      <c r="Q248" s="38">
        <f t="shared" si="25"/>
        <v>425</v>
      </c>
      <c r="R248" s="12"/>
      <c r="S248" s="42"/>
      <c r="T248" s="15"/>
      <c r="U248" s="44"/>
      <c r="V248" s="15"/>
      <c r="W248" s="44"/>
      <c r="X248" s="15">
        <f t="shared" si="26"/>
        <v>0</v>
      </c>
      <c r="Y248" s="15"/>
      <c r="Z248" s="44"/>
      <c r="AA248" s="15"/>
      <c r="AB248" s="44"/>
      <c r="AC248" s="15"/>
      <c r="AD248" s="44"/>
      <c r="AE248" s="15"/>
      <c r="AF248" s="44"/>
      <c r="AG248" s="15">
        <f t="shared" si="27"/>
        <v>0</v>
      </c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/>
      <c r="BA248" s="42"/>
      <c r="BB248" s="15">
        <f t="shared" si="30"/>
        <v>0</v>
      </c>
      <c r="BC248" s="15"/>
      <c r="BD248" s="44"/>
      <c r="BE248" s="15"/>
      <c r="BF248" s="44"/>
      <c r="BG248" s="15">
        <f t="shared" si="31"/>
        <v>0</v>
      </c>
    </row>
    <row r="249" spans="1:59" s="8" customFormat="1" ht="22.5" customHeight="1">
      <c r="A249" s="9"/>
      <c r="B249" s="16" t="s">
        <v>396</v>
      </c>
      <c r="C249" s="89" t="s">
        <v>50</v>
      </c>
      <c r="D249" s="104" t="s">
        <v>397</v>
      </c>
      <c r="E249" s="104" t="s">
        <v>398</v>
      </c>
      <c r="F249" s="104" t="s">
        <v>1472</v>
      </c>
      <c r="G249" s="104" t="s">
        <v>1473</v>
      </c>
      <c r="H249" s="12"/>
      <c r="I249" s="9"/>
      <c r="J249" s="9"/>
      <c r="K249" s="14"/>
      <c r="L249" s="14"/>
      <c r="M249" s="12"/>
      <c r="N249" s="9"/>
      <c r="O249" s="9"/>
      <c r="P249" s="9"/>
      <c r="Q249" s="38">
        <f t="shared" si="25"/>
        <v>0</v>
      </c>
      <c r="R249" s="12"/>
      <c r="S249" s="42"/>
      <c r="T249" s="15"/>
      <c r="U249" s="44"/>
      <c r="V249" s="15"/>
      <c r="W249" s="44"/>
      <c r="X249" s="15">
        <f t="shared" si="26"/>
        <v>0</v>
      </c>
      <c r="Y249" s="15"/>
      <c r="Z249" s="44"/>
      <c r="AA249" s="15"/>
      <c r="AB249" s="44"/>
      <c r="AC249" s="15"/>
      <c r="AD249" s="44"/>
      <c r="AE249" s="15"/>
      <c r="AF249" s="44"/>
      <c r="AG249" s="15">
        <f t="shared" si="27"/>
        <v>0</v>
      </c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/>
      <c r="BA249" s="42"/>
      <c r="BB249" s="15">
        <f t="shared" si="30"/>
        <v>0</v>
      </c>
      <c r="BC249" s="15"/>
      <c r="BD249" s="44"/>
      <c r="BE249" s="15"/>
      <c r="BF249" s="44"/>
      <c r="BG249" s="15">
        <f t="shared" si="31"/>
        <v>0</v>
      </c>
    </row>
    <row r="250" spans="1:59" s="8" customFormat="1" ht="22.5" customHeight="1">
      <c r="A250" s="9"/>
      <c r="B250" s="16" t="s">
        <v>155</v>
      </c>
      <c r="C250" s="89" t="s">
        <v>50</v>
      </c>
      <c r="D250" s="104" t="s">
        <v>399</v>
      </c>
      <c r="E250" s="104" t="s">
        <v>400</v>
      </c>
      <c r="F250" s="104" t="s">
        <v>1474</v>
      </c>
      <c r="G250" s="104" t="s">
        <v>1475</v>
      </c>
      <c r="H250" s="12"/>
      <c r="I250" s="9"/>
      <c r="J250" s="9"/>
      <c r="K250" s="14"/>
      <c r="L250" s="14"/>
      <c r="M250" s="12">
        <v>108</v>
      </c>
      <c r="N250" s="9"/>
      <c r="O250" s="9"/>
      <c r="P250" s="9"/>
      <c r="Q250" s="38">
        <f t="shared" si="25"/>
        <v>108</v>
      </c>
      <c r="R250" s="12"/>
      <c r="S250" s="42"/>
      <c r="T250" s="15"/>
      <c r="U250" s="44"/>
      <c r="V250" s="15"/>
      <c r="W250" s="44"/>
      <c r="X250" s="15">
        <f t="shared" si="26"/>
        <v>0</v>
      </c>
      <c r="Y250" s="15"/>
      <c r="Z250" s="44"/>
      <c r="AA250" s="15"/>
      <c r="AB250" s="44"/>
      <c r="AC250" s="15"/>
      <c r="AD250" s="44"/>
      <c r="AE250" s="15"/>
      <c r="AF250" s="44"/>
      <c r="AG250" s="15">
        <f t="shared" si="27"/>
        <v>0</v>
      </c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/>
      <c r="BA250" s="42"/>
      <c r="BB250" s="15">
        <f t="shared" si="30"/>
        <v>0</v>
      </c>
      <c r="BC250" s="15"/>
      <c r="BD250" s="44"/>
      <c r="BE250" s="15"/>
      <c r="BF250" s="44"/>
      <c r="BG250" s="15">
        <f t="shared" si="31"/>
        <v>0</v>
      </c>
    </row>
    <row r="251" spans="1:59" s="8" customFormat="1" ht="22.5" customHeight="1">
      <c r="A251" s="9"/>
      <c r="B251" s="16" t="s">
        <v>330</v>
      </c>
      <c r="C251" s="89" t="s">
        <v>50</v>
      </c>
      <c r="D251" s="104" t="s">
        <v>331</v>
      </c>
      <c r="E251" s="104" t="s">
        <v>401</v>
      </c>
      <c r="F251" s="104" t="s">
        <v>1476</v>
      </c>
      <c r="G251" s="104" t="s">
        <v>1477</v>
      </c>
      <c r="H251" s="12"/>
      <c r="I251" s="9"/>
      <c r="J251" s="9" t="s">
        <v>332</v>
      </c>
      <c r="K251" s="14"/>
      <c r="L251" s="14"/>
      <c r="M251" s="12">
        <v>342</v>
      </c>
      <c r="N251" s="9"/>
      <c r="O251" s="9"/>
      <c r="P251" s="9"/>
      <c r="Q251" s="38">
        <f t="shared" si="25"/>
        <v>342</v>
      </c>
      <c r="R251" s="12"/>
      <c r="S251" s="42"/>
      <c r="T251" s="15"/>
      <c r="U251" s="44"/>
      <c r="V251" s="15"/>
      <c r="W251" s="44"/>
      <c r="X251" s="15">
        <f t="shared" si="26"/>
        <v>0</v>
      </c>
      <c r="Y251" s="15"/>
      <c r="Z251" s="44"/>
      <c r="AA251" s="15"/>
      <c r="AB251" s="44"/>
      <c r="AC251" s="15"/>
      <c r="AD251" s="44"/>
      <c r="AE251" s="15"/>
      <c r="AF251" s="44"/>
      <c r="AG251" s="15">
        <f t="shared" si="27"/>
        <v>0</v>
      </c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/>
      <c r="BA251" s="42"/>
      <c r="BB251" s="15">
        <f t="shared" si="30"/>
        <v>0</v>
      </c>
      <c r="BC251" s="15"/>
      <c r="BD251" s="44"/>
      <c r="BE251" s="15"/>
      <c r="BF251" s="44"/>
      <c r="BG251" s="15">
        <f t="shared" si="31"/>
        <v>0</v>
      </c>
    </row>
    <row r="252" spans="1:59" s="8" customFormat="1" ht="22.5" customHeight="1">
      <c r="A252" s="9"/>
      <c r="B252" s="16" t="s">
        <v>204</v>
      </c>
      <c r="C252" s="89" t="s">
        <v>402</v>
      </c>
      <c r="D252" s="104" t="s">
        <v>403</v>
      </c>
      <c r="E252" s="104" t="s">
        <v>404</v>
      </c>
      <c r="F252" s="104" t="s">
        <v>1478</v>
      </c>
      <c r="G252" s="104" t="s">
        <v>1479</v>
      </c>
      <c r="H252" s="12"/>
      <c r="I252" s="9"/>
      <c r="J252" s="9" t="s">
        <v>311</v>
      </c>
      <c r="K252" s="14"/>
      <c r="L252" s="14"/>
      <c r="M252" s="12"/>
      <c r="N252" s="9"/>
      <c r="O252" s="9"/>
      <c r="P252" s="9"/>
      <c r="Q252" s="38">
        <f t="shared" si="25"/>
        <v>0</v>
      </c>
      <c r="R252" s="12"/>
      <c r="S252" s="42"/>
      <c r="T252" s="15"/>
      <c r="U252" s="44"/>
      <c r="V252" s="15"/>
      <c r="W252" s="44"/>
      <c r="X252" s="15">
        <f t="shared" si="26"/>
        <v>0</v>
      </c>
      <c r="Y252" s="15"/>
      <c r="Z252" s="44"/>
      <c r="AA252" s="15"/>
      <c r="AB252" s="44"/>
      <c r="AC252" s="15"/>
      <c r="AD252" s="44"/>
      <c r="AE252" s="15"/>
      <c r="AF252" s="44"/>
      <c r="AG252" s="15">
        <f t="shared" si="27"/>
        <v>0</v>
      </c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/>
      <c r="BA252" s="42"/>
      <c r="BB252" s="15">
        <f t="shared" si="30"/>
        <v>0</v>
      </c>
      <c r="BC252" s="15"/>
      <c r="BD252" s="44"/>
      <c r="BE252" s="15"/>
      <c r="BF252" s="44"/>
      <c r="BG252" s="15">
        <f t="shared" si="31"/>
        <v>0</v>
      </c>
    </row>
    <row r="253" spans="1:59" s="8" customFormat="1" ht="22.5" customHeight="1">
      <c r="A253" s="9"/>
      <c r="B253" s="16" t="s">
        <v>233</v>
      </c>
      <c r="C253" s="89" t="s">
        <v>402</v>
      </c>
      <c r="D253" s="104" t="s">
        <v>405</v>
      </c>
      <c r="E253" s="104" t="s">
        <v>406</v>
      </c>
      <c r="F253" s="104" t="s">
        <v>1480</v>
      </c>
      <c r="G253" s="104" t="s">
        <v>1481</v>
      </c>
      <c r="H253" s="12"/>
      <c r="I253" s="9"/>
      <c r="J253" s="9" t="s">
        <v>407</v>
      </c>
      <c r="K253" s="14"/>
      <c r="L253" s="14"/>
      <c r="M253" s="12"/>
      <c r="N253" s="9"/>
      <c r="O253" s="9"/>
      <c r="P253" s="9"/>
      <c r="Q253" s="38">
        <f t="shared" si="25"/>
        <v>0</v>
      </c>
      <c r="R253" s="12"/>
      <c r="S253" s="42"/>
      <c r="T253" s="15"/>
      <c r="U253" s="44"/>
      <c r="V253" s="15"/>
      <c r="W253" s="44"/>
      <c r="X253" s="15">
        <f t="shared" si="26"/>
        <v>0</v>
      </c>
      <c r="Y253" s="15"/>
      <c r="Z253" s="44"/>
      <c r="AA253" s="15"/>
      <c r="AB253" s="44"/>
      <c r="AC253" s="15"/>
      <c r="AD253" s="44"/>
      <c r="AE253" s="15"/>
      <c r="AF253" s="44"/>
      <c r="AG253" s="15">
        <f t="shared" si="27"/>
        <v>0</v>
      </c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/>
      <c r="BA253" s="42"/>
      <c r="BB253" s="15">
        <f t="shared" si="30"/>
        <v>0</v>
      </c>
      <c r="BC253" s="15"/>
      <c r="BD253" s="44"/>
      <c r="BE253" s="15"/>
      <c r="BF253" s="44"/>
      <c r="BG253" s="15">
        <f t="shared" si="31"/>
        <v>0</v>
      </c>
    </row>
    <row r="254" spans="1:59" s="8" customFormat="1" ht="22.5" customHeight="1">
      <c r="A254" s="9"/>
      <c r="B254" s="16" t="s">
        <v>172</v>
      </c>
      <c r="C254" s="89" t="s">
        <v>402</v>
      </c>
      <c r="D254" s="104" t="s">
        <v>408</v>
      </c>
      <c r="E254" s="104" t="s">
        <v>409</v>
      </c>
      <c r="F254" s="104" t="s">
        <v>1482</v>
      </c>
      <c r="G254" s="104" t="s">
        <v>1483</v>
      </c>
      <c r="H254" s="12"/>
      <c r="I254" s="9"/>
      <c r="J254" s="9" t="s">
        <v>67</v>
      </c>
      <c r="K254" s="14"/>
      <c r="L254" s="14"/>
      <c r="M254" s="12"/>
      <c r="N254" s="9"/>
      <c r="O254" s="9"/>
      <c r="P254" s="9"/>
      <c r="Q254" s="38">
        <f t="shared" si="25"/>
        <v>0</v>
      </c>
      <c r="R254" s="12"/>
      <c r="S254" s="42"/>
      <c r="T254" s="15"/>
      <c r="U254" s="44"/>
      <c r="V254" s="15"/>
      <c r="W254" s="44"/>
      <c r="X254" s="15">
        <f t="shared" si="26"/>
        <v>0</v>
      </c>
      <c r="Y254" s="15"/>
      <c r="Z254" s="44"/>
      <c r="AA254" s="15"/>
      <c r="AB254" s="44"/>
      <c r="AC254" s="15"/>
      <c r="AD254" s="44"/>
      <c r="AE254" s="15"/>
      <c r="AF254" s="44"/>
      <c r="AG254" s="15">
        <f t="shared" si="27"/>
        <v>0</v>
      </c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/>
      <c r="BA254" s="42"/>
      <c r="BB254" s="15">
        <f t="shared" si="30"/>
        <v>0</v>
      </c>
      <c r="BC254" s="15"/>
      <c r="BD254" s="44"/>
      <c r="BE254" s="15"/>
      <c r="BF254" s="44"/>
      <c r="BG254" s="15">
        <f t="shared" si="31"/>
        <v>0</v>
      </c>
    </row>
    <row r="255" spans="1:59" s="8" customFormat="1" ht="22.5" customHeight="1">
      <c r="A255" s="9"/>
      <c r="B255" s="16" t="s">
        <v>155</v>
      </c>
      <c r="C255" s="89" t="s">
        <v>402</v>
      </c>
      <c r="D255" s="104" t="s">
        <v>410</v>
      </c>
      <c r="E255" s="104" t="s">
        <v>411</v>
      </c>
      <c r="F255" s="104" t="s">
        <v>1484</v>
      </c>
      <c r="G255" s="104" t="s">
        <v>1485</v>
      </c>
      <c r="H255" s="12"/>
      <c r="I255" s="9"/>
      <c r="J255" s="9" t="s">
        <v>412</v>
      </c>
      <c r="K255" s="14"/>
      <c r="L255" s="14"/>
      <c r="M255" s="12">
        <v>814</v>
      </c>
      <c r="N255" s="9"/>
      <c r="O255" s="9"/>
      <c r="P255" s="9"/>
      <c r="Q255" s="38">
        <f t="shared" si="25"/>
        <v>814</v>
      </c>
      <c r="R255" s="12"/>
      <c r="S255" s="42"/>
      <c r="T255" s="15"/>
      <c r="U255" s="44"/>
      <c r="V255" s="15"/>
      <c r="W255" s="44"/>
      <c r="X255" s="15">
        <f t="shared" si="26"/>
        <v>0</v>
      </c>
      <c r="Y255" s="15"/>
      <c r="Z255" s="44"/>
      <c r="AA255" s="15"/>
      <c r="AB255" s="44"/>
      <c r="AC255" s="15"/>
      <c r="AD255" s="44"/>
      <c r="AE255" s="15"/>
      <c r="AF255" s="44"/>
      <c r="AG255" s="15">
        <f t="shared" si="27"/>
        <v>0</v>
      </c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/>
      <c r="BA255" s="42"/>
      <c r="BB255" s="15">
        <f t="shared" si="30"/>
        <v>0</v>
      </c>
      <c r="BC255" s="15"/>
      <c r="BD255" s="44"/>
      <c r="BE255" s="15"/>
      <c r="BF255" s="44"/>
      <c r="BG255" s="15">
        <f t="shared" si="31"/>
        <v>0</v>
      </c>
    </row>
    <row r="256" spans="1:59" s="8" customFormat="1" ht="22.5" customHeight="1">
      <c r="A256" s="9"/>
      <c r="B256" s="16" t="s">
        <v>172</v>
      </c>
      <c r="C256" s="89" t="s">
        <v>140</v>
      </c>
      <c r="D256" s="104" t="s">
        <v>414</v>
      </c>
      <c r="E256" s="104"/>
      <c r="F256" s="104" t="s">
        <v>1486</v>
      </c>
      <c r="G256" s="104" t="s">
        <v>1487</v>
      </c>
      <c r="H256" s="12"/>
      <c r="I256" s="9"/>
      <c r="J256" s="9" t="s">
        <v>67</v>
      </c>
      <c r="K256" s="14"/>
      <c r="L256" s="14"/>
      <c r="M256" s="12">
        <v>360</v>
      </c>
      <c r="N256" s="9"/>
      <c r="O256" s="9"/>
      <c r="P256" s="9"/>
      <c r="Q256" s="38">
        <f t="shared" si="25"/>
        <v>360</v>
      </c>
      <c r="R256" s="12"/>
      <c r="S256" s="42"/>
      <c r="T256" s="15"/>
      <c r="U256" s="44"/>
      <c r="V256" s="15"/>
      <c r="W256" s="44"/>
      <c r="X256" s="15">
        <f t="shared" si="26"/>
        <v>0</v>
      </c>
      <c r="Y256" s="15"/>
      <c r="Z256" s="44"/>
      <c r="AA256" s="15"/>
      <c r="AB256" s="44"/>
      <c r="AC256" s="15"/>
      <c r="AD256" s="44"/>
      <c r="AE256" s="15"/>
      <c r="AF256" s="44"/>
      <c r="AG256" s="15">
        <f t="shared" si="27"/>
        <v>0</v>
      </c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/>
      <c r="BA256" s="42"/>
      <c r="BB256" s="15">
        <f t="shared" si="30"/>
        <v>0</v>
      </c>
      <c r="BC256" s="15"/>
      <c r="BD256" s="44"/>
      <c r="BE256" s="15"/>
      <c r="BF256" s="44"/>
      <c r="BG256" s="15">
        <f t="shared" si="31"/>
        <v>0</v>
      </c>
    </row>
    <row r="257" spans="1:59" s="8" customFormat="1" ht="22.5" customHeight="1">
      <c r="A257" s="9"/>
      <c r="B257" s="16" t="s">
        <v>172</v>
      </c>
      <c r="C257" s="89" t="s">
        <v>140</v>
      </c>
      <c r="D257" s="104" t="s">
        <v>415</v>
      </c>
      <c r="E257" s="104"/>
      <c r="F257" s="104" t="s">
        <v>1488</v>
      </c>
      <c r="G257" s="104" t="s">
        <v>1489</v>
      </c>
      <c r="H257" s="12"/>
      <c r="I257" s="9"/>
      <c r="J257" s="9" t="s">
        <v>67</v>
      </c>
      <c r="K257" s="14"/>
      <c r="L257" s="14"/>
      <c r="M257" s="12">
        <v>81</v>
      </c>
      <c r="N257" s="9"/>
      <c r="O257" s="9"/>
      <c r="P257" s="9"/>
      <c r="Q257" s="38">
        <f t="shared" si="25"/>
        <v>81</v>
      </c>
      <c r="R257" s="12"/>
      <c r="S257" s="42"/>
      <c r="T257" s="15"/>
      <c r="U257" s="44"/>
      <c r="V257" s="15"/>
      <c r="W257" s="44"/>
      <c r="X257" s="15">
        <f t="shared" si="26"/>
        <v>0</v>
      </c>
      <c r="Y257" s="15"/>
      <c r="Z257" s="44"/>
      <c r="AA257" s="15"/>
      <c r="AB257" s="44"/>
      <c r="AC257" s="15"/>
      <c r="AD257" s="44"/>
      <c r="AE257" s="15"/>
      <c r="AF257" s="44"/>
      <c r="AG257" s="15">
        <f t="shared" si="27"/>
        <v>0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/>
      <c r="BA257" s="42"/>
      <c r="BB257" s="15">
        <f t="shared" si="30"/>
        <v>0</v>
      </c>
      <c r="BC257" s="15"/>
      <c r="BD257" s="44"/>
      <c r="BE257" s="15"/>
      <c r="BF257" s="44"/>
      <c r="BG257" s="15">
        <f t="shared" si="31"/>
        <v>0</v>
      </c>
    </row>
    <row r="258" spans="1:59" s="8" customFormat="1" ht="22.5" customHeight="1">
      <c r="A258" s="9"/>
      <c r="B258" s="16" t="s">
        <v>172</v>
      </c>
      <c r="C258" s="89" t="s">
        <v>140</v>
      </c>
      <c r="D258" s="104" t="s">
        <v>416</v>
      </c>
      <c r="E258" s="104"/>
      <c r="F258" s="104" t="s">
        <v>1490</v>
      </c>
      <c r="G258" s="104" t="s">
        <v>1491</v>
      </c>
      <c r="H258" s="12"/>
      <c r="I258" s="9"/>
      <c r="J258" s="9" t="s">
        <v>67</v>
      </c>
      <c r="K258" s="14"/>
      <c r="L258" s="14"/>
      <c r="M258" s="12">
        <v>60</v>
      </c>
      <c r="N258" s="9"/>
      <c r="O258" s="9"/>
      <c r="P258" s="9"/>
      <c r="Q258" s="38">
        <f t="shared" si="25"/>
        <v>60</v>
      </c>
      <c r="R258" s="12"/>
      <c r="S258" s="42"/>
      <c r="T258" s="15"/>
      <c r="U258" s="44"/>
      <c r="V258" s="15"/>
      <c r="W258" s="44"/>
      <c r="X258" s="15">
        <f t="shared" si="26"/>
        <v>0</v>
      </c>
      <c r="Y258" s="15"/>
      <c r="Z258" s="44"/>
      <c r="AA258" s="15"/>
      <c r="AB258" s="44"/>
      <c r="AC258" s="15"/>
      <c r="AD258" s="44"/>
      <c r="AE258" s="15"/>
      <c r="AF258" s="44"/>
      <c r="AG258" s="15">
        <f t="shared" si="27"/>
        <v>0</v>
      </c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/>
      <c r="BA258" s="42"/>
      <c r="BB258" s="15">
        <f t="shared" si="30"/>
        <v>0</v>
      </c>
      <c r="BC258" s="15"/>
      <c r="BD258" s="44"/>
      <c r="BE258" s="15"/>
      <c r="BF258" s="44"/>
      <c r="BG258" s="15">
        <f t="shared" si="31"/>
        <v>0</v>
      </c>
    </row>
    <row r="259" spans="1:59" s="8" customFormat="1" ht="22.5" customHeight="1">
      <c r="A259" s="9"/>
      <c r="B259" s="16" t="s">
        <v>172</v>
      </c>
      <c r="C259" s="89" t="s">
        <v>140</v>
      </c>
      <c r="D259" s="104" t="s">
        <v>417</v>
      </c>
      <c r="E259" s="104"/>
      <c r="F259" s="104" t="s">
        <v>1492</v>
      </c>
      <c r="G259" s="104" t="s">
        <v>1493</v>
      </c>
      <c r="H259" s="12"/>
      <c r="I259" s="9"/>
      <c r="J259" s="9" t="s">
        <v>67</v>
      </c>
      <c r="K259" s="14"/>
      <c r="L259" s="14"/>
      <c r="M259" s="12">
        <v>81</v>
      </c>
      <c r="N259" s="9"/>
      <c r="O259" s="9"/>
      <c r="P259" s="9"/>
      <c r="Q259" s="38">
        <f t="shared" si="25"/>
        <v>81</v>
      </c>
      <c r="R259" s="12"/>
      <c r="S259" s="42"/>
      <c r="T259" s="15"/>
      <c r="U259" s="44"/>
      <c r="V259" s="15"/>
      <c r="W259" s="44"/>
      <c r="X259" s="15">
        <f t="shared" si="26"/>
        <v>0</v>
      </c>
      <c r="Y259" s="15"/>
      <c r="Z259" s="44"/>
      <c r="AA259" s="15"/>
      <c r="AB259" s="44"/>
      <c r="AC259" s="15"/>
      <c r="AD259" s="44"/>
      <c r="AE259" s="15"/>
      <c r="AF259" s="44"/>
      <c r="AG259" s="15">
        <f t="shared" si="27"/>
        <v>0</v>
      </c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/>
      <c r="BA259" s="42"/>
      <c r="BB259" s="15">
        <f t="shared" si="30"/>
        <v>0</v>
      </c>
      <c r="BC259" s="15"/>
      <c r="BD259" s="44"/>
      <c r="BE259" s="15"/>
      <c r="BF259" s="44"/>
      <c r="BG259" s="15">
        <f t="shared" si="31"/>
        <v>0</v>
      </c>
    </row>
    <row r="260" spans="1:59" s="8" customFormat="1" ht="22.5" customHeight="1">
      <c r="A260" s="9"/>
      <c r="B260" s="16" t="s">
        <v>172</v>
      </c>
      <c r="C260" s="89" t="s">
        <v>140</v>
      </c>
      <c r="D260" s="104" t="s">
        <v>418</v>
      </c>
      <c r="E260" s="104"/>
      <c r="F260" s="104" t="s">
        <v>1494</v>
      </c>
      <c r="G260" s="104" t="s">
        <v>1495</v>
      </c>
      <c r="H260" s="12"/>
      <c r="I260" s="9"/>
      <c r="J260" s="9" t="s">
        <v>67</v>
      </c>
      <c r="K260" s="14"/>
      <c r="L260" s="14"/>
      <c r="M260" s="12">
        <v>6</v>
      </c>
      <c r="N260" s="9"/>
      <c r="O260" s="9"/>
      <c r="P260" s="9"/>
      <c r="Q260" s="38">
        <f t="shared" ref="Q260:Q323" si="32">M260+X260-AG260-BB260</f>
        <v>6</v>
      </c>
      <c r="R260" s="12"/>
      <c r="S260" s="42"/>
      <c r="T260" s="15"/>
      <c r="U260" s="44"/>
      <c r="V260" s="15"/>
      <c r="W260" s="44"/>
      <c r="X260" s="15">
        <f t="shared" ref="X260:X323" si="33">R260+T260+V260</f>
        <v>0</v>
      </c>
      <c r="Y260" s="15"/>
      <c r="Z260" s="44"/>
      <c r="AA260" s="15"/>
      <c r="AB260" s="44"/>
      <c r="AC260" s="15"/>
      <c r="AD260" s="44"/>
      <c r="AE260" s="15"/>
      <c r="AF260" s="44"/>
      <c r="AG260" s="15">
        <f t="shared" ref="AG260:AG323" si="34">(Y260+AA260+AC260+AE260)</f>
        <v>0</v>
      </c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/>
      <c r="BA260" s="42"/>
      <c r="BB260" s="15">
        <f t="shared" si="30"/>
        <v>0</v>
      </c>
      <c r="BC260" s="15"/>
      <c r="BD260" s="44"/>
      <c r="BE260" s="15"/>
      <c r="BF260" s="44"/>
      <c r="BG260" s="15">
        <f t="shared" si="31"/>
        <v>0</v>
      </c>
    </row>
    <row r="261" spans="1:59" s="8" customFormat="1" ht="22.5" customHeight="1">
      <c r="A261" s="9"/>
      <c r="B261" s="16" t="s">
        <v>172</v>
      </c>
      <c r="C261" s="89" t="s">
        <v>140</v>
      </c>
      <c r="D261" s="104" t="s">
        <v>419</v>
      </c>
      <c r="E261" s="104"/>
      <c r="F261" s="104" t="s">
        <v>1496</v>
      </c>
      <c r="G261" s="104" t="s">
        <v>1497</v>
      </c>
      <c r="H261" s="12"/>
      <c r="I261" s="9"/>
      <c r="J261" s="9" t="s">
        <v>420</v>
      </c>
      <c r="K261" s="14"/>
      <c r="L261" s="14"/>
      <c r="M261" s="12">
        <v>0</v>
      </c>
      <c r="N261" s="9"/>
      <c r="O261" s="9"/>
      <c r="P261" s="9"/>
      <c r="Q261" s="38">
        <f t="shared" si="32"/>
        <v>0</v>
      </c>
      <c r="R261" s="12"/>
      <c r="S261" s="42"/>
      <c r="T261" s="15"/>
      <c r="U261" s="44"/>
      <c r="V261" s="15"/>
      <c r="W261" s="44"/>
      <c r="X261" s="15">
        <f t="shared" si="33"/>
        <v>0</v>
      </c>
      <c r="Y261" s="15"/>
      <c r="Z261" s="44"/>
      <c r="AA261" s="15"/>
      <c r="AB261" s="44"/>
      <c r="AC261" s="15"/>
      <c r="AD261" s="44"/>
      <c r="AE261" s="15"/>
      <c r="AF261" s="44"/>
      <c r="AG261" s="15">
        <f t="shared" si="34"/>
        <v>0</v>
      </c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/>
      <c r="BA261" s="42"/>
      <c r="BB261" s="15">
        <f t="shared" si="30"/>
        <v>0</v>
      </c>
      <c r="BC261" s="15"/>
      <c r="BD261" s="44"/>
      <c r="BE261" s="15"/>
      <c r="BF261" s="44"/>
      <c r="BG261" s="15">
        <f t="shared" si="31"/>
        <v>0</v>
      </c>
    </row>
    <row r="262" spans="1:59" s="8" customFormat="1" ht="22.5" customHeight="1">
      <c r="A262" s="9"/>
      <c r="B262" s="16" t="s">
        <v>172</v>
      </c>
      <c r="C262" s="89" t="s">
        <v>140</v>
      </c>
      <c r="D262" s="104" t="s">
        <v>421</v>
      </c>
      <c r="E262" s="104"/>
      <c r="F262" s="104" t="s">
        <v>1498</v>
      </c>
      <c r="G262" s="104" t="s">
        <v>1499</v>
      </c>
      <c r="H262" s="12"/>
      <c r="I262" s="9"/>
      <c r="J262" s="9" t="s">
        <v>422</v>
      </c>
      <c r="K262" s="14"/>
      <c r="L262" s="14"/>
      <c r="M262" s="12">
        <v>126</v>
      </c>
      <c r="N262" s="9"/>
      <c r="O262" s="9"/>
      <c r="P262" s="9"/>
      <c r="Q262" s="38">
        <f t="shared" si="32"/>
        <v>126</v>
      </c>
      <c r="R262" s="12"/>
      <c r="S262" s="42"/>
      <c r="T262" s="15"/>
      <c r="U262" s="44"/>
      <c r="V262" s="15"/>
      <c r="W262" s="44"/>
      <c r="X262" s="15">
        <f t="shared" si="33"/>
        <v>0</v>
      </c>
      <c r="Y262" s="15"/>
      <c r="Z262" s="44"/>
      <c r="AA262" s="15"/>
      <c r="AB262" s="44"/>
      <c r="AC262" s="15"/>
      <c r="AD262" s="44"/>
      <c r="AE262" s="15"/>
      <c r="AF262" s="44"/>
      <c r="AG262" s="15">
        <f t="shared" si="34"/>
        <v>0</v>
      </c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/>
      <c r="BA262" s="42"/>
      <c r="BB262" s="15">
        <f t="shared" si="30"/>
        <v>0</v>
      </c>
      <c r="BC262" s="15"/>
      <c r="BD262" s="44"/>
      <c r="BE262" s="15"/>
      <c r="BF262" s="44"/>
      <c r="BG262" s="15">
        <f t="shared" si="31"/>
        <v>0</v>
      </c>
    </row>
    <row r="263" spans="1:59" s="8" customFormat="1" ht="22.5" customHeight="1">
      <c r="A263" s="9"/>
      <c r="B263" s="16" t="s">
        <v>172</v>
      </c>
      <c r="C263" s="89" t="s">
        <v>140</v>
      </c>
      <c r="D263" s="104" t="s">
        <v>423</v>
      </c>
      <c r="E263" s="104"/>
      <c r="F263" s="104" t="s">
        <v>1500</v>
      </c>
      <c r="G263" s="104" t="s">
        <v>1501</v>
      </c>
      <c r="H263" s="12"/>
      <c r="I263" s="9"/>
      <c r="J263" s="9" t="s">
        <v>424</v>
      </c>
      <c r="K263" s="14"/>
      <c r="L263" s="14"/>
      <c r="M263" s="12">
        <v>37</v>
      </c>
      <c r="N263" s="9"/>
      <c r="O263" s="9"/>
      <c r="P263" s="9"/>
      <c r="Q263" s="38">
        <f t="shared" si="32"/>
        <v>37</v>
      </c>
      <c r="R263" s="12"/>
      <c r="S263" s="42"/>
      <c r="T263" s="15"/>
      <c r="U263" s="44"/>
      <c r="V263" s="15"/>
      <c r="W263" s="44"/>
      <c r="X263" s="15">
        <f t="shared" si="33"/>
        <v>0</v>
      </c>
      <c r="Y263" s="15"/>
      <c r="Z263" s="44"/>
      <c r="AA263" s="15"/>
      <c r="AB263" s="44"/>
      <c r="AC263" s="15"/>
      <c r="AD263" s="44"/>
      <c r="AE263" s="15"/>
      <c r="AF263" s="44"/>
      <c r="AG263" s="15">
        <f t="shared" si="34"/>
        <v>0</v>
      </c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/>
      <c r="BA263" s="42"/>
      <c r="BB263" s="15">
        <f t="shared" si="30"/>
        <v>0</v>
      </c>
      <c r="BC263" s="15"/>
      <c r="BD263" s="44"/>
      <c r="BE263" s="15"/>
      <c r="BF263" s="44"/>
      <c r="BG263" s="15">
        <f t="shared" si="31"/>
        <v>0</v>
      </c>
    </row>
    <row r="264" spans="1:59" s="8" customFormat="1" ht="22.5" customHeight="1">
      <c r="A264" s="9"/>
      <c r="B264" s="16" t="s">
        <v>172</v>
      </c>
      <c r="C264" s="89" t="s">
        <v>140</v>
      </c>
      <c r="D264" s="104" t="s">
        <v>425</v>
      </c>
      <c r="E264" s="104"/>
      <c r="F264" s="104" t="s">
        <v>1502</v>
      </c>
      <c r="G264" s="104" t="s">
        <v>1503</v>
      </c>
      <c r="H264" s="12"/>
      <c r="I264" s="9"/>
      <c r="J264" s="9" t="s">
        <v>422</v>
      </c>
      <c r="K264" s="14"/>
      <c r="L264" s="14"/>
      <c r="M264" s="12">
        <v>12</v>
      </c>
      <c r="N264" s="9"/>
      <c r="O264" s="9"/>
      <c r="P264" s="9"/>
      <c r="Q264" s="38">
        <f t="shared" si="32"/>
        <v>12</v>
      </c>
      <c r="R264" s="12"/>
      <c r="S264" s="42"/>
      <c r="T264" s="15"/>
      <c r="U264" s="44"/>
      <c r="V264" s="15"/>
      <c r="W264" s="44"/>
      <c r="X264" s="15">
        <f t="shared" si="33"/>
        <v>0</v>
      </c>
      <c r="Y264" s="15"/>
      <c r="Z264" s="44"/>
      <c r="AA264" s="15"/>
      <c r="AB264" s="44"/>
      <c r="AC264" s="15"/>
      <c r="AD264" s="44"/>
      <c r="AE264" s="15"/>
      <c r="AF264" s="44"/>
      <c r="AG264" s="15">
        <f t="shared" si="34"/>
        <v>0</v>
      </c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/>
      <c r="BA264" s="42"/>
      <c r="BB264" s="15">
        <f t="shared" si="30"/>
        <v>0</v>
      </c>
      <c r="BC264" s="15"/>
      <c r="BD264" s="44"/>
      <c r="BE264" s="15"/>
      <c r="BF264" s="44"/>
      <c r="BG264" s="15">
        <f t="shared" si="31"/>
        <v>0</v>
      </c>
    </row>
    <row r="265" spans="1:59" s="8" customFormat="1" ht="22.5" customHeight="1">
      <c r="A265" s="9"/>
      <c r="B265" s="16" t="s">
        <v>172</v>
      </c>
      <c r="C265" s="89" t="s">
        <v>140</v>
      </c>
      <c r="D265" s="104" t="s">
        <v>1504</v>
      </c>
      <c r="E265" s="104"/>
      <c r="F265" s="104" t="s">
        <v>1505</v>
      </c>
      <c r="G265" s="104" t="s">
        <v>1506</v>
      </c>
      <c r="H265" s="12"/>
      <c r="I265" s="9"/>
      <c r="J265" s="9" t="s">
        <v>67</v>
      </c>
      <c r="K265" s="14"/>
      <c r="L265" s="14"/>
      <c r="M265" s="12">
        <v>36</v>
      </c>
      <c r="N265" s="9"/>
      <c r="O265" s="9"/>
      <c r="P265" s="9"/>
      <c r="Q265" s="38">
        <f t="shared" si="32"/>
        <v>36</v>
      </c>
      <c r="R265" s="12"/>
      <c r="S265" s="42"/>
      <c r="T265" s="15"/>
      <c r="U265" s="44"/>
      <c r="V265" s="15"/>
      <c r="W265" s="44"/>
      <c r="X265" s="15">
        <f t="shared" si="33"/>
        <v>0</v>
      </c>
      <c r="Y265" s="15"/>
      <c r="Z265" s="44"/>
      <c r="AA265" s="15"/>
      <c r="AB265" s="44"/>
      <c r="AC265" s="15"/>
      <c r="AD265" s="44"/>
      <c r="AE265" s="15"/>
      <c r="AF265" s="44"/>
      <c r="AG265" s="15">
        <f t="shared" si="34"/>
        <v>0</v>
      </c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/>
      <c r="BA265" s="42"/>
      <c r="BB265" s="15">
        <f t="shared" si="30"/>
        <v>0</v>
      </c>
      <c r="BC265" s="15"/>
      <c r="BD265" s="44"/>
      <c r="BE265" s="15"/>
      <c r="BF265" s="44"/>
      <c r="BG265" s="15">
        <f t="shared" si="31"/>
        <v>0</v>
      </c>
    </row>
    <row r="266" spans="1:59" s="8" customFormat="1" ht="22.5" customHeight="1">
      <c r="A266" s="9"/>
      <c r="B266" s="16" t="s">
        <v>172</v>
      </c>
      <c r="C266" s="89" t="s">
        <v>140</v>
      </c>
      <c r="D266" s="104" t="s">
        <v>427</v>
      </c>
      <c r="E266" s="104"/>
      <c r="F266" s="104" t="s">
        <v>1507</v>
      </c>
      <c r="G266" s="104" t="s">
        <v>1508</v>
      </c>
      <c r="H266" s="12"/>
      <c r="I266" s="9"/>
      <c r="J266" s="9" t="s">
        <v>67</v>
      </c>
      <c r="K266" s="14"/>
      <c r="L266" s="14"/>
      <c r="M266" s="12">
        <v>0</v>
      </c>
      <c r="N266" s="9"/>
      <c r="O266" s="9"/>
      <c r="P266" s="9"/>
      <c r="Q266" s="38">
        <f t="shared" si="32"/>
        <v>0</v>
      </c>
      <c r="R266" s="12"/>
      <c r="S266" s="42"/>
      <c r="T266" s="15"/>
      <c r="U266" s="44"/>
      <c r="V266" s="15"/>
      <c r="W266" s="44"/>
      <c r="X266" s="15">
        <f t="shared" si="33"/>
        <v>0</v>
      </c>
      <c r="Y266" s="15"/>
      <c r="Z266" s="44"/>
      <c r="AA266" s="15"/>
      <c r="AB266" s="44"/>
      <c r="AC266" s="15"/>
      <c r="AD266" s="44"/>
      <c r="AE266" s="15"/>
      <c r="AF266" s="44"/>
      <c r="AG266" s="15">
        <f t="shared" si="34"/>
        <v>0</v>
      </c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/>
      <c r="BA266" s="42"/>
      <c r="BB266" s="15">
        <f t="shared" si="30"/>
        <v>0</v>
      </c>
      <c r="BC266" s="15"/>
      <c r="BD266" s="44"/>
      <c r="BE266" s="15"/>
      <c r="BF266" s="44"/>
      <c r="BG266" s="15">
        <f t="shared" si="31"/>
        <v>0</v>
      </c>
    </row>
    <row r="267" spans="1:59" s="8" customFormat="1" ht="22.5" customHeight="1">
      <c r="A267" s="9"/>
      <c r="B267" s="16" t="s">
        <v>187</v>
      </c>
      <c r="C267" s="89" t="s">
        <v>140</v>
      </c>
      <c r="D267" s="104" t="s">
        <v>1509</v>
      </c>
      <c r="E267" s="104" t="s">
        <v>429</v>
      </c>
      <c r="F267" s="104" t="s">
        <v>1510</v>
      </c>
      <c r="G267" s="104" t="s">
        <v>1511</v>
      </c>
      <c r="H267" s="12"/>
      <c r="I267" s="9"/>
      <c r="J267" s="9" t="s">
        <v>430</v>
      </c>
      <c r="K267" s="14"/>
      <c r="L267" s="14"/>
      <c r="M267" s="12">
        <v>369</v>
      </c>
      <c r="N267" s="9"/>
      <c r="O267" s="9"/>
      <c r="P267" s="9"/>
      <c r="Q267" s="38">
        <f t="shared" si="32"/>
        <v>369</v>
      </c>
      <c r="R267" s="12"/>
      <c r="S267" s="42"/>
      <c r="T267" s="15"/>
      <c r="U267" s="44"/>
      <c r="V267" s="15"/>
      <c r="W267" s="44"/>
      <c r="X267" s="15">
        <f t="shared" si="33"/>
        <v>0</v>
      </c>
      <c r="Y267" s="15"/>
      <c r="Z267" s="44"/>
      <c r="AA267" s="15"/>
      <c r="AB267" s="44"/>
      <c r="AC267" s="15"/>
      <c r="AD267" s="44"/>
      <c r="AE267" s="15"/>
      <c r="AF267" s="44"/>
      <c r="AG267" s="15">
        <f t="shared" si="34"/>
        <v>0</v>
      </c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/>
      <c r="BA267" s="42"/>
      <c r="BB267" s="15">
        <f t="shared" si="30"/>
        <v>0</v>
      </c>
      <c r="BC267" s="15"/>
      <c r="BD267" s="44"/>
      <c r="BE267" s="15"/>
      <c r="BF267" s="44"/>
      <c r="BG267" s="15">
        <f t="shared" si="31"/>
        <v>0</v>
      </c>
    </row>
    <row r="268" spans="1:59" s="8" customFormat="1" ht="22.5" customHeight="1">
      <c r="A268" s="9"/>
      <c r="B268" s="16" t="s">
        <v>187</v>
      </c>
      <c r="C268" s="89" t="s">
        <v>140</v>
      </c>
      <c r="D268" s="104" t="s">
        <v>1512</v>
      </c>
      <c r="E268" s="104" t="s">
        <v>432</v>
      </c>
      <c r="F268" s="104" t="s">
        <v>1513</v>
      </c>
      <c r="G268" s="104" t="s">
        <v>1514</v>
      </c>
      <c r="H268" s="12"/>
      <c r="I268" s="9"/>
      <c r="J268" s="9" t="s">
        <v>67</v>
      </c>
      <c r="K268" s="14"/>
      <c r="L268" s="14"/>
      <c r="M268" s="12">
        <v>0</v>
      </c>
      <c r="N268" s="9"/>
      <c r="O268" s="9"/>
      <c r="P268" s="9"/>
      <c r="Q268" s="38">
        <f t="shared" si="32"/>
        <v>0</v>
      </c>
      <c r="R268" s="12"/>
      <c r="S268" s="42"/>
      <c r="T268" s="15"/>
      <c r="U268" s="44"/>
      <c r="V268" s="15"/>
      <c r="W268" s="44"/>
      <c r="X268" s="15">
        <f t="shared" si="33"/>
        <v>0</v>
      </c>
      <c r="Y268" s="15"/>
      <c r="Z268" s="44"/>
      <c r="AA268" s="15"/>
      <c r="AB268" s="44"/>
      <c r="AC268" s="15"/>
      <c r="AD268" s="44"/>
      <c r="AE268" s="15"/>
      <c r="AF268" s="44"/>
      <c r="AG268" s="15">
        <f t="shared" si="34"/>
        <v>0</v>
      </c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/>
      <c r="BA268" s="42"/>
      <c r="BB268" s="15">
        <f t="shared" si="30"/>
        <v>0</v>
      </c>
      <c r="BC268" s="15"/>
      <c r="BD268" s="44"/>
      <c r="BE268" s="15"/>
      <c r="BF268" s="44"/>
      <c r="BG268" s="15">
        <f t="shared" si="31"/>
        <v>0</v>
      </c>
    </row>
    <row r="269" spans="1:59" s="8" customFormat="1" ht="22.5" customHeight="1">
      <c r="A269" s="9"/>
      <c r="B269" s="16" t="s">
        <v>120</v>
      </c>
      <c r="C269" s="89" t="s">
        <v>140</v>
      </c>
      <c r="D269" s="104" t="s">
        <v>433</v>
      </c>
      <c r="E269" s="104" t="s">
        <v>434</v>
      </c>
      <c r="F269" s="104" t="s">
        <v>1515</v>
      </c>
      <c r="G269" s="104" t="s">
        <v>1516</v>
      </c>
      <c r="H269" s="12"/>
      <c r="I269" s="9"/>
      <c r="J269" s="9" t="s">
        <v>67</v>
      </c>
      <c r="K269" s="14"/>
      <c r="L269" s="14"/>
      <c r="M269" s="12">
        <v>105</v>
      </c>
      <c r="N269" s="9"/>
      <c r="O269" s="9"/>
      <c r="P269" s="9"/>
      <c r="Q269" s="38">
        <f t="shared" si="32"/>
        <v>105</v>
      </c>
      <c r="R269" s="12"/>
      <c r="S269" s="42"/>
      <c r="T269" s="15"/>
      <c r="U269" s="44"/>
      <c r="V269" s="15"/>
      <c r="W269" s="44"/>
      <c r="X269" s="15">
        <f t="shared" si="33"/>
        <v>0</v>
      </c>
      <c r="Y269" s="15"/>
      <c r="Z269" s="44"/>
      <c r="AA269" s="15"/>
      <c r="AB269" s="44"/>
      <c r="AC269" s="15"/>
      <c r="AD269" s="44"/>
      <c r="AE269" s="15"/>
      <c r="AF269" s="44"/>
      <c r="AG269" s="15">
        <f t="shared" si="34"/>
        <v>0</v>
      </c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/>
      <c r="BA269" s="42"/>
      <c r="BB269" s="15">
        <f t="shared" ref="BB269:BB300" si="35">AH269+AJ269+AL269+AN269+AP269+AR269+AT269+AV269+AX269+AZ269</f>
        <v>0</v>
      </c>
      <c r="BC269" s="15"/>
      <c r="BD269" s="44"/>
      <c r="BE269" s="15"/>
      <c r="BF269" s="44"/>
      <c r="BG269" s="15">
        <f t="shared" ref="BG269:BG300" si="36">(BC269+BE269)</f>
        <v>0</v>
      </c>
    </row>
    <row r="270" spans="1:59" s="8" customFormat="1" ht="22.5" customHeight="1">
      <c r="A270" s="9"/>
      <c r="B270" s="16" t="s">
        <v>120</v>
      </c>
      <c r="C270" s="89" t="s">
        <v>140</v>
      </c>
      <c r="D270" s="104" t="s">
        <v>435</v>
      </c>
      <c r="E270" s="104"/>
      <c r="F270" s="104" t="s">
        <v>1517</v>
      </c>
      <c r="G270" s="104" t="s">
        <v>1518</v>
      </c>
      <c r="H270" s="12"/>
      <c r="I270" s="9"/>
      <c r="J270" s="9" t="s">
        <v>67</v>
      </c>
      <c r="K270" s="14"/>
      <c r="L270" s="14"/>
      <c r="M270" s="12">
        <v>22</v>
      </c>
      <c r="N270" s="9"/>
      <c r="O270" s="9"/>
      <c r="P270" s="9"/>
      <c r="Q270" s="38">
        <f t="shared" si="32"/>
        <v>22</v>
      </c>
      <c r="R270" s="12"/>
      <c r="S270" s="42"/>
      <c r="T270" s="15"/>
      <c r="U270" s="44"/>
      <c r="V270" s="15"/>
      <c r="W270" s="44"/>
      <c r="X270" s="15">
        <f t="shared" si="33"/>
        <v>0</v>
      </c>
      <c r="Y270" s="15"/>
      <c r="Z270" s="44"/>
      <c r="AA270" s="15"/>
      <c r="AB270" s="44"/>
      <c r="AC270" s="15"/>
      <c r="AD270" s="44"/>
      <c r="AE270" s="15"/>
      <c r="AF270" s="44"/>
      <c r="AG270" s="15">
        <f t="shared" si="34"/>
        <v>0</v>
      </c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/>
      <c r="BA270" s="42"/>
      <c r="BB270" s="15">
        <f t="shared" si="35"/>
        <v>0</v>
      </c>
      <c r="BC270" s="15"/>
      <c r="BD270" s="44"/>
      <c r="BE270" s="15"/>
      <c r="BF270" s="44"/>
      <c r="BG270" s="15">
        <f t="shared" si="36"/>
        <v>0</v>
      </c>
    </row>
    <row r="271" spans="1:59" s="8" customFormat="1" ht="22.5" customHeight="1">
      <c r="A271" s="9"/>
      <c r="B271" s="16" t="s">
        <v>120</v>
      </c>
      <c r="C271" s="89" t="s">
        <v>140</v>
      </c>
      <c r="D271" s="104" t="s">
        <v>436</v>
      </c>
      <c r="E271" s="104"/>
      <c r="F271" s="104" t="s">
        <v>1519</v>
      </c>
      <c r="G271" s="104" t="s">
        <v>1520</v>
      </c>
      <c r="H271" s="12"/>
      <c r="I271" s="9"/>
      <c r="J271" s="9" t="s">
        <v>67</v>
      </c>
      <c r="K271" s="14"/>
      <c r="L271" s="14"/>
      <c r="M271" s="12">
        <v>97</v>
      </c>
      <c r="N271" s="9"/>
      <c r="O271" s="9"/>
      <c r="P271" s="9"/>
      <c r="Q271" s="38">
        <f t="shared" si="32"/>
        <v>97</v>
      </c>
      <c r="R271" s="12"/>
      <c r="S271" s="42"/>
      <c r="T271" s="15"/>
      <c r="U271" s="44"/>
      <c r="V271" s="15"/>
      <c r="W271" s="44"/>
      <c r="X271" s="15">
        <f t="shared" si="33"/>
        <v>0</v>
      </c>
      <c r="Y271" s="15"/>
      <c r="Z271" s="44"/>
      <c r="AA271" s="15"/>
      <c r="AB271" s="44"/>
      <c r="AC271" s="15"/>
      <c r="AD271" s="44"/>
      <c r="AE271" s="15"/>
      <c r="AF271" s="44"/>
      <c r="AG271" s="15">
        <f t="shared" si="34"/>
        <v>0</v>
      </c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/>
      <c r="BA271" s="42"/>
      <c r="BB271" s="15">
        <f t="shared" si="35"/>
        <v>0</v>
      </c>
      <c r="BC271" s="15"/>
      <c r="BD271" s="44"/>
      <c r="BE271" s="15"/>
      <c r="BF271" s="44"/>
      <c r="BG271" s="15">
        <f t="shared" si="36"/>
        <v>0</v>
      </c>
    </row>
    <row r="272" spans="1:59" s="8" customFormat="1" ht="22.5" customHeight="1">
      <c r="A272" s="9"/>
      <c r="B272" s="16" t="s">
        <v>120</v>
      </c>
      <c r="C272" s="89" t="s">
        <v>140</v>
      </c>
      <c r="D272" s="104" t="s">
        <v>437</v>
      </c>
      <c r="E272" s="104"/>
      <c r="F272" s="104" t="s">
        <v>1521</v>
      </c>
      <c r="G272" s="104" t="s">
        <v>1522</v>
      </c>
      <c r="H272" s="12"/>
      <c r="I272" s="9"/>
      <c r="J272" s="9" t="s">
        <v>67</v>
      </c>
      <c r="K272" s="14"/>
      <c r="L272" s="14"/>
      <c r="M272" s="12">
        <v>56</v>
      </c>
      <c r="N272" s="9"/>
      <c r="O272" s="9"/>
      <c r="P272" s="9"/>
      <c r="Q272" s="38">
        <f t="shared" si="32"/>
        <v>56</v>
      </c>
      <c r="R272" s="12"/>
      <c r="S272" s="42"/>
      <c r="T272" s="15"/>
      <c r="U272" s="44"/>
      <c r="V272" s="15"/>
      <c r="W272" s="44"/>
      <c r="X272" s="15">
        <f t="shared" si="33"/>
        <v>0</v>
      </c>
      <c r="Y272" s="15"/>
      <c r="Z272" s="44"/>
      <c r="AA272" s="15"/>
      <c r="AB272" s="44"/>
      <c r="AC272" s="15"/>
      <c r="AD272" s="44"/>
      <c r="AE272" s="15"/>
      <c r="AF272" s="44"/>
      <c r="AG272" s="15">
        <f t="shared" si="34"/>
        <v>0</v>
      </c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/>
      <c r="BA272" s="42"/>
      <c r="BB272" s="15">
        <f t="shared" si="35"/>
        <v>0</v>
      </c>
      <c r="BC272" s="15"/>
      <c r="BD272" s="44"/>
      <c r="BE272" s="15"/>
      <c r="BF272" s="44"/>
      <c r="BG272" s="15">
        <f t="shared" si="36"/>
        <v>0</v>
      </c>
    </row>
    <row r="273" spans="1:59" s="8" customFormat="1" ht="22.5" customHeight="1">
      <c r="A273" s="9"/>
      <c r="B273" s="16" t="s">
        <v>120</v>
      </c>
      <c r="C273" s="89" t="s">
        <v>140</v>
      </c>
      <c r="D273" s="104" t="s">
        <v>438</v>
      </c>
      <c r="E273" s="104"/>
      <c r="F273" s="104" t="s">
        <v>1523</v>
      </c>
      <c r="G273" s="104" t="s">
        <v>1524</v>
      </c>
      <c r="H273" s="12"/>
      <c r="I273" s="9"/>
      <c r="J273" s="9" t="s">
        <v>67</v>
      </c>
      <c r="K273" s="14"/>
      <c r="L273" s="14"/>
      <c r="M273" s="12"/>
      <c r="N273" s="9"/>
      <c r="O273" s="9"/>
      <c r="P273" s="9"/>
      <c r="Q273" s="38">
        <f t="shared" si="32"/>
        <v>0</v>
      </c>
      <c r="R273" s="12"/>
      <c r="S273" s="42"/>
      <c r="T273" s="15"/>
      <c r="U273" s="44"/>
      <c r="V273" s="15"/>
      <c r="W273" s="44"/>
      <c r="X273" s="15">
        <f t="shared" si="33"/>
        <v>0</v>
      </c>
      <c r="Y273" s="15"/>
      <c r="Z273" s="44"/>
      <c r="AA273" s="15"/>
      <c r="AB273" s="44"/>
      <c r="AC273" s="15"/>
      <c r="AD273" s="44"/>
      <c r="AE273" s="15"/>
      <c r="AF273" s="44"/>
      <c r="AG273" s="15">
        <f t="shared" si="34"/>
        <v>0</v>
      </c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/>
      <c r="BA273" s="42"/>
      <c r="BB273" s="15">
        <f t="shared" si="35"/>
        <v>0</v>
      </c>
      <c r="BC273" s="15"/>
      <c r="BD273" s="44"/>
      <c r="BE273" s="15"/>
      <c r="BF273" s="44"/>
      <c r="BG273" s="15">
        <f t="shared" si="36"/>
        <v>0</v>
      </c>
    </row>
    <row r="274" spans="1:59" s="8" customFormat="1" ht="22.5" customHeight="1">
      <c r="A274" s="9"/>
      <c r="B274" s="16" t="s">
        <v>120</v>
      </c>
      <c r="C274" s="89" t="s">
        <v>140</v>
      </c>
      <c r="D274" s="104" t="s">
        <v>439</v>
      </c>
      <c r="E274" s="104"/>
      <c r="F274" s="104" t="s">
        <v>1525</v>
      </c>
      <c r="G274" s="104" t="s">
        <v>1526</v>
      </c>
      <c r="H274" s="12"/>
      <c r="I274" s="9"/>
      <c r="J274" s="9" t="s">
        <v>67</v>
      </c>
      <c r="K274" s="14"/>
      <c r="L274" s="14"/>
      <c r="M274" s="12">
        <v>97</v>
      </c>
      <c r="N274" s="9"/>
      <c r="O274" s="9"/>
      <c r="P274" s="9"/>
      <c r="Q274" s="38">
        <f t="shared" si="32"/>
        <v>97</v>
      </c>
      <c r="R274" s="12"/>
      <c r="S274" s="42"/>
      <c r="T274" s="15"/>
      <c r="U274" s="44"/>
      <c r="V274" s="15"/>
      <c r="W274" s="44"/>
      <c r="X274" s="15">
        <f t="shared" si="33"/>
        <v>0</v>
      </c>
      <c r="Y274" s="15"/>
      <c r="Z274" s="44"/>
      <c r="AA274" s="15"/>
      <c r="AB274" s="44"/>
      <c r="AC274" s="15"/>
      <c r="AD274" s="44"/>
      <c r="AE274" s="15"/>
      <c r="AF274" s="44"/>
      <c r="AG274" s="15">
        <f t="shared" si="34"/>
        <v>0</v>
      </c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/>
      <c r="BA274" s="42"/>
      <c r="BB274" s="15">
        <f t="shared" si="35"/>
        <v>0</v>
      </c>
      <c r="BC274" s="15"/>
      <c r="BD274" s="44"/>
      <c r="BE274" s="15"/>
      <c r="BF274" s="44"/>
      <c r="BG274" s="15">
        <f t="shared" si="36"/>
        <v>0</v>
      </c>
    </row>
    <row r="275" spans="1:59" s="8" customFormat="1" ht="22.5" customHeight="1">
      <c r="A275" s="9"/>
      <c r="B275" s="16" t="s">
        <v>120</v>
      </c>
      <c r="C275" s="89" t="s">
        <v>140</v>
      </c>
      <c r="D275" s="104" t="s">
        <v>440</v>
      </c>
      <c r="E275" s="104"/>
      <c r="F275" s="104" t="s">
        <v>1527</v>
      </c>
      <c r="G275" s="104" t="s">
        <v>1528</v>
      </c>
      <c r="H275" s="12"/>
      <c r="I275" s="9"/>
      <c r="J275" s="9" t="s">
        <v>67</v>
      </c>
      <c r="K275" s="14"/>
      <c r="L275" s="14"/>
      <c r="M275" s="12">
        <v>684</v>
      </c>
      <c r="N275" s="9"/>
      <c r="O275" s="9"/>
      <c r="P275" s="9"/>
      <c r="Q275" s="38">
        <f t="shared" si="32"/>
        <v>684</v>
      </c>
      <c r="R275" s="12"/>
      <c r="S275" s="42"/>
      <c r="T275" s="15"/>
      <c r="U275" s="44"/>
      <c r="V275" s="15"/>
      <c r="W275" s="44"/>
      <c r="X275" s="15">
        <f t="shared" si="33"/>
        <v>0</v>
      </c>
      <c r="Y275" s="15"/>
      <c r="Z275" s="44"/>
      <c r="AA275" s="15"/>
      <c r="AB275" s="44"/>
      <c r="AC275" s="15"/>
      <c r="AD275" s="44"/>
      <c r="AE275" s="15"/>
      <c r="AF275" s="44"/>
      <c r="AG275" s="15">
        <f t="shared" si="34"/>
        <v>0</v>
      </c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/>
      <c r="BA275" s="42"/>
      <c r="BB275" s="15">
        <f t="shared" si="35"/>
        <v>0</v>
      </c>
      <c r="BC275" s="15"/>
      <c r="BD275" s="44"/>
      <c r="BE275" s="15"/>
      <c r="BF275" s="44"/>
      <c r="BG275" s="15">
        <f t="shared" si="36"/>
        <v>0</v>
      </c>
    </row>
    <row r="276" spans="1:59" s="8" customFormat="1" ht="22.5" customHeight="1">
      <c r="A276" s="9"/>
      <c r="B276" s="16" t="s">
        <v>204</v>
      </c>
      <c r="C276" s="89" t="s">
        <v>140</v>
      </c>
      <c r="D276" s="104" t="s">
        <v>441</v>
      </c>
      <c r="E276" s="104" t="s">
        <v>206</v>
      </c>
      <c r="F276" s="104" t="s">
        <v>1529</v>
      </c>
      <c r="G276" s="104" t="s">
        <v>1530</v>
      </c>
      <c r="H276" s="12"/>
      <c r="I276" s="9"/>
      <c r="J276" s="9" t="s">
        <v>207</v>
      </c>
      <c r="K276" s="14"/>
      <c r="L276" s="14"/>
      <c r="M276" s="12"/>
      <c r="N276" s="9"/>
      <c r="O276" s="9"/>
      <c r="P276" s="9"/>
      <c r="Q276" s="38">
        <f t="shared" si="32"/>
        <v>0</v>
      </c>
      <c r="R276" s="12"/>
      <c r="S276" s="42"/>
      <c r="T276" s="15"/>
      <c r="U276" s="44"/>
      <c r="V276" s="15"/>
      <c r="W276" s="44"/>
      <c r="X276" s="15">
        <f t="shared" si="33"/>
        <v>0</v>
      </c>
      <c r="Y276" s="15"/>
      <c r="Z276" s="44"/>
      <c r="AA276" s="15"/>
      <c r="AB276" s="44"/>
      <c r="AC276" s="15"/>
      <c r="AD276" s="44"/>
      <c r="AE276" s="15"/>
      <c r="AF276" s="44"/>
      <c r="AG276" s="15">
        <f t="shared" si="34"/>
        <v>0</v>
      </c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/>
      <c r="BA276" s="42"/>
      <c r="BB276" s="15">
        <f t="shared" si="35"/>
        <v>0</v>
      </c>
      <c r="BC276" s="15"/>
      <c r="BD276" s="44"/>
      <c r="BE276" s="15"/>
      <c r="BF276" s="44"/>
      <c r="BG276" s="15">
        <f t="shared" si="36"/>
        <v>0</v>
      </c>
    </row>
    <row r="277" spans="1:59" s="8" customFormat="1" ht="22.5" customHeight="1">
      <c r="A277" s="9"/>
      <c r="B277" s="16" t="s">
        <v>204</v>
      </c>
      <c r="C277" s="89" t="s">
        <v>140</v>
      </c>
      <c r="D277" s="104" t="s">
        <v>442</v>
      </c>
      <c r="E277" s="104" t="s">
        <v>206</v>
      </c>
      <c r="F277" s="104" t="s">
        <v>1531</v>
      </c>
      <c r="G277" s="104" t="s">
        <v>1532</v>
      </c>
      <c r="H277" s="12"/>
      <c r="I277" s="9"/>
      <c r="J277" s="9" t="s">
        <v>207</v>
      </c>
      <c r="K277" s="14"/>
      <c r="L277" s="14"/>
      <c r="M277" s="12"/>
      <c r="N277" s="9"/>
      <c r="O277" s="9"/>
      <c r="P277" s="9"/>
      <c r="Q277" s="38">
        <f t="shared" si="32"/>
        <v>0</v>
      </c>
      <c r="R277" s="12"/>
      <c r="S277" s="42"/>
      <c r="T277" s="15"/>
      <c r="U277" s="44"/>
      <c r="V277" s="15"/>
      <c r="W277" s="44"/>
      <c r="X277" s="15">
        <f t="shared" si="33"/>
        <v>0</v>
      </c>
      <c r="Y277" s="15"/>
      <c r="Z277" s="44"/>
      <c r="AA277" s="15"/>
      <c r="AB277" s="44"/>
      <c r="AC277" s="15"/>
      <c r="AD277" s="44"/>
      <c r="AE277" s="15"/>
      <c r="AF277" s="44"/>
      <c r="AG277" s="15">
        <f t="shared" si="34"/>
        <v>0</v>
      </c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/>
      <c r="BA277" s="42"/>
      <c r="BB277" s="15">
        <f t="shared" si="35"/>
        <v>0</v>
      </c>
      <c r="BC277" s="15"/>
      <c r="BD277" s="44"/>
      <c r="BE277" s="15"/>
      <c r="BF277" s="44"/>
      <c r="BG277" s="15">
        <f t="shared" si="36"/>
        <v>0</v>
      </c>
    </row>
    <row r="278" spans="1:59" s="8" customFormat="1" ht="22.5" customHeight="1">
      <c r="A278" s="9"/>
      <c r="B278" s="16" t="s">
        <v>204</v>
      </c>
      <c r="C278" s="89" t="s">
        <v>140</v>
      </c>
      <c r="D278" s="104" t="s">
        <v>205</v>
      </c>
      <c r="E278" s="104" t="s">
        <v>206</v>
      </c>
      <c r="F278" s="104" t="s">
        <v>1533</v>
      </c>
      <c r="G278" s="104" t="s">
        <v>1534</v>
      </c>
      <c r="H278" s="12"/>
      <c r="I278" s="9"/>
      <c r="J278" s="9" t="s">
        <v>207</v>
      </c>
      <c r="K278" s="14"/>
      <c r="L278" s="14"/>
      <c r="M278" s="12">
        <v>1888</v>
      </c>
      <c r="N278" s="9"/>
      <c r="O278" s="9"/>
      <c r="P278" s="9"/>
      <c r="Q278" s="38">
        <f t="shared" si="32"/>
        <v>1888</v>
      </c>
      <c r="R278" s="12"/>
      <c r="S278" s="42"/>
      <c r="T278" s="15"/>
      <c r="U278" s="44"/>
      <c r="V278" s="15"/>
      <c r="W278" s="44"/>
      <c r="X278" s="15">
        <f t="shared" si="33"/>
        <v>0</v>
      </c>
      <c r="Y278" s="15"/>
      <c r="Z278" s="44"/>
      <c r="AA278" s="15"/>
      <c r="AB278" s="44"/>
      <c r="AC278" s="15"/>
      <c r="AD278" s="44"/>
      <c r="AE278" s="15"/>
      <c r="AF278" s="44"/>
      <c r="AG278" s="15">
        <f t="shared" si="34"/>
        <v>0</v>
      </c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/>
      <c r="BA278" s="42"/>
      <c r="BB278" s="15">
        <f t="shared" si="35"/>
        <v>0</v>
      </c>
      <c r="BC278" s="15"/>
      <c r="BD278" s="44"/>
      <c r="BE278" s="15"/>
      <c r="BF278" s="44"/>
      <c r="BG278" s="15">
        <f t="shared" si="36"/>
        <v>0</v>
      </c>
    </row>
    <row r="279" spans="1:59" s="8" customFormat="1" ht="22.5" customHeight="1">
      <c r="A279" s="9"/>
      <c r="B279" s="16" t="s">
        <v>204</v>
      </c>
      <c r="C279" s="89" t="s">
        <v>140</v>
      </c>
      <c r="D279" s="104" t="s">
        <v>278</v>
      </c>
      <c r="E279" s="104" t="s">
        <v>206</v>
      </c>
      <c r="F279" s="104" t="s">
        <v>1535</v>
      </c>
      <c r="G279" s="104" t="s">
        <v>1536</v>
      </c>
      <c r="H279" s="12"/>
      <c r="I279" s="9"/>
      <c r="J279" s="9" t="s">
        <v>207</v>
      </c>
      <c r="K279" s="14"/>
      <c r="L279" s="14"/>
      <c r="M279" s="12">
        <v>99</v>
      </c>
      <c r="N279" s="9"/>
      <c r="O279" s="9"/>
      <c r="P279" s="9"/>
      <c r="Q279" s="38">
        <f t="shared" si="32"/>
        <v>99</v>
      </c>
      <c r="R279" s="12"/>
      <c r="S279" s="42"/>
      <c r="T279" s="15"/>
      <c r="U279" s="44"/>
      <c r="V279" s="15"/>
      <c r="W279" s="44"/>
      <c r="X279" s="15">
        <f t="shared" si="33"/>
        <v>0</v>
      </c>
      <c r="Y279" s="15"/>
      <c r="Z279" s="44"/>
      <c r="AA279" s="15"/>
      <c r="AB279" s="44"/>
      <c r="AC279" s="15"/>
      <c r="AD279" s="44"/>
      <c r="AE279" s="15"/>
      <c r="AF279" s="44"/>
      <c r="AG279" s="15">
        <f t="shared" si="34"/>
        <v>0</v>
      </c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/>
      <c r="BA279" s="42"/>
      <c r="BB279" s="15">
        <f t="shared" si="35"/>
        <v>0</v>
      </c>
      <c r="BC279" s="15"/>
      <c r="BD279" s="44"/>
      <c r="BE279" s="15"/>
      <c r="BF279" s="44"/>
      <c r="BG279" s="15">
        <f t="shared" si="36"/>
        <v>0</v>
      </c>
    </row>
    <row r="280" spans="1:59" s="8" customFormat="1" ht="22.5" customHeight="1">
      <c r="A280" s="9"/>
      <c r="B280" s="16" t="s">
        <v>204</v>
      </c>
      <c r="C280" s="89" t="s">
        <v>140</v>
      </c>
      <c r="D280" s="104" t="s">
        <v>280</v>
      </c>
      <c r="E280" s="104" t="s">
        <v>206</v>
      </c>
      <c r="F280" s="104" t="s">
        <v>1537</v>
      </c>
      <c r="G280" s="104" t="s">
        <v>1538</v>
      </c>
      <c r="H280" s="12"/>
      <c r="I280" s="9"/>
      <c r="J280" s="9" t="s">
        <v>207</v>
      </c>
      <c r="K280" s="14"/>
      <c r="L280" s="14"/>
      <c r="M280" s="12">
        <v>149</v>
      </c>
      <c r="N280" s="9"/>
      <c r="O280" s="9"/>
      <c r="P280" s="9"/>
      <c r="Q280" s="38">
        <f t="shared" si="32"/>
        <v>149</v>
      </c>
      <c r="R280" s="12"/>
      <c r="S280" s="42"/>
      <c r="T280" s="15"/>
      <c r="U280" s="44"/>
      <c r="V280" s="15"/>
      <c r="W280" s="44"/>
      <c r="X280" s="15">
        <f t="shared" si="33"/>
        <v>0</v>
      </c>
      <c r="Y280" s="15"/>
      <c r="Z280" s="44"/>
      <c r="AA280" s="15"/>
      <c r="AB280" s="44"/>
      <c r="AC280" s="15"/>
      <c r="AD280" s="44"/>
      <c r="AE280" s="15"/>
      <c r="AF280" s="44"/>
      <c r="AG280" s="15">
        <f t="shared" si="34"/>
        <v>0</v>
      </c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/>
      <c r="BA280" s="42"/>
      <c r="BB280" s="15">
        <f t="shared" si="35"/>
        <v>0</v>
      </c>
      <c r="BC280" s="15"/>
      <c r="BD280" s="44"/>
      <c r="BE280" s="15"/>
      <c r="BF280" s="44"/>
      <c r="BG280" s="15">
        <f t="shared" si="36"/>
        <v>0</v>
      </c>
    </row>
    <row r="281" spans="1:59" s="8" customFormat="1" ht="22.5" customHeight="1">
      <c r="A281" s="9"/>
      <c r="B281" s="16" t="s">
        <v>204</v>
      </c>
      <c r="C281" s="89" t="s">
        <v>140</v>
      </c>
      <c r="D281" s="104" t="s">
        <v>213</v>
      </c>
      <c r="E281" s="104" t="s">
        <v>206</v>
      </c>
      <c r="F281" s="104" t="s">
        <v>1539</v>
      </c>
      <c r="G281" s="104" t="s">
        <v>1540</v>
      </c>
      <c r="H281" s="12"/>
      <c r="I281" s="9"/>
      <c r="J281" s="9" t="s">
        <v>207</v>
      </c>
      <c r="K281" s="14"/>
      <c r="L281" s="14"/>
      <c r="M281" s="12">
        <v>17</v>
      </c>
      <c r="N281" s="9"/>
      <c r="O281" s="9"/>
      <c r="P281" s="9"/>
      <c r="Q281" s="38">
        <f t="shared" si="32"/>
        <v>17</v>
      </c>
      <c r="R281" s="12"/>
      <c r="S281" s="42"/>
      <c r="T281" s="15"/>
      <c r="U281" s="44"/>
      <c r="V281" s="15"/>
      <c r="W281" s="44"/>
      <c r="X281" s="15">
        <f t="shared" si="33"/>
        <v>0</v>
      </c>
      <c r="Y281" s="15"/>
      <c r="Z281" s="44"/>
      <c r="AA281" s="15"/>
      <c r="AB281" s="44"/>
      <c r="AC281" s="15"/>
      <c r="AD281" s="44"/>
      <c r="AE281" s="15"/>
      <c r="AF281" s="44"/>
      <c r="AG281" s="15">
        <f t="shared" si="34"/>
        <v>0</v>
      </c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/>
      <c r="BA281" s="42"/>
      <c r="BB281" s="15">
        <f t="shared" si="35"/>
        <v>0</v>
      </c>
      <c r="BC281" s="15"/>
      <c r="BD281" s="44"/>
      <c r="BE281" s="15"/>
      <c r="BF281" s="44"/>
      <c r="BG281" s="15">
        <f t="shared" si="36"/>
        <v>0</v>
      </c>
    </row>
    <row r="282" spans="1:59" s="8" customFormat="1" ht="22.5" customHeight="1">
      <c r="A282" s="9"/>
      <c r="B282" s="16" t="s">
        <v>204</v>
      </c>
      <c r="C282" s="89" t="s">
        <v>140</v>
      </c>
      <c r="D282" s="104" t="s">
        <v>445</v>
      </c>
      <c r="E282" s="104" t="s">
        <v>206</v>
      </c>
      <c r="F282" s="104" t="s">
        <v>1541</v>
      </c>
      <c r="G282" s="104" t="s">
        <v>1542</v>
      </c>
      <c r="H282" s="12"/>
      <c r="I282" s="9"/>
      <c r="J282" s="9" t="s">
        <v>207</v>
      </c>
      <c r="K282" s="14"/>
      <c r="L282" s="14"/>
      <c r="M282" s="12">
        <v>0</v>
      </c>
      <c r="N282" s="9"/>
      <c r="O282" s="9"/>
      <c r="P282" s="9"/>
      <c r="Q282" s="38">
        <f t="shared" si="32"/>
        <v>0</v>
      </c>
      <c r="R282" s="12"/>
      <c r="S282" s="42"/>
      <c r="T282" s="15"/>
      <c r="U282" s="44"/>
      <c r="V282" s="15"/>
      <c r="W282" s="44"/>
      <c r="X282" s="15">
        <f t="shared" si="33"/>
        <v>0</v>
      </c>
      <c r="Y282" s="15"/>
      <c r="Z282" s="44"/>
      <c r="AA282" s="15"/>
      <c r="AB282" s="44"/>
      <c r="AC282" s="15"/>
      <c r="AD282" s="44"/>
      <c r="AE282" s="15"/>
      <c r="AF282" s="44"/>
      <c r="AG282" s="15">
        <f t="shared" si="34"/>
        <v>0</v>
      </c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/>
      <c r="BA282" s="42"/>
      <c r="BB282" s="15">
        <f t="shared" si="35"/>
        <v>0</v>
      </c>
      <c r="BC282" s="15"/>
      <c r="BD282" s="44"/>
      <c r="BE282" s="15"/>
      <c r="BF282" s="44"/>
      <c r="BG282" s="15">
        <f t="shared" si="36"/>
        <v>0</v>
      </c>
    </row>
    <row r="283" spans="1:59" s="8" customFormat="1" ht="22.5" customHeight="1">
      <c r="A283" s="9"/>
      <c r="B283" s="16" t="s">
        <v>204</v>
      </c>
      <c r="C283" s="89" t="s">
        <v>140</v>
      </c>
      <c r="D283" s="104" t="s">
        <v>446</v>
      </c>
      <c r="E283" s="104" t="s">
        <v>237</v>
      </c>
      <c r="F283" s="104" t="s">
        <v>1543</v>
      </c>
      <c r="G283" s="104" t="s">
        <v>1544</v>
      </c>
      <c r="H283" s="12"/>
      <c r="I283" s="9"/>
      <c r="J283" s="9" t="s">
        <v>207</v>
      </c>
      <c r="K283" s="14"/>
      <c r="L283" s="14"/>
      <c r="M283" s="12">
        <v>2209</v>
      </c>
      <c r="N283" s="9"/>
      <c r="O283" s="9"/>
      <c r="P283" s="9"/>
      <c r="Q283" s="38">
        <f t="shared" si="32"/>
        <v>2209</v>
      </c>
      <c r="R283" s="12"/>
      <c r="S283" s="42"/>
      <c r="T283" s="15"/>
      <c r="U283" s="44"/>
      <c r="V283" s="15"/>
      <c r="W283" s="44"/>
      <c r="X283" s="15">
        <f t="shared" si="33"/>
        <v>0</v>
      </c>
      <c r="Y283" s="15"/>
      <c r="Z283" s="44"/>
      <c r="AA283" s="15"/>
      <c r="AB283" s="44"/>
      <c r="AC283" s="15"/>
      <c r="AD283" s="44"/>
      <c r="AE283" s="15"/>
      <c r="AF283" s="44"/>
      <c r="AG283" s="15">
        <f t="shared" si="34"/>
        <v>0</v>
      </c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/>
      <c r="BA283" s="42"/>
      <c r="BB283" s="15">
        <f t="shared" si="35"/>
        <v>0</v>
      </c>
      <c r="BC283" s="15"/>
      <c r="BD283" s="44"/>
      <c r="BE283" s="15"/>
      <c r="BF283" s="44"/>
      <c r="BG283" s="15">
        <f t="shared" si="36"/>
        <v>0</v>
      </c>
    </row>
    <row r="284" spans="1:59" s="8" customFormat="1" ht="22.5" customHeight="1">
      <c r="A284" s="9"/>
      <c r="B284" s="16" t="s">
        <v>204</v>
      </c>
      <c r="C284" s="89" t="s">
        <v>140</v>
      </c>
      <c r="D284" s="104" t="s">
        <v>447</v>
      </c>
      <c r="E284" s="104" t="s">
        <v>237</v>
      </c>
      <c r="F284" s="104" t="s">
        <v>1545</v>
      </c>
      <c r="G284" s="104" t="s">
        <v>1546</v>
      </c>
      <c r="H284" s="12"/>
      <c r="I284" s="9"/>
      <c r="J284" s="9" t="s">
        <v>207</v>
      </c>
      <c r="K284" s="14"/>
      <c r="L284" s="14"/>
      <c r="M284" s="12">
        <v>165</v>
      </c>
      <c r="N284" s="9"/>
      <c r="O284" s="9"/>
      <c r="P284" s="9"/>
      <c r="Q284" s="38">
        <f t="shared" si="32"/>
        <v>165</v>
      </c>
      <c r="R284" s="12"/>
      <c r="S284" s="42"/>
      <c r="T284" s="15"/>
      <c r="U284" s="44"/>
      <c r="V284" s="15"/>
      <c r="W284" s="44"/>
      <c r="X284" s="15">
        <f t="shared" si="33"/>
        <v>0</v>
      </c>
      <c r="Y284" s="15"/>
      <c r="Z284" s="44"/>
      <c r="AA284" s="15"/>
      <c r="AB284" s="44"/>
      <c r="AC284" s="15"/>
      <c r="AD284" s="44"/>
      <c r="AE284" s="15"/>
      <c r="AF284" s="44"/>
      <c r="AG284" s="15">
        <f t="shared" si="34"/>
        <v>0</v>
      </c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/>
      <c r="BA284" s="42"/>
      <c r="BB284" s="15">
        <f t="shared" si="35"/>
        <v>0</v>
      </c>
      <c r="BC284" s="15"/>
      <c r="BD284" s="44"/>
      <c r="BE284" s="15"/>
      <c r="BF284" s="44"/>
      <c r="BG284" s="15">
        <f t="shared" si="36"/>
        <v>0</v>
      </c>
    </row>
    <row r="285" spans="1:59" s="8" customFormat="1" ht="22.5" customHeight="1">
      <c r="A285" s="9"/>
      <c r="B285" s="16" t="s">
        <v>204</v>
      </c>
      <c r="C285" s="89" t="s">
        <v>140</v>
      </c>
      <c r="D285" s="104" t="s">
        <v>220</v>
      </c>
      <c r="E285" s="104" t="s">
        <v>215</v>
      </c>
      <c r="F285" s="104" t="s">
        <v>1547</v>
      </c>
      <c r="G285" s="104" t="s">
        <v>1548</v>
      </c>
      <c r="H285" s="12"/>
      <c r="I285" s="9"/>
      <c r="J285" s="9" t="s">
        <v>207</v>
      </c>
      <c r="K285" s="14"/>
      <c r="L285" s="14"/>
      <c r="M285" s="12">
        <v>415</v>
      </c>
      <c r="N285" s="9"/>
      <c r="O285" s="9"/>
      <c r="P285" s="9"/>
      <c r="Q285" s="38">
        <f t="shared" si="32"/>
        <v>415</v>
      </c>
      <c r="R285" s="12"/>
      <c r="S285" s="42"/>
      <c r="T285" s="15"/>
      <c r="U285" s="44"/>
      <c r="V285" s="15"/>
      <c r="W285" s="44"/>
      <c r="X285" s="15">
        <f t="shared" si="33"/>
        <v>0</v>
      </c>
      <c r="Y285" s="15"/>
      <c r="Z285" s="44"/>
      <c r="AA285" s="15"/>
      <c r="AB285" s="44"/>
      <c r="AC285" s="15"/>
      <c r="AD285" s="44"/>
      <c r="AE285" s="15"/>
      <c r="AF285" s="44"/>
      <c r="AG285" s="15">
        <f t="shared" si="34"/>
        <v>0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/>
      <c r="BA285" s="42"/>
      <c r="BB285" s="15">
        <f t="shared" si="35"/>
        <v>0</v>
      </c>
      <c r="BC285" s="15"/>
      <c r="BD285" s="44"/>
      <c r="BE285" s="15"/>
      <c r="BF285" s="44"/>
      <c r="BG285" s="15">
        <f t="shared" si="36"/>
        <v>0</v>
      </c>
    </row>
    <row r="286" spans="1:59" s="8" customFormat="1" ht="22.5" customHeight="1">
      <c r="A286" s="9"/>
      <c r="B286" s="16" t="s">
        <v>204</v>
      </c>
      <c r="C286" s="89" t="s">
        <v>140</v>
      </c>
      <c r="D286" s="104" t="s">
        <v>449</v>
      </c>
      <c r="E286" s="104" t="s">
        <v>206</v>
      </c>
      <c r="F286" s="104" t="s">
        <v>1549</v>
      </c>
      <c r="G286" s="104" t="s">
        <v>1550</v>
      </c>
      <c r="H286" s="12"/>
      <c r="I286" s="9"/>
      <c r="J286" s="9" t="s">
        <v>207</v>
      </c>
      <c r="K286" s="14"/>
      <c r="L286" s="14"/>
      <c r="M286" s="12">
        <v>2800</v>
      </c>
      <c r="N286" s="9"/>
      <c r="O286" s="9"/>
      <c r="P286" s="9"/>
      <c r="Q286" s="38">
        <f t="shared" si="32"/>
        <v>2800</v>
      </c>
      <c r="R286" s="12"/>
      <c r="S286" s="42"/>
      <c r="T286" s="15"/>
      <c r="U286" s="44"/>
      <c r="V286" s="15"/>
      <c r="W286" s="44"/>
      <c r="X286" s="15">
        <f t="shared" si="33"/>
        <v>0</v>
      </c>
      <c r="Y286" s="15"/>
      <c r="Z286" s="44"/>
      <c r="AA286" s="15"/>
      <c r="AB286" s="44"/>
      <c r="AC286" s="15"/>
      <c r="AD286" s="44"/>
      <c r="AE286" s="15"/>
      <c r="AF286" s="44"/>
      <c r="AG286" s="15">
        <f t="shared" si="34"/>
        <v>0</v>
      </c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/>
      <c r="BA286" s="42"/>
      <c r="BB286" s="15">
        <f t="shared" si="35"/>
        <v>0</v>
      </c>
      <c r="BC286" s="15"/>
      <c r="BD286" s="44"/>
      <c r="BE286" s="15"/>
      <c r="BF286" s="44"/>
      <c r="BG286" s="15">
        <f t="shared" si="36"/>
        <v>0</v>
      </c>
    </row>
    <row r="287" spans="1:59" s="8" customFormat="1" ht="22.5" customHeight="1">
      <c r="A287" s="9"/>
      <c r="B287" s="16" t="s">
        <v>204</v>
      </c>
      <c r="C287" s="89" t="s">
        <v>140</v>
      </c>
      <c r="D287" s="104" t="s">
        <v>450</v>
      </c>
      <c r="E287" s="104" t="s">
        <v>206</v>
      </c>
      <c r="F287" s="104" t="s">
        <v>1551</v>
      </c>
      <c r="G287" s="104" t="s">
        <v>1552</v>
      </c>
      <c r="H287" s="12"/>
      <c r="I287" s="9"/>
      <c r="J287" s="9" t="s">
        <v>207</v>
      </c>
      <c r="K287" s="14"/>
      <c r="L287" s="14"/>
      <c r="M287" s="12">
        <v>165</v>
      </c>
      <c r="N287" s="9"/>
      <c r="O287" s="9"/>
      <c r="P287" s="9"/>
      <c r="Q287" s="38">
        <f t="shared" si="32"/>
        <v>165</v>
      </c>
      <c r="R287" s="12"/>
      <c r="S287" s="42"/>
      <c r="T287" s="15"/>
      <c r="U287" s="44"/>
      <c r="V287" s="15"/>
      <c r="W287" s="44"/>
      <c r="X287" s="15">
        <f t="shared" si="33"/>
        <v>0</v>
      </c>
      <c r="Y287" s="15"/>
      <c r="Z287" s="44"/>
      <c r="AA287" s="15"/>
      <c r="AB287" s="44"/>
      <c r="AC287" s="15"/>
      <c r="AD287" s="44"/>
      <c r="AE287" s="15"/>
      <c r="AF287" s="44"/>
      <c r="AG287" s="15">
        <f t="shared" si="34"/>
        <v>0</v>
      </c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/>
      <c r="BA287" s="42"/>
      <c r="BB287" s="15">
        <f t="shared" si="35"/>
        <v>0</v>
      </c>
      <c r="BC287" s="15"/>
      <c r="BD287" s="44"/>
      <c r="BE287" s="15"/>
      <c r="BF287" s="44"/>
      <c r="BG287" s="15">
        <f t="shared" si="36"/>
        <v>0</v>
      </c>
    </row>
    <row r="288" spans="1:59" s="8" customFormat="1" ht="22.5" customHeight="1">
      <c r="A288" s="9"/>
      <c r="B288" s="16" t="s">
        <v>204</v>
      </c>
      <c r="C288" s="89" t="s">
        <v>140</v>
      </c>
      <c r="D288" s="104" t="s">
        <v>216</v>
      </c>
      <c r="E288" s="104" t="s">
        <v>217</v>
      </c>
      <c r="F288" s="104" t="s">
        <v>1397</v>
      </c>
      <c r="G288" s="104" t="s">
        <v>1398</v>
      </c>
      <c r="H288" s="12"/>
      <c r="I288" s="9"/>
      <c r="J288" s="9" t="s">
        <v>207</v>
      </c>
      <c r="K288" s="14"/>
      <c r="L288" s="14"/>
      <c r="M288" s="12">
        <v>329</v>
      </c>
      <c r="N288" s="9"/>
      <c r="O288" s="9"/>
      <c r="P288" s="9"/>
      <c r="Q288" s="38">
        <f t="shared" si="32"/>
        <v>329</v>
      </c>
      <c r="R288" s="12"/>
      <c r="S288" s="42"/>
      <c r="T288" s="15"/>
      <c r="U288" s="44"/>
      <c r="V288" s="15"/>
      <c r="W288" s="44"/>
      <c r="X288" s="15">
        <f t="shared" si="33"/>
        <v>0</v>
      </c>
      <c r="Y288" s="15"/>
      <c r="Z288" s="44"/>
      <c r="AA288" s="15"/>
      <c r="AB288" s="44"/>
      <c r="AC288" s="15"/>
      <c r="AD288" s="44"/>
      <c r="AE288" s="15"/>
      <c r="AF288" s="44"/>
      <c r="AG288" s="15">
        <f t="shared" si="34"/>
        <v>0</v>
      </c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/>
      <c r="BA288" s="42"/>
      <c r="BB288" s="15">
        <f t="shared" si="35"/>
        <v>0</v>
      </c>
      <c r="BC288" s="15"/>
      <c r="BD288" s="44"/>
      <c r="BE288" s="15"/>
      <c r="BF288" s="44"/>
      <c r="BG288" s="15">
        <f t="shared" si="36"/>
        <v>0</v>
      </c>
    </row>
    <row r="289" spans="1:59" s="8" customFormat="1" ht="22.5" customHeight="1">
      <c r="A289" s="9"/>
      <c r="B289" s="16" t="s">
        <v>204</v>
      </c>
      <c r="C289" s="89" t="s">
        <v>140</v>
      </c>
      <c r="D289" s="104" t="s">
        <v>451</v>
      </c>
      <c r="E289" s="104" t="s">
        <v>206</v>
      </c>
      <c r="F289" s="104" t="s">
        <v>1553</v>
      </c>
      <c r="G289" s="104" t="s">
        <v>1554</v>
      </c>
      <c r="H289" s="12"/>
      <c r="I289" s="9"/>
      <c r="J289" s="9" t="s">
        <v>207</v>
      </c>
      <c r="K289" s="14"/>
      <c r="L289" s="14"/>
      <c r="M289" s="12">
        <v>3031</v>
      </c>
      <c r="N289" s="9"/>
      <c r="O289" s="9"/>
      <c r="P289" s="9"/>
      <c r="Q289" s="38">
        <f t="shared" si="32"/>
        <v>3031</v>
      </c>
      <c r="R289" s="12"/>
      <c r="S289" s="42"/>
      <c r="T289" s="15"/>
      <c r="U289" s="44"/>
      <c r="V289" s="15"/>
      <c r="W289" s="44"/>
      <c r="X289" s="15">
        <f t="shared" si="33"/>
        <v>0</v>
      </c>
      <c r="Y289" s="15"/>
      <c r="Z289" s="44"/>
      <c r="AA289" s="15"/>
      <c r="AB289" s="44"/>
      <c r="AC289" s="15"/>
      <c r="AD289" s="44"/>
      <c r="AE289" s="15"/>
      <c r="AF289" s="44"/>
      <c r="AG289" s="15">
        <f t="shared" si="34"/>
        <v>0</v>
      </c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/>
      <c r="BA289" s="42"/>
      <c r="BB289" s="15">
        <f t="shared" si="35"/>
        <v>0</v>
      </c>
      <c r="BC289" s="15"/>
      <c r="BD289" s="44"/>
      <c r="BE289" s="15"/>
      <c r="BF289" s="44"/>
      <c r="BG289" s="15">
        <f t="shared" si="36"/>
        <v>0</v>
      </c>
    </row>
    <row r="290" spans="1:59" s="8" customFormat="1" ht="22.5" customHeight="1">
      <c r="A290" s="9"/>
      <c r="B290" s="16" t="s">
        <v>204</v>
      </c>
      <c r="C290" s="89" t="s">
        <v>140</v>
      </c>
      <c r="D290" s="104" t="s">
        <v>218</v>
      </c>
      <c r="E290" s="104" t="s">
        <v>217</v>
      </c>
      <c r="F290" s="104" t="s">
        <v>1555</v>
      </c>
      <c r="G290" s="104" t="s">
        <v>1556</v>
      </c>
      <c r="H290" s="12"/>
      <c r="I290" s="9"/>
      <c r="J290" s="9" t="s">
        <v>207</v>
      </c>
      <c r="K290" s="14"/>
      <c r="L290" s="14"/>
      <c r="M290" s="12">
        <v>518</v>
      </c>
      <c r="N290" s="9"/>
      <c r="O290" s="9"/>
      <c r="P290" s="9"/>
      <c r="Q290" s="38">
        <f t="shared" si="32"/>
        <v>518</v>
      </c>
      <c r="R290" s="12"/>
      <c r="S290" s="42"/>
      <c r="T290" s="15"/>
      <c r="U290" s="44"/>
      <c r="V290" s="15"/>
      <c r="W290" s="44"/>
      <c r="X290" s="15">
        <f t="shared" si="33"/>
        <v>0</v>
      </c>
      <c r="Y290" s="15"/>
      <c r="Z290" s="44"/>
      <c r="AA290" s="15"/>
      <c r="AB290" s="44"/>
      <c r="AC290" s="15"/>
      <c r="AD290" s="44"/>
      <c r="AE290" s="15"/>
      <c r="AF290" s="44"/>
      <c r="AG290" s="15">
        <f t="shared" si="34"/>
        <v>0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/>
      <c r="BA290" s="42"/>
      <c r="BB290" s="15">
        <f t="shared" si="35"/>
        <v>0</v>
      </c>
      <c r="BC290" s="15"/>
      <c r="BD290" s="44"/>
      <c r="BE290" s="15"/>
      <c r="BF290" s="44"/>
      <c r="BG290" s="15">
        <f t="shared" si="36"/>
        <v>0</v>
      </c>
    </row>
    <row r="291" spans="1:59" s="8" customFormat="1" ht="22.5" customHeight="1">
      <c r="A291" s="9"/>
      <c r="B291" s="16" t="s">
        <v>204</v>
      </c>
      <c r="C291" s="89" t="s">
        <v>140</v>
      </c>
      <c r="D291" s="104" t="s">
        <v>1557</v>
      </c>
      <c r="E291" s="104" t="s">
        <v>206</v>
      </c>
      <c r="F291" s="104" t="s">
        <v>1558</v>
      </c>
      <c r="G291" s="104" t="s">
        <v>1559</v>
      </c>
      <c r="H291" s="12"/>
      <c r="I291" s="9"/>
      <c r="J291" s="9" t="s">
        <v>207</v>
      </c>
      <c r="K291" s="14"/>
      <c r="L291" s="14"/>
      <c r="M291" s="12">
        <v>3032</v>
      </c>
      <c r="N291" s="9"/>
      <c r="O291" s="9"/>
      <c r="P291" s="9"/>
      <c r="Q291" s="38">
        <f t="shared" si="32"/>
        <v>3032</v>
      </c>
      <c r="R291" s="12"/>
      <c r="S291" s="42"/>
      <c r="T291" s="15"/>
      <c r="U291" s="44"/>
      <c r="V291" s="15"/>
      <c r="W291" s="44"/>
      <c r="X291" s="15">
        <f t="shared" si="33"/>
        <v>0</v>
      </c>
      <c r="Y291" s="15"/>
      <c r="Z291" s="44"/>
      <c r="AA291" s="15"/>
      <c r="AB291" s="44"/>
      <c r="AC291" s="15"/>
      <c r="AD291" s="44"/>
      <c r="AE291" s="15"/>
      <c r="AF291" s="44"/>
      <c r="AG291" s="15">
        <f t="shared" si="34"/>
        <v>0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/>
      <c r="BA291" s="42"/>
      <c r="BB291" s="15">
        <f t="shared" si="35"/>
        <v>0</v>
      </c>
      <c r="BC291" s="15"/>
      <c r="BD291" s="44"/>
      <c r="BE291" s="15"/>
      <c r="BF291" s="44"/>
      <c r="BG291" s="15">
        <f t="shared" si="36"/>
        <v>0</v>
      </c>
    </row>
    <row r="292" spans="1:59" s="8" customFormat="1" ht="22.5" customHeight="1">
      <c r="A292" s="9"/>
      <c r="B292" s="16" t="s">
        <v>204</v>
      </c>
      <c r="C292" s="89" t="s">
        <v>140</v>
      </c>
      <c r="D292" s="104" t="s">
        <v>454</v>
      </c>
      <c r="E292" s="104" t="s">
        <v>217</v>
      </c>
      <c r="F292" s="104" t="s">
        <v>1560</v>
      </c>
      <c r="G292" s="104" t="s">
        <v>1561</v>
      </c>
      <c r="H292" s="12"/>
      <c r="I292" s="9"/>
      <c r="J292" s="9" t="s">
        <v>207</v>
      </c>
      <c r="K292" s="14"/>
      <c r="L292" s="14"/>
      <c r="M292" s="12">
        <v>196</v>
      </c>
      <c r="N292" s="9"/>
      <c r="O292" s="9"/>
      <c r="P292" s="9"/>
      <c r="Q292" s="38">
        <f t="shared" si="32"/>
        <v>196</v>
      </c>
      <c r="R292" s="12"/>
      <c r="S292" s="42"/>
      <c r="T292" s="15"/>
      <c r="U292" s="44"/>
      <c r="V292" s="15"/>
      <c r="W292" s="44"/>
      <c r="X292" s="15">
        <f t="shared" si="33"/>
        <v>0</v>
      </c>
      <c r="Y292" s="15"/>
      <c r="Z292" s="44"/>
      <c r="AA292" s="15"/>
      <c r="AB292" s="44"/>
      <c r="AC292" s="15"/>
      <c r="AD292" s="44"/>
      <c r="AE292" s="15"/>
      <c r="AF292" s="44"/>
      <c r="AG292" s="15">
        <f t="shared" si="34"/>
        <v>0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/>
      <c r="BA292" s="42"/>
      <c r="BB292" s="15">
        <f t="shared" si="35"/>
        <v>0</v>
      </c>
      <c r="BC292" s="15"/>
      <c r="BD292" s="44"/>
      <c r="BE292" s="15"/>
      <c r="BF292" s="44"/>
      <c r="BG292" s="15">
        <f t="shared" si="36"/>
        <v>0</v>
      </c>
    </row>
    <row r="293" spans="1:59" s="8" customFormat="1" ht="22.5" customHeight="1">
      <c r="A293" s="9"/>
      <c r="B293" s="16" t="s">
        <v>204</v>
      </c>
      <c r="C293" s="89" t="s">
        <v>140</v>
      </c>
      <c r="D293" s="104" t="s">
        <v>455</v>
      </c>
      <c r="E293" s="104" t="s">
        <v>206</v>
      </c>
      <c r="F293" s="104" t="s">
        <v>2297</v>
      </c>
      <c r="G293" s="104" t="s">
        <v>1562</v>
      </c>
      <c r="H293" s="12"/>
      <c r="I293" s="9"/>
      <c r="J293" s="9" t="s">
        <v>207</v>
      </c>
      <c r="K293" s="14"/>
      <c r="L293" s="14"/>
      <c r="M293" s="12">
        <v>1556</v>
      </c>
      <c r="N293" s="9"/>
      <c r="O293" s="9"/>
      <c r="P293" s="9"/>
      <c r="Q293" s="38">
        <f t="shared" si="32"/>
        <v>1556</v>
      </c>
      <c r="R293" s="12"/>
      <c r="S293" s="42"/>
      <c r="T293" s="15"/>
      <c r="U293" s="44"/>
      <c r="V293" s="15"/>
      <c r="W293" s="44"/>
      <c r="X293" s="15">
        <f t="shared" si="33"/>
        <v>0</v>
      </c>
      <c r="Y293" s="15"/>
      <c r="Z293" s="44"/>
      <c r="AA293" s="15"/>
      <c r="AB293" s="44"/>
      <c r="AC293" s="15"/>
      <c r="AD293" s="44"/>
      <c r="AE293" s="15"/>
      <c r="AF293" s="44"/>
      <c r="AG293" s="15">
        <f t="shared" si="34"/>
        <v>0</v>
      </c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/>
      <c r="BA293" s="42"/>
      <c r="BB293" s="15">
        <f t="shared" si="35"/>
        <v>0</v>
      </c>
      <c r="BC293" s="15"/>
      <c r="BD293" s="44"/>
      <c r="BE293" s="15"/>
      <c r="BF293" s="44"/>
      <c r="BG293" s="15">
        <f t="shared" si="36"/>
        <v>0</v>
      </c>
    </row>
    <row r="294" spans="1:59" s="8" customFormat="1" ht="22.5" customHeight="1">
      <c r="A294" s="9"/>
      <c r="B294" s="16" t="s">
        <v>204</v>
      </c>
      <c r="C294" s="89" t="s">
        <v>140</v>
      </c>
      <c r="D294" s="104" t="s">
        <v>456</v>
      </c>
      <c r="E294" s="104" t="s">
        <v>217</v>
      </c>
      <c r="F294" s="104" t="s">
        <v>1563</v>
      </c>
      <c r="G294" s="104" t="s">
        <v>1564</v>
      </c>
      <c r="H294" s="12"/>
      <c r="I294" s="9"/>
      <c r="J294" s="9" t="s">
        <v>207</v>
      </c>
      <c r="K294" s="14"/>
      <c r="L294" s="14"/>
      <c r="M294" s="12">
        <v>375</v>
      </c>
      <c r="N294" s="9"/>
      <c r="O294" s="9"/>
      <c r="P294" s="9"/>
      <c r="Q294" s="38">
        <f t="shared" si="32"/>
        <v>375</v>
      </c>
      <c r="R294" s="12"/>
      <c r="S294" s="42"/>
      <c r="T294" s="15"/>
      <c r="U294" s="44"/>
      <c r="V294" s="15"/>
      <c r="W294" s="44"/>
      <c r="X294" s="15">
        <f t="shared" si="33"/>
        <v>0</v>
      </c>
      <c r="Y294" s="15"/>
      <c r="Z294" s="44"/>
      <c r="AA294" s="15"/>
      <c r="AB294" s="44"/>
      <c r="AC294" s="15"/>
      <c r="AD294" s="44"/>
      <c r="AE294" s="15"/>
      <c r="AF294" s="44"/>
      <c r="AG294" s="15">
        <f t="shared" si="34"/>
        <v>0</v>
      </c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/>
      <c r="BA294" s="42"/>
      <c r="BB294" s="15">
        <f t="shared" si="35"/>
        <v>0</v>
      </c>
      <c r="BC294" s="15"/>
      <c r="BD294" s="44"/>
      <c r="BE294" s="15"/>
      <c r="BF294" s="44"/>
      <c r="BG294" s="15">
        <f t="shared" si="36"/>
        <v>0</v>
      </c>
    </row>
    <row r="295" spans="1:59" s="8" customFormat="1" ht="22.5" customHeight="1">
      <c r="A295" s="9"/>
      <c r="B295" s="16" t="s">
        <v>204</v>
      </c>
      <c r="C295" s="89" t="s">
        <v>140</v>
      </c>
      <c r="D295" s="104" t="s">
        <v>457</v>
      </c>
      <c r="E295" s="104" t="s">
        <v>458</v>
      </c>
      <c r="F295" s="104" t="s">
        <v>1565</v>
      </c>
      <c r="G295" s="104" t="s">
        <v>1566</v>
      </c>
      <c r="H295" s="12"/>
      <c r="I295" s="9"/>
      <c r="J295" s="9" t="s">
        <v>207</v>
      </c>
      <c r="K295" s="14"/>
      <c r="L295" s="14"/>
      <c r="M295" s="12">
        <v>78</v>
      </c>
      <c r="N295" s="9"/>
      <c r="O295" s="9"/>
      <c r="P295" s="9"/>
      <c r="Q295" s="38">
        <f t="shared" si="32"/>
        <v>78</v>
      </c>
      <c r="R295" s="12"/>
      <c r="S295" s="42"/>
      <c r="T295" s="15"/>
      <c r="U295" s="44"/>
      <c r="V295" s="15"/>
      <c r="W295" s="44"/>
      <c r="X295" s="15">
        <f t="shared" si="33"/>
        <v>0</v>
      </c>
      <c r="Y295" s="15"/>
      <c r="Z295" s="44"/>
      <c r="AA295" s="15"/>
      <c r="AB295" s="44"/>
      <c r="AC295" s="15"/>
      <c r="AD295" s="44"/>
      <c r="AE295" s="15"/>
      <c r="AF295" s="44"/>
      <c r="AG295" s="15">
        <f t="shared" si="34"/>
        <v>0</v>
      </c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/>
      <c r="BA295" s="42"/>
      <c r="BB295" s="15">
        <f t="shared" si="35"/>
        <v>0</v>
      </c>
      <c r="BC295" s="15"/>
      <c r="BD295" s="44"/>
      <c r="BE295" s="15"/>
      <c r="BF295" s="44"/>
      <c r="BG295" s="15">
        <f t="shared" si="36"/>
        <v>0</v>
      </c>
    </row>
    <row r="296" spans="1:59" s="8" customFormat="1" ht="22.5" customHeight="1">
      <c r="A296" s="9"/>
      <c r="B296" s="16" t="s">
        <v>204</v>
      </c>
      <c r="C296" s="89" t="s">
        <v>140</v>
      </c>
      <c r="D296" s="104" t="s">
        <v>459</v>
      </c>
      <c r="E296" s="104" t="s">
        <v>206</v>
      </c>
      <c r="F296" s="104" t="s">
        <v>1567</v>
      </c>
      <c r="G296" s="104" t="s">
        <v>1568</v>
      </c>
      <c r="H296" s="12"/>
      <c r="I296" s="9"/>
      <c r="J296" s="9" t="s">
        <v>207</v>
      </c>
      <c r="K296" s="14"/>
      <c r="L296" s="14"/>
      <c r="M296" s="12">
        <v>3000</v>
      </c>
      <c r="N296" s="9"/>
      <c r="O296" s="9"/>
      <c r="P296" s="9"/>
      <c r="Q296" s="38">
        <f t="shared" si="32"/>
        <v>3000</v>
      </c>
      <c r="R296" s="12"/>
      <c r="S296" s="42"/>
      <c r="T296" s="15"/>
      <c r="U296" s="44"/>
      <c r="V296" s="15"/>
      <c r="W296" s="44"/>
      <c r="X296" s="15">
        <f t="shared" si="33"/>
        <v>0</v>
      </c>
      <c r="Y296" s="15"/>
      <c r="Z296" s="44"/>
      <c r="AA296" s="15"/>
      <c r="AB296" s="44"/>
      <c r="AC296" s="15"/>
      <c r="AD296" s="44"/>
      <c r="AE296" s="15"/>
      <c r="AF296" s="44"/>
      <c r="AG296" s="15">
        <f t="shared" si="34"/>
        <v>0</v>
      </c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/>
      <c r="BA296" s="42"/>
      <c r="BB296" s="15">
        <f t="shared" si="35"/>
        <v>0</v>
      </c>
      <c r="BC296" s="15"/>
      <c r="BD296" s="44"/>
      <c r="BE296" s="15"/>
      <c r="BF296" s="44"/>
      <c r="BG296" s="15">
        <f t="shared" si="36"/>
        <v>0</v>
      </c>
    </row>
    <row r="297" spans="1:59" s="8" customFormat="1" ht="22.5" customHeight="1">
      <c r="A297" s="9"/>
      <c r="B297" s="16" t="s">
        <v>204</v>
      </c>
      <c r="C297" s="89" t="s">
        <v>140</v>
      </c>
      <c r="D297" s="104" t="s">
        <v>460</v>
      </c>
      <c r="E297" s="104" t="s">
        <v>215</v>
      </c>
      <c r="F297" s="104" t="s">
        <v>1569</v>
      </c>
      <c r="G297" s="104" t="s">
        <v>1570</v>
      </c>
      <c r="H297" s="12"/>
      <c r="I297" s="9"/>
      <c r="J297" s="9" t="s">
        <v>207</v>
      </c>
      <c r="K297" s="14"/>
      <c r="L297" s="14"/>
      <c r="M297" s="12">
        <v>70</v>
      </c>
      <c r="N297" s="9"/>
      <c r="O297" s="9"/>
      <c r="P297" s="9"/>
      <c r="Q297" s="38">
        <f t="shared" si="32"/>
        <v>70</v>
      </c>
      <c r="R297" s="12"/>
      <c r="S297" s="42"/>
      <c r="T297" s="15"/>
      <c r="U297" s="44"/>
      <c r="V297" s="15"/>
      <c r="W297" s="44"/>
      <c r="X297" s="15">
        <f t="shared" si="33"/>
        <v>0</v>
      </c>
      <c r="Y297" s="15"/>
      <c r="Z297" s="44"/>
      <c r="AA297" s="15"/>
      <c r="AB297" s="44"/>
      <c r="AC297" s="15"/>
      <c r="AD297" s="44"/>
      <c r="AE297" s="15"/>
      <c r="AF297" s="44"/>
      <c r="AG297" s="15">
        <f t="shared" si="34"/>
        <v>0</v>
      </c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/>
      <c r="BA297" s="42"/>
      <c r="BB297" s="15">
        <f t="shared" si="35"/>
        <v>0</v>
      </c>
      <c r="BC297" s="15"/>
      <c r="BD297" s="44"/>
      <c r="BE297" s="15"/>
      <c r="BF297" s="44"/>
      <c r="BG297" s="15">
        <f t="shared" si="36"/>
        <v>0</v>
      </c>
    </row>
    <row r="298" spans="1:59" s="8" customFormat="1" ht="22.5" customHeight="1">
      <c r="A298" s="9"/>
      <c r="B298" s="16" t="s">
        <v>204</v>
      </c>
      <c r="C298" s="89" t="s">
        <v>140</v>
      </c>
      <c r="D298" s="104" t="s">
        <v>461</v>
      </c>
      <c r="E298" s="104" t="s">
        <v>215</v>
      </c>
      <c r="F298" s="104" t="s">
        <v>1571</v>
      </c>
      <c r="G298" s="104" t="s">
        <v>1572</v>
      </c>
      <c r="H298" s="12"/>
      <c r="I298" s="9"/>
      <c r="J298" s="9" t="s">
        <v>207</v>
      </c>
      <c r="K298" s="14"/>
      <c r="L298" s="14"/>
      <c r="M298" s="12">
        <v>72</v>
      </c>
      <c r="N298" s="9"/>
      <c r="O298" s="9"/>
      <c r="P298" s="9"/>
      <c r="Q298" s="38">
        <f t="shared" si="32"/>
        <v>72</v>
      </c>
      <c r="R298" s="12"/>
      <c r="S298" s="42"/>
      <c r="T298" s="15"/>
      <c r="U298" s="44"/>
      <c r="V298" s="15"/>
      <c r="W298" s="44"/>
      <c r="X298" s="15">
        <f t="shared" si="33"/>
        <v>0</v>
      </c>
      <c r="Y298" s="15"/>
      <c r="Z298" s="44"/>
      <c r="AA298" s="15"/>
      <c r="AB298" s="44"/>
      <c r="AC298" s="15"/>
      <c r="AD298" s="44"/>
      <c r="AE298" s="15"/>
      <c r="AF298" s="44"/>
      <c r="AG298" s="15">
        <f t="shared" si="34"/>
        <v>0</v>
      </c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/>
      <c r="BA298" s="42"/>
      <c r="BB298" s="15">
        <f t="shared" si="35"/>
        <v>0</v>
      </c>
      <c r="BC298" s="15"/>
      <c r="BD298" s="44"/>
      <c r="BE298" s="15"/>
      <c r="BF298" s="44"/>
      <c r="BG298" s="15">
        <f t="shared" si="36"/>
        <v>0</v>
      </c>
    </row>
    <row r="299" spans="1:59" s="8" customFormat="1" ht="22.5" customHeight="1">
      <c r="A299" s="9"/>
      <c r="B299" s="16" t="s">
        <v>204</v>
      </c>
      <c r="C299" s="89" t="s">
        <v>140</v>
      </c>
      <c r="D299" s="104" t="s">
        <v>221</v>
      </c>
      <c r="E299" s="104" t="s">
        <v>215</v>
      </c>
      <c r="F299" s="104" t="s">
        <v>1573</v>
      </c>
      <c r="G299" s="104" t="s">
        <v>1574</v>
      </c>
      <c r="H299" s="12"/>
      <c r="I299" s="9"/>
      <c r="J299" s="9" t="s">
        <v>207</v>
      </c>
      <c r="K299" s="14"/>
      <c r="L299" s="14"/>
      <c r="M299" s="12">
        <v>134</v>
      </c>
      <c r="N299" s="9"/>
      <c r="O299" s="9"/>
      <c r="P299" s="9"/>
      <c r="Q299" s="38">
        <f t="shared" si="32"/>
        <v>134</v>
      </c>
      <c r="R299" s="12"/>
      <c r="S299" s="42"/>
      <c r="T299" s="15"/>
      <c r="U299" s="44"/>
      <c r="V299" s="15"/>
      <c r="W299" s="44"/>
      <c r="X299" s="15">
        <f t="shared" si="33"/>
        <v>0</v>
      </c>
      <c r="Y299" s="15"/>
      <c r="Z299" s="44"/>
      <c r="AA299" s="15"/>
      <c r="AB299" s="44"/>
      <c r="AC299" s="15"/>
      <c r="AD299" s="44"/>
      <c r="AE299" s="15"/>
      <c r="AF299" s="44"/>
      <c r="AG299" s="15">
        <f t="shared" si="34"/>
        <v>0</v>
      </c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/>
      <c r="BA299" s="42"/>
      <c r="BB299" s="15">
        <f t="shared" si="35"/>
        <v>0</v>
      </c>
      <c r="BC299" s="15"/>
      <c r="BD299" s="44"/>
      <c r="BE299" s="15"/>
      <c r="BF299" s="44"/>
      <c r="BG299" s="15">
        <f t="shared" si="36"/>
        <v>0</v>
      </c>
    </row>
    <row r="300" spans="1:59" s="8" customFormat="1" ht="22.5" customHeight="1">
      <c r="A300" s="9"/>
      <c r="B300" s="16" t="s">
        <v>204</v>
      </c>
      <c r="C300" s="89" t="s">
        <v>140</v>
      </c>
      <c r="D300" s="104" t="s">
        <v>223</v>
      </c>
      <c r="E300" s="104" t="s">
        <v>215</v>
      </c>
      <c r="F300" s="104" t="s">
        <v>1575</v>
      </c>
      <c r="G300" s="104" t="s">
        <v>1576</v>
      </c>
      <c r="H300" s="12"/>
      <c r="I300" s="9"/>
      <c r="J300" s="9" t="s">
        <v>207</v>
      </c>
      <c r="K300" s="14"/>
      <c r="L300" s="14"/>
      <c r="M300" s="12">
        <v>50</v>
      </c>
      <c r="N300" s="9"/>
      <c r="O300" s="9"/>
      <c r="P300" s="9"/>
      <c r="Q300" s="38">
        <f t="shared" si="32"/>
        <v>50</v>
      </c>
      <c r="R300" s="12"/>
      <c r="S300" s="42"/>
      <c r="T300" s="15"/>
      <c r="U300" s="44"/>
      <c r="V300" s="15"/>
      <c r="W300" s="44"/>
      <c r="X300" s="15">
        <f t="shared" si="33"/>
        <v>0</v>
      </c>
      <c r="Y300" s="15"/>
      <c r="Z300" s="44"/>
      <c r="AA300" s="15"/>
      <c r="AB300" s="44"/>
      <c r="AC300" s="15"/>
      <c r="AD300" s="44"/>
      <c r="AE300" s="15"/>
      <c r="AF300" s="44"/>
      <c r="AG300" s="15">
        <f t="shared" si="34"/>
        <v>0</v>
      </c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/>
      <c r="BA300" s="42"/>
      <c r="BB300" s="15">
        <f t="shared" si="35"/>
        <v>0</v>
      </c>
      <c r="BC300" s="15"/>
      <c r="BD300" s="44"/>
      <c r="BE300" s="15"/>
      <c r="BF300" s="44"/>
      <c r="BG300" s="15">
        <f t="shared" si="36"/>
        <v>0</v>
      </c>
    </row>
    <row r="301" spans="1:59" s="8" customFormat="1" ht="22.5" customHeight="1">
      <c r="A301" s="9"/>
      <c r="B301" s="16" t="s">
        <v>155</v>
      </c>
      <c r="C301" s="89" t="s">
        <v>140</v>
      </c>
      <c r="D301" s="104" t="s">
        <v>462</v>
      </c>
      <c r="E301" s="104"/>
      <c r="F301" s="104" t="s">
        <v>1577</v>
      </c>
      <c r="G301" s="104" t="s">
        <v>1578</v>
      </c>
      <c r="H301" s="12"/>
      <c r="I301" s="9"/>
      <c r="J301" s="9" t="s">
        <v>314</v>
      </c>
      <c r="K301" s="14"/>
      <c r="L301" s="14"/>
      <c r="M301" s="12">
        <v>2</v>
      </c>
      <c r="N301" s="9"/>
      <c r="O301" s="9"/>
      <c r="P301" s="9"/>
      <c r="Q301" s="38">
        <f t="shared" si="32"/>
        <v>2</v>
      </c>
      <c r="R301" s="12"/>
      <c r="S301" s="42"/>
      <c r="T301" s="15"/>
      <c r="U301" s="44"/>
      <c r="V301" s="15"/>
      <c r="W301" s="44"/>
      <c r="X301" s="15">
        <f t="shared" si="33"/>
        <v>0</v>
      </c>
      <c r="Y301" s="15"/>
      <c r="Z301" s="44"/>
      <c r="AA301" s="15"/>
      <c r="AB301" s="44"/>
      <c r="AC301" s="15"/>
      <c r="AD301" s="44"/>
      <c r="AE301" s="15"/>
      <c r="AF301" s="44"/>
      <c r="AG301" s="15">
        <f t="shared" si="34"/>
        <v>0</v>
      </c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/>
      <c r="BA301" s="42"/>
      <c r="BB301" s="15">
        <f t="shared" ref="BB301:BB332" si="37">AH301+AJ301+AL301+AN301+AP301+AR301+AT301+AV301+AX301+AZ301</f>
        <v>0</v>
      </c>
      <c r="BC301" s="15"/>
      <c r="BD301" s="44"/>
      <c r="BE301" s="15"/>
      <c r="BF301" s="44"/>
      <c r="BG301" s="15">
        <f t="shared" ref="BG301:BG332" si="38">(BC301+BE301)</f>
        <v>0</v>
      </c>
    </row>
    <row r="302" spans="1:59" s="8" customFormat="1" ht="22.5" customHeight="1">
      <c r="A302" s="9"/>
      <c r="B302" s="16" t="s">
        <v>155</v>
      </c>
      <c r="C302" s="89" t="s">
        <v>140</v>
      </c>
      <c r="D302" s="104" t="s">
        <v>463</v>
      </c>
      <c r="E302" s="104"/>
      <c r="F302" s="104" t="s">
        <v>1579</v>
      </c>
      <c r="G302" s="104" t="s">
        <v>1580</v>
      </c>
      <c r="H302" s="12"/>
      <c r="I302" s="9"/>
      <c r="J302" s="9" t="s">
        <v>314</v>
      </c>
      <c r="K302" s="14"/>
      <c r="L302" s="14"/>
      <c r="M302" s="12">
        <v>0</v>
      </c>
      <c r="N302" s="9"/>
      <c r="O302" s="9"/>
      <c r="P302" s="9"/>
      <c r="Q302" s="38">
        <f t="shared" si="32"/>
        <v>0</v>
      </c>
      <c r="R302" s="12"/>
      <c r="S302" s="42"/>
      <c r="T302" s="15"/>
      <c r="U302" s="44"/>
      <c r="V302" s="15"/>
      <c r="W302" s="44"/>
      <c r="X302" s="15">
        <f t="shared" si="33"/>
        <v>0</v>
      </c>
      <c r="Y302" s="15"/>
      <c r="Z302" s="44"/>
      <c r="AA302" s="15"/>
      <c r="AB302" s="44"/>
      <c r="AC302" s="15"/>
      <c r="AD302" s="44"/>
      <c r="AE302" s="15"/>
      <c r="AF302" s="44"/>
      <c r="AG302" s="15">
        <f t="shared" si="34"/>
        <v>0</v>
      </c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/>
      <c r="BA302" s="42"/>
      <c r="BB302" s="15">
        <f t="shared" si="37"/>
        <v>0</v>
      </c>
      <c r="BC302" s="15"/>
      <c r="BD302" s="44"/>
      <c r="BE302" s="15"/>
      <c r="BF302" s="44"/>
      <c r="BG302" s="15">
        <f t="shared" si="38"/>
        <v>0</v>
      </c>
    </row>
    <row r="303" spans="1:59" s="8" customFormat="1" ht="22.5" customHeight="1">
      <c r="A303" s="9"/>
      <c r="B303" s="16" t="s">
        <v>464</v>
      </c>
      <c r="C303" s="89" t="s">
        <v>140</v>
      </c>
      <c r="D303" s="104" t="s">
        <v>465</v>
      </c>
      <c r="E303" s="104" t="s">
        <v>466</v>
      </c>
      <c r="F303" s="104" t="s">
        <v>1581</v>
      </c>
      <c r="G303" s="104" t="s">
        <v>1582</v>
      </c>
      <c r="H303" s="12"/>
      <c r="I303" s="9"/>
      <c r="J303" s="9" t="s">
        <v>467</v>
      </c>
      <c r="K303" s="14"/>
      <c r="L303" s="14"/>
      <c r="M303" s="12">
        <v>0</v>
      </c>
      <c r="N303" s="9"/>
      <c r="O303" s="9"/>
      <c r="P303" s="9"/>
      <c r="Q303" s="38">
        <f t="shared" si="32"/>
        <v>0</v>
      </c>
      <c r="R303" s="12"/>
      <c r="S303" s="42"/>
      <c r="T303" s="15"/>
      <c r="U303" s="44"/>
      <c r="V303" s="15"/>
      <c r="W303" s="44"/>
      <c r="X303" s="15">
        <f t="shared" si="33"/>
        <v>0</v>
      </c>
      <c r="Y303" s="15"/>
      <c r="Z303" s="44"/>
      <c r="AA303" s="15"/>
      <c r="AB303" s="44"/>
      <c r="AC303" s="15"/>
      <c r="AD303" s="44"/>
      <c r="AE303" s="15"/>
      <c r="AF303" s="44"/>
      <c r="AG303" s="15">
        <f t="shared" si="34"/>
        <v>0</v>
      </c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/>
      <c r="BA303" s="42"/>
      <c r="BB303" s="15">
        <f t="shared" si="37"/>
        <v>0</v>
      </c>
      <c r="BC303" s="15"/>
      <c r="BD303" s="44"/>
      <c r="BE303" s="15"/>
      <c r="BF303" s="44"/>
      <c r="BG303" s="15">
        <f t="shared" si="38"/>
        <v>0</v>
      </c>
    </row>
    <row r="304" spans="1:59" s="8" customFormat="1" ht="22.5" customHeight="1">
      <c r="A304" s="9"/>
      <c r="B304" s="16" t="s">
        <v>464</v>
      </c>
      <c r="C304" s="89" t="s">
        <v>140</v>
      </c>
      <c r="D304" s="104" t="s">
        <v>468</v>
      </c>
      <c r="E304" s="104" t="s">
        <v>469</v>
      </c>
      <c r="F304" s="104" t="s">
        <v>1583</v>
      </c>
      <c r="G304" s="104" t="s">
        <v>1584</v>
      </c>
      <c r="H304" s="12"/>
      <c r="I304" s="9"/>
      <c r="J304" s="9" t="s">
        <v>467</v>
      </c>
      <c r="K304" s="14"/>
      <c r="L304" s="14"/>
      <c r="M304" s="12">
        <v>273</v>
      </c>
      <c r="N304" s="9"/>
      <c r="O304" s="9"/>
      <c r="P304" s="9"/>
      <c r="Q304" s="38">
        <f t="shared" si="32"/>
        <v>273</v>
      </c>
      <c r="R304" s="12"/>
      <c r="S304" s="42"/>
      <c r="T304" s="15"/>
      <c r="U304" s="44"/>
      <c r="V304" s="15"/>
      <c r="W304" s="44"/>
      <c r="X304" s="15">
        <f t="shared" si="33"/>
        <v>0</v>
      </c>
      <c r="Y304" s="15"/>
      <c r="Z304" s="44"/>
      <c r="AA304" s="15"/>
      <c r="AB304" s="44"/>
      <c r="AC304" s="15"/>
      <c r="AD304" s="44"/>
      <c r="AE304" s="15"/>
      <c r="AF304" s="44"/>
      <c r="AG304" s="15">
        <f t="shared" si="34"/>
        <v>0</v>
      </c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/>
      <c r="BA304" s="42"/>
      <c r="BB304" s="15">
        <f t="shared" si="37"/>
        <v>0</v>
      </c>
      <c r="BC304" s="15"/>
      <c r="BD304" s="44"/>
      <c r="BE304" s="15"/>
      <c r="BF304" s="44"/>
      <c r="BG304" s="15">
        <f t="shared" si="38"/>
        <v>0</v>
      </c>
    </row>
    <row r="305" spans="1:59" s="8" customFormat="1" ht="22.5" customHeight="1">
      <c r="A305" s="9"/>
      <c r="B305" s="16" t="s">
        <v>470</v>
      </c>
      <c r="C305" s="89" t="s">
        <v>140</v>
      </c>
      <c r="D305" s="104" t="s">
        <v>471</v>
      </c>
      <c r="E305" s="104"/>
      <c r="F305" s="104" t="s">
        <v>1585</v>
      </c>
      <c r="G305" s="104" t="s">
        <v>1586</v>
      </c>
      <c r="H305" s="12"/>
      <c r="I305" s="9"/>
      <c r="J305" s="9" t="s">
        <v>467</v>
      </c>
      <c r="K305" s="14"/>
      <c r="L305" s="14"/>
      <c r="M305" s="12">
        <v>71</v>
      </c>
      <c r="N305" s="9"/>
      <c r="O305" s="9"/>
      <c r="P305" s="9"/>
      <c r="Q305" s="38">
        <f t="shared" si="32"/>
        <v>71</v>
      </c>
      <c r="R305" s="12"/>
      <c r="S305" s="42"/>
      <c r="T305" s="15"/>
      <c r="U305" s="44"/>
      <c r="V305" s="15"/>
      <c r="W305" s="44"/>
      <c r="X305" s="15">
        <f t="shared" si="33"/>
        <v>0</v>
      </c>
      <c r="Y305" s="15"/>
      <c r="Z305" s="44"/>
      <c r="AA305" s="15"/>
      <c r="AB305" s="44"/>
      <c r="AC305" s="15"/>
      <c r="AD305" s="44"/>
      <c r="AE305" s="15"/>
      <c r="AF305" s="44"/>
      <c r="AG305" s="15">
        <f t="shared" si="34"/>
        <v>0</v>
      </c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/>
      <c r="BA305" s="42"/>
      <c r="BB305" s="15">
        <f t="shared" si="37"/>
        <v>0</v>
      </c>
      <c r="BC305" s="15"/>
      <c r="BD305" s="44"/>
      <c r="BE305" s="15"/>
      <c r="BF305" s="44"/>
      <c r="BG305" s="15">
        <f t="shared" si="38"/>
        <v>0</v>
      </c>
    </row>
    <row r="306" spans="1:59" s="8" customFormat="1" ht="22.5" customHeight="1">
      <c r="A306" s="9"/>
      <c r="B306" s="16" t="s">
        <v>472</v>
      </c>
      <c r="C306" s="89" t="s">
        <v>140</v>
      </c>
      <c r="D306" s="104" t="s">
        <v>473</v>
      </c>
      <c r="E306" s="104" t="s">
        <v>474</v>
      </c>
      <c r="F306" s="104" t="s">
        <v>1587</v>
      </c>
      <c r="G306" s="104" t="s">
        <v>1588</v>
      </c>
      <c r="H306" s="12"/>
      <c r="I306" s="9"/>
      <c r="J306" s="9" t="s">
        <v>67</v>
      </c>
      <c r="K306" s="14"/>
      <c r="L306" s="14"/>
      <c r="M306" s="12">
        <v>259</v>
      </c>
      <c r="N306" s="9"/>
      <c r="O306" s="9"/>
      <c r="P306" s="9"/>
      <c r="Q306" s="38">
        <f t="shared" si="32"/>
        <v>259</v>
      </c>
      <c r="R306" s="12"/>
      <c r="S306" s="42"/>
      <c r="T306" s="15"/>
      <c r="U306" s="44"/>
      <c r="V306" s="15"/>
      <c r="W306" s="44"/>
      <c r="X306" s="15">
        <f t="shared" si="33"/>
        <v>0</v>
      </c>
      <c r="Y306" s="15"/>
      <c r="Z306" s="44"/>
      <c r="AA306" s="15"/>
      <c r="AB306" s="44"/>
      <c r="AC306" s="15"/>
      <c r="AD306" s="44"/>
      <c r="AE306" s="15"/>
      <c r="AF306" s="44"/>
      <c r="AG306" s="15">
        <f t="shared" si="34"/>
        <v>0</v>
      </c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/>
      <c r="BA306" s="42"/>
      <c r="BB306" s="15">
        <f t="shared" si="37"/>
        <v>0</v>
      </c>
      <c r="BC306" s="15"/>
      <c r="BD306" s="44"/>
      <c r="BE306" s="15"/>
      <c r="BF306" s="44"/>
      <c r="BG306" s="15">
        <f t="shared" si="38"/>
        <v>0</v>
      </c>
    </row>
    <row r="307" spans="1:59" s="8" customFormat="1" ht="22.5" customHeight="1">
      <c r="A307" s="9"/>
      <c r="B307" s="16" t="s">
        <v>472</v>
      </c>
      <c r="C307" s="89" t="s">
        <v>140</v>
      </c>
      <c r="D307" s="104" t="s">
        <v>475</v>
      </c>
      <c r="E307" s="104" t="s">
        <v>476</v>
      </c>
      <c r="F307" s="104" t="s">
        <v>1589</v>
      </c>
      <c r="G307" s="104" t="s">
        <v>1590</v>
      </c>
      <c r="H307" s="12"/>
      <c r="I307" s="9"/>
      <c r="J307" s="9" t="s">
        <v>67</v>
      </c>
      <c r="K307" s="14"/>
      <c r="L307" s="14"/>
      <c r="M307" s="12">
        <v>349</v>
      </c>
      <c r="N307" s="9"/>
      <c r="O307" s="9"/>
      <c r="P307" s="9"/>
      <c r="Q307" s="38">
        <f t="shared" si="32"/>
        <v>349</v>
      </c>
      <c r="R307" s="12"/>
      <c r="S307" s="42"/>
      <c r="T307" s="15"/>
      <c r="U307" s="44"/>
      <c r="V307" s="15"/>
      <c r="W307" s="44"/>
      <c r="X307" s="15">
        <f t="shared" si="33"/>
        <v>0</v>
      </c>
      <c r="Y307" s="15"/>
      <c r="Z307" s="44"/>
      <c r="AA307" s="15"/>
      <c r="AB307" s="44"/>
      <c r="AC307" s="15"/>
      <c r="AD307" s="44"/>
      <c r="AE307" s="15"/>
      <c r="AF307" s="44"/>
      <c r="AG307" s="15">
        <f t="shared" si="34"/>
        <v>0</v>
      </c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/>
      <c r="BA307" s="42"/>
      <c r="BB307" s="15">
        <f t="shared" si="37"/>
        <v>0</v>
      </c>
      <c r="BC307" s="15"/>
      <c r="BD307" s="44"/>
      <c r="BE307" s="15"/>
      <c r="BF307" s="44"/>
      <c r="BG307" s="15">
        <f t="shared" si="38"/>
        <v>0</v>
      </c>
    </row>
    <row r="308" spans="1:59" s="8" customFormat="1" ht="22.5" customHeight="1">
      <c r="A308" s="9"/>
      <c r="B308" s="16" t="s">
        <v>477</v>
      </c>
      <c r="C308" s="89" t="s">
        <v>140</v>
      </c>
      <c r="D308" s="104" t="s">
        <v>478</v>
      </c>
      <c r="E308" s="104"/>
      <c r="F308" s="104" t="s">
        <v>1591</v>
      </c>
      <c r="G308" s="104" t="s">
        <v>1592</v>
      </c>
      <c r="H308" s="12"/>
      <c r="I308" s="9"/>
      <c r="J308" s="9" t="s">
        <v>467</v>
      </c>
      <c r="K308" s="14"/>
      <c r="L308" s="14"/>
      <c r="M308" s="12">
        <v>70</v>
      </c>
      <c r="N308" s="9"/>
      <c r="O308" s="9"/>
      <c r="P308" s="9"/>
      <c r="Q308" s="38">
        <f t="shared" si="32"/>
        <v>70</v>
      </c>
      <c r="R308" s="12"/>
      <c r="S308" s="42"/>
      <c r="T308" s="15"/>
      <c r="U308" s="44"/>
      <c r="V308" s="15"/>
      <c r="W308" s="44"/>
      <c r="X308" s="15">
        <f t="shared" si="33"/>
        <v>0</v>
      </c>
      <c r="Y308" s="15"/>
      <c r="Z308" s="44"/>
      <c r="AA308" s="15"/>
      <c r="AB308" s="44"/>
      <c r="AC308" s="15"/>
      <c r="AD308" s="44"/>
      <c r="AE308" s="15"/>
      <c r="AF308" s="44"/>
      <c r="AG308" s="15">
        <f t="shared" si="34"/>
        <v>0</v>
      </c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/>
      <c r="BA308" s="42"/>
      <c r="BB308" s="15">
        <f t="shared" si="37"/>
        <v>0</v>
      </c>
      <c r="BC308" s="15"/>
      <c r="BD308" s="44"/>
      <c r="BE308" s="15"/>
      <c r="BF308" s="44"/>
      <c r="BG308" s="15">
        <f t="shared" si="38"/>
        <v>0</v>
      </c>
    </row>
    <row r="309" spans="1:59" s="8" customFormat="1" ht="22.5" customHeight="1">
      <c r="A309" s="9"/>
      <c r="B309" s="16" t="s">
        <v>477</v>
      </c>
      <c r="C309" s="89" t="s">
        <v>140</v>
      </c>
      <c r="D309" s="104" t="s">
        <v>479</v>
      </c>
      <c r="E309" s="104"/>
      <c r="F309" s="104" t="s">
        <v>1593</v>
      </c>
      <c r="G309" s="104" t="s">
        <v>1594</v>
      </c>
      <c r="H309" s="12"/>
      <c r="I309" s="9"/>
      <c r="J309" s="9" t="s">
        <v>467</v>
      </c>
      <c r="K309" s="14"/>
      <c r="L309" s="14"/>
      <c r="M309" s="12">
        <v>67</v>
      </c>
      <c r="N309" s="9"/>
      <c r="O309" s="9"/>
      <c r="P309" s="9"/>
      <c r="Q309" s="38">
        <f t="shared" si="32"/>
        <v>67</v>
      </c>
      <c r="R309" s="12"/>
      <c r="S309" s="42"/>
      <c r="T309" s="15"/>
      <c r="U309" s="44"/>
      <c r="V309" s="15"/>
      <c r="W309" s="44"/>
      <c r="X309" s="15">
        <f t="shared" si="33"/>
        <v>0</v>
      </c>
      <c r="Y309" s="15"/>
      <c r="Z309" s="44"/>
      <c r="AA309" s="15"/>
      <c r="AB309" s="44"/>
      <c r="AC309" s="15"/>
      <c r="AD309" s="44"/>
      <c r="AE309" s="15"/>
      <c r="AF309" s="44"/>
      <c r="AG309" s="15">
        <f t="shared" si="34"/>
        <v>0</v>
      </c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/>
      <c r="BA309" s="42"/>
      <c r="BB309" s="15">
        <f t="shared" si="37"/>
        <v>0</v>
      </c>
      <c r="BC309" s="15"/>
      <c r="BD309" s="44"/>
      <c r="BE309" s="15"/>
      <c r="BF309" s="44"/>
      <c r="BG309" s="15">
        <f t="shared" si="38"/>
        <v>0</v>
      </c>
    </row>
    <row r="310" spans="1:59" s="8" customFormat="1" ht="22.5" customHeight="1">
      <c r="A310" s="9"/>
      <c r="B310" s="16" t="s">
        <v>477</v>
      </c>
      <c r="C310" s="89" t="s">
        <v>140</v>
      </c>
      <c r="D310" s="104" t="s">
        <v>480</v>
      </c>
      <c r="E310" s="104" t="s">
        <v>481</v>
      </c>
      <c r="F310" s="104" t="s">
        <v>1595</v>
      </c>
      <c r="G310" s="104" t="s">
        <v>1596</v>
      </c>
      <c r="H310" s="12"/>
      <c r="I310" s="9"/>
      <c r="J310" s="9" t="s">
        <v>482</v>
      </c>
      <c r="K310" s="14"/>
      <c r="L310" s="14"/>
      <c r="M310" s="12">
        <v>82</v>
      </c>
      <c r="N310" s="9"/>
      <c r="O310" s="9"/>
      <c r="P310" s="9"/>
      <c r="Q310" s="38">
        <f t="shared" si="32"/>
        <v>82</v>
      </c>
      <c r="R310" s="12"/>
      <c r="S310" s="42"/>
      <c r="T310" s="15"/>
      <c r="U310" s="44"/>
      <c r="V310" s="15"/>
      <c r="W310" s="44"/>
      <c r="X310" s="15">
        <f t="shared" si="33"/>
        <v>0</v>
      </c>
      <c r="Y310" s="15"/>
      <c r="Z310" s="44"/>
      <c r="AA310" s="15"/>
      <c r="AB310" s="44"/>
      <c r="AC310" s="15"/>
      <c r="AD310" s="44"/>
      <c r="AE310" s="15"/>
      <c r="AF310" s="44"/>
      <c r="AG310" s="15">
        <f t="shared" si="34"/>
        <v>0</v>
      </c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/>
      <c r="BA310" s="42"/>
      <c r="BB310" s="15">
        <f t="shared" si="37"/>
        <v>0</v>
      </c>
      <c r="BC310" s="15"/>
      <c r="BD310" s="44"/>
      <c r="BE310" s="15"/>
      <c r="BF310" s="44"/>
      <c r="BG310" s="15">
        <f t="shared" si="38"/>
        <v>0</v>
      </c>
    </row>
    <row r="311" spans="1:59" s="8" customFormat="1" ht="22.5" customHeight="1">
      <c r="A311" s="9"/>
      <c r="B311" s="16" t="s">
        <v>483</v>
      </c>
      <c r="C311" s="89" t="s">
        <v>140</v>
      </c>
      <c r="D311" s="104" t="s">
        <v>484</v>
      </c>
      <c r="E311" s="104" t="s">
        <v>485</v>
      </c>
      <c r="F311" s="104" t="s">
        <v>1597</v>
      </c>
      <c r="G311" s="104" t="s">
        <v>1598</v>
      </c>
      <c r="H311" s="12"/>
      <c r="I311" s="9"/>
      <c r="J311" s="9" t="s">
        <v>467</v>
      </c>
      <c r="K311" s="14"/>
      <c r="L311" s="14"/>
      <c r="M311" s="12">
        <v>0</v>
      </c>
      <c r="N311" s="9"/>
      <c r="O311" s="9"/>
      <c r="P311" s="9"/>
      <c r="Q311" s="38">
        <f t="shared" si="32"/>
        <v>0</v>
      </c>
      <c r="R311" s="12"/>
      <c r="S311" s="42"/>
      <c r="T311" s="15"/>
      <c r="U311" s="44"/>
      <c r="V311" s="15"/>
      <c r="W311" s="44"/>
      <c r="X311" s="15">
        <f t="shared" si="33"/>
        <v>0</v>
      </c>
      <c r="Y311" s="15"/>
      <c r="Z311" s="44"/>
      <c r="AA311" s="15"/>
      <c r="AB311" s="44"/>
      <c r="AC311" s="15"/>
      <c r="AD311" s="44"/>
      <c r="AE311" s="15"/>
      <c r="AF311" s="44"/>
      <c r="AG311" s="15">
        <f t="shared" si="34"/>
        <v>0</v>
      </c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/>
      <c r="BA311" s="42"/>
      <c r="BB311" s="15">
        <f t="shared" si="37"/>
        <v>0</v>
      </c>
      <c r="BC311" s="15"/>
      <c r="BD311" s="44"/>
      <c r="BE311" s="15"/>
      <c r="BF311" s="44"/>
      <c r="BG311" s="15">
        <f t="shared" si="38"/>
        <v>0</v>
      </c>
    </row>
    <row r="312" spans="1:59" s="8" customFormat="1" ht="22.5" customHeight="1">
      <c r="A312" s="9"/>
      <c r="B312" s="16" t="s">
        <v>486</v>
      </c>
      <c r="C312" s="89" t="s">
        <v>140</v>
      </c>
      <c r="D312" s="104" t="s">
        <v>487</v>
      </c>
      <c r="E312" s="104"/>
      <c r="F312" s="104" t="s">
        <v>1599</v>
      </c>
      <c r="G312" s="104" t="s">
        <v>1600</v>
      </c>
      <c r="H312" s="12"/>
      <c r="I312" s="9"/>
      <c r="J312" s="9" t="s">
        <v>467</v>
      </c>
      <c r="K312" s="14"/>
      <c r="L312" s="14"/>
      <c r="M312" s="12"/>
      <c r="N312" s="9"/>
      <c r="O312" s="9"/>
      <c r="P312" s="9"/>
      <c r="Q312" s="38">
        <f t="shared" si="32"/>
        <v>0</v>
      </c>
      <c r="R312" s="12"/>
      <c r="S312" s="42"/>
      <c r="T312" s="15"/>
      <c r="U312" s="44"/>
      <c r="V312" s="15"/>
      <c r="W312" s="44"/>
      <c r="X312" s="15">
        <f t="shared" si="33"/>
        <v>0</v>
      </c>
      <c r="Y312" s="15"/>
      <c r="Z312" s="44"/>
      <c r="AA312" s="15"/>
      <c r="AB312" s="44"/>
      <c r="AC312" s="15"/>
      <c r="AD312" s="44"/>
      <c r="AE312" s="15"/>
      <c r="AF312" s="44"/>
      <c r="AG312" s="15">
        <f t="shared" si="34"/>
        <v>0</v>
      </c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/>
      <c r="BA312" s="42"/>
      <c r="BB312" s="15">
        <f t="shared" si="37"/>
        <v>0</v>
      </c>
      <c r="BC312" s="15"/>
      <c r="BD312" s="44"/>
      <c r="BE312" s="15"/>
      <c r="BF312" s="44"/>
      <c r="BG312" s="15">
        <f t="shared" si="38"/>
        <v>0</v>
      </c>
    </row>
    <row r="313" spans="1:59" s="8" customFormat="1" ht="22.5" customHeight="1">
      <c r="A313" s="9"/>
      <c r="B313" s="16" t="s">
        <v>486</v>
      </c>
      <c r="C313" s="89" t="s">
        <v>140</v>
      </c>
      <c r="D313" s="104" t="s">
        <v>488</v>
      </c>
      <c r="E313" s="104"/>
      <c r="F313" s="104" t="s">
        <v>1601</v>
      </c>
      <c r="G313" s="104" t="s">
        <v>1602</v>
      </c>
      <c r="H313" s="12"/>
      <c r="I313" s="9"/>
      <c r="J313" s="9" t="s">
        <v>467</v>
      </c>
      <c r="K313" s="14"/>
      <c r="L313" s="14"/>
      <c r="M313" s="12"/>
      <c r="N313" s="9"/>
      <c r="O313" s="9"/>
      <c r="P313" s="9"/>
      <c r="Q313" s="38">
        <f t="shared" si="32"/>
        <v>0</v>
      </c>
      <c r="R313" s="12"/>
      <c r="S313" s="42"/>
      <c r="T313" s="15"/>
      <c r="U313" s="44"/>
      <c r="V313" s="15"/>
      <c r="W313" s="44"/>
      <c r="X313" s="15">
        <f t="shared" si="33"/>
        <v>0</v>
      </c>
      <c r="Y313" s="15"/>
      <c r="Z313" s="44"/>
      <c r="AA313" s="15"/>
      <c r="AB313" s="44"/>
      <c r="AC313" s="15"/>
      <c r="AD313" s="44"/>
      <c r="AE313" s="15"/>
      <c r="AF313" s="44"/>
      <c r="AG313" s="15">
        <f t="shared" si="34"/>
        <v>0</v>
      </c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/>
      <c r="BA313" s="42"/>
      <c r="BB313" s="15">
        <f t="shared" si="37"/>
        <v>0</v>
      </c>
      <c r="BC313" s="15"/>
      <c r="BD313" s="44"/>
      <c r="BE313" s="15"/>
      <c r="BF313" s="44"/>
      <c r="BG313" s="15">
        <f t="shared" si="38"/>
        <v>0</v>
      </c>
    </row>
    <row r="314" spans="1:59" s="8" customFormat="1" ht="22.5" customHeight="1">
      <c r="A314" s="9"/>
      <c r="B314" s="16" t="s">
        <v>489</v>
      </c>
      <c r="C314" s="89" t="s">
        <v>140</v>
      </c>
      <c r="D314" s="104" t="s">
        <v>490</v>
      </c>
      <c r="E314" s="104" t="s">
        <v>206</v>
      </c>
      <c r="F314" s="104" t="s">
        <v>1603</v>
      </c>
      <c r="G314" s="104" t="s">
        <v>1604</v>
      </c>
      <c r="H314" s="12"/>
      <c r="I314" s="9"/>
      <c r="J314" s="9" t="s">
        <v>207</v>
      </c>
      <c r="K314" s="14"/>
      <c r="L314" s="14"/>
      <c r="M314" s="12">
        <v>410</v>
      </c>
      <c r="N314" s="9"/>
      <c r="O314" s="9"/>
      <c r="P314" s="9"/>
      <c r="Q314" s="38">
        <f t="shared" si="32"/>
        <v>410</v>
      </c>
      <c r="R314" s="12"/>
      <c r="S314" s="42"/>
      <c r="T314" s="15"/>
      <c r="U314" s="44"/>
      <c r="V314" s="15"/>
      <c r="W314" s="44"/>
      <c r="X314" s="15">
        <f t="shared" si="33"/>
        <v>0</v>
      </c>
      <c r="Y314" s="15"/>
      <c r="Z314" s="44"/>
      <c r="AA314" s="15"/>
      <c r="AB314" s="44"/>
      <c r="AC314" s="15"/>
      <c r="AD314" s="44"/>
      <c r="AE314" s="15"/>
      <c r="AF314" s="44"/>
      <c r="AG314" s="15">
        <f t="shared" si="34"/>
        <v>0</v>
      </c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/>
      <c r="BA314" s="42"/>
      <c r="BB314" s="15">
        <f t="shared" si="37"/>
        <v>0</v>
      </c>
      <c r="BC314" s="15"/>
      <c r="BD314" s="44"/>
      <c r="BE314" s="15"/>
      <c r="BF314" s="44"/>
      <c r="BG314" s="15">
        <f t="shared" si="38"/>
        <v>0</v>
      </c>
    </row>
    <row r="315" spans="1:59" s="8" customFormat="1" ht="22.5" customHeight="1">
      <c r="A315" s="9"/>
      <c r="B315" s="16" t="s">
        <v>244</v>
      </c>
      <c r="C315" s="89" t="s">
        <v>140</v>
      </c>
      <c r="D315" s="104" t="s">
        <v>491</v>
      </c>
      <c r="E315" s="104" t="s">
        <v>492</v>
      </c>
      <c r="F315" s="104" t="s">
        <v>1605</v>
      </c>
      <c r="G315" s="104" t="s">
        <v>1606</v>
      </c>
      <c r="H315" s="12"/>
      <c r="I315" s="9"/>
      <c r="J315" s="9" t="s">
        <v>247</v>
      </c>
      <c r="K315" s="14"/>
      <c r="L315" s="14"/>
      <c r="M315" s="12">
        <v>9</v>
      </c>
      <c r="N315" s="9"/>
      <c r="O315" s="9"/>
      <c r="P315" s="9"/>
      <c r="Q315" s="38">
        <f t="shared" si="32"/>
        <v>9</v>
      </c>
      <c r="R315" s="12"/>
      <c r="S315" s="42"/>
      <c r="T315" s="15"/>
      <c r="U315" s="44"/>
      <c r="V315" s="15"/>
      <c r="W315" s="44"/>
      <c r="X315" s="15">
        <f t="shared" si="33"/>
        <v>0</v>
      </c>
      <c r="Y315" s="15"/>
      <c r="Z315" s="44"/>
      <c r="AA315" s="15"/>
      <c r="AB315" s="44"/>
      <c r="AC315" s="15"/>
      <c r="AD315" s="44"/>
      <c r="AE315" s="15"/>
      <c r="AF315" s="44"/>
      <c r="AG315" s="15">
        <f t="shared" si="34"/>
        <v>0</v>
      </c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/>
      <c r="BA315" s="42"/>
      <c r="BB315" s="15">
        <f t="shared" si="37"/>
        <v>0</v>
      </c>
      <c r="BC315" s="15"/>
      <c r="BD315" s="44"/>
      <c r="BE315" s="15"/>
      <c r="BF315" s="44"/>
      <c r="BG315" s="15">
        <f t="shared" si="38"/>
        <v>0</v>
      </c>
    </row>
    <row r="316" spans="1:59" s="8" customFormat="1" ht="22.5" customHeight="1">
      <c r="A316" s="9"/>
      <c r="B316" s="16" t="s">
        <v>244</v>
      </c>
      <c r="C316" s="89" t="s">
        <v>140</v>
      </c>
      <c r="D316" s="104" t="s">
        <v>1607</v>
      </c>
      <c r="E316" s="104" t="s">
        <v>492</v>
      </c>
      <c r="F316" s="104" t="s">
        <v>1608</v>
      </c>
      <c r="G316" s="104" t="s">
        <v>1609</v>
      </c>
      <c r="H316" s="12"/>
      <c r="I316" s="9"/>
      <c r="J316" s="9" t="s">
        <v>247</v>
      </c>
      <c r="K316" s="14"/>
      <c r="L316" s="14"/>
      <c r="M316" s="12">
        <v>144</v>
      </c>
      <c r="N316" s="9"/>
      <c r="O316" s="9"/>
      <c r="P316" s="9"/>
      <c r="Q316" s="38">
        <f t="shared" si="32"/>
        <v>144</v>
      </c>
      <c r="R316" s="12"/>
      <c r="S316" s="42"/>
      <c r="T316" s="15"/>
      <c r="U316" s="44"/>
      <c r="V316" s="15"/>
      <c r="W316" s="44"/>
      <c r="X316" s="15">
        <f t="shared" si="33"/>
        <v>0</v>
      </c>
      <c r="Y316" s="15"/>
      <c r="Z316" s="44"/>
      <c r="AA316" s="15"/>
      <c r="AB316" s="44"/>
      <c r="AC316" s="15"/>
      <c r="AD316" s="44"/>
      <c r="AE316" s="15"/>
      <c r="AF316" s="44"/>
      <c r="AG316" s="15">
        <f t="shared" si="34"/>
        <v>0</v>
      </c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/>
      <c r="BA316" s="42"/>
      <c r="BB316" s="15">
        <f t="shared" si="37"/>
        <v>0</v>
      </c>
      <c r="BC316" s="15"/>
      <c r="BD316" s="44"/>
      <c r="BE316" s="15"/>
      <c r="BF316" s="44"/>
      <c r="BG316" s="15">
        <f t="shared" si="38"/>
        <v>0</v>
      </c>
    </row>
    <row r="317" spans="1:59" s="8" customFormat="1" ht="22.5" customHeight="1">
      <c r="A317" s="9"/>
      <c r="B317" s="16" t="s">
        <v>172</v>
      </c>
      <c r="C317" s="89" t="s">
        <v>1610</v>
      </c>
      <c r="D317" s="104" t="s">
        <v>1611</v>
      </c>
      <c r="E317" s="104"/>
      <c r="F317" s="104" t="s">
        <v>1612</v>
      </c>
      <c r="G317" s="104" t="s">
        <v>1613</v>
      </c>
      <c r="H317" s="12"/>
      <c r="I317" s="9"/>
      <c r="J317" s="9" t="s">
        <v>67</v>
      </c>
      <c r="K317" s="14"/>
      <c r="L317" s="14"/>
      <c r="M317" s="12">
        <v>207</v>
      </c>
      <c r="N317" s="9"/>
      <c r="O317" s="9"/>
      <c r="P317" s="9"/>
      <c r="Q317" s="38">
        <f t="shared" si="32"/>
        <v>207</v>
      </c>
      <c r="R317" s="12"/>
      <c r="S317" s="42"/>
      <c r="T317" s="15"/>
      <c r="U317" s="44"/>
      <c r="V317" s="15"/>
      <c r="W317" s="44"/>
      <c r="X317" s="15">
        <f t="shared" si="33"/>
        <v>0</v>
      </c>
      <c r="Y317" s="15"/>
      <c r="Z317" s="44"/>
      <c r="AA317" s="15"/>
      <c r="AB317" s="44"/>
      <c r="AC317" s="15"/>
      <c r="AD317" s="44"/>
      <c r="AE317" s="15"/>
      <c r="AF317" s="44"/>
      <c r="AG317" s="15">
        <f t="shared" si="34"/>
        <v>0</v>
      </c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/>
      <c r="BA317" s="42"/>
      <c r="BB317" s="15">
        <f t="shared" si="37"/>
        <v>0</v>
      </c>
      <c r="BC317" s="15"/>
      <c r="BD317" s="44"/>
      <c r="BE317" s="15"/>
      <c r="BF317" s="44"/>
      <c r="BG317" s="15">
        <f t="shared" si="38"/>
        <v>0</v>
      </c>
    </row>
    <row r="318" spans="1:59" s="8" customFormat="1" ht="22.5" customHeight="1">
      <c r="A318" s="9"/>
      <c r="B318" s="16" t="s">
        <v>172</v>
      </c>
      <c r="C318" s="89" t="s">
        <v>494</v>
      </c>
      <c r="D318" s="104" t="s">
        <v>498</v>
      </c>
      <c r="E318" s="104" t="s">
        <v>499</v>
      </c>
      <c r="F318" s="104" t="s">
        <v>1614</v>
      </c>
      <c r="G318" s="104" t="s">
        <v>1615</v>
      </c>
      <c r="H318" s="12"/>
      <c r="I318" s="9"/>
      <c r="J318" s="9" t="s">
        <v>67</v>
      </c>
      <c r="K318" s="14"/>
      <c r="L318" s="14"/>
      <c r="M318" s="12"/>
      <c r="N318" s="9"/>
      <c r="O318" s="9"/>
      <c r="P318" s="9"/>
      <c r="Q318" s="38">
        <f t="shared" si="32"/>
        <v>0</v>
      </c>
      <c r="R318" s="12"/>
      <c r="S318" s="42"/>
      <c r="T318" s="15"/>
      <c r="U318" s="44"/>
      <c r="V318" s="15"/>
      <c r="W318" s="44"/>
      <c r="X318" s="15">
        <f t="shared" si="33"/>
        <v>0</v>
      </c>
      <c r="Y318" s="15"/>
      <c r="Z318" s="44"/>
      <c r="AA318" s="15"/>
      <c r="AB318" s="44"/>
      <c r="AC318" s="15"/>
      <c r="AD318" s="44"/>
      <c r="AE318" s="15"/>
      <c r="AF318" s="44"/>
      <c r="AG318" s="15">
        <f t="shared" si="34"/>
        <v>0</v>
      </c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/>
      <c r="BA318" s="42"/>
      <c r="BB318" s="15">
        <f t="shared" si="37"/>
        <v>0</v>
      </c>
      <c r="BC318" s="15"/>
      <c r="BD318" s="44"/>
      <c r="BE318" s="15"/>
      <c r="BF318" s="44"/>
      <c r="BG318" s="15">
        <f t="shared" si="38"/>
        <v>0</v>
      </c>
    </row>
    <row r="319" spans="1:59" s="8" customFormat="1" ht="22.5" customHeight="1">
      <c r="A319" s="9"/>
      <c r="B319" s="16" t="s">
        <v>172</v>
      </c>
      <c r="C319" s="89" t="s">
        <v>52</v>
      </c>
      <c r="D319" s="104" t="s">
        <v>502</v>
      </c>
      <c r="E319" s="104"/>
      <c r="F319" s="104" t="s">
        <v>1616</v>
      </c>
      <c r="G319" s="104" t="s">
        <v>1617</v>
      </c>
      <c r="H319" s="12"/>
      <c r="I319" s="9"/>
      <c r="J319" s="9" t="s">
        <v>67</v>
      </c>
      <c r="K319" s="14"/>
      <c r="L319" s="14"/>
      <c r="M319" s="12">
        <v>318</v>
      </c>
      <c r="N319" s="9"/>
      <c r="O319" s="9"/>
      <c r="P319" s="9"/>
      <c r="Q319" s="38">
        <f t="shared" si="32"/>
        <v>318</v>
      </c>
      <c r="R319" s="12"/>
      <c r="S319" s="42"/>
      <c r="T319" s="15"/>
      <c r="U319" s="44"/>
      <c r="V319" s="15"/>
      <c r="W319" s="44"/>
      <c r="X319" s="15">
        <f t="shared" si="33"/>
        <v>0</v>
      </c>
      <c r="Y319" s="15"/>
      <c r="Z319" s="44"/>
      <c r="AA319" s="15"/>
      <c r="AB319" s="44"/>
      <c r="AC319" s="15"/>
      <c r="AD319" s="44"/>
      <c r="AE319" s="15"/>
      <c r="AF319" s="44"/>
      <c r="AG319" s="15">
        <f t="shared" si="34"/>
        <v>0</v>
      </c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/>
      <c r="BA319" s="42"/>
      <c r="BB319" s="15">
        <f t="shared" si="37"/>
        <v>0</v>
      </c>
      <c r="BC319" s="15"/>
      <c r="BD319" s="44"/>
      <c r="BE319" s="15"/>
      <c r="BF319" s="44"/>
      <c r="BG319" s="15">
        <f t="shared" si="38"/>
        <v>0</v>
      </c>
    </row>
    <row r="320" spans="1:59" s="8" customFormat="1" ht="22.5" customHeight="1">
      <c r="A320" s="9"/>
      <c r="B320" s="16" t="s">
        <v>172</v>
      </c>
      <c r="C320" s="89" t="s">
        <v>52</v>
      </c>
      <c r="D320" s="104" t="s">
        <v>416</v>
      </c>
      <c r="E320" s="104"/>
      <c r="F320" s="104" t="s">
        <v>1618</v>
      </c>
      <c r="G320" s="104" t="s">
        <v>1619</v>
      </c>
      <c r="H320" s="12"/>
      <c r="I320" s="9"/>
      <c r="J320" s="9" t="s">
        <v>67</v>
      </c>
      <c r="K320" s="14"/>
      <c r="L320" s="14"/>
      <c r="M320" s="12">
        <v>242</v>
      </c>
      <c r="N320" s="9"/>
      <c r="O320" s="9"/>
      <c r="P320" s="9"/>
      <c r="Q320" s="38">
        <f t="shared" si="32"/>
        <v>242</v>
      </c>
      <c r="R320" s="12"/>
      <c r="S320" s="42"/>
      <c r="T320" s="15"/>
      <c r="U320" s="44"/>
      <c r="V320" s="15"/>
      <c r="W320" s="44"/>
      <c r="X320" s="15">
        <f t="shared" si="33"/>
        <v>0</v>
      </c>
      <c r="Y320" s="15"/>
      <c r="Z320" s="44"/>
      <c r="AA320" s="15"/>
      <c r="AB320" s="44"/>
      <c r="AC320" s="15"/>
      <c r="AD320" s="44"/>
      <c r="AE320" s="15"/>
      <c r="AF320" s="44"/>
      <c r="AG320" s="15">
        <f t="shared" si="34"/>
        <v>0</v>
      </c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/>
      <c r="BA320" s="42"/>
      <c r="BB320" s="15">
        <f t="shared" si="37"/>
        <v>0</v>
      </c>
      <c r="BC320" s="15"/>
      <c r="BD320" s="44"/>
      <c r="BE320" s="15"/>
      <c r="BF320" s="44"/>
      <c r="BG320" s="15">
        <f t="shared" si="38"/>
        <v>0</v>
      </c>
    </row>
    <row r="321" spans="1:59" s="8" customFormat="1" ht="22.5" customHeight="1">
      <c r="A321" s="9"/>
      <c r="B321" s="16" t="s">
        <v>172</v>
      </c>
      <c r="C321" s="89" t="s">
        <v>52</v>
      </c>
      <c r="D321" s="104" t="s">
        <v>503</v>
      </c>
      <c r="E321" s="104"/>
      <c r="F321" s="104" t="s">
        <v>1620</v>
      </c>
      <c r="G321" s="104" t="s">
        <v>1621</v>
      </c>
      <c r="H321" s="12"/>
      <c r="I321" s="9"/>
      <c r="J321" s="9" t="s">
        <v>67</v>
      </c>
      <c r="K321" s="14"/>
      <c r="L321" s="14"/>
      <c r="M321" s="12">
        <v>296</v>
      </c>
      <c r="N321" s="9"/>
      <c r="O321" s="9"/>
      <c r="P321" s="9"/>
      <c r="Q321" s="38">
        <f t="shared" si="32"/>
        <v>296</v>
      </c>
      <c r="R321" s="12"/>
      <c r="S321" s="42"/>
      <c r="T321" s="15"/>
      <c r="U321" s="44"/>
      <c r="V321" s="15"/>
      <c r="W321" s="44"/>
      <c r="X321" s="15">
        <f t="shared" si="33"/>
        <v>0</v>
      </c>
      <c r="Y321" s="15"/>
      <c r="Z321" s="44"/>
      <c r="AA321" s="15"/>
      <c r="AB321" s="44"/>
      <c r="AC321" s="15"/>
      <c r="AD321" s="44"/>
      <c r="AE321" s="15"/>
      <c r="AF321" s="44"/>
      <c r="AG321" s="15">
        <f t="shared" si="34"/>
        <v>0</v>
      </c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/>
      <c r="BA321" s="42"/>
      <c r="BB321" s="15">
        <f t="shared" si="37"/>
        <v>0</v>
      </c>
      <c r="BC321" s="15"/>
      <c r="BD321" s="44"/>
      <c r="BE321" s="15"/>
      <c r="BF321" s="44"/>
      <c r="BG321" s="15">
        <f t="shared" si="38"/>
        <v>0</v>
      </c>
    </row>
    <row r="322" spans="1:59" s="8" customFormat="1" ht="22.5" customHeight="1">
      <c r="A322" s="9"/>
      <c r="B322" s="16" t="s">
        <v>172</v>
      </c>
      <c r="C322" s="89" t="s">
        <v>52</v>
      </c>
      <c r="D322" s="104" t="s">
        <v>504</v>
      </c>
      <c r="E322" s="104"/>
      <c r="F322" s="104" t="s">
        <v>1622</v>
      </c>
      <c r="G322" s="104" t="s">
        <v>1623</v>
      </c>
      <c r="H322" s="12"/>
      <c r="I322" s="9"/>
      <c r="J322" s="9" t="s">
        <v>67</v>
      </c>
      <c r="K322" s="14"/>
      <c r="L322" s="14"/>
      <c r="M322" s="12">
        <v>100</v>
      </c>
      <c r="N322" s="9"/>
      <c r="O322" s="9"/>
      <c r="P322" s="9"/>
      <c r="Q322" s="38">
        <f t="shared" si="32"/>
        <v>100</v>
      </c>
      <c r="R322" s="12"/>
      <c r="S322" s="42"/>
      <c r="T322" s="15"/>
      <c r="U322" s="44"/>
      <c r="V322" s="15"/>
      <c r="W322" s="44"/>
      <c r="X322" s="15">
        <f t="shared" si="33"/>
        <v>0</v>
      </c>
      <c r="Y322" s="15"/>
      <c r="Z322" s="44"/>
      <c r="AA322" s="15"/>
      <c r="AB322" s="44"/>
      <c r="AC322" s="15"/>
      <c r="AD322" s="44"/>
      <c r="AE322" s="15"/>
      <c r="AF322" s="44"/>
      <c r="AG322" s="15">
        <f t="shared" si="34"/>
        <v>0</v>
      </c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/>
      <c r="BA322" s="42"/>
      <c r="BB322" s="15">
        <f t="shared" si="37"/>
        <v>0</v>
      </c>
      <c r="BC322" s="15"/>
      <c r="BD322" s="44"/>
      <c r="BE322" s="15"/>
      <c r="BF322" s="44"/>
      <c r="BG322" s="15">
        <f t="shared" si="38"/>
        <v>0</v>
      </c>
    </row>
    <row r="323" spans="1:59" s="8" customFormat="1" ht="22.5" customHeight="1">
      <c r="A323" s="9"/>
      <c r="B323" s="16" t="s">
        <v>172</v>
      </c>
      <c r="C323" s="89" t="s">
        <v>52</v>
      </c>
      <c r="D323" s="104" t="s">
        <v>505</v>
      </c>
      <c r="E323" s="104"/>
      <c r="F323" s="104" t="s">
        <v>1624</v>
      </c>
      <c r="G323" s="104" t="s">
        <v>1625</v>
      </c>
      <c r="H323" s="12"/>
      <c r="I323" s="9"/>
      <c r="J323" s="9" t="s">
        <v>67</v>
      </c>
      <c r="K323" s="14"/>
      <c r="L323" s="14"/>
      <c r="M323" s="12">
        <v>398</v>
      </c>
      <c r="N323" s="9"/>
      <c r="O323" s="9"/>
      <c r="P323" s="9"/>
      <c r="Q323" s="38">
        <f t="shared" si="32"/>
        <v>398</v>
      </c>
      <c r="R323" s="12"/>
      <c r="S323" s="42"/>
      <c r="T323" s="15"/>
      <c r="U323" s="44"/>
      <c r="V323" s="15"/>
      <c r="W323" s="44"/>
      <c r="X323" s="15">
        <f t="shared" si="33"/>
        <v>0</v>
      </c>
      <c r="Y323" s="15"/>
      <c r="Z323" s="44"/>
      <c r="AA323" s="15"/>
      <c r="AB323" s="44"/>
      <c r="AC323" s="15"/>
      <c r="AD323" s="44"/>
      <c r="AE323" s="15"/>
      <c r="AF323" s="44"/>
      <c r="AG323" s="15">
        <f t="shared" si="34"/>
        <v>0</v>
      </c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/>
      <c r="BA323" s="42"/>
      <c r="BB323" s="15">
        <f t="shared" si="37"/>
        <v>0</v>
      </c>
      <c r="BC323" s="15"/>
      <c r="BD323" s="44"/>
      <c r="BE323" s="15"/>
      <c r="BF323" s="44"/>
      <c r="BG323" s="15">
        <f t="shared" si="38"/>
        <v>0</v>
      </c>
    </row>
    <row r="324" spans="1:59" s="8" customFormat="1" ht="22.5" customHeight="1">
      <c r="A324" s="9"/>
      <c r="B324" s="16" t="s">
        <v>172</v>
      </c>
      <c r="C324" s="89" t="s">
        <v>52</v>
      </c>
      <c r="D324" s="104" t="s">
        <v>506</v>
      </c>
      <c r="E324" s="104"/>
      <c r="F324" s="104" t="s">
        <v>1626</v>
      </c>
      <c r="G324" s="104" t="s">
        <v>1627</v>
      </c>
      <c r="H324" s="12"/>
      <c r="I324" s="9"/>
      <c r="J324" s="9" t="s">
        <v>67</v>
      </c>
      <c r="K324" s="14"/>
      <c r="L324" s="14"/>
      <c r="M324" s="12"/>
      <c r="N324" s="9"/>
      <c r="O324" s="9"/>
      <c r="P324" s="9"/>
      <c r="Q324" s="38">
        <f t="shared" ref="Q324:Q387" si="39">M324+X324-AG324-BB324</f>
        <v>0</v>
      </c>
      <c r="R324" s="12"/>
      <c r="S324" s="42"/>
      <c r="T324" s="15"/>
      <c r="U324" s="44"/>
      <c r="V324" s="15"/>
      <c r="W324" s="44"/>
      <c r="X324" s="15">
        <f t="shared" ref="X324:X387" si="40">R324+T324+V324</f>
        <v>0</v>
      </c>
      <c r="Y324" s="15"/>
      <c r="Z324" s="44"/>
      <c r="AA324" s="15"/>
      <c r="AB324" s="44"/>
      <c r="AC324" s="15"/>
      <c r="AD324" s="44"/>
      <c r="AE324" s="15"/>
      <c r="AF324" s="44"/>
      <c r="AG324" s="15">
        <f t="shared" ref="AG324:AG387" si="41">(Y324+AA324+AC324+AE324)</f>
        <v>0</v>
      </c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/>
      <c r="BA324" s="42"/>
      <c r="BB324" s="15">
        <f t="shared" si="37"/>
        <v>0</v>
      </c>
      <c r="BC324" s="15"/>
      <c r="BD324" s="44"/>
      <c r="BE324" s="15"/>
      <c r="BF324" s="44"/>
      <c r="BG324" s="15">
        <f t="shared" si="38"/>
        <v>0</v>
      </c>
    </row>
    <row r="325" spans="1:59" s="8" customFormat="1" ht="22.5" customHeight="1">
      <c r="A325" s="9"/>
      <c r="B325" s="16" t="s">
        <v>120</v>
      </c>
      <c r="C325" s="89" t="s">
        <v>507</v>
      </c>
      <c r="D325" s="104" t="s">
        <v>1628</v>
      </c>
      <c r="E325" s="104" t="s">
        <v>509</v>
      </c>
      <c r="F325" s="104" t="s">
        <v>1629</v>
      </c>
      <c r="G325" s="104" t="s">
        <v>1630</v>
      </c>
      <c r="H325" s="12"/>
      <c r="I325" s="9"/>
      <c r="J325" s="9" t="s">
        <v>67</v>
      </c>
      <c r="K325" s="14"/>
      <c r="L325" s="14"/>
      <c r="M325" s="12">
        <v>169</v>
      </c>
      <c r="N325" s="9"/>
      <c r="O325" s="9"/>
      <c r="P325" s="9"/>
      <c r="Q325" s="38">
        <f t="shared" si="39"/>
        <v>169</v>
      </c>
      <c r="R325" s="12"/>
      <c r="S325" s="42"/>
      <c r="T325" s="15"/>
      <c r="U325" s="44"/>
      <c r="V325" s="15"/>
      <c r="W325" s="44"/>
      <c r="X325" s="15">
        <f t="shared" si="40"/>
        <v>0</v>
      </c>
      <c r="Y325" s="15"/>
      <c r="Z325" s="44"/>
      <c r="AA325" s="15"/>
      <c r="AB325" s="44"/>
      <c r="AC325" s="15"/>
      <c r="AD325" s="44"/>
      <c r="AE325" s="15"/>
      <c r="AF325" s="44"/>
      <c r="AG325" s="15">
        <f t="shared" si="41"/>
        <v>0</v>
      </c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/>
      <c r="BA325" s="42"/>
      <c r="BB325" s="15">
        <f t="shared" si="37"/>
        <v>0</v>
      </c>
      <c r="BC325" s="15"/>
      <c r="BD325" s="44"/>
      <c r="BE325" s="15"/>
      <c r="BF325" s="44"/>
      <c r="BG325" s="15">
        <f t="shared" si="38"/>
        <v>0</v>
      </c>
    </row>
    <row r="326" spans="1:59" s="8" customFormat="1" ht="22.5" customHeight="1">
      <c r="A326" s="9"/>
      <c r="B326" s="16" t="s">
        <v>120</v>
      </c>
      <c r="C326" s="89" t="s">
        <v>1610</v>
      </c>
      <c r="D326" s="104" t="s">
        <v>194</v>
      </c>
      <c r="E326" s="104" t="s">
        <v>510</v>
      </c>
      <c r="F326" s="104" t="s">
        <v>1631</v>
      </c>
      <c r="G326" s="104" t="s">
        <v>1632</v>
      </c>
      <c r="H326" s="12"/>
      <c r="I326" s="9"/>
      <c r="J326" s="9" t="s">
        <v>67</v>
      </c>
      <c r="K326" s="14"/>
      <c r="L326" s="14"/>
      <c r="M326" s="12"/>
      <c r="N326" s="9"/>
      <c r="O326" s="9"/>
      <c r="P326" s="9"/>
      <c r="Q326" s="38">
        <f t="shared" si="39"/>
        <v>0</v>
      </c>
      <c r="R326" s="12"/>
      <c r="S326" s="42"/>
      <c r="T326" s="15"/>
      <c r="U326" s="44"/>
      <c r="V326" s="15"/>
      <c r="W326" s="44"/>
      <c r="X326" s="15">
        <f t="shared" si="40"/>
        <v>0</v>
      </c>
      <c r="Y326" s="15"/>
      <c r="Z326" s="44"/>
      <c r="AA326" s="15"/>
      <c r="AB326" s="44"/>
      <c r="AC326" s="15"/>
      <c r="AD326" s="44"/>
      <c r="AE326" s="15"/>
      <c r="AF326" s="44"/>
      <c r="AG326" s="15">
        <f t="shared" si="41"/>
        <v>0</v>
      </c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/>
      <c r="BA326" s="42"/>
      <c r="BB326" s="15">
        <f t="shared" si="37"/>
        <v>0</v>
      </c>
      <c r="BC326" s="15"/>
      <c r="BD326" s="44"/>
      <c r="BE326" s="15"/>
      <c r="BF326" s="44"/>
      <c r="BG326" s="15">
        <f t="shared" si="38"/>
        <v>0</v>
      </c>
    </row>
    <row r="327" spans="1:59" s="8" customFormat="1" ht="22.5" customHeight="1">
      <c r="A327" s="9"/>
      <c r="B327" s="16" t="s">
        <v>120</v>
      </c>
      <c r="C327" s="89" t="s">
        <v>1610</v>
      </c>
      <c r="D327" s="104" t="s">
        <v>263</v>
      </c>
      <c r="E327" s="104" t="s">
        <v>511</v>
      </c>
      <c r="F327" s="104" t="s">
        <v>1633</v>
      </c>
      <c r="G327" s="104" t="s">
        <v>1634</v>
      </c>
      <c r="H327" s="12"/>
      <c r="I327" s="9"/>
      <c r="J327" s="9" t="s">
        <v>67</v>
      </c>
      <c r="K327" s="14"/>
      <c r="L327" s="14"/>
      <c r="M327" s="12">
        <v>200</v>
      </c>
      <c r="N327" s="9"/>
      <c r="O327" s="9"/>
      <c r="P327" s="9"/>
      <c r="Q327" s="38">
        <f t="shared" si="39"/>
        <v>200</v>
      </c>
      <c r="R327" s="12"/>
      <c r="S327" s="42"/>
      <c r="T327" s="15"/>
      <c r="U327" s="44"/>
      <c r="V327" s="15"/>
      <c r="W327" s="44"/>
      <c r="X327" s="15">
        <f t="shared" si="40"/>
        <v>0</v>
      </c>
      <c r="Y327" s="15"/>
      <c r="Z327" s="44"/>
      <c r="AA327" s="15"/>
      <c r="AB327" s="44"/>
      <c r="AC327" s="15"/>
      <c r="AD327" s="44"/>
      <c r="AE327" s="15"/>
      <c r="AF327" s="44"/>
      <c r="AG327" s="15">
        <f t="shared" si="41"/>
        <v>0</v>
      </c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/>
      <c r="BA327" s="42"/>
      <c r="BB327" s="15">
        <f t="shared" si="37"/>
        <v>0</v>
      </c>
      <c r="BC327" s="15"/>
      <c r="BD327" s="44"/>
      <c r="BE327" s="15"/>
      <c r="BF327" s="44"/>
      <c r="BG327" s="15">
        <f t="shared" si="38"/>
        <v>0</v>
      </c>
    </row>
    <row r="328" spans="1:59" s="8" customFormat="1" ht="22.5" customHeight="1">
      <c r="A328" s="9"/>
      <c r="B328" s="16" t="s">
        <v>120</v>
      </c>
      <c r="C328" s="89" t="s">
        <v>52</v>
      </c>
      <c r="D328" s="104" t="s">
        <v>265</v>
      </c>
      <c r="E328" s="104" t="s">
        <v>512</v>
      </c>
      <c r="F328" s="104" t="s">
        <v>1635</v>
      </c>
      <c r="G328" s="104" t="s">
        <v>1636</v>
      </c>
      <c r="H328" s="12"/>
      <c r="I328" s="9"/>
      <c r="J328" s="9" t="s">
        <v>67</v>
      </c>
      <c r="K328" s="14"/>
      <c r="L328" s="14"/>
      <c r="M328" s="12">
        <v>333</v>
      </c>
      <c r="N328" s="9"/>
      <c r="O328" s="9"/>
      <c r="P328" s="9"/>
      <c r="Q328" s="38">
        <f t="shared" si="39"/>
        <v>333</v>
      </c>
      <c r="R328" s="12"/>
      <c r="S328" s="42"/>
      <c r="T328" s="15"/>
      <c r="U328" s="44"/>
      <c r="V328" s="15"/>
      <c r="W328" s="44"/>
      <c r="X328" s="15">
        <f t="shared" si="40"/>
        <v>0</v>
      </c>
      <c r="Y328" s="15"/>
      <c r="Z328" s="44"/>
      <c r="AA328" s="15"/>
      <c r="AB328" s="44"/>
      <c r="AC328" s="15"/>
      <c r="AD328" s="44"/>
      <c r="AE328" s="15"/>
      <c r="AF328" s="44"/>
      <c r="AG328" s="15">
        <f t="shared" si="41"/>
        <v>0</v>
      </c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/>
      <c r="BA328" s="42"/>
      <c r="BB328" s="15">
        <f t="shared" si="37"/>
        <v>0</v>
      </c>
      <c r="BC328" s="15"/>
      <c r="BD328" s="44"/>
      <c r="BE328" s="15"/>
      <c r="BF328" s="44"/>
      <c r="BG328" s="15">
        <f t="shared" si="38"/>
        <v>0</v>
      </c>
    </row>
    <row r="329" spans="1:59" s="8" customFormat="1" ht="22.5" customHeight="1">
      <c r="A329" s="9"/>
      <c r="B329" s="16" t="s">
        <v>120</v>
      </c>
      <c r="C329" s="89" t="s">
        <v>52</v>
      </c>
      <c r="D329" s="104" t="s">
        <v>198</v>
      </c>
      <c r="E329" s="104" t="s">
        <v>513</v>
      </c>
      <c r="F329" s="104" t="s">
        <v>1637</v>
      </c>
      <c r="G329" s="104" t="s">
        <v>1638</v>
      </c>
      <c r="H329" s="12"/>
      <c r="I329" s="9"/>
      <c r="J329" s="9" t="s">
        <v>67</v>
      </c>
      <c r="K329" s="14"/>
      <c r="L329" s="14"/>
      <c r="M329" s="12"/>
      <c r="N329" s="9"/>
      <c r="O329" s="9"/>
      <c r="P329" s="9"/>
      <c r="Q329" s="38">
        <f t="shared" si="39"/>
        <v>0</v>
      </c>
      <c r="R329" s="12"/>
      <c r="S329" s="42"/>
      <c r="T329" s="15"/>
      <c r="U329" s="44"/>
      <c r="V329" s="15"/>
      <c r="W329" s="44"/>
      <c r="X329" s="15">
        <f t="shared" si="40"/>
        <v>0</v>
      </c>
      <c r="Y329" s="15"/>
      <c r="Z329" s="44"/>
      <c r="AA329" s="15"/>
      <c r="AB329" s="44"/>
      <c r="AC329" s="15"/>
      <c r="AD329" s="44"/>
      <c r="AE329" s="15"/>
      <c r="AF329" s="44"/>
      <c r="AG329" s="15">
        <f t="shared" si="41"/>
        <v>0</v>
      </c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/>
      <c r="BA329" s="42"/>
      <c r="BB329" s="15">
        <f t="shared" si="37"/>
        <v>0</v>
      </c>
      <c r="BC329" s="15"/>
      <c r="BD329" s="44"/>
      <c r="BE329" s="15"/>
      <c r="BF329" s="44"/>
      <c r="BG329" s="15">
        <f t="shared" si="38"/>
        <v>0</v>
      </c>
    </row>
    <row r="330" spans="1:59" s="8" customFormat="1" ht="22.5" customHeight="1">
      <c r="A330" s="9"/>
      <c r="B330" s="16" t="s">
        <v>120</v>
      </c>
      <c r="C330" s="89" t="s">
        <v>494</v>
      </c>
      <c r="D330" s="104" t="s">
        <v>514</v>
      </c>
      <c r="E330" s="104" t="s">
        <v>515</v>
      </c>
      <c r="F330" s="104" t="s">
        <v>1639</v>
      </c>
      <c r="G330" s="104" t="s">
        <v>1640</v>
      </c>
      <c r="H330" s="12"/>
      <c r="I330" s="9"/>
      <c r="J330" s="9" t="s">
        <v>67</v>
      </c>
      <c r="K330" s="14"/>
      <c r="L330" s="14"/>
      <c r="M330" s="12">
        <v>234</v>
      </c>
      <c r="N330" s="9"/>
      <c r="O330" s="9"/>
      <c r="P330" s="9"/>
      <c r="Q330" s="38">
        <f t="shared" si="39"/>
        <v>234</v>
      </c>
      <c r="R330" s="12"/>
      <c r="S330" s="42"/>
      <c r="T330" s="15"/>
      <c r="U330" s="44"/>
      <c r="V330" s="15"/>
      <c r="W330" s="44"/>
      <c r="X330" s="15">
        <f t="shared" si="40"/>
        <v>0</v>
      </c>
      <c r="Y330" s="15"/>
      <c r="Z330" s="44"/>
      <c r="AA330" s="15"/>
      <c r="AB330" s="44"/>
      <c r="AC330" s="15"/>
      <c r="AD330" s="44"/>
      <c r="AE330" s="15"/>
      <c r="AF330" s="44"/>
      <c r="AG330" s="15">
        <f t="shared" si="41"/>
        <v>0</v>
      </c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/>
      <c r="BA330" s="42"/>
      <c r="BB330" s="15">
        <f t="shared" si="37"/>
        <v>0</v>
      </c>
      <c r="BC330" s="15"/>
      <c r="BD330" s="44"/>
      <c r="BE330" s="15"/>
      <c r="BF330" s="44"/>
      <c r="BG330" s="15">
        <f t="shared" si="38"/>
        <v>0</v>
      </c>
    </row>
    <row r="331" spans="1:59" s="8" customFormat="1" ht="22.5" customHeight="1">
      <c r="A331" s="9"/>
      <c r="B331" s="16" t="s">
        <v>120</v>
      </c>
      <c r="C331" s="89" t="s">
        <v>494</v>
      </c>
      <c r="D331" s="104" t="s">
        <v>200</v>
      </c>
      <c r="E331" s="104" t="s">
        <v>516</v>
      </c>
      <c r="F331" s="104" t="s">
        <v>1641</v>
      </c>
      <c r="G331" s="104" t="s">
        <v>1642</v>
      </c>
      <c r="H331" s="12"/>
      <c r="I331" s="9"/>
      <c r="J331" s="9" t="s">
        <v>67</v>
      </c>
      <c r="K331" s="14"/>
      <c r="L331" s="14"/>
      <c r="M331" s="12"/>
      <c r="N331" s="9"/>
      <c r="O331" s="9"/>
      <c r="P331" s="9"/>
      <c r="Q331" s="38">
        <f t="shared" si="39"/>
        <v>0</v>
      </c>
      <c r="R331" s="12"/>
      <c r="S331" s="42"/>
      <c r="T331" s="15"/>
      <c r="U331" s="44"/>
      <c r="V331" s="15"/>
      <c r="W331" s="44"/>
      <c r="X331" s="15">
        <f t="shared" si="40"/>
        <v>0</v>
      </c>
      <c r="Y331" s="15"/>
      <c r="Z331" s="44"/>
      <c r="AA331" s="15"/>
      <c r="AB331" s="44"/>
      <c r="AC331" s="15"/>
      <c r="AD331" s="44"/>
      <c r="AE331" s="15"/>
      <c r="AF331" s="44"/>
      <c r="AG331" s="15">
        <f t="shared" si="41"/>
        <v>0</v>
      </c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/>
      <c r="BA331" s="42"/>
      <c r="BB331" s="15">
        <f t="shared" si="37"/>
        <v>0</v>
      </c>
      <c r="BC331" s="15"/>
      <c r="BD331" s="44"/>
      <c r="BE331" s="15"/>
      <c r="BF331" s="44"/>
      <c r="BG331" s="15">
        <f t="shared" si="38"/>
        <v>0</v>
      </c>
    </row>
    <row r="332" spans="1:59" s="8" customFormat="1" ht="22.5" customHeight="1">
      <c r="A332" s="9"/>
      <c r="B332" s="16" t="s">
        <v>120</v>
      </c>
      <c r="C332" s="89" t="s">
        <v>494</v>
      </c>
      <c r="D332" s="104" t="s">
        <v>517</v>
      </c>
      <c r="E332" s="104" t="s">
        <v>518</v>
      </c>
      <c r="F332" s="104" t="s">
        <v>1643</v>
      </c>
      <c r="G332" s="104" t="s">
        <v>1644</v>
      </c>
      <c r="H332" s="12"/>
      <c r="I332" s="9"/>
      <c r="J332" s="9" t="s">
        <v>67</v>
      </c>
      <c r="K332" s="14"/>
      <c r="L332" s="14"/>
      <c r="M332" s="12">
        <v>500</v>
      </c>
      <c r="N332" s="9"/>
      <c r="O332" s="9"/>
      <c r="P332" s="9"/>
      <c r="Q332" s="38">
        <f t="shared" si="39"/>
        <v>500</v>
      </c>
      <c r="R332" s="12"/>
      <c r="S332" s="42"/>
      <c r="T332" s="15"/>
      <c r="U332" s="44"/>
      <c r="V332" s="15"/>
      <c r="W332" s="44"/>
      <c r="X332" s="15">
        <f t="shared" si="40"/>
        <v>0</v>
      </c>
      <c r="Y332" s="15"/>
      <c r="Z332" s="44"/>
      <c r="AA332" s="15"/>
      <c r="AB332" s="44"/>
      <c r="AC332" s="15"/>
      <c r="AD332" s="44"/>
      <c r="AE332" s="15"/>
      <c r="AF332" s="44"/>
      <c r="AG332" s="15">
        <f t="shared" si="41"/>
        <v>0</v>
      </c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/>
      <c r="BA332" s="42"/>
      <c r="BB332" s="15">
        <f t="shared" si="37"/>
        <v>0</v>
      </c>
      <c r="BC332" s="15"/>
      <c r="BD332" s="44"/>
      <c r="BE332" s="15"/>
      <c r="BF332" s="44"/>
      <c r="BG332" s="15">
        <f t="shared" si="38"/>
        <v>0</v>
      </c>
    </row>
    <row r="333" spans="1:59" s="8" customFormat="1" ht="22.5" customHeight="1">
      <c r="A333" s="9"/>
      <c r="B333" s="16" t="s">
        <v>120</v>
      </c>
      <c r="C333" s="89" t="s">
        <v>494</v>
      </c>
      <c r="D333" s="104" t="s">
        <v>519</v>
      </c>
      <c r="E333" s="104" t="s">
        <v>520</v>
      </c>
      <c r="F333" s="104" t="s">
        <v>1645</v>
      </c>
      <c r="G333" s="104" t="s">
        <v>1646</v>
      </c>
      <c r="H333" s="12"/>
      <c r="I333" s="9"/>
      <c r="J333" s="9" t="s">
        <v>67</v>
      </c>
      <c r="K333" s="14"/>
      <c r="L333" s="14"/>
      <c r="M333" s="12">
        <v>483</v>
      </c>
      <c r="N333" s="9"/>
      <c r="O333" s="9"/>
      <c r="P333" s="9"/>
      <c r="Q333" s="38">
        <f t="shared" si="39"/>
        <v>483</v>
      </c>
      <c r="R333" s="12"/>
      <c r="S333" s="42"/>
      <c r="T333" s="15"/>
      <c r="U333" s="44"/>
      <c r="V333" s="15"/>
      <c r="W333" s="44"/>
      <c r="X333" s="15">
        <f t="shared" si="40"/>
        <v>0</v>
      </c>
      <c r="Y333" s="15"/>
      <c r="Z333" s="44"/>
      <c r="AA333" s="15"/>
      <c r="AB333" s="44"/>
      <c r="AC333" s="15"/>
      <c r="AD333" s="44"/>
      <c r="AE333" s="15"/>
      <c r="AF333" s="44"/>
      <c r="AG333" s="15">
        <f t="shared" si="41"/>
        <v>0</v>
      </c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/>
      <c r="BA333" s="42"/>
      <c r="BB333" s="15">
        <f t="shared" ref="BB333:BB363" si="42">AH333+AJ333+AL333+AN333+AP333+AR333+AT333+AV333+AX333+AZ333</f>
        <v>0</v>
      </c>
      <c r="BC333" s="15"/>
      <c r="BD333" s="44"/>
      <c r="BE333" s="15"/>
      <c r="BF333" s="44"/>
      <c r="BG333" s="15">
        <f t="shared" ref="BG333:BG363" si="43">(BC333+BE333)</f>
        <v>0</v>
      </c>
    </row>
    <row r="334" spans="1:59" s="8" customFormat="1" ht="22.5" customHeight="1">
      <c r="A334" s="9"/>
      <c r="B334" s="16" t="s">
        <v>120</v>
      </c>
      <c r="C334" s="89" t="s">
        <v>52</v>
      </c>
      <c r="D334" s="104" t="s">
        <v>270</v>
      </c>
      <c r="E334" s="104" t="s">
        <v>521</v>
      </c>
      <c r="F334" s="104" t="s">
        <v>1647</v>
      </c>
      <c r="G334" s="104" t="s">
        <v>1648</v>
      </c>
      <c r="H334" s="12"/>
      <c r="I334" s="9"/>
      <c r="J334" s="9" t="s">
        <v>67</v>
      </c>
      <c r="K334" s="14"/>
      <c r="L334" s="14"/>
      <c r="M334" s="12"/>
      <c r="N334" s="9"/>
      <c r="O334" s="9"/>
      <c r="P334" s="9"/>
      <c r="Q334" s="38">
        <f t="shared" si="39"/>
        <v>0</v>
      </c>
      <c r="R334" s="12"/>
      <c r="S334" s="42"/>
      <c r="T334" s="15"/>
      <c r="U334" s="44"/>
      <c r="V334" s="15"/>
      <c r="W334" s="44"/>
      <c r="X334" s="15">
        <f t="shared" si="40"/>
        <v>0</v>
      </c>
      <c r="Y334" s="15"/>
      <c r="Z334" s="44"/>
      <c r="AA334" s="15"/>
      <c r="AB334" s="44"/>
      <c r="AC334" s="15"/>
      <c r="AD334" s="44"/>
      <c r="AE334" s="15"/>
      <c r="AF334" s="44"/>
      <c r="AG334" s="15">
        <f t="shared" si="41"/>
        <v>0</v>
      </c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/>
      <c r="BA334" s="42"/>
      <c r="BB334" s="15">
        <f t="shared" si="42"/>
        <v>0</v>
      </c>
      <c r="BC334" s="15"/>
      <c r="BD334" s="44"/>
      <c r="BE334" s="15"/>
      <c r="BF334" s="44"/>
      <c r="BG334" s="15">
        <f t="shared" si="43"/>
        <v>0</v>
      </c>
    </row>
    <row r="335" spans="1:59" s="8" customFormat="1" ht="22.5" customHeight="1">
      <c r="A335" s="9"/>
      <c r="B335" s="16" t="s">
        <v>120</v>
      </c>
      <c r="C335" s="89" t="s">
        <v>494</v>
      </c>
      <c r="D335" s="104" t="s">
        <v>522</v>
      </c>
      <c r="E335" s="104" t="s">
        <v>523</v>
      </c>
      <c r="F335" s="104" t="s">
        <v>1649</v>
      </c>
      <c r="G335" s="104" t="s">
        <v>1650</v>
      </c>
      <c r="H335" s="12"/>
      <c r="I335" s="9"/>
      <c r="J335" s="9" t="s">
        <v>67</v>
      </c>
      <c r="K335" s="14"/>
      <c r="L335" s="14"/>
      <c r="M335" s="12">
        <v>152</v>
      </c>
      <c r="N335" s="9"/>
      <c r="O335" s="9"/>
      <c r="P335" s="9"/>
      <c r="Q335" s="38">
        <f t="shared" si="39"/>
        <v>152</v>
      </c>
      <c r="R335" s="12"/>
      <c r="S335" s="42"/>
      <c r="T335" s="15"/>
      <c r="U335" s="44"/>
      <c r="V335" s="15"/>
      <c r="W335" s="44"/>
      <c r="X335" s="15">
        <f t="shared" si="40"/>
        <v>0</v>
      </c>
      <c r="Y335" s="15"/>
      <c r="Z335" s="44"/>
      <c r="AA335" s="15"/>
      <c r="AB335" s="44"/>
      <c r="AC335" s="15"/>
      <c r="AD335" s="44"/>
      <c r="AE335" s="15"/>
      <c r="AF335" s="44"/>
      <c r="AG335" s="15">
        <f t="shared" si="41"/>
        <v>0</v>
      </c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/>
      <c r="BA335" s="42"/>
      <c r="BB335" s="15">
        <f t="shared" si="42"/>
        <v>0</v>
      </c>
      <c r="BC335" s="15"/>
      <c r="BD335" s="44"/>
      <c r="BE335" s="15"/>
      <c r="BF335" s="44"/>
      <c r="BG335" s="15">
        <f t="shared" si="43"/>
        <v>0</v>
      </c>
    </row>
    <row r="336" spans="1:59" s="8" customFormat="1" ht="22.5" customHeight="1">
      <c r="A336" s="9"/>
      <c r="B336" s="16" t="s">
        <v>120</v>
      </c>
      <c r="C336" s="89" t="s">
        <v>52</v>
      </c>
      <c r="D336" s="104" t="s">
        <v>524</v>
      </c>
      <c r="E336" s="104" t="s">
        <v>525</v>
      </c>
      <c r="F336" s="104" t="s">
        <v>1651</v>
      </c>
      <c r="G336" s="104" t="s">
        <v>1652</v>
      </c>
      <c r="H336" s="12"/>
      <c r="I336" s="9"/>
      <c r="J336" s="9" t="s">
        <v>67</v>
      </c>
      <c r="K336" s="14"/>
      <c r="L336" s="14"/>
      <c r="M336" s="12">
        <v>620</v>
      </c>
      <c r="N336" s="9"/>
      <c r="O336" s="9"/>
      <c r="P336" s="9"/>
      <c r="Q336" s="38">
        <f t="shared" si="39"/>
        <v>620</v>
      </c>
      <c r="R336" s="12"/>
      <c r="S336" s="42"/>
      <c r="T336" s="15"/>
      <c r="U336" s="44"/>
      <c r="V336" s="15"/>
      <c r="W336" s="44"/>
      <c r="X336" s="15">
        <f t="shared" si="40"/>
        <v>0</v>
      </c>
      <c r="Y336" s="15"/>
      <c r="Z336" s="44"/>
      <c r="AA336" s="15"/>
      <c r="AB336" s="44"/>
      <c r="AC336" s="15"/>
      <c r="AD336" s="44"/>
      <c r="AE336" s="15"/>
      <c r="AF336" s="44"/>
      <c r="AG336" s="15">
        <f t="shared" si="41"/>
        <v>0</v>
      </c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/>
      <c r="BA336" s="42"/>
      <c r="BB336" s="15">
        <f t="shared" si="42"/>
        <v>0</v>
      </c>
      <c r="BC336" s="15"/>
      <c r="BD336" s="44"/>
      <c r="BE336" s="15"/>
      <c r="BF336" s="44"/>
      <c r="BG336" s="15">
        <f t="shared" si="43"/>
        <v>0</v>
      </c>
    </row>
    <row r="337" spans="1:59" s="8" customFormat="1" ht="22.5" customHeight="1">
      <c r="A337" s="9"/>
      <c r="B337" s="16" t="s">
        <v>187</v>
      </c>
      <c r="C337" s="89" t="s">
        <v>494</v>
      </c>
      <c r="D337" s="104" t="s">
        <v>526</v>
      </c>
      <c r="E337" s="104" t="s">
        <v>499</v>
      </c>
      <c r="F337" s="104" t="s">
        <v>1653</v>
      </c>
      <c r="G337" s="104" t="s">
        <v>1654</v>
      </c>
      <c r="H337" s="12"/>
      <c r="I337" s="9"/>
      <c r="J337" s="9" t="s">
        <v>527</v>
      </c>
      <c r="K337" s="14"/>
      <c r="L337" s="14"/>
      <c r="M337" s="12"/>
      <c r="N337" s="9"/>
      <c r="O337" s="9"/>
      <c r="P337" s="9"/>
      <c r="Q337" s="38">
        <f t="shared" si="39"/>
        <v>0</v>
      </c>
      <c r="R337" s="12"/>
      <c r="S337" s="42"/>
      <c r="T337" s="15"/>
      <c r="U337" s="44"/>
      <c r="V337" s="15"/>
      <c r="W337" s="44"/>
      <c r="X337" s="15">
        <f t="shared" si="40"/>
        <v>0</v>
      </c>
      <c r="Y337" s="15"/>
      <c r="Z337" s="44"/>
      <c r="AA337" s="15"/>
      <c r="AB337" s="44"/>
      <c r="AC337" s="15"/>
      <c r="AD337" s="44"/>
      <c r="AE337" s="15"/>
      <c r="AF337" s="44"/>
      <c r="AG337" s="15">
        <f t="shared" si="41"/>
        <v>0</v>
      </c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/>
      <c r="BA337" s="42"/>
      <c r="BB337" s="15">
        <f t="shared" si="42"/>
        <v>0</v>
      </c>
      <c r="BC337" s="15"/>
      <c r="BD337" s="44"/>
      <c r="BE337" s="15"/>
      <c r="BF337" s="44"/>
      <c r="BG337" s="15">
        <f t="shared" si="43"/>
        <v>0</v>
      </c>
    </row>
    <row r="338" spans="1:59" s="8" customFormat="1" ht="22.5" customHeight="1">
      <c r="A338" s="9"/>
      <c r="B338" s="16" t="s">
        <v>528</v>
      </c>
      <c r="C338" s="89" t="s">
        <v>494</v>
      </c>
      <c r="D338" s="104" t="s">
        <v>529</v>
      </c>
      <c r="E338" s="104" t="s">
        <v>499</v>
      </c>
      <c r="F338" s="104" t="s">
        <v>1655</v>
      </c>
      <c r="G338" s="104" t="s">
        <v>1656</v>
      </c>
      <c r="H338" s="12"/>
      <c r="I338" s="9"/>
      <c r="J338" s="9" t="s">
        <v>527</v>
      </c>
      <c r="K338" s="14"/>
      <c r="L338" s="14"/>
      <c r="M338" s="12"/>
      <c r="N338" s="9"/>
      <c r="O338" s="9"/>
      <c r="P338" s="9"/>
      <c r="Q338" s="38">
        <f t="shared" si="39"/>
        <v>0</v>
      </c>
      <c r="R338" s="12"/>
      <c r="S338" s="42"/>
      <c r="T338" s="15"/>
      <c r="U338" s="44"/>
      <c r="V338" s="15"/>
      <c r="W338" s="44"/>
      <c r="X338" s="15">
        <f t="shared" si="40"/>
        <v>0</v>
      </c>
      <c r="Y338" s="15"/>
      <c r="Z338" s="44"/>
      <c r="AA338" s="15"/>
      <c r="AB338" s="44"/>
      <c r="AC338" s="15"/>
      <c r="AD338" s="44"/>
      <c r="AE338" s="15"/>
      <c r="AF338" s="44"/>
      <c r="AG338" s="15">
        <f t="shared" si="41"/>
        <v>0</v>
      </c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/>
      <c r="BA338" s="42"/>
      <c r="BB338" s="15">
        <f t="shared" si="42"/>
        <v>0</v>
      </c>
      <c r="BC338" s="15"/>
      <c r="BD338" s="44"/>
      <c r="BE338" s="15"/>
      <c r="BF338" s="44"/>
      <c r="BG338" s="15">
        <f t="shared" si="43"/>
        <v>0</v>
      </c>
    </row>
    <row r="339" spans="1:59" s="8" customFormat="1" ht="22.5" customHeight="1">
      <c r="A339" s="9"/>
      <c r="B339" s="16" t="s">
        <v>204</v>
      </c>
      <c r="C339" s="89" t="s">
        <v>52</v>
      </c>
      <c r="D339" s="104" t="s">
        <v>530</v>
      </c>
      <c r="E339" s="104" t="s">
        <v>531</v>
      </c>
      <c r="F339" s="104" t="s">
        <v>1657</v>
      </c>
      <c r="G339" s="104" t="s">
        <v>1658</v>
      </c>
      <c r="H339" s="12"/>
      <c r="I339" s="9"/>
      <c r="J339" s="9" t="s">
        <v>207</v>
      </c>
      <c r="K339" s="14"/>
      <c r="L339" s="14"/>
      <c r="M339" s="12">
        <v>348</v>
      </c>
      <c r="N339" s="9"/>
      <c r="O339" s="9"/>
      <c r="P339" s="9"/>
      <c r="Q339" s="38">
        <f t="shared" si="39"/>
        <v>348</v>
      </c>
      <c r="R339" s="12"/>
      <c r="S339" s="42"/>
      <c r="T339" s="15"/>
      <c r="U339" s="44"/>
      <c r="V339" s="15"/>
      <c r="W339" s="44"/>
      <c r="X339" s="15">
        <f t="shared" si="40"/>
        <v>0</v>
      </c>
      <c r="Y339" s="15"/>
      <c r="Z339" s="44"/>
      <c r="AA339" s="15"/>
      <c r="AB339" s="44"/>
      <c r="AC339" s="15"/>
      <c r="AD339" s="44"/>
      <c r="AE339" s="15"/>
      <c r="AF339" s="44"/>
      <c r="AG339" s="15">
        <f t="shared" si="41"/>
        <v>0</v>
      </c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/>
      <c r="BA339" s="42"/>
      <c r="BB339" s="15">
        <f t="shared" si="42"/>
        <v>0</v>
      </c>
      <c r="BC339" s="15"/>
      <c r="BD339" s="44"/>
      <c r="BE339" s="15"/>
      <c r="BF339" s="44"/>
      <c r="BG339" s="15">
        <f t="shared" si="43"/>
        <v>0</v>
      </c>
    </row>
    <row r="340" spans="1:59" s="8" customFormat="1" ht="22.5" customHeight="1">
      <c r="A340" s="9"/>
      <c r="B340" s="16" t="s">
        <v>204</v>
      </c>
      <c r="C340" s="89" t="s">
        <v>52</v>
      </c>
      <c r="D340" s="104" t="s">
        <v>532</v>
      </c>
      <c r="E340" s="104" t="s">
        <v>531</v>
      </c>
      <c r="F340" s="104" t="s">
        <v>1659</v>
      </c>
      <c r="G340" s="104" t="s">
        <v>1660</v>
      </c>
      <c r="H340" s="12"/>
      <c r="I340" s="9"/>
      <c r="J340" s="9" t="s">
        <v>207</v>
      </c>
      <c r="K340" s="14"/>
      <c r="L340" s="14"/>
      <c r="M340" s="12">
        <v>326</v>
      </c>
      <c r="N340" s="9"/>
      <c r="O340" s="9"/>
      <c r="P340" s="9"/>
      <c r="Q340" s="38">
        <f t="shared" si="39"/>
        <v>326</v>
      </c>
      <c r="R340" s="12"/>
      <c r="S340" s="42"/>
      <c r="T340" s="15"/>
      <c r="U340" s="44"/>
      <c r="V340" s="15"/>
      <c r="W340" s="44"/>
      <c r="X340" s="15">
        <f t="shared" si="40"/>
        <v>0</v>
      </c>
      <c r="Y340" s="15"/>
      <c r="Z340" s="44"/>
      <c r="AA340" s="15"/>
      <c r="AB340" s="44"/>
      <c r="AC340" s="15"/>
      <c r="AD340" s="44"/>
      <c r="AE340" s="15"/>
      <c r="AF340" s="44"/>
      <c r="AG340" s="15">
        <f t="shared" si="41"/>
        <v>0</v>
      </c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/>
      <c r="BA340" s="42"/>
      <c r="BB340" s="15">
        <f t="shared" si="42"/>
        <v>0</v>
      </c>
      <c r="BC340" s="15"/>
      <c r="BD340" s="44"/>
      <c r="BE340" s="15"/>
      <c r="BF340" s="44"/>
      <c r="BG340" s="15">
        <f t="shared" si="43"/>
        <v>0</v>
      </c>
    </row>
    <row r="341" spans="1:59" s="8" customFormat="1" ht="22.5" customHeight="1">
      <c r="A341" s="9"/>
      <c r="B341" s="16" t="s">
        <v>204</v>
      </c>
      <c r="C341" s="89" t="s">
        <v>52</v>
      </c>
      <c r="D341" s="104" t="s">
        <v>533</v>
      </c>
      <c r="E341" s="104" t="s">
        <v>1661</v>
      </c>
      <c r="F341" s="104" t="s">
        <v>1662</v>
      </c>
      <c r="G341" s="104" t="s">
        <v>1663</v>
      </c>
      <c r="H341" s="12"/>
      <c r="I341" s="9"/>
      <c r="J341" s="9" t="s">
        <v>207</v>
      </c>
      <c r="K341" s="14"/>
      <c r="L341" s="14"/>
      <c r="M341" s="12">
        <v>303</v>
      </c>
      <c r="N341" s="9"/>
      <c r="O341" s="9"/>
      <c r="P341" s="9"/>
      <c r="Q341" s="38">
        <f t="shared" si="39"/>
        <v>303</v>
      </c>
      <c r="R341" s="12"/>
      <c r="S341" s="42"/>
      <c r="T341" s="15"/>
      <c r="U341" s="44"/>
      <c r="V341" s="15"/>
      <c r="W341" s="44"/>
      <c r="X341" s="15">
        <f t="shared" si="40"/>
        <v>0</v>
      </c>
      <c r="Y341" s="15"/>
      <c r="Z341" s="44"/>
      <c r="AA341" s="15"/>
      <c r="AB341" s="44"/>
      <c r="AC341" s="15"/>
      <c r="AD341" s="44"/>
      <c r="AE341" s="15"/>
      <c r="AF341" s="44"/>
      <c r="AG341" s="15">
        <f t="shared" si="41"/>
        <v>0</v>
      </c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/>
      <c r="BA341" s="42"/>
      <c r="BB341" s="15">
        <f t="shared" si="42"/>
        <v>0</v>
      </c>
      <c r="BC341" s="15"/>
      <c r="BD341" s="44"/>
      <c r="BE341" s="15"/>
      <c r="BF341" s="44"/>
      <c r="BG341" s="15">
        <f t="shared" si="43"/>
        <v>0</v>
      </c>
    </row>
    <row r="342" spans="1:59" s="8" customFormat="1" ht="22.5" customHeight="1">
      <c r="A342" s="9"/>
      <c r="B342" s="16" t="s">
        <v>204</v>
      </c>
      <c r="C342" s="89" t="s">
        <v>52</v>
      </c>
      <c r="D342" s="104" t="s">
        <v>536</v>
      </c>
      <c r="E342" s="104" t="s">
        <v>537</v>
      </c>
      <c r="F342" s="104" t="s">
        <v>1664</v>
      </c>
      <c r="G342" s="104" t="s">
        <v>1665</v>
      </c>
      <c r="H342" s="12"/>
      <c r="I342" s="9"/>
      <c r="J342" s="9" t="s">
        <v>207</v>
      </c>
      <c r="K342" s="14"/>
      <c r="L342" s="14"/>
      <c r="M342" s="12">
        <v>673</v>
      </c>
      <c r="N342" s="9"/>
      <c r="O342" s="9"/>
      <c r="P342" s="9"/>
      <c r="Q342" s="38">
        <f t="shared" si="39"/>
        <v>673</v>
      </c>
      <c r="R342" s="12"/>
      <c r="S342" s="42"/>
      <c r="T342" s="15"/>
      <c r="U342" s="44"/>
      <c r="V342" s="15"/>
      <c r="W342" s="44"/>
      <c r="X342" s="15">
        <f t="shared" si="40"/>
        <v>0</v>
      </c>
      <c r="Y342" s="15"/>
      <c r="Z342" s="44"/>
      <c r="AA342" s="15"/>
      <c r="AB342" s="44"/>
      <c r="AC342" s="15"/>
      <c r="AD342" s="44"/>
      <c r="AE342" s="15"/>
      <c r="AF342" s="44"/>
      <c r="AG342" s="15">
        <f t="shared" si="41"/>
        <v>0</v>
      </c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/>
      <c r="BA342" s="42"/>
      <c r="BB342" s="15">
        <f t="shared" si="42"/>
        <v>0</v>
      </c>
      <c r="BC342" s="15"/>
      <c r="BD342" s="44"/>
      <c r="BE342" s="15"/>
      <c r="BF342" s="44"/>
      <c r="BG342" s="15">
        <f t="shared" si="43"/>
        <v>0</v>
      </c>
    </row>
    <row r="343" spans="1:59" s="8" customFormat="1" ht="22.5" customHeight="1">
      <c r="A343" s="9"/>
      <c r="B343" s="16" t="s">
        <v>204</v>
      </c>
      <c r="C343" s="89" t="s">
        <v>52</v>
      </c>
      <c r="D343" s="104" t="s">
        <v>538</v>
      </c>
      <c r="E343" s="104" t="s">
        <v>531</v>
      </c>
      <c r="F343" s="104" t="s">
        <v>1666</v>
      </c>
      <c r="G343" s="104" t="s">
        <v>1667</v>
      </c>
      <c r="H343" s="12"/>
      <c r="I343" s="9"/>
      <c r="J343" s="9" t="s">
        <v>207</v>
      </c>
      <c r="K343" s="14"/>
      <c r="L343" s="14"/>
      <c r="M343" s="12">
        <v>178</v>
      </c>
      <c r="N343" s="9"/>
      <c r="O343" s="9"/>
      <c r="P343" s="9"/>
      <c r="Q343" s="38">
        <f t="shared" si="39"/>
        <v>178</v>
      </c>
      <c r="R343" s="12"/>
      <c r="S343" s="42"/>
      <c r="T343" s="15"/>
      <c r="U343" s="44"/>
      <c r="V343" s="15"/>
      <c r="W343" s="44"/>
      <c r="X343" s="15">
        <f t="shared" si="40"/>
        <v>0</v>
      </c>
      <c r="Y343" s="15"/>
      <c r="Z343" s="44"/>
      <c r="AA343" s="15"/>
      <c r="AB343" s="44"/>
      <c r="AC343" s="15"/>
      <c r="AD343" s="44"/>
      <c r="AE343" s="15"/>
      <c r="AF343" s="44"/>
      <c r="AG343" s="15">
        <f t="shared" si="41"/>
        <v>0</v>
      </c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/>
      <c r="BA343" s="42"/>
      <c r="BB343" s="15">
        <f t="shared" si="42"/>
        <v>0</v>
      </c>
      <c r="BC343" s="15"/>
      <c r="BD343" s="44"/>
      <c r="BE343" s="15"/>
      <c r="BF343" s="44"/>
      <c r="BG343" s="15">
        <f t="shared" si="43"/>
        <v>0</v>
      </c>
    </row>
    <row r="344" spans="1:59" s="8" customFormat="1" ht="22.5" customHeight="1">
      <c r="A344" s="9"/>
      <c r="B344" s="16" t="s">
        <v>204</v>
      </c>
      <c r="C344" s="89" t="s">
        <v>52</v>
      </c>
      <c r="D344" s="104" t="s">
        <v>539</v>
      </c>
      <c r="E344" s="104" t="s">
        <v>531</v>
      </c>
      <c r="F344" s="104" t="s">
        <v>1668</v>
      </c>
      <c r="G344" s="104" t="s">
        <v>1669</v>
      </c>
      <c r="H344" s="12"/>
      <c r="I344" s="9"/>
      <c r="J344" s="9" t="s">
        <v>207</v>
      </c>
      <c r="K344" s="14"/>
      <c r="L344" s="14"/>
      <c r="M344" s="12">
        <v>263</v>
      </c>
      <c r="N344" s="9"/>
      <c r="O344" s="9"/>
      <c r="P344" s="9"/>
      <c r="Q344" s="38">
        <f t="shared" si="39"/>
        <v>263</v>
      </c>
      <c r="R344" s="12"/>
      <c r="S344" s="42"/>
      <c r="T344" s="15"/>
      <c r="U344" s="44"/>
      <c r="V344" s="15"/>
      <c r="W344" s="44"/>
      <c r="X344" s="15">
        <f t="shared" si="40"/>
        <v>0</v>
      </c>
      <c r="Y344" s="15"/>
      <c r="Z344" s="44"/>
      <c r="AA344" s="15"/>
      <c r="AB344" s="44"/>
      <c r="AC344" s="15"/>
      <c r="AD344" s="44"/>
      <c r="AE344" s="15"/>
      <c r="AF344" s="44"/>
      <c r="AG344" s="15">
        <f t="shared" si="41"/>
        <v>0</v>
      </c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/>
      <c r="BA344" s="42"/>
      <c r="BB344" s="15">
        <f t="shared" si="42"/>
        <v>0</v>
      </c>
      <c r="BC344" s="15"/>
      <c r="BD344" s="44"/>
      <c r="BE344" s="15"/>
      <c r="BF344" s="44"/>
      <c r="BG344" s="15">
        <f t="shared" si="43"/>
        <v>0</v>
      </c>
    </row>
    <row r="345" spans="1:59" s="8" customFormat="1" ht="22.5" customHeight="1">
      <c r="A345" s="9"/>
      <c r="B345" s="16" t="s">
        <v>204</v>
      </c>
      <c r="C345" s="89" t="s">
        <v>52</v>
      </c>
      <c r="D345" s="104" t="s">
        <v>540</v>
      </c>
      <c r="E345" s="104" t="s">
        <v>531</v>
      </c>
      <c r="F345" s="104" t="s">
        <v>1670</v>
      </c>
      <c r="G345" s="104" t="s">
        <v>1671</v>
      </c>
      <c r="H345" s="12"/>
      <c r="I345" s="9"/>
      <c r="J345" s="9" t="s">
        <v>207</v>
      </c>
      <c r="K345" s="14"/>
      <c r="L345" s="14"/>
      <c r="M345" s="12">
        <v>293</v>
      </c>
      <c r="N345" s="9"/>
      <c r="O345" s="9"/>
      <c r="P345" s="9"/>
      <c r="Q345" s="38">
        <f t="shared" si="39"/>
        <v>293</v>
      </c>
      <c r="R345" s="12"/>
      <c r="S345" s="42"/>
      <c r="T345" s="15"/>
      <c r="U345" s="44"/>
      <c r="V345" s="15"/>
      <c r="W345" s="44"/>
      <c r="X345" s="15">
        <f t="shared" si="40"/>
        <v>0</v>
      </c>
      <c r="Y345" s="15"/>
      <c r="Z345" s="44"/>
      <c r="AA345" s="15"/>
      <c r="AB345" s="44"/>
      <c r="AC345" s="15"/>
      <c r="AD345" s="44"/>
      <c r="AE345" s="15"/>
      <c r="AF345" s="44"/>
      <c r="AG345" s="15">
        <f t="shared" si="41"/>
        <v>0</v>
      </c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/>
      <c r="BA345" s="42"/>
      <c r="BB345" s="15">
        <f t="shared" si="42"/>
        <v>0</v>
      </c>
      <c r="BC345" s="15"/>
      <c r="BD345" s="44"/>
      <c r="BE345" s="15"/>
      <c r="BF345" s="44"/>
      <c r="BG345" s="15">
        <f t="shared" si="43"/>
        <v>0</v>
      </c>
    </row>
    <row r="346" spans="1:59" s="8" customFormat="1" ht="22.5" customHeight="1">
      <c r="A346" s="9"/>
      <c r="B346" s="16" t="s">
        <v>204</v>
      </c>
      <c r="C346" s="89" t="s">
        <v>52</v>
      </c>
      <c r="D346" s="104" t="s">
        <v>541</v>
      </c>
      <c r="E346" s="104" t="s">
        <v>531</v>
      </c>
      <c r="F346" s="104" t="s">
        <v>1672</v>
      </c>
      <c r="G346" s="104" t="s">
        <v>1673</v>
      </c>
      <c r="H346" s="12"/>
      <c r="I346" s="9"/>
      <c r="J346" s="9" t="s">
        <v>207</v>
      </c>
      <c r="K346" s="14"/>
      <c r="L346" s="14"/>
      <c r="M346" s="12">
        <v>953</v>
      </c>
      <c r="N346" s="9"/>
      <c r="O346" s="9"/>
      <c r="P346" s="9"/>
      <c r="Q346" s="38">
        <f t="shared" si="39"/>
        <v>953</v>
      </c>
      <c r="R346" s="12"/>
      <c r="S346" s="42"/>
      <c r="T346" s="15"/>
      <c r="U346" s="44"/>
      <c r="V346" s="15"/>
      <c r="W346" s="44"/>
      <c r="X346" s="15">
        <f t="shared" si="40"/>
        <v>0</v>
      </c>
      <c r="Y346" s="15"/>
      <c r="Z346" s="44"/>
      <c r="AA346" s="15"/>
      <c r="AB346" s="44"/>
      <c r="AC346" s="15"/>
      <c r="AD346" s="44"/>
      <c r="AE346" s="15"/>
      <c r="AF346" s="44"/>
      <c r="AG346" s="15">
        <f t="shared" si="41"/>
        <v>0</v>
      </c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/>
      <c r="BA346" s="42"/>
      <c r="BB346" s="15">
        <f t="shared" si="42"/>
        <v>0</v>
      </c>
      <c r="BC346" s="15"/>
      <c r="BD346" s="44"/>
      <c r="BE346" s="15"/>
      <c r="BF346" s="44"/>
      <c r="BG346" s="15">
        <f t="shared" si="43"/>
        <v>0</v>
      </c>
    </row>
    <row r="347" spans="1:59" s="8" customFormat="1" ht="22.5" customHeight="1">
      <c r="A347" s="9"/>
      <c r="B347" s="16" t="s">
        <v>204</v>
      </c>
      <c r="C347" s="89" t="s">
        <v>52</v>
      </c>
      <c r="D347" s="104" t="s">
        <v>542</v>
      </c>
      <c r="E347" s="104" t="s">
        <v>206</v>
      </c>
      <c r="F347" s="104" t="s">
        <v>1674</v>
      </c>
      <c r="G347" s="104" t="s">
        <v>1675</v>
      </c>
      <c r="H347" s="12"/>
      <c r="I347" s="9"/>
      <c r="J347" s="9" t="s">
        <v>207</v>
      </c>
      <c r="K347" s="14"/>
      <c r="L347" s="14"/>
      <c r="M347" s="12">
        <v>329</v>
      </c>
      <c r="N347" s="9"/>
      <c r="O347" s="9"/>
      <c r="P347" s="9"/>
      <c r="Q347" s="38">
        <f t="shared" si="39"/>
        <v>329</v>
      </c>
      <c r="R347" s="12"/>
      <c r="S347" s="42"/>
      <c r="T347" s="15"/>
      <c r="U347" s="44"/>
      <c r="V347" s="15"/>
      <c r="W347" s="44"/>
      <c r="X347" s="15">
        <f t="shared" si="40"/>
        <v>0</v>
      </c>
      <c r="Y347" s="15"/>
      <c r="Z347" s="44"/>
      <c r="AA347" s="15"/>
      <c r="AB347" s="44"/>
      <c r="AC347" s="15"/>
      <c r="AD347" s="44"/>
      <c r="AE347" s="15"/>
      <c r="AF347" s="44"/>
      <c r="AG347" s="15">
        <f t="shared" si="41"/>
        <v>0</v>
      </c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/>
      <c r="BA347" s="42"/>
      <c r="BB347" s="15">
        <f t="shared" si="42"/>
        <v>0</v>
      </c>
      <c r="BC347" s="15"/>
      <c r="BD347" s="44"/>
      <c r="BE347" s="15"/>
      <c r="BF347" s="44"/>
      <c r="BG347" s="15">
        <f t="shared" si="43"/>
        <v>0</v>
      </c>
    </row>
    <row r="348" spans="1:59" s="8" customFormat="1" ht="22.5" customHeight="1">
      <c r="A348" s="9"/>
      <c r="B348" s="16" t="s">
        <v>204</v>
      </c>
      <c r="C348" s="89" t="s">
        <v>52</v>
      </c>
      <c r="D348" s="104" t="s">
        <v>543</v>
      </c>
      <c r="E348" s="104" t="s">
        <v>531</v>
      </c>
      <c r="F348" s="104" t="s">
        <v>1676</v>
      </c>
      <c r="G348" s="104" t="s">
        <v>1677</v>
      </c>
      <c r="H348" s="12"/>
      <c r="I348" s="9"/>
      <c r="J348" s="9" t="s">
        <v>207</v>
      </c>
      <c r="K348" s="14"/>
      <c r="L348" s="14"/>
      <c r="M348" s="12"/>
      <c r="N348" s="9"/>
      <c r="O348" s="9"/>
      <c r="P348" s="9"/>
      <c r="Q348" s="38">
        <f t="shared" si="39"/>
        <v>0</v>
      </c>
      <c r="R348" s="12"/>
      <c r="S348" s="42"/>
      <c r="T348" s="15"/>
      <c r="U348" s="44"/>
      <c r="V348" s="15"/>
      <c r="W348" s="44"/>
      <c r="X348" s="15">
        <f t="shared" si="40"/>
        <v>0</v>
      </c>
      <c r="Y348" s="15"/>
      <c r="Z348" s="44"/>
      <c r="AA348" s="15"/>
      <c r="AB348" s="44"/>
      <c r="AC348" s="15"/>
      <c r="AD348" s="44"/>
      <c r="AE348" s="15"/>
      <c r="AF348" s="44"/>
      <c r="AG348" s="15">
        <f t="shared" si="41"/>
        <v>0</v>
      </c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/>
      <c r="BA348" s="42"/>
      <c r="BB348" s="15">
        <f t="shared" si="42"/>
        <v>0</v>
      </c>
      <c r="BC348" s="15"/>
      <c r="BD348" s="44"/>
      <c r="BE348" s="15"/>
      <c r="BF348" s="44"/>
      <c r="BG348" s="15">
        <f t="shared" si="43"/>
        <v>0</v>
      </c>
    </row>
    <row r="349" spans="1:59" s="8" customFormat="1" ht="22.5" customHeight="1">
      <c r="A349" s="9"/>
      <c r="B349" s="16" t="s">
        <v>204</v>
      </c>
      <c r="C349" s="89" t="s">
        <v>52</v>
      </c>
      <c r="D349" s="104" t="s">
        <v>544</v>
      </c>
      <c r="E349" s="104" t="s">
        <v>531</v>
      </c>
      <c r="F349" s="104" t="s">
        <v>1678</v>
      </c>
      <c r="G349" s="104" t="s">
        <v>1679</v>
      </c>
      <c r="H349" s="12"/>
      <c r="I349" s="9"/>
      <c r="J349" s="9" t="s">
        <v>207</v>
      </c>
      <c r="K349" s="14"/>
      <c r="L349" s="14"/>
      <c r="M349" s="12">
        <v>424</v>
      </c>
      <c r="N349" s="9"/>
      <c r="O349" s="9"/>
      <c r="P349" s="9"/>
      <c r="Q349" s="38">
        <f t="shared" si="39"/>
        <v>424</v>
      </c>
      <c r="R349" s="12"/>
      <c r="S349" s="42"/>
      <c r="T349" s="15"/>
      <c r="U349" s="44"/>
      <c r="V349" s="15"/>
      <c r="W349" s="44"/>
      <c r="X349" s="15">
        <f t="shared" si="40"/>
        <v>0</v>
      </c>
      <c r="Y349" s="15"/>
      <c r="Z349" s="44"/>
      <c r="AA349" s="15"/>
      <c r="AB349" s="44"/>
      <c r="AC349" s="15"/>
      <c r="AD349" s="44"/>
      <c r="AE349" s="15"/>
      <c r="AF349" s="44"/>
      <c r="AG349" s="15">
        <f t="shared" si="41"/>
        <v>0</v>
      </c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/>
      <c r="BA349" s="42"/>
      <c r="BB349" s="15">
        <f t="shared" si="42"/>
        <v>0</v>
      </c>
      <c r="BC349" s="15"/>
      <c r="BD349" s="44"/>
      <c r="BE349" s="15"/>
      <c r="BF349" s="44"/>
      <c r="BG349" s="15">
        <f t="shared" si="43"/>
        <v>0</v>
      </c>
    </row>
    <row r="350" spans="1:59" s="8" customFormat="1" ht="22.5" customHeight="1">
      <c r="A350" s="9"/>
      <c r="B350" s="16" t="s">
        <v>204</v>
      </c>
      <c r="C350" s="89" t="s">
        <v>52</v>
      </c>
      <c r="D350" s="104" t="s">
        <v>545</v>
      </c>
      <c r="E350" s="104" t="s">
        <v>531</v>
      </c>
      <c r="F350" s="104" t="s">
        <v>1680</v>
      </c>
      <c r="G350" s="104" t="s">
        <v>1681</v>
      </c>
      <c r="H350" s="12"/>
      <c r="I350" s="9"/>
      <c r="J350" s="9" t="s">
        <v>207</v>
      </c>
      <c r="K350" s="14"/>
      <c r="L350" s="14"/>
      <c r="M350" s="12">
        <v>8</v>
      </c>
      <c r="N350" s="9"/>
      <c r="O350" s="9"/>
      <c r="P350" s="9"/>
      <c r="Q350" s="38">
        <f t="shared" si="39"/>
        <v>8</v>
      </c>
      <c r="R350" s="12"/>
      <c r="S350" s="42"/>
      <c r="T350" s="15"/>
      <c r="U350" s="44"/>
      <c r="V350" s="15"/>
      <c r="W350" s="44"/>
      <c r="X350" s="15">
        <f t="shared" si="40"/>
        <v>0</v>
      </c>
      <c r="Y350" s="15"/>
      <c r="Z350" s="44"/>
      <c r="AA350" s="15"/>
      <c r="AB350" s="44"/>
      <c r="AC350" s="15"/>
      <c r="AD350" s="44"/>
      <c r="AE350" s="15"/>
      <c r="AF350" s="44"/>
      <c r="AG350" s="15">
        <f t="shared" si="41"/>
        <v>0</v>
      </c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/>
      <c r="BA350" s="42"/>
      <c r="BB350" s="15">
        <f t="shared" si="42"/>
        <v>0</v>
      </c>
      <c r="BC350" s="15"/>
      <c r="BD350" s="44"/>
      <c r="BE350" s="15"/>
      <c r="BF350" s="44"/>
      <c r="BG350" s="15">
        <f t="shared" si="43"/>
        <v>0</v>
      </c>
    </row>
    <row r="351" spans="1:59" s="8" customFormat="1" ht="22.5" customHeight="1">
      <c r="A351" s="9"/>
      <c r="B351" s="16" t="s">
        <v>204</v>
      </c>
      <c r="C351" s="89" t="s">
        <v>52</v>
      </c>
      <c r="D351" s="104" t="s">
        <v>546</v>
      </c>
      <c r="E351" s="104" t="s">
        <v>531</v>
      </c>
      <c r="F351" s="104" t="s">
        <v>1682</v>
      </c>
      <c r="G351" s="104" t="s">
        <v>1683</v>
      </c>
      <c r="H351" s="12"/>
      <c r="I351" s="9"/>
      <c r="J351" s="9" t="s">
        <v>207</v>
      </c>
      <c r="K351" s="14"/>
      <c r="L351" s="14"/>
      <c r="M351" s="12">
        <v>552</v>
      </c>
      <c r="N351" s="9"/>
      <c r="O351" s="9"/>
      <c r="P351" s="9"/>
      <c r="Q351" s="38">
        <f t="shared" si="39"/>
        <v>552</v>
      </c>
      <c r="R351" s="12"/>
      <c r="S351" s="42"/>
      <c r="T351" s="15"/>
      <c r="U351" s="44"/>
      <c r="V351" s="15"/>
      <c r="W351" s="44"/>
      <c r="X351" s="15">
        <f t="shared" si="40"/>
        <v>0</v>
      </c>
      <c r="Y351" s="15"/>
      <c r="Z351" s="44"/>
      <c r="AA351" s="15"/>
      <c r="AB351" s="44"/>
      <c r="AC351" s="15"/>
      <c r="AD351" s="44"/>
      <c r="AE351" s="15"/>
      <c r="AF351" s="44"/>
      <c r="AG351" s="15">
        <f t="shared" si="41"/>
        <v>0</v>
      </c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/>
      <c r="BA351" s="42"/>
      <c r="BB351" s="15">
        <f t="shared" si="42"/>
        <v>0</v>
      </c>
      <c r="BC351" s="15"/>
      <c r="BD351" s="44"/>
      <c r="BE351" s="15"/>
      <c r="BF351" s="44"/>
      <c r="BG351" s="15">
        <f t="shared" si="43"/>
        <v>0</v>
      </c>
    </row>
    <row r="352" spans="1:59" s="8" customFormat="1" ht="22.5" customHeight="1">
      <c r="A352" s="9"/>
      <c r="B352" s="16" t="s">
        <v>204</v>
      </c>
      <c r="C352" s="89" t="s">
        <v>52</v>
      </c>
      <c r="D352" s="104" t="s">
        <v>547</v>
      </c>
      <c r="E352" s="104" t="s">
        <v>531</v>
      </c>
      <c r="F352" s="104" t="s">
        <v>1684</v>
      </c>
      <c r="G352" s="104" t="s">
        <v>1685</v>
      </c>
      <c r="H352" s="12"/>
      <c r="I352" s="9"/>
      <c r="J352" s="9" t="s">
        <v>207</v>
      </c>
      <c r="K352" s="14"/>
      <c r="L352" s="14"/>
      <c r="M352" s="12">
        <v>180</v>
      </c>
      <c r="N352" s="9"/>
      <c r="O352" s="9"/>
      <c r="P352" s="9"/>
      <c r="Q352" s="38">
        <f t="shared" si="39"/>
        <v>180</v>
      </c>
      <c r="R352" s="12"/>
      <c r="S352" s="42"/>
      <c r="T352" s="15"/>
      <c r="U352" s="44"/>
      <c r="V352" s="15"/>
      <c r="W352" s="44"/>
      <c r="X352" s="15">
        <f t="shared" si="40"/>
        <v>0</v>
      </c>
      <c r="Y352" s="15"/>
      <c r="Z352" s="44"/>
      <c r="AA352" s="15"/>
      <c r="AB352" s="44"/>
      <c r="AC352" s="15"/>
      <c r="AD352" s="44"/>
      <c r="AE352" s="15"/>
      <c r="AF352" s="44"/>
      <c r="AG352" s="15">
        <f t="shared" si="41"/>
        <v>0</v>
      </c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/>
      <c r="BA352" s="42"/>
      <c r="BB352" s="15">
        <f t="shared" si="42"/>
        <v>0</v>
      </c>
      <c r="BC352" s="15"/>
      <c r="BD352" s="44"/>
      <c r="BE352" s="15"/>
      <c r="BF352" s="44"/>
      <c r="BG352" s="15">
        <f t="shared" si="43"/>
        <v>0</v>
      </c>
    </row>
    <row r="353" spans="1:59" s="8" customFormat="1" ht="22.5" customHeight="1">
      <c r="A353" s="9"/>
      <c r="B353" s="16" t="s">
        <v>204</v>
      </c>
      <c r="C353" s="89" t="s">
        <v>52</v>
      </c>
      <c r="D353" s="104" t="s">
        <v>548</v>
      </c>
      <c r="E353" s="104" t="s">
        <v>531</v>
      </c>
      <c r="F353" s="104" t="s">
        <v>1686</v>
      </c>
      <c r="G353" s="104" t="s">
        <v>1687</v>
      </c>
      <c r="H353" s="12"/>
      <c r="I353" s="9"/>
      <c r="J353" s="9" t="s">
        <v>207</v>
      </c>
      <c r="K353" s="14"/>
      <c r="L353" s="14"/>
      <c r="M353" s="12">
        <v>0</v>
      </c>
      <c r="N353" s="9"/>
      <c r="O353" s="9"/>
      <c r="P353" s="9"/>
      <c r="Q353" s="38">
        <f t="shared" si="39"/>
        <v>0</v>
      </c>
      <c r="R353" s="12"/>
      <c r="S353" s="42"/>
      <c r="T353" s="15"/>
      <c r="U353" s="44"/>
      <c r="V353" s="15"/>
      <c r="W353" s="44"/>
      <c r="X353" s="15">
        <f t="shared" si="40"/>
        <v>0</v>
      </c>
      <c r="Y353" s="15"/>
      <c r="Z353" s="44"/>
      <c r="AA353" s="15"/>
      <c r="AB353" s="44"/>
      <c r="AC353" s="15"/>
      <c r="AD353" s="44"/>
      <c r="AE353" s="15"/>
      <c r="AF353" s="44"/>
      <c r="AG353" s="15">
        <f t="shared" si="41"/>
        <v>0</v>
      </c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/>
      <c r="BA353" s="42"/>
      <c r="BB353" s="15">
        <f t="shared" si="42"/>
        <v>0</v>
      </c>
      <c r="BC353" s="15"/>
      <c r="BD353" s="44"/>
      <c r="BE353" s="15"/>
      <c r="BF353" s="44"/>
      <c r="BG353" s="15">
        <f t="shared" si="43"/>
        <v>0</v>
      </c>
    </row>
    <row r="354" spans="1:59" s="8" customFormat="1" ht="22.5" customHeight="1">
      <c r="A354" s="9"/>
      <c r="B354" s="16" t="s">
        <v>204</v>
      </c>
      <c r="C354" s="89" t="s">
        <v>52</v>
      </c>
      <c r="D354" s="104" t="s">
        <v>549</v>
      </c>
      <c r="E354" s="104" t="s">
        <v>550</v>
      </c>
      <c r="F354" s="104" t="s">
        <v>1688</v>
      </c>
      <c r="G354" s="104" t="s">
        <v>1689</v>
      </c>
      <c r="H354" s="12"/>
      <c r="I354" s="9"/>
      <c r="J354" s="9" t="s">
        <v>207</v>
      </c>
      <c r="K354" s="14"/>
      <c r="L354" s="14"/>
      <c r="M354" s="12">
        <v>20</v>
      </c>
      <c r="N354" s="9"/>
      <c r="O354" s="9"/>
      <c r="P354" s="9"/>
      <c r="Q354" s="38">
        <f t="shared" si="39"/>
        <v>20</v>
      </c>
      <c r="R354" s="12"/>
      <c r="S354" s="42"/>
      <c r="T354" s="15"/>
      <c r="U354" s="44"/>
      <c r="V354" s="15"/>
      <c r="W354" s="44"/>
      <c r="X354" s="15">
        <f t="shared" si="40"/>
        <v>0</v>
      </c>
      <c r="Y354" s="15"/>
      <c r="Z354" s="44"/>
      <c r="AA354" s="15"/>
      <c r="AB354" s="44"/>
      <c r="AC354" s="15"/>
      <c r="AD354" s="44"/>
      <c r="AE354" s="15"/>
      <c r="AF354" s="44"/>
      <c r="AG354" s="15">
        <f t="shared" si="41"/>
        <v>0</v>
      </c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/>
      <c r="BA354" s="42"/>
      <c r="BB354" s="15">
        <f t="shared" si="42"/>
        <v>0</v>
      </c>
      <c r="BC354" s="15"/>
      <c r="BD354" s="44"/>
      <c r="BE354" s="15"/>
      <c r="BF354" s="44"/>
      <c r="BG354" s="15">
        <f t="shared" si="43"/>
        <v>0</v>
      </c>
    </row>
    <row r="355" spans="1:59" s="8" customFormat="1" ht="22.5" customHeight="1">
      <c r="A355" s="9"/>
      <c r="B355" s="16" t="s">
        <v>204</v>
      </c>
      <c r="C355" s="89" t="s">
        <v>52</v>
      </c>
      <c r="D355" s="104" t="s">
        <v>551</v>
      </c>
      <c r="E355" s="104" t="s">
        <v>531</v>
      </c>
      <c r="F355" s="104" t="s">
        <v>1690</v>
      </c>
      <c r="G355" s="104" t="s">
        <v>1691</v>
      </c>
      <c r="H355" s="12"/>
      <c r="I355" s="9"/>
      <c r="J355" s="9" t="s">
        <v>207</v>
      </c>
      <c r="K355" s="14"/>
      <c r="L355" s="14"/>
      <c r="M355" s="12">
        <v>193</v>
      </c>
      <c r="N355" s="9"/>
      <c r="O355" s="9"/>
      <c r="P355" s="9"/>
      <c r="Q355" s="38">
        <f t="shared" si="39"/>
        <v>193</v>
      </c>
      <c r="R355" s="12"/>
      <c r="S355" s="42"/>
      <c r="T355" s="15"/>
      <c r="U355" s="44"/>
      <c r="V355" s="15"/>
      <c r="W355" s="44"/>
      <c r="X355" s="15">
        <f t="shared" si="40"/>
        <v>0</v>
      </c>
      <c r="Y355" s="15"/>
      <c r="Z355" s="44"/>
      <c r="AA355" s="15"/>
      <c r="AB355" s="44"/>
      <c r="AC355" s="15"/>
      <c r="AD355" s="44"/>
      <c r="AE355" s="15"/>
      <c r="AF355" s="44"/>
      <c r="AG355" s="15">
        <f t="shared" si="41"/>
        <v>0</v>
      </c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/>
      <c r="BA355" s="42"/>
      <c r="BB355" s="15">
        <f t="shared" si="42"/>
        <v>0</v>
      </c>
      <c r="BC355" s="15"/>
      <c r="BD355" s="44"/>
      <c r="BE355" s="15"/>
      <c r="BF355" s="44"/>
      <c r="BG355" s="15">
        <f t="shared" si="43"/>
        <v>0</v>
      </c>
    </row>
    <row r="356" spans="1:59" s="8" customFormat="1" ht="22.5" customHeight="1">
      <c r="A356" s="9"/>
      <c r="B356" s="16" t="s">
        <v>204</v>
      </c>
      <c r="C356" s="89" t="s">
        <v>52</v>
      </c>
      <c r="D356" s="104" t="s">
        <v>552</v>
      </c>
      <c r="E356" s="104" t="s">
        <v>206</v>
      </c>
      <c r="F356" s="104" t="s">
        <v>1692</v>
      </c>
      <c r="G356" s="104" t="s">
        <v>1693</v>
      </c>
      <c r="H356" s="12"/>
      <c r="I356" s="9"/>
      <c r="J356" s="9" t="s">
        <v>374</v>
      </c>
      <c r="K356" s="14"/>
      <c r="L356" s="14"/>
      <c r="M356" s="12">
        <v>352</v>
      </c>
      <c r="N356" s="9"/>
      <c r="O356" s="9"/>
      <c r="P356" s="9"/>
      <c r="Q356" s="38">
        <f t="shared" si="39"/>
        <v>352</v>
      </c>
      <c r="R356" s="12"/>
      <c r="S356" s="42"/>
      <c r="T356" s="15"/>
      <c r="U356" s="44"/>
      <c r="V356" s="15"/>
      <c r="W356" s="44"/>
      <c r="X356" s="15">
        <f t="shared" si="40"/>
        <v>0</v>
      </c>
      <c r="Y356" s="15"/>
      <c r="Z356" s="44"/>
      <c r="AA356" s="15"/>
      <c r="AB356" s="44"/>
      <c r="AC356" s="15"/>
      <c r="AD356" s="44"/>
      <c r="AE356" s="15"/>
      <c r="AF356" s="44"/>
      <c r="AG356" s="15">
        <f t="shared" si="41"/>
        <v>0</v>
      </c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/>
      <c r="BA356" s="42"/>
      <c r="BB356" s="15">
        <f t="shared" si="42"/>
        <v>0</v>
      </c>
      <c r="BC356" s="15"/>
      <c r="BD356" s="44"/>
      <c r="BE356" s="15"/>
      <c r="BF356" s="44"/>
      <c r="BG356" s="15">
        <f t="shared" si="43"/>
        <v>0</v>
      </c>
    </row>
    <row r="357" spans="1:59" s="8" customFormat="1" ht="22.5" customHeight="1">
      <c r="A357" s="9"/>
      <c r="B357" s="16" t="s">
        <v>233</v>
      </c>
      <c r="C357" s="89" t="s">
        <v>52</v>
      </c>
      <c r="D357" s="104" t="s">
        <v>553</v>
      </c>
      <c r="E357" s="104" t="s">
        <v>554</v>
      </c>
      <c r="F357" s="104" t="s">
        <v>1694</v>
      </c>
      <c r="G357" s="104" t="s">
        <v>1695</v>
      </c>
      <c r="H357" s="12"/>
      <c r="I357" s="9"/>
      <c r="J357" s="9" t="s">
        <v>207</v>
      </c>
      <c r="K357" s="14"/>
      <c r="L357" s="14"/>
      <c r="M357" s="12">
        <v>486</v>
      </c>
      <c r="N357" s="9"/>
      <c r="O357" s="9"/>
      <c r="P357" s="9"/>
      <c r="Q357" s="38">
        <f t="shared" si="39"/>
        <v>486</v>
      </c>
      <c r="R357" s="12"/>
      <c r="S357" s="42"/>
      <c r="T357" s="15"/>
      <c r="U357" s="44"/>
      <c r="V357" s="15"/>
      <c r="W357" s="44"/>
      <c r="X357" s="15">
        <f t="shared" si="40"/>
        <v>0</v>
      </c>
      <c r="Y357" s="15"/>
      <c r="Z357" s="44"/>
      <c r="AA357" s="15"/>
      <c r="AB357" s="44"/>
      <c r="AC357" s="15"/>
      <c r="AD357" s="44"/>
      <c r="AE357" s="15"/>
      <c r="AF357" s="44"/>
      <c r="AG357" s="15">
        <f t="shared" si="41"/>
        <v>0</v>
      </c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/>
      <c r="BA357" s="42"/>
      <c r="BB357" s="15">
        <f t="shared" si="42"/>
        <v>0</v>
      </c>
      <c r="BC357" s="15"/>
      <c r="BD357" s="44"/>
      <c r="BE357" s="15"/>
      <c r="BF357" s="44"/>
      <c r="BG357" s="15">
        <f t="shared" si="43"/>
        <v>0</v>
      </c>
    </row>
    <row r="358" spans="1:59" s="8" customFormat="1" ht="22.5" customHeight="1">
      <c r="A358" s="9"/>
      <c r="B358" s="16" t="s">
        <v>233</v>
      </c>
      <c r="C358" s="89" t="s">
        <v>52</v>
      </c>
      <c r="D358" s="104" t="s">
        <v>555</v>
      </c>
      <c r="E358" s="104" t="s">
        <v>554</v>
      </c>
      <c r="F358" s="104" t="s">
        <v>1696</v>
      </c>
      <c r="G358" s="104" t="s">
        <v>1697</v>
      </c>
      <c r="H358" s="12"/>
      <c r="I358" s="9"/>
      <c r="J358" s="9" t="s">
        <v>207</v>
      </c>
      <c r="K358" s="14"/>
      <c r="L358" s="14"/>
      <c r="M358" s="12">
        <v>2</v>
      </c>
      <c r="N358" s="9"/>
      <c r="O358" s="9"/>
      <c r="P358" s="9"/>
      <c r="Q358" s="38">
        <f t="shared" si="39"/>
        <v>2</v>
      </c>
      <c r="R358" s="12"/>
      <c r="S358" s="42"/>
      <c r="T358" s="15"/>
      <c r="U358" s="44"/>
      <c r="V358" s="15"/>
      <c r="W358" s="44"/>
      <c r="X358" s="15">
        <f t="shared" si="40"/>
        <v>0</v>
      </c>
      <c r="Y358" s="15"/>
      <c r="Z358" s="44"/>
      <c r="AA358" s="15"/>
      <c r="AB358" s="44"/>
      <c r="AC358" s="15"/>
      <c r="AD358" s="44"/>
      <c r="AE358" s="15"/>
      <c r="AF358" s="44"/>
      <c r="AG358" s="15">
        <f t="shared" si="41"/>
        <v>0</v>
      </c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/>
      <c r="BA358" s="42"/>
      <c r="BB358" s="15">
        <f t="shared" si="42"/>
        <v>0</v>
      </c>
      <c r="BC358" s="15"/>
      <c r="BD358" s="44"/>
      <c r="BE358" s="15"/>
      <c r="BF358" s="44"/>
      <c r="BG358" s="15">
        <f t="shared" si="43"/>
        <v>0</v>
      </c>
    </row>
    <row r="359" spans="1:59" s="8" customFormat="1" ht="22.5" customHeight="1">
      <c r="A359" s="9"/>
      <c r="B359" s="16" t="s">
        <v>233</v>
      </c>
      <c r="C359" s="89" t="s">
        <v>52</v>
      </c>
      <c r="D359" s="104" t="s">
        <v>556</v>
      </c>
      <c r="E359" s="104" t="s">
        <v>554</v>
      </c>
      <c r="F359" s="104" t="s">
        <v>1698</v>
      </c>
      <c r="G359" s="104" t="s">
        <v>1699</v>
      </c>
      <c r="H359" s="12"/>
      <c r="I359" s="9"/>
      <c r="J359" s="9" t="s">
        <v>207</v>
      </c>
      <c r="K359" s="14"/>
      <c r="L359" s="14"/>
      <c r="M359" s="12">
        <v>525</v>
      </c>
      <c r="N359" s="9"/>
      <c r="O359" s="9"/>
      <c r="P359" s="9"/>
      <c r="Q359" s="38">
        <f t="shared" si="39"/>
        <v>525</v>
      </c>
      <c r="R359" s="12"/>
      <c r="S359" s="42"/>
      <c r="T359" s="15"/>
      <c r="U359" s="44"/>
      <c r="V359" s="15"/>
      <c r="W359" s="44"/>
      <c r="X359" s="15">
        <f t="shared" si="40"/>
        <v>0</v>
      </c>
      <c r="Y359" s="15"/>
      <c r="Z359" s="44"/>
      <c r="AA359" s="15"/>
      <c r="AB359" s="44"/>
      <c r="AC359" s="15"/>
      <c r="AD359" s="44"/>
      <c r="AE359" s="15"/>
      <c r="AF359" s="44"/>
      <c r="AG359" s="15">
        <f t="shared" si="41"/>
        <v>0</v>
      </c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/>
      <c r="BA359" s="42"/>
      <c r="BB359" s="15">
        <f t="shared" si="42"/>
        <v>0</v>
      </c>
      <c r="BC359" s="15"/>
      <c r="BD359" s="44"/>
      <c r="BE359" s="15"/>
      <c r="BF359" s="44"/>
      <c r="BG359" s="15">
        <f t="shared" si="43"/>
        <v>0</v>
      </c>
    </row>
    <row r="360" spans="1:59" s="8" customFormat="1" ht="22.5" customHeight="1">
      <c r="A360" s="9"/>
      <c r="B360" s="16" t="s">
        <v>233</v>
      </c>
      <c r="C360" s="89" t="s">
        <v>52</v>
      </c>
      <c r="D360" s="104" t="s">
        <v>557</v>
      </c>
      <c r="E360" s="104" t="s">
        <v>235</v>
      </c>
      <c r="F360" s="104" t="s">
        <v>1700</v>
      </c>
      <c r="G360" s="104" t="s">
        <v>1701</v>
      </c>
      <c r="H360" s="12"/>
      <c r="I360" s="9"/>
      <c r="J360" s="9" t="s">
        <v>558</v>
      </c>
      <c r="K360" s="14"/>
      <c r="L360" s="14"/>
      <c r="M360" s="12">
        <v>56</v>
      </c>
      <c r="N360" s="9"/>
      <c r="O360" s="9"/>
      <c r="P360" s="9"/>
      <c r="Q360" s="38">
        <f t="shared" si="39"/>
        <v>56</v>
      </c>
      <c r="R360" s="12"/>
      <c r="S360" s="42"/>
      <c r="T360" s="15"/>
      <c r="U360" s="44"/>
      <c r="V360" s="15"/>
      <c r="W360" s="44"/>
      <c r="X360" s="15">
        <f t="shared" si="40"/>
        <v>0</v>
      </c>
      <c r="Y360" s="15"/>
      <c r="Z360" s="44"/>
      <c r="AA360" s="15"/>
      <c r="AB360" s="44"/>
      <c r="AC360" s="15"/>
      <c r="AD360" s="44"/>
      <c r="AE360" s="15"/>
      <c r="AF360" s="44"/>
      <c r="AG360" s="15">
        <f t="shared" si="41"/>
        <v>0</v>
      </c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/>
      <c r="BA360" s="42"/>
      <c r="BB360" s="15">
        <f t="shared" si="42"/>
        <v>0</v>
      </c>
      <c r="BC360" s="15"/>
      <c r="BD360" s="44"/>
      <c r="BE360" s="15"/>
      <c r="BF360" s="44"/>
      <c r="BG360" s="15">
        <f t="shared" si="43"/>
        <v>0</v>
      </c>
    </row>
    <row r="361" spans="1:59" s="8" customFormat="1" ht="22.5" customHeight="1">
      <c r="A361" s="9"/>
      <c r="B361" s="16" t="s">
        <v>233</v>
      </c>
      <c r="C361" s="89" t="s">
        <v>52</v>
      </c>
      <c r="D361" s="104" t="s">
        <v>559</v>
      </c>
      <c r="E361" s="104" t="s">
        <v>560</v>
      </c>
      <c r="F361" s="104" t="s">
        <v>1702</v>
      </c>
      <c r="G361" s="104" t="s">
        <v>1703</v>
      </c>
      <c r="H361" s="12"/>
      <c r="I361" s="9"/>
      <c r="J361" s="9" t="s">
        <v>558</v>
      </c>
      <c r="K361" s="14"/>
      <c r="L361" s="14"/>
      <c r="M361" s="12"/>
      <c r="N361" s="9"/>
      <c r="O361" s="9"/>
      <c r="P361" s="9"/>
      <c r="Q361" s="38">
        <f t="shared" si="39"/>
        <v>0</v>
      </c>
      <c r="R361" s="12"/>
      <c r="S361" s="42"/>
      <c r="T361" s="15"/>
      <c r="U361" s="44"/>
      <c r="V361" s="15"/>
      <c r="W361" s="44"/>
      <c r="X361" s="15">
        <f t="shared" si="40"/>
        <v>0</v>
      </c>
      <c r="Y361" s="15"/>
      <c r="Z361" s="44"/>
      <c r="AA361" s="15"/>
      <c r="AB361" s="44"/>
      <c r="AC361" s="15"/>
      <c r="AD361" s="44"/>
      <c r="AE361" s="15"/>
      <c r="AF361" s="44"/>
      <c r="AG361" s="15">
        <f t="shared" si="41"/>
        <v>0</v>
      </c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/>
      <c r="BA361" s="42"/>
      <c r="BB361" s="15">
        <f t="shared" si="42"/>
        <v>0</v>
      </c>
      <c r="BC361" s="15"/>
      <c r="BD361" s="44"/>
      <c r="BE361" s="15"/>
      <c r="BF361" s="44"/>
      <c r="BG361" s="15">
        <f t="shared" si="43"/>
        <v>0</v>
      </c>
    </row>
    <row r="362" spans="1:59" s="8" customFormat="1" ht="22.5" customHeight="1">
      <c r="A362" s="9"/>
      <c r="B362" s="16" t="s">
        <v>249</v>
      </c>
      <c r="C362" s="89" t="s">
        <v>52</v>
      </c>
      <c r="D362" s="104" t="s">
        <v>561</v>
      </c>
      <c r="E362" s="104" t="s">
        <v>562</v>
      </c>
      <c r="F362" s="104" t="s">
        <v>1704</v>
      </c>
      <c r="G362" s="104" t="s">
        <v>1705</v>
      </c>
      <c r="H362" s="12"/>
      <c r="I362" s="9"/>
      <c r="J362" s="9" t="s">
        <v>563</v>
      </c>
      <c r="K362" s="14"/>
      <c r="L362" s="14"/>
      <c r="M362" s="12">
        <v>15</v>
      </c>
      <c r="N362" s="9"/>
      <c r="O362" s="9"/>
      <c r="P362" s="9"/>
      <c r="Q362" s="38">
        <f t="shared" si="39"/>
        <v>15</v>
      </c>
      <c r="R362" s="12"/>
      <c r="S362" s="42"/>
      <c r="T362" s="15"/>
      <c r="U362" s="44"/>
      <c r="V362" s="15"/>
      <c r="W362" s="44"/>
      <c r="X362" s="15">
        <f t="shared" si="40"/>
        <v>0</v>
      </c>
      <c r="Y362" s="15"/>
      <c r="Z362" s="44"/>
      <c r="AA362" s="15"/>
      <c r="AB362" s="44"/>
      <c r="AC362" s="15"/>
      <c r="AD362" s="44"/>
      <c r="AE362" s="15"/>
      <c r="AF362" s="44"/>
      <c r="AG362" s="15">
        <f t="shared" si="41"/>
        <v>0</v>
      </c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/>
      <c r="BA362" s="42"/>
      <c r="BB362" s="15">
        <f t="shared" si="42"/>
        <v>0</v>
      </c>
      <c r="BC362" s="15"/>
      <c r="BD362" s="44"/>
      <c r="BE362" s="15"/>
      <c r="BF362" s="44"/>
      <c r="BG362" s="15">
        <f t="shared" si="43"/>
        <v>0</v>
      </c>
    </row>
    <row r="363" spans="1:59" s="8" customFormat="1" ht="22.5" customHeight="1">
      <c r="A363" s="9"/>
      <c r="B363" s="16" t="s">
        <v>155</v>
      </c>
      <c r="C363" s="89" t="s">
        <v>52</v>
      </c>
      <c r="D363" s="104" t="s">
        <v>564</v>
      </c>
      <c r="E363" s="104" t="s">
        <v>565</v>
      </c>
      <c r="F363" s="104" t="s">
        <v>1706</v>
      </c>
      <c r="G363" s="104" t="s">
        <v>1707</v>
      </c>
      <c r="H363" s="12"/>
      <c r="I363" s="9"/>
      <c r="J363" s="9" t="s">
        <v>566</v>
      </c>
      <c r="K363" s="14"/>
      <c r="L363" s="14"/>
      <c r="M363" s="12">
        <v>0</v>
      </c>
      <c r="N363" s="9"/>
      <c r="O363" s="9"/>
      <c r="P363" s="9"/>
      <c r="Q363" s="38">
        <f t="shared" si="39"/>
        <v>0</v>
      </c>
      <c r="R363" s="12"/>
      <c r="S363" s="42"/>
      <c r="T363" s="15"/>
      <c r="U363" s="44"/>
      <c r="V363" s="15"/>
      <c r="W363" s="44"/>
      <c r="X363" s="15">
        <f t="shared" si="40"/>
        <v>0</v>
      </c>
      <c r="Y363" s="15"/>
      <c r="Z363" s="44"/>
      <c r="AA363" s="15"/>
      <c r="AB363" s="44"/>
      <c r="AC363" s="15"/>
      <c r="AD363" s="44"/>
      <c r="AE363" s="15"/>
      <c r="AF363" s="44"/>
      <c r="AG363" s="15">
        <f t="shared" si="41"/>
        <v>0</v>
      </c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/>
      <c r="BA363" s="42"/>
      <c r="BB363" s="15">
        <f t="shared" si="42"/>
        <v>0</v>
      </c>
      <c r="BC363" s="15"/>
      <c r="BD363" s="44"/>
      <c r="BE363" s="15"/>
      <c r="BF363" s="44"/>
      <c r="BG363" s="15">
        <f t="shared" si="43"/>
        <v>0</v>
      </c>
    </row>
    <row r="364" spans="1:59" s="8" customFormat="1" ht="22.5" customHeight="1">
      <c r="A364" s="9"/>
      <c r="B364" s="16" t="s">
        <v>155</v>
      </c>
      <c r="C364" s="89" t="s">
        <v>52</v>
      </c>
      <c r="D364" s="104" t="s">
        <v>1708</v>
      </c>
      <c r="E364" s="104" t="s">
        <v>565</v>
      </c>
      <c r="F364" s="104" t="s">
        <v>1709</v>
      </c>
      <c r="G364" s="104" t="s">
        <v>1710</v>
      </c>
      <c r="H364" s="12"/>
      <c r="I364" s="9"/>
      <c r="J364" s="9" t="s">
        <v>566</v>
      </c>
      <c r="K364" s="14"/>
      <c r="L364" s="14"/>
      <c r="M364" s="12">
        <v>0</v>
      </c>
      <c r="N364" s="9"/>
      <c r="O364" s="9"/>
      <c r="P364" s="9"/>
      <c r="Q364" s="38">
        <f t="shared" si="39"/>
        <v>0</v>
      </c>
      <c r="R364" s="12"/>
      <c r="S364" s="42"/>
      <c r="T364" s="15"/>
      <c r="U364" s="44"/>
      <c r="V364" s="15"/>
      <c r="W364" s="44"/>
      <c r="X364" s="15">
        <f t="shared" si="40"/>
        <v>0</v>
      </c>
      <c r="Y364" s="15"/>
      <c r="Z364" s="44"/>
      <c r="AA364" s="15"/>
      <c r="AB364" s="44"/>
      <c r="AC364" s="15"/>
      <c r="AD364" s="44"/>
      <c r="AE364" s="15"/>
      <c r="AF364" s="44"/>
      <c r="AG364" s="15">
        <f t="shared" si="41"/>
        <v>0</v>
      </c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/>
      <c r="BA364" s="42"/>
      <c r="BB364" s="15"/>
      <c r="BC364" s="15"/>
      <c r="BD364" s="44"/>
      <c r="BE364" s="15"/>
      <c r="BF364" s="44"/>
      <c r="BG364" s="15"/>
    </row>
    <row r="365" spans="1:59" s="8" customFormat="1" ht="22.5" customHeight="1">
      <c r="A365" s="9"/>
      <c r="B365" s="16" t="s">
        <v>155</v>
      </c>
      <c r="C365" s="89" t="s">
        <v>52</v>
      </c>
      <c r="D365" s="104" t="s">
        <v>567</v>
      </c>
      <c r="E365" s="104" t="s">
        <v>565</v>
      </c>
      <c r="F365" s="104" t="s">
        <v>1711</v>
      </c>
      <c r="G365" s="104" t="s">
        <v>1712</v>
      </c>
      <c r="H365" s="12"/>
      <c r="I365" s="9"/>
      <c r="J365" s="9" t="s">
        <v>566</v>
      </c>
      <c r="K365" s="14"/>
      <c r="L365" s="14"/>
      <c r="M365" s="12">
        <v>26</v>
      </c>
      <c r="N365" s="9"/>
      <c r="O365" s="9"/>
      <c r="P365" s="9"/>
      <c r="Q365" s="38">
        <f t="shared" si="39"/>
        <v>26</v>
      </c>
      <c r="R365" s="12"/>
      <c r="S365" s="42"/>
      <c r="T365" s="15"/>
      <c r="U365" s="44"/>
      <c r="V365" s="15"/>
      <c r="W365" s="44"/>
      <c r="X365" s="15">
        <f t="shared" si="40"/>
        <v>0</v>
      </c>
      <c r="Y365" s="15"/>
      <c r="Z365" s="44"/>
      <c r="AA365" s="15"/>
      <c r="AB365" s="44"/>
      <c r="AC365" s="15"/>
      <c r="AD365" s="44"/>
      <c r="AE365" s="15"/>
      <c r="AF365" s="44"/>
      <c r="AG365" s="15">
        <f t="shared" si="41"/>
        <v>0</v>
      </c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/>
      <c r="BA365" s="42"/>
      <c r="BB365" s="15">
        <f t="shared" ref="BB365:BB428" si="44">AH365+AJ365+AL365+AN365+AP365+AR365+AT365+AV365+AX365+AZ365</f>
        <v>0</v>
      </c>
      <c r="BC365" s="15"/>
      <c r="BD365" s="44"/>
      <c r="BE365" s="15"/>
      <c r="BF365" s="44"/>
      <c r="BG365" s="15">
        <f t="shared" ref="BG365:BG428" si="45">(BC365+BE365)</f>
        <v>0</v>
      </c>
    </row>
    <row r="366" spans="1:59" s="8" customFormat="1" ht="22.5" customHeight="1">
      <c r="A366" s="9"/>
      <c r="B366" s="16" t="s">
        <v>155</v>
      </c>
      <c r="C366" s="89" t="s">
        <v>52</v>
      </c>
      <c r="D366" s="104" t="s">
        <v>568</v>
      </c>
      <c r="E366" s="104" t="s">
        <v>569</v>
      </c>
      <c r="F366" s="104" t="s">
        <v>1713</v>
      </c>
      <c r="G366" s="104" t="s">
        <v>1714</v>
      </c>
      <c r="H366" s="12"/>
      <c r="I366" s="9"/>
      <c r="J366" s="9" t="s">
        <v>566</v>
      </c>
      <c r="K366" s="14"/>
      <c r="L366" s="14"/>
      <c r="M366" s="12">
        <v>203</v>
      </c>
      <c r="N366" s="9"/>
      <c r="O366" s="9"/>
      <c r="P366" s="9"/>
      <c r="Q366" s="38">
        <f t="shared" si="39"/>
        <v>203</v>
      </c>
      <c r="R366" s="12"/>
      <c r="S366" s="42"/>
      <c r="T366" s="15"/>
      <c r="U366" s="44"/>
      <c r="V366" s="15"/>
      <c r="W366" s="44"/>
      <c r="X366" s="15">
        <f t="shared" si="40"/>
        <v>0</v>
      </c>
      <c r="Y366" s="15"/>
      <c r="Z366" s="44"/>
      <c r="AA366" s="15"/>
      <c r="AB366" s="44"/>
      <c r="AC366" s="15"/>
      <c r="AD366" s="44"/>
      <c r="AE366" s="15"/>
      <c r="AF366" s="44"/>
      <c r="AG366" s="15">
        <f t="shared" si="41"/>
        <v>0</v>
      </c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/>
      <c r="BA366" s="42"/>
      <c r="BB366" s="15">
        <f t="shared" si="44"/>
        <v>0</v>
      </c>
      <c r="BC366" s="15"/>
      <c r="BD366" s="44"/>
      <c r="BE366" s="15"/>
      <c r="BF366" s="44"/>
      <c r="BG366" s="15">
        <f t="shared" si="45"/>
        <v>0</v>
      </c>
    </row>
    <row r="367" spans="1:59" s="8" customFormat="1" ht="22.5" customHeight="1">
      <c r="A367" s="9"/>
      <c r="B367" s="16" t="s">
        <v>330</v>
      </c>
      <c r="C367" s="89" t="s">
        <v>52</v>
      </c>
      <c r="D367" s="104" t="s">
        <v>333</v>
      </c>
      <c r="E367" s="104" t="s">
        <v>330</v>
      </c>
      <c r="F367" s="104" t="s">
        <v>1715</v>
      </c>
      <c r="G367" s="104" t="s">
        <v>1716</v>
      </c>
      <c r="H367" s="12"/>
      <c r="I367" s="9"/>
      <c r="J367" s="9" t="s">
        <v>332</v>
      </c>
      <c r="K367" s="14"/>
      <c r="L367" s="14"/>
      <c r="M367" s="12"/>
      <c r="N367" s="9"/>
      <c r="O367" s="9"/>
      <c r="P367" s="9"/>
      <c r="Q367" s="38">
        <f t="shared" si="39"/>
        <v>0</v>
      </c>
      <c r="R367" s="12"/>
      <c r="S367" s="42"/>
      <c r="T367" s="15"/>
      <c r="U367" s="44"/>
      <c r="V367" s="15"/>
      <c r="W367" s="44"/>
      <c r="X367" s="15">
        <f t="shared" si="40"/>
        <v>0</v>
      </c>
      <c r="Y367" s="15"/>
      <c r="Z367" s="44"/>
      <c r="AA367" s="15"/>
      <c r="AB367" s="44"/>
      <c r="AC367" s="15"/>
      <c r="AD367" s="44"/>
      <c r="AE367" s="15"/>
      <c r="AF367" s="44"/>
      <c r="AG367" s="15">
        <f t="shared" si="41"/>
        <v>0</v>
      </c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/>
      <c r="BA367" s="42"/>
      <c r="BB367" s="15">
        <f t="shared" si="44"/>
        <v>0</v>
      </c>
      <c r="BC367" s="15"/>
      <c r="BD367" s="44"/>
      <c r="BE367" s="15"/>
      <c r="BF367" s="44"/>
      <c r="BG367" s="15">
        <f t="shared" si="45"/>
        <v>0</v>
      </c>
    </row>
    <row r="368" spans="1:59" s="8" customFormat="1" ht="22.5" customHeight="1">
      <c r="A368" s="9"/>
      <c r="B368" s="16" t="s">
        <v>570</v>
      </c>
      <c r="C368" s="89" t="s">
        <v>52</v>
      </c>
      <c r="D368" s="104" t="s">
        <v>571</v>
      </c>
      <c r="E368" s="104" t="s">
        <v>562</v>
      </c>
      <c r="F368" s="104" t="s">
        <v>1717</v>
      </c>
      <c r="G368" s="104" t="s">
        <v>1718</v>
      </c>
      <c r="H368" s="12"/>
      <c r="I368" s="9"/>
      <c r="J368" s="9" t="s">
        <v>314</v>
      </c>
      <c r="K368" s="14"/>
      <c r="L368" s="14"/>
      <c r="M368" s="12"/>
      <c r="N368" s="9"/>
      <c r="O368" s="9"/>
      <c r="P368" s="9"/>
      <c r="Q368" s="38">
        <f t="shared" si="39"/>
        <v>0</v>
      </c>
      <c r="R368" s="12"/>
      <c r="S368" s="42"/>
      <c r="T368" s="15"/>
      <c r="U368" s="44"/>
      <c r="V368" s="15"/>
      <c r="W368" s="44"/>
      <c r="X368" s="15">
        <f t="shared" si="40"/>
        <v>0</v>
      </c>
      <c r="Y368" s="15"/>
      <c r="Z368" s="44"/>
      <c r="AA368" s="15"/>
      <c r="AB368" s="44"/>
      <c r="AC368" s="15"/>
      <c r="AD368" s="44"/>
      <c r="AE368" s="15"/>
      <c r="AF368" s="44"/>
      <c r="AG368" s="15">
        <f t="shared" si="41"/>
        <v>0</v>
      </c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/>
      <c r="BA368" s="42"/>
      <c r="BB368" s="15">
        <f t="shared" si="44"/>
        <v>0</v>
      </c>
      <c r="BC368" s="15"/>
      <c r="BD368" s="44"/>
      <c r="BE368" s="15"/>
      <c r="BF368" s="44"/>
      <c r="BG368" s="15">
        <f t="shared" si="45"/>
        <v>0</v>
      </c>
    </row>
    <row r="369" spans="1:59" s="8" customFormat="1" ht="22.5" customHeight="1">
      <c r="A369" s="9"/>
      <c r="B369" s="16" t="s">
        <v>472</v>
      </c>
      <c r="C369" s="89" t="s">
        <v>52</v>
      </c>
      <c r="D369" s="104" t="s">
        <v>1719</v>
      </c>
      <c r="E369" s="104" t="s">
        <v>573</v>
      </c>
      <c r="F369" s="104" t="s">
        <v>1720</v>
      </c>
      <c r="G369" s="104" t="s">
        <v>1721</v>
      </c>
      <c r="H369" s="12"/>
      <c r="I369" s="9"/>
      <c r="J369" s="9" t="s">
        <v>67</v>
      </c>
      <c r="K369" s="14"/>
      <c r="L369" s="14"/>
      <c r="M369" s="12">
        <v>362</v>
      </c>
      <c r="N369" s="9"/>
      <c r="O369" s="9"/>
      <c r="P369" s="9"/>
      <c r="Q369" s="38">
        <f t="shared" si="39"/>
        <v>362</v>
      </c>
      <c r="R369" s="12"/>
      <c r="S369" s="42"/>
      <c r="T369" s="15"/>
      <c r="U369" s="44"/>
      <c r="V369" s="15"/>
      <c r="W369" s="44"/>
      <c r="X369" s="15">
        <f t="shared" si="40"/>
        <v>0</v>
      </c>
      <c r="Y369" s="15"/>
      <c r="Z369" s="44"/>
      <c r="AA369" s="15"/>
      <c r="AB369" s="44"/>
      <c r="AC369" s="15"/>
      <c r="AD369" s="44"/>
      <c r="AE369" s="15"/>
      <c r="AF369" s="44"/>
      <c r="AG369" s="15">
        <f t="shared" si="41"/>
        <v>0</v>
      </c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/>
      <c r="BA369" s="42"/>
      <c r="BB369" s="15">
        <f t="shared" si="44"/>
        <v>0</v>
      </c>
      <c r="BC369" s="15"/>
      <c r="BD369" s="44"/>
      <c r="BE369" s="15"/>
      <c r="BF369" s="44"/>
      <c r="BG369" s="15">
        <f t="shared" si="45"/>
        <v>0</v>
      </c>
    </row>
    <row r="370" spans="1:59" s="8" customFormat="1" ht="22.5" customHeight="1">
      <c r="A370" s="9"/>
      <c r="B370" s="16" t="s">
        <v>574</v>
      </c>
      <c r="C370" s="89" t="s">
        <v>494</v>
      </c>
      <c r="D370" s="104" t="s">
        <v>1722</v>
      </c>
      <c r="E370" s="104"/>
      <c r="F370" s="104" t="s">
        <v>1723</v>
      </c>
      <c r="G370" s="104" t="s">
        <v>1724</v>
      </c>
      <c r="H370" s="12"/>
      <c r="I370" s="9"/>
      <c r="J370" s="9" t="s">
        <v>576</v>
      </c>
      <c r="K370" s="14"/>
      <c r="L370" s="14"/>
      <c r="M370" s="12">
        <v>135</v>
      </c>
      <c r="N370" s="9"/>
      <c r="O370" s="9"/>
      <c r="P370" s="9"/>
      <c r="Q370" s="38">
        <f t="shared" si="39"/>
        <v>135</v>
      </c>
      <c r="R370" s="12"/>
      <c r="S370" s="42"/>
      <c r="T370" s="15"/>
      <c r="U370" s="44"/>
      <c r="V370" s="15"/>
      <c r="W370" s="44"/>
      <c r="X370" s="15">
        <f t="shared" si="40"/>
        <v>0</v>
      </c>
      <c r="Y370" s="15"/>
      <c r="Z370" s="44"/>
      <c r="AA370" s="15"/>
      <c r="AB370" s="44"/>
      <c r="AC370" s="15"/>
      <c r="AD370" s="44"/>
      <c r="AE370" s="15"/>
      <c r="AF370" s="44"/>
      <c r="AG370" s="15">
        <f t="shared" si="41"/>
        <v>0</v>
      </c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/>
      <c r="BA370" s="42"/>
      <c r="BB370" s="15">
        <f t="shared" si="44"/>
        <v>0</v>
      </c>
      <c r="BC370" s="15"/>
      <c r="BD370" s="44"/>
      <c r="BE370" s="15"/>
      <c r="BF370" s="44"/>
      <c r="BG370" s="15">
        <f t="shared" si="45"/>
        <v>0</v>
      </c>
    </row>
    <row r="371" spans="1:59" s="8" customFormat="1" ht="22.5" customHeight="1">
      <c r="A371" s="9"/>
      <c r="B371" s="16" t="s">
        <v>574</v>
      </c>
      <c r="C371" s="89" t="s">
        <v>494</v>
      </c>
      <c r="D371" s="104" t="s">
        <v>577</v>
      </c>
      <c r="E371" s="104" t="s">
        <v>578</v>
      </c>
      <c r="F371" s="104" t="s">
        <v>1725</v>
      </c>
      <c r="G371" s="104" t="s">
        <v>1726</v>
      </c>
      <c r="H371" s="12"/>
      <c r="I371" s="9"/>
      <c r="J371" s="9" t="s">
        <v>576</v>
      </c>
      <c r="K371" s="14"/>
      <c r="L371" s="14"/>
      <c r="M371" s="12"/>
      <c r="N371" s="9"/>
      <c r="O371" s="9"/>
      <c r="P371" s="9"/>
      <c r="Q371" s="38">
        <f t="shared" si="39"/>
        <v>0</v>
      </c>
      <c r="R371" s="12"/>
      <c r="S371" s="42"/>
      <c r="T371" s="15"/>
      <c r="U371" s="44"/>
      <c r="V371" s="15"/>
      <c r="W371" s="44"/>
      <c r="X371" s="15">
        <f t="shared" si="40"/>
        <v>0</v>
      </c>
      <c r="Y371" s="15"/>
      <c r="Z371" s="44"/>
      <c r="AA371" s="15"/>
      <c r="AB371" s="44"/>
      <c r="AC371" s="15"/>
      <c r="AD371" s="44"/>
      <c r="AE371" s="15"/>
      <c r="AF371" s="44"/>
      <c r="AG371" s="15">
        <f t="shared" si="41"/>
        <v>0</v>
      </c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/>
      <c r="BA371" s="42"/>
      <c r="BB371" s="15">
        <f t="shared" si="44"/>
        <v>0</v>
      </c>
      <c r="BC371" s="15"/>
      <c r="BD371" s="44"/>
      <c r="BE371" s="15"/>
      <c r="BF371" s="44"/>
      <c r="BG371" s="15">
        <f t="shared" si="45"/>
        <v>0</v>
      </c>
    </row>
    <row r="372" spans="1:59" s="8" customFormat="1" ht="22.5" customHeight="1">
      <c r="A372" s="9"/>
      <c r="B372" s="16" t="s">
        <v>244</v>
      </c>
      <c r="C372" s="89" t="s">
        <v>52</v>
      </c>
      <c r="D372" s="104" t="s">
        <v>579</v>
      </c>
      <c r="E372" s="104" t="s">
        <v>246</v>
      </c>
      <c r="F372" s="104" t="s">
        <v>1727</v>
      </c>
      <c r="G372" s="104" t="s">
        <v>1728</v>
      </c>
      <c r="H372" s="12"/>
      <c r="I372" s="9"/>
      <c r="J372" s="9" t="s">
        <v>247</v>
      </c>
      <c r="K372" s="14"/>
      <c r="L372" s="14"/>
      <c r="M372" s="12">
        <v>238</v>
      </c>
      <c r="N372" s="9"/>
      <c r="O372" s="9"/>
      <c r="P372" s="9"/>
      <c r="Q372" s="38">
        <f t="shared" si="39"/>
        <v>238</v>
      </c>
      <c r="R372" s="12"/>
      <c r="S372" s="42"/>
      <c r="T372" s="15"/>
      <c r="U372" s="44"/>
      <c r="V372" s="15"/>
      <c r="W372" s="44"/>
      <c r="X372" s="15">
        <f t="shared" si="40"/>
        <v>0</v>
      </c>
      <c r="Y372" s="15"/>
      <c r="Z372" s="44"/>
      <c r="AA372" s="15"/>
      <c r="AB372" s="44"/>
      <c r="AC372" s="15"/>
      <c r="AD372" s="44"/>
      <c r="AE372" s="15"/>
      <c r="AF372" s="44"/>
      <c r="AG372" s="15">
        <f t="shared" si="41"/>
        <v>0</v>
      </c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/>
      <c r="BA372" s="42"/>
      <c r="BB372" s="15">
        <f t="shared" si="44"/>
        <v>0</v>
      </c>
      <c r="BC372" s="15"/>
      <c r="BD372" s="44"/>
      <c r="BE372" s="15"/>
      <c r="BF372" s="44"/>
      <c r="BG372" s="15">
        <f t="shared" si="45"/>
        <v>0</v>
      </c>
    </row>
    <row r="373" spans="1:59" s="8" customFormat="1" ht="22.5" customHeight="1">
      <c r="A373" s="9"/>
      <c r="B373" s="16" t="s">
        <v>244</v>
      </c>
      <c r="C373" s="89" t="s">
        <v>52</v>
      </c>
      <c r="D373" s="104" t="s">
        <v>580</v>
      </c>
      <c r="E373" s="104" t="s">
        <v>246</v>
      </c>
      <c r="F373" s="104" t="s">
        <v>1729</v>
      </c>
      <c r="G373" s="104" t="s">
        <v>1730</v>
      </c>
      <c r="H373" s="12"/>
      <c r="I373" s="9"/>
      <c r="J373" s="9" t="s">
        <v>247</v>
      </c>
      <c r="K373" s="14"/>
      <c r="L373" s="14"/>
      <c r="M373" s="12">
        <v>185</v>
      </c>
      <c r="N373" s="9"/>
      <c r="O373" s="9"/>
      <c r="P373" s="9"/>
      <c r="Q373" s="38">
        <f t="shared" si="39"/>
        <v>185</v>
      </c>
      <c r="R373" s="12"/>
      <c r="S373" s="42"/>
      <c r="T373" s="15"/>
      <c r="U373" s="44"/>
      <c r="V373" s="15"/>
      <c r="W373" s="44"/>
      <c r="X373" s="15">
        <f t="shared" si="40"/>
        <v>0</v>
      </c>
      <c r="Y373" s="15"/>
      <c r="Z373" s="44"/>
      <c r="AA373" s="15"/>
      <c r="AB373" s="44"/>
      <c r="AC373" s="15"/>
      <c r="AD373" s="44"/>
      <c r="AE373" s="15"/>
      <c r="AF373" s="44"/>
      <c r="AG373" s="15">
        <f t="shared" si="41"/>
        <v>0</v>
      </c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/>
      <c r="BA373" s="42"/>
      <c r="BB373" s="15">
        <f t="shared" si="44"/>
        <v>0</v>
      </c>
      <c r="BC373" s="15"/>
      <c r="BD373" s="44"/>
      <c r="BE373" s="15"/>
      <c r="BF373" s="44"/>
      <c r="BG373" s="15">
        <f t="shared" si="45"/>
        <v>0</v>
      </c>
    </row>
    <row r="374" spans="1:59" s="8" customFormat="1" ht="22.5" customHeight="1">
      <c r="A374" s="9"/>
      <c r="B374" s="16" t="s">
        <v>581</v>
      </c>
      <c r="C374" s="89" t="s">
        <v>44</v>
      </c>
      <c r="D374" s="104" t="s">
        <v>582</v>
      </c>
      <c r="E374" s="104" t="s">
        <v>583</v>
      </c>
      <c r="F374" s="104" t="s">
        <v>1731</v>
      </c>
      <c r="G374" s="104" t="s">
        <v>1732</v>
      </c>
      <c r="H374" s="12"/>
      <c r="I374" s="9"/>
      <c r="J374" s="9" t="s">
        <v>584</v>
      </c>
      <c r="K374" s="14"/>
      <c r="L374" s="14"/>
      <c r="M374" s="12">
        <v>130</v>
      </c>
      <c r="N374" s="9"/>
      <c r="O374" s="9"/>
      <c r="P374" s="9"/>
      <c r="Q374" s="38">
        <f t="shared" si="39"/>
        <v>130</v>
      </c>
      <c r="R374" s="12"/>
      <c r="S374" s="42"/>
      <c r="T374" s="15"/>
      <c r="U374" s="44"/>
      <c r="V374" s="15"/>
      <c r="W374" s="44"/>
      <c r="X374" s="15">
        <f t="shared" si="40"/>
        <v>0</v>
      </c>
      <c r="Y374" s="15"/>
      <c r="Z374" s="44"/>
      <c r="AA374" s="15"/>
      <c r="AB374" s="44"/>
      <c r="AC374" s="15"/>
      <c r="AD374" s="44"/>
      <c r="AE374" s="15"/>
      <c r="AF374" s="44"/>
      <c r="AG374" s="15">
        <f t="shared" si="41"/>
        <v>0</v>
      </c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/>
      <c r="BA374" s="42"/>
      <c r="BB374" s="15">
        <f t="shared" si="44"/>
        <v>0</v>
      </c>
      <c r="BC374" s="15"/>
      <c r="BD374" s="44"/>
      <c r="BE374" s="15"/>
      <c r="BF374" s="44"/>
      <c r="BG374" s="15">
        <f t="shared" si="45"/>
        <v>0</v>
      </c>
    </row>
    <row r="375" spans="1:59" s="8" customFormat="1" ht="22.5" customHeight="1">
      <c r="A375" s="9"/>
      <c r="B375" s="16" t="s">
        <v>581</v>
      </c>
      <c r="C375" s="89" t="s">
        <v>132</v>
      </c>
      <c r="D375" s="104" t="s">
        <v>585</v>
      </c>
      <c r="E375" s="104" t="s">
        <v>583</v>
      </c>
      <c r="F375" s="104" t="s">
        <v>1733</v>
      </c>
      <c r="G375" s="104" t="s">
        <v>1734</v>
      </c>
      <c r="H375" s="12"/>
      <c r="I375" s="9"/>
      <c r="J375" s="9" t="s">
        <v>584</v>
      </c>
      <c r="K375" s="14"/>
      <c r="L375" s="14"/>
      <c r="M375" s="12"/>
      <c r="N375" s="9"/>
      <c r="O375" s="9"/>
      <c r="P375" s="9"/>
      <c r="Q375" s="38">
        <f t="shared" si="39"/>
        <v>0</v>
      </c>
      <c r="R375" s="12"/>
      <c r="S375" s="42"/>
      <c r="T375" s="15"/>
      <c r="U375" s="44"/>
      <c r="V375" s="15"/>
      <c r="W375" s="44"/>
      <c r="X375" s="15">
        <f t="shared" si="40"/>
        <v>0</v>
      </c>
      <c r="Y375" s="15"/>
      <c r="Z375" s="44"/>
      <c r="AA375" s="15"/>
      <c r="AB375" s="44"/>
      <c r="AC375" s="15"/>
      <c r="AD375" s="44"/>
      <c r="AE375" s="15"/>
      <c r="AF375" s="44"/>
      <c r="AG375" s="15">
        <f t="shared" si="41"/>
        <v>0</v>
      </c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/>
      <c r="BA375" s="42"/>
      <c r="BB375" s="15">
        <f t="shared" si="44"/>
        <v>0</v>
      </c>
      <c r="BC375" s="15"/>
      <c r="BD375" s="44"/>
      <c r="BE375" s="15"/>
      <c r="BF375" s="44"/>
      <c r="BG375" s="15">
        <f t="shared" si="45"/>
        <v>0</v>
      </c>
    </row>
    <row r="376" spans="1:59" s="8" customFormat="1" ht="22.5" customHeight="1">
      <c r="A376" s="9"/>
      <c r="B376" s="16" t="s">
        <v>581</v>
      </c>
      <c r="C376" s="89" t="s">
        <v>48</v>
      </c>
      <c r="D376" s="104" t="s">
        <v>585</v>
      </c>
      <c r="E376" s="104" t="s">
        <v>586</v>
      </c>
      <c r="F376" s="104" t="s">
        <v>1735</v>
      </c>
      <c r="G376" s="104" t="s">
        <v>1736</v>
      </c>
      <c r="H376" s="12"/>
      <c r="I376" s="9"/>
      <c r="J376" s="9" t="s">
        <v>584</v>
      </c>
      <c r="K376" s="14"/>
      <c r="L376" s="14"/>
      <c r="M376" s="12">
        <v>0</v>
      </c>
      <c r="N376" s="9"/>
      <c r="O376" s="9"/>
      <c r="P376" s="9"/>
      <c r="Q376" s="38">
        <f t="shared" si="39"/>
        <v>0</v>
      </c>
      <c r="R376" s="12"/>
      <c r="S376" s="42"/>
      <c r="T376" s="15"/>
      <c r="U376" s="44"/>
      <c r="V376" s="15"/>
      <c r="W376" s="44"/>
      <c r="X376" s="15">
        <f t="shared" si="40"/>
        <v>0</v>
      </c>
      <c r="Y376" s="15"/>
      <c r="Z376" s="44"/>
      <c r="AA376" s="15"/>
      <c r="AB376" s="44"/>
      <c r="AC376" s="15"/>
      <c r="AD376" s="44"/>
      <c r="AE376" s="15"/>
      <c r="AF376" s="44"/>
      <c r="AG376" s="15">
        <f t="shared" si="41"/>
        <v>0</v>
      </c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/>
      <c r="BA376" s="42"/>
      <c r="BB376" s="15">
        <f t="shared" si="44"/>
        <v>0</v>
      </c>
      <c r="BC376" s="15"/>
      <c r="BD376" s="44"/>
      <c r="BE376" s="15"/>
      <c r="BF376" s="44"/>
      <c r="BG376" s="15">
        <f t="shared" si="45"/>
        <v>0</v>
      </c>
    </row>
    <row r="377" spans="1:59" s="8" customFormat="1" ht="22.5" customHeight="1">
      <c r="A377" s="9"/>
      <c r="B377" s="16" t="s">
        <v>581</v>
      </c>
      <c r="C377" s="89" t="s">
        <v>48</v>
      </c>
      <c r="D377" s="104" t="s">
        <v>587</v>
      </c>
      <c r="E377" s="104" t="s">
        <v>586</v>
      </c>
      <c r="F377" s="104" t="s">
        <v>1737</v>
      </c>
      <c r="G377" s="104" t="s">
        <v>1738</v>
      </c>
      <c r="H377" s="12"/>
      <c r="I377" s="9"/>
      <c r="J377" s="9" t="s">
        <v>584</v>
      </c>
      <c r="K377" s="14"/>
      <c r="L377" s="14"/>
      <c r="M377" s="12"/>
      <c r="N377" s="9"/>
      <c r="O377" s="9"/>
      <c r="P377" s="9"/>
      <c r="Q377" s="38">
        <f t="shared" si="39"/>
        <v>0</v>
      </c>
      <c r="R377" s="12"/>
      <c r="S377" s="42"/>
      <c r="T377" s="15"/>
      <c r="U377" s="44"/>
      <c r="V377" s="15"/>
      <c r="W377" s="44"/>
      <c r="X377" s="15">
        <f t="shared" si="40"/>
        <v>0</v>
      </c>
      <c r="Y377" s="15"/>
      <c r="Z377" s="44"/>
      <c r="AA377" s="15"/>
      <c r="AB377" s="44"/>
      <c r="AC377" s="15"/>
      <c r="AD377" s="44"/>
      <c r="AE377" s="15"/>
      <c r="AF377" s="44"/>
      <c r="AG377" s="15">
        <f t="shared" si="41"/>
        <v>0</v>
      </c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/>
      <c r="BA377" s="42"/>
      <c r="BB377" s="15">
        <f t="shared" si="44"/>
        <v>0</v>
      </c>
      <c r="BC377" s="15"/>
      <c r="BD377" s="44"/>
      <c r="BE377" s="15"/>
      <c r="BF377" s="44"/>
      <c r="BG377" s="15">
        <f t="shared" si="45"/>
        <v>0</v>
      </c>
    </row>
    <row r="378" spans="1:59" s="8" customFormat="1" ht="22.5" customHeight="1">
      <c r="A378" s="9"/>
      <c r="B378" s="16" t="s">
        <v>581</v>
      </c>
      <c r="C378" s="89" t="s">
        <v>132</v>
      </c>
      <c r="D378" s="104" t="s">
        <v>588</v>
      </c>
      <c r="E378" s="104" t="s">
        <v>583</v>
      </c>
      <c r="F378" s="104" t="s">
        <v>1739</v>
      </c>
      <c r="G378" s="104" t="s">
        <v>1740</v>
      </c>
      <c r="H378" s="12"/>
      <c r="I378" s="9"/>
      <c r="J378" s="9" t="s">
        <v>584</v>
      </c>
      <c r="K378" s="14"/>
      <c r="L378" s="14"/>
      <c r="M378" s="12"/>
      <c r="N378" s="9"/>
      <c r="O378" s="9"/>
      <c r="P378" s="9"/>
      <c r="Q378" s="38">
        <f t="shared" si="39"/>
        <v>0</v>
      </c>
      <c r="R378" s="12"/>
      <c r="S378" s="42"/>
      <c r="T378" s="15"/>
      <c r="U378" s="44"/>
      <c r="V378" s="15"/>
      <c r="W378" s="44"/>
      <c r="X378" s="15">
        <f t="shared" si="40"/>
        <v>0</v>
      </c>
      <c r="Y378" s="15"/>
      <c r="Z378" s="44"/>
      <c r="AA378" s="15"/>
      <c r="AB378" s="44"/>
      <c r="AC378" s="15"/>
      <c r="AD378" s="44"/>
      <c r="AE378" s="15"/>
      <c r="AF378" s="44"/>
      <c r="AG378" s="15">
        <f t="shared" si="41"/>
        <v>0</v>
      </c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/>
      <c r="BA378" s="42"/>
      <c r="BB378" s="15">
        <f t="shared" si="44"/>
        <v>0</v>
      </c>
      <c r="BC378" s="15"/>
      <c r="BD378" s="44"/>
      <c r="BE378" s="15"/>
      <c r="BF378" s="44"/>
      <c r="BG378" s="15">
        <f t="shared" si="45"/>
        <v>0</v>
      </c>
    </row>
    <row r="379" spans="1:59" s="8" customFormat="1" ht="22.5" customHeight="1">
      <c r="A379" s="9"/>
      <c r="B379" s="16" t="s">
        <v>581</v>
      </c>
      <c r="C379" s="89" t="s">
        <v>52</v>
      </c>
      <c r="D379" s="104" t="s">
        <v>582</v>
      </c>
      <c r="E379" s="104" t="s">
        <v>944</v>
      </c>
      <c r="F379" s="104" t="s">
        <v>1741</v>
      </c>
      <c r="G379" s="104" t="s">
        <v>1742</v>
      </c>
      <c r="H379" s="12"/>
      <c r="I379" s="9"/>
      <c r="J379" s="9" t="s">
        <v>584</v>
      </c>
      <c r="K379" s="14"/>
      <c r="L379" s="14"/>
      <c r="M379" s="12"/>
      <c r="N379" s="9"/>
      <c r="O379" s="9"/>
      <c r="P379" s="9"/>
      <c r="Q379" s="38">
        <f t="shared" si="39"/>
        <v>0</v>
      </c>
      <c r="R379" s="12"/>
      <c r="S379" s="42"/>
      <c r="T379" s="15"/>
      <c r="U379" s="44"/>
      <c r="V379" s="15"/>
      <c r="W379" s="44"/>
      <c r="X379" s="15">
        <f t="shared" si="40"/>
        <v>0</v>
      </c>
      <c r="Y379" s="15"/>
      <c r="Z379" s="44"/>
      <c r="AA379" s="15"/>
      <c r="AB379" s="44"/>
      <c r="AC379" s="15"/>
      <c r="AD379" s="44"/>
      <c r="AE379" s="15"/>
      <c r="AF379" s="44"/>
      <c r="AG379" s="15">
        <f t="shared" si="41"/>
        <v>0</v>
      </c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/>
      <c r="BA379" s="42"/>
      <c r="BB379" s="15">
        <f t="shared" si="44"/>
        <v>0</v>
      </c>
      <c r="BC379" s="15"/>
      <c r="BD379" s="44"/>
      <c r="BE379" s="15"/>
      <c r="BF379" s="44"/>
      <c r="BG379" s="15">
        <f t="shared" si="45"/>
        <v>0</v>
      </c>
    </row>
    <row r="380" spans="1:59" s="8" customFormat="1" ht="22.5" customHeight="1">
      <c r="A380" s="9"/>
      <c r="B380" s="16" t="s">
        <v>581</v>
      </c>
      <c r="C380" s="89" t="s">
        <v>52</v>
      </c>
      <c r="D380" s="104" t="s">
        <v>587</v>
      </c>
      <c r="E380" s="104" t="s">
        <v>590</v>
      </c>
      <c r="F380" s="104" t="s">
        <v>1743</v>
      </c>
      <c r="G380" s="104" t="s">
        <v>1744</v>
      </c>
      <c r="H380" s="12"/>
      <c r="I380" s="9"/>
      <c r="J380" s="9" t="s">
        <v>584</v>
      </c>
      <c r="K380" s="14"/>
      <c r="L380" s="14"/>
      <c r="M380" s="12"/>
      <c r="N380" s="9"/>
      <c r="O380" s="9"/>
      <c r="P380" s="9"/>
      <c r="Q380" s="38">
        <f t="shared" si="39"/>
        <v>0</v>
      </c>
      <c r="R380" s="12"/>
      <c r="S380" s="42"/>
      <c r="T380" s="15"/>
      <c r="U380" s="44"/>
      <c r="V380" s="15"/>
      <c r="W380" s="44"/>
      <c r="X380" s="15">
        <f t="shared" si="40"/>
        <v>0</v>
      </c>
      <c r="Y380" s="15"/>
      <c r="Z380" s="44"/>
      <c r="AA380" s="15"/>
      <c r="AB380" s="44"/>
      <c r="AC380" s="15"/>
      <c r="AD380" s="44"/>
      <c r="AE380" s="15"/>
      <c r="AF380" s="44"/>
      <c r="AG380" s="15">
        <f t="shared" si="41"/>
        <v>0</v>
      </c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/>
      <c r="BA380" s="42"/>
      <c r="BB380" s="15">
        <f t="shared" si="44"/>
        <v>0</v>
      </c>
      <c r="BC380" s="15"/>
      <c r="BD380" s="44"/>
      <c r="BE380" s="15"/>
      <c r="BF380" s="44"/>
      <c r="BG380" s="15">
        <f t="shared" si="45"/>
        <v>0</v>
      </c>
    </row>
    <row r="381" spans="1:59" s="8" customFormat="1" ht="22.5" customHeight="1">
      <c r="A381" s="9"/>
      <c r="B381" s="16" t="s">
        <v>591</v>
      </c>
      <c r="C381" s="89" t="s">
        <v>151</v>
      </c>
      <c r="D381" s="104" t="s">
        <v>592</v>
      </c>
      <c r="E381" s="104" t="s">
        <v>593</v>
      </c>
      <c r="F381" s="104" t="s">
        <v>1745</v>
      </c>
      <c r="G381" s="104" t="s">
        <v>1746</v>
      </c>
      <c r="H381" s="12"/>
      <c r="I381" s="9"/>
      <c r="J381" s="9" t="s">
        <v>594</v>
      </c>
      <c r="K381" s="14"/>
      <c r="L381" s="14"/>
      <c r="M381" s="12">
        <v>1098</v>
      </c>
      <c r="N381" s="9"/>
      <c r="O381" s="9"/>
      <c r="P381" s="9"/>
      <c r="Q381" s="38">
        <f t="shared" si="39"/>
        <v>1098</v>
      </c>
      <c r="R381" s="12"/>
      <c r="S381" s="42"/>
      <c r="T381" s="15"/>
      <c r="U381" s="44"/>
      <c r="V381" s="15"/>
      <c r="W381" s="44"/>
      <c r="X381" s="15">
        <f t="shared" si="40"/>
        <v>0</v>
      </c>
      <c r="Y381" s="15"/>
      <c r="Z381" s="44"/>
      <c r="AA381" s="15"/>
      <c r="AB381" s="44"/>
      <c r="AC381" s="15"/>
      <c r="AD381" s="44"/>
      <c r="AE381" s="15"/>
      <c r="AF381" s="44"/>
      <c r="AG381" s="15">
        <f t="shared" si="41"/>
        <v>0</v>
      </c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/>
      <c r="BA381" s="42"/>
      <c r="BB381" s="15">
        <f t="shared" si="44"/>
        <v>0</v>
      </c>
      <c r="BC381" s="15"/>
      <c r="BD381" s="44"/>
      <c r="BE381" s="15"/>
      <c r="BF381" s="44"/>
      <c r="BG381" s="15">
        <f t="shared" si="45"/>
        <v>0</v>
      </c>
    </row>
    <row r="382" spans="1:59" s="8" customFormat="1" ht="22.5" customHeight="1">
      <c r="A382" s="9"/>
      <c r="B382" s="16" t="s">
        <v>591</v>
      </c>
      <c r="C382" s="89" t="s">
        <v>151</v>
      </c>
      <c r="D382" s="104" t="s">
        <v>595</v>
      </c>
      <c r="E382" s="104" t="s">
        <v>596</v>
      </c>
      <c r="F382" s="104" t="s">
        <v>1747</v>
      </c>
      <c r="G382" s="104" t="s">
        <v>1748</v>
      </c>
      <c r="H382" s="12"/>
      <c r="I382" s="9"/>
      <c r="J382" s="9" t="s">
        <v>594</v>
      </c>
      <c r="K382" s="14"/>
      <c r="L382" s="14"/>
      <c r="M382" s="12">
        <v>0</v>
      </c>
      <c r="N382" s="9"/>
      <c r="O382" s="9"/>
      <c r="P382" s="9"/>
      <c r="Q382" s="38">
        <f t="shared" si="39"/>
        <v>0</v>
      </c>
      <c r="R382" s="12"/>
      <c r="S382" s="42"/>
      <c r="T382" s="15"/>
      <c r="U382" s="44"/>
      <c r="V382" s="15"/>
      <c r="W382" s="44"/>
      <c r="X382" s="15">
        <f t="shared" si="40"/>
        <v>0</v>
      </c>
      <c r="Y382" s="15"/>
      <c r="Z382" s="44"/>
      <c r="AA382" s="15"/>
      <c r="AB382" s="44"/>
      <c r="AC382" s="15"/>
      <c r="AD382" s="44"/>
      <c r="AE382" s="15"/>
      <c r="AF382" s="44"/>
      <c r="AG382" s="15">
        <f t="shared" si="41"/>
        <v>0</v>
      </c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/>
      <c r="BA382" s="42"/>
      <c r="BB382" s="15">
        <f t="shared" si="44"/>
        <v>0</v>
      </c>
      <c r="BC382" s="15"/>
      <c r="BD382" s="44"/>
      <c r="BE382" s="15"/>
      <c r="BF382" s="44"/>
      <c r="BG382" s="15">
        <f t="shared" si="45"/>
        <v>0</v>
      </c>
    </row>
    <row r="383" spans="1:59" s="8" customFormat="1" ht="22.5" customHeight="1">
      <c r="A383" s="9"/>
      <c r="B383" s="16" t="s">
        <v>591</v>
      </c>
      <c r="C383" s="89" t="s">
        <v>151</v>
      </c>
      <c r="D383" s="104" t="s">
        <v>1749</v>
      </c>
      <c r="E383" s="104" t="s">
        <v>598</v>
      </c>
      <c r="F383" s="104" t="s">
        <v>1750</v>
      </c>
      <c r="G383" s="104" t="s">
        <v>1751</v>
      </c>
      <c r="H383" s="12"/>
      <c r="I383" s="9"/>
      <c r="J383" s="9" t="s">
        <v>594</v>
      </c>
      <c r="K383" s="14"/>
      <c r="L383" s="14"/>
      <c r="M383" s="12">
        <v>100</v>
      </c>
      <c r="N383" s="9"/>
      <c r="O383" s="9"/>
      <c r="P383" s="9"/>
      <c r="Q383" s="38">
        <f t="shared" si="39"/>
        <v>100</v>
      </c>
      <c r="R383" s="12"/>
      <c r="S383" s="42"/>
      <c r="T383" s="15"/>
      <c r="U383" s="44"/>
      <c r="V383" s="15"/>
      <c r="W383" s="44"/>
      <c r="X383" s="15">
        <f t="shared" si="40"/>
        <v>0</v>
      </c>
      <c r="Y383" s="15"/>
      <c r="Z383" s="44"/>
      <c r="AA383" s="15"/>
      <c r="AB383" s="44"/>
      <c r="AC383" s="15"/>
      <c r="AD383" s="44"/>
      <c r="AE383" s="15"/>
      <c r="AF383" s="44"/>
      <c r="AG383" s="15">
        <f t="shared" si="41"/>
        <v>0</v>
      </c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/>
      <c r="BA383" s="42"/>
      <c r="BB383" s="15">
        <f t="shared" si="44"/>
        <v>0</v>
      </c>
      <c r="BC383" s="15"/>
      <c r="BD383" s="44"/>
      <c r="BE383" s="15"/>
      <c r="BF383" s="44"/>
      <c r="BG383" s="15">
        <f t="shared" si="45"/>
        <v>0</v>
      </c>
    </row>
    <row r="384" spans="1:59" s="8" customFormat="1" ht="22.5" customHeight="1">
      <c r="A384" s="9"/>
      <c r="B384" s="16" t="s">
        <v>591</v>
      </c>
      <c r="C384" s="89" t="s">
        <v>151</v>
      </c>
      <c r="D384" s="104" t="s">
        <v>599</v>
      </c>
      <c r="E384" s="104" t="s">
        <v>596</v>
      </c>
      <c r="F384" s="104" t="s">
        <v>1752</v>
      </c>
      <c r="G384" s="104" t="s">
        <v>1753</v>
      </c>
      <c r="H384" s="12"/>
      <c r="I384" s="9"/>
      <c r="J384" s="9" t="s">
        <v>594</v>
      </c>
      <c r="K384" s="14"/>
      <c r="L384" s="14"/>
      <c r="M384" s="12">
        <v>95</v>
      </c>
      <c r="N384" s="9"/>
      <c r="O384" s="9"/>
      <c r="P384" s="9"/>
      <c r="Q384" s="38">
        <f t="shared" si="39"/>
        <v>95</v>
      </c>
      <c r="R384" s="12"/>
      <c r="S384" s="42"/>
      <c r="T384" s="15"/>
      <c r="U384" s="44"/>
      <c r="V384" s="15"/>
      <c r="W384" s="44"/>
      <c r="X384" s="15">
        <f t="shared" si="40"/>
        <v>0</v>
      </c>
      <c r="Y384" s="15"/>
      <c r="Z384" s="44"/>
      <c r="AA384" s="15"/>
      <c r="AB384" s="44"/>
      <c r="AC384" s="15"/>
      <c r="AD384" s="44"/>
      <c r="AE384" s="15"/>
      <c r="AF384" s="44"/>
      <c r="AG384" s="15">
        <f t="shared" si="41"/>
        <v>0</v>
      </c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/>
      <c r="BA384" s="42"/>
      <c r="BB384" s="15">
        <f t="shared" si="44"/>
        <v>0</v>
      </c>
      <c r="BC384" s="15"/>
      <c r="BD384" s="44"/>
      <c r="BE384" s="15"/>
      <c r="BF384" s="44"/>
      <c r="BG384" s="15">
        <f t="shared" si="45"/>
        <v>0</v>
      </c>
    </row>
    <row r="385" spans="1:59" s="8" customFormat="1" ht="22.5" customHeight="1">
      <c r="A385" s="9"/>
      <c r="B385" s="16" t="s">
        <v>591</v>
      </c>
      <c r="C385" s="89" t="s">
        <v>151</v>
      </c>
      <c r="D385" s="104" t="s">
        <v>600</v>
      </c>
      <c r="E385" s="104" t="s">
        <v>601</v>
      </c>
      <c r="F385" s="104" t="s">
        <v>1754</v>
      </c>
      <c r="G385" s="104" t="s">
        <v>1755</v>
      </c>
      <c r="H385" s="12"/>
      <c r="I385" s="9"/>
      <c r="J385" s="9" t="s">
        <v>594</v>
      </c>
      <c r="K385" s="14"/>
      <c r="L385" s="14"/>
      <c r="M385" s="12">
        <v>300</v>
      </c>
      <c r="N385" s="9"/>
      <c r="O385" s="9"/>
      <c r="P385" s="9"/>
      <c r="Q385" s="38">
        <f t="shared" si="39"/>
        <v>300</v>
      </c>
      <c r="R385" s="12"/>
      <c r="S385" s="42"/>
      <c r="T385" s="15"/>
      <c r="U385" s="44"/>
      <c r="V385" s="15"/>
      <c r="W385" s="44"/>
      <c r="X385" s="15">
        <f t="shared" si="40"/>
        <v>0</v>
      </c>
      <c r="Y385" s="15"/>
      <c r="Z385" s="44"/>
      <c r="AA385" s="15"/>
      <c r="AB385" s="44"/>
      <c r="AC385" s="15"/>
      <c r="AD385" s="44"/>
      <c r="AE385" s="15"/>
      <c r="AF385" s="44"/>
      <c r="AG385" s="15">
        <f t="shared" si="41"/>
        <v>0</v>
      </c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/>
      <c r="BA385" s="42"/>
      <c r="BB385" s="15">
        <f t="shared" si="44"/>
        <v>0</v>
      </c>
      <c r="BC385" s="15"/>
      <c r="BD385" s="44"/>
      <c r="BE385" s="15"/>
      <c r="BF385" s="44"/>
      <c r="BG385" s="15">
        <f t="shared" si="45"/>
        <v>0</v>
      </c>
    </row>
    <row r="386" spans="1:59" s="8" customFormat="1" ht="22.5" customHeight="1">
      <c r="A386" s="9"/>
      <c r="B386" s="16" t="s">
        <v>591</v>
      </c>
      <c r="C386" s="89" t="s">
        <v>151</v>
      </c>
      <c r="D386" s="104" t="s">
        <v>602</v>
      </c>
      <c r="E386" s="104" t="s">
        <v>603</v>
      </c>
      <c r="F386" s="104" t="s">
        <v>1756</v>
      </c>
      <c r="G386" s="104" t="s">
        <v>1757</v>
      </c>
      <c r="H386" s="12"/>
      <c r="I386" s="9"/>
      <c r="J386" s="9" t="s">
        <v>594</v>
      </c>
      <c r="K386" s="14"/>
      <c r="L386" s="14"/>
      <c r="M386" s="12">
        <v>212</v>
      </c>
      <c r="N386" s="9"/>
      <c r="O386" s="9"/>
      <c r="P386" s="9"/>
      <c r="Q386" s="38">
        <f t="shared" si="39"/>
        <v>212</v>
      </c>
      <c r="R386" s="12"/>
      <c r="S386" s="42"/>
      <c r="T386" s="15"/>
      <c r="U386" s="44"/>
      <c r="V386" s="15"/>
      <c r="W386" s="44"/>
      <c r="X386" s="15">
        <f t="shared" si="40"/>
        <v>0</v>
      </c>
      <c r="Y386" s="15"/>
      <c r="Z386" s="44"/>
      <c r="AA386" s="15"/>
      <c r="AB386" s="44"/>
      <c r="AC386" s="15"/>
      <c r="AD386" s="44"/>
      <c r="AE386" s="15"/>
      <c r="AF386" s="44"/>
      <c r="AG386" s="15">
        <f t="shared" si="41"/>
        <v>0</v>
      </c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/>
      <c r="BA386" s="42"/>
      <c r="BB386" s="15">
        <f t="shared" si="44"/>
        <v>0</v>
      </c>
      <c r="BC386" s="15"/>
      <c r="BD386" s="44"/>
      <c r="BE386" s="15"/>
      <c r="BF386" s="44"/>
      <c r="BG386" s="15">
        <f t="shared" si="45"/>
        <v>0</v>
      </c>
    </row>
    <row r="387" spans="1:59" s="8" customFormat="1" ht="22.5" customHeight="1">
      <c r="A387" s="9"/>
      <c r="B387" s="16" t="s">
        <v>591</v>
      </c>
      <c r="C387" s="89" t="s">
        <v>151</v>
      </c>
      <c r="D387" s="104" t="s">
        <v>604</v>
      </c>
      <c r="E387" s="104" t="s">
        <v>605</v>
      </c>
      <c r="F387" s="104" t="s">
        <v>1758</v>
      </c>
      <c r="G387" s="104" t="s">
        <v>1759</v>
      </c>
      <c r="H387" s="12"/>
      <c r="I387" s="9"/>
      <c r="J387" s="9" t="s">
        <v>594</v>
      </c>
      <c r="K387" s="14"/>
      <c r="L387" s="14"/>
      <c r="M387" s="12">
        <v>240</v>
      </c>
      <c r="N387" s="9"/>
      <c r="O387" s="9"/>
      <c r="P387" s="9"/>
      <c r="Q387" s="38">
        <f t="shared" si="39"/>
        <v>240</v>
      </c>
      <c r="R387" s="12"/>
      <c r="S387" s="42"/>
      <c r="T387" s="15"/>
      <c r="U387" s="44"/>
      <c r="V387" s="15"/>
      <c r="W387" s="44"/>
      <c r="X387" s="15">
        <f t="shared" si="40"/>
        <v>0</v>
      </c>
      <c r="Y387" s="15"/>
      <c r="Z387" s="44"/>
      <c r="AA387" s="15"/>
      <c r="AB387" s="44"/>
      <c r="AC387" s="15"/>
      <c r="AD387" s="44"/>
      <c r="AE387" s="15"/>
      <c r="AF387" s="44"/>
      <c r="AG387" s="15">
        <f t="shared" si="41"/>
        <v>0</v>
      </c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/>
      <c r="BA387" s="42"/>
      <c r="BB387" s="15">
        <f t="shared" si="44"/>
        <v>0</v>
      </c>
      <c r="BC387" s="15"/>
      <c r="BD387" s="44"/>
      <c r="BE387" s="15"/>
      <c r="BF387" s="44"/>
      <c r="BG387" s="15">
        <f t="shared" si="45"/>
        <v>0</v>
      </c>
    </row>
    <row r="388" spans="1:59" s="8" customFormat="1" ht="22.5" customHeight="1">
      <c r="A388" s="9"/>
      <c r="B388" s="16" t="s">
        <v>606</v>
      </c>
      <c r="C388" s="89" t="s">
        <v>151</v>
      </c>
      <c r="D388" s="104" t="s">
        <v>607</v>
      </c>
      <c r="E388" s="104" t="s">
        <v>608</v>
      </c>
      <c r="F388" s="104" t="s">
        <v>1760</v>
      </c>
      <c r="G388" s="104" t="s">
        <v>1761</v>
      </c>
      <c r="H388" s="12"/>
      <c r="I388" s="9"/>
      <c r="J388" s="9" t="s">
        <v>594</v>
      </c>
      <c r="K388" s="14"/>
      <c r="L388" s="14"/>
      <c r="M388" s="12">
        <v>360</v>
      </c>
      <c r="N388" s="9"/>
      <c r="O388" s="9"/>
      <c r="P388" s="9"/>
      <c r="Q388" s="38">
        <f t="shared" ref="Q388:Q451" si="46">M388+X388-AG388-BB388</f>
        <v>360</v>
      </c>
      <c r="R388" s="12"/>
      <c r="S388" s="42"/>
      <c r="T388" s="15"/>
      <c r="U388" s="44"/>
      <c r="V388" s="15"/>
      <c r="W388" s="44"/>
      <c r="X388" s="15">
        <f t="shared" ref="X388:X451" si="47">R388+T388+V388</f>
        <v>0</v>
      </c>
      <c r="Y388" s="15"/>
      <c r="Z388" s="44"/>
      <c r="AA388" s="15"/>
      <c r="AB388" s="44"/>
      <c r="AC388" s="15"/>
      <c r="AD388" s="44"/>
      <c r="AE388" s="15"/>
      <c r="AF388" s="44"/>
      <c r="AG388" s="15">
        <f t="shared" ref="AG388:AG451" si="48">(Y388+AA388+AC388+AE388)</f>
        <v>0</v>
      </c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/>
      <c r="BA388" s="42"/>
      <c r="BB388" s="15">
        <f t="shared" si="44"/>
        <v>0</v>
      </c>
      <c r="BC388" s="15"/>
      <c r="BD388" s="44"/>
      <c r="BE388" s="15"/>
      <c r="BF388" s="44"/>
      <c r="BG388" s="15">
        <f t="shared" si="45"/>
        <v>0</v>
      </c>
    </row>
    <row r="389" spans="1:59" s="8" customFormat="1" ht="22.5" customHeight="1">
      <c r="A389" s="9"/>
      <c r="B389" s="16" t="s">
        <v>606</v>
      </c>
      <c r="C389" s="89" t="s">
        <v>151</v>
      </c>
      <c r="D389" s="104" t="s">
        <v>609</v>
      </c>
      <c r="E389" s="104" t="s">
        <v>610</v>
      </c>
      <c r="F389" s="104" t="s">
        <v>1762</v>
      </c>
      <c r="G389" s="104" t="s">
        <v>1763</v>
      </c>
      <c r="H389" s="12"/>
      <c r="I389" s="9"/>
      <c r="J389" s="9" t="s">
        <v>594</v>
      </c>
      <c r="K389" s="14"/>
      <c r="L389" s="14"/>
      <c r="M389" s="12">
        <v>180</v>
      </c>
      <c r="N389" s="9"/>
      <c r="O389" s="9"/>
      <c r="P389" s="9"/>
      <c r="Q389" s="38">
        <f t="shared" si="46"/>
        <v>180</v>
      </c>
      <c r="R389" s="12"/>
      <c r="S389" s="42"/>
      <c r="T389" s="15"/>
      <c r="U389" s="44"/>
      <c r="V389" s="15"/>
      <c r="W389" s="44"/>
      <c r="X389" s="15">
        <f t="shared" si="47"/>
        <v>0</v>
      </c>
      <c r="Y389" s="15"/>
      <c r="Z389" s="44"/>
      <c r="AA389" s="15"/>
      <c r="AB389" s="44"/>
      <c r="AC389" s="15"/>
      <c r="AD389" s="44"/>
      <c r="AE389" s="15"/>
      <c r="AF389" s="44"/>
      <c r="AG389" s="15">
        <f t="shared" si="48"/>
        <v>0</v>
      </c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/>
      <c r="BA389" s="42"/>
      <c r="BB389" s="15">
        <f t="shared" si="44"/>
        <v>0</v>
      </c>
      <c r="BC389" s="15"/>
      <c r="BD389" s="44"/>
      <c r="BE389" s="15"/>
      <c r="BF389" s="44"/>
      <c r="BG389" s="15">
        <f t="shared" si="45"/>
        <v>0</v>
      </c>
    </row>
    <row r="390" spans="1:59" s="8" customFormat="1" ht="22.5" customHeight="1">
      <c r="A390" s="9"/>
      <c r="B390" s="16" t="s">
        <v>606</v>
      </c>
      <c r="C390" s="89" t="s">
        <v>52</v>
      </c>
      <c r="D390" s="104" t="s">
        <v>611</v>
      </c>
      <c r="E390" s="104" t="s">
        <v>612</v>
      </c>
      <c r="F390" s="104" t="s">
        <v>1764</v>
      </c>
      <c r="G390" s="104" t="s">
        <v>1765</v>
      </c>
      <c r="H390" s="12"/>
      <c r="I390" s="9"/>
      <c r="J390" s="9" t="s">
        <v>594</v>
      </c>
      <c r="K390" s="14"/>
      <c r="L390" s="14"/>
      <c r="M390" s="12">
        <v>420</v>
      </c>
      <c r="N390" s="9"/>
      <c r="O390" s="9"/>
      <c r="P390" s="9"/>
      <c r="Q390" s="38">
        <f t="shared" si="46"/>
        <v>420</v>
      </c>
      <c r="R390" s="12"/>
      <c r="S390" s="42"/>
      <c r="T390" s="15"/>
      <c r="U390" s="44"/>
      <c r="V390" s="15"/>
      <c r="W390" s="44"/>
      <c r="X390" s="15">
        <f t="shared" si="47"/>
        <v>0</v>
      </c>
      <c r="Y390" s="15"/>
      <c r="Z390" s="44"/>
      <c r="AA390" s="15"/>
      <c r="AB390" s="44"/>
      <c r="AC390" s="15"/>
      <c r="AD390" s="44"/>
      <c r="AE390" s="15"/>
      <c r="AF390" s="44"/>
      <c r="AG390" s="15">
        <f t="shared" si="48"/>
        <v>0</v>
      </c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/>
      <c r="BA390" s="42"/>
      <c r="BB390" s="15">
        <f t="shared" si="44"/>
        <v>0</v>
      </c>
      <c r="BC390" s="15"/>
      <c r="BD390" s="44"/>
      <c r="BE390" s="15"/>
      <c r="BF390" s="44"/>
      <c r="BG390" s="15">
        <f t="shared" si="45"/>
        <v>0</v>
      </c>
    </row>
    <row r="391" spans="1:59" s="8" customFormat="1" ht="22.5" customHeight="1">
      <c r="A391" s="9"/>
      <c r="B391" s="16" t="s">
        <v>606</v>
      </c>
      <c r="C391" s="89" t="s">
        <v>52</v>
      </c>
      <c r="D391" s="104" t="s">
        <v>613</v>
      </c>
      <c r="E391" s="104" t="s">
        <v>614</v>
      </c>
      <c r="F391" s="104" t="s">
        <v>1766</v>
      </c>
      <c r="G391" s="104" t="s">
        <v>1767</v>
      </c>
      <c r="H391" s="12"/>
      <c r="I391" s="9"/>
      <c r="J391" s="9" t="s">
        <v>594</v>
      </c>
      <c r="K391" s="14"/>
      <c r="L391" s="14"/>
      <c r="M391" s="12">
        <v>7</v>
      </c>
      <c r="N391" s="9"/>
      <c r="O391" s="9"/>
      <c r="P391" s="9"/>
      <c r="Q391" s="38">
        <f t="shared" si="46"/>
        <v>7</v>
      </c>
      <c r="R391" s="12"/>
      <c r="S391" s="42"/>
      <c r="T391" s="15"/>
      <c r="U391" s="44"/>
      <c r="V391" s="15"/>
      <c r="W391" s="44"/>
      <c r="X391" s="15">
        <f t="shared" si="47"/>
        <v>0</v>
      </c>
      <c r="Y391" s="15"/>
      <c r="Z391" s="44"/>
      <c r="AA391" s="15"/>
      <c r="AB391" s="44"/>
      <c r="AC391" s="15"/>
      <c r="AD391" s="44"/>
      <c r="AE391" s="15"/>
      <c r="AF391" s="44"/>
      <c r="AG391" s="15">
        <f t="shared" si="48"/>
        <v>0</v>
      </c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/>
      <c r="BA391" s="42"/>
      <c r="BB391" s="15">
        <f t="shared" si="44"/>
        <v>0</v>
      </c>
      <c r="BC391" s="15"/>
      <c r="BD391" s="44"/>
      <c r="BE391" s="15"/>
      <c r="BF391" s="44"/>
      <c r="BG391" s="15">
        <f t="shared" si="45"/>
        <v>0</v>
      </c>
    </row>
    <row r="392" spans="1:59" s="8" customFormat="1" ht="22.5" customHeight="1">
      <c r="A392" s="9"/>
      <c r="B392" s="16" t="s">
        <v>606</v>
      </c>
      <c r="C392" s="89" t="s">
        <v>151</v>
      </c>
      <c r="D392" s="104" t="s">
        <v>615</v>
      </c>
      <c r="E392" s="104" t="s">
        <v>593</v>
      </c>
      <c r="F392" s="104" t="s">
        <v>1768</v>
      </c>
      <c r="G392" s="104" t="s">
        <v>1769</v>
      </c>
      <c r="H392" s="12"/>
      <c r="I392" s="9"/>
      <c r="J392" s="9" t="s">
        <v>594</v>
      </c>
      <c r="K392" s="14"/>
      <c r="L392" s="14"/>
      <c r="M392" s="12"/>
      <c r="N392" s="9"/>
      <c r="O392" s="9"/>
      <c r="P392" s="9"/>
      <c r="Q392" s="38">
        <f t="shared" si="46"/>
        <v>0</v>
      </c>
      <c r="R392" s="12"/>
      <c r="S392" s="42"/>
      <c r="T392" s="15"/>
      <c r="U392" s="44"/>
      <c r="V392" s="15"/>
      <c r="W392" s="44"/>
      <c r="X392" s="15">
        <f t="shared" si="47"/>
        <v>0</v>
      </c>
      <c r="Y392" s="15"/>
      <c r="Z392" s="44"/>
      <c r="AA392" s="15"/>
      <c r="AB392" s="44"/>
      <c r="AC392" s="15"/>
      <c r="AD392" s="44"/>
      <c r="AE392" s="15"/>
      <c r="AF392" s="44"/>
      <c r="AG392" s="15">
        <f t="shared" si="48"/>
        <v>0</v>
      </c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/>
      <c r="BA392" s="42"/>
      <c r="BB392" s="15">
        <f t="shared" si="44"/>
        <v>0</v>
      </c>
      <c r="BC392" s="15"/>
      <c r="BD392" s="44"/>
      <c r="BE392" s="15"/>
      <c r="BF392" s="44"/>
      <c r="BG392" s="15">
        <f t="shared" si="45"/>
        <v>0</v>
      </c>
    </row>
    <row r="393" spans="1:59" s="8" customFormat="1" ht="22.5" customHeight="1">
      <c r="A393" s="9"/>
      <c r="B393" s="16" t="s">
        <v>606</v>
      </c>
      <c r="C393" s="89" t="s">
        <v>151</v>
      </c>
      <c r="D393" s="104" t="s">
        <v>615</v>
      </c>
      <c r="E393" s="104" t="s">
        <v>616</v>
      </c>
      <c r="F393" s="104" t="s">
        <v>1770</v>
      </c>
      <c r="G393" s="104" t="s">
        <v>1771</v>
      </c>
      <c r="H393" s="12"/>
      <c r="I393" s="9"/>
      <c r="J393" s="9" t="s">
        <v>594</v>
      </c>
      <c r="K393" s="14"/>
      <c r="L393" s="14"/>
      <c r="M393" s="12"/>
      <c r="N393" s="9"/>
      <c r="O393" s="9"/>
      <c r="P393" s="9"/>
      <c r="Q393" s="38">
        <f t="shared" si="46"/>
        <v>0</v>
      </c>
      <c r="R393" s="12"/>
      <c r="S393" s="42"/>
      <c r="T393" s="15"/>
      <c r="U393" s="44"/>
      <c r="V393" s="15"/>
      <c r="W393" s="44"/>
      <c r="X393" s="15">
        <f t="shared" si="47"/>
        <v>0</v>
      </c>
      <c r="Y393" s="15"/>
      <c r="Z393" s="44"/>
      <c r="AA393" s="15"/>
      <c r="AB393" s="44"/>
      <c r="AC393" s="15"/>
      <c r="AD393" s="44"/>
      <c r="AE393" s="15"/>
      <c r="AF393" s="44"/>
      <c r="AG393" s="15">
        <f t="shared" si="48"/>
        <v>0</v>
      </c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/>
      <c r="BA393" s="42"/>
      <c r="BB393" s="15">
        <f t="shared" si="44"/>
        <v>0</v>
      </c>
      <c r="BC393" s="15"/>
      <c r="BD393" s="44"/>
      <c r="BE393" s="15"/>
      <c r="BF393" s="44"/>
      <c r="BG393" s="15">
        <f t="shared" si="45"/>
        <v>0</v>
      </c>
    </row>
    <row r="394" spans="1:59" s="8" customFormat="1" ht="22.5" customHeight="1">
      <c r="A394" s="9"/>
      <c r="B394" s="16" t="s">
        <v>617</v>
      </c>
      <c r="C394" s="89" t="s">
        <v>151</v>
      </c>
      <c r="D394" s="104" t="s">
        <v>618</v>
      </c>
      <c r="E394" s="104"/>
      <c r="F394" s="104" t="s">
        <v>1772</v>
      </c>
      <c r="G394" s="104" t="s">
        <v>1773</v>
      </c>
      <c r="H394" s="12"/>
      <c r="I394" s="9"/>
      <c r="J394" s="9" t="s">
        <v>467</v>
      </c>
      <c r="K394" s="14"/>
      <c r="L394" s="14"/>
      <c r="M394" s="12"/>
      <c r="N394" s="9"/>
      <c r="O394" s="9"/>
      <c r="P394" s="9"/>
      <c r="Q394" s="38">
        <f t="shared" si="46"/>
        <v>0</v>
      </c>
      <c r="R394" s="12"/>
      <c r="S394" s="42"/>
      <c r="T394" s="15"/>
      <c r="U394" s="44"/>
      <c r="V394" s="15"/>
      <c r="W394" s="44"/>
      <c r="X394" s="15">
        <f t="shared" si="47"/>
        <v>0</v>
      </c>
      <c r="Y394" s="15"/>
      <c r="Z394" s="44"/>
      <c r="AA394" s="15"/>
      <c r="AB394" s="44"/>
      <c r="AC394" s="15"/>
      <c r="AD394" s="44"/>
      <c r="AE394" s="15"/>
      <c r="AF394" s="44"/>
      <c r="AG394" s="15">
        <f t="shared" si="48"/>
        <v>0</v>
      </c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/>
      <c r="BA394" s="42"/>
      <c r="BB394" s="15">
        <f t="shared" si="44"/>
        <v>0</v>
      </c>
      <c r="BC394" s="15"/>
      <c r="BD394" s="44"/>
      <c r="BE394" s="15"/>
      <c r="BF394" s="44"/>
      <c r="BG394" s="15">
        <f t="shared" si="45"/>
        <v>0</v>
      </c>
    </row>
    <row r="395" spans="1:59" s="8" customFormat="1" ht="22.5" customHeight="1">
      <c r="A395" s="9"/>
      <c r="B395" s="16" t="s">
        <v>619</v>
      </c>
      <c r="C395" s="89" t="s">
        <v>44</v>
      </c>
      <c r="D395" s="104" t="s">
        <v>620</v>
      </c>
      <c r="E395" s="104" t="s">
        <v>621</v>
      </c>
      <c r="F395" s="104" t="s">
        <v>1774</v>
      </c>
      <c r="G395" s="104" t="s">
        <v>1775</v>
      </c>
      <c r="H395" s="12"/>
      <c r="I395" s="9"/>
      <c r="J395" s="9" t="s">
        <v>67</v>
      </c>
      <c r="K395" s="14"/>
      <c r="L395" s="14"/>
      <c r="M395" s="12"/>
      <c r="N395" s="9"/>
      <c r="O395" s="9"/>
      <c r="P395" s="9"/>
      <c r="Q395" s="38">
        <f t="shared" si="46"/>
        <v>0</v>
      </c>
      <c r="R395" s="12"/>
      <c r="S395" s="42"/>
      <c r="T395" s="15"/>
      <c r="U395" s="44"/>
      <c r="V395" s="15"/>
      <c r="W395" s="44"/>
      <c r="X395" s="15">
        <f t="shared" si="47"/>
        <v>0</v>
      </c>
      <c r="Y395" s="15"/>
      <c r="Z395" s="44"/>
      <c r="AA395" s="15"/>
      <c r="AB395" s="44"/>
      <c r="AC395" s="15"/>
      <c r="AD395" s="44"/>
      <c r="AE395" s="15"/>
      <c r="AF395" s="44"/>
      <c r="AG395" s="15">
        <f t="shared" si="48"/>
        <v>0</v>
      </c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/>
      <c r="BA395" s="42"/>
      <c r="BB395" s="15">
        <f t="shared" si="44"/>
        <v>0</v>
      </c>
      <c r="BC395" s="15"/>
      <c r="BD395" s="44"/>
      <c r="BE395" s="15"/>
      <c r="BF395" s="44"/>
      <c r="BG395" s="15">
        <f t="shared" si="45"/>
        <v>0</v>
      </c>
    </row>
    <row r="396" spans="1:59" s="8" customFormat="1" ht="22.5" customHeight="1">
      <c r="A396" s="9"/>
      <c r="B396" s="16" t="s">
        <v>120</v>
      </c>
      <c r="C396" s="89" t="s">
        <v>151</v>
      </c>
      <c r="D396" s="104" t="s">
        <v>622</v>
      </c>
      <c r="E396" s="104"/>
      <c r="F396" s="104" t="s">
        <v>622</v>
      </c>
      <c r="G396" s="104" t="s">
        <v>1776</v>
      </c>
      <c r="H396" s="12"/>
      <c r="I396" s="9"/>
      <c r="J396" s="9" t="s">
        <v>67</v>
      </c>
      <c r="K396" s="14"/>
      <c r="L396" s="14"/>
      <c r="M396" s="12"/>
      <c r="N396" s="9"/>
      <c r="O396" s="9"/>
      <c r="P396" s="9"/>
      <c r="Q396" s="38">
        <f t="shared" si="46"/>
        <v>0</v>
      </c>
      <c r="R396" s="12"/>
      <c r="S396" s="42"/>
      <c r="T396" s="15"/>
      <c r="U396" s="44"/>
      <c r="V396" s="15"/>
      <c r="W396" s="44"/>
      <c r="X396" s="15">
        <f t="shared" si="47"/>
        <v>0</v>
      </c>
      <c r="Y396" s="15"/>
      <c r="Z396" s="44"/>
      <c r="AA396" s="15"/>
      <c r="AB396" s="44"/>
      <c r="AC396" s="15"/>
      <c r="AD396" s="44"/>
      <c r="AE396" s="15"/>
      <c r="AF396" s="44"/>
      <c r="AG396" s="15">
        <f t="shared" si="48"/>
        <v>0</v>
      </c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/>
      <c r="BA396" s="42"/>
      <c r="BB396" s="15">
        <f t="shared" si="44"/>
        <v>0</v>
      </c>
      <c r="BC396" s="15"/>
      <c r="BD396" s="44"/>
      <c r="BE396" s="15"/>
      <c r="BF396" s="44"/>
      <c r="BG396" s="15">
        <f t="shared" si="45"/>
        <v>0</v>
      </c>
    </row>
    <row r="397" spans="1:59" s="8" customFormat="1" ht="22.5" customHeight="1">
      <c r="A397" s="9"/>
      <c r="B397" s="16" t="s">
        <v>120</v>
      </c>
      <c r="C397" s="89" t="s">
        <v>140</v>
      </c>
      <c r="D397" s="104" t="s">
        <v>623</v>
      </c>
      <c r="E397" s="104" t="s">
        <v>624</v>
      </c>
      <c r="F397" s="104" t="s">
        <v>1777</v>
      </c>
      <c r="G397" s="104" t="s">
        <v>1778</v>
      </c>
      <c r="H397" s="12"/>
      <c r="I397" s="9"/>
      <c r="J397" s="9" t="s">
        <v>625</v>
      </c>
      <c r="K397" s="14"/>
      <c r="L397" s="14"/>
      <c r="M397" s="12"/>
      <c r="N397" s="9"/>
      <c r="O397" s="9"/>
      <c r="P397" s="9"/>
      <c r="Q397" s="38">
        <f t="shared" si="46"/>
        <v>0</v>
      </c>
      <c r="R397" s="12"/>
      <c r="S397" s="42"/>
      <c r="T397" s="15"/>
      <c r="U397" s="44"/>
      <c r="V397" s="15"/>
      <c r="W397" s="44"/>
      <c r="X397" s="15">
        <f t="shared" si="47"/>
        <v>0</v>
      </c>
      <c r="Y397" s="15"/>
      <c r="Z397" s="44"/>
      <c r="AA397" s="15"/>
      <c r="AB397" s="44"/>
      <c r="AC397" s="15"/>
      <c r="AD397" s="44"/>
      <c r="AE397" s="15"/>
      <c r="AF397" s="44"/>
      <c r="AG397" s="15">
        <f t="shared" si="48"/>
        <v>0</v>
      </c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/>
      <c r="BA397" s="42"/>
      <c r="BB397" s="15">
        <f t="shared" si="44"/>
        <v>0</v>
      </c>
      <c r="BC397" s="15"/>
      <c r="BD397" s="44"/>
      <c r="BE397" s="15"/>
      <c r="BF397" s="44"/>
      <c r="BG397" s="15">
        <f t="shared" si="45"/>
        <v>0</v>
      </c>
    </row>
    <row r="398" spans="1:59" s="8" customFormat="1" ht="22.5" customHeight="1">
      <c r="A398" s="9"/>
      <c r="B398" s="16" t="s">
        <v>120</v>
      </c>
      <c r="C398" s="89" t="s">
        <v>140</v>
      </c>
      <c r="D398" s="104" t="s">
        <v>623</v>
      </c>
      <c r="E398" s="104" t="s">
        <v>626</v>
      </c>
      <c r="F398" s="104" t="s">
        <v>1779</v>
      </c>
      <c r="G398" s="104" t="s">
        <v>1780</v>
      </c>
      <c r="H398" s="12"/>
      <c r="I398" s="9"/>
      <c r="J398" s="9" t="s">
        <v>627</v>
      </c>
      <c r="K398" s="14"/>
      <c r="L398" s="14"/>
      <c r="M398" s="12"/>
      <c r="N398" s="9"/>
      <c r="O398" s="9"/>
      <c r="P398" s="9"/>
      <c r="Q398" s="38">
        <f t="shared" si="46"/>
        <v>0</v>
      </c>
      <c r="R398" s="12"/>
      <c r="S398" s="42"/>
      <c r="T398" s="15"/>
      <c r="U398" s="44"/>
      <c r="V398" s="15"/>
      <c r="W398" s="44"/>
      <c r="X398" s="15">
        <f t="shared" si="47"/>
        <v>0</v>
      </c>
      <c r="Y398" s="15"/>
      <c r="Z398" s="44"/>
      <c r="AA398" s="15"/>
      <c r="AB398" s="44"/>
      <c r="AC398" s="15"/>
      <c r="AD398" s="44"/>
      <c r="AE398" s="15"/>
      <c r="AF398" s="44"/>
      <c r="AG398" s="15">
        <f t="shared" si="48"/>
        <v>0</v>
      </c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/>
      <c r="BA398" s="42"/>
      <c r="BB398" s="15">
        <f t="shared" si="44"/>
        <v>0</v>
      </c>
      <c r="BC398" s="15"/>
      <c r="BD398" s="44"/>
      <c r="BE398" s="15"/>
      <c r="BF398" s="44"/>
      <c r="BG398" s="15">
        <f t="shared" si="45"/>
        <v>0</v>
      </c>
    </row>
    <row r="399" spans="1:59" s="8" customFormat="1" ht="22.5" customHeight="1">
      <c r="A399" s="9"/>
      <c r="B399" s="16" t="s">
        <v>120</v>
      </c>
      <c r="C399" s="89" t="s">
        <v>140</v>
      </c>
      <c r="D399" s="104" t="s">
        <v>623</v>
      </c>
      <c r="E399" s="104" t="s">
        <v>628</v>
      </c>
      <c r="F399" s="104" t="s">
        <v>1781</v>
      </c>
      <c r="G399" s="104" t="s">
        <v>1782</v>
      </c>
      <c r="H399" s="12"/>
      <c r="I399" s="9"/>
      <c r="J399" s="9" t="s">
        <v>627</v>
      </c>
      <c r="K399" s="14"/>
      <c r="L399" s="14"/>
      <c r="M399" s="12"/>
      <c r="N399" s="9"/>
      <c r="O399" s="9"/>
      <c r="P399" s="9"/>
      <c r="Q399" s="38">
        <f t="shared" si="46"/>
        <v>0</v>
      </c>
      <c r="R399" s="12"/>
      <c r="S399" s="42"/>
      <c r="T399" s="15"/>
      <c r="U399" s="44"/>
      <c r="V399" s="15"/>
      <c r="W399" s="44"/>
      <c r="X399" s="15">
        <f t="shared" si="47"/>
        <v>0</v>
      </c>
      <c r="Y399" s="15"/>
      <c r="Z399" s="44"/>
      <c r="AA399" s="15"/>
      <c r="AB399" s="44"/>
      <c r="AC399" s="15"/>
      <c r="AD399" s="44"/>
      <c r="AE399" s="15"/>
      <c r="AF399" s="44"/>
      <c r="AG399" s="15">
        <f t="shared" si="48"/>
        <v>0</v>
      </c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/>
      <c r="BA399" s="42"/>
      <c r="BB399" s="15">
        <f t="shared" si="44"/>
        <v>0</v>
      </c>
      <c r="BC399" s="15"/>
      <c r="BD399" s="44"/>
      <c r="BE399" s="15"/>
      <c r="BF399" s="44"/>
      <c r="BG399" s="15">
        <f t="shared" si="45"/>
        <v>0</v>
      </c>
    </row>
    <row r="400" spans="1:59" s="8" customFormat="1" ht="22.5" customHeight="1">
      <c r="A400" s="9"/>
      <c r="B400" s="16" t="s">
        <v>120</v>
      </c>
      <c r="C400" s="89" t="s">
        <v>52</v>
      </c>
      <c r="D400" s="104" t="s">
        <v>629</v>
      </c>
      <c r="E400" s="104"/>
      <c r="F400" s="104" t="s">
        <v>629</v>
      </c>
      <c r="G400" s="104" t="s">
        <v>1783</v>
      </c>
      <c r="H400" s="12"/>
      <c r="I400" s="9"/>
      <c r="J400" s="9" t="s">
        <v>467</v>
      </c>
      <c r="K400" s="14"/>
      <c r="L400" s="14"/>
      <c r="M400" s="12">
        <v>27</v>
      </c>
      <c r="N400" s="9"/>
      <c r="O400" s="9"/>
      <c r="P400" s="9"/>
      <c r="Q400" s="38">
        <f t="shared" si="46"/>
        <v>27</v>
      </c>
      <c r="R400" s="12"/>
      <c r="S400" s="42"/>
      <c r="T400" s="15"/>
      <c r="U400" s="44"/>
      <c r="V400" s="15"/>
      <c r="W400" s="44"/>
      <c r="X400" s="15">
        <f t="shared" si="47"/>
        <v>0</v>
      </c>
      <c r="Y400" s="15"/>
      <c r="Z400" s="44"/>
      <c r="AA400" s="15"/>
      <c r="AB400" s="44"/>
      <c r="AC400" s="15"/>
      <c r="AD400" s="44"/>
      <c r="AE400" s="15"/>
      <c r="AF400" s="44"/>
      <c r="AG400" s="15">
        <f t="shared" si="48"/>
        <v>0</v>
      </c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/>
      <c r="BA400" s="42"/>
      <c r="BB400" s="15">
        <f t="shared" si="44"/>
        <v>0</v>
      </c>
      <c r="BC400" s="15"/>
      <c r="BD400" s="44"/>
      <c r="BE400" s="15"/>
      <c r="BF400" s="44"/>
      <c r="BG400" s="15">
        <f t="shared" si="45"/>
        <v>0</v>
      </c>
    </row>
    <row r="401" spans="1:59" s="8" customFormat="1" ht="22.5" customHeight="1">
      <c r="A401" s="9"/>
      <c r="B401" s="16" t="s">
        <v>172</v>
      </c>
      <c r="C401" s="89" t="s">
        <v>151</v>
      </c>
      <c r="D401" s="104" t="s">
        <v>630</v>
      </c>
      <c r="E401" s="104" t="s">
        <v>631</v>
      </c>
      <c r="F401" s="104" t="s">
        <v>1784</v>
      </c>
      <c r="G401" s="104" t="s">
        <v>1785</v>
      </c>
      <c r="H401" s="12"/>
      <c r="I401" s="9"/>
      <c r="J401" s="9" t="s">
        <v>67</v>
      </c>
      <c r="K401" s="14"/>
      <c r="L401" s="14"/>
      <c r="M401" s="12"/>
      <c r="N401" s="9"/>
      <c r="O401" s="9"/>
      <c r="P401" s="9"/>
      <c r="Q401" s="38">
        <f t="shared" si="46"/>
        <v>0</v>
      </c>
      <c r="R401" s="12"/>
      <c r="S401" s="42"/>
      <c r="T401" s="15"/>
      <c r="U401" s="44"/>
      <c r="V401" s="15"/>
      <c r="W401" s="44"/>
      <c r="X401" s="15">
        <f t="shared" si="47"/>
        <v>0</v>
      </c>
      <c r="Y401" s="15"/>
      <c r="Z401" s="44"/>
      <c r="AA401" s="15"/>
      <c r="AB401" s="44"/>
      <c r="AC401" s="15"/>
      <c r="AD401" s="44"/>
      <c r="AE401" s="15"/>
      <c r="AF401" s="44"/>
      <c r="AG401" s="15">
        <f t="shared" si="48"/>
        <v>0</v>
      </c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/>
      <c r="BA401" s="42"/>
      <c r="BB401" s="15">
        <f t="shared" si="44"/>
        <v>0</v>
      </c>
      <c r="BC401" s="15"/>
      <c r="BD401" s="44"/>
      <c r="BE401" s="15"/>
      <c r="BF401" s="44"/>
      <c r="BG401" s="15">
        <f t="shared" si="45"/>
        <v>0</v>
      </c>
    </row>
    <row r="402" spans="1:59" s="8" customFormat="1" ht="22.5" customHeight="1">
      <c r="A402" s="9"/>
      <c r="B402" s="16" t="s">
        <v>632</v>
      </c>
      <c r="C402" s="89" t="s">
        <v>52</v>
      </c>
      <c r="D402" s="104" t="s">
        <v>638</v>
      </c>
      <c r="E402" s="104"/>
      <c r="F402" s="104" t="s">
        <v>1786</v>
      </c>
      <c r="G402" s="104" t="s">
        <v>1787</v>
      </c>
      <c r="H402" s="12"/>
      <c r="I402" s="9"/>
      <c r="J402" s="9" t="s">
        <v>639</v>
      </c>
      <c r="K402" s="14"/>
      <c r="L402" s="14"/>
      <c r="M402" s="12"/>
      <c r="N402" s="9"/>
      <c r="O402" s="9"/>
      <c r="P402" s="9"/>
      <c r="Q402" s="38">
        <f t="shared" si="46"/>
        <v>0</v>
      </c>
      <c r="R402" s="12"/>
      <c r="S402" s="42"/>
      <c r="T402" s="15"/>
      <c r="U402" s="44"/>
      <c r="V402" s="15"/>
      <c r="W402" s="44"/>
      <c r="X402" s="15">
        <f t="shared" si="47"/>
        <v>0</v>
      </c>
      <c r="Y402" s="15"/>
      <c r="Z402" s="44"/>
      <c r="AA402" s="15"/>
      <c r="AB402" s="44"/>
      <c r="AC402" s="15"/>
      <c r="AD402" s="44"/>
      <c r="AE402" s="15"/>
      <c r="AF402" s="44"/>
      <c r="AG402" s="15">
        <f t="shared" si="48"/>
        <v>0</v>
      </c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/>
      <c r="BA402" s="42"/>
      <c r="BB402" s="15">
        <f t="shared" si="44"/>
        <v>0</v>
      </c>
      <c r="BC402" s="15"/>
      <c r="BD402" s="44"/>
      <c r="BE402" s="15"/>
      <c r="BF402" s="44"/>
      <c r="BG402" s="15">
        <f t="shared" si="45"/>
        <v>0</v>
      </c>
    </row>
    <row r="403" spans="1:59" s="8" customFormat="1" ht="22.5" customHeight="1">
      <c r="A403" s="9"/>
      <c r="B403" s="16" t="s">
        <v>632</v>
      </c>
      <c r="C403" s="89" t="s">
        <v>52</v>
      </c>
      <c r="D403" s="104" t="s">
        <v>640</v>
      </c>
      <c r="E403" s="104"/>
      <c r="F403" s="104" t="s">
        <v>1788</v>
      </c>
      <c r="G403" s="104" t="s">
        <v>1789</v>
      </c>
      <c r="H403" s="12"/>
      <c r="I403" s="9"/>
      <c r="J403" s="9" t="s">
        <v>247</v>
      </c>
      <c r="K403" s="14"/>
      <c r="L403" s="14"/>
      <c r="M403" s="12"/>
      <c r="N403" s="9"/>
      <c r="O403" s="9"/>
      <c r="P403" s="9"/>
      <c r="Q403" s="38">
        <f t="shared" si="46"/>
        <v>0</v>
      </c>
      <c r="R403" s="12"/>
      <c r="S403" s="42"/>
      <c r="T403" s="15"/>
      <c r="U403" s="44"/>
      <c r="V403" s="15"/>
      <c r="W403" s="44"/>
      <c r="X403" s="15">
        <f t="shared" si="47"/>
        <v>0</v>
      </c>
      <c r="Y403" s="15"/>
      <c r="Z403" s="44"/>
      <c r="AA403" s="15"/>
      <c r="AB403" s="44"/>
      <c r="AC403" s="15"/>
      <c r="AD403" s="44"/>
      <c r="AE403" s="15"/>
      <c r="AF403" s="44"/>
      <c r="AG403" s="15">
        <f t="shared" si="48"/>
        <v>0</v>
      </c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/>
      <c r="BA403" s="42"/>
      <c r="BB403" s="15">
        <f t="shared" si="44"/>
        <v>0</v>
      </c>
      <c r="BC403" s="15"/>
      <c r="BD403" s="44"/>
      <c r="BE403" s="15"/>
      <c r="BF403" s="44"/>
      <c r="BG403" s="15">
        <f t="shared" si="45"/>
        <v>0</v>
      </c>
    </row>
    <row r="404" spans="1:59" s="8" customFormat="1" ht="22.5" customHeight="1">
      <c r="A404" s="9"/>
      <c r="B404" s="16" t="s">
        <v>641</v>
      </c>
      <c r="C404" s="89" t="s">
        <v>44</v>
      </c>
      <c r="D404" s="104" t="s">
        <v>642</v>
      </c>
      <c r="E404" s="104"/>
      <c r="F404" s="104" t="s">
        <v>1790</v>
      </c>
      <c r="G404" s="104" t="s">
        <v>1791</v>
      </c>
      <c r="H404" s="12"/>
      <c r="I404" s="9"/>
      <c r="J404" s="9" t="s">
        <v>247</v>
      </c>
      <c r="K404" s="14"/>
      <c r="L404" s="14"/>
      <c r="M404" s="12"/>
      <c r="N404" s="9"/>
      <c r="O404" s="9"/>
      <c r="P404" s="9"/>
      <c r="Q404" s="38">
        <f t="shared" si="46"/>
        <v>0</v>
      </c>
      <c r="R404" s="12"/>
      <c r="S404" s="42"/>
      <c r="T404" s="15"/>
      <c r="U404" s="44"/>
      <c r="V404" s="15"/>
      <c r="W404" s="44"/>
      <c r="X404" s="15">
        <f t="shared" si="47"/>
        <v>0</v>
      </c>
      <c r="Y404" s="15"/>
      <c r="Z404" s="44"/>
      <c r="AA404" s="15"/>
      <c r="AB404" s="44"/>
      <c r="AC404" s="15"/>
      <c r="AD404" s="44"/>
      <c r="AE404" s="15"/>
      <c r="AF404" s="44"/>
      <c r="AG404" s="15">
        <f t="shared" si="48"/>
        <v>0</v>
      </c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/>
      <c r="BA404" s="42"/>
      <c r="BB404" s="15">
        <f t="shared" si="44"/>
        <v>0</v>
      </c>
      <c r="BC404" s="15"/>
      <c r="BD404" s="44"/>
      <c r="BE404" s="15"/>
      <c r="BF404" s="44"/>
      <c r="BG404" s="15">
        <f t="shared" si="45"/>
        <v>0</v>
      </c>
    </row>
    <row r="405" spans="1:59" s="8" customFormat="1" ht="22.5" customHeight="1">
      <c r="A405" s="9"/>
      <c r="B405" s="16" t="s">
        <v>641</v>
      </c>
      <c r="C405" s="89" t="s">
        <v>643</v>
      </c>
      <c r="D405" s="104" t="s">
        <v>642</v>
      </c>
      <c r="E405" s="104"/>
      <c r="F405" s="104" t="s">
        <v>1792</v>
      </c>
      <c r="G405" s="104" t="s">
        <v>1793</v>
      </c>
      <c r="H405" s="12"/>
      <c r="I405" s="9"/>
      <c r="J405" s="9" t="s">
        <v>247</v>
      </c>
      <c r="K405" s="14"/>
      <c r="L405" s="14"/>
      <c r="M405" s="12"/>
      <c r="N405" s="9"/>
      <c r="O405" s="9"/>
      <c r="P405" s="9"/>
      <c r="Q405" s="38">
        <f t="shared" si="46"/>
        <v>0</v>
      </c>
      <c r="R405" s="12"/>
      <c r="S405" s="42"/>
      <c r="T405" s="15"/>
      <c r="U405" s="44"/>
      <c r="V405" s="15"/>
      <c r="W405" s="44"/>
      <c r="X405" s="15">
        <f t="shared" si="47"/>
        <v>0</v>
      </c>
      <c r="Y405" s="15"/>
      <c r="Z405" s="44"/>
      <c r="AA405" s="15"/>
      <c r="AB405" s="44"/>
      <c r="AC405" s="15"/>
      <c r="AD405" s="44"/>
      <c r="AE405" s="15"/>
      <c r="AF405" s="44"/>
      <c r="AG405" s="15">
        <f t="shared" si="48"/>
        <v>0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/>
      <c r="BA405" s="42"/>
      <c r="BB405" s="15">
        <f t="shared" si="44"/>
        <v>0</v>
      </c>
      <c r="BC405" s="15"/>
      <c r="BD405" s="44"/>
      <c r="BE405" s="15"/>
      <c r="BF405" s="44"/>
      <c r="BG405" s="15">
        <f t="shared" si="45"/>
        <v>0</v>
      </c>
    </row>
    <row r="406" spans="1:59" s="8" customFormat="1" ht="22.5" customHeight="1">
      <c r="A406" s="9"/>
      <c r="B406" s="16" t="s">
        <v>641</v>
      </c>
      <c r="C406" s="89" t="s">
        <v>132</v>
      </c>
      <c r="D406" s="104" t="s">
        <v>644</v>
      </c>
      <c r="E406" s="104" t="s">
        <v>645</v>
      </c>
      <c r="F406" s="104" t="s">
        <v>1794</v>
      </c>
      <c r="G406" s="104" t="s">
        <v>1795</v>
      </c>
      <c r="H406" s="12"/>
      <c r="I406" s="9"/>
      <c r="J406" s="9" t="s">
        <v>247</v>
      </c>
      <c r="K406" s="14"/>
      <c r="L406" s="14"/>
      <c r="M406" s="12"/>
      <c r="N406" s="9"/>
      <c r="O406" s="9"/>
      <c r="P406" s="9"/>
      <c r="Q406" s="38">
        <f t="shared" si="46"/>
        <v>0</v>
      </c>
      <c r="R406" s="12"/>
      <c r="S406" s="42"/>
      <c r="T406" s="15"/>
      <c r="U406" s="44"/>
      <c r="V406" s="15"/>
      <c r="W406" s="44"/>
      <c r="X406" s="15">
        <f t="shared" si="47"/>
        <v>0</v>
      </c>
      <c r="Y406" s="15"/>
      <c r="Z406" s="44"/>
      <c r="AA406" s="15"/>
      <c r="AB406" s="44"/>
      <c r="AC406" s="15"/>
      <c r="AD406" s="44"/>
      <c r="AE406" s="15"/>
      <c r="AF406" s="44"/>
      <c r="AG406" s="15">
        <f t="shared" si="48"/>
        <v>0</v>
      </c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/>
      <c r="BA406" s="42"/>
      <c r="BB406" s="15">
        <f t="shared" si="44"/>
        <v>0</v>
      </c>
      <c r="BC406" s="15"/>
      <c r="BD406" s="44"/>
      <c r="BE406" s="15"/>
      <c r="BF406" s="44"/>
      <c r="BG406" s="15">
        <f t="shared" si="45"/>
        <v>0</v>
      </c>
    </row>
    <row r="407" spans="1:59" s="8" customFormat="1" ht="22.5" customHeight="1">
      <c r="A407" s="9"/>
      <c r="B407" s="16" t="s">
        <v>641</v>
      </c>
      <c r="C407" s="89" t="s">
        <v>132</v>
      </c>
      <c r="D407" s="104" t="s">
        <v>644</v>
      </c>
      <c r="E407" s="104" t="s">
        <v>646</v>
      </c>
      <c r="F407" s="104" t="s">
        <v>1796</v>
      </c>
      <c r="G407" s="104" t="s">
        <v>1797</v>
      </c>
      <c r="H407" s="12"/>
      <c r="I407" s="9"/>
      <c r="J407" s="9" t="s">
        <v>247</v>
      </c>
      <c r="K407" s="14"/>
      <c r="L407" s="14"/>
      <c r="M407" s="12"/>
      <c r="N407" s="9"/>
      <c r="O407" s="9"/>
      <c r="P407" s="9"/>
      <c r="Q407" s="38">
        <f t="shared" si="46"/>
        <v>0</v>
      </c>
      <c r="R407" s="12"/>
      <c r="S407" s="42"/>
      <c r="T407" s="15"/>
      <c r="U407" s="44"/>
      <c r="V407" s="15"/>
      <c r="W407" s="44"/>
      <c r="X407" s="15">
        <f t="shared" si="47"/>
        <v>0</v>
      </c>
      <c r="Y407" s="15"/>
      <c r="Z407" s="44"/>
      <c r="AA407" s="15"/>
      <c r="AB407" s="44"/>
      <c r="AC407" s="15"/>
      <c r="AD407" s="44"/>
      <c r="AE407" s="15"/>
      <c r="AF407" s="44"/>
      <c r="AG407" s="15">
        <f t="shared" si="48"/>
        <v>0</v>
      </c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/>
      <c r="BA407" s="42"/>
      <c r="BB407" s="15">
        <f t="shared" si="44"/>
        <v>0</v>
      </c>
      <c r="BC407" s="15"/>
      <c r="BD407" s="44"/>
      <c r="BE407" s="15"/>
      <c r="BF407" s="44"/>
      <c r="BG407" s="15">
        <f t="shared" si="45"/>
        <v>0</v>
      </c>
    </row>
    <row r="408" spans="1:59" s="8" customFormat="1" ht="22.5" customHeight="1">
      <c r="A408" s="9"/>
      <c r="B408" s="16" t="s">
        <v>641</v>
      </c>
      <c r="C408" s="89" t="s">
        <v>140</v>
      </c>
      <c r="D408" s="104" t="s">
        <v>644</v>
      </c>
      <c r="E408" s="104" t="s">
        <v>645</v>
      </c>
      <c r="F408" s="104" t="s">
        <v>1798</v>
      </c>
      <c r="G408" s="104" t="s">
        <v>1799</v>
      </c>
      <c r="H408" s="12"/>
      <c r="I408" s="9"/>
      <c r="J408" s="9" t="s">
        <v>247</v>
      </c>
      <c r="K408" s="14"/>
      <c r="L408" s="14"/>
      <c r="M408" s="12"/>
      <c r="N408" s="9"/>
      <c r="O408" s="9"/>
      <c r="P408" s="9"/>
      <c r="Q408" s="38">
        <f t="shared" si="46"/>
        <v>0</v>
      </c>
      <c r="R408" s="12"/>
      <c r="S408" s="42"/>
      <c r="T408" s="15"/>
      <c r="U408" s="44"/>
      <c r="V408" s="15"/>
      <c r="W408" s="44"/>
      <c r="X408" s="15">
        <f t="shared" si="47"/>
        <v>0</v>
      </c>
      <c r="Y408" s="15"/>
      <c r="Z408" s="44"/>
      <c r="AA408" s="15"/>
      <c r="AB408" s="44"/>
      <c r="AC408" s="15"/>
      <c r="AD408" s="44"/>
      <c r="AE408" s="15"/>
      <c r="AF408" s="44"/>
      <c r="AG408" s="15">
        <f t="shared" si="48"/>
        <v>0</v>
      </c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/>
      <c r="BA408" s="42"/>
      <c r="BB408" s="15">
        <f t="shared" si="44"/>
        <v>0</v>
      </c>
      <c r="BC408" s="15"/>
      <c r="BD408" s="44"/>
      <c r="BE408" s="15"/>
      <c r="BF408" s="44"/>
      <c r="BG408" s="15">
        <f t="shared" si="45"/>
        <v>0</v>
      </c>
    </row>
    <row r="409" spans="1:59" s="8" customFormat="1" ht="22.5" customHeight="1">
      <c r="A409" s="9"/>
      <c r="B409" s="16" t="s">
        <v>641</v>
      </c>
      <c r="C409" s="89" t="s">
        <v>140</v>
      </c>
      <c r="D409" s="104" t="s">
        <v>644</v>
      </c>
      <c r="E409" s="104" t="s">
        <v>647</v>
      </c>
      <c r="F409" s="104" t="s">
        <v>1800</v>
      </c>
      <c r="G409" s="104" t="s">
        <v>1801</v>
      </c>
      <c r="H409" s="12"/>
      <c r="I409" s="9"/>
      <c r="J409" s="9" t="s">
        <v>247</v>
      </c>
      <c r="K409" s="14"/>
      <c r="L409" s="14"/>
      <c r="M409" s="12"/>
      <c r="N409" s="9"/>
      <c r="O409" s="9"/>
      <c r="P409" s="9"/>
      <c r="Q409" s="38">
        <f t="shared" si="46"/>
        <v>0</v>
      </c>
      <c r="R409" s="12"/>
      <c r="S409" s="42"/>
      <c r="T409" s="15"/>
      <c r="U409" s="44"/>
      <c r="V409" s="15"/>
      <c r="W409" s="44"/>
      <c r="X409" s="15">
        <f t="shared" si="47"/>
        <v>0</v>
      </c>
      <c r="Y409" s="15"/>
      <c r="Z409" s="44"/>
      <c r="AA409" s="15"/>
      <c r="AB409" s="44"/>
      <c r="AC409" s="15"/>
      <c r="AD409" s="44"/>
      <c r="AE409" s="15"/>
      <c r="AF409" s="44"/>
      <c r="AG409" s="15">
        <f t="shared" si="48"/>
        <v>0</v>
      </c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/>
      <c r="BA409" s="42"/>
      <c r="BB409" s="15">
        <f t="shared" si="44"/>
        <v>0</v>
      </c>
      <c r="BC409" s="15"/>
      <c r="BD409" s="44"/>
      <c r="BE409" s="15"/>
      <c r="BF409" s="44"/>
      <c r="BG409" s="15">
        <f t="shared" si="45"/>
        <v>0</v>
      </c>
    </row>
    <row r="410" spans="1:59" s="8" customFormat="1" ht="22.5" customHeight="1">
      <c r="A410" s="9"/>
      <c r="B410" s="16" t="s">
        <v>641</v>
      </c>
      <c r="C410" s="89" t="s">
        <v>48</v>
      </c>
      <c r="D410" s="104" t="s">
        <v>648</v>
      </c>
      <c r="E410" s="104" t="s">
        <v>649</v>
      </c>
      <c r="F410" s="104" t="s">
        <v>1802</v>
      </c>
      <c r="G410" s="104" t="s">
        <v>1803</v>
      </c>
      <c r="H410" s="12"/>
      <c r="I410" s="9"/>
      <c r="J410" s="9" t="s">
        <v>247</v>
      </c>
      <c r="K410" s="14"/>
      <c r="L410" s="14"/>
      <c r="M410" s="12"/>
      <c r="N410" s="9"/>
      <c r="O410" s="9"/>
      <c r="P410" s="9"/>
      <c r="Q410" s="38">
        <f t="shared" si="46"/>
        <v>0</v>
      </c>
      <c r="R410" s="12"/>
      <c r="S410" s="42"/>
      <c r="T410" s="15"/>
      <c r="U410" s="44"/>
      <c r="V410" s="15"/>
      <c r="W410" s="44"/>
      <c r="X410" s="15">
        <f t="shared" si="47"/>
        <v>0</v>
      </c>
      <c r="Y410" s="15"/>
      <c r="Z410" s="44"/>
      <c r="AA410" s="15"/>
      <c r="AB410" s="44"/>
      <c r="AC410" s="15"/>
      <c r="AD410" s="44"/>
      <c r="AE410" s="15"/>
      <c r="AF410" s="44"/>
      <c r="AG410" s="15">
        <f t="shared" si="48"/>
        <v>0</v>
      </c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/>
      <c r="BA410" s="42"/>
      <c r="BB410" s="15">
        <f t="shared" si="44"/>
        <v>0</v>
      </c>
      <c r="BC410" s="15"/>
      <c r="BD410" s="44"/>
      <c r="BE410" s="15"/>
      <c r="BF410" s="44"/>
      <c r="BG410" s="15">
        <f t="shared" si="45"/>
        <v>0</v>
      </c>
    </row>
    <row r="411" spans="1:59" s="8" customFormat="1" ht="22.5" customHeight="1">
      <c r="A411" s="9"/>
      <c r="B411" s="16" t="s">
        <v>641</v>
      </c>
      <c r="C411" s="89" t="s">
        <v>48</v>
      </c>
      <c r="D411" s="104" t="s">
        <v>650</v>
      </c>
      <c r="E411" s="104" t="s">
        <v>649</v>
      </c>
      <c r="F411" s="104" t="s">
        <v>1804</v>
      </c>
      <c r="G411" s="104" t="s">
        <v>1805</v>
      </c>
      <c r="H411" s="12"/>
      <c r="I411" s="9"/>
      <c r="J411" s="9" t="s">
        <v>247</v>
      </c>
      <c r="K411" s="14"/>
      <c r="L411" s="14"/>
      <c r="M411" s="12"/>
      <c r="N411" s="9"/>
      <c r="O411" s="9"/>
      <c r="P411" s="9"/>
      <c r="Q411" s="38">
        <f t="shared" si="46"/>
        <v>0</v>
      </c>
      <c r="R411" s="12"/>
      <c r="S411" s="42"/>
      <c r="T411" s="15"/>
      <c r="U411" s="44"/>
      <c r="V411" s="15"/>
      <c r="W411" s="44"/>
      <c r="X411" s="15">
        <f t="shared" si="47"/>
        <v>0</v>
      </c>
      <c r="Y411" s="15"/>
      <c r="Z411" s="44"/>
      <c r="AA411" s="15"/>
      <c r="AB411" s="44"/>
      <c r="AC411" s="15"/>
      <c r="AD411" s="44"/>
      <c r="AE411" s="15"/>
      <c r="AF411" s="44"/>
      <c r="AG411" s="15">
        <f t="shared" si="48"/>
        <v>0</v>
      </c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/>
      <c r="BA411" s="42"/>
      <c r="BB411" s="15">
        <f t="shared" si="44"/>
        <v>0</v>
      </c>
      <c r="BC411" s="15"/>
      <c r="BD411" s="44"/>
      <c r="BE411" s="15"/>
      <c r="BF411" s="44"/>
      <c r="BG411" s="15">
        <f t="shared" si="45"/>
        <v>0</v>
      </c>
    </row>
    <row r="412" spans="1:59" s="8" customFormat="1" ht="22.5" customHeight="1">
      <c r="A412" s="9"/>
      <c r="B412" s="16" t="s">
        <v>641</v>
      </c>
      <c r="C412" s="89" t="s">
        <v>48</v>
      </c>
      <c r="D412" s="104" t="s">
        <v>648</v>
      </c>
      <c r="E412" s="104" t="s">
        <v>651</v>
      </c>
      <c r="F412" s="104" t="s">
        <v>1806</v>
      </c>
      <c r="G412" s="104" t="s">
        <v>1807</v>
      </c>
      <c r="H412" s="12"/>
      <c r="I412" s="9"/>
      <c r="J412" s="9" t="s">
        <v>247</v>
      </c>
      <c r="K412" s="14"/>
      <c r="L412" s="14"/>
      <c r="M412" s="12"/>
      <c r="N412" s="9"/>
      <c r="O412" s="9"/>
      <c r="P412" s="9"/>
      <c r="Q412" s="38">
        <f t="shared" si="46"/>
        <v>0</v>
      </c>
      <c r="R412" s="12"/>
      <c r="S412" s="42"/>
      <c r="T412" s="15"/>
      <c r="U412" s="44"/>
      <c r="V412" s="15"/>
      <c r="W412" s="44"/>
      <c r="X412" s="15">
        <f t="shared" si="47"/>
        <v>0</v>
      </c>
      <c r="Y412" s="15"/>
      <c r="Z412" s="44"/>
      <c r="AA412" s="15"/>
      <c r="AB412" s="44"/>
      <c r="AC412" s="15"/>
      <c r="AD412" s="44"/>
      <c r="AE412" s="15"/>
      <c r="AF412" s="44"/>
      <c r="AG412" s="15">
        <f t="shared" si="48"/>
        <v>0</v>
      </c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/>
      <c r="BA412" s="42"/>
      <c r="BB412" s="15">
        <f t="shared" si="44"/>
        <v>0</v>
      </c>
      <c r="BC412" s="15"/>
      <c r="BD412" s="44"/>
      <c r="BE412" s="15"/>
      <c r="BF412" s="44"/>
      <c r="BG412" s="15">
        <f t="shared" si="45"/>
        <v>0</v>
      </c>
    </row>
    <row r="413" spans="1:59" s="8" customFormat="1" ht="22.5" customHeight="1">
      <c r="A413" s="9"/>
      <c r="B413" s="16" t="s">
        <v>641</v>
      </c>
      <c r="C413" s="89" t="s">
        <v>48</v>
      </c>
      <c r="D413" s="104" t="s">
        <v>650</v>
      </c>
      <c r="E413" s="104" t="s">
        <v>651</v>
      </c>
      <c r="F413" s="104" t="s">
        <v>1808</v>
      </c>
      <c r="G413" s="104" t="s">
        <v>1809</v>
      </c>
      <c r="H413" s="12"/>
      <c r="I413" s="9"/>
      <c r="J413" s="9" t="s">
        <v>247</v>
      </c>
      <c r="K413" s="14"/>
      <c r="L413" s="14"/>
      <c r="M413" s="12"/>
      <c r="N413" s="9"/>
      <c r="O413" s="9"/>
      <c r="P413" s="9"/>
      <c r="Q413" s="38">
        <f t="shared" si="46"/>
        <v>0</v>
      </c>
      <c r="R413" s="12"/>
      <c r="S413" s="42"/>
      <c r="T413" s="15"/>
      <c r="U413" s="44"/>
      <c r="V413" s="15"/>
      <c r="W413" s="44"/>
      <c r="X413" s="15">
        <f t="shared" si="47"/>
        <v>0</v>
      </c>
      <c r="Y413" s="15"/>
      <c r="Z413" s="44"/>
      <c r="AA413" s="15"/>
      <c r="AB413" s="44"/>
      <c r="AC413" s="15"/>
      <c r="AD413" s="44"/>
      <c r="AE413" s="15"/>
      <c r="AF413" s="44"/>
      <c r="AG413" s="15">
        <f t="shared" si="48"/>
        <v>0</v>
      </c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/>
      <c r="BA413" s="42"/>
      <c r="BB413" s="15">
        <f t="shared" si="44"/>
        <v>0</v>
      </c>
      <c r="BC413" s="15"/>
      <c r="BD413" s="44"/>
      <c r="BE413" s="15"/>
      <c r="BF413" s="44"/>
      <c r="BG413" s="15">
        <f t="shared" si="45"/>
        <v>0</v>
      </c>
    </row>
    <row r="414" spans="1:59" s="8" customFormat="1" ht="22.5" customHeight="1">
      <c r="A414" s="9"/>
      <c r="B414" s="16" t="s">
        <v>641</v>
      </c>
      <c r="C414" s="89" t="s">
        <v>652</v>
      </c>
      <c r="D414" s="104" t="s">
        <v>653</v>
      </c>
      <c r="E414" s="104"/>
      <c r="F414" s="104" t="s">
        <v>1810</v>
      </c>
      <c r="G414" s="104" t="s">
        <v>1811</v>
      </c>
      <c r="H414" s="12"/>
      <c r="I414" s="9"/>
      <c r="J414" s="9" t="s">
        <v>247</v>
      </c>
      <c r="K414" s="14"/>
      <c r="L414" s="14"/>
      <c r="M414" s="12"/>
      <c r="N414" s="9"/>
      <c r="O414" s="9"/>
      <c r="P414" s="9"/>
      <c r="Q414" s="38">
        <f t="shared" si="46"/>
        <v>0</v>
      </c>
      <c r="R414" s="12"/>
      <c r="S414" s="42"/>
      <c r="T414" s="15"/>
      <c r="U414" s="44"/>
      <c r="V414" s="15"/>
      <c r="W414" s="44"/>
      <c r="X414" s="15">
        <f t="shared" si="47"/>
        <v>0</v>
      </c>
      <c r="Y414" s="15"/>
      <c r="Z414" s="44"/>
      <c r="AA414" s="15"/>
      <c r="AB414" s="44"/>
      <c r="AC414" s="15"/>
      <c r="AD414" s="44"/>
      <c r="AE414" s="15"/>
      <c r="AF414" s="44"/>
      <c r="AG414" s="15">
        <f t="shared" si="48"/>
        <v>0</v>
      </c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/>
      <c r="BA414" s="42"/>
      <c r="BB414" s="15">
        <f t="shared" si="44"/>
        <v>0</v>
      </c>
      <c r="BC414" s="15"/>
      <c r="BD414" s="44"/>
      <c r="BE414" s="15"/>
      <c r="BF414" s="44"/>
      <c r="BG414" s="15">
        <f t="shared" si="45"/>
        <v>0</v>
      </c>
    </row>
    <row r="415" spans="1:59" s="8" customFormat="1" ht="22.5" customHeight="1">
      <c r="A415" s="9"/>
      <c r="B415" s="16" t="s">
        <v>641</v>
      </c>
      <c r="C415" s="89" t="s">
        <v>652</v>
      </c>
      <c r="D415" s="104" t="s">
        <v>654</v>
      </c>
      <c r="E415" s="104"/>
      <c r="F415" s="104" t="s">
        <v>1812</v>
      </c>
      <c r="G415" s="104" t="s">
        <v>1813</v>
      </c>
      <c r="H415" s="12"/>
      <c r="I415" s="9"/>
      <c r="J415" s="9" t="s">
        <v>247</v>
      </c>
      <c r="K415" s="14"/>
      <c r="L415" s="14"/>
      <c r="M415" s="12"/>
      <c r="N415" s="9"/>
      <c r="O415" s="9"/>
      <c r="P415" s="9"/>
      <c r="Q415" s="38">
        <f t="shared" si="46"/>
        <v>0</v>
      </c>
      <c r="R415" s="12"/>
      <c r="S415" s="42"/>
      <c r="T415" s="15"/>
      <c r="U415" s="44"/>
      <c r="V415" s="15"/>
      <c r="W415" s="44"/>
      <c r="X415" s="15">
        <f t="shared" si="47"/>
        <v>0</v>
      </c>
      <c r="Y415" s="15"/>
      <c r="Z415" s="44"/>
      <c r="AA415" s="15"/>
      <c r="AB415" s="44"/>
      <c r="AC415" s="15"/>
      <c r="AD415" s="44"/>
      <c r="AE415" s="15"/>
      <c r="AF415" s="44"/>
      <c r="AG415" s="15">
        <f t="shared" si="48"/>
        <v>0</v>
      </c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/>
      <c r="BA415" s="42"/>
      <c r="BB415" s="15">
        <f t="shared" si="44"/>
        <v>0</v>
      </c>
      <c r="BC415" s="15"/>
      <c r="BD415" s="44"/>
      <c r="BE415" s="15"/>
      <c r="BF415" s="44"/>
      <c r="BG415" s="15">
        <f t="shared" si="45"/>
        <v>0</v>
      </c>
    </row>
    <row r="416" spans="1:59" s="8" customFormat="1" ht="22.5" customHeight="1">
      <c r="A416" s="9"/>
      <c r="B416" s="16" t="s">
        <v>641</v>
      </c>
      <c r="C416" s="89" t="s">
        <v>652</v>
      </c>
      <c r="D416" s="104" t="s">
        <v>655</v>
      </c>
      <c r="E416" s="104"/>
      <c r="F416" s="104" t="s">
        <v>1814</v>
      </c>
      <c r="G416" s="104" t="s">
        <v>1815</v>
      </c>
      <c r="H416" s="12"/>
      <c r="I416" s="9"/>
      <c r="J416" s="9" t="s">
        <v>247</v>
      </c>
      <c r="K416" s="14"/>
      <c r="L416" s="14"/>
      <c r="M416" s="12"/>
      <c r="N416" s="9"/>
      <c r="O416" s="9"/>
      <c r="P416" s="9"/>
      <c r="Q416" s="38">
        <f t="shared" si="46"/>
        <v>0</v>
      </c>
      <c r="R416" s="12"/>
      <c r="S416" s="42"/>
      <c r="T416" s="15"/>
      <c r="U416" s="44"/>
      <c r="V416" s="15"/>
      <c r="W416" s="44"/>
      <c r="X416" s="15">
        <f t="shared" si="47"/>
        <v>0</v>
      </c>
      <c r="Y416" s="15"/>
      <c r="Z416" s="44"/>
      <c r="AA416" s="15"/>
      <c r="AB416" s="44"/>
      <c r="AC416" s="15"/>
      <c r="AD416" s="44"/>
      <c r="AE416" s="15"/>
      <c r="AF416" s="44"/>
      <c r="AG416" s="15">
        <f t="shared" si="48"/>
        <v>0</v>
      </c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/>
      <c r="BA416" s="42"/>
      <c r="BB416" s="15">
        <f t="shared" si="44"/>
        <v>0</v>
      </c>
      <c r="BC416" s="15"/>
      <c r="BD416" s="44"/>
      <c r="BE416" s="15"/>
      <c r="BF416" s="44"/>
      <c r="BG416" s="15">
        <f t="shared" si="45"/>
        <v>0</v>
      </c>
    </row>
    <row r="417" spans="1:59" s="8" customFormat="1" ht="22.5" customHeight="1">
      <c r="A417" s="9"/>
      <c r="B417" s="16" t="s">
        <v>641</v>
      </c>
      <c r="C417" s="89" t="s">
        <v>151</v>
      </c>
      <c r="D417" s="104" t="s">
        <v>660</v>
      </c>
      <c r="E417" s="104" t="s">
        <v>1816</v>
      </c>
      <c r="F417" s="104" t="s">
        <v>1817</v>
      </c>
      <c r="G417" s="104" t="s">
        <v>1818</v>
      </c>
      <c r="H417" s="12"/>
      <c r="I417" s="9"/>
      <c r="J417" s="9" t="s">
        <v>247</v>
      </c>
      <c r="K417" s="14"/>
      <c r="L417" s="14"/>
      <c r="M417" s="12"/>
      <c r="N417" s="9"/>
      <c r="O417" s="9"/>
      <c r="P417" s="9"/>
      <c r="Q417" s="38">
        <f t="shared" si="46"/>
        <v>0</v>
      </c>
      <c r="R417" s="12"/>
      <c r="S417" s="42"/>
      <c r="T417" s="15"/>
      <c r="U417" s="44"/>
      <c r="V417" s="15"/>
      <c r="W417" s="44"/>
      <c r="X417" s="15">
        <f t="shared" si="47"/>
        <v>0</v>
      </c>
      <c r="Y417" s="15"/>
      <c r="Z417" s="44"/>
      <c r="AA417" s="15"/>
      <c r="AB417" s="44"/>
      <c r="AC417" s="15"/>
      <c r="AD417" s="44"/>
      <c r="AE417" s="15"/>
      <c r="AF417" s="44"/>
      <c r="AG417" s="15">
        <f t="shared" si="48"/>
        <v>0</v>
      </c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/>
      <c r="BA417" s="42"/>
      <c r="BB417" s="15">
        <f t="shared" si="44"/>
        <v>0</v>
      </c>
      <c r="BC417" s="15"/>
      <c r="BD417" s="44"/>
      <c r="BE417" s="15"/>
      <c r="BF417" s="44"/>
      <c r="BG417" s="15">
        <f t="shared" si="45"/>
        <v>0</v>
      </c>
    </row>
    <row r="418" spans="1:59" s="8" customFormat="1" ht="22.5" customHeight="1">
      <c r="A418" s="9"/>
      <c r="B418" s="16" t="s">
        <v>641</v>
      </c>
      <c r="C418" s="89" t="s">
        <v>151</v>
      </c>
      <c r="D418" s="104" t="s">
        <v>662</v>
      </c>
      <c r="E418" s="104" t="s">
        <v>663</v>
      </c>
      <c r="F418" s="104" t="s">
        <v>1819</v>
      </c>
      <c r="G418" s="104" t="s">
        <v>1820</v>
      </c>
      <c r="H418" s="12"/>
      <c r="I418" s="9"/>
      <c r="J418" s="9" t="s">
        <v>247</v>
      </c>
      <c r="K418" s="14"/>
      <c r="L418" s="14"/>
      <c r="M418" s="12"/>
      <c r="N418" s="9"/>
      <c r="O418" s="9"/>
      <c r="P418" s="9"/>
      <c r="Q418" s="38">
        <f t="shared" si="46"/>
        <v>0</v>
      </c>
      <c r="R418" s="12"/>
      <c r="S418" s="42"/>
      <c r="T418" s="15"/>
      <c r="U418" s="44"/>
      <c r="V418" s="15"/>
      <c r="W418" s="44"/>
      <c r="X418" s="15">
        <f t="shared" si="47"/>
        <v>0</v>
      </c>
      <c r="Y418" s="15"/>
      <c r="Z418" s="44"/>
      <c r="AA418" s="15"/>
      <c r="AB418" s="44"/>
      <c r="AC418" s="15"/>
      <c r="AD418" s="44"/>
      <c r="AE418" s="15"/>
      <c r="AF418" s="44"/>
      <c r="AG418" s="15">
        <f t="shared" si="48"/>
        <v>0</v>
      </c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/>
      <c r="BA418" s="42"/>
      <c r="BB418" s="15">
        <f t="shared" si="44"/>
        <v>0</v>
      </c>
      <c r="BC418" s="15"/>
      <c r="BD418" s="44"/>
      <c r="BE418" s="15"/>
      <c r="BF418" s="44"/>
      <c r="BG418" s="15">
        <f t="shared" si="45"/>
        <v>0</v>
      </c>
    </row>
    <row r="419" spans="1:59" s="8" customFormat="1" ht="22.5" customHeight="1">
      <c r="A419" s="9"/>
      <c r="B419" s="16" t="s">
        <v>641</v>
      </c>
      <c r="C419" s="89" t="s">
        <v>151</v>
      </c>
      <c r="D419" s="104" t="s">
        <v>664</v>
      </c>
      <c r="E419" s="104" t="s">
        <v>665</v>
      </c>
      <c r="F419" s="104" t="s">
        <v>1821</v>
      </c>
      <c r="G419" s="104" t="s">
        <v>1822</v>
      </c>
      <c r="H419" s="12"/>
      <c r="I419" s="9"/>
      <c r="J419" s="9" t="s">
        <v>247</v>
      </c>
      <c r="K419" s="14"/>
      <c r="L419" s="14"/>
      <c r="M419" s="12"/>
      <c r="N419" s="9"/>
      <c r="O419" s="9"/>
      <c r="P419" s="9"/>
      <c r="Q419" s="38">
        <f t="shared" si="46"/>
        <v>0</v>
      </c>
      <c r="R419" s="12"/>
      <c r="S419" s="42"/>
      <c r="T419" s="15"/>
      <c r="U419" s="44"/>
      <c r="V419" s="15"/>
      <c r="W419" s="44"/>
      <c r="X419" s="15">
        <f t="shared" si="47"/>
        <v>0</v>
      </c>
      <c r="Y419" s="15"/>
      <c r="Z419" s="44"/>
      <c r="AA419" s="15"/>
      <c r="AB419" s="44"/>
      <c r="AC419" s="15"/>
      <c r="AD419" s="44"/>
      <c r="AE419" s="15"/>
      <c r="AF419" s="44"/>
      <c r="AG419" s="15">
        <f t="shared" si="48"/>
        <v>0</v>
      </c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/>
      <c r="BA419" s="42"/>
      <c r="BB419" s="15">
        <f t="shared" si="44"/>
        <v>0</v>
      </c>
      <c r="BC419" s="15"/>
      <c r="BD419" s="44"/>
      <c r="BE419" s="15"/>
      <c r="BF419" s="44"/>
      <c r="BG419" s="15">
        <f t="shared" si="45"/>
        <v>0</v>
      </c>
    </row>
    <row r="420" spans="1:59" s="8" customFormat="1" ht="22.5" customHeight="1">
      <c r="A420" s="9"/>
      <c r="B420" s="16" t="s">
        <v>666</v>
      </c>
      <c r="C420" s="89" t="s">
        <v>151</v>
      </c>
      <c r="D420" s="104" t="s">
        <v>667</v>
      </c>
      <c r="E420" s="104" t="s">
        <v>668</v>
      </c>
      <c r="F420" s="104" t="s">
        <v>1823</v>
      </c>
      <c r="G420" s="104" t="s">
        <v>1824</v>
      </c>
      <c r="H420" s="12"/>
      <c r="I420" s="9"/>
      <c r="J420" s="9" t="s">
        <v>669</v>
      </c>
      <c r="K420" s="14"/>
      <c r="L420" s="14"/>
      <c r="M420" s="12"/>
      <c r="N420" s="9"/>
      <c r="O420" s="9"/>
      <c r="P420" s="9"/>
      <c r="Q420" s="38">
        <f t="shared" si="46"/>
        <v>0</v>
      </c>
      <c r="R420" s="12"/>
      <c r="S420" s="42"/>
      <c r="T420" s="15"/>
      <c r="U420" s="44"/>
      <c r="V420" s="15"/>
      <c r="W420" s="44"/>
      <c r="X420" s="15">
        <f t="shared" si="47"/>
        <v>0</v>
      </c>
      <c r="Y420" s="15"/>
      <c r="Z420" s="44"/>
      <c r="AA420" s="15"/>
      <c r="AB420" s="44"/>
      <c r="AC420" s="15"/>
      <c r="AD420" s="44"/>
      <c r="AE420" s="15"/>
      <c r="AF420" s="44"/>
      <c r="AG420" s="15">
        <f t="shared" si="48"/>
        <v>0</v>
      </c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/>
      <c r="BA420" s="42"/>
      <c r="BB420" s="15">
        <f t="shared" si="44"/>
        <v>0</v>
      </c>
      <c r="BC420" s="15"/>
      <c r="BD420" s="44"/>
      <c r="BE420" s="15"/>
      <c r="BF420" s="44"/>
      <c r="BG420" s="15">
        <f t="shared" si="45"/>
        <v>0</v>
      </c>
    </row>
    <row r="421" spans="1:59" s="8" customFormat="1" ht="22.5" customHeight="1">
      <c r="A421" s="9"/>
      <c r="B421" s="16" t="s">
        <v>666</v>
      </c>
      <c r="C421" s="89" t="s">
        <v>151</v>
      </c>
      <c r="D421" s="104" t="s">
        <v>670</v>
      </c>
      <c r="E421" s="104" t="s">
        <v>671</v>
      </c>
      <c r="F421" s="104" t="s">
        <v>1825</v>
      </c>
      <c r="G421" s="104" t="s">
        <v>1826</v>
      </c>
      <c r="H421" s="12"/>
      <c r="I421" s="9"/>
      <c r="J421" s="9" t="s">
        <v>669</v>
      </c>
      <c r="K421" s="14"/>
      <c r="L421" s="14"/>
      <c r="M421" s="12"/>
      <c r="N421" s="9"/>
      <c r="O421" s="9"/>
      <c r="P421" s="9"/>
      <c r="Q421" s="38">
        <f t="shared" si="46"/>
        <v>0</v>
      </c>
      <c r="R421" s="12"/>
      <c r="S421" s="42"/>
      <c r="T421" s="15"/>
      <c r="U421" s="44"/>
      <c r="V421" s="15"/>
      <c r="W421" s="44"/>
      <c r="X421" s="15">
        <f t="shared" si="47"/>
        <v>0</v>
      </c>
      <c r="Y421" s="15"/>
      <c r="Z421" s="44"/>
      <c r="AA421" s="15"/>
      <c r="AB421" s="44"/>
      <c r="AC421" s="15"/>
      <c r="AD421" s="44"/>
      <c r="AE421" s="15"/>
      <c r="AF421" s="44"/>
      <c r="AG421" s="15">
        <f t="shared" si="48"/>
        <v>0</v>
      </c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/>
      <c r="BA421" s="42"/>
      <c r="BB421" s="15">
        <f t="shared" si="44"/>
        <v>0</v>
      </c>
      <c r="BC421" s="15"/>
      <c r="BD421" s="44"/>
      <c r="BE421" s="15"/>
      <c r="BF421" s="44"/>
      <c r="BG421" s="15">
        <f t="shared" si="45"/>
        <v>0</v>
      </c>
    </row>
    <row r="422" spans="1:59" s="8" customFormat="1" ht="22.5" customHeight="1">
      <c r="A422" s="9"/>
      <c r="B422" s="16" t="s">
        <v>666</v>
      </c>
      <c r="C422" s="89" t="s">
        <v>151</v>
      </c>
      <c r="D422" s="104" t="s">
        <v>672</v>
      </c>
      <c r="E422" s="104" t="s">
        <v>673</v>
      </c>
      <c r="F422" s="104" t="s">
        <v>1827</v>
      </c>
      <c r="G422" s="104" t="s">
        <v>1828</v>
      </c>
      <c r="H422" s="12"/>
      <c r="I422" s="9"/>
      <c r="J422" s="9" t="s">
        <v>669</v>
      </c>
      <c r="K422" s="14"/>
      <c r="L422" s="14"/>
      <c r="M422" s="12"/>
      <c r="N422" s="9"/>
      <c r="O422" s="9"/>
      <c r="P422" s="9"/>
      <c r="Q422" s="38">
        <f t="shared" si="46"/>
        <v>0</v>
      </c>
      <c r="R422" s="12"/>
      <c r="S422" s="42"/>
      <c r="T422" s="15"/>
      <c r="U422" s="44"/>
      <c r="V422" s="15"/>
      <c r="W422" s="44"/>
      <c r="X422" s="15">
        <f t="shared" si="47"/>
        <v>0</v>
      </c>
      <c r="Y422" s="15"/>
      <c r="Z422" s="44"/>
      <c r="AA422" s="15"/>
      <c r="AB422" s="44"/>
      <c r="AC422" s="15"/>
      <c r="AD422" s="44"/>
      <c r="AE422" s="15"/>
      <c r="AF422" s="44"/>
      <c r="AG422" s="15">
        <f t="shared" si="48"/>
        <v>0</v>
      </c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/>
      <c r="BA422" s="42"/>
      <c r="BB422" s="15">
        <f t="shared" si="44"/>
        <v>0</v>
      </c>
      <c r="BC422" s="15"/>
      <c r="BD422" s="44"/>
      <c r="BE422" s="15"/>
      <c r="BF422" s="44"/>
      <c r="BG422" s="15">
        <f t="shared" si="45"/>
        <v>0</v>
      </c>
    </row>
    <row r="423" spans="1:59" s="8" customFormat="1" ht="22.5" customHeight="1">
      <c r="A423" s="9"/>
      <c r="B423" s="16" t="s">
        <v>674</v>
      </c>
      <c r="C423" s="89" t="s">
        <v>44</v>
      </c>
      <c r="D423" s="104" t="s">
        <v>675</v>
      </c>
      <c r="E423" s="104" t="s">
        <v>676</v>
      </c>
      <c r="F423" s="104" t="s">
        <v>1829</v>
      </c>
      <c r="G423" s="104" t="s">
        <v>1830</v>
      </c>
      <c r="H423" s="12"/>
      <c r="I423" s="9"/>
      <c r="J423" s="9" t="s">
        <v>677</v>
      </c>
      <c r="K423" s="14"/>
      <c r="L423" s="14"/>
      <c r="M423" s="12"/>
      <c r="N423" s="9"/>
      <c r="O423" s="9"/>
      <c r="P423" s="9"/>
      <c r="Q423" s="38">
        <f t="shared" si="46"/>
        <v>0</v>
      </c>
      <c r="R423" s="12"/>
      <c r="S423" s="42"/>
      <c r="T423" s="15"/>
      <c r="U423" s="44"/>
      <c r="V423" s="15"/>
      <c r="W423" s="44"/>
      <c r="X423" s="15">
        <f t="shared" si="47"/>
        <v>0</v>
      </c>
      <c r="Y423" s="15"/>
      <c r="Z423" s="44"/>
      <c r="AA423" s="15"/>
      <c r="AB423" s="44"/>
      <c r="AC423" s="15"/>
      <c r="AD423" s="44"/>
      <c r="AE423" s="15"/>
      <c r="AF423" s="44"/>
      <c r="AG423" s="15">
        <f t="shared" si="48"/>
        <v>0</v>
      </c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/>
      <c r="BA423" s="42"/>
      <c r="BB423" s="15">
        <f t="shared" si="44"/>
        <v>0</v>
      </c>
      <c r="BC423" s="15"/>
      <c r="BD423" s="44"/>
      <c r="BE423" s="15"/>
      <c r="BF423" s="44"/>
      <c r="BG423" s="15">
        <f t="shared" si="45"/>
        <v>0</v>
      </c>
    </row>
    <row r="424" spans="1:59" s="8" customFormat="1" ht="22.5" customHeight="1">
      <c r="A424" s="9"/>
      <c r="B424" s="16" t="s">
        <v>674</v>
      </c>
      <c r="C424" s="89" t="s">
        <v>44</v>
      </c>
      <c r="D424" s="104" t="s">
        <v>678</v>
      </c>
      <c r="E424" s="104" t="s">
        <v>679</v>
      </c>
      <c r="F424" s="104" t="s">
        <v>1831</v>
      </c>
      <c r="G424" s="104" t="s">
        <v>1832</v>
      </c>
      <c r="H424" s="12"/>
      <c r="I424" s="9"/>
      <c r="J424" s="9" t="s">
        <v>677</v>
      </c>
      <c r="K424" s="14"/>
      <c r="L424" s="14"/>
      <c r="M424" s="12"/>
      <c r="N424" s="9"/>
      <c r="O424" s="9"/>
      <c r="P424" s="9"/>
      <c r="Q424" s="38">
        <f t="shared" si="46"/>
        <v>0</v>
      </c>
      <c r="R424" s="12"/>
      <c r="S424" s="42"/>
      <c r="T424" s="15"/>
      <c r="U424" s="44"/>
      <c r="V424" s="15"/>
      <c r="W424" s="44"/>
      <c r="X424" s="15">
        <f t="shared" si="47"/>
        <v>0</v>
      </c>
      <c r="Y424" s="15"/>
      <c r="Z424" s="44"/>
      <c r="AA424" s="15"/>
      <c r="AB424" s="44"/>
      <c r="AC424" s="15"/>
      <c r="AD424" s="44"/>
      <c r="AE424" s="15"/>
      <c r="AF424" s="44"/>
      <c r="AG424" s="15">
        <f t="shared" si="48"/>
        <v>0</v>
      </c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/>
      <c r="BA424" s="42"/>
      <c r="BB424" s="15">
        <f t="shared" si="44"/>
        <v>0</v>
      </c>
      <c r="BC424" s="15"/>
      <c r="BD424" s="44"/>
      <c r="BE424" s="15"/>
      <c r="BF424" s="44"/>
      <c r="BG424" s="15">
        <f t="shared" si="45"/>
        <v>0</v>
      </c>
    </row>
    <row r="425" spans="1:59" s="8" customFormat="1" ht="22.5" customHeight="1">
      <c r="A425" s="9"/>
      <c r="B425" s="16" t="s">
        <v>674</v>
      </c>
      <c r="C425" s="89" t="s">
        <v>48</v>
      </c>
      <c r="D425" s="104" t="s">
        <v>675</v>
      </c>
      <c r="E425" s="104" t="s">
        <v>680</v>
      </c>
      <c r="F425" s="104" t="s">
        <v>1833</v>
      </c>
      <c r="G425" s="104" t="s">
        <v>1834</v>
      </c>
      <c r="H425" s="12"/>
      <c r="I425" s="9"/>
      <c r="J425" s="9" t="s">
        <v>677</v>
      </c>
      <c r="K425" s="14"/>
      <c r="L425" s="14"/>
      <c r="M425" s="12"/>
      <c r="N425" s="9"/>
      <c r="O425" s="9"/>
      <c r="P425" s="9"/>
      <c r="Q425" s="38">
        <f t="shared" si="46"/>
        <v>0</v>
      </c>
      <c r="R425" s="12"/>
      <c r="S425" s="42"/>
      <c r="T425" s="15"/>
      <c r="U425" s="44"/>
      <c r="V425" s="15"/>
      <c r="W425" s="44"/>
      <c r="X425" s="15">
        <f t="shared" si="47"/>
        <v>0</v>
      </c>
      <c r="Y425" s="15"/>
      <c r="Z425" s="44"/>
      <c r="AA425" s="15"/>
      <c r="AB425" s="44"/>
      <c r="AC425" s="15"/>
      <c r="AD425" s="44"/>
      <c r="AE425" s="15"/>
      <c r="AF425" s="44"/>
      <c r="AG425" s="15">
        <f t="shared" si="48"/>
        <v>0</v>
      </c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/>
      <c r="BA425" s="42"/>
      <c r="BB425" s="15">
        <f t="shared" si="44"/>
        <v>0</v>
      </c>
      <c r="BC425" s="15"/>
      <c r="BD425" s="44"/>
      <c r="BE425" s="15"/>
      <c r="BF425" s="44"/>
      <c r="BG425" s="15">
        <f t="shared" si="45"/>
        <v>0</v>
      </c>
    </row>
    <row r="426" spans="1:59" s="8" customFormat="1" ht="22.5" customHeight="1">
      <c r="A426" s="9"/>
      <c r="B426" s="16" t="s">
        <v>674</v>
      </c>
      <c r="C426" s="89" t="s">
        <v>48</v>
      </c>
      <c r="D426" s="104" t="s">
        <v>678</v>
      </c>
      <c r="E426" s="104" t="s">
        <v>681</v>
      </c>
      <c r="F426" s="104" t="s">
        <v>1835</v>
      </c>
      <c r="G426" s="104" t="s">
        <v>1836</v>
      </c>
      <c r="H426" s="12"/>
      <c r="I426" s="9"/>
      <c r="J426" s="9" t="s">
        <v>677</v>
      </c>
      <c r="K426" s="14"/>
      <c r="L426" s="14"/>
      <c r="M426" s="12"/>
      <c r="N426" s="9"/>
      <c r="O426" s="9"/>
      <c r="P426" s="9"/>
      <c r="Q426" s="38">
        <f t="shared" si="46"/>
        <v>0</v>
      </c>
      <c r="R426" s="12"/>
      <c r="S426" s="42"/>
      <c r="T426" s="15"/>
      <c r="U426" s="44"/>
      <c r="V426" s="15"/>
      <c r="W426" s="44"/>
      <c r="X426" s="15">
        <f t="shared" si="47"/>
        <v>0</v>
      </c>
      <c r="Y426" s="15"/>
      <c r="Z426" s="44"/>
      <c r="AA426" s="15"/>
      <c r="AB426" s="44"/>
      <c r="AC426" s="15"/>
      <c r="AD426" s="44"/>
      <c r="AE426" s="15"/>
      <c r="AF426" s="44"/>
      <c r="AG426" s="15">
        <f t="shared" si="48"/>
        <v>0</v>
      </c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/>
      <c r="BA426" s="42"/>
      <c r="BB426" s="15">
        <f t="shared" si="44"/>
        <v>0</v>
      </c>
      <c r="BC426" s="15"/>
      <c r="BD426" s="44"/>
      <c r="BE426" s="15"/>
      <c r="BF426" s="44"/>
      <c r="BG426" s="15">
        <f t="shared" si="45"/>
        <v>0</v>
      </c>
    </row>
    <row r="427" spans="1:59" s="8" customFormat="1" ht="22.5" customHeight="1">
      <c r="A427" s="9"/>
      <c r="B427" s="16" t="s">
        <v>674</v>
      </c>
      <c r="C427" s="89" t="s">
        <v>50</v>
      </c>
      <c r="D427" s="104" t="s">
        <v>682</v>
      </c>
      <c r="E427" s="104" t="s">
        <v>683</v>
      </c>
      <c r="F427" s="104" t="s">
        <v>1837</v>
      </c>
      <c r="G427" s="104" t="s">
        <v>1838</v>
      </c>
      <c r="H427" s="12"/>
      <c r="I427" s="9"/>
      <c r="J427" s="9" t="s">
        <v>684</v>
      </c>
      <c r="K427" s="14"/>
      <c r="L427" s="14"/>
      <c r="M427" s="12"/>
      <c r="N427" s="9"/>
      <c r="O427" s="9"/>
      <c r="P427" s="9"/>
      <c r="Q427" s="38">
        <f t="shared" si="46"/>
        <v>0</v>
      </c>
      <c r="R427" s="12"/>
      <c r="S427" s="42"/>
      <c r="T427" s="15"/>
      <c r="U427" s="44"/>
      <c r="V427" s="15"/>
      <c r="W427" s="44"/>
      <c r="X427" s="15">
        <f t="shared" si="47"/>
        <v>0</v>
      </c>
      <c r="Y427" s="15"/>
      <c r="Z427" s="44"/>
      <c r="AA427" s="15"/>
      <c r="AB427" s="44"/>
      <c r="AC427" s="15"/>
      <c r="AD427" s="44"/>
      <c r="AE427" s="15"/>
      <c r="AF427" s="44"/>
      <c r="AG427" s="15">
        <f t="shared" si="48"/>
        <v>0</v>
      </c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/>
      <c r="BA427" s="42"/>
      <c r="BB427" s="15">
        <f t="shared" si="44"/>
        <v>0</v>
      </c>
      <c r="BC427" s="15"/>
      <c r="BD427" s="44"/>
      <c r="BE427" s="15"/>
      <c r="BF427" s="44"/>
      <c r="BG427" s="15">
        <f t="shared" si="45"/>
        <v>0</v>
      </c>
    </row>
    <row r="428" spans="1:59" s="8" customFormat="1" ht="22.5" customHeight="1">
      <c r="A428" s="9"/>
      <c r="B428" s="16" t="s">
        <v>674</v>
      </c>
      <c r="C428" s="89" t="s">
        <v>50</v>
      </c>
      <c r="D428" s="104" t="s">
        <v>685</v>
      </c>
      <c r="E428" s="104" t="s">
        <v>686</v>
      </c>
      <c r="F428" s="104" t="s">
        <v>1839</v>
      </c>
      <c r="G428" s="104" t="s">
        <v>1840</v>
      </c>
      <c r="H428" s="12"/>
      <c r="I428" s="9"/>
      <c r="J428" s="9" t="s">
        <v>684</v>
      </c>
      <c r="K428" s="14"/>
      <c r="L428" s="14"/>
      <c r="M428" s="12"/>
      <c r="N428" s="9"/>
      <c r="O428" s="9"/>
      <c r="P428" s="9"/>
      <c r="Q428" s="38">
        <f t="shared" si="46"/>
        <v>0</v>
      </c>
      <c r="R428" s="12"/>
      <c r="S428" s="42"/>
      <c r="T428" s="15"/>
      <c r="U428" s="44"/>
      <c r="V428" s="15"/>
      <c r="W428" s="44"/>
      <c r="X428" s="15">
        <f t="shared" si="47"/>
        <v>0</v>
      </c>
      <c r="Y428" s="15"/>
      <c r="Z428" s="44"/>
      <c r="AA428" s="15"/>
      <c r="AB428" s="44"/>
      <c r="AC428" s="15"/>
      <c r="AD428" s="44"/>
      <c r="AE428" s="15"/>
      <c r="AF428" s="44"/>
      <c r="AG428" s="15">
        <f t="shared" si="48"/>
        <v>0</v>
      </c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/>
      <c r="BA428" s="42"/>
      <c r="BB428" s="15">
        <f t="shared" si="44"/>
        <v>0</v>
      </c>
      <c r="BC428" s="15"/>
      <c r="BD428" s="44"/>
      <c r="BE428" s="15"/>
      <c r="BF428" s="44"/>
      <c r="BG428" s="15">
        <f t="shared" si="45"/>
        <v>0</v>
      </c>
    </row>
    <row r="429" spans="1:59" s="8" customFormat="1" ht="22.5" customHeight="1">
      <c r="A429" s="9"/>
      <c r="B429" s="16" t="s">
        <v>674</v>
      </c>
      <c r="C429" s="89" t="s">
        <v>494</v>
      </c>
      <c r="D429" s="104" t="s">
        <v>675</v>
      </c>
      <c r="E429" s="104"/>
      <c r="F429" s="104" t="s">
        <v>1841</v>
      </c>
      <c r="G429" s="104" t="s">
        <v>1842</v>
      </c>
      <c r="H429" s="12"/>
      <c r="I429" s="9"/>
      <c r="J429" s="9" t="s">
        <v>687</v>
      </c>
      <c r="K429" s="14"/>
      <c r="L429" s="14"/>
      <c r="M429" s="12"/>
      <c r="N429" s="9"/>
      <c r="O429" s="9"/>
      <c r="P429" s="9"/>
      <c r="Q429" s="38">
        <f t="shared" si="46"/>
        <v>0</v>
      </c>
      <c r="R429" s="12"/>
      <c r="S429" s="42"/>
      <c r="T429" s="15"/>
      <c r="U429" s="44"/>
      <c r="V429" s="15"/>
      <c r="W429" s="44"/>
      <c r="X429" s="15">
        <f t="shared" si="47"/>
        <v>0</v>
      </c>
      <c r="Y429" s="15"/>
      <c r="Z429" s="44"/>
      <c r="AA429" s="15"/>
      <c r="AB429" s="44"/>
      <c r="AC429" s="15"/>
      <c r="AD429" s="44"/>
      <c r="AE429" s="15"/>
      <c r="AF429" s="44"/>
      <c r="AG429" s="15">
        <f t="shared" si="48"/>
        <v>0</v>
      </c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/>
      <c r="BA429" s="42"/>
      <c r="BB429" s="15">
        <f t="shared" ref="BB429:BB492" si="49">AH429+AJ429+AL429+AN429+AP429+AR429+AT429+AV429+AX429+AZ429</f>
        <v>0</v>
      </c>
      <c r="BC429" s="15"/>
      <c r="BD429" s="44"/>
      <c r="BE429" s="15"/>
      <c r="BF429" s="44"/>
      <c r="BG429" s="15">
        <f t="shared" ref="BG429:BG492" si="50">(BC429+BE429)</f>
        <v>0</v>
      </c>
    </row>
    <row r="430" spans="1:59" s="8" customFormat="1" ht="22.5" customHeight="1">
      <c r="A430" s="9"/>
      <c r="B430" s="16" t="s">
        <v>674</v>
      </c>
      <c r="C430" s="89" t="s">
        <v>151</v>
      </c>
      <c r="D430" s="104" t="s">
        <v>689</v>
      </c>
      <c r="E430" s="104"/>
      <c r="F430" s="104" t="s">
        <v>1843</v>
      </c>
      <c r="G430" s="104" t="s">
        <v>1844</v>
      </c>
      <c r="H430" s="12"/>
      <c r="I430" s="9"/>
      <c r="J430" s="9" t="s">
        <v>687</v>
      </c>
      <c r="K430" s="14"/>
      <c r="L430" s="14"/>
      <c r="M430" s="12"/>
      <c r="N430" s="9"/>
      <c r="O430" s="9"/>
      <c r="P430" s="9"/>
      <c r="Q430" s="38">
        <f t="shared" si="46"/>
        <v>0</v>
      </c>
      <c r="R430" s="12"/>
      <c r="S430" s="42"/>
      <c r="T430" s="15"/>
      <c r="U430" s="44"/>
      <c r="V430" s="15"/>
      <c r="W430" s="44"/>
      <c r="X430" s="15">
        <f t="shared" si="47"/>
        <v>0</v>
      </c>
      <c r="Y430" s="15"/>
      <c r="Z430" s="44"/>
      <c r="AA430" s="15"/>
      <c r="AB430" s="44"/>
      <c r="AC430" s="15"/>
      <c r="AD430" s="44"/>
      <c r="AE430" s="15"/>
      <c r="AF430" s="44"/>
      <c r="AG430" s="15">
        <f t="shared" si="48"/>
        <v>0</v>
      </c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/>
      <c r="BA430" s="42"/>
      <c r="BB430" s="15">
        <f t="shared" si="49"/>
        <v>0</v>
      </c>
      <c r="BC430" s="15"/>
      <c r="BD430" s="44"/>
      <c r="BE430" s="15"/>
      <c r="BF430" s="44"/>
      <c r="BG430" s="15">
        <f t="shared" si="50"/>
        <v>0</v>
      </c>
    </row>
    <row r="431" spans="1:59" s="8" customFormat="1" ht="22.5" customHeight="1">
      <c r="A431" s="9"/>
      <c r="B431" s="16" t="s">
        <v>674</v>
      </c>
      <c r="C431" s="89" t="s">
        <v>151</v>
      </c>
      <c r="D431" s="104" t="s">
        <v>690</v>
      </c>
      <c r="E431" s="104" t="s">
        <v>691</v>
      </c>
      <c r="F431" s="104" t="s">
        <v>1845</v>
      </c>
      <c r="G431" s="104" t="s">
        <v>1846</v>
      </c>
      <c r="H431" s="12"/>
      <c r="I431" s="9"/>
      <c r="J431" s="9" t="s">
        <v>692</v>
      </c>
      <c r="K431" s="14"/>
      <c r="L431" s="14"/>
      <c r="M431" s="12"/>
      <c r="N431" s="9"/>
      <c r="O431" s="9"/>
      <c r="P431" s="9"/>
      <c r="Q431" s="38">
        <f t="shared" si="46"/>
        <v>0</v>
      </c>
      <c r="R431" s="12"/>
      <c r="S431" s="42"/>
      <c r="T431" s="15"/>
      <c r="U431" s="44"/>
      <c r="V431" s="15"/>
      <c r="W431" s="44"/>
      <c r="X431" s="15">
        <f t="shared" si="47"/>
        <v>0</v>
      </c>
      <c r="Y431" s="15"/>
      <c r="Z431" s="44"/>
      <c r="AA431" s="15"/>
      <c r="AB431" s="44"/>
      <c r="AC431" s="15"/>
      <c r="AD431" s="44"/>
      <c r="AE431" s="15"/>
      <c r="AF431" s="44"/>
      <c r="AG431" s="15">
        <f t="shared" si="48"/>
        <v>0</v>
      </c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/>
      <c r="BA431" s="42"/>
      <c r="BB431" s="15">
        <f t="shared" si="49"/>
        <v>0</v>
      </c>
      <c r="BC431" s="15"/>
      <c r="BD431" s="44"/>
      <c r="BE431" s="15"/>
      <c r="BF431" s="44"/>
      <c r="BG431" s="15">
        <f t="shared" si="50"/>
        <v>0</v>
      </c>
    </row>
    <row r="432" spans="1:59" s="8" customFormat="1" ht="22.5" customHeight="1">
      <c r="A432" s="9"/>
      <c r="B432" s="16" t="s">
        <v>674</v>
      </c>
      <c r="C432" s="89" t="s">
        <v>151</v>
      </c>
      <c r="D432" s="104" t="s">
        <v>693</v>
      </c>
      <c r="E432" s="104" t="s">
        <v>694</v>
      </c>
      <c r="F432" s="104" t="s">
        <v>1847</v>
      </c>
      <c r="G432" s="104" t="s">
        <v>1848</v>
      </c>
      <c r="H432" s="12"/>
      <c r="I432" s="9"/>
      <c r="J432" s="9" t="s">
        <v>692</v>
      </c>
      <c r="K432" s="14"/>
      <c r="L432" s="14"/>
      <c r="M432" s="12"/>
      <c r="N432" s="9"/>
      <c r="O432" s="9"/>
      <c r="P432" s="9"/>
      <c r="Q432" s="38">
        <f t="shared" si="46"/>
        <v>0</v>
      </c>
      <c r="R432" s="12"/>
      <c r="S432" s="42"/>
      <c r="T432" s="15"/>
      <c r="U432" s="44"/>
      <c r="V432" s="15"/>
      <c r="W432" s="44"/>
      <c r="X432" s="15">
        <f t="shared" si="47"/>
        <v>0</v>
      </c>
      <c r="Y432" s="15"/>
      <c r="Z432" s="44"/>
      <c r="AA432" s="15"/>
      <c r="AB432" s="44"/>
      <c r="AC432" s="15"/>
      <c r="AD432" s="44"/>
      <c r="AE432" s="15"/>
      <c r="AF432" s="44"/>
      <c r="AG432" s="15">
        <f t="shared" si="48"/>
        <v>0</v>
      </c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/>
      <c r="BA432" s="42"/>
      <c r="BB432" s="15">
        <f t="shared" si="49"/>
        <v>0</v>
      </c>
      <c r="BC432" s="15"/>
      <c r="BD432" s="44"/>
      <c r="BE432" s="15"/>
      <c r="BF432" s="44"/>
      <c r="BG432" s="15">
        <f t="shared" si="50"/>
        <v>0</v>
      </c>
    </row>
    <row r="433" spans="1:59" s="8" customFormat="1" ht="22.5" customHeight="1">
      <c r="A433" s="9"/>
      <c r="B433" s="16" t="s">
        <v>674</v>
      </c>
      <c r="C433" s="89" t="s">
        <v>151</v>
      </c>
      <c r="D433" s="104" t="s">
        <v>695</v>
      </c>
      <c r="E433" s="104" t="s">
        <v>696</v>
      </c>
      <c r="F433" s="104" t="s">
        <v>1849</v>
      </c>
      <c r="G433" s="104" t="s">
        <v>1850</v>
      </c>
      <c r="H433" s="12"/>
      <c r="I433" s="9"/>
      <c r="J433" s="9" t="s">
        <v>692</v>
      </c>
      <c r="K433" s="14"/>
      <c r="L433" s="14"/>
      <c r="M433" s="12"/>
      <c r="N433" s="9"/>
      <c r="O433" s="9"/>
      <c r="P433" s="9"/>
      <c r="Q433" s="38">
        <f t="shared" si="46"/>
        <v>0</v>
      </c>
      <c r="R433" s="12"/>
      <c r="S433" s="42"/>
      <c r="T433" s="15"/>
      <c r="U433" s="44"/>
      <c r="V433" s="15"/>
      <c r="W433" s="44"/>
      <c r="X433" s="15">
        <f t="shared" si="47"/>
        <v>0</v>
      </c>
      <c r="Y433" s="15"/>
      <c r="Z433" s="44"/>
      <c r="AA433" s="15"/>
      <c r="AB433" s="44"/>
      <c r="AC433" s="15"/>
      <c r="AD433" s="44"/>
      <c r="AE433" s="15"/>
      <c r="AF433" s="44"/>
      <c r="AG433" s="15">
        <f t="shared" si="48"/>
        <v>0</v>
      </c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/>
      <c r="BA433" s="42"/>
      <c r="BB433" s="15">
        <f t="shared" si="49"/>
        <v>0</v>
      </c>
      <c r="BC433" s="15"/>
      <c r="BD433" s="44"/>
      <c r="BE433" s="15"/>
      <c r="BF433" s="44"/>
      <c r="BG433" s="15">
        <f t="shared" si="50"/>
        <v>0</v>
      </c>
    </row>
    <row r="434" spans="1:59" s="8" customFormat="1" ht="22.5" customHeight="1">
      <c r="A434" s="9"/>
      <c r="B434" s="16" t="s">
        <v>674</v>
      </c>
      <c r="C434" s="89" t="s">
        <v>151</v>
      </c>
      <c r="D434" s="104" t="s">
        <v>697</v>
      </c>
      <c r="E434" s="104" t="s">
        <v>698</v>
      </c>
      <c r="F434" s="104" t="s">
        <v>1851</v>
      </c>
      <c r="G434" s="104" t="s">
        <v>1852</v>
      </c>
      <c r="H434" s="12"/>
      <c r="I434" s="9"/>
      <c r="J434" s="9" t="s">
        <v>692</v>
      </c>
      <c r="K434" s="14"/>
      <c r="L434" s="14"/>
      <c r="M434" s="12"/>
      <c r="N434" s="9"/>
      <c r="O434" s="9"/>
      <c r="P434" s="9"/>
      <c r="Q434" s="38">
        <f t="shared" si="46"/>
        <v>0</v>
      </c>
      <c r="R434" s="12"/>
      <c r="S434" s="42"/>
      <c r="T434" s="15"/>
      <c r="U434" s="44"/>
      <c r="V434" s="15"/>
      <c r="W434" s="44"/>
      <c r="X434" s="15">
        <f t="shared" si="47"/>
        <v>0</v>
      </c>
      <c r="Y434" s="15"/>
      <c r="Z434" s="44"/>
      <c r="AA434" s="15"/>
      <c r="AB434" s="44"/>
      <c r="AC434" s="15"/>
      <c r="AD434" s="44"/>
      <c r="AE434" s="15"/>
      <c r="AF434" s="44"/>
      <c r="AG434" s="15">
        <f t="shared" si="48"/>
        <v>0</v>
      </c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/>
      <c r="BA434" s="42"/>
      <c r="BB434" s="15">
        <f t="shared" si="49"/>
        <v>0</v>
      </c>
      <c r="BC434" s="15"/>
      <c r="BD434" s="44"/>
      <c r="BE434" s="15"/>
      <c r="BF434" s="44"/>
      <c r="BG434" s="15">
        <f t="shared" si="50"/>
        <v>0</v>
      </c>
    </row>
    <row r="435" spans="1:59" s="8" customFormat="1" ht="22.5" customHeight="1">
      <c r="A435" s="9"/>
      <c r="B435" s="16" t="s">
        <v>674</v>
      </c>
      <c r="C435" s="89" t="s">
        <v>151</v>
      </c>
      <c r="D435" s="104" t="s">
        <v>699</v>
      </c>
      <c r="E435" s="104"/>
      <c r="F435" s="104" t="s">
        <v>1853</v>
      </c>
      <c r="G435" s="104" t="s">
        <v>1854</v>
      </c>
      <c r="H435" s="12"/>
      <c r="I435" s="9"/>
      <c r="J435" s="9" t="s">
        <v>687</v>
      </c>
      <c r="K435" s="14"/>
      <c r="L435" s="14"/>
      <c r="M435" s="12"/>
      <c r="N435" s="9"/>
      <c r="O435" s="9"/>
      <c r="P435" s="9"/>
      <c r="Q435" s="38">
        <f t="shared" si="46"/>
        <v>0</v>
      </c>
      <c r="R435" s="12"/>
      <c r="S435" s="42"/>
      <c r="T435" s="15"/>
      <c r="U435" s="44"/>
      <c r="V435" s="15"/>
      <c r="W435" s="44"/>
      <c r="X435" s="15">
        <f t="shared" si="47"/>
        <v>0</v>
      </c>
      <c r="Y435" s="15"/>
      <c r="Z435" s="44"/>
      <c r="AA435" s="15"/>
      <c r="AB435" s="44"/>
      <c r="AC435" s="15"/>
      <c r="AD435" s="44"/>
      <c r="AE435" s="15"/>
      <c r="AF435" s="44"/>
      <c r="AG435" s="15">
        <f t="shared" si="48"/>
        <v>0</v>
      </c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/>
      <c r="BA435" s="42"/>
      <c r="BB435" s="15">
        <f t="shared" si="49"/>
        <v>0</v>
      </c>
      <c r="BC435" s="15"/>
      <c r="BD435" s="44"/>
      <c r="BE435" s="15"/>
      <c r="BF435" s="44"/>
      <c r="BG435" s="15">
        <f t="shared" si="50"/>
        <v>0</v>
      </c>
    </row>
    <row r="436" spans="1:59" s="8" customFormat="1" ht="22.5" customHeight="1">
      <c r="A436" s="9"/>
      <c r="B436" s="16" t="s">
        <v>674</v>
      </c>
      <c r="C436" s="89" t="s">
        <v>151</v>
      </c>
      <c r="D436" s="104" t="s">
        <v>700</v>
      </c>
      <c r="E436" s="104"/>
      <c r="F436" s="104" t="s">
        <v>1855</v>
      </c>
      <c r="G436" s="104" t="s">
        <v>1856</v>
      </c>
      <c r="H436" s="12"/>
      <c r="I436" s="9"/>
      <c r="J436" s="9" t="s">
        <v>687</v>
      </c>
      <c r="K436" s="14"/>
      <c r="L436" s="14"/>
      <c r="M436" s="12"/>
      <c r="N436" s="9"/>
      <c r="O436" s="9"/>
      <c r="P436" s="9"/>
      <c r="Q436" s="38">
        <f t="shared" si="46"/>
        <v>0</v>
      </c>
      <c r="R436" s="12"/>
      <c r="S436" s="42"/>
      <c r="T436" s="15"/>
      <c r="U436" s="44"/>
      <c r="V436" s="15"/>
      <c r="W436" s="44"/>
      <c r="X436" s="15">
        <f t="shared" si="47"/>
        <v>0</v>
      </c>
      <c r="Y436" s="15"/>
      <c r="Z436" s="44"/>
      <c r="AA436" s="15"/>
      <c r="AB436" s="44"/>
      <c r="AC436" s="15"/>
      <c r="AD436" s="44"/>
      <c r="AE436" s="15"/>
      <c r="AF436" s="44"/>
      <c r="AG436" s="15">
        <f t="shared" si="48"/>
        <v>0</v>
      </c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/>
      <c r="BA436" s="42"/>
      <c r="BB436" s="15">
        <f t="shared" si="49"/>
        <v>0</v>
      </c>
      <c r="BC436" s="15"/>
      <c r="BD436" s="44"/>
      <c r="BE436" s="15"/>
      <c r="BF436" s="44"/>
      <c r="BG436" s="15">
        <f t="shared" si="50"/>
        <v>0</v>
      </c>
    </row>
    <row r="437" spans="1:59" s="8" customFormat="1" ht="22.5" customHeight="1">
      <c r="A437" s="9"/>
      <c r="B437" s="16" t="s">
        <v>674</v>
      </c>
      <c r="C437" s="89" t="s">
        <v>151</v>
      </c>
      <c r="D437" s="104" t="s">
        <v>702</v>
      </c>
      <c r="E437" s="104" t="s">
        <v>703</v>
      </c>
      <c r="F437" s="104" t="s">
        <v>1857</v>
      </c>
      <c r="G437" s="104" t="s">
        <v>1858</v>
      </c>
      <c r="H437" s="12"/>
      <c r="I437" s="9"/>
      <c r="J437" s="9" t="s">
        <v>684</v>
      </c>
      <c r="K437" s="14"/>
      <c r="L437" s="14"/>
      <c r="M437" s="12"/>
      <c r="N437" s="9"/>
      <c r="O437" s="9"/>
      <c r="P437" s="9"/>
      <c r="Q437" s="38">
        <f t="shared" si="46"/>
        <v>0</v>
      </c>
      <c r="R437" s="12"/>
      <c r="S437" s="42"/>
      <c r="T437" s="15"/>
      <c r="U437" s="44"/>
      <c r="V437" s="15"/>
      <c r="W437" s="44"/>
      <c r="X437" s="15">
        <f t="shared" si="47"/>
        <v>0</v>
      </c>
      <c r="Y437" s="15"/>
      <c r="Z437" s="44"/>
      <c r="AA437" s="15"/>
      <c r="AB437" s="44"/>
      <c r="AC437" s="15"/>
      <c r="AD437" s="44"/>
      <c r="AE437" s="15"/>
      <c r="AF437" s="44"/>
      <c r="AG437" s="15">
        <f t="shared" si="48"/>
        <v>0</v>
      </c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/>
      <c r="BA437" s="42"/>
      <c r="BB437" s="15">
        <f t="shared" si="49"/>
        <v>0</v>
      </c>
      <c r="BC437" s="15"/>
      <c r="BD437" s="44"/>
      <c r="BE437" s="15"/>
      <c r="BF437" s="44"/>
      <c r="BG437" s="15">
        <f t="shared" si="50"/>
        <v>0</v>
      </c>
    </row>
    <row r="438" spans="1:59" s="8" customFormat="1" ht="22.5" customHeight="1">
      <c r="A438" s="9"/>
      <c r="B438" s="16" t="s">
        <v>704</v>
      </c>
      <c r="C438" s="89" t="s">
        <v>52</v>
      </c>
      <c r="D438" s="104" t="s">
        <v>705</v>
      </c>
      <c r="E438" s="104" t="s">
        <v>706</v>
      </c>
      <c r="F438" s="104" t="s">
        <v>1859</v>
      </c>
      <c r="G438" s="104" t="s">
        <v>1860</v>
      </c>
      <c r="H438" s="12"/>
      <c r="I438" s="9"/>
      <c r="J438" s="9" t="s">
        <v>247</v>
      </c>
      <c r="K438" s="14"/>
      <c r="L438" s="14"/>
      <c r="M438" s="12"/>
      <c r="N438" s="9"/>
      <c r="O438" s="9"/>
      <c r="P438" s="9"/>
      <c r="Q438" s="38">
        <f t="shared" si="46"/>
        <v>0</v>
      </c>
      <c r="R438" s="12"/>
      <c r="S438" s="42"/>
      <c r="T438" s="15"/>
      <c r="U438" s="44"/>
      <c r="V438" s="15"/>
      <c r="W438" s="44"/>
      <c r="X438" s="15">
        <f t="shared" si="47"/>
        <v>0</v>
      </c>
      <c r="Y438" s="15"/>
      <c r="Z438" s="44"/>
      <c r="AA438" s="15"/>
      <c r="AB438" s="44"/>
      <c r="AC438" s="15"/>
      <c r="AD438" s="44"/>
      <c r="AE438" s="15"/>
      <c r="AF438" s="44"/>
      <c r="AG438" s="15">
        <f t="shared" si="48"/>
        <v>0</v>
      </c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/>
      <c r="BA438" s="42"/>
      <c r="BB438" s="15">
        <f t="shared" si="49"/>
        <v>0</v>
      </c>
      <c r="BC438" s="15"/>
      <c r="BD438" s="44"/>
      <c r="BE438" s="15"/>
      <c r="BF438" s="44"/>
      <c r="BG438" s="15">
        <f t="shared" si="50"/>
        <v>0</v>
      </c>
    </row>
    <row r="439" spans="1:59" s="8" customFormat="1" ht="22.5" customHeight="1">
      <c r="A439" s="9"/>
      <c r="B439" s="16" t="s">
        <v>704</v>
      </c>
      <c r="C439" s="89" t="s">
        <v>52</v>
      </c>
      <c r="D439" s="104" t="s">
        <v>707</v>
      </c>
      <c r="E439" s="104" t="s">
        <v>708</v>
      </c>
      <c r="F439" s="104" t="s">
        <v>1861</v>
      </c>
      <c r="G439" s="104" t="s">
        <v>1862</v>
      </c>
      <c r="H439" s="12"/>
      <c r="I439" s="9"/>
      <c r="J439" s="9" t="s">
        <v>247</v>
      </c>
      <c r="K439" s="14"/>
      <c r="L439" s="14"/>
      <c r="M439" s="12"/>
      <c r="N439" s="9"/>
      <c r="O439" s="9"/>
      <c r="P439" s="9"/>
      <c r="Q439" s="38">
        <f t="shared" si="46"/>
        <v>0</v>
      </c>
      <c r="R439" s="12"/>
      <c r="S439" s="42"/>
      <c r="T439" s="15"/>
      <c r="U439" s="44"/>
      <c r="V439" s="15"/>
      <c r="W439" s="44"/>
      <c r="X439" s="15">
        <f t="shared" si="47"/>
        <v>0</v>
      </c>
      <c r="Y439" s="15"/>
      <c r="Z439" s="44"/>
      <c r="AA439" s="15"/>
      <c r="AB439" s="44"/>
      <c r="AC439" s="15"/>
      <c r="AD439" s="44"/>
      <c r="AE439" s="15"/>
      <c r="AF439" s="44"/>
      <c r="AG439" s="15">
        <f t="shared" si="48"/>
        <v>0</v>
      </c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/>
      <c r="BA439" s="42"/>
      <c r="BB439" s="15">
        <f t="shared" si="49"/>
        <v>0</v>
      </c>
      <c r="BC439" s="15"/>
      <c r="BD439" s="44"/>
      <c r="BE439" s="15"/>
      <c r="BF439" s="44"/>
      <c r="BG439" s="15">
        <f t="shared" si="50"/>
        <v>0</v>
      </c>
    </row>
    <row r="440" spans="1:59" s="8" customFormat="1" ht="22.5" customHeight="1">
      <c r="A440" s="9"/>
      <c r="B440" s="16" t="s">
        <v>704</v>
      </c>
      <c r="C440" s="89" t="s">
        <v>52</v>
      </c>
      <c r="D440" s="104" t="s">
        <v>709</v>
      </c>
      <c r="E440" s="104" t="s">
        <v>710</v>
      </c>
      <c r="F440" s="104" t="s">
        <v>1863</v>
      </c>
      <c r="G440" s="104" t="s">
        <v>1864</v>
      </c>
      <c r="H440" s="12"/>
      <c r="I440" s="9"/>
      <c r="J440" s="9" t="s">
        <v>247</v>
      </c>
      <c r="K440" s="14"/>
      <c r="L440" s="14"/>
      <c r="M440" s="12"/>
      <c r="N440" s="9"/>
      <c r="O440" s="9"/>
      <c r="P440" s="9"/>
      <c r="Q440" s="38">
        <f t="shared" si="46"/>
        <v>0</v>
      </c>
      <c r="R440" s="12"/>
      <c r="S440" s="42"/>
      <c r="T440" s="15"/>
      <c r="U440" s="44"/>
      <c r="V440" s="15"/>
      <c r="W440" s="44"/>
      <c r="X440" s="15">
        <f t="shared" si="47"/>
        <v>0</v>
      </c>
      <c r="Y440" s="15"/>
      <c r="Z440" s="44"/>
      <c r="AA440" s="15"/>
      <c r="AB440" s="44"/>
      <c r="AC440" s="15"/>
      <c r="AD440" s="44"/>
      <c r="AE440" s="15"/>
      <c r="AF440" s="44"/>
      <c r="AG440" s="15">
        <f t="shared" si="48"/>
        <v>0</v>
      </c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/>
      <c r="BA440" s="42"/>
      <c r="BB440" s="15">
        <f t="shared" si="49"/>
        <v>0</v>
      </c>
      <c r="BC440" s="15"/>
      <c r="BD440" s="44"/>
      <c r="BE440" s="15"/>
      <c r="BF440" s="44"/>
      <c r="BG440" s="15">
        <f t="shared" si="50"/>
        <v>0</v>
      </c>
    </row>
    <row r="441" spans="1:59" s="8" customFormat="1" ht="22.5" customHeight="1">
      <c r="A441" s="9"/>
      <c r="B441" s="16" t="s">
        <v>704</v>
      </c>
      <c r="C441" s="89" t="s">
        <v>151</v>
      </c>
      <c r="D441" s="104" t="s">
        <v>711</v>
      </c>
      <c r="E441" s="104" t="s">
        <v>712</v>
      </c>
      <c r="F441" s="104" t="s">
        <v>1865</v>
      </c>
      <c r="G441" s="104" t="s">
        <v>1866</v>
      </c>
      <c r="H441" s="12"/>
      <c r="I441" s="9"/>
      <c r="J441" s="9" t="s">
        <v>247</v>
      </c>
      <c r="K441" s="14"/>
      <c r="L441" s="14"/>
      <c r="M441" s="12"/>
      <c r="N441" s="9"/>
      <c r="O441" s="9"/>
      <c r="P441" s="9"/>
      <c r="Q441" s="38">
        <f t="shared" si="46"/>
        <v>0</v>
      </c>
      <c r="R441" s="12"/>
      <c r="S441" s="42"/>
      <c r="T441" s="15"/>
      <c r="U441" s="44"/>
      <c r="V441" s="15"/>
      <c r="W441" s="44"/>
      <c r="X441" s="15">
        <f t="shared" si="47"/>
        <v>0</v>
      </c>
      <c r="Y441" s="15"/>
      <c r="Z441" s="44"/>
      <c r="AA441" s="15"/>
      <c r="AB441" s="44"/>
      <c r="AC441" s="15"/>
      <c r="AD441" s="44"/>
      <c r="AE441" s="15"/>
      <c r="AF441" s="44"/>
      <c r="AG441" s="15">
        <f t="shared" si="48"/>
        <v>0</v>
      </c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/>
      <c r="BA441" s="42"/>
      <c r="BB441" s="15">
        <f t="shared" si="49"/>
        <v>0</v>
      </c>
      <c r="BC441" s="15"/>
      <c r="BD441" s="44"/>
      <c r="BE441" s="15"/>
      <c r="BF441" s="44"/>
      <c r="BG441" s="15">
        <f t="shared" si="50"/>
        <v>0</v>
      </c>
    </row>
    <row r="442" spans="1:59" s="8" customFormat="1" ht="22.5" customHeight="1">
      <c r="A442" s="9"/>
      <c r="B442" s="16" t="s">
        <v>713</v>
      </c>
      <c r="C442" s="89" t="s">
        <v>50</v>
      </c>
      <c r="D442" s="104" t="s">
        <v>714</v>
      </c>
      <c r="E442" s="104"/>
      <c r="F442" s="104" t="s">
        <v>1867</v>
      </c>
      <c r="G442" s="104" t="s">
        <v>1868</v>
      </c>
      <c r="H442" s="12"/>
      <c r="I442" s="9"/>
      <c r="J442" s="9" t="s">
        <v>669</v>
      </c>
      <c r="K442" s="14"/>
      <c r="L442" s="14"/>
      <c r="M442" s="12"/>
      <c r="N442" s="9"/>
      <c r="O442" s="9"/>
      <c r="P442" s="9"/>
      <c r="Q442" s="38">
        <f t="shared" si="46"/>
        <v>0</v>
      </c>
      <c r="R442" s="12"/>
      <c r="S442" s="42"/>
      <c r="T442" s="15"/>
      <c r="U442" s="44"/>
      <c r="V442" s="15"/>
      <c r="W442" s="44"/>
      <c r="X442" s="15">
        <f t="shared" si="47"/>
        <v>0</v>
      </c>
      <c r="Y442" s="15"/>
      <c r="Z442" s="44"/>
      <c r="AA442" s="15"/>
      <c r="AB442" s="44"/>
      <c r="AC442" s="15"/>
      <c r="AD442" s="44"/>
      <c r="AE442" s="15"/>
      <c r="AF442" s="44"/>
      <c r="AG442" s="15">
        <f t="shared" si="48"/>
        <v>0</v>
      </c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/>
      <c r="BA442" s="42"/>
      <c r="BB442" s="15">
        <f t="shared" si="49"/>
        <v>0</v>
      </c>
      <c r="BC442" s="15"/>
      <c r="BD442" s="44"/>
      <c r="BE442" s="15"/>
      <c r="BF442" s="44"/>
      <c r="BG442" s="15">
        <f t="shared" si="50"/>
        <v>0</v>
      </c>
    </row>
    <row r="443" spans="1:59" s="8" customFormat="1" ht="22.5" customHeight="1">
      <c r="A443" s="9"/>
      <c r="B443" s="16" t="s">
        <v>715</v>
      </c>
      <c r="C443" s="89" t="s">
        <v>151</v>
      </c>
      <c r="D443" s="104" t="s">
        <v>724</v>
      </c>
      <c r="E443" s="104" t="s">
        <v>725</v>
      </c>
      <c r="F443" s="104" t="s">
        <v>1869</v>
      </c>
      <c r="G443" s="104" t="s">
        <v>1870</v>
      </c>
      <c r="H443" s="12"/>
      <c r="I443" s="9"/>
      <c r="J443" s="9" t="s">
        <v>722</v>
      </c>
      <c r="K443" s="14"/>
      <c r="L443" s="14"/>
      <c r="M443" s="12"/>
      <c r="N443" s="9"/>
      <c r="O443" s="9"/>
      <c r="P443" s="9"/>
      <c r="Q443" s="38">
        <f t="shared" si="46"/>
        <v>0</v>
      </c>
      <c r="R443" s="12"/>
      <c r="S443" s="42"/>
      <c r="T443" s="15"/>
      <c r="U443" s="44"/>
      <c r="V443" s="15"/>
      <c r="W443" s="44"/>
      <c r="X443" s="15">
        <f t="shared" si="47"/>
        <v>0</v>
      </c>
      <c r="Y443" s="15"/>
      <c r="Z443" s="44"/>
      <c r="AA443" s="15"/>
      <c r="AB443" s="44"/>
      <c r="AC443" s="15"/>
      <c r="AD443" s="44"/>
      <c r="AE443" s="15"/>
      <c r="AF443" s="44"/>
      <c r="AG443" s="15">
        <f t="shared" si="48"/>
        <v>0</v>
      </c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/>
      <c r="BA443" s="42"/>
      <c r="BB443" s="15">
        <f t="shared" si="49"/>
        <v>0</v>
      </c>
      <c r="BC443" s="15"/>
      <c r="BD443" s="44"/>
      <c r="BE443" s="15"/>
      <c r="BF443" s="44"/>
      <c r="BG443" s="15">
        <f t="shared" si="50"/>
        <v>0</v>
      </c>
    </row>
    <row r="444" spans="1:59" s="8" customFormat="1" ht="22.5" customHeight="1">
      <c r="A444" s="9"/>
      <c r="B444" s="16" t="s">
        <v>728</v>
      </c>
      <c r="C444" s="89" t="s">
        <v>151</v>
      </c>
      <c r="D444" s="104" t="s">
        <v>729</v>
      </c>
      <c r="E444" s="104" t="s">
        <v>730</v>
      </c>
      <c r="F444" s="104" t="s">
        <v>1871</v>
      </c>
      <c r="G444" s="104" t="s">
        <v>1872</v>
      </c>
      <c r="H444" s="12"/>
      <c r="I444" s="9"/>
      <c r="J444" s="9" t="s">
        <v>731</v>
      </c>
      <c r="K444" s="14"/>
      <c r="L444" s="14"/>
      <c r="M444" s="12">
        <v>100</v>
      </c>
      <c r="N444" s="9"/>
      <c r="O444" s="9"/>
      <c r="P444" s="9"/>
      <c r="Q444" s="38">
        <f t="shared" si="46"/>
        <v>100</v>
      </c>
      <c r="R444" s="12"/>
      <c r="S444" s="42"/>
      <c r="T444" s="15"/>
      <c r="U444" s="44"/>
      <c r="V444" s="15"/>
      <c r="W444" s="44"/>
      <c r="X444" s="15">
        <f t="shared" si="47"/>
        <v>0</v>
      </c>
      <c r="Y444" s="15"/>
      <c r="Z444" s="44"/>
      <c r="AA444" s="15"/>
      <c r="AB444" s="44"/>
      <c r="AC444" s="15"/>
      <c r="AD444" s="44"/>
      <c r="AE444" s="15"/>
      <c r="AF444" s="44"/>
      <c r="AG444" s="15">
        <f t="shared" si="48"/>
        <v>0</v>
      </c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/>
      <c r="BA444" s="42"/>
      <c r="BB444" s="15">
        <f t="shared" si="49"/>
        <v>0</v>
      </c>
      <c r="BC444" s="15"/>
      <c r="BD444" s="44"/>
      <c r="BE444" s="15"/>
      <c r="BF444" s="44"/>
      <c r="BG444" s="15">
        <f t="shared" si="50"/>
        <v>0</v>
      </c>
    </row>
    <row r="445" spans="1:59" s="8" customFormat="1" ht="22.5" customHeight="1">
      <c r="A445" s="9"/>
      <c r="B445" s="16" t="s">
        <v>728</v>
      </c>
      <c r="C445" s="89" t="s">
        <v>151</v>
      </c>
      <c r="D445" s="104" t="s">
        <v>729</v>
      </c>
      <c r="E445" s="104" t="s">
        <v>732</v>
      </c>
      <c r="F445" s="104" t="s">
        <v>1873</v>
      </c>
      <c r="G445" s="104" t="s">
        <v>1874</v>
      </c>
      <c r="H445" s="12"/>
      <c r="I445" s="9"/>
      <c r="J445" s="9" t="s">
        <v>733</v>
      </c>
      <c r="K445" s="14"/>
      <c r="L445" s="14"/>
      <c r="M445" s="12"/>
      <c r="N445" s="9"/>
      <c r="O445" s="9"/>
      <c r="P445" s="9"/>
      <c r="Q445" s="38">
        <f t="shared" si="46"/>
        <v>0</v>
      </c>
      <c r="R445" s="12"/>
      <c r="S445" s="42"/>
      <c r="T445" s="15"/>
      <c r="U445" s="44"/>
      <c r="V445" s="15"/>
      <c r="W445" s="44"/>
      <c r="X445" s="15">
        <f t="shared" si="47"/>
        <v>0</v>
      </c>
      <c r="Y445" s="15"/>
      <c r="Z445" s="44"/>
      <c r="AA445" s="15"/>
      <c r="AB445" s="44"/>
      <c r="AC445" s="15"/>
      <c r="AD445" s="44"/>
      <c r="AE445" s="15"/>
      <c r="AF445" s="44"/>
      <c r="AG445" s="15">
        <f t="shared" si="48"/>
        <v>0</v>
      </c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/>
      <c r="BA445" s="42"/>
      <c r="BB445" s="15">
        <f t="shared" si="49"/>
        <v>0</v>
      </c>
      <c r="BC445" s="15"/>
      <c r="BD445" s="44"/>
      <c r="BE445" s="15"/>
      <c r="BF445" s="44"/>
      <c r="BG445" s="15">
        <f t="shared" si="50"/>
        <v>0</v>
      </c>
    </row>
    <row r="446" spans="1:59" s="8" customFormat="1" ht="22.5" customHeight="1">
      <c r="A446" s="9"/>
      <c r="B446" s="16" t="s">
        <v>728</v>
      </c>
      <c r="C446" s="89" t="s">
        <v>151</v>
      </c>
      <c r="D446" s="104" t="s">
        <v>729</v>
      </c>
      <c r="E446" s="104" t="s">
        <v>734</v>
      </c>
      <c r="F446" s="104" t="s">
        <v>1875</v>
      </c>
      <c r="G446" s="104" t="s">
        <v>1876</v>
      </c>
      <c r="H446" s="12"/>
      <c r="I446" s="9"/>
      <c r="J446" s="9" t="s">
        <v>733</v>
      </c>
      <c r="K446" s="14"/>
      <c r="L446" s="14"/>
      <c r="M446" s="12"/>
      <c r="N446" s="9"/>
      <c r="O446" s="9"/>
      <c r="P446" s="9"/>
      <c r="Q446" s="38">
        <f t="shared" si="46"/>
        <v>0</v>
      </c>
      <c r="R446" s="12"/>
      <c r="S446" s="42"/>
      <c r="T446" s="15"/>
      <c r="U446" s="44"/>
      <c r="V446" s="15"/>
      <c r="W446" s="44"/>
      <c r="X446" s="15">
        <f t="shared" si="47"/>
        <v>0</v>
      </c>
      <c r="Y446" s="15"/>
      <c r="Z446" s="44"/>
      <c r="AA446" s="15"/>
      <c r="AB446" s="44"/>
      <c r="AC446" s="15"/>
      <c r="AD446" s="44"/>
      <c r="AE446" s="15"/>
      <c r="AF446" s="44"/>
      <c r="AG446" s="15">
        <f t="shared" si="48"/>
        <v>0</v>
      </c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/>
      <c r="BA446" s="42"/>
      <c r="BB446" s="15">
        <f t="shared" si="49"/>
        <v>0</v>
      </c>
      <c r="BC446" s="15"/>
      <c r="BD446" s="44"/>
      <c r="BE446" s="15"/>
      <c r="BF446" s="44"/>
      <c r="BG446" s="15">
        <f t="shared" si="50"/>
        <v>0</v>
      </c>
    </row>
    <row r="447" spans="1:59" s="8" customFormat="1" ht="22.5" customHeight="1">
      <c r="A447" s="9"/>
      <c r="B447" s="16" t="s">
        <v>735</v>
      </c>
      <c r="C447" s="89" t="s">
        <v>132</v>
      </c>
      <c r="D447" s="104" t="s">
        <v>736</v>
      </c>
      <c r="E447" s="104" t="s">
        <v>1877</v>
      </c>
      <c r="F447" s="104" t="s">
        <v>1878</v>
      </c>
      <c r="G447" s="104" t="s">
        <v>1879</v>
      </c>
      <c r="H447" s="12"/>
      <c r="I447" s="9"/>
      <c r="J447" s="9" t="s">
        <v>247</v>
      </c>
      <c r="K447" s="14"/>
      <c r="L447" s="14"/>
      <c r="M447" s="12">
        <v>75</v>
      </c>
      <c r="N447" s="9"/>
      <c r="O447" s="9"/>
      <c r="P447" s="9"/>
      <c r="Q447" s="38">
        <f t="shared" si="46"/>
        <v>75</v>
      </c>
      <c r="R447" s="12"/>
      <c r="S447" s="42"/>
      <c r="T447" s="15"/>
      <c r="U447" s="44"/>
      <c r="V447" s="15"/>
      <c r="W447" s="44"/>
      <c r="X447" s="15">
        <f t="shared" si="47"/>
        <v>0</v>
      </c>
      <c r="Y447" s="15"/>
      <c r="Z447" s="44"/>
      <c r="AA447" s="15"/>
      <c r="AB447" s="44"/>
      <c r="AC447" s="15"/>
      <c r="AD447" s="44"/>
      <c r="AE447" s="15"/>
      <c r="AF447" s="44"/>
      <c r="AG447" s="15">
        <f t="shared" si="48"/>
        <v>0</v>
      </c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/>
      <c r="BA447" s="42"/>
      <c r="BB447" s="15">
        <f t="shared" si="49"/>
        <v>0</v>
      </c>
      <c r="BC447" s="15"/>
      <c r="BD447" s="44"/>
      <c r="BE447" s="15"/>
      <c r="BF447" s="44"/>
      <c r="BG447" s="15">
        <f t="shared" si="50"/>
        <v>0</v>
      </c>
    </row>
    <row r="448" spans="1:59" s="8" customFormat="1" ht="22.5" customHeight="1">
      <c r="A448" s="9"/>
      <c r="B448" s="16" t="s">
        <v>735</v>
      </c>
      <c r="C448" s="89" t="s">
        <v>132</v>
      </c>
      <c r="D448" s="104" t="s">
        <v>738</v>
      </c>
      <c r="E448" s="104" t="s">
        <v>739</v>
      </c>
      <c r="F448" s="104" t="s">
        <v>1880</v>
      </c>
      <c r="G448" s="104" t="s">
        <v>1881</v>
      </c>
      <c r="H448" s="12"/>
      <c r="I448" s="9"/>
      <c r="J448" s="9" t="s">
        <v>247</v>
      </c>
      <c r="K448" s="14"/>
      <c r="L448" s="14"/>
      <c r="M448" s="12"/>
      <c r="N448" s="9"/>
      <c r="O448" s="9"/>
      <c r="P448" s="9"/>
      <c r="Q448" s="38">
        <f t="shared" si="46"/>
        <v>0</v>
      </c>
      <c r="R448" s="12"/>
      <c r="S448" s="42"/>
      <c r="T448" s="15"/>
      <c r="U448" s="44"/>
      <c r="V448" s="15"/>
      <c r="W448" s="44"/>
      <c r="X448" s="15">
        <f t="shared" si="47"/>
        <v>0</v>
      </c>
      <c r="Y448" s="15"/>
      <c r="Z448" s="44"/>
      <c r="AA448" s="15"/>
      <c r="AB448" s="44"/>
      <c r="AC448" s="15"/>
      <c r="AD448" s="44"/>
      <c r="AE448" s="15"/>
      <c r="AF448" s="44"/>
      <c r="AG448" s="15">
        <f t="shared" si="48"/>
        <v>0</v>
      </c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/>
      <c r="BA448" s="42"/>
      <c r="BB448" s="15">
        <f t="shared" si="49"/>
        <v>0</v>
      </c>
      <c r="BC448" s="15"/>
      <c r="BD448" s="44"/>
      <c r="BE448" s="15"/>
      <c r="BF448" s="44"/>
      <c r="BG448" s="15">
        <f t="shared" si="50"/>
        <v>0</v>
      </c>
    </row>
    <row r="449" spans="1:59" s="8" customFormat="1" ht="22.5" customHeight="1">
      <c r="A449" s="9"/>
      <c r="B449" s="16" t="s">
        <v>740</v>
      </c>
      <c r="C449" s="89" t="s">
        <v>132</v>
      </c>
      <c r="D449" s="104" t="s">
        <v>741</v>
      </c>
      <c r="E449" s="104"/>
      <c r="F449" s="104" t="s">
        <v>1882</v>
      </c>
      <c r="G449" s="104" t="s">
        <v>1883</v>
      </c>
      <c r="H449" s="12"/>
      <c r="I449" s="9"/>
      <c r="J449" s="9" t="s">
        <v>247</v>
      </c>
      <c r="K449" s="14"/>
      <c r="L449" s="14"/>
      <c r="M449" s="12"/>
      <c r="N449" s="9"/>
      <c r="O449" s="9"/>
      <c r="P449" s="9"/>
      <c r="Q449" s="38">
        <f t="shared" si="46"/>
        <v>0</v>
      </c>
      <c r="R449" s="12"/>
      <c r="S449" s="42"/>
      <c r="T449" s="15"/>
      <c r="U449" s="44"/>
      <c r="V449" s="15"/>
      <c r="W449" s="44"/>
      <c r="X449" s="15">
        <f t="shared" si="47"/>
        <v>0</v>
      </c>
      <c r="Y449" s="15"/>
      <c r="Z449" s="44"/>
      <c r="AA449" s="15"/>
      <c r="AB449" s="44"/>
      <c r="AC449" s="15"/>
      <c r="AD449" s="44"/>
      <c r="AE449" s="15"/>
      <c r="AF449" s="44"/>
      <c r="AG449" s="15">
        <f t="shared" si="48"/>
        <v>0</v>
      </c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/>
      <c r="BA449" s="42"/>
      <c r="BB449" s="15">
        <f t="shared" si="49"/>
        <v>0</v>
      </c>
      <c r="BC449" s="15"/>
      <c r="BD449" s="44"/>
      <c r="BE449" s="15"/>
      <c r="BF449" s="44"/>
      <c r="BG449" s="15">
        <f t="shared" si="50"/>
        <v>0</v>
      </c>
    </row>
    <row r="450" spans="1:59" s="8" customFormat="1" ht="22.5" customHeight="1">
      <c r="A450" s="9"/>
      <c r="B450" s="16" t="s">
        <v>742</v>
      </c>
      <c r="C450" s="89" t="s">
        <v>52</v>
      </c>
      <c r="D450" s="104" t="s">
        <v>750</v>
      </c>
      <c r="E450" s="104" t="s">
        <v>752</v>
      </c>
      <c r="F450" s="104" t="s">
        <v>1884</v>
      </c>
      <c r="G450" s="104" t="s">
        <v>1885</v>
      </c>
      <c r="H450" s="12"/>
      <c r="I450" s="9"/>
      <c r="J450" s="9" t="s">
        <v>745</v>
      </c>
      <c r="K450" s="14"/>
      <c r="L450" s="14"/>
      <c r="M450" s="12"/>
      <c r="N450" s="9"/>
      <c r="O450" s="9"/>
      <c r="P450" s="9"/>
      <c r="Q450" s="38">
        <f t="shared" si="46"/>
        <v>0</v>
      </c>
      <c r="R450" s="12"/>
      <c r="S450" s="42"/>
      <c r="T450" s="15"/>
      <c r="U450" s="44"/>
      <c r="V450" s="15"/>
      <c r="W450" s="44"/>
      <c r="X450" s="15">
        <f t="shared" si="47"/>
        <v>0</v>
      </c>
      <c r="Y450" s="15"/>
      <c r="Z450" s="44"/>
      <c r="AA450" s="15"/>
      <c r="AB450" s="44"/>
      <c r="AC450" s="15"/>
      <c r="AD450" s="44"/>
      <c r="AE450" s="15"/>
      <c r="AF450" s="44"/>
      <c r="AG450" s="15">
        <f t="shared" si="48"/>
        <v>0</v>
      </c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/>
      <c r="BA450" s="42"/>
      <c r="BB450" s="15">
        <f t="shared" si="49"/>
        <v>0</v>
      </c>
      <c r="BC450" s="15"/>
      <c r="BD450" s="44"/>
      <c r="BE450" s="15"/>
      <c r="BF450" s="44"/>
      <c r="BG450" s="15">
        <f t="shared" si="50"/>
        <v>0</v>
      </c>
    </row>
    <row r="451" spans="1:59" s="8" customFormat="1" ht="22.5" customHeight="1">
      <c r="A451" s="9"/>
      <c r="B451" s="16" t="s">
        <v>161</v>
      </c>
      <c r="C451" s="89" t="s">
        <v>52</v>
      </c>
      <c r="D451" s="104" t="s">
        <v>753</v>
      </c>
      <c r="E451" s="104"/>
      <c r="F451" s="104" t="s">
        <v>1886</v>
      </c>
      <c r="G451" s="104" t="s">
        <v>1887</v>
      </c>
      <c r="H451" s="12"/>
      <c r="I451" s="9"/>
      <c r="J451" s="9" t="s">
        <v>467</v>
      </c>
      <c r="K451" s="14"/>
      <c r="L451" s="14"/>
      <c r="M451" s="12"/>
      <c r="N451" s="9"/>
      <c r="O451" s="9"/>
      <c r="P451" s="9"/>
      <c r="Q451" s="38">
        <f t="shared" si="46"/>
        <v>0</v>
      </c>
      <c r="R451" s="12"/>
      <c r="S451" s="42"/>
      <c r="T451" s="15"/>
      <c r="U451" s="44"/>
      <c r="V451" s="15"/>
      <c r="W451" s="44"/>
      <c r="X451" s="15">
        <f t="shared" si="47"/>
        <v>0</v>
      </c>
      <c r="Y451" s="15"/>
      <c r="Z451" s="44"/>
      <c r="AA451" s="15"/>
      <c r="AB451" s="44"/>
      <c r="AC451" s="15"/>
      <c r="AD451" s="44"/>
      <c r="AE451" s="15"/>
      <c r="AF451" s="44"/>
      <c r="AG451" s="15">
        <f t="shared" si="48"/>
        <v>0</v>
      </c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/>
      <c r="BA451" s="42"/>
      <c r="BB451" s="15">
        <f t="shared" si="49"/>
        <v>0</v>
      </c>
      <c r="BC451" s="15"/>
      <c r="BD451" s="44"/>
      <c r="BE451" s="15"/>
      <c r="BF451" s="44"/>
      <c r="BG451" s="15">
        <f t="shared" si="50"/>
        <v>0</v>
      </c>
    </row>
    <row r="452" spans="1:59" s="8" customFormat="1" ht="22.5" customHeight="1">
      <c r="A452" s="9"/>
      <c r="B452" s="16" t="s">
        <v>161</v>
      </c>
      <c r="C452" s="89" t="s">
        <v>754</v>
      </c>
      <c r="D452" s="104" t="s">
        <v>1888</v>
      </c>
      <c r="E452" s="104"/>
      <c r="F452" s="104" t="s">
        <v>1889</v>
      </c>
      <c r="G452" s="104" t="s">
        <v>1890</v>
      </c>
      <c r="H452" s="12"/>
      <c r="I452" s="9"/>
      <c r="J452" s="9" t="s">
        <v>467</v>
      </c>
      <c r="K452" s="14"/>
      <c r="L452" s="14"/>
      <c r="M452" s="12">
        <v>100</v>
      </c>
      <c r="N452" s="9"/>
      <c r="O452" s="9"/>
      <c r="P452" s="9"/>
      <c r="Q452" s="38">
        <f t="shared" ref="Q452:Q515" si="51">M452+X452-AG452-BB452</f>
        <v>100</v>
      </c>
      <c r="R452" s="12"/>
      <c r="S452" s="42"/>
      <c r="T452" s="15"/>
      <c r="U452" s="44"/>
      <c r="V452" s="15"/>
      <c r="W452" s="44"/>
      <c r="X452" s="15">
        <f t="shared" ref="X452:X515" si="52">R452+T452+V452</f>
        <v>0</v>
      </c>
      <c r="Y452" s="15"/>
      <c r="Z452" s="44"/>
      <c r="AA452" s="15"/>
      <c r="AB452" s="44"/>
      <c r="AC452" s="15"/>
      <c r="AD452" s="44"/>
      <c r="AE452" s="15"/>
      <c r="AF452" s="44"/>
      <c r="AG452" s="15">
        <f t="shared" ref="AG452:AG515" si="53">(Y452+AA452+AC452+AE452)</f>
        <v>0</v>
      </c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/>
      <c r="BA452" s="42"/>
      <c r="BB452" s="15">
        <f t="shared" si="49"/>
        <v>0</v>
      </c>
      <c r="BC452" s="15"/>
      <c r="BD452" s="44"/>
      <c r="BE452" s="15"/>
      <c r="BF452" s="44"/>
      <c r="BG452" s="15">
        <f t="shared" si="50"/>
        <v>0</v>
      </c>
    </row>
    <row r="453" spans="1:59" s="8" customFormat="1" ht="22.5" customHeight="1">
      <c r="A453" s="9"/>
      <c r="B453" s="16" t="s">
        <v>161</v>
      </c>
      <c r="C453" s="89" t="s">
        <v>140</v>
      </c>
      <c r="D453" s="104" t="s">
        <v>1891</v>
      </c>
      <c r="E453" s="104"/>
      <c r="F453" s="104" t="s">
        <v>1892</v>
      </c>
      <c r="G453" s="104" t="s">
        <v>1893</v>
      </c>
      <c r="H453" s="12"/>
      <c r="I453" s="9"/>
      <c r="J453" s="9" t="s">
        <v>467</v>
      </c>
      <c r="K453" s="14"/>
      <c r="L453" s="14"/>
      <c r="M453" s="12">
        <v>67</v>
      </c>
      <c r="N453" s="9"/>
      <c r="O453" s="9"/>
      <c r="P453" s="9"/>
      <c r="Q453" s="38">
        <f t="shared" si="51"/>
        <v>67</v>
      </c>
      <c r="R453" s="12"/>
      <c r="S453" s="42"/>
      <c r="T453" s="15"/>
      <c r="U453" s="44"/>
      <c r="V453" s="15"/>
      <c r="W453" s="44"/>
      <c r="X453" s="15">
        <f t="shared" si="52"/>
        <v>0</v>
      </c>
      <c r="Y453" s="15"/>
      <c r="Z453" s="44"/>
      <c r="AA453" s="15"/>
      <c r="AB453" s="44"/>
      <c r="AC453" s="15"/>
      <c r="AD453" s="44"/>
      <c r="AE453" s="15"/>
      <c r="AF453" s="44"/>
      <c r="AG453" s="15">
        <f t="shared" si="53"/>
        <v>0</v>
      </c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/>
      <c r="BA453" s="42"/>
      <c r="BB453" s="15">
        <f t="shared" si="49"/>
        <v>0</v>
      </c>
      <c r="BC453" s="15"/>
      <c r="BD453" s="44"/>
      <c r="BE453" s="15"/>
      <c r="BF453" s="44"/>
      <c r="BG453" s="15">
        <f t="shared" si="50"/>
        <v>0</v>
      </c>
    </row>
    <row r="454" spans="1:59" s="8" customFormat="1" ht="22.5" customHeight="1">
      <c r="A454" s="9"/>
      <c r="B454" s="16" t="s">
        <v>755</v>
      </c>
      <c r="C454" s="89" t="s">
        <v>754</v>
      </c>
      <c r="D454" s="104" t="s">
        <v>756</v>
      </c>
      <c r="E454" s="104"/>
      <c r="F454" s="104" t="s">
        <v>1894</v>
      </c>
      <c r="G454" s="104" t="s">
        <v>1895</v>
      </c>
      <c r="H454" s="12"/>
      <c r="I454" s="9"/>
      <c r="J454" s="9" t="s">
        <v>757</v>
      </c>
      <c r="K454" s="14"/>
      <c r="L454" s="14"/>
      <c r="M454" s="12"/>
      <c r="N454" s="9"/>
      <c r="O454" s="9"/>
      <c r="P454" s="9"/>
      <c r="Q454" s="38">
        <f t="shared" si="51"/>
        <v>0</v>
      </c>
      <c r="R454" s="12"/>
      <c r="S454" s="42"/>
      <c r="T454" s="15"/>
      <c r="U454" s="44"/>
      <c r="V454" s="15"/>
      <c r="W454" s="44"/>
      <c r="X454" s="15">
        <f t="shared" si="52"/>
        <v>0</v>
      </c>
      <c r="Y454" s="15"/>
      <c r="Z454" s="44"/>
      <c r="AA454" s="15"/>
      <c r="AB454" s="44"/>
      <c r="AC454" s="15"/>
      <c r="AD454" s="44"/>
      <c r="AE454" s="15"/>
      <c r="AF454" s="44"/>
      <c r="AG454" s="15">
        <f t="shared" si="53"/>
        <v>0</v>
      </c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/>
      <c r="BA454" s="42"/>
      <c r="BB454" s="15">
        <f t="shared" si="49"/>
        <v>0</v>
      </c>
      <c r="BC454" s="15"/>
      <c r="BD454" s="44"/>
      <c r="BE454" s="15"/>
      <c r="BF454" s="44"/>
      <c r="BG454" s="15">
        <f t="shared" si="50"/>
        <v>0</v>
      </c>
    </row>
    <row r="455" spans="1:59" s="8" customFormat="1" ht="22.5" customHeight="1">
      <c r="A455" s="9"/>
      <c r="B455" s="16" t="s">
        <v>755</v>
      </c>
      <c r="C455" s="89" t="s">
        <v>132</v>
      </c>
      <c r="D455" s="104" t="s">
        <v>758</v>
      </c>
      <c r="E455" s="104"/>
      <c r="F455" s="104" t="s">
        <v>1896</v>
      </c>
      <c r="G455" s="104" t="s">
        <v>1897</v>
      </c>
      <c r="H455" s="12"/>
      <c r="I455" s="9"/>
      <c r="J455" s="9" t="s">
        <v>757</v>
      </c>
      <c r="K455" s="14"/>
      <c r="L455" s="14"/>
      <c r="M455" s="12"/>
      <c r="N455" s="9"/>
      <c r="O455" s="9"/>
      <c r="P455" s="9"/>
      <c r="Q455" s="38">
        <f t="shared" si="51"/>
        <v>0</v>
      </c>
      <c r="R455" s="12"/>
      <c r="S455" s="42"/>
      <c r="T455" s="15"/>
      <c r="U455" s="44"/>
      <c r="V455" s="15"/>
      <c r="W455" s="44"/>
      <c r="X455" s="15">
        <f t="shared" si="52"/>
        <v>0</v>
      </c>
      <c r="Y455" s="15"/>
      <c r="Z455" s="44"/>
      <c r="AA455" s="15"/>
      <c r="AB455" s="44"/>
      <c r="AC455" s="15"/>
      <c r="AD455" s="44"/>
      <c r="AE455" s="15"/>
      <c r="AF455" s="44"/>
      <c r="AG455" s="15">
        <f t="shared" si="53"/>
        <v>0</v>
      </c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/>
      <c r="BA455" s="42"/>
      <c r="BB455" s="15">
        <f t="shared" si="49"/>
        <v>0</v>
      </c>
      <c r="BC455" s="15"/>
      <c r="BD455" s="44"/>
      <c r="BE455" s="15"/>
      <c r="BF455" s="44"/>
      <c r="BG455" s="15">
        <f t="shared" si="50"/>
        <v>0</v>
      </c>
    </row>
    <row r="456" spans="1:59" s="8" customFormat="1" ht="22.5" customHeight="1">
      <c r="A456" s="9"/>
      <c r="B456" s="16" t="s">
        <v>755</v>
      </c>
      <c r="C456" s="89" t="s">
        <v>132</v>
      </c>
      <c r="D456" s="104" t="s">
        <v>759</v>
      </c>
      <c r="E456" s="104"/>
      <c r="F456" s="104" t="s">
        <v>1898</v>
      </c>
      <c r="G456" s="104" t="s">
        <v>1899</v>
      </c>
      <c r="H456" s="12"/>
      <c r="I456" s="9"/>
      <c r="J456" s="9" t="s">
        <v>757</v>
      </c>
      <c r="K456" s="14"/>
      <c r="L456" s="14"/>
      <c r="M456" s="12"/>
      <c r="N456" s="9"/>
      <c r="O456" s="9"/>
      <c r="P456" s="9"/>
      <c r="Q456" s="38">
        <f t="shared" si="51"/>
        <v>0</v>
      </c>
      <c r="R456" s="12"/>
      <c r="S456" s="42"/>
      <c r="T456" s="15"/>
      <c r="U456" s="44"/>
      <c r="V456" s="15"/>
      <c r="W456" s="44"/>
      <c r="X456" s="15">
        <f t="shared" si="52"/>
        <v>0</v>
      </c>
      <c r="Y456" s="15"/>
      <c r="Z456" s="44"/>
      <c r="AA456" s="15"/>
      <c r="AB456" s="44"/>
      <c r="AC456" s="15"/>
      <c r="AD456" s="44"/>
      <c r="AE456" s="15"/>
      <c r="AF456" s="44"/>
      <c r="AG456" s="15">
        <f t="shared" si="53"/>
        <v>0</v>
      </c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/>
      <c r="BA456" s="42"/>
      <c r="BB456" s="15">
        <f t="shared" si="49"/>
        <v>0</v>
      </c>
      <c r="BC456" s="15"/>
      <c r="BD456" s="44"/>
      <c r="BE456" s="15"/>
      <c r="BF456" s="44"/>
      <c r="BG456" s="15">
        <f t="shared" si="50"/>
        <v>0</v>
      </c>
    </row>
    <row r="457" spans="1:59" s="8" customFormat="1" ht="22.5" customHeight="1">
      <c r="A457" s="9"/>
      <c r="B457" s="16" t="s">
        <v>755</v>
      </c>
      <c r="C457" s="89" t="s">
        <v>140</v>
      </c>
      <c r="D457" s="104" t="s">
        <v>758</v>
      </c>
      <c r="E457" s="104"/>
      <c r="F457" s="104" t="s">
        <v>1900</v>
      </c>
      <c r="G457" s="104" t="s">
        <v>1901</v>
      </c>
      <c r="H457" s="12"/>
      <c r="I457" s="9"/>
      <c r="J457" s="9" t="s">
        <v>757</v>
      </c>
      <c r="K457" s="14"/>
      <c r="L457" s="14"/>
      <c r="M457" s="12"/>
      <c r="N457" s="9"/>
      <c r="O457" s="9"/>
      <c r="P457" s="9"/>
      <c r="Q457" s="38">
        <f t="shared" si="51"/>
        <v>0</v>
      </c>
      <c r="R457" s="12"/>
      <c r="S457" s="42"/>
      <c r="T457" s="15"/>
      <c r="U457" s="44"/>
      <c r="V457" s="15"/>
      <c r="W457" s="44"/>
      <c r="X457" s="15">
        <f t="shared" si="52"/>
        <v>0</v>
      </c>
      <c r="Y457" s="15"/>
      <c r="Z457" s="44"/>
      <c r="AA457" s="15"/>
      <c r="AB457" s="44"/>
      <c r="AC457" s="15"/>
      <c r="AD457" s="44"/>
      <c r="AE457" s="15"/>
      <c r="AF457" s="44"/>
      <c r="AG457" s="15">
        <f t="shared" si="53"/>
        <v>0</v>
      </c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/>
      <c r="BA457" s="42"/>
      <c r="BB457" s="15">
        <f t="shared" si="49"/>
        <v>0</v>
      </c>
      <c r="BC457" s="15"/>
      <c r="BD457" s="44"/>
      <c r="BE457" s="15"/>
      <c r="BF457" s="44"/>
      <c r="BG457" s="15">
        <f t="shared" si="50"/>
        <v>0</v>
      </c>
    </row>
    <row r="458" spans="1:59" s="8" customFormat="1" ht="22.5" customHeight="1">
      <c r="A458" s="9"/>
      <c r="B458" s="16" t="s">
        <v>755</v>
      </c>
      <c r="C458" s="89" t="s">
        <v>52</v>
      </c>
      <c r="D458" s="104" t="s">
        <v>760</v>
      </c>
      <c r="E458" s="104"/>
      <c r="F458" s="104" t="s">
        <v>1902</v>
      </c>
      <c r="G458" s="104" t="s">
        <v>1903</v>
      </c>
      <c r="H458" s="12"/>
      <c r="I458" s="9"/>
      <c r="J458" s="9" t="s">
        <v>757</v>
      </c>
      <c r="K458" s="14"/>
      <c r="L458" s="14"/>
      <c r="M458" s="12">
        <v>987</v>
      </c>
      <c r="N458" s="9"/>
      <c r="O458" s="9"/>
      <c r="P458" s="9"/>
      <c r="Q458" s="38">
        <f t="shared" si="51"/>
        <v>987</v>
      </c>
      <c r="R458" s="12"/>
      <c r="S458" s="42"/>
      <c r="T458" s="15"/>
      <c r="U458" s="44"/>
      <c r="V458" s="15"/>
      <c r="W458" s="44"/>
      <c r="X458" s="15">
        <f t="shared" si="52"/>
        <v>0</v>
      </c>
      <c r="Y458" s="15"/>
      <c r="Z458" s="44"/>
      <c r="AA458" s="15"/>
      <c r="AB458" s="44"/>
      <c r="AC458" s="15"/>
      <c r="AD458" s="44"/>
      <c r="AE458" s="15"/>
      <c r="AF458" s="44"/>
      <c r="AG458" s="15">
        <f t="shared" si="53"/>
        <v>0</v>
      </c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/>
      <c r="BA458" s="42"/>
      <c r="BB458" s="15">
        <f t="shared" si="49"/>
        <v>0</v>
      </c>
      <c r="BC458" s="15"/>
      <c r="BD458" s="44"/>
      <c r="BE458" s="15"/>
      <c r="BF458" s="44"/>
      <c r="BG458" s="15">
        <f t="shared" si="50"/>
        <v>0</v>
      </c>
    </row>
    <row r="459" spans="1:59" s="8" customFormat="1" ht="22.5" customHeight="1">
      <c r="A459" s="9"/>
      <c r="B459" s="16" t="s">
        <v>755</v>
      </c>
      <c r="C459" s="89" t="s">
        <v>52</v>
      </c>
      <c r="D459" s="104" t="s">
        <v>761</v>
      </c>
      <c r="E459" s="104"/>
      <c r="F459" s="104" t="s">
        <v>1904</v>
      </c>
      <c r="G459" s="104" t="s">
        <v>1905</v>
      </c>
      <c r="H459" s="12"/>
      <c r="I459" s="9"/>
      <c r="J459" s="9" t="s">
        <v>757</v>
      </c>
      <c r="K459" s="14"/>
      <c r="L459" s="14"/>
      <c r="M459" s="12">
        <v>629</v>
      </c>
      <c r="N459" s="9"/>
      <c r="O459" s="9"/>
      <c r="P459" s="9"/>
      <c r="Q459" s="38">
        <f t="shared" si="51"/>
        <v>629</v>
      </c>
      <c r="R459" s="12"/>
      <c r="S459" s="42"/>
      <c r="T459" s="15"/>
      <c r="U459" s="44"/>
      <c r="V459" s="15"/>
      <c r="W459" s="44"/>
      <c r="X459" s="15">
        <f t="shared" si="52"/>
        <v>0</v>
      </c>
      <c r="Y459" s="15"/>
      <c r="Z459" s="44"/>
      <c r="AA459" s="15"/>
      <c r="AB459" s="44"/>
      <c r="AC459" s="15"/>
      <c r="AD459" s="44"/>
      <c r="AE459" s="15"/>
      <c r="AF459" s="44"/>
      <c r="AG459" s="15">
        <f t="shared" si="53"/>
        <v>0</v>
      </c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/>
      <c r="BA459" s="42"/>
      <c r="BB459" s="15">
        <f t="shared" si="49"/>
        <v>0</v>
      </c>
      <c r="BC459" s="15"/>
      <c r="BD459" s="44"/>
      <c r="BE459" s="15"/>
      <c r="BF459" s="44"/>
      <c r="BG459" s="15">
        <f t="shared" si="50"/>
        <v>0</v>
      </c>
    </row>
    <row r="460" spans="1:59" s="8" customFormat="1" ht="22.5" customHeight="1">
      <c r="A460" s="9"/>
      <c r="B460" s="16" t="s">
        <v>755</v>
      </c>
      <c r="C460" s="89" t="s">
        <v>52</v>
      </c>
      <c r="D460" s="104" t="s">
        <v>762</v>
      </c>
      <c r="E460" s="104"/>
      <c r="F460" s="104" t="s">
        <v>1906</v>
      </c>
      <c r="G460" s="104" t="s">
        <v>1907</v>
      </c>
      <c r="H460" s="12"/>
      <c r="I460" s="9"/>
      <c r="J460" s="9" t="s">
        <v>757</v>
      </c>
      <c r="K460" s="14"/>
      <c r="L460" s="14"/>
      <c r="M460" s="12">
        <v>893</v>
      </c>
      <c r="N460" s="9"/>
      <c r="O460" s="9"/>
      <c r="P460" s="9"/>
      <c r="Q460" s="38">
        <f t="shared" si="51"/>
        <v>893</v>
      </c>
      <c r="R460" s="12"/>
      <c r="S460" s="42"/>
      <c r="T460" s="15"/>
      <c r="U460" s="44"/>
      <c r="V460" s="15"/>
      <c r="W460" s="44"/>
      <c r="X460" s="15">
        <f t="shared" si="52"/>
        <v>0</v>
      </c>
      <c r="Y460" s="15"/>
      <c r="Z460" s="44"/>
      <c r="AA460" s="15"/>
      <c r="AB460" s="44"/>
      <c r="AC460" s="15"/>
      <c r="AD460" s="44"/>
      <c r="AE460" s="15"/>
      <c r="AF460" s="44"/>
      <c r="AG460" s="15">
        <f t="shared" si="53"/>
        <v>0</v>
      </c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/>
      <c r="BA460" s="42"/>
      <c r="BB460" s="15">
        <f t="shared" si="49"/>
        <v>0</v>
      </c>
      <c r="BC460" s="15"/>
      <c r="BD460" s="44"/>
      <c r="BE460" s="15"/>
      <c r="BF460" s="44"/>
      <c r="BG460" s="15">
        <f t="shared" si="50"/>
        <v>0</v>
      </c>
    </row>
    <row r="461" spans="1:59" s="8" customFormat="1" ht="22.5" customHeight="1">
      <c r="A461" s="9"/>
      <c r="B461" s="16" t="s">
        <v>755</v>
      </c>
      <c r="C461" s="89" t="s">
        <v>52</v>
      </c>
      <c r="D461" s="104" t="s">
        <v>763</v>
      </c>
      <c r="E461" s="104" t="s">
        <v>764</v>
      </c>
      <c r="F461" s="104" t="s">
        <v>1908</v>
      </c>
      <c r="G461" s="104" t="s">
        <v>1909</v>
      </c>
      <c r="H461" s="12"/>
      <c r="I461" s="9"/>
      <c r="J461" s="9" t="s">
        <v>757</v>
      </c>
      <c r="K461" s="14"/>
      <c r="L461" s="14"/>
      <c r="M461" s="12"/>
      <c r="N461" s="9"/>
      <c r="O461" s="9"/>
      <c r="P461" s="9"/>
      <c r="Q461" s="38">
        <f t="shared" si="51"/>
        <v>0</v>
      </c>
      <c r="R461" s="12"/>
      <c r="S461" s="42"/>
      <c r="T461" s="15"/>
      <c r="U461" s="44"/>
      <c r="V461" s="15"/>
      <c r="W461" s="44"/>
      <c r="X461" s="15">
        <f t="shared" si="52"/>
        <v>0</v>
      </c>
      <c r="Y461" s="15"/>
      <c r="Z461" s="44"/>
      <c r="AA461" s="15"/>
      <c r="AB461" s="44"/>
      <c r="AC461" s="15"/>
      <c r="AD461" s="44"/>
      <c r="AE461" s="15"/>
      <c r="AF461" s="44"/>
      <c r="AG461" s="15">
        <f t="shared" si="53"/>
        <v>0</v>
      </c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/>
      <c r="BA461" s="42"/>
      <c r="BB461" s="15">
        <f t="shared" si="49"/>
        <v>0</v>
      </c>
      <c r="BC461" s="15"/>
      <c r="BD461" s="44"/>
      <c r="BE461" s="15"/>
      <c r="BF461" s="44"/>
      <c r="BG461" s="15">
        <f t="shared" si="50"/>
        <v>0</v>
      </c>
    </row>
    <row r="462" spans="1:59" s="8" customFormat="1" ht="22.5" customHeight="1">
      <c r="A462" s="9"/>
      <c r="B462" s="16" t="s">
        <v>755</v>
      </c>
      <c r="C462" s="89" t="s">
        <v>52</v>
      </c>
      <c r="D462" s="104" t="s">
        <v>763</v>
      </c>
      <c r="E462" s="104" t="s">
        <v>765</v>
      </c>
      <c r="F462" s="104" t="s">
        <v>1910</v>
      </c>
      <c r="G462" s="104" t="s">
        <v>1911</v>
      </c>
      <c r="H462" s="12"/>
      <c r="I462" s="9"/>
      <c r="J462" s="9" t="s">
        <v>757</v>
      </c>
      <c r="K462" s="14"/>
      <c r="L462" s="14"/>
      <c r="M462" s="12"/>
      <c r="N462" s="9"/>
      <c r="O462" s="9"/>
      <c r="P462" s="9"/>
      <c r="Q462" s="38">
        <f t="shared" si="51"/>
        <v>0</v>
      </c>
      <c r="R462" s="12"/>
      <c r="S462" s="42"/>
      <c r="T462" s="15"/>
      <c r="U462" s="44"/>
      <c r="V462" s="15"/>
      <c r="W462" s="44"/>
      <c r="X462" s="15">
        <f t="shared" si="52"/>
        <v>0</v>
      </c>
      <c r="Y462" s="15"/>
      <c r="Z462" s="44"/>
      <c r="AA462" s="15"/>
      <c r="AB462" s="44"/>
      <c r="AC462" s="15"/>
      <c r="AD462" s="44"/>
      <c r="AE462" s="15"/>
      <c r="AF462" s="44"/>
      <c r="AG462" s="15">
        <f t="shared" si="53"/>
        <v>0</v>
      </c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/>
      <c r="BA462" s="42"/>
      <c r="BB462" s="15">
        <f t="shared" si="49"/>
        <v>0</v>
      </c>
      <c r="BC462" s="15"/>
      <c r="BD462" s="44"/>
      <c r="BE462" s="15"/>
      <c r="BF462" s="44"/>
      <c r="BG462" s="15">
        <f t="shared" si="50"/>
        <v>0</v>
      </c>
    </row>
    <row r="463" spans="1:59" s="8" customFormat="1" ht="22.5" customHeight="1">
      <c r="A463" s="9"/>
      <c r="B463" s="16" t="s">
        <v>769</v>
      </c>
      <c r="C463" s="89" t="s">
        <v>494</v>
      </c>
      <c r="D463" s="104" t="s">
        <v>770</v>
      </c>
      <c r="E463" s="104"/>
      <c r="F463" s="104" t="s">
        <v>1912</v>
      </c>
      <c r="G463" s="104" t="s">
        <v>1913</v>
      </c>
      <c r="H463" s="12"/>
      <c r="I463" s="9"/>
      <c r="J463" s="9" t="s">
        <v>771</v>
      </c>
      <c r="K463" s="14"/>
      <c r="L463" s="14"/>
      <c r="M463" s="12"/>
      <c r="N463" s="9"/>
      <c r="O463" s="9"/>
      <c r="P463" s="9"/>
      <c r="Q463" s="38">
        <f t="shared" si="51"/>
        <v>0</v>
      </c>
      <c r="R463" s="12"/>
      <c r="S463" s="42"/>
      <c r="T463" s="15"/>
      <c r="U463" s="44"/>
      <c r="V463" s="15"/>
      <c r="W463" s="44"/>
      <c r="X463" s="15">
        <f t="shared" si="52"/>
        <v>0</v>
      </c>
      <c r="Y463" s="15"/>
      <c r="Z463" s="44"/>
      <c r="AA463" s="15"/>
      <c r="AB463" s="44"/>
      <c r="AC463" s="15"/>
      <c r="AD463" s="44"/>
      <c r="AE463" s="15"/>
      <c r="AF463" s="44"/>
      <c r="AG463" s="15">
        <f t="shared" si="53"/>
        <v>0</v>
      </c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/>
      <c r="BA463" s="42"/>
      <c r="BB463" s="15">
        <f t="shared" si="49"/>
        <v>0</v>
      </c>
      <c r="BC463" s="15"/>
      <c r="BD463" s="44"/>
      <c r="BE463" s="15"/>
      <c r="BF463" s="44"/>
      <c r="BG463" s="15">
        <f t="shared" si="50"/>
        <v>0</v>
      </c>
    </row>
    <row r="464" spans="1:59" s="8" customFormat="1" ht="22.5" customHeight="1">
      <c r="A464" s="9"/>
      <c r="B464" s="16" t="s">
        <v>772</v>
      </c>
      <c r="C464" s="89" t="s">
        <v>151</v>
      </c>
      <c r="D464" s="104" t="s">
        <v>772</v>
      </c>
      <c r="E464" s="104"/>
      <c r="F464" s="104" t="s">
        <v>1914</v>
      </c>
      <c r="G464" s="104" t="s">
        <v>1915</v>
      </c>
      <c r="H464" s="12"/>
      <c r="I464" s="9"/>
      <c r="J464" s="9" t="s">
        <v>773</v>
      </c>
      <c r="K464" s="14"/>
      <c r="L464" s="14"/>
      <c r="M464" s="12"/>
      <c r="N464" s="9"/>
      <c r="O464" s="9"/>
      <c r="P464" s="9"/>
      <c r="Q464" s="38">
        <f t="shared" si="51"/>
        <v>0</v>
      </c>
      <c r="R464" s="12"/>
      <c r="S464" s="42"/>
      <c r="T464" s="15"/>
      <c r="U464" s="44"/>
      <c r="V464" s="15"/>
      <c r="W464" s="44"/>
      <c r="X464" s="15">
        <f t="shared" si="52"/>
        <v>0</v>
      </c>
      <c r="Y464" s="15"/>
      <c r="Z464" s="44"/>
      <c r="AA464" s="15"/>
      <c r="AB464" s="44"/>
      <c r="AC464" s="15"/>
      <c r="AD464" s="44"/>
      <c r="AE464" s="15"/>
      <c r="AF464" s="44"/>
      <c r="AG464" s="15">
        <f t="shared" si="53"/>
        <v>0</v>
      </c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/>
      <c r="BA464" s="42"/>
      <c r="BB464" s="15">
        <f t="shared" si="49"/>
        <v>0</v>
      </c>
      <c r="BC464" s="15"/>
      <c r="BD464" s="44"/>
      <c r="BE464" s="15"/>
      <c r="BF464" s="44"/>
      <c r="BG464" s="15">
        <f t="shared" si="50"/>
        <v>0</v>
      </c>
    </row>
    <row r="465" spans="1:59" s="8" customFormat="1" ht="22.5" customHeight="1">
      <c r="A465" s="9"/>
      <c r="B465" s="16" t="s">
        <v>774</v>
      </c>
      <c r="C465" s="89" t="s">
        <v>151</v>
      </c>
      <c r="D465" s="104" t="s">
        <v>775</v>
      </c>
      <c r="E465" s="104"/>
      <c r="F465" s="104" t="s">
        <v>1916</v>
      </c>
      <c r="G465" s="104" t="s">
        <v>1917</v>
      </c>
      <c r="H465" s="12"/>
      <c r="I465" s="9"/>
      <c r="J465" s="9"/>
      <c r="K465" s="14"/>
      <c r="L465" s="14"/>
      <c r="M465" s="12"/>
      <c r="N465" s="9"/>
      <c r="O465" s="9"/>
      <c r="P465" s="9"/>
      <c r="Q465" s="38">
        <f t="shared" si="51"/>
        <v>0</v>
      </c>
      <c r="R465" s="12"/>
      <c r="S465" s="42"/>
      <c r="T465" s="15"/>
      <c r="U465" s="44"/>
      <c r="V465" s="15"/>
      <c r="W465" s="44"/>
      <c r="X465" s="15">
        <f t="shared" si="52"/>
        <v>0</v>
      </c>
      <c r="Y465" s="15"/>
      <c r="Z465" s="44"/>
      <c r="AA465" s="15"/>
      <c r="AB465" s="44"/>
      <c r="AC465" s="15"/>
      <c r="AD465" s="44"/>
      <c r="AE465" s="15"/>
      <c r="AF465" s="44"/>
      <c r="AG465" s="15">
        <f t="shared" si="53"/>
        <v>0</v>
      </c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/>
      <c r="BA465" s="42"/>
      <c r="BB465" s="15">
        <f t="shared" si="49"/>
        <v>0</v>
      </c>
      <c r="BC465" s="15"/>
      <c r="BD465" s="44"/>
      <c r="BE465" s="15"/>
      <c r="BF465" s="44"/>
      <c r="BG465" s="15">
        <f t="shared" si="50"/>
        <v>0</v>
      </c>
    </row>
    <row r="466" spans="1:59" s="8" customFormat="1" ht="22.5" customHeight="1">
      <c r="A466" s="9"/>
      <c r="B466" s="16" t="s">
        <v>776</v>
      </c>
      <c r="C466" s="89" t="s">
        <v>151</v>
      </c>
      <c r="D466" s="104" t="s">
        <v>777</v>
      </c>
      <c r="E466" s="104"/>
      <c r="F466" s="104" t="s">
        <v>1918</v>
      </c>
      <c r="G466" s="104" t="s">
        <v>1919</v>
      </c>
      <c r="H466" s="12"/>
      <c r="I466" s="9"/>
      <c r="J466" s="9" t="s">
        <v>314</v>
      </c>
      <c r="K466" s="14"/>
      <c r="L466" s="14"/>
      <c r="M466" s="12"/>
      <c r="N466" s="9"/>
      <c r="O466" s="9"/>
      <c r="P466" s="9"/>
      <c r="Q466" s="38">
        <f t="shared" si="51"/>
        <v>0</v>
      </c>
      <c r="R466" s="12"/>
      <c r="S466" s="42"/>
      <c r="T466" s="15"/>
      <c r="U466" s="44"/>
      <c r="V466" s="15"/>
      <c r="W466" s="44"/>
      <c r="X466" s="15">
        <f t="shared" si="52"/>
        <v>0</v>
      </c>
      <c r="Y466" s="15"/>
      <c r="Z466" s="44"/>
      <c r="AA466" s="15"/>
      <c r="AB466" s="44"/>
      <c r="AC466" s="15"/>
      <c r="AD466" s="44"/>
      <c r="AE466" s="15"/>
      <c r="AF466" s="44"/>
      <c r="AG466" s="15">
        <f t="shared" si="53"/>
        <v>0</v>
      </c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/>
      <c r="BA466" s="42"/>
      <c r="BB466" s="15">
        <f t="shared" si="49"/>
        <v>0</v>
      </c>
      <c r="BC466" s="15"/>
      <c r="BD466" s="44"/>
      <c r="BE466" s="15"/>
      <c r="BF466" s="44"/>
      <c r="BG466" s="15">
        <f t="shared" si="50"/>
        <v>0</v>
      </c>
    </row>
    <row r="467" spans="1:59" s="8" customFormat="1" ht="22.5" customHeight="1">
      <c r="A467" s="9"/>
      <c r="B467" s="16" t="s">
        <v>101</v>
      </c>
      <c r="C467" s="89" t="s">
        <v>151</v>
      </c>
      <c r="D467" s="104" t="s">
        <v>778</v>
      </c>
      <c r="E467" s="104"/>
      <c r="F467" s="104" t="s">
        <v>1920</v>
      </c>
      <c r="G467" s="104" t="s">
        <v>1921</v>
      </c>
      <c r="H467" s="12"/>
      <c r="I467" s="9"/>
      <c r="J467" s="9" t="s">
        <v>779</v>
      </c>
      <c r="K467" s="14"/>
      <c r="L467" s="14"/>
      <c r="M467" s="12"/>
      <c r="N467" s="9"/>
      <c r="O467" s="9"/>
      <c r="P467" s="9"/>
      <c r="Q467" s="38">
        <f t="shared" si="51"/>
        <v>0</v>
      </c>
      <c r="R467" s="12"/>
      <c r="S467" s="42"/>
      <c r="T467" s="15"/>
      <c r="U467" s="44"/>
      <c r="V467" s="15"/>
      <c r="W467" s="44"/>
      <c r="X467" s="15">
        <f t="shared" si="52"/>
        <v>0</v>
      </c>
      <c r="Y467" s="15"/>
      <c r="Z467" s="44"/>
      <c r="AA467" s="15"/>
      <c r="AB467" s="44"/>
      <c r="AC467" s="15"/>
      <c r="AD467" s="44"/>
      <c r="AE467" s="15"/>
      <c r="AF467" s="44"/>
      <c r="AG467" s="15">
        <f t="shared" si="53"/>
        <v>0</v>
      </c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/>
      <c r="BA467" s="42"/>
      <c r="BB467" s="15">
        <f t="shared" si="49"/>
        <v>0</v>
      </c>
      <c r="BC467" s="15"/>
      <c r="BD467" s="44"/>
      <c r="BE467" s="15"/>
      <c r="BF467" s="44"/>
      <c r="BG467" s="15">
        <f t="shared" si="50"/>
        <v>0</v>
      </c>
    </row>
    <row r="468" spans="1:59" s="8" customFormat="1" ht="22.5" customHeight="1">
      <c r="A468" s="9"/>
      <c r="B468" s="16" t="s">
        <v>101</v>
      </c>
      <c r="C468" s="89" t="s">
        <v>151</v>
      </c>
      <c r="D468" s="104" t="s">
        <v>780</v>
      </c>
      <c r="E468" s="104"/>
      <c r="F468" s="104" t="s">
        <v>1922</v>
      </c>
      <c r="G468" s="104" t="s">
        <v>1923</v>
      </c>
      <c r="H468" s="12"/>
      <c r="I468" s="9"/>
      <c r="J468" s="9" t="s">
        <v>779</v>
      </c>
      <c r="K468" s="14"/>
      <c r="L468" s="14"/>
      <c r="M468" s="12"/>
      <c r="N468" s="9"/>
      <c r="O468" s="9"/>
      <c r="P468" s="9"/>
      <c r="Q468" s="38">
        <f t="shared" si="51"/>
        <v>0</v>
      </c>
      <c r="R468" s="12"/>
      <c r="S468" s="42"/>
      <c r="T468" s="15"/>
      <c r="U468" s="44"/>
      <c r="V468" s="15"/>
      <c r="W468" s="44"/>
      <c r="X468" s="15">
        <f t="shared" si="52"/>
        <v>0</v>
      </c>
      <c r="Y468" s="15"/>
      <c r="Z468" s="44"/>
      <c r="AA468" s="15"/>
      <c r="AB468" s="44"/>
      <c r="AC468" s="15"/>
      <c r="AD468" s="44"/>
      <c r="AE468" s="15"/>
      <c r="AF468" s="44"/>
      <c r="AG468" s="15">
        <f t="shared" si="53"/>
        <v>0</v>
      </c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/>
      <c r="BA468" s="42"/>
      <c r="BB468" s="15">
        <f t="shared" si="49"/>
        <v>0</v>
      </c>
      <c r="BC468" s="15"/>
      <c r="BD468" s="44"/>
      <c r="BE468" s="15"/>
      <c r="BF468" s="44"/>
      <c r="BG468" s="15">
        <f t="shared" si="50"/>
        <v>0</v>
      </c>
    </row>
    <row r="469" spans="1:59" s="8" customFormat="1" ht="22.5" customHeight="1">
      <c r="A469" s="9"/>
      <c r="B469" s="16" t="s">
        <v>101</v>
      </c>
      <c r="C469" s="89" t="s">
        <v>151</v>
      </c>
      <c r="D469" s="104" t="s">
        <v>781</v>
      </c>
      <c r="E469" s="104"/>
      <c r="F469" s="104" t="s">
        <v>1924</v>
      </c>
      <c r="G469" s="104" t="s">
        <v>1925</v>
      </c>
      <c r="H469" s="12"/>
      <c r="I469" s="9"/>
      <c r="J469" s="9" t="s">
        <v>779</v>
      </c>
      <c r="K469" s="14"/>
      <c r="L469" s="14"/>
      <c r="M469" s="12"/>
      <c r="N469" s="9"/>
      <c r="O469" s="9"/>
      <c r="P469" s="9"/>
      <c r="Q469" s="38">
        <f t="shared" si="51"/>
        <v>0</v>
      </c>
      <c r="R469" s="12"/>
      <c r="S469" s="42"/>
      <c r="T469" s="15"/>
      <c r="U469" s="44"/>
      <c r="V469" s="15"/>
      <c r="W469" s="44"/>
      <c r="X469" s="15">
        <f t="shared" si="52"/>
        <v>0</v>
      </c>
      <c r="Y469" s="15"/>
      <c r="Z469" s="44"/>
      <c r="AA469" s="15"/>
      <c r="AB469" s="44"/>
      <c r="AC469" s="15"/>
      <c r="AD469" s="44"/>
      <c r="AE469" s="15"/>
      <c r="AF469" s="44"/>
      <c r="AG469" s="15">
        <f t="shared" si="53"/>
        <v>0</v>
      </c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/>
      <c r="BA469" s="42"/>
      <c r="BB469" s="15">
        <f t="shared" si="49"/>
        <v>0</v>
      </c>
      <c r="BC469" s="15"/>
      <c r="BD469" s="44"/>
      <c r="BE469" s="15"/>
      <c r="BF469" s="44"/>
      <c r="BG469" s="15">
        <f t="shared" si="50"/>
        <v>0</v>
      </c>
    </row>
    <row r="470" spans="1:59" s="8" customFormat="1" ht="22.5" customHeight="1">
      <c r="A470" s="9"/>
      <c r="B470" s="16" t="s">
        <v>101</v>
      </c>
      <c r="C470" s="89" t="s">
        <v>151</v>
      </c>
      <c r="D470" s="104" t="s">
        <v>782</v>
      </c>
      <c r="E470" s="104"/>
      <c r="F470" s="104" t="s">
        <v>1926</v>
      </c>
      <c r="G470" s="104" t="s">
        <v>1927</v>
      </c>
      <c r="H470" s="12"/>
      <c r="I470" s="9"/>
      <c r="J470" s="9" t="s">
        <v>783</v>
      </c>
      <c r="K470" s="14"/>
      <c r="L470" s="14"/>
      <c r="M470" s="12"/>
      <c r="N470" s="9"/>
      <c r="O470" s="9"/>
      <c r="P470" s="9"/>
      <c r="Q470" s="38">
        <f t="shared" si="51"/>
        <v>0</v>
      </c>
      <c r="R470" s="12"/>
      <c r="S470" s="42"/>
      <c r="T470" s="15"/>
      <c r="U470" s="44"/>
      <c r="V470" s="15"/>
      <c r="W470" s="44"/>
      <c r="X470" s="15">
        <f t="shared" si="52"/>
        <v>0</v>
      </c>
      <c r="Y470" s="15"/>
      <c r="Z470" s="44"/>
      <c r="AA470" s="15"/>
      <c r="AB470" s="44"/>
      <c r="AC470" s="15"/>
      <c r="AD470" s="44"/>
      <c r="AE470" s="15"/>
      <c r="AF470" s="44"/>
      <c r="AG470" s="15">
        <f t="shared" si="53"/>
        <v>0</v>
      </c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/>
      <c r="BA470" s="42"/>
      <c r="BB470" s="15">
        <f t="shared" si="49"/>
        <v>0</v>
      </c>
      <c r="BC470" s="15"/>
      <c r="BD470" s="44"/>
      <c r="BE470" s="15"/>
      <c r="BF470" s="44"/>
      <c r="BG470" s="15">
        <f t="shared" si="50"/>
        <v>0</v>
      </c>
    </row>
    <row r="471" spans="1:59" s="8" customFormat="1" ht="22.5" customHeight="1">
      <c r="A471" s="9"/>
      <c r="B471" s="16" t="s">
        <v>101</v>
      </c>
      <c r="C471" s="89" t="s">
        <v>151</v>
      </c>
      <c r="D471" s="104" t="s">
        <v>784</v>
      </c>
      <c r="E471" s="104"/>
      <c r="F471" s="104" t="s">
        <v>1928</v>
      </c>
      <c r="G471" s="104" t="s">
        <v>1929</v>
      </c>
      <c r="H471" s="12"/>
      <c r="I471" s="9"/>
      <c r="J471" s="9" t="s">
        <v>783</v>
      </c>
      <c r="K471" s="14"/>
      <c r="L471" s="14"/>
      <c r="M471" s="12"/>
      <c r="N471" s="9"/>
      <c r="O471" s="9"/>
      <c r="P471" s="9"/>
      <c r="Q471" s="38">
        <f t="shared" si="51"/>
        <v>0</v>
      </c>
      <c r="R471" s="12"/>
      <c r="S471" s="42"/>
      <c r="T471" s="15"/>
      <c r="U471" s="44"/>
      <c r="V471" s="15"/>
      <c r="W471" s="44"/>
      <c r="X471" s="15">
        <f t="shared" si="52"/>
        <v>0</v>
      </c>
      <c r="Y471" s="15"/>
      <c r="Z471" s="44"/>
      <c r="AA471" s="15"/>
      <c r="AB471" s="44"/>
      <c r="AC471" s="15"/>
      <c r="AD471" s="44"/>
      <c r="AE471" s="15"/>
      <c r="AF471" s="44"/>
      <c r="AG471" s="15">
        <f t="shared" si="53"/>
        <v>0</v>
      </c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/>
      <c r="BA471" s="42"/>
      <c r="BB471" s="15">
        <f t="shared" si="49"/>
        <v>0</v>
      </c>
      <c r="BC471" s="15"/>
      <c r="BD471" s="44"/>
      <c r="BE471" s="15"/>
      <c r="BF471" s="44"/>
      <c r="BG471" s="15">
        <f t="shared" si="50"/>
        <v>0</v>
      </c>
    </row>
    <row r="472" spans="1:59" s="8" customFormat="1" ht="22.5" customHeight="1">
      <c r="A472" s="9"/>
      <c r="B472" s="16" t="s">
        <v>101</v>
      </c>
      <c r="C472" s="89" t="s">
        <v>151</v>
      </c>
      <c r="D472" s="104" t="s">
        <v>785</v>
      </c>
      <c r="E472" s="104"/>
      <c r="F472" s="104" t="s">
        <v>1930</v>
      </c>
      <c r="G472" s="104" t="s">
        <v>1931</v>
      </c>
      <c r="H472" s="12"/>
      <c r="I472" s="9"/>
      <c r="J472" s="9" t="s">
        <v>783</v>
      </c>
      <c r="K472" s="14"/>
      <c r="L472" s="14"/>
      <c r="M472" s="12"/>
      <c r="N472" s="9"/>
      <c r="O472" s="9"/>
      <c r="P472" s="9"/>
      <c r="Q472" s="38">
        <f t="shared" si="51"/>
        <v>0</v>
      </c>
      <c r="R472" s="12"/>
      <c r="S472" s="42"/>
      <c r="T472" s="15"/>
      <c r="U472" s="44"/>
      <c r="V472" s="15"/>
      <c r="W472" s="44"/>
      <c r="X472" s="15">
        <f t="shared" si="52"/>
        <v>0</v>
      </c>
      <c r="Y472" s="15"/>
      <c r="Z472" s="44"/>
      <c r="AA472" s="15"/>
      <c r="AB472" s="44"/>
      <c r="AC472" s="15"/>
      <c r="AD472" s="44"/>
      <c r="AE472" s="15"/>
      <c r="AF472" s="44"/>
      <c r="AG472" s="15">
        <f t="shared" si="53"/>
        <v>0</v>
      </c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/>
      <c r="BA472" s="42"/>
      <c r="BB472" s="15">
        <f t="shared" si="49"/>
        <v>0</v>
      </c>
      <c r="BC472" s="15"/>
      <c r="BD472" s="44"/>
      <c r="BE472" s="15"/>
      <c r="BF472" s="44"/>
      <c r="BG472" s="15">
        <f t="shared" si="50"/>
        <v>0</v>
      </c>
    </row>
    <row r="473" spans="1:59" s="8" customFormat="1" ht="22.5" customHeight="1">
      <c r="A473" s="9"/>
      <c r="B473" s="16" t="s">
        <v>101</v>
      </c>
      <c r="C473" s="89" t="s">
        <v>151</v>
      </c>
      <c r="D473" s="104" t="s">
        <v>786</v>
      </c>
      <c r="E473" s="104"/>
      <c r="F473" s="104" t="s">
        <v>786</v>
      </c>
      <c r="G473" s="104" t="s">
        <v>1932</v>
      </c>
      <c r="H473" s="12"/>
      <c r="I473" s="9"/>
      <c r="J473" s="9" t="s">
        <v>783</v>
      </c>
      <c r="K473" s="14"/>
      <c r="L473" s="14"/>
      <c r="M473" s="12"/>
      <c r="N473" s="9"/>
      <c r="O473" s="9"/>
      <c r="P473" s="9"/>
      <c r="Q473" s="38">
        <f t="shared" si="51"/>
        <v>0</v>
      </c>
      <c r="R473" s="12"/>
      <c r="S473" s="42"/>
      <c r="T473" s="15"/>
      <c r="U473" s="44"/>
      <c r="V473" s="15"/>
      <c r="W473" s="44"/>
      <c r="X473" s="15">
        <f t="shared" si="52"/>
        <v>0</v>
      </c>
      <c r="Y473" s="15"/>
      <c r="Z473" s="44"/>
      <c r="AA473" s="15"/>
      <c r="AB473" s="44"/>
      <c r="AC473" s="15"/>
      <c r="AD473" s="44"/>
      <c r="AE473" s="15"/>
      <c r="AF473" s="44"/>
      <c r="AG473" s="15">
        <f t="shared" si="53"/>
        <v>0</v>
      </c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/>
      <c r="BA473" s="42"/>
      <c r="BB473" s="15">
        <f t="shared" si="49"/>
        <v>0</v>
      </c>
      <c r="BC473" s="15"/>
      <c r="BD473" s="44"/>
      <c r="BE473" s="15"/>
      <c r="BF473" s="44"/>
      <c r="BG473" s="15">
        <f t="shared" si="50"/>
        <v>0</v>
      </c>
    </row>
    <row r="474" spans="1:59" s="8" customFormat="1" ht="22.5" customHeight="1">
      <c r="A474" s="9"/>
      <c r="B474" s="16" t="s">
        <v>101</v>
      </c>
      <c r="C474" s="89" t="s">
        <v>151</v>
      </c>
      <c r="D474" s="104" t="s">
        <v>787</v>
      </c>
      <c r="E474" s="104"/>
      <c r="F474" s="104" t="s">
        <v>787</v>
      </c>
      <c r="G474" s="104" t="s">
        <v>1933</v>
      </c>
      <c r="H474" s="12"/>
      <c r="I474" s="9"/>
      <c r="J474" s="9" t="s">
        <v>783</v>
      </c>
      <c r="K474" s="14"/>
      <c r="L474" s="14"/>
      <c r="M474" s="12"/>
      <c r="N474" s="9"/>
      <c r="O474" s="9"/>
      <c r="P474" s="9"/>
      <c r="Q474" s="38">
        <f t="shared" si="51"/>
        <v>0</v>
      </c>
      <c r="R474" s="12"/>
      <c r="S474" s="42"/>
      <c r="T474" s="15"/>
      <c r="U474" s="44"/>
      <c r="V474" s="15"/>
      <c r="W474" s="44"/>
      <c r="X474" s="15">
        <f t="shared" si="52"/>
        <v>0</v>
      </c>
      <c r="Y474" s="15"/>
      <c r="Z474" s="44"/>
      <c r="AA474" s="15"/>
      <c r="AB474" s="44"/>
      <c r="AC474" s="15"/>
      <c r="AD474" s="44"/>
      <c r="AE474" s="15"/>
      <c r="AF474" s="44"/>
      <c r="AG474" s="15">
        <f t="shared" si="53"/>
        <v>0</v>
      </c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/>
      <c r="BA474" s="42"/>
      <c r="BB474" s="15">
        <f t="shared" si="49"/>
        <v>0</v>
      </c>
      <c r="BC474" s="15"/>
      <c r="BD474" s="44"/>
      <c r="BE474" s="15"/>
      <c r="BF474" s="44"/>
      <c r="BG474" s="15">
        <f t="shared" si="50"/>
        <v>0</v>
      </c>
    </row>
    <row r="475" spans="1:59" s="8" customFormat="1" ht="22.5" customHeight="1">
      <c r="A475" s="9"/>
      <c r="B475" s="16" t="s">
        <v>101</v>
      </c>
      <c r="C475" s="89" t="s">
        <v>151</v>
      </c>
      <c r="D475" s="104" t="s">
        <v>788</v>
      </c>
      <c r="E475" s="104"/>
      <c r="F475" s="104" t="s">
        <v>788</v>
      </c>
      <c r="G475" s="104" t="s">
        <v>1934</v>
      </c>
      <c r="H475" s="12"/>
      <c r="I475" s="9"/>
      <c r="J475" s="9" t="s">
        <v>783</v>
      </c>
      <c r="K475" s="14"/>
      <c r="L475" s="14"/>
      <c r="M475" s="12"/>
      <c r="N475" s="9"/>
      <c r="O475" s="9"/>
      <c r="P475" s="9"/>
      <c r="Q475" s="38">
        <f t="shared" si="51"/>
        <v>0</v>
      </c>
      <c r="R475" s="12"/>
      <c r="S475" s="42"/>
      <c r="T475" s="15"/>
      <c r="U475" s="44"/>
      <c r="V475" s="15"/>
      <c r="W475" s="44"/>
      <c r="X475" s="15">
        <f t="shared" si="52"/>
        <v>0</v>
      </c>
      <c r="Y475" s="15"/>
      <c r="Z475" s="44"/>
      <c r="AA475" s="15"/>
      <c r="AB475" s="44"/>
      <c r="AC475" s="15"/>
      <c r="AD475" s="44"/>
      <c r="AE475" s="15"/>
      <c r="AF475" s="44"/>
      <c r="AG475" s="15">
        <f t="shared" si="53"/>
        <v>0</v>
      </c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/>
      <c r="BA475" s="42"/>
      <c r="BB475" s="15">
        <f t="shared" si="49"/>
        <v>0</v>
      </c>
      <c r="BC475" s="15"/>
      <c r="BD475" s="44"/>
      <c r="BE475" s="15"/>
      <c r="BF475" s="44"/>
      <c r="BG475" s="15">
        <f t="shared" si="50"/>
        <v>0</v>
      </c>
    </row>
    <row r="476" spans="1:59" s="8" customFormat="1" ht="22.5" customHeight="1">
      <c r="A476" s="9"/>
      <c r="B476" s="16" t="s">
        <v>101</v>
      </c>
      <c r="C476" s="89" t="s">
        <v>151</v>
      </c>
      <c r="D476" s="104" t="s">
        <v>789</v>
      </c>
      <c r="E476" s="104" t="s">
        <v>790</v>
      </c>
      <c r="F476" s="104" t="s">
        <v>1935</v>
      </c>
      <c r="G476" s="104" t="s">
        <v>1936</v>
      </c>
      <c r="H476" s="12"/>
      <c r="I476" s="9"/>
      <c r="J476" s="9" t="s">
        <v>791</v>
      </c>
      <c r="K476" s="14"/>
      <c r="L476" s="14"/>
      <c r="M476" s="12"/>
      <c r="N476" s="9"/>
      <c r="O476" s="9"/>
      <c r="P476" s="9"/>
      <c r="Q476" s="38">
        <f t="shared" si="51"/>
        <v>0</v>
      </c>
      <c r="R476" s="12"/>
      <c r="S476" s="42"/>
      <c r="T476" s="15"/>
      <c r="U476" s="44"/>
      <c r="V476" s="15"/>
      <c r="W476" s="44"/>
      <c r="X476" s="15">
        <f t="shared" si="52"/>
        <v>0</v>
      </c>
      <c r="Y476" s="15"/>
      <c r="Z476" s="44"/>
      <c r="AA476" s="15"/>
      <c r="AB476" s="44"/>
      <c r="AC476" s="15"/>
      <c r="AD476" s="44"/>
      <c r="AE476" s="15"/>
      <c r="AF476" s="44"/>
      <c r="AG476" s="15">
        <f t="shared" si="53"/>
        <v>0</v>
      </c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/>
      <c r="BA476" s="42"/>
      <c r="BB476" s="15">
        <f t="shared" si="49"/>
        <v>0</v>
      </c>
      <c r="BC476" s="15"/>
      <c r="BD476" s="44"/>
      <c r="BE476" s="15"/>
      <c r="BF476" s="44"/>
      <c r="BG476" s="15">
        <f t="shared" si="50"/>
        <v>0</v>
      </c>
    </row>
    <row r="477" spans="1:59" s="8" customFormat="1" ht="22.5" customHeight="1">
      <c r="A477" s="9"/>
      <c r="B477" s="16" t="s">
        <v>101</v>
      </c>
      <c r="C477" s="89" t="s">
        <v>151</v>
      </c>
      <c r="D477" s="104" t="s">
        <v>792</v>
      </c>
      <c r="E477" s="104" t="s">
        <v>793</v>
      </c>
      <c r="F477" s="104" t="s">
        <v>1937</v>
      </c>
      <c r="G477" s="104" t="s">
        <v>1938</v>
      </c>
      <c r="H477" s="12"/>
      <c r="I477" s="9"/>
      <c r="J477" s="9" t="s">
        <v>791</v>
      </c>
      <c r="K477" s="14"/>
      <c r="L477" s="14"/>
      <c r="M477" s="12"/>
      <c r="N477" s="9"/>
      <c r="O477" s="9"/>
      <c r="P477" s="9"/>
      <c r="Q477" s="38">
        <f t="shared" si="51"/>
        <v>0</v>
      </c>
      <c r="R477" s="12"/>
      <c r="S477" s="42"/>
      <c r="T477" s="15"/>
      <c r="U477" s="44"/>
      <c r="V477" s="15"/>
      <c r="W477" s="44"/>
      <c r="X477" s="15">
        <f t="shared" si="52"/>
        <v>0</v>
      </c>
      <c r="Y477" s="15"/>
      <c r="Z477" s="44"/>
      <c r="AA477" s="15"/>
      <c r="AB477" s="44"/>
      <c r="AC477" s="15"/>
      <c r="AD477" s="44"/>
      <c r="AE477" s="15"/>
      <c r="AF477" s="44"/>
      <c r="AG477" s="15">
        <f t="shared" si="53"/>
        <v>0</v>
      </c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/>
      <c r="BA477" s="42"/>
      <c r="BB477" s="15">
        <f t="shared" si="49"/>
        <v>0</v>
      </c>
      <c r="BC477" s="15"/>
      <c r="BD477" s="44"/>
      <c r="BE477" s="15"/>
      <c r="BF477" s="44"/>
      <c r="BG477" s="15">
        <f t="shared" si="50"/>
        <v>0</v>
      </c>
    </row>
    <row r="478" spans="1:59" s="8" customFormat="1" ht="22.5" customHeight="1">
      <c r="A478" s="9"/>
      <c r="B478" s="16" t="s">
        <v>330</v>
      </c>
      <c r="C478" s="89" t="s">
        <v>151</v>
      </c>
      <c r="D478" s="104" t="s">
        <v>794</v>
      </c>
      <c r="E478" s="104" t="s">
        <v>330</v>
      </c>
      <c r="F478" s="104" t="s">
        <v>794</v>
      </c>
      <c r="G478" s="104" t="s">
        <v>1939</v>
      </c>
      <c r="H478" s="12"/>
      <c r="I478" s="9"/>
      <c r="J478" s="9" t="s">
        <v>332</v>
      </c>
      <c r="K478" s="14"/>
      <c r="L478" s="14"/>
      <c r="M478" s="12"/>
      <c r="N478" s="9"/>
      <c r="O478" s="9"/>
      <c r="P478" s="9"/>
      <c r="Q478" s="38">
        <f t="shared" si="51"/>
        <v>0</v>
      </c>
      <c r="R478" s="12"/>
      <c r="S478" s="42"/>
      <c r="T478" s="15"/>
      <c r="U478" s="44"/>
      <c r="V478" s="15"/>
      <c r="W478" s="44"/>
      <c r="X478" s="15">
        <f t="shared" si="52"/>
        <v>0</v>
      </c>
      <c r="Y478" s="15"/>
      <c r="Z478" s="44"/>
      <c r="AA478" s="15"/>
      <c r="AB478" s="44"/>
      <c r="AC478" s="15"/>
      <c r="AD478" s="44"/>
      <c r="AE478" s="15"/>
      <c r="AF478" s="44"/>
      <c r="AG478" s="15">
        <f t="shared" si="53"/>
        <v>0</v>
      </c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/>
      <c r="BA478" s="42"/>
      <c r="BB478" s="15">
        <f t="shared" si="49"/>
        <v>0</v>
      </c>
      <c r="BC478" s="15"/>
      <c r="BD478" s="44"/>
      <c r="BE478" s="15"/>
      <c r="BF478" s="44"/>
      <c r="BG478" s="15">
        <f t="shared" si="50"/>
        <v>0</v>
      </c>
    </row>
    <row r="479" spans="1:59" s="8" customFormat="1" ht="22.5" customHeight="1">
      <c r="A479" s="9"/>
      <c r="B479" s="16" t="s">
        <v>801</v>
      </c>
      <c r="C479" s="89"/>
      <c r="D479" s="104" t="s">
        <v>803</v>
      </c>
      <c r="E479" s="104"/>
      <c r="F479" s="104" t="s">
        <v>1940</v>
      </c>
      <c r="G479" s="104" t="s">
        <v>1941</v>
      </c>
      <c r="H479" s="12"/>
      <c r="I479" s="9"/>
      <c r="J479" s="9" t="s">
        <v>467</v>
      </c>
      <c r="K479" s="14"/>
      <c r="L479" s="14"/>
      <c r="M479" s="12"/>
      <c r="N479" s="9"/>
      <c r="O479" s="9"/>
      <c r="P479" s="9"/>
      <c r="Q479" s="38">
        <f t="shared" si="51"/>
        <v>0</v>
      </c>
      <c r="R479" s="12"/>
      <c r="S479" s="42"/>
      <c r="T479" s="15"/>
      <c r="U479" s="44"/>
      <c r="V479" s="15"/>
      <c r="W479" s="44"/>
      <c r="X479" s="15">
        <f t="shared" si="52"/>
        <v>0</v>
      </c>
      <c r="Y479" s="15"/>
      <c r="Z479" s="44"/>
      <c r="AA479" s="15"/>
      <c r="AB479" s="44"/>
      <c r="AC479" s="15"/>
      <c r="AD479" s="44"/>
      <c r="AE479" s="15"/>
      <c r="AF479" s="44"/>
      <c r="AG479" s="15">
        <f t="shared" si="53"/>
        <v>0</v>
      </c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/>
      <c r="BA479" s="42"/>
      <c r="BB479" s="15">
        <f t="shared" si="49"/>
        <v>0</v>
      </c>
      <c r="BC479" s="15"/>
      <c r="BD479" s="44"/>
      <c r="BE479" s="15"/>
      <c r="BF479" s="44"/>
      <c r="BG479" s="15">
        <f t="shared" si="50"/>
        <v>0</v>
      </c>
    </row>
    <row r="480" spans="1:59" s="8" customFormat="1" ht="22.5" customHeight="1">
      <c r="A480" s="9"/>
      <c r="B480" s="16" t="s">
        <v>811</v>
      </c>
      <c r="C480" s="89" t="s">
        <v>140</v>
      </c>
      <c r="D480" s="104" t="s">
        <v>1942</v>
      </c>
      <c r="E480" s="104" t="s">
        <v>813</v>
      </c>
      <c r="F480" s="104" t="s">
        <v>1943</v>
      </c>
      <c r="G480" s="104" t="s">
        <v>1944</v>
      </c>
      <c r="H480" s="12"/>
      <c r="I480" s="9"/>
      <c r="J480" s="9" t="s">
        <v>566</v>
      </c>
      <c r="K480" s="14"/>
      <c r="L480" s="14"/>
      <c r="M480" s="12">
        <v>0</v>
      </c>
      <c r="N480" s="9"/>
      <c r="O480" s="9"/>
      <c r="P480" s="9"/>
      <c r="Q480" s="38">
        <f t="shared" si="51"/>
        <v>0</v>
      </c>
      <c r="R480" s="12"/>
      <c r="S480" s="42"/>
      <c r="T480" s="15"/>
      <c r="U480" s="44"/>
      <c r="V480" s="15"/>
      <c r="W480" s="44"/>
      <c r="X480" s="15">
        <f t="shared" si="52"/>
        <v>0</v>
      </c>
      <c r="Y480" s="15"/>
      <c r="Z480" s="44"/>
      <c r="AA480" s="15"/>
      <c r="AB480" s="44"/>
      <c r="AC480" s="15"/>
      <c r="AD480" s="44"/>
      <c r="AE480" s="15"/>
      <c r="AF480" s="44"/>
      <c r="AG480" s="15">
        <f t="shared" si="53"/>
        <v>0</v>
      </c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/>
      <c r="BA480" s="42"/>
      <c r="BB480" s="15">
        <f t="shared" si="49"/>
        <v>0</v>
      </c>
      <c r="BC480" s="15"/>
      <c r="BD480" s="44"/>
      <c r="BE480" s="15"/>
      <c r="BF480" s="44"/>
      <c r="BG480" s="15">
        <f t="shared" si="50"/>
        <v>0</v>
      </c>
    </row>
    <row r="481" spans="1:59" s="8" customFormat="1" ht="22.5" customHeight="1">
      <c r="A481" s="9"/>
      <c r="B481" s="16" t="s">
        <v>811</v>
      </c>
      <c r="C481" s="89" t="s">
        <v>132</v>
      </c>
      <c r="D481" s="104" t="s">
        <v>1942</v>
      </c>
      <c r="E481" s="104"/>
      <c r="F481" s="104" t="s">
        <v>1945</v>
      </c>
      <c r="G481" s="104" t="s">
        <v>1946</v>
      </c>
      <c r="H481" s="12"/>
      <c r="I481" s="9"/>
      <c r="J481" s="9" t="s">
        <v>566</v>
      </c>
      <c r="K481" s="14"/>
      <c r="L481" s="14"/>
      <c r="M481" s="12">
        <v>60</v>
      </c>
      <c r="N481" s="9"/>
      <c r="O481" s="9"/>
      <c r="P481" s="9"/>
      <c r="Q481" s="38">
        <f t="shared" si="51"/>
        <v>60</v>
      </c>
      <c r="R481" s="12"/>
      <c r="S481" s="42"/>
      <c r="T481" s="15"/>
      <c r="U481" s="44"/>
      <c r="V481" s="15"/>
      <c r="W481" s="44"/>
      <c r="X481" s="15">
        <f t="shared" si="52"/>
        <v>0</v>
      </c>
      <c r="Y481" s="15"/>
      <c r="Z481" s="44"/>
      <c r="AA481" s="15"/>
      <c r="AB481" s="44"/>
      <c r="AC481" s="15"/>
      <c r="AD481" s="44"/>
      <c r="AE481" s="15"/>
      <c r="AF481" s="44"/>
      <c r="AG481" s="15">
        <f t="shared" si="53"/>
        <v>0</v>
      </c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/>
      <c r="BA481" s="42"/>
      <c r="BB481" s="15">
        <f t="shared" si="49"/>
        <v>0</v>
      </c>
      <c r="BC481" s="15"/>
      <c r="BD481" s="44"/>
      <c r="BE481" s="15"/>
      <c r="BF481" s="44"/>
      <c r="BG481" s="15">
        <f t="shared" si="50"/>
        <v>0</v>
      </c>
    </row>
    <row r="482" spans="1:59" s="8" customFormat="1" ht="22.5" customHeight="1">
      <c r="A482" s="9"/>
      <c r="B482" s="16" t="s">
        <v>811</v>
      </c>
      <c r="C482" s="89" t="s">
        <v>140</v>
      </c>
      <c r="D482" s="104" t="s">
        <v>1947</v>
      </c>
      <c r="E482" s="104" t="s">
        <v>815</v>
      </c>
      <c r="F482" s="104" t="s">
        <v>1948</v>
      </c>
      <c r="G482" s="104" t="s">
        <v>1949</v>
      </c>
      <c r="H482" s="12"/>
      <c r="I482" s="9"/>
      <c r="J482" s="9" t="s">
        <v>566</v>
      </c>
      <c r="K482" s="14"/>
      <c r="L482" s="14"/>
      <c r="M482" s="12">
        <v>0</v>
      </c>
      <c r="N482" s="9"/>
      <c r="O482" s="9"/>
      <c r="P482" s="9"/>
      <c r="Q482" s="38">
        <f t="shared" si="51"/>
        <v>0</v>
      </c>
      <c r="R482" s="12"/>
      <c r="S482" s="42"/>
      <c r="T482" s="15"/>
      <c r="U482" s="44"/>
      <c r="V482" s="15"/>
      <c r="W482" s="44"/>
      <c r="X482" s="15">
        <f t="shared" si="52"/>
        <v>0</v>
      </c>
      <c r="Y482" s="15"/>
      <c r="Z482" s="44"/>
      <c r="AA482" s="15"/>
      <c r="AB482" s="44"/>
      <c r="AC482" s="15"/>
      <c r="AD482" s="44"/>
      <c r="AE482" s="15"/>
      <c r="AF482" s="44"/>
      <c r="AG482" s="15">
        <f t="shared" si="53"/>
        <v>0</v>
      </c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/>
      <c r="BA482" s="42"/>
      <c r="BB482" s="15">
        <f t="shared" si="49"/>
        <v>0</v>
      </c>
      <c r="BC482" s="15"/>
      <c r="BD482" s="44"/>
      <c r="BE482" s="15"/>
      <c r="BF482" s="44"/>
      <c r="BG482" s="15">
        <f t="shared" si="50"/>
        <v>0</v>
      </c>
    </row>
    <row r="483" spans="1:59" s="8" customFormat="1" ht="22.5" customHeight="1">
      <c r="A483" s="9"/>
      <c r="B483" s="16" t="s">
        <v>334</v>
      </c>
      <c r="C483" s="89" t="s">
        <v>44</v>
      </c>
      <c r="D483" s="104" t="s">
        <v>818</v>
      </c>
      <c r="E483" s="104"/>
      <c r="F483" s="104" t="s">
        <v>1950</v>
      </c>
      <c r="G483" s="104" t="s">
        <v>1951</v>
      </c>
      <c r="H483" s="12"/>
      <c r="I483" s="9"/>
      <c r="J483" s="9" t="s">
        <v>314</v>
      </c>
      <c r="K483" s="14"/>
      <c r="L483" s="14"/>
      <c r="M483" s="12"/>
      <c r="N483" s="9"/>
      <c r="O483" s="9"/>
      <c r="P483" s="9"/>
      <c r="Q483" s="38">
        <f t="shared" si="51"/>
        <v>0</v>
      </c>
      <c r="R483" s="12"/>
      <c r="S483" s="42"/>
      <c r="T483" s="15"/>
      <c r="U483" s="44"/>
      <c r="V483" s="15"/>
      <c r="W483" s="44"/>
      <c r="X483" s="15">
        <f t="shared" si="52"/>
        <v>0</v>
      </c>
      <c r="Y483" s="15"/>
      <c r="Z483" s="44"/>
      <c r="AA483" s="15"/>
      <c r="AB483" s="44"/>
      <c r="AC483" s="15"/>
      <c r="AD483" s="44"/>
      <c r="AE483" s="15"/>
      <c r="AF483" s="44"/>
      <c r="AG483" s="15">
        <f t="shared" si="53"/>
        <v>0</v>
      </c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/>
      <c r="BA483" s="42"/>
      <c r="BB483" s="15">
        <f t="shared" si="49"/>
        <v>0</v>
      </c>
      <c r="BC483" s="15"/>
      <c r="BD483" s="44"/>
      <c r="BE483" s="15"/>
      <c r="BF483" s="44"/>
      <c r="BG483" s="15">
        <f t="shared" si="50"/>
        <v>0</v>
      </c>
    </row>
    <row r="484" spans="1:59" s="8" customFormat="1" ht="22.5" customHeight="1">
      <c r="A484" s="9"/>
      <c r="B484" s="16" t="s">
        <v>808</v>
      </c>
      <c r="C484" s="89" t="s">
        <v>151</v>
      </c>
      <c r="D484" s="104" t="s">
        <v>820</v>
      </c>
      <c r="E484" s="104"/>
      <c r="F484" s="104" t="s">
        <v>820</v>
      </c>
      <c r="G484" s="104" t="s">
        <v>1952</v>
      </c>
      <c r="H484" s="12"/>
      <c r="I484" s="9"/>
      <c r="J484" s="9" t="s">
        <v>566</v>
      </c>
      <c r="K484" s="14"/>
      <c r="L484" s="14"/>
      <c r="M484" s="12"/>
      <c r="N484" s="9"/>
      <c r="O484" s="9"/>
      <c r="P484" s="9"/>
      <c r="Q484" s="38">
        <f t="shared" si="51"/>
        <v>0</v>
      </c>
      <c r="R484" s="12"/>
      <c r="S484" s="42"/>
      <c r="T484" s="15"/>
      <c r="U484" s="44"/>
      <c r="V484" s="15"/>
      <c r="W484" s="44"/>
      <c r="X484" s="15">
        <f t="shared" si="52"/>
        <v>0</v>
      </c>
      <c r="Y484" s="15"/>
      <c r="Z484" s="44"/>
      <c r="AA484" s="15"/>
      <c r="AB484" s="44"/>
      <c r="AC484" s="15"/>
      <c r="AD484" s="44"/>
      <c r="AE484" s="15"/>
      <c r="AF484" s="44"/>
      <c r="AG484" s="15">
        <f t="shared" si="53"/>
        <v>0</v>
      </c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/>
      <c r="BA484" s="42"/>
      <c r="BB484" s="15">
        <f t="shared" si="49"/>
        <v>0</v>
      </c>
      <c r="BC484" s="15"/>
      <c r="BD484" s="44"/>
      <c r="BE484" s="15"/>
      <c r="BF484" s="44"/>
      <c r="BG484" s="15">
        <f t="shared" si="50"/>
        <v>0</v>
      </c>
    </row>
    <row r="485" spans="1:59" s="8" customFormat="1" ht="22.5" customHeight="1">
      <c r="A485" s="9"/>
      <c r="B485" s="16" t="s">
        <v>808</v>
      </c>
      <c r="C485" s="89" t="s">
        <v>52</v>
      </c>
      <c r="D485" s="104" t="s">
        <v>821</v>
      </c>
      <c r="E485" s="104"/>
      <c r="F485" s="104" t="s">
        <v>1953</v>
      </c>
      <c r="G485" s="104" t="s">
        <v>1954</v>
      </c>
      <c r="H485" s="12"/>
      <c r="I485" s="9"/>
      <c r="J485" s="9" t="s">
        <v>566</v>
      </c>
      <c r="K485" s="14"/>
      <c r="L485" s="14"/>
      <c r="M485" s="12"/>
      <c r="N485" s="9"/>
      <c r="O485" s="9"/>
      <c r="P485" s="9"/>
      <c r="Q485" s="38">
        <f t="shared" si="51"/>
        <v>0</v>
      </c>
      <c r="R485" s="12"/>
      <c r="S485" s="42"/>
      <c r="T485" s="15"/>
      <c r="U485" s="44"/>
      <c r="V485" s="15"/>
      <c r="W485" s="44"/>
      <c r="X485" s="15">
        <f t="shared" si="52"/>
        <v>0</v>
      </c>
      <c r="Y485" s="15"/>
      <c r="Z485" s="44"/>
      <c r="AA485" s="15"/>
      <c r="AB485" s="44"/>
      <c r="AC485" s="15"/>
      <c r="AD485" s="44"/>
      <c r="AE485" s="15"/>
      <c r="AF485" s="44"/>
      <c r="AG485" s="15">
        <f t="shared" si="53"/>
        <v>0</v>
      </c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/>
      <c r="BA485" s="42"/>
      <c r="BB485" s="15">
        <f t="shared" si="49"/>
        <v>0</v>
      </c>
      <c r="BC485" s="15"/>
      <c r="BD485" s="44"/>
      <c r="BE485" s="15"/>
      <c r="BF485" s="44"/>
      <c r="BG485" s="15">
        <f t="shared" si="50"/>
        <v>0</v>
      </c>
    </row>
    <row r="486" spans="1:59" s="8" customFormat="1" ht="22.5" customHeight="1">
      <c r="A486" s="9"/>
      <c r="B486" s="16" t="s">
        <v>808</v>
      </c>
      <c r="C486" s="89" t="s">
        <v>52</v>
      </c>
      <c r="D486" s="104" t="s">
        <v>822</v>
      </c>
      <c r="E486" s="104"/>
      <c r="F486" s="104" t="s">
        <v>1955</v>
      </c>
      <c r="G486" s="104" t="s">
        <v>1956</v>
      </c>
      <c r="H486" s="12"/>
      <c r="I486" s="9"/>
      <c r="J486" s="9" t="s">
        <v>566</v>
      </c>
      <c r="K486" s="14"/>
      <c r="L486" s="14"/>
      <c r="M486" s="12"/>
      <c r="N486" s="9"/>
      <c r="O486" s="9"/>
      <c r="P486" s="9"/>
      <c r="Q486" s="38">
        <f t="shared" si="51"/>
        <v>0</v>
      </c>
      <c r="R486" s="12"/>
      <c r="S486" s="42"/>
      <c r="T486" s="15"/>
      <c r="U486" s="44"/>
      <c r="V486" s="15"/>
      <c r="W486" s="44"/>
      <c r="X486" s="15">
        <f t="shared" si="52"/>
        <v>0</v>
      </c>
      <c r="Y486" s="15"/>
      <c r="Z486" s="44"/>
      <c r="AA486" s="15"/>
      <c r="AB486" s="44"/>
      <c r="AC486" s="15"/>
      <c r="AD486" s="44"/>
      <c r="AE486" s="15"/>
      <c r="AF486" s="44"/>
      <c r="AG486" s="15">
        <f t="shared" si="53"/>
        <v>0</v>
      </c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/>
      <c r="BA486" s="42"/>
      <c r="BB486" s="15">
        <f t="shared" si="49"/>
        <v>0</v>
      </c>
      <c r="BC486" s="15"/>
      <c r="BD486" s="44"/>
      <c r="BE486" s="15"/>
      <c r="BF486" s="44"/>
      <c r="BG486" s="15">
        <f t="shared" si="50"/>
        <v>0</v>
      </c>
    </row>
    <row r="487" spans="1:59" s="8" customFormat="1" ht="22.5" customHeight="1">
      <c r="A487" s="9"/>
      <c r="B487" s="16" t="s">
        <v>808</v>
      </c>
      <c r="C487" s="89" t="s">
        <v>52</v>
      </c>
      <c r="D487" s="104" t="s">
        <v>823</v>
      </c>
      <c r="E487" s="104"/>
      <c r="F487" s="104" t="s">
        <v>1957</v>
      </c>
      <c r="G487" s="104" t="s">
        <v>1958</v>
      </c>
      <c r="H487" s="12"/>
      <c r="I487" s="9"/>
      <c r="J487" s="9" t="s">
        <v>566</v>
      </c>
      <c r="K487" s="14"/>
      <c r="L487" s="14"/>
      <c r="M487" s="12"/>
      <c r="N487" s="9"/>
      <c r="O487" s="9"/>
      <c r="P487" s="9"/>
      <c r="Q487" s="38">
        <f t="shared" si="51"/>
        <v>0</v>
      </c>
      <c r="R487" s="12"/>
      <c r="S487" s="42"/>
      <c r="T487" s="15"/>
      <c r="U487" s="44"/>
      <c r="V487" s="15"/>
      <c r="W487" s="44"/>
      <c r="X487" s="15">
        <f t="shared" si="52"/>
        <v>0</v>
      </c>
      <c r="Y487" s="15"/>
      <c r="Z487" s="44"/>
      <c r="AA487" s="15"/>
      <c r="AB487" s="44"/>
      <c r="AC487" s="15"/>
      <c r="AD487" s="44"/>
      <c r="AE487" s="15"/>
      <c r="AF487" s="44"/>
      <c r="AG487" s="15">
        <f t="shared" si="53"/>
        <v>0</v>
      </c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/>
      <c r="BA487" s="42"/>
      <c r="BB487" s="15">
        <f t="shared" si="49"/>
        <v>0</v>
      </c>
      <c r="BC487" s="15"/>
      <c r="BD487" s="44"/>
      <c r="BE487" s="15"/>
      <c r="BF487" s="44"/>
      <c r="BG487" s="15">
        <f t="shared" si="50"/>
        <v>0</v>
      </c>
    </row>
    <row r="488" spans="1:59" s="8" customFormat="1" ht="22.5" customHeight="1">
      <c r="A488" s="9"/>
      <c r="B488" s="16" t="s">
        <v>808</v>
      </c>
      <c r="C488" s="89" t="s">
        <v>52</v>
      </c>
      <c r="D488" s="104" t="s">
        <v>824</v>
      </c>
      <c r="E488" s="104"/>
      <c r="F488" s="104" t="s">
        <v>1959</v>
      </c>
      <c r="G488" s="104" t="s">
        <v>1960</v>
      </c>
      <c r="H488" s="12"/>
      <c r="I488" s="9"/>
      <c r="J488" s="9" t="s">
        <v>566</v>
      </c>
      <c r="K488" s="14"/>
      <c r="L488" s="14"/>
      <c r="M488" s="12"/>
      <c r="N488" s="9"/>
      <c r="O488" s="9"/>
      <c r="P488" s="9"/>
      <c r="Q488" s="38">
        <f t="shared" si="51"/>
        <v>0</v>
      </c>
      <c r="R488" s="12"/>
      <c r="S488" s="42"/>
      <c r="T488" s="15"/>
      <c r="U488" s="44"/>
      <c r="V488" s="15"/>
      <c r="W488" s="44"/>
      <c r="X488" s="15">
        <f t="shared" si="52"/>
        <v>0</v>
      </c>
      <c r="Y488" s="15"/>
      <c r="Z488" s="44"/>
      <c r="AA488" s="15"/>
      <c r="AB488" s="44"/>
      <c r="AC488" s="15"/>
      <c r="AD488" s="44"/>
      <c r="AE488" s="15"/>
      <c r="AF488" s="44"/>
      <c r="AG488" s="15">
        <f t="shared" si="53"/>
        <v>0</v>
      </c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/>
      <c r="BA488" s="42"/>
      <c r="BB488" s="15">
        <f t="shared" si="49"/>
        <v>0</v>
      </c>
      <c r="BC488" s="15"/>
      <c r="BD488" s="44"/>
      <c r="BE488" s="15"/>
      <c r="BF488" s="44"/>
      <c r="BG488" s="15">
        <f t="shared" si="50"/>
        <v>0</v>
      </c>
    </row>
    <row r="489" spans="1:59" s="8" customFormat="1" ht="22.5" customHeight="1">
      <c r="A489" s="9"/>
      <c r="B489" s="16" t="s">
        <v>808</v>
      </c>
      <c r="C489" s="89" t="s">
        <v>52</v>
      </c>
      <c r="D489" s="104" t="s">
        <v>825</v>
      </c>
      <c r="E489" s="104"/>
      <c r="F489" s="104" t="s">
        <v>1961</v>
      </c>
      <c r="G489" s="104" t="s">
        <v>1962</v>
      </c>
      <c r="H489" s="12"/>
      <c r="I489" s="9"/>
      <c r="J489" s="9" t="s">
        <v>566</v>
      </c>
      <c r="K489" s="14"/>
      <c r="L489" s="14"/>
      <c r="M489" s="12"/>
      <c r="N489" s="9"/>
      <c r="O489" s="9"/>
      <c r="P489" s="9"/>
      <c r="Q489" s="38">
        <f t="shared" si="51"/>
        <v>0</v>
      </c>
      <c r="R489" s="12"/>
      <c r="S489" s="42"/>
      <c r="T489" s="15"/>
      <c r="U489" s="44"/>
      <c r="V489" s="15"/>
      <c r="W489" s="44"/>
      <c r="X489" s="15">
        <f t="shared" si="52"/>
        <v>0</v>
      </c>
      <c r="Y489" s="15"/>
      <c r="Z489" s="44"/>
      <c r="AA489" s="15"/>
      <c r="AB489" s="44"/>
      <c r="AC489" s="15"/>
      <c r="AD489" s="44"/>
      <c r="AE489" s="15"/>
      <c r="AF489" s="44"/>
      <c r="AG489" s="15">
        <f t="shared" si="53"/>
        <v>0</v>
      </c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/>
      <c r="BA489" s="42"/>
      <c r="BB489" s="15">
        <f t="shared" si="49"/>
        <v>0</v>
      </c>
      <c r="BC489" s="15"/>
      <c r="BD489" s="44"/>
      <c r="BE489" s="15"/>
      <c r="BF489" s="44"/>
      <c r="BG489" s="15">
        <f t="shared" si="50"/>
        <v>0</v>
      </c>
    </row>
    <row r="490" spans="1:59" s="8" customFormat="1" ht="22.5" customHeight="1">
      <c r="A490" s="9"/>
      <c r="B490" s="16" t="s">
        <v>808</v>
      </c>
      <c r="C490" s="89" t="s">
        <v>52</v>
      </c>
      <c r="D490" s="104" t="s">
        <v>826</v>
      </c>
      <c r="E490" s="104"/>
      <c r="F490" s="104" t="s">
        <v>1963</v>
      </c>
      <c r="G490" s="104" t="s">
        <v>1964</v>
      </c>
      <c r="H490" s="12"/>
      <c r="I490" s="9"/>
      <c r="J490" s="9" t="s">
        <v>566</v>
      </c>
      <c r="K490" s="14"/>
      <c r="L490" s="14"/>
      <c r="M490" s="12"/>
      <c r="N490" s="9"/>
      <c r="O490" s="9"/>
      <c r="P490" s="9"/>
      <c r="Q490" s="38">
        <f t="shared" si="51"/>
        <v>0</v>
      </c>
      <c r="R490" s="12"/>
      <c r="S490" s="42"/>
      <c r="T490" s="15"/>
      <c r="U490" s="44"/>
      <c r="V490" s="15"/>
      <c r="W490" s="44"/>
      <c r="X490" s="15">
        <f t="shared" si="52"/>
        <v>0</v>
      </c>
      <c r="Y490" s="15"/>
      <c r="Z490" s="44"/>
      <c r="AA490" s="15"/>
      <c r="AB490" s="44"/>
      <c r="AC490" s="15"/>
      <c r="AD490" s="44"/>
      <c r="AE490" s="15"/>
      <c r="AF490" s="44"/>
      <c r="AG490" s="15">
        <f t="shared" si="53"/>
        <v>0</v>
      </c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/>
      <c r="BA490" s="42"/>
      <c r="BB490" s="15">
        <f t="shared" si="49"/>
        <v>0</v>
      </c>
      <c r="BC490" s="15"/>
      <c r="BD490" s="44"/>
      <c r="BE490" s="15"/>
      <c r="BF490" s="44"/>
      <c r="BG490" s="15">
        <f t="shared" si="50"/>
        <v>0</v>
      </c>
    </row>
    <row r="491" spans="1:59" s="8" customFormat="1" ht="22.5" customHeight="1">
      <c r="A491" s="9"/>
      <c r="B491" s="16" t="s">
        <v>808</v>
      </c>
      <c r="C491" s="89" t="s">
        <v>52</v>
      </c>
      <c r="D491" s="104" t="s">
        <v>827</v>
      </c>
      <c r="E491" s="104"/>
      <c r="F491" s="104" t="s">
        <v>1965</v>
      </c>
      <c r="G491" s="104" t="s">
        <v>1966</v>
      </c>
      <c r="H491" s="12"/>
      <c r="I491" s="9"/>
      <c r="J491" s="9" t="s">
        <v>566</v>
      </c>
      <c r="K491" s="14"/>
      <c r="L491" s="14"/>
      <c r="M491" s="12"/>
      <c r="N491" s="9"/>
      <c r="O491" s="9"/>
      <c r="P491" s="9"/>
      <c r="Q491" s="38">
        <f t="shared" si="51"/>
        <v>0</v>
      </c>
      <c r="R491" s="12"/>
      <c r="S491" s="42"/>
      <c r="T491" s="15"/>
      <c r="U491" s="44"/>
      <c r="V491" s="15"/>
      <c r="W491" s="44"/>
      <c r="X491" s="15">
        <f t="shared" si="52"/>
        <v>0</v>
      </c>
      <c r="Y491" s="15"/>
      <c r="Z491" s="44"/>
      <c r="AA491" s="15"/>
      <c r="AB491" s="44"/>
      <c r="AC491" s="15"/>
      <c r="AD491" s="44"/>
      <c r="AE491" s="15"/>
      <c r="AF491" s="44"/>
      <c r="AG491" s="15">
        <f t="shared" si="53"/>
        <v>0</v>
      </c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/>
      <c r="BA491" s="42"/>
      <c r="BB491" s="15">
        <f t="shared" si="49"/>
        <v>0</v>
      </c>
      <c r="BC491" s="15"/>
      <c r="BD491" s="44"/>
      <c r="BE491" s="15"/>
      <c r="BF491" s="44"/>
      <c r="BG491" s="15">
        <f t="shared" si="50"/>
        <v>0</v>
      </c>
    </row>
    <row r="492" spans="1:59" s="8" customFormat="1" ht="22.5" customHeight="1">
      <c r="A492" s="9"/>
      <c r="B492" s="16" t="s">
        <v>808</v>
      </c>
      <c r="C492" s="89" t="s">
        <v>52</v>
      </c>
      <c r="D492" s="104" t="s">
        <v>828</v>
      </c>
      <c r="E492" s="104"/>
      <c r="F492" s="104" t="s">
        <v>1967</v>
      </c>
      <c r="G492" s="104" t="s">
        <v>1968</v>
      </c>
      <c r="H492" s="12"/>
      <c r="I492" s="9"/>
      <c r="J492" s="9" t="s">
        <v>566</v>
      </c>
      <c r="K492" s="14"/>
      <c r="L492" s="14"/>
      <c r="M492" s="12"/>
      <c r="N492" s="9"/>
      <c r="O492" s="9"/>
      <c r="P492" s="9"/>
      <c r="Q492" s="38">
        <f t="shared" si="51"/>
        <v>0</v>
      </c>
      <c r="R492" s="12"/>
      <c r="S492" s="42"/>
      <c r="T492" s="15"/>
      <c r="U492" s="44"/>
      <c r="V492" s="15"/>
      <c r="W492" s="44"/>
      <c r="X492" s="15">
        <f t="shared" si="52"/>
        <v>0</v>
      </c>
      <c r="Y492" s="15"/>
      <c r="Z492" s="44"/>
      <c r="AA492" s="15"/>
      <c r="AB492" s="44"/>
      <c r="AC492" s="15"/>
      <c r="AD492" s="44"/>
      <c r="AE492" s="15"/>
      <c r="AF492" s="44"/>
      <c r="AG492" s="15">
        <f t="shared" si="53"/>
        <v>0</v>
      </c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/>
      <c r="BA492" s="42"/>
      <c r="BB492" s="15">
        <f t="shared" si="49"/>
        <v>0</v>
      </c>
      <c r="BC492" s="15"/>
      <c r="BD492" s="44"/>
      <c r="BE492" s="15"/>
      <c r="BF492" s="44"/>
      <c r="BG492" s="15">
        <f t="shared" si="50"/>
        <v>0</v>
      </c>
    </row>
    <row r="493" spans="1:59" s="8" customFormat="1" ht="22.5" customHeight="1">
      <c r="A493" s="9"/>
      <c r="B493" s="16" t="s">
        <v>808</v>
      </c>
      <c r="C493" s="89" t="s">
        <v>52</v>
      </c>
      <c r="D493" s="104" t="s">
        <v>829</v>
      </c>
      <c r="E493" s="104"/>
      <c r="F493" s="104" t="s">
        <v>1969</v>
      </c>
      <c r="G493" s="104" t="s">
        <v>1970</v>
      </c>
      <c r="H493" s="12"/>
      <c r="I493" s="9"/>
      <c r="J493" s="9" t="s">
        <v>566</v>
      </c>
      <c r="K493" s="14"/>
      <c r="L493" s="14"/>
      <c r="M493" s="12"/>
      <c r="N493" s="9"/>
      <c r="O493" s="9"/>
      <c r="P493" s="9"/>
      <c r="Q493" s="38">
        <f t="shared" si="51"/>
        <v>0</v>
      </c>
      <c r="R493" s="12"/>
      <c r="S493" s="42"/>
      <c r="T493" s="15"/>
      <c r="U493" s="44"/>
      <c r="V493" s="15"/>
      <c r="W493" s="44"/>
      <c r="X493" s="15">
        <f t="shared" si="52"/>
        <v>0</v>
      </c>
      <c r="Y493" s="15"/>
      <c r="Z493" s="44"/>
      <c r="AA493" s="15"/>
      <c r="AB493" s="44"/>
      <c r="AC493" s="15"/>
      <c r="AD493" s="44"/>
      <c r="AE493" s="15"/>
      <c r="AF493" s="44"/>
      <c r="AG493" s="15">
        <f t="shared" si="53"/>
        <v>0</v>
      </c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/>
      <c r="BA493" s="42"/>
      <c r="BB493" s="15">
        <f t="shared" ref="BB493:BB556" si="54">AH493+AJ493+AL493+AN493+AP493+AR493+AT493+AV493+AX493+AZ493</f>
        <v>0</v>
      </c>
      <c r="BC493" s="15"/>
      <c r="BD493" s="44"/>
      <c r="BE493" s="15"/>
      <c r="BF493" s="44"/>
      <c r="BG493" s="15">
        <f t="shared" ref="BG493:BG556" si="55">(BC493+BE493)</f>
        <v>0</v>
      </c>
    </row>
    <row r="494" spans="1:59" s="8" customFormat="1" ht="22.5" customHeight="1">
      <c r="A494" s="9"/>
      <c r="B494" s="16" t="s">
        <v>830</v>
      </c>
      <c r="C494" s="89" t="s">
        <v>494</v>
      </c>
      <c r="D494" s="104" t="s">
        <v>830</v>
      </c>
      <c r="E494" s="104"/>
      <c r="F494" s="104" t="s">
        <v>830</v>
      </c>
      <c r="G494" s="104" t="s">
        <v>1971</v>
      </c>
      <c r="H494" s="12"/>
      <c r="I494" s="9"/>
      <c r="J494" s="9" t="s">
        <v>566</v>
      </c>
      <c r="K494" s="14"/>
      <c r="L494" s="14"/>
      <c r="M494" s="12"/>
      <c r="N494" s="9"/>
      <c r="O494" s="9"/>
      <c r="P494" s="9"/>
      <c r="Q494" s="38">
        <f t="shared" si="51"/>
        <v>0</v>
      </c>
      <c r="R494" s="12"/>
      <c r="S494" s="42"/>
      <c r="T494" s="15"/>
      <c r="U494" s="44"/>
      <c r="V494" s="15"/>
      <c r="W494" s="44"/>
      <c r="X494" s="15">
        <f t="shared" si="52"/>
        <v>0</v>
      </c>
      <c r="Y494" s="15"/>
      <c r="Z494" s="44"/>
      <c r="AA494" s="15"/>
      <c r="AB494" s="44"/>
      <c r="AC494" s="15"/>
      <c r="AD494" s="44"/>
      <c r="AE494" s="15"/>
      <c r="AF494" s="44"/>
      <c r="AG494" s="15">
        <f t="shared" si="53"/>
        <v>0</v>
      </c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/>
      <c r="BA494" s="42"/>
      <c r="BB494" s="15">
        <f t="shared" si="54"/>
        <v>0</v>
      </c>
      <c r="BC494" s="15"/>
      <c r="BD494" s="44"/>
      <c r="BE494" s="15"/>
      <c r="BF494" s="44"/>
      <c r="BG494" s="15">
        <f t="shared" si="55"/>
        <v>0</v>
      </c>
    </row>
    <row r="495" spans="1:59" s="8" customFormat="1" ht="22.5" customHeight="1">
      <c r="A495" s="9"/>
      <c r="B495" s="16" t="s">
        <v>831</v>
      </c>
      <c r="C495" s="89" t="s">
        <v>52</v>
      </c>
      <c r="D495" s="104" t="s">
        <v>832</v>
      </c>
      <c r="E495" s="104"/>
      <c r="F495" s="104" t="s">
        <v>832</v>
      </c>
      <c r="G495" s="104" t="s">
        <v>1972</v>
      </c>
      <c r="H495" s="12"/>
      <c r="I495" s="9"/>
      <c r="J495" s="9" t="s">
        <v>314</v>
      </c>
      <c r="K495" s="14"/>
      <c r="L495" s="14"/>
      <c r="M495" s="12">
        <v>37</v>
      </c>
      <c r="N495" s="9"/>
      <c r="O495" s="9"/>
      <c r="P495" s="9"/>
      <c r="Q495" s="38">
        <f t="shared" si="51"/>
        <v>37</v>
      </c>
      <c r="R495" s="12"/>
      <c r="S495" s="42"/>
      <c r="T495" s="15"/>
      <c r="U495" s="44"/>
      <c r="V495" s="15"/>
      <c r="W495" s="44"/>
      <c r="X495" s="15">
        <f t="shared" si="52"/>
        <v>0</v>
      </c>
      <c r="Y495" s="15"/>
      <c r="Z495" s="44"/>
      <c r="AA495" s="15"/>
      <c r="AB495" s="44"/>
      <c r="AC495" s="15"/>
      <c r="AD495" s="44"/>
      <c r="AE495" s="15"/>
      <c r="AF495" s="44"/>
      <c r="AG495" s="15">
        <f t="shared" si="53"/>
        <v>0</v>
      </c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/>
      <c r="BA495" s="42"/>
      <c r="BB495" s="15">
        <f t="shared" si="54"/>
        <v>0</v>
      </c>
      <c r="BC495" s="15"/>
      <c r="BD495" s="44"/>
      <c r="BE495" s="15"/>
      <c r="BF495" s="44"/>
      <c r="BG495" s="15">
        <f t="shared" si="55"/>
        <v>0</v>
      </c>
    </row>
    <row r="496" spans="1:59" s="8" customFormat="1" ht="22.5" customHeight="1">
      <c r="A496" s="9"/>
      <c r="B496" s="16" t="s">
        <v>570</v>
      </c>
      <c r="C496" s="89" t="s">
        <v>52</v>
      </c>
      <c r="D496" s="104" t="s">
        <v>833</v>
      </c>
      <c r="E496" s="104"/>
      <c r="F496" s="104" t="s">
        <v>833</v>
      </c>
      <c r="G496" s="104" t="s">
        <v>1973</v>
      </c>
      <c r="H496" s="12"/>
      <c r="I496" s="9"/>
      <c r="J496" s="9" t="s">
        <v>314</v>
      </c>
      <c r="K496" s="14"/>
      <c r="L496" s="14"/>
      <c r="M496" s="12">
        <v>86</v>
      </c>
      <c r="N496" s="9"/>
      <c r="O496" s="9"/>
      <c r="P496" s="9"/>
      <c r="Q496" s="38">
        <f t="shared" si="51"/>
        <v>86</v>
      </c>
      <c r="R496" s="12"/>
      <c r="S496" s="42"/>
      <c r="T496" s="15"/>
      <c r="U496" s="44"/>
      <c r="V496" s="15"/>
      <c r="W496" s="44"/>
      <c r="X496" s="15">
        <f t="shared" si="52"/>
        <v>0</v>
      </c>
      <c r="Y496" s="15"/>
      <c r="Z496" s="44"/>
      <c r="AA496" s="15"/>
      <c r="AB496" s="44"/>
      <c r="AC496" s="15"/>
      <c r="AD496" s="44"/>
      <c r="AE496" s="15"/>
      <c r="AF496" s="44"/>
      <c r="AG496" s="15">
        <f t="shared" si="53"/>
        <v>0</v>
      </c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/>
      <c r="BA496" s="42"/>
      <c r="BB496" s="15">
        <f t="shared" si="54"/>
        <v>0</v>
      </c>
      <c r="BC496" s="15"/>
      <c r="BD496" s="44"/>
      <c r="BE496" s="15"/>
      <c r="BF496" s="44"/>
      <c r="BG496" s="15">
        <f t="shared" si="55"/>
        <v>0</v>
      </c>
    </row>
    <row r="497" spans="1:59" s="8" customFormat="1" ht="22.5" customHeight="1">
      <c r="A497" s="9"/>
      <c r="B497" s="16" t="s">
        <v>204</v>
      </c>
      <c r="C497" s="89" t="s">
        <v>52</v>
      </c>
      <c r="D497" s="104" t="s">
        <v>834</v>
      </c>
      <c r="E497" s="104"/>
      <c r="F497" s="104" t="s">
        <v>1974</v>
      </c>
      <c r="G497" s="104" t="s">
        <v>1975</v>
      </c>
      <c r="H497" s="12"/>
      <c r="I497" s="9"/>
      <c r="J497" s="9" t="s">
        <v>566</v>
      </c>
      <c r="K497" s="14"/>
      <c r="L497" s="14"/>
      <c r="M497" s="12"/>
      <c r="N497" s="9"/>
      <c r="O497" s="9"/>
      <c r="P497" s="9"/>
      <c r="Q497" s="38">
        <f t="shared" si="51"/>
        <v>0</v>
      </c>
      <c r="R497" s="12"/>
      <c r="S497" s="42"/>
      <c r="T497" s="15"/>
      <c r="U497" s="44"/>
      <c r="V497" s="15"/>
      <c r="W497" s="44"/>
      <c r="X497" s="15">
        <f t="shared" si="52"/>
        <v>0</v>
      </c>
      <c r="Y497" s="15"/>
      <c r="Z497" s="44"/>
      <c r="AA497" s="15"/>
      <c r="AB497" s="44"/>
      <c r="AC497" s="15"/>
      <c r="AD497" s="44"/>
      <c r="AE497" s="15"/>
      <c r="AF497" s="44"/>
      <c r="AG497" s="15">
        <f t="shared" si="53"/>
        <v>0</v>
      </c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/>
      <c r="BA497" s="42"/>
      <c r="BB497" s="15">
        <f t="shared" si="54"/>
        <v>0</v>
      </c>
      <c r="BC497" s="15"/>
      <c r="BD497" s="44"/>
      <c r="BE497" s="15"/>
      <c r="BF497" s="44"/>
      <c r="BG497" s="15">
        <f t="shared" si="55"/>
        <v>0</v>
      </c>
    </row>
    <row r="498" spans="1:59" s="8" customFormat="1" ht="22.5" customHeight="1">
      <c r="A498" s="9"/>
      <c r="B498" s="16" t="s">
        <v>233</v>
      </c>
      <c r="C498" s="89" t="s">
        <v>494</v>
      </c>
      <c r="D498" s="104" t="s">
        <v>835</v>
      </c>
      <c r="E498" s="104"/>
      <c r="F498" s="104" t="s">
        <v>1976</v>
      </c>
      <c r="G498" s="104" t="s">
        <v>1977</v>
      </c>
      <c r="H498" s="12"/>
      <c r="I498" s="9"/>
      <c r="J498" s="9" t="s">
        <v>558</v>
      </c>
      <c r="K498" s="14"/>
      <c r="L498" s="14"/>
      <c r="M498" s="12">
        <v>53</v>
      </c>
      <c r="N498" s="9"/>
      <c r="O498" s="9"/>
      <c r="P498" s="9"/>
      <c r="Q498" s="38">
        <f t="shared" si="51"/>
        <v>53</v>
      </c>
      <c r="R498" s="12"/>
      <c r="S498" s="42"/>
      <c r="T498" s="15"/>
      <c r="U498" s="44"/>
      <c r="V498" s="15"/>
      <c r="W498" s="44"/>
      <c r="X498" s="15">
        <f t="shared" si="52"/>
        <v>0</v>
      </c>
      <c r="Y498" s="15"/>
      <c r="Z498" s="44"/>
      <c r="AA498" s="15"/>
      <c r="AB498" s="44"/>
      <c r="AC498" s="15"/>
      <c r="AD498" s="44"/>
      <c r="AE498" s="15"/>
      <c r="AF498" s="44"/>
      <c r="AG498" s="15">
        <f t="shared" si="53"/>
        <v>0</v>
      </c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/>
      <c r="BA498" s="42"/>
      <c r="BB498" s="15">
        <f t="shared" si="54"/>
        <v>0</v>
      </c>
      <c r="BC498" s="15"/>
      <c r="BD498" s="44"/>
      <c r="BE498" s="15"/>
      <c r="BF498" s="44"/>
      <c r="BG498" s="15">
        <f t="shared" si="55"/>
        <v>0</v>
      </c>
    </row>
    <row r="499" spans="1:59" s="8" customFormat="1" ht="22.5" customHeight="1">
      <c r="A499" s="9"/>
      <c r="B499" s="16" t="s">
        <v>836</v>
      </c>
      <c r="C499" s="89" t="s">
        <v>151</v>
      </c>
      <c r="D499" s="104" t="s">
        <v>837</v>
      </c>
      <c r="E499" s="104"/>
      <c r="F499" s="104" t="s">
        <v>1978</v>
      </c>
      <c r="G499" s="104" t="s">
        <v>1979</v>
      </c>
      <c r="H499" s="12"/>
      <c r="I499" s="9"/>
      <c r="J499" s="9" t="s">
        <v>805</v>
      </c>
      <c r="K499" s="14"/>
      <c r="L499" s="14"/>
      <c r="M499" s="12"/>
      <c r="N499" s="9"/>
      <c r="O499" s="9"/>
      <c r="P499" s="9"/>
      <c r="Q499" s="38">
        <f t="shared" si="51"/>
        <v>0</v>
      </c>
      <c r="R499" s="12"/>
      <c r="S499" s="42"/>
      <c r="T499" s="15"/>
      <c r="U499" s="44"/>
      <c r="V499" s="15"/>
      <c r="W499" s="44"/>
      <c r="X499" s="15">
        <f t="shared" si="52"/>
        <v>0</v>
      </c>
      <c r="Y499" s="15"/>
      <c r="Z499" s="44"/>
      <c r="AA499" s="15"/>
      <c r="AB499" s="44"/>
      <c r="AC499" s="15"/>
      <c r="AD499" s="44"/>
      <c r="AE499" s="15"/>
      <c r="AF499" s="44"/>
      <c r="AG499" s="15">
        <f t="shared" si="53"/>
        <v>0</v>
      </c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/>
      <c r="BA499" s="42"/>
      <c r="BB499" s="15">
        <f t="shared" si="54"/>
        <v>0</v>
      </c>
      <c r="BC499" s="15"/>
      <c r="BD499" s="44"/>
      <c r="BE499" s="15"/>
      <c r="BF499" s="44"/>
      <c r="BG499" s="15">
        <f t="shared" si="55"/>
        <v>0</v>
      </c>
    </row>
    <row r="500" spans="1:59" s="8" customFormat="1" ht="22.5" customHeight="1">
      <c r="A500" s="9"/>
      <c r="B500" s="16" t="s">
        <v>836</v>
      </c>
      <c r="C500" s="89" t="s">
        <v>151</v>
      </c>
      <c r="D500" s="104" t="s">
        <v>838</v>
      </c>
      <c r="E500" s="104"/>
      <c r="F500" s="104" t="s">
        <v>1980</v>
      </c>
      <c r="G500" s="104" t="s">
        <v>1981</v>
      </c>
      <c r="H500" s="12"/>
      <c r="I500" s="9"/>
      <c r="J500" s="9" t="s">
        <v>805</v>
      </c>
      <c r="K500" s="14"/>
      <c r="L500" s="14"/>
      <c r="M500" s="12"/>
      <c r="N500" s="9"/>
      <c r="O500" s="9"/>
      <c r="P500" s="9"/>
      <c r="Q500" s="38">
        <f t="shared" si="51"/>
        <v>0</v>
      </c>
      <c r="R500" s="12"/>
      <c r="S500" s="42"/>
      <c r="T500" s="15"/>
      <c r="U500" s="44"/>
      <c r="V500" s="15"/>
      <c r="W500" s="44"/>
      <c r="X500" s="15">
        <f t="shared" si="52"/>
        <v>0</v>
      </c>
      <c r="Y500" s="15"/>
      <c r="Z500" s="44"/>
      <c r="AA500" s="15"/>
      <c r="AB500" s="44"/>
      <c r="AC500" s="15"/>
      <c r="AD500" s="44"/>
      <c r="AE500" s="15"/>
      <c r="AF500" s="44"/>
      <c r="AG500" s="15">
        <f t="shared" si="53"/>
        <v>0</v>
      </c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/>
      <c r="BA500" s="42"/>
      <c r="BB500" s="15">
        <f t="shared" si="54"/>
        <v>0</v>
      </c>
      <c r="BC500" s="15"/>
      <c r="BD500" s="44"/>
      <c r="BE500" s="15"/>
      <c r="BF500" s="44"/>
      <c r="BG500" s="15">
        <f t="shared" si="55"/>
        <v>0</v>
      </c>
    </row>
    <row r="501" spans="1:59" s="8" customFormat="1" ht="22.5" customHeight="1">
      <c r="A501" s="9"/>
      <c r="B501" s="16" t="s">
        <v>836</v>
      </c>
      <c r="C501" s="89" t="s">
        <v>151</v>
      </c>
      <c r="D501" s="104" t="s">
        <v>839</v>
      </c>
      <c r="E501" s="104"/>
      <c r="F501" s="104" t="s">
        <v>1982</v>
      </c>
      <c r="G501" s="104" t="s">
        <v>1983</v>
      </c>
      <c r="H501" s="12"/>
      <c r="I501" s="9"/>
      <c r="J501" s="9" t="s">
        <v>840</v>
      </c>
      <c r="K501" s="14"/>
      <c r="L501" s="14"/>
      <c r="M501" s="12"/>
      <c r="N501" s="9"/>
      <c r="O501" s="9"/>
      <c r="P501" s="9"/>
      <c r="Q501" s="38">
        <f t="shared" si="51"/>
        <v>0</v>
      </c>
      <c r="R501" s="12"/>
      <c r="S501" s="42"/>
      <c r="T501" s="15"/>
      <c r="U501" s="44"/>
      <c r="V501" s="15"/>
      <c r="W501" s="44"/>
      <c r="X501" s="15">
        <f t="shared" si="52"/>
        <v>0</v>
      </c>
      <c r="Y501" s="15"/>
      <c r="Z501" s="44"/>
      <c r="AA501" s="15"/>
      <c r="AB501" s="44"/>
      <c r="AC501" s="15"/>
      <c r="AD501" s="44"/>
      <c r="AE501" s="15"/>
      <c r="AF501" s="44"/>
      <c r="AG501" s="15">
        <f t="shared" si="53"/>
        <v>0</v>
      </c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/>
      <c r="BA501" s="42"/>
      <c r="BB501" s="15">
        <f t="shared" si="54"/>
        <v>0</v>
      </c>
      <c r="BC501" s="15"/>
      <c r="BD501" s="44"/>
      <c r="BE501" s="15"/>
      <c r="BF501" s="44"/>
      <c r="BG501" s="15">
        <f t="shared" si="55"/>
        <v>0</v>
      </c>
    </row>
    <row r="502" spans="1:59" s="8" customFormat="1" ht="22.5" customHeight="1">
      <c r="A502" s="9"/>
      <c r="B502" s="16" t="s">
        <v>836</v>
      </c>
      <c r="C502" s="89" t="s">
        <v>151</v>
      </c>
      <c r="D502" s="104" t="s">
        <v>841</v>
      </c>
      <c r="E502" s="104"/>
      <c r="F502" s="104" t="s">
        <v>1984</v>
      </c>
      <c r="G502" s="104" t="s">
        <v>1985</v>
      </c>
      <c r="H502" s="12"/>
      <c r="I502" s="9"/>
      <c r="J502" s="9" t="s">
        <v>840</v>
      </c>
      <c r="K502" s="14"/>
      <c r="L502" s="14"/>
      <c r="M502" s="12"/>
      <c r="N502" s="9"/>
      <c r="O502" s="9"/>
      <c r="P502" s="9"/>
      <c r="Q502" s="38">
        <f t="shared" si="51"/>
        <v>0</v>
      </c>
      <c r="R502" s="12"/>
      <c r="S502" s="42"/>
      <c r="T502" s="15"/>
      <c r="U502" s="44"/>
      <c r="V502" s="15"/>
      <c r="W502" s="44"/>
      <c r="X502" s="15">
        <f t="shared" si="52"/>
        <v>0</v>
      </c>
      <c r="Y502" s="15"/>
      <c r="Z502" s="44"/>
      <c r="AA502" s="15"/>
      <c r="AB502" s="44"/>
      <c r="AC502" s="15"/>
      <c r="AD502" s="44"/>
      <c r="AE502" s="15"/>
      <c r="AF502" s="44"/>
      <c r="AG502" s="15">
        <f t="shared" si="53"/>
        <v>0</v>
      </c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/>
      <c r="BA502" s="42"/>
      <c r="BB502" s="15">
        <f t="shared" si="54"/>
        <v>0</v>
      </c>
      <c r="BC502" s="15"/>
      <c r="BD502" s="44"/>
      <c r="BE502" s="15"/>
      <c r="BF502" s="44"/>
      <c r="BG502" s="15">
        <f t="shared" si="55"/>
        <v>0</v>
      </c>
    </row>
    <row r="503" spans="1:59" s="8" customFormat="1" ht="22.5" customHeight="1">
      <c r="A503" s="9"/>
      <c r="B503" s="16" t="s">
        <v>836</v>
      </c>
      <c r="C503" s="89" t="s">
        <v>151</v>
      </c>
      <c r="D503" s="104" t="s">
        <v>842</v>
      </c>
      <c r="E503" s="104"/>
      <c r="F503" s="104" t="s">
        <v>1986</v>
      </c>
      <c r="G503" s="104" t="s">
        <v>1987</v>
      </c>
      <c r="H503" s="12"/>
      <c r="I503" s="9"/>
      <c r="J503" s="9" t="s">
        <v>840</v>
      </c>
      <c r="K503" s="14"/>
      <c r="L503" s="14"/>
      <c r="M503" s="12"/>
      <c r="N503" s="9"/>
      <c r="O503" s="9"/>
      <c r="P503" s="9"/>
      <c r="Q503" s="38">
        <f t="shared" si="51"/>
        <v>0</v>
      </c>
      <c r="R503" s="12"/>
      <c r="S503" s="42"/>
      <c r="T503" s="15"/>
      <c r="U503" s="44"/>
      <c r="V503" s="15"/>
      <c r="W503" s="44"/>
      <c r="X503" s="15">
        <f t="shared" si="52"/>
        <v>0</v>
      </c>
      <c r="Y503" s="15"/>
      <c r="Z503" s="44"/>
      <c r="AA503" s="15"/>
      <c r="AB503" s="44"/>
      <c r="AC503" s="15"/>
      <c r="AD503" s="44"/>
      <c r="AE503" s="15"/>
      <c r="AF503" s="44"/>
      <c r="AG503" s="15">
        <f t="shared" si="53"/>
        <v>0</v>
      </c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/>
      <c r="BA503" s="42"/>
      <c r="BB503" s="15">
        <f t="shared" si="54"/>
        <v>0</v>
      </c>
      <c r="BC503" s="15"/>
      <c r="BD503" s="44"/>
      <c r="BE503" s="15"/>
      <c r="BF503" s="44"/>
      <c r="BG503" s="15">
        <f t="shared" si="55"/>
        <v>0</v>
      </c>
    </row>
    <row r="504" spans="1:59" s="8" customFormat="1" ht="22.5" customHeight="1">
      <c r="A504" s="9"/>
      <c r="B504" s="16" t="s">
        <v>836</v>
      </c>
      <c r="C504" s="89" t="s">
        <v>151</v>
      </c>
      <c r="D504" s="104" t="s">
        <v>843</v>
      </c>
      <c r="E504" s="104"/>
      <c r="F504" s="104" t="s">
        <v>1988</v>
      </c>
      <c r="G504" s="104" t="s">
        <v>1989</v>
      </c>
      <c r="H504" s="12"/>
      <c r="I504" s="9"/>
      <c r="J504" s="9" t="s">
        <v>840</v>
      </c>
      <c r="K504" s="14"/>
      <c r="L504" s="14"/>
      <c r="M504" s="12"/>
      <c r="N504" s="9"/>
      <c r="O504" s="9"/>
      <c r="P504" s="9"/>
      <c r="Q504" s="38">
        <f t="shared" si="51"/>
        <v>0</v>
      </c>
      <c r="R504" s="12"/>
      <c r="S504" s="42"/>
      <c r="T504" s="15"/>
      <c r="U504" s="44"/>
      <c r="V504" s="15"/>
      <c r="W504" s="44"/>
      <c r="X504" s="15">
        <f t="shared" si="52"/>
        <v>0</v>
      </c>
      <c r="Y504" s="15"/>
      <c r="Z504" s="44"/>
      <c r="AA504" s="15"/>
      <c r="AB504" s="44"/>
      <c r="AC504" s="15"/>
      <c r="AD504" s="44"/>
      <c r="AE504" s="15"/>
      <c r="AF504" s="44"/>
      <c r="AG504" s="15">
        <f t="shared" si="53"/>
        <v>0</v>
      </c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/>
      <c r="BA504" s="42"/>
      <c r="BB504" s="15">
        <f t="shared" si="54"/>
        <v>0</v>
      </c>
      <c r="BC504" s="15"/>
      <c r="BD504" s="44"/>
      <c r="BE504" s="15"/>
      <c r="BF504" s="44"/>
      <c r="BG504" s="15">
        <f t="shared" si="55"/>
        <v>0</v>
      </c>
    </row>
    <row r="505" spans="1:59" s="8" customFormat="1" ht="22.5" customHeight="1">
      <c r="A505" s="9"/>
      <c r="B505" s="16" t="s">
        <v>836</v>
      </c>
      <c r="C505" s="89" t="s">
        <v>151</v>
      </c>
      <c r="D505" s="104" t="s">
        <v>844</v>
      </c>
      <c r="E505" s="104" t="s">
        <v>845</v>
      </c>
      <c r="F505" s="104" t="s">
        <v>1990</v>
      </c>
      <c r="G505" s="104" t="s">
        <v>1991</v>
      </c>
      <c r="H505" s="12"/>
      <c r="I505" s="9"/>
      <c r="J505" s="9" t="s">
        <v>840</v>
      </c>
      <c r="K505" s="14"/>
      <c r="L505" s="14"/>
      <c r="M505" s="12"/>
      <c r="N505" s="9"/>
      <c r="O505" s="9"/>
      <c r="P505" s="9"/>
      <c r="Q505" s="38">
        <f t="shared" si="51"/>
        <v>0</v>
      </c>
      <c r="R505" s="12"/>
      <c r="S505" s="42"/>
      <c r="T505" s="15"/>
      <c r="U505" s="44"/>
      <c r="V505" s="15"/>
      <c r="W505" s="44"/>
      <c r="X505" s="15">
        <f t="shared" si="52"/>
        <v>0</v>
      </c>
      <c r="Y505" s="15"/>
      <c r="Z505" s="44"/>
      <c r="AA505" s="15"/>
      <c r="AB505" s="44"/>
      <c r="AC505" s="15"/>
      <c r="AD505" s="44"/>
      <c r="AE505" s="15"/>
      <c r="AF505" s="44"/>
      <c r="AG505" s="15">
        <f t="shared" si="53"/>
        <v>0</v>
      </c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/>
      <c r="BA505" s="42"/>
      <c r="BB505" s="15">
        <f t="shared" si="54"/>
        <v>0</v>
      </c>
      <c r="BC505" s="15"/>
      <c r="BD505" s="44"/>
      <c r="BE505" s="15"/>
      <c r="BF505" s="44"/>
      <c r="BG505" s="15">
        <f t="shared" si="55"/>
        <v>0</v>
      </c>
    </row>
    <row r="506" spans="1:59" s="8" customFormat="1" ht="22.5" customHeight="1">
      <c r="A506" s="9"/>
      <c r="B506" s="16" t="s">
        <v>846</v>
      </c>
      <c r="C506" s="89" t="s">
        <v>151</v>
      </c>
      <c r="D506" s="104" t="s">
        <v>847</v>
      </c>
      <c r="E506" s="104" t="s">
        <v>848</v>
      </c>
      <c r="F506" s="104" t="s">
        <v>1992</v>
      </c>
      <c r="G506" s="104" t="s">
        <v>1993</v>
      </c>
      <c r="H506" s="12"/>
      <c r="I506" s="9"/>
      <c r="J506" s="9" t="s">
        <v>746</v>
      </c>
      <c r="K506" s="14"/>
      <c r="L506" s="14"/>
      <c r="M506" s="12">
        <v>248</v>
      </c>
      <c r="N506" s="9"/>
      <c r="O506" s="9"/>
      <c r="P506" s="9"/>
      <c r="Q506" s="38">
        <f t="shared" si="51"/>
        <v>248</v>
      </c>
      <c r="R506" s="12"/>
      <c r="S506" s="42"/>
      <c r="T506" s="15"/>
      <c r="U506" s="44"/>
      <c r="V506" s="15"/>
      <c r="W506" s="44"/>
      <c r="X506" s="15">
        <f t="shared" si="52"/>
        <v>0</v>
      </c>
      <c r="Y506" s="15"/>
      <c r="Z506" s="44"/>
      <c r="AA506" s="15"/>
      <c r="AB506" s="44"/>
      <c r="AC506" s="15"/>
      <c r="AD506" s="44"/>
      <c r="AE506" s="15"/>
      <c r="AF506" s="44"/>
      <c r="AG506" s="15">
        <f t="shared" si="53"/>
        <v>0</v>
      </c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/>
      <c r="BA506" s="42"/>
      <c r="BB506" s="15">
        <f t="shared" si="54"/>
        <v>0</v>
      </c>
      <c r="BC506" s="15"/>
      <c r="BD506" s="44"/>
      <c r="BE506" s="15"/>
      <c r="BF506" s="44"/>
      <c r="BG506" s="15">
        <f t="shared" si="55"/>
        <v>0</v>
      </c>
    </row>
    <row r="507" spans="1:59" s="8" customFormat="1" ht="22.5" customHeight="1">
      <c r="A507" s="9"/>
      <c r="B507" s="16" t="s">
        <v>846</v>
      </c>
      <c r="C507" s="89" t="s">
        <v>151</v>
      </c>
      <c r="D507" s="104" t="s">
        <v>849</v>
      </c>
      <c r="E507" s="104"/>
      <c r="F507" s="104" t="s">
        <v>849</v>
      </c>
      <c r="G507" s="104" t="s">
        <v>1994</v>
      </c>
      <c r="H507" s="12"/>
      <c r="I507" s="9"/>
      <c r="J507" s="9" t="s">
        <v>467</v>
      </c>
      <c r="K507" s="14"/>
      <c r="L507" s="14"/>
      <c r="M507" s="12"/>
      <c r="N507" s="9"/>
      <c r="O507" s="9"/>
      <c r="P507" s="9"/>
      <c r="Q507" s="38">
        <f t="shared" si="51"/>
        <v>0</v>
      </c>
      <c r="R507" s="12"/>
      <c r="S507" s="42"/>
      <c r="T507" s="15"/>
      <c r="U507" s="44"/>
      <c r="V507" s="15"/>
      <c r="W507" s="44"/>
      <c r="X507" s="15">
        <f t="shared" si="52"/>
        <v>0</v>
      </c>
      <c r="Y507" s="15"/>
      <c r="Z507" s="44"/>
      <c r="AA507" s="15"/>
      <c r="AB507" s="44"/>
      <c r="AC507" s="15"/>
      <c r="AD507" s="44"/>
      <c r="AE507" s="15"/>
      <c r="AF507" s="44"/>
      <c r="AG507" s="15">
        <f t="shared" si="53"/>
        <v>0</v>
      </c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/>
      <c r="BA507" s="42"/>
      <c r="BB507" s="15">
        <f t="shared" si="54"/>
        <v>0</v>
      </c>
      <c r="BC507" s="15"/>
      <c r="BD507" s="44"/>
      <c r="BE507" s="15"/>
      <c r="BF507" s="44"/>
      <c r="BG507" s="15">
        <f t="shared" si="55"/>
        <v>0</v>
      </c>
    </row>
    <row r="508" spans="1:59" s="8" customFormat="1" ht="22.5" customHeight="1">
      <c r="A508" s="9"/>
      <c r="B508" s="16" t="s">
        <v>850</v>
      </c>
      <c r="C508" s="89" t="s">
        <v>151</v>
      </c>
      <c r="D508" s="104" t="s">
        <v>851</v>
      </c>
      <c r="E508" s="104"/>
      <c r="F508" s="104" t="s">
        <v>851</v>
      </c>
      <c r="G508" s="104" t="s">
        <v>1995</v>
      </c>
      <c r="H508" s="12"/>
      <c r="I508" s="9"/>
      <c r="J508" s="9" t="s">
        <v>67</v>
      </c>
      <c r="K508" s="14"/>
      <c r="L508" s="14"/>
      <c r="M508" s="12"/>
      <c r="N508" s="9"/>
      <c r="O508" s="9"/>
      <c r="P508" s="9"/>
      <c r="Q508" s="38">
        <f t="shared" si="51"/>
        <v>0</v>
      </c>
      <c r="R508" s="12"/>
      <c r="S508" s="42"/>
      <c r="T508" s="15"/>
      <c r="U508" s="44"/>
      <c r="V508" s="15"/>
      <c r="W508" s="44"/>
      <c r="X508" s="15">
        <f t="shared" si="52"/>
        <v>0</v>
      </c>
      <c r="Y508" s="15"/>
      <c r="Z508" s="44"/>
      <c r="AA508" s="15"/>
      <c r="AB508" s="44"/>
      <c r="AC508" s="15"/>
      <c r="AD508" s="44"/>
      <c r="AE508" s="15"/>
      <c r="AF508" s="44"/>
      <c r="AG508" s="15">
        <f t="shared" si="53"/>
        <v>0</v>
      </c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/>
      <c r="BA508" s="42"/>
      <c r="BB508" s="15">
        <f t="shared" si="54"/>
        <v>0</v>
      </c>
      <c r="BC508" s="15"/>
      <c r="BD508" s="44"/>
      <c r="BE508" s="15"/>
      <c r="BF508" s="44"/>
      <c r="BG508" s="15">
        <f t="shared" si="55"/>
        <v>0</v>
      </c>
    </row>
    <row r="509" spans="1:59" s="8" customFormat="1" ht="22.5" customHeight="1">
      <c r="A509" s="9"/>
      <c r="B509" s="16" t="s">
        <v>161</v>
      </c>
      <c r="C509" s="89" t="s">
        <v>151</v>
      </c>
      <c r="D509" s="104" t="s">
        <v>852</v>
      </c>
      <c r="E509" s="104" t="s">
        <v>853</v>
      </c>
      <c r="F509" s="104" t="s">
        <v>1996</v>
      </c>
      <c r="G509" s="104" t="s">
        <v>1997</v>
      </c>
      <c r="H509" s="12"/>
      <c r="I509" s="9"/>
      <c r="J509" s="9" t="s">
        <v>467</v>
      </c>
      <c r="K509" s="14"/>
      <c r="L509" s="14"/>
      <c r="M509" s="12"/>
      <c r="N509" s="9"/>
      <c r="O509" s="9"/>
      <c r="P509" s="9"/>
      <c r="Q509" s="38">
        <f t="shared" si="51"/>
        <v>0</v>
      </c>
      <c r="R509" s="12"/>
      <c r="S509" s="42"/>
      <c r="T509" s="15"/>
      <c r="U509" s="44"/>
      <c r="V509" s="15"/>
      <c r="W509" s="44"/>
      <c r="X509" s="15">
        <f t="shared" si="52"/>
        <v>0</v>
      </c>
      <c r="Y509" s="15"/>
      <c r="Z509" s="44"/>
      <c r="AA509" s="15"/>
      <c r="AB509" s="44"/>
      <c r="AC509" s="15"/>
      <c r="AD509" s="44"/>
      <c r="AE509" s="15"/>
      <c r="AF509" s="44"/>
      <c r="AG509" s="15">
        <f t="shared" si="53"/>
        <v>0</v>
      </c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/>
      <c r="BA509" s="42"/>
      <c r="BB509" s="15">
        <f t="shared" si="54"/>
        <v>0</v>
      </c>
      <c r="BC509" s="15"/>
      <c r="BD509" s="44"/>
      <c r="BE509" s="15"/>
      <c r="BF509" s="44"/>
      <c r="BG509" s="15">
        <f t="shared" si="55"/>
        <v>0</v>
      </c>
    </row>
    <row r="510" spans="1:59" s="8" customFormat="1" ht="22.5" customHeight="1">
      <c r="A510" s="9"/>
      <c r="B510" s="16" t="s">
        <v>854</v>
      </c>
      <c r="C510" s="89" t="s">
        <v>140</v>
      </c>
      <c r="D510" s="104" t="s">
        <v>855</v>
      </c>
      <c r="E510" s="104" t="s">
        <v>856</v>
      </c>
      <c r="F510" s="104" t="s">
        <v>1998</v>
      </c>
      <c r="G510" s="104" t="s">
        <v>1999</v>
      </c>
      <c r="H510" s="12"/>
      <c r="I510" s="9"/>
      <c r="J510" s="9" t="s">
        <v>422</v>
      </c>
      <c r="K510" s="14"/>
      <c r="L510" s="14"/>
      <c r="M510" s="12"/>
      <c r="N510" s="9"/>
      <c r="O510" s="9"/>
      <c r="P510" s="9"/>
      <c r="Q510" s="38">
        <f t="shared" si="51"/>
        <v>0</v>
      </c>
      <c r="R510" s="12"/>
      <c r="S510" s="42"/>
      <c r="T510" s="15"/>
      <c r="U510" s="44"/>
      <c r="V510" s="15"/>
      <c r="W510" s="44"/>
      <c r="X510" s="15">
        <f t="shared" si="52"/>
        <v>0</v>
      </c>
      <c r="Y510" s="15"/>
      <c r="Z510" s="44"/>
      <c r="AA510" s="15"/>
      <c r="AB510" s="44"/>
      <c r="AC510" s="15"/>
      <c r="AD510" s="44"/>
      <c r="AE510" s="15"/>
      <c r="AF510" s="44"/>
      <c r="AG510" s="15">
        <f t="shared" si="53"/>
        <v>0</v>
      </c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/>
      <c r="BA510" s="42"/>
      <c r="BB510" s="15">
        <f t="shared" si="54"/>
        <v>0</v>
      </c>
      <c r="BC510" s="15"/>
      <c r="BD510" s="44"/>
      <c r="BE510" s="15"/>
      <c r="BF510" s="44"/>
      <c r="BG510" s="15">
        <f t="shared" si="55"/>
        <v>0</v>
      </c>
    </row>
    <row r="511" spans="1:59" s="8" customFormat="1" ht="22.5" customHeight="1">
      <c r="A511" s="9"/>
      <c r="B511" s="16" t="s">
        <v>489</v>
      </c>
      <c r="C511" s="89" t="s">
        <v>132</v>
      </c>
      <c r="D511" s="104" t="s">
        <v>857</v>
      </c>
      <c r="E511" s="104" t="s">
        <v>858</v>
      </c>
      <c r="F511" s="104" t="s">
        <v>2000</v>
      </c>
      <c r="G511" s="104" t="s">
        <v>2001</v>
      </c>
      <c r="H511" s="12"/>
      <c r="I511" s="9"/>
      <c r="J511" s="9" t="s">
        <v>859</v>
      </c>
      <c r="K511" s="14"/>
      <c r="L511" s="14"/>
      <c r="M511" s="12">
        <v>1000</v>
      </c>
      <c r="N511" s="9"/>
      <c r="O511" s="9"/>
      <c r="P511" s="9"/>
      <c r="Q511" s="38">
        <f t="shared" si="51"/>
        <v>1000</v>
      </c>
      <c r="R511" s="12"/>
      <c r="S511" s="42"/>
      <c r="T511" s="15"/>
      <c r="U511" s="44"/>
      <c r="V511" s="15"/>
      <c r="W511" s="44"/>
      <c r="X511" s="15">
        <f t="shared" si="52"/>
        <v>0</v>
      </c>
      <c r="Y511" s="15"/>
      <c r="Z511" s="44"/>
      <c r="AA511" s="15"/>
      <c r="AB511" s="44"/>
      <c r="AC511" s="15"/>
      <c r="AD511" s="44"/>
      <c r="AE511" s="15"/>
      <c r="AF511" s="44"/>
      <c r="AG511" s="15">
        <f t="shared" si="53"/>
        <v>0</v>
      </c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/>
      <c r="BA511" s="42"/>
      <c r="BB511" s="15">
        <f t="shared" si="54"/>
        <v>0</v>
      </c>
      <c r="BC511" s="15"/>
      <c r="BD511" s="44"/>
      <c r="BE511" s="15"/>
      <c r="BF511" s="44"/>
      <c r="BG511" s="15">
        <f t="shared" si="55"/>
        <v>0</v>
      </c>
    </row>
    <row r="512" spans="1:59" s="8" customFormat="1" ht="22.5" customHeight="1">
      <c r="A512" s="9">
        <v>999</v>
      </c>
      <c r="B512" s="16" t="s">
        <v>204</v>
      </c>
      <c r="C512" s="89" t="s">
        <v>132</v>
      </c>
      <c r="D512" s="104" t="s">
        <v>862</v>
      </c>
      <c r="E512" s="104" t="s">
        <v>861</v>
      </c>
      <c r="F512" s="104" t="s">
        <v>2002</v>
      </c>
      <c r="G512" s="104" t="s">
        <v>2003</v>
      </c>
      <c r="H512" s="12"/>
      <c r="I512" s="9"/>
      <c r="J512" s="9" t="s">
        <v>207</v>
      </c>
      <c r="K512" s="14"/>
      <c r="L512" s="14"/>
      <c r="M512" s="12"/>
      <c r="N512" s="9"/>
      <c r="O512" s="9"/>
      <c r="P512" s="9"/>
      <c r="Q512" s="38">
        <f t="shared" si="51"/>
        <v>0</v>
      </c>
      <c r="R512" s="12"/>
      <c r="S512" s="42"/>
      <c r="T512" s="15"/>
      <c r="U512" s="44"/>
      <c r="V512" s="15"/>
      <c r="W512" s="44"/>
      <c r="X512" s="15">
        <f t="shared" si="52"/>
        <v>0</v>
      </c>
      <c r="Y512" s="15"/>
      <c r="Z512" s="44"/>
      <c r="AA512" s="15"/>
      <c r="AB512" s="44"/>
      <c r="AC512" s="15"/>
      <c r="AD512" s="44"/>
      <c r="AE512" s="15"/>
      <c r="AF512" s="44"/>
      <c r="AG512" s="15">
        <f t="shared" si="53"/>
        <v>0</v>
      </c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/>
      <c r="BA512" s="42"/>
      <c r="BB512" s="15">
        <f t="shared" si="54"/>
        <v>0</v>
      </c>
      <c r="BC512" s="15"/>
      <c r="BD512" s="44"/>
      <c r="BE512" s="15"/>
      <c r="BF512" s="44"/>
      <c r="BG512" s="15">
        <f t="shared" si="55"/>
        <v>0</v>
      </c>
    </row>
    <row r="513" spans="1:59" s="8" customFormat="1" ht="22.5" customHeight="1">
      <c r="A513" s="9">
        <v>999</v>
      </c>
      <c r="B513" s="16" t="s">
        <v>334</v>
      </c>
      <c r="C513" s="89" t="s">
        <v>151</v>
      </c>
      <c r="D513" s="104" t="s">
        <v>863</v>
      </c>
      <c r="E513" s="104" t="s">
        <v>861</v>
      </c>
      <c r="F513" s="104" t="s">
        <v>2004</v>
      </c>
      <c r="G513" s="104" t="s">
        <v>2005</v>
      </c>
      <c r="H513" s="12"/>
      <c r="I513" s="9"/>
      <c r="J513" s="9" t="s">
        <v>147</v>
      </c>
      <c r="K513" s="14"/>
      <c r="L513" s="14"/>
      <c r="M513" s="12"/>
      <c r="N513" s="9"/>
      <c r="O513" s="9"/>
      <c r="P513" s="9"/>
      <c r="Q513" s="38">
        <f t="shared" si="51"/>
        <v>0</v>
      </c>
      <c r="R513" s="12"/>
      <c r="S513" s="42"/>
      <c r="T513" s="15"/>
      <c r="U513" s="44"/>
      <c r="V513" s="15"/>
      <c r="W513" s="44"/>
      <c r="X513" s="15">
        <f t="shared" si="52"/>
        <v>0</v>
      </c>
      <c r="Y513" s="15"/>
      <c r="Z513" s="44"/>
      <c r="AA513" s="15"/>
      <c r="AB513" s="44"/>
      <c r="AC513" s="15"/>
      <c r="AD513" s="44"/>
      <c r="AE513" s="15"/>
      <c r="AF513" s="44"/>
      <c r="AG513" s="15">
        <f t="shared" si="53"/>
        <v>0</v>
      </c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/>
      <c r="BA513" s="42"/>
      <c r="BB513" s="15">
        <f t="shared" si="54"/>
        <v>0</v>
      </c>
      <c r="BC513" s="15"/>
      <c r="BD513" s="44"/>
      <c r="BE513" s="15"/>
      <c r="BF513" s="44"/>
      <c r="BG513" s="15">
        <f t="shared" si="55"/>
        <v>0</v>
      </c>
    </row>
    <row r="514" spans="1:59" s="8" customFormat="1" ht="22.5" customHeight="1">
      <c r="A514" s="9">
        <v>32</v>
      </c>
      <c r="B514" s="16" t="s">
        <v>129</v>
      </c>
      <c r="C514" s="89" t="s">
        <v>52</v>
      </c>
      <c r="D514" s="104" t="s">
        <v>130</v>
      </c>
      <c r="E514" s="104" t="s">
        <v>864</v>
      </c>
      <c r="F514" s="104" t="s">
        <v>2006</v>
      </c>
      <c r="G514" s="104" t="s">
        <v>2007</v>
      </c>
      <c r="H514" s="12"/>
      <c r="I514" s="9"/>
      <c r="J514" s="9" t="s">
        <v>131</v>
      </c>
      <c r="K514" s="14"/>
      <c r="L514" s="14"/>
      <c r="M514" s="12"/>
      <c r="N514" s="9"/>
      <c r="O514" s="9"/>
      <c r="P514" s="9"/>
      <c r="Q514" s="38">
        <f t="shared" si="51"/>
        <v>0</v>
      </c>
      <c r="R514" s="12"/>
      <c r="S514" s="42"/>
      <c r="T514" s="15"/>
      <c r="U514" s="44"/>
      <c r="V514" s="15"/>
      <c r="W514" s="44"/>
      <c r="X514" s="15">
        <f t="shared" si="52"/>
        <v>0</v>
      </c>
      <c r="Y514" s="15"/>
      <c r="Z514" s="44"/>
      <c r="AA514" s="15"/>
      <c r="AB514" s="44"/>
      <c r="AC514" s="15"/>
      <c r="AD514" s="44"/>
      <c r="AE514" s="15"/>
      <c r="AF514" s="44"/>
      <c r="AG514" s="15">
        <f t="shared" si="53"/>
        <v>0</v>
      </c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/>
      <c r="BA514" s="42"/>
      <c r="BB514" s="15">
        <f t="shared" si="54"/>
        <v>0</v>
      </c>
      <c r="BC514" s="15"/>
      <c r="BD514" s="44"/>
      <c r="BE514" s="15"/>
      <c r="BF514" s="44"/>
      <c r="BG514" s="15">
        <f t="shared" si="55"/>
        <v>0</v>
      </c>
    </row>
    <row r="515" spans="1:59" s="8" customFormat="1" ht="22.5" customHeight="1">
      <c r="A515" s="9">
        <v>60</v>
      </c>
      <c r="B515" s="16" t="s">
        <v>129</v>
      </c>
      <c r="C515" s="89" t="s">
        <v>52</v>
      </c>
      <c r="D515" s="104" t="s">
        <v>169</v>
      </c>
      <c r="E515" s="104" t="s">
        <v>865</v>
      </c>
      <c r="F515" s="104" t="s">
        <v>2008</v>
      </c>
      <c r="G515" s="104" t="s">
        <v>2009</v>
      </c>
      <c r="H515" s="12"/>
      <c r="I515" s="9"/>
      <c r="J515" s="9" t="s">
        <v>131</v>
      </c>
      <c r="K515" s="14"/>
      <c r="L515" s="14"/>
      <c r="M515" s="12"/>
      <c r="N515" s="9"/>
      <c r="O515" s="9"/>
      <c r="P515" s="9"/>
      <c r="Q515" s="38">
        <f t="shared" si="51"/>
        <v>0</v>
      </c>
      <c r="R515" s="12"/>
      <c r="S515" s="42"/>
      <c r="T515" s="15"/>
      <c r="U515" s="44"/>
      <c r="V515" s="15"/>
      <c r="W515" s="44"/>
      <c r="X515" s="15">
        <f t="shared" si="52"/>
        <v>0</v>
      </c>
      <c r="Y515" s="15"/>
      <c r="Z515" s="44"/>
      <c r="AA515" s="15"/>
      <c r="AB515" s="44"/>
      <c r="AC515" s="15"/>
      <c r="AD515" s="44"/>
      <c r="AE515" s="15"/>
      <c r="AF515" s="44"/>
      <c r="AG515" s="15">
        <f t="shared" si="53"/>
        <v>0</v>
      </c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/>
      <c r="BA515" s="42"/>
      <c r="BB515" s="15">
        <f t="shared" si="54"/>
        <v>0</v>
      </c>
      <c r="BC515" s="15"/>
      <c r="BD515" s="44"/>
      <c r="BE515" s="15"/>
      <c r="BF515" s="44"/>
      <c r="BG515" s="15">
        <f t="shared" si="55"/>
        <v>0</v>
      </c>
    </row>
    <row r="516" spans="1:59" s="8" customFormat="1" ht="22.5" customHeight="1">
      <c r="A516" s="9">
        <v>999</v>
      </c>
      <c r="B516" s="16" t="s">
        <v>68</v>
      </c>
      <c r="C516" s="89" t="s">
        <v>50</v>
      </c>
      <c r="D516" s="104" t="s">
        <v>69</v>
      </c>
      <c r="E516" s="104" t="s">
        <v>866</v>
      </c>
      <c r="F516" s="104" t="s">
        <v>2010</v>
      </c>
      <c r="G516" s="104" t="s">
        <v>2011</v>
      </c>
      <c r="H516" s="12"/>
      <c r="I516" s="9"/>
      <c r="J516" s="9" t="s">
        <v>71</v>
      </c>
      <c r="K516" s="14"/>
      <c r="L516" s="14"/>
      <c r="M516" s="12"/>
      <c r="N516" s="9"/>
      <c r="O516" s="9"/>
      <c r="P516" s="9"/>
      <c r="Q516" s="38">
        <f t="shared" ref="Q516:Q579" si="56">M516+X516-AG516-BB516</f>
        <v>0</v>
      </c>
      <c r="R516" s="12"/>
      <c r="S516" s="42"/>
      <c r="T516" s="15"/>
      <c r="U516" s="44"/>
      <c r="V516" s="15"/>
      <c r="W516" s="44"/>
      <c r="X516" s="15">
        <f t="shared" ref="X516:X579" si="57">R516+T516+V516</f>
        <v>0</v>
      </c>
      <c r="Y516" s="15"/>
      <c r="Z516" s="44"/>
      <c r="AA516" s="15"/>
      <c r="AB516" s="44"/>
      <c r="AC516" s="15"/>
      <c r="AD516" s="44"/>
      <c r="AE516" s="15"/>
      <c r="AF516" s="44"/>
      <c r="AG516" s="15">
        <f t="shared" ref="AG516:AG579" si="58">(Y516+AA516+AC516+AE516)</f>
        <v>0</v>
      </c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/>
      <c r="BA516" s="42"/>
      <c r="BB516" s="15">
        <f t="shared" si="54"/>
        <v>0</v>
      </c>
      <c r="BC516" s="15"/>
      <c r="BD516" s="44"/>
      <c r="BE516" s="15"/>
      <c r="BF516" s="44"/>
      <c r="BG516" s="15">
        <f t="shared" si="55"/>
        <v>0</v>
      </c>
    </row>
    <row r="517" spans="1:59" s="8" customFormat="1" ht="22.5" customHeight="1">
      <c r="A517" s="9">
        <v>999</v>
      </c>
      <c r="B517" s="16" t="s">
        <v>34</v>
      </c>
      <c r="C517" s="89" t="s">
        <v>50</v>
      </c>
      <c r="D517" s="104" t="s">
        <v>867</v>
      </c>
      <c r="E517" s="104" t="s">
        <v>868</v>
      </c>
      <c r="F517" s="104" t="s">
        <v>2012</v>
      </c>
      <c r="G517" s="104" t="s">
        <v>2013</v>
      </c>
      <c r="H517" s="12"/>
      <c r="I517" s="9"/>
      <c r="J517" s="9" t="s">
        <v>71</v>
      </c>
      <c r="K517" s="14"/>
      <c r="L517" s="14"/>
      <c r="M517" s="12"/>
      <c r="N517" s="9"/>
      <c r="O517" s="9"/>
      <c r="P517" s="9"/>
      <c r="Q517" s="38">
        <f t="shared" si="56"/>
        <v>0</v>
      </c>
      <c r="R517" s="12"/>
      <c r="S517" s="42"/>
      <c r="T517" s="15"/>
      <c r="U517" s="44"/>
      <c r="V517" s="15"/>
      <c r="W517" s="44"/>
      <c r="X517" s="15">
        <f t="shared" si="57"/>
        <v>0</v>
      </c>
      <c r="Y517" s="15"/>
      <c r="Z517" s="44"/>
      <c r="AA517" s="15"/>
      <c r="AB517" s="44"/>
      <c r="AC517" s="15"/>
      <c r="AD517" s="44"/>
      <c r="AE517" s="15"/>
      <c r="AF517" s="44"/>
      <c r="AG517" s="15">
        <f t="shared" si="58"/>
        <v>0</v>
      </c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/>
      <c r="BA517" s="42"/>
      <c r="BB517" s="15">
        <f t="shared" si="54"/>
        <v>0</v>
      </c>
      <c r="BC517" s="15"/>
      <c r="BD517" s="44"/>
      <c r="BE517" s="15"/>
      <c r="BF517" s="44"/>
      <c r="BG517" s="15">
        <f t="shared" si="55"/>
        <v>0</v>
      </c>
    </row>
    <row r="518" spans="1:59" s="8" customFormat="1" ht="22.5" customHeight="1">
      <c r="A518" s="9">
        <v>999</v>
      </c>
      <c r="B518" s="16" t="s">
        <v>62</v>
      </c>
      <c r="C518" s="89" t="s">
        <v>50</v>
      </c>
      <c r="D518" s="104" t="s">
        <v>869</v>
      </c>
      <c r="E518" s="104" t="s">
        <v>62</v>
      </c>
      <c r="F518" s="104" t="s">
        <v>2014</v>
      </c>
      <c r="G518" s="104" t="s">
        <v>2015</v>
      </c>
      <c r="H518" s="12"/>
      <c r="I518" s="9"/>
      <c r="J518" s="9" t="s">
        <v>61</v>
      </c>
      <c r="K518" s="14"/>
      <c r="L518" s="14"/>
      <c r="M518" s="12"/>
      <c r="N518" s="9"/>
      <c r="O518" s="9"/>
      <c r="P518" s="9"/>
      <c r="Q518" s="38">
        <f t="shared" si="56"/>
        <v>0</v>
      </c>
      <c r="R518" s="12"/>
      <c r="S518" s="42"/>
      <c r="T518" s="15"/>
      <c r="U518" s="44"/>
      <c r="V518" s="15"/>
      <c r="W518" s="44"/>
      <c r="X518" s="15">
        <f t="shared" si="57"/>
        <v>0</v>
      </c>
      <c r="Y518" s="15"/>
      <c r="Z518" s="44"/>
      <c r="AA518" s="15"/>
      <c r="AB518" s="44"/>
      <c r="AC518" s="15"/>
      <c r="AD518" s="44"/>
      <c r="AE518" s="15"/>
      <c r="AF518" s="44"/>
      <c r="AG518" s="15">
        <f t="shared" si="58"/>
        <v>0</v>
      </c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/>
      <c r="BA518" s="42"/>
      <c r="BB518" s="15">
        <f t="shared" si="54"/>
        <v>0</v>
      </c>
      <c r="BC518" s="15"/>
      <c r="BD518" s="44"/>
      <c r="BE518" s="15"/>
      <c r="BF518" s="44"/>
      <c r="BG518" s="15">
        <f t="shared" si="55"/>
        <v>0</v>
      </c>
    </row>
    <row r="519" spans="1:59" s="8" customFormat="1" ht="22.5" customHeight="1">
      <c r="A519" s="9">
        <v>999</v>
      </c>
      <c r="B519" s="16" t="s">
        <v>62</v>
      </c>
      <c r="C519" s="89" t="s">
        <v>50</v>
      </c>
      <c r="D519" s="104" t="s">
        <v>870</v>
      </c>
      <c r="E519" s="104" t="s">
        <v>62</v>
      </c>
      <c r="F519" s="104" t="s">
        <v>2016</v>
      </c>
      <c r="G519" s="104" t="s">
        <v>2017</v>
      </c>
      <c r="H519" s="12"/>
      <c r="I519" s="9"/>
      <c r="J519" s="9" t="s">
        <v>61</v>
      </c>
      <c r="K519" s="14"/>
      <c r="L519" s="14"/>
      <c r="M519" s="12"/>
      <c r="N519" s="9"/>
      <c r="O519" s="9"/>
      <c r="P519" s="9"/>
      <c r="Q519" s="38">
        <f t="shared" si="56"/>
        <v>0</v>
      </c>
      <c r="R519" s="12"/>
      <c r="S519" s="42"/>
      <c r="T519" s="15"/>
      <c r="U519" s="44"/>
      <c r="V519" s="15"/>
      <c r="W519" s="44"/>
      <c r="X519" s="15">
        <f t="shared" si="57"/>
        <v>0</v>
      </c>
      <c r="Y519" s="15"/>
      <c r="Z519" s="44"/>
      <c r="AA519" s="15"/>
      <c r="AB519" s="44"/>
      <c r="AC519" s="15"/>
      <c r="AD519" s="44"/>
      <c r="AE519" s="15"/>
      <c r="AF519" s="44"/>
      <c r="AG519" s="15">
        <f t="shared" si="58"/>
        <v>0</v>
      </c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/>
      <c r="BA519" s="42"/>
      <c r="BB519" s="15">
        <f t="shared" si="54"/>
        <v>0</v>
      </c>
      <c r="BC519" s="15"/>
      <c r="BD519" s="44"/>
      <c r="BE519" s="15"/>
      <c r="BF519" s="44"/>
      <c r="BG519" s="15">
        <f t="shared" si="55"/>
        <v>0</v>
      </c>
    </row>
    <row r="520" spans="1:59" s="8" customFormat="1" ht="22.5" customHeight="1">
      <c r="A520" s="9">
        <v>999</v>
      </c>
      <c r="B520" s="16" t="s">
        <v>62</v>
      </c>
      <c r="C520" s="89" t="s">
        <v>50</v>
      </c>
      <c r="D520" s="104" t="s">
        <v>871</v>
      </c>
      <c r="E520" s="104" t="s">
        <v>62</v>
      </c>
      <c r="F520" s="104" t="s">
        <v>2018</v>
      </c>
      <c r="G520" s="104" t="s">
        <v>2019</v>
      </c>
      <c r="H520" s="12"/>
      <c r="I520" s="9"/>
      <c r="J520" s="9" t="s">
        <v>61</v>
      </c>
      <c r="K520" s="14"/>
      <c r="L520" s="14"/>
      <c r="M520" s="12"/>
      <c r="N520" s="9"/>
      <c r="O520" s="9"/>
      <c r="P520" s="9"/>
      <c r="Q520" s="38">
        <f t="shared" si="56"/>
        <v>0</v>
      </c>
      <c r="R520" s="12"/>
      <c r="S520" s="42"/>
      <c r="T520" s="15"/>
      <c r="U520" s="44"/>
      <c r="V520" s="15"/>
      <c r="W520" s="44"/>
      <c r="X520" s="15">
        <f t="shared" si="57"/>
        <v>0</v>
      </c>
      <c r="Y520" s="15"/>
      <c r="Z520" s="44"/>
      <c r="AA520" s="15"/>
      <c r="AB520" s="44"/>
      <c r="AC520" s="15"/>
      <c r="AD520" s="44"/>
      <c r="AE520" s="15"/>
      <c r="AF520" s="44"/>
      <c r="AG520" s="15">
        <f t="shared" si="58"/>
        <v>0</v>
      </c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/>
      <c r="BA520" s="42"/>
      <c r="BB520" s="15">
        <f t="shared" si="54"/>
        <v>0</v>
      </c>
      <c r="BC520" s="15"/>
      <c r="BD520" s="44"/>
      <c r="BE520" s="15"/>
      <c r="BF520" s="44"/>
      <c r="BG520" s="15">
        <f t="shared" si="55"/>
        <v>0</v>
      </c>
    </row>
    <row r="521" spans="1:59" s="8" customFormat="1" ht="22.5" customHeight="1">
      <c r="A521" s="9">
        <v>999</v>
      </c>
      <c r="B521" s="16" t="s">
        <v>155</v>
      </c>
      <c r="C521" s="89" t="s">
        <v>50</v>
      </c>
      <c r="D521" s="104" t="s">
        <v>872</v>
      </c>
      <c r="E521" s="104" t="s">
        <v>873</v>
      </c>
      <c r="F521" s="104" t="s">
        <v>2020</v>
      </c>
      <c r="G521" s="104" t="s">
        <v>2021</v>
      </c>
      <c r="H521" s="12"/>
      <c r="I521" s="9"/>
      <c r="J521" s="9"/>
      <c r="K521" s="14"/>
      <c r="L521" s="14"/>
      <c r="M521" s="12"/>
      <c r="N521" s="9"/>
      <c r="O521" s="9"/>
      <c r="P521" s="9"/>
      <c r="Q521" s="38">
        <f t="shared" si="56"/>
        <v>0</v>
      </c>
      <c r="R521" s="12"/>
      <c r="S521" s="42"/>
      <c r="T521" s="15"/>
      <c r="U521" s="44"/>
      <c r="V521" s="15"/>
      <c r="W521" s="44"/>
      <c r="X521" s="15">
        <f t="shared" si="57"/>
        <v>0</v>
      </c>
      <c r="Y521" s="15"/>
      <c r="Z521" s="44"/>
      <c r="AA521" s="15"/>
      <c r="AB521" s="44"/>
      <c r="AC521" s="15"/>
      <c r="AD521" s="44"/>
      <c r="AE521" s="15"/>
      <c r="AF521" s="44"/>
      <c r="AG521" s="15">
        <f t="shared" si="58"/>
        <v>0</v>
      </c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/>
      <c r="BA521" s="42"/>
      <c r="BB521" s="15">
        <f t="shared" si="54"/>
        <v>0</v>
      </c>
      <c r="BC521" s="15"/>
      <c r="BD521" s="44"/>
      <c r="BE521" s="15"/>
      <c r="BF521" s="44"/>
      <c r="BG521" s="15">
        <f t="shared" si="55"/>
        <v>0</v>
      </c>
    </row>
    <row r="522" spans="1:59" s="8" customFormat="1" ht="22.5" customHeight="1">
      <c r="A522" s="9">
        <v>999</v>
      </c>
      <c r="B522" s="16" t="s">
        <v>172</v>
      </c>
      <c r="C522" s="89" t="s">
        <v>48</v>
      </c>
      <c r="D522" s="104" t="s">
        <v>874</v>
      </c>
      <c r="E522" s="104"/>
      <c r="F522" s="104" t="s">
        <v>2022</v>
      </c>
      <c r="G522" s="104" t="s">
        <v>2023</v>
      </c>
      <c r="H522" s="12"/>
      <c r="I522" s="9"/>
      <c r="J522" s="9" t="s">
        <v>67</v>
      </c>
      <c r="K522" s="14"/>
      <c r="L522" s="14"/>
      <c r="M522" s="12"/>
      <c r="N522" s="9"/>
      <c r="O522" s="9"/>
      <c r="P522" s="9"/>
      <c r="Q522" s="38">
        <f t="shared" si="56"/>
        <v>0</v>
      </c>
      <c r="R522" s="12"/>
      <c r="S522" s="42"/>
      <c r="T522" s="15"/>
      <c r="U522" s="44"/>
      <c r="V522" s="15"/>
      <c r="W522" s="44"/>
      <c r="X522" s="15">
        <f t="shared" si="57"/>
        <v>0</v>
      </c>
      <c r="Y522" s="15"/>
      <c r="Z522" s="44"/>
      <c r="AA522" s="15"/>
      <c r="AB522" s="44"/>
      <c r="AC522" s="15"/>
      <c r="AD522" s="44"/>
      <c r="AE522" s="15"/>
      <c r="AF522" s="44"/>
      <c r="AG522" s="15">
        <f t="shared" si="58"/>
        <v>0</v>
      </c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/>
      <c r="BA522" s="42"/>
      <c r="BB522" s="15">
        <f t="shared" si="54"/>
        <v>0</v>
      </c>
      <c r="BC522" s="15"/>
      <c r="BD522" s="44"/>
      <c r="BE522" s="15"/>
      <c r="BF522" s="44"/>
      <c r="BG522" s="15">
        <f t="shared" si="55"/>
        <v>0</v>
      </c>
    </row>
    <row r="523" spans="1:59" s="8" customFormat="1" ht="22.5" customHeight="1">
      <c r="A523" s="9">
        <v>999</v>
      </c>
      <c r="B523" s="16" t="s">
        <v>187</v>
      </c>
      <c r="C523" s="89" t="s">
        <v>132</v>
      </c>
      <c r="D523" s="104" t="s">
        <v>276</v>
      </c>
      <c r="E523" s="104"/>
      <c r="F523" s="104" t="s">
        <v>2024</v>
      </c>
      <c r="G523" s="104" t="s">
        <v>2025</v>
      </c>
      <c r="H523" s="12"/>
      <c r="I523" s="9"/>
      <c r="J523" s="9" t="s">
        <v>67</v>
      </c>
      <c r="K523" s="14"/>
      <c r="L523" s="14"/>
      <c r="M523" s="12"/>
      <c r="N523" s="9"/>
      <c r="O523" s="9"/>
      <c r="P523" s="9"/>
      <c r="Q523" s="38">
        <f t="shared" si="56"/>
        <v>0</v>
      </c>
      <c r="R523" s="12"/>
      <c r="S523" s="42"/>
      <c r="T523" s="15"/>
      <c r="U523" s="44"/>
      <c r="V523" s="15"/>
      <c r="W523" s="44"/>
      <c r="X523" s="15">
        <f t="shared" si="57"/>
        <v>0</v>
      </c>
      <c r="Y523" s="15"/>
      <c r="Z523" s="44"/>
      <c r="AA523" s="15"/>
      <c r="AB523" s="44"/>
      <c r="AC523" s="15"/>
      <c r="AD523" s="44"/>
      <c r="AE523" s="15"/>
      <c r="AF523" s="44"/>
      <c r="AG523" s="15">
        <f t="shared" si="58"/>
        <v>0</v>
      </c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/>
      <c r="BA523" s="42"/>
      <c r="BB523" s="15">
        <f t="shared" si="54"/>
        <v>0</v>
      </c>
      <c r="BC523" s="15"/>
      <c r="BD523" s="44"/>
      <c r="BE523" s="15"/>
      <c r="BF523" s="44"/>
      <c r="BG523" s="15">
        <f t="shared" si="55"/>
        <v>0</v>
      </c>
    </row>
    <row r="524" spans="1:59" s="8" customFormat="1" ht="22.5" customHeight="1">
      <c r="A524" s="9">
        <v>999</v>
      </c>
      <c r="B524" s="16" t="s">
        <v>204</v>
      </c>
      <c r="C524" s="89" t="s">
        <v>132</v>
      </c>
      <c r="D524" s="104" t="s">
        <v>282</v>
      </c>
      <c r="E524" s="104" t="s">
        <v>210</v>
      </c>
      <c r="F524" s="104" t="s">
        <v>2026</v>
      </c>
      <c r="G524" s="104" t="s">
        <v>2027</v>
      </c>
      <c r="H524" s="12"/>
      <c r="I524" s="9"/>
      <c r="J524" s="9" t="s">
        <v>876</v>
      </c>
      <c r="K524" s="14"/>
      <c r="L524" s="14"/>
      <c r="M524" s="12"/>
      <c r="N524" s="9"/>
      <c r="O524" s="9"/>
      <c r="P524" s="9"/>
      <c r="Q524" s="38">
        <f t="shared" si="56"/>
        <v>0</v>
      </c>
      <c r="R524" s="12"/>
      <c r="S524" s="42"/>
      <c r="T524" s="15"/>
      <c r="U524" s="44"/>
      <c r="V524" s="15"/>
      <c r="W524" s="44"/>
      <c r="X524" s="15">
        <f t="shared" si="57"/>
        <v>0</v>
      </c>
      <c r="Y524" s="15"/>
      <c r="Z524" s="44"/>
      <c r="AA524" s="15"/>
      <c r="AB524" s="44"/>
      <c r="AC524" s="15"/>
      <c r="AD524" s="44"/>
      <c r="AE524" s="15"/>
      <c r="AF524" s="44"/>
      <c r="AG524" s="15">
        <f t="shared" si="58"/>
        <v>0</v>
      </c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/>
      <c r="BA524" s="42"/>
      <c r="BB524" s="15">
        <f t="shared" si="54"/>
        <v>0</v>
      </c>
      <c r="BC524" s="15"/>
      <c r="BD524" s="44"/>
      <c r="BE524" s="15"/>
      <c r="BF524" s="44"/>
      <c r="BG524" s="15">
        <f t="shared" si="55"/>
        <v>0</v>
      </c>
    </row>
    <row r="525" spans="1:59" s="8" customFormat="1" ht="22.5" customHeight="1">
      <c r="A525" s="9">
        <v>999</v>
      </c>
      <c r="B525" s="16" t="s">
        <v>120</v>
      </c>
      <c r="C525" s="89" t="s">
        <v>132</v>
      </c>
      <c r="D525" s="104" t="s">
        <v>878</v>
      </c>
      <c r="E525" s="104"/>
      <c r="F525" s="104" t="s">
        <v>2028</v>
      </c>
      <c r="G525" s="104" t="s">
        <v>2029</v>
      </c>
      <c r="H525" s="12"/>
      <c r="I525" s="9"/>
      <c r="J525" s="9" t="s">
        <v>67</v>
      </c>
      <c r="K525" s="14"/>
      <c r="L525" s="14"/>
      <c r="M525" s="12"/>
      <c r="N525" s="9"/>
      <c r="O525" s="9"/>
      <c r="P525" s="9"/>
      <c r="Q525" s="38">
        <f t="shared" si="56"/>
        <v>0</v>
      </c>
      <c r="R525" s="12"/>
      <c r="S525" s="42"/>
      <c r="T525" s="15"/>
      <c r="U525" s="44"/>
      <c r="V525" s="15"/>
      <c r="W525" s="44"/>
      <c r="X525" s="15">
        <f t="shared" si="57"/>
        <v>0</v>
      </c>
      <c r="Y525" s="15"/>
      <c r="Z525" s="44"/>
      <c r="AA525" s="15"/>
      <c r="AB525" s="44"/>
      <c r="AC525" s="15"/>
      <c r="AD525" s="44"/>
      <c r="AE525" s="15"/>
      <c r="AF525" s="44"/>
      <c r="AG525" s="15">
        <f t="shared" si="58"/>
        <v>0</v>
      </c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/>
      <c r="BA525" s="42"/>
      <c r="BB525" s="15">
        <f t="shared" si="54"/>
        <v>0</v>
      </c>
      <c r="BC525" s="15"/>
      <c r="BD525" s="44"/>
      <c r="BE525" s="15"/>
      <c r="BF525" s="44"/>
      <c r="BG525" s="15">
        <f t="shared" si="55"/>
        <v>0</v>
      </c>
    </row>
    <row r="526" spans="1:59" s="8" customFormat="1" ht="22.5" customHeight="1">
      <c r="A526" s="9">
        <v>999</v>
      </c>
      <c r="B526" s="16" t="s">
        <v>120</v>
      </c>
      <c r="C526" s="89" t="s">
        <v>48</v>
      </c>
      <c r="D526" s="104" t="s">
        <v>881</v>
      </c>
      <c r="E526" s="104" t="s">
        <v>882</v>
      </c>
      <c r="F526" s="104" t="s">
        <v>2030</v>
      </c>
      <c r="G526" s="104" t="s">
        <v>2031</v>
      </c>
      <c r="H526" s="12"/>
      <c r="I526" s="9"/>
      <c r="J526" s="9" t="s">
        <v>67</v>
      </c>
      <c r="K526" s="14"/>
      <c r="L526" s="14"/>
      <c r="M526" s="12"/>
      <c r="N526" s="9"/>
      <c r="O526" s="9"/>
      <c r="P526" s="9"/>
      <c r="Q526" s="38">
        <f t="shared" si="56"/>
        <v>0</v>
      </c>
      <c r="R526" s="12"/>
      <c r="S526" s="42"/>
      <c r="T526" s="15"/>
      <c r="U526" s="44"/>
      <c r="V526" s="15"/>
      <c r="W526" s="44"/>
      <c r="X526" s="15">
        <f t="shared" si="57"/>
        <v>0</v>
      </c>
      <c r="Y526" s="15"/>
      <c r="Z526" s="44"/>
      <c r="AA526" s="15"/>
      <c r="AB526" s="44"/>
      <c r="AC526" s="15"/>
      <c r="AD526" s="44"/>
      <c r="AE526" s="15"/>
      <c r="AF526" s="44"/>
      <c r="AG526" s="15">
        <f t="shared" si="58"/>
        <v>0</v>
      </c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/>
      <c r="BA526" s="42"/>
      <c r="BB526" s="15">
        <f t="shared" si="54"/>
        <v>0</v>
      </c>
      <c r="BC526" s="15"/>
      <c r="BD526" s="44"/>
      <c r="BE526" s="15"/>
      <c r="BF526" s="44"/>
      <c r="BG526" s="15">
        <f t="shared" si="55"/>
        <v>0</v>
      </c>
    </row>
    <row r="527" spans="1:59" s="8" customFormat="1" ht="22.5" customHeight="1">
      <c r="A527" s="9">
        <v>999</v>
      </c>
      <c r="B527" s="16" t="s">
        <v>120</v>
      </c>
      <c r="C527" s="89" t="s">
        <v>48</v>
      </c>
      <c r="D527" s="104" t="s">
        <v>883</v>
      </c>
      <c r="E527" s="104" t="s">
        <v>884</v>
      </c>
      <c r="F527" s="104" t="s">
        <v>2032</v>
      </c>
      <c r="G527" s="104" t="s">
        <v>2033</v>
      </c>
      <c r="H527" s="12"/>
      <c r="I527" s="9"/>
      <c r="J527" s="9" t="s">
        <v>67</v>
      </c>
      <c r="K527" s="14"/>
      <c r="L527" s="14"/>
      <c r="M527" s="12"/>
      <c r="N527" s="9"/>
      <c r="O527" s="9"/>
      <c r="P527" s="9"/>
      <c r="Q527" s="38">
        <f t="shared" si="56"/>
        <v>0</v>
      </c>
      <c r="R527" s="12"/>
      <c r="S527" s="42"/>
      <c r="T527" s="15"/>
      <c r="U527" s="44"/>
      <c r="V527" s="15"/>
      <c r="W527" s="44"/>
      <c r="X527" s="15">
        <f t="shared" si="57"/>
        <v>0</v>
      </c>
      <c r="Y527" s="15"/>
      <c r="Z527" s="44"/>
      <c r="AA527" s="15"/>
      <c r="AB527" s="44"/>
      <c r="AC527" s="15"/>
      <c r="AD527" s="44"/>
      <c r="AE527" s="15"/>
      <c r="AF527" s="44"/>
      <c r="AG527" s="15">
        <f t="shared" si="58"/>
        <v>0</v>
      </c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/>
      <c r="BA527" s="42"/>
      <c r="BB527" s="15">
        <f t="shared" si="54"/>
        <v>0</v>
      </c>
      <c r="BC527" s="15"/>
      <c r="BD527" s="44"/>
      <c r="BE527" s="15"/>
      <c r="BF527" s="44"/>
      <c r="BG527" s="15">
        <f t="shared" si="55"/>
        <v>0</v>
      </c>
    </row>
    <row r="528" spans="1:59" s="8" customFormat="1" ht="22.5" customHeight="1">
      <c r="A528" s="9">
        <v>999</v>
      </c>
      <c r="B528" s="16" t="s">
        <v>172</v>
      </c>
      <c r="C528" s="89" t="s">
        <v>48</v>
      </c>
      <c r="D528" s="104" t="s">
        <v>415</v>
      </c>
      <c r="E528" s="104"/>
      <c r="F528" s="104" t="s">
        <v>1488</v>
      </c>
      <c r="G528" s="104" t="s">
        <v>1489</v>
      </c>
      <c r="H528" s="12"/>
      <c r="I528" s="9"/>
      <c r="J528" s="9" t="s">
        <v>67</v>
      </c>
      <c r="K528" s="14"/>
      <c r="L528" s="14"/>
      <c r="M528" s="12"/>
      <c r="N528" s="9"/>
      <c r="O528" s="9"/>
      <c r="P528" s="9"/>
      <c r="Q528" s="38">
        <f t="shared" si="56"/>
        <v>0</v>
      </c>
      <c r="R528" s="12"/>
      <c r="S528" s="42"/>
      <c r="T528" s="15"/>
      <c r="U528" s="44"/>
      <c r="V528" s="15"/>
      <c r="W528" s="44"/>
      <c r="X528" s="15">
        <f t="shared" si="57"/>
        <v>0</v>
      </c>
      <c r="Y528" s="15"/>
      <c r="Z528" s="44"/>
      <c r="AA528" s="15"/>
      <c r="AB528" s="44"/>
      <c r="AC528" s="15"/>
      <c r="AD528" s="44"/>
      <c r="AE528" s="15"/>
      <c r="AF528" s="44"/>
      <c r="AG528" s="15">
        <f t="shared" si="58"/>
        <v>0</v>
      </c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/>
      <c r="BA528" s="42"/>
      <c r="BB528" s="15">
        <f t="shared" si="54"/>
        <v>0</v>
      </c>
      <c r="BC528" s="15"/>
      <c r="BD528" s="44"/>
      <c r="BE528" s="15"/>
      <c r="BF528" s="44"/>
      <c r="BG528" s="15">
        <f t="shared" si="55"/>
        <v>0</v>
      </c>
    </row>
    <row r="529" spans="1:59" s="8" customFormat="1" ht="22.5" customHeight="1">
      <c r="A529" s="9"/>
      <c r="B529" s="16" t="s">
        <v>172</v>
      </c>
      <c r="C529" s="89" t="s">
        <v>52</v>
      </c>
      <c r="D529" s="104" t="s">
        <v>497</v>
      </c>
      <c r="E529" s="104"/>
      <c r="F529" s="104" t="s">
        <v>2034</v>
      </c>
      <c r="G529" s="104" t="s">
        <v>2035</v>
      </c>
      <c r="H529" s="12"/>
      <c r="I529" s="9"/>
      <c r="J529" s="9" t="s">
        <v>67</v>
      </c>
      <c r="K529" s="14"/>
      <c r="L529" s="14"/>
      <c r="M529" s="12"/>
      <c r="N529" s="9"/>
      <c r="O529" s="9"/>
      <c r="P529" s="9"/>
      <c r="Q529" s="38">
        <f t="shared" si="56"/>
        <v>0</v>
      </c>
      <c r="R529" s="12"/>
      <c r="S529" s="42"/>
      <c r="T529" s="15"/>
      <c r="U529" s="44"/>
      <c r="V529" s="15"/>
      <c r="W529" s="44"/>
      <c r="X529" s="15">
        <f t="shared" si="57"/>
        <v>0</v>
      </c>
      <c r="Y529" s="15"/>
      <c r="Z529" s="44"/>
      <c r="AA529" s="15"/>
      <c r="AB529" s="44"/>
      <c r="AC529" s="15"/>
      <c r="AD529" s="44"/>
      <c r="AE529" s="15"/>
      <c r="AF529" s="44"/>
      <c r="AG529" s="15">
        <f t="shared" si="58"/>
        <v>0</v>
      </c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/>
      <c r="BA529" s="42"/>
      <c r="BB529" s="15">
        <f t="shared" si="54"/>
        <v>0</v>
      </c>
      <c r="BC529" s="15"/>
      <c r="BD529" s="44"/>
      <c r="BE529" s="15"/>
      <c r="BF529" s="44"/>
      <c r="BG529" s="15">
        <f t="shared" si="55"/>
        <v>0</v>
      </c>
    </row>
    <row r="530" spans="1:59" s="8" customFormat="1" ht="22.5" customHeight="1">
      <c r="A530" s="9"/>
      <c r="B530" s="16" t="s">
        <v>172</v>
      </c>
      <c r="C530" s="89" t="s">
        <v>52</v>
      </c>
      <c r="D530" s="104" t="s">
        <v>886</v>
      </c>
      <c r="E530" s="104"/>
      <c r="F530" s="104" t="s">
        <v>2036</v>
      </c>
      <c r="G530" s="104" t="s">
        <v>2037</v>
      </c>
      <c r="H530" s="12"/>
      <c r="I530" s="9"/>
      <c r="J530" s="9" t="s">
        <v>420</v>
      </c>
      <c r="K530" s="14"/>
      <c r="L530" s="14"/>
      <c r="M530" s="12"/>
      <c r="N530" s="9"/>
      <c r="O530" s="9"/>
      <c r="P530" s="9"/>
      <c r="Q530" s="38">
        <f t="shared" si="56"/>
        <v>0</v>
      </c>
      <c r="R530" s="12"/>
      <c r="S530" s="42"/>
      <c r="T530" s="15"/>
      <c r="U530" s="44"/>
      <c r="V530" s="15"/>
      <c r="W530" s="44"/>
      <c r="X530" s="15">
        <f t="shared" si="57"/>
        <v>0</v>
      </c>
      <c r="Y530" s="15"/>
      <c r="Z530" s="44"/>
      <c r="AA530" s="15"/>
      <c r="AB530" s="44"/>
      <c r="AC530" s="15"/>
      <c r="AD530" s="44"/>
      <c r="AE530" s="15"/>
      <c r="AF530" s="44"/>
      <c r="AG530" s="15">
        <f t="shared" si="58"/>
        <v>0</v>
      </c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/>
      <c r="BA530" s="42"/>
      <c r="BB530" s="15">
        <f t="shared" si="54"/>
        <v>0</v>
      </c>
      <c r="BC530" s="15"/>
      <c r="BD530" s="44"/>
      <c r="BE530" s="15"/>
      <c r="BF530" s="44"/>
      <c r="BG530" s="15">
        <f t="shared" si="55"/>
        <v>0</v>
      </c>
    </row>
    <row r="531" spans="1:59" s="8" customFormat="1" ht="22.5" customHeight="1">
      <c r="A531" s="9"/>
      <c r="B531" s="16" t="s">
        <v>172</v>
      </c>
      <c r="C531" s="89" t="s">
        <v>52</v>
      </c>
      <c r="D531" s="104" t="s">
        <v>887</v>
      </c>
      <c r="E531" s="104"/>
      <c r="F531" s="104" t="s">
        <v>2038</v>
      </c>
      <c r="G531" s="104" t="s">
        <v>2039</v>
      </c>
      <c r="H531" s="12"/>
      <c r="I531" s="9"/>
      <c r="J531" s="9" t="s">
        <v>420</v>
      </c>
      <c r="K531" s="14"/>
      <c r="L531" s="14"/>
      <c r="M531" s="12"/>
      <c r="N531" s="9"/>
      <c r="O531" s="9"/>
      <c r="P531" s="9"/>
      <c r="Q531" s="38">
        <f t="shared" si="56"/>
        <v>0</v>
      </c>
      <c r="R531" s="12"/>
      <c r="S531" s="42"/>
      <c r="T531" s="15"/>
      <c r="U531" s="44"/>
      <c r="V531" s="15"/>
      <c r="W531" s="44"/>
      <c r="X531" s="15">
        <f t="shared" si="57"/>
        <v>0</v>
      </c>
      <c r="Y531" s="15"/>
      <c r="Z531" s="44"/>
      <c r="AA531" s="15"/>
      <c r="AB531" s="44"/>
      <c r="AC531" s="15"/>
      <c r="AD531" s="44"/>
      <c r="AE531" s="15"/>
      <c r="AF531" s="44"/>
      <c r="AG531" s="15">
        <f t="shared" si="58"/>
        <v>0</v>
      </c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/>
      <c r="BA531" s="42"/>
      <c r="BB531" s="15">
        <f t="shared" si="54"/>
        <v>0</v>
      </c>
      <c r="BC531" s="15"/>
      <c r="BD531" s="44"/>
      <c r="BE531" s="15"/>
      <c r="BF531" s="44"/>
      <c r="BG531" s="15">
        <f t="shared" si="55"/>
        <v>0</v>
      </c>
    </row>
    <row r="532" spans="1:59" s="8" customFormat="1" ht="22.5" customHeight="1">
      <c r="A532" s="9"/>
      <c r="B532" s="16" t="s">
        <v>172</v>
      </c>
      <c r="C532" s="89" t="s">
        <v>494</v>
      </c>
      <c r="D532" s="104" t="s">
        <v>498</v>
      </c>
      <c r="E532" s="104"/>
      <c r="F532" s="104" t="s">
        <v>2040</v>
      </c>
      <c r="G532" s="104" t="s">
        <v>2041</v>
      </c>
      <c r="H532" s="12"/>
      <c r="I532" s="9"/>
      <c r="J532" s="9" t="s">
        <v>67</v>
      </c>
      <c r="K532" s="14"/>
      <c r="L532" s="14"/>
      <c r="M532" s="12"/>
      <c r="N532" s="9"/>
      <c r="O532" s="9"/>
      <c r="P532" s="9"/>
      <c r="Q532" s="38">
        <f t="shared" si="56"/>
        <v>0</v>
      </c>
      <c r="R532" s="12"/>
      <c r="S532" s="42"/>
      <c r="T532" s="15"/>
      <c r="U532" s="44"/>
      <c r="V532" s="15"/>
      <c r="W532" s="44"/>
      <c r="X532" s="15">
        <f t="shared" si="57"/>
        <v>0</v>
      </c>
      <c r="Y532" s="15"/>
      <c r="Z532" s="44"/>
      <c r="AA532" s="15"/>
      <c r="AB532" s="44"/>
      <c r="AC532" s="15"/>
      <c r="AD532" s="44"/>
      <c r="AE532" s="15"/>
      <c r="AF532" s="44"/>
      <c r="AG532" s="15">
        <f t="shared" si="58"/>
        <v>0</v>
      </c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/>
      <c r="BA532" s="42"/>
      <c r="BB532" s="15">
        <f t="shared" si="54"/>
        <v>0</v>
      </c>
      <c r="BC532" s="15"/>
      <c r="BD532" s="44"/>
      <c r="BE532" s="15"/>
      <c r="BF532" s="44"/>
      <c r="BG532" s="15">
        <f t="shared" si="55"/>
        <v>0</v>
      </c>
    </row>
    <row r="533" spans="1:59" s="8" customFormat="1" ht="22.5" customHeight="1">
      <c r="A533" s="9"/>
      <c r="B533" s="16" t="s">
        <v>172</v>
      </c>
      <c r="C533" s="89" t="s">
        <v>1610</v>
      </c>
      <c r="D533" s="104" t="s">
        <v>888</v>
      </c>
      <c r="E533" s="104"/>
      <c r="F533" s="104" t="s">
        <v>2042</v>
      </c>
      <c r="G533" s="104" t="s">
        <v>2043</v>
      </c>
      <c r="H533" s="12"/>
      <c r="I533" s="9"/>
      <c r="J533" s="9" t="s">
        <v>67</v>
      </c>
      <c r="K533" s="14"/>
      <c r="L533" s="14"/>
      <c r="M533" s="12">
        <v>104</v>
      </c>
      <c r="N533" s="9"/>
      <c r="O533" s="9"/>
      <c r="P533" s="9"/>
      <c r="Q533" s="38">
        <f t="shared" si="56"/>
        <v>104</v>
      </c>
      <c r="R533" s="12"/>
      <c r="S533" s="42"/>
      <c r="T533" s="15"/>
      <c r="U533" s="44"/>
      <c r="V533" s="15"/>
      <c r="W533" s="44"/>
      <c r="X533" s="15">
        <f t="shared" si="57"/>
        <v>0</v>
      </c>
      <c r="Y533" s="15"/>
      <c r="Z533" s="44"/>
      <c r="AA533" s="15"/>
      <c r="AB533" s="44"/>
      <c r="AC533" s="15"/>
      <c r="AD533" s="44"/>
      <c r="AE533" s="15"/>
      <c r="AF533" s="44"/>
      <c r="AG533" s="15">
        <f t="shared" si="58"/>
        <v>0</v>
      </c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/>
      <c r="BA533" s="42"/>
      <c r="BB533" s="15">
        <f t="shared" si="54"/>
        <v>0</v>
      </c>
      <c r="BC533" s="15"/>
      <c r="BD533" s="44"/>
      <c r="BE533" s="15"/>
      <c r="BF533" s="44"/>
      <c r="BG533" s="15">
        <f t="shared" si="55"/>
        <v>0</v>
      </c>
    </row>
    <row r="534" spans="1:59" s="8" customFormat="1" ht="22.5" customHeight="1">
      <c r="A534" s="9"/>
      <c r="B534" s="16" t="s">
        <v>172</v>
      </c>
      <c r="C534" s="89" t="s">
        <v>52</v>
      </c>
      <c r="D534" s="104" t="s">
        <v>889</v>
      </c>
      <c r="E534" s="104"/>
      <c r="F534" s="104" t="s">
        <v>2044</v>
      </c>
      <c r="G534" s="104" t="s">
        <v>2045</v>
      </c>
      <c r="H534" s="12"/>
      <c r="I534" s="9"/>
      <c r="J534" s="9" t="s">
        <v>67</v>
      </c>
      <c r="K534" s="14"/>
      <c r="L534" s="14"/>
      <c r="M534" s="12"/>
      <c r="N534" s="9"/>
      <c r="O534" s="9"/>
      <c r="P534" s="9"/>
      <c r="Q534" s="38">
        <f t="shared" si="56"/>
        <v>0</v>
      </c>
      <c r="R534" s="12"/>
      <c r="S534" s="42"/>
      <c r="T534" s="15"/>
      <c r="U534" s="44"/>
      <c r="V534" s="15"/>
      <c r="W534" s="44"/>
      <c r="X534" s="15">
        <f t="shared" si="57"/>
        <v>0</v>
      </c>
      <c r="Y534" s="15"/>
      <c r="Z534" s="44"/>
      <c r="AA534" s="15"/>
      <c r="AB534" s="44"/>
      <c r="AC534" s="15"/>
      <c r="AD534" s="44"/>
      <c r="AE534" s="15"/>
      <c r="AF534" s="44"/>
      <c r="AG534" s="15">
        <f t="shared" si="58"/>
        <v>0</v>
      </c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/>
      <c r="BA534" s="42"/>
      <c r="BB534" s="15">
        <f t="shared" si="54"/>
        <v>0</v>
      </c>
      <c r="BC534" s="15"/>
      <c r="BD534" s="44"/>
      <c r="BE534" s="15"/>
      <c r="BF534" s="44"/>
      <c r="BG534" s="15">
        <f t="shared" si="55"/>
        <v>0</v>
      </c>
    </row>
    <row r="535" spans="1:59" s="8" customFormat="1" ht="22.5" customHeight="1">
      <c r="A535" s="9"/>
      <c r="B535" s="16" t="s">
        <v>172</v>
      </c>
      <c r="C535" s="89" t="s">
        <v>1610</v>
      </c>
      <c r="D535" s="104" t="s">
        <v>500</v>
      </c>
      <c r="E535" s="104" t="s">
        <v>578</v>
      </c>
      <c r="F535" s="104" t="s">
        <v>2046</v>
      </c>
      <c r="G535" s="104" t="s">
        <v>2047</v>
      </c>
      <c r="H535" s="12"/>
      <c r="I535" s="9"/>
      <c r="J535" s="9" t="s">
        <v>67</v>
      </c>
      <c r="K535" s="14"/>
      <c r="L535" s="14"/>
      <c r="M535" s="12">
        <v>0</v>
      </c>
      <c r="N535" s="9"/>
      <c r="O535" s="9"/>
      <c r="P535" s="9"/>
      <c r="Q535" s="38">
        <f t="shared" si="56"/>
        <v>0</v>
      </c>
      <c r="R535" s="12"/>
      <c r="S535" s="42"/>
      <c r="T535" s="15"/>
      <c r="U535" s="44"/>
      <c r="V535" s="15"/>
      <c r="W535" s="44"/>
      <c r="X535" s="15">
        <f t="shared" si="57"/>
        <v>0</v>
      </c>
      <c r="Y535" s="15"/>
      <c r="Z535" s="44"/>
      <c r="AA535" s="15"/>
      <c r="AB535" s="44"/>
      <c r="AC535" s="15"/>
      <c r="AD535" s="44"/>
      <c r="AE535" s="15"/>
      <c r="AF535" s="44"/>
      <c r="AG535" s="15">
        <f t="shared" si="58"/>
        <v>0</v>
      </c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/>
      <c r="BA535" s="42"/>
      <c r="BB535" s="15">
        <f t="shared" si="54"/>
        <v>0</v>
      </c>
      <c r="BC535" s="15"/>
      <c r="BD535" s="44"/>
      <c r="BE535" s="15"/>
      <c r="BF535" s="44"/>
      <c r="BG535" s="15">
        <f t="shared" si="55"/>
        <v>0</v>
      </c>
    </row>
    <row r="536" spans="1:59" s="8" customFormat="1" ht="22.5" customHeight="1">
      <c r="A536" s="9"/>
      <c r="B536" s="16" t="s">
        <v>172</v>
      </c>
      <c r="C536" s="89" t="s">
        <v>52</v>
      </c>
      <c r="D536" s="104" t="s">
        <v>892</v>
      </c>
      <c r="E536" s="104" t="s">
        <v>894</v>
      </c>
      <c r="F536" s="104" t="s">
        <v>2048</v>
      </c>
      <c r="G536" s="104" t="s">
        <v>2049</v>
      </c>
      <c r="H536" s="12"/>
      <c r="I536" s="9"/>
      <c r="J536" s="9" t="s">
        <v>67</v>
      </c>
      <c r="K536" s="14"/>
      <c r="L536" s="14"/>
      <c r="M536" s="12"/>
      <c r="N536" s="9"/>
      <c r="O536" s="9"/>
      <c r="P536" s="9"/>
      <c r="Q536" s="38">
        <f t="shared" si="56"/>
        <v>0</v>
      </c>
      <c r="R536" s="12"/>
      <c r="S536" s="42"/>
      <c r="T536" s="15"/>
      <c r="U536" s="44"/>
      <c r="V536" s="15"/>
      <c r="W536" s="44"/>
      <c r="X536" s="15">
        <f t="shared" si="57"/>
        <v>0</v>
      </c>
      <c r="Y536" s="15"/>
      <c r="Z536" s="44"/>
      <c r="AA536" s="15"/>
      <c r="AB536" s="44"/>
      <c r="AC536" s="15"/>
      <c r="AD536" s="44"/>
      <c r="AE536" s="15"/>
      <c r="AF536" s="44"/>
      <c r="AG536" s="15">
        <f t="shared" si="58"/>
        <v>0</v>
      </c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/>
      <c r="BA536" s="42"/>
      <c r="BB536" s="15">
        <f t="shared" si="54"/>
        <v>0</v>
      </c>
      <c r="BC536" s="15"/>
      <c r="BD536" s="44"/>
      <c r="BE536" s="15"/>
      <c r="BF536" s="44"/>
      <c r="BG536" s="15">
        <f t="shared" si="55"/>
        <v>0</v>
      </c>
    </row>
    <row r="537" spans="1:59" s="8" customFormat="1" ht="22.5" customHeight="1">
      <c r="A537" s="9"/>
      <c r="B537" s="16" t="s">
        <v>172</v>
      </c>
      <c r="C537" s="89" t="s">
        <v>52</v>
      </c>
      <c r="D537" s="104" t="s">
        <v>895</v>
      </c>
      <c r="E537" s="104"/>
      <c r="F537" s="104" t="s">
        <v>2050</v>
      </c>
      <c r="G537" s="104" t="s">
        <v>2051</v>
      </c>
      <c r="H537" s="12"/>
      <c r="I537" s="9"/>
      <c r="J537" s="9" t="s">
        <v>67</v>
      </c>
      <c r="K537" s="14"/>
      <c r="L537" s="14"/>
      <c r="M537" s="12"/>
      <c r="N537" s="9"/>
      <c r="O537" s="9"/>
      <c r="P537" s="9"/>
      <c r="Q537" s="38">
        <f t="shared" si="56"/>
        <v>0</v>
      </c>
      <c r="R537" s="12"/>
      <c r="S537" s="42"/>
      <c r="T537" s="15"/>
      <c r="U537" s="44"/>
      <c r="V537" s="15"/>
      <c r="W537" s="44"/>
      <c r="X537" s="15">
        <f t="shared" si="57"/>
        <v>0</v>
      </c>
      <c r="Y537" s="15"/>
      <c r="Z537" s="44"/>
      <c r="AA537" s="15"/>
      <c r="AB537" s="44"/>
      <c r="AC537" s="15"/>
      <c r="AD537" s="44"/>
      <c r="AE537" s="15"/>
      <c r="AF537" s="44"/>
      <c r="AG537" s="15">
        <f t="shared" si="58"/>
        <v>0</v>
      </c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/>
      <c r="BA537" s="42"/>
      <c r="BB537" s="15">
        <f t="shared" si="54"/>
        <v>0</v>
      </c>
      <c r="BC537" s="15"/>
      <c r="BD537" s="44"/>
      <c r="BE537" s="15"/>
      <c r="BF537" s="44"/>
      <c r="BG537" s="15">
        <f t="shared" si="55"/>
        <v>0</v>
      </c>
    </row>
    <row r="538" spans="1:59" s="8" customFormat="1" ht="22.5" customHeight="1">
      <c r="A538" s="9"/>
      <c r="B538" s="16" t="s">
        <v>172</v>
      </c>
      <c r="C538" s="89" t="s">
        <v>52</v>
      </c>
      <c r="D538" s="104" t="s">
        <v>896</v>
      </c>
      <c r="E538" s="104"/>
      <c r="F538" s="104" t="s">
        <v>2052</v>
      </c>
      <c r="G538" s="104" t="s">
        <v>2053</v>
      </c>
      <c r="H538" s="12"/>
      <c r="I538" s="9"/>
      <c r="J538" s="9" t="s">
        <v>67</v>
      </c>
      <c r="K538" s="14"/>
      <c r="L538" s="14"/>
      <c r="M538" s="12"/>
      <c r="N538" s="9"/>
      <c r="O538" s="9"/>
      <c r="P538" s="9"/>
      <c r="Q538" s="38">
        <f t="shared" si="56"/>
        <v>0</v>
      </c>
      <c r="R538" s="12"/>
      <c r="S538" s="42"/>
      <c r="T538" s="15"/>
      <c r="U538" s="44"/>
      <c r="V538" s="15"/>
      <c r="W538" s="44"/>
      <c r="X538" s="15">
        <f t="shared" si="57"/>
        <v>0</v>
      </c>
      <c r="Y538" s="15"/>
      <c r="Z538" s="44"/>
      <c r="AA538" s="15"/>
      <c r="AB538" s="44"/>
      <c r="AC538" s="15"/>
      <c r="AD538" s="44"/>
      <c r="AE538" s="15"/>
      <c r="AF538" s="44"/>
      <c r="AG538" s="15">
        <f t="shared" si="58"/>
        <v>0</v>
      </c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/>
      <c r="BA538" s="42"/>
      <c r="BB538" s="15">
        <f t="shared" si="54"/>
        <v>0</v>
      </c>
      <c r="BC538" s="15"/>
      <c r="BD538" s="44"/>
      <c r="BE538" s="15"/>
      <c r="BF538" s="44"/>
      <c r="BG538" s="15">
        <f t="shared" si="55"/>
        <v>0</v>
      </c>
    </row>
    <row r="539" spans="1:59" s="8" customFormat="1" ht="22.5" customHeight="1">
      <c r="A539" s="9"/>
      <c r="B539" s="16" t="s">
        <v>172</v>
      </c>
      <c r="C539" s="89" t="s">
        <v>52</v>
      </c>
      <c r="D539" s="104" t="s">
        <v>897</v>
      </c>
      <c r="E539" s="104"/>
      <c r="F539" s="104" t="s">
        <v>2054</v>
      </c>
      <c r="G539" s="104" t="s">
        <v>2055</v>
      </c>
      <c r="H539" s="12"/>
      <c r="I539" s="9"/>
      <c r="J539" s="9" t="s">
        <v>67</v>
      </c>
      <c r="K539" s="14"/>
      <c r="L539" s="14"/>
      <c r="M539" s="12"/>
      <c r="N539" s="9"/>
      <c r="O539" s="9"/>
      <c r="P539" s="9"/>
      <c r="Q539" s="38">
        <f t="shared" si="56"/>
        <v>0</v>
      </c>
      <c r="R539" s="12"/>
      <c r="S539" s="42"/>
      <c r="T539" s="15"/>
      <c r="U539" s="44"/>
      <c r="V539" s="15"/>
      <c r="W539" s="44"/>
      <c r="X539" s="15">
        <f t="shared" si="57"/>
        <v>0</v>
      </c>
      <c r="Y539" s="15"/>
      <c r="Z539" s="44"/>
      <c r="AA539" s="15"/>
      <c r="AB539" s="44"/>
      <c r="AC539" s="15"/>
      <c r="AD539" s="44"/>
      <c r="AE539" s="15"/>
      <c r="AF539" s="44"/>
      <c r="AG539" s="15">
        <f t="shared" si="58"/>
        <v>0</v>
      </c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/>
      <c r="BA539" s="42"/>
      <c r="BB539" s="15">
        <f t="shared" si="54"/>
        <v>0</v>
      </c>
      <c r="BC539" s="15"/>
      <c r="BD539" s="44"/>
      <c r="BE539" s="15"/>
      <c r="BF539" s="44"/>
      <c r="BG539" s="15">
        <f t="shared" si="55"/>
        <v>0</v>
      </c>
    </row>
    <row r="540" spans="1:59" s="8" customFormat="1" ht="22.5" customHeight="1">
      <c r="A540" s="9"/>
      <c r="B540" s="16" t="s">
        <v>172</v>
      </c>
      <c r="C540" s="89" t="s">
        <v>52</v>
      </c>
      <c r="D540" s="104" t="s">
        <v>900</v>
      </c>
      <c r="E540" s="104" t="s">
        <v>737</v>
      </c>
      <c r="F540" s="104" t="s">
        <v>2056</v>
      </c>
      <c r="G540" s="104" t="s">
        <v>2057</v>
      </c>
      <c r="H540" s="12"/>
      <c r="I540" s="9"/>
      <c r="J540" s="9" t="s">
        <v>67</v>
      </c>
      <c r="K540" s="14"/>
      <c r="L540" s="14"/>
      <c r="M540" s="12"/>
      <c r="N540" s="9"/>
      <c r="O540" s="9"/>
      <c r="P540" s="9"/>
      <c r="Q540" s="38">
        <f t="shared" si="56"/>
        <v>0</v>
      </c>
      <c r="R540" s="12"/>
      <c r="S540" s="42"/>
      <c r="T540" s="15"/>
      <c r="U540" s="44"/>
      <c r="V540" s="15"/>
      <c r="W540" s="44"/>
      <c r="X540" s="15">
        <f t="shared" si="57"/>
        <v>0</v>
      </c>
      <c r="Y540" s="15"/>
      <c r="Z540" s="44"/>
      <c r="AA540" s="15"/>
      <c r="AB540" s="44"/>
      <c r="AC540" s="15"/>
      <c r="AD540" s="44"/>
      <c r="AE540" s="15"/>
      <c r="AF540" s="44"/>
      <c r="AG540" s="15">
        <f t="shared" si="58"/>
        <v>0</v>
      </c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/>
      <c r="BA540" s="42"/>
      <c r="BB540" s="15">
        <f t="shared" si="54"/>
        <v>0</v>
      </c>
      <c r="BC540" s="15"/>
      <c r="BD540" s="44"/>
      <c r="BE540" s="15"/>
      <c r="BF540" s="44"/>
      <c r="BG540" s="15">
        <f t="shared" si="55"/>
        <v>0</v>
      </c>
    </row>
    <row r="541" spans="1:59" s="8" customFormat="1" ht="22.5" customHeight="1">
      <c r="A541" s="9"/>
      <c r="B541" s="16" t="s">
        <v>172</v>
      </c>
      <c r="C541" s="89" t="s">
        <v>52</v>
      </c>
      <c r="D541" s="104" t="s">
        <v>900</v>
      </c>
      <c r="E541" s="104" t="s">
        <v>136</v>
      </c>
      <c r="F541" s="104" t="s">
        <v>2058</v>
      </c>
      <c r="G541" s="104" t="s">
        <v>2059</v>
      </c>
      <c r="H541" s="12"/>
      <c r="I541" s="9"/>
      <c r="J541" s="9" t="s">
        <v>67</v>
      </c>
      <c r="K541" s="14"/>
      <c r="L541" s="14"/>
      <c r="M541" s="12"/>
      <c r="N541" s="9"/>
      <c r="O541" s="9"/>
      <c r="P541" s="9"/>
      <c r="Q541" s="38">
        <f t="shared" si="56"/>
        <v>0</v>
      </c>
      <c r="R541" s="12"/>
      <c r="S541" s="42"/>
      <c r="T541" s="15"/>
      <c r="U541" s="44"/>
      <c r="V541" s="15"/>
      <c r="W541" s="44"/>
      <c r="X541" s="15">
        <f t="shared" si="57"/>
        <v>0</v>
      </c>
      <c r="Y541" s="15"/>
      <c r="Z541" s="44"/>
      <c r="AA541" s="15"/>
      <c r="AB541" s="44"/>
      <c r="AC541" s="15"/>
      <c r="AD541" s="44"/>
      <c r="AE541" s="15"/>
      <c r="AF541" s="44"/>
      <c r="AG541" s="15">
        <f t="shared" si="58"/>
        <v>0</v>
      </c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/>
      <c r="BA541" s="42"/>
      <c r="BB541" s="15">
        <f t="shared" si="54"/>
        <v>0</v>
      </c>
      <c r="BC541" s="15"/>
      <c r="BD541" s="44"/>
      <c r="BE541" s="15"/>
      <c r="BF541" s="44"/>
      <c r="BG541" s="15">
        <f t="shared" si="55"/>
        <v>0</v>
      </c>
    </row>
    <row r="542" spans="1:59" s="8" customFormat="1" ht="22.5" customHeight="1">
      <c r="A542" s="9"/>
      <c r="B542" s="16" t="s">
        <v>120</v>
      </c>
      <c r="C542" s="89" t="s">
        <v>52</v>
      </c>
      <c r="D542" s="104" t="s">
        <v>901</v>
      </c>
      <c r="E542" s="104" t="s">
        <v>902</v>
      </c>
      <c r="F542" s="104" t="s">
        <v>2060</v>
      </c>
      <c r="G542" s="104" t="s">
        <v>2061</v>
      </c>
      <c r="H542" s="12"/>
      <c r="I542" s="9"/>
      <c r="J542" s="9" t="s">
        <v>67</v>
      </c>
      <c r="K542" s="14"/>
      <c r="L542" s="14"/>
      <c r="M542" s="12"/>
      <c r="N542" s="9"/>
      <c r="O542" s="9"/>
      <c r="P542" s="9"/>
      <c r="Q542" s="38">
        <f t="shared" si="56"/>
        <v>0</v>
      </c>
      <c r="R542" s="12"/>
      <c r="S542" s="42"/>
      <c r="T542" s="15"/>
      <c r="U542" s="44"/>
      <c r="V542" s="15"/>
      <c r="W542" s="44"/>
      <c r="X542" s="15">
        <f t="shared" si="57"/>
        <v>0</v>
      </c>
      <c r="Y542" s="15"/>
      <c r="Z542" s="44"/>
      <c r="AA542" s="15"/>
      <c r="AB542" s="44"/>
      <c r="AC542" s="15"/>
      <c r="AD542" s="44"/>
      <c r="AE542" s="15"/>
      <c r="AF542" s="44"/>
      <c r="AG542" s="15">
        <f t="shared" si="58"/>
        <v>0</v>
      </c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/>
      <c r="BA542" s="42"/>
      <c r="BB542" s="15">
        <f t="shared" si="54"/>
        <v>0</v>
      </c>
      <c r="BC542" s="15"/>
      <c r="BD542" s="44"/>
      <c r="BE542" s="15"/>
      <c r="BF542" s="44"/>
      <c r="BG542" s="15">
        <f t="shared" si="55"/>
        <v>0</v>
      </c>
    </row>
    <row r="543" spans="1:59" s="8" customFormat="1" ht="22.5" customHeight="1">
      <c r="A543" s="9"/>
      <c r="B543" s="16" t="s">
        <v>120</v>
      </c>
      <c r="C543" s="89" t="s">
        <v>52</v>
      </c>
      <c r="D543" s="104" t="s">
        <v>202</v>
      </c>
      <c r="E543" s="104" t="s">
        <v>903</v>
      </c>
      <c r="F543" s="104" t="s">
        <v>2062</v>
      </c>
      <c r="G543" s="104" t="s">
        <v>2063</v>
      </c>
      <c r="H543" s="12"/>
      <c r="I543" s="9"/>
      <c r="J543" s="9" t="s">
        <v>67</v>
      </c>
      <c r="K543" s="14"/>
      <c r="L543" s="14"/>
      <c r="M543" s="12"/>
      <c r="N543" s="9"/>
      <c r="O543" s="9"/>
      <c r="P543" s="9"/>
      <c r="Q543" s="38">
        <f t="shared" si="56"/>
        <v>0</v>
      </c>
      <c r="R543" s="12"/>
      <c r="S543" s="42"/>
      <c r="T543" s="15"/>
      <c r="U543" s="44"/>
      <c r="V543" s="15"/>
      <c r="W543" s="44"/>
      <c r="X543" s="15">
        <f t="shared" si="57"/>
        <v>0</v>
      </c>
      <c r="Y543" s="15"/>
      <c r="Z543" s="44"/>
      <c r="AA543" s="15"/>
      <c r="AB543" s="44"/>
      <c r="AC543" s="15"/>
      <c r="AD543" s="44"/>
      <c r="AE543" s="15"/>
      <c r="AF543" s="44"/>
      <c r="AG543" s="15">
        <f t="shared" si="58"/>
        <v>0</v>
      </c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/>
      <c r="BA543" s="42"/>
      <c r="BB543" s="15">
        <f t="shared" si="54"/>
        <v>0</v>
      </c>
      <c r="BC543" s="15"/>
      <c r="BD543" s="44"/>
      <c r="BE543" s="15"/>
      <c r="BF543" s="44"/>
      <c r="BG543" s="15">
        <f t="shared" si="55"/>
        <v>0</v>
      </c>
    </row>
    <row r="544" spans="1:59" s="8" customFormat="1" ht="22.5" customHeight="1">
      <c r="A544" s="9"/>
      <c r="B544" s="16" t="s">
        <v>120</v>
      </c>
      <c r="C544" s="89" t="s">
        <v>494</v>
      </c>
      <c r="D544" s="104" t="s">
        <v>904</v>
      </c>
      <c r="E544" s="104" t="s">
        <v>905</v>
      </c>
      <c r="F544" s="104" t="s">
        <v>2064</v>
      </c>
      <c r="G544" s="104" t="s">
        <v>2065</v>
      </c>
      <c r="H544" s="12"/>
      <c r="I544" s="9"/>
      <c r="J544" s="9" t="s">
        <v>67</v>
      </c>
      <c r="K544" s="14"/>
      <c r="L544" s="14"/>
      <c r="M544" s="12"/>
      <c r="N544" s="9"/>
      <c r="O544" s="9"/>
      <c r="P544" s="9"/>
      <c r="Q544" s="38">
        <f t="shared" si="56"/>
        <v>0</v>
      </c>
      <c r="R544" s="12"/>
      <c r="S544" s="42"/>
      <c r="T544" s="15"/>
      <c r="U544" s="44"/>
      <c r="V544" s="15"/>
      <c r="W544" s="44"/>
      <c r="X544" s="15">
        <f t="shared" si="57"/>
        <v>0</v>
      </c>
      <c r="Y544" s="15"/>
      <c r="Z544" s="44"/>
      <c r="AA544" s="15"/>
      <c r="AB544" s="44"/>
      <c r="AC544" s="15"/>
      <c r="AD544" s="44"/>
      <c r="AE544" s="15"/>
      <c r="AF544" s="44"/>
      <c r="AG544" s="15">
        <f t="shared" si="58"/>
        <v>0</v>
      </c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/>
      <c r="BA544" s="42"/>
      <c r="BB544" s="15">
        <f t="shared" si="54"/>
        <v>0</v>
      </c>
      <c r="BC544" s="15"/>
      <c r="BD544" s="44"/>
      <c r="BE544" s="15"/>
      <c r="BF544" s="44"/>
      <c r="BG544" s="15">
        <f t="shared" si="55"/>
        <v>0</v>
      </c>
    </row>
    <row r="545" spans="1:59" s="8" customFormat="1" ht="22.5" customHeight="1">
      <c r="A545" s="9"/>
      <c r="B545" s="16" t="s">
        <v>120</v>
      </c>
      <c r="C545" s="89" t="s">
        <v>52</v>
      </c>
      <c r="D545" s="104" t="s">
        <v>881</v>
      </c>
      <c r="E545" s="104" t="s">
        <v>906</v>
      </c>
      <c r="F545" s="104" t="s">
        <v>2066</v>
      </c>
      <c r="G545" s="104" t="s">
        <v>2067</v>
      </c>
      <c r="H545" s="12"/>
      <c r="I545" s="9"/>
      <c r="J545" s="9" t="s">
        <v>67</v>
      </c>
      <c r="K545" s="14"/>
      <c r="L545" s="14"/>
      <c r="M545" s="12"/>
      <c r="N545" s="9"/>
      <c r="O545" s="9"/>
      <c r="P545" s="9"/>
      <c r="Q545" s="38">
        <f t="shared" si="56"/>
        <v>0</v>
      </c>
      <c r="R545" s="12"/>
      <c r="S545" s="42"/>
      <c r="T545" s="15"/>
      <c r="U545" s="44"/>
      <c r="V545" s="15"/>
      <c r="W545" s="44"/>
      <c r="X545" s="15">
        <f t="shared" si="57"/>
        <v>0</v>
      </c>
      <c r="Y545" s="15"/>
      <c r="Z545" s="44"/>
      <c r="AA545" s="15"/>
      <c r="AB545" s="44"/>
      <c r="AC545" s="15"/>
      <c r="AD545" s="44"/>
      <c r="AE545" s="15"/>
      <c r="AF545" s="44"/>
      <c r="AG545" s="15">
        <f t="shared" si="58"/>
        <v>0</v>
      </c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/>
      <c r="BA545" s="42"/>
      <c r="BB545" s="15">
        <f t="shared" si="54"/>
        <v>0</v>
      </c>
      <c r="BC545" s="15"/>
      <c r="BD545" s="44"/>
      <c r="BE545" s="15"/>
      <c r="BF545" s="44"/>
      <c r="BG545" s="15">
        <f t="shared" si="55"/>
        <v>0</v>
      </c>
    </row>
    <row r="546" spans="1:59" s="8" customFormat="1" ht="22.5" customHeight="1">
      <c r="A546" s="9"/>
      <c r="B546" s="16" t="s">
        <v>120</v>
      </c>
      <c r="C546" s="89" t="s">
        <v>52</v>
      </c>
      <c r="D546" s="104" t="s">
        <v>907</v>
      </c>
      <c r="E546" s="104" t="s">
        <v>908</v>
      </c>
      <c r="F546" s="104" t="s">
        <v>2068</v>
      </c>
      <c r="G546" s="104" t="s">
        <v>2069</v>
      </c>
      <c r="H546" s="12"/>
      <c r="I546" s="9"/>
      <c r="J546" s="9" t="s">
        <v>67</v>
      </c>
      <c r="K546" s="14"/>
      <c r="L546" s="14"/>
      <c r="M546" s="12"/>
      <c r="N546" s="9"/>
      <c r="O546" s="9"/>
      <c r="P546" s="9"/>
      <c r="Q546" s="38">
        <f t="shared" si="56"/>
        <v>0</v>
      </c>
      <c r="R546" s="12"/>
      <c r="S546" s="42"/>
      <c r="T546" s="15"/>
      <c r="U546" s="44"/>
      <c r="V546" s="15"/>
      <c r="W546" s="44"/>
      <c r="X546" s="15">
        <f t="shared" si="57"/>
        <v>0</v>
      </c>
      <c r="Y546" s="15"/>
      <c r="Z546" s="44"/>
      <c r="AA546" s="15"/>
      <c r="AB546" s="44"/>
      <c r="AC546" s="15"/>
      <c r="AD546" s="44"/>
      <c r="AE546" s="15"/>
      <c r="AF546" s="44"/>
      <c r="AG546" s="15">
        <f t="shared" si="58"/>
        <v>0</v>
      </c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/>
      <c r="BA546" s="42"/>
      <c r="BB546" s="15">
        <f t="shared" si="54"/>
        <v>0</v>
      </c>
      <c r="BC546" s="15"/>
      <c r="BD546" s="44"/>
      <c r="BE546" s="15"/>
      <c r="BF546" s="44"/>
      <c r="BG546" s="15">
        <f t="shared" si="55"/>
        <v>0</v>
      </c>
    </row>
    <row r="547" spans="1:59" s="8" customFormat="1" ht="22.5" customHeight="1">
      <c r="A547" s="9"/>
      <c r="B547" s="16" t="s">
        <v>120</v>
      </c>
      <c r="C547" s="89" t="s">
        <v>52</v>
      </c>
      <c r="D547" s="104" t="s">
        <v>909</v>
      </c>
      <c r="E547" s="104" t="s">
        <v>910</v>
      </c>
      <c r="F547" s="104" t="s">
        <v>2070</v>
      </c>
      <c r="G547" s="104" t="s">
        <v>2071</v>
      </c>
      <c r="H547" s="12"/>
      <c r="I547" s="9"/>
      <c r="J547" s="9" t="s">
        <v>67</v>
      </c>
      <c r="K547" s="14"/>
      <c r="L547" s="14"/>
      <c r="M547" s="12"/>
      <c r="N547" s="9"/>
      <c r="O547" s="9"/>
      <c r="P547" s="9"/>
      <c r="Q547" s="38">
        <f t="shared" si="56"/>
        <v>0</v>
      </c>
      <c r="R547" s="12"/>
      <c r="S547" s="42"/>
      <c r="T547" s="15"/>
      <c r="U547" s="44"/>
      <c r="V547" s="15"/>
      <c r="W547" s="44"/>
      <c r="X547" s="15">
        <f t="shared" si="57"/>
        <v>0</v>
      </c>
      <c r="Y547" s="15"/>
      <c r="Z547" s="44"/>
      <c r="AA547" s="15"/>
      <c r="AB547" s="44"/>
      <c r="AC547" s="15"/>
      <c r="AD547" s="44"/>
      <c r="AE547" s="15"/>
      <c r="AF547" s="44"/>
      <c r="AG547" s="15">
        <f t="shared" si="58"/>
        <v>0</v>
      </c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/>
      <c r="BA547" s="42"/>
      <c r="BB547" s="15">
        <f t="shared" si="54"/>
        <v>0</v>
      </c>
      <c r="BC547" s="15"/>
      <c r="BD547" s="44"/>
      <c r="BE547" s="15"/>
      <c r="BF547" s="44"/>
      <c r="BG547" s="15">
        <f t="shared" si="55"/>
        <v>0</v>
      </c>
    </row>
    <row r="548" spans="1:59" s="8" customFormat="1" ht="22.5" customHeight="1">
      <c r="A548" s="9"/>
      <c r="B548" s="16" t="s">
        <v>120</v>
      </c>
      <c r="C548" s="89" t="s">
        <v>52</v>
      </c>
      <c r="D548" s="104" t="s">
        <v>911</v>
      </c>
      <c r="E548" s="104" t="s">
        <v>525</v>
      </c>
      <c r="F548" s="104" t="s">
        <v>2072</v>
      </c>
      <c r="G548" s="104" t="s">
        <v>2073</v>
      </c>
      <c r="H548" s="12"/>
      <c r="I548" s="9"/>
      <c r="J548" s="9" t="s">
        <v>67</v>
      </c>
      <c r="K548" s="14"/>
      <c r="L548" s="14"/>
      <c r="M548" s="12"/>
      <c r="N548" s="9"/>
      <c r="O548" s="9"/>
      <c r="P548" s="9"/>
      <c r="Q548" s="38">
        <f t="shared" si="56"/>
        <v>0</v>
      </c>
      <c r="R548" s="12"/>
      <c r="S548" s="42"/>
      <c r="T548" s="15"/>
      <c r="U548" s="44"/>
      <c r="V548" s="15"/>
      <c r="W548" s="44"/>
      <c r="X548" s="15">
        <f t="shared" si="57"/>
        <v>0</v>
      </c>
      <c r="Y548" s="15"/>
      <c r="Z548" s="44"/>
      <c r="AA548" s="15"/>
      <c r="AB548" s="44"/>
      <c r="AC548" s="15"/>
      <c r="AD548" s="44"/>
      <c r="AE548" s="15"/>
      <c r="AF548" s="44"/>
      <c r="AG548" s="15">
        <f t="shared" si="58"/>
        <v>0</v>
      </c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/>
      <c r="BA548" s="42"/>
      <c r="BB548" s="15">
        <f t="shared" si="54"/>
        <v>0</v>
      </c>
      <c r="BC548" s="15"/>
      <c r="BD548" s="44"/>
      <c r="BE548" s="15"/>
      <c r="BF548" s="44"/>
      <c r="BG548" s="15">
        <f t="shared" si="55"/>
        <v>0</v>
      </c>
    </row>
    <row r="549" spans="1:59" s="8" customFormat="1" ht="22.5" customHeight="1">
      <c r="A549" s="9"/>
      <c r="B549" s="16" t="s">
        <v>120</v>
      </c>
      <c r="C549" s="89" t="s">
        <v>52</v>
      </c>
      <c r="D549" s="104" t="s">
        <v>912</v>
      </c>
      <c r="E549" s="104" t="s">
        <v>913</v>
      </c>
      <c r="F549" s="104" t="s">
        <v>2074</v>
      </c>
      <c r="G549" s="104" t="s">
        <v>2075</v>
      </c>
      <c r="H549" s="12"/>
      <c r="I549" s="9"/>
      <c r="J549" s="9" t="s">
        <v>67</v>
      </c>
      <c r="K549" s="14"/>
      <c r="L549" s="14"/>
      <c r="M549" s="12"/>
      <c r="N549" s="9"/>
      <c r="O549" s="9"/>
      <c r="P549" s="9"/>
      <c r="Q549" s="38">
        <f t="shared" si="56"/>
        <v>0</v>
      </c>
      <c r="R549" s="12"/>
      <c r="S549" s="42"/>
      <c r="T549" s="15"/>
      <c r="U549" s="44"/>
      <c r="V549" s="15"/>
      <c r="W549" s="44"/>
      <c r="X549" s="15">
        <f t="shared" si="57"/>
        <v>0</v>
      </c>
      <c r="Y549" s="15"/>
      <c r="Z549" s="44"/>
      <c r="AA549" s="15"/>
      <c r="AB549" s="44"/>
      <c r="AC549" s="15"/>
      <c r="AD549" s="44"/>
      <c r="AE549" s="15"/>
      <c r="AF549" s="44"/>
      <c r="AG549" s="15">
        <f t="shared" si="58"/>
        <v>0</v>
      </c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/>
      <c r="BA549" s="42"/>
      <c r="BB549" s="15">
        <f t="shared" si="54"/>
        <v>0</v>
      </c>
      <c r="BC549" s="15"/>
      <c r="BD549" s="44"/>
      <c r="BE549" s="15"/>
      <c r="BF549" s="44"/>
      <c r="BG549" s="15">
        <f t="shared" si="55"/>
        <v>0</v>
      </c>
    </row>
    <row r="550" spans="1:59" s="8" customFormat="1" ht="22.5" customHeight="1">
      <c r="A550" s="9"/>
      <c r="B550" s="16" t="s">
        <v>120</v>
      </c>
      <c r="C550" s="89" t="s">
        <v>52</v>
      </c>
      <c r="D550" s="104" t="s">
        <v>914</v>
      </c>
      <c r="E550" s="104" t="s">
        <v>915</v>
      </c>
      <c r="F550" s="104" t="s">
        <v>2076</v>
      </c>
      <c r="G550" s="104" t="s">
        <v>2077</v>
      </c>
      <c r="H550" s="12"/>
      <c r="I550" s="9"/>
      <c r="J550" s="9" t="s">
        <v>67</v>
      </c>
      <c r="K550" s="14"/>
      <c r="L550" s="14"/>
      <c r="M550" s="12"/>
      <c r="N550" s="9"/>
      <c r="O550" s="9"/>
      <c r="P550" s="9"/>
      <c r="Q550" s="38">
        <f t="shared" si="56"/>
        <v>0</v>
      </c>
      <c r="R550" s="12"/>
      <c r="S550" s="42"/>
      <c r="T550" s="15"/>
      <c r="U550" s="44"/>
      <c r="V550" s="15"/>
      <c r="W550" s="44"/>
      <c r="X550" s="15">
        <f t="shared" si="57"/>
        <v>0</v>
      </c>
      <c r="Y550" s="15"/>
      <c r="Z550" s="44"/>
      <c r="AA550" s="15"/>
      <c r="AB550" s="44"/>
      <c r="AC550" s="15"/>
      <c r="AD550" s="44"/>
      <c r="AE550" s="15"/>
      <c r="AF550" s="44"/>
      <c r="AG550" s="15">
        <f t="shared" si="58"/>
        <v>0</v>
      </c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/>
      <c r="BA550" s="42"/>
      <c r="BB550" s="15">
        <f t="shared" si="54"/>
        <v>0</v>
      </c>
      <c r="BC550" s="15"/>
      <c r="BD550" s="44"/>
      <c r="BE550" s="15"/>
      <c r="BF550" s="44"/>
      <c r="BG550" s="15">
        <f t="shared" si="55"/>
        <v>0</v>
      </c>
    </row>
    <row r="551" spans="1:59" s="8" customFormat="1" ht="22.5" customHeight="1">
      <c r="A551" s="9"/>
      <c r="B551" s="16" t="s">
        <v>528</v>
      </c>
      <c r="C551" s="89" t="s">
        <v>494</v>
      </c>
      <c r="D551" s="104" t="s">
        <v>918</v>
      </c>
      <c r="E551" s="104" t="s">
        <v>917</v>
      </c>
      <c r="F551" s="104" t="s">
        <v>2078</v>
      </c>
      <c r="G551" s="104" t="s">
        <v>2079</v>
      </c>
      <c r="H551" s="12"/>
      <c r="I551" s="9"/>
      <c r="J551" s="9" t="s">
        <v>527</v>
      </c>
      <c r="K551" s="14"/>
      <c r="L551" s="14"/>
      <c r="M551" s="12"/>
      <c r="N551" s="9"/>
      <c r="O551" s="9"/>
      <c r="P551" s="9"/>
      <c r="Q551" s="38">
        <f t="shared" si="56"/>
        <v>0</v>
      </c>
      <c r="R551" s="12"/>
      <c r="S551" s="42"/>
      <c r="T551" s="15"/>
      <c r="U551" s="44"/>
      <c r="V551" s="15"/>
      <c r="W551" s="44"/>
      <c r="X551" s="15">
        <f t="shared" si="57"/>
        <v>0</v>
      </c>
      <c r="Y551" s="15"/>
      <c r="Z551" s="44"/>
      <c r="AA551" s="15"/>
      <c r="AB551" s="44"/>
      <c r="AC551" s="15"/>
      <c r="AD551" s="44"/>
      <c r="AE551" s="15"/>
      <c r="AF551" s="44"/>
      <c r="AG551" s="15">
        <f t="shared" si="58"/>
        <v>0</v>
      </c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/>
      <c r="BA551" s="42"/>
      <c r="BB551" s="15">
        <f t="shared" si="54"/>
        <v>0</v>
      </c>
      <c r="BC551" s="15"/>
      <c r="BD551" s="44"/>
      <c r="BE551" s="15"/>
      <c r="BF551" s="44"/>
      <c r="BG551" s="15">
        <f t="shared" si="55"/>
        <v>0</v>
      </c>
    </row>
    <row r="552" spans="1:59" s="8" customFormat="1" ht="22.5" customHeight="1">
      <c r="A552" s="9"/>
      <c r="B552" s="16" t="s">
        <v>204</v>
      </c>
      <c r="C552" s="89" t="s">
        <v>52</v>
      </c>
      <c r="D552" s="104" t="s">
        <v>919</v>
      </c>
      <c r="E552" s="104" t="s">
        <v>531</v>
      </c>
      <c r="F552" s="104" t="s">
        <v>2080</v>
      </c>
      <c r="G552" s="104" t="s">
        <v>2081</v>
      </c>
      <c r="H552" s="12"/>
      <c r="I552" s="9"/>
      <c r="J552" s="9" t="s">
        <v>207</v>
      </c>
      <c r="K552" s="14"/>
      <c r="L552" s="14"/>
      <c r="M552" s="12"/>
      <c r="N552" s="9"/>
      <c r="O552" s="9"/>
      <c r="P552" s="9"/>
      <c r="Q552" s="38">
        <f t="shared" si="56"/>
        <v>0</v>
      </c>
      <c r="R552" s="12"/>
      <c r="S552" s="42"/>
      <c r="T552" s="15"/>
      <c r="U552" s="44"/>
      <c r="V552" s="15"/>
      <c r="W552" s="44"/>
      <c r="X552" s="15">
        <f t="shared" si="57"/>
        <v>0</v>
      </c>
      <c r="Y552" s="15"/>
      <c r="Z552" s="44"/>
      <c r="AA552" s="15"/>
      <c r="AB552" s="44"/>
      <c r="AC552" s="15"/>
      <c r="AD552" s="44"/>
      <c r="AE552" s="15"/>
      <c r="AF552" s="44"/>
      <c r="AG552" s="15">
        <f t="shared" si="58"/>
        <v>0</v>
      </c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/>
      <c r="BA552" s="42"/>
      <c r="BB552" s="15">
        <f t="shared" si="54"/>
        <v>0</v>
      </c>
      <c r="BC552" s="15"/>
      <c r="BD552" s="44"/>
      <c r="BE552" s="15"/>
      <c r="BF552" s="44"/>
      <c r="BG552" s="15">
        <f t="shared" si="55"/>
        <v>0</v>
      </c>
    </row>
    <row r="553" spans="1:59" s="8" customFormat="1" ht="22.5" customHeight="1">
      <c r="A553" s="9"/>
      <c r="B553" s="16" t="s">
        <v>204</v>
      </c>
      <c r="C553" s="89" t="s">
        <v>52</v>
      </c>
      <c r="D553" s="104" t="s">
        <v>920</v>
      </c>
      <c r="E553" s="104" t="s">
        <v>531</v>
      </c>
      <c r="F553" s="104" t="s">
        <v>2082</v>
      </c>
      <c r="G553" s="104" t="s">
        <v>2083</v>
      </c>
      <c r="H553" s="12"/>
      <c r="I553" s="9"/>
      <c r="J553" s="9" t="s">
        <v>207</v>
      </c>
      <c r="K553" s="14"/>
      <c r="L553" s="14"/>
      <c r="M553" s="12">
        <v>0</v>
      </c>
      <c r="N553" s="9"/>
      <c r="O553" s="9"/>
      <c r="P553" s="9"/>
      <c r="Q553" s="38">
        <f t="shared" si="56"/>
        <v>0</v>
      </c>
      <c r="R553" s="12"/>
      <c r="S553" s="42"/>
      <c r="T553" s="15"/>
      <c r="U553" s="44"/>
      <c r="V553" s="15"/>
      <c r="W553" s="44"/>
      <c r="X553" s="15">
        <f t="shared" si="57"/>
        <v>0</v>
      </c>
      <c r="Y553" s="15"/>
      <c r="Z553" s="44"/>
      <c r="AA553" s="15"/>
      <c r="AB553" s="44"/>
      <c r="AC553" s="15"/>
      <c r="AD553" s="44"/>
      <c r="AE553" s="15"/>
      <c r="AF553" s="44"/>
      <c r="AG553" s="15">
        <f t="shared" si="58"/>
        <v>0</v>
      </c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/>
      <c r="BA553" s="42"/>
      <c r="BB553" s="15">
        <f t="shared" si="54"/>
        <v>0</v>
      </c>
      <c r="BC553" s="15"/>
      <c r="BD553" s="44"/>
      <c r="BE553" s="15"/>
      <c r="BF553" s="44"/>
      <c r="BG553" s="15">
        <f t="shared" si="55"/>
        <v>0</v>
      </c>
    </row>
    <row r="554" spans="1:59" s="8" customFormat="1" ht="22.5" customHeight="1">
      <c r="A554" s="9"/>
      <c r="B554" s="16" t="s">
        <v>204</v>
      </c>
      <c r="C554" s="89" t="s">
        <v>52</v>
      </c>
      <c r="D554" s="104" t="s">
        <v>921</v>
      </c>
      <c r="E554" s="104" t="s">
        <v>531</v>
      </c>
      <c r="F554" s="104" t="s">
        <v>2084</v>
      </c>
      <c r="G554" s="104" t="s">
        <v>2085</v>
      </c>
      <c r="H554" s="12"/>
      <c r="I554" s="9"/>
      <c r="J554" s="9" t="s">
        <v>207</v>
      </c>
      <c r="K554" s="14"/>
      <c r="L554" s="14"/>
      <c r="M554" s="12">
        <v>0</v>
      </c>
      <c r="N554" s="9"/>
      <c r="O554" s="9"/>
      <c r="P554" s="9"/>
      <c r="Q554" s="38">
        <f t="shared" si="56"/>
        <v>0</v>
      </c>
      <c r="R554" s="12"/>
      <c r="S554" s="42"/>
      <c r="T554" s="15"/>
      <c r="U554" s="44"/>
      <c r="V554" s="15"/>
      <c r="W554" s="44"/>
      <c r="X554" s="15">
        <f t="shared" si="57"/>
        <v>0</v>
      </c>
      <c r="Y554" s="15"/>
      <c r="Z554" s="44"/>
      <c r="AA554" s="15"/>
      <c r="AB554" s="44"/>
      <c r="AC554" s="15"/>
      <c r="AD554" s="44"/>
      <c r="AE554" s="15"/>
      <c r="AF554" s="44"/>
      <c r="AG554" s="15">
        <f t="shared" si="58"/>
        <v>0</v>
      </c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/>
      <c r="BA554" s="42"/>
      <c r="BB554" s="15">
        <f t="shared" si="54"/>
        <v>0</v>
      </c>
      <c r="BC554" s="15"/>
      <c r="BD554" s="44"/>
      <c r="BE554" s="15"/>
      <c r="BF554" s="44"/>
      <c r="BG554" s="15">
        <f t="shared" si="55"/>
        <v>0</v>
      </c>
    </row>
    <row r="555" spans="1:59" s="8" customFormat="1" ht="22.5" customHeight="1">
      <c r="A555" s="9"/>
      <c r="B555" s="16" t="s">
        <v>204</v>
      </c>
      <c r="C555" s="89" t="s">
        <v>52</v>
      </c>
      <c r="D555" s="104" t="s">
        <v>922</v>
      </c>
      <c r="E555" s="104" t="s">
        <v>923</v>
      </c>
      <c r="F555" s="104" t="s">
        <v>2086</v>
      </c>
      <c r="G555" s="104" t="s">
        <v>2087</v>
      </c>
      <c r="H555" s="12"/>
      <c r="I555" s="9"/>
      <c r="J555" s="9" t="s">
        <v>207</v>
      </c>
      <c r="K555" s="14"/>
      <c r="L555" s="14"/>
      <c r="M555" s="12"/>
      <c r="N555" s="9"/>
      <c r="O555" s="9"/>
      <c r="P555" s="9"/>
      <c r="Q555" s="38">
        <f t="shared" si="56"/>
        <v>0</v>
      </c>
      <c r="R555" s="12"/>
      <c r="S555" s="42"/>
      <c r="T555" s="15"/>
      <c r="U555" s="44"/>
      <c r="V555" s="15"/>
      <c r="W555" s="44"/>
      <c r="X555" s="15">
        <f t="shared" si="57"/>
        <v>0</v>
      </c>
      <c r="Y555" s="15"/>
      <c r="Z555" s="44"/>
      <c r="AA555" s="15"/>
      <c r="AB555" s="44"/>
      <c r="AC555" s="15"/>
      <c r="AD555" s="44"/>
      <c r="AE555" s="15"/>
      <c r="AF555" s="44"/>
      <c r="AG555" s="15">
        <f t="shared" si="58"/>
        <v>0</v>
      </c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/>
      <c r="BA555" s="42"/>
      <c r="BB555" s="15">
        <f t="shared" si="54"/>
        <v>0</v>
      </c>
      <c r="BC555" s="15"/>
      <c r="BD555" s="44"/>
      <c r="BE555" s="15"/>
      <c r="BF555" s="44"/>
      <c r="BG555" s="15">
        <f t="shared" si="55"/>
        <v>0</v>
      </c>
    </row>
    <row r="556" spans="1:59" s="8" customFormat="1" ht="22.5" customHeight="1">
      <c r="A556" s="9"/>
      <c r="B556" s="16" t="s">
        <v>204</v>
      </c>
      <c r="C556" s="89" t="s">
        <v>52</v>
      </c>
      <c r="D556" s="104" t="s">
        <v>924</v>
      </c>
      <c r="E556" s="104" t="s">
        <v>531</v>
      </c>
      <c r="F556" s="104" t="s">
        <v>2088</v>
      </c>
      <c r="G556" s="104" t="s">
        <v>2089</v>
      </c>
      <c r="H556" s="12"/>
      <c r="I556" s="9"/>
      <c r="J556" s="9" t="s">
        <v>207</v>
      </c>
      <c r="K556" s="14"/>
      <c r="L556" s="14"/>
      <c r="M556" s="12"/>
      <c r="N556" s="9"/>
      <c r="O556" s="9"/>
      <c r="P556" s="9"/>
      <c r="Q556" s="38">
        <f t="shared" si="56"/>
        <v>0</v>
      </c>
      <c r="R556" s="12"/>
      <c r="S556" s="42"/>
      <c r="T556" s="15"/>
      <c r="U556" s="44"/>
      <c r="V556" s="15"/>
      <c r="W556" s="44"/>
      <c r="X556" s="15">
        <f t="shared" si="57"/>
        <v>0</v>
      </c>
      <c r="Y556" s="15"/>
      <c r="Z556" s="44"/>
      <c r="AA556" s="15"/>
      <c r="AB556" s="44"/>
      <c r="AC556" s="15"/>
      <c r="AD556" s="44"/>
      <c r="AE556" s="15"/>
      <c r="AF556" s="44"/>
      <c r="AG556" s="15">
        <f t="shared" si="58"/>
        <v>0</v>
      </c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/>
      <c r="BA556" s="42"/>
      <c r="BB556" s="15">
        <f t="shared" si="54"/>
        <v>0</v>
      </c>
      <c r="BC556" s="15"/>
      <c r="BD556" s="44"/>
      <c r="BE556" s="15"/>
      <c r="BF556" s="44"/>
      <c r="BG556" s="15">
        <f t="shared" si="55"/>
        <v>0</v>
      </c>
    </row>
    <row r="557" spans="1:59" s="8" customFormat="1" ht="22.5" customHeight="1">
      <c r="A557" s="9"/>
      <c r="B557" s="16" t="s">
        <v>233</v>
      </c>
      <c r="C557" s="89" t="s">
        <v>52</v>
      </c>
      <c r="D557" s="104" t="s">
        <v>405</v>
      </c>
      <c r="E557" s="104" t="s">
        <v>925</v>
      </c>
      <c r="F557" s="104" t="s">
        <v>2090</v>
      </c>
      <c r="G557" s="104" t="s">
        <v>2091</v>
      </c>
      <c r="H557" s="12"/>
      <c r="I557" s="9"/>
      <c r="J557" s="9" t="s">
        <v>558</v>
      </c>
      <c r="K557" s="14"/>
      <c r="L557" s="14"/>
      <c r="M557" s="12"/>
      <c r="N557" s="9"/>
      <c r="O557" s="9"/>
      <c r="P557" s="9"/>
      <c r="Q557" s="38">
        <f t="shared" si="56"/>
        <v>0</v>
      </c>
      <c r="R557" s="12"/>
      <c r="S557" s="42"/>
      <c r="T557" s="15"/>
      <c r="U557" s="44"/>
      <c r="V557" s="15"/>
      <c r="W557" s="44"/>
      <c r="X557" s="15">
        <f t="shared" si="57"/>
        <v>0</v>
      </c>
      <c r="Y557" s="15"/>
      <c r="Z557" s="44"/>
      <c r="AA557" s="15"/>
      <c r="AB557" s="44"/>
      <c r="AC557" s="15"/>
      <c r="AD557" s="44"/>
      <c r="AE557" s="15"/>
      <c r="AF557" s="44"/>
      <c r="AG557" s="15">
        <f t="shared" si="58"/>
        <v>0</v>
      </c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/>
      <c r="BA557" s="42"/>
      <c r="BB557" s="15">
        <f t="shared" ref="BB557:BB575" si="59">AH557+AJ557+AL557+AN557+AP557+AR557+AT557+AV557+AX557+AZ557</f>
        <v>0</v>
      </c>
      <c r="BC557" s="15"/>
      <c r="BD557" s="44"/>
      <c r="BE557" s="15"/>
      <c r="BF557" s="44"/>
      <c r="BG557" s="15">
        <f t="shared" ref="BG557:BG575" si="60">(BC557+BE557)</f>
        <v>0</v>
      </c>
    </row>
    <row r="558" spans="1:59" s="8" customFormat="1" ht="22.5" customHeight="1">
      <c r="A558" s="9"/>
      <c r="B558" s="16" t="s">
        <v>155</v>
      </c>
      <c r="C558" s="89" t="s">
        <v>52</v>
      </c>
      <c r="D558" s="104" t="s">
        <v>931</v>
      </c>
      <c r="E558" s="104" t="s">
        <v>565</v>
      </c>
      <c r="F558" s="104" t="s">
        <v>1709</v>
      </c>
      <c r="G558" s="104" t="s">
        <v>1710</v>
      </c>
      <c r="H558" s="12"/>
      <c r="I558" s="9"/>
      <c r="J558" s="9" t="s">
        <v>566</v>
      </c>
      <c r="K558" s="14"/>
      <c r="L558" s="14"/>
      <c r="M558" s="12"/>
      <c r="N558" s="9"/>
      <c r="O558" s="9"/>
      <c r="P558" s="9"/>
      <c r="Q558" s="38">
        <f t="shared" si="56"/>
        <v>0</v>
      </c>
      <c r="R558" s="12"/>
      <c r="S558" s="42"/>
      <c r="T558" s="15"/>
      <c r="U558" s="44"/>
      <c r="V558" s="15"/>
      <c r="W558" s="44"/>
      <c r="X558" s="15">
        <f t="shared" si="57"/>
        <v>0</v>
      </c>
      <c r="Y558" s="15"/>
      <c r="Z558" s="44"/>
      <c r="AA558" s="15"/>
      <c r="AB558" s="44"/>
      <c r="AC558" s="15"/>
      <c r="AD558" s="44"/>
      <c r="AE558" s="15"/>
      <c r="AF558" s="44"/>
      <c r="AG558" s="15">
        <f t="shared" si="58"/>
        <v>0</v>
      </c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/>
      <c r="BA558" s="42"/>
      <c r="BB558" s="15">
        <f t="shared" si="59"/>
        <v>0</v>
      </c>
      <c r="BC558" s="15"/>
      <c r="BD558" s="44"/>
      <c r="BE558" s="15"/>
      <c r="BF558" s="44"/>
      <c r="BG558" s="15">
        <f t="shared" si="60"/>
        <v>0</v>
      </c>
    </row>
    <row r="559" spans="1:59" s="8" customFormat="1" ht="22.5" customHeight="1">
      <c r="A559" s="9"/>
      <c r="B559" s="16" t="s">
        <v>155</v>
      </c>
      <c r="C559" s="89" t="s">
        <v>52</v>
      </c>
      <c r="D559" s="104" t="s">
        <v>932</v>
      </c>
      <c r="E559" s="104" t="s">
        <v>569</v>
      </c>
      <c r="F559" s="104" t="s">
        <v>2092</v>
      </c>
      <c r="G559" s="104" t="s">
        <v>2093</v>
      </c>
      <c r="H559" s="12"/>
      <c r="I559" s="9"/>
      <c r="J559" s="9" t="s">
        <v>566</v>
      </c>
      <c r="K559" s="14"/>
      <c r="L559" s="14"/>
      <c r="M559" s="12"/>
      <c r="N559" s="9"/>
      <c r="O559" s="9"/>
      <c r="P559" s="9"/>
      <c r="Q559" s="38">
        <f t="shared" si="56"/>
        <v>0</v>
      </c>
      <c r="R559" s="12"/>
      <c r="S559" s="42"/>
      <c r="T559" s="15"/>
      <c r="U559" s="44"/>
      <c r="V559" s="15"/>
      <c r="W559" s="44"/>
      <c r="X559" s="15">
        <f t="shared" si="57"/>
        <v>0</v>
      </c>
      <c r="Y559" s="15"/>
      <c r="Z559" s="44"/>
      <c r="AA559" s="15"/>
      <c r="AB559" s="44"/>
      <c r="AC559" s="15"/>
      <c r="AD559" s="44"/>
      <c r="AE559" s="15"/>
      <c r="AF559" s="44"/>
      <c r="AG559" s="15">
        <f t="shared" si="58"/>
        <v>0</v>
      </c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/>
      <c r="BA559" s="42"/>
      <c r="BB559" s="15">
        <f t="shared" si="59"/>
        <v>0</v>
      </c>
      <c r="BC559" s="15"/>
      <c r="BD559" s="44"/>
      <c r="BE559" s="15"/>
      <c r="BF559" s="44"/>
      <c r="BG559" s="15">
        <f t="shared" si="60"/>
        <v>0</v>
      </c>
    </row>
    <row r="560" spans="1:59" s="8" customFormat="1" ht="22.5" customHeight="1">
      <c r="A560" s="9"/>
      <c r="B560" s="16" t="s">
        <v>155</v>
      </c>
      <c r="C560" s="89" t="s">
        <v>52</v>
      </c>
      <c r="D560" s="104" t="s">
        <v>933</v>
      </c>
      <c r="E560" s="104" t="s">
        <v>565</v>
      </c>
      <c r="F560" s="104" t="s">
        <v>2094</v>
      </c>
      <c r="G560" s="104" t="s">
        <v>2095</v>
      </c>
      <c r="H560" s="12"/>
      <c r="I560" s="9"/>
      <c r="J560" s="9" t="s">
        <v>314</v>
      </c>
      <c r="K560" s="14"/>
      <c r="L560" s="14"/>
      <c r="M560" s="12"/>
      <c r="N560" s="9"/>
      <c r="O560" s="9"/>
      <c r="P560" s="9"/>
      <c r="Q560" s="38">
        <f t="shared" si="56"/>
        <v>0</v>
      </c>
      <c r="R560" s="12"/>
      <c r="S560" s="42"/>
      <c r="T560" s="15"/>
      <c r="U560" s="44"/>
      <c r="V560" s="15"/>
      <c r="W560" s="44"/>
      <c r="X560" s="15">
        <f t="shared" si="57"/>
        <v>0</v>
      </c>
      <c r="Y560" s="15"/>
      <c r="Z560" s="44"/>
      <c r="AA560" s="15"/>
      <c r="AB560" s="44"/>
      <c r="AC560" s="15"/>
      <c r="AD560" s="44"/>
      <c r="AE560" s="15"/>
      <c r="AF560" s="44"/>
      <c r="AG560" s="15">
        <f t="shared" si="58"/>
        <v>0</v>
      </c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/>
      <c r="BA560" s="42"/>
      <c r="BB560" s="15">
        <f t="shared" si="59"/>
        <v>0</v>
      </c>
      <c r="BC560" s="15"/>
      <c r="BD560" s="44"/>
      <c r="BE560" s="15"/>
      <c r="BF560" s="44"/>
      <c r="BG560" s="15">
        <f t="shared" si="60"/>
        <v>0</v>
      </c>
    </row>
    <row r="561" spans="1:59" s="8" customFormat="1" ht="22.5" customHeight="1">
      <c r="A561" s="9"/>
      <c r="B561" s="16" t="s">
        <v>330</v>
      </c>
      <c r="C561" s="89" t="s">
        <v>52</v>
      </c>
      <c r="D561" s="104" t="s">
        <v>934</v>
      </c>
      <c r="E561" s="104" t="s">
        <v>330</v>
      </c>
      <c r="F561" s="104" t="s">
        <v>2096</v>
      </c>
      <c r="G561" s="104" t="s">
        <v>2097</v>
      </c>
      <c r="H561" s="12"/>
      <c r="I561" s="9"/>
      <c r="J561" s="9" t="s">
        <v>467</v>
      </c>
      <c r="K561" s="14"/>
      <c r="L561" s="14"/>
      <c r="M561" s="12"/>
      <c r="N561" s="9"/>
      <c r="O561" s="9"/>
      <c r="P561" s="9"/>
      <c r="Q561" s="38">
        <f t="shared" si="56"/>
        <v>0</v>
      </c>
      <c r="R561" s="12"/>
      <c r="S561" s="42"/>
      <c r="T561" s="15"/>
      <c r="U561" s="44"/>
      <c r="V561" s="15"/>
      <c r="W561" s="44"/>
      <c r="X561" s="15">
        <f t="shared" si="57"/>
        <v>0</v>
      </c>
      <c r="Y561" s="15"/>
      <c r="Z561" s="44"/>
      <c r="AA561" s="15"/>
      <c r="AB561" s="44"/>
      <c r="AC561" s="15"/>
      <c r="AD561" s="44"/>
      <c r="AE561" s="15"/>
      <c r="AF561" s="44"/>
      <c r="AG561" s="15">
        <f t="shared" si="58"/>
        <v>0</v>
      </c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/>
      <c r="BA561" s="42"/>
      <c r="BB561" s="15">
        <f t="shared" si="59"/>
        <v>0</v>
      </c>
      <c r="BC561" s="15"/>
      <c r="BD561" s="44"/>
      <c r="BE561" s="15"/>
      <c r="BF561" s="44"/>
      <c r="BG561" s="15">
        <f t="shared" si="60"/>
        <v>0</v>
      </c>
    </row>
    <row r="562" spans="1:59" s="8" customFormat="1" ht="22.5" customHeight="1">
      <c r="A562" s="9"/>
      <c r="B562" s="16" t="s">
        <v>330</v>
      </c>
      <c r="C562" s="89" t="s">
        <v>52</v>
      </c>
      <c r="D562" s="104" t="s">
        <v>935</v>
      </c>
      <c r="E562" s="104"/>
      <c r="F562" s="104" t="s">
        <v>2098</v>
      </c>
      <c r="G562" s="104" t="s">
        <v>2099</v>
      </c>
      <c r="H562" s="12"/>
      <c r="I562" s="9"/>
      <c r="J562" s="9" t="s">
        <v>467</v>
      </c>
      <c r="K562" s="14"/>
      <c r="L562" s="14"/>
      <c r="M562" s="12"/>
      <c r="N562" s="9"/>
      <c r="O562" s="9"/>
      <c r="P562" s="9"/>
      <c r="Q562" s="38">
        <f t="shared" si="56"/>
        <v>0</v>
      </c>
      <c r="R562" s="12"/>
      <c r="S562" s="42"/>
      <c r="T562" s="15"/>
      <c r="U562" s="44"/>
      <c r="V562" s="15"/>
      <c r="W562" s="44"/>
      <c r="X562" s="15">
        <f t="shared" si="57"/>
        <v>0</v>
      </c>
      <c r="Y562" s="15"/>
      <c r="Z562" s="44"/>
      <c r="AA562" s="15"/>
      <c r="AB562" s="44"/>
      <c r="AC562" s="15"/>
      <c r="AD562" s="44"/>
      <c r="AE562" s="15"/>
      <c r="AF562" s="44"/>
      <c r="AG562" s="15">
        <f t="shared" si="58"/>
        <v>0</v>
      </c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/>
      <c r="BA562" s="42"/>
      <c r="BB562" s="15">
        <f t="shared" si="59"/>
        <v>0</v>
      </c>
      <c r="BC562" s="15"/>
      <c r="BD562" s="44"/>
      <c r="BE562" s="15"/>
      <c r="BF562" s="44"/>
      <c r="BG562" s="15">
        <f t="shared" si="60"/>
        <v>0</v>
      </c>
    </row>
    <row r="563" spans="1:59" s="8" customFormat="1" ht="22.5" customHeight="1">
      <c r="A563" s="9"/>
      <c r="B563" s="16" t="s">
        <v>574</v>
      </c>
      <c r="C563" s="89" t="s">
        <v>52</v>
      </c>
      <c r="D563" s="104" t="s">
        <v>577</v>
      </c>
      <c r="E563" s="104"/>
      <c r="F563" s="104" t="s">
        <v>2100</v>
      </c>
      <c r="G563" s="104" t="s">
        <v>2101</v>
      </c>
      <c r="H563" s="12"/>
      <c r="I563" s="9"/>
      <c r="J563" s="9" t="s">
        <v>576</v>
      </c>
      <c r="K563" s="14"/>
      <c r="L563" s="14"/>
      <c r="M563" s="12"/>
      <c r="N563" s="9"/>
      <c r="O563" s="9"/>
      <c r="P563" s="9"/>
      <c r="Q563" s="38">
        <f t="shared" si="56"/>
        <v>0</v>
      </c>
      <c r="R563" s="12"/>
      <c r="S563" s="42"/>
      <c r="T563" s="15"/>
      <c r="U563" s="44"/>
      <c r="V563" s="15"/>
      <c r="W563" s="44"/>
      <c r="X563" s="15">
        <f t="shared" si="57"/>
        <v>0</v>
      </c>
      <c r="Y563" s="15"/>
      <c r="Z563" s="44"/>
      <c r="AA563" s="15"/>
      <c r="AB563" s="44"/>
      <c r="AC563" s="15"/>
      <c r="AD563" s="44"/>
      <c r="AE563" s="15"/>
      <c r="AF563" s="44"/>
      <c r="AG563" s="15">
        <f t="shared" si="58"/>
        <v>0</v>
      </c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/>
      <c r="BA563" s="42"/>
      <c r="BB563" s="15">
        <f t="shared" si="59"/>
        <v>0</v>
      </c>
      <c r="BC563" s="15"/>
      <c r="BD563" s="44"/>
      <c r="BE563" s="15"/>
      <c r="BF563" s="44"/>
      <c r="BG563" s="15">
        <f t="shared" si="60"/>
        <v>0</v>
      </c>
    </row>
    <row r="564" spans="1:59" s="8" customFormat="1" ht="22.5" customHeight="1">
      <c r="A564" s="9"/>
      <c r="B564" s="16" t="s">
        <v>574</v>
      </c>
      <c r="C564" s="89" t="s">
        <v>494</v>
      </c>
      <c r="D564" s="104" t="s">
        <v>577</v>
      </c>
      <c r="E564" s="104"/>
      <c r="F564" s="104" t="s">
        <v>2102</v>
      </c>
      <c r="G564" s="104" t="s">
        <v>2103</v>
      </c>
      <c r="H564" s="12"/>
      <c r="I564" s="9"/>
      <c r="J564" s="9" t="s">
        <v>576</v>
      </c>
      <c r="K564" s="14"/>
      <c r="L564" s="14"/>
      <c r="M564" s="12"/>
      <c r="N564" s="9"/>
      <c r="O564" s="9"/>
      <c r="P564" s="9"/>
      <c r="Q564" s="38">
        <f t="shared" si="56"/>
        <v>0</v>
      </c>
      <c r="R564" s="12"/>
      <c r="S564" s="42"/>
      <c r="T564" s="15"/>
      <c r="U564" s="44"/>
      <c r="V564" s="15"/>
      <c r="W564" s="44"/>
      <c r="X564" s="15">
        <f t="shared" si="57"/>
        <v>0</v>
      </c>
      <c r="Y564" s="15"/>
      <c r="Z564" s="44"/>
      <c r="AA564" s="15"/>
      <c r="AB564" s="44"/>
      <c r="AC564" s="15"/>
      <c r="AD564" s="44"/>
      <c r="AE564" s="15"/>
      <c r="AF564" s="44"/>
      <c r="AG564" s="15">
        <f t="shared" si="58"/>
        <v>0</v>
      </c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/>
      <c r="BA564" s="42"/>
      <c r="BB564" s="15">
        <f t="shared" si="59"/>
        <v>0</v>
      </c>
      <c r="BC564" s="15"/>
      <c r="BD564" s="44"/>
      <c r="BE564" s="15"/>
      <c r="BF564" s="44"/>
      <c r="BG564" s="15">
        <f t="shared" si="60"/>
        <v>0</v>
      </c>
    </row>
    <row r="565" spans="1:59" s="8" customFormat="1" ht="22.5" customHeight="1">
      <c r="A565" s="9"/>
      <c r="B565" s="16" t="s">
        <v>574</v>
      </c>
      <c r="C565" s="89" t="s">
        <v>494</v>
      </c>
      <c r="D565" s="104" t="s">
        <v>577</v>
      </c>
      <c r="E565" s="104" t="s">
        <v>936</v>
      </c>
      <c r="F565" s="104" t="s">
        <v>2104</v>
      </c>
      <c r="G565" s="104" t="s">
        <v>2105</v>
      </c>
      <c r="H565" s="12"/>
      <c r="I565" s="9"/>
      <c r="J565" s="9" t="s">
        <v>576</v>
      </c>
      <c r="K565" s="14"/>
      <c r="L565" s="14"/>
      <c r="M565" s="12"/>
      <c r="N565" s="9"/>
      <c r="O565" s="9"/>
      <c r="P565" s="9"/>
      <c r="Q565" s="38">
        <f t="shared" si="56"/>
        <v>0</v>
      </c>
      <c r="R565" s="12"/>
      <c r="S565" s="42"/>
      <c r="T565" s="15"/>
      <c r="U565" s="44"/>
      <c r="V565" s="15"/>
      <c r="W565" s="44"/>
      <c r="X565" s="15">
        <f t="shared" si="57"/>
        <v>0</v>
      </c>
      <c r="Y565" s="15"/>
      <c r="Z565" s="44"/>
      <c r="AA565" s="15"/>
      <c r="AB565" s="44"/>
      <c r="AC565" s="15"/>
      <c r="AD565" s="44"/>
      <c r="AE565" s="15"/>
      <c r="AF565" s="44"/>
      <c r="AG565" s="15">
        <f t="shared" si="58"/>
        <v>0</v>
      </c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/>
      <c r="BA565" s="42"/>
      <c r="BB565" s="15">
        <f t="shared" si="59"/>
        <v>0</v>
      </c>
      <c r="BC565" s="15"/>
      <c r="BD565" s="44"/>
      <c r="BE565" s="15"/>
      <c r="BF565" s="44"/>
      <c r="BG565" s="15">
        <f t="shared" si="60"/>
        <v>0</v>
      </c>
    </row>
    <row r="566" spans="1:59" s="8" customFormat="1" ht="22.5" customHeight="1">
      <c r="A566" s="9"/>
      <c r="B566" s="16" t="s">
        <v>244</v>
      </c>
      <c r="C566" s="89" t="s">
        <v>52</v>
      </c>
      <c r="D566" s="104" t="s">
        <v>937</v>
      </c>
      <c r="E566" s="104" t="s">
        <v>246</v>
      </c>
      <c r="F566" s="104" t="s">
        <v>2106</v>
      </c>
      <c r="G566" s="104" t="s">
        <v>2107</v>
      </c>
      <c r="H566" s="12"/>
      <c r="I566" s="9"/>
      <c r="J566" s="9" t="s">
        <v>247</v>
      </c>
      <c r="K566" s="14"/>
      <c r="L566" s="14"/>
      <c r="M566" s="12"/>
      <c r="N566" s="9"/>
      <c r="O566" s="9"/>
      <c r="P566" s="9"/>
      <c r="Q566" s="38">
        <f t="shared" si="56"/>
        <v>0</v>
      </c>
      <c r="R566" s="12"/>
      <c r="S566" s="42"/>
      <c r="T566" s="15"/>
      <c r="U566" s="44"/>
      <c r="V566" s="15"/>
      <c r="W566" s="44"/>
      <c r="X566" s="15">
        <f t="shared" si="57"/>
        <v>0</v>
      </c>
      <c r="Y566" s="15"/>
      <c r="Z566" s="44"/>
      <c r="AA566" s="15"/>
      <c r="AB566" s="44"/>
      <c r="AC566" s="15"/>
      <c r="AD566" s="44"/>
      <c r="AE566" s="15"/>
      <c r="AF566" s="44"/>
      <c r="AG566" s="15">
        <f t="shared" si="58"/>
        <v>0</v>
      </c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/>
      <c r="BA566" s="42"/>
      <c r="BB566" s="15">
        <f t="shared" si="59"/>
        <v>0</v>
      </c>
      <c r="BC566" s="15"/>
      <c r="BD566" s="44"/>
      <c r="BE566" s="15"/>
      <c r="BF566" s="44"/>
      <c r="BG566" s="15">
        <f t="shared" si="60"/>
        <v>0</v>
      </c>
    </row>
    <row r="567" spans="1:59" s="8" customFormat="1" ht="22.5" customHeight="1">
      <c r="A567" s="9"/>
      <c r="B567" s="16" t="s">
        <v>244</v>
      </c>
      <c r="C567" s="89" t="s">
        <v>52</v>
      </c>
      <c r="D567" s="104" t="s">
        <v>938</v>
      </c>
      <c r="E567" s="104" t="s">
        <v>246</v>
      </c>
      <c r="F567" s="104" t="s">
        <v>2108</v>
      </c>
      <c r="G567" s="104" t="s">
        <v>2109</v>
      </c>
      <c r="H567" s="12"/>
      <c r="I567" s="9"/>
      <c r="J567" s="9" t="s">
        <v>247</v>
      </c>
      <c r="K567" s="14"/>
      <c r="L567" s="14"/>
      <c r="M567" s="12"/>
      <c r="N567" s="9"/>
      <c r="O567" s="9"/>
      <c r="P567" s="9"/>
      <c r="Q567" s="38">
        <f t="shared" si="56"/>
        <v>0</v>
      </c>
      <c r="R567" s="12"/>
      <c r="S567" s="42"/>
      <c r="T567" s="15"/>
      <c r="U567" s="44"/>
      <c r="V567" s="15"/>
      <c r="W567" s="44"/>
      <c r="X567" s="15">
        <f t="shared" si="57"/>
        <v>0</v>
      </c>
      <c r="Y567" s="15"/>
      <c r="Z567" s="44"/>
      <c r="AA567" s="15"/>
      <c r="AB567" s="44"/>
      <c r="AC567" s="15"/>
      <c r="AD567" s="44"/>
      <c r="AE567" s="15"/>
      <c r="AF567" s="44"/>
      <c r="AG567" s="15">
        <f t="shared" si="58"/>
        <v>0</v>
      </c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/>
      <c r="BA567" s="42"/>
      <c r="BB567" s="15">
        <f t="shared" si="59"/>
        <v>0</v>
      </c>
      <c r="BC567" s="15"/>
      <c r="BD567" s="44"/>
      <c r="BE567" s="15"/>
      <c r="BF567" s="44"/>
      <c r="BG567" s="15">
        <f t="shared" si="60"/>
        <v>0</v>
      </c>
    </row>
    <row r="568" spans="1:59" s="8" customFormat="1" ht="22.5" customHeight="1">
      <c r="A568" s="9">
        <v>999</v>
      </c>
      <c r="B568" s="16" t="s">
        <v>204</v>
      </c>
      <c r="C568" s="89" t="s">
        <v>52</v>
      </c>
      <c r="D568" s="104" t="s">
        <v>939</v>
      </c>
      <c r="E568" s="104" t="s">
        <v>940</v>
      </c>
      <c r="F568" s="104" t="s">
        <v>2110</v>
      </c>
      <c r="G568" s="104" t="s">
        <v>2111</v>
      </c>
      <c r="H568" s="12"/>
      <c r="I568" s="9"/>
      <c r="J568" s="9" t="s">
        <v>207</v>
      </c>
      <c r="K568" s="14"/>
      <c r="L568" s="14"/>
      <c r="M568" s="12"/>
      <c r="N568" s="9"/>
      <c r="O568" s="9"/>
      <c r="P568" s="9"/>
      <c r="Q568" s="38">
        <f t="shared" si="56"/>
        <v>0</v>
      </c>
      <c r="R568" s="12"/>
      <c r="S568" s="42"/>
      <c r="T568" s="15"/>
      <c r="U568" s="44"/>
      <c r="V568" s="15"/>
      <c r="W568" s="44"/>
      <c r="X568" s="15">
        <f t="shared" si="57"/>
        <v>0</v>
      </c>
      <c r="Y568" s="15"/>
      <c r="Z568" s="44"/>
      <c r="AA568" s="15"/>
      <c r="AB568" s="44"/>
      <c r="AC568" s="15"/>
      <c r="AD568" s="44"/>
      <c r="AE568" s="15"/>
      <c r="AF568" s="44"/>
      <c r="AG568" s="15">
        <f t="shared" si="58"/>
        <v>0</v>
      </c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/>
      <c r="BA568" s="42"/>
      <c r="BB568" s="15">
        <f t="shared" si="59"/>
        <v>0</v>
      </c>
      <c r="BC568" s="15"/>
      <c r="BD568" s="44"/>
      <c r="BE568" s="15"/>
      <c r="BF568" s="44"/>
      <c r="BG568" s="15">
        <f t="shared" si="60"/>
        <v>0</v>
      </c>
    </row>
    <row r="569" spans="1:59" s="8" customFormat="1" ht="22.5" customHeight="1">
      <c r="A569" s="9">
        <v>999</v>
      </c>
      <c r="B569" s="16" t="s">
        <v>204</v>
      </c>
      <c r="C569" s="89" t="s">
        <v>52</v>
      </c>
      <c r="D569" s="104" t="s">
        <v>941</v>
      </c>
      <c r="E569" s="104" t="s">
        <v>940</v>
      </c>
      <c r="F569" s="104" t="s">
        <v>2112</v>
      </c>
      <c r="G569" s="104" t="s">
        <v>2113</v>
      </c>
      <c r="H569" s="12"/>
      <c r="I569" s="9"/>
      <c r="J569" s="9" t="s">
        <v>207</v>
      </c>
      <c r="K569" s="14"/>
      <c r="L569" s="14"/>
      <c r="M569" s="12"/>
      <c r="N569" s="9"/>
      <c r="O569" s="9"/>
      <c r="P569" s="9"/>
      <c r="Q569" s="38">
        <f t="shared" si="56"/>
        <v>0</v>
      </c>
      <c r="R569" s="12"/>
      <c r="S569" s="42"/>
      <c r="T569" s="15"/>
      <c r="U569" s="44"/>
      <c r="V569" s="15"/>
      <c r="W569" s="44"/>
      <c r="X569" s="15">
        <f t="shared" si="57"/>
        <v>0</v>
      </c>
      <c r="Y569" s="15"/>
      <c r="Z569" s="44"/>
      <c r="AA569" s="15"/>
      <c r="AB569" s="44"/>
      <c r="AC569" s="15"/>
      <c r="AD569" s="44"/>
      <c r="AE569" s="15"/>
      <c r="AF569" s="44"/>
      <c r="AG569" s="15">
        <f t="shared" si="58"/>
        <v>0</v>
      </c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/>
      <c r="BA569" s="42"/>
      <c r="BB569" s="15">
        <f t="shared" si="59"/>
        <v>0</v>
      </c>
      <c r="BC569" s="15"/>
      <c r="BD569" s="44"/>
      <c r="BE569" s="15"/>
      <c r="BF569" s="44"/>
      <c r="BG569" s="15">
        <f t="shared" si="60"/>
        <v>0</v>
      </c>
    </row>
    <row r="570" spans="1:59" s="8" customFormat="1" ht="22.5" customHeight="1">
      <c r="A570" s="9">
        <v>999</v>
      </c>
      <c r="B570" s="16" t="s">
        <v>942</v>
      </c>
      <c r="C570" s="89" t="s">
        <v>494</v>
      </c>
      <c r="D570" s="104" t="s">
        <v>943</v>
      </c>
      <c r="E570" s="104" t="s">
        <v>944</v>
      </c>
      <c r="F570" s="104" t="s">
        <v>2114</v>
      </c>
      <c r="G570" s="104" t="s">
        <v>2115</v>
      </c>
      <c r="H570" s="12"/>
      <c r="I570" s="9"/>
      <c r="J570" s="9" t="s">
        <v>945</v>
      </c>
      <c r="K570" s="14"/>
      <c r="L570" s="14"/>
      <c r="M570" s="12"/>
      <c r="N570" s="9"/>
      <c r="O570" s="9"/>
      <c r="P570" s="9"/>
      <c r="Q570" s="38">
        <f t="shared" si="56"/>
        <v>0</v>
      </c>
      <c r="R570" s="12"/>
      <c r="S570" s="42"/>
      <c r="T570" s="15"/>
      <c r="U570" s="44"/>
      <c r="V570" s="15"/>
      <c r="W570" s="44"/>
      <c r="X570" s="15">
        <f t="shared" si="57"/>
        <v>0</v>
      </c>
      <c r="Y570" s="15"/>
      <c r="Z570" s="44"/>
      <c r="AA570" s="15"/>
      <c r="AB570" s="44"/>
      <c r="AC570" s="15"/>
      <c r="AD570" s="44"/>
      <c r="AE570" s="15"/>
      <c r="AF570" s="44"/>
      <c r="AG570" s="15">
        <f t="shared" si="58"/>
        <v>0</v>
      </c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/>
      <c r="BA570" s="42"/>
      <c r="BB570" s="15">
        <f t="shared" si="59"/>
        <v>0</v>
      </c>
      <c r="BC570" s="15"/>
      <c r="BD570" s="44"/>
      <c r="BE570" s="15"/>
      <c r="BF570" s="44"/>
      <c r="BG570" s="15">
        <f t="shared" si="60"/>
        <v>0</v>
      </c>
    </row>
    <row r="571" spans="1:59" s="8" customFormat="1" ht="22.5" customHeight="1">
      <c r="A571" s="9">
        <v>999</v>
      </c>
      <c r="B571" s="16" t="s">
        <v>942</v>
      </c>
      <c r="C571" s="89" t="s">
        <v>494</v>
      </c>
      <c r="D571" s="104" t="s">
        <v>946</v>
      </c>
      <c r="E571" s="104"/>
      <c r="F571" s="104" t="s">
        <v>2116</v>
      </c>
      <c r="G571" s="104" t="s">
        <v>2117</v>
      </c>
      <c r="H571" s="12"/>
      <c r="I571" s="9"/>
      <c r="J571" s="9" t="s">
        <v>945</v>
      </c>
      <c r="K571" s="14"/>
      <c r="L571" s="14"/>
      <c r="M571" s="12"/>
      <c r="N571" s="9"/>
      <c r="O571" s="9"/>
      <c r="P571" s="9"/>
      <c r="Q571" s="38">
        <f t="shared" si="56"/>
        <v>0</v>
      </c>
      <c r="R571" s="12"/>
      <c r="S571" s="42"/>
      <c r="T571" s="15"/>
      <c r="U571" s="44"/>
      <c r="V571" s="15"/>
      <c r="W571" s="44"/>
      <c r="X571" s="15">
        <f t="shared" si="57"/>
        <v>0</v>
      </c>
      <c r="Y571" s="15"/>
      <c r="Z571" s="44"/>
      <c r="AA571" s="15"/>
      <c r="AB571" s="44"/>
      <c r="AC571" s="15"/>
      <c r="AD571" s="44"/>
      <c r="AE571" s="15"/>
      <c r="AF571" s="44"/>
      <c r="AG571" s="15">
        <f t="shared" si="58"/>
        <v>0</v>
      </c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/>
      <c r="BA571" s="42"/>
      <c r="BB571" s="15">
        <f t="shared" si="59"/>
        <v>0</v>
      </c>
      <c r="BC571" s="15"/>
      <c r="BD571" s="44"/>
      <c r="BE571" s="15"/>
      <c r="BF571" s="44"/>
      <c r="BG571" s="15">
        <f t="shared" si="60"/>
        <v>0</v>
      </c>
    </row>
    <row r="572" spans="1:59" s="8" customFormat="1" ht="22.5" customHeight="1">
      <c r="A572" s="9">
        <v>999</v>
      </c>
      <c r="B572" s="16" t="s">
        <v>926</v>
      </c>
      <c r="C572" s="89" t="s">
        <v>132</v>
      </c>
      <c r="D572" s="104" t="s">
        <v>954</v>
      </c>
      <c r="E572" s="104"/>
      <c r="F572" s="104" t="s">
        <v>1711</v>
      </c>
      <c r="G572" s="104" t="s">
        <v>1712</v>
      </c>
      <c r="H572" s="12"/>
      <c r="I572" s="9"/>
      <c r="J572" s="9" t="s">
        <v>566</v>
      </c>
      <c r="K572" s="14"/>
      <c r="L572" s="14"/>
      <c r="M572" s="12"/>
      <c r="N572" s="9"/>
      <c r="O572" s="9"/>
      <c r="P572" s="9"/>
      <c r="Q572" s="38">
        <f t="shared" si="56"/>
        <v>0</v>
      </c>
      <c r="R572" s="12"/>
      <c r="S572" s="42"/>
      <c r="T572" s="15"/>
      <c r="U572" s="44"/>
      <c r="V572" s="15"/>
      <c r="W572" s="44"/>
      <c r="X572" s="15">
        <f t="shared" si="57"/>
        <v>0</v>
      </c>
      <c r="Y572" s="15"/>
      <c r="Z572" s="44"/>
      <c r="AA572" s="15"/>
      <c r="AB572" s="44"/>
      <c r="AC572" s="15"/>
      <c r="AD572" s="44"/>
      <c r="AE572" s="15"/>
      <c r="AF572" s="44"/>
      <c r="AG572" s="15">
        <f t="shared" si="58"/>
        <v>0</v>
      </c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/>
      <c r="BA572" s="42"/>
      <c r="BB572" s="15">
        <f t="shared" si="59"/>
        <v>0</v>
      </c>
      <c r="BC572" s="15"/>
      <c r="BD572" s="44"/>
      <c r="BE572" s="15"/>
      <c r="BF572" s="44"/>
      <c r="BG572" s="15">
        <f t="shared" si="60"/>
        <v>0</v>
      </c>
    </row>
    <row r="573" spans="1:59" s="8" customFormat="1" ht="22.5" customHeight="1">
      <c r="A573" s="9"/>
      <c r="B573" s="16" t="s">
        <v>204</v>
      </c>
      <c r="C573" s="89" t="s">
        <v>132</v>
      </c>
      <c r="D573" s="104" t="s">
        <v>213</v>
      </c>
      <c r="E573" s="104" t="s">
        <v>215</v>
      </c>
      <c r="F573" s="104" t="s">
        <v>2118</v>
      </c>
      <c r="G573" s="104" t="s">
        <v>2119</v>
      </c>
      <c r="H573" s="12"/>
      <c r="I573" s="9"/>
      <c r="J573" s="9" t="s">
        <v>207</v>
      </c>
      <c r="K573" s="14"/>
      <c r="L573" s="14"/>
      <c r="M573" s="12">
        <v>1797</v>
      </c>
      <c r="N573" s="9"/>
      <c r="O573" s="9"/>
      <c r="P573" s="9"/>
      <c r="Q573" s="38">
        <f t="shared" si="56"/>
        <v>1797</v>
      </c>
      <c r="R573" s="12"/>
      <c r="S573" s="42"/>
      <c r="T573" s="15"/>
      <c r="U573" s="44"/>
      <c r="V573" s="15"/>
      <c r="W573" s="44"/>
      <c r="X573" s="15">
        <f t="shared" si="57"/>
        <v>0</v>
      </c>
      <c r="Y573" s="15"/>
      <c r="Z573" s="44"/>
      <c r="AA573" s="15"/>
      <c r="AB573" s="44"/>
      <c r="AC573" s="15"/>
      <c r="AD573" s="44"/>
      <c r="AE573" s="15"/>
      <c r="AF573" s="44"/>
      <c r="AG573" s="15">
        <f t="shared" si="58"/>
        <v>0</v>
      </c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/>
      <c r="BA573" s="42"/>
      <c r="BB573" s="15">
        <f t="shared" si="59"/>
        <v>0</v>
      </c>
      <c r="BC573" s="15"/>
      <c r="BD573" s="44"/>
      <c r="BE573" s="15"/>
      <c r="BF573" s="44"/>
      <c r="BG573" s="15">
        <f t="shared" si="60"/>
        <v>0</v>
      </c>
    </row>
    <row r="574" spans="1:59" s="8" customFormat="1" ht="22.5" customHeight="1">
      <c r="A574" s="9"/>
      <c r="B574" s="16" t="s">
        <v>204</v>
      </c>
      <c r="C574" s="89" t="s">
        <v>132</v>
      </c>
      <c r="D574" s="104" t="s">
        <v>2120</v>
      </c>
      <c r="E574" s="104" t="s">
        <v>210</v>
      </c>
      <c r="F574" s="104" t="s">
        <v>2121</v>
      </c>
      <c r="G574" s="104" t="s">
        <v>2122</v>
      </c>
      <c r="H574" s="12"/>
      <c r="I574" s="9"/>
      <c r="J574" s="9" t="s">
        <v>231</v>
      </c>
      <c r="K574" s="14"/>
      <c r="L574" s="14"/>
      <c r="M574" s="12">
        <v>41</v>
      </c>
      <c r="N574" s="9"/>
      <c r="O574" s="9"/>
      <c r="P574" s="9"/>
      <c r="Q574" s="38">
        <f t="shared" si="56"/>
        <v>41</v>
      </c>
      <c r="R574" s="12"/>
      <c r="S574" s="42"/>
      <c r="T574" s="15"/>
      <c r="U574" s="44"/>
      <c r="V574" s="15"/>
      <c r="W574" s="44"/>
      <c r="X574" s="15">
        <f t="shared" si="57"/>
        <v>0</v>
      </c>
      <c r="Y574" s="15"/>
      <c r="Z574" s="44"/>
      <c r="AA574" s="15"/>
      <c r="AB574" s="44"/>
      <c r="AC574" s="15"/>
      <c r="AD574" s="44"/>
      <c r="AE574" s="15"/>
      <c r="AF574" s="44"/>
      <c r="AG574" s="15">
        <f t="shared" si="58"/>
        <v>0</v>
      </c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/>
      <c r="BA574" s="42"/>
      <c r="BB574" s="15">
        <f t="shared" si="59"/>
        <v>0</v>
      </c>
      <c r="BC574" s="15"/>
      <c r="BD574" s="44"/>
      <c r="BE574" s="15"/>
      <c r="BF574" s="44"/>
      <c r="BG574" s="15">
        <f t="shared" si="60"/>
        <v>0</v>
      </c>
    </row>
    <row r="575" spans="1:59" s="8" customFormat="1" ht="22.5" customHeight="1">
      <c r="A575" s="9"/>
      <c r="B575" s="16" t="s">
        <v>204</v>
      </c>
      <c r="C575" s="89" t="s">
        <v>132</v>
      </c>
      <c r="D575" s="104" t="s">
        <v>2123</v>
      </c>
      <c r="E575" s="104" t="s">
        <v>222</v>
      </c>
      <c r="F575" s="104" t="s">
        <v>2124</v>
      </c>
      <c r="G575" s="104" t="s">
        <v>2125</v>
      </c>
      <c r="H575" s="12"/>
      <c r="I575" s="9"/>
      <c r="J575" s="9" t="s">
        <v>231</v>
      </c>
      <c r="K575" s="14"/>
      <c r="L575" s="14"/>
      <c r="M575" s="12">
        <v>0</v>
      </c>
      <c r="N575" s="9"/>
      <c r="O575" s="9"/>
      <c r="P575" s="9"/>
      <c r="Q575" s="38">
        <f t="shared" si="56"/>
        <v>0</v>
      </c>
      <c r="R575" s="12"/>
      <c r="S575" s="42"/>
      <c r="T575" s="15"/>
      <c r="U575" s="44"/>
      <c r="V575" s="15"/>
      <c r="W575" s="44"/>
      <c r="X575" s="15">
        <f t="shared" si="57"/>
        <v>0</v>
      </c>
      <c r="Y575" s="15"/>
      <c r="Z575" s="44"/>
      <c r="AA575" s="15"/>
      <c r="AB575" s="44"/>
      <c r="AC575" s="15"/>
      <c r="AD575" s="44"/>
      <c r="AE575" s="15"/>
      <c r="AF575" s="44"/>
      <c r="AG575" s="15">
        <f t="shared" si="58"/>
        <v>0</v>
      </c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/>
      <c r="BA575" s="42"/>
      <c r="BB575" s="15">
        <f t="shared" si="59"/>
        <v>0</v>
      </c>
      <c r="BC575" s="15"/>
      <c r="BD575" s="44"/>
      <c r="BE575" s="15"/>
      <c r="BF575" s="44"/>
      <c r="BG575" s="15">
        <f t="shared" si="60"/>
        <v>0</v>
      </c>
    </row>
    <row r="576" spans="1:59" s="8" customFormat="1" ht="22.5" customHeight="1">
      <c r="A576" s="9"/>
      <c r="B576" s="16" t="s">
        <v>204</v>
      </c>
      <c r="C576" s="89" t="s">
        <v>48</v>
      </c>
      <c r="D576" s="104" t="s">
        <v>278</v>
      </c>
      <c r="E576" s="104" t="s">
        <v>2126</v>
      </c>
      <c r="F576" s="104" t="s">
        <v>2127</v>
      </c>
      <c r="G576" s="104" t="s">
        <v>2128</v>
      </c>
      <c r="H576" s="12"/>
      <c r="I576" s="9"/>
      <c r="J576" s="9" t="s">
        <v>207</v>
      </c>
      <c r="K576" s="14"/>
      <c r="L576" s="14"/>
      <c r="M576" s="12">
        <v>101</v>
      </c>
      <c r="N576" s="9"/>
      <c r="O576" s="9"/>
      <c r="P576" s="9"/>
      <c r="Q576" s="38">
        <f t="shared" si="56"/>
        <v>101</v>
      </c>
      <c r="R576" s="12"/>
      <c r="S576" s="42"/>
      <c r="T576" s="15"/>
      <c r="U576" s="44"/>
      <c r="V576" s="15"/>
      <c r="W576" s="44"/>
      <c r="X576" s="15">
        <f t="shared" si="57"/>
        <v>0</v>
      </c>
      <c r="Y576" s="15"/>
      <c r="Z576" s="44"/>
      <c r="AA576" s="15"/>
      <c r="AB576" s="44"/>
      <c r="AC576" s="15"/>
      <c r="AD576" s="44"/>
      <c r="AE576" s="15"/>
      <c r="AF576" s="44"/>
      <c r="AG576" s="15">
        <f t="shared" si="58"/>
        <v>0</v>
      </c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/>
      <c r="BA576" s="42"/>
      <c r="BB576" s="15"/>
      <c r="BC576" s="15"/>
      <c r="BD576" s="44"/>
      <c r="BE576" s="15"/>
      <c r="BF576" s="44"/>
      <c r="BG576" s="15"/>
    </row>
    <row r="577" spans="1:59" s="8" customFormat="1" ht="22.5" customHeight="1">
      <c r="A577" s="9"/>
      <c r="B577" s="16" t="s">
        <v>204</v>
      </c>
      <c r="C577" s="89" t="s">
        <v>48</v>
      </c>
      <c r="D577" s="104" t="s">
        <v>280</v>
      </c>
      <c r="E577" s="104" t="s">
        <v>2126</v>
      </c>
      <c r="F577" s="104" t="s">
        <v>2129</v>
      </c>
      <c r="G577" s="104" t="s">
        <v>2130</v>
      </c>
      <c r="H577" s="12"/>
      <c r="I577" s="9"/>
      <c r="J577" s="9" t="s">
        <v>207</v>
      </c>
      <c r="K577" s="14"/>
      <c r="L577" s="14"/>
      <c r="M577" s="12">
        <v>96</v>
      </c>
      <c r="N577" s="9"/>
      <c r="O577" s="9"/>
      <c r="P577" s="9"/>
      <c r="Q577" s="38">
        <f t="shared" si="56"/>
        <v>96</v>
      </c>
      <c r="R577" s="12"/>
      <c r="S577" s="42"/>
      <c r="T577" s="15"/>
      <c r="U577" s="44"/>
      <c r="V577" s="15"/>
      <c r="W577" s="44"/>
      <c r="X577" s="15">
        <f t="shared" si="57"/>
        <v>0</v>
      </c>
      <c r="Y577" s="15"/>
      <c r="Z577" s="44"/>
      <c r="AA577" s="15"/>
      <c r="AB577" s="44"/>
      <c r="AC577" s="15"/>
      <c r="AD577" s="44"/>
      <c r="AE577" s="15"/>
      <c r="AF577" s="44"/>
      <c r="AG577" s="15">
        <f t="shared" si="58"/>
        <v>0</v>
      </c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/>
      <c r="BA577" s="42"/>
      <c r="BB577" s="15"/>
      <c r="BC577" s="15"/>
      <c r="BD577" s="44"/>
      <c r="BE577" s="15"/>
      <c r="BF577" s="44"/>
      <c r="BG577" s="15"/>
    </row>
    <row r="578" spans="1:59" s="8" customFormat="1" ht="22.5" customHeight="1">
      <c r="A578" s="9"/>
      <c r="B578" s="16" t="s">
        <v>204</v>
      </c>
      <c r="C578" s="89" t="s">
        <v>48</v>
      </c>
      <c r="D578" s="104" t="s">
        <v>298</v>
      </c>
      <c r="E578" s="104" t="s">
        <v>290</v>
      </c>
      <c r="F578" s="104" t="s">
        <v>2131</v>
      </c>
      <c r="G578" s="104" t="s">
        <v>2132</v>
      </c>
      <c r="H578" s="12"/>
      <c r="I578" s="9"/>
      <c r="J578" s="9" t="s">
        <v>207</v>
      </c>
      <c r="K578" s="14"/>
      <c r="L578" s="14"/>
      <c r="M578" s="12">
        <v>164</v>
      </c>
      <c r="N578" s="9"/>
      <c r="O578" s="9"/>
      <c r="P578" s="9"/>
      <c r="Q578" s="38">
        <f t="shared" si="56"/>
        <v>164</v>
      </c>
      <c r="R578" s="12"/>
      <c r="S578" s="42"/>
      <c r="T578" s="15"/>
      <c r="U578" s="44"/>
      <c r="V578" s="15"/>
      <c r="W578" s="44"/>
      <c r="X578" s="15">
        <f t="shared" si="57"/>
        <v>0</v>
      </c>
      <c r="Y578" s="15"/>
      <c r="Z578" s="44"/>
      <c r="AA578" s="15"/>
      <c r="AB578" s="44"/>
      <c r="AC578" s="15"/>
      <c r="AD578" s="44"/>
      <c r="AE578" s="15"/>
      <c r="AF578" s="44"/>
      <c r="AG578" s="15">
        <f t="shared" si="58"/>
        <v>0</v>
      </c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42"/>
      <c r="BB578" s="15">
        <f t="shared" ref="BB578:BB585" si="61">AH578+AJ578+AL578+AN578+AP578+AR578+AT578+AV578+AX578+AZ578</f>
        <v>0</v>
      </c>
      <c r="BC578" s="15"/>
      <c r="BD578" s="44"/>
      <c r="BE578" s="15"/>
      <c r="BF578" s="44"/>
      <c r="BG578" s="15">
        <f t="shared" ref="BG578:BG585" si="62">(BC578+BE578)</f>
        <v>0</v>
      </c>
    </row>
    <row r="579" spans="1:59" s="8" customFormat="1" ht="22.5" customHeight="1">
      <c r="A579" s="9"/>
      <c r="B579" s="16" t="s">
        <v>204</v>
      </c>
      <c r="C579" s="89" t="s">
        <v>48</v>
      </c>
      <c r="D579" s="104" t="s">
        <v>301</v>
      </c>
      <c r="E579" s="104" t="s">
        <v>206</v>
      </c>
      <c r="F579" s="104" t="s">
        <v>2133</v>
      </c>
      <c r="G579" s="104" t="s">
        <v>2134</v>
      </c>
      <c r="H579" s="12"/>
      <c r="I579" s="9"/>
      <c r="J579" s="9" t="s">
        <v>207</v>
      </c>
      <c r="K579" s="14"/>
      <c r="L579" s="14"/>
      <c r="M579" s="12">
        <v>216</v>
      </c>
      <c r="N579" s="9"/>
      <c r="O579" s="9"/>
      <c r="P579" s="9"/>
      <c r="Q579" s="38">
        <f t="shared" si="56"/>
        <v>216</v>
      </c>
      <c r="R579" s="12"/>
      <c r="S579" s="42"/>
      <c r="T579" s="15"/>
      <c r="U579" s="44"/>
      <c r="V579" s="15"/>
      <c r="W579" s="44"/>
      <c r="X579" s="15">
        <f t="shared" si="57"/>
        <v>0</v>
      </c>
      <c r="Y579" s="15"/>
      <c r="Z579" s="44"/>
      <c r="AA579" s="15"/>
      <c r="AB579" s="44"/>
      <c r="AC579" s="15"/>
      <c r="AD579" s="44"/>
      <c r="AE579" s="15"/>
      <c r="AF579" s="44"/>
      <c r="AG579" s="15">
        <f t="shared" si="58"/>
        <v>0</v>
      </c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/>
      <c r="BA579" s="42"/>
      <c r="BB579" s="15">
        <f t="shared" si="61"/>
        <v>0</v>
      </c>
      <c r="BC579" s="15"/>
      <c r="BD579" s="44"/>
      <c r="BE579" s="15"/>
      <c r="BF579" s="44"/>
      <c r="BG579" s="15">
        <f t="shared" si="62"/>
        <v>0</v>
      </c>
    </row>
    <row r="580" spans="1:59" s="8" customFormat="1" ht="22.5" customHeight="1">
      <c r="A580" s="9"/>
      <c r="B580" s="16" t="s">
        <v>204</v>
      </c>
      <c r="C580" s="89" t="s">
        <v>48</v>
      </c>
      <c r="D580" s="104" t="s">
        <v>295</v>
      </c>
      <c r="E580" s="104" t="s">
        <v>348</v>
      </c>
      <c r="F580" s="104" t="s">
        <v>2135</v>
      </c>
      <c r="G580" s="104" t="s">
        <v>2136</v>
      </c>
      <c r="H580" s="12"/>
      <c r="I580" s="9"/>
      <c r="J580" s="9" t="s">
        <v>207</v>
      </c>
      <c r="K580" s="14"/>
      <c r="L580" s="14"/>
      <c r="M580" s="12">
        <v>142</v>
      </c>
      <c r="N580" s="9"/>
      <c r="O580" s="9"/>
      <c r="P580" s="9"/>
      <c r="Q580" s="38">
        <f t="shared" ref="Q580:Q590" si="63">M580+X580-AG580-BB580</f>
        <v>142</v>
      </c>
      <c r="R580" s="12"/>
      <c r="S580" s="42"/>
      <c r="T580" s="15"/>
      <c r="U580" s="44"/>
      <c r="V580" s="15"/>
      <c r="W580" s="44"/>
      <c r="X580" s="15">
        <f t="shared" ref="X580:X590" si="64">R580+T580+V580</f>
        <v>0</v>
      </c>
      <c r="Y580" s="15"/>
      <c r="Z580" s="44"/>
      <c r="AA580" s="15"/>
      <c r="AB580" s="44"/>
      <c r="AC580" s="15"/>
      <c r="AD580" s="44"/>
      <c r="AE580" s="15"/>
      <c r="AF580" s="44"/>
      <c r="AG580" s="15">
        <f t="shared" ref="AG580:AG590" si="65">(Y580+AA580+AC580+AE580)</f>
        <v>0</v>
      </c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/>
      <c r="BA580" s="42"/>
      <c r="BB580" s="15">
        <f t="shared" si="61"/>
        <v>0</v>
      </c>
      <c r="BC580" s="15"/>
      <c r="BD580" s="44"/>
      <c r="BE580" s="15"/>
      <c r="BF580" s="44"/>
      <c r="BG580" s="15">
        <f t="shared" si="62"/>
        <v>0</v>
      </c>
    </row>
    <row r="581" spans="1:59" s="8" customFormat="1" ht="22.5" customHeight="1">
      <c r="A581" s="9"/>
      <c r="B581" s="16" t="s">
        <v>204</v>
      </c>
      <c r="C581" s="89" t="s">
        <v>48</v>
      </c>
      <c r="D581" s="104" t="s">
        <v>296</v>
      </c>
      <c r="E581" s="104" t="s">
        <v>347</v>
      </c>
      <c r="F581" s="104" t="s">
        <v>2137</v>
      </c>
      <c r="G581" s="104" t="s">
        <v>2138</v>
      </c>
      <c r="H581" s="12"/>
      <c r="I581" s="9"/>
      <c r="J581" s="9" t="s">
        <v>207</v>
      </c>
      <c r="K581" s="14"/>
      <c r="L581" s="14"/>
      <c r="M581" s="12">
        <v>123</v>
      </c>
      <c r="N581" s="9"/>
      <c r="O581" s="9"/>
      <c r="P581" s="9"/>
      <c r="Q581" s="38">
        <f t="shared" si="63"/>
        <v>123</v>
      </c>
      <c r="R581" s="12"/>
      <c r="S581" s="42"/>
      <c r="T581" s="15"/>
      <c r="U581" s="44"/>
      <c r="V581" s="15"/>
      <c r="W581" s="44"/>
      <c r="X581" s="15">
        <f t="shared" si="64"/>
        <v>0</v>
      </c>
      <c r="Y581" s="15"/>
      <c r="Z581" s="44"/>
      <c r="AA581" s="15"/>
      <c r="AB581" s="44"/>
      <c r="AC581" s="15"/>
      <c r="AD581" s="44"/>
      <c r="AE581" s="15"/>
      <c r="AF581" s="44"/>
      <c r="AG581" s="15">
        <f t="shared" si="65"/>
        <v>0</v>
      </c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42"/>
      <c r="BB581" s="15">
        <f t="shared" si="61"/>
        <v>0</v>
      </c>
      <c r="BC581" s="15"/>
      <c r="BD581" s="44"/>
      <c r="BE581" s="15"/>
      <c r="BF581" s="44"/>
      <c r="BG581" s="15">
        <f t="shared" si="62"/>
        <v>0</v>
      </c>
    </row>
    <row r="582" spans="1:59" s="8" customFormat="1" ht="22.5" customHeight="1">
      <c r="A582" s="9"/>
      <c r="B582" s="16" t="s">
        <v>120</v>
      </c>
      <c r="C582" s="89" t="s">
        <v>50</v>
      </c>
      <c r="D582" s="104" t="s">
        <v>356</v>
      </c>
      <c r="E582" s="104" t="s">
        <v>2139</v>
      </c>
      <c r="F582" s="104" t="s">
        <v>2140</v>
      </c>
      <c r="G582" s="104" t="s">
        <v>2141</v>
      </c>
      <c r="H582" s="12"/>
      <c r="I582" s="9"/>
      <c r="J582" s="9" t="s">
        <v>67</v>
      </c>
      <c r="K582" s="14"/>
      <c r="L582" s="14"/>
      <c r="M582" s="12">
        <v>149</v>
      </c>
      <c r="N582" s="9"/>
      <c r="O582" s="9"/>
      <c r="P582" s="9"/>
      <c r="Q582" s="38">
        <f t="shared" si="63"/>
        <v>149</v>
      </c>
      <c r="R582" s="12"/>
      <c r="S582" s="42"/>
      <c r="T582" s="15"/>
      <c r="U582" s="44"/>
      <c r="V582" s="15"/>
      <c r="W582" s="44"/>
      <c r="X582" s="15">
        <f t="shared" si="64"/>
        <v>0</v>
      </c>
      <c r="Y582" s="15"/>
      <c r="Z582" s="44"/>
      <c r="AA582" s="15"/>
      <c r="AB582" s="44"/>
      <c r="AC582" s="15"/>
      <c r="AD582" s="44"/>
      <c r="AE582" s="15"/>
      <c r="AF582" s="44"/>
      <c r="AG582" s="15">
        <f t="shared" si="65"/>
        <v>0</v>
      </c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/>
      <c r="BA582" s="42"/>
      <c r="BB582" s="15">
        <f t="shared" si="61"/>
        <v>0</v>
      </c>
      <c r="BC582" s="15"/>
      <c r="BD582" s="44"/>
      <c r="BE582" s="15"/>
      <c r="BF582" s="44"/>
      <c r="BG582" s="15">
        <f t="shared" si="62"/>
        <v>0</v>
      </c>
    </row>
    <row r="583" spans="1:59" s="8" customFormat="1" ht="22.5" customHeight="1">
      <c r="A583" s="9"/>
      <c r="B583" s="16" t="s">
        <v>120</v>
      </c>
      <c r="C583" s="89" t="s">
        <v>50</v>
      </c>
      <c r="D583" s="104" t="s">
        <v>358</v>
      </c>
      <c r="E583" s="104" t="s">
        <v>2142</v>
      </c>
      <c r="F583" s="104" t="s">
        <v>2143</v>
      </c>
      <c r="G583" s="104" t="s">
        <v>2144</v>
      </c>
      <c r="H583" s="12"/>
      <c r="I583" s="9"/>
      <c r="J583" s="9" t="s">
        <v>67</v>
      </c>
      <c r="K583" s="14"/>
      <c r="L583" s="14"/>
      <c r="M583" s="12">
        <v>12</v>
      </c>
      <c r="N583" s="9"/>
      <c r="O583" s="9"/>
      <c r="P583" s="9"/>
      <c r="Q583" s="38">
        <f t="shared" si="63"/>
        <v>12</v>
      </c>
      <c r="R583" s="12"/>
      <c r="S583" s="42"/>
      <c r="T583" s="15"/>
      <c r="U583" s="44"/>
      <c r="V583" s="15"/>
      <c r="W583" s="44"/>
      <c r="X583" s="15">
        <f t="shared" si="64"/>
        <v>0</v>
      </c>
      <c r="Y583" s="15"/>
      <c r="Z583" s="44"/>
      <c r="AA583" s="15"/>
      <c r="AB583" s="44"/>
      <c r="AC583" s="15"/>
      <c r="AD583" s="44"/>
      <c r="AE583" s="15"/>
      <c r="AF583" s="44"/>
      <c r="AG583" s="15">
        <f t="shared" si="65"/>
        <v>0</v>
      </c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/>
      <c r="BA583" s="42"/>
      <c r="BB583" s="15">
        <f t="shared" si="61"/>
        <v>0</v>
      </c>
      <c r="BC583" s="15"/>
      <c r="BD583" s="44"/>
      <c r="BE583" s="15"/>
      <c r="BF583" s="44"/>
      <c r="BG583" s="15">
        <f t="shared" si="62"/>
        <v>0</v>
      </c>
    </row>
    <row r="584" spans="1:59" s="8" customFormat="1" ht="22.5" customHeight="1">
      <c r="A584" s="9"/>
      <c r="B584" s="16" t="s">
        <v>120</v>
      </c>
      <c r="C584" s="89" t="s">
        <v>50</v>
      </c>
      <c r="D584" s="104" t="s">
        <v>360</v>
      </c>
      <c r="E584" s="104" t="s">
        <v>361</v>
      </c>
      <c r="F584" s="104" t="s">
        <v>2145</v>
      </c>
      <c r="G584" s="104" t="s">
        <v>2146</v>
      </c>
      <c r="H584" s="12"/>
      <c r="I584" s="9"/>
      <c r="J584" s="9" t="s">
        <v>67</v>
      </c>
      <c r="K584" s="14"/>
      <c r="L584" s="14"/>
      <c r="M584" s="12">
        <v>548</v>
      </c>
      <c r="N584" s="9"/>
      <c r="O584" s="9"/>
      <c r="P584" s="9"/>
      <c r="Q584" s="38">
        <f t="shared" si="63"/>
        <v>548</v>
      </c>
      <c r="R584" s="12"/>
      <c r="S584" s="42"/>
      <c r="T584" s="15"/>
      <c r="U584" s="44"/>
      <c r="V584" s="15"/>
      <c r="W584" s="44"/>
      <c r="X584" s="15">
        <f t="shared" si="64"/>
        <v>0</v>
      </c>
      <c r="Y584" s="15"/>
      <c r="Z584" s="44"/>
      <c r="AA584" s="15"/>
      <c r="AB584" s="44"/>
      <c r="AC584" s="15"/>
      <c r="AD584" s="44"/>
      <c r="AE584" s="15"/>
      <c r="AF584" s="44"/>
      <c r="AG584" s="15">
        <f t="shared" si="65"/>
        <v>0</v>
      </c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/>
      <c r="BA584" s="42"/>
      <c r="BB584" s="15">
        <f t="shared" si="61"/>
        <v>0</v>
      </c>
      <c r="BC584" s="15"/>
      <c r="BD584" s="44"/>
      <c r="BE584" s="15"/>
      <c r="BF584" s="44"/>
      <c r="BG584" s="15">
        <f t="shared" si="62"/>
        <v>0</v>
      </c>
    </row>
    <row r="585" spans="1:59" s="8" customFormat="1" ht="22.5" customHeight="1">
      <c r="A585" s="9"/>
      <c r="B585" s="16" t="s">
        <v>120</v>
      </c>
      <c r="C585" s="89" t="s">
        <v>50</v>
      </c>
      <c r="D585" s="104" t="s">
        <v>2147</v>
      </c>
      <c r="E585" s="104" t="s">
        <v>2148</v>
      </c>
      <c r="F585" s="104" t="s">
        <v>2149</v>
      </c>
      <c r="G585" s="104" t="s">
        <v>2150</v>
      </c>
      <c r="H585" s="12"/>
      <c r="I585" s="9"/>
      <c r="J585" s="9" t="s">
        <v>67</v>
      </c>
      <c r="K585" s="14"/>
      <c r="L585" s="14"/>
      <c r="M585" s="12">
        <v>102</v>
      </c>
      <c r="N585" s="9"/>
      <c r="O585" s="9"/>
      <c r="P585" s="9"/>
      <c r="Q585" s="38">
        <f t="shared" si="63"/>
        <v>102</v>
      </c>
      <c r="R585" s="12"/>
      <c r="S585" s="42"/>
      <c r="T585" s="15"/>
      <c r="U585" s="44"/>
      <c r="V585" s="15"/>
      <c r="W585" s="44"/>
      <c r="X585" s="15">
        <f t="shared" si="64"/>
        <v>0</v>
      </c>
      <c r="Y585" s="15"/>
      <c r="Z585" s="44"/>
      <c r="AA585" s="15"/>
      <c r="AB585" s="44"/>
      <c r="AC585" s="15"/>
      <c r="AD585" s="44"/>
      <c r="AE585" s="15"/>
      <c r="AF585" s="44"/>
      <c r="AG585" s="15">
        <f t="shared" si="65"/>
        <v>0</v>
      </c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/>
      <c r="BA585" s="42"/>
      <c r="BB585" s="15">
        <f t="shared" si="61"/>
        <v>0</v>
      </c>
      <c r="BC585" s="15"/>
      <c r="BD585" s="44"/>
      <c r="BE585" s="15"/>
      <c r="BF585" s="44"/>
      <c r="BG585" s="15">
        <f t="shared" si="62"/>
        <v>0</v>
      </c>
    </row>
    <row r="586" spans="1:59" s="8" customFormat="1" ht="22.5" customHeight="1">
      <c r="A586" s="9"/>
      <c r="B586" s="16" t="s">
        <v>120</v>
      </c>
      <c r="C586" s="89" t="s">
        <v>50</v>
      </c>
      <c r="D586" s="104" t="s">
        <v>2151</v>
      </c>
      <c r="E586" s="104" t="s">
        <v>2152</v>
      </c>
      <c r="F586" s="104" t="s">
        <v>2153</v>
      </c>
      <c r="G586" s="104" t="s">
        <v>2154</v>
      </c>
      <c r="H586" s="12"/>
      <c r="I586" s="9"/>
      <c r="J586" s="9" t="s">
        <v>67</v>
      </c>
      <c r="K586" s="14">
        <v>0</v>
      </c>
      <c r="L586" s="14">
        <v>0</v>
      </c>
      <c r="M586" s="12">
        <v>0</v>
      </c>
      <c r="N586" s="9">
        <v>0</v>
      </c>
      <c r="O586" s="9">
        <v>0</v>
      </c>
      <c r="P586" s="9">
        <v>0</v>
      </c>
      <c r="Q586" s="38">
        <f t="shared" si="63"/>
        <v>0</v>
      </c>
      <c r="R586" s="12"/>
      <c r="S586" s="42"/>
      <c r="T586" s="15"/>
      <c r="U586" s="44"/>
      <c r="V586" s="15"/>
      <c r="W586" s="44"/>
      <c r="X586" s="15">
        <f t="shared" si="64"/>
        <v>0</v>
      </c>
      <c r="Y586" s="15"/>
      <c r="Z586" s="44"/>
      <c r="AA586" s="15"/>
      <c r="AB586" s="44"/>
      <c r="AC586" s="15"/>
      <c r="AD586" s="44"/>
      <c r="AE586" s="15"/>
      <c r="AF586" s="44"/>
      <c r="AG586" s="15">
        <f t="shared" si="65"/>
        <v>0</v>
      </c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/>
      <c r="BA586" s="42"/>
      <c r="BB586" s="15"/>
      <c r="BC586" s="15"/>
      <c r="BD586" s="44"/>
      <c r="BE586" s="15"/>
      <c r="BF586" s="44"/>
      <c r="BG586" s="15"/>
    </row>
    <row r="587" spans="1:59" s="8" customFormat="1" ht="22.5" customHeight="1">
      <c r="A587" s="9"/>
      <c r="B587" s="16" t="s">
        <v>477</v>
      </c>
      <c r="C587" s="89" t="s">
        <v>140</v>
      </c>
      <c r="D587" s="104" t="s">
        <v>2155</v>
      </c>
      <c r="E587" s="104" t="s">
        <v>2156</v>
      </c>
      <c r="F587" s="104" t="s">
        <v>2157</v>
      </c>
      <c r="G587" s="104" t="s">
        <v>2158</v>
      </c>
      <c r="H587" s="12"/>
      <c r="I587" s="9"/>
      <c r="J587" s="9" t="s">
        <v>482</v>
      </c>
      <c r="K587" s="14"/>
      <c r="L587" s="14"/>
      <c r="M587" s="12">
        <v>3</v>
      </c>
      <c r="N587" s="9"/>
      <c r="O587" s="9"/>
      <c r="P587" s="9"/>
      <c r="Q587" s="38">
        <f t="shared" si="63"/>
        <v>3</v>
      </c>
      <c r="R587" s="12"/>
      <c r="S587" s="42"/>
      <c r="T587" s="15"/>
      <c r="U587" s="44"/>
      <c r="V587" s="15"/>
      <c r="W587" s="44"/>
      <c r="X587" s="15">
        <f t="shared" si="64"/>
        <v>0</v>
      </c>
      <c r="Y587" s="15"/>
      <c r="Z587" s="44"/>
      <c r="AA587" s="15"/>
      <c r="AB587" s="44"/>
      <c r="AC587" s="15"/>
      <c r="AD587" s="44"/>
      <c r="AE587" s="15"/>
      <c r="AF587" s="44"/>
      <c r="AG587" s="15">
        <f t="shared" si="65"/>
        <v>0</v>
      </c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/>
      <c r="BA587" s="42"/>
      <c r="BB587" s="15"/>
      <c r="BC587" s="15"/>
      <c r="BD587" s="44"/>
      <c r="BE587" s="15"/>
      <c r="BF587" s="44"/>
      <c r="BG587" s="15"/>
    </row>
    <row r="588" spans="1:59" s="8" customFormat="1" ht="22.5" customHeight="1">
      <c r="A588" s="9"/>
      <c r="B588" s="16" t="s">
        <v>172</v>
      </c>
      <c r="C588" s="89" t="s">
        <v>494</v>
      </c>
      <c r="D588" s="104" t="s">
        <v>253</v>
      </c>
      <c r="E588" s="104"/>
      <c r="F588" s="104" t="s">
        <v>2159</v>
      </c>
      <c r="G588" s="104" t="s">
        <v>2160</v>
      </c>
      <c r="H588" s="12"/>
      <c r="I588" s="9"/>
      <c r="J588" s="9" t="s">
        <v>67</v>
      </c>
      <c r="K588" s="14"/>
      <c r="L588" s="14"/>
      <c r="M588" s="12"/>
      <c r="N588" s="9"/>
      <c r="O588" s="9"/>
      <c r="P588" s="9"/>
      <c r="Q588" s="38">
        <f t="shared" si="63"/>
        <v>0</v>
      </c>
      <c r="R588" s="12"/>
      <c r="S588" s="42"/>
      <c r="T588" s="15"/>
      <c r="U588" s="44"/>
      <c r="V588" s="15"/>
      <c r="W588" s="44"/>
      <c r="X588" s="15">
        <f t="shared" si="64"/>
        <v>0</v>
      </c>
      <c r="Y588" s="15"/>
      <c r="Z588" s="44"/>
      <c r="AA588" s="15"/>
      <c r="AB588" s="44"/>
      <c r="AC588" s="15"/>
      <c r="AD588" s="44"/>
      <c r="AE588" s="15"/>
      <c r="AF588" s="44"/>
      <c r="AG588" s="15">
        <f t="shared" si="65"/>
        <v>0</v>
      </c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/>
      <c r="BA588" s="42"/>
      <c r="BB588" s="15">
        <f>AH588+AJ588+AL588+AN588+AP588+AR588+AT588+AV588+AX588+AZ588</f>
        <v>0</v>
      </c>
      <c r="BC588" s="15"/>
      <c r="BD588" s="44"/>
      <c r="BE588" s="15"/>
      <c r="BF588" s="44"/>
      <c r="BG588" s="15">
        <f>(BC588+BE588)</f>
        <v>0</v>
      </c>
    </row>
    <row r="589" spans="1:59" s="8" customFormat="1" ht="22.5" customHeight="1">
      <c r="A589" s="9"/>
      <c r="B589" s="16" t="s">
        <v>172</v>
      </c>
      <c r="C589" s="89" t="s">
        <v>52</v>
      </c>
      <c r="D589" s="104" t="s">
        <v>495</v>
      </c>
      <c r="E589" s="104" t="s">
        <v>496</v>
      </c>
      <c r="F589" s="104" t="s">
        <v>2161</v>
      </c>
      <c r="G589" s="104" t="s">
        <v>2162</v>
      </c>
      <c r="H589" s="12"/>
      <c r="I589" s="9"/>
      <c r="J589" s="9" t="s">
        <v>67</v>
      </c>
      <c r="K589" s="14"/>
      <c r="L589" s="14"/>
      <c r="M589" s="12"/>
      <c r="N589" s="9"/>
      <c r="O589" s="9"/>
      <c r="P589" s="9"/>
      <c r="Q589" s="38">
        <f t="shared" si="63"/>
        <v>0</v>
      </c>
      <c r="R589" s="12"/>
      <c r="S589" s="42"/>
      <c r="T589" s="15"/>
      <c r="U589" s="44"/>
      <c r="V589" s="15"/>
      <c r="W589" s="44"/>
      <c r="X589" s="15">
        <f t="shared" si="64"/>
        <v>0</v>
      </c>
      <c r="Y589" s="15"/>
      <c r="Z589" s="44"/>
      <c r="AA589" s="15"/>
      <c r="AB589" s="44"/>
      <c r="AC589" s="15"/>
      <c r="AD589" s="44"/>
      <c r="AE589" s="15"/>
      <c r="AF589" s="44"/>
      <c r="AG589" s="15">
        <f t="shared" si="65"/>
        <v>0</v>
      </c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/>
      <c r="BA589" s="42"/>
      <c r="BB589" s="15">
        <f>AH589+AJ589+AL589+AN589+AP589+AR589+AT589+AV589+AX589+AZ589</f>
        <v>0</v>
      </c>
      <c r="BC589" s="15"/>
      <c r="BD589" s="44"/>
      <c r="BE589" s="15"/>
      <c r="BF589" s="44"/>
      <c r="BG589" s="15">
        <f>(BC589+BE589)</f>
        <v>0</v>
      </c>
    </row>
    <row r="590" spans="1:59" s="8" customFormat="1" ht="22.5" customHeight="1">
      <c r="A590" s="9"/>
      <c r="B590" s="16" t="s">
        <v>172</v>
      </c>
      <c r="C590" s="89" t="s">
        <v>494</v>
      </c>
      <c r="D590" s="104" t="s">
        <v>500</v>
      </c>
      <c r="E590" s="104" t="s">
        <v>501</v>
      </c>
      <c r="F590" s="104" t="s">
        <v>2163</v>
      </c>
      <c r="G590" s="104" t="s">
        <v>2164</v>
      </c>
      <c r="H590" s="12"/>
      <c r="I590" s="9"/>
      <c r="J590" s="9" t="s">
        <v>67</v>
      </c>
      <c r="K590" s="14"/>
      <c r="L590" s="14"/>
      <c r="M590" s="12"/>
      <c r="N590" s="9"/>
      <c r="O590" s="9"/>
      <c r="P590" s="9"/>
      <c r="Q590" s="38">
        <f t="shared" si="63"/>
        <v>0</v>
      </c>
      <c r="R590" s="12"/>
      <c r="S590" s="42"/>
      <c r="T590" s="15"/>
      <c r="U590" s="44"/>
      <c r="V590" s="15"/>
      <c r="W590" s="44"/>
      <c r="X590" s="15">
        <f t="shared" si="64"/>
        <v>0</v>
      </c>
      <c r="Y590" s="15"/>
      <c r="Z590" s="44"/>
      <c r="AA590" s="15"/>
      <c r="AB590" s="44"/>
      <c r="AC590" s="15"/>
      <c r="AD590" s="44"/>
      <c r="AE590" s="15"/>
      <c r="AF590" s="44"/>
      <c r="AG590" s="15">
        <f t="shared" si="65"/>
        <v>0</v>
      </c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/>
      <c r="BA590" s="42"/>
      <c r="BB590" s="15">
        <f>AH590+AJ590+AL590+AN590+AP590+AR590+AT590+AV590+AX590+AZ590</f>
        <v>0</v>
      </c>
      <c r="BC590" s="15"/>
      <c r="BD590" s="44"/>
      <c r="BE590" s="15"/>
      <c r="BF590" s="44"/>
      <c r="BG590" s="15">
        <f>(BC590+BE590)</f>
        <v>0</v>
      </c>
    </row>
    <row r="591" spans="1:59" s="8" customFormat="1" ht="22.5" customHeight="1">
      <c r="A591" s="9"/>
      <c r="B591" s="16" t="s">
        <v>120</v>
      </c>
      <c r="C591" s="89" t="s">
        <v>1610</v>
      </c>
      <c r="D591" s="104" t="s">
        <v>2165</v>
      </c>
      <c r="E591" s="104" t="s">
        <v>2166</v>
      </c>
      <c r="F591" s="104" t="s">
        <v>2167</v>
      </c>
      <c r="G591" s="104" t="s">
        <v>2168</v>
      </c>
      <c r="H591" s="12"/>
      <c r="I591" s="9"/>
      <c r="J591" s="9" t="s">
        <v>67</v>
      </c>
      <c r="K591" s="14">
        <v>0</v>
      </c>
      <c r="L591" s="14">
        <v>0</v>
      </c>
      <c r="M591" s="12">
        <v>140</v>
      </c>
      <c r="N591" s="9"/>
      <c r="O591" s="9"/>
      <c r="P591" s="9"/>
      <c r="Q591" s="38"/>
      <c r="R591" s="12"/>
      <c r="S591" s="42"/>
      <c r="T591" s="15"/>
      <c r="U591" s="44"/>
      <c r="V591" s="15"/>
      <c r="W591" s="44"/>
      <c r="X591" s="15"/>
      <c r="Y591" s="15"/>
      <c r="Z591" s="44"/>
      <c r="AA591" s="15"/>
      <c r="AB591" s="44"/>
      <c r="AC591" s="15"/>
      <c r="AD591" s="44"/>
      <c r="AE591" s="15"/>
      <c r="AF591" s="44"/>
      <c r="AG591" s="15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/>
      <c r="BA591" s="42"/>
      <c r="BB591" s="15"/>
      <c r="BC591" s="15"/>
      <c r="BD591" s="44"/>
      <c r="BE591" s="15"/>
      <c r="BF591" s="44"/>
      <c r="BG591" s="15"/>
    </row>
    <row r="592" spans="1:59" s="8" customFormat="1" ht="22.5" customHeight="1">
      <c r="A592" s="9"/>
      <c r="B592" s="16" t="s">
        <v>120</v>
      </c>
      <c r="C592" s="89" t="s">
        <v>52</v>
      </c>
      <c r="D592" s="104" t="s">
        <v>2169</v>
      </c>
      <c r="E592" s="104"/>
      <c r="F592" s="104" t="s">
        <v>2170</v>
      </c>
      <c r="G592" s="104" t="s">
        <v>2171</v>
      </c>
      <c r="H592" s="12"/>
      <c r="I592" s="9"/>
      <c r="J592" s="9" t="s">
        <v>67</v>
      </c>
      <c r="K592" s="14">
        <v>0</v>
      </c>
      <c r="L592" s="14">
        <v>0</v>
      </c>
      <c r="M592" s="12">
        <v>227</v>
      </c>
      <c r="N592" s="9"/>
      <c r="O592" s="9"/>
      <c r="P592" s="9"/>
      <c r="Q592" s="38">
        <f t="shared" ref="Q592:Q633" si="66">M592+X592-AG592-BB592</f>
        <v>227</v>
      </c>
      <c r="R592" s="12">
        <v>0</v>
      </c>
      <c r="S592" s="42">
        <v>0</v>
      </c>
      <c r="T592" s="15"/>
      <c r="U592" s="44"/>
      <c r="V592" s="15"/>
      <c r="W592" s="44"/>
      <c r="X592" s="15">
        <f t="shared" ref="X592:X616" si="67">R592+T592+V592</f>
        <v>0</v>
      </c>
      <c r="Y592" s="15"/>
      <c r="Z592" s="44"/>
      <c r="AA592" s="15"/>
      <c r="AB592" s="44"/>
      <c r="AC592" s="15"/>
      <c r="AD592" s="44"/>
      <c r="AE592" s="15"/>
      <c r="AF592" s="44"/>
      <c r="AG592" s="15">
        <f t="shared" ref="AG592:AG616" si="68">(Y592+AA592+AC592+AE592)</f>
        <v>0</v>
      </c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/>
      <c r="BA592" s="42"/>
      <c r="BB592" s="15"/>
      <c r="BC592" s="15"/>
      <c r="BD592" s="44"/>
      <c r="BE592" s="15"/>
      <c r="BF592" s="44"/>
      <c r="BG592" s="15"/>
    </row>
    <row r="593" spans="1:59" s="8" customFormat="1" ht="22.5" customHeight="1">
      <c r="A593" s="9"/>
      <c r="B593" s="16" t="s">
        <v>204</v>
      </c>
      <c r="C593" s="89" t="s">
        <v>52</v>
      </c>
      <c r="D593" s="104" t="s">
        <v>2172</v>
      </c>
      <c r="E593" s="104"/>
      <c r="F593" s="104" t="s">
        <v>2173</v>
      </c>
      <c r="G593" s="104" t="s">
        <v>2174</v>
      </c>
      <c r="H593" s="12"/>
      <c r="I593" s="9"/>
      <c r="J593" s="9" t="s">
        <v>207</v>
      </c>
      <c r="K593" s="14"/>
      <c r="L593" s="14"/>
      <c r="M593" s="12">
        <v>34</v>
      </c>
      <c r="N593" s="9"/>
      <c r="O593" s="9"/>
      <c r="P593" s="9"/>
      <c r="Q593" s="38">
        <f t="shared" si="66"/>
        <v>34</v>
      </c>
      <c r="R593" s="12"/>
      <c r="S593" s="42"/>
      <c r="T593" s="15"/>
      <c r="U593" s="44"/>
      <c r="V593" s="15"/>
      <c r="W593" s="44"/>
      <c r="X593" s="15">
        <f t="shared" si="67"/>
        <v>0</v>
      </c>
      <c r="Y593" s="15"/>
      <c r="Z593" s="44"/>
      <c r="AA593" s="15"/>
      <c r="AB593" s="44"/>
      <c r="AC593" s="15"/>
      <c r="AD593" s="44"/>
      <c r="AE593" s="15"/>
      <c r="AF593" s="44"/>
      <c r="AG593" s="15">
        <f t="shared" si="68"/>
        <v>0</v>
      </c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/>
      <c r="BA593" s="42"/>
      <c r="BB593" s="15"/>
      <c r="BC593" s="15"/>
      <c r="BD593" s="44"/>
      <c r="BE593" s="15"/>
      <c r="BF593" s="44"/>
      <c r="BG593" s="15"/>
    </row>
    <row r="594" spans="1:59" s="8" customFormat="1" ht="22.5" customHeight="1">
      <c r="A594" s="9"/>
      <c r="B594" s="16" t="s">
        <v>204</v>
      </c>
      <c r="C594" s="89" t="s">
        <v>52</v>
      </c>
      <c r="D594" s="104" t="s">
        <v>533</v>
      </c>
      <c r="E594" s="104" t="s">
        <v>534</v>
      </c>
      <c r="F594" s="104" t="s">
        <v>2175</v>
      </c>
      <c r="G594" s="104" t="s">
        <v>2176</v>
      </c>
      <c r="H594" s="12"/>
      <c r="I594" s="9"/>
      <c r="J594" s="9" t="s">
        <v>207</v>
      </c>
      <c r="K594" s="14"/>
      <c r="L594" s="14"/>
      <c r="M594" s="12"/>
      <c r="N594" s="9"/>
      <c r="O594" s="9"/>
      <c r="P594" s="9"/>
      <c r="Q594" s="38">
        <f t="shared" si="66"/>
        <v>0</v>
      </c>
      <c r="R594" s="12"/>
      <c r="S594" s="42"/>
      <c r="T594" s="15"/>
      <c r="U594" s="44"/>
      <c r="V594" s="15"/>
      <c r="W594" s="44"/>
      <c r="X594" s="15">
        <f t="shared" si="67"/>
        <v>0</v>
      </c>
      <c r="Y594" s="15"/>
      <c r="Z594" s="44"/>
      <c r="AA594" s="15"/>
      <c r="AB594" s="44"/>
      <c r="AC594" s="15"/>
      <c r="AD594" s="44"/>
      <c r="AE594" s="15"/>
      <c r="AF594" s="44"/>
      <c r="AG594" s="15">
        <f t="shared" si="68"/>
        <v>0</v>
      </c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/>
      <c r="BA594" s="42"/>
      <c r="BB594" s="15">
        <f t="shared" ref="BB594:BB616" si="69">AH594+AJ594+AL594+AN594+AP594+AR594+AT594+AV594+AX594+AZ594</f>
        <v>0</v>
      </c>
      <c r="BC594" s="15"/>
      <c r="BD594" s="44"/>
      <c r="BE594" s="15"/>
      <c r="BF594" s="44"/>
      <c r="BG594" s="15">
        <f t="shared" ref="BG594:BG616" si="70">(BC594+BE594)</f>
        <v>0</v>
      </c>
    </row>
    <row r="595" spans="1:59" s="8" customFormat="1" ht="22.5" customHeight="1">
      <c r="A595" s="9"/>
      <c r="B595" s="16" t="s">
        <v>343</v>
      </c>
      <c r="C595" s="89" t="s">
        <v>52</v>
      </c>
      <c r="D595" s="104" t="s">
        <v>343</v>
      </c>
      <c r="E595" s="104"/>
      <c r="F595" s="104" t="s">
        <v>1387</v>
      </c>
      <c r="G595" s="104" t="s">
        <v>1388</v>
      </c>
      <c r="H595" s="12"/>
      <c r="I595" s="9"/>
      <c r="J595" s="9" t="s">
        <v>345</v>
      </c>
      <c r="K595" s="14"/>
      <c r="L595" s="14"/>
      <c r="M595" s="12"/>
      <c r="N595" s="9"/>
      <c r="O595" s="9"/>
      <c r="P595" s="9"/>
      <c r="Q595" s="38">
        <f t="shared" si="66"/>
        <v>0</v>
      </c>
      <c r="R595" s="12"/>
      <c r="S595" s="42"/>
      <c r="T595" s="15"/>
      <c r="U595" s="44"/>
      <c r="V595" s="15"/>
      <c r="W595" s="44"/>
      <c r="X595" s="15">
        <f t="shared" si="67"/>
        <v>0</v>
      </c>
      <c r="Y595" s="15"/>
      <c r="Z595" s="44"/>
      <c r="AA595" s="15"/>
      <c r="AB595" s="44"/>
      <c r="AC595" s="15"/>
      <c r="AD595" s="44"/>
      <c r="AE595" s="15"/>
      <c r="AF595" s="44"/>
      <c r="AG595" s="15">
        <f t="shared" si="68"/>
        <v>0</v>
      </c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/>
      <c r="BA595" s="42"/>
      <c r="BB595" s="15">
        <f t="shared" si="69"/>
        <v>0</v>
      </c>
      <c r="BC595" s="15"/>
      <c r="BD595" s="44"/>
      <c r="BE595" s="15"/>
      <c r="BF595" s="44"/>
      <c r="BG595" s="15">
        <f t="shared" si="70"/>
        <v>0</v>
      </c>
    </row>
    <row r="596" spans="1:59" s="8" customFormat="1" ht="22.5" customHeight="1">
      <c r="A596" s="9"/>
      <c r="B596" s="16" t="s">
        <v>632</v>
      </c>
      <c r="C596" s="89" t="s">
        <v>151</v>
      </c>
      <c r="D596" s="104" t="s">
        <v>2177</v>
      </c>
      <c r="E596" s="104"/>
      <c r="F596" s="104" t="s">
        <v>1788</v>
      </c>
      <c r="G596" s="104" t="s">
        <v>1789</v>
      </c>
      <c r="H596" s="12"/>
      <c r="I596" s="9"/>
      <c r="J596" s="9"/>
      <c r="K596" s="14"/>
      <c r="L596" s="14"/>
      <c r="M596" s="12">
        <v>38</v>
      </c>
      <c r="N596" s="9"/>
      <c r="O596" s="9"/>
      <c r="P596" s="9"/>
      <c r="Q596" s="38">
        <f t="shared" si="66"/>
        <v>38</v>
      </c>
      <c r="R596" s="12"/>
      <c r="S596" s="42"/>
      <c r="T596" s="15"/>
      <c r="U596" s="44"/>
      <c r="V596" s="15"/>
      <c r="W596" s="44"/>
      <c r="X596" s="15">
        <f t="shared" si="67"/>
        <v>0</v>
      </c>
      <c r="Y596" s="15"/>
      <c r="Z596" s="44"/>
      <c r="AA596" s="15"/>
      <c r="AB596" s="44"/>
      <c r="AC596" s="15"/>
      <c r="AD596" s="44"/>
      <c r="AE596" s="15"/>
      <c r="AF596" s="44"/>
      <c r="AG596" s="15">
        <f t="shared" si="68"/>
        <v>0</v>
      </c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/>
      <c r="BA596" s="42"/>
      <c r="BB596" s="15">
        <f t="shared" si="69"/>
        <v>0</v>
      </c>
      <c r="BC596" s="15"/>
      <c r="BD596" s="44"/>
      <c r="BE596" s="15"/>
      <c r="BF596" s="44"/>
      <c r="BG596" s="15">
        <f t="shared" si="70"/>
        <v>0</v>
      </c>
    </row>
    <row r="597" spans="1:59" s="8" customFormat="1" ht="22.5" customHeight="1">
      <c r="A597" s="9"/>
      <c r="B597" s="16" t="s">
        <v>632</v>
      </c>
      <c r="C597" s="89" t="s">
        <v>132</v>
      </c>
      <c r="D597" s="104" t="s">
        <v>634</v>
      </c>
      <c r="E597" s="104"/>
      <c r="F597" s="104" t="s">
        <v>2178</v>
      </c>
      <c r="G597" s="104" t="s">
        <v>2179</v>
      </c>
      <c r="H597" s="12"/>
      <c r="I597" s="9"/>
      <c r="J597" s="9" t="s">
        <v>247</v>
      </c>
      <c r="K597" s="14"/>
      <c r="L597" s="14"/>
      <c r="M597" s="12"/>
      <c r="N597" s="9"/>
      <c r="O597" s="9"/>
      <c r="P597" s="9"/>
      <c r="Q597" s="38">
        <f t="shared" si="66"/>
        <v>0</v>
      </c>
      <c r="R597" s="12"/>
      <c r="S597" s="42"/>
      <c r="T597" s="15"/>
      <c r="U597" s="44"/>
      <c r="V597" s="15"/>
      <c r="W597" s="44"/>
      <c r="X597" s="15">
        <f t="shared" si="67"/>
        <v>0</v>
      </c>
      <c r="Y597" s="15"/>
      <c r="Z597" s="44"/>
      <c r="AA597" s="15"/>
      <c r="AB597" s="44"/>
      <c r="AC597" s="15"/>
      <c r="AD597" s="44"/>
      <c r="AE597" s="15"/>
      <c r="AF597" s="44"/>
      <c r="AG597" s="15">
        <f t="shared" si="68"/>
        <v>0</v>
      </c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/>
      <c r="BA597" s="42"/>
      <c r="BB597" s="15">
        <f t="shared" si="69"/>
        <v>0</v>
      </c>
      <c r="BC597" s="15"/>
      <c r="BD597" s="44"/>
      <c r="BE597" s="15"/>
      <c r="BF597" s="44"/>
      <c r="BG597" s="15">
        <f t="shared" si="70"/>
        <v>0</v>
      </c>
    </row>
    <row r="598" spans="1:59" s="8" customFormat="1" ht="22.5" customHeight="1">
      <c r="A598" s="9"/>
      <c r="B598" s="16" t="s">
        <v>632</v>
      </c>
      <c r="C598" s="89" t="s">
        <v>132</v>
      </c>
      <c r="D598" s="104" t="s">
        <v>636</v>
      </c>
      <c r="E598" s="104"/>
      <c r="F598" s="104" t="s">
        <v>2180</v>
      </c>
      <c r="G598" s="104" t="s">
        <v>2181</v>
      </c>
      <c r="H598" s="12"/>
      <c r="I598" s="9"/>
      <c r="J598" s="9" t="s">
        <v>247</v>
      </c>
      <c r="K598" s="14"/>
      <c r="L598" s="14"/>
      <c r="M598" s="12"/>
      <c r="N598" s="9"/>
      <c r="O598" s="9"/>
      <c r="P598" s="9"/>
      <c r="Q598" s="38">
        <f t="shared" si="66"/>
        <v>0</v>
      </c>
      <c r="R598" s="12"/>
      <c r="S598" s="42"/>
      <c r="T598" s="15"/>
      <c r="U598" s="44"/>
      <c r="V598" s="15"/>
      <c r="W598" s="44"/>
      <c r="X598" s="15">
        <f t="shared" si="67"/>
        <v>0</v>
      </c>
      <c r="Y598" s="15"/>
      <c r="Z598" s="44"/>
      <c r="AA598" s="15"/>
      <c r="AB598" s="44"/>
      <c r="AC598" s="15"/>
      <c r="AD598" s="44"/>
      <c r="AE598" s="15"/>
      <c r="AF598" s="44"/>
      <c r="AG598" s="15">
        <f t="shared" si="68"/>
        <v>0</v>
      </c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/>
      <c r="BA598" s="42"/>
      <c r="BB598" s="15">
        <f t="shared" si="69"/>
        <v>0</v>
      </c>
      <c r="BC598" s="15"/>
      <c r="BD598" s="44"/>
      <c r="BE598" s="15"/>
      <c r="BF598" s="44"/>
      <c r="BG598" s="15">
        <f t="shared" si="70"/>
        <v>0</v>
      </c>
    </row>
    <row r="599" spans="1:59" s="8" customFormat="1" ht="22.5" customHeight="1">
      <c r="A599" s="9"/>
      <c r="B599" s="16" t="s">
        <v>632</v>
      </c>
      <c r="C599" s="89" t="s">
        <v>48</v>
      </c>
      <c r="D599" s="104" t="s">
        <v>636</v>
      </c>
      <c r="E599" s="104"/>
      <c r="F599" s="104" t="s">
        <v>2182</v>
      </c>
      <c r="G599" s="104" t="s">
        <v>2183</v>
      </c>
      <c r="H599" s="12"/>
      <c r="I599" s="9"/>
      <c r="J599" s="9" t="s">
        <v>247</v>
      </c>
      <c r="K599" s="14"/>
      <c r="L599" s="14"/>
      <c r="M599" s="12"/>
      <c r="N599" s="9"/>
      <c r="O599" s="9"/>
      <c r="P599" s="9"/>
      <c r="Q599" s="38">
        <f t="shared" si="66"/>
        <v>0</v>
      </c>
      <c r="R599" s="12"/>
      <c r="S599" s="42"/>
      <c r="T599" s="15"/>
      <c r="U599" s="44"/>
      <c r="V599" s="15"/>
      <c r="W599" s="44"/>
      <c r="X599" s="15">
        <f t="shared" si="67"/>
        <v>0</v>
      </c>
      <c r="Y599" s="15"/>
      <c r="Z599" s="44"/>
      <c r="AA599" s="15"/>
      <c r="AB599" s="44"/>
      <c r="AC599" s="15"/>
      <c r="AD599" s="44"/>
      <c r="AE599" s="15"/>
      <c r="AF599" s="44"/>
      <c r="AG599" s="15">
        <f t="shared" si="68"/>
        <v>0</v>
      </c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/>
      <c r="BA599" s="42"/>
      <c r="BB599" s="15">
        <f t="shared" si="69"/>
        <v>0</v>
      </c>
      <c r="BC599" s="15"/>
      <c r="BD599" s="44"/>
      <c r="BE599" s="15"/>
      <c r="BF599" s="44"/>
      <c r="BG599" s="15">
        <f t="shared" si="70"/>
        <v>0</v>
      </c>
    </row>
    <row r="600" spans="1:59" s="8" customFormat="1" ht="22.5" customHeight="1">
      <c r="A600" s="9"/>
      <c r="B600" s="16" t="s">
        <v>674</v>
      </c>
      <c r="C600" s="89" t="s">
        <v>52</v>
      </c>
      <c r="D600" s="104" t="s">
        <v>675</v>
      </c>
      <c r="E600" s="104"/>
      <c r="F600" s="104" t="s">
        <v>2184</v>
      </c>
      <c r="G600" s="104" t="s">
        <v>2185</v>
      </c>
      <c r="H600" s="12"/>
      <c r="I600" s="9"/>
      <c r="J600" s="9" t="s">
        <v>687</v>
      </c>
      <c r="K600" s="14"/>
      <c r="L600" s="14"/>
      <c r="M600" s="12"/>
      <c r="N600" s="9"/>
      <c r="O600" s="9"/>
      <c r="P600" s="9"/>
      <c r="Q600" s="38">
        <f t="shared" si="66"/>
        <v>0</v>
      </c>
      <c r="R600" s="12"/>
      <c r="S600" s="42"/>
      <c r="T600" s="15"/>
      <c r="U600" s="44"/>
      <c r="V600" s="15"/>
      <c r="W600" s="44"/>
      <c r="X600" s="15">
        <f t="shared" si="67"/>
        <v>0</v>
      </c>
      <c r="Y600" s="15"/>
      <c r="Z600" s="44"/>
      <c r="AA600" s="15"/>
      <c r="AB600" s="44"/>
      <c r="AC600" s="15"/>
      <c r="AD600" s="44"/>
      <c r="AE600" s="15"/>
      <c r="AF600" s="44"/>
      <c r="AG600" s="15">
        <f t="shared" si="68"/>
        <v>0</v>
      </c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/>
      <c r="BA600" s="42"/>
      <c r="BB600" s="15">
        <f t="shared" si="69"/>
        <v>0</v>
      </c>
      <c r="BC600" s="15"/>
      <c r="BD600" s="44"/>
      <c r="BE600" s="15"/>
      <c r="BF600" s="44"/>
      <c r="BG600" s="15">
        <f t="shared" si="70"/>
        <v>0</v>
      </c>
    </row>
    <row r="601" spans="1:59" s="8" customFormat="1" ht="22.5" customHeight="1">
      <c r="A601" s="9"/>
      <c r="B601" s="16" t="s">
        <v>674</v>
      </c>
      <c r="C601" s="89" t="s">
        <v>494</v>
      </c>
      <c r="D601" s="104" t="s">
        <v>688</v>
      </c>
      <c r="E601" s="104"/>
      <c r="F601" s="104" t="s">
        <v>2186</v>
      </c>
      <c r="G601" s="104" t="s">
        <v>2187</v>
      </c>
      <c r="H601" s="12"/>
      <c r="I601" s="9"/>
      <c r="J601" s="9" t="s">
        <v>687</v>
      </c>
      <c r="K601" s="14"/>
      <c r="L601" s="14"/>
      <c r="M601" s="12"/>
      <c r="N601" s="9"/>
      <c r="O601" s="9"/>
      <c r="P601" s="9"/>
      <c r="Q601" s="38">
        <f t="shared" si="66"/>
        <v>0</v>
      </c>
      <c r="R601" s="12"/>
      <c r="S601" s="42"/>
      <c r="T601" s="15"/>
      <c r="U601" s="44"/>
      <c r="V601" s="15"/>
      <c r="W601" s="44"/>
      <c r="X601" s="15">
        <f t="shared" si="67"/>
        <v>0</v>
      </c>
      <c r="Y601" s="15"/>
      <c r="Z601" s="44"/>
      <c r="AA601" s="15"/>
      <c r="AB601" s="44"/>
      <c r="AC601" s="15"/>
      <c r="AD601" s="44"/>
      <c r="AE601" s="15"/>
      <c r="AF601" s="44"/>
      <c r="AG601" s="15">
        <f t="shared" si="68"/>
        <v>0</v>
      </c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/>
      <c r="BA601" s="42"/>
      <c r="BB601" s="15">
        <f t="shared" si="69"/>
        <v>0</v>
      </c>
      <c r="BC601" s="15"/>
      <c r="BD601" s="44"/>
      <c r="BE601" s="15"/>
      <c r="BF601" s="44"/>
      <c r="BG601" s="15">
        <f t="shared" si="70"/>
        <v>0</v>
      </c>
    </row>
    <row r="602" spans="1:59" s="8" customFormat="1" ht="22.5" customHeight="1">
      <c r="A602" s="9"/>
      <c r="B602" s="16" t="s">
        <v>674</v>
      </c>
      <c r="C602" s="89" t="s">
        <v>151</v>
      </c>
      <c r="D602" s="104" t="s">
        <v>701</v>
      </c>
      <c r="E602" s="104"/>
      <c r="F602" s="104" t="s">
        <v>2188</v>
      </c>
      <c r="G602" s="104" t="s">
        <v>2189</v>
      </c>
      <c r="H602" s="12"/>
      <c r="I602" s="9"/>
      <c r="J602" s="9" t="s">
        <v>692</v>
      </c>
      <c r="K602" s="14"/>
      <c r="L602" s="14"/>
      <c r="M602" s="12"/>
      <c r="N602" s="9"/>
      <c r="O602" s="9"/>
      <c r="P602" s="9"/>
      <c r="Q602" s="38">
        <f t="shared" si="66"/>
        <v>0</v>
      </c>
      <c r="R602" s="12"/>
      <c r="S602" s="42"/>
      <c r="T602" s="15"/>
      <c r="U602" s="44"/>
      <c r="V602" s="15"/>
      <c r="W602" s="44"/>
      <c r="X602" s="15">
        <f t="shared" si="67"/>
        <v>0</v>
      </c>
      <c r="Y602" s="15"/>
      <c r="Z602" s="44"/>
      <c r="AA602" s="15"/>
      <c r="AB602" s="44"/>
      <c r="AC602" s="15"/>
      <c r="AD602" s="44"/>
      <c r="AE602" s="15"/>
      <c r="AF602" s="44"/>
      <c r="AG602" s="15">
        <f t="shared" si="68"/>
        <v>0</v>
      </c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/>
      <c r="BA602" s="42"/>
      <c r="BB602" s="15">
        <f t="shared" si="69"/>
        <v>0</v>
      </c>
      <c r="BC602" s="15"/>
      <c r="BD602" s="44"/>
      <c r="BE602" s="15"/>
      <c r="BF602" s="44"/>
      <c r="BG602" s="15">
        <f t="shared" si="70"/>
        <v>0</v>
      </c>
    </row>
    <row r="603" spans="1:59" s="8" customFormat="1" ht="22.5" customHeight="1">
      <c r="A603" s="9"/>
      <c r="B603" s="16" t="s">
        <v>715</v>
      </c>
      <c r="C603" s="89" t="s">
        <v>132</v>
      </c>
      <c r="D603" s="104" t="s">
        <v>716</v>
      </c>
      <c r="E603" s="104" t="s">
        <v>717</v>
      </c>
      <c r="F603" s="104" t="s">
        <v>2190</v>
      </c>
      <c r="G603" s="104" t="s">
        <v>2191</v>
      </c>
      <c r="H603" s="12"/>
      <c r="I603" s="9"/>
      <c r="J603" s="9" t="s">
        <v>718</v>
      </c>
      <c r="K603" s="14"/>
      <c r="L603" s="14"/>
      <c r="M603" s="12"/>
      <c r="N603" s="9"/>
      <c r="O603" s="9"/>
      <c r="P603" s="9"/>
      <c r="Q603" s="38">
        <f t="shared" si="66"/>
        <v>0</v>
      </c>
      <c r="R603" s="12"/>
      <c r="S603" s="42"/>
      <c r="T603" s="15"/>
      <c r="U603" s="44"/>
      <c r="V603" s="15"/>
      <c r="W603" s="44"/>
      <c r="X603" s="15">
        <f t="shared" si="67"/>
        <v>0</v>
      </c>
      <c r="Y603" s="15"/>
      <c r="Z603" s="44"/>
      <c r="AA603" s="15"/>
      <c r="AB603" s="44"/>
      <c r="AC603" s="15"/>
      <c r="AD603" s="44"/>
      <c r="AE603" s="15"/>
      <c r="AF603" s="44"/>
      <c r="AG603" s="15">
        <f t="shared" si="68"/>
        <v>0</v>
      </c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/>
      <c r="BA603" s="42"/>
      <c r="BB603" s="15">
        <f t="shared" si="69"/>
        <v>0</v>
      </c>
      <c r="BC603" s="15"/>
      <c r="BD603" s="44"/>
      <c r="BE603" s="15"/>
      <c r="BF603" s="44"/>
      <c r="BG603" s="15">
        <f t="shared" si="70"/>
        <v>0</v>
      </c>
    </row>
    <row r="604" spans="1:59" s="8" customFormat="1" ht="22.5" customHeight="1">
      <c r="A604" s="9"/>
      <c r="B604" s="16" t="s">
        <v>715</v>
      </c>
      <c r="C604" s="89" t="s">
        <v>132</v>
      </c>
      <c r="D604" s="104" t="s">
        <v>719</v>
      </c>
      <c r="E604" s="104" t="s">
        <v>720</v>
      </c>
      <c r="F604" s="104" t="s">
        <v>2192</v>
      </c>
      <c r="G604" s="104" t="s">
        <v>2193</v>
      </c>
      <c r="H604" s="12"/>
      <c r="I604" s="9"/>
      <c r="J604" s="9" t="s">
        <v>718</v>
      </c>
      <c r="K604" s="14"/>
      <c r="L604" s="14"/>
      <c r="M604" s="12"/>
      <c r="N604" s="9"/>
      <c r="O604" s="9"/>
      <c r="P604" s="9"/>
      <c r="Q604" s="38">
        <f t="shared" si="66"/>
        <v>0</v>
      </c>
      <c r="R604" s="12"/>
      <c r="S604" s="42"/>
      <c r="T604" s="15"/>
      <c r="U604" s="44"/>
      <c r="V604" s="15"/>
      <c r="W604" s="44"/>
      <c r="X604" s="15">
        <f t="shared" si="67"/>
        <v>0</v>
      </c>
      <c r="Y604" s="15"/>
      <c r="Z604" s="44"/>
      <c r="AA604" s="15"/>
      <c r="AB604" s="44"/>
      <c r="AC604" s="15"/>
      <c r="AD604" s="44"/>
      <c r="AE604" s="15"/>
      <c r="AF604" s="44"/>
      <c r="AG604" s="15">
        <f t="shared" si="68"/>
        <v>0</v>
      </c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/>
      <c r="BA604" s="42"/>
      <c r="BB604" s="15">
        <f t="shared" si="69"/>
        <v>0</v>
      </c>
      <c r="BC604" s="15"/>
      <c r="BD604" s="44"/>
      <c r="BE604" s="15"/>
      <c r="BF604" s="44"/>
      <c r="BG604" s="15">
        <f t="shared" si="70"/>
        <v>0</v>
      </c>
    </row>
    <row r="605" spans="1:59" s="8" customFormat="1" ht="22.5" customHeight="1">
      <c r="A605" s="9"/>
      <c r="B605" s="16" t="s">
        <v>715</v>
      </c>
      <c r="C605" s="89" t="s">
        <v>48</v>
      </c>
      <c r="D605" s="104" t="s">
        <v>716</v>
      </c>
      <c r="E605" s="104" t="s">
        <v>721</v>
      </c>
      <c r="F605" s="104" t="s">
        <v>2194</v>
      </c>
      <c r="G605" s="104" t="s">
        <v>2195</v>
      </c>
      <c r="H605" s="12"/>
      <c r="I605" s="9"/>
      <c r="J605" s="9" t="s">
        <v>722</v>
      </c>
      <c r="K605" s="14"/>
      <c r="L605" s="14"/>
      <c r="M605" s="12"/>
      <c r="N605" s="9"/>
      <c r="O605" s="9"/>
      <c r="P605" s="9"/>
      <c r="Q605" s="38">
        <f t="shared" si="66"/>
        <v>0</v>
      </c>
      <c r="R605" s="12"/>
      <c r="S605" s="42"/>
      <c r="T605" s="15"/>
      <c r="U605" s="44"/>
      <c r="V605" s="15"/>
      <c r="W605" s="44"/>
      <c r="X605" s="15">
        <f t="shared" si="67"/>
        <v>0</v>
      </c>
      <c r="Y605" s="15"/>
      <c r="Z605" s="44"/>
      <c r="AA605" s="15"/>
      <c r="AB605" s="44"/>
      <c r="AC605" s="15"/>
      <c r="AD605" s="44"/>
      <c r="AE605" s="15"/>
      <c r="AF605" s="44"/>
      <c r="AG605" s="15">
        <f t="shared" si="68"/>
        <v>0</v>
      </c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/>
      <c r="BA605" s="42"/>
      <c r="BB605" s="15">
        <f t="shared" si="69"/>
        <v>0</v>
      </c>
      <c r="BC605" s="15"/>
      <c r="BD605" s="44"/>
      <c r="BE605" s="15"/>
      <c r="BF605" s="44"/>
      <c r="BG605" s="15">
        <f t="shared" si="70"/>
        <v>0</v>
      </c>
    </row>
    <row r="606" spans="1:59" s="8" customFormat="1" ht="22.5" customHeight="1">
      <c r="A606" s="9"/>
      <c r="B606" s="16" t="s">
        <v>715</v>
      </c>
      <c r="C606" s="89" t="s">
        <v>48</v>
      </c>
      <c r="D606" s="104" t="s">
        <v>719</v>
      </c>
      <c r="E606" s="104" t="s">
        <v>723</v>
      </c>
      <c r="F606" s="104" t="s">
        <v>2196</v>
      </c>
      <c r="G606" s="104" t="s">
        <v>2197</v>
      </c>
      <c r="H606" s="12"/>
      <c r="I606" s="9"/>
      <c r="J606" s="9" t="s">
        <v>722</v>
      </c>
      <c r="K606" s="14"/>
      <c r="L606" s="14"/>
      <c r="M606" s="12"/>
      <c r="N606" s="9"/>
      <c r="O606" s="9"/>
      <c r="P606" s="9"/>
      <c r="Q606" s="38">
        <f t="shared" si="66"/>
        <v>0</v>
      </c>
      <c r="R606" s="12"/>
      <c r="S606" s="42"/>
      <c r="T606" s="15"/>
      <c r="U606" s="44"/>
      <c r="V606" s="15"/>
      <c r="W606" s="44"/>
      <c r="X606" s="15">
        <f t="shared" si="67"/>
        <v>0</v>
      </c>
      <c r="Y606" s="15"/>
      <c r="Z606" s="44"/>
      <c r="AA606" s="15"/>
      <c r="AB606" s="44"/>
      <c r="AC606" s="15"/>
      <c r="AD606" s="44"/>
      <c r="AE606" s="15"/>
      <c r="AF606" s="44"/>
      <c r="AG606" s="15">
        <f t="shared" si="68"/>
        <v>0</v>
      </c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/>
      <c r="BA606" s="42"/>
      <c r="BB606" s="15">
        <f t="shared" si="69"/>
        <v>0</v>
      </c>
      <c r="BC606" s="15"/>
      <c r="BD606" s="44"/>
      <c r="BE606" s="15"/>
      <c r="BF606" s="44"/>
      <c r="BG606" s="15">
        <f t="shared" si="70"/>
        <v>0</v>
      </c>
    </row>
    <row r="607" spans="1:59" s="8" customFormat="1" ht="22.5" customHeight="1">
      <c r="A607" s="9"/>
      <c r="B607" s="16" t="s">
        <v>715</v>
      </c>
      <c r="C607" s="89" t="s">
        <v>151</v>
      </c>
      <c r="D607" s="104" t="s">
        <v>726</v>
      </c>
      <c r="E607" s="104" t="s">
        <v>727</v>
      </c>
      <c r="F607" s="104" t="s">
        <v>2198</v>
      </c>
      <c r="G607" s="104" t="s">
        <v>2199</v>
      </c>
      <c r="H607" s="12"/>
      <c r="I607" s="9"/>
      <c r="J607" s="9" t="s">
        <v>722</v>
      </c>
      <c r="K607" s="14"/>
      <c r="L607" s="14"/>
      <c r="M607" s="12"/>
      <c r="N607" s="9"/>
      <c r="O607" s="9"/>
      <c r="P607" s="9"/>
      <c r="Q607" s="38">
        <f t="shared" si="66"/>
        <v>0</v>
      </c>
      <c r="R607" s="12"/>
      <c r="S607" s="42"/>
      <c r="T607" s="15"/>
      <c r="U607" s="44"/>
      <c r="V607" s="15"/>
      <c r="W607" s="44"/>
      <c r="X607" s="15">
        <f t="shared" si="67"/>
        <v>0</v>
      </c>
      <c r="Y607" s="15"/>
      <c r="Z607" s="44"/>
      <c r="AA607" s="15"/>
      <c r="AB607" s="44"/>
      <c r="AC607" s="15"/>
      <c r="AD607" s="44"/>
      <c r="AE607" s="15"/>
      <c r="AF607" s="44"/>
      <c r="AG607" s="15">
        <f t="shared" si="68"/>
        <v>0</v>
      </c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/>
      <c r="BA607" s="42"/>
      <c r="BB607" s="15">
        <f t="shared" si="69"/>
        <v>0</v>
      </c>
      <c r="BC607" s="15"/>
      <c r="BD607" s="44"/>
      <c r="BE607" s="15"/>
      <c r="BF607" s="44"/>
      <c r="BG607" s="15">
        <f t="shared" si="70"/>
        <v>0</v>
      </c>
    </row>
    <row r="608" spans="1:59" s="8" customFormat="1" ht="22.5" customHeight="1">
      <c r="A608" s="9"/>
      <c r="B608" s="16" t="s">
        <v>742</v>
      </c>
      <c r="C608" s="89" t="s">
        <v>151</v>
      </c>
      <c r="D608" s="104" t="s">
        <v>743</v>
      </c>
      <c r="E608" s="104" t="s">
        <v>744</v>
      </c>
      <c r="F608" s="104" t="s">
        <v>2200</v>
      </c>
      <c r="G608" s="104" t="s">
        <v>2201</v>
      </c>
      <c r="H608" s="12"/>
      <c r="I608" s="9"/>
      <c r="J608" s="9" t="s">
        <v>745</v>
      </c>
      <c r="K608" s="14"/>
      <c r="L608" s="14"/>
      <c r="M608" s="12"/>
      <c r="N608" s="9"/>
      <c r="O608" s="9"/>
      <c r="P608" s="9"/>
      <c r="Q608" s="38">
        <f t="shared" si="66"/>
        <v>0</v>
      </c>
      <c r="R608" s="12"/>
      <c r="S608" s="42"/>
      <c r="T608" s="15"/>
      <c r="U608" s="44"/>
      <c r="V608" s="15"/>
      <c r="W608" s="44"/>
      <c r="X608" s="15">
        <f t="shared" si="67"/>
        <v>0</v>
      </c>
      <c r="Y608" s="15"/>
      <c r="Z608" s="44"/>
      <c r="AA608" s="15"/>
      <c r="AB608" s="44"/>
      <c r="AC608" s="15"/>
      <c r="AD608" s="44"/>
      <c r="AE608" s="15"/>
      <c r="AF608" s="44"/>
      <c r="AG608" s="15">
        <f t="shared" si="68"/>
        <v>0</v>
      </c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/>
      <c r="BA608" s="42"/>
      <c r="BB608" s="15">
        <f t="shared" si="69"/>
        <v>0</v>
      </c>
      <c r="BC608" s="15"/>
      <c r="BD608" s="44"/>
      <c r="BE608" s="15"/>
      <c r="BF608" s="44"/>
      <c r="BG608" s="15">
        <f t="shared" si="70"/>
        <v>0</v>
      </c>
    </row>
    <row r="609" spans="1:59" s="8" customFormat="1" ht="22.5" customHeight="1">
      <c r="A609" s="9"/>
      <c r="B609" s="16" t="s">
        <v>742</v>
      </c>
      <c r="C609" s="89" t="s">
        <v>151</v>
      </c>
      <c r="D609" s="104" t="s">
        <v>743</v>
      </c>
      <c r="E609" s="104" t="s">
        <v>744</v>
      </c>
      <c r="F609" s="104" t="s">
        <v>2202</v>
      </c>
      <c r="G609" s="104" t="s">
        <v>2203</v>
      </c>
      <c r="H609" s="12"/>
      <c r="I609" s="9"/>
      <c r="J609" s="9" t="s">
        <v>746</v>
      </c>
      <c r="K609" s="14"/>
      <c r="L609" s="14"/>
      <c r="M609" s="12"/>
      <c r="N609" s="9"/>
      <c r="O609" s="9"/>
      <c r="P609" s="9"/>
      <c r="Q609" s="38">
        <f t="shared" si="66"/>
        <v>0</v>
      </c>
      <c r="R609" s="12"/>
      <c r="S609" s="42"/>
      <c r="T609" s="15"/>
      <c r="U609" s="44"/>
      <c r="V609" s="15"/>
      <c r="W609" s="44"/>
      <c r="X609" s="15">
        <f t="shared" si="67"/>
        <v>0</v>
      </c>
      <c r="Y609" s="15"/>
      <c r="Z609" s="44"/>
      <c r="AA609" s="15"/>
      <c r="AB609" s="44"/>
      <c r="AC609" s="15"/>
      <c r="AD609" s="44"/>
      <c r="AE609" s="15"/>
      <c r="AF609" s="44"/>
      <c r="AG609" s="15">
        <f t="shared" si="68"/>
        <v>0</v>
      </c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/>
      <c r="BA609" s="42"/>
      <c r="BB609" s="15">
        <f t="shared" si="69"/>
        <v>0</v>
      </c>
      <c r="BC609" s="15"/>
      <c r="BD609" s="44"/>
      <c r="BE609" s="15"/>
      <c r="BF609" s="44"/>
      <c r="BG609" s="15">
        <f t="shared" si="70"/>
        <v>0</v>
      </c>
    </row>
    <row r="610" spans="1:59" s="8" customFormat="1" ht="22.5" customHeight="1">
      <c r="A610" s="9"/>
      <c r="B610" s="16" t="s">
        <v>742</v>
      </c>
      <c r="C610" s="89" t="s">
        <v>151</v>
      </c>
      <c r="D610" s="104" t="s">
        <v>747</v>
      </c>
      <c r="E610" s="104" t="s">
        <v>748</v>
      </c>
      <c r="F610" s="104" t="s">
        <v>2204</v>
      </c>
      <c r="G610" s="104" t="s">
        <v>2205</v>
      </c>
      <c r="H610" s="12"/>
      <c r="I610" s="9"/>
      <c r="J610" s="9" t="s">
        <v>745</v>
      </c>
      <c r="K610" s="14"/>
      <c r="L610" s="14"/>
      <c r="M610" s="12"/>
      <c r="N610" s="9"/>
      <c r="O610" s="9"/>
      <c r="P610" s="9"/>
      <c r="Q610" s="38">
        <f t="shared" si="66"/>
        <v>0</v>
      </c>
      <c r="R610" s="12"/>
      <c r="S610" s="42"/>
      <c r="T610" s="15"/>
      <c r="U610" s="44"/>
      <c r="V610" s="15"/>
      <c r="W610" s="44"/>
      <c r="X610" s="15">
        <f t="shared" si="67"/>
        <v>0</v>
      </c>
      <c r="Y610" s="15"/>
      <c r="Z610" s="44"/>
      <c r="AA610" s="15"/>
      <c r="AB610" s="44"/>
      <c r="AC610" s="15"/>
      <c r="AD610" s="44"/>
      <c r="AE610" s="15"/>
      <c r="AF610" s="44"/>
      <c r="AG610" s="15">
        <f t="shared" si="68"/>
        <v>0</v>
      </c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/>
      <c r="BA610" s="42"/>
      <c r="BB610" s="15">
        <f t="shared" si="69"/>
        <v>0</v>
      </c>
      <c r="BC610" s="15"/>
      <c r="BD610" s="44"/>
      <c r="BE610" s="15"/>
      <c r="BF610" s="44"/>
      <c r="BG610" s="15">
        <f t="shared" si="70"/>
        <v>0</v>
      </c>
    </row>
    <row r="611" spans="1:59" s="8" customFormat="1" ht="22.5" customHeight="1">
      <c r="A611" s="9"/>
      <c r="B611" s="16" t="s">
        <v>742</v>
      </c>
      <c r="C611" s="89" t="s">
        <v>151</v>
      </c>
      <c r="D611" s="104" t="s">
        <v>747</v>
      </c>
      <c r="E611" s="104" t="s">
        <v>748</v>
      </c>
      <c r="F611" s="104" t="s">
        <v>2206</v>
      </c>
      <c r="G611" s="104" t="s">
        <v>2207</v>
      </c>
      <c r="H611" s="12"/>
      <c r="I611" s="9"/>
      <c r="J611" s="9" t="s">
        <v>746</v>
      </c>
      <c r="K611" s="14"/>
      <c r="L611" s="14"/>
      <c r="M611" s="12"/>
      <c r="N611" s="9"/>
      <c r="O611" s="9"/>
      <c r="P611" s="9"/>
      <c r="Q611" s="38">
        <f t="shared" si="66"/>
        <v>0</v>
      </c>
      <c r="R611" s="12"/>
      <c r="S611" s="42"/>
      <c r="T611" s="15"/>
      <c r="U611" s="44"/>
      <c r="V611" s="15"/>
      <c r="W611" s="44"/>
      <c r="X611" s="15">
        <f t="shared" si="67"/>
        <v>0</v>
      </c>
      <c r="Y611" s="15"/>
      <c r="Z611" s="44"/>
      <c r="AA611" s="15"/>
      <c r="AB611" s="44"/>
      <c r="AC611" s="15"/>
      <c r="AD611" s="44"/>
      <c r="AE611" s="15"/>
      <c r="AF611" s="44"/>
      <c r="AG611" s="15">
        <f t="shared" si="68"/>
        <v>0</v>
      </c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/>
      <c r="BA611" s="42"/>
      <c r="BB611" s="15">
        <f t="shared" si="69"/>
        <v>0</v>
      </c>
      <c r="BC611" s="15"/>
      <c r="BD611" s="44"/>
      <c r="BE611" s="15"/>
      <c r="BF611" s="44"/>
      <c r="BG611" s="15">
        <f t="shared" si="70"/>
        <v>0</v>
      </c>
    </row>
    <row r="612" spans="1:59" s="8" customFormat="1" ht="22.5" customHeight="1">
      <c r="A612" s="9"/>
      <c r="B612" s="16" t="s">
        <v>742</v>
      </c>
      <c r="C612" s="89" t="s">
        <v>151</v>
      </c>
      <c r="D612" s="104" t="s">
        <v>747</v>
      </c>
      <c r="E612" s="104" t="s">
        <v>749</v>
      </c>
      <c r="F612" s="104" t="s">
        <v>2208</v>
      </c>
      <c r="G612" s="104" t="s">
        <v>2209</v>
      </c>
      <c r="H612" s="12"/>
      <c r="I612" s="9"/>
      <c r="J612" s="9" t="s">
        <v>745</v>
      </c>
      <c r="K612" s="14"/>
      <c r="L612" s="14"/>
      <c r="M612" s="12"/>
      <c r="N612" s="9"/>
      <c r="O612" s="9"/>
      <c r="P612" s="9"/>
      <c r="Q612" s="38">
        <f t="shared" si="66"/>
        <v>0</v>
      </c>
      <c r="R612" s="12"/>
      <c r="S612" s="42"/>
      <c r="T612" s="15"/>
      <c r="U612" s="44"/>
      <c r="V612" s="15"/>
      <c r="W612" s="44"/>
      <c r="X612" s="15">
        <f t="shared" si="67"/>
        <v>0</v>
      </c>
      <c r="Y612" s="15"/>
      <c r="Z612" s="44"/>
      <c r="AA612" s="15"/>
      <c r="AB612" s="44"/>
      <c r="AC612" s="15"/>
      <c r="AD612" s="44"/>
      <c r="AE612" s="15"/>
      <c r="AF612" s="44"/>
      <c r="AG612" s="15">
        <f t="shared" si="68"/>
        <v>0</v>
      </c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/>
      <c r="BA612" s="42"/>
      <c r="BB612" s="15">
        <f t="shared" si="69"/>
        <v>0</v>
      </c>
      <c r="BC612" s="15"/>
      <c r="BD612" s="44"/>
      <c r="BE612" s="15"/>
      <c r="BF612" s="44"/>
      <c r="BG612" s="15">
        <f t="shared" si="70"/>
        <v>0</v>
      </c>
    </row>
    <row r="613" spans="1:59" s="8" customFormat="1" ht="22.5" customHeight="1">
      <c r="A613" s="9"/>
      <c r="B613" s="16" t="s">
        <v>742</v>
      </c>
      <c r="C613" s="89" t="s">
        <v>151</v>
      </c>
      <c r="D613" s="104" t="s">
        <v>747</v>
      </c>
      <c r="E613" s="104" t="s">
        <v>749</v>
      </c>
      <c r="F613" s="104" t="s">
        <v>2210</v>
      </c>
      <c r="G613" s="104" t="s">
        <v>2211</v>
      </c>
      <c r="H613" s="12"/>
      <c r="I613" s="9"/>
      <c r="J613" s="9" t="s">
        <v>746</v>
      </c>
      <c r="K613" s="14"/>
      <c r="L613" s="14"/>
      <c r="M613" s="12"/>
      <c r="N613" s="9"/>
      <c r="O613" s="9"/>
      <c r="P613" s="9"/>
      <c r="Q613" s="38">
        <f t="shared" si="66"/>
        <v>0</v>
      </c>
      <c r="R613" s="12"/>
      <c r="S613" s="42"/>
      <c r="T613" s="15"/>
      <c r="U613" s="44"/>
      <c r="V613" s="15"/>
      <c r="W613" s="44"/>
      <c r="X613" s="15">
        <f t="shared" si="67"/>
        <v>0</v>
      </c>
      <c r="Y613" s="15"/>
      <c r="Z613" s="44"/>
      <c r="AA613" s="15"/>
      <c r="AB613" s="44"/>
      <c r="AC613" s="15"/>
      <c r="AD613" s="44"/>
      <c r="AE613" s="15"/>
      <c r="AF613" s="44"/>
      <c r="AG613" s="15">
        <f t="shared" si="68"/>
        <v>0</v>
      </c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/>
      <c r="BA613" s="42"/>
      <c r="BB613" s="15">
        <f t="shared" si="69"/>
        <v>0</v>
      </c>
      <c r="BC613" s="15"/>
      <c r="BD613" s="44"/>
      <c r="BE613" s="15"/>
      <c r="BF613" s="44"/>
      <c r="BG613" s="15">
        <f t="shared" si="70"/>
        <v>0</v>
      </c>
    </row>
    <row r="614" spans="1:59" s="8" customFormat="1" ht="22.5" customHeight="1">
      <c r="A614" s="9"/>
      <c r="B614" s="16" t="s">
        <v>742</v>
      </c>
      <c r="C614" s="89" t="s">
        <v>52</v>
      </c>
      <c r="D614" s="104" t="s">
        <v>750</v>
      </c>
      <c r="E614" s="104" t="s">
        <v>751</v>
      </c>
      <c r="F614" s="104" t="s">
        <v>2212</v>
      </c>
      <c r="G614" s="104" t="s">
        <v>2213</v>
      </c>
      <c r="H614" s="12"/>
      <c r="I614" s="9"/>
      <c r="J614" s="9" t="s">
        <v>745</v>
      </c>
      <c r="K614" s="14"/>
      <c r="L614" s="14"/>
      <c r="M614" s="12"/>
      <c r="N614" s="9"/>
      <c r="O614" s="9"/>
      <c r="P614" s="9"/>
      <c r="Q614" s="38">
        <f t="shared" si="66"/>
        <v>0</v>
      </c>
      <c r="R614" s="12"/>
      <c r="S614" s="42"/>
      <c r="T614" s="15"/>
      <c r="U614" s="44"/>
      <c r="V614" s="15"/>
      <c r="W614" s="44"/>
      <c r="X614" s="15">
        <f t="shared" si="67"/>
        <v>0</v>
      </c>
      <c r="Y614" s="15"/>
      <c r="Z614" s="44"/>
      <c r="AA614" s="15"/>
      <c r="AB614" s="44"/>
      <c r="AC614" s="15"/>
      <c r="AD614" s="44"/>
      <c r="AE614" s="15"/>
      <c r="AF614" s="44"/>
      <c r="AG614" s="15">
        <f t="shared" si="68"/>
        <v>0</v>
      </c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/>
      <c r="BA614" s="42"/>
      <c r="BB614" s="15">
        <f t="shared" si="69"/>
        <v>0</v>
      </c>
      <c r="BC614" s="15"/>
      <c r="BD614" s="44"/>
      <c r="BE614" s="15"/>
      <c r="BF614" s="44"/>
      <c r="BG614" s="15">
        <f t="shared" si="70"/>
        <v>0</v>
      </c>
    </row>
    <row r="615" spans="1:59" s="8" customFormat="1" ht="22.5" customHeight="1">
      <c r="A615" s="9"/>
      <c r="B615" s="16" t="s">
        <v>742</v>
      </c>
      <c r="C615" s="89" t="s">
        <v>52</v>
      </c>
      <c r="D615" s="104" t="s">
        <v>750</v>
      </c>
      <c r="E615" s="104" t="s">
        <v>751</v>
      </c>
      <c r="F615" s="104" t="s">
        <v>2214</v>
      </c>
      <c r="G615" s="104" t="s">
        <v>2215</v>
      </c>
      <c r="H615" s="12"/>
      <c r="I615" s="9"/>
      <c r="J615" s="9" t="s">
        <v>746</v>
      </c>
      <c r="K615" s="14"/>
      <c r="L615" s="14"/>
      <c r="M615" s="12"/>
      <c r="N615" s="9"/>
      <c r="O615" s="9"/>
      <c r="P615" s="9"/>
      <c r="Q615" s="38">
        <f t="shared" si="66"/>
        <v>0</v>
      </c>
      <c r="R615" s="12"/>
      <c r="S615" s="42"/>
      <c r="T615" s="15"/>
      <c r="U615" s="44"/>
      <c r="V615" s="15"/>
      <c r="W615" s="44"/>
      <c r="X615" s="15">
        <f t="shared" si="67"/>
        <v>0</v>
      </c>
      <c r="Y615" s="15"/>
      <c r="Z615" s="44"/>
      <c r="AA615" s="15"/>
      <c r="AB615" s="44"/>
      <c r="AC615" s="15"/>
      <c r="AD615" s="44"/>
      <c r="AE615" s="15"/>
      <c r="AF615" s="44"/>
      <c r="AG615" s="15">
        <f t="shared" si="68"/>
        <v>0</v>
      </c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/>
      <c r="BA615" s="42"/>
      <c r="BB615" s="15">
        <f t="shared" si="69"/>
        <v>0</v>
      </c>
      <c r="BC615" s="15"/>
      <c r="BD615" s="44"/>
      <c r="BE615" s="15"/>
      <c r="BF615" s="44"/>
      <c r="BG615" s="15">
        <f t="shared" si="70"/>
        <v>0</v>
      </c>
    </row>
    <row r="616" spans="1:59" s="8" customFormat="1" ht="22.5" customHeight="1">
      <c r="A616" s="9"/>
      <c r="B616" s="16" t="s">
        <v>808</v>
      </c>
      <c r="C616" s="89" t="s">
        <v>151</v>
      </c>
      <c r="D616" s="104" t="s">
        <v>819</v>
      </c>
      <c r="E616" s="104"/>
      <c r="F616" s="104" t="s">
        <v>2216</v>
      </c>
      <c r="G616" s="104" t="s">
        <v>2217</v>
      </c>
      <c r="H616" s="12"/>
      <c r="I616" s="9"/>
      <c r="J616" s="9" t="s">
        <v>566</v>
      </c>
      <c r="K616" s="14"/>
      <c r="L616" s="14"/>
      <c r="M616" s="12"/>
      <c r="N616" s="9"/>
      <c r="O616" s="9"/>
      <c r="P616" s="9"/>
      <c r="Q616" s="38">
        <f t="shared" si="66"/>
        <v>0</v>
      </c>
      <c r="R616" s="12"/>
      <c r="S616" s="42"/>
      <c r="T616" s="15"/>
      <c r="U616" s="44"/>
      <c r="V616" s="15"/>
      <c r="W616" s="44"/>
      <c r="X616" s="15">
        <f t="shared" si="67"/>
        <v>0</v>
      </c>
      <c r="Y616" s="15"/>
      <c r="Z616" s="44"/>
      <c r="AA616" s="15"/>
      <c r="AB616" s="44"/>
      <c r="AC616" s="15"/>
      <c r="AD616" s="44"/>
      <c r="AE616" s="15"/>
      <c r="AF616" s="44"/>
      <c r="AG616" s="15">
        <f t="shared" si="68"/>
        <v>0</v>
      </c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/>
      <c r="BA616" s="42"/>
      <c r="BB616" s="15">
        <f t="shared" si="69"/>
        <v>0</v>
      </c>
      <c r="BC616" s="15"/>
      <c r="BD616" s="44"/>
      <c r="BE616" s="15"/>
      <c r="BF616" s="44"/>
      <c r="BG616" s="15">
        <f t="shared" si="70"/>
        <v>0</v>
      </c>
    </row>
    <row r="617" spans="1:59" s="8" customFormat="1" ht="22.5" customHeight="1">
      <c r="A617" s="9">
        <v>999</v>
      </c>
      <c r="B617" s="16" t="s">
        <v>172</v>
      </c>
      <c r="C617" s="89" t="s">
        <v>140</v>
      </c>
      <c r="D617" s="104" t="s">
        <v>875</v>
      </c>
      <c r="E617" s="104"/>
      <c r="F617" s="104" t="s">
        <v>2218</v>
      </c>
      <c r="G617" s="104" t="s">
        <v>2219</v>
      </c>
      <c r="H617" s="12"/>
      <c r="I617" s="9"/>
      <c r="J617" s="9"/>
      <c r="K617" s="14"/>
      <c r="L617" s="14"/>
      <c r="M617" s="12"/>
      <c r="N617" s="9"/>
      <c r="O617" s="9"/>
      <c r="P617" s="9"/>
      <c r="Q617" s="38">
        <f t="shared" si="66"/>
        <v>0</v>
      </c>
      <c r="R617" s="12"/>
      <c r="S617" s="42"/>
      <c r="T617" s="15"/>
      <c r="U617" s="44"/>
      <c r="V617" s="15"/>
      <c r="W617" s="44"/>
      <c r="X617" s="15"/>
      <c r="Y617" s="15"/>
      <c r="Z617" s="44"/>
      <c r="AA617" s="15"/>
      <c r="AB617" s="44"/>
      <c r="AC617" s="15"/>
      <c r="AD617" s="44"/>
      <c r="AE617" s="15"/>
      <c r="AF617" s="44"/>
      <c r="AG617" s="15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/>
      <c r="BA617" s="42"/>
      <c r="BB617" s="15"/>
      <c r="BC617" s="15"/>
      <c r="BD617" s="44"/>
      <c r="BE617" s="15"/>
      <c r="BF617" s="44"/>
      <c r="BG617" s="15"/>
    </row>
    <row r="618" spans="1:59" s="8" customFormat="1" ht="22.5" customHeight="1">
      <c r="A618" s="9"/>
      <c r="B618" s="16" t="s">
        <v>172</v>
      </c>
      <c r="C618" s="89" t="s">
        <v>52</v>
      </c>
      <c r="D618" s="104" t="s">
        <v>253</v>
      </c>
      <c r="E618" s="104"/>
      <c r="F618" s="104" t="s">
        <v>2220</v>
      </c>
      <c r="G618" s="104" t="s">
        <v>2221</v>
      </c>
      <c r="H618" s="12"/>
      <c r="I618" s="9"/>
      <c r="J618" s="9" t="s">
        <v>67</v>
      </c>
      <c r="K618" s="14"/>
      <c r="L618" s="14"/>
      <c r="M618" s="12"/>
      <c r="N618" s="9"/>
      <c r="O618" s="9"/>
      <c r="P618" s="9"/>
      <c r="Q618" s="38">
        <f t="shared" si="66"/>
        <v>0</v>
      </c>
      <c r="R618" s="12"/>
      <c r="S618" s="42"/>
      <c r="T618" s="15"/>
      <c r="U618" s="44"/>
      <c r="V618" s="15"/>
      <c r="W618" s="44"/>
      <c r="X618" s="15">
        <f t="shared" ref="X618:X633" si="71">R618+T618+V618</f>
        <v>0</v>
      </c>
      <c r="Y618" s="15"/>
      <c r="Z618" s="44"/>
      <c r="AA618" s="15"/>
      <c r="AB618" s="44"/>
      <c r="AC618" s="15"/>
      <c r="AD618" s="44"/>
      <c r="AE618" s="15"/>
      <c r="AF618" s="44"/>
      <c r="AG618" s="15">
        <f t="shared" ref="AG618:AG633" si="72">(Y618+AA618+AC618+AE618)</f>
        <v>0</v>
      </c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/>
      <c r="BA618" s="42"/>
      <c r="BB618" s="15">
        <f>AH618+AJ618+AL618+AN618+AP618+AR618+AT618+AV618+AX618+AZ618</f>
        <v>0</v>
      </c>
      <c r="BC618" s="15"/>
      <c r="BD618" s="44"/>
      <c r="BE618" s="15"/>
      <c r="BF618" s="44"/>
      <c r="BG618" s="15">
        <f>(BC618+BE618)</f>
        <v>0</v>
      </c>
    </row>
    <row r="619" spans="1:59" s="8" customFormat="1" ht="22.5" customHeight="1">
      <c r="A619" s="9"/>
      <c r="B619" s="16" t="s">
        <v>172</v>
      </c>
      <c r="C619" s="89" t="s">
        <v>52</v>
      </c>
      <c r="D619" s="104" t="s">
        <v>885</v>
      </c>
      <c r="E619" s="104"/>
      <c r="F619" s="104" t="s">
        <v>2222</v>
      </c>
      <c r="G619" s="104" t="s">
        <v>2223</v>
      </c>
      <c r="H619" s="12"/>
      <c r="I619" s="9"/>
      <c r="J619" s="9" t="s">
        <v>67</v>
      </c>
      <c r="K619" s="14"/>
      <c r="L619" s="14"/>
      <c r="M619" s="12"/>
      <c r="N619" s="9"/>
      <c r="O619" s="9"/>
      <c r="P619" s="9"/>
      <c r="Q619" s="38">
        <f t="shared" si="66"/>
        <v>0</v>
      </c>
      <c r="R619" s="12"/>
      <c r="S619" s="42"/>
      <c r="T619" s="15"/>
      <c r="U619" s="44"/>
      <c r="V619" s="15"/>
      <c r="W619" s="44"/>
      <c r="X619" s="15">
        <f t="shared" si="71"/>
        <v>0</v>
      </c>
      <c r="Y619" s="15"/>
      <c r="Z619" s="44"/>
      <c r="AA619" s="15"/>
      <c r="AB619" s="44"/>
      <c r="AC619" s="15"/>
      <c r="AD619" s="44"/>
      <c r="AE619" s="15"/>
      <c r="AF619" s="44"/>
      <c r="AG619" s="15">
        <f t="shared" si="72"/>
        <v>0</v>
      </c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/>
      <c r="BA619" s="42"/>
      <c r="BB619" s="15">
        <f>AH619+AJ619+AL619+AN619+AP619+AR619+AT619+AV619+AX619+AZ619</f>
        <v>0</v>
      </c>
      <c r="BC619" s="15"/>
      <c r="BD619" s="44"/>
      <c r="BE619" s="15"/>
      <c r="BF619" s="44"/>
      <c r="BG619" s="15">
        <f>(BC619+BE619)</f>
        <v>0</v>
      </c>
    </row>
    <row r="620" spans="1:59" s="8" customFormat="1" ht="22.5" customHeight="1">
      <c r="A620" s="9">
        <v>999</v>
      </c>
      <c r="B620" s="16" t="s">
        <v>204</v>
      </c>
      <c r="C620" s="89" t="s">
        <v>52</v>
      </c>
      <c r="D620" s="104" t="s">
        <v>2224</v>
      </c>
      <c r="E620" s="104"/>
      <c r="F620" s="104" t="s">
        <v>2225</v>
      </c>
      <c r="G620" s="104" t="s">
        <v>2226</v>
      </c>
      <c r="H620" s="12"/>
      <c r="I620" s="9"/>
      <c r="J620" s="9"/>
      <c r="K620" s="14"/>
      <c r="L620" s="14"/>
      <c r="M620" s="12">
        <v>248</v>
      </c>
      <c r="N620" s="9"/>
      <c r="O620" s="9"/>
      <c r="P620" s="9"/>
      <c r="Q620" s="38">
        <f t="shared" si="66"/>
        <v>248</v>
      </c>
      <c r="R620" s="12"/>
      <c r="S620" s="42"/>
      <c r="T620" s="15"/>
      <c r="U620" s="44"/>
      <c r="V620" s="15"/>
      <c r="W620" s="44"/>
      <c r="X620" s="15">
        <f t="shared" si="71"/>
        <v>0</v>
      </c>
      <c r="Y620" s="15"/>
      <c r="Z620" s="44"/>
      <c r="AA620" s="15"/>
      <c r="AB620" s="44"/>
      <c r="AC620" s="15"/>
      <c r="AD620" s="44"/>
      <c r="AE620" s="15"/>
      <c r="AF620" s="44"/>
      <c r="AG620" s="15">
        <f t="shared" si="72"/>
        <v>0</v>
      </c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/>
      <c r="BA620" s="42"/>
      <c r="BB620" s="15"/>
      <c r="BC620" s="15"/>
      <c r="BD620" s="44"/>
      <c r="BE620" s="15"/>
      <c r="BF620" s="44"/>
      <c r="BG620" s="15"/>
    </row>
    <row r="621" spans="1:59" s="8" customFormat="1" ht="22.5" customHeight="1">
      <c r="A621" s="9"/>
      <c r="B621" s="16" t="s">
        <v>172</v>
      </c>
      <c r="C621" s="89" t="s">
        <v>52</v>
      </c>
      <c r="D621" s="104" t="s">
        <v>890</v>
      </c>
      <c r="E621" s="104"/>
      <c r="F621" s="104" t="s">
        <v>2227</v>
      </c>
      <c r="G621" s="104" t="s">
        <v>2228</v>
      </c>
      <c r="H621" s="12"/>
      <c r="I621" s="9"/>
      <c r="J621" s="9" t="s">
        <v>67</v>
      </c>
      <c r="K621" s="14"/>
      <c r="L621" s="14"/>
      <c r="M621" s="12"/>
      <c r="N621" s="9"/>
      <c r="O621" s="9"/>
      <c r="P621" s="9"/>
      <c r="Q621" s="38">
        <f t="shared" si="66"/>
        <v>0</v>
      </c>
      <c r="R621" s="12"/>
      <c r="S621" s="42"/>
      <c r="T621" s="15"/>
      <c r="U621" s="44"/>
      <c r="V621" s="15"/>
      <c r="W621" s="44"/>
      <c r="X621" s="15">
        <f t="shared" si="71"/>
        <v>0</v>
      </c>
      <c r="Y621" s="15"/>
      <c r="Z621" s="44"/>
      <c r="AA621" s="15"/>
      <c r="AB621" s="44"/>
      <c r="AC621" s="15"/>
      <c r="AD621" s="44"/>
      <c r="AE621" s="15"/>
      <c r="AF621" s="44"/>
      <c r="AG621" s="15">
        <f t="shared" si="72"/>
        <v>0</v>
      </c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/>
      <c r="BA621" s="42"/>
      <c r="BB621" s="15">
        <f t="shared" ref="BB621:BB631" si="73">AH621+AJ621+AL621+AN621+AP621+AR621+AT621+AV621+AX621+AZ621</f>
        <v>0</v>
      </c>
      <c r="BC621" s="15"/>
      <c r="BD621" s="44"/>
      <c r="BE621" s="15"/>
      <c r="BF621" s="44"/>
      <c r="BG621" s="15">
        <f t="shared" ref="BG621:BG631" si="74">(BC621+BE621)</f>
        <v>0</v>
      </c>
    </row>
    <row r="622" spans="1:59" s="8" customFormat="1" ht="22.5" customHeight="1">
      <c r="A622" s="9">
        <v>999</v>
      </c>
      <c r="B622" s="16" t="s">
        <v>120</v>
      </c>
      <c r="C622" s="89" t="s">
        <v>48</v>
      </c>
      <c r="D622" s="104" t="s">
        <v>265</v>
      </c>
      <c r="E622" s="104" t="s">
        <v>880</v>
      </c>
      <c r="F622" s="104" t="s">
        <v>2229</v>
      </c>
      <c r="G622" s="104" t="s">
        <v>2230</v>
      </c>
      <c r="H622" s="12"/>
      <c r="I622" s="9"/>
      <c r="J622" s="9" t="s">
        <v>67</v>
      </c>
      <c r="K622" s="14"/>
      <c r="L622" s="14"/>
      <c r="M622" s="12"/>
      <c r="N622" s="9"/>
      <c r="O622" s="9"/>
      <c r="P622" s="9"/>
      <c r="Q622" s="38">
        <f t="shared" si="66"/>
        <v>0</v>
      </c>
      <c r="R622" s="12"/>
      <c r="S622" s="42"/>
      <c r="T622" s="15"/>
      <c r="U622" s="44"/>
      <c r="V622" s="15"/>
      <c r="W622" s="44"/>
      <c r="X622" s="15">
        <f t="shared" si="71"/>
        <v>0</v>
      </c>
      <c r="Y622" s="15"/>
      <c r="Z622" s="44"/>
      <c r="AA622" s="15"/>
      <c r="AB622" s="44"/>
      <c r="AC622" s="15"/>
      <c r="AD622" s="44"/>
      <c r="AE622" s="15"/>
      <c r="AF622" s="44"/>
      <c r="AG622" s="15">
        <f t="shared" si="72"/>
        <v>0</v>
      </c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/>
      <c r="BA622" s="42"/>
      <c r="BB622" s="15">
        <f t="shared" si="73"/>
        <v>0</v>
      </c>
      <c r="BC622" s="15"/>
      <c r="BD622" s="44"/>
      <c r="BE622" s="15"/>
      <c r="BF622" s="44"/>
      <c r="BG622" s="15">
        <f t="shared" si="74"/>
        <v>0</v>
      </c>
    </row>
    <row r="623" spans="1:59" s="8" customFormat="1" ht="22.5" customHeight="1">
      <c r="A623" s="9"/>
      <c r="B623" s="16" t="s">
        <v>172</v>
      </c>
      <c r="C623" s="89" t="s">
        <v>52</v>
      </c>
      <c r="D623" s="104" t="s">
        <v>892</v>
      </c>
      <c r="E623" s="104" t="s">
        <v>893</v>
      </c>
      <c r="F623" s="104" t="s">
        <v>2048</v>
      </c>
      <c r="G623" s="104" t="s">
        <v>2049</v>
      </c>
      <c r="H623" s="12"/>
      <c r="I623" s="9"/>
      <c r="J623" s="9" t="s">
        <v>67</v>
      </c>
      <c r="K623" s="14"/>
      <c r="L623" s="14"/>
      <c r="M623" s="12"/>
      <c r="N623" s="9"/>
      <c r="O623" s="9"/>
      <c r="P623" s="9"/>
      <c r="Q623" s="38">
        <f t="shared" si="66"/>
        <v>0</v>
      </c>
      <c r="R623" s="12"/>
      <c r="S623" s="42"/>
      <c r="T623" s="15"/>
      <c r="U623" s="44"/>
      <c r="V623" s="15"/>
      <c r="W623" s="44"/>
      <c r="X623" s="15">
        <f t="shared" si="71"/>
        <v>0</v>
      </c>
      <c r="Y623" s="15"/>
      <c r="Z623" s="44"/>
      <c r="AA623" s="15"/>
      <c r="AB623" s="44"/>
      <c r="AC623" s="15"/>
      <c r="AD623" s="44"/>
      <c r="AE623" s="15"/>
      <c r="AF623" s="44"/>
      <c r="AG623" s="15">
        <f t="shared" si="72"/>
        <v>0</v>
      </c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/>
      <c r="BA623" s="42"/>
      <c r="BB623" s="15">
        <f t="shared" si="73"/>
        <v>0</v>
      </c>
      <c r="BC623" s="15"/>
      <c r="BD623" s="44"/>
      <c r="BE623" s="15"/>
      <c r="BF623" s="44"/>
      <c r="BG623" s="15">
        <f t="shared" si="74"/>
        <v>0</v>
      </c>
    </row>
    <row r="624" spans="1:59" s="8" customFormat="1" ht="22.5" customHeight="1">
      <c r="A624" s="9"/>
      <c r="B624" s="16" t="s">
        <v>172</v>
      </c>
      <c r="C624" s="89" t="s">
        <v>52</v>
      </c>
      <c r="D624" s="104" t="s">
        <v>898</v>
      </c>
      <c r="E624" s="104" t="s">
        <v>899</v>
      </c>
      <c r="F624" s="104" t="s">
        <v>2231</v>
      </c>
      <c r="G624" s="104" t="s">
        <v>2232</v>
      </c>
      <c r="H624" s="12"/>
      <c r="I624" s="9"/>
      <c r="J624" s="9" t="s">
        <v>67</v>
      </c>
      <c r="K624" s="14"/>
      <c r="L624" s="14"/>
      <c r="M624" s="12"/>
      <c r="N624" s="9"/>
      <c r="O624" s="9"/>
      <c r="P624" s="9"/>
      <c r="Q624" s="38">
        <f t="shared" si="66"/>
        <v>0</v>
      </c>
      <c r="R624" s="12"/>
      <c r="S624" s="42"/>
      <c r="T624" s="15"/>
      <c r="U624" s="44"/>
      <c r="V624" s="15"/>
      <c r="W624" s="44"/>
      <c r="X624" s="15">
        <f t="shared" si="71"/>
        <v>0</v>
      </c>
      <c r="Y624" s="15"/>
      <c r="Z624" s="44"/>
      <c r="AA624" s="15"/>
      <c r="AB624" s="44"/>
      <c r="AC624" s="15"/>
      <c r="AD624" s="44"/>
      <c r="AE624" s="15"/>
      <c r="AF624" s="44"/>
      <c r="AG624" s="15">
        <f t="shared" si="72"/>
        <v>0</v>
      </c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/>
      <c r="BA624" s="42"/>
      <c r="BB624" s="15">
        <f t="shared" si="73"/>
        <v>0</v>
      </c>
      <c r="BC624" s="15"/>
      <c r="BD624" s="44"/>
      <c r="BE624" s="15"/>
      <c r="BF624" s="44"/>
      <c r="BG624" s="15">
        <f t="shared" si="74"/>
        <v>0</v>
      </c>
    </row>
    <row r="625" spans="1:59" s="8" customFormat="1" ht="22.5" customHeight="1">
      <c r="A625" s="9"/>
      <c r="B625" s="16" t="s">
        <v>187</v>
      </c>
      <c r="C625" s="89" t="s">
        <v>494</v>
      </c>
      <c r="D625" s="104" t="s">
        <v>916</v>
      </c>
      <c r="E625" s="104" t="s">
        <v>917</v>
      </c>
      <c r="F625" s="104" t="s">
        <v>1653</v>
      </c>
      <c r="G625" s="104" t="s">
        <v>1654</v>
      </c>
      <c r="H625" s="12"/>
      <c r="I625" s="9"/>
      <c r="J625" s="9" t="s">
        <v>527</v>
      </c>
      <c r="K625" s="14"/>
      <c r="L625" s="14"/>
      <c r="M625" s="12"/>
      <c r="N625" s="9"/>
      <c r="O625" s="9"/>
      <c r="P625" s="9"/>
      <c r="Q625" s="38">
        <f t="shared" si="66"/>
        <v>0</v>
      </c>
      <c r="R625" s="12"/>
      <c r="S625" s="42"/>
      <c r="T625" s="15"/>
      <c r="U625" s="44"/>
      <c r="V625" s="15"/>
      <c r="W625" s="44"/>
      <c r="X625" s="15">
        <f t="shared" si="71"/>
        <v>0</v>
      </c>
      <c r="Y625" s="15"/>
      <c r="Z625" s="44"/>
      <c r="AA625" s="15"/>
      <c r="AB625" s="44"/>
      <c r="AC625" s="15"/>
      <c r="AD625" s="44"/>
      <c r="AE625" s="15"/>
      <c r="AF625" s="44"/>
      <c r="AG625" s="15">
        <f t="shared" si="72"/>
        <v>0</v>
      </c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/>
      <c r="BA625" s="42"/>
      <c r="BB625" s="15">
        <f t="shared" si="73"/>
        <v>0</v>
      </c>
      <c r="BC625" s="15"/>
      <c r="BD625" s="44"/>
      <c r="BE625" s="15"/>
      <c r="BF625" s="44"/>
      <c r="BG625" s="15">
        <f t="shared" si="74"/>
        <v>0</v>
      </c>
    </row>
    <row r="626" spans="1:59" s="8" customFormat="1" ht="22.5" customHeight="1">
      <c r="A626" s="9">
        <v>999</v>
      </c>
      <c r="B626" s="16" t="s">
        <v>926</v>
      </c>
      <c r="C626" s="89" t="s">
        <v>132</v>
      </c>
      <c r="D626" s="104" t="s">
        <v>953</v>
      </c>
      <c r="E626" s="104"/>
      <c r="F626" s="104" t="s">
        <v>2233</v>
      </c>
      <c r="G626" s="104" t="s">
        <v>2234</v>
      </c>
      <c r="H626" s="12"/>
      <c r="I626" s="9"/>
      <c r="J626" s="9" t="s">
        <v>566</v>
      </c>
      <c r="K626" s="14"/>
      <c r="L626" s="14"/>
      <c r="M626" s="12"/>
      <c r="N626" s="9"/>
      <c r="O626" s="9"/>
      <c r="P626" s="9"/>
      <c r="Q626" s="38">
        <f t="shared" si="66"/>
        <v>0</v>
      </c>
      <c r="R626" s="12"/>
      <c r="S626" s="42"/>
      <c r="T626" s="15"/>
      <c r="U626" s="44"/>
      <c r="V626" s="15"/>
      <c r="W626" s="44"/>
      <c r="X626" s="15">
        <f t="shared" si="71"/>
        <v>0</v>
      </c>
      <c r="Y626" s="15"/>
      <c r="Z626" s="44"/>
      <c r="AA626" s="15"/>
      <c r="AB626" s="44"/>
      <c r="AC626" s="15"/>
      <c r="AD626" s="44"/>
      <c r="AE626" s="15"/>
      <c r="AF626" s="44"/>
      <c r="AG626" s="15">
        <f t="shared" si="72"/>
        <v>0</v>
      </c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/>
      <c r="BA626" s="42"/>
      <c r="BB626" s="15">
        <f t="shared" si="73"/>
        <v>0</v>
      </c>
      <c r="BC626" s="15"/>
      <c r="BD626" s="44"/>
      <c r="BE626" s="15"/>
      <c r="BF626" s="44"/>
      <c r="BG626" s="15">
        <f t="shared" si="74"/>
        <v>0</v>
      </c>
    </row>
    <row r="627" spans="1:59" s="8" customFormat="1" ht="22.5" customHeight="1">
      <c r="A627" s="9"/>
      <c r="B627" s="16" t="s">
        <v>204</v>
      </c>
      <c r="C627" s="89" t="s">
        <v>52</v>
      </c>
      <c r="D627" s="104" t="s">
        <v>535</v>
      </c>
      <c r="E627" s="104" t="s">
        <v>210</v>
      </c>
      <c r="F627" s="104" t="s">
        <v>2173</v>
      </c>
      <c r="G627" s="104" t="s">
        <v>2174</v>
      </c>
      <c r="H627" s="12"/>
      <c r="I627" s="9"/>
      <c r="J627" s="9" t="s">
        <v>231</v>
      </c>
      <c r="K627" s="14"/>
      <c r="L627" s="14"/>
      <c r="M627" s="12"/>
      <c r="N627" s="9"/>
      <c r="O627" s="9"/>
      <c r="P627" s="9"/>
      <c r="Q627" s="38">
        <f t="shared" si="66"/>
        <v>0</v>
      </c>
      <c r="R627" s="12"/>
      <c r="S627" s="42"/>
      <c r="T627" s="15"/>
      <c r="U627" s="44"/>
      <c r="V627" s="15"/>
      <c r="W627" s="44"/>
      <c r="X627" s="15">
        <f t="shared" si="71"/>
        <v>0</v>
      </c>
      <c r="Y627" s="15"/>
      <c r="Z627" s="44"/>
      <c r="AA627" s="15"/>
      <c r="AB627" s="44"/>
      <c r="AC627" s="15"/>
      <c r="AD627" s="44"/>
      <c r="AE627" s="15"/>
      <c r="AF627" s="44"/>
      <c r="AG627" s="15">
        <f t="shared" si="72"/>
        <v>0</v>
      </c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/>
      <c r="BA627" s="42"/>
      <c r="BB627" s="15">
        <f t="shared" si="73"/>
        <v>0</v>
      </c>
      <c r="BC627" s="15"/>
      <c r="BD627" s="44"/>
      <c r="BE627" s="15"/>
      <c r="BF627" s="44"/>
      <c r="BG627" s="15">
        <f t="shared" si="74"/>
        <v>0</v>
      </c>
    </row>
    <row r="628" spans="1:59" s="8" customFormat="1" ht="22.5" customHeight="1">
      <c r="A628" s="9"/>
      <c r="B628" s="16" t="s">
        <v>755</v>
      </c>
      <c r="C628" s="89" t="s">
        <v>151</v>
      </c>
      <c r="D628" s="104" t="s">
        <v>763</v>
      </c>
      <c r="E628" s="104" t="s">
        <v>767</v>
      </c>
      <c r="F628" s="104" t="s">
        <v>1908</v>
      </c>
      <c r="G628" s="104" t="s">
        <v>1909</v>
      </c>
      <c r="H628" s="12"/>
      <c r="I628" s="9"/>
      <c r="J628" s="9" t="s">
        <v>757</v>
      </c>
      <c r="K628" s="14"/>
      <c r="L628" s="14"/>
      <c r="M628" s="12"/>
      <c r="N628" s="9"/>
      <c r="O628" s="9"/>
      <c r="P628" s="9"/>
      <c r="Q628" s="38">
        <f t="shared" si="66"/>
        <v>0</v>
      </c>
      <c r="R628" s="12"/>
      <c r="S628" s="42"/>
      <c r="T628" s="15"/>
      <c r="U628" s="44"/>
      <c r="V628" s="15"/>
      <c r="W628" s="44"/>
      <c r="X628" s="15">
        <f t="shared" si="71"/>
        <v>0</v>
      </c>
      <c r="Y628" s="15"/>
      <c r="Z628" s="44"/>
      <c r="AA628" s="15"/>
      <c r="AB628" s="44"/>
      <c r="AC628" s="15"/>
      <c r="AD628" s="44"/>
      <c r="AE628" s="15"/>
      <c r="AF628" s="44"/>
      <c r="AG628" s="15">
        <f t="shared" si="72"/>
        <v>0</v>
      </c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/>
      <c r="BA628" s="42"/>
      <c r="BB628" s="15">
        <f t="shared" si="73"/>
        <v>0</v>
      </c>
      <c r="BC628" s="15"/>
      <c r="BD628" s="44"/>
      <c r="BE628" s="15"/>
      <c r="BF628" s="44"/>
      <c r="BG628" s="15">
        <f t="shared" si="74"/>
        <v>0</v>
      </c>
    </row>
    <row r="629" spans="1:59" s="8" customFormat="1" ht="22.5" customHeight="1">
      <c r="A629" s="9"/>
      <c r="B629" s="16" t="s">
        <v>755</v>
      </c>
      <c r="C629" s="89" t="s">
        <v>151</v>
      </c>
      <c r="D629" s="104" t="s">
        <v>763</v>
      </c>
      <c r="E629" s="104" t="s">
        <v>768</v>
      </c>
      <c r="F629" s="104" t="s">
        <v>1910</v>
      </c>
      <c r="G629" s="104" t="s">
        <v>1911</v>
      </c>
      <c r="H629" s="12"/>
      <c r="I629" s="9"/>
      <c r="J629" s="9" t="s">
        <v>757</v>
      </c>
      <c r="K629" s="14"/>
      <c r="L629" s="14"/>
      <c r="M629" s="12"/>
      <c r="N629" s="9"/>
      <c r="O629" s="9"/>
      <c r="P629" s="9"/>
      <c r="Q629" s="38">
        <f t="shared" si="66"/>
        <v>0</v>
      </c>
      <c r="R629" s="12"/>
      <c r="S629" s="42"/>
      <c r="T629" s="15"/>
      <c r="U629" s="44"/>
      <c r="V629" s="15"/>
      <c r="W629" s="44"/>
      <c r="X629" s="15">
        <f t="shared" si="71"/>
        <v>0</v>
      </c>
      <c r="Y629" s="15"/>
      <c r="Z629" s="44"/>
      <c r="AA629" s="15"/>
      <c r="AB629" s="44"/>
      <c r="AC629" s="15"/>
      <c r="AD629" s="44"/>
      <c r="AE629" s="15"/>
      <c r="AF629" s="44"/>
      <c r="AG629" s="15">
        <f t="shared" si="72"/>
        <v>0</v>
      </c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/>
      <c r="BA629" s="42"/>
      <c r="BB629" s="15">
        <f t="shared" si="73"/>
        <v>0</v>
      </c>
      <c r="BC629" s="15"/>
      <c r="BD629" s="44"/>
      <c r="BE629" s="15"/>
      <c r="BF629" s="44"/>
      <c r="BG629" s="15">
        <f t="shared" si="74"/>
        <v>0</v>
      </c>
    </row>
    <row r="630" spans="1:59" s="8" customFormat="1" ht="22.5" customHeight="1">
      <c r="A630" s="9"/>
      <c r="B630" s="16" t="s">
        <v>330</v>
      </c>
      <c r="C630" s="89" t="s">
        <v>52</v>
      </c>
      <c r="D630" s="104" t="s">
        <v>795</v>
      </c>
      <c r="E630" s="104" t="s">
        <v>796</v>
      </c>
      <c r="F630" s="104" t="s">
        <v>1715</v>
      </c>
      <c r="G630" s="104" t="s">
        <v>1716</v>
      </c>
      <c r="H630" s="12"/>
      <c r="I630" s="9"/>
      <c r="J630" s="9" t="s">
        <v>332</v>
      </c>
      <c r="K630" s="14"/>
      <c r="L630" s="14"/>
      <c r="M630" s="12">
        <v>3840</v>
      </c>
      <c r="N630" s="9"/>
      <c r="O630" s="9"/>
      <c r="P630" s="9"/>
      <c r="Q630" s="38">
        <f t="shared" si="66"/>
        <v>3840</v>
      </c>
      <c r="R630" s="12"/>
      <c r="S630" s="42"/>
      <c r="T630" s="15"/>
      <c r="U630" s="44"/>
      <c r="V630" s="15"/>
      <c r="W630" s="44"/>
      <c r="X630" s="15">
        <f t="shared" si="71"/>
        <v>0</v>
      </c>
      <c r="Y630" s="15"/>
      <c r="Z630" s="44"/>
      <c r="AA630" s="15"/>
      <c r="AB630" s="44"/>
      <c r="AC630" s="15"/>
      <c r="AD630" s="44"/>
      <c r="AE630" s="15"/>
      <c r="AF630" s="44"/>
      <c r="AG630" s="15">
        <f t="shared" si="72"/>
        <v>0</v>
      </c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/>
      <c r="BA630" s="42"/>
      <c r="BB630" s="15">
        <f t="shared" si="73"/>
        <v>0</v>
      </c>
      <c r="BC630" s="15"/>
      <c r="BD630" s="44"/>
      <c r="BE630" s="15"/>
      <c r="BF630" s="44"/>
      <c r="BG630" s="15">
        <f t="shared" si="74"/>
        <v>0</v>
      </c>
    </row>
    <row r="631" spans="1:59" s="8" customFormat="1" ht="22.5" customHeight="1">
      <c r="A631" s="9">
        <v>999</v>
      </c>
      <c r="B631" s="16" t="s">
        <v>204</v>
      </c>
      <c r="C631" s="89" t="s">
        <v>132</v>
      </c>
      <c r="D631" s="104" t="s">
        <v>2235</v>
      </c>
      <c r="E631" s="104" t="s">
        <v>2236</v>
      </c>
      <c r="F631" s="104" t="s">
        <v>2237</v>
      </c>
      <c r="G631" s="104" t="s">
        <v>2238</v>
      </c>
      <c r="H631" s="12"/>
      <c r="I631" s="9"/>
      <c r="J631" s="9" t="s">
        <v>207</v>
      </c>
      <c r="K631" s="14"/>
      <c r="L631" s="14"/>
      <c r="M631" s="12">
        <v>198</v>
      </c>
      <c r="N631" s="9"/>
      <c r="O631" s="9"/>
      <c r="P631" s="9"/>
      <c r="Q631" s="38">
        <f t="shared" si="66"/>
        <v>198</v>
      </c>
      <c r="R631" s="12"/>
      <c r="S631" s="42"/>
      <c r="T631" s="15"/>
      <c r="U631" s="44"/>
      <c r="V631" s="15"/>
      <c r="W631" s="44"/>
      <c r="X631" s="15">
        <f t="shared" si="71"/>
        <v>0</v>
      </c>
      <c r="Y631" s="15"/>
      <c r="Z631" s="44"/>
      <c r="AA631" s="15"/>
      <c r="AB631" s="44"/>
      <c r="AC631" s="15"/>
      <c r="AD631" s="44"/>
      <c r="AE631" s="15"/>
      <c r="AF631" s="44"/>
      <c r="AG631" s="15">
        <f t="shared" si="72"/>
        <v>0</v>
      </c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/>
      <c r="BA631" s="42"/>
      <c r="BB631" s="15">
        <f t="shared" si="73"/>
        <v>0</v>
      </c>
      <c r="BC631" s="15"/>
      <c r="BD631" s="44"/>
      <c r="BE631" s="15"/>
      <c r="BF631" s="44"/>
      <c r="BG631" s="15">
        <f t="shared" si="74"/>
        <v>0</v>
      </c>
    </row>
    <row r="632" spans="1:59" s="8" customFormat="1" ht="22.5" customHeight="1">
      <c r="A632" s="9"/>
      <c r="B632" s="16" t="s">
        <v>204</v>
      </c>
      <c r="C632" s="89" t="s">
        <v>190</v>
      </c>
      <c r="D632" s="104" t="s">
        <v>410</v>
      </c>
      <c r="E632" s="104" t="s">
        <v>346</v>
      </c>
      <c r="F632" s="104" t="s">
        <v>2239</v>
      </c>
      <c r="G632" s="104" t="s">
        <v>2240</v>
      </c>
      <c r="H632" s="12"/>
      <c r="I632" s="9"/>
      <c r="J632" s="9"/>
      <c r="K632" s="14"/>
      <c r="L632" s="14"/>
      <c r="M632" s="12">
        <v>206</v>
      </c>
      <c r="N632" s="9"/>
      <c r="O632" s="9"/>
      <c r="P632" s="9"/>
      <c r="Q632" s="38">
        <f t="shared" si="66"/>
        <v>206</v>
      </c>
      <c r="R632" s="12"/>
      <c r="S632" s="42"/>
      <c r="T632" s="15"/>
      <c r="U632" s="44"/>
      <c r="V632" s="15"/>
      <c r="W632" s="44"/>
      <c r="X632" s="15">
        <f t="shared" si="71"/>
        <v>0</v>
      </c>
      <c r="Y632" s="15"/>
      <c r="Z632" s="44"/>
      <c r="AA632" s="15"/>
      <c r="AB632" s="44"/>
      <c r="AC632" s="15"/>
      <c r="AD632" s="44"/>
      <c r="AE632" s="15"/>
      <c r="AF632" s="44"/>
      <c r="AG632" s="15">
        <f t="shared" si="72"/>
        <v>0</v>
      </c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/>
      <c r="BA632" s="42"/>
      <c r="BB632" s="15"/>
      <c r="BC632" s="15"/>
      <c r="BD632" s="44"/>
      <c r="BE632" s="15"/>
      <c r="BF632" s="44"/>
      <c r="BG632" s="15"/>
    </row>
    <row r="633" spans="1:59" s="8" customFormat="1" ht="22.5" customHeight="1">
      <c r="A633" s="9"/>
      <c r="B633" s="16" t="s">
        <v>172</v>
      </c>
      <c r="C633" s="89" t="s">
        <v>140</v>
      </c>
      <c r="D633" s="104" t="s">
        <v>253</v>
      </c>
      <c r="E633" s="104" t="s">
        <v>413</v>
      </c>
      <c r="F633" s="104" t="s">
        <v>2218</v>
      </c>
      <c r="G633" s="104" t="s">
        <v>2219</v>
      </c>
      <c r="H633" s="12"/>
      <c r="I633" s="9"/>
      <c r="J633" s="9" t="s">
        <v>67</v>
      </c>
      <c r="K633" s="14"/>
      <c r="L633" s="14"/>
      <c r="M633" s="12">
        <v>93</v>
      </c>
      <c r="N633" s="9"/>
      <c r="O633" s="9"/>
      <c r="P633" s="9"/>
      <c r="Q633" s="38">
        <f t="shared" si="66"/>
        <v>93</v>
      </c>
      <c r="R633" s="12"/>
      <c r="S633" s="42"/>
      <c r="T633" s="15"/>
      <c r="U633" s="44"/>
      <c r="V633" s="15"/>
      <c r="W633" s="44"/>
      <c r="X633" s="15">
        <f t="shared" si="71"/>
        <v>0</v>
      </c>
      <c r="Y633" s="15"/>
      <c r="Z633" s="44"/>
      <c r="AA633" s="15"/>
      <c r="AB633" s="44"/>
      <c r="AC633" s="15"/>
      <c r="AD633" s="44"/>
      <c r="AE633" s="15"/>
      <c r="AF633" s="44"/>
      <c r="AG633" s="15">
        <f t="shared" si="72"/>
        <v>0</v>
      </c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/>
      <c r="BA633" s="42"/>
      <c r="BB633" s="15">
        <f>AH633+AJ633+AL633+AN633+AP633+AR633+AT633+AV633+AX633+AZ633</f>
        <v>0</v>
      </c>
      <c r="BC633" s="15"/>
      <c r="BD633" s="44"/>
      <c r="BE633" s="15"/>
      <c r="BF633" s="44"/>
      <c r="BG633" s="15">
        <f>(BC633+BE633)</f>
        <v>0</v>
      </c>
    </row>
    <row r="634" spans="1:59" s="8" customFormat="1" ht="22.5" customHeight="1">
      <c r="A634" s="9"/>
      <c r="B634" s="16"/>
      <c r="C634" s="89" t="s">
        <v>2241</v>
      </c>
      <c r="D634" s="104"/>
      <c r="E634" s="104"/>
      <c r="F634" s="104" t="s">
        <v>2242</v>
      </c>
      <c r="G634" s="104" t="s">
        <v>2243</v>
      </c>
      <c r="H634" s="12"/>
      <c r="I634" s="9"/>
      <c r="J634" s="9"/>
      <c r="K634" s="14"/>
      <c r="L634" s="14"/>
      <c r="M634" s="12"/>
      <c r="N634" s="9"/>
      <c r="O634" s="9"/>
      <c r="P634" s="9"/>
      <c r="Q634" s="38"/>
      <c r="R634" s="12"/>
      <c r="S634" s="42"/>
      <c r="T634" s="15"/>
      <c r="U634" s="44"/>
      <c r="V634" s="15"/>
      <c r="W634" s="44"/>
      <c r="X634" s="15"/>
      <c r="Y634" s="15"/>
      <c r="Z634" s="44"/>
      <c r="AA634" s="15"/>
      <c r="AB634" s="44"/>
      <c r="AC634" s="15"/>
      <c r="AD634" s="44"/>
      <c r="AE634" s="15"/>
      <c r="AF634" s="44"/>
      <c r="AG634" s="15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/>
      <c r="BA634" s="42"/>
      <c r="BB634" s="15"/>
      <c r="BC634" s="15"/>
      <c r="BD634" s="44"/>
      <c r="BE634" s="15"/>
      <c r="BF634" s="44"/>
      <c r="BG634" s="15"/>
    </row>
    <row r="635" spans="1:59" s="8" customFormat="1" ht="22.5" customHeight="1">
      <c r="A635" s="9"/>
      <c r="B635" s="16"/>
      <c r="C635" s="89"/>
      <c r="D635" s="104" t="s">
        <v>633</v>
      </c>
      <c r="E635" s="104"/>
      <c r="F635" s="104" t="s">
        <v>2178</v>
      </c>
      <c r="G635" s="104" t="s">
        <v>2179</v>
      </c>
      <c r="H635" s="12"/>
      <c r="I635" s="9"/>
      <c r="J635" s="9"/>
      <c r="K635" s="14"/>
      <c r="L635" s="14"/>
      <c r="M635" s="12"/>
      <c r="N635" s="9"/>
      <c r="O635" s="9"/>
      <c r="P635" s="9"/>
      <c r="Q635" s="38"/>
      <c r="R635" s="12"/>
      <c r="S635" s="42"/>
      <c r="T635" s="15"/>
      <c r="U635" s="44"/>
      <c r="V635" s="15"/>
      <c r="W635" s="44"/>
      <c r="X635" s="15"/>
      <c r="Y635" s="15"/>
      <c r="Z635" s="44"/>
      <c r="AA635" s="15"/>
      <c r="AB635" s="44"/>
      <c r="AC635" s="15"/>
      <c r="AD635" s="44"/>
      <c r="AE635" s="15"/>
      <c r="AF635" s="44"/>
      <c r="AG635" s="15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/>
      <c r="BA635" s="42"/>
      <c r="BB635" s="15"/>
      <c r="BC635" s="15"/>
      <c r="BD635" s="44"/>
      <c r="BE635" s="15"/>
      <c r="BF635" s="44"/>
      <c r="BG635" s="15"/>
    </row>
    <row r="636" spans="1:59" s="8" customFormat="1" ht="22.5" customHeight="1">
      <c r="A636" s="9"/>
      <c r="B636" s="16"/>
      <c r="C636" s="89"/>
      <c r="D636" s="104" t="s">
        <v>633</v>
      </c>
      <c r="E636" s="104"/>
      <c r="F636" s="104" t="s">
        <v>1796</v>
      </c>
      <c r="G636" s="104" t="s">
        <v>1797</v>
      </c>
      <c r="H636" s="12"/>
      <c r="I636" s="9"/>
      <c r="J636" s="9"/>
      <c r="K636" s="14"/>
      <c r="L636" s="14"/>
      <c r="M636" s="12"/>
      <c r="N636" s="9"/>
      <c r="O636" s="9"/>
      <c r="P636" s="9"/>
      <c r="Q636" s="38"/>
      <c r="R636" s="12"/>
      <c r="S636" s="42"/>
      <c r="T636" s="15"/>
      <c r="U636" s="44"/>
      <c r="V636" s="15"/>
      <c r="W636" s="44"/>
      <c r="X636" s="15"/>
      <c r="Y636" s="15"/>
      <c r="Z636" s="44"/>
      <c r="AA636" s="15"/>
      <c r="AB636" s="44"/>
      <c r="AC636" s="15"/>
      <c r="AD636" s="44"/>
      <c r="AE636" s="15"/>
      <c r="AF636" s="44"/>
      <c r="AG636" s="15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/>
      <c r="BA636" s="42"/>
      <c r="BB636" s="15"/>
      <c r="BC636" s="15"/>
      <c r="BD636" s="44"/>
      <c r="BE636" s="15"/>
      <c r="BF636" s="44"/>
      <c r="BG636" s="15"/>
    </row>
    <row r="637" spans="1:59" s="8" customFormat="1" ht="22.5" customHeight="1">
      <c r="A637" s="9"/>
      <c r="B637" s="16"/>
      <c r="C637" s="89"/>
      <c r="D637" s="104" t="s">
        <v>633</v>
      </c>
      <c r="E637" s="104"/>
      <c r="F637" s="104" t="s">
        <v>1790</v>
      </c>
      <c r="G637" s="104" t="s">
        <v>1791</v>
      </c>
      <c r="H637" s="12"/>
      <c r="I637" s="9"/>
      <c r="J637" s="9"/>
      <c r="K637" s="14"/>
      <c r="L637" s="14"/>
      <c r="M637" s="12"/>
      <c r="N637" s="9"/>
      <c r="O637" s="9"/>
      <c r="P637" s="9"/>
      <c r="Q637" s="38"/>
      <c r="R637" s="12"/>
      <c r="S637" s="42"/>
      <c r="T637" s="15"/>
      <c r="U637" s="44"/>
      <c r="V637" s="15"/>
      <c r="W637" s="44"/>
      <c r="X637" s="15"/>
      <c r="Y637" s="15"/>
      <c r="Z637" s="44"/>
      <c r="AA637" s="15"/>
      <c r="AB637" s="44"/>
      <c r="AC637" s="15"/>
      <c r="AD637" s="44"/>
      <c r="AE637" s="15"/>
      <c r="AF637" s="44"/>
      <c r="AG637" s="15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/>
      <c r="BA637" s="42"/>
      <c r="BB637" s="15"/>
      <c r="BC637" s="15"/>
      <c r="BD637" s="44"/>
      <c r="BE637" s="15"/>
      <c r="BF637" s="44"/>
      <c r="BG637" s="15"/>
    </row>
    <row r="638" spans="1:59" s="8" customFormat="1" ht="22.5" customHeight="1">
      <c r="A638" s="9"/>
      <c r="B638" s="16"/>
      <c r="C638" s="89"/>
      <c r="D638" s="104" t="s">
        <v>635</v>
      </c>
      <c r="E638" s="104"/>
      <c r="F638" s="104" t="s">
        <v>2180</v>
      </c>
      <c r="G638" s="104" t="s">
        <v>2181</v>
      </c>
      <c r="H638" s="12"/>
      <c r="I638" s="9"/>
      <c r="J638" s="9"/>
      <c r="K638" s="14"/>
      <c r="L638" s="14"/>
      <c r="M638" s="12"/>
      <c r="N638" s="9"/>
      <c r="O638" s="9"/>
      <c r="P638" s="9"/>
      <c r="Q638" s="38"/>
      <c r="R638" s="12"/>
      <c r="S638" s="42"/>
      <c r="T638" s="15"/>
      <c r="U638" s="44"/>
      <c r="V638" s="15"/>
      <c r="W638" s="44"/>
      <c r="X638" s="15"/>
      <c r="Y638" s="15"/>
      <c r="Z638" s="44"/>
      <c r="AA638" s="15"/>
      <c r="AB638" s="44"/>
      <c r="AC638" s="15"/>
      <c r="AD638" s="44"/>
      <c r="AE638" s="15"/>
      <c r="AF638" s="44"/>
      <c r="AG638" s="15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/>
      <c r="BA638" s="42"/>
      <c r="BB638" s="15"/>
      <c r="BC638" s="15"/>
      <c r="BD638" s="44"/>
      <c r="BE638" s="15"/>
      <c r="BF638" s="44"/>
      <c r="BG638" s="15"/>
    </row>
    <row r="639" spans="1:59" s="8" customFormat="1" ht="22.5" customHeight="1">
      <c r="A639" s="9"/>
      <c r="B639" s="16"/>
      <c r="C639" s="89"/>
      <c r="D639" s="104" t="s">
        <v>635</v>
      </c>
      <c r="E639" s="104"/>
      <c r="F639" s="104" t="s">
        <v>1796</v>
      </c>
      <c r="G639" s="104" t="s">
        <v>1797</v>
      </c>
      <c r="H639" s="12"/>
      <c r="I639" s="9"/>
      <c r="J639" s="9"/>
      <c r="K639" s="14"/>
      <c r="L639" s="14"/>
      <c r="M639" s="12"/>
      <c r="N639" s="9"/>
      <c r="O639" s="9"/>
      <c r="P639" s="9"/>
      <c r="Q639" s="38"/>
      <c r="R639" s="12"/>
      <c r="S639" s="42"/>
      <c r="T639" s="15"/>
      <c r="U639" s="44"/>
      <c r="V639" s="15"/>
      <c r="W639" s="44"/>
      <c r="X639" s="15"/>
      <c r="Y639" s="15"/>
      <c r="Z639" s="44"/>
      <c r="AA639" s="15"/>
      <c r="AB639" s="44"/>
      <c r="AC639" s="15"/>
      <c r="AD639" s="44"/>
      <c r="AE639" s="15"/>
      <c r="AF639" s="44"/>
      <c r="AG639" s="15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/>
      <c r="BA639" s="42"/>
      <c r="BB639" s="15"/>
      <c r="BC639" s="15"/>
      <c r="BD639" s="44"/>
      <c r="BE639" s="15"/>
      <c r="BF639" s="44"/>
      <c r="BG639" s="15"/>
    </row>
    <row r="640" spans="1:59" s="8" customFormat="1" ht="22.5" customHeight="1">
      <c r="A640" s="9"/>
      <c r="B640" s="16"/>
      <c r="C640" s="89"/>
      <c r="D640" s="104" t="s">
        <v>635</v>
      </c>
      <c r="E640" s="104"/>
      <c r="F640" s="104" t="s">
        <v>1790</v>
      </c>
      <c r="G640" s="104" t="s">
        <v>1791</v>
      </c>
      <c r="H640" s="12"/>
      <c r="I640" s="9"/>
      <c r="J640" s="9"/>
      <c r="K640" s="14"/>
      <c r="L640" s="14"/>
      <c r="M640" s="12"/>
      <c r="N640" s="9"/>
      <c r="O640" s="9"/>
      <c r="P640" s="9"/>
      <c r="Q640" s="38"/>
      <c r="R640" s="12"/>
      <c r="S640" s="42"/>
      <c r="T640" s="15"/>
      <c r="U640" s="44"/>
      <c r="V640" s="15"/>
      <c r="W640" s="44"/>
      <c r="X640" s="15"/>
      <c r="Y640" s="15"/>
      <c r="Z640" s="44"/>
      <c r="AA640" s="15"/>
      <c r="AB640" s="44"/>
      <c r="AC640" s="15"/>
      <c r="AD640" s="44"/>
      <c r="AE640" s="15"/>
      <c r="AF640" s="44"/>
      <c r="AG640" s="15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/>
      <c r="BA640" s="42"/>
      <c r="BB640" s="15"/>
      <c r="BC640" s="15"/>
      <c r="BD640" s="44"/>
      <c r="BE640" s="15"/>
      <c r="BF640" s="44"/>
      <c r="BG640" s="15"/>
    </row>
    <row r="641" spans="1:59" s="8" customFormat="1" ht="22.5" customHeight="1">
      <c r="A641" s="9"/>
      <c r="B641" s="16"/>
      <c r="C641" s="89"/>
      <c r="D641" s="104" t="s">
        <v>637</v>
      </c>
      <c r="E641" s="104"/>
      <c r="F641" s="104" t="s">
        <v>2244</v>
      </c>
      <c r="G641" s="104" t="s">
        <v>2245</v>
      </c>
      <c r="H641" s="12"/>
      <c r="I641" s="9"/>
      <c r="J641" s="9"/>
      <c r="K641" s="14"/>
      <c r="L641" s="14"/>
      <c r="M641" s="12"/>
      <c r="N641" s="9"/>
      <c r="O641" s="9"/>
      <c r="P641" s="9"/>
      <c r="Q641" s="38"/>
      <c r="R641" s="12"/>
      <c r="S641" s="42"/>
      <c r="T641" s="15"/>
      <c r="U641" s="44"/>
      <c r="V641" s="15"/>
      <c r="W641" s="44"/>
      <c r="X641" s="15"/>
      <c r="Y641" s="15"/>
      <c r="Z641" s="44"/>
      <c r="AA641" s="15"/>
      <c r="AB641" s="44"/>
      <c r="AC641" s="15"/>
      <c r="AD641" s="44"/>
      <c r="AE641" s="15"/>
      <c r="AF641" s="44"/>
      <c r="AG641" s="15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/>
      <c r="BA641" s="42"/>
      <c r="BB641" s="15"/>
      <c r="BC641" s="15"/>
      <c r="BD641" s="44"/>
      <c r="BE641" s="15"/>
      <c r="BF641" s="44"/>
      <c r="BG641" s="15"/>
    </row>
    <row r="642" spans="1:59" s="8" customFormat="1" ht="22.5" customHeight="1">
      <c r="A642" s="9"/>
      <c r="B642" s="16"/>
      <c r="C642" s="89"/>
      <c r="D642" s="104" t="s">
        <v>637</v>
      </c>
      <c r="E642" s="104"/>
      <c r="F642" s="104" t="s">
        <v>1802</v>
      </c>
      <c r="G642" s="104" t="s">
        <v>1803</v>
      </c>
      <c r="H642" s="12"/>
      <c r="I642" s="9"/>
      <c r="J642" s="9"/>
      <c r="K642" s="14"/>
      <c r="L642" s="14"/>
      <c r="M642" s="12"/>
      <c r="N642" s="9"/>
      <c r="O642" s="9"/>
      <c r="P642" s="9"/>
      <c r="Q642" s="38"/>
      <c r="R642" s="12"/>
      <c r="S642" s="42"/>
      <c r="T642" s="15"/>
      <c r="U642" s="44"/>
      <c r="V642" s="15"/>
      <c r="W642" s="44"/>
      <c r="X642" s="15"/>
      <c r="Y642" s="15"/>
      <c r="Z642" s="44"/>
      <c r="AA642" s="15"/>
      <c r="AB642" s="44"/>
      <c r="AC642" s="15"/>
      <c r="AD642" s="44"/>
      <c r="AE642" s="15"/>
      <c r="AF642" s="44"/>
      <c r="AG642" s="15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/>
      <c r="BA642" s="42"/>
      <c r="BB642" s="15"/>
      <c r="BC642" s="15"/>
      <c r="BD642" s="44"/>
      <c r="BE642" s="15"/>
      <c r="BF642" s="44"/>
      <c r="BG642" s="15"/>
    </row>
    <row r="643" spans="1:59" s="8" customFormat="1" ht="22.5" customHeight="1">
      <c r="A643" s="9"/>
      <c r="B643" s="16"/>
      <c r="C643" s="89"/>
      <c r="D643" s="104" t="s">
        <v>637</v>
      </c>
      <c r="E643" s="104"/>
      <c r="F643" s="104" t="s">
        <v>1804</v>
      </c>
      <c r="G643" s="104" t="s">
        <v>1805</v>
      </c>
      <c r="H643" s="12"/>
      <c r="I643" s="9"/>
      <c r="J643" s="9"/>
      <c r="K643" s="14"/>
      <c r="L643" s="14"/>
      <c r="M643" s="12"/>
      <c r="N643" s="9"/>
      <c r="O643" s="9"/>
      <c r="P643" s="9"/>
      <c r="Q643" s="38"/>
      <c r="R643" s="12"/>
      <c r="S643" s="42"/>
      <c r="T643" s="15"/>
      <c r="U643" s="44"/>
      <c r="V643" s="15"/>
      <c r="W643" s="44"/>
      <c r="X643" s="15"/>
      <c r="Y643" s="15"/>
      <c r="Z643" s="44"/>
      <c r="AA643" s="15"/>
      <c r="AB643" s="44"/>
      <c r="AC643" s="15"/>
      <c r="AD643" s="44"/>
      <c r="AE643" s="15"/>
      <c r="AF643" s="44"/>
      <c r="AG643" s="15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/>
      <c r="BA643" s="42"/>
      <c r="BB643" s="15"/>
      <c r="BC643" s="15"/>
      <c r="BD643" s="44"/>
      <c r="BE643" s="15"/>
      <c r="BF643" s="44"/>
      <c r="BG643" s="15"/>
    </row>
    <row r="644" spans="1:59" s="8" customFormat="1" ht="22.5" customHeight="1">
      <c r="A644" s="9"/>
      <c r="B644" s="16"/>
      <c r="C644" s="89"/>
      <c r="D644" s="104" t="s">
        <v>637</v>
      </c>
      <c r="E644" s="104"/>
      <c r="F644" s="104" t="s">
        <v>1792</v>
      </c>
      <c r="G644" s="104" t="s">
        <v>1793</v>
      </c>
      <c r="H644" s="12"/>
      <c r="I644" s="9"/>
      <c r="J644" s="9"/>
      <c r="K644" s="14"/>
      <c r="L644" s="14"/>
      <c r="M644" s="12"/>
      <c r="N644" s="9"/>
      <c r="O644" s="9"/>
      <c r="P644" s="9"/>
      <c r="Q644" s="38"/>
      <c r="R644" s="12"/>
      <c r="S644" s="42"/>
      <c r="T644" s="15"/>
      <c r="U644" s="44"/>
      <c r="V644" s="15"/>
      <c r="W644" s="44"/>
      <c r="X644" s="15"/>
      <c r="Y644" s="15"/>
      <c r="Z644" s="44"/>
      <c r="AA644" s="15"/>
      <c r="AB644" s="44"/>
      <c r="AC644" s="15"/>
      <c r="AD644" s="44"/>
      <c r="AE644" s="15"/>
      <c r="AF644" s="44"/>
      <c r="AG644" s="15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/>
      <c r="BA644" s="42"/>
      <c r="BB644" s="15"/>
      <c r="BC644" s="15"/>
      <c r="BD644" s="44"/>
      <c r="BE644" s="15"/>
      <c r="BF644" s="44"/>
      <c r="BG644" s="15"/>
    </row>
    <row r="645" spans="1:59" s="8" customFormat="1" ht="22.5" customHeight="1">
      <c r="A645" s="9"/>
      <c r="B645" s="16"/>
      <c r="C645" s="89"/>
      <c r="D645" s="104" t="s">
        <v>635</v>
      </c>
      <c r="E645" s="104"/>
      <c r="F645" s="104" t="s">
        <v>2182</v>
      </c>
      <c r="G645" s="104" t="s">
        <v>2183</v>
      </c>
      <c r="H645" s="12"/>
      <c r="I645" s="9"/>
      <c r="J645" s="9"/>
      <c r="K645" s="14"/>
      <c r="L645" s="14"/>
      <c r="M645" s="12"/>
      <c r="N645" s="9"/>
      <c r="O645" s="9"/>
      <c r="P645" s="9"/>
      <c r="Q645" s="38"/>
      <c r="R645" s="12"/>
      <c r="S645" s="42"/>
      <c r="T645" s="15"/>
      <c r="U645" s="44"/>
      <c r="V645" s="15"/>
      <c r="W645" s="44"/>
      <c r="X645" s="15"/>
      <c r="Y645" s="15"/>
      <c r="Z645" s="44"/>
      <c r="AA645" s="15"/>
      <c r="AB645" s="44"/>
      <c r="AC645" s="15"/>
      <c r="AD645" s="44"/>
      <c r="AE645" s="15"/>
      <c r="AF645" s="44"/>
      <c r="AG645" s="15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/>
      <c r="BA645" s="42"/>
      <c r="BB645" s="15"/>
      <c r="BC645" s="15"/>
      <c r="BD645" s="44"/>
      <c r="BE645" s="15"/>
      <c r="BF645" s="44"/>
      <c r="BG645" s="15"/>
    </row>
    <row r="646" spans="1:59" s="8" customFormat="1" ht="22.5" customHeight="1">
      <c r="A646" s="9"/>
      <c r="B646" s="16"/>
      <c r="C646" s="89"/>
      <c r="D646" s="104" t="s">
        <v>635</v>
      </c>
      <c r="E646" s="104"/>
      <c r="F646" s="104" t="s">
        <v>1806</v>
      </c>
      <c r="G646" s="104" t="s">
        <v>1807</v>
      </c>
      <c r="H646" s="12"/>
      <c r="I646" s="9"/>
      <c r="J646" s="9"/>
      <c r="K646" s="14"/>
      <c r="L646" s="14"/>
      <c r="M646" s="12"/>
      <c r="N646" s="9"/>
      <c r="O646" s="9"/>
      <c r="P646" s="9"/>
      <c r="Q646" s="38"/>
      <c r="R646" s="12"/>
      <c r="S646" s="42"/>
      <c r="T646" s="15"/>
      <c r="U646" s="44"/>
      <c r="V646" s="15"/>
      <c r="W646" s="44"/>
      <c r="X646" s="15"/>
      <c r="Y646" s="15"/>
      <c r="Z646" s="44"/>
      <c r="AA646" s="15"/>
      <c r="AB646" s="44"/>
      <c r="AC646" s="15"/>
      <c r="AD646" s="44"/>
      <c r="AE646" s="15"/>
      <c r="AF646" s="44"/>
      <c r="AG646" s="15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/>
      <c r="BA646" s="42"/>
      <c r="BB646" s="15"/>
      <c r="BC646" s="15"/>
      <c r="BD646" s="44"/>
      <c r="BE646" s="15"/>
      <c r="BF646" s="44"/>
      <c r="BG646" s="15"/>
    </row>
    <row r="647" spans="1:59" s="8" customFormat="1" ht="22.5" customHeight="1">
      <c r="A647" s="9"/>
      <c r="B647" s="16"/>
      <c r="C647" s="89"/>
      <c r="D647" s="104" t="s">
        <v>635</v>
      </c>
      <c r="E647" s="104"/>
      <c r="F647" s="104" t="s">
        <v>1808</v>
      </c>
      <c r="G647" s="104" t="s">
        <v>1809</v>
      </c>
      <c r="H647" s="12"/>
      <c r="I647" s="9"/>
      <c r="J647" s="9"/>
      <c r="K647" s="14"/>
      <c r="L647" s="14"/>
      <c r="M647" s="12"/>
      <c r="N647" s="9"/>
      <c r="O647" s="9"/>
      <c r="P647" s="9"/>
      <c r="Q647" s="38"/>
      <c r="R647" s="12"/>
      <c r="S647" s="42"/>
      <c r="T647" s="15"/>
      <c r="U647" s="44"/>
      <c r="V647" s="15"/>
      <c r="W647" s="44"/>
      <c r="X647" s="15"/>
      <c r="Y647" s="15"/>
      <c r="Z647" s="44"/>
      <c r="AA647" s="15"/>
      <c r="AB647" s="44"/>
      <c r="AC647" s="15"/>
      <c r="AD647" s="44"/>
      <c r="AE647" s="15"/>
      <c r="AF647" s="44"/>
      <c r="AG647" s="15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/>
      <c r="BA647" s="42"/>
      <c r="BB647" s="15"/>
      <c r="BC647" s="15"/>
      <c r="BD647" s="44"/>
      <c r="BE647" s="15"/>
      <c r="BF647" s="44"/>
      <c r="BG647" s="15"/>
    </row>
    <row r="648" spans="1:59" s="8" customFormat="1" ht="22.5" customHeight="1">
      <c r="A648" s="9"/>
      <c r="B648" s="16"/>
      <c r="C648" s="89"/>
      <c r="D648" s="104" t="s">
        <v>635</v>
      </c>
      <c r="E648" s="104"/>
      <c r="F648" s="104" t="s">
        <v>1792</v>
      </c>
      <c r="G648" s="104" t="s">
        <v>1793</v>
      </c>
      <c r="H648" s="12"/>
      <c r="I648" s="9"/>
      <c r="J648" s="9"/>
      <c r="K648" s="14"/>
      <c r="L648" s="14"/>
      <c r="M648" s="12"/>
      <c r="N648" s="9"/>
      <c r="O648" s="9"/>
      <c r="P648" s="9"/>
      <c r="Q648" s="38"/>
      <c r="R648" s="12"/>
      <c r="S648" s="42"/>
      <c r="T648" s="15"/>
      <c r="U648" s="44"/>
      <c r="V648" s="15"/>
      <c r="W648" s="44"/>
      <c r="X648" s="15"/>
      <c r="Y648" s="15"/>
      <c r="Z648" s="44"/>
      <c r="AA648" s="15"/>
      <c r="AB648" s="44"/>
      <c r="AC648" s="15"/>
      <c r="AD648" s="44"/>
      <c r="AE648" s="15"/>
      <c r="AF648" s="44"/>
      <c r="AG648" s="15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/>
      <c r="BA648" s="42"/>
      <c r="BB648" s="15"/>
      <c r="BC648" s="15"/>
      <c r="BD648" s="44"/>
      <c r="BE648" s="15"/>
      <c r="BF648" s="44"/>
      <c r="BG648" s="15"/>
    </row>
    <row r="649" spans="1:59" s="8" customFormat="1" ht="22.5" customHeight="1">
      <c r="A649" s="9"/>
      <c r="B649" s="16"/>
      <c r="C649" s="89"/>
      <c r="D649" s="104" t="s">
        <v>637</v>
      </c>
      <c r="E649" s="104"/>
      <c r="F649" s="104" t="s">
        <v>2244</v>
      </c>
      <c r="G649" s="104" t="s">
        <v>2245</v>
      </c>
      <c r="H649" s="12"/>
      <c r="I649" s="9"/>
      <c r="J649" s="9"/>
      <c r="K649" s="14"/>
      <c r="L649" s="14"/>
      <c r="M649" s="12"/>
      <c r="N649" s="9"/>
      <c r="O649" s="9"/>
      <c r="P649" s="9"/>
      <c r="Q649" s="38"/>
      <c r="R649" s="12"/>
      <c r="S649" s="42"/>
      <c r="T649" s="15"/>
      <c r="U649" s="44"/>
      <c r="V649" s="15"/>
      <c r="W649" s="44"/>
      <c r="X649" s="15"/>
      <c r="Y649" s="15"/>
      <c r="Z649" s="44"/>
      <c r="AA649" s="15"/>
      <c r="AB649" s="44"/>
      <c r="AC649" s="15"/>
      <c r="AD649" s="44"/>
      <c r="AE649" s="15"/>
      <c r="AF649" s="44"/>
      <c r="AG649" s="15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/>
      <c r="BA649" s="42"/>
      <c r="BB649" s="15"/>
      <c r="BC649" s="15"/>
      <c r="BD649" s="44"/>
      <c r="BE649" s="15"/>
      <c r="BF649" s="44"/>
      <c r="BG649" s="15"/>
    </row>
    <row r="650" spans="1:59" s="8" customFormat="1" ht="22.5" customHeight="1">
      <c r="A650" s="9"/>
      <c r="B650" s="16"/>
      <c r="C650" s="89"/>
      <c r="D650" s="104" t="s">
        <v>637</v>
      </c>
      <c r="E650" s="104"/>
      <c r="F650" s="104" t="s">
        <v>1810</v>
      </c>
      <c r="G650" s="104" t="s">
        <v>1811</v>
      </c>
      <c r="H650" s="12"/>
      <c r="I650" s="9"/>
      <c r="J650" s="9"/>
      <c r="K650" s="14"/>
      <c r="L650" s="14"/>
      <c r="M650" s="12"/>
      <c r="N650" s="9"/>
      <c r="O650" s="9"/>
      <c r="P650" s="9"/>
      <c r="Q650" s="38"/>
      <c r="R650" s="12"/>
      <c r="S650" s="42"/>
      <c r="T650" s="15"/>
      <c r="U650" s="44"/>
      <c r="V650" s="15"/>
      <c r="W650" s="44"/>
      <c r="X650" s="15"/>
      <c r="Y650" s="15"/>
      <c r="Z650" s="44"/>
      <c r="AA650" s="15"/>
      <c r="AB650" s="44"/>
      <c r="AC650" s="15"/>
      <c r="AD650" s="44"/>
      <c r="AE650" s="15"/>
      <c r="AF650" s="44"/>
      <c r="AG650" s="15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/>
      <c r="BA650" s="42"/>
      <c r="BB650" s="15"/>
      <c r="BC650" s="15"/>
      <c r="BD650" s="44"/>
      <c r="BE650" s="15"/>
      <c r="BF650" s="44"/>
      <c r="BG650" s="15"/>
    </row>
    <row r="651" spans="1:59" s="8" customFormat="1" ht="22.5" customHeight="1">
      <c r="A651" s="9"/>
      <c r="B651" s="16"/>
      <c r="C651" s="89"/>
      <c r="D651" s="104" t="s">
        <v>637</v>
      </c>
      <c r="E651" s="104"/>
      <c r="F651" s="104" t="s">
        <v>1812</v>
      </c>
      <c r="G651" s="104" t="s">
        <v>1813</v>
      </c>
      <c r="H651" s="12"/>
      <c r="I651" s="9"/>
      <c r="J651" s="9"/>
      <c r="K651" s="14"/>
      <c r="L651" s="14"/>
      <c r="M651" s="12"/>
      <c r="N651" s="9"/>
      <c r="O651" s="9"/>
      <c r="P651" s="9"/>
      <c r="Q651" s="38"/>
      <c r="R651" s="12"/>
      <c r="S651" s="42"/>
      <c r="T651" s="15"/>
      <c r="U651" s="44"/>
      <c r="V651" s="15"/>
      <c r="W651" s="44"/>
      <c r="X651" s="15"/>
      <c r="Y651" s="15"/>
      <c r="Z651" s="44"/>
      <c r="AA651" s="15"/>
      <c r="AB651" s="44"/>
      <c r="AC651" s="15"/>
      <c r="AD651" s="44"/>
      <c r="AE651" s="15"/>
      <c r="AF651" s="44"/>
      <c r="AG651" s="15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/>
      <c r="BA651" s="42"/>
      <c r="BB651" s="15"/>
      <c r="BC651" s="15"/>
      <c r="BD651" s="44"/>
      <c r="BE651" s="15"/>
      <c r="BF651" s="44"/>
      <c r="BG651" s="15"/>
    </row>
    <row r="652" spans="1:59" s="8" customFormat="1" ht="22.5" customHeight="1">
      <c r="A652" s="9"/>
      <c r="B652" s="16"/>
      <c r="C652" s="89"/>
      <c r="D652" s="104" t="s">
        <v>637</v>
      </c>
      <c r="E652" s="104"/>
      <c r="F652" s="104" t="s">
        <v>1814</v>
      </c>
      <c r="G652" s="104" t="s">
        <v>1815</v>
      </c>
      <c r="H652" s="12"/>
      <c r="I652" s="9"/>
      <c r="J652" s="9"/>
      <c r="K652" s="14"/>
      <c r="L652" s="14"/>
      <c r="M652" s="12"/>
      <c r="N652" s="9"/>
      <c r="O652" s="9"/>
      <c r="P652" s="9"/>
      <c r="Q652" s="38"/>
      <c r="R652" s="12"/>
      <c r="S652" s="42"/>
      <c r="T652" s="15"/>
      <c r="U652" s="44"/>
      <c r="V652" s="15"/>
      <c r="W652" s="44"/>
      <c r="X652" s="15"/>
      <c r="Y652" s="15"/>
      <c r="Z652" s="44"/>
      <c r="AA652" s="15"/>
      <c r="AB652" s="44"/>
      <c r="AC652" s="15"/>
      <c r="AD652" s="44"/>
      <c r="AE652" s="15"/>
      <c r="AF652" s="44"/>
      <c r="AG652" s="15"/>
      <c r="AH652" s="15"/>
      <c r="AI652" s="42"/>
      <c r="AJ652" s="15"/>
      <c r="AK652" s="42"/>
      <c r="AL652" s="15"/>
      <c r="AM652" s="42"/>
      <c r="AN652" s="15"/>
      <c r="AO652" s="42"/>
      <c r="AP652" s="15"/>
      <c r="AQ652" s="42"/>
      <c r="AR652" s="15"/>
      <c r="AS652" s="42"/>
      <c r="AT652" s="15"/>
      <c r="AU652" s="42"/>
      <c r="AV652" s="15"/>
      <c r="AW652" s="42"/>
      <c r="AX652" s="15"/>
      <c r="AY652" s="42"/>
      <c r="AZ652" s="15"/>
      <c r="BA652" s="42"/>
      <c r="BB652" s="15"/>
      <c r="BC652" s="15"/>
      <c r="BD652" s="44"/>
      <c r="BE652" s="15"/>
      <c r="BF652" s="44"/>
      <c r="BG652" s="15"/>
    </row>
    <row r="653" spans="1:59" s="8" customFormat="1" ht="22.5" customHeight="1">
      <c r="A653" s="9"/>
      <c r="B653" s="16" t="s">
        <v>641</v>
      </c>
      <c r="C653" s="89" t="s">
        <v>52</v>
      </c>
      <c r="D653" s="104" t="s">
        <v>656</v>
      </c>
      <c r="E653" s="104" t="s">
        <v>657</v>
      </c>
      <c r="F653" s="104" t="s">
        <v>2246</v>
      </c>
      <c r="G653" s="104" t="s">
        <v>2247</v>
      </c>
      <c r="H653" s="12"/>
      <c r="I653" s="9"/>
      <c r="J653" s="9" t="s">
        <v>247</v>
      </c>
      <c r="K653" s="14"/>
      <c r="L653" s="14"/>
      <c r="M653" s="12"/>
      <c r="N653" s="9"/>
      <c r="O653" s="9"/>
      <c r="P653" s="9"/>
      <c r="Q653" s="38">
        <f>M653+X653-AG653-BB653</f>
        <v>0</v>
      </c>
      <c r="R653" s="12"/>
      <c r="S653" s="42"/>
      <c r="T653" s="15"/>
      <c r="U653" s="44"/>
      <c r="V653" s="15"/>
      <c r="W653" s="44"/>
      <c r="X653" s="15">
        <f>R653+T653+V653</f>
        <v>0</v>
      </c>
      <c r="Y653" s="15"/>
      <c r="Z653" s="44"/>
      <c r="AA653" s="15"/>
      <c r="AB653" s="44"/>
      <c r="AC653" s="15"/>
      <c r="AD653" s="44"/>
      <c r="AE653" s="15"/>
      <c r="AF653" s="44"/>
      <c r="AG653" s="15">
        <f>(Y653+AA653+AC653+AE653)</f>
        <v>0</v>
      </c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/>
      <c r="BA653" s="42"/>
      <c r="BB653" s="15">
        <f>AH653+AJ653+AL653+AN653+AP653+AR653+AT653+AV653+AX653+AZ653</f>
        <v>0</v>
      </c>
      <c r="BC653" s="15"/>
      <c r="BD653" s="44"/>
      <c r="BE653" s="15"/>
      <c r="BF653" s="44"/>
      <c r="BG653" s="15">
        <f>(BC653+BE653)</f>
        <v>0</v>
      </c>
    </row>
    <row r="654" spans="1:59" s="8" customFormat="1" ht="22.5" customHeight="1">
      <c r="A654" s="9"/>
      <c r="B654" s="16" t="s">
        <v>641</v>
      </c>
      <c r="C654" s="89" t="s">
        <v>52</v>
      </c>
      <c r="D654" s="104" t="s">
        <v>656</v>
      </c>
      <c r="E654" s="104" t="s">
        <v>658</v>
      </c>
      <c r="F654" s="104" t="s">
        <v>2248</v>
      </c>
      <c r="G654" s="104" t="s">
        <v>2249</v>
      </c>
      <c r="H654" s="12"/>
      <c r="I654" s="9"/>
      <c r="J654" s="9" t="s">
        <v>247</v>
      </c>
      <c r="K654" s="14"/>
      <c r="L654" s="14"/>
      <c r="M654" s="12"/>
      <c r="N654" s="9"/>
      <c r="O654" s="9"/>
      <c r="P654" s="9"/>
      <c r="Q654" s="38">
        <f>M653+X653-AG653-BB653</f>
        <v>0</v>
      </c>
      <c r="R654" s="12"/>
      <c r="S654" s="42"/>
      <c r="T654" s="15"/>
      <c r="U654" s="44"/>
      <c r="V654" s="15"/>
      <c r="W654" s="44"/>
      <c r="X654" s="15">
        <f>R653+T653+V653</f>
        <v>0</v>
      </c>
      <c r="Y654" s="15"/>
      <c r="Z654" s="44"/>
      <c r="AA654" s="15"/>
      <c r="AB654" s="44"/>
      <c r="AC654" s="15"/>
      <c r="AD654" s="44"/>
      <c r="AE654" s="15"/>
      <c r="AF654" s="44"/>
      <c r="AG654" s="15">
        <f>(Y653+AA653+AC653+AE653)</f>
        <v>0</v>
      </c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/>
      <c r="BA654" s="42"/>
      <c r="BB654" s="15">
        <f>AH653+AJ653+AL653+AN653+AP653+AR653+AT653+AV653+AX653+AZ653</f>
        <v>0</v>
      </c>
      <c r="BC654" s="15"/>
      <c r="BD654" s="44"/>
      <c r="BE654" s="15"/>
      <c r="BF654" s="44"/>
      <c r="BG654" s="15">
        <f>(BC653+BE653)</f>
        <v>0</v>
      </c>
    </row>
    <row r="655" spans="1:59" s="8" customFormat="1" ht="22.5" customHeight="1">
      <c r="A655" s="9"/>
      <c r="B655" s="16" t="s">
        <v>641</v>
      </c>
      <c r="C655" s="89" t="s">
        <v>52</v>
      </c>
      <c r="D655" s="104" t="s">
        <v>656</v>
      </c>
      <c r="E655" s="104" t="s">
        <v>659</v>
      </c>
      <c r="F655" s="104" t="s">
        <v>2250</v>
      </c>
      <c r="G655" s="104" t="s">
        <v>2251</v>
      </c>
      <c r="H655" s="12"/>
      <c r="I655" s="9"/>
      <c r="J655" s="9" t="s">
        <v>247</v>
      </c>
      <c r="K655" s="14"/>
      <c r="L655" s="14"/>
      <c r="M655" s="12"/>
      <c r="N655" s="9"/>
      <c r="O655" s="9"/>
      <c r="P655" s="9"/>
      <c r="Q655" s="38">
        <f>M653+X653-AG653-BB653</f>
        <v>0</v>
      </c>
      <c r="R655" s="12"/>
      <c r="S655" s="42"/>
      <c r="T655" s="15"/>
      <c r="U655" s="44"/>
      <c r="V655" s="15"/>
      <c r="W655" s="44"/>
      <c r="X655" s="15">
        <f>R653+T653+V653</f>
        <v>0</v>
      </c>
      <c r="Y655" s="15"/>
      <c r="Z655" s="44"/>
      <c r="AA655" s="15"/>
      <c r="AB655" s="44"/>
      <c r="AC655" s="15"/>
      <c r="AD655" s="44"/>
      <c r="AE655" s="15"/>
      <c r="AF655" s="44"/>
      <c r="AG655" s="15">
        <f>(Y653+AA653+AC653+AE653)</f>
        <v>0</v>
      </c>
      <c r="AH655" s="15"/>
      <c r="AI655" s="42"/>
      <c r="AJ655" s="15"/>
      <c r="AK655" s="42"/>
      <c r="AL655" s="15"/>
      <c r="AM655" s="42"/>
      <c r="AN655" s="15"/>
      <c r="AO655" s="42"/>
      <c r="AP655" s="15"/>
      <c r="AQ655" s="42"/>
      <c r="AR655" s="15"/>
      <c r="AS655" s="42"/>
      <c r="AT655" s="15"/>
      <c r="AU655" s="42"/>
      <c r="AV655" s="15"/>
      <c r="AW655" s="42"/>
      <c r="AX655" s="15"/>
      <c r="AY655" s="42"/>
      <c r="AZ655" s="15"/>
      <c r="BA655" s="42"/>
      <c r="BB655" s="15">
        <f>AH653+AJ653+AL653+AN653+AP653+AR653+AT653+AV653+AX653+AZ653</f>
        <v>0</v>
      </c>
      <c r="BC655" s="15"/>
      <c r="BD655" s="44"/>
      <c r="BE655" s="15"/>
      <c r="BF655" s="44"/>
      <c r="BG655" s="15">
        <f>(BC653+BE653)</f>
        <v>0</v>
      </c>
    </row>
    <row r="656" spans="1:59" s="8" customFormat="1" ht="22.5" customHeight="1">
      <c r="A656" s="9"/>
      <c r="B656" s="16" t="s">
        <v>204</v>
      </c>
      <c r="C656" s="89" t="s">
        <v>132</v>
      </c>
      <c r="D656" s="104" t="s">
        <v>2252</v>
      </c>
      <c r="E656" s="104" t="s">
        <v>861</v>
      </c>
      <c r="F656" s="104" t="s">
        <v>2253</v>
      </c>
      <c r="G656" s="104" t="s">
        <v>2254</v>
      </c>
      <c r="H656" s="12"/>
      <c r="I656" s="9"/>
      <c r="J656" s="9" t="s">
        <v>207</v>
      </c>
      <c r="K656" s="14"/>
      <c r="L656" s="14"/>
      <c r="M656" s="12">
        <v>200</v>
      </c>
      <c r="N656" s="9"/>
      <c r="O656" s="9"/>
      <c r="P656" s="9"/>
      <c r="Q656" s="38">
        <f>M653+X653-AG653-BB653</f>
        <v>0</v>
      </c>
      <c r="R656" s="12"/>
      <c r="S656" s="42"/>
      <c r="T656" s="15"/>
      <c r="U656" s="44"/>
      <c r="V656" s="15"/>
      <c r="W656" s="44"/>
      <c r="X656" s="15">
        <f>R653+T653+V653</f>
        <v>0</v>
      </c>
      <c r="Y656" s="15"/>
      <c r="Z656" s="44"/>
      <c r="AA656" s="15"/>
      <c r="AB656" s="44"/>
      <c r="AC656" s="15"/>
      <c r="AD656" s="44"/>
      <c r="AE656" s="15"/>
      <c r="AF656" s="44"/>
      <c r="AG656" s="15">
        <f>(Y653+AA653+AC653+AE653)</f>
        <v>0</v>
      </c>
      <c r="AH656" s="15"/>
      <c r="AI656" s="42"/>
      <c r="AJ656" s="15"/>
      <c r="AK656" s="42"/>
      <c r="AL656" s="15"/>
      <c r="AM656" s="42"/>
      <c r="AN656" s="15"/>
      <c r="AO656" s="42"/>
      <c r="AP656" s="15"/>
      <c r="AQ656" s="42"/>
      <c r="AR656" s="15"/>
      <c r="AS656" s="42"/>
      <c r="AT656" s="15"/>
      <c r="AU656" s="42"/>
      <c r="AV656" s="15"/>
      <c r="AW656" s="42"/>
      <c r="AX656" s="15"/>
      <c r="AY656" s="42"/>
      <c r="AZ656" s="15"/>
      <c r="BA656" s="42"/>
      <c r="BB656" s="15">
        <f>AH653+AJ653+AL653+AN653+AP653+AR653+AT653+AV653+AX653+AZ653</f>
        <v>0</v>
      </c>
      <c r="BC656" s="15"/>
      <c r="BD656" s="44"/>
      <c r="BE656" s="15"/>
      <c r="BF656" s="44"/>
      <c r="BG656" s="15">
        <f>(BC653+BE653)</f>
        <v>0</v>
      </c>
    </row>
    <row r="657" spans="1:59" s="8" customFormat="1" ht="22.5" customHeight="1">
      <c r="A657" s="9"/>
      <c r="B657" s="16" t="s">
        <v>2255</v>
      </c>
      <c r="C657" s="89" t="s">
        <v>140</v>
      </c>
      <c r="D657" s="104" t="s">
        <v>2256</v>
      </c>
      <c r="E657" s="104"/>
      <c r="F657" s="104" t="s">
        <v>2257</v>
      </c>
      <c r="G657" s="104" t="s">
        <v>2258</v>
      </c>
      <c r="H657" s="12"/>
      <c r="I657" s="9"/>
      <c r="J657" s="9"/>
      <c r="K657" s="14"/>
      <c r="L657" s="14"/>
      <c r="M657" s="12">
        <v>53</v>
      </c>
      <c r="N657" s="9"/>
      <c r="O657" s="9"/>
      <c r="P657" s="9"/>
      <c r="Q657" s="38">
        <f>M653+X653-AG653-BB653</f>
        <v>0</v>
      </c>
      <c r="R657" s="12"/>
      <c r="S657" s="42"/>
      <c r="T657" s="15"/>
      <c r="U657" s="44"/>
      <c r="V657" s="15"/>
      <c r="W657" s="44"/>
      <c r="X657" s="15">
        <f>R653+T653+V653</f>
        <v>0</v>
      </c>
      <c r="Y657" s="15"/>
      <c r="Z657" s="44"/>
      <c r="AA657" s="15"/>
      <c r="AB657" s="44"/>
      <c r="AC657" s="15"/>
      <c r="AD657" s="44"/>
      <c r="AE657" s="15"/>
      <c r="AF657" s="44"/>
      <c r="AG657" s="15">
        <f>(Y653+AA653+AC653+AE653)</f>
        <v>0</v>
      </c>
      <c r="AH657" s="15"/>
      <c r="AI657" s="42"/>
      <c r="AJ657" s="15"/>
      <c r="AK657" s="42"/>
      <c r="AL657" s="15"/>
      <c r="AM657" s="42"/>
      <c r="AN657" s="15"/>
      <c r="AO657" s="42"/>
      <c r="AP657" s="15"/>
      <c r="AQ657" s="42"/>
      <c r="AR657" s="15"/>
      <c r="AS657" s="42"/>
      <c r="AT657" s="15"/>
      <c r="AU657" s="42"/>
      <c r="AV657" s="15"/>
      <c r="AW657" s="42"/>
      <c r="AX657" s="15"/>
      <c r="AY657" s="42"/>
      <c r="AZ657" s="15"/>
      <c r="BA657" s="42"/>
      <c r="BB657" s="15"/>
      <c r="BC657" s="15"/>
      <c r="BD657" s="44"/>
      <c r="BE657" s="15"/>
      <c r="BF657" s="44"/>
      <c r="BG657" s="15"/>
    </row>
    <row r="658" spans="1:59" s="8" customFormat="1" ht="22.5" customHeight="1">
      <c r="A658" s="9"/>
      <c r="B658" s="16" t="s">
        <v>2255</v>
      </c>
      <c r="C658" s="89" t="s">
        <v>140</v>
      </c>
      <c r="D658" s="104" t="s">
        <v>2256</v>
      </c>
      <c r="E658" s="104"/>
      <c r="F658" s="104" t="s">
        <v>2259</v>
      </c>
      <c r="G658" s="104" t="s">
        <v>2260</v>
      </c>
      <c r="H658" s="12"/>
      <c r="I658" s="9"/>
      <c r="J658" s="9"/>
      <c r="K658" s="14"/>
      <c r="L658" s="14"/>
      <c r="M658" s="12">
        <v>125</v>
      </c>
      <c r="N658" s="9"/>
      <c r="O658" s="9"/>
      <c r="P658" s="9"/>
      <c r="Q658" s="38">
        <f>M653+X653-AG653-BB653</f>
        <v>0</v>
      </c>
      <c r="R658" s="12"/>
      <c r="S658" s="42"/>
      <c r="T658" s="15"/>
      <c r="U658" s="44"/>
      <c r="V658" s="15"/>
      <c r="W658" s="44"/>
      <c r="X658" s="15">
        <f>R653+T653+V653</f>
        <v>0</v>
      </c>
      <c r="Y658" s="15"/>
      <c r="Z658" s="44"/>
      <c r="AA658" s="15"/>
      <c r="AB658" s="44"/>
      <c r="AC658" s="15"/>
      <c r="AD658" s="44"/>
      <c r="AE658" s="15"/>
      <c r="AF658" s="44"/>
      <c r="AG658" s="15">
        <f>(Y653+AA653+AC653+AE653)</f>
        <v>0</v>
      </c>
      <c r="AH658" s="15"/>
      <c r="AI658" s="42"/>
      <c r="AJ658" s="15"/>
      <c r="AK658" s="42"/>
      <c r="AL658" s="15"/>
      <c r="AM658" s="42"/>
      <c r="AN658" s="15"/>
      <c r="AO658" s="42"/>
      <c r="AP658" s="15"/>
      <c r="AQ658" s="42"/>
      <c r="AR658" s="15"/>
      <c r="AS658" s="42"/>
      <c r="AT658" s="15"/>
      <c r="AU658" s="42"/>
      <c r="AV658" s="15"/>
      <c r="AW658" s="42"/>
      <c r="AX658" s="15"/>
      <c r="AY658" s="42"/>
      <c r="AZ658" s="15"/>
      <c r="BA658" s="42"/>
      <c r="BB658" s="15"/>
      <c r="BC658" s="15"/>
      <c r="BD658" s="44"/>
      <c r="BE658" s="15"/>
      <c r="BF658" s="44"/>
      <c r="BG658" s="15"/>
    </row>
    <row r="659" spans="1:59" s="8" customFormat="1" ht="22.5" customHeight="1">
      <c r="A659" s="9"/>
      <c r="B659" s="16" t="s">
        <v>581</v>
      </c>
      <c r="C659" s="89" t="s">
        <v>132</v>
      </c>
      <c r="D659" s="104" t="s">
        <v>2261</v>
      </c>
      <c r="E659" s="104" t="s">
        <v>2262</v>
      </c>
      <c r="F659" s="104" t="s">
        <v>2263</v>
      </c>
      <c r="G659" s="104" t="s">
        <v>2264</v>
      </c>
      <c r="H659" s="12"/>
      <c r="I659" s="9"/>
      <c r="J659" s="9" t="s">
        <v>584</v>
      </c>
      <c r="K659" s="14"/>
      <c r="L659" s="14"/>
      <c r="M659" s="12">
        <v>89</v>
      </c>
      <c r="N659" s="9"/>
      <c r="O659" s="9"/>
      <c r="P659" s="9"/>
      <c r="Q659" s="38">
        <f>M653+X653-AG653-BB653</f>
        <v>0</v>
      </c>
      <c r="R659" s="12"/>
      <c r="S659" s="42"/>
      <c r="T659" s="15"/>
      <c r="U659" s="44"/>
      <c r="V659" s="15"/>
      <c r="W659" s="44"/>
      <c r="X659" s="15">
        <f>R653+T653+V653</f>
        <v>0</v>
      </c>
      <c r="Y659" s="15"/>
      <c r="Z659" s="44"/>
      <c r="AA659" s="15"/>
      <c r="AB659" s="44"/>
      <c r="AC659" s="15"/>
      <c r="AD659" s="44"/>
      <c r="AE659" s="15"/>
      <c r="AF659" s="44"/>
      <c r="AG659" s="15">
        <f>(Y653+AA653+AC653+AE653)</f>
        <v>0</v>
      </c>
      <c r="AH659" s="15"/>
      <c r="AI659" s="42"/>
      <c r="AJ659" s="15"/>
      <c r="AK659" s="42"/>
      <c r="AL659" s="15"/>
      <c r="AM659" s="42"/>
      <c r="AN659" s="15"/>
      <c r="AO659" s="42"/>
      <c r="AP659" s="15"/>
      <c r="AQ659" s="42"/>
      <c r="AR659" s="15"/>
      <c r="AS659" s="42"/>
      <c r="AT659" s="15"/>
      <c r="AU659" s="42"/>
      <c r="AV659" s="15"/>
      <c r="AW659" s="42"/>
      <c r="AX659" s="15"/>
      <c r="AY659" s="42"/>
      <c r="AZ659" s="15"/>
      <c r="BA659" s="42"/>
      <c r="BB659" s="15">
        <f>AH653+AJ653+AL653+AN653+AP653+AR653+AT653+AV653+AX653+AZ653</f>
        <v>0</v>
      </c>
      <c r="BC659" s="15"/>
      <c r="BD659" s="44"/>
      <c r="BE659" s="15"/>
      <c r="BF659" s="44"/>
      <c r="BG659" s="15">
        <f>(BC653+BE653)</f>
        <v>0</v>
      </c>
    </row>
    <row r="660" spans="1:59" s="8" customFormat="1" ht="22.5" customHeight="1">
      <c r="A660" s="9"/>
      <c r="B660" s="16" t="s">
        <v>204</v>
      </c>
      <c r="C660" s="89" t="s">
        <v>44</v>
      </c>
      <c r="D660" s="104" t="s">
        <v>2265</v>
      </c>
      <c r="E660" s="104"/>
      <c r="F660" s="104" t="s">
        <v>2266</v>
      </c>
      <c r="G660" s="104" t="s">
        <v>2267</v>
      </c>
      <c r="H660" s="12"/>
      <c r="I660" s="9"/>
      <c r="J660" s="9" t="s">
        <v>817</v>
      </c>
      <c r="K660" s="14"/>
      <c r="L660" s="14"/>
      <c r="M660" s="12"/>
      <c r="N660" s="9"/>
      <c r="O660" s="9"/>
      <c r="P660" s="9"/>
      <c r="Q660" s="38">
        <f>M653+X653-AG653-BB653</f>
        <v>0</v>
      </c>
      <c r="R660" s="12"/>
      <c r="S660" s="42"/>
      <c r="T660" s="15"/>
      <c r="U660" s="44"/>
      <c r="V660" s="15"/>
      <c r="W660" s="44"/>
      <c r="X660" s="15">
        <f>R653+T653+V653</f>
        <v>0</v>
      </c>
      <c r="Y660" s="15"/>
      <c r="Z660" s="44"/>
      <c r="AA660" s="15"/>
      <c r="AB660" s="44"/>
      <c r="AC660" s="15"/>
      <c r="AD660" s="44"/>
      <c r="AE660" s="15"/>
      <c r="AF660" s="44"/>
      <c r="AG660" s="15">
        <f>(Y653+AA653+AC653+AE653)</f>
        <v>0</v>
      </c>
      <c r="AH660" s="15"/>
      <c r="AI660" s="42"/>
      <c r="AJ660" s="15"/>
      <c r="AK660" s="42"/>
      <c r="AL660" s="15"/>
      <c r="AM660" s="42"/>
      <c r="AN660" s="15"/>
      <c r="AO660" s="42"/>
      <c r="AP660" s="15"/>
      <c r="AQ660" s="42"/>
      <c r="AR660" s="15"/>
      <c r="AS660" s="42"/>
      <c r="AT660" s="15"/>
      <c r="AU660" s="42"/>
      <c r="AV660" s="15"/>
      <c r="AW660" s="42"/>
      <c r="AX660" s="15"/>
      <c r="AY660" s="42"/>
      <c r="AZ660" s="15"/>
      <c r="BA660" s="42"/>
      <c r="BB660" s="15">
        <f>AH653+AJ653+AL653+AN653+AP653+AR653+AT653+AV653+AX653+AZ653</f>
        <v>0</v>
      </c>
      <c r="BC660" s="15"/>
      <c r="BD660" s="44"/>
      <c r="BE660" s="15"/>
      <c r="BF660" s="44"/>
      <c r="BG660" s="15">
        <f>(BC653+BE653)</f>
        <v>0</v>
      </c>
    </row>
    <row r="661" spans="1:59" s="8" customFormat="1" ht="22.5" customHeight="1">
      <c r="A661" s="9"/>
      <c r="B661" s="16"/>
      <c r="C661" s="89" t="s">
        <v>2268</v>
      </c>
      <c r="D661" s="104" t="s">
        <v>2269</v>
      </c>
      <c r="E661" s="104"/>
      <c r="F661" s="104" t="s">
        <v>2270</v>
      </c>
      <c r="G661" s="104" t="s">
        <v>2271</v>
      </c>
      <c r="H661" s="12"/>
      <c r="I661" s="9"/>
      <c r="J661" s="9"/>
      <c r="K661" s="14"/>
      <c r="L661" s="14"/>
      <c r="M661" s="12"/>
      <c r="N661" s="9"/>
      <c r="O661" s="9"/>
      <c r="P661" s="9"/>
      <c r="Q661" s="38"/>
      <c r="R661" s="12"/>
      <c r="S661" s="42"/>
      <c r="T661" s="15"/>
      <c r="U661" s="44"/>
      <c r="V661" s="15"/>
      <c r="W661" s="44"/>
      <c r="X661" s="15"/>
      <c r="Y661" s="15"/>
      <c r="Z661" s="44"/>
      <c r="AA661" s="15"/>
      <c r="AB661" s="44"/>
      <c r="AC661" s="15"/>
      <c r="AD661" s="44"/>
      <c r="AE661" s="15"/>
      <c r="AF661" s="44"/>
      <c r="AG661" s="15"/>
      <c r="AH661" s="15"/>
      <c r="AI661" s="42"/>
      <c r="AJ661" s="15"/>
      <c r="AK661" s="42"/>
      <c r="AL661" s="15"/>
      <c r="AM661" s="42"/>
      <c r="AN661" s="15"/>
      <c r="AO661" s="42"/>
      <c r="AP661" s="15"/>
      <c r="AQ661" s="42"/>
      <c r="AR661" s="15"/>
      <c r="AS661" s="42"/>
      <c r="AT661" s="15"/>
      <c r="AU661" s="42"/>
      <c r="AV661" s="15"/>
      <c r="AW661" s="42"/>
      <c r="AX661" s="15"/>
      <c r="AY661" s="42"/>
      <c r="AZ661" s="15"/>
      <c r="BA661" s="42"/>
      <c r="BB661" s="15"/>
      <c r="BC661" s="15"/>
      <c r="BD661" s="44"/>
      <c r="BE661" s="15"/>
      <c r="BF661" s="44"/>
      <c r="BG661" s="15"/>
    </row>
    <row r="662" spans="1:59" s="8" customFormat="1" ht="22.5" customHeight="1">
      <c r="A662" s="9"/>
      <c r="B662" s="16" t="s">
        <v>799</v>
      </c>
      <c r="C662" s="89"/>
      <c r="D662" s="104" t="s">
        <v>800</v>
      </c>
      <c r="E662" s="104" t="s">
        <v>48</v>
      </c>
      <c r="F662" s="104" t="s">
        <v>800</v>
      </c>
      <c r="G662" s="104" t="s">
        <v>2272</v>
      </c>
      <c r="H662" s="12"/>
      <c r="I662" s="9"/>
      <c r="J662" s="9" t="s">
        <v>687</v>
      </c>
      <c r="K662" s="14"/>
      <c r="L662" s="14"/>
      <c r="M662" s="12"/>
      <c r="N662" s="9"/>
      <c r="O662" s="9"/>
      <c r="P662" s="9"/>
      <c r="Q662" s="38">
        <f>M652+X652-AG652-BB652</f>
        <v>0</v>
      </c>
      <c r="R662" s="12"/>
      <c r="S662" s="42"/>
      <c r="T662" s="15"/>
      <c r="U662" s="44"/>
      <c r="V662" s="15"/>
      <c r="W662" s="44"/>
      <c r="X662" s="15">
        <f>R652+T652+V652</f>
        <v>0</v>
      </c>
      <c r="Y662" s="15"/>
      <c r="Z662" s="44"/>
      <c r="AA662" s="15"/>
      <c r="AB662" s="44"/>
      <c r="AC662" s="15"/>
      <c r="AD662" s="44"/>
      <c r="AE662" s="15"/>
      <c r="AF662" s="44"/>
      <c r="AG662" s="15">
        <f>(Y652+AA652+AC652+AE652)</f>
        <v>0</v>
      </c>
      <c r="AH662" s="15"/>
      <c r="AI662" s="42"/>
      <c r="AJ662" s="15"/>
      <c r="AK662" s="42"/>
      <c r="AL662" s="15"/>
      <c r="AM662" s="42"/>
      <c r="AN662" s="15"/>
      <c r="AO662" s="42"/>
      <c r="AP662" s="15"/>
      <c r="AQ662" s="42"/>
      <c r="AR662" s="15"/>
      <c r="AS662" s="42"/>
      <c r="AT662" s="15"/>
      <c r="AU662" s="42"/>
      <c r="AV662" s="15"/>
      <c r="AW662" s="42"/>
      <c r="AX662" s="15"/>
      <c r="AY662" s="42"/>
      <c r="AZ662" s="15"/>
      <c r="BA662" s="42"/>
      <c r="BB662" s="15">
        <f>AH652+AJ652+AL652+AN652+AP652+AR652+AT652+AV652+AX652+AZ652</f>
        <v>0</v>
      </c>
      <c r="BC662" s="15"/>
      <c r="BD662" s="44"/>
      <c r="BE662" s="15"/>
      <c r="BF662" s="44"/>
      <c r="BG662" s="15">
        <f>(BC652+BE652)</f>
        <v>0</v>
      </c>
    </row>
    <row r="663" spans="1:59" s="8" customFormat="1" ht="22.5" customHeight="1">
      <c r="A663" s="9"/>
      <c r="B663" s="16" t="s">
        <v>801</v>
      </c>
      <c r="C663" s="89"/>
      <c r="D663" s="104" t="s">
        <v>802</v>
      </c>
      <c r="E663" s="104"/>
      <c r="F663" s="104" t="s">
        <v>802</v>
      </c>
      <c r="G663" s="104" t="s">
        <v>2273</v>
      </c>
      <c r="H663" s="12"/>
      <c r="I663" s="9"/>
      <c r="J663" s="9" t="s">
        <v>687</v>
      </c>
      <c r="K663" s="14"/>
      <c r="L663" s="14"/>
      <c r="M663" s="12"/>
      <c r="N663" s="9"/>
      <c r="O663" s="9"/>
      <c r="P663" s="9"/>
      <c r="Q663" s="38">
        <f>M652+X652-AG652-BB652</f>
        <v>0</v>
      </c>
      <c r="R663" s="12"/>
      <c r="S663" s="42"/>
      <c r="T663" s="15"/>
      <c r="U663" s="44"/>
      <c r="V663" s="15"/>
      <c r="W663" s="44"/>
      <c r="X663" s="15">
        <f>R652+T652+V652</f>
        <v>0</v>
      </c>
      <c r="Y663" s="15"/>
      <c r="Z663" s="44"/>
      <c r="AA663" s="15"/>
      <c r="AB663" s="44"/>
      <c r="AC663" s="15"/>
      <c r="AD663" s="44"/>
      <c r="AE663" s="15"/>
      <c r="AF663" s="44"/>
      <c r="AG663" s="15">
        <f>(Y652+AA652+AC652+AE652)</f>
        <v>0</v>
      </c>
      <c r="AH663" s="15"/>
      <c r="AI663" s="42"/>
      <c r="AJ663" s="15"/>
      <c r="AK663" s="42"/>
      <c r="AL663" s="15"/>
      <c r="AM663" s="42"/>
      <c r="AN663" s="15"/>
      <c r="AO663" s="42"/>
      <c r="AP663" s="15"/>
      <c r="AQ663" s="42"/>
      <c r="AR663" s="15"/>
      <c r="AS663" s="42"/>
      <c r="AT663" s="15"/>
      <c r="AU663" s="42"/>
      <c r="AV663" s="15"/>
      <c r="AW663" s="42"/>
      <c r="AX663" s="15"/>
      <c r="AY663" s="42"/>
      <c r="AZ663" s="15"/>
      <c r="BA663" s="42"/>
      <c r="BB663" s="15">
        <f>AH652+AJ652+AL652+AN652+AP652+AR652+AT652+AV652+AX652+AZ652</f>
        <v>0</v>
      </c>
      <c r="BC663" s="15"/>
      <c r="BD663" s="44"/>
      <c r="BE663" s="15"/>
      <c r="BF663" s="44"/>
      <c r="BG663" s="15">
        <f>(BC652+BE652)</f>
        <v>0</v>
      </c>
    </row>
    <row r="664" spans="1:59" s="8" customFormat="1" ht="22.5" customHeight="1">
      <c r="A664" s="9"/>
      <c r="B664" s="16" t="s">
        <v>120</v>
      </c>
      <c r="C664" s="89"/>
      <c r="D664" s="104" t="s">
        <v>947</v>
      </c>
      <c r="E664" s="104"/>
      <c r="F664" s="104" t="s">
        <v>2274</v>
      </c>
      <c r="G664" s="104" t="s">
        <v>2275</v>
      </c>
      <c r="H664" s="12"/>
      <c r="I664" s="9"/>
      <c r="J664" s="9" t="s">
        <v>67</v>
      </c>
      <c r="K664" s="14"/>
      <c r="L664" s="14"/>
      <c r="M664" s="12"/>
      <c r="N664" s="9"/>
      <c r="O664" s="9"/>
      <c r="P664" s="9"/>
      <c r="Q664" s="38">
        <f>M652+X652-AG652-BB652</f>
        <v>0</v>
      </c>
      <c r="R664" s="12"/>
      <c r="S664" s="42"/>
      <c r="T664" s="15"/>
      <c r="U664" s="44"/>
      <c r="V664" s="15"/>
      <c r="W664" s="44"/>
      <c r="X664" s="15">
        <f>R652+T652+V652</f>
        <v>0</v>
      </c>
      <c r="Y664" s="15"/>
      <c r="Z664" s="44"/>
      <c r="AA664" s="15"/>
      <c r="AB664" s="44"/>
      <c r="AC664" s="15"/>
      <c r="AD664" s="44"/>
      <c r="AE664" s="15"/>
      <c r="AF664" s="44"/>
      <c r="AG664" s="15">
        <f>(Y652+AA652+AC652+AE652)</f>
        <v>0</v>
      </c>
      <c r="AH664" s="15"/>
      <c r="AI664" s="42"/>
      <c r="AJ664" s="15"/>
      <c r="AK664" s="42"/>
      <c r="AL664" s="15"/>
      <c r="AM664" s="42"/>
      <c r="AN664" s="15"/>
      <c r="AO664" s="42"/>
      <c r="AP664" s="15"/>
      <c r="AQ664" s="42"/>
      <c r="AR664" s="15"/>
      <c r="AS664" s="42"/>
      <c r="AT664" s="15"/>
      <c r="AU664" s="42"/>
      <c r="AV664" s="15"/>
      <c r="AW664" s="42"/>
      <c r="AX664" s="15"/>
      <c r="AY664" s="42"/>
      <c r="AZ664" s="15"/>
      <c r="BA664" s="42"/>
      <c r="BB664" s="15">
        <f>AH652+AJ652+AL652+AN652+AP652+AR652+AT652+AV652+AX652+AZ652</f>
        <v>0</v>
      </c>
      <c r="BC664" s="15"/>
      <c r="BD664" s="44"/>
      <c r="BE664" s="15"/>
      <c r="BF664" s="44"/>
      <c r="BG664" s="15">
        <f>(BC652+BE652)</f>
        <v>0</v>
      </c>
    </row>
    <row r="665" spans="1:59" s="8" customFormat="1" ht="22.5" customHeight="1">
      <c r="A665" s="9"/>
      <c r="B665" s="16" t="s">
        <v>120</v>
      </c>
      <c r="C665" s="89"/>
      <c r="D665" s="104" t="s">
        <v>948</v>
      </c>
      <c r="E665" s="104"/>
      <c r="F665" s="104" t="s">
        <v>2276</v>
      </c>
      <c r="G665" s="104" t="s">
        <v>2277</v>
      </c>
      <c r="H665" s="12"/>
      <c r="I665" s="9"/>
      <c r="J665" s="9" t="s">
        <v>67</v>
      </c>
      <c r="K665" s="14"/>
      <c r="L665" s="14"/>
      <c r="M665" s="12"/>
      <c r="N665" s="9"/>
      <c r="O665" s="9"/>
      <c r="P665" s="9"/>
      <c r="Q665" s="38">
        <f>M652+X652-AG652-BB652</f>
        <v>0</v>
      </c>
      <c r="R665" s="12"/>
      <c r="S665" s="42"/>
      <c r="T665" s="15"/>
      <c r="U665" s="44"/>
      <c r="V665" s="15"/>
      <c r="W665" s="44"/>
      <c r="X665" s="15">
        <f>R652+T652+V652</f>
        <v>0</v>
      </c>
      <c r="Y665" s="15"/>
      <c r="Z665" s="44"/>
      <c r="AA665" s="15"/>
      <c r="AB665" s="44"/>
      <c r="AC665" s="15"/>
      <c r="AD665" s="44"/>
      <c r="AE665" s="15"/>
      <c r="AF665" s="44"/>
      <c r="AG665" s="15">
        <f>(Y652+AA652+AC652+AE652)</f>
        <v>0</v>
      </c>
      <c r="AH665" s="15"/>
      <c r="AI665" s="42"/>
      <c r="AJ665" s="15"/>
      <c r="AK665" s="42"/>
      <c r="AL665" s="15"/>
      <c r="AM665" s="42"/>
      <c r="AN665" s="15"/>
      <c r="AO665" s="42"/>
      <c r="AP665" s="15"/>
      <c r="AQ665" s="42"/>
      <c r="AR665" s="15"/>
      <c r="AS665" s="42"/>
      <c r="AT665" s="15"/>
      <c r="AU665" s="42"/>
      <c r="AV665" s="15"/>
      <c r="AW665" s="42"/>
      <c r="AX665" s="15"/>
      <c r="AY665" s="42"/>
      <c r="AZ665" s="15"/>
      <c r="BA665" s="42"/>
      <c r="BB665" s="15">
        <f>AH652+AJ652+AL652+AN652+AP652+AR652+AT652+AV652+AX652+AZ652</f>
        <v>0</v>
      </c>
      <c r="BC665" s="15"/>
      <c r="BD665" s="44"/>
      <c r="BE665" s="15"/>
      <c r="BF665" s="44"/>
      <c r="BG665" s="15">
        <f>(BC652+BE652)</f>
        <v>0</v>
      </c>
    </row>
    <row r="666" spans="1:59" s="8" customFormat="1" ht="22.5" customHeight="1">
      <c r="A666" s="9"/>
      <c r="B666" s="16" t="s">
        <v>120</v>
      </c>
      <c r="C666" s="89"/>
      <c r="D666" s="104" t="s">
        <v>949</v>
      </c>
      <c r="E666" s="104"/>
      <c r="F666" s="104" t="s">
        <v>2278</v>
      </c>
      <c r="G666" s="104" t="s">
        <v>2279</v>
      </c>
      <c r="H666" s="12"/>
      <c r="I666" s="9"/>
      <c r="J666" s="9" t="s">
        <v>67</v>
      </c>
      <c r="K666" s="14"/>
      <c r="L666" s="14"/>
      <c r="M666" s="12"/>
      <c r="N666" s="9"/>
      <c r="O666" s="9"/>
      <c r="P666" s="9"/>
      <c r="Q666" s="38">
        <f>M652+X652-AG652-BB652</f>
        <v>0</v>
      </c>
      <c r="R666" s="12"/>
      <c r="S666" s="42"/>
      <c r="T666" s="15"/>
      <c r="U666" s="44"/>
      <c r="V666" s="15"/>
      <c r="W666" s="44"/>
      <c r="X666" s="15">
        <f>R652+T652+V652</f>
        <v>0</v>
      </c>
      <c r="Y666" s="15"/>
      <c r="Z666" s="44"/>
      <c r="AA666" s="15"/>
      <c r="AB666" s="44"/>
      <c r="AC666" s="15"/>
      <c r="AD666" s="44"/>
      <c r="AE666" s="15"/>
      <c r="AF666" s="44"/>
      <c r="AG666" s="15">
        <f>(Y652+AA652+AC652+AE652)</f>
        <v>0</v>
      </c>
      <c r="AH666" s="15"/>
      <c r="AI666" s="42"/>
      <c r="AJ666" s="15"/>
      <c r="AK666" s="42"/>
      <c r="AL666" s="15"/>
      <c r="AM666" s="42"/>
      <c r="AN666" s="15"/>
      <c r="AO666" s="42"/>
      <c r="AP666" s="15"/>
      <c r="AQ666" s="42"/>
      <c r="AR666" s="15"/>
      <c r="AS666" s="42"/>
      <c r="AT666" s="15"/>
      <c r="AU666" s="42"/>
      <c r="AV666" s="15"/>
      <c r="AW666" s="42"/>
      <c r="AX666" s="15"/>
      <c r="AY666" s="42"/>
      <c r="AZ666" s="15"/>
      <c r="BA666" s="42"/>
      <c r="BB666" s="15">
        <f>AH652+AJ652+AL652+AN652+AP652+AR652+AT652+AV652+AX652+AZ652</f>
        <v>0</v>
      </c>
      <c r="BC666" s="15"/>
      <c r="BD666" s="44"/>
      <c r="BE666" s="15"/>
      <c r="BF666" s="44"/>
      <c r="BG666" s="15">
        <f>(BC652+BE652)</f>
        <v>0</v>
      </c>
    </row>
    <row r="667" spans="1:59" s="8" customFormat="1" ht="22.5" customHeight="1">
      <c r="A667" s="9"/>
      <c r="B667" s="16" t="s">
        <v>120</v>
      </c>
      <c r="C667" s="89"/>
      <c r="D667" s="104" t="s">
        <v>950</v>
      </c>
      <c r="E667" s="104"/>
      <c r="F667" s="104" t="s">
        <v>2280</v>
      </c>
      <c r="G667" s="104" t="s">
        <v>2281</v>
      </c>
      <c r="H667" s="12"/>
      <c r="I667" s="9"/>
      <c r="J667" s="9" t="s">
        <v>67</v>
      </c>
      <c r="K667" s="14"/>
      <c r="L667" s="14"/>
      <c r="M667" s="12"/>
      <c r="N667" s="9"/>
      <c r="O667" s="9"/>
      <c r="P667" s="9"/>
      <c r="Q667" s="38">
        <f>M652+X652-AG652-BB652</f>
        <v>0</v>
      </c>
      <c r="R667" s="12"/>
      <c r="S667" s="42"/>
      <c r="T667" s="15"/>
      <c r="U667" s="44"/>
      <c r="V667" s="15"/>
      <c r="W667" s="44"/>
      <c r="X667" s="15">
        <f>R652+T652+V652</f>
        <v>0</v>
      </c>
      <c r="Y667" s="15"/>
      <c r="Z667" s="44"/>
      <c r="AA667" s="15"/>
      <c r="AB667" s="44"/>
      <c r="AC667" s="15"/>
      <c r="AD667" s="44"/>
      <c r="AE667" s="15"/>
      <c r="AF667" s="44"/>
      <c r="AG667" s="15">
        <f>(Y652+AA652+AC652+AE652)</f>
        <v>0</v>
      </c>
      <c r="AH667" s="15"/>
      <c r="AI667" s="42"/>
      <c r="AJ667" s="15"/>
      <c r="AK667" s="42"/>
      <c r="AL667" s="15"/>
      <c r="AM667" s="42"/>
      <c r="AN667" s="15"/>
      <c r="AO667" s="42"/>
      <c r="AP667" s="15"/>
      <c r="AQ667" s="42"/>
      <c r="AR667" s="15"/>
      <c r="AS667" s="42"/>
      <c r="AT667" s="15"/>
      <c r="AU667" s="42"/>
      <c r="AV667" s="15"/>
      <c r="AW667" s="42"/>
      <c r="AX667" s="15"/>
      <c r="AY667" s="42"/>
      <c r="AZ667" s="15"/>
      <c r="BA667" s="42"/>
      <c r="BB667" s="15">
        <f>AH652+AJ652+AL652+AN652+AP652+AR652+AT652+AV652+AX652+AZ652</f>
        <v>0</v>
      </c>
      <c r="BC667" s="15"/>
      <c r="BD667" s="44"/>
      <c r="BE667" s="15"/>
      <c r="BF667" s="44"/>
      <c r="BG667" s="15">
        <f>(BC652+BE652)</f>
        <v>0</v>
      </c>
    </row>
    <row r="668" spans="1:59" s="8" customFormat="1" ht="22.5" customHeight="1">
      <c r="A668" s="9"/>
      <c r="B668" s="16" t="s">
        <v>120</v>
      </c>
      <c r="C668" s="89"/>
      <c r="D668" s="104" t="s">
        <v>951</v>
      </c>
      <c r="E668" s="104"/>
      <c r="F668" s="104" t="s">
        <v>2282</v>
      </c>
      <c r="G668" s="104" t="s">
        <v>2283</v>
      </c>
      <c r="H668" s="12"/>
      <c r="I668" s="9"/>
      <c r="J668" s="9" t="s">
        <v>67</v>
      </c>
      <c r="K668" s="14"/>
      <c r="L668" s="14"/>
      <c r="M668" s="12"/>
      <c r="N668" s="9"/>
      <c r="O668" s="9"/>
      <c r="P668" s="9"/>
      <c r="Q668" s="38">
        <f>M652+X652-AG652-BB652</f>
        <v>0</v>
      </c>
      <c r="R668" s="12"/>
      <c r="S668" s="42"/>
      <c r="T668" s="15"/>
      <c r="U668" s="44"/>
      <c r="V668" s="15"/>
      <c r="W668" s="44"/>
      <c r="X668" s="15">
        <f>R652+T652+V652</f>
        <v>0</v>
      </c>
      <c r="Y668" s="15"/>
      <c r="Z668" s="44"/>
      <c r="AA668" s="15"/>
      <c r="AB668" s="44"/>
      <c r="AC668" s="15"/>
      <c r="AD668" s="44"/>
      <c r="AE668" s="15"/>
      <c r="AF668" s="44"/>
      <c r="AG668" s="15">
        <f>(Y652+AA652+AC652+AE652)</f>
        <v>0</v>
      </c>
      <c r="AH668" s="15"/>
      <c r="AI668" s="42"/>
      <c r="AJ668" s="15"/>
      <c r="AK668" s="42"/>
      <c r="AL668" s="15"/>
      <c r="AM668" s="42"/>
      <c r="AN668" s="15"/>
      <c r="AO668" s="42"/>
      <c r="AP668" s="15"/>
      <c r="AQ668" s="42"/>
      <c r="AR668" s="15"/>
      <c r="AS668" s="42"/>
      <c r="AT668" s="15"/>
      <c r="AU668" s="42"/>
      <c r="AV668" s="15"/>
      <c r="AW668" s="42"/>
      <c r="AX668" s="15"/>
      <c r="AY668" s="42"/>
      <c r="AZ668" s="15"/>
      <c r="BA668" s="42"/>
      <c r="BB668" s="15">
        <f>AH652+AJ652+AL652+AN652+AP652+AR652+AT652+AV652+AX652+AZ652</f>
        <v>0</v>
      </c>
      <c r="BC668" s="15"/>
      <c r="BD668" s="44"/>
      <c r="BE668" s="15"/>
      <c r="BF668" s="44"/>
      <c r="BG668" s="15">
        <f>(BC652+BE652)</f>
        <v>0</v>
      </c>
    </row>
    <row r="669" spans="1:59" s="8" customFormat="1" ht="22.5" customHeight="1">
      <c r="A669" s="9"/>
      <c r="B669" s="16" t="s">
        <v>330</v>
      </c>
      <c r="C669" s="89"/>
      <c r="D669" s="104" t="s">
        <v>952</v>
      </c>
      <c r="E669" s="104"/>
      <c r="F669" s="104" t="s">
        <v>2284</v>
      </c>
      <c r="G669" s="104" t="s">
        <v>2285</v>
      </c>
      <c r="H669" s="12"/>
      <c r="I669" s="9"/>
      <c r="J669" s="9" t="s">
        <v>467</v>
      </c>
      <c r="K669" s="14"/>
      <c r="L669" s="14"/>
      <c r="M669" s="12"/>
      <c r="N669" s="9"/>
      <c r="O669" s="9"/>
      <c r="P669" s="9"/>
      <c r="Q669" s="38">
        <f>M652+X652-AG652-BB652</f>
        <v>0</v>
      </c>
      <c r="R669" s="12"/>
      <c r="S669" s="42"/>
      <c r="T669" s="15"/>
      <c r="U669" s="44"/>
      <c r="V669" s="15"/>
      <c r="W669" s="44"/>
      <c r="X669" s="15">
        <f>R652+T652+V652</f>
        <v>0</v>
      </c>
      <c r="Y669" s="15"/>
      <c r="Z669" s="44"/>
      <c r="AA669" s="15"/>
      <c r="AB669" s="44"/>
      <c r="AC669" s="15"/>
      <c r="AD669" s="44"/>
      <c r="AE669" s="15"/>
      <c r="AF669" s="44"/>
      <c r="AG669" s="15">
        <f>(Y652+AA652+AC652+AE652)</f>
        <v>0</v>
      </c>
      <c r="AH669" s="15"/>
      <c r="AI669" s="42"/>
      <c r="AJ669" s="15"/>
      <c r="AK669" s="42"/>
      <c r="AL669" s="15"/>
      <c r="AM669" s="42"/>
      <c r="AN669" s="15"/>
      <c r="AO669" s="42"/>
      <c r="AP669" s="15"/>
      <c r="AQ669" s="42"/>
      <c r="AR669" s="15"/>
      <c r="AS669" s="42"/>
      <c r="AT669" s="15"/>
      <c r="AU669" s="42"/>
      <c r="AV669" s="15"/>
      <c r="AW669" s="42"/>
      <c r="AX669" s="15"/>
      <c r="AY669" s="42"/>
      <c r="AZ669" s="15"/>
      <c r="BA669" s="42"/>
      <c r="BB669" s="15">
        <f>AH652+AJ652+AL652+AN652+AP652+AR652+AT652+AV652+AX652+AZ652</f>
        <v>0</v>
      </c>
      <c r="BC669" s="15"/>
      <c r="BD669" s="44"/>
      <c r="BE669" s="15"/>
      <c r="BF669" s="44"/>
      <c r="BG669" s="15">
        <f>(BC652+BE652)</f>
        <v>0</v>
      </c>
    </row>
    <row r="670" spans="1:59" s="8" customFormat="1" ht="22.5" customHeight="1">
      <c r="A670" s="9"/>
      <c r="B670" s="16" t="s">
        <v>606</v>
      </c>
      <c r="C670" s="89"/>
      <c r="D670" s="104" t="s">
        <v>955</v>
      </c>
      <c r="E670" s="104" t="s">
        <v>956</v>
      </c>
      <c r="F670" s="104" t="s">
        <v>2286</v>
      </c>
      <c r="G670" s="104" t="s">
        <v>2287</v>
      </c>
      <c r="H670" s="12"/>
      <c r="I670" s="9"/>
      <c r="J670" s="9" t="s">
        <v>957</v>
      </c>
      <c r="K670" s="14"/>
      <c r="L670" s="14"/>
      <c r="M670" s="12"/>
      <c r="N670" s="9"/>
      <c r="O670" s="9"/>
      <c r="P670" s="9"/>
      <c r="Q670" s="38">
        <f>M652+X652-AG652-BB652</f>
        <v>0</v>
      </c>
      <c r="R670" s="12"/>
      <c r="S670" s="42"/>
      <c r="T670" s="15"/>
      <c r="U670" s="44"/>
      <c r="V670" s="15"/>
      <c r="W670" s="44"/>
      <c r="X670" s="15">
        <f>R652+T652+V652</f>
        <v>0</v>
      </c>
      <c r="Y670" s="15"/>
      <c r="Z670" s="44"/>
      <c r="AA670" s="15"/>
      <c r="AB670" s="44"/>
      <c r="AC670" s="15"/>
      <c r="AD670" s="44"/>
      <c r="AE670" s="15"/>
      <c r="AF670" s="44"/>
      <c r="AG670" s="15">
        <f>(Y652+AA652+AC652+AE652)</f>
        <v>0</v>
      </c>
      <c r="AH670" s="15"/>
      <c r="AI670" s="42"/>
      <c r="AJ670" s="15"/>
      <c r="AK670" s="42"/>
      <c r="AL670" s="15"/>
      <c r="AM670" s="42"/>
      <c r="AN670" s="15"/>
      <c r="AO670" s="42"/>
      <c r="AP670" s="15"/>
      <c r="AQ670" s="42"/>
      <c r="AR670" s="15"/>
      <c r="AS670" s="42"/>
      <c r="AT670" s="15"/>
      <c r="AU670" s="42"/>
      <c r="AV670" s="15"/>
      <c r="AW670" s="42"/>
      <c r="AX670" s="15"/>
      <c r="AY670" s="42"/>
      <c r="AZ670" s="15"/>
      <c r="BA670" s="42"/>
      <c r="BB670" s="15">
        <f>AH652+AJ652+AL652+AN652+AP652+AR652+AT652+AV652+AX652+AZ652</f>
        <v>0</v>
      </c>
      <c r="BC670" s="15"/>
      <c r="BD670" s="44"/>
      <c r="BE670" s="15"/>
      <c r="BF670" s="44"/>
      <c r="BG670" s="15">
        <f>(BC652+BE652)</f>
        <v>0</v>
      </c>
    </row>
    <row r="671" spans="1:59" s="8" customFormat="1" ht="22.5" customHeight="1">
      <c r="A671" s="9"/>
      <c r="B671" s="16" t="s">
        <v>120</v>
      </c>
      <c r="C671" s="89"/>
      <c r="D671" s="104" t="s">
        <v>958</v>
      </c>
      <c r="E671" s="104"/>
      <c r="F671" s="104" t="s">
        <v>958</v>
      </c>
      <c r="G671" s="104" t="s">
        <v>2288</v>
      </c>
      <c r="H671" s="12"/>
      <c r="I671" s="9"/>
      <c r="J671" s="9" t="s">
        <v>67</v>
      </c>
      <c r="K671" s="14"/>
      <c r="L671" s="14"/>
      <c r="M671" s="12"/>
      <c r="N671" s="9"/>
      <c r="O671" s="9"/>
      <c r="P671" s="9"/>
      <c r="Q671" s="38">
        <f>M652+X652-AG652-BB652</f>
        <v>0</v>
      </c>
      <c r="R671" s="12"/>
      <c r="S671" s="42"/>
      <c r="T671" s="15"/>
      <c r="U671" s="44"/>
      <c r="V671" s="15"/>
      <c r="W671" s="44"/>
      <c r="X671" s="15">
        <f>R652+T652+V652</f>
        <v>0</v>
      </c>
      <c r="Y671" s="15"/>
      <c r="Z671" s="44"/>
      <c r="AA671" s="15"/>
      <c r="AB671" s="44"/>
      <c r="AC671" s="15"/>
      <c r="AD671" s="44"/>
      <c r="AE671" s="15"/>
      <c r="AF671" s="44"/>
      <c r="AG671" s="15">
        <f>(Y652+AA652+AC652+AE652)</f>
        <v>0</v>
      </c>
      <c r="AH671" s="15"/>
      <c r="AI671" s="42"/>
      <c r="AJ671" s="15"/>
      <c r="AK671" s="42"/>
      <c r="AL671" s="15"/>
      <c r="AM671" s="42"/>
      <c r="AN671" s="15"/>
      <c r="AO671" s="42"/>
      <c r="AP671" s="15"/>
      <c r="AQ671" s="42"/>
      <c r="AR671" s="15"/>
      <c r="AS671" s="42"/>
      <c r="AT671" s="15"/>
      <c r="AU671" s="42"/>
      <c r="AV671" s="15"/>
      <c r="AW671" s="42"/>
      <c r="AX671" s="15"/>
      <c r="AY671" s="42"/>
      <c r="AZ671" s="15"/>
      <c r="BA671" s="42"/>
      <c r="BB671" s="15">
        <f>AH652+AJ652+AL652+AN652+AP652+AR652+AT652+AV652+AX652+AZ652</f>
        <v>0</v>
      </c>
      <c r="BC671" s="15"/>
      <c r="BD671" s="44"/>
      <c r="BE671" s="15"/>
      <c r="BF671" s="44"/>
      <c r="BG671" s="15">
        <f>(BC652+BE652)</f>
        <v>0</v>
      </c>
    </row>
    <row r="672" spans="1:59" s="8" customFormat="1" ht="22.5" customHeight="1">
      <c r="A672" s="9"/>
      <c r="B672" s="16" t="s">
        <v>959</v>
      </c>
      <c r="C672" s="89"/>
      <c r="D672" s="104" t="s">
        <v>960</v>
      </c>
      <c r="E672" s="104" t="s">
        <v>961</v>
      </c>
      <c r="F672" s="104" t="s">
        <v>2289</v>
      </c>
      <c r="G672" s="104" t="s">
        <v>2290</v>
      </c>
      <c r="H672" s="12"/>
      <c r="I672" s="9"/>
      <c r="J672" s="9" t="s">
        <v>566</v>
      </c>
      <c r="K672" s="14"/>
      <c r="L672" s="14"/>
      <c r="M672" s="12"/>
      <c r="N672" s="9"/>
      <c r="O672" s="9"/>
      <c r="P672" s="9"/>
      <c r="Q672" s="38">
        <f>M652+X652-AG652-BB652</f>
        <v>0</v>
      </c>
      <c r="R672" s="12"/>
      <c r="S672" s="42"/>
      <c r="T672" s="15"/>
      <c r="U672" s="44"/>
      <c r="V672" s="15"/>
      <c r="W672" s="44"/>
      <c r="X672" s="15">
        <f>R652+T652+V652</f>
        <v>0</v>
      </c>
      <c r="Y672" s="15"/>
      <c r="Z672" s="44"/>
      <c r="AA672" s="15"/>
      <c r="AB672" s="44"/>
      <c r="AC672" s="15"/>
      <c r="AD672" s="44"/>
      <c r="AE672" s="15"/>
      <c r="AF672" s="44"/>
      <c r="AG672" s="15">
        <f>(Y652+AA652+AC652+AE652)</f>
        <v>0</v>
      </c>
      <c r="AH672" s="15"/>
      <c r="AI672" s="42"/>
      <c r="AJ672" s="15"/>
      <c r="AK672" s="42"/>
      <c r="AL672" s="15"/>
      <c r="AM672" s="42"/>
      <c r="AN672" s="15"/>
      <c r="AO672" s="42"/>
      <c r="AP672" s="15"/>
      <c r="AQ672" s="42"/>
      <c r="AR672" s="15"/>
      <c r="AS672" s="42"/>
      <c r="AT672" s="15"/>
      <c r="AU672" s="42"/>
      <c r="AV672" s="15"/>
      <c r="AW672" s="42"/>
      <c r="AX672" s="15"/>
      <c r="AY672" s="42"/>
      <c r="AZ672" s="15"/>
      <c r="BA672" s="42"/>
      <c r="BB672" s="15">
        <f>AH652+AJ652+AL652+AN652+AP652+AR652+AT652+AV652+AX652+AZ652</f>
        <v>0</v>
      </c>
      <c r="BC672" s="15"/>
      <c r="BD672" s="44"/>
      <c r="BE672" s="15"/>
      <c r="BF672" s="44"/>
      <c r="BG672" s="15">
        <f>(BC652+BE652)</f>
        <v>0</v>
      </c>
    </row>
    <row r="673" spans="1:59" s="8" customFormat="1" ht="22.5" customHeight="1">
      <c r="A673" s="9"/>
      <c r="B673" s="16" t="s">
        <v>962</v>
      </c>
      <c r="C673" s="89"/>
      <c r="D673" s="104" t="s">
        <v>963</v>
      </c>
      <c r="E673" s="104"/>
      <c r="F673" s="104" t="s">
        <v>963</v>
      </c>
      <c r="G673" s="104" t="s">
        <v>2291</v>
      </c>
      <c r="H673" s="12"/>
      <c r="I673" s="9"/>
      <c r="J673" s="9" t="s">
        <v>964</v>
      </c>
      <c r="K673" s="14"/>
      <c r="L673" s="14"/>
      <c r="M673" s="12"/>
      <c r="N673" s="9"/>
      <c r="O673" s="9"/>
      <c r="P673" s="9"/>
      <c r="Q673" s="38">
        <f>M652+X652-AG652-BB652</f>
        <v>0</v>
      </c>
      <c r="R673" s="12"/>
      <c r="S673" s="42"/>
      <c r="T673" s="15"/>
      <c r="U673" s="44"/>
      <c r="V673" s="15"/>
      <c r="W673" s="44"/>
      <c r="X673" s="15">
        <f>R652+T652+V652</f>
        <v>0</v>
      </c>
      <c r="Y673" s="15"/>
      <c r="Z673" s="44"/>
      <c r="AA673" s="15"/>
      <c r="AB673" s="44"/>
      <c r="AC673" s="15"/>
      <c r="AD673" s="44"/>
      <c r="AE673" s="15"/>
      <c r="AF673" s="44"/>
      <c r="AG673" s="15">
        <f>(Y652+AA652+AC652+AE652)</f>
        <v>0</v>
      </c>
      <c r="AH673" s="15"/>
      <c r="AI673" s="42"/>
      <c r="AJ673" s="15"/>
      <c r="AK673" s="42"/>
      <c r="AL673" s="15"/>
      <c r="AM673" s="42"/>
      <c r="AN673" s="15"/>
      <c r="AO673" s="42"/>
      <c r="AP673" s="15"/>
      <c r="AQ673" s="42"/>
      <c r="AR673" s="15"/>
      <c r="AS673" s="42"/>
      <c r="AT673" s="15"/>
      <c r="AU673" s="42"/>
      <c r="AV673" s="15"/>
      <c r="AW673" s="42"/>
      <c r="AX673" s="15"/>
      <c r="AY673" s="42"/>
      <c r="AZ673" s="15"/>
      <c r="BA673" s="42"/>
      <c r="BB673" s="15">
        <f>AH652+AJ652+AL652+AN652+AP652+AR652+AT652+AV652+AX652+AZ652</f>
        <v>0</v>
      </c>
      <c r="BC673" s="15"/>
      <c r="BD673" s="44"/>
      <c r="BE673" s="15"/>
      <c r="BF673" s="44"/>
      <c r="BG673" s="15">
        <f>(BC652+BE652)</f>
        <v>0</v>
      </c>
    </row>
    <row r="674" spans="1:59" s="8" customFormat="1" ht="22.5" customHeight="1">
      <c r="A674" s="9"/>
      <c r="B674" s="16"/>
      <c r="C674" s="89"/>
      <c r="D674" s="104" t="s">
        <v>637</v>
      </c>
      <c r="E674" s="104"/>
      <c r="F674" s="104" t="s">
        <v>1792</v>
      </c>
      <c r="G674" s="104" t="s">
        <v>1793</v>
      </c>
      <c r="H674" s="12"/>
      <c r="I674" s="9"/>
      <c r="J674" s="9"/>
      <c r="K674" s="14"/>
      <c r="L674" s="14"/>
      <c r="M674" s="12"/>
      <c r="N674" s="9"/>
      <c r="O674" s="9"/>
      <c r="P674" s="9"/>
      <c r="Q674" s="38">
        <f>M652+X652-AG652-BB652</f>
        <v>0</v>
      </c>
      <c r="R674" s="12"/>
      <c r="S674" s="42"/>
      <c r="T674" s="15"/>
      <c r="U674" s="44"/>
      <c r="V674" s="15"/>
      <c r="W674" s="44"/>
      <c r="X674" s="15">
        <f>R652+T652+V652</f>
        <v>0</v>
      </c>
      <c r="Y674" s="15"/>
      <c r="Z674" s="44"/>
      <c r="AA674" s="15"/>
      <c r="AB674" s="44"/>
      <c r="AC674" s="15"/>
      <c r="AD674" s="44"/>
      <c r="AE674" s="15"/>
      <c r="AF674" s="44"/>
      <c r="AG674" s="15"/>
      <c r="AH674" s="15"/>
      <c r="AI674" s="42"/>
      <c r="AJ674" s="15"/>
      <c r="AK674" s="42"/>
      <c r="AL674" s="15"/>
      <c r="AM674" s="42"/>
      <c r="AN674" s="15"/>
      <c r="AO674" s="42"/>
      <c r="AP674" s="15"/>
      <c r="AQ674" s="42"/>
      <c r="AR674" s="15"/>
      <c r="AS674" s="42"/>
      <c r="AT674" s="15"/>
      <c r="AU674" s="42"/>
      <c r="AV674" s="15"/>
      <c r="AW674" s="42"/>
      <c r="AX674" s="15"/>
      <c r="AY674" s="42"/>
      <c r="AZ674" s="15"/>
      <c r="BA674" s="42"/>
      <c r="BB674" s="15"/>
      <c r="BC674" s="15"/>
      <c r="BD674" s="44"/>
      <c r="BE674" s="15"/>
      <c r="BF674" s="44"/>
      <c r="BG674" s="15"/>
    </row>
    <row r="675" spans="1:59" s="8" customFormat="1" ht="22.5" customHeight="1">
      <c r="A675" s="9"/>
      <c r="B675" s="16"/>
      <c r="C675" s="89"/>
      <c r="D675" s="104" t="s">
        <v>2292</v>
      </c>
      <c r="E675" s="104" t="s">
        <v>206</v>
      </c>
      <c r="F675" s="104" t="s">
        <v>1676</v>
      </c>
      <c r="G675" s="104" t="s">
        <v>1677</v>
      </c>
      <c r="H675" s="12"/>
      <c r="I675" s="9"/>
      <c r="J675" s="9"/>
      <c r="K675" s="14"/>
      <c r="L675" s="14"/>
      <c r="M675" s="12">
        <v>78</v>
      </c>
      <c r="N675" s="9"/>
      <c r="O675" s="9"/>
      <c r="P675" s="9"/>
      <c r="Q675" s="38">
        <f>M653+X653-AG653-BB653</f>
        <v>0</v>
      </c>
      <c r="R675" s="12"/>
      <c r="S675" s="42"/>
      <c r="T675" s="15"/>
      <c r="U675" s="44"/>
      <c r="V675" s="15"/>
      <c r="W675" s="44"/>
      <c r="X675" s="15">
        <f>R653+T653+V653</f>
        <v>0</v>
      </c>
      <c r="Y675" s="15"/>
      <c r="Z675" s="44"/>
      <c r="AA675" s="15"/>
      <c r="AB675" s="44"/>
      <c r="AC675" s="15"/>
      <c r="AD675" s="44"/>
      <c r="AE675" s="15"/>
      <c r="AF675" s="44"/>
      <c r="AG675" s="15"/>
      <c r="AH675" s="15"/>
      <c r="AI675" s="42"/>
      <c r="AJ675" s="15"/>
      <c r="AK675" s="42"/>
      <c r="AL675" s="15"/>
      <c r="AM675" s="42"/>
      <c r="AN675" s="15"/>
      <c r="AO675" s="42"/>
      <c r="AP675" s="15"/>
      <c r="AQ675" s="42"/>
      <c r="AR675" s="15"/>
      <c r="AS675" s="42"/>
      <c r="AT675" s="15"/>
      <c r="AU675" s="42"/>
      <c r="AV675" s="15"/>
      <c r="AW675" s="42"/>
      <c r="AX675" s="15"/>
      <c r="AY675" s="42"/>
      <c r="AZ675" s="15"/>
      <c r="BA675" s="42"/>
      <c r="BB675" s="15"/>
      <c r="BC675" s="15"/>
      <c r="BD675" s="44"/>
      <c r="BE675" s="15"/>
      <c r="BF675" s="44"/>
      <c r="BG675" s="15"/>
    </row>
    <row r="676" spans="1:59" s="8" customFormat="1" ht="22.5" customHeight="1">
      <c r="A676" s="9"/>
      <c r="B676" s="16"/>
      <c r="C676" s="89"/>
      <c r="D676" s="104" t="s">
        <v>2292</v>
      </c>
      <c r="E676" s="104" t="s">
        <v>206</v>
      </c>
      <c r="F676" s="104" t="s">
        <v>1692</v>
      </c>
      <c r="G676" s="104" t="s">
        <v>1693</v>
      </c>
      <c r="H676" s="12"/>
      <c r="I676" s="9"/>
      <c r="J676" s="9"/>
      <c r="K676" s="14"/>
      <c r="L676" s="14"/>
      <c r="M676" s="12">
        <v>78</v>
      </c>
      <c r="N676" s="9"/>
      <c r="O676" s="9"/>
      <c r="P676" s="9"/>
      <c r="Q676" s="38">
        <f>M654+X654-AG654-BB654</f>
        <v>0</v>
      </c>
      <c r="R676" s="12"/>
      <c r="S676" s="42"/>
      <c r="T676" s="15"/>
      <c r="U676" s="44"/>
      <c r="V676" s="15"/>
      <c r="W676" s="44"/>
      <c r="X676" s="15">
        <f>R654+T654+V654</f>
        <v>0</v>
      </c>
      <c r="Y676" s="15"/>
      <c r="Z676" s="44"/>
      <c r="AA676" s="15"/>
      <c r="AB676" s="44"/>
      <c r="AC676" s="15"/>
      <c r="AD676" s="44"/>
      <c r="AE676" s="15"/>
      <c r="AF676" s="44"/>
      <c r="AG676" s="15"/>
      <c r="AH676" s="15"/>
      <c r="AI676" s="42"/>
      <c r="AJ676" s="15"/>
      <c r="AK676" s="42"/>
      <c r="AL676" s="15"/>
      <c r="AM676" s="42"/>
      <c r="AN676" s="15"/>
      <c r="AO676" s="42"/>
      <c r="AP676" s="15"/>
      <c r="AQ676" s="42"/>
      <c r="AR676" s="15"/>
      <c r="AS676" s="42"/>
      <c r="AT676" s="15"/>
      <c r="AU676" s="42"/>
      <c r="AV676" s="15"/>
      <c r="AW676" s="42"/>
      <c r="AX676" s="15"/>
      <c r="AY676" s="42"/>
      <c r="AZ676" s="15"/>
      <c r="BA676" s="42"/>
      <c r="BB676" s="15"/>
      <c r="BC676" s="15"/>
      <c r="BD676" s="44"/>
      <c r="BE676" s="15"/>
      <c r="BF676" s="44"/>
      <c r="BG676" s="15"/>
    </row>
    <row r="677" spans="1:59" s="8" customFormat="1" ht="22.5" customHeight="1">
      <c r="A677" s="9"/>
      <c r="B677" s="16"/>
      <c r="C677" s="89"/>
      <c r="D677" s="104" t="s">
        <v>2292</v>
      </c>
      <c r="E677" s="104" t="s">
        <v>206</v>
      </c>
      <c r="F677" s="104" t="s">
        <v>1725</v>
      </c>
      <c r="G677" s="104" t="s">
        <v>1726</v>
      </c>
      <c r="H677" s="12"/>
      <c r="I677" s="9"/>
      <c r="J677" s="9"/>
      <c r="K677" s="14"/>
      <c r="L677" s="14"/>
      <c r="M677" s="12">
        <v>78</v>
      </c>
      <c r="N677" s="9"/>
      <c r="O677" s="9"/>
      <c r="P677" s="9"/>
      <c r="Q677" s="38">
        <f>M655+X655-AG655-BB655</f>
        <v>0</v>
      </c>
      <c r="R677" s="12"/>
      <c r="S677" s="42"/>
      <c r="T677" s="15"/>
      <c r="U677" s="44"/>
      <c r="V677" s="15"/>
      <c r="W677" s="44"/>
      <c r="X677" s="15">
        <f>R655+T655+V655</f>
        <v>0</v>
      </c>
      <c r="Y677" s="15"/>
      <c r="Z677" s="44"/>
      <c r="AA677" s="15"/>
      <c r="AB677" s="44"/>
      <c r="AC677" s="15"/>
      <c r="AD677" s="44"/>
      <c r="AE677" s="15"/>
      <c r="AF677" s="44"/>
      <c r="AG677" s="15"/>
      <c r="AH677" s="15"/>
      <c r="AI677" s="42"/>
      <c r="AJ677" s="15"/>
      <c r="AK677" s="42"/>
      <c r="AL677" s="15"/>
      <c r="AM677" s="42"/>
      <c r="AN677" s="15"/>
      <c r="AO677" s="42"/>
      <c r="AP677" s="15"/>
      <c r="AQ677" s="42"/>
      <c r="AR677" s="15"/>
      <c r="AS677" s="42"/>
      <c r="AT677" s="15"/>
      <c r="AU677" s="42"/>
      <c r="AV677" s="15"/>
      <c r="AW677" s="42"/>
      <c r="AX677" s="15"/>
      <c r="AY677" s="42"/>
      <c r="AZ677" s="15"/>
      <c r="BA677" s="42"/>
      <c r="BB677" s="15"/>
      <c r="BC677" s="15"/>
      <c r="BD677" s="44"/>
      <c r="BE677" s="15"/>
      <c r="BF677" s="44"/>
      <c r="BG677" s="15"/>
    </row>
    <row r="678" spans="1:59" s="8" customFormat="1" ht="22.5" customHeight="1">
      <c r="A678" s="9"/>
      <c r="B678" s="16" t="s">
        <v>204</v>
      </c>
      <c r="C678" s="89" t="s">
        <v>140</v>
      </c>
      <c r="D678" s="104" t="s">
        <v>2293</v>
      </c>
      <c r="E678" s="104" t="s">
        <v>206</v>
      </c>
      <c r="F678" s="104" t="s">
        <v>2298</v>
      </c>
      <c r="G678" s="104" t="s">
        <v>2303</v>
      </c>
      <c r="H678" s="12"/>
      <c r="I678" s="9"/>
      <c r="J678" s="9" t="s">
        <v>207</v>
      </c>
      <c r="K678" s="14"/>
      <c r="L678" s="14"/>
      <c r="M678" s="12">
        <v>110</v>
      </c>
      <c r="N678" s="9"/>
      <c r="O678" s="9"/>
      <c r="P678" s="9"/>
      <c r="Q678" s="38" t="e">
        <f t="shared" ref="Q678:Q683" si="75">M678+X678-AG678-BB678</f>
        <v>#REF!</v>
      </c>
      <c r="R678" s="12"/>
      <c r="S678" s="42"/>
      <c r="T678" s="15"/>
      <c r="U678" s="44"/>
      <c r="V678" s="15"/>
      <c r="W678" s="44"/>
      <c r="X678" s="15" t="e">
        <f>#REF!+#REF!+#REF!</f>
        <v>#REF!</v>
      </c>
      <c r="Y678" s="15"/>
      <c r="Z678" s="44"/>
      <c r="AA678" s="15"/>
      <c r="AB678" s="44"/>
      <c r="AC678" s="15"/>
      <c r="AD678" s="44"/>
      <c r="AE678" s="15"/>
      <c r="AF678" s="44"/>
      <c r="AG678" s="15" t="e">
        <f>(#REF!+#REF!+#REF!+#REF!)</f>
        <v>#REF!</v>
      </c>
      <c r="AH678" s="15"/>
      <c r="AI678" s="42"/>
      <c r="AJ678" s="15"/>
      <c r="AK678" s="42"/>
      <c r="AL678" s="15"/>
      <c r="AM678" s="42"/>
      <c r="AN678" s="15"/>
      <c r="AO678" s="42"/>
      <c r="AP678" s="15"/>
      <c r="AQ678" s="42"/>
      <c r="AR678" s="15"/>
      <c r="AS678" s="42"/>
      <c r="AT678" s="15"/>
      <c r="AU678" s="42"/>
      <c r="AV678" s="15"/>
      <c r="AW678" s="42"/>
      <c r="AX678" s="15"/>
      <c r="AY678" s="42"/>
      <c r="AZ678" s="15"/>
      <c r="BA678" s="42"/>
      <c r="BB678" s="15"/>
      <c r="BC678" s="15"/>
      <c r="BD678" s="44"/>
      <c r="BE678" s="15"/>
      <c r="BF678" s="44"/>
      <c r="BG678" s="15"/>
    </row>
    <row r="679" spans="1:59" s="8" customFormat="1" ht="22.5" customHeight="1">
      <c r="A679" s="9"/>
      <c r="B679" s="16" t="s">
        <v>204</v>
      </c>
      <c r="C679" s="89" t="s">
        <v>132</v>
      </c>
      <c r="D679" s="104" t="s">
        <v>2296</v>
      </c>
      <c r="E679" s="104" t="s">
        <v>206</v>
      </c>
      <c r="F679" s="104" t="s">
        <v>2299</v>
      </c>
      <c r="G679" s="104" t="s">
        <v>2304</v>
      </c>
      <c r="H679" s="12"/>
      <c r="I679" s="9"/>
      <c r="J679" s="9" t="s">
        <v>207</v>
      </c>
      <c r="K679" s="14"/>
      <c r="L679" s="14"/>
      <c r="M679" s="12">
        <v>0</v>
      </c>
      <c r="N679" s="9"/>
      <c r="O679" s="9"/>
      <c r="P679" s="9"/>
      <c r="Q679" s="38" t="e">
        <f t="shared" si="75"/>
        <v>#REF!</v>
      </c>
      <c r="R679" s="12"/>
      <c r="S679" s="42"/>
      <c r="T679" s="15"/>
      <c r="U679" s="44"/>
      <c r="V679" s="15"/>
      <c r="W679" s="44"/>
      <c r="X679" s="15" t="e">
        <f>#REF!+#REF!+#REF!</f>
        <v>#REF!</v>
      </c>
      <c r="Y679" s="15"/>
      <c r="Z679" s="44"/>
      <c r="AA679" s="15"/>
      <c r="AB679" s="44"/>
      <c r="AC679" s="15"/>
      <c r="AD679" s="44"/>
      <c r="AE679" s="15"/>
      <c r="AF679" s="44"/>
      <c r="AG679" s="15" t="e">
        <f>(#REF!+#REF!+#REF!+#REF!)</f>
        <v>#REF!</v>
      </c>
      <c r="AH679" s="15"/>
      <c r="AI679" s="42"/>
      <c r="AJ679" s="15"/>
      <c r="AK679" s="42"/>
      <c r="AL679" s="15"/>
      <c r="AM679" s="42"/>
      <c r="AN679" s="15"/>
      <c r="AO679" s="42"/>
      <c r="AP679" s="15"/>
      <c r="AQ679" s="42"/>
      <c r="AR679" s="15"/>
      <c r="AS679" s="42"/>
      <c r="AT679" s="15"/>
      <c r="AU679" s="42"/>
      <c r="AV679" s="15"/>
      <c r="AW679" s="42"/>
      <c r="AX679" s="15"/>
      <c r="AY679" s="42"/>
      <c r="AZ679" s="15"/>
      <c r="BA679" s="42"/>
      <c r="BB679" s="15" t="e">
        <f>#REF!+#REF!+#REF!+#REF!+#REF!+#REF!+#REF!+#REF!+#REF!+#REF!</f>
        <v>#REF!</v>
      </c>
      <c r="BC679" s="15"/>
      <c r="BD679" s="44"/>
      <c r="BE679" s="15"/>
      <c r="BF679" s="44"/>
      <c r="BG679" s="15" t="e">
        <f>(#REF!+#REF!)</f>
        <v>#REF!</v>
      </c>
    </row>
    <row r="680" spans="1:59" s="8" customFormat="1" ht="22.5" customHeight="1">
      <c r="A680" s="9"/>
      <c r="B680" s="16"/>
      <c r="C680" s="89" t="s">
        <v>48</v>
      </c>
      <c r="D680" s="104" t="s">
        <v>74</v>
      </c>
      <c r="E680" s="104" t="s">
        <v>75</v>
      </c>
      <c r="F680" s="104" t="s">
        <v>2295</v>
      </c>
      <c r="G680" s="104" t="s">
        <v>2305</v>
      </c>
      <c r="H680" s="12"/>
      <c r="I680" s="9"/>
      <c r="J680" s="9" t="s">
        <v>67</v>
      </c>
      <c r="K680" s="14"/>
      <c r="L680" s="14"/>
      <c r="M680" s="12">
        <v>1000</v>
      </c>
      <c r="N680" s="9"/>
      <c r="O680" s="9"/>
      <c r="P680" s="9"/>
      <c r="Q680" s="38" t="e">
        <f t="shared" si="75"/>
        <v>#REF!</v>
      </c>
      <c r="R680" s="12"/>
      <c r="S680" s="42"/>
      <c r="T680" s="15"/>
      <c r="U680" s="44"/>
      <c r="V680" s="15"/>
      <c r="W680" s="44"/>
      <c r="X680" s="15" t="e">
        <f>#REF!+#REF!+#REF!</f>
        <v>#REF!</v>
      </c>
      <c r="Y680" s="15"/>
      <c r="Z680" s="44"/>
      <c r="AA680" s="15"/>
      <c r="AB680" s="44"/>
      <c r="AC680" s="15"/>
      <c r="AD680" s="44"/>
      <c r="AE680" s="15"/>
      <c r="AF680" s="44"/>
      <c r="AG680" s="15" t="e">
        <f>(#REF!+#REF!+#REF!+#REF!)</f>
        <v>#REF!</v>
      </c>
      <c r="AH680" s="15"/>
      <c r="AI680" s="42"/>
      <c r="AJ680" s="15"/>
      <c r="AK680" s="42"/>
      <c r="AL680" s="15"/>
      <c r="AM680" s="42"/>
      <c r="AN680" s="15"/>
      <c r="AO680" s="42"/>
      <c r="AP680" s="15"/>
      <c r="AQ680" s="42"/>
      <c r="AR680" s="15"/>
      <c r="AS680" s="42"/>
      <c r="AT680" s="15"/>
      <c r="AU680" s="42"/>
      <c r="AV680" s="15"/>
      <c r="AW680" s="42"/>
      <c r="AX680" s="15"/>
      <c r="AY680" s="42"/>
      <c r="AZ680" s="15"/>
      <c r="BA680" s="42"/>
      <c r="BB680" s="15"/>
      <c r="BC680" s="15"/>
      <c r="BD680" s="44"/>
      <c r="BE680" s="15"/>
      <c r="BF680" s="44"/>
      <c r="BG680" s="15"/>
    </row>
    <row r="681" spans="1:59" s="8" customFormat="1" ht="22.5" customHeight="1">
      <c r="A681" s="9"/>
      <c r="B681" s="16" t="s">
        <v>926</v>
      </c>
      <c r="C681" s="89" t="s">
        <v>52</v>
      </c>
      <c r="D681" s="104" t="s">
        <v>2294</v>
      </c>
      <c r="E681" s="104"/>
      <c r="F681" s="104" t="s">
        <v>2300</v>
      </c>
      <c r="G681" s="104" t="s">
        <v>2306</v>
      </c>
      <c r="H681" s="12"/>
      <c r="I681" s="9"/>
      <c r="J681" s="9"/>
      <c r="K681" s="14"/>
      <c r="L681" s="14"/>
      <c r="M681" s="12">
        <v>299</v>
      </c>
      <c r="N681" s="9"/>
      <c r="O681" s="9"/>
      <c r="P681" s="9"/>
      <c r="Q681" s="38" t="e">
        <f t="shared" si="75"/>
        <v>#REF!</v>
      </c>
      <c r="R681" s="12"/>
      <c r="S681" s="42"/>
      <c r="T681" s="15"/>
      <c r="U681" s="44"/>
      <c r="V681" s="15"/>
      <c r="W681" s="44"/>
      <c r="X681" s="15" t="e">
        <f>#REF!+#REF!+#REF!</f>
        <v>#REF!</v>
      </c>
      <c r="Y681" s="15"/>
      <c r="Z681" s="44"/>
      <c r="AA681" s="15"/>
      <c r="AB681" s="44"/>
      <c r="AC681" s="15"/>
      <c r="AD681" s="44"/>
      <c r="AE681" s="15"/>
      <c r="AF681" s="44"/>
      <c r="AG681" s="15" t="e">
        <f>(#REF!+#REF!+#REF!+#REF!)</f>
        <v>#REF!</v>
      </c>
      <c r="AH681" s="15"/>
      <c r="AI681" s="42"/>
      <c r="AJ681" s="15"/>
      <c r="AK681" s="42"/>
      <c r="AL681" s="15"/>
      <c r="AM681" s="42"/>
      <c r="AN681" s="15"/>
      <c r="AO681" s="42"/>
      <c r="AP681" s="15"/>
      <c r="AQ681" s="42"/>
      <c r="AR681" s="15"/>
      <c r="AS681" s="42"/>
      <c r="AT681" s="15"/>
      <c r="AU681" s="42"/>
      <c r="AV681" s="15"/>
      <c r="AW681" s="42"/>
      <c r="AX681" s="15"/>
      <c r="AY681" s="42"/>
      <c r="AZ681" s="15"/>
      <c r="BA681" s="42"/>
      <c r="BB681" s="15"/>
      <c r="BC681" s="15"/>
      <c r="BD681" s="44"/>
      <c r="BE681" s="15"/>
      <c r="BF681" s="44"/>
      <c r="BG681" s="15"/>
    </row>
    <row r="682" spans="1:59" s="8" customFormat="1" ht="22.5" customHeight="1">
      <c r="A682" s="9"/>
      <c r="B682" s="16" t="s">
        <v>926</v>
      </c>
      <c r="C682" s="89" t="s">
        <v>52</v>
      </c>
      <c r="D682" s="104" t="s">
        <v>960</v>
      </c>
      <c r="E682" s="104" t="s">
        <v>565</v>
      </c>
      <c r="F682" s="104" t="s">
        <v>2301</v>
      </c>
      <c r="G682" s="104" t="s">
        <v>2307</v>
      </c>
      <c r="H682" s="12"/>
      <c r="I682" s="9"/>
      <c r="J682" s="9" t="s">
        <v>566</v>
      </c>
      <c r="K682" s="14"/>
      <c r="L682" s="14"/>
      <c r="M682" s="12">
        <v>320</v>
      </c>
      <c r="N682" s="9"/>
      <c r="O682" s="9"/>
      <c r="P682" s="9"/>
      <c r="Q682" s="38" t="e">
        <f t="shared" si="75"/>
        <v>#REF!</v>
      </c>
      <c r="R682" s="12"/>
      <c r="S682" s="42"/>
      <c r="T682" s="15"/>
      <c r="U682" s="44"/>
      <c r="V682" s="15"/>
      <c r="W682" s="44"/>
      <c r="X682" s="15" t="e">
        <f>#REF!+#REF!+#REF!</f>
        <v>#REF!</v>
      </c>
      <c r="Y682" s="15"/>
      <c r="Z682" s="44"/>
      <c r="AA682" s="15"/>
      <c r="AB682" s="44"/>
      <c r="AC682" s="15"/>
      <c r="AD682" s="44"/>
      <c r="AE682" s="15"/>
      <c r="AF682" s="44"/>
      <c r="AG682" s="15" t="e">
        <f>(#REF!+#REF!+#REF!+#REF!)</f>
        <v>#REF!</v>
      </c>
      <c r="AH682" s="15"/>
      <c r="AI682" s="42"/>
      <c r="AJ682" s="15"/>
      <c r="AK682" s="42"/>
      <c r="AL682" s="15"/>
      <c r="AM682" s="42"/>
      <c r="AN682" s="15"/>
      <c r="AO682" s="42"/>
      <c r="AP682" s="15"/>
      <c r="AQ682" s="42"/>
      <c r="AR682" s="15"/>
      <c r="AS682" s="42"/>
      <c r="AT682" s="15"/>
      <c r="AU682" s="42"/>
      <c r="AV682" s="15"/>
      <c r="AW682" s="42"/>
      <c r="AX682" s="15"/>
      <c r="AY682" s="42"/>
      <c r="AZ682" s="15"/>
      <c r="BA682" s="42"/>
      <c r="BB682" s="15" t="e">
        <f>#REF!+#REF!+#REF!+#REF!+#REF!+#REF!+#REF!+#REF!+#REF!+#REF!</f>
        <v>#REF!</v>
      </c>
      <c r="BC682" s="15"/>
      <c r="BD682" s="44"/>
      <c r="BE682" s="15"/>
      <c r="BF682" s="44"/>
      <c r="BG682" s="15" t="e">
        <f>(#REF!+#REF!)</f>
        <v>#REF!</v>
      </c>
    </row>
    <row r="683" spans="1:59" s="8" customFormat="1" ht="22.5" customHeight="1">
      <c r="A683" s="9"/>
      <c r="B683" s="16" t="s">
        <v>926</v>
      </c>
      <c r="C683" s="89" t="s">
        <v>52</v>
      </c>
      <c r="D683" s="104" t="s">
        <v>930</v>
      </c>
      <c r="E683" s="104"/>
      <c r="F683" s="104" t="s">
        <v>2302</v>
      </c>
      <c r="G683" s="104" t="s">
        <v>2308</v>
      </c>
      <c r="H683" s="12"/>
      <c r="I683" s="9"/>
      <c r="J683" s="9" t="s">
        <v>566</v>
      </c>
      <c r="K683" s="14"/>
      <c r="L683" s="14"/>
      <c r="M683" s="12">
        <v>23</v>
      </c>
      <c r="N683" s="9"/>
      <c r="O683" s="9"/>
      <c r="P683" s="9"/>
      <c r="Q683" s="38" t="e">
        <f t="shared" si="75"/>
        <v>#REF!</v>
      </c>
      <c r="R683" s="12"/>
      <c r="S683" s="42"/>
      <c r="T683" s="15"/>
      <c r="U683" s="44"/>
      <c r="V683" s="15"/>
      <c r="W683" s="44"/>
      <c r="X683" s="15" t="e">
        <f>#REF!+#REF!+#REF!</f>
        <v>#REF!</v>
      </c>
      <c r="Y683" s="15"/>
      <c r="Z683" s="44"/>
      <c r="AA683" s="15"/>
      <c r="AB683" s="44"/>
      <c r="AC683" s="15"/>
      <c r="AD683" s="44"/>
      <c r="AE683" s="15"/>
      <c r="AF683" s="44"/>
      <c r="AG683" s="15" t="e">
        <f>(#REF!+#REF!+#REF!+#REF!)</f>
        <v>#REF!</v>
      </c>
      <c r="AH683" s="15"/>
      <c r="AI683" s="42"/>
      <c r="AJ683" s="15"/>
      <c r="AK683" s="42"/>
      <c r="AL683" s="15"/>
      <c r="AM683" s="42"/>
      <c r="AN683" s="15"/>
      <c r="AO683" s="42"/>
      <c r="AP683" s="15"/>
      <c r="AQ683" s="42"/>
      <c r="AR683" s="15"/>
      <c r="AS683" s="42"/>
      <c r="AT683" s="15"/>
      <c r="AU683" s="42"/>
      <c r="AV683" s="15"/>
      <c r="AW683" s="42"/>
      <c r="AX683" s="15"/>
      <c r="AY683" s="42"/>
      <c r="AZ683" s="15"/>
      <c r="BA683" s="42"/>
      <c r="BB683" s="15" t="e">
        <f>#REF!+#REF!+#REF!+#REF!+#REF!+#REF!+#REF!+#REF!+#REF!+#REF!</f>
        <v>#REF!</v>
      </c>
      <c r="BC683" s="15"/>
      <c r="BD683" s="44"/>
      <c r="BE683" s="15"/>
      <c r="BF683" s="44"/>
      <c r="BG683" s="15" t="e">
        <f>(#REF!+#REF!)</f>
        <v>#REF!</v>
      </c>
    </row>
  </sheetData>
  <autoFilter ref="A3:BG683" xr:uid="{00000000-0009-0000-0000-000001000000}">
    <filterColumn colId="17" showButton="0"/>
    <filterColumn colId="18" showButton="0"/>
    <filterColumn colId="19" showButton="0"/>
    <filterColumn colId="20" showButton="0"/>
    <filterColumn colId="21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4" showButton="0"/>
    <filterColumn colId="55" showButton="0"/>
    <filterColumn colId="56" showButton="0"/>
    <sortState xmlns:xlrd2="http://schemas.microsoft.com/office/spreadsheetml/2017/richdata2" ref="A4:BG683">
      <sortCondition sortBy="cellColor" ref="C3:C683" dxfId="8"/>
    </sortState>
  </autoFilter>
  <mergeCells count="5">
    <mergeCell ref="C1:D1"/>
    <mergeCell ref="R3:W3"/>
    <mergeCell ref="Y3:AF3"/>
    <mergeCell ref="AH3:BA3"/>
    <mergeCell ref="BC3:BF3"/>
  </mergeCells>
  <phoneticPr fontId="130" type="noConversion"/>
  <conditionalFormatting sqref="K238">
    <cfRule type="cellIs" dxfId="6" priority="3" operator="lessThanOrEqual">
      <formula>200</formula>
    </cfRule>
  </conditionalFormatting>
  <conditionalFormatting sqref="K352">
    <cfRule type="cellIs" dxfId="5" priority="8" operator="lessThanOrEqual">
      <formula>200</formula>
    </cfRule>
  </conditionalFormatting>
  <conditionalFormatting sqref="K361">
    <cfRule type="cellIs" dxfId="4" priority="7" operator="lessThanOrEqual">
      <formula>200</formula>
    </cfRule>
  </conditionalFormatting>
  <conditionalFormatting sqref="N188">
    <cfRule type="cellIs" dxfId="3" priority="4" operator="lessThanOrEqual">
      <formula>200</formula>
    </cfRule>
  </conditionalFormatting>
  <conditionalFormatting sqref="N238">
    <cfRule type="cellIs" dxfId="2" priority="2" operator="lessThanOrEqual">
      <formula>200</formula>
    </cfRule>
  </conditionalFormatting>
  <conditionalFormatting sqref="Q4:Q683">
    <cfRule type="cellIs" dxfId="1" priority="1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20" fitToHeight="0" orientation="portrait"/>
  <headerFooter>
    <oddFooter>&amp;LF704-03 (R00)&amp;C(주) 덱스코윈&amp;R&amp;P/&amp;N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651"/>
  <sheetViews>
    <sheetView topLeftCell="A82" workbookViewId="0">
      <selection activeCell="D95" sqref="D95"/>
    </sheetView>
  </sheetViews>
  <sheetFormatPr defaultRowHeight="16.5"/>
  <sheetData>
    <row r="1" spans="1:57" ht="24" customHeight="1">
      <c r="A1" s="25" t="s">
        <v>1</v>
      </c>
      <c r="B1" s="26" t="s">
        <v>2</v>
      </c>
      <c r="C1" s="91"/>
      <c r="D1" s="55" t="s">
        <v>3</v>
      </c>
      <c r="E1" s="27" t="s">
        <v>4</v>
      </c>
      <c r="F1" s="28" t="s">
        <v>5</v>
      </c>
      <c r="G1" s="29" t="s">
        <v>6</v>
      </c>
      <c r="H1" s="29" t="s">
        <v>7</v>
      </c>
      <c r="I1" s="30" t="s">
        <v>8</v>
      </c>
      <c r="J1" s="28" t="s">
        <v>9</v>
      </c>
      <c r="K1" s="31" t="s">
        <v>10</v>
      </c>
      <c r="L1" s="32" t="s">
        <v>11</v>
      </c>
      <c r="M1" s="32" t="s">
        <v>12</v>
      </c>
      <c r="N1" s="32" t="s">
        <v>13</v>
      </c>
      <c r="O1" s="31" t="s">
        <v>14</v>
      </c>
      <c r="P1" s="111" t="s">
        <v>15</v>
      </c>
      <c r="Q1" s="108"/>
      <c r="R1" s="108"/>
      <c r="S1" s="108"/>
      <c r="T1" s="108"/>
      <c r="U1" s="109"/>
      <c r="V1" s="34" t="s">
        <v>16</v>
      </c>
      <c r="W1" s="112" t="s">
        <v>17</v>
      </c>
      <c r="X1" s="113"/>
      <c r="Y1" s="113"/>
      <c r="Z1" s="113"/>
      <c r="AA1" s="113"/>
      <c r="AB1" s="113"/>
      <c r="AC1" s="113"/>
      <c r="AD1" s="114"/>
      <c r="AE1" s="34" t="s">
        <v>18</v>
      </c>
      <c r="AF1" s="107" t="s">
        <v>19</v>
      </c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9"/>
      <c r="AZ1" s="33" t="s">
        <v>20</v>
      </c>
      <c r="BA1" s="110" t="s">
        <v>21</v>
      </c>
      <c r="BB1" s="108"/>
      <c r="BC1" s="108"/>
      <c r="BD1" s="109"/>
      <c r="BE1" s="33" t="s">
        <v>22</v>
      </c>
    </row>
    <row r="2" spans="1:57">
      <c r="A2" s="9"/>
      <c r="B2" s="16" t="s">
        <v>23</v>
      </c>
      <c r="C2" s="89" t="s">
        <v>24</v>
      </c>
      <c r="D2" s="56" t="s">
        <v>25</v>
      </c>
      <c r="E2" s="11" t="s">
        <v>26</v>
      </c>
      <c r="F2" s="95"/>
      <c r="G2" s="9"/>
      <c r="H2" s="9"/>
      <c r="I2" s="14"/>
      <c r="J2" s="14"/>
      <c r="K2" s="12">
        <v>0</v>
      </c>
      <c r="L2" s="9"/>
      <c r="M2" s="9"/>
      <c r="N2" s="9"/>
      <c r="O2" s="38">
        <f t="shared" ref="O2:O65" si="0">K2+V2-AE2-AZ2</f>
        <v>0</v>
      </c>
      <c r="P2" s="12"/>
      <c r="Q2" s="42"/>
      <c r="R2" s="15"/>
      <c r="S2" s="44"/>
      <c r="T2" s="15"/>
      <c r="U2" s="44"/>
      <c r="V2" s="15">
        <f t="shared" ref="V2:V65" si="1">P2+R2+T2</f>
        <v>0</v>
      </c>
      <c r="W2" s="15"/>
      <c r="X2" s="44"/>
      <c r="Y2" s="15"/>
      <c r="Z2" s="44"/>
      <c r="AA2" s="15"/>
      <c r="AB2" s="44"/>
      <c r="AC2" s="15"/>
      <c r="AD2" s="44"/>
      <c r="AE2" s="15">
        <f t="shared" ref="AE2:AE65" si="2">(W2+Y2+AA2+AC2)</f>
        <v>0</v>
      </c>
      <c r="AF2" s="15"/>
      <c r="AG2" s="42"/>
      <c r="AH2" s="15"/>
      <c r="AI2" s="42"/>
      <c r="AJ2" s="15"/>
      <c r="AK2" s="42"/>
      <c r="AL2" s="15"/>
      <c r="AM2" s="42"/>
      <c r="AN2" s="15"/>
      <c r="AO2" s="42"/>
      <c r="AP2" s="15"/>
      <c r="AQ2" s="42"/>
      <c r="AR2" s="15"/>
      <c r="AS2" s="42"/>
      <c r="AT2" s="15"/>
      <c r="AU2" s="42"/>
      <c r="AV2" s="15"/>
      <c r="AW2" s="42"/>
      <c r="AX2" s="15"/>
      <c r="AY2" s="42"/>
      <c r="AZ2" s="15"/>
      <c r="BA2" s="15"/>
      <c r="BB2" s="44"/>
      <c r="BC2" s="15"/>
      <c r="BD2" s="44"/>
      <c r="BE2" s="15"/>
    </row>
    <row r="3" spans="1:57">
      <c r="A3" s="9"/>
      <c r="B3" s="16" t="s">
        <v>27</v>
      </c>
      <c r="C3" s="89" t="s">
        <v>24</v>
      </c>
      <c r="D3" s="56" t="s">
        <v>28</v>
      </c>
      <c r="E3" s="11"/>
      <c r="F3" s="95"/>
      <c r="G3" s="9"/>
      <c r="H3" s="9"/>
      <c r="I3" s="14"/>
      <c r="J3" s="14"/>
      <c r="K3" s="12">
        <v>0</v>
      </c>
      <c r="L3" s="9"/>
      <c r="M3" s="9"/>
      <c r="N3" s="9"/>
      <c r="O3" s="38">
        <f t="shared" si="0"/>
        <v>0</v>
      </c>
      <c r="P3" s="12"/>
      <c r="Q3" s="42"/>
      <c r="R3" s="15"/>
      <c r="S3" s="44"/>
      <c r="T3" s="15"/>
      <c r="U3" s="44"/>
      <c r="V3" s="15">
        <f t="shared" si="1"/>
        <v>0</v>
      </c>
      <c r="W3" s="15"/>
      <c r="X3" s="44"/>
      <c r="Y3" s="15"/>
      <c r="Z3" s="44"/>
      <c r="AA3" s="15"/>
      <c r="AB3" s="44"/>
      <c r="AC3" s="15"/>
      <c r="AD3" s="44"/>
      <c r="AE3" s="15">
        <f t="shared" si="2"/>
        <v>0</v>
      </c>
      <c r="AF3" s="15"/>
      <c r="AG3" s="42"/>
      <c r="AH3" s="15"/>
      <c r="AI3" s="42"/>
      <c r="AJ3" s="15"/>
      <c r="AK3" s="42"/>
      <c r="AL3" s="15"/>
      <c r="AM3" s="42"/>
      <c r="AN3" s="15"/>
      <c r="AO3" s="42"/>
      <c r="AP3" s="15"/>
      <c r="AQ3" s="42"/>
      <c r="AR3" s="15"/>
      <c r="AS3" s="42"/>
      <c r="AT3" s="15"/>
      <c r="AU3" s="42"/>
      <c r="AV3" s="15"/>
      <c r="AW3" s="42"/>
      <c r="AX3" s="15"/>
      <c r="AY3" s="42"/>
      <c r="AZ3" s="15">
        <f t="shared" ref="AZ3:AZ66" si="3">AF3+AH3+AJ3+AL3+AN3+AP3+AR3+AT3+AV3+AX3</f>
        <v>0</v>
      </c>
      <c r="BA3" s="15"/>
      <c r="BB3" s="44"/>
      <c r="BC3" s="15"/>
      <c r="BD3" s="44"/>
      <c r="BE3" s="15">
        <f t="shared" ref="BE3:BE34" si="4">(BA3+BC3)</f>
        <v>0</v>
      </c>
    </row>
    <row r="4" spans="1:57">
      <c r="A4" s="9"/>
      <c r="B4" s="16" t="s">
        <v>27</v>
      </c>
      <c r="C4" s="89" t="s">
        <v>24</v>
      </c>
      <c r="D4" s="56" t="s">
        <v>28</v>
      </c>
      <c r="E4" s="11"/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si="0"/>
        <v>0</v>
      </c>
      <c r="P4" s="12"/>
      <c r="Q4" s="42"/>
      <c r="R4" s="15"/>
      <c r="S4" s="44"/>
      <c r="T4" s="15"/>
      <c r="U4" s="44"/>
      <c r="V4" s="15">
        <f t="shared" si="1"/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si="2"/>
        <v>0</v>
      </c>
      <c r="AF4" s="15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>
        <f t="shared" si="3"/>
        <v>0</v>
      </c>
      <c r="BA4" s="15"/>
      <c r="BB4" s="44"/>
      <c r="BC4" s="15"/>
      <c r="BD4" s="44"/>
      <c r="BE4" s="15">
        <f t="shared" si="4"/>
        <v>0</v>
      </c>
    </row>
    <row r="5" spans="1:57" ht="36" customHeight="1">
      <c r="A5" s="9"/>
      <c r="B5" s="16" t="s">
        <v>29</v>
      </c>
      <c r="C5" s="89" t="s">
        <v>30</v>
      </c>
      <c r="D5" s="56" t="s">
        <v>29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5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si="3"/>
        <v>0</v>
      </c>
      <c r="BA5" s="15"/>
      <c r="BB5" s="44"/>
      <c r="BC5" s="15"/>
      <c r="BD5" s="44"/>
      <c r="BE5" s="15">
        <f t="shared" si="4"/>
        <v>0</v>
      </c>
    </row>
    <row r="6" spans="1:57">
      <c r="A6" s="9"/>
      <c r="B6" s="16" t="s">
        <v>31</v>
      </c>
      <c r="C6" s="89" t="s">
        <v>24</v>
      </c>
      <c r="D6" s="56" t="s">
        <v>32</v>
      </c>
      <c r="E6" s="35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5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7">
      <c r="A7" s="9"/>
      <c r="B7" s="16" t="s">
        <v>31</v>
      </c>
      <c r="C7" s="89" t="s">
        <v>24</v>
      </c>
      <c r="D7" s="58" t="s">
        <v>33</v>
      </c>
      <c r="E7" s="11"/>
      <c r="F7" s="95"/>
      <c r="G7" s="21"/>
      <c r="H7" s="21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5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7">
      <c r="A8" s="9"/>
      <c r="B8" s="18" t="s">
        <v>34</v>
      </c>
      <c r="C8" s="89" t="s">
        <v>24</v>
      </c>
      <c r="D8" s="56" t="s">
        <v>35</v>
      </c>
      <c r="E8" s="35"/>
      <c r="F8" s="95"/>
      <c r="G8" s="21"/>
      <c r="H8" s="21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5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7">
      <c r="A9" s="9"/>
      <c r="B9" s="18" t="s">
        <v>34</v>
      </c>
      <c r="C9" s="89" t="s">
        <v>24</v>
      </c>
      <c r="D9" s="56" t="s">
        <v>36</v>
      </c>
      <c r="E9" s="11"/>
      <c r="F9" s="95"/>
      <c r="G9" s="9"/>
      <c r="H9" s="9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5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7">
      <c r="A10" s="9"/>
      <c r="B10" s="16" t="s">
        <v>37</v>
      </c>
      <c r="C10" s="89" t="s">
        <v>24</v>
      </c>
      <c r="D10" s="58" t="s">
        <v>37</v>
      </c>
      <c r="E10" s="11"/>
      <c r="F10" s="95"/>
      <c r="G10" s="9"/>
      <c r="H10" s="9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5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7">
      <c r="A11" s="9"/>
      <c r="B11" s="16" t="s">
        <v>37</v>
      </c>
      <c r="C11" s="89" t="s">
        <v>24</v>
      </c>
      <c r="D11" s="58" t="s">
        <v>38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5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7">
      <c r="A12" s="9"/>
      <c r="B12" s="16" t="s">
        <v>23</v>
      </c>
      <c r="C12" s="89" t="s">
        <v>39</v>
      </c>
      <c r="D12" s="56" t="s">
        <v>40</v>
      </c>
      <c r="E12" s="11" t="s">
        <v>26</v>
      </c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5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7">
      <c r="A13" s="9"/>
      <c r="B13" s="16" t="s">
        <v>27</v>
      </c>
      <c r="C13" s="89" t="s">
        <v>39</v>
      </c>
      <c r="D13" s="56" t="s">
        <v>28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5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7">
      <c r="A14" s="9"/>
      <c r="B14" s="16" t="s">
        <v>31</v>
      </c>
      <c r="C14" s="89" t="s">
        <v>39</v>
      </c>
      <c r="D14" s="56" t="s">
        <v>32</v>
      </c>
      <c r="E14" s="11"/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5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7">
      <c r="A15" s="9"/>
      <c r="B15" s="16" t="s">
        <v>31</v>
      </c>
      <c r="C15" s="89" t="s">
        <v>39</v>
      </c>
      <c r="D15" s="56" t="s">
        <v>41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5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7">
      <c r="A16" s="9"/>
      <c r="B16" s="16" t="s">
        <v>31</v>
      </c>
      <c r="C16" s="89" t="s">
        <v>39</v>
      </c>
      <c r="D16" s="58" t="s">
        <v>33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5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>
      <c r="A17" s="9"/>
      <c r="B17" s="18" t="s">
        <v>34</v>
      </c>
      <c r="C17" s="89" t="s">
        <v>39</v>
      </c>
      <c r="D17" s="56" t="s">
        <v>35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5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>
      <c r="A18" s="9"/>
      <c r="B18" s="18" t="s">
        <v>34</v>
      </c>
      <c r="C18" s="89" t="s">
        <v>39</v>
      </c>
      <c r="D18" s="56" t="s">
        <v>42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5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>
      <c r="A19" s="9"/>
      <c r="B19" s="16" t="s">
        <v>37</v>
      </c>
      <c r="C19" s="89" t="s">
        <v>39</v>
      </c>
      <c r="D19" s="58" t="s">
        <v>37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5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>
      <c r="A20" s="9"/>
      <c r="B20" s="16" t="s">
        <v>37</v>
      </c>
      <c r="C20" s="89" t="s">
        <v>39</v>
      </c>
      <c r="D20" s="58" t="s">
        <v>38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5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4" customHeight="1">
      <c r="A21" s="9"/>
      <c r="B21" s="16" t="s">
        <v>43</v>
      </c>
      <c r="C21" s="89" t="s">
        <v>44</v>
      </c>
      <c r="D21" s="56" t="s">
        <v>45</v>
      </c>
      <c r="E21" s="11" t="s">
        <v>46</v>
      </c>
      <c r="F21" s="95"/>
      <c r="G21" s="9"/>
      <c r="H21" s="9" t="s">
        <v>47</v>
      </c>
      <c r="I21" s="14"/>
      <c r="J21" s="14"/>
      <c r="K21" s="12">
        <v>1000</v>
      </c>
      <c r="L21" s="9"/>
      <c r="M21" s="9"/>
      <c r="N21" s="9"/>
      <c r="O21" s="38">
        <f t="shared" si="0"/>
        <v>1000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5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>
      <c r="A22" s="9"/>
      <c r="B22" s="16" t="s">
        <v>43</v>
      </c>
      <c r="C22" s="89" t="s">
        <v>48</v>
      </c>
      <c r="D22" s="56" t="s">
        <v>45</v>
      </c>
      <c r="E22" s="11" t="s">
        <v>49</v>
      </c>
      <c r="F22" s="95"/>
      <c r="G22" s="9"/>
      <c r="H22" s="9" t="s">
        <v>47</v>
      </c>
      <c r="I22" s="14"/>
      <c r="J22" s="14"/>
      <c r="K22" s="12">
        <v>400</v>
      </c>
      <c r="L22" s="9"/>
      <c r="M22" s="9"/>
      <c r="N22" s="9"/>
      <c r="O22" s="38">
        <f t="shared" si="0"/>
        <v>400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5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>
      <c r="A23" s="9"/>
      <c r="B23" s="16" t="s">
        <v>43</v>
      </c>
      <c r="C23" s="89" t="s">
        <v>50</v>
      </c>
      <c r="D23" s="56" t="s">
        <v>45</v>
      </c>
      <c r="E23" s="11" t="s">
        <v>51</v>
      </c>
      <c r="F23" s="95"/>
      <c r="G23" s="9"/>
      <c r="H23" s="9"/>
      <c r="I23" s="14"/>
      <c r="J23" s="14"/>
      <c r="K23" s="12">
        <v>0</v>
      </c>
      <c r="L23" s="9"/>
      <c r="M23" s="9"/>
      <c r="N23" s="9"/>
      <c r="O23" s="38">
        <f t="shared" si="0"/>
        <v>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5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>
      <c r="A24" s="9"/>
      <c r="B24" s="16" t="s">
        <v>43</v>
      </c>
      <c r="C24" s="89" t="s">
        <v>52</v>
      </c>
      <c r="D24" s="56" t="s">
        <v>45</v>
      </c>
      <c r="E24" s="11" t="s">
        <v>53</v>
      </c>
      <c r="F24" s="95"/>
      <c r="G24" s="9"/>
      <c r="H24" s="9" t="s">
        <v>47</v>
      </c>
      <c r="I24" s="14"/>
      <c r="J24" s="14"/>
      <c r="K24" s="12">
        <v>500</v>
      </c>
      <c r="L24" s="9"/>
      <c r="M24" s="9"/>
      <c r="N24" s="9"/>
      <c r="O24" s="38">
        <f t="shared" si="0"/>
        <v>500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5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>
      <c r="A25" s="9"/>
      <c r="B25" s="16" t="s">
        <v>43</v>
      </c>
      <c r="C25" s="89" t="s">
        <v>52</v>
      </c>
      <c r="D25" s="56" t="s">
        <v>45</v>
      </c>
      <c r="E25" s="11" t="s">
        <v>54</v>
      </c>
      <c r="F25" s="95"/>
      <c r="G25" s="9"/>
      <c r="H25" s="9" t="s">
        <v>55</v>
      </c>
      <c r="I25" s="14"/>
      <c r="J25" s="14"/>
      <c r="K25" s="12">
        <v>622</v>
      </c>
      <c r="L25" s="9"/>
      <c r="M25" s="9"/>
      <c r="N25" s="9"/>
      <c r="O25" s="38">
        <f t="shared" si="0"/>
        <v>622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5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>
      <c r="A26" s="9"/>
      <c r="B26" s="16" t="s">
        <v>43</v>
      </c>
      <c r="C26" s="89" t="s">
        <v>56</v>
      </c>
      <c r="D26" s="56" t="s">
        <v>45</v>
      </c>
      <c r="E26" s="11" t="s">
        <v>57</v>
      </c>
      <c r="F26" s="95"/>
      <c r="G26" s="9"/>
      <c r="H26" s="9"/>
      <c r="I26" s="14"/>
      <c r="J26" s="14"/>
      <c r="K26" s="12">
        <v>0</v>
      </c>
      <c r="L26" s="9"/>
      <c r="M26" s="9"/>
      <c r="N26" s="9"/>
      <c r="O26" s="38">
        <f t="shared" si="0"/>
        <v>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5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36" customHeight="1">
      <c r="A27" s="9"/>
      <c r="B27" s="16" t="s">
        <v>58</v>
      </c>
      <c r="C27" s="89" t="s">
        <v>59</v>
      </c>
      <c r="D27" s="57" t="s">
        <v>60</v>
      </c>
      <c r="E27" s="11" t="s">
        <v>58</v>
      </c>
      <c r="F27" s="95"/>
      <c r="G27" s="9"/>
      <c r="H27" s="9" t="s">
        <v>61</v>
      </c>
      <c r="I27" s="14"/>
      <c r="J27" s="14"/>
      <c r="K27" s="12">
        <v>800</v>
      </c>
      <c r="L27" s="9"/>
      <c r="M27" s="9"/>
      <c r="N27" s="9"/>
      <c r="O27" s="38">
        <f t="shared" si="0"/>
        <v>800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5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>
      <c r="A28" s="9"/>
      <c r="B28" s="18" t="s">
        <v>62</v>
      </c>
      <c r="C28" s="89" t="s">
        <v>48</v>
      </c>
      <c r="D28" s="58" t="s">
        <v>60</v>
      </c>
      <c r="E28" s="35" t="s">
        <v>62</v>
      </c>
      <c r="F28" s="95"/>
      <c r="G28" s="21"/>
      <c r="H28" s="21" t="s">
        <v>61</v>
      </c>
      <c r="I28" s="14"/>
      <c r="J28" s="14"/>
      <c r="K28" s="12">
        <v>360</v>
      </c>
      <c r="L28" s="9"/>
      <c r="M28" s="9"/>
      <c r="N28" s="9"/>
      <c r="O28" s="38">
        <f t="shared" si="0"/>
        <v>360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5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>
      <c r="A29" s="9"/>
      <c r="B29" s="18" t="s">
        <v>62</v>
      </c>
      <c r="C29" s="89" t="s">
        <v>50</v>
      </c>
      <c r="D29" s="58" t="s">
        <v>60</v>
      </c>
      <c r="E29" s="35" t="s">
        <v>62</v>
      </c>
      <c r="F29" s="95"/>
      <c r="G29" s="21"/>
      <c r="H29" s="21" t="s">
        <v>61</v>
      </c>
      <c r="I29" s="14"/>
      <c r="J29" s="14"/>
      <c r="K29" s="12">
        <v>100</v>
      </c>
      <c r="L29" s="9"/>
      <c r="M29" s="9"/>
      <c r="N29" s="9"/>
      <c r="O29" s="38">
        <f t="shared" si="0"/>
        <v>100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5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36" customHeight="1">
      <c r="A30" s="9"/>
      <c r="B30" s="16" t="s">
        <v>63</v>
      </c>
      <c r="C30" s="89" t="s">
        <v>64</v>
      </c>
      <c r="D30" s="59" t="s">
        <v>65</v>
      </c>
      <c r="E30" s="11" t="s">
        <v>66</v>
      </c>
      <c r="F30" s="95"/>
      <c r="G30" s="9"/>
      <c r="H30" s="9" t="s">
        <v>67</v>
      </c>
      <c r="I30" s="14"/>
      <c r="J30" s="14"/>
      <c r="K30" s="12">
        <v>1000</v>
      </c>
      <c r="L30" s="9"/>
      <c r="M30" s="9"/>
      <c r="N30" s="9"/>
      <c r="O30" s="38">
        <f t="shared" si="0"/>
        <v>1000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5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4" customHeight="1">
      <c r="A31" s="9"/>
      <c r="B31" s="16" t="s">
        <v>68</v>
      </c>
      <c r="C31" s="89" t="s">
        <v>44</v>
      </c>
      <c r="D31" s="56" t="s">
        <v>69</v>
      </c>
      <c r="E31" s="11" t="s">
        <v>70</v>
      </c>
      <c r="F31" s="95"/>
      <c r="G31" s="9"/>
      <c r="H31" s="9" t="s">
        <v>71</v>
      </c>
      <c r="I31" s="14"/>
      <c r="J31" s="14"/>
      <c r="K31" s="12">
        <v>0</v>
      </c>
      <c r="L31" s="9"/>
      <c r="M31" s="9"/>
      <c r="N31" s="9"/>
      <c r="O31" s="38">
        <f t="shared" si="0"/>
        <v>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5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36" customHeight="1">
      <c r="A32" s="9"/>
      <c r="B32" s="16" t="s">
        <v>68</v>
      </c>
      <c r="C32" s="89" t="s">
        <v>59</v>
      </c>
      <c r="D32" s="56" t="s">
        <v>69</v>
      </c>
      <c r="E32" s="11" t="s">
        <v>72</v>
      </c>
      <c r="F32" s="95"/>
      <c r="G32" s="9"/>
      <c r="H32" s="9" t="s">
        <v>71</v>
      </c>
      <c r="I32" s="14"/>
      <c r="J32" s="14"/>
      <c r="K32" s="12">
        <v>0</v>
      </c>
      <c r="L32" s="9"/>
      <c r="M32" s="9"/>
      <c r="N32" s="9"/>
      <c r="O32" s="38">
        <f t="shared" si="0"/>
        <v>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5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>
      <c r="A33" s="9"/>
      <c r="B33" s="16" t="s">
        <v>68</v>
      </c>
      <c r="C33" s="89" t="s">
        <v>48</v>
      </c>
      <c r="D33" s="56" t="s">
        <v>69</v>
      </c>
      <c r="E33" s="11" t="s">
        <v>73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5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4" customHeight="1">
      <c r="A34" s="9"/>
      <c r="B34" s="16" t="s">
        <v>76</v>
      </c>
      <c r="C34" s="89" t="s">
        <v>44</v>
      </c>
      <c r="D34" s="60" t="s">
        <v>77</v>
      </c>
      <c r="E34" s="11" t="s">
        <v>78</v>
      </c>
      <c r="F34" s="95"/>
      <c r="G34" s="9"/>
      <c r="H34" s="9" t="s">
        <v>67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5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36" customHeight="1">
      <c r="A35" s="9"/>
      <c r="B35" s="16" t="s">
        <v>76</v>
      </c>
      <c r="C35" s="89" t="s">
        <v>59</v>
      </c>
      <c r="D35" s="60" t="s">
        <v>79</v>
      </c>
      <c r="E35" s="11" t="s">
        <v>80</v>
      </c>
      <c r="F35" s="95"/>
      <c r="G35" s="9"/>
      <c r="H35" s="9" t="s">
        <v>67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5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ref="BE35:BE66" si="5">(BA35+BC35)</f>
        <v>0</v>
      </c>
    </row>
    <row r="36" spans="1:57">
      <c r="A36" s="9"/>
      <c r="B36" s="16" t="s">
        <v>76</v>
      </c>
      <c r="C36" s="89" t="s">
        <v>52</v>
      </c>
      <c r="D36" s="61" t="s">
        <v>81</v>
      </c>
      <c r="E36" s="11" t="s">
        <v>82</v>
      </c>
      <c r="F36" s="95"/>
      <c r="G36" s="9"/>
      <c r="H36" s="9" t="s">
        <v>67</v>
      </c>
      <c r="I36" s="14"/>
      <c r="J36" s="14"/>
      <c r="K36" s="12">
        <v>5000</v>
      </c>
      <c r="L36" s="9"/>
      <c r="M36" s="9"/>
      <c r="N36" s="9"/>
      <c r="O36" s="38">
        <f t="shared" si="0"/>
        <v>5000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5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>
        <f t="shared" si="3"/>
        <v>0</v>
      </c>
      <c r="BA36" s="15"/>
      <c r="BB36" s="44"/>
      <c r="BC36" s="15"/>
      <c r="BD36" s="44"/>
      <c r="BE36" s="15">
        <f t="shared" si="5"/>
        <v>0</v>
      </c>
    </row>
    <row r="37" spans="1:57" ht="24" customHeight="1">
      <c r="A37" s="9"/>
      <c r="B37" s="16" t="s">
        <v>76</v>
      </c>
      <c r="C37" s="89" t="s">
        <v>44</v>
      </c>
      <c r="D37" s="59" t="s">
        <v>83</v>
      </c>
      <c r="E37" s="11" t="s">
        <v>84</v>
      </c>
      <c r="F37" s="95"/>
      <c r="G37" s="9"/>
      <c r="H37" s="9" t="s">
        <v>71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5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si="3"/>
        <v>0</v>
      </c>
      <c r="BA37" s="15"/>
      <c r="BB37" s="44"/>
      <c r="BC37" s="15"/>
      <c r="BD37" s="44"/>
      <c r="BE37" s="15">
        <f t="shared" si="5"/>
        <v>0</v>
      </c>
    </row>
    <row r="38" spans="1:57">
      <c r="A38" s="9"/>
      <c r="B38" s="16" t="s">
        <v>76</v>
      </c>
      <c r="C38" s="89" t="s">
        <v>48</v>
      </c>
      <c r="D38" s="56" t="s">
        <v>85</v>
      </c>
      <c r="E38" s="11" t="s">
        <v>86</v>
      </c>
      <c r="F38" s="95"/>
      <c r="G38" s="9"/>
      <c r="H38" s="9" t="s">
        <v>71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5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3"/>
        <v>0</v>
      </c>
      <c r="BA38" s="15"/>
      <c r="BB38" s="44"/>
      <c r="BC38" s="15"/>
      <c r="BD38" s="44"/>
      <c r="BE38" s="15">
        <f t="shared" si="5"/>
        <v>0</v>
      </c>
    </row>
    <row r="39" spans="1:57" ht="36" customHeight="1">
      <c r="A39" s="9"/>
      <c r="B39" s="16" t="s">
        <v>76</v>
      </c>
      <c r="C39" s="89" t="s">
        <v>59</v>
      </c>
      <c r="D39" s="56" t="s">
        <v>87</v>
      </c>
      <c r="E39" s="11" t="s">
        <v>88</v>
      </c>
      <c r="F39" s="95"/>
      <c r="G39" s="9"/>
      <c r="H39" s="9" t="s">
        <v>71</v>
      </c>
      <c r="I39" s="14"/>
      <c r="J39" s="14"/>
      <c r="K39" s="12">
        <v>0</v>
      </c>
      <c r="L39" s="9"/>
      <c r="M39" s="9"/>
      <c r="N39" s="9"/>
      <c r="O39" s="38">
        <f t="shared" si="0"/>
        <v>0</v>
      </c>
      <c r="P39" s="15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5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3"/>
        <v>0</v>
      </c>
      <c r="BA39" s="15"/>
      <c r="BB39" s="44"/>
      <c r="BC39" s="15"/>
      <c r="BD39" s="44"/>
      <c r="BE39" s="15">
        <f t="shared" si="5"/>
        <v>0</v>
      </c>
    </row>
    <row r="40" spans="1:57" ht="36" customHeight="1">
      <c r="A40" s="9"/>
      <c r="B40" s="16" t="s">
        <v>34</v>
      </c>
      <c r="C40" s="89" t="s">
        <v>59</v>
      </c>
      <c r="D40" s="60" t="s">
        <v>89</v>
      </c>
      <c r="E40" s="11" t="s">
        <v>90</v>
      </c>
      <c r="F40" s="95"/>
      <c r="G40" s="9"/>
      <c r="H40" s="9" t="s">
        <v>67</v>
      </c>
      <c r="I40" s="14"/>
      <c r="J40" s="14"/>
      <c r="K40" s="12">
        <v>4000</v>
      </c>
      <c r="L40" s="9"/>
      <c r="M40" s="9"/>
      <c r="N40" s="9"/>
      <c r="O40" s="38">
        <f t="shared" si="0"/>
        <v>4000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5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3"/>
        <v>0</v>
      </c>
      <c r="BA40" s="15"/>
      <c r="BB40" s="44"/>
      <c r="BC40" s="15"/>
      <c r="BD40" s="44"/>
      <c r="BE40" s="15">
        <f t="shared" si="5"/>
        <v>0</v>
      </c>
    </row>
    <row r="41" spans="1:57" ht="36" customHeight="1">
      <c r="A41" s="9"/>
      <c r="B41" s="16" t="s">
        <v>34</v>
      </c>
      <c r="C41" s="89" t="s">
        <v>59</v>
      </c>
      <c r="D41" s="60" t="s">
        <v>91</v>
      </c>
      <c r="E41" s="11" t="s">
        <v>92</v>
      </c>
      <c r="F41" s="95"/>
      <c r="G41" s="9"/>
      <c r="H41" s="9" t="s">
        <v>67</v>
      </c>
      <c r="I41" s="14"/>
      <c r="J41" s="14"/>
      <c r="K41" s="12">
        <v>5000</v>
      </c>
      <c r="L41" s="9"/>
      <c r="M41" s="9"/>
      <c r="N41" s="9"/>
      <c r="O41" s="38">
        <f t="shared" si="0"/>
        <v>5000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5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3"/>
        <v>0</v>
      </c>
      <c r="BA41" s="15"/>
      <c r="BB41" s="44"/>
      <c r="BC41" s="15"/>
      <c r="BD41" s="44"/>
      <c r="BE41" s="15">
        <f t="shared" si="5"/>
        <v>0</v>
      </c>
    </row>
    <row r="42" spans="1:57" ht="24" customHeight="1">
      <c r="A42" s="9"/>
      <c r="B42" s="16" t="s">
        <v>34</v>
      </c>
      <c r="C42" s="89" t="s">
        <v>44</v>
      </c>
      <c r="D42" s="60" t="s">
        <v>93</v>
      </c>
      <c r="E42" s="11" t="s">
        <v>94</v>
      </c>
      <c r="F42" s="95"/>
      <c r="G42" s="9"/>
      <c r="H42" s="9" t="s">
        <v>95</v>
      </c>
      <c r="I42" s="14"/>
      <c r="J42" s="14"/>
      <c r="K42" s="12">
        <v>2050</v>
      </c>
      <c r="L42" s="9"/>
      <c r="M42" s="9"/>
      <c r="N42" s="9"/>
      <c r="O42" s="38">
        <f t="shared" si="0"/>
        <v>2050</v>
      </c>
      <c r="P42" s="12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5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3"/>
        <v>0</v>
      </c>
      <c r="BA42" s="15"/>
      <c r="BB42" s="44"/>
      <c r="BC42" s="15"/>
      <c r="BD42" s="44"/>
      <c r="BE42" s="15">
        <f t="shared" si="5"/>
        <v>0</v>
      </c>
    </row>
    <row r="43" spans="1:57" ht="24" customHeight="1">
      <c r="A43" s="9"/>
      <c r="B43" s="16" t="s">
        <v>34</v>
      </c>
      <c r="C43" s="89" t="s">
        <v>96</v>
      </c>
      <c r="D43" s="60" t="s">
        <v>97</v>
      </c>
      <c r="E43" s="11" t="s">
        <v>98</v>
      </c>
      <c r="F43" s="95"/>
      <c r="G43" s="9"/>
      <c r="H43" s="9" t="s">
        <v>95</v>
      </c>
      <c r="I43" s="14"/>
      <c r="J43" s="14"/>
      <c r="K43" s="12">
        <v>0</v>
      </c>
      <c r="L43" s="9"/>
      <c r="M43" s="9"/>
      <c r="N43" s="9"/>
      <c r="O43" s="38">
        <f t="shared" si="0"/>
        <v>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5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3"/>
        <v>0</v>
      </c>
      <c r="BA43" s="15"/>
      <c r="BB43" s="44"/>
      <c r="BC43" s="15"/>
      <c r="BD43" s="44"/>
      <c r="BE43" s="15">
        <f t="shared" si="5"/>
        <v>0</v>
      </c>
    </row>
    <row r="44" spans="1:57" ht="24" customHeight="1">
      <c r="A44" s="9"/>
      <c r="B44" s="16" t="s">
        <v>34</v>
      </c>
      <c r="C44" s="89" t="s">
        <v>96</v>
      </c>
      <c r="D44" s="60" t="s">
        <v>99</v>
      </c>
      <c r="E44" s="11" t="s">
        <v>100</v>
      </c>
      <c r="F44" s="95"/>
      <c r="G44" s="9"/>
      <c r="H44" s="9" t="s">
        <v>67</v>
      </c>
      <c r="I44" s="14"/>
      <c r="J44" s="14"/>
      <c r="K44" s="12">
        <v>30000</v>
      </c>
      <c r="L44" s="9"/>
      <c r="M44" s="9"/>
      <c r="N44" s="9"/>
      <c r="O44" s="38">
        <f t="shared" si="0"/>
        <v>30000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5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3"/>
        <v>0</v>
      </c>
      <c r="BA44" s="15"/>
      <c r="BB44" s="44"/>
      <c r="BC44" s="15"/>
      <c r="BD44" s="44"/>
      <c r="BE44" s="15">
        <f t="shared" si="5"/>
        <v>0</v>
      </c>
    </row>
    <row r="45" spans="1:57">
      <c r="A45" s="9"/>
      <c r="B45" s="16" t="s">
        <v>101</v>
      </c>
      <c r="C45" s="89" t="s">
        <v>48</v>
      </c>
      <c r="D45" s="56" t="s">
        <v>102</v>
      </c>
      <c r="E45" s="11" t="s">
        <v>103</v>
      </c>
      <c r="F45" s="95"/>
      <c r="G45" s="9"/>
      <c r="H45" s="9" t="s">
        <v>67</v>
      </c>
      <c r="I45" s="14"/>
      <c r="J45" s="14"/>
      <c r="K45" s="12">
        <v>0</v>
      </c>
      <c r="L45" s="9"/>
      <c r="M45" s="9"/>
      <c r="N45" s="9"/>
      <c r="O45" s="38">
        <f t="shared" si="0"/>
        <v>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5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3"/>
        <v>0</v>
      </c>
      <c r="BA45" s="15"/>
      <c r="BB45" s="44"/>
      <c r="BC45" s="15"/>
      <c r="BD45" s="44"/>
      <c r="BE45" s="15">
        <f t="shared" si="5"/>
        <v>0</v>
      </c>
    </row>
    <row r="46" spans="1:57" ht="24" customHeight="1">
      <c r="A46" s="9"/>
      <c r="B46" s="16" t="s">
        <v>104</v>
      </c>
      <c r="C46" s="89" t="s">
        <v>44</v>
      </c>
      <c r="D46" s="59" t="s">
        <v>105</v>
      </c>
      <c r="E46" s="11" t="s">
        <v>106</v>
      </c>
      <c r="F46" s="95"/>
      <c r="G46" s="9"/>
      <c r="H46" s="9" t="s">
        <v>107</v>
      </c>
      <c r="I46" s="14"/>
      <c r="J46" s="14"/>
      <c r="K46" s="12">
        <v>500</v>
      </c>
      <c r="L46" s="9"/>
      <c r="M46" s="9"/>
      <c r="N46" s="9"/>
      <c r="O46" s="38">
        <f t="shared" si="0"/>
        <v>500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5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3"/>
        <v>0</v>
      </c>
      <c r="BA46" s="15"/>
      <c r="BB46" s="44"/>
      <c r="BC46" s="15"/>
      <c r="BD46" s="44"/>
      <c r="BE46" s="15">
        <f t="shared" si="5"/>
        <v>0</v>
      </c>
    </row>
    <row r="47" spans="1:57">
      <c r="A47" s="9"/>
      <c r="B47" s="16" t="s">
        <v>104</v>
      </c>
      <c r="C47" s="89" t="s">
        <v>48</v>
      </c>
      <c r="D47" s="62" t="s">
        <v>105</v>
      </c>
      <c r="E47" s="11" t="s">
        <v>108</v>
      </c>
      <c r="F47" s="95"/>
      <c r="G47" s="9"/>
      <c r="H47" s="9" t="s">
        <v>107</v>
      </c>
      <c r="I47" s="14"/>
      <c r="J47" s="14"/>
      <c r="K47" s="12">
        <v>0</v>
      </c>
      <c r="L47" s="9"/>
      <c r="M47" s="9"/>
      <c r="N47" s="9"/>
      <c r="O47" s="38">
        <f t="shared" si="0"/>
        <v>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5"/>
      <c r="AG47" s="42"/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3"/>
        <v>0</v>
      </c>
      <c r="BA47" s="15"/>
      <c r="BB47" s="44"/>
      <c r="BC47" s="15"/>
      <c r="BD47" s="44"/>
      <c r="BE47" s="15">
        <f t="shared" si="5"/>
        <v>0</v>
      </c>
    </row>
    <row r="48" spans="1:57">
      <c r="A48" s="9"/>
      <c r="B48" s="16" t="s">
        <v>104</v>
      </c>
      <c r="C48" s="89" t="s">
        <v>52</v>
      </c>
      <c r="D48" s="61" t="s">
        <v>109</v>
      </c>
      <c r="E48" s="11" t="s">
        <v>110</v>
      </c>
      <c r="F48" s="95"/>
      <c r="G48" s="9"/>
      <c r="H48" s="9" t="s">
        <v>107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5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3"/>
        <v>0</v>
      </c>
      <c r="BA48" s="15"/>
      <c r="BB48" s="44"/>
      <c r="BC48" s="15"/>
      <c r="BD48" s="44"/>
      <c r="BE48" s="15">
        <f t="shared" si="5"/>
        <v>0</v>
      </c>
    </row>
    <row r="49" spans="1:57" ht="36" customHeight="1">
      <c r="A49" s="9"/>
      <c r="B49" s="16" t="s">
        <v>111</v>
      </c>
      <c r="C49" s="89" t="s">
        <v>59</v>
      </c>
      <c r="D49" s="61" t="s">
        <v>112</v>
      </c>
      <c r="E49" s="11" t="s">
        <v>113</v>
      </c>
      <c r="F49" s="95"/>
      <c r="G49" s="9"/>
      <c r="H49" s="9" t="s">
        <v>114</v>
      </c>
      <c r="I49" s="14"/>
      <c r="J49" s="14"/>
      <c r="K49" s="12">
        <v>880</v>
      </c>
      <c r="L49" s="9"/>
      <c r="M49" s="9"/>
      <c r="N49" s="9"/>
      <c r="O49" s="38">
        <f t="shared" si="0"/>
        <v>880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5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3"/>
        <v>0</v>
      </c>
      <c r="BA49" s="15"/>
      <c r="BB49" s="44"/>
      <c r="BC49" s="15"/>
      <c r="BD49" s="44"/>
      <c r="BE49" s="15">
        <f t="shared" si="5"/>
        <v>0</v>
      </c>
    </row>
    <row r="50" spans="1:57">
      <c r="A50" s="9"/>
      <c r="B50" s="16" t="s">
        <v>111</v>
      </c>
      <c r="C50" s="89" t="s">
        <v>50</v>
      </c>
      <c r="D50" s="61" t="s">
        <v>112</v>
      </c>
      <c r="E50" s="11" t="s">
        <v>115</v>
      </c>
      <c r="F50" s="95"/>
      <c r="G50" s="9"/>
      <c r="H50" s="9" t="s">
        <v>116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5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3"/>
        <v>0</v>
      </c>
      <c r="BA50" s="15"/>
      <c r="BB50" s="44"/>
      <c r="BC50" s="15"/>
      <c r="BD50" s="44"/>
      <c r="BE50" s="15">
        <f t="shared" si="5"/>
        <v>0</v>
      </c>
    </row>
    <row r="51" spans="1:57">
      <c r="A51" s="9"/>
      <c r="B51" s="16" t="s">
        <v>111</v>
      </c>
      <c r="C51" s="89" t="s">
        <v>52</v>
      </c>
      <c r="D51" s="61" t="s">
        <v>117</v>
      </c>
      <c r="E51" s="11" t="s">
        <v>118</v>
      </c>
      <c r="F51" s="95"/>
      <c r="G51" s="9"/>
      <c r="H51" s="9" t="s">
        <v>119</v>
      </c>
      <c r="I51" s="14"/>
      <c r="J51" s="14"/>
      <c r="K51" s="12">
        <v>250</v>
      </c>
      <c r="L51" s="9"/>
      <c r="M51" s="9"/>
      <c r="N51" s="9"/>
      <c r="O51" s="38">
        <f t="shared" si="0"/>
        <v>250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5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3"/>
        <v>0</v>
      </c>
      <c r="BA51" s="15"/>
      <c r="BB51" s="44"/>
      <c r="BC51" s="15"/>
      <c r="BD51" s="44"/>
      <c r="BE51" s="15">
        <f t="shared" si="5"/>
        <v>0</v>
      </c>
    </row>
    <row r="52" spans="1:57" ht="36" customHeight="1">
      <c r="A52" s="9"/>
      <c r="B52" s="16" t="s">
        <v>120</v>
      </c>
      <c r="C52" s="89" t="s">
        <v>59</v>
      </c>
      <c r="D52" s="61" t="s">
        <v>121</v>
      </c>
      <c r="E52" s="11" t="s">
        <v>122</v>
      </c>
      <c r="F52" s="95"/>
      <c r="G52" s="9"/>
      <c r="H52" s="9" t="s">
        <v>123</v>
      </c>
      <c r="I52" s="14"/>
      <c r="J52" s="14"/>
      <c r="K52" s="12">
        <v>0</v>
      </c>
      <c r="L52" s="9"/>
      <c r="M52" s="9"/>
      <c r="N52" s="9"/>
      <c r="O52" s="38">
        <f t="shared" si="0"/>
        <v>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5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3"/>
        <v>0</v>
      </c>
      <c r="BA52" s="15"/>
      <c r="BB52" s="44"/>
      <c r="BC52" s="15"/>
      <c r="BD52" s="44"/>
      <c r="BE52" s="15">
        <f t="shared" si="5"/>
        <v>0</v>
      </c>
    </row>
    <row r="53" spans="1:57" ht="36" customHeight="1">
      <c r="A53" s="9"/>
      <c r="B53" s="16" t="s">
        <v>120</v>
      </c>
      <c r="C53" s="89" t="s">
        <v>59</v>
      </c>
      <c r="D53" s="61" t="s">
        <v>124</v>
      </c>
      <c r="E53" s="11" t="s">
        <v>125</v>
      </c>
      <c r="F53" s="95"/>
      <c r="G53" s="9"/>
      <c r="H53" s="9" t="s">
        <v>67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5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3"/>
        <v>0</v>
      </c>
      <c r="BA53" s="15"/>
      <c r="BB53" s="44"/>
      <c r="BC53" s="15"/>
      <c r="BD53" s="44"/>
      <c r="BE53" s="15">
        <f t="shared" si="5"/>
        <v>0</v>
      </c>
    </row>
    <row r="54" spans="1:57">
      <c r="A54" s="9"/>
      <c r="B54" s="16" t="s">
        <v>120</v>
      </c>
      <c r="C54" s="89" t="s">
        <v>50</v>
      </c>
      <c r="D54" s="61" t="s">
        <v>126</v>
      </c>
      <c r="E54" s="11" t="s">
        <v>127</v>
      </c>
      <c r="F54" s="95"/>
      <c r="G54" s="9"/>
      <c r="H54" s="9" t="s">
        <v>128</v>
      </c>
      <c r="I54" s="14"/>
      <c r="J54" s="14"/>
      <c r="K54" s="12">
        <v>0</v>
      </c>
      <c r="L54" s="9"/>
      <c r="M54" s="9"/>
      <c r="N54" s="9"/>
      <c r="O54" s="38">
        <f t="shared" si="0"/>
        <v>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5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3"/>
        <v>0</v>
      </c>
      <c r="BA54" s="15"/>
      <c r="BB54" s="44"/>
      <c r="BC54" s="15"/>
      <c r="BD54" s="44"/>
      <c r="BE54" s="15">
        <f t="shared" si="5"/>
        <v>0</v>
      </c>
    </row>
    <row r="55" spans="1:57" ht="24" customHeight="1">
      <c r="A55" s="9"/>
      <c r="B55" s="16" t="s">
        <v>129</v>
      </c>
      <c r="C55" s="89" t="s">
        <v>44</v>
      </c>
      <c r="D55" s="60" t="s">
        <v>130</v>
      </c>
      <c r="E55" s="11"/>
      <c r="F55" s="95"/>
      <c r="G55" s="9"/>
      <c r="H55" s="9" t="s">
        <v>131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5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3"/>
        <v>0</v>
      </c>
      <c r="BA55" s="15"/>
      <c r="BB55" s="44"/>
      <c r="BC55" s="15"/>
      <c r="BD55" s="44"/>
      <c r="BE55" s="15">
        <f t="shared" si="5"/>
        <v>0</v>
      </c>
    </row>
    <row r="56" spans="1:57" ht="24" customHeight="1">
      <c r="A56" s="9"/>
      <c r="B56" s="16" t="s">
        <v>129</v>
      </c>
      <c r="C56" s="89" t="s">
        <v>132</v>
      </c>
      <c r="D56" s="63" t="s">
        <v>133</v>
      </c>
      <c r="E56" s="11" t="s">
        <v>134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5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3"/>
        <v>0</v>
      </c>
      <c r="BA56" s="15"/>
      <c r="BB56" s="44"/>
      <c r="BC56" s="15"/>
      <c r="BD56" s="44"/>
      <c r="BE56" s="15">
        <f t="shared" si="5"/>
        <v>0</v>
      </c>
    </row>
    <row r="57" spans="1:57">
      <c r="A57" s="9"/>
      <c r="B57" s="16" t="s">
        <v>129</v>
      </c>
      <c r="C57" s="89" t="s">
        <v>48</v>
      </c>
      <c r="D57" s="60" t="s">
        <v>130</v>
      </c>
      <c r="E57" s="11" t="s">
        <v>135</v>
      </c>
      <c r="F57" s="95"/>
      <c r="G57" s="9"/>
      <c r="H57" s="9" t="s">
        <v>131</v>
      </c>
      <c r="I57" s="14"/>
      <c r="J57" s="14"/>
      <c r="K57" s="12">
        <v>1192</v>
      </c>
      <c r="L57" s="9"/>
      <c r="M57" s="9"/>
      <c r="N57" s="9"/>
      <c r="O57" s="38">
        <f t="shared" si="0"/>
        <v>1192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5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3"/>
        <v>0</v>
      </c>
      <c r="BA57" s="15"/>
      <c r="BB57" s="44"/>
      <c r="BC57" s="15"/>
      <c r="BD57" s="44"/>
      <c r="BE57" s="15">
        <f t="shared" si="5"/>
        <v>0</v>
      </c>
    </row>
    <row r="58" spans="1:57">
      <c r="A58" s="9"/>
      <c r="B58" s="16" t="s">
        <v>129</v>
      </c>
      <c r="C58" s="89" t="s">
        <v>48</v>
      </c>
      <c r="D58" s="60" t="s">
        <v>130</v>
      </c>
      <c r="E58" s="11" t="s">
        <v>136</v>
      </c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5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3"/>
        <v>0</v>
      </c>
      <c r="BA58" s="15"/>
      <c r="BB58" s="44"/>
      <c r="BC58" s="15"/>
      <c r="BD58" s="44"/>
      <c r="BE58" s="15">
        <f t="shared" si="5"/>
        <v>0</v>
      </c>
    </row>
    <row r="59" spans="1:57">
      <c r="A59" s="9"/>
      <c r="B59" s="16" t="s">
        <v>129</v>
      </c>
      <c r="C59" s="89" t="s">
        <v>50</v>
      </c>
      <c r="D59" s="60" t="s">
        <v>130</v>
      </c>
      <c r="E59" s="11"/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5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3"/>
        <v>0</v>
      </c>
      <c r="BA59" s="15"/>
      <c r="BB59" s="44"/>
      <c r="BC59" s="15"/>
      <c r="BD59" s="44"/>
      <c r="BE59" s="15">
        <f t="shared" si="5"/>
        <v>0</v>
      </c>
    </row>
    <row r="60" spans="1:57">
      <c r="A60" s="9"/>
      <c r="B60" s="16" t="s">
        <v>129</v>
      </c>
      <c r="C60" s="89" t="s">
        <v>52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176</v>
      </c>
      <c r="L60" s="9"/>
      <c r="M60" s="9"/>
      <c r="N60" s="9"/>
      <c r="O60" s="38">
        <f t="shared" si="0"/>
        <v>176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5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3"/>
        <v>0</v>
      </c>
      <c r="BA60" s="15"/>
      <c r="BB60" s="44"/>
      <c r="BC60" s="15"/>
      <c r="BD60" s="44"/>
      <c r="BE60" s="15">
        <f t="shared" si="5"/>
        <v>0</v>
      </c>
    </row>
    <row r="61" spans="1:57">
      <c r="A61" s="9"/>
      <c r="B61" s="16" t="s">
        <v>129</v>
      </c>
      <c r="C61" s="89" t="s">
        <v>52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5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3"/>
        <v>0</v>
      </c>
      <c r="BA61" s="15"/>
      <c r="BB61" s="44"/>
      <c r="BC61" s="15"/>
      <c r="BD61" s="44"/>
      <c r="BE61" s="15">
        <f t="shared" si="5"/>
        <v>0</v>
      </c>
    </row>
    <row r="62" spans="1:57" ht="24" customHeight="1">
      <c r="A62" s="9"/>
      <c r="B62" s="16" t="s">
        <v>129</v>
      </c>
      <c r="C62" s="89" t="s">
        <v>44</v>
      </c>
      <c r="D62" s="57" t="s">
        <v>137</v>
      </c>
      <c r="E62" s="11" t="s">
        <v>138</v>
      </c>
      <c r="F62" s="95"/>
      <c r="G62" s="9"/>
      <c r="H62" s="9" t="s">
        <v>131</v>
      </c>
      <c r="I62" s="14"/>
      <c r="J62" s="14"/>
      <c r="K62" s="12">
        <v>1000</v>
      </c>
      <c r="L62" s="9"/>
      <c r="M62" s="9"/>
      <c r="N62" s="9"/>
      <c r="O62" s="38">
        <f t="shared" si="0"/>
        <v>1000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5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3"/>
        <v>0</v>
      </c>
      <c r="BA62" s="15"/>
      <c r="BB62" s="44"/>
      <c r="BC62" s="15"/>
      <c r="BD62" s="44"/>
      <c r="BE62" s="15">
        <f t="shared" si="5"/>
        <v>0</v>
      </c>
    </row>
    <row r="63" spans="1:57">
      <c r="A63" s="9"/>
      <c r="B63" s="16" t="s">
        <v>129</v>
      </c>
      <c r="C63" s="89" t="s">
        <v>132</v>
      </c>
      <c r="D63" s="56" t="s">
        <v>139</v>
      </c>
      <c r="E63" s="11" t="s">
        <v>27</v>
      </c>
      <c r="F63" s="95"/>
      <c r="G63" s="9"/>
      <c r="H63" s="9" t="s">
        <v>131</v>
      </c>
      <c r="I63" s="14"/>
      <c r="J63" s="14"/>
      <c r="K63" s="12">
        <v>1800</v>
      </c>
      <c r="L63" s="9"/>
      <c r="M63" s="9"/>
      <c r="N63" s="9"/>
      <c r="O63" s="38">
        <f t="shared" si="0"/>
        <v>1800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5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3"/>
        <v>0</v>
      </c>
      <c r="BA63" s="15"/>
      <c r="BB63" s="44"/>
      <c r="BC63" s="15"/>
      <c r="BD63" s="44"/>
      <c r="BE63" s="15">
        <f t="shared" si="5"/>
        <v>0</v>
      </c>
    </row>
    <row r="64" spans="1:57" ht="24" customHeight="1">
      <c r="A64" s="9"/>
      <c r="B64" s="16" t="s">
        <v>129</v>
      </c>
      <c r="C64" s="89" t="s">
        <v>140</v>
      </c>
      <c r="D64" s="64" t="s">
        <v>139</v>
      </c>
      <c r="E64" s="11" t="s">
        <v>27</v>
      </c>
      <c r="F64" s="95"/>
      <c r="G64" s="9"/>
      <c r="H64" s="9" t="s">
        <v>131</v>
      </c>
      <c r="I64" s="14"/>
      <c r="J64" s="14"/>
      <c r="K64" s="12">
        <v>2040</v>
      </c>
      <c r="L64" s="9"/>
      <c r="M64" s="9"/>
      <c r="N64" s="9"/>
      <c r="O64" s="38">
        <f t="shared" si="0"/>
        <v>2040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5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3"/>
        <v>0</v>
      </c>
      <c r="BA64" s="15"/>
      <c r="BB64" s="44"/>
      <c r="BC64" s="15"/>
      <c r="BD64" s="44"/>
      <c r="BE64" s="15">
        <f t="shared" si="5"/>
        <v>0</v>
      </c>
    </row>
    <row r="65" spans="1:57">
      <c r="A65" s="9"/>
      <c r="B65" s="16" t="s">
        <v>129</v>
      </c>
      <c r="C65" s="89" t="s">
        <v>48</v>
      </c>
      <c r="D65" s="61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1202</v>
      </c>
      <c r="L65" s="9"/>
      <c r="M65" s="9"/>
      <c r="N65" s="9"/>
      <c r="O65" s="38">
        <f t="shared" si="0"/>
        <v>1202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5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3"/>
        <v>0</v>
      </c>
      <c r="BA65" s="15"/>
      <c r="BB65" s="44"/>
      <c r="BC65" s="15"/>
      <c r="BD65" s="44"/>
      <c r="BE65" s="15">
        <f t="shared" si="5"/>
        <v>0</v>
      </c>
    </row>
    <row r="66" spans="1:57">
      <c r="A66" s="9"/>
      <c r="B66" s="16" t="s">
        <v>129</v>
      </c>
      <c r="C66" s="89" t="s">
        <v>52</v>
      </c>
      <c r="D66" s="61" t="s">
        <v>137</v>
      </c>
      <c r="E66" s="11" t="s">
        <v>138</v>
      </c>
      <c r="F66" s="95"/>
      <c r="G66" s="9"/>
      <c r="H66" s="9" t="s">
        <v>131</v>
      </c>
      <c r="I66" s="14"/>
      <c r="J66" s="14"/>
      <c r="K66" s="12">
        <v>0</v>
      </c>
      <c r="L66" s="9"/>
      <c r="M66" s="9"/>
      <c r="N66" s="9"/>
      <c r="O66" s="38">
        <f t="shared" ref="O66:O129" si="6">K66+V66-AE66-AZ66</f>
        <v>0</v>
      </c>
      <c r="P66" s="12"/>
      <c r="Q66" s="42"/>
      <c r="R66" s="15"/>
      <c r="S66" s="44"/>
      <c r="T66" s="15"/>
      <c r="U66" s="44"/>
      <c r="V66" s="15">
        <f t="shared" ref="V66:V129" si="7">P66+R66+T66</f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ref="AE66:AE129" si="8">(W66+Y66+AA66+AC66)</f>
        <v>0</v>
      </c>
      <c r="AF66" s="15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3"/>
        <v>0</v>
      </c>
      <c r="BA66" s="15"/>
      <c r="BB66" s="44"/>
      <c r="BC66" s="15"/>
      <c r="BD66" s="44"/>
      <c r="BE66" s="15">
        <f t="shared" si="5"/>
        <v>0</v>
      </c>
    </row>
    <row r="67" spans="1:57">
      <c r="A67" s="9"/>
      <c r="B67" s="16" t="s">
        <v>129</v>
      </c>
      <c r="C67" s="89" t="s">
        <v>52</v>
      </c>
      <c r="D67" s="56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0</v>
      </c>
      <c r="L67" s="9"/>
      <c r="M67" s="9"/>
      <c r="N67" s="9"/>
      <c r="O67" s="38">
        <f t="shared" si="6"/>
        <v>0</v>
      </c>
      <c r="P67" s="12"/>
      <c r="Q67" s="42"/>
      <c r="R67" s="15"/>
      <c r="S67" s="44"/>
      <c r="T67" s="15"/>
      <c r="U67" s="44"/>
      <c r="V67" s="15">
        <f t="shared" si="7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8"/>
        <v>0</v>
      </c>
      <c r="AF67" s="15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ref="AZ67:AZ130" si="9">AF67+AH67+AJ67+AL67+AN67+AP67+AR67+AT67+AV67+AX67</f>
        <v>0</v>
      </c>
      <c r="BA67" s="15"/>
      <c r="BB67" s="44"/>
      <c r="BC67" s="15"/>
      <c r="BD67" s="44"/>
      <c r="BE67" s="15">
        <f t="shared" ref="BE67:BE93" si="10">(BA67+BC67)</f>
        <v>0</v>
      </c>
    </row>
    <row r="68" spans="1:57" ht="36" customHeight="1">
      <c r="A68" s="9"/>
      <c r="B68" s="18" t="s">
        <v>58</v>
      </c>
      <c r="C68" s="89" t="s">
        <v>59</v>
      </c>
      <c r="D68" s="58" t="s">
        <v>141</v>
      </c>
      <c r="E68" s="35" t="s">
        <v>58</v>
      </c>
      <c r="F68" s="95"/>
      <c r="G68" s="21"/>
      <c r="H68" s="21" t="s">
        <v>61</v>
      </c>
      <c r="I68" s="14"/>
      <c r="J68" s="14"/>
      <c r="K68" s="12">
        <v>733</v>
      </c>
      <c r="L68" s="9"/>
      <c r="M68" s="9"/>
      <c r="N68" s="9"/>
      <c r="O68" s="38">
        <f t="shared" si="6"/>
        <v>733</v>
      </c>
      <c r="P68" s="12"/>
      <c r="Q68" s="42"/>
      <c r="R68" s="15"/>
      <c r="S68" s="44"/>
      <c r="T68" s="15"/>
      <c r="U68" s="44"/>
      <c r="V68" s="15">
        <f t="shared" si="7"/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si="8"/>
        <v>0</v>
      </c>
      <c r="AF68" s="15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9"/>
        <v>0</v>
      </c>
      <c r="BA68" s="15"/>
      <c r="BB68" s="44"/>
      <c r="BC68" s="15"/>
      <c r="BD68" s="44"/>
      <c r="BE68" s="15">
        <f t="shared" si="10"/>
        <v>0</v>
      </c>
    </row>
    <row r="69" spans="1:57">
      <c r="A69" s="9"/>
      <c r="B69" s="18" t="s">
        <v>62</v>
      </c>
      <c r="C69" s="89" t="s">
        <v>48</v>
      </c>
      <c r="D69" s="58" t="s">
        <v>142</v>
      </c>
      <c r="E69" s="35" t="s">
        <v>62</v>
      </c>
      <c r="F69" s="95"/>
      <c r="G69" s="21"/>
      <c r="H69" s="21" t="s">
        <v>61</v>
      </c>
      <c r="I69" s="14"/>
      <c r="J69" s="14"/>
      <c r="K69" s="12">
        <v>112</v>
      </c>
      <c r="L69" s="9"/>
      <c r="M69" s="9"/>
      <c r="N69" s="9"/>
      <c r="O69" s="38">
        <f t="shared" si="6"/>
        <v>112</v>
      </c>
      <c r="P69" s="12"/>
      <c r="Q69" s="42"/>
      <c r="R69" s="15"/>
      <c r="S69" s="44"/>
      <c r="T69" s="15"/>
      <c r="U69" s="44"/>
      <c r="V69" s="15">
        <f t="shared" si="7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8"/>
        <v>0</v>
      </c>
      <c r="AF69" s="15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9"/>
        <v>0</v>
      </c>
      <c r="BA69" s="15"/>
      <c r="BB69" s="44"/>
      <c r="BC69" s="15"/>
      <c r="BD69" s="44"/>
      <c r="BE69" s="15">
        <f t="shared" si="10"/>
        <v>0</v>
      </c>
    </row>
    <row r="70" spans="1:57">
      <c r="A70" s="9"/>
      <c r="B70" s="18" t="s">
        <v>62</v>
      </c>
      <c r="C70" s="89" t="s">
        <v>50</v>
      </c>
      <c r="D70" s="58" t="s">
        <v>142</v>
      </c>
      <c r="E70" s="35" t="s">
        <v>62</v>
      </c>
      <c r="F70" s="95"/>
      <c r="G70" s="21"/>
      <c r="H70" s="21" t="s">
        <v>61</v>
      </c>
      <c r="I70" s="14"/>
      <c r="J70" s="14"/>
      <c r="K70" s="12">
        <v>40</v>
      </c>
      <c r="L70" s="9"/>
      <c r="M70" s="9"/>
      <c r="N70" s="9"/>
      <c r="O70" s="38">
        <f t="shared" si="6"/>
        <v>40</v>
      </c>
      <c r="P70" s="12"/>
      <c r="Q70" s="42"/>
      <c r="R70" s="15"/>
      <c r="S70" s="44"/>
      <c r="T70" s="15"/>
      <c r="U70" s="44"/>
      <c r="V70" s="15">
        <f t="shared" si="7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8"/>
        <v>0</v>
      </c>
      <c r="AF70" s="15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9"/>
        <v>0</v>
      </c>
      <c r="BA70" s="15"/>
      <c r="BB70" s="44"/>
      <c r="BC70" s="15"/>
      <c r="BD70" s="44"/>
      <c r="BE70" s="15">
        <f t="shared" si="10"/>
        <v>0</v>
      </c>
    </row>
    <row r="71" spans="1:57">
      <c r="A71" s="9"/>
      <c r="B71" s="18" t="s">
        <v>62</v>
      </c>
      <c r="C71" s="89" t="s">
        <v>48</v>
      </c>
      <c r="D71" s="58" t="s">
        <v>143</v>
      </c>
      <c r="E71" s="35" t="s">
        <v>62</v>
      </c>
      <c r="F71" s="95"/>
      <c r="G71" s="21"/>
      <c r="H71" s="21" t="s">
        <v>61</v>
      </c>
      <c r="I71" s="14"/>
      <c r="J71" s="14"/>
      <c r="K71" s="12">
        <v>200</v>
      </c>
      <c r="L71" s="9"/>
      <c r="M71" s="9"/>
      <c r="N71" s="9"/>
      <c r="O71" s="38">
        <f t="shared" si="6"/>
        <v>200</v>
      </c>
      <c r="P71" s="12"/>
      <c r="Q71" s="42"/>
      <c r="R71" s="15"/>
      <c r="S71" s="44"/>
      <c r="T71" s="15"/>
      <c r="U71" s="44"/>
      <c r="V71" s="15">
        <f t="shared" si="7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8"/>
        <v>0</v>
      </c>
      <c r="AF71" s="15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9"/>
        <v>0</v>
      </c>
      <c r="BA71" s="15"/>
      <c r="BB71" s="44"/>
      <c r="BC71" s="15"/>
      <c r="BD71" s="44"/>
      <c r="BE71" s="15">
        <f t="shared" si="10"/>
        <v>0</v>
      </c>
    </row>
    <row r="72" spans="1:57">
      <c r="A72" s="9"/>
      <c r="B72" s="18" t="s">
        <v>144</v>
      </c>
      <c r="C72" s="89" t="s">
        <v>132</v>
      </c>
      <c r="D72" s="65" t="s">
        <v>145</v>
      </c>
      <c r="E72" s="35" t="s">
        <v>146</v>
      </c>
      <c r="F72" s="95"/>
      <c r="G72" s="21"/>
      <c r="H72" s="21" t="s">
        <v>147</v>
      </c>
      <c r="I72" s="14"/>
      <c r="J72" s="14"/>
      <c r="K72" s="12">
        <v>893</v>
      </c>
      <c r="L72" s="9"/>
      <c r="M72" s="9"/>
      <c r="N72" s="9"/>
      <c r="O72" s="38">
        <f t="shared" si="6"/>
        <v>893</v>
      </c>
      <c r="P72" s="12"/>
      <c r="Q72" s="42"/>
      <c r="R72" s="15"/>
      <c r="S72" s="44"/>
      <c r="T72" s="15"/>
      <c r="U72" s="44"/>
      <c r="V72" s="15">
        <f t="shared" si="7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8"/>
        <v>0</v>
      </c>
      <c r="AF72" s="15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9"/>
        <v>0</v>
      </c>
      <c r="BA72" s="15"/>
      <c r="BB72" s="44"/>
      <c r="BC72" s="15"/>
      <c r="BD72" s="44"/>
      <c r="BE72" s="15">
        <f t="shared" si="10"/>
        <v>0</v>
      </c>
    </row>
    <row r="73" spans="1:57">
      <c r="A73" s="9"/>
      <c r="B73" s="18" t="s">
        <v>144</v>
      </c>
      <c r="C73" s="89" t="s">
        <v>48</v>
      </c>
      <c r="D73" s="58" t="s">
        <v>145</v>
      </c>
      <c r="E73" s="35" t="s">
        <v>146</v>
      </c>
      <c r="F73" s="95"/>
      <c r="G73" s="21"/>
      <c r="H73" s="21" t="s">
        <v>148</v>
      </c>
      <c r="I73" s="14"/>
      <c r="J73" s="14"/>
      <c r="K73" s="12">
        <v>654</v>
      </c>
      <c r="L73" s="9"/>
      <c r="M73" s="9"/>
      <c r="N73" s="9"/>
      <c r="O73" s="38">
        <f t="shared" si="6"/>
        <v>654</v>
      </c>
      <c r="P73" s="12"/>
      <c r="Q73" s="42"/>
      <c r="R73" s="15"/>
      <c r="S73" s="44"/>
      <c r="T73" s="15"/>
      <c r="U73" s="44"/>
      <c r="V73" s="15">
        <f t="shared" si="7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8"/>
        <v>0</v>
      </c>
      <c r="AF73" s="15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9"/>
        <v>0</v>
      </c>
      <c r="BA73" s="15"/>
      <c r="BB73" s="44"/>
      <c r="BC73" s="15"/>
      <c r="BD73" s="44"/>
      <c r="BE73" s="15">
        <f t="shared" si="10"/>
        <v>0</v>
      </c>
    </row>
    <row r="74" spans="1:57">
      <c r="A74" s="9"/>
      <c r="B74" s="18" t="s">
        <v>144</v>
      </c>
      <c r="C74" s="89" t="s">
        <v>50</v>
      </c>
      <c r="D74" s="58" t="s">
        <v>145</v>
      </c>
      <c r="E74" s="35" t="s">
        <v>146</v>
      </c>
      <c r="F74" s="95"/>
      <c r="G74" s="21"/>
      <c r="H74" s="21" t="s">
        <v>148</v>
      </c>
      <c r="I74" s="14"/>
      <c r="J74" s="14"/>
      <c r="K74" s="12">
        <v>0</v>
      </c>
      <c r="L74" s="9"/>
      <c r="M74" s="9"/>
      <c r="N74" s="9"/>
      <c r="O74" s="38">
        <f t="shared" si="6"/>
        <v>0</v>
      </c>
      <c r="P74" s="12"/>
      <c r="Q74" s="42"/>
      <c r="R74" s="15"/>
      <c r="S74" s="44"/>
      <c r="T74" s="15"/>
      <c r="U74" s="44"/>
      <c r="V74" s="15">
        <f t="shared" si="7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8"/>
        <v>0</v>
      </c>
      <c r="AF74" s="15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9"/>
        <v>0</v>
      </c>
      <c r="BA74" s="15"/>
      <c r="BB74" s="44"/>
      <c r="BC74" s="15"/>
      <c r="BD74" s="44"/>
      <c r="BE74" s="15">
        <f t="shared" si="10"/>
        <v>0</v>
      </c>
    </row>
    <row r="75" spans="1:57">
      <c r="A75" s="9"/>
      <c r="B75" s="18" t="s">
        <v>144</v>
      </c>
      <c r="C75" s="89" t="s">
        <v>140</v>
      </c>
      <c r="D75" s="58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273</v>
      </c>
      <c r="L75" s="9"/>
      <c r="M75" s="9"/>
      <c r="N75" s="9"/>
      <c r="O75" s="38">
        <f t="shared" si="6"/>
        <v>273</v>
      </c>
      <c r="P75" s="12"/>
      <c r="Q75" s="42"/>
      <c r="R75" s="15"/>
      <c r="S75" s="44"/>
      <c r="T75" s="15"/>
      <c r="U75" s="44"/>
      <c r="V75" s="15">
        <f t="shared" si="7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8"/>
        <v>0</v>
      </c>
      <c r="AF75" s="15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9"/>
        <v>0</v>
      </c>
      <c r="BA75" s="15"/>
      <c r="BB75" s="44"/>
      <c r="BC75" s="15"/>
      <c r="BD75" s="44"/>
      <c r="BE75" s="15">
        <f t="shared" si="10"/>
        <v>0</v>
      </c>
    </row>
    <row r="76" spans="1:57">
      <c r="A76" s="9"/>
      <c r="B76" s="18" t="s">
        <v>144</v>
      </c>
      <c r="C76" s="89" t="s">
        <v>52</v>
      </c>
      <c r="D76" s="58" t="s">
        <v>145</v>
      </c>
      <c r="E76" s="35" t="s">
        <v>149</v>
      </c>
      <c r="F76" s="95"/>
      <c r="G76" s="21"/>
      <c r="H76" s="21" t="s">
        <v>147</v>
      </c>
      <c r="I76" s="14"/>
      <c r="J76" s="14"/>
      <c r="K76" s="12">
        <v>200</v>
      </c>
      <c r="L76" s="9"/>
      <c r="M76" s="9"/>
      <c r="N76" s="9"/>
      <c r="O76" s="38">
        <f t="shared" si="6"/>
        <v>200</v>
      </c>
      <c r="P76" s="12"/>
      <c r="Q76" s="42"/>
      <c r="R76" s="15"/>
      <c r="S76" s="44"/>
      <c r="T76" s="15"/>
      <c r="U76" s="44"/>
      <c r="V76" s="15">
        <f t="shared" si="7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8"/>
        <v>0</v>
      </c>
      <c r="AF76" s="15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9"/>
        <v>0</v>
      </c>
      <c r="BA76" s="15"/>
      <c r="BB76" s="44"/>
      <c r="BC76" s="15"/>
      <c r="BD76" s="44"/>
      <c r="BE76" s="15">
        <f t="shared" si="10"/>
        <v>0</v>
      </c>
    </row>
    <row r="77" spans="1:57" ht="36" customHeight="1">
      <c r="A77" s="9"/>
      <c r="B77" s="18" t="s">
        <v>144</v>
      </c>
      <c r="C77" s="89" t="s">
        <v>59</v>
      </c>
      <c r="D77" s="58" t="s">
        <v>150</v>
      </c>
      <c r="E77" s="35" t="s">
        <v>146</v>
      </c>
      <c r="F77" s="95"/>
      <c r="G77" s="21"/>
      <c r="H77" s="21" t="s">
        <v>147</v>
      </c>
      <c r="I77" s="14"/>
      <c r="J77" s="14"/>
      <c r="K77" s="12">
        <v>737</v>
      </c>
      <c r="L77" s="9"/>
      <c r="M77" s="9"/>
      <c r="N77" s="9"/>
      <c r="O77" s="38">
        <f t="shared" si="6"/>
        <v>737</v>
      </c>
      <c r="P77" s="12"/>
      <c r="Q77" s="42"/>
      <c r="R77" s="15"/>
      <c r="S77" s="44"/>
      <c r="T77" s="15"/>
      <c r="U77" s="44"/>
      <c r="V77" s="15">
        <f t="shared" si="7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8"/>
        <v>0</v>
      </c>
      <c r="AF77" s="15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9"/>
        <v>0</v>
      </c>
      <c r="BA77" s="15"/>
      <c r="BB77" s="44"/>
      <c r="BC77" s="15"/>
      <c r="BD77" s="44"/>
      <c r="BE77" s="15">
        <f t="shared" si="10"/>
        <v>0</v>
      </c>
    </row>
    <row r="78" spans="1:57">
      <c r="A78" s="9"/>
      <c r="B78" s="18" t="s">
        <v>144</v>
      </c>
      <c r="C78" s="89" t="s">
        <v>48</v>
      </c>
      <c r="D78" s="65" t="s">
        <v>150</v>
      </c>
      <c r="E78" s="35" t="s">
        <v>146</v>
      </c>
      <c r="F78" s="95"/>
      <c r="G78" s="21"/>
      <c r="H78" s="21" t="s">
        <v>148</v>
      </c>
      <c r="I78" s="14"/>
      <c r="J78" s="14"/>
      <c r="K78" s="12">
        <v>232</v>
      </c>
      <c r="L78" s="9"/>
      <c r="M78" s="9"/>
      <c r="N78" s="9"/>
      <c r="O78" s="38">
        <f t="shared" si="6"/>
        <v>202</v>
      </c>
      <c r="P78" s="12"/>
      <c r="Q78" s="42"/>
      <c r="R78" s="15"/>
      <c r="S78" s="44"/>
      <c r="T78" s="15"/>
      <c r="U78" s="44"/>
      <c r="V78" s="15">
        <f t="shared" si="7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8"/>
        <v>0</v>
      </c>
      <c r="AF78" s="15">
        <v>30</v>
      </c>
      <c r="AG78" s="42">
        <v>46093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9"/>
        <v>30</v>
      </c>
      <c r="BA78" s="15"/>
      <c r="BB78" s="44"/>
      <c r="BC78" s="15"/>
      <c r="BD78" s="44"/>
      <c r="BE78" s="15">
        <f t="shared" si="10"/>
        <v>0</v>
      </c>
    </row>
    <row r="79" spans="1:57">
      <c r="A79" s="9"/>
      <c r="B79" s="18" t="s">
        <v>144</v>
      </c>
      <c r="C79" s="89" t="s">
        <v>50</v>
      </c>
      <c r="D79" s="65" t="s">
        <v>150</v>
      </c>
      <c r="E79" s="35" t="s">
        <v>146</v>
      </c>
      <c r="F79" s="95"/>
      <c r="G79" s="21"/>
      <c r="H79" s="21" t="s">
        <v>148</v>
      </c>
      <c r="I79" s="14"/>
      <c r="J79" s="14"/>
      <c r="K79" s="12">
        <v>50</v>
      </c>
      <c r="L79" s="9"/>
      <c r="M79" s="9"/>
      <c r="N79" s="9"/>
      <c r="O79" s="38">
        <f t="shared" si="6"/>
        <v>50</v>
      </c>
      <c r="P79" s="12"/>
      <c r="Q79" s="42"/>
      <c r="R79" s="15"/>
      <c r="S79" s="44"/>
      <c r="T79" s="15"/>
      <c r="U79" s="44"/>
      <c r="V79" s="15">
        <f t="shared" si="7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8"/>
        <v>0</v>
      </c>
      <c r="AF79" s="15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9"/>
        <v>0</v>
      </c>
      <c r="BA79" s="15"/>
      <c r="BB79" s="44"/>
      <c r="BC79" s="15"/>
      <c r="BD79" s="44"/>
      <c r="BE79" s="15">
        <f t="shared" si="10"/>
        <v>0</v>
      </c>
    </row>
    <row r="80" spans="1:57">
      <c r="A80" s="9"/>
      <c r="B80" s="18" t="s">
        <v>144</v>
      </c>
      <c r="C80" s="92" t="s">
        <v>151</v>
      </c>
      <c r="D80" s="58" t="s">
        <v>152</v>
      </c>
      <c r="E80" s="35"/>
      <c r="F80" s="95"/>
      <c r="G80" s="21"/>
      <c r="H80" s="21" t="s">
        <v>147</v>
      </c>
      <c r="I80" s="14"/>
      <c r="J80" s="14"/>
      <c r="K80" s="12">
        <v>0</v>
      </c>
      <c r="L80" s="9"/>
      <c r="M80" s="9"/>
      <c r="N80" s="9"/>
      <c r="O80" s="38">
        <f t="shared" si="6"/>
        <v>0</v>
      </c>
      <c r="P80" s="12"/>
      <c r="Q80" s="42"/>
      <c r="R80" s="15"/>
      <c r="S80" s="44"/>
      <c r="T80" s="15"/>
      <c r="U80" s="44"/>
      <c r="V80" s="15">
        <f t="shared" si="7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8"/>
        <v>0</v>
      </c>
      <c r="AF80" s="15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9"/>
        <v>0</v>
      </c>
      <c r="BA80" s="15"/>
      <c r="BB80" s="44"/>
      <c r="BC80" s="15"/>
      <c r="BD80" s="44"/>
      <c r="BE80" s="15">
        <f t="shared" si="10"/>
        <v>0</v>
      </c>
    </row>
    <row r="81" spans="1:57">
      <c r="A81" s="9"/>
      <c r="B81" s="18" t="s">
        <v>144</v>
      </c>
      <c r="C81" s="92" t="s">
        <v>151</v>
      </c>
      <c r="D81" s="58" t="s">
        <v>152</v>
      </c>
      <c r="E81" s="35" t="s">
        <v>153</v>
      </c>
      <c r="F81" s="95"/>
      <c r="G81" s="21"/>
      <c r="H81" s="21" t="s">
        <v>147</v>
      </c>
      <c r="I81" s="14"/>
      <c r="J81" s="14"/>
      <c r="K81" s="12">
        <v>100</v>
      </c>
      <c r="L81" s="9"/>
      <c r="M81" s="9"/>
      <c r="N81" s="9"/>
      <c r="O81" s="38">
        <f t="shared" si="6"/>
        <v>100</v>
      </c>
      <c r="P81" s="12"/>
      <c r="Q81" s="42"/>
      <c r="R81" s="15"/>
      <c r="S81" s="44"/>
      <c r="T81" s="15"/>
      <c r="U81" s="44"/>
      <c r="V81" s="15">
        <f t="shared" si="7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8"/>
        <v>0</v>
      </c>
      <c r="AF81" s="15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9"/>
        <v>0</v>
      </c>
      <c r="BA81" s="15"/>
      <c r="BB81" s="44"/>
      <c r="BC81" s="15"/>
      <c r="BD81" s="44"/>
      <c r="BE81" s="15">
        <f t="shared" si="10"/>
        <v>0</v>
      </c>
    </row>
    <row r="82" spans="1:57">
      <c r="A82" s="9"/>
      <c r="B82" s="18" t="s">
        <v>144</v>
      </c>
      <c r="C82" s="92" t="s">
        <v>151</v>
      </c>
      <c r="D82" s="65" t="s">
        <v>154</v>
      </c>
      <c r="E82" s="35"/>
      <c r="F82" s="95"/>
      <c r="G82" s="21"/>
      <c r="H82" s="21" t="s">
        <v>147</v>
      </c>
      <c r="I82" s="14"/>
      <c r="J82" s="14"/>
      <c r="K82" s="12">
        <v>1188</v>
      </c>
      <c r="L82" s="9"/>
      <c r="M82" s="9"/>
      <c r="N82" s="9"/>
      <c r="O82" s="38">
        <f t="shared" si="6"/>
        <v>1188</v>
      </c>
      <c r="P82" s="12"/>
      <c r="Q82" s="42"/>
      <c r="R82" s="15"/>
      <c r="S82" s="44"/>
      <c r="T82" s="15"/>
      <c r="U82" s="44"/>
      <c r="V82" s="15">
        <f t="shared" si="7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8"/>
        <v>0</v>
      </c>
      <c r="AF82" s="15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9"/>
        <v>0</v>
      </c>
      <c r="BA82" s="15"/>
      <c r="BB82" s="44"/>
      <c r="BC82" s="15"/>
      <c r="BD82" s="44"/>
      <c r="BE82" s="15">
        <f t="shared" si="10"/>
        <v>0</v>
      </c>
    </row>
    <row r="83" spans="1:57" ht="36" customHeight="1">
      <c r="A83" s="9"/>
      <c r="B83" s="18" t="s">
        <v>155</v>
      </c>
      <c r="C83" s="89" t="s">
        <v>59</v>
      </c>
      <c r="D83" s="58" t="s">
        <v>156</v>
      </c>
      <c r="E83" s="35" t="s">
        <v>157</v>
      </c>
      <c r="F83" s="95"/>
      <c r="G83" s="21"/>
      <c r="H83" s="21" t="s">
        <v>158</v>
      </c>
      <c r="I83" s="14"/>
      <c r="J83" s="14"/>
      <c r="K83" s="12">
        <v>1543</v>
      </c>
      <c r="L83" s="9"/>
      <c r="M83" s="9"/>
      <c r="N83" s="9"/>
      <c r="O83" s="38">
        <f t="shared" si="6"/>
        <v>1543</v>
      </c>
      <c r="P83" s="12"/>
      <c r="Q83" s="42"/>
      <c r="R83" s="15"/>
      <c r="S83" s="44"/>
      <c r="T83" s="15"/>
      <c r="U83" s="44"/>
      <c r="V83" s="15">
        <f t="shared" si="7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8"/>
        <v>0</v>
      </c>
      <c r="AF83" s="15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9"/>
        <v>0</v>
      </c>
      <c r="BA83" s="15"/>
      <c r="BB83" s="44"/>
      <c r="BC83" s="15"/>
      <c r="BD83" s="44"/>
      <c r="BE83" s="15">
        <f t="shared" si="10"/>
        <v>0</v>
      </c>
    </row>
    <row r="84" spans="1:57">
      <c r="A84" s="9"/>
      <c r="B84" s="18" t="s">
        <v>155</v>
      </c>
      <c r="C84" s="89" t="s">
        <v>48</v>
      </c>
      <c r="D84" s="58" t="s">
        <v>156</v>
      </c>
      <c r="E84" s="35" t="s">
        <v>159</v>
      </c>
      <c r="F84" s="95"/>
      <c r="G84" s="21"/>
      <c r="H84" s="21" t="s">
        <v>158</v>
      </c>
      <c r="I84" s="14"/>
      <c r="J84" s="14"/>
      <c r="K84" s="12">
        <v>0</v>
      </c>
      <c r="L84" s="9"/>
      <c r="M84" s="9"/>
      <c r="N84" s="9"/>
      <c r="O84" s="38">
        <f t="shared" si="6"/>
        <v>0</v>
      </c>
      <c r="P84" s="12"/>
      <c r="Q84" s="42"/>
      <c r="R84" s="15"/>
      <c r="S84" s="44"/>
      <c r="T84" s="15"/>
      <c r="U84" s="44"/>
      <c r="V84" s="15">
        <f t="shared" si="7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8"/>
        <v>0</v>
      </c>
      <c r="AF84" s="15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9"/>
        <v>0</v>
      </c>
      <c r="BA84" s="15"/>
      <c r="BB84" s="44"/>
      <c r="BC84" s="15"/>
      <c r="BD84" s="44"/>
      <c r="BE84" s="15">
        <f t="shared" si="10"/>
        <v>0</v>
      </c>
    </row>
    <row r="85" spans="1:57">
      <c r="A85" s="9"/>
      <c r="B85" s="18" t="s">
        <v>155</v>
      </c>
      <c r="C85" s="89" t="s">
        <v>52</v>
      </c>
      <c r="D85" s="58" t="s">
        <v>156</v>
      </c>
      <c r="E85" s="35" t="s">
        <v>160</v>
      </c>
      <c r="F85" s="95"/>
      <c r="G85" s="21"/>
      <c r="H85" s="21" t="s">
        <v>158</v>
      </c>
      <c r="I85" s="14"/>
      <c r="J85" s="14"/>
      <c r="K85" s="12">
        <v>0</v>
      </c>
      <c r="L85" s="9"/>
      <c r="M85" s="9"/>
      <c r="N85" s="9"/>
      <c r="O85" s="38">
        <f t="shared" si="6"/>
        <v>0</v>
      </c>
      <c r="P85" s="12"/>
      <c r="Q85" s="42"/>
      <c r="R85" s="15"/>
      <c r="S85" s="44"/>
      <c r="T85" s="15"/>
      <c r="U85" s="44"/>
      <c r="V85" s="15">
        <f t="shared" si="7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8"/>
        <v>0</v>
      </c>
      <c r="AF85" s="15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9"/>
        <v>0</v>
      </c>
      <c r="BA85" s="15"/>
      <c r="BB85" s="44"/>
      <c r="BC85" s="15"/>
      <c r="BD85" s="44"/>
      <c r="BE85" s="15">
        <f t="shared" si="10"/>
        <v>0</v>
      </c>
    </row>
    <row r="86" spans="1:57">
      <c r="A86" s="9"/>
      <c r="B86" s="18" t="s">
        <v>161</v>
      </c>
      <c r="C86" s="92" t="s">
        <v>151</v>
      </c>
      <c r="D86" s="58" t="s">
        <v>162</v>
      </c>
      <c r="E86" s="35" t="s">
        <v>163</v>
      </c>
      <c r="F86" s="95"/>
      <c r="G86" s="21"/>
      <c r="H86" s="21"/>
      <c r="I86" s="14"/>
      <c r="J86" s="14"/>
      <c r="K86" s="12">
        <v>0</v>
      </c>
      <c r="L86" s="9"/>
      <c r="M86" s="9"/>
      <c r="N86" s="9"/>
      <c r="O86" s="38">
        <f t="shared" si="6"/>
        <v>0</v>
      </c>
      <c r="P86" s="12"/>
      <c r="Q86" s="42"/>
      <c r="R86" s="15"/>
      <c r="S86" s="44"/>
      <c r="T86" s="15"/>
      <c r="U86" s="44"/>
      <c r="V86" s="15">
        <f t="shared" si="7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8"/>
        <v>0</v>
      </c>
      <c r="AF86" s="15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9"/>
        <v>0</v>
      </c>
      <c r="BA86" s="15"/>
      <c r="BB86" s="44"/>
      <c r="BC86" s="15"/>
      <c r="BD86" s="44"/>
      <c r="BE86" s="15">
        <f t="shared" si="10"/>
        <v>0</v>
      </c>
    </row>
    <row r="87" spans="1:57" ht="24" customHeight="1">
      <c r="A87" s="9"/>
      <c r="B87" s="18" t="s">
        <v>129</v>
      </c>
      <c r="C87" s="89" t="s">
        <v>44</v>
      </c>
      <c r="D87" s="66" t="s">
        <v>164</v>
      </c>
      <c r="E87" s="35"/>
      <c r="F87" s="95"/>
      <c r="G87" s="21"/>
      <c r="H87" s="21"/>
      <c r="I87" s="14"/>
      <c r="J87" s="14"/>
      <c r="K87" s="12">
        <v>0</v>
      </c>
      <c r="L87" s="9"/>
      <c r="M87" s="9"/>
      <c r="N87" s="9"/>
      <c r="O87" s="38">
        <f t="shared" si="6"/>
        <v>0</v>
      </c>
      <c r="P87" s="12"/>
      <c r="Q87" s="42"/>
      <c r="R87" s="15"/>
      <c r="S87" s="44"/>
      <c r="T87" s="15"/>
      <c r="U87" s="44"/>
      <c r="V87" s="15">
        <f t="shared" si="7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8"/>
        <v>0</v>
      </c>
      <c r="AF87" s="15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9"/>
        <v>0</v>
      </c>
      <c r="BA87" s="15"/>
      <c r="BB87" s="44"/>
      <c r="BC87" s="15"/>
      <c r="BD87" s="44"/>
      <c r="BE87" s="15">
        <f t="shared" si="10"/>
        <v>0</v>
      </c>
    </row>
    <row r="88" spans="1:57" ht="48" customHeight="1">
      <c r="A88" s="9"/>
      <c r="B88" s="18" t="s">
        <v>129</v>
      </c>
      <c r="C88" s="89" t="s">
        <v>165</v>
      </c>
      <c r="D88" s="66" t="s">
        <v>166</v>
      </c>
      <c r="E88" s="35"/>
      <c r="F88" s="95"/>
      <c r="G88" s="21"/>
      <c r="H88" s="21"/>
      <c r="I88" s="14"/>
      <c r="J88" s="14"/>
      <c r="K88" s="12">
        <v>0</v>
      </c>
      <c r="L88" s="9"/>
      <c r="M88" s="9"/>
      <c r="N88" s="9"/>
      <c r="O88" s="38">
        <f t="shared" si="6"/>
        <v>0</v>
      </c>
      <c r="P88" s="12"/>
      <c r="Q88" s="42"/>
      <c r="R88" s="15"/>
      <c r="S88" s="44"/>
      <c r="T88" s="15"/>
      <c r="U88" s="44"/>
      <c r="V88" s="15">
        <f t="shared" si="7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8"/>
        <v>0</v>
      </c>
      <c r="AF88" s="15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9"/>
        <v>0</v>
      </c>
      <c r="BA88" s="15"/>
      <c r="BB88" s="44"/>
      <c r="BC88" s="15"/>
      <c r="BD88" s="44"/>
      <c r="BE88" s="15">
        <f t="shared" si="10"/>
        <v>0</v>
      </c>
    </row>
    <row r="89" spans="1:57" ht="24" customHeight="1">
      <c r="A89" s="9"/>
      <c r="B89" s="18" t="s">
        <v>129</v>
      </c>
      <c r="C89" s="89" t="s">
        <v>44</v>
      </c>
      <c r="D89" s="66" t="s">
        <v>167</v>
      </c>
      <c r="E89" s="35"/>
      <c r="F89" s="95"/>
      <c r="G89" s="21"/>
      <c r="H89" s="21" t="s">
        <v>131</v>
      </c>
      <c r="I89" s="14"/>
      <c r="J89" s="14"/>
      <c r="K89" s="12">
        <v>574</v>
      </c>
      <c r="L89" s="9"/>
      <c r="M89" s="9"/>
      <c r="N89" s="9"/>
      <c r="O89" s="38">
        <f t="shared" si="6"/>
        <v>574</v>
      </c>
      <c r="P89" s="12"/>
      <c r="Q89" s="42"/>
      <c r="R89" s="15"/>
      <c r="S89" s="44"/>
      <c r="T89" s="15"/>
      <c r="U89" s="44"/>
      <c r="V89" s="15">
        <f t="shared" si="7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8"/>
        <v>0</v>
      </c>
      <c r="AF89" s="15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9"/>
        <v>0</v>
      </c>
      <c r="BA89" s="15"/>
      <c r="BB89" s="44"/>
      <c r="BC89" s="15"/>
      <c r="BD89" s="44"/>
      <c r="BE89" s="15">
        <f t="shared" si="10"/>
        <v>0</v>
      </c>
    </row>
    <row r="90" spans="1:57">
      <c r="A90" s="9"/>
      <c r="B90" s="18" t="s">
        <v>129</v>
      </c>
      <c r="C90" s="89" t="s">
        <v>132</v>
      </c>
      <c r="D90" s="66" t="s">
        <v>168</v>
      </c>
      <c r="E90" s="35"/>
      <c r="F90" s="95"/>
      <c r="G90" s="21"/>
      <c r="H90" s="21" t="s">
        <v>67</v>
      </c>
      <c r="I90" s="14"/>
      <c r="J90" s="14"/>
      <c r="K90" s="12">
        <v>604</v>
      </c>
      <c r="L90" s="9"/>
      <c r="M90" s="9"/>
      <c r="N90" s="9"/>
      <c r="O90" s="38">
        <f t="shared" si="6"/>
        <v>604</v>
      </c>
      <c r="P90" s="12"/>
      <c r="Q90" s="42"/>
      <c r="R90" s="15"/>
      <c r="S90" s="44"/>
      <c r="T90" s="15"/>
      <c r="U90" s="44"/>
      <c r="V90" s="15">
        <f t="shared" si="7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8"/>
        <v>0</v>
      </c>
      <c r="AF90" s="15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9"/>
        <v>0</v>
      </c>
      <c r="BA90" s="15"/>
      <c r="BB90" s="44"/>
      <c r="BC90" s="15"/>
      <c r="BD90" s="44"/>
      <c r="BE90" s="15">
        <f t="shared" si="10"/>
        <v>0</v>
      </c>
    </row>
    <row r="91" spans="1:57">
      <c r="A91" s="9"/>
      <c r="B91" s="18" t="s">
        <v>129</v>
      </c>
      <c r="C91" s="89" t="s">
        <v>48</v>
      </c>
      <c r="D91" s="58" t="s">
        <v>169</v>
      </c>
      <c r="E91" s="35"/>
      <c r="F91" s="95"/>
      <c r="G91" s="21"/>
      <c r="H91" s="21" t="s">
        <v>131</v>
      </c>
      <c r="I91" s="14"/>
      <c r="J91" s="14"/>
      <c r="K91" s="12">
        <v>400</v>
      </c>
      <c r="L91" s="9"/>
      <c r="M91" s="9"/>
      <c r="N91" s="9"/>
      <c r="O91" s="38">
        <f t="shared" si="6"/>
        <v>400</v>
      </c>
      <c r="P91" s="12"/>
      <c r="Q91" s="42"/>
      <c r="R91" s="15"/>
      <c r="S91" s="44"/>
      <c r="T91" s="15"/>
      <c r="U91" s="44"/>
      <c r="V91" s="15">
        <f t="shared" si="7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8"/>
        <v>0</v>
      </c>
      <c r="AF91" s="15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9"/>
        <v>0</v>
      </c>
      <c r="BA91" s="15"/>
      <c r="BB91" s="44"/>
      <c r="BC91" s="15"/>
      <c r="BD91" s="44"/>
      <c r="BE91" s="15">
        <f t="shared" si="10"/>
        <v>0</v>
      </c>
    </row>
    <row r="92" spans="1:57">
      <c r="A92" s="9"/>
      <c r="B92" s="18" t="s">
        <v>129</v>
      </c>
      <c r="C92" s="89" t="s">
        <v>50</v>
      </c>
      <c r="D92" s="58" t="s">
        <v>170</v>
      </c>
      <c r="E92" s="35"/>
      <c r="F92" s="95"/>
      <c r="G92" s="21"/>
      <c r="H92" s="21" t="s">
        <v>131</v>
      </c>
      <c r="I92" s="14"/>
      <c r="J92" s="14"/>
      <c r="K92" s="12">
        <v>260</v>
      </c>
      <c r="L92" s="9"/>
      <c r="M92" s="9"/>
      <c r="N92" s="9"/>
      <c r="O92" s="38">
        <f t="shared" si="6"/>
        <v>260</v>
      </c>
      <c r="P92" s="12"/>
      <c r="Q92" s="42"/>
      <c r="R92" s="15"/>
      <c r="S92" s="44"/>
      <c r="T92" s="15"/>
      <c r="U92" s="44"/>
      <c r="V92" s="15">
        <f t="shared" si="7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8"/>
        <v>0</v>
      </c>
      <c r="AF92" s="15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9"/>
        <v>0</v>
      </c>
      <c r="BA92" s="15"/>
      <c r="BB92" s="44"/>
      <c r="BC92" s="15"/>
      <c r="BD92" s="44"/>
      <c r="BE92" s="15">
        <f t="shared" si="10"/>
        <v>0</v>
      </c>
    </row>
    <row r="93" spans="1:57">
      <c r="A93" s="9"/>
      <c r="B93" s="18" t="s">
        <v>129</v>
      </c>
      <c r="C93" s="89" t="s">
        <v>52</v>
      </c>
      <c r="D93" s="58" t="s">
        <v>171</v>
      </c>
      <c r="E93" s="35"/>
      <c r="F93" s="95"/>
      <c r="G93" s="21"/>
      <c r="H93" s="21" t="s">
        <v>131</v>
      </c>
      <c r="I93" s="14"/>
      <c r="J93" s="14"/>
      <c r="K93" s="12">
        <v>0</v>
      </c>
      <c r="L93" s="9"/>
      <c r="M93" s="9"/>
      <c r="N93" s="9"/>
      <c r="O93" s="38">
        <f t="shared" si="6"/>
        <v>0</v>
      </c>
      <c r="P93" s="12"/>
      <c r="Q93" s="42"/>
      <c r="R93" s="15"/>
      <c r="S93" s="44"/>
      <c r="T93" s="15"/>
      <c r="U93" s="44"/>
      <c r="V93" s="15">
        <f t="shared" si="7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8"/>
        <v>0</v>
      </c>
      <c r="AF93" s="15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9"/>
        <v>0</v>
      </c>
      <c r="BA93" s="15"/>
      <c r="BB93" s="44"/>
      <c r="BC93" s="15"/>
      <c r="BD93" s="44"/>
      <c r="BE93" s="15">
        <f t="shared" si="10"/>
        <v>0</v>
      </c>
    </row>
    <row r="94" spans="1:57">
      <c r="A94" s="9"/>
      <c r="B94" s="18" t="s">
        <v>172</v>
      </c>
      <c r="C94" s="89" t="s">
        <v>132</v>
      </c>
      <c r="D94" s="58" t="s">
        <v>173</v>
      </c>
      <c r="E94" s="35"/>
      <c r="F94" s="96"/>
      <c r="G94" s="21"/>
      <c r="H94" s="21" t="s">
        <v>67</v>
      </c>
      <c r="I94" s="14"/>
      <c r="J94" s="14"/>
      <c r="K94" s="12">
        <v>249</v>
      </c>
      <c r="L94" s="9"/>
      <c r="M94" s="9"/>
      <c r="N94" s="9"/>
      <c r="O94" s="38">
        <f t="shared" si="6"/>
        <v>249</v>
      </c>
      <c r="P94" s="12"/>
      <c r="Q94" s="42"/>
      <c r="R94" s="15"/>
      <c r="S94" s="44"/>
      <c r="T94" s="15"/>
      <c r="U94" s="44"/>
      <c r="V94" s="15">
        <f t="shared" si="7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8"/>
        <v>0</v>
      </c>
      <c r="AF94" s="15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9"/>
        <v>0</v>
      </c>
      <c r="BA94" s="15"/>
      <c r="BB94" s="44"/>
      <c r="BC94" s="15"/>
      <c r="BD94" s="44"/>
      <c r="BE94" s="15">
        <v>0</v>
      </c>
    </row>
    <row r="95" spans="1:57">
      <c r="A95" s="9"/>
      <c r="B95" s="18" t="s">
        <v>172</v>
      </c>
      <c r="C95" s="89" t="s">
        <v>132</v>
      </c>
      <c r="D95" s="66" t="s">
        <v>174</v>
      </c>
      <c r="E95" s="35"/>
      <c r="F95" s="96"/>
      <c r="G95" s="21"/>
      <c r="H95" s="21" t="s">
        <v>67</v>
      </c>
      <c r="I95" s="14"/>
      <c r="J95" s="14"/>
      <c r="K95" s="12">
        <v>100</v>
      </c>
      <c r="L95" s="9"/>
      <c r="M95" s="9"/>
      <c r="N95" s="9"/>
      <c r="O95" s="38">
        <f t="shared" si="6"/>
        <v>100</v>
      </c>
      <c r="P95" s="12"/>
      <c r="Q95" s="42"/>
      <c r="R95" s="15"/>
      <c r="S95" s="44"/>
      <c r="T95" s="15"/>
      <c r="U95" s="44"/>
      <c r="V95" s="15">
        <f t="shared" si="7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8"/>
        <v>0</v>
      </c>
      <c r="AF95" s="15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9"/>
        <v>0</v>
      </c>
      <c r="BA95" s="15"/>
      <c r="BB95" s="44"/>
      <c r="BC95" s="15"/>
      <c r="BD95" s="44"/>
      <c r="BE95" s="15">
        <f t="shared" ref="BE95:BE158" si="11">(BA95+BC95)</f>
        <v>0</v>
      </c>
    </row>
    <row r="96" spans="1:57">
      <c r="A96" s="9"/>
      <c r="B96" s="18" t="s">
        <v>172</v>
      </c>
      <c r="C96" s="89" t="s">
        <v>132</v>
      </c>
      <c r="D96" s="66" t="s">
        <v>175</v>
      </c>
      <c r="E96" s="35" t="s">
        <v>176</v>
      </c>
      <c r="F96" s="96"/>
      <c r="G96" s="21"/>
      <c r="H96" s="21" t="s">
        <v>67</v>
      </c>
      <c r="I96" s="14"/>
      <c r="J96" s="14"/>
      <c r="K96" s="12">
        <v>164</v>
      </c>
      <c r="L96" s="9"/>
      <c r="M96" s="9"/>
      <c r="N96" s="9"/>
      <c r="O96" s="38">
        <f t="shared" si="6"/>
        <v>164</v>
      </c>
      <c r="P96" s="12"/>
      <c r="Q96" s="42"/>
      <c r="R96" s="15"/>
      <c r="S96" s="44"/>
      <c r="T96" s="15"/>
      <c r="U96" s="44"/>
      <c r="V96" s="15">
        <f t="shared" si="7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8"/>
        <v>0</v>
      </c>
      <c r="AF96" s="15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9"/>
        <v>0</v>
      </c>
      <c r="BA96" s="15"/>
      <c r="BB96" s="44"/>
      <c r="BC96" s="15"/>
      <c r="BD96" s="44"/>
      <c r="BE96" s="15">
        <f t="shared" si="11"/>
        <v>0</v>
      </c>
    </row>
    <row r="97" spans="1:57">
      <c r="A97" s="9"/>
      <c r="B97" s="18" t="s">
        <v>172</v>
      </c>
      <c r="C97" s="89" t="s">
        <v>132</v>
      </c>
      <c r="D97" s="58" t="s">
        <v>177</v>
      </c>
      <c r="E97" s="19"/>
      <c r="F97" s="96"/>
      <c r="G97" s="21"/>
      <c r="H97" s="21" t="s">
        <v>67</v>
      </c>
      <c r="I97" s="14"/>
      <c r="J97" s="14"/>
      <c r="K97" s="12">
        <v>300</v>
      </c>
      <c r="L97" s="9"/>
      <c r="M97" s="9"/>
      <c r="N97" s="9"/>
      <c r="O97" s="38">
        <f t="shared" si="6"/>
        <v>300</v>
      </c>
      <c r="P97" s="12"/>
      <c r="Q97" s="42"/>
      <c r="R97" s="15"/>
      <c r="S97" s="44"/>
      <c r="T97" s="15"/>
      <c r="U97" s="44"/>
      <c r="V97" s="15">
        <f t="shared" si="7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8"/>
        <v>0</v>
      </c>
      <c r="AF97" s="15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9"/>
        <v>0</v>
      </c>
      <c r="BA97" s="15"/>
      <c r="BB97" s="44"/>
      <c r="BC97" s="15"/>
      <c r="BD97" s="44"/>
      <c r="BE97" s="15">
        <f t="shared" si="11"/>
        <v>0</v>
      </c>
    </row>
    <row r="98" spans="1:57">
      <c r="A98" s="9"/>
      <c r="B98" s="18" t="s">
        <v>172</v>
      </c>
      <c r="C98" s="89" t="s">
        <v>132</v>
      </c>
      <c r="D98" s="58" t="s">
        <v>178</v>
      </c>
      <c r="E98" s="19" t="s">
        <v>179</v>
      </c>
      <c r="F98" s="96"/>
      <c r="G98" s="21"/>
      <c r="H98" s="21" t="s">
        <v>67</v>
      </c>
      <c r="I98" s="14"/>
      <c r="J98" s="14"/>
      <c r="K98" s="12">
        <v>102</v>
      </c>
      <c r="L98" s="9"/>
      <c r="M98" s="9"/>
      <c r="N98" s="9"/>
      <c r="O98" s="38">
        <f t="shared" si="6"/>
        <v>102</v>
      </c>
      <c r="P98" s="12"/>
      <c r="Q98" s="42"/>
      <c r="R98" s="15"/>
      <c r="S98" s="44"/>
      <c r="T98" s="15"/>
      <c r="U98" s="44"/>
      <c r="V98" s="15">
        <f t="shared" si="7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8"/>
        <v>0</v>
      </c>
      <c r="AF98" s="15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9"/>
        <v>0</v>
      </c>
      <c r="BA98" s="15"/>
      <c r="BB98" s="44"/>
      <c r="BC98" s="15"/>
      <c r="BD98" s="44"/>
      <c r="BE98" s="15">
        <f t="shared" si="11"/>
        <v>0</v>
      </c>
    </row>
    <row r="99" spans="1:57">
      <c r="A99" s="9"/>
      <c r="B99" s="18" t="s">
        <v>172</v>
      </c>
      <c r="C99" s="89" t="s">
        <v>132</v>
      </c>
      <c r="D99" s="58" t="s">
        <v>180</v>
      </c>
      <c r="E99" s="19"/>
      <c r="F99" s="96"/>
      <c r="G99" s="21"/>
      <c r="H99" s="21" t="s">
        <v>67</v>
      </c>
      <c r="I99" s="14"/>
      <c r="J99" s="14"/>
      <c r="K99" s="12">
        <v>0</v>
      </c>
      <c r="L99" s="9"/>
      <c r="M99" s="9"/>
      <c r="N99" s="9"/>
      <c r="O99" s="38">
        <f t="shared" si="6"/>
        <v>0</v>
      </c>
      <c r="P99" s="12"/>
      <c r="Q99" s="42"/>
      <c r="R99" s="15"/>
      <c r="S99" s="44"/>
      <c r="T99" s="15"/>
      <c r="U99" s="44"/>
      <c r="V99" s="15">
        <f t="shared" si="7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8"/>
        <v>0</v>
      </c>
      <c r="AF99" s="15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9"/>
        <v>0</v>
      </c>
      <c r="BA99" s="15"/>
      <c r="BB99" s="44"/>
      <c r="BC99" s="15"/>
      <c r="BD99" s="44"/>
      <c r="BE99" s="15">
        <f t="shared" si="11"/>
        <v>0</v>
      </c>
    </row>
    <row r="100" spans="1:57">
      <c r="A100" s="9"/>
      <c r="B100" s="18" t="s">
        <v>172</v>
      </c>
      <c r="C100" s="89" t="s">
        <v>132</v>
      </c>
      <c r="D100" s="58" t="s">
        <v>181</v>
      </c>
      <c r="E100" s="19"/>
      <c r="F100" s="96"/>
      <c r="G100" s="21"/>
      <c r="H100" s="21" t="s">
        <v>67</v>
      </c>
      <c r="I100" s="14"/>
      <c r="J100" s="14"/>
      <c r="K100" s="12">
        <v>0</v>
      </c>
      <c r="L100" s="9"/>
      <c r="M100" s="9"/>
      <c r="N100" s="9"/>
      <c r="O100" s="38">
        <f t="shared" si="6"/>
        <v>0</v>
      </c>
      <c r="P100" s="12"/>
      <c r="Q100" s="42"/>
      <c r="R100" s="15"/>
      <c r="S100" s="44"/>
      <c r="T100" s="15"/>
      <c r="U100" s="44"/>
      <c r="V100" s="15">
        <f t="shared" si="7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8"/>
        <v>0</v>
      </c>
      <c r="AF100" s="15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9"/>
        <v>0</v>
      </c>
      <c r="BA100" s="15"/>
      <c r="BB100" s="44"/>
      <c r="BC100" s="15"/>
      <c r="BD100" s="44"/>
      <c r="BE100" s="15">
        <f t="shared" si="11"/>
        <v>0</v>
      </c>
    </row>
    <row r="101" spans="1:57">
      <c r="A101" s="9"/>
      <c r="B101" s="18" t="s">
        <v>172</v>
      </c>
      <c r="C101" s="89" t="s">
        <v>132</v>
      </c>
      <c r="D101" s="58" t="s">
        <v>182</v>
      </c>
      <c r="E101" s="19"/>
      <c r="F101" s="96"/>
      <c r="G101" s="21"/>
      <c r="H101" s="21" t="s">
        <v>67</v>
      </c>
      <c r="I101" s="14"/>
      <c r="J101" s="14"/>
      <c r="K101" s="12">
        <v>240</v>
      </c>
      <c r="L101" s="9"/>
      <c r="M101" s="9"/>
      <c r="N101" s="9"/>
      <c r="O101" s="38">
        <f t="shared" si="6"/>
        <v>240</v>
      </c>
      <c r="P101" s="12"/>
      <c r="Q101" s="42"/>
      <c r="R101" s="15"/>
      <c r="S101" s="44"/>
      <c r="T101" s="15"/>
      <c r="U101" s="44"/>
      <c r="V101" s="15">
        <f t="shared" si="7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8"/>
        <v>0</v>
      </c>
      <c r="AF101" s="15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si="9"/>
        <v>0</v>
      </c>
      <c r="BA101" s="15"/>
      <c r="BB101" s="44"/>
      <c r="BC101" s="15"/>
      <c r="BD101" s="44"/>
      <c r="BE101" s="15">
        <f t="shared" si="11"/>
        <v>0</v>
      </c>
    </row>
    <row r="102" spans="1:57">
      <c r="A102" s="9"/>
      <c r="B102" s="18" t="s">
        <v>172</v>
      </c>
      <c r="C102" s="89" t="s">
        <v>132</v>
      </c>
      <c r="D102" s="58" t="s">
        <v>183</v>
      </c>
      <c r="E102" s="19"/>
      <c r="F102" s="96"/>
      <c r="G102" s="21"/>
      <c r="H102" s="21" t="s">
        <v>67</v>
      </c>
      <c r="I102" s="14"/>
      <c r="J102" s="14"/>
      <c r="K102" s="12">
        <v>240</v>
      </c>
      <c r="L102" s="9"/>
      <c r="M102" s="9"/>
      <c r="N102" s="9"/>
      <c r="O102" s="38">
        <f t="shared" si="6"/>
        <v>240</v>
      </c>
      <c r="P102" s="12"/>
      <c r="Q102" s="42"/>
      <c r="R102" s="15"/>
      <c r="S102" s="44"/>
      <c r="T102" s="15"/>
      <c r="U102" s="44"/>
      <c r="V102" s="15">
        <f t="shared" si="7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8"/>
        <v>0</v>
      </c>
      <c r="AF102" s="15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9"/>
        <v>0</v>
      </c>
      <c r="BA102" s="15"/>
      <c r="BB102" s="44"/>
      <c r="BC102" s="15"/>
      <c r="BD102" s="44"/>
      <c r="BE102" s="15">
        <f t="shared" si="11"/>
        <v>0</v>
      </c>
    </row>
    <row r="103" spans="1:57">
      <c r="A103" s="9"/>
      <c r="B103" s="18" t="s">
        <v>172</v>
      </c>
      <c r="C103" s="89" t="s">
        <v>132</v>
      </c>
      <c r="D103" s="58" t="s">
        <v>184</v>
      </c>
      <c r="E103" s="19"/>
      <c r="F103" s="96"/>
      <c r="G103" s="21"/>
      <c r="H103" s="21" t="s">
        <v>67</v>
      </c>
      <c r="I103" s="14"/>
      <c r="J103" s="14"/>
      <c r="K103" s="12">
        <v>88</v>
      </c>
      <c r="L103" s="9"/>
      <c r="M103" s="9"/>
      <c r="N103" s="9"/>
      <c r="O103" s="38">
        <f t="shared" si="6"/>
        <v>88</v>
      </c>
      <c r="P103" s="12"/>
      <c r="Q103" s="42"/>
      <c r="R103" s="15"/>
      <c r="S103" s="44"/>
      <c r="T103" s="15"/>
      <c r="U103" s="44"/>
      <c r="V103" s="15">
        <f t="shared" si="7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8"/>
        <v>0</v>
      </c>
      <c r="AF103" s="15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9"/>
        <v>0</v>
      </c>
      <c r="BA103" s="15"/>
      <c r="BB103" s="44"/>
      <c r="BC103" s="15"/>
      <c r="BD103" s="44"/>
      <c r="BE103" s="15">
        <f t="shared" si="11"/>
        <v>0</v>
      </c>
    </row>
    <row r="104" spans="1:57">
      <c r="A104" s="9"/>
      <c r="B104" s="16" t="s">
        <v>172</v>
      </c>
      <c r="C104" s="89" t="s">
        <v>132</v>
      </c>
      <c r="D104" s="68" t="s">
        <v>185</v>
      </c>
      <c r="E104" s="13"/>
      <c r="F104" s="96"/>
      <c r="G104" s="9"/>
      <c r="H104" s="9" t="s">
        <v>67</v>
      </c>
      <c r="I104" s="14"/>
      <c r="J104" s="14"/>
      <c r="K104" s="12">
        <v>0</v>
      </c>
      <c r="L104" s="9"/>
      <c r="M104" s="9"/>
      <c r="N104" s="9"/>
      <c r="O104" s="38">
        <f t="shared" si="6"/>
        <v>0</v>
      </c>
      <c r="P104" s="12"/>
      <c r="Q104" s="42"/>
      <c r="R104" s="15"/>
      <c r="S104" s="44"/>
      <c r="T104" s="15"/>
      <c r="U104" s="44"/>
      <c r="V104" s="15">
        <f t="shared" si="7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8"/>
        <v>0</v>
      </c>
      <c r="AF104" s="15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9"/>
        <v>0</v>
      </c>
      <c r="BA104" s="15"/>
      <c r="BB104" s="44"/>
      <c r="BC104" s="15"/>
      <c r="BD104" s="44"/>
      <c r="BE104" s="15">
        <f t="shared" si="11"/>
        <v>0</v>
      </c>
    </row>
    <row r="105" spans="1:57">
      <c r="A105" s="9"/>
      <c r="B105" s="16" t="s">
        <v>172</v>
      </c>
      <c r="C105" s="89" t="s">
        <v>132</v>
      </c>
      <c r="D105" s="69" t="s">
        <v>186</v>
      </c>
      <c r="E105" s="13" t="s">
        <v>179</v>
      </c>
      <c r="F105" s="96"/>
      <c r="G105" s="9"/>
      <c r="H105" s="9" t="s">
        <v>67</v>
      </c>
      <c r="I105" s="14"/>
      <c r="J105" s="14"/>
      <c r="K105" s="12">
        <v>378</v>
      </c>
      <c r="L105" s="9"/>
      <c r="M105" s="9"/>
      <c r="N105" s="9"/>
      <c r="O105" s="38">
        <f t="shared" si="6"/>
        <v>378</v>
      </c>
      <c r="P105" s="12"/>
      <c r="Q105" s="42"/>
      <c r="R105" s="15"/>
      <c r="S105" s="44"/>
      <c r="T105" s="15"/>
      <c r="U105" s="44"/>
      <c r="V105" s="15">
        <f t="shared" si="7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8"/>
        <v>0</v>
      </c>
      <c r="AF105" s="15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9"/>
        <v>0</v>
      </c>
      <c r="BA105" s="15"/>
      <c r="BB105" s="44"/>
      <c r="BC105" s="15"/>
      <c r="BD105" s="44"/>
      <c r="BE105" s="15">
        <f t="shared" si="11"/>
        <v>0</v>
      </c>
    </row>
    <row r="106" spans="1:57">
      <c r="A106" s="9"/>
      <c r="B106" s="18" t="s">
        <v>187</v>
      </c>
      <c r="C106" s="89" t="s">
        <v>132</v>
      </c>
      <c r="D106" s="58" t="s">
        <v>188</v>
      </c>
      <c r="E106" s="35" t="s">
        <v>189</v>
      </c>
      <c r="F106" s="96"/>
      <c r="G106" s="21"/>
      <c r="H106" s="21" t="s">
        <v>67</v>
      </c>
      <c r="I106" s="14"/>
      <c r="J106" s="14"/>
      <c r="K106" s="12">
        <v>855</v>
      </c>
      <c r="L106" s="36"/>
      <c r="M106" s="36"/>
      <c r="N106" s="36"/>
      <c r="O106" s="38">
        <f t="shared" si="6"/>
        <v>855</v>
      </c>
      <c r="P106" s="12"/>
      <c r="Q106" s="42"/>
      <c r="R106" s="15"/>
      <c r="S106" s="44"/>
      <c r="T106" s="15"/>
      <c r="U106" s="44"/>
      <c r="V106" s="15">
        <f t="shared" si="7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8"/>
        <v>0</v>
      </c>
      <c r="AF106" s="15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9"/>
        <v>0</v>
      </c>
      <c r="BA106" s="15"/>
      <c r="BB106" s="44"/>
      <c r="BC106" s="15"/>
      <c r="BD106" s="44"/>
      <c r="BE106" s="15">
        <f t="shared" si="11"/>
        <v>0</v>
      </c>
    </row>
    <row r="107" spans="1:57" ht="24" customHeight="1">
      <c r="A107" s="9"/>
      <c r="B107" s="18" t="s">
        <v>187</v>
      </c>
      <c r="C107" s="89" t="s">
        <v>190</v>
      </c>
      <c r="D107" s="58" t="s">
        <v>191</v>
      </c>
      <c r="E107" s="35" t="s">
        <v>192</v>
      </c>
      <c r="F107" s="96"/>
      <c r="G107" s="21"/>
      <c r="H107" s="21" t="s">
        <v>193</v>
      </c>
      <c r="I107" s="14"/>
      <c r="J107" s="14"/>
      <c r="K107" s="12">
        <v>823</v>
      </c>
      <c r="L107" s="9"/>
      <c r="M107" s="9"/>
      <c r="N107" s="9"/>
      <c r="O107" s="38">
        <f t="shared" si="6"/>
        <v>823</v>
      </c>
      <c r="P107" s="12"/>
      <c r="Q107" s="42"/>
      <c r="R107" s="15"/>
      <c r="S107" s="44"/>
      <c r="T107" s="15"/>
      <c r="U107" s="44"/>
      <c r="V107" s="15">
        <f t="shared" si="7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8"/>
        <v>0</v>
      </c>
      <c r="AF107" s="15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9"/>
        <v>0</v>
      </c>
      <c r="BA107" s="15"/>
      <c r="BB107" s="44"/>
      <c r="BC107" s="15"/>
      <c r="BD107" s="44"/>
      <c r="BE107" s="15">
        <f t="shared" si="11"/>
        <v>0</v>
      </c>
    </row>
    <row r="108" spans="1:57">
      <c r="A108" s="9"/>
      <c r="B108" s="18" t="s">
        <v>120</v>
      </c>
      <c r="C108" s="89" t="s">
        <v>132</v>
      </c>
      <c r="D108" s="58" t="s">
        <v>194</v>
      </c>
      <c r="E108" s="35" t="s">
        <v>195</v>
      </c>
      <c r="F108" s="96"/>
      <c r="G108" s="21"/>
      <c r="H108" s="21" t="s">
        <v>67</v>
      </c>
      <c r="I108" s="14"/>
      <c r="J108" s="14"/>
      <c r="K108" s="12">
        <v>0</v>
      </c>
      <c r="L108" s="9"/>
      <c r="M108" s="9"/>
      <c r="N108" s="9"/>
      <c r="O108" s="38">
        <f t="shared" si="6"/>
        <v>0</v>
      </c>
      <c r="P108" s="12"/>
      <c r="Q108" s="42"/>
      <c r="R108" s="15"/>
      <c r="S108" s="44"/>
      <c r="T108" s="15"/>
      <c r="U108" s="44"/>
      <c r="V108" s="15">
        <f t="shared" si="7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8"/>
        <v>0</v>
      </c>
      <c r="AF108" s="15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9"/>
        <v>0</v>
      </c>
      <c r="BA108" s="15"/>
      <c r="BB108" s="44"/>
      <c r="BC108" s="15"/>
      <c r="BD108" s="44"/>
      <c r="BE108" s="15">
        <f t="shared" si="11"/>
        <v>0</v>
      </c>
    </row>
    <row r="109" spans="1:57">
      <c r="A109" s="9"/>
      <c r="B109" s="18" t="s">
        <v>120</v>
      </c>
      <c r="C109" s="89" t="s">
        <v>132</v>
      </c>
      <c r="D109" s="58" t="s">
        <v>196</v>
      </c>
      <c r="E109" s="35" t="s">
        <v>197</v>
      </c>
      <c r="F109" s="96"/>
      <c r="G109" s="21"/>
      <c r="H109" s="21" t="s">
        <v>67</v>
      </c>
      <c r="I109" s="14"/>
      <c r="J109" s="14"/>
      <c r="K109" s="12">
        <v>0</v>
      </c>
      <c r="L109" s="9"/>
      <c r="M109" s="9"/>
      <c r="N109" s="9"/>
      <c r="O109" s="38">
        <f t="shared" si="6"/>
        <v>0</v>
      </c>
      <c r="P109" s="12"/>
      <c r="Q109" s="42"/>
      <c r="R109" s="15"/>
      <c r="S109" s="44"/>
      <c r="T109" s="15"/>
      <c r="U109" s="44"/>
      <c r="V109" s="15">
        <f t="shared" si="7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8"/>
        <v>0</v>
      </c>
      <c r="AF109" s="15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9"/>
        <v>0</v>
      </c>
      <c r="BA109" s="15"/>
      <c r="BB109" s="44"/>
      <c r="BC109" s="15"/>
      <c r="BD109" s="44"/>
      <c r="BE109" s="15">
        <f t="shared" si="11"/>
        <v>0</v>
      </c>
    </row>
    <row r="110" spans="1:57">
      <c r="A110" s="9"/>
      <c r="B110" s="18" t="s">
        <v>120</v>
      </c>
      <c r="C110" s="89" t="s">
        <v>132</v>
      </c>
      <c r="D110" s="58" t="s">
        <v>198</v>
      </c>
      <c r="E110" s="19" t="s">
        <v>199</v>
      </c>
      <c r="F110" s="96"/>
      <c r="G110" s="21"/>
      <c r="H110" s="21" t="s">
        <v>67</v>
      </c>
      <c r="I110" s="14"/>
      <c r="J110" s="14"/>
      <c r="K110" s="12">
        <v>0</v>
      </c>
      <c r="L110" s="9"/>
      <c r="M110" s="9"/>
      <c r="N110" s="9"/>
      <c r="O110" s="38">
        <f t="shared" si="6"/>
        <v>0</v>
      </c>
      <c r="P110" s="12"/>
      <c r="Q110" s="42"/>
      <c r="R110" s="15"/>
      <c r="S110" s="44"/>
      <c r="T110" s="15"/>
      <c r="U110" s="44"/>
      <c r="V110" s="15">
        <f t="shared" si="7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8"/>
        <v>0</v>
      </c>
      <c r="AF110" s="15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9"/>
        <v>0</v>
      </c>
      <c r="BA110" s="15"/>
      <c r="BB110" s="44"/>
      <c r="BC110" s="15"/>
      <c r="BD110" s="44"/>
      <c r="BE110" s="15">
        <f t="shared" si="11"/>
        <v>0</v>
      </c>
    </row>
    <row r="111" spans="1:57">
      <c r="A111" s="9"/>
      <c r="B111" s="18" t="s">
        <v>120</v>
      </c>
      <c r="C111" s="89" t="s">
        <v>132</v>
      </c>
      <c r="D111" s="58" t="s">
        <v>200</v>
      </c>
      <c r="E111" s="19" t="s">
        <v>201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6"/>
        <v>0</v>
      </c>
      <c r="P111" s="12"/>
      <c r="Q111" s="42"/>
      <c r="R111" s="15"/>
      <c r="S111" s="44"/>
      <c r="T111" s="15"/>
      <c r="U111" s="44"/>
      <c r="V111" s="15">
        <f t="shared" si="7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8"/>
        <v>0</v>
      </c>
      <c r="AF111" s="15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9"/>
        <v>0</v>
      </c>
      <c r="BA111" s="15"/>
      <c r="BB111" s="44"/>
      <c r="BC111" s="15"/>
      <c r="BD111" s="44"/>
      <c r="BE111" s="15">
        <f t="shared" si="11"/>
        <v>0</v>
      </c>
    </row>
    <row r="112" spans="1:57">
      <c r="A112" s="9"/>
      <c r="B112" s="18" t="s">
        <v>120</v>
      </c>
      <c r="C112" s="89" t="s">
        <v>132</v>
      </c>
      <c r="D112" s="58" t="s">
        <v>202</v>
      </c>
      <c r="E112" s="19" t="s">
        <v>203</v>
      </c>
      <c r="F112" s="96"/>
      <c r="G112" s="21"/>
      <c r="H112" s="21" t="s">
        <v>67</v>
      </c>
      <c r="I112" s="14"/>
      <c r="J112" s="14"/>
      <c r="K112" s="12">
        <v>98</v>
      </c>
      <c r="L112" s="9"/>
      <c r="M112" s="9"/>
      <c r="N112" s="9"/>
      <c r="O112" s="38">
        <f t="shared" si="6"/>
        <v>98</v>
      </c>
      <c r="P112" s="12"/>
      <c r="Q112" s="42"/>
      <c r="R112" s="15"/>
      <c r="S112" s="44"/>
      <c r="T112" s="15"/>
      <c r="U112" s="44"/>
      <c r="V112" s="15">
        <f t="shared" si="7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8"/>
        <v>0</v>
      </c>
      <c r="AF112" s="15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9"/>
        <v>0</v>
      </c>
      <c r="BA112" s="15"/>
      <c r="BB112" s="44"/>
      <c r="BC112" s="15"/>
      <c r="BD112" s="44"/>
      <c r="BE112" s="15">
        <f t="shared" si="11"/>
        <v>0</v>
      </c>
    </row>
    <row r="113" spans="1:57">
      <c r="A113" s="9"/>
      <c r="B113" s="18" t="s">
        <v>204</v>
      </c>
      <c r="C113" s="89" t="s">
        <v>132</v>
      </c>
      <c r="D113" s="58" t="s">
        <v>205</v>
      </c>
      <c r="E113" s="35" t="s">
        <v>206</v>
      </c>
      <c r="F113" s="96"/>
      <c r="G113" s="21"/>
      <c r="H113" s="21" t="s">
        <v>207</v>
      </c>
      <c r="I113" s="14"/>
      <c r="J113" s="14"/>
      <c r="K113" s="12">
        <v>340</v>
      </c>
      <c r="L113" s="9"/>
      <c r="M113" s="9"/>
      <c r="N113" s="9"/>
      <c r="O113" s="38">
        <f t="shared" si="6"/>
        <v>340</v>
      </c>
      <c r="P113" s="12"/>
      <c r="Q113" s="42"/>
      <c r="R113" s="15"/>
      <c r="S113" s="44"/>
      <c r="T113" s="15"/>
      <c r="U113" s="44"/>
      <c r="V113" s="15">
        <f t="shared" si="7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8"/>
        <v>0</v>
      </c>
      <c r="AF113" s="15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9"/>
        <v>0</v>
      </c>
      <c r="BA113" s="15"/>
      <c r="BB113" s="44"/>
      <c r="BC113" s="15"/>
      <c r="BD113" s="44"/>
      <c r="BE113" s="15">
        <f t="shared" si="11"/>
        <v>0</v>
      </c>
    </row>
    <row r="114" spans="1:57">
      <c r="A114" s="9"/>
      <c r="B114" s="18" t="s">
        <v>204</v>
      </c>
      <c r="C114" s="89" t="s">
        <v>132</v>
      </c>
      <c r="D114" s="99" t="s">
        <v>208</v>
      </c>
      <c r="E114" s="35"/>
      <c r="F114" s="96"/>
      <c r="G114" s="21"/>
      <c r="H114" s="21" t="s">
        <v>67</v>
      </c>
      <c r="I114" s="14"/>
      <c r="J114" s="14"/>
      <c r="K114" s="12">
        <v>247</v>
      </c>
      <c r="L114" s="9"/>
      <c r="M114" s="9"/>
      <c r="N114" s="9"/>
      <c r="O114" s="38">
        <f t="shared" si="6"/>
        <v>247</v>
      </c>
      <c r="P114" s="12"/>
      <c r="Q114" s="42"/>
      <c r="R114" s="15"/>
      <c r="S114" s="44"/>
      <c r="T114" s="15"/>
      <c r="U114" s="44"/>
      <c r="V114" s="15">
        <f t="shared" si="7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8"/>
        <v>0</v>
      </c>
      <c r="AF114" s="15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9"/>
        <v>0</v>
      </c>
      <c r="BA114" s="15"/>
      <c r="BB114" s="44"/>
      <c r="BC114" s="15"/>
      <c r="BD114" s="44"/>
      <c r="BE114" s="15">
        <f t="shared" si="11"/>
        <v>0</v>
      </c>
    </row>
    <row r="115" spans="1:57">
      <c r="A115" s="9"/>
      <c r="B115" s="18" t="s">
        <v>204</v>
      </c>
      <c r="C115" s="89" t="s">
        <v>132</v>
      </c>
      <c r="D115" s="58" t="s">
        <v>209</v>
      </c>
      <c r="E115" s="35" t="s">
        <v>210</v>
      </c>
      <c r="F115" s="96"/>
      <c r="G115" s="21"/>
      <c r="H115" s="21" t="s">
        <v>207</v>
      </c>
      <c r="I115" s="14"/>
      <c r="J115" s="14"/>
      <c r="K115" s="12">
        <v>302</v>
      </c>
      <c r="L115" s="9"/>
      <c r="M115" s="9"/>
      <c r="N115" s="9"/>
      <c r="O115" s="38">
        <f t="shared" si="6"/>
        <v>302</v>
      </c>
      <c r="P115" s="12"/>
      <c r="Q115" s="42"/>
      <c r="R115" s="15"/>
      <c r="S115" s="44"/>
      <c r="T115" s="15"/>
      <c r="U115" s="44"/>
      <c r="V115" s="15">
        <f t="shared" si="7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8"/>
        <v>0</v>
      </c>
      <c r="AF115" s="15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9"/>
        <v>0</v>
      </c>
      <c r="BA115" s="15"/>
      <c r="BB115" s="44"/>
      <c r="BC115" s="15"/>
      <c r="BD115" s="44"/>
      <c r="BE115" s="15">
        <f t="shared" si="11"/>
        <v>0</v>
      </c>
    </row>
    <row r="116" spans="1:57">
      <c r="A116" s="9"/>
      <c r="B116" s="18" t="s">
        <v>204</v>
      </c>
      <c r="C116" s="89" t="s">
        <v>132</v>
      </c>
      <c r="D116" s="58" t="s">
        <v>209</v>
      </c>
      <c r="E116" s="35" t="s">
        <v>211</v>
      </c>
      <c r="F116" s="96"/>
      <c r="G116" s="21"/>
      <c r="H116" s="21" t="s">
        <v>207</v>
      </c>
      <c r="I116" s="14"/>
      <c r="J116" s="14"/>
      <c r="K116" s="12">
        <v>0</v>
      </c>
      <c r="L116" s="9"/>
      <c r="M116" s="9"/>
      <c r="N116" s="9"/>
      <c r="O116" s="38">
        <f t="shared" si="6"/>
        <v>0</v>
      </c>
      <c r="P116" s="12"/>
      <c r="Q116" s="42"/>
      <c r="R116" s="15"/>
      <c r="S116" s="44"/>
      <c r="T116" s="15"/>
      <c r="U116" s="44"/>
      <c r="V116" s="15">
        <f t="shared" si="7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8"/>
        <v>0</v>
      </c>
      <c r="AF116" s="15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9"/>
        <v>0</v>
      </c>
      <c r="BA116" s="15"/>
      <c r="BB116" s="44"/>
      <c r="BC116" s="15"/>
      <c r="BD116" s="44"/>
      <c r="BE116" s="15">
        <f t="shared" si="11"/>
        <v>0</v>
      </c>
    </row>
    <row r="117" spans="1:57">
      <c r="A117" s="9"/>
      <c r="B117" s="18" t="s">
        <v>204</v>
      </c>
      <c r="C117" s="89" t="s">
        <v>132</v>
      </c>
      <c r="D117" s="58" t="s">
        <v>209</v>
      </c>
      <c r="E117" s="35" t="s">
        <v>206</v>
      </c>
      <c r="F117" s="96"/>
      <c r="G117" s="21"/>
      <c r="H117" s="21" t="s">
        <v>207</v>
      </c>
      <c r="I117" s="14"/>
      <c r="J117" s="14"/>
      <c r="K117" s="12">
        <v>306</v>
      </c>
      <c r="L117" s="9"/>
      <c r="M117" s="9"/>
      <c r="N117" s="9"/>
      <c r="O117" s="38">
        <f t="shared" si="6"/>
        <v>306</v>
      </c>
      <c r="P117" s="12"/>
      <c r="Q117" s="42"/>
      <c r="R117" s="15"/>
      <c r="S117" s="44"/>
      <c r="T117" s="15"/>
      <c r="U117" s="44"/>
      <c r="V117" s="15">
        <f t="shared" si="7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8"/>
        <v>0</v>
      </c>
      <c r="AF117" s="15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9"/>
        <v>0</v>
      </c>
      <c r="BA117" s="15"/>
      <c r="BB117" s="44"/>
      <c r="BC117" s="15"/>
      <c r="BD117" s="44"/>
      <c r="BE117" s="15">
        <f t="shared" si="11"/>
        <v>0</v>
      </c>
    </row>
    <row r="118" spans="1:57">
      <c r="A118" s="9"/>
      <c r="B118" s="18" t="s">
        <v>204</v>
      </c>
      <c r="C118" s="89" t="s">
        <v>132</v>
      </c>
      <c r="D118" s="58" t="s">
        <v>212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40</v>
      </c>
      <c r="L118" s="9"/>
      <c r="M118" s="9"/>
      <c r="N118" s="9"/>
      <c r="O118" s="38">
        <f t="shared" si="6"/>
        <v>40</v>
      </c>
      <c r="P118" s="12"/>
      <c r="Q118" s="42"/>
      <c r="R118" s="15"/>
      <c r="S118" s="44"/>
      <c r="T118" s="15"/>
      <c r="U118" s="44"/>
      <c r="V118" s="15">
        <f t="shared" si="7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8"/>
        <v>0</v>
      </c>
      <c r="AF118" s="15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9"/>
        <v>0</v>
      </c>
      <c r="BA118" s="15"/>
      <c r="BB118" s="44"/>
      <c r="BC118" s="15"/>
      <c r="BD118" s="44"/>
      <c r="BE118" s="15">
        <f t="shared" si="11"/>
        <v>0</v>
      </c>
    </row>
    <row r="119" spans="1:57">
      <c r="A119" s="9"/>
      <c r="B119" s="18" t="s">
        <v>204</v>
      </c>
      <c r="C119" s="89" t="s">
        <v>132</v>
      </c>
      <c r="D119" s="58" t="s">
        <v>212</v>
      </c>
      <c r="E119" s="35" t="s">
        <v>206</v>
      </c>
      <c r="F119" s="96"/>
      <c r="G119" s="21"/>
      <c r="H119" s="21" t="s">
        <v>207</v>
      </c>
      <c r="I119" s="14"/>
      <c r="J119" s="14"/>
      <c r="K119" s="12">
        <v>372</v>
      </c>
      <c r="L119" s="9"/>
      <c r="M119" s="9"/>
      <c r="N119" s="9"/>
      <c r="O119" s="38">
        <f t="shared" si="6"/>
        <v>372</v>
      </c>
      <c r="P119" s="12"/>
      <c r="Q119" s="42"/>
      <c r="R119" s="15"/>
      <c r="S119" s="44"/>
      <c r="T119" s="15"/>
      <c r="U119" s="44"/>
      <c r="V119" s="15">
        <f t="shared" si="7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8"/>
        <v>0</v>
      </c>
      <c r="AF119" s="15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9"/>
        <v>0</v>
      </c>
      <c r="BA119" s="15"/>
      <c r="BB119" s="44"/>
      <c r="BC119" s="15"/>
      <c r="BD119" s="44"/>
      <c r="BE119" s="15">
        <f t="shared" si="11"/>
        <v>0</v>
      </c>
    </row>
    <row r="120" spans="1:57">
      <c r="A120" s="9"/>
      <c r="B120" s="18" t="s">
        <v>204</v>
      </c>
      <c r="C120" s="89" t="s">
        <v>132</v>
      </c>
      <c r="D120" s="58" t="s">
        <v>213</v>
      </c>
      <c r="E120" s="35" t="s">
        <v>214</v>
      </c>
      <c r="F120" s="96"/>
      <c r="G120" s="21"/>
      <c r="H120" s="21" t="s">
        <v>207</v>
      </c>
      <c r="I120" s="14"/>
      <c r="J120" s="14"/>
      <c r="K120" s="12">
        <v>525</v>
      </c>
      <c r="L120" s="9"/>
      <c r="M120" s="9"/>
      <c r="N120" s="9"/>
      <c r="O120" s="38">
        <f t="shared" si="6"/>
        <v>525</v>
      </c>
      <c r="P120" s="12"/>
      <c r="Q120" s="42"/>
      <c r="R120" s="15"/>
      <c r="S120" s="44"/>
      <c r="T120" s="15"/>
      <c r="U120" s="44"/>
      <c r="V120" s="15">
        <f t="shared" si="7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8"/>
        <v>0</v>
      </c>
      <c r="AF120" s="15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9"/>
        <v>0</v>
      </c>
      <c r="BA120" s="15"/>
      <c r="BB120" s="44"/>
      <c r="BC120" s="15"/>
      <c r="BD120" s="44"/>
      <c r="BE120" s="15">
        <f t="shared" si="11"/>
        <v>0</v>
      </c>
    </row>
    <row r="121" spans="1:57">
      <c r="A121" s="9"/>
      <c r="B121" s="18" t="s">
        <v>204</v>
      </c>
      <c r="C121" s="89" t="s">
        <v>132</v>
      </c>
      <c r="D121" s="58" t="s">
        <v>213</v>
      </c>
      <c r="E121" s="35" t="s">
        <v>206</v>
      </c>
      <c r="F121" s="96"/>
      <c r="G121" s="21"/>
      <c r="H121" s="21" t="s">
        <v>207</v>
      </c>
      <c r="I121" s="14"/>
      <c r="J121" s="14"/>
      <c r="K121" s="12">
        <v>0</v>
      </c>
      <c r="L121" s="9"/>
      <c r="M121" s="9"/>
      <c r="N121" s="9"/>
      <c r="O121" s="38">
        <f t="shared" si="6"/>
        <v>0</v>
      </c>
      <c r="P121" s="12"/>
      <c r="Q121" s="42"/>
      <c r="R121" s="15"/>
      <c r="S121" s="44"/>
      <c r="T121" s="15"/>
      <c r="U121" s="44"/>
      <c r="V121" s="15">
        <f t="shared" si="7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8"/>
        <v>0</v>
      </c>
      <c r="AF121" s="15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9"/>
        <v>0</v>
      </c>
      <c r="BA121" s="15"/>
      <c r="BB121" s="44"/>
      <c r="BC121" s="15"/>
      <c r="BD121" s="44"/>
      <c r="BE121" s="15">
        <f t="shared" si="11"/>
        <v>0</v>
      </c>
    </row>
    <row r="122" spans="1:57">
      <c r="A122" s="9"/>
      <c r="B122" s="18" t="s">
        <v>204</v>
      </c>
      <c r="C122" s="89" t="s">
        <v>132</v>
      </c>
      <c r="D122" s="58" t="s">
        <v>213</v>
      </c>
      <c r="E122" s="35" t="s">
        <v>215</v>
      </c>
      <c r="F122" s="96"/>
      <c r="G122" s="21"/>
      <c r="H122" s="21" t="s">
        <v>207</v>
      </c>
      <c r="I122" s="14"/>
      <c r="J122" s="14"/>
      <c r="K122" s="12">
        <v>2109</v>
      </c>
      <c r="L122" s="9"/>
      <c r="M122" s="9"/>
      <c r="N122" s="9"/>
      <c r="O122" s="38">
        <f t="shared" si="6"/>
        <v>2109</v>
      </c>
      <c r="P122" s="12"/>
      <c r="Q122" s="42"/>
      <c r="R122" s="15"/>
      <c r="S122" s="44"/>
      <c r="T122" s="15"/>
      <c r="U122" s="44"/>
      <c r="V122" s="15">
        <f t="shared" si="7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8"/>
        <v>0</v>
      </c>
      <c r="AF122" s="15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9"/>
        <v>0</v>
      </c>
      <c r="BA122" s="15"/>
      <c r="BB122" s="44"/>
      <c r="BC122" s="15"/>
      <c r="BD122" s="44"/>
      <c r="BE122" s="15">
        <f t="shared" si="11"/>
        <v>0</v>
      </c>
    </row>
    <row r="123" spans="1:57">
      <c r="A123" s="9"/>
      <c r="B123" s="18" t="s">
        <v>204</v>
      </c>
      <c r="C123" s="89" t="s">
        <v>132</v>
      </c>
      <c r="D123" s="58" t="s">
        <v>216</v>
      </c>
      <c r="E123" s="35" t="s">
        <v>217</v>
      </c>
      <c r="F123" s="96"/>
      <c r="G123" s="21"/>
      <c r="H123" s="21" t="s">
        <v>207</v>
      </c>
      <c r="I123" s="14"/>
      <c r="J123" s="14"/>
      <c r="K123" s="12">
        <v>60</v>
      </c>
      <c r="L123" s="9"/>
      <c r="M123" s="9"/>
      <c r="N123" s="9"/>
      <c r="O123" s="38">
        <f t="shared" si="6"/>
        <v>60</v>
      </c>
      <c r="P123" s="12"/>
      <c r="Q123" s="42"/>
      <c r="R123" s="15"/>
      <c r="S123" s="44"/>
      <c r="T123" s="15"/>
      <c r="U123" s="44"/>
      <c r="V123" s="15">
        <f t="shared" si="7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8"/>
        <v>0</v>
      </c>
      <c r="AF123" s="15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9"/>
        <v>0</v>
      </c>
      <c r="BA123" s="15"/>
      <c r="BB123" s="44"/>
      <c r="BC123" s="15"/>
      <c r="BD123" s="44"/>
      <c r="BE123" s="15">
        <f t="shared" si="11"/>
        <v>0</v>
      </c>
    </row>
    <row r="124" spans="1:57">
      <c r="A124" s="9"/>
      <c r="B124" s="18" t="s">
        <v>204</v>
      </c>
      <c r="C124" s="89" t="s">
        <v>132</v>
      </c>
      <c r="D124" s="58" t="s">
        <v>218</v>
      </c>
      <c r="E124" s="35" t="s">
        <v>217</v>
      </c>
      <c r="F124" s="96"/>
      <c r="G124" s="21"/>
      <c r="H124" s="21" t="s">
        <v>207</v>
      </c>
      <c r="I124" s="14"/>
      <c r="J124" s="14"/>
      <c r="K124" s="12">
        <v>540</v>
      </c>
      <c r="L124" s="9"/>
      <c r="M124" s="9"/>
      <c r="N124" s="9"/>
      <c r="O124" s="38">
        <f t="shared" si="6"/>
        <v>540</v>
      </c>
      <c r="P124" s="12"/>
      <c r="Q124" s="42"/>
      <c r="R124" s="15"/>
      <c r="S124" s="44"/>
      <c r="T124" s="15"/>
      <c r="U124" s="44"/>
      <c r="V124" s="15">
        <f t="shared" si="7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8"/>
        <v>0</v>
      </c>
      <c r="AF124" s="15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9"/>
        <v>0</v>
      </c>
      <c r="BA124" s="15"/>
      <c r="BB124" s="44"/>
      <c r="BC124" s="15"/>
      <c r="BD124" s="44"/>
      <c r="BE124" s="15">
        <f t="shared" si="11"/>
        <v>0</v>
      </c>
    </row>
    <row r="125" spans="1:57">
      <c r="A125" s="9"/>
      <c r="B125" s="18" t="s">
        <v>204</v>
      </c>
      <c r="C125" s="89" t="s">
        <v>132</v>
      </c>
      <c r="D125" s="58" t="s">
        <v>219</v>
      </c>
      <c r="E125" s="35" t="s">
        <v>217</v>
      </c>
      <c r="F125" s="96"/>
      <c r="G125" s="21"/>
      <c r="H125" s="21" t="s">
        <v>207</v>
      </c>
      <c r="I125" s="14"/>
      <c r="J125" s="14"/>
      <c r="K125" s="12">
        <v>94</v>
      </c>
      <c r="L125" s="9"/>
      <c r="M125" s="9"/>
      <c r="N125" s="9"/>
      <c r="O125" s="38">
        <f t="shared" si="6"/>
        <v>94</v>
      </c>
      <c r="P125" s="12"/>
      <c r="Q125" s="42"/>
      <c r="R125" s="15"/>
      <c r="S125" s="44"/>
      <c r="T125" s="15"/>
      <c r="U125" s="44"/>
      <c r="V125" s="15">
        <f t="shared" si="7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8"/>
        <v>0</v>
      </c>
      <c r="AF125" s="15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9"/>
        <v>0</v>
      </c>
      <c r="BA125" s="15"/>
      <c r="BB125" s="44"/>
      <c r="BC125" s="15"/>
      <c r="BD125" s="44"/>
      <c r="BE125" s="15">
        <f t="shared" si="11"/>
        <v>0</v>
      </c>
    </row>
    <row r="126" spans="1:57">
      <c r="A126" s="9"/>
      <c r="B126" s="18" t="s">
        <v>204</v>
      </c>
      <c r="C126" s="89" t="s">
        <v>132</v>
      </c>
      <c r="D126" s="58" t="s">
        <v>220</v>
      </c>
      <c r="E126" s="35" t="s">
        <v>215</v>
      </c>
      <c r="F126" s="96"/>
      <c r="G126" s="21"/>
      <c r="H126" s="21" t="s">
        <v>207</v>
      </c>
      <c r="I126" s="14"/>
      <c r="J126" s="14"/>
      <c r="K126" s="12">
        <v>759</v>
      </c>
      <c r="L126" s="9"/>
      <c r="M126" s="9"/>
      <c r="N126" s="9"/>
      <c r="O126" s="38">
        <f t="shared" si="6"/>
        <v>759</v>
      </c>
      <c r="P126" s="12"/>
      <c r="Q126" s="42"/>
      <c r="R126" s="15"/>
      <c r="S126" s="44"/>
      <c r="T126" s="15"/>
      <c r="U126" s="44"/>
      <c r="V126" s="15">
        <f t="shared" si="7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8"/>
        <v>0</v>
      </c>
      <c r="AF126" s="15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9"/>
        <v>0</v>
      </c>
      <c r="BA126" s="15"/>
      <c r="BB126" s="44"/>
      <c r="BC126" s="15"/>
      <c r="BD126" s="44"/>
      <c r="BE126" s="15">
        <f t="shared" si="11"/>
        <v>0</v>
      </c>
    </row>
    <row r="127" spans="1:57">
      <c r="A127" s="9"/>
      <c r="B127" s="18" t="s">
        <v>204</v>
      </c>
      <c r="C127" s="89" t="s">
        <v>132</v>
      </c>
      <c r="D127" s="58" t="s">
        <v>221</v>
      </c>
      <c r="E127" s="35" t="s">
        <v>222</v>
      </c>
      <c r="F127" s="96"/>
      <c r="G127" s="21"/>
      <c r="H127" s="21" t="s">
        <v>207</v>
      </c>
      <c r="I127" s="14"/>
      <c r="J127" s="14"/>
      <c r="K127" s="12">
        <v>0</v>
      </c>
      <c r="L127" s="9"/>
      <c r="M127" s="9"/>
      <c r="N127" s="9"/>
      <c r="O127" s="38">
        <f t="shared" si="6"/>
        <v>0</v>
      </c>
      <c r="P127" s="12"/>
      <c r="Q127" s="42"/>
      <c r="R127" s="15"/>
      <c r="S127" s="44"/>
      <c r="T127" s="15"/>
      <c r="U127" s="44"/>
      <c r="V127" s="15">
        <f t="shared" si="7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8"/>
        <v>0</v>
      </c>
      <c r="AF127" s="15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9"/>
        <v>0</v>
      </c>
      <c r="BA127" s="15"/>
      <c r="BB127" s="44"/>
      <c r="BC127" s="15"/>
      <c r="BD127" s="44"/>
      <c r="BE127" s="15">
        <f t="shared" si="11"/>
        <v>0</v>
      </c>
    </row>
    <row r="128" spans="1:57">
      <c r="A128" s="9"/>
      <c r="B128" s="18" t="s">
        <v>204</v>
      </c>
      <c r="C128" s="89" t="s">
        <v>132</v>
      </c>
      <c r="D128" s="58" t="s">
        <v>221</v>
      </c>
      <c r="E128" s="35" t="s">
        <v>206</v>
      </c>
      <c r="F128" s="96"/>
      <c r="G128" s="21"/>
      <c r="H128" s="21" t="s">
        <v>207</v>
      </c>
      <c r="I128" s="14"/>
      <c r="J128" s="14"/>
      <c r="K128" s="12">
        <v>592</v>
      </c>
      <c r="L128" s="9"/>
      <c r="M128" s="9"/>
      <c r="N128" s="9"/>
      <c r="O128" s="38">
        <f t="shared" si="6"/>
        <v>592</v>
      </c>
      <c r="P128" s="12"/>
      <c r="Q128" s="42"/>
      <c r="R128" s="15"/>
      <c r="S128" s="44"/>
      <c r="T128" s="15"/>
      <c r="U128" s="44"/>
      <c r="V128" s="15">
        <f t="shared" si="7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8"/>
        <v>0</v>
      </c>
      <c r="AF128" s="15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9"/>
        <v>0</v>
      </c>
      <c r="BA128" s="15"/>
      <c r="BB128" s="44"/>
      <c r="BC128" s="15"/>
      <c r="BD128" s="44"/>
      <c r="BE128" s="15">
        <f t="shared" si="11"/>
        <v>0</v>
      </c>
    </row>
    <row r="129" spans="1:57">
      <c r="A129" s="9"/>
      <c r="B129" s="18" t="s">
        <v>204</v>
      </c>
      <c r="C129" s="89" t="s">
        <v>132</v>
      </c>
      <c r="D129" s="58" t="s">
        <v>223</v>
      </c>
      <c r="E129" s="35" t="s">
        <v>206</v>
      </c>
      <c r="F129" s="96"/>
      <c r="G129" s="21"/>
      <c r="H129" s="21" t="s">
        <v>207</v>
      </c>
      <c r="I129" s="14"/>
      <c r="J129" s="14"/>
      <c r="K129" s="12">
        <v>129</v>
      </c>
      <c r="L129" s="9"/>
      <c r="M129" s="9"/>
      <c r="N129" s="9"/>
      <c r="O129" s="38">
        <f t="shared" si="6"/>
        <v>129</v>
      </c>
      <c r="P129" s="12"/>
      <c r="Q129" s="42"/>
      <c r="R129" s="15"/>
      <c r="S129" s="44"/>
      <c r="T129" s="15"/>
      <c r="U129" s="44"/>
      <c r="V129" s="15">
        <f t="shared" si="7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8"/>
        <v>0</v>
      </c>
      <c r="AF129" s="15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9"/>
        <v>0</v>
      </c>
      <c r="BA129" s="15"/>
      <c r="BB129" s="44"/>
      <c r="BC129" s="15"/>
      <c r="BD129" s="44"/>
      <c r="BE129" s="15">
        <f t="shared" si="11"/>
        <v>0</v>
      </c>
    </row>
    <row r="130" spans="1:57">
      <c r="A130" s="9"/>
      <c r="B130" s="18" t="s">
        <v>204</v>
      </c>
      <c r="C130" s="89" t="s">
        <v>132</v>
      </c>
      <c r="D130" s="58" t="s">
        <v>224</v>
      </c>
      <c r="E130" s="35" t="s">
        <v>225</v>
      </c>
      <c r="F130" s="96"/>
      <c r="G130" s="21"/>
      <c r="H130" s="21" t="s">
        <v>207</v>
      </c>
      <c r="I130" s="14"/>
      <c r="J130" s="14"/>
      <c r="K130" s="12">
        <v>214</v>
      </c>
      <c r="L130" s="9"/>
      <c r="M130" s="9"/>
      <c r="N130" s="9"/>
      <c r="O130" s="38">
        <f t="shared" ref="O130:O193" si="12">K130+V130-AE130-AZ130</f>
        <v>214</v>
      </c>
      <c r="P130" s="12"/>
      <c r="Q130" s="42"/>
      <c r="R130" s="15"/>
      <c r="S130" s="44"/>
      <c r="T130" s="15"/>
      <c r="U130" s="44"/>
      <c r="V130" s="15">
        <f t="shared" ref="V130:V193" si="13">P130+R130+T130</f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ref="AE130:AE193" si="14">(W130+Y130+AA130+AC130)</f>
        <v>0</v>
      </c>
      <c r="AF130" s="15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9"/>
        <v>0</v>
      </c>
      <c r="BA130" s="15"/>
      <c r="BB130" s="44"/>
      <c r="BC130" s="15"/>
      <c r="BD130" s="44"/>
      <c r="BE130" s="15">
        <f t="shared" si="11"/>
        <v>0</v>
      </c>
    </row>
    <row r="131" spans="1:57">
      <c r="A131" s="9"/>
      <c r="B131" s="18" t="s">
        <v>204</v>
      </c>
      <c r="C131" s="89" t="s">
        <v>132</v>
      </c>
      <c r="D131" s="58" t="s">
        <v>226</v>
      </c>
      <c r="E131" s="35" t="s">
        <v>215</v>
      </c>
      <c r="F131" s="96"/>
      <c r="G131" s="21"/>
      <c r="H131" s="21" t="s">
        <v>207</v>
      </c>
      <c r="I131" s="14"/>
      <c r="J131" s="14"/>
      <c r="K131" s="12">
        <v>484</v>
      </c>
      <c r="L131" s="9"/>
      <c r="M131" s="9"/>
      <c r="N131" s="9"/>
      <c r="O131" s="38">
        <f t="shared" si="12"/>
        <v>484</v>
      </c>
      <c r="P131" s="12"/>
      <c r="Q131" s="42"/>
      <c r="R131" s="15"/>
      <c r="S131" s="44"/>
      <c r="T131" s="15"/>
      <c r="U131" s="44"/>
      <c r="V131" s="15">
        <f t="shared" si="13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14"/>
        <v>0</v>
      </c>
      <c r="AF131" s="15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ref="AZ131:AZ194" si="15">AF131+AH131+AJ131+AL131+AN131+AP131+AR131+AT131+AV131+AX131</f>
        <v>0</v>
      </c>
      <c r="BA131" s="15"/>
      <c r="BB131" s="44"/>
      <c r="BC131" s="15"/>
      <c r="BD131" s="44"/>
      <c r="BE131" s="15">
        <f t="shared" si="11"/>
        <v>0</v>
      </c>
    </row>
    <row r="132" spans="1:57">
      <c r="A132" s="9"/>
      <c r="B132" s="18" t="s">
        <v>204</v>
      </c>
      <c r="C132" s="89" t="s">
        <v>132</v>
      </c>
      <c r="D132" s="58" t="s">
        <v>227</v>
      </c>
      <c r="E132" s="35" t="s">
        <v>215</v>
      </c>
      <c r="F132" s="96"/>
      <c r="G132" s="21"/>
      <c r="H132" s="21" t="s">
        <v>207</v>
      </c>
      <c r="I132" s="14"/>
      <c r="J132" s="14"/>
      <c r="K132" s="12">
        <v>0</v>
      </c>
      <c r="L132" s="9"/>
      <c r="M132" s="9"/>
      <c r="N132" s="9"/>
      <c r="O132" s="38">
        <f t="shared" si="12"/>
        <v>0</v>
      </c>
      <c r="P132" s="12"/>
      <c r="Q132" s="42"/>
      <c r="R132" s="15"/>
      <c r="S132" s="44"/>
      <c r="T132" s="15"/>
      <c r="U132" s="44"/>
      <c r="V132" s="15">
        <f t="shared" si="13"/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si="14"/>
        <v>0</v>
      </c>
      <c r="AF132" s="15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5"/>
        <v>0</v>
      </c>
      <c r="BA132" s="15"/>
      <c r="BB132" s="44"/>
      <c r="BC132" s="15"/>
      <c r="BD132" s="44"/>
      <c r="BE132" s="15">
        <f t="shared" si="11"/>
        <v>0</v>
      </c>
    </row>
    <row r="133" spans="1:57">
      <c r="A133" s="9"/>
      <c r="B133" s="18" t="s">
        <v>204</v>
      </c>
      <c r="C133" s="89" t="s">
        <v>132</v>
      </c>
      <c r="D133" s="58" t="s">
        <v>228</v>
      </c>
      <c r="E133" s="35" t="s">
        <v>206</v>
      </c>
      <c r="F133" s="96"/>
      <c r="G133" s="21"/>
      <c r="H133" s="21" t="s">
        <v>207</v>
      </c>
      <c r="I133" s="14"/>
      <c r="J133" s="14"/>
      <c r="K133" s="12">
        <v>0</v>
      </c>
      <c r="L133" s="9"/>
      <c r="M133" s="9"/>
      <c r="N133" s="9"/>
      <c r="O133" s="38">
        <f t="shared" si="12"/>
        <v>0</v>
      </c>
      <c r="P133" s="12"/>
      <c r="Q133" s="42"/>
      <c r="R133" s="15"/>
      <c r="S133" s="44"/>
      <c r="T133" s="15"/>
      <c r="U133" s="44"/>
      <c r="V133" s="15">
        <f t="shared" si="13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4"/>
        <v>0</v>
      </c>
      <c r="AF133" s="15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5"/>
        <v>0</v>
      </c>
      <c r="BA133" s="15"/>
      <c r="BB133" s="44"/>
      <c r="BC133" s="15"/>
      <c r="BD133" s="44"/>
      <c r="BE133" s="15">
        <f t="shared" si="11"/>
        <v>0</v>
      </c>
    </row>
    <row r="134" spans="1:57">
      <c r="A134" s="9"/>
      <c r="B134" s="18" t="s">
        <v>204</v>
      </c>
      <c r="C134" s="89" t="s">
        <v>132</v>
      </c>
      <c r="D134" s="58" t="s">
        <v>229</v>
      </c>
      <c r="E134" s="35" t="s">
        <v>222</v>
      </c>
      <c r="F134" s="96"/>
      <c r="G134" s="21"/>
      <c r="H134" s="21" t="s">
        <v>207</v>
      </c>
      <c r="I134" s="14"/>
      <c r="J134" s="14"/>
      <c r="K134" s="12">
        <v>0</v>
      </c>
      <c r="L134" s="9"/>
      <c r="M134" s="9"/>
      <c r="N134" s="9"/>
      <c r="O134" s="38">
        <f t="shared" si="12"/>
        <v>0</v>
      </c>
      <c r="P134" s="12"/>
      <c r="Q134" s="42"/>
      <c r="R134" s="15"/>
      <c r="S134" s="44"/>
      <c r="T134" s="15"/>
      <c r="U134" s="44"/>
      <c r="V134" s="15">
        <f t="shared" si="13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4"/>
        <v>0</v>
      </c>
      <c r="AF134" s="15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5"/>
        <v>0</v>
      </c>
      <c r="BA134" s="15"/>
      <c r="BB134" s="44"/>
      <c r="BC134" s="15"/>
      <c r="BD134" s="44"/>
      <c r="BE134" s="15">
        <f t="shared" si="11"/>
        <v>0</v>
      </c>
    </row>
    <row r="135" spans="1:57">
      <c r="A135" s="9"/>
      <c r="B135" s="18" t="s">
        <v>204</v>
      </c>
      <c r="C135" s="89" t="s">
        <v>132</v>
      </c>
      <c r="D135" s="58" t="s">
        <v>230</v>
      </c>
      <c r="E135" s="35" t="s">
        <v>210</v>
      </c>
      <c r="F135" s="96"/>
      <c r="G135" s="21"/>
      <c r="H135" s="21" t="s">
        <v>231</v>
      </c>
      <c r="I135" s="14"/>
      <c r="J135" s="14"/>
      <c r="K135" s="12">
        <v>61</v>
      </c>
      <c r="L135" s="9"/>
      <c r="M135" s="9"/>
      <c r="N135" s="9"/>
      <c r="O135" s="38">
        <f t="shared" si="12"/>
        <v>61</v>
      </c>
      <c r="P135" s="12"/>
      <c r="Q135" s="42"/>
      <c r="R135" s="15"/>
      <c r="S135" s="44"/>
      <c r="T135" s="15"/>
      <c r="U135" s="44"/>
      <c r="V135" s="15">
        <f t="shared" si="13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4"/>
        <v>0</v>
      </c>
      <c r="AF135" s="15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5"/>
        <v>0</v>
      </c>
      <c r="BA135" s="15"/>
      <c r="BB135" s="44"/>
      <c r="BC135" s="15"/>
      <c r="BD135" s="44"/>
      <c r="BE135" s="15">
        <f t="shared" si="11"/>
        <v>0</v>
      </c>
    </row>
    <row r="136" spans="1:57">
      <c r="A136" s="9"/>
      <c r="B136" s="18" t="s">
        <v>204</v>
      </c>
      <c r="C136" s="89" t="s">
        <v>132</v>
      </c>
      <c r="D136" s="58" t="s">
        <v>232</v>
      </c>
      <c r="E136" s="35" t="s">
        <v>222</v>
      </c>
      <c r="F136" s="96"/>
      <c r="G136" s="21"/>
      <c r="H136" s="21" t="s">
        <v>231</v>
      </c>
      <c r="I136" s="14"/>
      <c r="J136" s="14"/>
      <c r="K136" s="12">
        <v>106</v>
      </c>
      <c r="L136" s="9"/>
      <c r="M136" s="9"/>
      <c r="N136" s="9"/>
      <c r="O136" s="38">
        <f t="shared" si="12"/>
        <v>106</v>
      </c>
      <c r="P136" s="12"/>
      <c r="Q136" s="42"/>
      <c r="R136" s="15"/>
      <c r="S136" s="44"/>
      <c r="T136" s="15"/>
      <c r="U136" s="44"/>
      <c r="V136" s="15">
        <f t="shared" si="13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4"/>
        <v>0</v>
      </c>
      <c r="AF136" s="15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5"/>
        <v>0</v>
      </c>
      <c r="BA136" s="15"/>
      <c r="BB136" s="44"/>
      <c r="BC136" s="15"/>
      <c r="BD136" s="44"/>
      <c r="BE136" s="15">
        <f t="shared" si="11"/>
        <v>0</v>
      </c>
    </row>
    <row r="137" spans="1:57">
      <c r="A137" s="9"/>
      <c r="B137" s="18" t="s">
        <v>233</v>
      </c>
      <c r="C137" s="89" t="s">
        <v>132</v>
      </c>
      <c r="D137" s="58" t="s">
        <v>234</v>
      </c>
      <c r="E137" s="35" t="s">
        <v>235</v>
      </c>
      <c r="F137" s="96"/>
      <c r="G137" s="21"/>
      <c r="H137" s="21" t="s">
        <v>207</v>
      </c>
      <c r="I137" s="14"/>
      <c r="J137" s="14"/>
      <c r="K137" s="12">
        <v>280</v>
      </c>
      <c r="L137" s="9"/>
      <c r="M137" s="9"/>
      <c r="N137" s="9"/>
      <c r="O137" s="38">
        <f t="shared" si="12"/>
        <v>280</v>
      </c>
      <c r="P137" s="12"/>
      <c r="Q137" s="42"/>
      <c r="R137" s="15"/>
      <c r="S137" s="44"/>
      <c r="T137" s="15"/>
      <c r="U137" s="44"/>
      <c r="V137" s="15">
        <f t="shared" si="13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4"/>
        <v>0</v>
      </c>
      <c r="AF137" s="15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5"/>
        <v>0</v>
      </c>
      <c r="BA137" s="15"/>
      <c r="BB137" s="44"/>
      <c r="BC137" s="15"/>
      <c r="BD137" s="44"/>
      <c r="BE137" s="15">
        <f t="shared" si="11"/>
        <v>0</v>
      </c>
    </row>
    <row r="138" spans="1:57">
      <c r="A138" s="9"/>
      <c r="B138" s="18" t="s">
        <v>233</v>
      </c>
      <c r="C138" s="89" t="s">
        <v>132</v>
      </c>
      <c r="D138" s="58" t="s">
        <v>236</v>
      </c>
      <c r="E138" s="35" t="s">
        <v>237</v>
      </c>
      <c r="F138" s="96"/>
      <c r="G138" s="21"/>
      <c r="H138" s="21" t="s">
        <v>207</v>
      </c>
      <c r="I138" s="14"/>
      <c r="J138" s="14"/>
      <c r="K138" s="12">
        <v>100</v>
      </c>
      <c r="L138" s="9"/>
      <c r="M138" s="9"/>
      <c r="N138" s="9"/>
      <c r="O138" s="38">
        <f t="shared" si="12"/>
        <v>100</v>
      </c>
      <c r="P138" s="12"/>
      <c r="Q138" s="42"/>
      <c r="R138" s="15"/>
      <c r="S138" s="44"/>
      <c r="T138" s="15"/>
      <c r="U138" s="44"/>
      <c r="V138" s="15">
        <f t="shared" si="13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4"/>
        <v>0</v>
      </c>
      <c r="AF138" s="15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5"/>
        <v>0</v>
      </c>
      <c r="BA138" s="15"/>
      <c r="BB138" s="44"/>
      <c r="BC138" s="15"/>
      <c r="BD138" s="44"/>
      <c r="BE138" s="15">
        <f t="shared" si="11"/>
        <v>0</v>
      </c>
    </row>
    <row r="139" spans="1:57">
      <c r="A139" s="9"/>
      <c r="B139" s="18" t="s">
        <v>233</v>
      </c>
      <c r="C139" s="89" t="s">
        <v>132</v>
      </c>
      <c r="D139" s="58" t="s">
        <v>238</v>
      </c>
      <c r="E139" s="35" t="s">
        <v>237</v>
      </c>
      <c r="F139" s="96"/>
      <c r="G139" s="21"/>
      <c r="H139" s="21" t="s">
        <v>207</v>
      </c>
      <c r="I139" s="14"/>
      <c r="J139" s="14"/>
      <c r="K139" s="12">
        <v>612</v>
      </c>
      <c r="L139" s="9"/>
      <c r="M139" s="9"/>
      <c r="N139" s="9"/>
      <c r="O139" s="38">
        <f t="shared" si="12"/>
        <v>612</v>
      </c>
      <c r="P139" s="12"/>
      <c r="Q139" s="42"/>
      <c r="R139" s="15"/>
      <c r="S139" s="44"/>
      <c r="T139" s="15"/>
      <c r="U139" s="44"/>
      <c r="V139" s="15">
        <f t="shared" si="13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4"/>
        <v>0</v>
      </c>
      <c r="AF139" s="15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5"/>
        <v>0</v>
      </c>
      <c r="BA139" s="15"/>
      <c r="BB139" s="44"/>
      <c r="BC139" s="15"/>
      <c r="BD139" s="44"/>
      <c r="BE139" s="15">
        <f t="shared" si="11"/>
        <v>0</v>
      </c>
    </row>
    <row r="140" spans="1:57">
      <c r="A140" s="9"/>
      <c r="B140" s="18" t="s">
        <v>233</v>
      </c>
      <c r="C140" s="89" t="s">
        <v>132</v>
      </c>
      <c r="D140" s="58" t="s">
        <v>239</v>
      </c>
      <c r="E140" s="35" t="s">
        <v>237</v>
      </c>
      <c r="F140" s="96"/>
      <c r="G140" s="21"/>
      <c r="H140" s="21" t="s">
        <v>207</v>
      </c>
      <c r="I140" s="14"/>
      <c r="J140" s="14"/>
      <c r="K140" s="12">
        <v>300</v>
      </c>
      <c r="L140" s="9"/>
      <c r="M140" s="9"/>
      <c r="N140" s="9"/>
      <c r="O140" s="38">
        <f t="shared" si="12"/>
        <v>300</v>
      </c>
      <c r="P140" s="12"/>
      <c r="Q140" s="42"/>
      <c r="R140" s="15"/>
      <c r="S140" s="44"/>
      <c r="T140" s="15"/>
      <c r="U140" s="44"/>
      <c r="V140" s="15">
        <f t="shared" si="13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4"/>
        <v>0</v>
      </c>
      <c r="AF140" s="15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5"/>
        <v>0</v>
      </c>
      <c r="BA140" s="15"/>
      <c r="BB140" s="44"/>
      <c r="BC140" s="15"/>
      <c r="BD140" s="44"/>
      <c r="BE140" s="15">
        <f t="shared" si="11"/>
        <v>0</v>
      </c>
    </row>
    <row r="141" spans="1:57">
      <c r="A141" s="9"/>
      <c r="B141" s="18" t="s">
        <v>233</v>
      </c>
      <c r="C141" s="89" t="s">
        <v>132</v>
      </c>
      <c r="D141" s="58" t="s">
        <v>240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300</v>
      </c>
      <c r="L141" s="9"/>
      <c r="M141" s="9"/>
      <c r="N141" s="9"/>
      <c r="O141" s="38">
        <f t="shared" si="12"/>
        <v>300</v>
      </c>
      <c r="P141" s="12"/>
      <c r="Q141" s="42"/>
      <c r="R141" s="15"/>
      <c r="S141" s="44"/>
      <c r="T141" s="15"/>
      <c r="U141" s="44"/>
      <c r="V141" s="15">
        <f t="shared" si="13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4"/>
        <v>0</v>
      </c>
      <c r="AF141" s="15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5"/>
        <v>0</v>
      </c>
      <c r="BA141" s="15"/>
      <c r="BB141" s="44"/>
      <c r="BC141" s="15"/>
      <c r="BD141" s="44"/>
      <c r="BE141" s="15">
        <f t="shared" si="11"/>
        <v>0</v>
      </c>
    </row>
    <row r="142" spans="1:57">
      <c r="A142" s="9"/>
      <c r="B142" s="16" t="s">
        <v>233</v>
      </c>
      <c r="C142" s="89" t="s">
        <v>132</v>
      </c>
      <c r="D142" s="70" t="s">
        <v>241</v>
      </c>
      <c r="E142" s="13"/>
      <c r="F142" s="96"/>
      <c r="G142" s="9"/>
      <c r="H142" s="9"/>
      <c r="I142" s="14"/>
      <c r="J142" s="14"/>
      <c r="K142" s="12">
        <v>124</v>
      </c>
      <c r="L142" s="9"/>
      <c r="M142" s="9"/>
      <c r="N142" s="9"/>
      <c r="O142" s="38">
        <f t="shared" si="12"/>
        <v>124</v>
      </c>
      <c r="P142" s="12"/>
      <c r="Q142" s="42"/>
      <c r="R142" s="15"/>
      <c r="S142" s="44"/>
      <c r="T142" s="15"/>
      <c r="U142" s="44"/>
      <c r="V142" s="15">
        <f t="shared" si="13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4"/>
        <v>0</v>
      </c>
      <c r="AF142" s="15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5"/>
        <v>0</v>
      </c>
      <c r="BA142" s="15"/>
      <c r="BB142" s="44"/>
      <c r="BC142" s="15"/>
      <c r="BD142" s="44"/>
      <c r="BE142" s="15">
        <f t="shared" si="11"/>
        <v>0</v>
      </c>
    </row>
    <row r="143" spans="1:57">
      <c r="A143" s="9"/>
      <c r="B143" s="16" t="s">
        <v>155</v>
      </c>
      <c r="C143" s="89" t="s">
        <v>132</v>
      </c>
      <c r="D143" s="70" t="s">
        <v>156</v>
      </c>
      <c r="E143" s="13" t="s">
        <v>242</v>
      </c>
      <c r="F143" s="96"/>
      <c r="G143" s="9"/>
      <c r="H143" s="9" t="s">
        <v>158</v>
      </c>
      <c r="I143" s="14"/>
      <c r="J143" s="14"/>
      <c r="K143" s="12">
        <v>652</v>
      </c>
      <c r="L143" s="9"/>
      <c r="M143" s="9"/>
      <c r="N143" s="9"/>
      <c r="O143" s="38">
        <f t="shared" si="12"/>
        <v>652</v>
      </c>
      <c r="P143" s="12"/>
      <c r="Q143" s="42"/>
      <c r="R143" s="15"/>
      <c r="S143" s="44"/>
      <c r="T143" s="15"/>
      <c r="U143" s="44"/>
      <c r="V143" s="15">
        <f t="shared" si="13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4"/>
        <v>0</v>
      </c>
      <c r="AF143" s="15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5"/>
        <v>0</v>
      </c>
      <c r="BA143" s="15"/>
      <c r="BB143" s="44"/>
      <c r="BC143" s="15"/>
      <c r="BD143" s="44"/>
      <c r="BE143" s="15">
        <f t="shared" si="11"/>
        <v>0</v>
      </c>
    </row>
    <row r="144" spans="1:57">
      <c r="A144" s="9"/>
      <c r="B144" s="16" t="s">
        <v>155</v>
      </c>
      <c r="C144" s="89" t="s">
        <v>132</v>
      </c>
      <c r="D144" s="69" t="s">
        <v>156</v>
      </c>
      <c r="E144" s="13" t="s">
        <v>243</v>
      </c>
      <c r="F144" s="96"/>
      <c r="G144" s="9"/>
      <c r="H144" s="9" t="s">
        <v>158</v>
      </c>
      <c r="I144" s="14"/>
      <c r="J144" s="14"/>
      <c r="K144" s="12">
        <v>34</v>
      </c>
      <c r="L144" s="9"/>
      <c r="M144" s="9"/>
      <c r="N144" s="9"/>
      <c r="O144" s="38">
        <f t="shared" si="12"/>
        <v>34</v>
      </c>
      <c r="P144" s="12"/>
      <c r="Q144" s="42"/>
      <c r="R144" s="15"/>
      <c r="S144" s="44"/>
      <c r="T144" s="15"/>
      <c r="U144" s="44"/>
      <c r="V144" s="15">
        <f t="shared" si="13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4"/>
        <v>0</v>
      </c>
      <c r="AF144" s="15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5"/>
        <v>0</v>
      </c>
      <c r="BA144" s="15"/>
      <c r="BB144" s="44"/>
      <c r="BC144" s="15"/>
      <c r="BD144" s="44"/>
      <c r="BE144" s="15">
        <f t="shared" si="11"/>
        <v>0</v>
      </c>
    </row>
    <row r="145" spans="1:57">
      <c r="A145" s="9"/>
      <c r="B145" s="16" t="s">
        <v>244</v>
      </c>
      <c r="C145" s="89" t="s">
        <v>132</v>
      </c>
      <c r="D145" s="69" t="s">
        <v>245</v>
      </c>
      <c r="E145" s="13" t="s">
        <v>246</v>
      </c>
      <c r="F145" s="96"/>
      <c r="G145" s="9"/>
      <c r="H145" s="9" t="s">
        <v>247</v>
      </c>
      <c r="I145" s="14"/>
      <c r="J145" s="14"/>
      <c r="K145" s="12">
        <v>0</v>
      </c>
      <c r="L145" s="9"/>
      <c r="M145" s="9"/>
      <c r="N145" s="9"/>
      <c r="O145" s="38">
        <f t="shared" si="12"/>
        <v>0</v>
      </c>
      <c r="P145" s="12"/>
      <c r="Q145" s="42"/>
      <c r="R145" s="15"/>
      <c r="S145" s="44"/>
      <c r="T145" s="15"/>
      <c r="U145" s="44"/>
      <c r="V145" s="15">
        <f t="shared" si="13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4"/>
        <v>0</v>
      </c>
      <c r="AF145" s="15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5"/>
        <v>0</v>
      </c>
      <c r="BA145" s="15"/>
      <c r="BB145" s="44"/>
      <c r="BC145" s="15"/>
      <c r="BD145" s="44"/>
      <c r="BE145" s="15">
        <f t="shared" si="11"/>
        <v>0</v>
      </c>
    </row>
    <row r="146" spans="1:57">
      <c r="A146" s="9"/>
      <c r="B146" s="16" t="s">
        <v>244</v>
      </c>
      <c r="C146" s="89" t="s">
        <v>132</v>
      </c>
      <c r="D146" s="69" t="s">
        <v>248</v>
      </c>
      <c r="E146" s="13" t="s">
        <v>246</v>
      </c>
      <c r="F146" s="96"/>
      <c r="G146" s="9"/>
      <c r="H146" s="9" t="s">
        <v>247</v>
      </c>
      <c r="I146" s="14"/>
      <c r="J146" s="14"/>
      <c r="K146" s="12">
        <v>240</v>
      </c>
      <c r="L146" s="9"/>
      <c r="M146" s="9"/>
      <c r="N146" s="9"/>
      <c r="O146" s="38">
        <f t="shared" si="12"/>
        <v>240</v>
      </c>
      <c r="P146" s="12"/>
      <c r="Q146" s="42"/>
      <c r="R146" s="15"/>
      <c r="S146" s="44"/>
      <c r="T146" s="15"/>
      <c r="U146" s="44"/>
      <c r="V146" s="15">
        <f t="shared" si="13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4"/>
        <v>0</v>
      </c>
      <c r="AF146" s="15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5"/>
        <v>0</v>
      </c>
      <c r="BA146" s="15"/>
      <c r="BB146" s="44"/>
      <c r="BC146" s="15"/>
      <c r="BD146" s="44"/>
      <c r="BE146" s="15">
        <f t="shared" si="11"/>
        <v>0</v>
      </c>
    </row>
    <row r="147" spans="1:57" ht="24" customHeight="1">
      <c r="A147" s="9"/>
      <c r="B147" s="16" t="s">
        <v>249</v>
      </c>
      <c r="C147" s="89" t="s">
        <v>44</v>
      </c>
      <c r="D147" s="69" t="s">
        <v>250</v>
      </c>
      <c r="E147" s="13" t="s">
        <v>251</v>
      </c>
      <c r="F147" s="96"/>
      <c r="G147" s="9"/>
      <c r="H147" s="9" t="s">
        <v>247</v>
      </c>
      <c r="I147" s="14"/>
      <c r="J147" s="14"/>
      <c r="K147" s="12">
        <v>407</v>
      </c>
      <c r="L147" s="9"/>
      <c r="M147" s="9"/>
      <c r="N147" s="9"/>
      <c r="O147" s="38">
        <f t="shared" si="12"/>
        <v>407</v>
      </c>
      <c r="P147" s="12"/>
      <c r="Q147" s="42"/>
      <c r="R147" s="15"/>
      <c r="S147" s="44"/>
      <c r="T147" s="15"/>
      <c r="U147" s="44"/>
      <c r="V147" s="15">
        <f t="shared" si="13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4"/>
        <v>0</v>
      </c>
      <c r="AF147" s="15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5"/>
        <v>0</v>
      </c>
      <c r="BA147" s="15"/>
      <c r="BB147" s="44"/>
      <c r="BC147" s="15"/>
      <c r="BD147" s="44"/>
      <c r="BE147" s="15">
        <f t="shared" si="11"/>
        <v>0</v>
      </c>
    </row>
    <row r="148" spans="1:57">
      <c r="A148" s="9"/>
      <c r="B148" s="16" t="s">
        <v>249</v>
      </c>
      <c r="C148" s="89" t="s">
        <v>132</v>
      </c>
      <c r="D148" s="69" t="s">
        <v>252</v>
      </c>
      <c r="E148" s="13" t="s">
        <v>251</v>
      </c>
      <c r="F148" s="96"/>
      <c r="G148" s="9"/>
      <c r="H148" s="9" t="s">
        <v>247</v>
      </c>
      <c r="I148" s="14"/>
      <c r="J148" s="14"/>
      <c r="K148" s="12">
        <v>409</v>
      </c>
      <c r="L148" s="9"/>
      <c r="M148" s="9"/>
      <c r="N148" s="9"/>
      <c r="O148" s="38">
        <f t="shared" si="12"/>
        <v>409</v>
      </c>
      <c r="P148" s="12"/>
      <c r="Q148" s="42"/>
      <c r="R148" s="15"/>
      <c r="S148" s="44"/>
      <c r="T148" s="15"/>
      <c r="U148" s="44"/>
      <c r="V148" s="15">
        <f t="shared" si="13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4"/>
        <v>0</v>
      </c>
      <c r="AF148" s="15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5"/>
        <v>0</v>
      </c>
      <c r="BA148" s="15"/>
      <c r="BB148" s="44"/>
      <c r="BC148" s="15"/>
      <c r="BD148" s="44"/>
      <c r="BE148" s="15">
        <f t="shared" si="11"/>
        <v>0</v>
      </c>
    </row>
    <row r="149" spans="1:57">
      <c r="A149" s="9"/>
      <c r="B149" s="18" t="s">
        <v>172</v>
      </c>
      <c r="C149" s="89" t="s">
        <v>48</v>
      </c>
      <c r="D149" s="66" t="s">
        <v>253</v>
      </c>
      <c r="E149" s="35"/>
      <c r="F149" s="96"/>
      <c r="G149" s="21"/>
      <c r="H149" s="21" t="s">
        <v>67</v>
      </c>
      <c r="I149" s="14"/>
      <c r="J149" s="14"/>
      <c r="K149" s="12">
        <v>0</v>
      </c>
      <c r="L149" s="9"/>
      <c r="M149" s="9"/>
      <c r="N149" s="9"/>
      <c r="O149" s="38">
        <f t="shared" si="12"/>
        <v>0</v>
      </c>
      <c r="P149" s="12"/>
      <c r="Q149" s="42"/>
      <c r="R149" s="15"/>
      <c r="S149" s="44"/>
      <c r="T149" s="15"/>
      <c r="U149" s="44"/>
      <c r="V149" s="15">
        <f t="shared" si="13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4"/>
        <v>0</v>
      </c>
      <c r="AF149" s="15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5"/>
        <v>0</v>
      </c>
      <c r="BA149" s="15"/>
      <c r="BB149" s="44"/>
      <c r="BC149" s="15"/>
      <c r="BD149" s="44"/>
      <c r="BE149" s="15">
        <f t="shared" si="11"/>
        <v>0</v>
      </c>
    </row>
    <row r="150" spans="1:57">
      <c r="A150" s="9"/>
      <c r="B150" s="18" t="s">
        <v>172</v>
      </c>
      <c r="C150" s="89" t="s">
        <v>48</v>
      </c>
      <c r="D150" s="58" t="s">
        <v>254</v>
      </c>
      <c r="E150" s="35" t="s">
        <v>255</v>
      </c>
      <c r="F150" s="96"/>
      <c r="G150" s="21"/>
      <c r="H150" s="21" t="s">
        <v>67</v>
      </c>
      <c r="I150" s="14"/>
      <c r="J150" s="14"/>
      <c r="K150" s="12">
        <v>93</v>
      </c>
      <c r="L150" s="9"/>
      <c r="M150" s="9"/>
      <c r="N150" s="9"/>
      <c r="O150" s="38">
        <f t="shared" si="12"/>
        <v>93</v>
      </c>
      <c r="P150" s="12"/>
      <c r="Q150" s="42"/>
      <c r="R150" s="15"/>
      <c r="S150" s="44"/>
      <c r="T150" s="15"/>
      <c r="U150" s="44"/>
      <c r="V150" s="15">
        <f t="shared" si="13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4"/>
        <v>0</v>
      </c>
      <c r="AF150" s="15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5"/>
        <v>0</v>
      </c>
      <c r="BA150" s="15"/>
      <c r="BB150" s="44"/>
      <c r="BC150" s="15"/>
      <c r="BD150" s="44"/>
      <c r="BE150" s="15">
        <f t="shared" si="11"/>
        <v>0</v>
      </c>
    </row>
    <row r="151" spans="1:57">
      <c r="A151" s="9"/>
      <c r="B151" s="16" t="s">
        <v>172</v>
      </c>
      <c r="C151" s="89" t="s">
        <v>48</v>
      </c>
      <c r="D151" s="72" t="s">
        <v>256</v>
      </c>
      <c r="E151" s="13"/>
      <c r="F151" s="96"/>
      <c r="G151" s="9"/>
      <c r="H151" s="9" t="s">
        <v>67</v>
      </c>
      <c r="I151" s="14"/>
      <c r="J151" s="14"/>
      <c r="K151" s="12">
        <v>755</v>
      </c>
      <c r="L151" s="9"/>
      <c r="M151" s="9"/>
      <c r="N151" s="9"/>
      <c r="O151" s="38">
        <f t="shared" si="12"/>
        <v>755</v>
      </c>
      <c r="P151" s="12"/>
      <c r="Q151" s="42"/>
      <c r="R151" s="15"/>
      <c r="S151" s="44"/>
      <c r="T151" s="15"/>
      <c r="U151" s="44"/>
      <c r="V151" s="15">
        <f t="shared" si="13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4"/>
        <v>0</v>
      </c>
      <c r="AF151" s="15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5"/>
        <v>0</v>
      </c>
      <c r="BA151" s="15"/>
      <c r="BB151" s="44"/>
      <c r="BC151" s="15"/>
      <c r="BD151" s="44"/>
      <c r="BE151" s="15">
        <f t="shared" si="11"/>
        <v>0</v>
      </c>
    </row>
    <row r="152" spans="1:57">
      <c r="A152" s="9"/>
      <c r="B152" s="16" t="s">
        <v>172</v>
      </c>
      <c r="C152" s="89" t="s">
        <v>48</v>
      </c>
      <c r="D152" s="78" t="s">
        <v>257</v>
      </c>
      <c r="E152" s="13"/>
      <c r="F152" s="96"/>
      <c r="G152" s="9"/>
      <c r="H152" s="9" t="s">
        <v>67</v>
      </c>
      <c r="I152" s="14"/>
      <c r="J152" s="14"/>
      <c r="K152" s="12">
        <v>98</v>
      </c>
      <c r="L152" s="9"/>
      <c r="M152" s="9"/>
      <c r="N152" s="9"/>
      <c r="O152" s="38">
        <f t="shared" si="12"/>
        <v>98</v>
      </c>
      <c r="P152" s="12"/>
      <c r="Q152" s="42"/>
      <c r="R152" s="15"/>
      <c r="S152" s="44"/>
      <c r="T152" s="15"/>
      <c r="U152" s="44"/>
      <c r="V152" s="15">
        <f t="shared" si="13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4"/>
        <v>0</v>
      </c>
      <c r="AF152" s="15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5"/>
        <v>0</v>
      </c>
      <c r="BA152" s="15"/>
      <c r="BB152" s="44"/>
      <c r="BC152" s="15"/>
      <c r="BD152" s="44"/>
      <c r="BE152" s="15">
        <f t="shared" si="11"/>
        <v>0</v>
      </c>
    </row>
    <row r="153" spans="1:57">
      <c r="A153" s="9"/>
      <c r="B153" s="16" t="s">
        <v>172</v>
      </c>
      <c r="C153" s="89" t="s">
        <v>48</v>
      </c>
      <c r="D153" s="78" t="s">
        <v>258</v>
      </c>
      <c r="E153" s="13"/>
      <c r="F153" s="96"/>
      <c r="G153" s="9"/>
      <c r="H153" s="9" t="s">
        <v>67</v>
      </c>
      <c r="I153" s="14"/>
      <c r="J153" s="14"/>
      <c r="K153" s="12">
        <v>200</v>
      </c>
      <c r="L153" s="9"/>
      <c r="M153" s="9"/>
      <c r="N153" s="9"/>
      <c r="O153" s="38">
        <f t="shared" si="12"/>
        <v>200</v>
      </c>
      <c r="P153" s="12"/>
      <c r="Q153" s="42"/>
      <c r="R153" s="15"/>
      <c r="S153" s="44"/>
      <c r="T153" s="15"/>
      <c r="U153" s="44"/>
      <c r="V153" s="15">
        <f t="shared" si="13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4"/>
        <v>0</v>
      </c>
      <c r="AF153" s="15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5"/>
        <v>0</v>
      </c>
      <c r="BA153" s="15"/>
      <c r="BB153" s="44"/>
      <c r="BC153" s="15"/>
      <c r="BD153" s="44"/>
      <c r="BE153" s="15">
        <f t="shared" si="11"/>
        <v>0</v>
      </c>
    </row>
    <row r="154" spans="1:57">
      <c r="A154" s="9"/>
      <c r="B154" s="16" t="s">
        <v>172</v>
      </c>
      <c r="C154" s="89" t="s">
        <v>48</v>
      </c>
      <c r="D154" s="78" t="s">
        <v>259</v>
      </c>
      <c r="E154" s="13"/>
      <c r="F154" s="96"/>
      <c r="G154" s="9"/>
      <c r="H154" s="9" t="s">
        <v>67</v>
      </c>
      <c r="I154" s="14"/>
      <c r="J154" s="14"/>
      <c r="K154" s="12">
        <v>189</v>
      </c>
      <c r="L154" s="9"/>
      <c r="M154" s="9"/>
      <c r="N154" s="9"/>
      <c r="O154" s="38">
        <f t="shared" si="12"/>
        <v>189</v>
      </c>
      <c r="P154" s="12"/>
      <c r="Q154" s="42"/>
      <c r="R154" s="15"/>
      <c r="S154" s="44"/>
      <c r="T154" s="15"/>
      <c r="U154" s="44"/>
      <c r="V154" s="15">
        <f t="shared" si="13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4"/>
        <v>0</v>
      </c>
      <c r="AF154" s="15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5"/>
        <v>0</v>
      </c>
      <c r="BA154" s="15"/>
      <c r="BB154" s="44"/>
      <c r="BC154" s="15"/>
      <c r="BD154" s="44"/>
      <c r="BE154" s="15">
        <f t="shared" si="11"/>
        <v>0</v>
      </c>
    </row>
    <row r="155" spans="1:57">
      <c r="A155" s="9"/>
      <c r="B155" s="16" t="s">
        <v>172</v>
      </c>
      <c r="C155" s="89" t="s">
        <v>48</v>
      </c>
      <c r="D155" s="78" t="s">
        <v>260</v>
      </c>
      <c r="E155" s="13"/>
      <c r="F155" s="96"/>
      <c r="G155" s="9"/>
      <c r="H155" s="9" t="s">
        <v>67</v>
      </c>
      <c r="I155" s="14"/>
      <c r="J155" s="14"/>
      <c r="K155" s="12">
        <v>656</v>
      </c>
      <c r="L155" s="9"/>
      <c r="M155" s="9"/>
      <c r="N155" s="9"/>
      <c r="O155" s="38">
        <f t="shared" si="12"/>
        <v>656</v>
      </c>
      <c r="P155" s="12"/>
      <c r="Q155" s="42"/>
      <c r="R155" s="15"/>
      <c r="S155" s="44"/>
      <c r="T155" s="15"/>
      <c r="U155" s="44"/>
      <c r="V155" s="15">
        <f t="shared" si="13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4"/>
        <v>0</v>
      </c>
      <c r="AF155" s="15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5"/>
        <v>0</v>
      </c>
      <c r="BA155" s="15"/>
      <c r="BB155" s="44"/>
      <c r="BC155" s="15"/>
      <c r="BD155" s="44"/>
      <c r="BE155" s="15">
        <f t="shared" si="11"/>
        <v>0</v>
      </c>
    </row>
    <row r="156" spans="1:57">
      <c r="A156" s="9"/>
      <c r="B156" s="16" t="s">
        <v>172</v>
      </c>
      <c r="C156" s="89" t="s">
        <v>48</v>
      </c>
      <c r="D156" s="78" t="s">
        <v>261</v>
      </c>
      <c r="E156" s="13"/>
      <c r="F156" s="96"/>
      <c r="G156" s="9"/>
      <c r="H156" s="9" t="s">
        <v>67</v>
      </c>
      <c r="I156" s="14"/>
      <c r="J156" s="14"/>
      <c r="K156" s="12">
        <v>0</v>
      </c>
      <c r="L156" s="9"/>
      <c r="M156" s="9"/>
      <c r="N156" s="9"/>
      <c r="O156" s="38">
        <f t="shared" si="12"/>
        <v>0</v>
      </c>
      <c r="P156" s="12"/>
      <c r="Q156" s="42"/>
      <c r="R156" s="15"/>
      <c r="S156" s="44"/>
      <c r="T156" s="15"/>
      <c r="U156" s="44"/>
      <c r="V156" s="15">
        <f t="shared" si="13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4"/>
        <v>0</v>
      </c>
      <c r="AF156" s="15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5"/>
        <v>0</v>
      </c>
      <c r="BA156" s="15"/>
      <c r="BB156" s="44"/>
      <c r="BC156" s="15"/>
      <c r="BD156" s="44"/>
      <c r="BE156" s="15">
        <f t="shared" si="11"/>
        <v>0</v>
      </c>
    </row>
    <row r="157" spans="1:57">
      <c r="A157" s="9"/>
      <c r="B157" s="16" t="s">
        <v>120</v>
      </c>
      <c r="C157" s="89" t="s">
        <v>48</v>
      </c>
      <c r="D157" s="68" t="s">
        <v>194</v>
      </c>
      <c r="E157" s="13" t="s">
        <v>262</v>
      </c>
      <c r="F157" s="96"/>
      <c r="G157" s="9"/>
      <c r="H157" s="9" t="s">
        <v>67</v>
      </c>
      <c r="I157" s="14"/>
      <c r="J157" s="14"/>
      <c r="K157" s="12">
        <v>215</v>
      </c>
      <c r="L157" s="9"/>
      <c r="M157" s="9"/>
      <c r="N157" s="9"/>
      <c r="O157" s="38">
        <f t="shared" si="12"/>
        <v>215</v>
      </c>
      <c r="P157" s="12"/>
      <c r="Q157" s="42"/>
      <c r="R157" s="15"/>
      <c r="S157" s="44"/>
      <c r="T157" s="15"/>
      <c r="U157" s="44"/>
      <c r="V157" s="15">
        <f t="shared" si="13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4"/>
        <v>0</v>
      </c>
      <c r="AF157" s="15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5"/>
        <v>0</v>
      </c>
      <c r="BA157" s="15"/>
      <c r="BB157" s="44"/>
      <c r="BC157" s="15"/>
      <c r="BD157" s="44"/>
      <c r="BE157" s="15">
        <f t="shared" si="11"/>
        <v>0</v>
      </c>
    </row>
    <row r="158" spans="1:57">
      <c r="A158" s="9"/>
      <c r="B158" s="16" t="s">
        <v>120</v>
      </c>
      <c r="C158" s="89" t="s">
        <v>48</v>
      </c>
      <c r="D158" s="74" t="s">
        <v>263</v>
      </c>
      <c r="E158" s="13" t="s">
        <v>264</v>
      </c>
      <c r="F158" s="96"/>
      <c r="G158" s="9"/>
      <c r="H158" s="9" t="s">
        <v>67</v>
      </c>
      <c r="I158" s="14"/>
      <c r="J158" s="14"/>
      <c r="K158" s="12">
        <v>424</v>
      </c>
      <c r="L158" s="9"/>
      <c r="M158" s="9"/>
      <c r="N158" s="9"/>
      <c r="O158" s="38">
        <f t="shared" si="12"/>
        <v>424</v>
      </c>
      <c r="P158" s="12"/>
      <c r="Q158" s="42"/>
      <c r="R158" s="15"/>
      <c r="S158" s="44"/>
      <c r="T158" s="15"/>
      <c r="U158" s="44"/>
      <c r="V158" s="15">
        <f t="shared" si="13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4"/>
        <v>0</v>
      </c>
      <c r="AF158" s="15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5"/>
        <v>0</v>
      </c>
      <c r="BA158" s="15"/>
      <c r="BB158" s="44"/>
      <c r="BC158" s="15"/>
      <c r="BD158" s="44"/>
      <c r="BE158" s="15">
        <f t="shared" si="11"/>
        <v>0</v>
      </c>
    </row>
    <row r="159" spans="1:57">
      <c r="A159" s="9"/>
      <c r="B159" s="16" t="s">
        <v>120</v>
      </c>
      <c r="C159" s="89" t="s">
        <v>48</v>
      </c>
      <c r="D159" s="74" t="s">
        <v>265</v>
      </c>
      <c r="E159" s="13" t="s">
        <v>266</v>
      </c>
      <c r="F159" s="96"/>
      <c r="G159" s="9"/>
      <c r="H159" s="9" t="s">
        <v>67</v>
      </c>
      <c r="I159" s="14"/>
      <c r="J159" s="14"/>
      <c r="K159" s="12">
        <v>374</v>
      </c>
      <c r="L159" s="9"/>
      <c r="M159" s="9"/>
      <c r="N159" s="9"/>
      <c r="O159" s="38">
        <f t="shared" si="12"/>
        <v>374</v>
      </c>
      <c r="P159" s="12"/>
      <c r="Q159" s="42"/>
      <c r="R159" s="15"/>
      <c r="S159" s="44"/>
      <c r="T159" s="15"/>
      <c r="U159" s="44"/>
      <c r="V159" s="15">
        <f t="shared" si="13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4"/>
        <v>0</v>
      </c>
      <c r="AF159" s="15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5"/>
        <v>0</v>
      </c>
      <c r="BA159" s="15"/>
      <c r="BB159" s="44"/>
      <c r="BC159" s="15"/>
      <c r="BD159" s="44"/>
      <c r="BE159" s="15">
        <f t="shared" ref="BE159:BE222" si="16">(BA159+BC159)</f>
        <v>0</v>
      </c>
    </row>
    <row r="160" spans="1:57">
      <c r="A160" s="9"/>
      <c r="B160" s="16" t="s">
        <v>120</v>
      </c>
      <c r="C160" s="89" t="s">
        <v>48</v>
      </c>
      <c r="D160" s="74" t="s">
        <v>196</v>
      </c>
      <c r="E160" s="13" t="s">
        <v>267</v>
      </c>
      <c r="F160" s="96"/>
      <c r="G160" s="9"/>
      <c r="H160" s="9" t="s">
        <v>67</v>
      </c>
      <c r="I160" s="14"/>
      <c r="J160" s="14"/>
      <c r="K160" s="12">
        <v>0</v>
      </c>
      <c r="L160" s="9"/>
      <c r="M160" s="9"/>
      <c r="N160" s="9"/>
      <c r="O160" s="38">
        <f t="shared" si="12"/>
        <v>0</v>
      </c>
      <c r="P160" s="12"/>
      <c r="Q160" s="42"/>
      <c r="R160" s="15"/>
      <c r="S160" s="44"/>
      <c r="T160" s="15"/>
      <c r="U160" s="44"/>
      <c r="V160" s="15">
        <f t="shared" si="13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4"/>
        <v>0</v>
      </c>
      <c r="AF160" s="15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5"/>
        <v>0</v>
      </c>
      <c r="BA160" s="15"/>
      <c r="BB160" s="44"/>
      <c r="BC160" s="15"/>
      <c r="BD160" s="44"/>
      <c r="BE160" s="15">
        <f t="shared" si="16"/>
        <v>0</v>
      </c>
    </row>
    <row r="161" spans="1:57">
      <c r="A161" s="9"/>
      <c r="B161" s="16" t="s">
        <v>120</v>
      </c>
      <c r="C161" s="89" t="s">
        <v>48</v>
      </c>
      <c r="D161" s="75" t="s">
        <v>198</v>
      </c>
      <c r="E161" s="10" t="s">
        <v>268</v>
      </c>
      <c r="F161" s="96"/>
      <c r="G161" s="9"/>
      <c r="H161" s="9" t="s">
        <v>67</v>
      </c>
      <c r="I161" s="14"/>
      <c r="J161" s="14"/>
      <c r="K161" s="12">
        <v>492</v>
      </c>
      <c r="L161" s="9"/>
      <c r="M161" s="9"/>
      <c r="N161" s="9"/>
      <c r="O161" s="38">
        <f t="shared" si="12"/>
        <v>492</v>
      </c>
      <c r="P161" s="12"/>
      <c r="Q161" s="42"/>
      <c r="R161" s="15"/>
      <c r="S161" s="44"/>
      <c r="T161" s="15"/>
      <c r="U161" s="44"/>
      <c r="V161" s="15">
        <f t="shared" si="13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4"/>
        <v>0</v>
      </c>
      <c r="AF161" s="15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5"/>
        <v>0</v>
      </c>
      <c r="BA161" s="15"/>
      <c r="BB161" s="44"/>
      <c r="BC161" s="15"/>
      <c r="BD161" s="44"/>
      <c r="BE161" s="15">
        <f t="shared" si="16"/>
        <v>0</v>
      </c>
    </row>
    <row r="162" spans="1:57">
      <c r="A162" s="9"/>
      <c r="B162" s="16" t="s">
        <v>120</v>
      </c>
      <c r="C162" s="89" t="s">
        <v>48</v>
      </c>
      <c r="D162" s="76" t="s">
        <v>200</v>
      </c>
      <c r="E162" s="13" t="s">
        <v>269</v>
      </c>
      <c r="F162" s="96"/>
      <c r="G162" s="9"/>
      <c r="H162" s="9" t="s">
        <v>67</v>
      </c>
      <c r="I162" s="14"/>
      <c r="J162" s="14"/>
      <c r="K162" s="12">
        <v>300</v>
      </c>
      <c r="L162" s="9"/>
      <c r="M162" s="9"/>
      <c r="N162" s="9"/>
      <c r="O162" s="38">
        <f t="shared" si="12"/>
        <v>300</v>
      </c>
      <c r="P162" s="12"/>
      <c r="Q162" s="42"/>
      <c r="R162" s="15"/>
      <c r="S162" s="44"/>
      <c r="T162" s="15"/>
      <c r="U162" s="44"/>
      <c r="V162" s="15">
        <f t="shared" si="13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4"/>
        <v>0</v>
      </c>
      <c r="AF162" s="15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5"/>
        <v>0</v>
      </c>
      <c r="BA162" s="15"/>
      <c r="BB162" s="44"/>
      <c r="BC162" s="15"/>
      <c r="BD162" s="44"/>
      <c r="BE162" s="15">
        <f t="shared" si="16"/>
        <v>0</v>
      </c>
    </row>
    <row r="163" spans="1:57">
      <c r="A163" s="9"/>
      <c r="B163" s="16" t="s">
        <v>120</v>
      </c>
      <c r="C163" s="89" t="s">
        <v>48</v>
      </c>
      <c r="D163" s="77" t="s">
        <v>270</v>
      </c>
      <c r="E163" s="13" t="s">
        <v>271</v>
      </c>
      <c r="F163" s="96"/>
      <c r="G163" s="9"/>
      <c r="H163" s="9" t="s">
        <v>67</v>
      </c>
      <c r="I163" s="14"/>
      <c r="J163" s="14"/>
      <c r="K163" s="12">
        <v>356</v>
      </c>
      <c r="L163" s="9"/>
      <c r="M163" s="9"/>
      <c r="N163" s="9"/>
      <c r="O163" s="38">
        <f t="shared" si="12"/>
        <v>356</v>
      </c>
      <c r="P163" s="12"/>
      <c r="Q163" s="42"/>
      <c r="R163" s="15"/>
      <c r="S163" s="44"/>
      <c r="T163" s="15"/>
      <c r="U163" s="44"/>
      <c r="V163" s="15">
        <f t="shared" si="13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4"/>
        <v>0</v>
      </c>
      <c r="AF163" s="15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5"/>
        <v>0</v>
      </c>
      <c r="BA163" s="15"/>
      <c r="BB163" s="44"/>
      <c r="BC163" s="15"/>
      <c r="BD163" s="44"/>
      <c r="BE163" s="15">
        <f t="shared" si="16"/>
        <v>0</v>
      </c>
    </row>
    <row r="164" spans="1:57">
      <c r="A164" s="9"/>
      <c r="B164" s="16" t="s">
        <v>120</v>
      </c>
      <c r="C164" s="89" t="s">
        <v>48</v>
      </c>
      <c r="D164" s="72" t="s">
        <v>272</v>
      </c>
      <c r="E164" s="13" t="s">
        <v>273</v>
      </c>
      <c r="F164" s="96"/>
      <c r="G164" s="9"/>
      <c r="H164" s="9" t="s">
        <v>67</v>
      </c>
      <c r="I164" s="14"/>
      <c r="J164" s="14"/>
      <c r="K164" s="12">
        <v>431</v>
      </c>
      <c r="L164" s="9"/>
      <c r="M164" s="9"/>
      <c r="N164" s="9"/>
      <c r="O164" s="38">
        <f t="shared" si="12"/>
        <v>431</v>
      </c>
      <c r="P164" s="12"/>
      <c r="Q164" s="42"/>
      <c r="R164" s="15"/>
      <c r="S164" s="44"/>
      <c r="T164" s="15"/>
      <c r="U164" s="44"/>
      <c r="V164" s="15">
        <f t="shared" si="13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4"/>
        <v>0</v>
      </c>
      <c r="AF164" s="15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5"/>
        <v>0</v>
      </c>
      <c r="BA164" s="15"/>
      <c r="BB164" s="44"/>
      <c r="BC164" s="15"/>
      <c r="BD164" s="44"/>
      <c r="BE164" s="15">
        <f t="shared" si="16"/>
        <v>0</v>
      </c>
    </row>
    <row r="165" spans="1:57">
      <c r="A165" s="9"/>
      <c r="B165" s="16" t="s">
        <v>120</v>
      </c>
      <c r="C165" s="89" t="s">
        <v>48</v>
      </c>
      <c r="D165" s="72" t="s">
        <v>274</v>
      </c>
      <c r="E165" s="13" t="s">
        <v>275</v>
      </c>
      <c r="F165" s="96"/>
      <c r="G165" s="9"/>
      <c r="H165" s="9" t="s">
        <v>67</v>
      </c>
      <c r="I165" s="14"/>
      <c r="J165" s="14"/>
      <c r="K165" s="12">
        <v>277</v>
      </c>
      <c r="L165" s="9"/>
      <c r="M165" s="9"/>
      <c r="N165" s="9"/>
      <c r="O165" s="38">
        <f t="shared" si="12"/>
        <v>277</v>
      </c>
      <c r="P165" s="12"/>
      <c r="Q165" s="42"/>
      <c r="R165" s="15"/>
      <c r="S165" s="44"/>
      <c r="T165" s="15"/>
      <c r="U165" s="44"/>
      <c r="V165" s="15">
        <f t="shared" si="13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4"/>
        <v>0</v>
      </c>
      <c r="AF165" s="15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si="15"/>
        <v>0</v>
      </c>
      <c r="BA165" s="15"/>
      <c r="BB165" s="44"/>
      <c r="BC165" s="15"/>
      <c r="BD165" s="44"/>
      <c r="BE165" s="15">
        <f t="shared" si="16"/>
        <v>0</v>
      </c>
    </row>
    <row r="166" spans="1:57">
      <c r="A166" s="9"/>
      <c r="B166" s="16" t="s">
        <v>187</v>
      </c>
      <c r="C166" s="89" t="s">
        <v>48</v>
      </c>
      <c r="D166" s="69" t="s">
        <v>276</v>
      </c>
      <c r="E166" s="13" t="s">
        <v>277</v>
      </c>
      <c r="F166" s="96"/>
      <c r="G166" s="9"/>
      <c r="H166" s="9" t="s">
        <v>67</v>
      </c>
      <c r="I166" s="14"/>
      <c r="J166" s="14"/>
      <c r="K166" s="12">
        <v>0</v>
      </c>
      <c r="L166" s="9"/>
      <c r="M166" s="9"/>
      <c r="N166" s="9"/>
      <c r="O166" s="38">
        <f t="shared" si="12"/>
        <v>0</v>
      </c>
      <c r="P166" s="12"/>
      <c r="Q166" s="42"/>
      <c r="R166" s="15"/>
      <c r="S166" s="44"/>
      <c r="T166" s="15"/>
      <c r="U166" s="44"/>
      <c r="V166" s="15">
        <f t="shared" si="13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4"/>
        <v>0</v>
      </c>
      <c r="AF166" s="15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5"/>
        <v>0</v>
      </c>
      <c r="BA166" s="15"/>
      <c r="BB166" s="44"/>
      <c r="BC166" s="15"/>
      <c r="BD166" s="44"/>
      <c r="BE166" s="15">
        <f t="shared" si="16"/>
        <v>0</v>
      </c>
    </row>
    <row r="167" spans="1:57">
      <c r="A167" s="9"/>
      <c r="B167" s="16" t="s">
        <v>204</v>
      </c>
      <c r="C167" s="89" t="s">
        <v>48</v>
      </c>
      <c r="D167" s="69" t="s">
        <v>278</v>
      </c>
      <c r="E167" s="13" t="s">
        <v>279</v>
      </c>
      <c r="F167" s="96"/>
      <c r="G167" s="9"/>
      <c r="H167" s="9" t="s">
        <v>207</v>
      </c>
      <c r="I167" s="14"/>
      <c r="J167" s="14"/>
      <c r="K167" s="12">
        <v>303</v>
      </c>
      <c r="L167" s="9"/>
      <c r="M167" s="9"/>
      <c r="N167" s="9"/>
      <c r="O167" s="38">
        <f t="shared" si="12"/>
        <v>303</v>
      </c>
      <c r="P167" s="12"/>
      <c r="Q167" s="42"/>
      <c r="R167" s="15"/>
      <c r="S167" s="44"/>
      <c r="T167" s="15"/>
      <c r="U167" s="44"/>
      <c r="V167" s="15">
        <f t="shared" si="13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4"/>
        <v>0</v>
      </c>
      <c r="AF167" s="15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5"/>
        <v>0</v>
      </c>
      <c r="BA167" s="15"/>
      <c r="BB167" s="44"/>
      <c r="BC167" s="15"/>
      <c r="BD167" s="44"/>
      <c r="BE167" s="15">
        <f t="shared" si="16"/>
        <v>0</v>
      </c>
    </row>
    <row r="168" spans="1:57">
      <c r="A168" s="9"/>
      <c r="B168" s="16" t="s">
        <v>204</v>
      </c>
      <c r="C168" s="89" t="s">
        <v>48</v>
      </c>
      <c r="D168" s="69" t="s">
        <v>280</v>
      </c>
      <c r="E168" s="13" t="s">
        <v>281</v>
      </c>
      <c r="F168" s="96"/>
      <c r="G168" s="9"/>
      <c r="H168" s="9" t="s">
        <v>207</v>
      </c>
      <c r="I168" s="14"/>
      <c r="J168" s="14"/>
      <c r="K168" s="12">
        <v>0</v>
      </c>
      <c r="L168" s="9"/>
      <c r="M168" s="9"/>
      <c r="N168" s="9"/>
      <c r="O168" s="38">
        <f t="shared" si="12"/>
        <v>0</v>
      </c>
      <c r="P168" s="12"/>
      <c r="Q168" s="42"/>
      <c r="R168" s="15"/>
      <c r="S168" s="44"/>
      <c r="T168" s="15"/>
      <c r="U168" s="44"/>
      <c r="V168" s="15">
        <f t="shared" si="13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4"/>
        <v>0</v>
      </c>
      <c r="AF168" s="15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5"/>
        <v>0</v>
      </c>
      <c r="BA168" s="15"/>
      <c r="BB168" s="44"/>
      <c r="BC168" s="15"/>
      <c r="BD168" s="44"/>
      <c r="BE168" s="15">
        <f t="shared" si="16"/>
        <v>0</v>
      </c>
    </row>
    <row r="169" spans="1:57">
      <c r="A169" s="9"/>
      <c r="B169" s="16" t="s">
        <v>204</v>
      </c>
      <c r="C169" s="89" t="s">
        <v>48</v>
      </c>
      <c r="D169" s="70" t="s">
        <v>282</v>
      </c>
      <c r="E169" s="13" t="s">
        <v>206</v>
      </c>
      <c r="F169" s="96"/>
      <c r="G169" s="9"/>
      <c r="H169" s="9" t="s">
        <v>207</v>
      </c>
      <c r="I169" s="14"/>
      <c r="J169" s="14"/>
      <c r="K169" s="12">
        <v>0</v>
      </c>
      <c r="L169" s="9"/>
      <c r="M169" s="9"/>
      <c r="N169" s="9"/>
      <c r="O169" s="38">
        <f t="shared" si="12"/>
        <v>0</v>
      </c>
      <c r="P169" s="12"/>
      <c r="Q169" s="42"/>
      <c r="R169" s="15"/>
      <c r="S169" s="44"/>
      <c r="T169" s="15"/>
      <c r="U169" s="44"/>
      <c r="V169" s="15">
        <f t="shared" si="13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4"/>
        <v>0</v>
      </c>
      <c r="AF169" s="15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5"/>
        <v>0</v>
      </c>
      <c r="BA169" s="15"/>
      <c r="BB169" s="44"/>
      <c r="BC169" s="15"/>
      <c r="BD169" s="44"/>
      <c r="BE169" s="15">
        <f t="shared" si="16"/>
        <v>0</v>
      </c>
    </row>
    <row r="170" spans="1:57">
      <c r="A170" s="9"/>
      <c r="B170" s="16" t="s">
        <v>204</v>
      </c>
      <c r="C170" s="89" t="s">
        <v>48</v>
      </c>
      <c r="D170" s="69" t="s">
        <v>216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324</v>
      </c>
      <c r="L170" s="9"/>
      <c r="M170" s="9"/>
      <c r="N170" s="9"/>
      <c r="O170" s="38">
        <f t="shared" si="12"/>
        <v>324</v>
      </c>
      <c r="P170" s="12"/>
      <c r="Q170" s="42"/>
      <c r="R170" s="15"/>
      <c r="S170" s="44"/>
      <c r="T170" s="15"/>
      <c r="U170" s="44"/>
      <c r="V170" s="15">
        <f t="shared" si="13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4"/>
        <v>0</v>
      </c>
      <c r="AF170" s="15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5"/>
        <v>0</v>
      </c>
      <c r="BA170" s="15"/>
      <c r="BB170" s="44"/>
      <c r="BC170" s="15"/>
      <c r="BD170" s="44"/>
      <c r="BE170" s="15">
        <f t="shared" si="16"/>
        <v>0</v>
      </c>
    </row>
    <row r="171" spans="1:57">
      <c r="A171" s="9"/>
      <c r="B171" s="16" t="s">
        <v>204</v>
      </c>
      <c r="C171" s="89" t="s">
        <v>48</v>
      </c>
      <c r="D171" s="70" t="s">
        <v>283</v>
      </c>
      <c r="E171" s="13" t="s">
        <v>206</v>
      </c>
      <c r="F171" s="96"/>
      <c r="G171" s="9"/>
      <c r="H171" s="9" t="s">
        <v>207</v>
      </c>
      <c r="I171" s="14"/>
      <c r="J171" s="14"/>
      <c r="K171" s="12">
        <v>259</v>
      </c>
      <c r="L171" s="9"/>
      <c r="M171" s="9"/>
      <c r="N171" s="9"/>
      <c r="O171" s="38">
        <f t="shared" si="12"/>
        <v>259</v>
      </c>
      <c r="P171" s="12"/>
      <c r="Q171" s="42"/>
      <c r="R171" s="15"/>
      <c r="S171" s="44"/>
      <c r="T171" s="15"/>
      <c r="U171" s="44"/>
      <c r="V171" s="15">
        <f t="shared" si="13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4"/>
        <v>0</v>
      </c>
      <c r="AF171" s="15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5"/>
        <v>0</v>
      </c>
      <c r="BA171" s="15"/>
      <c r="BB171" s="44"/>
      <c r="BC171" s="15"/>
      <c r="BD171" s="44"/>
      <c r="BE171" s="15">
        <f t="shared" si="16"/>
        <v>0</v>
      </c>
    </row>
    <row r="172" spans="1:57">
      <c r="A172" s="9"/>
      <c r="B172" s="16" t="s">
        <v>204</v>
      </c>
      <c r="C172" s="89" t="s">
        <v>48</v>
      </c>
      <c r="D172" s="69" t="s">
        <v>284</v>
      </c>
      <c r="E172" s="13" t="s">
        <v>237</v>
      </c>
      <c r="F172" s="96"/>
      <c r="G172" s="9"/>
      <c r="H172" s="9" t="s">
        <v>207</v>
      </c>
      <c r="I172" s="14"/>
      <c r="J172" s="14"/>
      <c r="K172" s="12">
        <v>156</v>
      </c>
      <c r="L172" s="9"/>
      <c r="M172" s="9"/>
      <c r="N172" s="9"/>
      <c r="O172" s="38">
        <f t="shared" si="12"/>
        <v>156</v>
      </c>
      <c r="P172" s="12"/>
      <c r="Q172" s="42"/>
      <c r="R172" s="15"/>
      <c r="S172" s="44"/>
      <c r="T172" s="15"/>
      <c r="U172" s="44"/>
      <c r="V172" s="15">
        <f t="shared" si="13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4"/>
        <v>0</v>
      </c>
      <c r="AF172" s="15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5"/>
        <v>0</v>
      </c>
      <c r="BA172" s="15"/>
      <c r="BB172" s="44"/>
      <c r="BC172" s="15"/>
      <c r="BD172" s="44"/>
      <c r="BE172" s="15">
        <f t="shared" si="16"/>
        <v>0</v>
      </c>
    </row>
    <row r="173" spans="1:57">
      <c r="A173" s="9"/>
      <c r="B173" s="16" t="s">
        <v>204</v>
      </c>
      <c r="C173" s="89" t="s">
        <v>48</v>
      </c>
      <c r="D173" s="70" t="s">
        <v>285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69</v>
      </c>
      <c r="L173" s="9"/>
      <c r="M173" s="9"/>
      <c r="N173" s="9"/>
      <c r="O173" s="38">
        <f t="shared" si="12"/>
        <v>69</v>
      </c>
      <c r="P173" s="12"/>
      <c r="Q173" s="42"/>
      <c r="R173" s="15"/>
      <c r="S173" s="44"/>
      <c r="T173" s="15"/>
      <c r="U173" s="44"/>
      <c r="V173" s="15">
        <f t="shared" si="13"/>
        <v>0</v>
      </c>
      <c r="W173" s="15"/>
      <c r="X173" s="44"/>
      <c r="Y173" s="15"/>
      <c r="Z173" s="44"/>
      <c r="AA173" s="24"/>
      <c r="AB173" s="44"/>
      <c r="AC173" s="24"/>
      <c r="AD173" s="44"/>
      <c r="AE173" s="15">
        <f t="shared" si="14"/>
        <v>0</v>
      </c>
      <c r="AF173" s="15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5"/>
        <v>0</v>
      </c>
      <c r="BA173" s="15"/>
      <c r="BB173" s="44"/>
      <c r="BC173" s="15"/>
      <c r="BD173" s="44"/>
      <c r="BE173" s="15">
        <f t="shared" si="16"/>
        <v>0</v>
      </c>
    </row>
    <row r="174" spans="1:57">
      <c r="A174" s="9"/>
      <c r="B174" s="16" t="s">
        <v>204</v>
      </c>
      <c r="C174" s="89" t="s">
        <v>48</v>
      </c>
      <c r="D174" s="69" t="s">
        <v>286</v>
      </c>
      <c r="E174" s="13" t="s">
        <v>287</v>
      </c>
      <c r="F174" s="96"/>
      <c r="G174" s="9"/>
      <c r="H174" s="9" t="s">
        <v>207</v>
      </c>
      <c r="I174" s="14"/>
      <c r="J174" s="14"/>
      <c r="K174" s="12">
        <v>29</v>
      </c>
      <c r="L174" s="9"/>
      <c r="M174" s="9"/>
      <c r="N174" s="9"/>
      <c r="O174" s="38">
        <f t="shared" si="12"/>
        <v>29</v>
      </c>
      <c r="P174" s="12"/>
      <c r="Q174" s="42"/>
      <c r="R174" s="15"/>
      <c r="S174" s="44"/>
      <c r="T174" s="15"/>
      <c r="U174" s="44"/>
      <c r="V174" s="15">
        <f t="shared" si="13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4"/>
        <v>0</v>
      </c>
      <c r="AF174" s="15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5"/>
        <v>0</v>
      </c>
      <c r="BA174" s="15"/>
      <c r="BB174" s="44"/>
      <c r="BC174" s="15"/>
      <c r="BD174" s="44"/>
      <c r="BE174" s="15">
        <f t="shared" si="16"/>
        <v>0</v>
      </c>
    </row>
    <row r="175" spans="1:57">
      <c r="A175" s="9"/>
      <c r="B175" s="16" t="s">
        <v>204</v>
      </c>
      <c r="C175" s="89" t="s">
        <v>48</v>
      </c>
      <c r="D175" s="70" t="s">
        <v>288</v>
      </c>
      <c r="E175" s="13" t="s">
        <v>281</v>
      </c>
      <c r="F175" s="96"/>
      <c r="G175" s="9"/>
      <c r="H175" s="9" t="s">
        <v>207</v>
      </c>
      <c r="I175" s="14"/>
      <c r="J175" s="14"/>
      <c r="K175" s="12">
        <v>207</v>
      </c>
      <c r="L175" s="9"/>
      <c r="M175" s="9"/>
      <c r="N175" s="9"/>
      <c r="O175" s="38">
        <f t="shared" si="12"/>
        <v>207</v>
      </c>
      <c r="P175" s="12"/>
      <c r="Q175" s="42"/>
      <c r="R175" s="12"/>
      <c r="S175" s="42"/>
      <c r="T175" s="15"/>
      <c r="U175" s="44"/>
      <c r="V175" s="15">
        <f t="shared" si="13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4"/>
        <v>0</v>
      </c>
      <c r="AF175" s="15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5"/>
        <v>0</v>
      </c>
      <c r="BA175" s="15"/>
      <c r="BB175" s="44"/>
      <c r="BC175" s="15"/>
      <c r="BD175" s="44"/>
      <c r="BE175" s="15">
        <f t="shared" si="16"/>
        <v>0</v>
      </c>
    </row>
    <row r="176" spans="1:57">
      <c r="A176" s="9"/>
      <c r="B176" s="16" t="s">
        <v>204</v>
      </c>
      <c r="C176" s="89" t="s">
        <v>48</v>
      </c>
      <c r="D176" s="71" t="s">
        <v>289</v>
      </c>
      <c r="E176" s="13" t="s">
        <v>290</v>
      </c>
      <c r="F176" s="96"/>
      <c r="G176" s="9"/>
      <c r="H176" s="9" t="s">
        <v>207</v>
      </c>
      <c r="I176" s="14"/>
      <c r="J176" s="14"/>
      <c r="K176" s="12">
        <v>165</v>
      </c>
      <c r="L176" s="9"/>
      <c r="M176" s="9"/>
      <c r="N176" s="9"/>
      <c r="O176" s="38">
        <f t="shared" si="12"/>
        <v>165</v>
      </c>
      <c r="P176" s="12"/>
      <c r="Q176" s="42"/>
      <c r="R176" s="15"/>
      <c r="S176" s="44"/>
      <c r="T176" s="15"/>
      <c r="U176" s="44"/>
      <c r="V176" s="15">
        <f t="shared" si="13"/>
        <v>0</v>
      </c>
      <c r="W176" s="15"/>
      <c r="X176" s="44"/>
      <c r="Y176" s="15"/>
      <c r="Z176" s="44"/>
      <c r="AA176" s="15"/>
      <c r="AB176" s="44"/>
      <c r="AC176" s="15"/>
      <c r="AD176" s="44"/>
      <c r="AE176" s="15">
        <f t="shared" si="14"/>
        <v>0</v>
      </c>
      <c r="AF176" s="15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5"/>
        <v>0</v>
      </c>
      <c r="BA176" s="15"/>
      <c r="BB176" s="44"/>
      <c r="BC176" s="15"/>
      <c r="BD176" s="44"/>
      <c r="BE176" s="15">
        <f t="shared" si="16"/>
        <v>0</v>
      </c>
    </row>
    <row r="177" spans="1:57">
      <c r="A177" s="9"/>
      <c r="B177" s="16" t="s">
        <v>204</v>
      </c>
      <c r="C177" s="89" t="s">
        <v>48</v>
      </c>
      <c r="D177" s="71" t="s">
        <v>291</v>
      </c>
      <c r="E177" s="13" t="s">
        <v>281</v>
      </c>
      <c r="F177" s="96"/>
      <c r="G177" s="9"/>
      <c r="H177" s="9" t="s">
        <v>207</v>
      </c>
      <c r="I177" s="14"/>
      <c r="J177" s="14"/>
      <c r="K177" s="12">
        <v>248</v>
      </c>
      <c r="L177" s="9"/>
      <c r="M177" s="9"/>
      <c r="N177" s="9"/>
      <c r="O177" s="38">
        <f t="shared" si="12"/>
        <v>248</v>
      </c>
      <c r="P177" s="12"/>
      <c r="Q177" s="42"/>
      <c r="R177" s="15"/>
      <c r="S177" s="44"/>
      <c r="T177" s="15"/>
      <c r="U177" s="44"/>
      <c r="V177" s="15">
        <f t="shared" si="13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4"/>
        <v>0</v>
      </c>
      <c r="AF177" s="15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5"/>
        <v>0</v>
      </c>
      <c r="BA177" s="15"/>
      <c r="BB177" s="44"/>
      <c r="BC177" s="15"/>
      <c r="BD177" s="44"/>
      <c r="BE177" s="15">
        <f t="shared" si="16"/>
        <v>0</v>
      </c>
    </row>
    <row r="178" spans="1:57">
      <c r="A178" s="9"/>
      <c r="B178" s="16" t="s">
        <v>204</v>
      </c>
      <c r="C178" s="89" t="s">
        <v>48</v>
      </c>
      <c r="D178" s="71" t="s">
        <v>292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295</v>
      </c>
      <c r="L178" s="9"/>
      <c r="M178" s="9"/>
      <c r="N178" s="9"/>
      <c r="O178" s="38">
        <f t="shared" si="12"/>
        <v>295</v>
      </c>
      <c r="P178" s="12"/>
      <c r="Q178" s="42"/>
      <c r="R178" s="15"/>
      <c r="S178" s="44"/>
      <c r="T178" s="15"/>
      <c r="U178" s="44"/>
      <c r="V178" s="15">
        <f t="shared" si="13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4"/>
        <v>0</v>
      </c>
      <c r="AF178" s="15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5"/>
        <v>0</v>
      </c>
      <c r="BA178" s="15"/>
      <c r="BB178" s="44"/>
      <c r="BC178" s="15"/>
      <c r="BD178" s="44"/>
      <c r="BE178" s="15">
        <f t="shared" si="16"/>
        <v>0</v>
      </c>
    </row>
    <row r="179" spans="1:57">
      <c r="A179" s="9"/>
      <c r="B179" s="16" t="s">
        <v>204</v>
      </c>
      <c r="C179" s="89" t="s">
        <v>48</v>
      </c>
      <c r="D179" s="71" t="s">
        <v>293</v>
      </c>
      <c r="E179" s="13" t="s">
        <v>206</v>
      </c>
      <c r="F179" s="96"/>
      <c r="G179" s="9"/>
      <c r="H179" s="9" t="s">
        <v>207</v>
      </c>
      <c r="I179" s="14"/>
      <c r="J179" s="14"/>
      <c r="K179" s="12">
        <v>260</v>
      </c>
      <c r="L179" s="9"/>
      <c r="M179" s="9"/>
      <c r="N179" s="9"/>
      <c r="O179" s="38">
        <f t="shared" si="12"/>
        <v>260</v>
      </c>
      <c r="P179" s="12"/>
      <c r="Q179" s="42"/>
      <c r="R179" s="15"/>
      <c r="S179" s="44"/>
      <c r="T179" s="15"/>
      <c r="U179" s="44"/>
      <c r="V179" s="15">
        <f t="shared" si="13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4"/>
        <v>0</v>
      </c>
      <c r="AF179" s="15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5"/>
        <v>0</v>
      </c>
      <c r="BA179" s="15"/>
      <c r="BB179" s="44"/>
      <c r="BC179" s="15"/>
      <c r="BD179" s="44"/>
      <c r="BE179" s="15">
        <f t="shared" si="16"/>
        <v>0</v>
      </c>
    </row>
    <row r="180" spans="1:57">
      <c r="A180" s="9"/>
      <c r="B180" s="16" t="s">
        <v>204</v>
      </c>
      <c r="C180" s="89" t="s">
        <v>48</v>
      </c>
      <c r="D180" s="69" t="s">
        <v>294</v>
      </c>
      <c r="E180" s="13" t="s">
        <v>206</v>
      </c>
      <c r="F180" s="96"/>
      <c r="G180" s="9"/>
      <c r="H180" s="9" t="s">
        <v>207</v>
      </c>
      <c r="I180" s="14"/>
      <c r="J180" s="14"/>
      <c r="K180" s="12">
        <v>420</v>
      </c>
      <c r="L180" s="9"/>
      <c r="M180" s="9"/>
      <c r="N180" s="9"/>
      <c r="O180" s="38">
        <f t="shared" si="12"/>
        <v>420</v>
      </c>
      <c r="P180" s="12"/>
      <c r="Q180" s="42"/>
      <c r="R180" s="15"/>
      <c r="S180" s="44"/>
      <c r="T180" s="15"/>
      <c r="U180" s="44"/>
      <c r="V180" s="15">
        <f t="shared" si="13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4"/>
        <v>0</v>
      </c>
      <c r="AF180" s="15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5"/>
        <v>0</v>
      </c>
      <c r="BA180" s="15"/>
      <c r="BB180" s="44"/>
      <c r="BC180" s="15"/>
      <c r="BD180" s="44"/>
      <c r="BE180" s="15">
        <f t="shared" si="16"/>
        <v>0</v>
      </c>
    </row>
    <row r="181" spans="1:57">
      <c r="A181" s="9"/>
      <c r="B181" s="16" t="s">
        <v>204</v>
      </c>
      <c r="C181" s="89" t="s">
        <v>48</v>
      </c>
      <c r="D181" s="72" t="s">
        <v>295</v>
      </c>
      <c r="E181" s="13" t="s">
        <v>279</v>
      </c>
      <c r="F181" s="96"/>
      <c r="G181" s="9"/>
      <c r="H181" s="9" t="s">
        <v>207</v>
      </c>
      <c r="I181" s="14"/>
      <c r="J181" s="14"/>
      <c r="K181" s="12">
        <v>80</v>
      </c>
      <c r="L181" s="9"/>
      <c r="M181" s="9"/>
      <c r="N181" s="9"/>
      <c r="O181" s="38">
        <f t="shared" si="12"/>
        <v>80</v>
      </c>
      <c r="P181" s="12"/>
      <c r="Q181" s="42"/>
      <c r="R181" s="15"/>
      <c r="S181" s="44"/>
      <c r="T181" s="15"/>
      <c r="U181" s="44"/>
      <c r="V181" s="15">
        <f t="shared" si="13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4"/>
        <v>0</v>
      </c>
      <c r="AF181" s="15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5"/>
        <v>0</v>
      </c>
      <c r="BA181" s="15"/>
      <c r="BB181" s="44"/>
      <c r="BC181" s="15"/>
      <c r="BD181" s="44"/>
      <c r="BE181" s="15">
        <f t="shared" si="16"/>
        <v>0</v>
      </c>
    </row>
    <row r="182" spans="1:57">
      <c r="A182" s="9"/>
      <c r="B182" s="16" t="s">
        <v>204</v>
      </c>
      <c r="C182" s="89" t="s">
        <v>48</v>
      </c>
      <c r="D182" s="69" t="s">
        <v>296</v>
      </c>
      <c r="E182" s="13" t="s">
        <v>287</v>
      </c>
      <c r="F182" s="96"/>
      <c r="G182" s="9"/>
      <c r="H182" s="9" t="s">
        <v>207</v>
      </c>
      <c r="I182" s="14"/>
      <c r="J182" s="14"/>
      <c r="K182" s="12">
        <v>490</v>
      </c>
      <c r="L182" s="9"/>
      <c r="M182" s="9"/>
      <c r="N182" s="9"/>
      <c r="O182" s="38">
        <f t="shared" si="12"/>
        <v>490</v>
      </c>
      <c r="P182" s="12"/>
      <c r="Q182" s="42"/>
      <c r="R182" s="15"/>
      <c r="S182" s="44"/>
      <c r="T182" s="15"/>
      <c r="U182" s="44"/>
      <c r="V182" s="15">
        <f t="shared" si="13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4"/>
        <v>0</v>
      </c>
      <c r="AF182" s="15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5"/>
        <v>0</v>
      </c>
      <c r="BA182" s="15"/>
      <c r="BB182" s="44"/>
      <c r="BC182" s="15"/>
      <c r="BD182" s="44"/>
      <c r="BE182" s="15">
        <f t="shared" si="16"/>
        <v>0</v>
      </c>
    </row>
    <row r="183" spans="1:57">
      <c r="A183" s="9"/>
      <c r="B183" s="16" t="s">
        <v>204</v>
      </c>
      <c r="C183" s="89" t="s">
        <v>48</v>
      </c>
      <c r="D183" s="69" t="s">
        <v>297</v>
      </c>
      <c r="E183" s="13" t="s">
        <v>281</v>
      </c>
      <c r="F183" s="96"/>
      <c r="G183" s="9"/>
      <c r="H183" s="9" t="s">
        <v>207</v>
      </c>
      <c r="I183" s="14"/>
      <c r="J183" s="14"/>
      <c r="K183" s="12">
        <v>433</v>
      </c>
      <c r="L183" s="9"/>
      <c r="M183" s="9"/>
      <c r="N183" s="9"/>
      <c r="O183" s="38">
        <f t="shared" si="12"/>
        <v>433</v>
      </c>
      <c r="P183" s="12"/>
      <c r="Q183" s="42"/>
      <c r="R183" s="12"/>
      <c r="S183" s="42"/>
      <c r="T183" s="15"/>
      <c r="U183" s="44"/>
      <c r="V183" s="15">
        <f t="shared" si="13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4"/>
        <v>0</v>
      </c>
      <c r="AF183" s="15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5"/>
        <v>0</v>
      </c>
      <c r="BA183" s="15"/>
      <c r="BB183" s="44"/>
      <c r="BC183" s="15"/>
      <c r="BD183" s="44"/>
      <c r="BE183" s="15">
        <f t="shared" si="16"/>
        <v>0</v>
      </c>
    </row>
    <row r="184" spans="1:57">
      <c r="A184" s="9"/>
      <c r="B184" s="16" t="s">
        <v>204</v>
      </c>
      <c r="C184" s="89" t="s">
        <v>48</v>
      </c>
      <c r="D184" s="69" t="s">
        <v>298</v>
      </c>
      <c r="E184" s="13" t="s">
        <v>290</v>
      </c>
      <c r="F184" s="96"/>
      <c r="G184" s="9"/>
      <c r="H184" s="9" t="s">
        <v>207</v>
      </c>
      <c r="I184" s="14"/>
      <c r="J184" s="14"/>
      <c r="K184" s="12">
        <v>48</v>
      </c>
      <c r="L184" s="9"/>
      <c r="M184" s="9"/>
      <c r="N184" s="9"/>
      <c r="O184" s="38">
        <f t="shared" si="12"/>
        <v>48</v>
      </c>
      <c r="P184" s="12"/>
      <c r="Q184" s="42"/>
      <c r="R184" s="15"/>
      <c r="S184" s="44"/>
      <c r="T184" s="15"/>
      <c r="U184" s="44"/>
      <c r="V184" s="15">
        <f t="shared" si="13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4"/>
        <v>0</v>
      </c>
      <c r="AF184" s="15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5"/>
        <v>0</v>
      </c>
      <c r="BA184" s="15"/>
      <c r="BB184" s="44"/>
      <c r="BC184" s="15"/>
      <c r="BD184" s="44"/>
      <c r="BE184" s="15">
        <f t="shared" si="16"/>
        <v>0</v>
      </c>
    </row>
    <row r="185" spans="1:57">
      <c r="A185" s="9"/>
      <c r="B185" s="16" t="s">
        <v>204</v>
      </c>
      <c r="C185" s="89" t="s">
        <v>48</v>
      </c>
      <c r="D185" s="73" t="s">
        <v>299</v>
      </c>
      <c r="E185" s="13" t="s">
        <v>281</v>
      </c>
      <c r="F185" s="96"/>
      <c r="G185" s="9"/>
      <c r="H185" s="9" t="s">
        <v>207</v>
      </c>
      <c r="I185" s="14"/>
      <c r="J185" s="14"/>
      <c r="K185" s="12">
        <v>90</v>
      </c>
      <c r="L185" s="9"/>
      <c r="M185" s="9"/>
      <c r="N185" s="9"/>
      <c r="O185" s="38">
        <f t="shared" si="12"/>
        <v>90</v>
      </c>
      <c r="P185" s="12"/>
      <c r="Q185" s="42"/>
      <c r="R185" s="15"/>
      <c r="S185" s="44"/>
      <c r="T185" s="15"/>
      <c r="U185" s="44"/>
      <c r="V185" s="15">
        <f t="shared" si="13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4"/>
        <v>0</v>
      </c>
      <c r="AF185" s="15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5"/>
        <v>0</v>
      </c>
      <c r="BA185" s="15"/>
      <c r="BB185" s="44"/>
      <c r="BC185" s="15"/>
      <c r="BD185" s="44"/>
      <c r="BE185" s="15">
        <f t="shared" si="16"/>
        <v>0</v>
      </c>
    </row>
    <row r="186" spans="1:57">
      <c r="A186" s="9"/>
      <c r="B186" s="16" t="s">
        <v>300</v>
      </c>
      <c r="C186" s="89" t="s">
        <v>48</v>
      </c>
      <c r="D186" s="69" t="s">
        <v>301</v>
      </c>
      <c r="E186" s="13" t="s">
        <v>302</v>
      </c>
      <c r="F186" s="96"/>
      <c r="G186" s="9"/>
      <c r="H186" s="9" t="s">
        <v>207</v>
      </c>
      <c r="I186" s="14"/>
      <c r="J186" s="14"/>
      <c r="K186" s="12">
        <v>103</v>
      </c>
      <c r="L186" s="9"/>
      <c r="M186" s="9"/>
      <c r="N186" s="9"/>
      <c r="O186" s="38">
        <f t="shared" si="12"/>
        <v>103</v>
      </c>
      <c r="P186" s="12"/>
      <c r="Q186" s="42"/>
      <c r="R186" s="15"/>
      <c r="S186" s="44"/>
      <c r="T186" s="15"/>
      <c r="U186" s="44"/>
      <c r="V186" s="15">
        <f t="shared" si="13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4"/>
        <v>0</v>
      </c>
      <c r="AF186" s="15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5"/>
        <v>0</v>
      </c>
      <c r="BA186" s="15"/>
      <c r="BB186" s="44"/>
      <c r="BC186" s="15"/>
      <c r="BD186" s="44"/>
      <c r="BE186" s="15">
        <f t="shared" si="16"/>
        <v>0</v>
      </c>
    </row>
    <row r="187" spans="1:57">
      <c r="A187" s="9"/>
      <c r="B187" s="16" t="s">
        <v>204</v>
      </c>
      <c r="C187" s="89" t="s">
        <v>48</v>
      </c>
      <c r="D187" s="69" t="s">
        <v>303</v>
      </c>
      <c r="E187" s="13" t="s">
        <v>304</v>
      </c>
      <c r="F187" s="96"/>
      <c r="G187" s="9"/>
      <c r="H187" s="9" t="s">
        <v>207</v>
      </c>
      <c r="I187" s="14"/>
      <c r="J187" s="14"/>
      <c r="K187" s="12">
        <v>165</v>
      </c>
      <c r="L187" s="9"/>
      <c r="M187" s="9"/>
      <c r="N187" s="9"/>
      <c r="O187" s="38">
        <f t="shared" si="12"/>
        <v>165</v>
      </c>
      <c r="P187" s="12"/>
      <c r="Q187" s="42"/>
      <c r="R187" s="15"/>
      <c r="S187" s="44"/>
      <c r="T187" s="15"/>
      <c r="U187" s="44"/>
      <c r="V187" s="15">
        <f t="shared" si="13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4"/>
        <v>0</v>
      </c>
      <c r="AF187" s="15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5"/>
        <v>0</v>
      </c>
      <c r="BA187" s="15"/>
      <c r="BB187" s="44"/>
      <c r="BC187" s="15"/>
      <c r="BD187" s="44"/>
      <c r="BE187" s="15">
        <f t="shared" si="16"/>
        <v>0</v>
      </c>
    </row>
    <row r="188" spans="1:57">
      <c r="A188" s="9"/>
      <c r="B188" s="16" t="s">
        <v>204</v>
      </c>
      <c r="C188" s="89" t="s">
        <v>48</v>
      </c>
      <c r="D188" s="70" t="s">
        <v>305</v>
      </c>
      <c r="E188" s="13" t="s">
        <v>206</v>
      </c>
      <c r="F188" s="96"/>
      <c r="G188" s="9"/>
      <c r="H188" s="9" t="s">
        <v>207</v>
      </c>
      <c r="I188" s="14"/>
      <c r="J188" s="14"/>
      <c r="K188" s="12">
        <v>0</v>
      </c>
      <c r="L188" s="9"/>
      <c r="M188" s="9"/>
      <c r="N188" s="9"/>
      <c r="O188" s="38">
        <f t="shared" si="12"/>
        <v>0</v>
      </c>
      <c r="P188" s="12"/>
      <c r="Q188" s="42"/>
      <c r="R188" s="15"/>
      <c r="S188" s="44"/>
      <c r="T188" s="15"/>
      <c r="U188" s="44"/>
      <c r="V188" s="15">
        <f t="shared" si="13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4"/>
        <v>0</v>
      </c>
      <c r="AF188" s="15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5"/>
        <v>0</v>
      </c>
      <c r="BA188" s="15"/>
      <c r="BB188" s="44"/>
      <c r="BC188" s="15"/>
      <c r="BD188" s="44"/>
      <c r="BE188" s="15">
        <f t="shared" si="16"/>
        <v>0</v>
      </c>
    </row>
    <row r="189" spans="1:57">
      <c r="A189" s="9"/>
      <c r="B189" s="16" t="s">
        <v>204</v>
      </c>
      <c r="C189" s="89" t="s">
        <v>48</v>
      </c>
      <c r="D189" s="69" t="s">
        <v>306</v>
      </c>
      <c r="E189" s="13" t="s">
        <v>307</v>
      </c>
      <c r="F189" s="96"/>
      <c r="G189" s="9"/>
      <c r="H189" s="9" t="s">
        <v>207</v>
      </c>
      <c r="I189" s="14"/>
      <c r="J189" s="14"/>
      <c r="K189" s="12">
        <v>332</v>
      </c>
      <c r="L189" s="9"/>
      <c r="M189" s="9"/>
      <c r="N189" s="9"/>
      <c r="O189" s="38">
        <f t="shared" si="12"/>
        <v>332</v>
      </c>
      <c r="P189" s="12"/>
      <c r="Q189" s="42"/>
      <c r="R189" s="15"/>
      <c r="S189" s="44"/>
      <c r="T189" s="15"/>
      <c r="U189" s="44"/>
      <c r="V189" s="15">
        <f t="shared" si="13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4"/>
        <v>0</v>
      </c>
      <c r="AF189" s="15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5"/>
        <v>0</v>
      </c>
      <c r="BA189" s="15"/>
      <c r="BB189" s="44"/>
      <c r="BC189" s="15"/>
      <c r="BD189" s="44"/>
      <c r="BE189" s="15">
        <f t="shared" si="16"/>
        <v>0</v>
      </c>
    </row>
    <row r="190" spans="1:57">
      <c r="A190" s="9"/>
      <c r="B190" s="16" t="s">
        <v>204</v>
      </c>
      <c r="C190" s="89" t="s">
        <v>48</v>
      </c>
      <c r="D190" s="70" t="s">
        <v>308</v>
      </c>
      <c r="E190" s="13" t="s">
        <v>307</v>
      </c>
      <c r="F190" s="96"/>
      <c r="G190" s="9"/>
      <c r="H190" s="9" t="s">
        <v>207</v>
      </c>
      <c r="I190" s="14"/>
      <c r="J190" s="14"/>
      <c r="K190" s="12">
        <v>400</v>
      </c>
      <c r="L190" s="9"/>
      <c r="M190" s="9"/>
      <c r="N190" s="9"/>
      <c r="O190" s="38">
        <f t="shared" si="12"/>
        <v>400</v>
      </c>
      <c r="P190" s="12"/>
      <c r="Q190" s="42"/>
      <c r="R190" s="15"/>
      <c r="S190" s="44"/>
      <c r="T190" s="15"/>
      <c r="U190" s="44"/>
      <c r="V190" s="15">
        <f t="shared" si="13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4"/>
        <v>0</v>
      </c>
      <c r="AF190" s="15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5"/>
        <v>0</v>
      </c>
      <c r="BA190" s="15"/>
      <c r="BB190" s="44"/>
      <c r="BC190" s="15"/>
      <c r="BD190" s="44"/>
      <c r="BE190" s="15">
        <f t="shared" si="16"/>
        <v>0</v>
      </c>
    </row>
    <row r="191" spans="1:57">
      <c r="A191" s="9"/>
      <c r="B191" s="16" t="s">
        <v>204</v>
      </c>
      <c r="C191" s="89" t="s">
        <v>48</v>
      </c>
      <c r="D191" s="69" t="s">
        <v>309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471</v>
      </c>
      <c r="L191" s="9"/>
      <c r="M191" s="9"/>
      <c r="N191" s="9"/>
      <c r="O191" s="38">
        <f t="shared" si="12"/>
        <v>471</v>
      </c>
      <c r="P191" s="12"/>
      <c r="Q191" s="42"/>
      <c r="R191" s="15"/>
      <c r="S191" s="44"/>
      <c r="T191" s="15"/>
      <c r="U191" s="44"/>
      <c r="V191" s="15">
        <f t="shared" si="13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4"/>
        <v>0</v>
      </c>
      <c r="AF191" s="15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5"/>
        <v>0</v>
      </c>
      <c r="BA191" s="15"/>
      <c r="BB191" s="44"/>
      <c r="BC191" s="15"/>
      <c r="BD191" s="44"/>
      <c r="BE191" s="15">
        <f t="shared" si="16"/>
        <v>0</v>
      </c>
    </row>
    <row r="192" spans="1:57">
      <c r="A192" s="9"/>
      <c r="B192" s="16" t="s">
        <v>204</v>
      </c>
      <c r="C192" s="89" t="s">
        <v>48</v>
      </c>
      <c r="D192" s="73" t="s">
        <v>310</v>
      </c>
      <c r="E192" s="13"/>
      <c r="F192" s="96"/>
      <c r="G192" s="9"/>
      <c r="H192" s="9" t="s">
        <v>311</v>
      </c>
      <c r="I192" s="14"/>
      <c r="J192" s="14"/>
      <c r="K192" s="12">
        <v>658</v>
      </c>
      <c r="L192" s="9"/>
      <c r="M192" s="9"/>
      <c r="N192" s="9"/>
      <c r="O192" s="38">
        <f t="shared" si="12"/>
        <v>658</v>
      </c>
      <c r="P192" s="12"/>
      <c r="Q192" s="42"/>
      <c r="R192" s="15"/>
      <c r="S192" s="44"/>
      <c r="T192" s="15"/>
      <c r="U192" s="44"/>
      <c r="V192" s="15">
        <f t="shared" si="13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4"/>
        <v>0</v>
      </c>
      <c r="AF192" s="15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5"/>
        <v>0</v>
      </c>
      <c r="BA192" s="15"/>
      <c r="BB192" s="44"/>
      <c r="BC192" s="15"/>
      <c r="BD192" s="44"/>
      <c r="BE192" s="15">
        <f t="shared" si="16"/>
        <v>0</v>
      </c>
    </row>
    <row r="193" spans="1:57">
      <c r="A193" s="9"/>
      <c r="B193" s="16" t="s">
        <v>204</v>
      </c>
      <c r="C193" s="89" t="s">
        <v>48</v>
      </c>
      <c r="D193" s="73" t="s">
        <v>312</v>
      </c>
      <c r="E193" s="13"/>
      <c r="F193" s="96"/>
      <c r="G193" s="9"/>
      <c r="H193" s="9" t="s">
        <v>311</v>
      </c>
      <c r="I193" s="14"/>
      <c r="J193" s="14"/>
      <c r="K193" s="12">
        <v>257</v>
      </c>
      <c r="L193" s="9"/>
      <c r="M193" s="9"/>
      <c r="N193" s="9"/>
      <c r="O193" s="38">
        <f t="shared" si="12"/>
        <v>257</v>
      </c>
      <c r="P193" s="12"/>
      <c r="Q193" s="42"/>
      <c r="R193" s="15"/>
      <c r="S193" s="44"/>
      <c r="T193" s="15"/>
      <c r="U193" s="44"/>
      <c r="V193" s="15">
        <f t="shared" si="13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4"/>
        <v>0</v>
      </c>
      <c r="AF193" s="15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5"/>
        <v>0</v>
      </c>
      <c r="BA193" s="15"/>
      <c r="BB193" s="44"/>
      <c r="BC193" s="15"/>
      <c r="BD193" s="44"/>
      <c r="BE193" s="15">
        <f t="shared" si="16"/>
        <v>0</v>
      </c>
    </row>
    <row r="194" spans="1:57">
      <c r="A194" s="9"/>
      <c r="B194" s="16" t="s">
        <v>204</v>
      </c>
      <c r="C194" s="89" t="s">
        <v>48</v>
      </c>
      <c r="D194" s="73" t="s">
        <v>313</v>
      </c>
      <c r="E194" s="13"/>
      <c r="F194" s="96"/>
      <c r="G194" s="9"/>
      <c r="H194" s="9" t="s">
        <v>314</v>
      </c>
      <c r="I194" s="14"/>
      <c r="J194" s="14"/>
      <c r="K194" s="12">
        <v>0</v>
      </c>
      <c r="L194" s="9"/>
      <c r="M194" s="9"/>
      <c r="N194" s="9"/>
      <c r="O194" s="38">
        <f t="shared" ref="O194:O257" si="17">K194+V194-AE194-AZ194</f>
        <v>0</v>
      </c>
      <c r="P194" s="12"/>
      <c r="Q194" s="42"/>
      <c r="R194" s="15"/>
      <c r="S194" s="44"/>
      <c r="T194" s="15"/>
      <c r="U194" s="44"/>
      <c r="V194" s="15">
        <f t="shared" ref="V194:V257" si="18">P194+R194+T194</f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ref="AE194:AE257" si="19">(W194+Y194+AA194+AC194)</f>
        <v>0</v>
      </c>
      <c r="AF194" s="15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5"/>
        <v>0</v>
      </c>
      <c r="BA194" s="15"/>
      <c r="BB194" s="44"/>
      <c r="BC194" s="15"/>
      <c r="BD194" s="44"/>
      <c r="BE194" s="15">
        <f t="shared" si="16"/>
        <v>0</v>
      </c>
    </row>
    <row r="195" spans="1:57">
      <c r="A195" s="9"/>
      <c r="B195" s="16" t="s">
        <v>233</v>
      </c>
      <c r="C195" s="89" t="s">
        <v>48</v>
      </c>
      <c r="D195" s="79" t="s">
        <v>315</v>
      </c>
      <c r="E195" s="13" t="s">
        <v>316</v>
      </c>
      <c r="F195" s="96"/>
      <c r="G195" s="9"/>
      <c r="H195" s="9" t="s">
        <v>317</v>
      </c>
      <c r="I195" s="14"/>
      <c r="J195" s="14"/>
      <c r="K195" s="12">
        <v>270</v>
      </c>
      <c r="L195" s="9"/>
      <c r="M195" s="9"/>
      <c r="N195" s="9"/>
      <c r="O195" s="38">
        <f t="shared" si="17"/>
        <v>270</v>
      </c>
      <c r="P195" s="12"/>
      <c r="Q195" s="42"/>
      <c r="R195" s="15"/>
      <c r="S195" s="44"/>
      <c r="T195" s="15"/>
      <c r="U195" s="44"/>
      <c r="V195" s="15">
        <f t="shared" si="18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9"/>
        <v>0</v>
      </c>
      <c r="AF195" s="15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ref="AZ195:AZ258" si="20">AF195+AH195+AJ195+AL195+AN195+AP195+AR195+AT195+AV195+AX195</f>
        <v>0</v>
      </c>
      <c r="BA195" s="15"/>
      <c r="BB195" s="44"/>
      <c r="BC195" s="15"/>
      <c r="BD195" s="44"/>
      <c r="BE195" s="15">
        <f t="shared" si="16"/>
        <v>0</v>
      </c>
    </row>
    <row r="196" spans="1:57">
      <c r="A196" s="9"/>
      <c r="B196" s="16" t="s">
        <v>233</v>
      </c>
      <c r="C196" s="89" t="s">
        <v>48</v>
      </c>
      <c r="D196" s="79" t="s">
        <v>315</v>
      </c>
      <c r="E196" s="13" t="s">
        <v>318</v>
      </c>
      <c r="F196" s="96"/>
      <c r="G196" s="9"/>
      <c r="H196" s="9" t="s">
        <v>317</v>
      </c>
      <c r="I196" s="14"/>
      <c r="J196" s="14"/>
      <c r="K196" s="12">
        <v>500</v>
      </c>
      <c r="L196" s="9"/>
      <c r="M196" s="9"/>
      <c r="N196" s="9"/>
      <c r="O196" s="38">
        <f t="shared" si="17"/>
        <v>500</v>
      </c>
      <c r="P196" s="12"/>
      <c r="Q196" s="42"/>
      <c r="R196" s="15"/>
      <c r="S196" s="44"/>
      <c r="T196" s="15"/>
      <c r="U196" s="44"/>
      <c r="V196" s="15">
        <f t="shared" si="18"/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si="19"/>
        <v>0</v>
      </c>
      <c r="AF196" s="15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20"/>
        <v>0</v>
      </c>
      <c r="BA196" s="15"/>
      <c r="BB196" s="44"/>
      <c r="BC196" s="15"/>
      <c r="BD196" s="44"/>
      <c r="BE196" s="15">
        <f t="shared" si="16"/>
        <v>0</v>
      </c>
    </row>
    <row r="197" spans="1:57">
      <c r="A197" s="9"/>
      <c r="B197" s="16" t="s">
        <v>233</v>
      </c>
      <c r="C197" s="89" t="s">
        <v>48</v>
      </c>
      <c r="D197" s="79" t="s">
        <v>319</v>
      </c>
      <c r="E197" s="13" t="s">
        <v>233</v>
      </c>
      <c r="F197" s="96"/>
      <c r="G197" s="9"/>
      <c r="H197" s="9"/>
      <c r="I197" s="14"/>
      <c r="J197" s="14"/>
      <c r="K197" s="12">
        <v>0</v>
      </c>
      <c r="L197" s="9"/>
      <c r="M197" s="9"/>
      <c r="N197" s="9"/>
      <c r="O197" s="38">
        <f t="shared" si="17"/>
        <v>0</v>
      </c>
      <c r="P197" s="12"/>
      <c r="Q197" s="42"/>
      <c r="R197" s="15"/>
      <c r="S197" s="44"/>
      <c r="T197" s="15"/>
      <c r="U197" s="44"/>
      <c r="V197" s="15">
        <f t="shared" si="18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19"/>
        <v>0</v>
      </c>
      <c r="AF197" s="15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20"/>
        <v>0</v>
      </c>
      <c r="BA197" s="15"/>
      <c r="BB197" s="44"/>
      <c r="BC197" s="15"/>
      <c r="BD197" s="44"/>
      <c r="BE197" s="15">
        <f t="shared" si="16"/>
        <v>0</v>
      </c>
    </row>
    <row r="198" spans="1:57">
      <c r="A198" s="9"/>
      <c r="B198" s="16" t="s">
        <v>233</v>
      </c>
      <c r="C198" s="89" t="s">
        <v>48</v>
      </c>
      <c r="D198" s="79" t="s">
        <v>320</v>
      </c>
      <c r="E198" s="13" t="s">
        <v>321</v>
      </c>
      <c r="F198" s="96"/>
      <c r="G198" s="9"/>
      <c r="H198" s="9"/>
      <c r="I198" s="14"/>
      <c r="J198" s="14"/>
      <c r="K198" s="12">
        <v>0</v>
      </c>
      <c r="L198" s="9"/>
      <c r="M198" s="9"/>
      <c r="N198" s="9"/>
      <c r="O198" s="38">
        <f t="shared" si="17"/>
        <v>0</v>
      </c>
      <c r="P198" s="12"/>
      <c r="Q198" s="42"/>
      <c r="R198" s="15"/>
      <c r="S198" s="44"/>
      <c r="T198" s="15"/>
      <c r="U198" s="44"/>
      <c r="V198" s="15">
        <f t="shared" si="18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19"/>
        <v>0</v>
      </c>
      <c r="AF198" s="15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20"/>
        <v>0</v>
      </c>
      <c r="BA198" s="15"/>
      <c r="BB198" s="44"/>
      <c r="BC198" s="15"/>
      <c r="BD198" s="44"/>
      <c r="BE198" s="15">
        <f t="shared" si="16"/>
        <v>0</v>
      </c>
    </row>
    <row r="199" spans="1:57">
      <c r="A199" s="9"/>
      <c r="B199" s="16" t="s">
        <v>233</v>
      </c>
      <c r="C199" s="89" t="s">
        <v>48</v>
      </c>
      <c r="D199" s="79" t="s">
        <v>322</v>
      </c>
      <c r="E199" s="13" t="s">
        <v>323</v>
      </c>
      <c r="F199" s="96"/>
      <c r="G199" s="9"/>
      <c r="H199" s="9"/>
      <c r="I199" s="14"/>
      <c r="J199" s="14"/>
      <c r="K199" s="12">
        <v>0</v>
      </c>
      <c r="L199" s="9"/>
      <c r="M199" s="9"/>
      <c r="N199" s="9"/>
      <c r="O199" s="38">
        <f t="shared" si="17"/>
        <v>0</v>
      </c>
      <c r="P199" s="12"/>
      <c r="Q199" s="42"/>
      <c r="R199" s="15"/>
      <c r="S199" s="44"/>
      <c r="T199" s="15"/>
      <c r="U199" s="44"/>
      <c r="V199" s="15">
        <f t="shared" si="18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19"/>
        <v>0</v>
      </c>
      <c r="AF199" s="15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20"/>
        <v>0</v>
      </c>
      <c r="BA199" s="15"/>
      <c r="BB199" s="44"/>
      <c r="BC199" s="15"/>
      <c r="BD199" s="44"/>
      <c r="BE199" s="15">
        <f t="shared" si="16"/>
        <v>0</v>
      </c>
    </row>
    <row r="200" spans="1:57">
      <c r="A200" s="9"/>
      <c r="B200" s="16" t="s">
        <v>233</v>
      </c>
      <c r="C200" s="89" t="s">
        <v>48</v>
      </c>
      <c r="D200" s="79" t="s">
        <v>324</v>
      </c>
      <c r="E200" s="13" t="s">
        <v>325</v>
      </c>
      <c r="F200" s="96"/>
      <c r="G200" s="9"/>
      <c r="H200" s="9"/>
      <c r="I200" s="14"/>
      <c r="J200" s="14"/>
      <c r="K200" s="12">
        <v>208</v>
      </c>
      <c r="L200" s="9"/>
      <c r="M200" s="9"/>
      <c r="N200" s="9"/>
      <c r="O200" s="38">
        <f t="shared" si="17"/>
        <v>208</v>
      </c>
      <c r="P200" s="12"/>
      <c r="Q200" s="42"/>
      <c r="R200" s="15"/>
      <c r="S200" s="44"/>
      <c r="T200" s="15"/>
      <c r="U200" s="44"/>
      <c r="V200" s="15">
        <f t="shared" si="18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19"/>
        <v>0</v>
      </c>
      <c r="AF200" s="15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20"/>
        <v>0</v>
      </c>
      <c r="BA200" s="15"/>
      <c r="BB200" s="44"/>
      <c r="BC200" s="15"/>
      <c r="BD200" s="44"/>
      <c r="BE200" s="15">
        <f t="shared" si="16"/>
        <v>0</v>
      </c>
    </row>
    <row r="201" spans="1:57">
      <c r="A201" s="9"/>
      <c r="B201" s="16" t="s">
        <v>233</v>
      </c>
      <c r="C201" s="89" t="s">
        <v>48</v>
      </c>
      <c r="D201" s="79" t="s">
        <v>326</v>
      </c>
      <c r="E201" s="13" t="s">
        <v>327</v>
      </c>
      <c r="F201" s="96"/>
      <c r="G201" s="9"/>
      <c r="H201" s="9"/>
      <c r="I201" s="14"/>
      <c r="J201" s="14"/>
      <c r="K201" s="12">
        <v>108</v>
      </c>
      <c r="L201" s="9"/>
      <c r="M201" s="9"/>
      <c r="N201" s="9"/>
      <c r="O201" s="38">
        <f t="shared" si="17"/>
        <v>108</v>
      </c>
      <c r="P201" s="12"/>
      <c r="Q201" s="42"/>
      <c r="R201" s="15"/>
      <c r="S201" s="44"/>
      <c r="T201" s="15"/>
      <c r="U201" s="44"/>
      <c r="V201" s="15">
        <f t="shared" si="18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19"/>
        <v>0</v>
      </c>
      <c r="AF201" s="15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20"/>
        <v>0</v>
      </c>
      <c r="BA201" s="15"/>
      <c r="BB201" s="44"/>
      <c r="BC201" s="15"/>
      <c r="BD201" s="44"/>
      <c r="BE201" s="15">
        <f t="shared" si="16"/>
        <v>0</v>
      </c>
    </row>
    <row r="202" spans="1:57">
      <c r="A202" s="9"/>
      <c r="B202" s="16" t="s">
        <v>155</v>
      </c>
      <c r="C202" s="89" t="s">
        <v>48</v>
      </c>
      <c r="D202" s="70" t="s">
        <v>328</v>
      </c>
      <c r="E202" s="13" t="s">
        <v>329</v>
      </c>
      <c r="F202" s="96"/>
      <c r="G202" s="9"/>
      <c r="H202" s="9" t="s">
        <v>158</v>
      </c>
      <c r="I202" s="14"/>
      <c r="J202" s="14"/>
      <c r="K202" s="12">
        <v>596</v>
      </c>
      <c r="L202" s="9"/>
      <c r="M202" s="9"/>
      <c r="N202" s="9"/>
      <c r="O202" s="38">
        <f t="shared" si="17"/>
        <v>596</v>
      </c>
      <c r="P202" s="12"/>
      <c r="Q202" s="42"/>
      <c r="R202" s="15"/>
      <c r="S202" s="44"/>
      <c r="T202" s="15"/>
      <c r="U202" s="44"/>
      <c r="V202" s="15">
        <f t="shared" si="18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19"/>
        <v>0</v>
      </c>
      <c r="AF202" s="15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20"/>
        <v>0</v>
      </c>
      <c r="BA202" s="15"/>
      <c r="BB202" s="44"/>
      <c r="BC202" s="15"/>
      <c r="BD202" s="44"/>
      <c r="BE202" s="15">
        <f t="shared" si="16"/>
        <v>0</v>
      </c>
    </row>
    <row r="203" spans="1:57">
      <c r="A203" s="9"/>
      <c r="B203" s="16" t="s">
        <v>330</v>
      </c>
      <c r="C203" s="89" t="s">
        <v>48</v>
      </c>
      <c r="D203" s="69" t="s">
        <v>331</v>
      </c>
      <c r="E203" s="13" t="s">
        <v>330</v>
      </c>
      <c r="F203" s="96"/>
      <c r="G203" s="9"/>
      <c r="H203" s="9" t="s">
        <v>332</v>
      </c>
      <c r="I203" s="14"/>
      <c r="J203" s="14"/>
      <c r="K203" s="12">
        <v>364</v>
      </c>
      <c r="L203" s="9"/>
      <c r="M203" s="9"/>
      <c r="N203" s="9"/>
      <c r="O203" s="38">
        <f t="shared" si="17"/>
        <v>364</v>
      </c>
      <c r="P203" s="12"/>
      <c r="Q203" s="42"/>
      <c r="R203" s="15"/>
      <c r="S203" s="44"/>
      <c r="T203" s="15"/>
      <c r="U203" s="44"/>
      <c r="V203" s="15">
        <f t="shared" si="18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19"/>
        <v>0</v>
      </c>
      <c r="AF203" s="15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20"/>
        <v>0</v>
      </c>
      <c r="BA203" s="15"/>
      <c r="BB203" s="44"/>
      <c r="BC203" s="15"/>
      <c r="BD203" s="44"/>
      <c r="BE203" s="15">
        <f t="shared" si="16"/>
        <v>0</v>
      </c>
    </row>
    <row r="204" spans="1:57">
      <c r="A204" s="9"/>
      <c r="B204" s="16" t="s">
        <v>330</v>
      </c>
      <c r="C204" s="89" t="s">
        <v>48</v>
      </c>
      <c r="D204" s="70" t="s">
        <v>333</v>
      </c>
      <c r="E204" s="13" t="s">
        <v>330</v>
      </c>
      <c r="F204" s="96"/>
      <c r="G204" s="9"/>
      <c r="H204" s="9" t="s">
        <v>332</v>
      </c>
      <c r="I204" s="14"/>
      <c r="J204" s="14"/>
      <c r="K204" s="12">
        <v>0</v>
      </c>
      <c r="L204" s="9"/>
      <c r="M204" s="9"/>
      <c r="N204" s="9"/>
      <c r="O204" s="38">
        <f t="shared" si="17"/>
        <v>0</v>
      </c>
      <c r="P204" s="12"/>
      <c r="Q204" s="42"/>
      <c r="R204" s="15"/>
      <c r="S204" s="44"/>
      <c r="T204" s="15"/>
      <c r="U204" s="44"/>
      <c r="V204" s="15">
        <f t="shared" si="18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19"/>
        <v>0</v>
      </c>
      <c r="AF204" s="15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20"/>
        <v>0</v>
      </c>
      <c r="BA204" s="15"/>
      <c r="BB204" s="44"/>
      <c r="BC204" s="15"/>
      <c r="BD204" s="44"/>
      <c r="BE204" s="15">
        <f t="shared" si="16"/>
        <v>0</v>
      </c>
    </row>
    <row r="205" spans="1:57">
      <c r="A205" s="9"/>
      <c r="B205" s="16" t="s">
        <v>334</v>
      </c>
      <c r="C205" s="89" t="s">
        <v>48</v>
      </c>
      <c r="D205" s="79" t="s">
        <v>335</v>
      </c>
      <c r="E205" s="13" t="s">
        <v>336</v>
      </c>
      <c r="F205" s="96"/>
      <c r="G205" s="9"/>
      <c r="H205" s="9" t="s">
        <v>314</v>
      </c>
      <c r="I205" s="14"/>
      <c r="J205" s="14"/>
      <c r="K205" s="12">
        <v>0</v>
      </c>
      <c r="L205" s="9"/>
      <c r="M205" s="9"/>
      <c r="N205" s="9"/>
      <c r="O205" s="38">
        <f t="shared" si="17"/>
        <v>0</v>
      </c>
      <c r="P205" s="12"/>
      <c r="Q205" s="42"/>
      <c r="R205" s="15"/>
      <c r="S205" s="44"/>
      <c r="T205" s="15"/>
      <c r="U205" s="44"/>
      <c r="V205" s="15">
        <f t="shared" si="18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19"/>
        <v>0</v>
      </c>
      <c r="AF205" s="15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20"/>
        <v>0</v>
      </c>
      <c r="BA205" s="15"/>
      <c r="BB205" s="44"/>
      <c r="BC205" s="15"/>
      <c r="BD205" s="44"/>
      <c r="BE205" s="15">
        <f t="shared" si="16"/>
        <v>0</v>
      </c>
    </row>
    <row r="206" spans="1:57">
      <c r="A206" s="9"/>
      <c r="B206" s="16" t="s">
        <v>337</v>
      </c>
      <c r="C206" s="89" t="s">
        <v>48</v>
      </c>
      <c r="D206" s="79" t="s">
        <v>338</v>
      </c>
      <c r="E206" s="13" t="s">
        <v>337</v>
      </c>
      <c r="F206" s="96"/>
      <c r="G206" s="9"/>
      <c r="H206" s="9" t="s">
        <v>339</v>
      </c>
      <c r="I206" s="14"/>
      <c r="J206" s="14"/>
      <c r="K206" s="12">
        <v>0</v>
      </c>
      <c r="L206" s="9"/>
      <c r="M206" s="9"/>
      <c r="N206" s="9"/>
      <c r="O206" s="38">
        <f t="shared" si="17"/>
        <v>0</v>
      </c>
      <c r="P206" s="12"/>
      <c r="Q206" s="42"/>
      <c r="R206" s="15"/>
      <c r="S206" s="44"/>
      <c r="T206" s="15"/>
      <c r="U206" s="44"/>
      <c r="V206" s="15">
        <f t="shared" si="18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19"/>
        <v>0</v>
      </c>
      <c r="AF206" s="15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20"/>
        <v>0</v>
      </c>
      <c r="BA206" s="15"/>
      <c r="BB206" s="44"/>
      <c r="BC206" s="15"/>
      <c r="BD206" s="44"/>
      <c r="BE206" s="15">
        <f t="shared" si="16"/>
        <v>0</v>
      </c>
    </row>
    <row r="207" spans="1:57">
      <c r="A207" s="9"/>
      <c r="B207" s="16" t="s">
        <v>337</v>
      </c>
      <c r="C207" s="89" t="s">
        <v>48</v>
      </c>
      <c r="D207" s="79" t="s">
        <v>340</v>
      </c>
      <c r="E207" s="13" t="s">
        <v>337</v>
      </c>
      <c r="F207" s="96"/>
      <c r="G207" s="9"/>
      <c r="H207" s="9" t="s">
        <v>339</v>
      </c>
      <c r="I207" s="14"/>
      <c r="J207" s="14"/>
      <c r="K207" s="12">
        <v>0</v>
      </c>
      <c r="L207" s="9"/>
      <c r="M207" s="9"/>
      <c r="N207" s="9"/>
      <c r="O207" s="38">
        <f t="shared" si="17"/>
        <v>0</v>
      </c>
      <c r="P207" s="12"/>
      <c r="Q207" s="42"/>
      <c r="R207" s="15"/>
      <c r="S207" s="44"/>
      <c r="T207" s="15"/>
      <c r="U207" s="44"/>
      <c r="V207" s="15">
        <f t="shared" si="18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19"/>
        <v>0</v>
      </c>
      <c r="AF207" s="15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20"/>
        <v>0</v>
      </c>
      <c r="BA207" s="15"/>
      <c r="BB207" s="44"/>
      <c r="BC207" s="15"/>
      <c r="BD207" s="44"/>
      <c r="BE207" s="15">
        <f t="shared" si="16"/>
        <v>0</v>
      </c>
    </row>
    <row r="208" spans="1:57">
      <c r="A208" s="9"/>
      <c r="B208" s="16" t="s">
        <v>249</v>
      </c>
      <c r="C208" s="89" t="s">
        <v>48</v>
      </c>
      <c r="D208" s="79" t="s">
        <v>341</v>
      </c>
      <c r="E208" s="13" t="s">
        <v>342</v>
      </c>
      <c r="F208" s="96"/>
      <c r="G208" s="9"/>
      <c r="H208" s="9" t="s">
        <v>247</v>
      </c>
      <c r="I208" s="14"/>
      <c r="J208" s="14"/>
      <c r="K208" s="12">
        <v>351</v>
      </c>
      <c r="L208" s="9"/>
      <c r="M208" s="9"/>
      <c r="N208" s="9"/>
      <c r="O208" s="38">
        <f t="shared" si="17"/>
        <v>351</v>
      </c>
      <c r="P208" s="12"/>
      <c r="Q208" s="42"/>
      <c r="R208" s="15"/>
      <c r="S208" s="44"/>
      <c r="T208" s="15"/>
      <c r="U208" s="44"/>
      <c r="V208" s="15">
        <f t="shared" si="18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19"/>
        <v>0</v>
      </c>
      <c r="AF208" s="15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20"/>
        <v>0</v>
      </c>
      <c r="BA208" s="15"/>
      <c r="BB208" s="44"/>
      <c r="BC208" s="15"/>
      <c r="BD208" s="44"/>
      <c r="BE208" s="15">
        <f t="shared" si="16"/>
        <v>0</v>
      </c>
    </row>
    <row r="209" spans="1:57">
      <c r="A209" s="9"/>
      <c r="B209" s="16" t="s">
        <v>343</v>
      </c>
      <c r="C209" s="89" t="s">
        <v>48</v>
      </c>
      <c r="D209" s="79" t="s">
        <v>343</v>
      </c>
      <c r="E209" s="13" t="s">
        <v>344</v>
      </c>
      <c r="F209" s="96"/>
      <c r="G209" s="9"/>
      <c r="H209" s="9" t="s">
        <v>345</v>
      </c>
      <c r="I209" s="14"/>
      <c r="J209" s="14"/>
      <c r="K209" s="12">
        <v>0</v>
      </c>
      <c r="L209" s="9"/>
      <c r="M209" s="9"/>
      <c r="N209" s="9"/>
      <c r="O209" s="38">
        <f t="shared" si="17"/>
        <v>0</v>
      </c>
      <c r="P209" s="12"/>
      <c r="Q209" s="42"/>
      <c r="R209" s="15"/>
      <c r="S209" s="44"/>
      <c r="T209" s="15"/>
      <c r="U209" s="44"/>
      <c r="V209" s="15">
        <f t="shared" si="18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19"/>
        <v>0</v>
      </c>
      <c r="AF209" s="15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20"/>
        <v>0</v>
      </c>
      <c r="BA209" s="15"/>
      <c r="BB209" s="44"/>
      <c r="BC209" s="15"/>
      <c r="BD209" s="44"/>
      <c r="BE209" s="15">
        <f t="shared" si="16"/>
        <v>0</v>
      </c>
    </row>
    <row r="210" spans="1:57">
      <c r="A210" s="9"/>
      <c r="B210" s="16" t="s">
        <v>204</v>
      </c>
      <c r="C210" s="89" t="s">
        <v>48</v>
      </c>
      <c r="D210" s="70" t="s">
        <v>288</v>
      </c>
      <c r="E210" s="13" t="s">
        <v>222</v>
      </c>
      <c r="F210" s="96"/>
      <c r="G210" s="9"/>
      <c r="H210" s="9" t="s">
        <v>207</v>
      </c>
      <c r="I210" s="14"/>
      <c r="J210" s="14"/>
      <c r="K210" s="12">
        <v>34</v>
      </c>
      <c r="L210" s="9"/>
      <c r="M210" s="9"/>
      <c r="N210" s="9"/>
      <c r="O210" s="38">
        <f t="shared" si="17"/>
        <v>34</v>
      </c>
      <c r="P210" s="12"/>
      <c r="Q210" s="42"/>
      <c r="R210" s="15"/>
      <c r="S210" s="44"/>
      <c r="T210" s="15"/>
      <c r="U210" s="44"/>
      <c r="V210" s="15">
        <f t="shared" si="18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19"/>
        <v>0</v>
      </c>
      <c r="AF210" s="15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20"/>
        <v>0</v>
      </c>
      <c r="BA210" s="15"/>
      <c r="BB210" s="44"/>
      <c r="BC210" s="15"/>
      <c r="BD210" s="44"/>
      <c r="BE210" s="15">
        <f t="shared" si="16"/>
        <v>0</v>
      </c>
    </row>
    <row r="211" spans="1:57">
      <c r="A211" s="9"/>
      <c r="B211" s="16" t="s">
        <v>204</v>
      </c>
      <c r="C211" s="89" t="s">
        <v>48</v>
      </c>
      <c r="D211" s="71" t="s">
        <v>289</v>
      </c>
      <c r="E211" s="13" t="s">
        <v>222</v>
      </c>
      <c r="F211" s="96"/>
      <c r="G211" s="9"/>
      <c r="H211" s="9" t="s">
        <v>207</v>
      </c>
      <c r="I211" s="14"/>
      <c r="J211" s="14"/>
      <c r="K211" s="12">
        <v>239</v>
      </c>
      <c r="L211" s="9"/>
      <c r="M211" s="9"/>
      <c r="N211" s="9"/>
      <c r="O211" s="38">
        <f t="shared" si="17"/>
        <v>239</v>
      </c>
      <c r="P211" s="12"/>
      <c r="Q211" s="42"/>
      <c r="R211" s="15"/>
      <c r="S211" s="44"/>
      <c r="T211" s="15"/>
      <c r="U211" s="44"/>
      <c r="V211" s="15">
        <f t="shared" si="18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19"/>
        <v>0</v>
      </c>
      <c r="AF211" s="15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20"/>
        <v>0</v>
      </c>
      <c r="BA211" s="15"/>
      <c r="BB211" s="44"/>
      <c r="BC211" s="15"/>
      <c r="BD211" s="44"/>
      <c r="BE211" s="15">
        <f t="shared" si="16"/>
        <v>0</v>
      </c>
    </row>
    <row r="212" spans="1:57">
      <c r="A212" s="9"/>
      <c r="B212" s="16" t="s">
        <v>204</v>
      </c>
      <c r="C212" s="89" t="s">
        <v>48</v>
      </c>
      <c r="D212" s="71" t="s">
        <v>291</v>
      </c>
      <c r="E212" s="13" t="s">
        <v>222</v>
      </c>
      <c r="F212" s="96"/>
      <c r="G212" s="9"/>
      <c r="H212" s="9" t="s">
        <v>207</v>
      </c>
      <c r="I212" s="14"/>
      <c r="J212" s="14"/>
      <c r="K212" s="12">
        <v>145</v>
      </c>
      <c r="L212" s="9"/>
      <c r="M212" s="9"/>
      <c r="N212" s="9"/>
      <c r="O212" s="38">
        <f t="shared" si="17"/>
        <v>145</v>
      </c>
      <c r="P212" s="12"/>
      <c r="Q212" s="42"/>
      <c r="R212" s="15"/>
      <c r="S212" s="44"/>
      <c r="T212" s="15"/>
      <c r="U212" s="44"/>
      <c r="V212" s="15">
        <f t="shared" si="18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19"/>
        <v>0</v>
      </c>
      <c r="AF212" s="15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20"/>
        <v>0</v>
      </c>
      <c r="BA212" s="15"/>
      <c r="BB212" s="44"/>
      <c r="BC212" s="15"/>
      <c r="BD212" s="44"/>
      <c r="BE212" s="15">
        <f t="shared" si="16"/>
        <v>0</v>
      </c>
    </row>
    <row r="213" spans="1:57">
      <c r="A213" s="9"/>
      <c r="B213" s="16" t="s">
        <v>204</v>
      </c>
      <c r="C213" s="89" t="s">
        <v>48</v>
      </c>
      <c r="D213" s="71" t="s">
        <v>292</v>
      </c>
      <c r="E213" s="13" t="s">
        <v>346</v>
      </c>
      <c r="F213" s="96"/>
      <c r="G213" s="9"/>
      <c r="H213" s="9" t="s">
        <v>207</v>
      </c>
      <c r="I213" s="14"/>
      <c r="J213" s="14"/>
      <c r="K213" s="12">
        <v>488</v>
      </c>
      <c r="L213" s="9"/>
      <c r="M213" s="9"/>
      <c r="N213" s="9"/>
      <c r="O213" s="38">
        <f t="shared" si="17"/>
        <v>488</v>
      </c>
      <c r="P213" s="12"/>
      <c r="Q213" s="42"/>
      <c r="R213" s="15"/>
      <c r="S213" s="44"/>
      <c r="T213" s="15"/>
      <c r="U213" s="44"/>
      <c r="V213" s="15">
        <f t="shared" si="18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19"/>
        <v>0</v>
      </c>
      <c r="AF213" s="15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20"/>
        <v>0</v>
      </c>
      <c r="BA213" s="15"/>
      <c r="BB213" s="44"/>
      <c r="BC213" s="15"/>
      <c r="BD213" s="44"/>
      <c r="BE213" s="15">
        <f t="shared" si="16"/>
        <v>0</v>
      </c>
    </row>
    <row r="214" spans="1:57">
      <c r="A214" s="9"/>
      <c r="B214" s="16" t="s">
        <v>204</v>
      </c>
      <c r="C214" s="89" t="s">
        <v>48</v>
      </c>
      <c r="D214" s="69" t="s">
        <v>216</v>
      </c>
      <c r="E214" s="13" t="s">
        <v>347</v>
      </c>
      <c r="F214" s="96"/>
      <c r="G214" s="9"/>
      <c r="H214" s="9" t="s">
        <v>207</v>
      </c>
      <c r="I214" s="14"/>
      <c r="J214" s="14"/>
      <c r="K214" s="12">
        <v>465</v>
      </c>
      <c r="L214" s="9"/>
      <c r="M214" s="9"/>
      <c r="N214" s="9"/>
      <c r="O214" s="38">
        <f t="shared" si="17"/>
        <v>465</v>
      </c>
      <c r="P214" s="12"/>
      <c r="Q214" s="42"/>
      <c r="R214" s="15"/>
      <c r="S214" s="44"/>
      <c r="T214" s="15"/>
      <c r="U214" s="44"/>
      <c r="V214" s="15">
        <f t="shared" si="18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19"/>
        <v>0</v>
      </c>
      <c r="AF214" s="15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20"/>
        <v>0</v>
      </c>
      <c r="BA214" s="15"/>
      <c r="BB214" s="44"/>
      <c r="BC214" s="15"/>
      <c r="BD214" s="44"/>
      <c r="BE214" s="15">
        <f t="shared" si="16"/>
        <v>0</v>
      </c>
    </row>
    <row r="215" spans="1:57">
      <c r="A215" s="9"/>
      <c r="B215" s="16" t="s">
        <v>204</v>
      </c>
      <c r="C215" s="89" t="s">
        <v>48</v>
      </c>
      <c r="D215" s="70" t="s">
        <v>285</v>
      </c>
      <c r="E215" s="13" t="s">
        <v>347</v>
      </c>
      <c r="F215" s="96"/>
      <c r="G215" s="9"/>
      <c r="H215" s="9" t="s">
        <v>207</v>
      </c>
      <c r="I215" s="14"/>
      <c r="J215" s="14"/>
      <c r="K215" s="12">
        <v>171</v>
      </c>
      <c r="L215" s="9"/>
      <c r="M215" s="9"/>
      <c r="N215" s="9"/>
      <c r="O215" s="38">
        <f t="shared" si="17"/>
        <v>171</v>
      </c>
      <c r="P215" s="12"/>
      <c r="Q215" s="42"/>
      <c r="R215" s="15"/>
      <c r="S215" s="44"/>
      <c r="T215" s="15"/>
      <c r="U215" s="44"/>
      <c r="V215" s="15">
        <f t="shared" si="18"/>
        <v>0</v>
      </c>
      <c r="W215" s="15"/>
      <c r="X215" s="44"/>
      <c r="Y215" s="15"/>
      <c r="Z215" s="44"/>
      <c r="AA215" s="24"/>
      <c r="AB215" s="44"/>
      <c r="AC215" s="24"/>
      <c r="AD215" s="44"/>
      <c r="AE215" s="15">
        <f t="shared" si="19"/>
        <v>0</v>
      </c>
      <c r="AF215" s="15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20"/>
        <v>0</v>
      </c>
      <c r="BA215" s="15"/>
      <c r="BB215" s="44"/>
      <c r="BC215" s="15"/>
      <c r="BD215" s="44"/>
      <c r="BE215" s="15">
        <f t="shared" si="16"/>
        <v>0</v>
      </c>
    </row>
    <row r="216" spans="1:57">
      <c r="A216" s="9"/>
      <c r="B216" s="16" t="s">
        <v>204</v>
      </c>
      <c r="C216" s="89" t="s">
        <v>48</v>
      </c>
      <c r="D216" s="69" t="s">
        <v>286</v>
      </c>
      <c r="E216" s="13" t="s">
        <v>206</v>
      </c>
      <c r="F216" s="96"/>
      <c r="G216" s="9"/>
      <c r="H216" s="9" t="s">
        <v>207</v>
      </c>
      <c r="I216" s="14"/>
      <c r="J216" s="14"/>
      <c r="K216" s="12">
        <v>279</v>
      </c>
      <c r="L216" s="9"/>
      <c r="M216" s="9"/>
      <c r="N216" s="9"/>
      <c r="O216" s="38">
        <f t="shared" si="17"/>
        <v>279</v>
      </c>
      <c r="P216" s="12"/>
      <c r="Q216" s="42"/>
      <c r="R216" s="15"/>
      <c r="S216" s="44"/>
      <c r="T216" s="15"/>
      <c r="U216" s="44"/>
      <c r="V216" s="15">
        <f t="shared" si="18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19"/>
        <v>0</v>
      </c>
      <c r="AF216" s="15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20"/>
        <v>0</v>
      </c>
      <c r="BA216" s="15"/>
      <c r="BB216" s="44"/>
      <c r="BC216" s="15"/>
      <c r="BD216" s="44"/>
      <c r="BE216" s="15">
        <f t="shared" si="16"/>
        <v>0</v>
      </c>
    </row>
    <row r="217" spans="1:57">
      <c r="A217" s="9"/>
      <c r="B217" s="16" t="s">
        <v>204</v>
      </c>
      <c r="C217" s="89" t="s">
        <v>48</v>
      </c>
      <c r="D217" s="72" t="s">
        <v>295</v>
      </c>
      <c r="E217" s="13" t="s">
        <v>348</v>
      </c>
      <c r="F217" s="96"/>
      <c r="G217" s="9"/>
      <c r="H217" s="9" t="s">
        <v>207</v>
      </c>
      <c r="I217" s="14"/>
      <c r="J217" s="14"/>
      <c r="K217" s="12">
        <v>0</v>
      </c>
      <c r="L217" s="9"/>
      <c r="M217" s="9"/>
      <c r="N217" s="9"/>
      <c r="O217" s="38">
        <f t="shared" si="17"/>
        <v>0</v>
      </c>
      <c r="P217" s="12"/>
      <c r="Q217" s="42"/>
      <c r="R217" s="15"/>
      <c r="S217" s="44"/>
      <c r="T217" s="15"/>
      <c r="U217" s="44"/>
      <c r="V217" s="15">
        <f t="shared" si="18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19"/>
        <v>0</v>
      </c>
      <c r="AF217" s="15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20"/>
        <v>0</v>
      </c>
      <c r="BA217" s="15"/>
      <c r="BB217" s="44"/>
      <c r="BC217" s="15"/>
      <c r="BD217" s="44"/>
      <c r="BE217" s="15">
        <f t="shared" si="16"/>
        <v>0</v>
      </c>
    </row>
    <row r="218" spans="1:57">
      <c r="A218" s="9"/>
      <c r="B218" s="16" t="s">
        <v>204</v>
      </c>
      <c r="C218" s="89" t="s">
        <v>48</v>
      </c>
      <c r="D218" s="69" t="s">
        <v>296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0</v>
      </c>
      <c r="L218" s="9"/>
      <c r="M218" s="9"/>
      <c r="N218" s="9"/>
      <c r="O218" s="38">
        <f t="shared" si="17"/>
        <v>0</v>
      </c>
      <c r="P218" s="12"/>
      <c r="Q218" s="42"/>
      <c r="R218" s="15"/>
      <c r="S218" s="44"/>
      <c r="T218" s="15"/>
      <c r="U218" s="44"/>
      <c r="V218" s="15">
        <f t="shared" si="18"/>
        <v>0</v>
      </c>
      <c r="W218" s="15"/>
      <c r="X218" s="44"/>
      <c r="Y218" s="15"/>
      <c r="Z218" s="44"/>
      <c r="AA218" s="15"/>
      <c r="AB218" s="44"/>
      <c r="AC218" s="15"/>
      <c r="AD218" s="44"/>
      <c r="AE218" s="15">
        <f t="shared" si="19"/>
        <v>0</v>
      </c>
      <c r="AF218" s="15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20"/>
        <v>0</v>
      </c>
      <c r="BA218" s="15"/>
      <c r="BB218" s="44"/>
      <c r="BC218" s="15"/>
      <c r="BD218" s="44"/>
      <c r="BE218" s="15">
        <f t="shared" si="16"/>
        <v>0</v>
      </c>
    </row>
    <row r="219" spans="1:57">
      <c r="A219" s="9"/>
      <c r="B219" s="16" t="s">
        <v>204</v>
      </c>
      <c r="C219" s="89" t="s">
        <v>48</v>
      </c>
      <c r="D219" s="69" t="s">
        <v>297</v>
      </c>
      <c r="E219" s="13" t="s">
        <v>222</v>
      </c>
      <c r="F219" s="96"/>
      <c r="G219" s="9"/>
      <c r="H219" s="9" t="s">
        <v>207</v>
      </c>
      <c r="I219" s="14"/>
      <c r="J219" s="14"/>
      <c r="K219" s="12">
        <v>49</v>
      </c>
      <c r="L219" s="9"/>
      <c r="M219" s="9"/>
      <c r="N219" s="9"/>
      <c r="O219" s="38">
        <f t="shared" si="17"/>
        <v>49</v>
      </c>
      <c r="P219" s="12"/>
      <c r="Q219" s="42"/>
      <c r="R219" s="15"/>
      <c r="S219" s="44"/>
      <c r="T219" s="15"/>
      <c r="U219" s="44"/>
      <c r="V219" s="15">
        <f t="shared" si="18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19"/>
        <v>0</v>
      </c>
      <c r="AF219" s="15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20"/>
        <v>0</v>
      </c>
      <c r="BA219" s="15"/>
      <c r="BB219" s="44"/>
      <c r="BC219" s="15"/>
      <c r="BD219" s="44"/>
      <c r="BE219" s="15">
        <f t="shared" si="16"/>
        <v>0</v>
      </c>
    </row>
    <row r="220" spans="1:57">
      <c r="A220" s="9"/>
      <c r="B220" s="18" t="s">
        <v>172</v>
      </c>
      <c r="C220" s="89" t="s">
        <v>50</v>
      </c>
      <c r="D220" s="66" t="s">
        <v>349</v>
      </c>
      <c r="E220" s="35"/>
      <c r="F220" s="96"/>
      <c r="G220" s="21"/>
      <c r="H220" s="21" t="s">
        <v>67</v>
      </c>
      <c r="I220" s="14"/>
      <c r="J220" s="14"/>
      <c r="K220" s="12">
        <v>0</v>
      </c>
      <c r="L220" s="9"/>
      <c r="M220" s="9"/>
      <c r="N220" s="9"/>
      <c r="O220" s="38">
        <f t="shared" si="17"/>
        <v>0</v>
      </c>
      <c r="P220" s="12"/>
      <c r="Q220" s="42"/>
      <c r="R220" s="15"/>
      <c r="S220" s="44"/>
      <c r="T220" s="15"/>
      <c r="U220" s="44"/>
      <c r="V220" s="15">
        <f t="shared" si="18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19"/>
        <v>0</v>
      </c>
      <c r="AF220" s="15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20"/>
        <v>0</v>
      </c>
      <c r="BA220" s="15"/>
      <c r="BB220" s="44"/>
      <c r="BC220" s="15"/>
      <c r="BD220" s="44"/>
      <c r="BE220" s="15">
        <f t="shared" si="16"/>
        <v>0</v>
      </c>
    </row>
    <row r="221" spans="1:57">
      <c r="A221" s="9"/>
      <c r="B221" s="18" t="s">
        <v>172</v>
      </c>
      <c r="C221" s="89" t="s">
        <v>50</v>
      </c>
      <c r="D221" s="58" t="s">
        <v>350</v>
      </c>
      <c r="E221" s="35"/>
      <c r="F221" s="96"/>
      <c r="G221" s="21"/>
      <c r="H221" s="21" t="s">
        <v>67</v>
      </c>
      <c r="I221" s="14"/>
      <c r="J221" s="14"/>
      <c r="K221" s="12">
        <v>0</v>
      </c>
      <c r="L221" s="9"/>
      <c r="M221" s="9"/>
      <c r="N221" s="9"/>
      <c r="O221" s="38">
        <f t="shared" si="17"/>
        <v>0</v>
      </c>
      <c r="P221" s="12"/>
      <c r="Q221" s="42"/>
      <c r="R221" s="15"/>
      <c r="S221" s="44"/>
      <c r="T221" s="15"/>
      <c r="U221" s="44"/>
      <c r="V221" s="15">
        <f t="shared" si="18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19"/>
        <v>0</v>
      </c>
      <c r="AF221" s="15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20"/>
        <v>0</v>
      </c>
      <c r="BA221" s="15"/>
      <c r="BB221" s="44"/>
      <c r="BC221" s="15"/>
      <c r="BD221" s="44"/>
      <c r="BE221" s="15">
        <f t="shared" si="16"/>
        <v>0</v>
      </c>
    </row>
    <row r="222" spans="1:57">
      <c r="A222" s="9"/>
      <c r="B222" s="16" t="s">
        <v>172</v>
      </c>
      <c r="C222" s="89" t="s">
        <v>50</v>
      </c>
      <c r="D222" s="72" t="s">
        <v>351</v>
      </c>
      <c r="E222" s="13"/>
      <c r="F222" s="96"/>
      <c r="G222" s="9"/>
      <c r="H222" s="9" t="s">
        <v>67</v>
      </c>
      <c r="I222" s="14"/>
      <c r="J222" s="14"/>
      <c r="K222" s="12">
        <v>62</v>
      </c>
      <c r="L222" s="9"/>
      <c r="M222" s="9"/>
      <c r="N222" s="9"/>
      <c r="O222" s="38">
        <f t="shared" si="17"/>
        <v>62</v>
      </c>
      <c r="P222" s="12"/>
      <c r="Q222" s="42"/>
      <c r="R222" s="15"/>
      <c r="S222" s="44"/>
      <c r="T222" s="15"/>
      <c r="U222" s="44"/>
      <c r="V222" s="15">
        <f t="shared" si="18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19"/>
        <v>0</v>
      </c>
      <c r="AF222" s="15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20"/>
        <v>0</v>
      </c>
      <c r="BA222" s="15"/>
      <c r="BB222" s="44"/>
      <c r="BC222" s="15"/>
      <c r="BD222" s="44"/>
      <c r="BE222" s="15">
        <f t="shared" si="16"/>
        <v>0</v>
      </c>
    </row>
    <row r="223" spans="1:57">
      <c r="A223" s="9"/>
      <c r="B223" s="16" t="s">
        <v>172</v>
      </c>
      <c r="C223" s="89" t="s">
        <v>50</v>
      </c>
      <c r="D223" s="78" t="s">
        <v>352</v>
      </c>
      <c r="E223" s="13"/>
      <c r="F223" s="96"/>
      <c r="G223" s="9"/>
      <c r="H223" s="9" t="s">
        <v>67</v>
      </c>
      <c r="I223" s="14"/>
      <c r="J223" s="14"/>
      <c r="K223" s="12">
        <v>0</v>
      </c>
      <c r="L223" s="9"/>
      <c r="M223" s="9"/>
      <c r="N223" s="9"/>
      <c r="O223" s="38">
        <f t="shared" si="17"/>
        <v>0</v>
      </c>
      <c r="P223" s="12"/>
      <c r="Q223" s="42"/>
      <c r="R223" s="15"/>
      <c r="S223" s="44"/>
      <c r="T223" s="15"/>
      <c r="U223" s="44"/>
      <c r="V223" s="15">
        <f t="shared" si="18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19"/>
        <v>0</v>
      </c>
      <c r="AF223" s="15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20"/>
        <v>0</v>
      </c>
      <c r="BA223" s="15"/>
      <c r="BB223" s="44"/>
      <c r="BC223" s="15"/>
      <c r="BD223" s="44"/>
      <c r="BE223" s="15">
        <f t="shared" ref="BE223:BE286" si="21">(BA223+BC223)</f>
        <v>0</v>
      </c>
    </row>
    <row r="224" spans="1:57">
      <c r="A224" s="9"/>
      <c r="B224" s="16" t="s">
        <v>172</v>
      </c>
      <c r="C224" s="89" t="s">
        <v>50</v>
      </c>
      <c r="D224" s="78" t="s">
        <v>353</v>
      </c>
      <c r="E224" s="13"/>
      <c r="F224" s="96"/>
      <c r="G224" s="9"/>
      <c r="H224" s="9" t="s">
        <v>67</v>
      </c>
      <c r="I224" s="14"/>
      <c r="J224" s="14"/>
      <c r="K224" s="12">
        <v>68</v>
      </c>
      <c r="L224" s="9"/>
      <c r="M224" s="9"/>
      <c r="N224" s="9"/>
      <c r="O224" s="38">
        <f t="shared" si="17"/>
        <v>68</v>
      </c>
      <c r="P224" s="12"/>
      <c r="Q224" s="42"/>
      <c r="R224" s="15"/>
      <c r="S224" s="44"/>
      <c r="T224" s="15"/>
      <c r="U224" s="44"/>
      <c r="V224" s="15">
        <f t="shared" si="18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19"/>
        <v>0</v>
      </c>
      <c r="AF224" s="15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20"/>
        <v>0</v>
      </c>
      <c r="BA224" s="15"/>
      <c r="BB224" s="44"/>
      <c r="BC224" s="15"/>
      <c r="BD224" s="44"/>
      <c r="BE224" s="15">
        <f t="shared" si="21"/>
        <v>0</v>
      </c>
    </row>
    <row r="225" spans="1:57">
      <c r="A225" s="9"/>
      <c r="B225" s="16" t="s">
        <v>172</v>
      </c>
      <c r="C225" s="89" t="s">
        <v>50</v>
      </c>
      <c r="D225" s="78" t="s">
        <v>354</v>
      </c>
      <c r="E225" s="13"/>
      <c r="F225" s="96"/>
      <c r="G225" s="9"/>
      <c r="H225" s="9" t="s">
        <v>67</v>
      </c>
      <c r="I225" s="14"/>
      <c r="J225" s="14"/>
      <c r="K225" s="12">
        <v>0</v>
      </c>
      <c r="L225" s="9"/>
      <c r="M225" s="9"/>
      <c r="N225" s="9"/>
      <c r="O225" s="38">
        <f t="shared" si="17"/>
        <v>0</v>
      </c>
      <c r="P225" s="12"/>
      <c r="Q225" s="42"/>
      <c r="R225" s="15"/>
      <c r="S225" s="44"/>
      <c r="T225" s="15"/>
      <c r="U225" s="44"/>
      <c r="V225" s="15">
        <f t="shared" si="18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19"/>
        <v>0</v>
      </c>
      <c r="AF225" s="15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20"/>
        <v>0</v>
      </c>
      <c r="BA225" s="15"/>
      <c r="BB225" s="44"/>
      <c r="BC225" s="15"/>
      <c r="BD225" s="44"/>
      <c r="BE225" s="15">
        <f t="shared" si="21"/>
        <v>0</v>
      </c>
    </row>
    <row r="226" spans="1:57">
      <c r="A226" s="9"/>
      <c r="B226" s="16" t="s">
        <v>172</v>
      </c>
      <c r="C226" s="89" t="s">
        <v>50</v>
      </c>
      <c r="D226" s="78" t="s">
        <v>355</v>
      </c>
      <c r="E226" s="13"/>
      <c r="F226" s="96"/>
      <c r="G226" s="9"/>
      <c r="H226" s="9" t="s">
        <v>67</v>
      </c>
      <c r="I226" s="14"/>
      <c r="J226" s="14"/>
      <c r="K226" s="12">
        <v>31</v>
      </c>
      <c r="L226" s="9"/>
      <c r="M226" s="9"/>
      <c r="N226" s="9"/>
      <c r="O226" s="38">
        <f t="shared" si="17"/>
        <v>29</v>
      </c>
      <c r="P226" s="12"/>
      <c r="Q226" s="42"/>
      <c r="R226" s="15"/>
      <c r="S226" s="44"/>
      <c r="T226" s="15"/>
      <c r="U226" s="44"/>
      <c r="V226" s="15">
        <f t="shared" si="18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19"/>
        <v>0</v>
      </c>
      <c r="AF226" s="15">
        <v>2</v>
      </c>
      <c r="AG226" s="42">
        <v>46093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20"/>
        <v>2</v>
      </c>
      <c r="BA226" s="15"/>
      <c r="BB226" s="44"/>
      <c r="BC226" s="15"/>
      <c r="BD226" s="44"/>
      <c r="BE226" s="15">
        <f t="shared" si="21"/>
        <v>0</v>
      </c>
    </row>
    <row r="227" spans="1:57">
      <c r="A227" s="9"/>
      <c r="B227" s="16" t="s">
        <v>120</v>
      </c>
      <c r="C227" s="92" t="s">
        <v>50</v>
      </c>
      <c r="D227" s="79" t="s">
        <v>356</v>
      </c>
      <c r="E227" s="13" t="s">
        <v>357</v>
      </c>
      <c r="F227" s="12"/>
      <c r="G227" s="9"/>
      <c r="H227" s="9" t="s">
        <v>67</v>
      </c>
      <c r="I227" s="14"/>
      <c r="J227" s="14"/>
      <c r="K227" s="12">
        <v>616</v>
      </c>
      <c r="L227" s="9"/>
      <c r="M227" s="9"/>
      <c r="N227" s="9"/>
      <c r="O227" s="38">
        <f t="shared" si="17"/>
        <v>616</v>
      </c>
      <c r="P227" s="12"/>
      <c r="Q227" s="42"/>
      <c r="R227" s="15"/>
      <c r="S227" s="44"/>
      <c r="T227" s="15"/>
      <c r="U227" s="44"/>
      <c r="V227" s="15">
        <f t="shared" si="18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19"/>
        <v>0</v>
      </c>
      <c r="AF227" s="15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20"/>
        <v>0</v>
      </c>
      <c r="BA227" s="15"/>
      <c r="BB227" s="44"/>
      <c r="BC227" s="15"/>
      <c r="BD227" s="44"/>
      <c r="BE227" s="15">
        <f t="shared" si="21"/>
        <v>0</v>
      </c>
    </row>
    <row r="228" spans="1:57">
      <c r="A228" s="9"/>
      <c r="B228" s="16" t="s">
        <v>120</v>
      </c>
      <c r="C228" s="92" t="s">
        <v>50</v>
      </c>
      <c r="D228" s="79" t="s">
        <v>358</v>
      </c>
      <c r="E228" s="13" t="s">
        <v>359</v>
      </c>
      <c r="F228" s="12"/>
      <c r="G228" s="9"/>
      <c r="H228" s="9" t="s">
        <v>67</v>
      </c>
      <c r="I228" s="14"/>
      <c r="J228" s="14"/>
      <c r="K228" s="12">
        <v>73</v>
      </c>
      <c r="L228" s="9"/>
      <c r="M228" s="9"/>
      <c r="N228" s="9"/>
      <c r="O228" s="38">
        <f t="shared" si="17"/>
        <v>47</v>
      </c>
      <c r="P228" s="12"/>
      <c r="Q228" s="42"/>
      <c r="R228" s="15"/>
      <c r="S228" s="44"/>
      <c r="T228" s="15"/>
      <c r="U228" s="44"/>
      <c r="V228" s="15">
        <f t="shared" si="18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19"/>
        <v>0</v>
      </c>
      <c r="AF228" s="15">
        <v>26</v>
      </c>
      <c r="AG228" s="42">
        <v>46093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20"/>
        <v>26</v>
      </c>
      <c r="BA228" s="15"/>
      <c r="BB228" s="44"/>
      <c r="BC228" s="15"/>
      <c r="BD228" s="44"/>
      <c r="BE228" s="15">
        <f t="shared" si="21"/>
        <v>0</v>
      </c>
    </row>
    <row r="229" spans="1:57">
      <c r="A229" s="9"/>
      <c r="B229" s="16" t="s">
        <v>120</v>
      </c>
      <c r="C229" s="92" t="s">
        <v>50</v>
      </c>
      <c r="D229" s="79" t="s">
        <v>360</v>
      </c>
      <c r="E229" s="13" t="s">
        <v>361</v>
      </c>
      <c r="F229" s="12"/>
      <c r="G229" s="9"/>
      <c r="H229" s="9" t="s">
        <v>67</v>
      </c>
      <c r="I229" s="14"/>
      <c r="J229" s="14"/>
      <c r="K229" s="12">
        <v>227</v>
      </c>
      <c r="L229" s="9"/>
      <c r="M229" s="9"/>
      <c r="N229" s="9"/>
      <c r="O229" s="38">
        <f t="shared" si="17"/>
        <v>227</v>
      </c>
      <c r="P229" s="12"/>
      <c r="Q229" s="42"/>
      <c r="R229" s="15"/>
      <c r="S229" s="44"/>
      <c r="T229" s="15"/>
      <c r="U229" s="44"/>
      <c r="V229" s="15">
        <f t="shared" si="18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19"/>
        <v>0</v>
      </c>
      <c r="AF229" s="15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si="20"/>
        <v>0</v>
      </c>
      <c r="BA229" s="15"/>
      <c r="BB229" s="44"/>
      <c r="BC229" s="15"/>
      <c r="BD229" s="44"/>
      <c r="BE229" s="15">
        <f t="shared" si="21"/>
        <v>0</v>
      </c>
    </row>
    <row r="230" spans="1:57">
      <c r="A230" s="9"/>
      <c r="B230" s="16" t="s">
        <v>120</v>
      </c>
      <c r="C230" s="92" t="s">
        <v>50</v>
      </c>
      <c r="D230" s="79" t="s">
        <v>362</v>
      </c>
      <c r="E230" s="13" t="s">
        <v>363</v>
      </c>
      <c r="F230" s="12"/>
      <c r="G230" s="9"/>
      <c r="H230" s="9" t="s">
        <v>67</v>
      </c>
      <c r="I230" s="14"/>
      <c r="J230" s="14"/>
      <c r="K230" s="12">
        <v>250</v>
      </c>
      <c r="L230" s="9"/>
      <c r="M230" s="9"/>
      <c r="N230" s="9"/>
      <c r="O230" s="38">
        <f t="shared" si="17"/>
        <v>250</v>
      </c>
      <c r="P230" s="12"/>
      <c r="Q230" s="42"/>
      <c r="R230" s="15"/>
      <c r="S230" s="44"/>
      <c r="T230" s="15"/>
      <c r="U230" s="44"/>
      <c r="V230" s="15">
        <f t="shared" si="18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19"/>
        <v>0</v>
      </c>
      <c r="AF230" s="15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0"/>
        <v>0</v>
      </c>
      <c r="BA230" s="15"/>
      <c r="BB230" s="44"/>
      <c r="BC230" s="15"/>
      <c r="BD230" s="44"/>
      <c r="BE230" s="15">
        <f t="shared" si="21"/>
        <v>0</v>
      </c>
    </row>
    <row r="231" spans="1:57">
      <c r="A231" s="9"/>
      <c r="B231" s="16" t="s">
        <v>204</v>
      </c>
      <c r="C231" s="92" t="s">
        <v>50</v>
      </c>
      <c r="D231" s="58" t="s">
        <v>364</v>
      </c>
      <c r="E231" s="35" t="s">
        <v>365</v>
      </c>
      <c r="F231" s="20"/>
      <c r="G231" s="21"/>
      <c r="H231" s="21" t="s">
        <v>207</v>
      </c>
      <c r="I231" s="14"/>
      <c r="J231" s="14"/>
      <c r="K231" s="12">
        <v>164</v>
      </c>
      <c r="L231" s="9"/>
      <c r="M231" s="9"/>
      <c r="N231" s="9"/>
      <c r="O231" s="38">
        <f t="shared" si="17"/>
        <v>164</v>
      </c>
      <c r="P231" s="12"/>
      <c r="Q231" s="42"/>
      <c r="R231" s="15"/>
      <c r="S231" s="44"/>
      <c r="T231" s="15"/>
      <c r="U231" s="44"/>
      <c r="V231" s="15">
        <f t="shared" si="18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19"/>
        <v>0</v>
      </c>
      <c r="AF231" s="15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0"/>
        <v>0</v>
      </c>
      <c r="BA231" s="15"/>
      <c r="BB231" s="44"/>
      <c r="BC231" s="15"/>
      <c r="BD231" s="44"/>
      <c r="BE231" s="15">
        <f t="shared" si="21"/>
        <v>0</v>
      </c>
    </row>
    <row r="232" spans="1:57">
      <c r="A232" s="9"/>
      <c r="B232" s="16" t="s">
        <v>204</v>
      </c>
      <c r="C232" s="92" t="s">
        <v>50</v>
      </c>
      <c r="D232" s="58" t="s">
        <v>366</v>
      </c>
      <c r="E232" s="35" t="s">
        <v>365</v>
      </c>
      <c r="F232" s="20"/>
      <c r="G232" s="21"/>
      <c r="H232" s="21" t="s">
        <v>207</v>
      </c>
      <c r="I232" s="14"/>
      <c r="J232" s="14"/>
      <c r="K232" s="12">
        <v>178</v>
      </c>
      <c r="L232" s="9"/>
      <c r="M232" s="9"/>
      <c r="N232" s="9"/>
      <c r="O232" s="38">
        <f t="shared" si="17"/>
        <v>178</v>
      </c>
      <c r="P232" s="12"/>
      <c r="Q232" s="42"/>
      <c r="R232" s="15"/>
      <c r="S232" s="44"/>
      <c r="T232" s="15"/>
      <c r="U232" s="44"/>
      <c r="V232" s="15">
        <f t="shared" si="18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19"/>
        <v>0</v>
      </c>
      <c r="AF232" s="15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0"/>
        <v>0</v>
      </c>
      <c r="BA232" s="15"/>
      <c r="BB232" s="44"/>
      <c r="BC232" s="15"/>
      <c r="BD232" s="44"/>
      <c r="BE232" s="15">
        <f t="shared" si="21"/>
        <v>0</v>
      </c>
    </row>
    <row r="233" spans="1:57">
      <c r="A233" s="9"/>
      <c r="B233" s="16" t="s">
        <v>204</v>
      </c>
      <c r="C233" s="92" t="s">
        <v>50</v>
      </c>
      <c r="D233" s="58" t="s">
        <v>367</v>
      </c>
      <c r="E233" s="35" t="s">
        <v>368</v>
      </c>
      <c r="F233" s="20"/>
      <c r="G233" s="21"/>
      <c r="H233" s="21" t="s">
        <v>207</v>
      </c>
      <c r="I233" s="14"/>
      <c r="J233" s="14"/>
      <c r="K233" s="12">
        <v>205</v>
      </c>
      <c r="L233" s="9"/>
      <c r="M233" s="9"/>
      <c r="N233" s="9"/>
      <c r="O233" s="38">
        <f t="shared" si="17"/>
        <v>205</v>
      </c>
      <c r="P233" s="12"/>
      <c r="Q233" s="42"/>
      <c r="R233" s="15"/>
      <c r="S233" s="44"/>
      <c r="T233" s="15"/>
      <c r="U233" s="44"/>
      <c r="V233" s="15">
        <f t="shared" si="18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19"/>
        <v>0</v>
      </c>
      <c r="AF233" s="15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0"/>
        <v>0</v>
      </c>
      <c r="BA233" s="15"/>
      <c r="BB233" s="44"/>
      <c r="BC233" s="15"/>
      <c r="BD233" s="44"/>
      <c r="BE233" s="15">
        <f t="shared" si="21"/>
        <v>0</v>
      </c>
    </row>
    <row r="234" spans="1:57">
      <c r="A234" s="9"/>
      <c r="B234" s="16" t="s">
        <v>204</v>
      </c>
      <c r="C234" s="92" t="s">
        <v>50</v>
      </c>
      <c r="D234" s="58" t="s">
        <v>369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36</v>
      </c>
      <c r="L234" s="9"/>
      <c r="M234" s="9"/>
      <c r="N234" s="9"/>
      <c r="O234" s="38">
        <f t="shared" si="17"/>
        <v>36</v>
      </c>
      <c r="P234" s="12"/>
      <c r="Q234" s="42"/>
      <c r="R234" s="15"/>
      <c r="S234" s="44"/>
      <c r="T234" s="15"/>
      <c r="U234" s="44"/>
      <c r="V234" s="15">
        <f t="shared" si="18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19"/>
        <v>0</v>
      </c>
      <c r="AF234" s="15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0"/>
        <v>0</v>
      </c>
      <c r="BA234" s="15"/>
      <c r="BB234" s="44"/>
      <c r="BC234" s="15"/>
      <c r="BD234" s="44"/>
      <c r="BE234" s="15">
        <f t="shared" si="21"/>
        <v>0</v>
      </c>
    </row>
    <row r="235" spans="1:57">
      <c r="A235" s="9"/>
      <c r="B235" s="16" t="s">
        <v>204</v>
      </c>
      <c r="C235" s="92" t="s">
        <v>50</v>
      </c>
      <c r="D235" s="58" t="s">
        <v>370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544</v>
      </c>
      <c r="L235" s="9"/>
      <c r="M235" s="9"/>
      <c r="N235" s="9"/>
      <c r="O235" s="38">
        <f t="shared" si="17"/>
        <v>542</v>
      </c>
      <c r="P235" s="12"/>
      <c r="Q235" s="42"/>
      <c r="R235" s="15"/>
      <c r="S235" s="44"/>
      <c r="T235" s="15"/>
      <c r="U235" s="44"/>
      <c r="V235" s="15">
        <f t="shared" si="18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19"/>
        <v>0</v>
      </c>
      <c r="AF235" s="15">
        <v>2</v>
      </c>
      <c r="AG235" s="42">
        <v>46093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0"/>
        <v>2</v>
      </c>
      <c r="BA235" s="15"/>
      <c r="BB235" s="44"/>
      <c r="BC235" s="15"/>
      <c r="BD235" s="44"/>
      <c r="BE235" s="15">
        <f t="shared" si="21"/>
        <v>0</v>
      </c>
    </row>
    <row r="236" spans="1:57">
      <c r="A236" s="9"/>
      <c r="B236" s="16" t="s">
        <v>204</v>
      </c>
      <c r="C236" s="92" t="s">
        <v>50</v>
      </c>
      <c r="D236" s="58" t="s">
        <v>371</v>
      </c>
      <c r="E236" s="35" t="s">
        <v>365</v>
      </c>
      <c r="F236" s="20"/>
      <c r="G236" s="21"/>
      <c r="H236" s="21" t="s">
        <v>207</v>
      </c>
      <c r="I236" s="14"/>
      <c r="J236" s="14"/>
      <c r="K236" s="12">
        <v>537</v>
      </c>
      <c r="L236" s="9"/>
      <c r="M236" s="9"/>
      <c r="N236" s="9"/>
      <c r="O236" s="38">
        <f t="shared" si="17"/>
        <v>537</v>
      </c>
      <c r="P236" s="12"/>
      <c r="Q236" s="42"/>
      <c r="R236" s="15"/>
      <c r="S236" s="44"/>
      <c r="T236" s="15"/>
      <c r="U236" s="44"/>
      <c r="V236" s="15">
        <f t="shared" si="18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19"/>
        <v>0</v>
      </c>
      <c r="AF236" s="15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0"/>
        <v>0</v>
      </c>
      <c r="BA236" s="15"/>
      <c r="BB236" s="44"/>
      <c r="BC236" s="15"/>
      <c r="BD236" s="44"/>
      <c r="BE236" s="15">
        <f t="shared" si="21"/>
        <v>0</v>
      </c>
    </row>
    <row r="237" spans="1:57">
      <c r="A237" s="9"/>
      <c r="B237" s="16" t="s">
        <v>204</v>
      </c>
      <c r="C237" s="92" t="s">
        <v>50</v>
      </c>
      <c r="D237" s="58" t="s">
        <v>372</v>
      </c>
      <c r="E237" s="35" t="s">
        <v>373</v>
      </c>
      <c r="F237" s="20"/>
      <c r="G237" s="21"/>
      <c r="H237" s="21" t="s">
        <v>207</v>
      </c>
      <c r="I237" s="14"/>
      <c r="J237" s="14"/>
      <c r="K237" s="12">
        <v>0</v>
      </c>
      <c r="L237" s="9"/>
      <c r="M237" s="9"/>
      <c r="N237" s="9"/>
      <c r="O237" s="38">
        <f t="shared" si="17"/>
        <v>0</v>
      </c>
      <c r="P237" s="12"/>
      <c r="Q237" s="42"/>
      <c r="R237" s="15"/>
      <c r="S237" s="44"/>
      <c r="T237" s="15"/>
      <c r="U237" s="44"/>
      <c r="V237" s="15">
        <f t="shared" si="18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19"/>
        <v>0</v>
      </c>
      <c r="AF237" s="15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0"/>
        <v>0</v>
      </c>
      <c r="BA237" s="15"/>
      <c r="BB237" s="44"/>
      <c r="BC237" s="15"/>
      <c r="BD237" s="44"/>
      <c r="BE237" s="15">
        <f t="shared" si="21"/>
        <v>0</v>
      </c>
    </row>
    <row r="238" spans="1:57">
      <c r="A238" s="9"/>
      <c r="B238" s="16" t="s">
        <v>204</v>
      </c>
      <c r="C238" s="92" t="s">
        <v>50</v>
      </c>
      <c r="D238" s="58" t="s">
        <v>205</v>
      </c>
      <c r="E238" s="35" t="s">
        <v>373</v>
      </c>
      <c r="F238" s="20"/>
      <c r="G238" s="21"/>
      <c r="H238" s="21" t="s">
        <v>374</v>
      </c>
      <c r="I238" s="14"/>
      <c r="J238" s="14"/>
      <c r="K238" s="12">
        <v>71</v>
      </c>
      <c r="L238" s="9"/>
      <c r="M238" s="9"/>
      <c r="N238" s="9"/>
      <c r="O238" s="38">
        <f t="shared" si="17"/>
        <v>71</v>
      </c>
      <c r="P238" s="12"/>
      <c r="Q238" s="42"/>
      <c r="R238" s="15"/>
      <c r="S238" s="44"/>
      <c r="T238" s="15"/>
      <c r="U238" s="44"/>
      <c r="V238" s="15">
        <f t="shared" si="18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19"/>
        <v>0</v>
      </c>
      <c r="AF238" s="15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0"/>
        <v>0</v>
      </c>
      <c r="BA238" s="15"/>
      <c r="BB238" s="44"/>
      <c r="BC238" s="15"/>
      <c r="BD238" s="44"/>
      <c r="BE238" s="15">
        <f t="shared" si="21"/>
        <v>0</v>
      </c>
    </row>
    <row r="239" spans="1:57">
      <c r="A239" s="9"/>
      <c r="B239" s="16" t="s">
        <v>204</v>
      </c>
      <c r="C239" s="92" t="s">
        <v>50</v>
      </c>
      <c r="D239" s="58" t="s">
        <v>375</v>
      </c>
      <c r="E239" s="35" t="s">
        <v>373</v>
      </c>
      <c r="F239" s="20"/>
      <c r="G239" s="21"/>
      <c r="H239" s="21" t="s">
        <v>207</v>
      </c>
      <c r="I239" s="14"/>
      <c r="J239" s="14"/>
      <c r="K239" s="12">
        <v>553</v>
      </c>
      <c r="L239" s="9"/>
      <c r="M239" s="9"/>
      <c r="N239" s="9"/>
      <c r="O239" s="38">
        <f t="shared" si="17"/>
        <v>553</v>
      </c>
      <c r="P239" s="12"/>
      <c r="Q239" s="42"/>
      <c r="R239" s="15"/>
      <c r="S239" s="44"/>
      <c r="T239" s="15"/>
      <c r="U239" s="44"/>
      <c r="V239" s="15">
        <f t="shared" si="18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19"/>
        <v>0</v>
      </c>
      <c r="AF239" s="15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0"/>
        <v>0</v>
      </c>
      <c r="BA239" s="15"/>
      <c r="BB239" s="44"/>
      <c r="BC239" s="15"/>
      <c r="BD239" s="44"/>
      <c r="BE239" s="15">
        <f t="shared" si="21"/>
        <v>0</v>
      </c>
    </row>
    <row r="240" spans="1:57">
      <c r="A240" s="9"/>
      <c r="B240" s="16" t="s">
        <v>204</v>
      </c>
      <c r="C240" s="92" t="s">
        <v>50</v>
      </c>
      <c r="D240" s="58" t="s">
        <v>376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529</v>
      </c>
      <c r="L240" s="9"/>
      <c r="M240" s="9"/>
      <c r="N240" s="9"/>
      <c r="O240" s="38">
        <f t="shared" si="17"/>
        <v>529</v>
      </c>
      <c r="P240" s="12"/>
      <c r="Q240" s="42"/>
      <c r="R240" s="15"/>
      <c r="S240" s="44"/>
      <c r="T240" s="15"/>
      <c r="U240" s="44"/>
      <c r="V240" s="15">
        <f t="shared" si="18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19"/>
        <v>0</v>
      </c>
      <c r="AF240" s="15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0"/>
        <v>0</v>
      </c>
      <c r="BA240" s="15"/>
      <c r="BB240" s="44"/>
      <c r="BC240" s="15"/>
      <c r="BD240" s="44"/>
      <c r="BE240" s="15">
        <f t="shared" si="21"/>
        <v>0</v>
      </c>
    </row>
    <row r="241" spans="1:57">
      <c r="A241" s="9"/>
      <c r="B241" s="16" t="s">
        <v>204</v>
      </c>
      <c r="C241" s="92" t="s">
        <v>50</v>
      </c>
      <c r="D241" s="58" t="s">
        <v>377</v>
      </c>
      <c r="E241" s="35" t="s">
        <v>365</v>
      </c>
      <c r="F241" s="20"/>
      <c r="G241" s="21"/>
      <c r="H241" s="21" t="s">
        <v>207</v>
      </c>
      <c r="I241" s="14"/>
      <c r="J241" s="14"/>
      <c r="K241" s="12">
        <v>554</v>
      </c>
      <c r="L241" s="9"/>
      <c r="M241" s="9"/>
      <c r="N241" s="9"/>
      <c r="O241" s="38">
        <f t="shared" si="17"/>
        <v>554</v>
      </c>
      <c r="P241" s="12"/>
      <c r="Q241" s="42"/>
      <c r="R241" s="15"/>
      <c r="S241" s="44"/>
      <c r="T241" s="15"/>
      <c r="U241" s="44"/>
      <c r="V241" s="15">
        <f t="shared" si="18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19"/>
        <v>0</v>
      </c>
      <c r="AF241" s="15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0"/>
        <v>0</v>
      </c>
      <c r="BA241" s="15"/>
      <c r="BB241" s="44"/>
      <c r="BC241" s="15"/>
      <c r="BD241" s="44"/>
      <c r="BE241" s="15">
        <f t="shared" si="21"/>
        <v>0</v>
      </c>
    </row>
    <row r="242" spans="1:57">
      <c r="A242" s="9"/>
      <c r="B242" s="16" t="s">
        <v>204</v>
      </c>
      <c r="C242" s="92" t="s">
        <v>50</v>
      </c>
      <c r="D242" s="58" t="s">
        <v>378</v>
      </c>
      <c r="E242" s="35" t="s">
        <v>368</v>
      </c>
      <c r="F242" s="20"/>
      <c r="G242" s="21"/>
      <c r="H242" s="21" t="s">
        <v>207</v>
      </c>
      <c r="I242" s="14"/>
      <c r="J242" s="14"/>
      <c r="K242" s="12">
        <v>500</v>
      </c>
      <c r="L242" s="9"/>
      <c r="M242" s="9"/>
      <c r="N242" s="9"/>
      <c r="O242" s="38">
        <f t="shared" si="17"/>
        <v>500</v>
      </c>
      <c r="P242" s="12"/>
      <c r="Q242" s="42"/>
      <c r="R242" s="15"/>
      <c r="S242" s="44"/>
      <c r="T242" s="15"/>
      <c r="U242" s="44"/>
      <c r="V242" s="15">
        <f t="shared" si="18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19"/>
        <v>0</v>
      </c>
      <c r="AF242" s="15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0"/>
        <v>0</v>
      </c>
      <c r="BA242" s="15"/>
      <c r="BB242" s="44"/>
      <c r="BC242" s="15"/>
      <c r="BD242" s="44"/>
      <c r="BE242" s="15">
        <f t="shared" si="21"/>
        <v>0</v>
      </c>
    </row>
    <row r="243" spans="1:57">
      <c r="A243" s="9"/>
      <c r="B243" s="16" t="s">
        <v>204</v>
      </c>
      <c r="C243" s="92" t="s">
        <v>50</v>
      </c>
      <c r="D243" s="58" t="s">
        <v>379</v>
      </c>
      <c r="E243" s="35" t="s">
        <v>368</v>
      </c>
      <c r="F243" s="20"/>
      <c r="G243" s="21"/>
      <c r="H243" s="21" t="s">
        <v>207</v>
      </c>
      <c r="I243" s="14"/>
      <c r="J243" s="14"/>
      <c r="K243" s="12">
        <v>139</v>
      </c>
      <c r="L243" s="9"/>
      <c r="M243" s="9"/>
      <c r="N243" s="9"/>
      <c r="O243" s="38">
        <f t="shared" si="17"/>
        <v>139</v>
      </c>
      <c r="P243" s="12"/>
      <c r="Q243" s="42"/>
      <c r="R243" s="15"/>
      <c r="S243" s="44"/>
      <c r="T243" s="15"/>
      <c r="U243" s="44"/>
      <c r="V243" s="15">
        <f t="shared" si="18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19"/>
        <v>0</v>
      </c>
      <c r="AF243" s="15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0"/>
        <v>0</v>
      </c>
      <c r="BA243" s="15"/>
      <c r="BB243" s="44"/>
      <c r="BC243" s="15"/>
      <c r="BD243" s="44"/>
      <c r="BE243" s="15">
        <f t="shared" si="21"/>
        <v>0</v>
      </c>
    </row>
    <row r="244" spans="1:57">
      <c r="A244" s="9"/>
      <c r="B244" s="16" t="s">
        <v>204</v>
      </c>
      <c r="C244" s="92" t="s">
        <v>50</v>
      </c>
      <c r="D244" s="58" t="s">
        <v>380</v>
      </c>
      <c r="E244" s="35" t="s">
        <v>373</v>
      </c>
      <c r="F244" s="20"/>
      <c r="G244" s="21"/>
      <c r="H244" s="21" t="s">
        <v>207</v>
      </c>
      <c r="I244" s="14"/>
      <c r="J244" s="14"/>
      <c r="K244" s="12">
        <v>550</v>
      </c>
      <c r="L244" s="9"/>
      <c r="M244" s="9"/>
      <c r="N244" s="9"/>
      <c r="O244" s="38">
        <f t="shared" si="17"/>
        <v>550</v>
      </c>
      <c r="P244" s="12"/>
      <c r="Q244" s="42"/>
      <c r="R244" s="15"/>
      <c r="S244" s="44"/>
      <c r="T244" s="15"/>
      <c r="U244" s="44"/>
      <c r="V244" s="15">
        <f t="shared" si="18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19"/>
        <v>0</v>
      </c>
      <c r="AF244" s="15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0"/>
        <v>0</v>
      </c>
      <c r="BA244" s="15"/>
      <c r="BB244" s="44"/>
      <c r="BC244" s="15"/>
      <c r="BD244" s="44"/>
      <c r="BE244" s="15">
        <f t="shared" si="21"/>
        <v>0</v>
      </c>
    </row>
    <row r="245" spans="1:57">
      <c r="A245" s="9"/>
      <c r="B245" s="16" t="s">
        <v>204</v>
      </c>
      <c r="C245" s="92" t="s">
        <v>50</v>
      </c>
      <c r="D245" s="58" t="s">
        <v>381</v>
      </c>
      <c r="E245" s="35" t="s">
        <v>382</v>
      </c>
      <c r="F245" s="20"/>
      <c r="G245" s="21"/>
      <c r="H245" s="21" t="s">
        <v>207</v>
      </c>
      <c r="I245" s="14"/>
      <c r="J245" s="14"/>
      <c r="K245" s="12">
        <v>551</v>
      </c>
      <c r="L245" s="9"/>
      <c r="M245" s="9"/>
      <c r="N245" s="9"/>
      <c r="O245" s="38">
        <f t="shared" si="17"/>
        <v>551</v>
      </c>
      <c r="P245" s="12"/>
      <c r="Q245" s="42"/>
      <c r="R245" s="15"/>
      <c r="S245" s="44"/>
      <c r="T245" s="15"/>
      <c r="U245" s="44"/>
      <c r="V245" s="15">
        <f t="shared" si="18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19"/>
        <v>0</v>
      </c>
      <c r="AF245" s="15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0"/>
        <v>0</v>
      </c>
      <c r="BA245" s="15"/>
      <c r="BB245" s="44"/>
      <c r="BC245" s="15"/>
      <c r="BD245" s="44"/>
      <c r="BE245" s="15">
        <f t="shared" si="21"/>
        <v>0</v>
      </c>
    </row>
    <row r="246" spans="1:57">
      <c r="A246" s="9"/>
      <c r="B246" s="16" t="s">
        <v>204</v>
      </c>
      <c r="C246" s="92" t="s">
        <v>50</v>
      </c>
      <c r="D246" s="58" t="s">
        <v>383</v>
      </c>
      <c r="E246" s="35" t="s">
        <v>384</v>
      </c>
      <c r="F246" s="20"/>
      <c r="G246" s="21"/>
      <c r="H246" s="21" t="s">
        <v>207</v>
      </c>
      <c r="I246" s="14"/>
      <c r="J246" s="14"/>
      <c r="K246" s="12">
        <v>552</v>
      </c>
      <c r="L246" s="9"/>
      <c r="M246" s="9"/>
      <c r="N246" s="9"/>
      <c r="O246" s="38">
        <f t="shared" si="17"/>
        <v>552</v>
      </c>
      <c r="P246" s="12"/>
      <c r="Q246" s="42"/>
      <c r="R246" s="15"/>
      <c r="S246" s="44"/>
      <c r="T246" s="15"/>
      <c r="U246" s="44"/>
      <c r="V246" s="15">
        <f t="shared" si="18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19"/>
        <v>0</v>
      </c>
      <c r="AF246" s="15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0"/>
        <v>0</v>
      </c>
      <c r="BA246" s="15"/>
      <c r="BB246" s="44"/>
      <c r="BC246" s="15"/>
      <c r="BD246" s="44"/>
      <c r="BE246" s="15">
        <f t="shared" si="21"/>
        <v>0</v>
      </c>
    </row>
    <row r="247" spans="1:57">
      <c r="A247" s="9"/>
      <c r="B247" s="16" t="s">
        <v>204</v>
      </c>
      <c r="C247" s="92" t="s">
        <v>50</v>
      </c>
      <c r="D247" s="58" t="s">
        <v>385</v>
      </c>
      <c r="E247" s="35" t="s">
        <v>368</v>
      </c>
      <c r="F247" s="20"/>
      <c r="G247" s="21"/>
      <c r="H247" s="21" t="s">
        <v>207</v>
      </c>
      <c r="I247" s="14"/>
      <c r="J247" s="14"/>
      <c r="K247" s="12">
        <v>53</v>
      </c>
      <c r="L247" s="9"/>
      <c r="M247" s="9"/>
      <c r="N247" s="9"/>
      <c r="O247" s="38">
        <f t="shared" si="17"/>
        <v>53</v>
      </c>
      <c r="P247" s="12"/>
      <c r="Q247" s="42"/>
      <c r="R247" s="15"/>
      <c r="S247" s="44"/>
      <c r="T247" s="15"/>
      <c r="U247" s="44"/>
      <c r="V247" s="15">
        <f t="shared" si="18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19"/>
        <v>0</v>
      </c>
      <c r="AF247" s="15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0"/>
        <v>0</v>
      </c>
      <c r="BA247" s="15"/>
      <c r="BB247" s="44"/>
      <c r="BC247" s="15"/>
      <c r="BD247" s="44"/>
      <c r="BE247" s="15">
        <f t="shared" si="21"/>
        <v>0</v>
      </c>
    </row>
    <row r="248" spans="1:57">
      <c r="A248" s="9"/>
      <c r="B248" s="16" t="s">
        <v>204</v>
      </c>
      <c r="C248" s="92" t="s">
        <v>50</v>
      </c>
      <c r="D248" s="58" t="s">
        <v>386</v>
      </c>
      <c r="E248" s="35"/>
      <c r="F248" s="20"/>
      <c r="G248" s="21"/>
      <c r="H248" s="21" t="s">
        <v>207</v>
      </c>
      <c r="I248" s="14"/>
      <c r="J248" s="14"/>
      <c r="K248" s="12">
        <v>552</v>
      </c>
      <c r="L248" s="9"/>
      <c r="M248" s="9"/>
      <c r="N248" s="9"/>
      <c r="O248" s="38">
        <f t="shared" si="17"/>
        <v>552</v>
      </c>
      <c r="P248" s="12"/>
      <c r="Q248" s="42"/>
      <c r="R248" s="15"/>
      <c r="S248" s="44"/>
      <c r="T248" s="15"/>
      <c r="U248" s="44"/>
      <c r="V248" s="15">
        <f t="shared" si="18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19"/>
        <v>0</v>
      </c>
      <c r="AF248" s="15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0"/>
        <v>0</v>
      </c>
      <c r="BA248" s="15"/>
      <c r="BB248" s="44"/>
      <c r="BC248" s="15"/>
      <c r="BD248" s="44"/>
      <c r="BE248" s="15">
        <f t="shared" si="21"/>
        <v>0</v>
      </c>
    </row>
    <row r="249" spans="1:57">
      <c r="A249" s="9"/>
      <c r="B249" s="16" t="s">
        <v>204</v>
      </c>
      <c r="C249" s="92" t="s">
        <v>50</v>
      </c>
      <c r="D249" s="58" t="s">
        <v>387</v>
      </c>
      <c r="E249" s="35" t="s">
        <v>365</v>
      </c>
      <c r="F249" s="20"/>
      <c r="G249" s="21"/>
      <c r="H249" s="21" t="s">
        <v>207</v>
      </c>
      <c r="I249" s="14"/>
      <c r="J249" s="14"/>
      <c r="K249" s="12">
        <v>0</v>
      </c>
      <c r="L249" s="9"/>
      <c r="M249" s="9"/>
      <c r="N249" s="9"/>
      <c r="O249" s="38">
        <f t="shared" si="17"/>
        <v>0</v>
      </c>
      <c r="P249" s="12"/>
      <c r="Q249" s="42"/>
      <c r="R249" s="15"/>
      <c r="S249" s="44"/>
      <c r="T249" s="15"/>
      <c r="U249" s="44"/>
      <c r="V249" s="15">
        <f t="shared" si="18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19"/>
        <v>0</v>
      </c>
      <c r="AF249" s="15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0"/>
        <v>0</v>
      </c>
      <c r="BA249" s="15"/>
      <c r="BB249" s="44"/>
      <c r="BC249" s="15"/>
      <c r="BD249" s="44"/>
      <c r="BE249" s="15">
        <f t="shared" si="21"/>
        <v>0</v>
      </c>
    </row>
    <row r="250" spans="1:57" ht="36" customHeight="1">
      <c r="A250" s="9"/>
      <c r="B250" s="16" t="s">
        <v>233</v>
      </c>
      <c r="C250" s="92" t="s">
        <v>50</v>
      </c>
      <c r="D250" s="58" t="s">
        <v>388</v>
      </c>
      <c r="E250" s="98" t="s">
        <v>389</v>
      </c>
      <c r="F250" s="20"/>
      <c r="G250" s="21"/>
      <c r="H250" s="21" t="s">
        <v>207</v>
      </c>
      <c r="I250" s="14"/>
      <c r="J250" s="14"/>
      <c r="K250" s="12">
        <v>527</v>
      </c>
      <c r="L250" s="9"/>
      <c r="M250" s="9"/>
      <c r="N250" s="9"/>
      <c r="O250" s="38">
        <f t="shared" si="17"/>
        <v>527</v>
      </c>
      <c r="P250" s="12"/>
      <c r="Q250" s="42"/>
      <c r="R250" s="15"/>
      <c r="S250" s="44"/>
      <c r="T250" s="15"/>
      <c r="U250" s="44"/>
      <c r="V250" s="15">
        <f t="shared" si="18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19"/>
        <v>0</v>
      </c>
      <c r="AF250" s="15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0"/>
        <v>0</v>
      </c>
      <c r="BA250" s="15"/>
      <c r="BB250" s="44"/>
      <c r="BC250" s="15"/>
      <c r="BD250" s="44"/>
      <c r="BE250" s="15">
        <f t="shared" si="21"/>
        <v>0</v>
      </c>
    </row>
    <row r="251" spans="1:57">
      <c r="A251" s="9"/>
      <c r="B251" s="16" t="s">
        <v>233</v>
      </c>
      <c r="C251" s="92" t="s">
        <v>50</v>
      </c>
      <c r="D251" s="58" t="s">
        <v>390</v>
      </c>
      <c r="E251" s="35" t="s">
        <v>391</v>
      </c>
      <c r="F251" s="20"/>
      <c r="G251" s="21"/>
      <c r="H251" s="21" t="s">
        <v>207</v>
      </c>
      <c r="I251" s="14"/>
      <c r="J251" s="14"/>
      <c r="K251" s="12">
        <v>493</v>
      </c>
      <c r="L251" s="9"/>
      <c r="M251" s="9"/>
      <c r="N251" s="9"/>
      <c r="O251" s="38">
        <f t="shared" si="17"/>
        <v>493</v>
      </c>
      <c r="P251" s="12"/>
      <c r="Q251" s="42"/>
      <c r="R251" s="15"/>
      <c r="S251" s="44"/>
      <c r="T251" s="15"/>
      <c r="U251" s="44"/>
      <c r="V251" s="15">
        <f t="shared" si="18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19"/>
        <v>0</v>
      </c>
      <c r="AF251" s="15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0"/>
        <v>0</v>
      </c>
      <c r="BA251" s="15"/>
      <c r="BB251" s="44"/>
      <c r="BC251" s="15"/>
      <c r="BD251" s="44"/>
      <c r="BE251" s="15">
        <f t="shared" si="21"/>
        <v>0</v>
      </c>
    </row>
    <row r="252" spans="1:57" ht="36" customHeight="1">
      <c r="A252" s="9"/>
      <c r="B252" s="16" t="s">
        <v>233</v>
      </c>
      <c r="C252" s="92" t="s">
        <v>50</v>
      </c>
      <c r="D252" s="58" t="s">
        <v>392</v>
      </c>
      <c r="E252" s="98" t="s">
        <v>389</v>
      </c>
      <c r="F252" s="20"/>
      <c r="G252" s="21"/>
      <c r="H252" s="21" t="s">
        <v>207</v>
      </c>
      <c r="I252" s="14"/>
      <c r="J252" s="14"/>
      <c r="K252" s="12">
        <v>554</v>
      </c>
      <c r="L252" s="9"/>
      <c r="M252" s="9"/>
      <c r="N252" s="9"/>
      <c r="O252" s="38">
        <f t="shared" si="17"/>
        <v>554</v>
      </c>
      <c r="P252" s="12"/>
      <c r="Q252" s="42"/>
      <c r="R252" s="15"/>
      <c r="S252" s="44"/>
      <c r="T252" s="15"/>
      <c r="U252" s="44"/>
      <c r="V252" s="15">
        <f t="shared" si="18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19"/>
        <v>0</v>
      </c>
      <c r="AF252" s="15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0"/>
        <v>0</v>
      </c>
      <c r="BA252" s="15"/>
      <c r="BB252" s="44"/>
      <c r="BC252" s="15"/>
      <c r="BD252" s="44"/>
      <c r="BE252" s="15">
        <f t="shared" si="21"/>
        <v>0</v>
      </c>
    </row>
    <row r="253" spans="1:57">
      <c r="A253" s="9"/>
      <c r="B253" s="16" t="s">
        <v>233</v>
      </c>
      <c r="C253" s="92" t="s">
        <v>50</v>
      </c>
      <c r="D253" s="58" t="s">
        <v>393</v>
      </c>
      <c r="E253" s="35" t="s">
        <v>394</v>
      </c>
      <c r="F253" s="20"/>
      <c r="G253" s="21"/>
      <c r="H253" s="21" t="s">
        <v>207</v>
      </c>
      <c r="I253" s="14"/>
      <c r="J253" s="14"/>
      <c r="K253" s="12">
        <v>476</v>
      </c>
      <c r="L253" s="9"/>
      <c r="M253" s="9"/>
      <c r="N253" s="9"/>
      <c r="O253" s="38">
        <f t="shared" si="17"/>
        <v>476</v>
      </c>
      <c r="P253" s="12"/>
      <c r="Q253" s="42"/>
      <c r="R253" s="15"/>
      <c r="S253" s="44"/>
      <c r="T253" s="15"/>
      <c r="U253" s="44"/>
      <c r="V253" s="15">
        <f t="shared" si="18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19"/>
        <v>0</v>
      </c>
      <c r="AF253" s="15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0"/>
        <v>0</v>
      </c>
      <c r="BA253" s="15"/>
      <c r="BB253" s="44"/>
      <c r="BC253" s="15"/>
      <c r="BD253" s="44"/>
      <c r="BE253" s="15">
        <f t="shared" si="21"/>
        <v>0</v>
      </c>
    </row>
    <row r="254" spans="1:57" ht="36" customHeight="1">
      <c r="A254" s="9"/>
      <c r="B254" s="16" t="s">
        <v>233</v>
      </c>
      <c r="C254" s="92" t="s">
        <v>50</v>
      </c>
      <c r="D254" s="58" t="s">
        <v>395</v>
      </c>
      <c r="E254" s="98" t="s">
        <v>389</v>
      </c>
      <c r="F254" s="20"/>
      <c r="G254" s="21"/>
      <c r="H254" s="21" t="s">
        <v>207</v>
      </c>
      <c r="I254" s="14"/>
      <c r="J254" s="14"/>
      <c r="K254" s="12">
        <v>548</v>
      </c>
      <c r="L254" s="9"/>
      <c r="M254" s="9"/>
      <c r="N254" s="9"/>
      <c r="O254" s="38">
        <f t="shared" si="17"/>
        <v>548</v>
      </c>
      <c r="P254" s="12"/>
      <c r="Q254" s="42"/>
      <c r="R254" s="15"/>
      <c r="S254" s="44"/>
      <c r="T254" s="15"/>
      <c r="U254" s="44"/>
      <c r="V254" s="15">
        <f t="shared" si="18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19"/>
        <v>0</v>
      </c>
      <c r="AF254" s="15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0"/>
        <v>0</v>
      </c>
      <c r="BA254" s="15"/>
      <c r="BB254" s="44"/>
      <c r="BC254" s="15"/>
      <c r="BD254" s="44"/>
      <c r="BE254" s="15">
        <f t="shared" si="21"/>
        <v>0</v>
      </c>
    </row>
    <row r="255" spans="1:57">
      <c r="A255" s="9"/>
      <c r="B255" s="16" t="s">
        <v>396</v>
      </c>
      <c r="C255" s="92" t="s">
        <v>50</v>
      </c>
      <c r="D255" s="58" t="s">
        <v>397</v>
      </c>
      <c r="E255" s="35" t="s">
        <v>398</v>
      </c>
      <c r="F255" s="20"/>
      <c r="G255" s="21"/>
      <c r="H255" s="21"/>
      <c r="I255" s="14"/>
      <c r="J255" s="14"/>
      <c r="K255" s="12">
        <v>1499</v>
      </c>
      <c r="L255" s="9"/>
      <c r="M255" s="9"/>
      <c r="N255" s="9"/>
      <c r="O255" s="38">
        <f t="shared" si="17"/>
        <v>1499</v>
      </c>
      <c r="P255" s="12"/>
      <c r="Q255" s="42"/>
      <c r="R255" s="15"/>
      <c r="S255" s="44"/>
      <c r="T255" s="15"/>
      <c r="U255" s="44"/>
      <c r="V255" s="15">
        <f t="shared" si="18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19"/>
        <v>0</v>
      </c>
      <c r="AF255" s="15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0"/>
        <v>0</v>
      </c>
      <c r="BA255" s="15"/>
      <c r="BB255" s="44"/>
      <c r="BC255" s="15"/>
      <c r="BD255" s="44"/>
      <c r="BE255" s="15">
        <f t="shared" si="21"/>
        <v>0</v>
      </c>
    </row>
    <row r="256" spans="1:57">
      <c r="A256" s="9"/>
      <c r="B256" s="16" t="s">
        <v>155</v>
      </c>
      <c r="C256" s="89" t="s">
        <v>50</v>
      </c>
      <c r="D256" s="79" t="s">
        <v>399</v>
      </c>
      <c r="E256" s="13" t="s">
        <v>400</v>
      </c>
      <c r="F256" s="96"/>
      <c r="G256" s="9"/>
      <c r="H256" s="9"/>
      <c r="I256" s="14"/>
      <c r="J256" s="14"/>
      <c r="K256" s="12">
        <v>248</v>
      </c>
      <c r="L256" s="9"/>
      <c r="M256" s="9"/>
      <c r="N256" s="9"/>
      <c r="O256" s="38">
        <f t="shared" si="17"/>
        <v>248</v>
      </c>
      <c r="P256" s="12"/>
      <c r="Q256" s="42"/>
      <c r="R256" s="15"/>
      <c r="S256" s="44"/>
      <c r="T256" s="15"/>
      <c r="U256" s="44"/>
      <c r="V256" s="15">
        <f t="shared" si="18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19"/>
        <v>0</v>
      </c>
      <c r="AF256" s="15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0"/>
        <v>0</v>
      </c>
      <c r="BA256" s="15"/>
      <c r="BB256" s="44"/>
      <c r="BC256" s="15"/>
      <c r="BD256" s="44"/>
      <c r="BE256" s="15">
        <f t="shared" si="21"/>
        <v>0</v>
      </c>
    </row>
    <row r="257" spans="1:57">
      <c r="A257" s="9"/>
      <c r="B257" s="16" t="s">
        <v>330</v>
      </c>
      <c r="C257" s="89" t="s">
        <v>50</v>
      </c>
      <c r="D257" s="69" t="s">
        <v>331</v>
      </c>
      <c r="E257" s="13" t="s">
        <v>401</v>
      </c>
      <c r="F257" s="96"/>
      <c r="G257" s="9"/>
      <c r="H257" s="9" t="s">
        <v>332</v>
      </c>
      <c r="I257" s="14"/>
      <c r="J257" s="14"/>
      <c r="K257" s="12">
        <v>467</v>
      </c>
      <c r="L257" s="9"/>
      <c r="M257" s="9"/>
      <c r="N257" s="9"/>
      <c r="O257" s="38">
        <f t="shared" si="17"/>
        <v>465</v>
      </c>
      <c r="P257" s="12"/>
      <c r="Q257" s="42"/>
      <c r="R257" s="15"/>
      <c r="S257" s="44"/>
      <c r="T257" s="15"/>
      <c r="U257" s="44"/>
      <c r="V257" s="15">
        <f t="shared" si="18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19"/>
        <v>0</v>
      </c>
      <c r="AF257" s="15">
        <v>2</v>
      </c>
      <c r="AG257" s="42">
        <v>46093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0"/>
        <v>2</v>
      </c>
      <c r="BA257" s="15"/>
      <c r="BB257" s="44"/>
      <c r="BC257" s="15"/>
      <c r="BD257" s="44"/>
      <c r="BE257" s="15">
        <f t="shared" si="21"/>
        <v>0</v>
      </c>
    </row>
    <row r="258" spans="1:57" ht="36" customHeight="1">
      <c r="A258" s="9"/>
      <c r="B258" s="16" t="s">
        <v>204</v>
      </c>
      <c r="C258" s="89" t="s">
        <v>402</v>
      </c>
      <c r="D258" s="73" t="s">
        <v>403</v>
      </c>
      <c r="E258" s="13" t="s">
        <v>404</v>
      </c>
      <c r="F258" s="96"/>
      <c r="G258" s="9"/>
      <c r="H258" s="9" t="s">
        <v>311</v>
      </c>
      <c r="I258" s="14"/>
      <c r="J258" s="14"/>
      <c r="K258" s="12">
        <v>0</v>
      </c>
      <c r="L258" s="9"/>
      <c r="M258" s="9"/>
      <c r="N258" s="9"/>
      <c r="O258" s="38">
        <f t="shared" ref="O258:O321" si="22">K258+V258-AE258-AZ258</f>
        <v>0</v>
      </c>
      <c r="P258" s="12"/>
      <c r="Q258" s="42"/>
      <c r="R258" s="15"/>
      <c r="S258" s="44"/>
      <c r="T258" s="15"/>
      <c r="U258" s="44"/>
      <c r="V258" s="15">
        <f t="shared" ref="V258:V321" si="23">P258+R258+T258</f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ref="AE258:AE321" si="24">(W258+Y258+AA258+AC258)</f>
        <v>0</v>
      </c>
      <c r="AF258" s="15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0"/>
        <v>0</v>
      </c>
      <c r="BA258" s="15"/>
      <c r="BB258" s="44"/>
      <c r="BC258" s="15"/>
      <c r="BD258" s="44"/>
      <c r="BE258" s="15">
        <f t="shared" si="21"/>
        <v>0</v>
      </c>
    </row>
    <row r="259" spans="1:57" ht="36" customHeight="1">
      <c r="A259" s="9"/>
      <c r="B259" s="16" t="s">
        <v>233</v>
      </c>
      <c r="C259" s="89" t="s">
        <v>402</v>
      </c>
      <c r="D259" s="82" t="s">
        <v>405</v>
      </c>
      <c r="E259" s="22" t="s">
        <v>406</v>
      </c>
      <c r="F259" s="95"/>
      <c r="G259" s="9"/>
      <c r="H259" s="9" t="s">
        <v>407</v>
      </c>
      <c r="I259" s="14"/>
      <c r="J259" s="14"/>
      <c r="K259" s="12">
        <v>0</v>
      </c>
      <c r="L259" s="9"/>
      <c r="M259" s="9"/>
      <c r="N259" s="9"/>
      <c r="O259" s="38">
        <f t="shared" si="22"/>
        <v>0</v>
      </c>
      <c r="P259" s="12"/>
      <c r="Q259" s="42"/>
      <c r="R259" s="15"/>
      <c r="S259" s="44"/>
      <c r="T259" s="15"/>
      <c r="U259" s="44"/>
      <c r="V259" s="15">
        <f t="shared" si="23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4"/>
        <v>0</v>
      </c>
      <c r="AF259" s="15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ref="AZ259:AZ322" si="25">AF259+AH259+AJ259+AL259+AN259+AP259+AR259+AT259+AV259+AX259</f>
        <v>0</v>
      </c>
      <c r="BA259" s="15"/>
      <c r="BB259" s="44"/>
      <c r="BC259" s="15"/>
      <c r="BD259" s="44"/>
      <c r="BE259" s="15">
        <f t="shared" si="21"/>
        <v>0</v>
      </c>
    </row>
    <row r="260" spans="1:57" ht="36" customHeight="1">
      <c r="A260" s="9"/>
      <c r="B260" s="16" t="s">
        <v>172</v>
      </c>
      <c r="C260" s="89" t="s">
        <v>402</v>
      </c>
      <c r="D260" s="82" t="s">
        <v>408</v>
      </c>
      <c r="E260" s="22" t="s">
        <v>409</v>
      </c>
      <c r="F260" s="95"/>
      <c r="G260" s="9"/>
      <c r="H260" s="9" t="s">
        <v>67</v>
      </c>
      <c r="I260" s="14"/>
      <c r="J260" s="14"/>
      <c r="K260" s="12">
        <v>0</v>
      </c>
      <c r="L260" s="9"/>
      <c r="M260" s="9"/>
      <c r="N260" s="9"/>
      <c r="O260" s="38">
        <f t="shared" si="22"/>
        <v>0</v>
      </c>
      <c r="P260" s="12"/>
      <c r="Q260" s="42"/>
      <c r="R260" s="15"/>
      <c r="S260" s="44"/>
      <c r="T260" s="15"/>
      <c r="U260" s="44"/>
      <c r="V260" s="15">
        <f t="shared" si="23"/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si="24"/>
        <v>0</v>
      </c>
      <c r="AF260" s="15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5"/>
        <v>0</v>
      </c>
      <c r="BA260" s="15"/>
      <c r="BB260" s="44"/>
      <c r="BC260" s="15"/>
      <c r="BD260" s="44"/>
      <c r="BE260" s="15">
        <f t="shared" si="21"/>
        <v>0</v>
      </c>
    </row>
    <row r="261" spans="1:57" ht="36" customHeight="1">
      <c r="A261" s="9"/>
      <c r="B261" s="16" t="s">
        <v>155</v>
      </c>
      <c r="C261" s="89" t="s">
        <v>402</v>
      </c>
      <c r="D261" s="82" t="s">
        <v>410</v>
      </c>
      <c r="E261" s="22" t="s">
        <v>411</v>
      </c>
      <c r="F261" s="95"/>
      <c r="G261" s="9"/>
      <c r="H261" s="9" t="s">
        <v>412</v>
      </c>
      <c r="I261" s="14"/>
      <c r="J261" s="14"/>
      <c r="K261" s="12">
        <v>824</v>
      </c>
      <c r="L261" s="9"/>
      <c r="M261" s="9"/>
      <c r="N261" s="9"/>
      <c r="O261" s="38">
        <f t="shared" si="22"/>
        <v>824</v>
      </c>
      <c r="P261" s="12"/>
      <c r="Q261" s="42"/>
      <c r="R261" s="15"/>
      <c r="S261" s="44"/>
      <c r="T261" s="15"/>
      <c r="U261" s="44"/>
      <c r="V261" s="15">
        <f t="shared" si="23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4"/>
        <v>0</v>
      </c>
      <c r="AF261" s="15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5"/>
        <v>0</v>
      </c>
      <c r="BA261" s="15"/>
      <c r="BB261" s="44"/>
      <c r="BC261" s="15"/>
      <c r="BD261" s="44"/>
      <c r="BE261" s="15">
        <f t="shared" si="21"/>
        <v>0</v>
      </c>
    </row>
    <row r="262" spans="1:57">
      <c r="A262" s="9"/>
      <c r="B262" s="18" t="s">
        <v>172</v>
      </c>
      <c r="C262" s="89" t="s">
        <v>140</v>
      </c>
      <c r="D262" s="58" t="s">
        <v>253</v>
      </c>
      <c r="E262" s="35" t="s">
        <v>413</v>
      </c>
      <c r="F262" s="96"/>
      <c r="G262" s="21"/>
      <c r="H262" s="21" t="s">
        <v>67</v>
      </c>
      <c r="I262" s="14"/>
      <c r="J262" s="14"/>
      <c r="K262" s="12">
        <v>87</v>
      </c>
      <c r="L262" s="9"/>
      <c r="M262" s="9"/>
      <c r="N262" s="9"/>
      <c r="O262" s="38">
        <f t="shared" si="22"/>
        <v>87</v>
      </c>
      <c r="P262" s="12"/>
      <c r="Q262" s="42"/>
      <c r="R262" s="15"/>
      <c r="S262" s="44"/>
      <c r="T262" s="15"/>
      <c r="U262" s="44"/>
      <c r="V262" s="15">
        <f t="shared" si="23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4"/>
        <v>0</v>
      </c>
      <c r="AF262" s="15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5"/>
        <v>0</v>
      </c>
      <c r="BA262" s="15"/>
      <c r="BB262" s="44"/>
      <c r="BC262" s="15"/>
      <c r="BD262" s="44"/>
      <c r="BE262" s="15">
        <f t="shared" si="21"/>
        <v>0</v>
      </c>
    </row>
    <row r="263" spans="1:57">
      <c r="A263" s="9"/>
      <c r="B263" s="16" t="s">
        <v>172</v>
      </c>
      <c r="C263" s="89" t="s">
        <v>140</v>
      </c>
      <c r="D263" s="61" t="s">
        <v>414</v>
      </c>
      <c r="E263" s="13"/>
      <c r="F263" s="96"/>
      <c r="G263" s="9"/>
      <c r="H263" s="9" t="s">
        <v>67</v>
      </c>
      <c r="I263" s="14"/>
      <c r="J263" s="14"/>
      <c r="K263" s="12">
        <v>224</v>
      </c>
      <c r="L263" s="9"/>
      <c r="M263" s="9"/>
      <c r="N263" s="9"/>
      <c r="O263" s="38">
        <f t="shared" si="22"/>
        <v>224</v>
      </c>
      <c r="P263" s="12"/>
      <c r="Q263" s="42"/>
      <c r="R263" s="15"/>
      <c r="S263" s="44"/>
      <c r="T263" s="15"/>
      <c r="U263" s="44"/>
      <c r="V263" s="15">
        <f t="shared" si="23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4"/>
        <v>0</v>
      </c>
      <c r="AF263" s="15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5"/>
        <v>0</v>
      </c>
      <c r="BA263" s="15"/>
      <c r="BB263" s="44"/>
      <c r="BC263" s="15"/>
      <c r="BD263" s="44"/>
      <c r="BE263" s="15">
        <f t="shared" si="21"/>
        <v>0</v>
      </c>
    </row>
    <row r="264" spans="1:57">
      <c r="A264" s="9"/>
      <c r="B264" s="16" t="s">
        <v>172</v>
      </c>
      <c r="C264" s="89" t="s">
        <v>140</v>
      </c>
      <c r="D264" s="61" t="s">
        <v>415</v>
      </c>
      <c r="E264" s="13"/>
      <c r="F264" s="96"/>
      <c r="G264" s="9"/>
      <c r="H264" s="9" t="s">
        <v>67</v>
      </c>
      <c r="I264" s="14"/>
      <c r="J264" s="14"/>
      <c r="K264" s="12">
        <v>138</v>
      </c>
      <c r="L264" s="9"/>
      <c r="M264" s="9"/>
      <c r="N264" s="9"/>
      <c r="O264" s="38">
        <f t="shared" si="22"/>
        <v>138</v>
      </c>
      <c r="P264" s="12"/>
      <c r="Q264" s="42"/>
      <c r="R264" s="15"/>
      <c r="S264" s="44"/>
      <c r="T264" s="15"/>
      <c r="U264" s="44"/>
      <c r="V264" s="15">
        <f t="shared" si="23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4"/>
        <v>0</v>
      </c>
      <c r="AF264" s="15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5"/>
        <v>0</v>
      </c>
      <c r="BA264" s="15"/>
      <c r="BB264" s="44"/>
      <c r="BC264" s="15"/>
      <c r="BD264" s="44"/>
      <c r="BE264" s="15">
        <f t="shared" si="21"/>
        <v>0</v>
      </c>
    </row>
    <row r="265" spans="1:57">
      <c r="A265" s="9"/>
      <c r="B265" s="16" t="s">
        <v>172</v>
      </c>
      <c r="C265" s="89" t="s">
        <v>140</v>
      </c>
      <c r="D265" s="79" t="s">
        <v>416</v>
      </c>
      <c r="E265" s="13"/>
      <c r="F265" s="96"/>
      <c r="G265" s="9"/>
      <c r="H265" s="9" t="s">
        <v>67</v>
      </c>
      <c r="I265" s="14"/>
      <c r="J265" s="14"/>
      <c r="K265" s="12">
        <v>116</v>
      </c>
      <c r="L265" s="9"/>
      <c r="M265" s="9"/>
      <c r="N265" s="9"/>
      <c r="O265" s="38">
        <f t="shared" si="22"/>
        <v>116</v>
      </c>
      <c r="P265" s="12"/>
      <c r="Q265" s="42"/>
      <c r="R265" s="15"/>
      <c r="S265" s="44"/>
      <c r="T265" s="15"/>
      <c r="U265" s="44"/>
      <c r="V265" s="15">
        <f t="shared" si="23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4"/>
        <v>0</v>
      </c>
      <c r="AF265" s="15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5"/>
        <v>0</v>
      </c>
      <c r="BA265" s="15"/>
      <c r="BB265" s="44"/>
      <c r="BC265" s="15"/>
      <c r="BD265" s="44"/>
      <c r="BE265" s="15">
        <f t="shared" si="21"/>
        <v>0</v>
      </c>
    </row>
    <row r="266" spans="1:57">
      <c r="A266" s="9"/>
      <c r="B266" s="16" t="s">
        <v>172</v>
      </c>
      <c r="C266" s="89" t="s">
        <v>140</v>
      </c>
      <c r="D266" s="78" t="s">
        <v>417</v>
      </c>
      <c r="E266" s="13"/>
      <c r="F266" s="96"/>
      <c r="G266" s="9"/>
      <c r="H266" s="9" t="s">
        <v>67</v>
      </c>
      <c r="I266" s="14"/>
      <c r="J266" s="14"/>
      <c r="K266" s="12">
        <v>170</v>
      </c>
      <c r="L266" s="9"/>
      <c r="M266" s="9"/>
      <c r="N266" s="9"/>
      <c r="O266" s="38">
        <f t="shared" si="22"/>
        <v>170</v>
      </c>
      <c r="P266" s="12"/>
      <c r="Q266" s="42"/>
      <c r="R266" s="15"/>
      <c r="S266" s="44"/>
      <c r="T266" s="15"/>
      <c r="U266" s="44"/>
      <c r="V266" s="15">
        <f t="shared" si="23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4"/>
        <v>0</v>
      </c>
      <c r="AF266" s="15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5"/>
        <v>0</v>
      </c>
      <c r="BA266" s="15"/>
      <c r="BB266" s="44"/>
      <c r="BC266" s="15"/>
      <c r="BD266" s="44"/>
      <c r="BE266" s="15">
        <f t="shared" si="21"/>
        <v>0</v>
      </c>
    </row>
    <row r="267" spans="1:57">
      <c r="A267" s="9"/>
      <c r="B267" s="16" t="s">
        <v>172</v>
      </c>
      <c r="C267" s="89" t="s">
        <v>140</v>
      </c>
      <c r="D267" s="78" t="s">
        <v>418</v>
      </c>
      <c r="E267" s="13"/>
      <c r="F267" s="96"/>
      <c r="G267" s="9"/>
      <c r="H267" s="9" t="s">
        <v>67</v>
      </c>
      <c r="I267" s="14"/>
      <c r="J267" s="14"/>
      <c r="K267" s="12">
        <v>6</v>
      </c>
      <c r="L267" s="9"/>
      <c r="M267" s="9"/>
      <c r="N267" s="9"/>
      <c r="O267" s="38">
        <f t="shared" si="22"/>
        <v>6</v>
      </c>
      <c r="P267" s="12"/>
      <c r="Q267" s="42"/>
      <c r="R267" s="15"/>
      <c r="S267" s="44"/>
      <c r="T267" s="15"/>
      <c r="U267" s="44"/>
      <c r="V267" s="15">
        <f t="shared" si="23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4"/>
        <v>0</v>
      </c>
      <c r="AF267" s="15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5"/>
        <v>0</v>
      </c>
      <c r="BA267" s="15"/>
      <c r="BB267" s="44"/>
      <c r="BC267" s="15"/>
      <c r="BD267" s="44"/>
      <c r="BE267" s="15">
        <f t="shared" si="21"/>
        <v>0</v>
      </c>
    </row>
    <row r="268" spans="1:57">
      <c r="A268" s="9"/>
      <c r="B268" s="16" t="s">
        <v>172</v>
      </c>
      <c r="C268" s="89" t="s">
        <v>140</v>
      </c>
      <c r="D268" s="78" t="s">
        <v>419</v>
      </c>
      <c r="E268" s="13"/>
      <c r="F268" s="96"/>
      <c r="G268" s="9"/>
      <c r="H268" s="9" t="s">
        <v>420</v>
      </c>
      <c r="I268" s="14"/>
      <c r="J268" s="14"/>
      <c r="K268" s="12">
        <v>0</v>
      </c>
      <c r="L268" s="9"/>
      <c r="M268" s="9"/>
      <c r="N268" s="9"/>
      <c r="O268" s="38">
        <f t="shared" si="22"/>
        <v>0</v>
      </c>
      <c r="P268" s="12"/>
      <c r="Q268" s="42"/>
      <c r="R268" s="15"/>
      <c r="S268" s="44"/>
      <c r="T268" s="15"/>
      <c r="U268" s="44"/>
      <c r="V268" s="15">
        <f t="shared" si="23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4"/>
        <v>0</v>
      </c>
      <c r="AF268" s="15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5"/>
        <v>0</v>
      </c>
      <c r="BA268" s="15"/>
      <c r="BB268" s="44"/>
      <c r="BC268" s="15"/>
      <c r="BD268" s="44"/>
      <c r="BE268" s="15">
        <f t="shared" si="21"/>
        <v>0</v>
      </c>
    </row>
    <row r="269" spans="1:57">
      <c r="A269" s="9"/>
      <c r="B269" s="16" t="s">
        <v>172</v>
      </c>
      <c r="C269" s="89" t="s">
        <v>140</v>
      </c>
      <c r="D269" s="61" t="s">
        <v>421</v>
      </c>
      <c r="E269" s="13"/>
      <c r="F269" s="96"/>
      <c r="G269" s="9"/>
      <c r="H269" s="9" t="s">
        <v>422</v>
      </c>
      <c r="I269" s="14"/>
      <c r="J269" s="14"/>
      <c r="K269" s="12">
        <v>126</v>
      </c>
      <c r="L269" s="9"/>
      <c r="M269" s="9"/>
      <c r="N269" s="9"/>
      <c r="O269" s="38">
        <f t="shared" si="22"/>
        <v>126</v>
      </c>
      <c r="P269" s="12"/>
      <c r="Q269" s="42"/>
      <c r="R269" s="15"/>
      <c r="S269" s="44"/>
      <c r="T269" s="15"/>
      <c r="U269" s="44"/>
      <c r="V269" s="15">
        <f t="shared" si="23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4"/>
        <v>0</v>
      </c>
      <c r="AF269" s="15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5"/>
        <v>0</v>
      </c>
      <c r="BA269" s="15"/>
      <c r="BB269" s="44"/>
      <c r="BC269" s="15"/>
      <c r="BD269" s="44"/>
      <c r="BE269" s="15">
        <f t="shared" si="21"/>
        <v>0</v>
      </c>
    </row>
    <row r="270" spans="1:57">
      <c r="A270" s="9"/>
      <c r="B270" s="16" t="s">
        <v>172</v>
      </c>
      <c r="C270" s="89" t="s">
        <v>140</v>
      </c>
      <c r="D270" s="61" t="s">
        <v>423</v>
      </c>
      <c r="E270" s="13"/>
      <c r="F270" s="96"/>
      <c r="G270" s="9"/>
      <c r="H270" s="9" t="s">
        <v>424</v>
      </c>
      <c r="I270" s="14"/>
      <c r="J270" s="14"/>
      <c r="K270" s="12">
        <v>37</v>
      </c>
      <c r="L270" s="9"/>
      <c r="M270" s="9"/>
      <c r="N270" s="9"/>
      <c r="O270" s="38">
        <f t="shared" si="22"/>
        <v>37</v>
      </c>
      <c r="P270" s="12"/>
      <c r="Q270" s="42"/>
      <c r="R270" s="15"/>
      <c r="S270" s="44"/>
      <c r="T270" s="15"/>
      <c r="U270" s="44"/>
      <c r="V270" s="15">
        <f t="shared" si="23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4"/>
        <v>0</v>
      </c>
      <c r="AF270" s="15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5"/>
        <v>0</v>
      </c>
      <c r="BA270" s="15"/>
      <c r="BB270" s="44"/>
      <c r="BC270" s="15"/>
      <c r="BD270" s="44"/>
      <c r="BE270" s="15">
        <f t="shared" si="21"/>
        <v>0</v>
      </c>
    </row>
    <row r="271" spans="1:57">
      <c r="A271" s="9"/>
      <c r="B271" s="16" t="s">
        <v>172</v>
      </c>
      <c r="C271" s="89" t="s">
        <v>140</v>
      </c>
      <c r="D271" s="61" t="s">
        <v>425</v>
      </c>
      <c r="E271" s="13"/>
      <c r="F271" s="96"/>
      <c r="G271" s="9"/>
      <c r="H271" s="9" t="s">
        <v>422</v>
      </c>
      <c r="I271" s="14"/>
      <c r="J271" s="14"/>
      <c r="K271" s="12">
        <v>12</v>
      </c>
      <c r="L271" s="9"/>
      <c r="M271" s="9"/>
      <c r="N271" s="9"/>
      <c r="O271" s="38">
        <f t="shared" si="22"/>
        <v>12</v>
      </c>
      <c r="P271" s="12"/>
      <c r="Q271" s="42"/>
      <c r="R271" s="15"/>
      <c r="S271" s="44"/>
      <c r="T271" s="15"/>
      <c r="U271" s="44"/>
      <c r="V271" s="15">
        <f t="shared" si="23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4"/>
        <v>0</v>
      </c>
      <c r="AF271" s="15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5"/>
        <v>0</v>
      </c>
      <c r="BA271" s="15"/>
      <c r="BB271" s="44"/>
      <c r="BC271" s="15"/>
      <c r="BD271" s="44"/>
      <c r="BE271" s="15">
        <f t="shared" si="21"/>
        <v>0</v>
      </c>
    </row>
    <row r="272" spans="1:57">
      <c r="A272" s="9"/>
      <c r="B272" s="16" t="s">
        <v>172</v>
      </c>
      <c r="C272" s="89" t="s">
        <v>140</v>
      </c>
      <c r="D272" s="61" t="s">
        <v>1504</v>
      </c>
      <c r="E272" s="13"/>
      <c r="F272" s="96"/>
      <c r="G272" s="9"/>
      <c r="H272" s="9" t="s">
        <v>67</v>
      </c>
      <c r="I272" s="14"/>
      <c r="J272" s="14"/>
      <c r="K272" s="12">
        <v>0</v>
      </c>
      <c r="L272" s="9"/>
      <c r="M272" s="9"/>
      <c r="N272" s="9"/>
      <c r="O272" s="38">
        <f t="shared" si="22"/>
        <v>0</v>
      </c>
      <c r="P272" s="12"/>
      <c r="Q272" s="42"/>
      <c r="R272" s="15"/>
      <c r="S272" s="44"/>
      <c r="T272" s="15"/>
      <c r="U272" s="44"/>
      <c r="V272" s="15">
        <f t="shared" si="23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4"/>
        <v>0</v>
      </c>
      <c r="AF272" s="15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5"/>
        <v>0</v>
      </c>
      <c r="BA272" s="15"/>
      <c r="BB272" s="44"/>
      <c r="BC272" s="15"/>
      <c r="BD272" s="44"/>
      <c r="BE272" s="15">
        <f t="shared" si="21"/>
        <v>0</v>
      </c>
    </row>
    <row r="273" spans="1:57">
      <c r="A273" s="9"/>
      <c r="B273" s="16" t="s">
        <v>172</v>
      </c>
      <c r="C273" s="89" t="s">
        <v>140</v>
      </c>
      <c r="D273" s="61" t="s">
        <v>427</v>
      </c>
      <c r="E273" s="13"/>
      <c r="F273" s="96"/>
      <c r="G273" s="9"/>
      <c r="H273" s="9" t="s">
        <v>67</v>
      </c>
      <c r="I273" s="14"/>
      <c r="J273" s="14"/>
      <c r="K273" s="12">
        <v>48</v>
      </c>
      <c r="L273" s="9"/>
      <c r="M273" s="9"/>
      <c r="N273" s="9"/>
      <c r="O273" s="38">
        <f t="shared" si="22"/>
        <v>48</v>
      </c>
      <c r="P273" s="12"/>
      <c r="Q273" s="42"/>
      <c r="R273" s="15"/>
      <c r="S273" s="44"/>
      <c r="T273" s="15"/>
      <c r="U273" s="44"/>
      <c r="V273" s="15">
        <f t="shared" si="23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4"/>
        <v>0</v>
      </c>
      <c r="AF273" s="15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5"/>
        <v>0</v>
      </c>
      <c r="BA273" s="15"/>
      <c r="BB273" s="44"/>
      <c r="BC273" s="15"/>
      <c r="BD273" s="44"/>
      <c r="BE273" s="15">
        <f t="shared" si="21"/>
        <v>0</v>
      </c>
    </row>
    <row r="274" spans="1:57">
      <c r="A274" s="9"/>
      <c r="B274" s="16" t="s">
        <v>187</v>
      </c>
      <c r="C274" s="89" t="s">
        <v>140</v>
      </c>
      <c r="D274" s="79" t="s">
        <v>428</v>
      </c>
      <c r="E274" s="13" t="s">
        <v>429</v>
      </c>
      <c r="F274" s="96"/>
      <c r="G274" s="9"/>
      <c r="H274" s="9" t="s">
        <v>430</v>
      </c>
      <c r="I274" s="14"/>
      <c r="J274" s="14"/>
      <c r="K274" s="12">
        <v>0</v>
      </c>
      <c r="L274" s="9"/>
      <c r="M274" s="9"/>
      <c r="N274" s="9"/>
      <c r="O274" s="38">
        <f t="shared" si="22"/>
        <v>0</v>
      </c>
      <c r="P274" s="12"/>
      <c r="Q274" s="42"/>
      <c r="R274" s="15"/>
      <c r="S274" s="44"/>
      <c r="T274" s="15"/>
      <c r="U274" s="44"/>
      <c r="V274" s="15">
        <f t="shared" si="23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4"/>
        <v>0</v>
      </c>
      <c r="AF274" s="15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5"/>
        <v>0</v>
      </c>
      <c r="BA274" s="15"/>
      <c r="BB274" s="44"/>
      <c r="BC274" s="15"/>
      <c r="BD274" s="44"/>
      <c r="BE274" s="15">
        <f t="shared" si="21"/>
        <v>0</v>
      </c>
    </row>
    <row r="275" spans="1:57">
      <c r="A275" s="9"/>
      <c r="B275" s="16" t="s">
        <v>187</v>
      </c>
      <c r="C275" s="89" t="s">
        <v>140</v>
      </c>
      <c r="D275" s="79" t="s">
        <v>431</v>
      </c>
      <c r="E275" s="13" t="s">
        <v>432</v>
      </c>
      <c r="F275" s="96"/>
      <c r="G275" s="9"/>
      <c r="H275" s="9" t="s">
        <v>67</v>
      </c>
      <c r="I275" s="14"/>
      <c r="J275" s="14"/>
      <c r="K275" s="12">
        <v>15</v>
      </c>
      <c r="L275" s="9"/>
      <c r="M275" s="9"/>
      <c r="N275" s="9"/>
      <c r="O275" s="38">
        <f t="shared" si="22"/>
        <v>15</v>
      </c>
      <c r="P275" s="12"/>
      <c r="Q275" s="42"/>
      <c r="R275" s="15"/>
      <c r="S275" s="44"/>
      <c r="T275" s="15"/>
      <c r="U275" s="44"/>
      <c r="V275" s="15">
        <f t="shared" si="23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4"/>
        <v>0</v>
      </c>
      <c r="AF275" s="15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5"/>
        <v>0</v>
      </c>
      <c r="BA275" s="15"/>
      <c r="BB275" s="44"/>
      <c r="BC275" s="15"/>
      <c r="BD275" s="44"/>
      <c r="BE275" s="15">
        <f t="shared" si="21"/>
        <v>0</v>
      </c>
    </row>
    <row r="276" spans="1:57">
      <c r="A276" s="9"/>
      <c r="B276" s="16" t="s">
        <v>120</v>
      </c>
      <c r="C276" s="89" t="s">
        <v>140</v>
      </c>
      <c r="D276" s="61" t="s">
        <v>433</v>
      </c>
      <c r="E276" s="13" t="s">
        <v>434</v>
      </c>
      <c r="F276" s="96"/>
      <c r="G276" s="9"/>
      <c r="H276" s="9" t="s">
        <v>67</v>
      </c>
      <c r="I276" s="14"/>
      <c r="J276" s="14"/>
      <c r="K276" s="12">
        <v>104</v>
      </c>
      <c r="L276" s="9"/>
      <c r="M276" s="9"/>
      <c r="N276" s="9"/>
      <c r="O276" s="38">
        <f t="shared" si="22"/>
        <v>104</v>
      </c>
      <c r="P276" s="12"/>
      <c r="Q276" s="42"/>
      <c r="R276" s="15"/>
      <c r="S276" s="44"/>
      <c r="T276" s="15"/>
      <c r="U276" s="44"/>
      <c r="V276" s="15">
        <f t="shared" si="23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4"/>
        <v>0</v>
      </c>
      <c r="AF276" s="15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5"/>
        <v>0</v>
      </c>
      <c r="BA276" s="15"/>
      <c r="BB276" s="44"/>
      <c r="BC276" s="15"/>
      <c r="BD276" s="44"/>
      <c r="BE276" s="15">
        <f t="shared" si="21"/>
        <v>0</v>
      </c>
    </row>
    <row r="277" spans="1:57">
      <c r="A277" s="9"/>
      <c r="B277" s="16" t="s">
        <v>120</v>
      </c>
      <c r="C277" s="89" t="s">
        <v>140</v>
      </c>
      <c r="D277" s="78" t="s">
        <v>435</v>
      </c>
      <c r="E277" s="13"/>
      <c r="F277" s="96"/>
      <c r="G277" s="9"/>
      <c r="H277" s="9" t="s">
        <v>67</v>
      </c>
      <c r="I277" s="14"/>
      <c r="J277" s="14"/>
      <c r="K277" s="12">
        <v>87</v>
      </c>
      <c r="L277" s="9"/>
      <c r="M277" s="9"/>
      <c r="N277" s="9"/>
      <c r="O277" s="38">
        <f t="shared" si="22"/>
        <v>87</v>
      </c>
      <c r="P277" s="12"/>
      <c r="Q277" s="42"/>
      <c r="R277" s="15"/>
      <c r="S277" s="44"/>
      <c r="T277" s="15"/>
      <c r="U277" s="44"/>
      <c r="V277" s="15">
        <f t="shared" si="23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4"/>
        <v>0</v>
      </c>
      <c r="AF277" s="15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5"/>
        <v>0</v>
      </c>
      <c r="BA277" s="15"/>
      <c r="BB277" s="44"/>
      <c r="BC277" s="15"/>
      <c r="BD277" s="44"/>
      <c r="BE277" s="15">
        <f t="shared" si="21"/>
        <v>0</v>
      </c>
    </row>
    <row r="278" spans="1:57">
      <c r="A278" s="9"/>
      <c r="B278" s="16" t="s">
        <v>120</v>
      </c>
      <c r="C278" s="89" t="s">
        <v>140</v>
      </c>
      <c r="D278" s="78" t="s">
        <v>436</v>
      </c>
      <c r="E278" s="13"/>
      <c r="F278" s="96"/>
      <c r="G278" s="9"/>
      <c r="H278" s="9" t="s">
        <v>67</v>
      </c>
      <c r="I278" s="14"/>
      <c r="J278" s="14"/>
      <c r="K278" s="12">
        <v>90</v>
      </c>
      <c r="L278" s="9"/>
      <c r="M278" s="9"/>
      <c r="N278" s="9"/>
      <c r="O278" s="38">
        <f t="shared" si="22"/>
        <v>90</v>
      </c>
      <c r="P278" s="12"/>
      <c r="Q278" s="42"/>
      <c r="R278" s="15"/>
      <c r="S278" s="44"/>
      <c r="T278" s="15"/>
      <c r="U278" s="44"/>
      <c r="V278" s="15">
        <f t="shared" si="23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4"/>
        <v>0</v>
      </c>
      <c r="AF278" s="15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5"/>
        <v>0</v>
      </c>
      <c r="BA278" s="15"/>
      <c r="BB278" s="44"/>
      <c r="BC278" s="15"/>
      <c r="BD278" s="44"/>
      <c r="BE278" s="15">
        <f t="shared" si="21"/>
        <v>0</v>
      </c>
    </row>
    <row r="279" spans="1:57">
      <c r="A279" s="9"/>
      <c r="B279" s="16" t="s">
        <v>120</v>
      </c>
      <c r="C279" s="89" t="s">
        <v>140</v>
      </c>
      <c r="D279" s="78" t="s">
        <v>437</v>
      </c>
      <c r="E279" s="13"/>
      <c r="F279" s="96"/>
      <c r="G279" s="9"/>
      <c r="H279" s="9" t="s">
        <v>67</v>
      </c>
      <c r="I279" s="14"/>
      <c r="J279" s="14"/>
      <c r="K279" s="12">
        <v>72</v>
      </c>
      <c r="L279" s="9"/>
      <c r="M279" s="9"/>
      <c r="N279" s="9"/>
      <c r="O279" s="38">
        <f t="shared" si="22"/>
        <v>72</v>
      </c>
      <c r="P279" s="12"/>
      <c r="Q279" s="42"/>
      <c r="R279" s="15"/>
      <c r="S279" s="44"/>
      <c r="T279" s="15"/>
      <c r="U279" s="44"/>
      <c r="V279" s="15">
        <f t="shared" si="23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4"/>
        <v>0</v>
      </c>
      <c r="AF279" s="15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5"/>
        <v>0</v>
      </c>
      <c r="BA279" s="15"/>
      <c r="BB279" s="44"/>
      <c r="BC279" s="15"/>
      <c r="BD279" s="44"/>
      <c r="BE279" s="15">
        <f t="shared" si="21"/>
        <v>0</v>
      </c>
    </row>
    <row r="280" spans="1:57">
      <c r="A280" s="9"/>
      <c r="B280" s="16" t="s">
        <v>120</v>
      </c>
      <c r="C280" s="89" t="s">
        <v>140</v>
      </c>
      <c r="D280" s="78" t="s">
        <v>438</v>
      </c>
      <c r="E280" s="13"/>
      <c r="F280" s="96"/>
      <c r="G280" s="9"/>
      <c r="H280" s="9" t="s">
        <v>67</v>
      </c>
      <c r="I280" s="14"/>
      <c r="J280" s="14"/>
      <c r="K280" s="12">
        <v>38</v>
      </c>
      <c r="L280" s="9"/>
      <c r="M280" s="9"/>
      <c r="N280" s="9"/>
      <c r="O280" s="38">
        <f t="shared" si="22"/>
        <v>38</v>
      </c>
      <c r="P280" s="12"/>
      <c r="Q280" s="42"/>
      <c r="R280" s="15"/>
      <c r="S280" s="44"/>
      <c r="T280" s="15"/>
      <c r="U280" s="44"/>
      <c r="V280" s="15">
        <f t="shared" si="23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4"/>
        <v>0</v>
      </c>
      <c r="AF280" s="15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5"/>
        <v>0</v>
      </c>
      <c r="BA280" s="15"/>
      <c r="BB280" s="44"/>
      <c r="BC280" s="15"/>
      <c r="BD280" s="44"/>
      <c r="BE280" s="15">
        <f t="shared" si="21"/>
        <v>0</v>
      </c>
    </row>
    <row r="281" spans="1:57">
      <c r="A281" s="9"/>
      <c r="B281" s="16" t="s">
        <v>120</v>
      </c>
      <c r="C281" s="89" t="s">
        <v>140</v>
      </c>
      <c r="D281" s="78" t="s">
        <v>439</v>
      </c>
      <c r="E281" s="13"/>
      <c r="F281" s="96"/>
      <c r="G281" s="9"/>
      <c r="H281" s="9" t="s">
        <v>67</v>
      </c>
      <c r="I281" s="14"/>
      <c r="J281" s="14"/>
      <c r="K281" s="12">
        <v>146</v>
      </c>
      <c r="L281" s="9"/>
      <c r="M281" s="9"/>
      <c r="N281" s="9"/>
      <c r="O281" s="38">
        <f t="shared" si="22"/>
        <v>146</v>
      </c>
      <c r="P281" s="12"/>
      <c r="Q281" s="42"/>
      <c r="R281" s="15"/>
      <c r="S281" s="44"/>
      <c r="T281" s="15"/>
      <c r="U281" s="44"/>
      <c r="V281" s="15">
        <f t="shared" si="23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4"/>
        <v>0</v>
      </c>
      <c r="AF281" s="15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5"/>
        <v>0</v>
      </c>
      <c r="BA281" s="15"/>
      <c r="BB281" s="44"/>
      <c r="BC281" s="15"/>
      <c r="BD281" s="44"/>
      <c r="BE281" s="15">
        <f t="shared" si="21"/>
        <v>0</v>
      </c>
    </row>
    <row r="282" spans="1:57">
      <c r="A282" s="9"/>
      <c r="B282" s="16" t="s">
        <v>120</v>
      </c>
      <c r="C282" s="89" t="s">
        <v>140</v>
      </c>
      <c r="D282" s="78" t="s">
        <v>440</v>
      </c>
      <c r="E282" s="13"/>
      <c r="F282" s="96"/>
      <c r="G282" s="9"/>
      <c r="H282" s="9" t="s">
        <v>67</v>
      </c>
      <c r="I282" s="14"/>
      <c r="J282" s="14"/>
      <c r="K282" s="12">
        <v>512</v>
      </c>
      <c r="L282" s="9"/>
      <c r="M282" s="9"/>
      <c r="N282" s="9"/>
      <c r="O282" s="38">
        <f t="shared" si="22"/>
        <v>512</v>
      </c>
      <c r="P282" s="12"/>
      <c r="Q282" s="42"/>
      <c r="R282" s="15"/>
      <c r="S282" s="44"/>
      <c r="T282" s="15"/>
      <c r="U282" s="44"/>
      <c r="V282" s="15">
        <f t="shared" si="23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4"/>
        <v>0</v>
      </c>
      <c r="AF282" s="15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5"/>
        <v>0</v>
      </c>
      <c r="BA282" s="15"/>
      <c r="BB282" s="44"/>
      <c r="BC282" s="15"/>
      <c r="BD282" s="44"/>
      <c r="BE282" s="15">
        <f t="shared" si="21"/>
        <v>0</v>
      </c>
    </row>
    <row r="283" spans="1:57">
      <c r="A283" s="9"/>
      <c r="B283" s="16" t="s">
        <v>204</v>
      </c>
      <c r="C283" s="89" t="s">
        <v>140</v>
      </c>
      <c r="D283" s="79" t="s">
        <v>441</v>
      </c>
      <c r="E283" s="13" t="s">
        <v>206</v>
      </c>
      <c r="F283" s="96"/>
      <c r="G283" s="9"/>
      <c r="H283" s="9" t="s">
        <v>207</v>
      </c>
      <c r="I283" s="14"/>
      <c r="J283" s="14"/>
      <c r="K283" s="12">
        <v>101</v>
      </c>
      <c r="L283" s="9"/>
      <c r="M283" s="9"/>
      <c r="N283" s="9"/>
      <c r="O283" s="38">
        <f t="shared" si="22"/>
        <v>101</v>
      </c>
      <c r="P283" s="12"/>
      <c r="Q283" s="42"/>
      <c r="R283" s="15"/>
      <c r="S283" s="44"/>
      <c r="T283" s="15"/>
      <c r="U283" s="44"/>
      <c r="V283" s="15">
        <f t="shared" si="23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4"/>
        <v>0</v>
      </c>
      <c r="AF283" s="15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5"/>
        <v>0</v>
      </c>
      <c r="BA283" s="15"/>
      <c r="BB283" s="44"/>
      <c r="BC283" s="15"/>
      <c r="BD283" s="44"/>
      <c r="BE283" s="15">
        <f t="shared" si="21"/>
        <v>0</v>
      </c>
    </row>
    <row r="284" spans="1:57">
      <c r="A284" s="9"/>
      <c r="B284" s="16" t="s">
        <v>204</v>
      </c>
      <c r="C284" s="89" t="s">
        <v>140</v>
      </c>
      <c r="D284" s="79" t="s">
        <v>442</v>
      </c>
      <c r="E284" s="13" t="s">
        <v>206</v>
      </c>
      <c r="F284" s="96"/>
      <c r="G284" s="9"/>
      <c r="H284" s="9" t="s">
        <v>207</v>
      </c>
      <c r="I284" s="14"/>
      <c r="J284" s="14"/>
      <c r="K284" s="12">
        <v>101</v>
      </c>
      <c r="L284" s="9"/>
      <c r="M284" s="9"/>
      <c r="N284" s="9"/>
      <c r="O284" s="38">
        <f t="shared" si="22"/>
        <v>101</v>
      </c>
      <c r="P284" s="12"/>
      <c r="Q284" s="42"/>
      <c r="R284" s="15"/>
      <c r="S284" s="44"/>
      <c r="T284" s="15"/>
      <c r="U284" s="44"/>
      <c r="V284" s="15">
        <f t="shared" si="23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4"/>
        <v>0</v>
      </c>
      <c r="AF284" s="15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5"/>
        <v>0</v>
      </c>
      <c r="BA284" s="15"/>
      <c r="BB284" s="44"/>
      <c r="BC284" s="15"/>
      <c r="BD284" s="44"/>
      <c r="BE284" s="15">
        <f t="shared" si="21"/>
        <v>0</v>
      </c>
    </row>
    <row r="285" spans="1:57">
      <c r="A285" s="9"/>
      <c r="B285" s="16" t="s">
        <v>204</v>
      </c>
      <c r="C285" s="89" t="s">
        <v>140</v>
      </c>
      <c r="D285" s="79" t="s">
        <v>205</v>
      </c>
      <c r="E285" s="13" t="s">
        <v>206</v>
      </c>
      <c r="F285" s="96"/>
      <c r="G285" s="9"/>
      <c r="H285" s="9" t="s">
        <v>207</v>
      </c>
      <c r="I285" s="14"/>
      <c r="J285" s="14"/>
      <c r="K285" s="12">
        <v>2058</v>
      </c>
      <c r="L285" s="9"/>
      <c r="M285" s="9"/>
      <c r="N285" s="9"/>
      <c r="O285" s="38">
        <f t="shared" si="22"/>
        <v>1918</v>
      </c>
      <c r="P285" s="12"/>
      <c r="Q285" s="42"/>
      <c r="R285" s="15"/>
      <c r="S285" s="44"/>
      <c r="T285" s="15"/>
      <c r="U285" s="44"/>
      <c r="V285" s="15">
        <f t="shared" si="23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4"/>
        <v>0</v>
      </c>
      <c r="AF285" s="15">
        <v>140</v>
      </c>
      <c r="AG285" s="42">
        <v>46093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5"/>
        <v>140</v>
      </c>
      <c r="BA285" s="15"/>
      <c r="BB285" s="44"/>
      <c r="BC285" s="15"/>
      <c r="BD285" s="44"/>
      <c r="BE285" s="15">
        <f t="shared" si="21"/>
        <v>0</v>
      </c>
    </row>
    <row r="286" spans="1:57">
      <c r="A286" s="9"/>
      <c r="B286" s="16" t="s">
        <v>204</v>
      </c>
      <c r="C286" s="89" t="s">
        <v>140</v>
      </c>
      <c r="D286" s="79" t="s">
        <v>443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0</v>
      </c>
      <c r="L286" s="9"/>
      <c r="M286" s="9"/>
      <c r="N286" s="9"/>
      <c r="O286" s="38">
        <f t="shared" si="22"/>
        <v>0</v>
      </c>
      <c r="P286" s="12"/>
      <c r="Q286" s="42"/>
      <c r="R286" s="15"/>
      <c r="S286" s="44"/>
      <c r="T286" s="15"/>
      <c r="U286" s="44"/>
      <c r="V286" s="15">
        <f t="shared" si="23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4"/>
        <v>0</v>
      </c>
      <c r="AF286" s="15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5"/>
        <v>0</v>
      </c>
      <c r="BA286" s="15"/>
      <c r="BB286" s="44"/>
      <c r="BC286" s="15"/>
      <c r="BD286" s="44"/>
      <c r="BE286" s="15">
        <f t="shared" si="21"/>
        <v>0</v>
      </c>
    </row>
    <row r="287" spans="1:57">
      <c r="A287" s="9"/>
      <c r="B287" s="16" t="s">
        <v>204</v>
      </c>
      <c r="C287" s="89" t="s">
        <v>140</v>
      </c>
      <c r="D287" s="79" t="s">
        <v>444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0</v>
      </c>
      <c r="L287" s="9"/>
      <c r="M287" s="9"/>
      <c r="N287" s="9"/>
      <c r="O287" s="38">
        <f t="shared" si="22"/>
        <v>0</v>
      </c>
      <c r="P287" s="12"/>
      <c r="Q287" s="42"/>
      <c r="R287" s="15"/>
      <c r="S287" s="44"/>
      <c r="T287" s="15"/>
      <c r="U287" s="44"/>
      <c r="V287" s="15">
        <f t="shared" si="23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4"/>
        <v>0</v>
      </c>
      <c r="AF287" s="15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5"/>
        <v>0</v>
      </c>
      <c r="BA287" s="15"/>
      <c r="BB287" s="44"/>
      <c r="BC287" s="15"/>
      <c r="BD287" s="44"/>
      <c r="BE287" s="15">
        <f t="shared" ref="BE287:BE350" si="26">(BA287+BC287)</f>
        <v>0</v>
      </c>
    </row>
    <row r="288" spans="1:57">
      <c r="A288" s="9"/>
      <c r="B288" s="16" t="s">
        <v>204</v>
      </c>
      <c r="C288" s="89" t="s">
        <v>140</v>
      </c>
      <c r="D288" s="79" t="s">
        <v>213</v>
      </c>
      <c r="E288" s="13" t="s">
        <v>215</v>
      </c>
      <c r="F288" s="96"/>
      <c r="G288" s="9"/>
      <c r="H288" s="9" t="s">
        <v>207</v>
      </c>
      <c r="I288" s="14"/>
      <c r="J288" s="14"/>
      <c r="K288" s="12">
        <v>56</v>
      </c>
      <c r="L288" s="9"/>
      <c r="M288" s="9"/>
      <c r="N288" s="9"/>
      <c r="O288" s="38">
        <f t="shared" si="22"/>
        <v>56</v>
      </c>
      <c r="P288" s="12"/>
      <c r="Q288" s="42"/>
      <c r="R288" s="15"/>
      <c r="S288" s="44"/>
      <c r="T288" s="15"/>
      <c r="U288" s="44"/>
      <c r="V288" s="15">
        <f t="shared" si="23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4"/>
        <v>0</v>
      </c>
      <c r="AF288" s="15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5"/>
        <v>0</v>
      </c>
      <c r="BA288" s="15"/>
      <c r="BB288" s="44"/>
      <c r="BC288" s="15"/>
      <c r="BD288" s="44"/>
      <c r="BE288" s="15">
        <f t="shared" si="26"/>
        <v>0</v>
      </c>
    </row>
    <row r="289" spans="1:57">
      <c r="A289" s="9"/>
      <c r="B289" s="16" t="s">
        <v>204</v>
      </c>
      <c r="C289" s="89" t="s">
        <v>140</v>
      </c>
      <c r="D289" s="79" t="s">
        <v>445</v>
      </c>
      <c r="E289" s="13" t="s">
        <v>215</v>
      </c>
      <c r="F289" s="96"/>
      <c r="G289" s="9"/>
      <c r="H289" s="9" t="s">
        <v>207</v>
      </c>
      <c r="I289" s="14"/>
      <c r="J289" s="14"/>
      <c r="K289" s="12">
        <v>32</v>
      </c>
      <c r="L289" s="9"/>
      <c r="M289" s="9"/>
      <c r="N289" s="9"/>
      <c r="O289" s="38">
        <f t="shared" si="22"/>
        <v>32</v>
      </c>
      <c r="P289" s="12"/>
      <c r="Q289" s="42"/>
      <c r="R289" s="15"/>
      <c r="S289" s="44"/>
      <c r="T289" s="15"/>
      <c r="U289" s="44"/>
      <c r="V289" s="15">
        <f t="shared" si="23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4"/>
        <v>0</v>
      </c>
      <c r="AF289" s="15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5"/>
        <v>0</v>
      </c>
      <c r="BA289" s="15"/>
      <c r="BB289" s="44"/>
      <c r="BC289" s="15"/>
      <c r="BD289" s="44"/>
      <c r="BE289" s="15">
        <f t="shared" si="26"/>
        <v>0</v>
      </c>
    </row>
    <row r="290" spans="1:57">
      <c r="A290" s="9"/>
      <c r="B290" s="16" t="s">
        <v>204</v>
      </c>
      <c r="C290" s="89" t="s">
        <v>140</v>
      </c>
      <c r="D290" s="79" t="s">
        <v>446</v>
      </c>
      <c r="E290" s="13" t="s">
        <v>237</v>
      </c>
      <c r="F290" s="96"/>
      <c r="G290" s="9"/>
      <c r="H290" s="9" t="s">
        <v>207</v>
      </c>
      <c r="I290" s="14"/>
      <c r="J290" s="14"/>
      <c r="K290" s="12">
        <v>2263</v>
      </c>
      <c r="L290" s="9"/>
      <c r="M290" s="9"/>
      <c r="N290" s="9"/>
      <c r="O290" s="38">
        <f t="shared" si="22"/>
        <v>2193</v>
      </c>
      <c r="P290" s="12"/>
      <c r="Q290" s="42"/>
      <c r="R290" s="15"/>
      <c r="S290" s="44"/>
      <c r="T290" s="15"/>
      <c r="U290" s="44"/>
      <c r="V290" s="15">
        <f t="shared" si="23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4"/>
        <v>0</v>
      </c>
      <c r="AF290" s="15">
        <v>70</v>
      </c>
      <c r="AG290" s="42">
        <v>46093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5"/>
        <v>70</v>
      </c>
      <c r="BA290" s="15"/>
      <c r="BB290" s="44"/>
      <c r="BC290" s="15"/>
      <c r="BD290" s="44"/>
      <c r="BE290" s="15">
        <f t="shared" si="26"/>
        <v>0</v>
      </c>
    </row>
    <row r="291" spans="1:57">
      <c r="A291" s="9"/>
      <c r="B291" s="16" t="s">
        <v>204</v>
      </c>
      <c r="C291" s="89" t="s">
        <v>140</v>
      </c>
      <c r="D291" s="79" t="s">
        <v>447</v>
      </c>
      <c r="E291" s="13" t="s">
        <v>237</v>
      </c>
      <c r="F291" s="96"/>
      <c r="G291" s="9"/>
      <c r="H291" s="9" t="s">
        <v>207</v>
      </c>
      <c r="I291" s="14"/>
      <c r="J291" s="14"/>
      <c r="K291" s="12">
        <v>3652</v>
      </c>
      <c r="L291" s="9"/>
      <c r="M291" s="9"/>
      <c r="N291" s="9"/>
      <c r="O291" s="38">
        <f t="shared" si="22"/>
        <v>3582</v>
      </c>
      <c r="P291" s="12"/>
      <c r="Q291" s="42"/>
      <c r="R291" s="15"/>
      <c r="S291" s="44"/>
      <c r="T291" s="15"/>
      <c r="U291" s="44"/>
      <c r="V291" s="15">
        <f t="shared" si="23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4"/>
        <v>0</v>
      </c>
      <c r="AF291" s="15">
        <v>70</v>
      </c>
      <c r="AG291" s="42">
        <v>46093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5"/>
        <v>70</v>
      </c>
      <c r="BA291" s="15"/>
      <c r="BB291" s="44"/>
      <c r="BC291" s="15"/>
      <c r="BD291" s="44"/>
      <c r="BE291" s="15">
        <f t="shared" si="26"/>
        <v>0</v>
      </c>
    </row>
    <row r="292" spans="1:57">
      <c r="A292" s="9"/>
      <c r="B292" s="16" t="s">
        <v>204</v>
      </c>
      <c r="C292" s="89" t="s">
        <v>140</v>
      </c>
      <c r="D292" s="61" t="s">
        <v>448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185</v>
      </c>
      <c r="L292" s="9"/>
      <c r="M292" s="9"/>
      <c r="N292" s="9"/>
      <c r="O292" s="38">
        <f t="shared" si="22"/>
        <v>115</v>
      </c>
      <c r="P292" s="12"/>
      <c r="Q292" s="42"/>
      <c r="R292" s="15"/>
      <c r="S292" s="44"/>
      <c r="T292" s="15"/>
      <c r="U292" s="44"/>
      <c r="V292" s="15">
        <f t="shared" si="23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4"/>
        <v>0</v>
      </c>
      <c r="AF292" s="15">
        <v>70</v>
      </c>
      <c r="AG292" s="42">
        <v>46093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5"/>
        <v>70</v>
      </c>
      <c r="BA292" s="15"/>
      <c r="BB292" s="44"/>
      <c r="BC292" s="15"/>
      <c r="BD292" s="44"/>
      <c r="BE292" s="15">
        <f t="shared" si="26"/>
        <v>0</v>
      </c>
    </row>
    <row r="293" spans="1:57">
      <c r="A293" s="9"/>
      <c r="B293" s="16" t="s">
        <v>204</v>
      </c>
      <c r="C293" s="89" t="s">
        <v>140</v>
      </c>
      <c r="D293" s="61" t="s">
        <v>449</v>
      </c>
      <c r="E293" s="13" t="s">
        <v>206</v>
      </c>
      <c r="F293" s="96"/>
      <c r="G293" s="9"/>
      <c r="H293" s="9" t="s">
        <v>207</v>
      </c>
      <c r="I293" s="14"/>
      <c r="J293" s="14"/>
      <c r="K293" s="12">
        <v>4840</v>
      </c>
      <c r="L293" s="9"/>
      <c r="M293" s="9"/>
      <c r="N293" s="9"/>
      <c r="O293" s="38">
        <f t="shared" si="22"/>
        <v>4840</v>
      </c>
      <c r="P293" s="12"/>
      <c r="Q293" s="42"/>
      <c r="R293" s="15"/>
      <c r="S293" s="44"/>
      <c r="T293" s="15"/>
      <c r="U293" s="44"/>
      <c r="V293" s="15">
        <f t="shared" si="23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4"/>
        <v>0</v>
      </c>
      <c r="AF293" s="15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si="25"/>
        <v>0</v>
      </c>
      <c r="BA293" s="15"/>
      <c r="BB293" s="44"/>
      <c r="BC293" s="15"/>
      <c r="BD293" s="44"/>
      <c r="BE293" s="15">
        <f t="shared" si="26"/>
        <v>0</v>
      </c>
    </row>
    <row r="294" spans="1:57">
      <c r="A294" s="9"/>
      <c r="B294" s="16" t="s">
        <v>204</v>
      </c>
      <c r="C294" s="89" t="s">
        <v>140</v>
      </c>
      <c r="D294" s="61" t="s">
        <v>450</v>
      </c>
      <c r="E294" s="13" t="s">
        <v>206</v>
      </c>
      <c r="F294" s="96"/>
      <c r="G294" s="9"/>
      <c r="H294" s="9" t="s">
        <v>207</v>
      </c>
      <c r="I294" s="14"/>
      <c r="J294" s="14"/>
      <c r="K294" s="12">
        <v>225</v>
      </c>
      <c r="L294" s="9"/>
      <c r="M294" s="9"/>
      <c r="N294" s="9"/>
      <c r="O294" s="38">
        <f t="shared" si="22"/>
        <v>225</v>
      </c>
      <c r="P294" s="12"/>
      <c r="Q294" s="42"/>
      <c r="R294" s="15"/>
      <c r="S294" s="44"/>
      <c r="T294" s="15"/>
      <c r="U294" s="44"/>
      <c r="V294" s="15">
        <f t="shared" si="23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4"/>
        <v>0</v>
      </c>
      <c r="AF294" s="15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5"/>
        <v>0</v>
      </c>
      <c r="BA294" s="15"/>
      <c r="BB294" s="44"/>
      <c r="BC294" s="15"/>
      <c r="BD294" s="44"/>
      <c r="BE294" s="15">
        <f t="shared" si="26"/>
        <v>0</v>
      </c>
    </row>
    <row r="295" spans="1:57">
      <c r="A295" s="9"/>
      <c r="B295" s="16" t="s">
        <v>204</v>
      </c>
      <c r="C295" s="89" t="s">
        <v>140</v>
      </c>
      <c r="D295" s="79" t="s">
        <v>216</v>
      </c>
      <c r="E295" s="13" t="s">
        <v>217</v>
      </c>
      <c r="F295" s="96"/>
      <c r="G295" s="9"/>
      <c r="H295" s="9" t="s">
        <v>207</v>
      </c>
      <c r="I295" s="14"/>
      <c r="J295" s="14"/>
      <c r="K295" s="12">
        <v>93</v>
      </c>
      <c r="L295" s="9"/>
      <c r="M295" s="9"/>
      <c r="N295" s="9"/>
      <c r="O295" s="38">
        <f t="shared" si="22"/>
        <v>93</v>
      </c>
      <c r="P295" s="12"/>
      <c r="Q295" s="42"/>
      <c r="R295" s="15"/>
      <c r="S295" s="44"/>
      <c r="T295" s="15"/>
      <c r="U295" s="44"/>
      <c r="V295" s="15">
        <f t="shared" si="23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4"/>
        <v>0</v>
      </c>
      <c r="AF295" s="15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5"/>
        <v>0</v>
      </c>
      <c r="BA295" s="15"/>
      <c r="BB295" s="44"/>
      <c r="BC295" s="15"/>
      <c r="BD295" s="44"/>
      <c r="BE295" s="15">
        <f t="shared" si="26"/>
        <v>0</v>
      </c>
    </row>
    <row r="296" spans="1:57">
      <c r="A296" s="9"/>
      <c r="B296" s="16" t="s">
        <v>204</v>
      </c>
      <c r="C296" s="89" t="s">
        <v>140</v>
      </c>
      <c r="D296" s="61" t="s">
        <v>451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3331</v>
      </c>
      <c r="L296" s="9"/>
      <c r="M296" s="9"/>
      <c r="N296" s="9"/>
      <c r="O296" s="38">
        <f t="shared" si="22"/>
        <v>3331</v>
      </c>
      <c r="P296" s="12"/>
      <c r="Q296" s="42"/>
      <c r="R296" s="15"/>
      <c r="S296" s="44"/>
      <c r="T296" s="15"/>
      <c r="U296" s="44"/>
      <c r="V296" s="15">
        <f t="shared" si="23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4"/>
        <v>0</v>
      </c>
      <c r="AF296" s="15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5"/>
        <v>0</v>
      </c>
      <c r="BA296" s="15"/>
      <c r="BB296" s="44"/>
      <c r="BC296" s="15"/>
      <c r="BD296" s="44"/>
      <c r="BE296" s="15">
        <f t="shared" si="26"/>
        <v>0</v>
      </c>
    </row>
    <row r="297" spans="1:57">
      <c r="A297" s="9"/>
      <c r="B297" s="16" t="s">
        <v>204</v>
      </c>
      <c r="C297" s="89" t="s">
        <v>140</v>
      </c>
      <c r="D297" s="79" t="s">
        <v>452</v>
      </c>
      <c r="E297" s="13" t="s">
        <v>217</v>
      </c>
      <c r="F297" s="96"/>
      <c r="G297" s="9"/>
      <c r="H297" s="9" t="s">
        <v>207</v>
      </c>
      <c r="I297" s="14"/>
      <c r="J297" s="14"/>
      <c r="K297" s="12">
        <v>6</v>
      </c>
      <c r="L297" s="9"/>
      <c r="M297" s="9"/>
      <c r="N297" s="9"/>
      <c r="O297" s="38">
        <f t="shared" si="22"/>
        <v>6</v>
      </c>
      <c r="P297" s="12"/>
      <c r="Q297" s="42"/>
      <c r="R297" s="15"/>
      <c r="S297" s="44"/>
      <c r="T297" s="15"/>
      <c r="U297" s="44"/>
      <c r="V297" s="15">
        <f t="shared" si="23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4"/>
        <v>0</v>
      </c>
      <c r="AF297" s="15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5"/>
        <v>0</v>
      </c>
      <c r="BA297" s="15"/>
      <c r="BB297" s="44"/>
      <c r="BC297" s="15"/>
      <c r="BD297" s="44"/>
      <c r="BE297" s="15">
        <f t="shared" si="26"/>
        <v>0</v>
      </c>
    </row>
    <row r="298" spans="1:57">
      <c r="A298" s="9"/>
      <c r="B298" s="16" t="s">
        <v>204</v>
      </c>
      <c r="C298" s="89" t="s">
        <v>140</v>
      </c>
      <c r="D298" s="78" t="s">
        <v>453</v>
      </c>
      <c r="E298" s="13" t="s">
        <v>206</v>
      </c>
      <c r="F298" s="96"/>
      <c r="G298" s="9"/>
      <c r="H298" s="9" t="s">
        <v>207</v>
      </c>
      <c r="I298" s="14"/>
      <c r="J298" s="14"/>
      <c r="K298" s="12">
        <v>3432</v>
      </c>
      <c r="L298" s="9"/>
      <c r="M298" s="9"/>
      <c r="N298" s="9"/>
      <c r="O298" s="38">
        <f t="shared" si="22"/>
        <v>3432</v>
      </c>
      <c r="P298" s="12"/>
      <c r="Q298" s="42"/>
      <c r="R298" s="15"/>
      <c r="S298" s="44"/>
      <c r="T298" s="15"/>
      <c r="U298" s="44"/>
      <c r="V298" s="15">
        <f t="shared" si="23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4"/>
        <v>0</v>
      </c>
      <c r="AF298" s="15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5"/>
        <v>0</v>
      </c>
      <c r="BA298" s="15"/>
      <c r="BB298" s="44"/>
      <c r="BC298" s="15"/>
      <c r="BD298" s="44"/>
      <c r="BE298" s="15">
        <f t="shared" si="26"/>
        <v>0</v>
      </c>
    </row>
    <row r="299" spans="1:57">
      <c r="A299" s="9"/>
      <c r="B299" s="16" t="s">
        <v>204</v>
      </c>
      <c r="C299" s="89" t="s">
        <v>140</v>
      </c>
      <c r="D299" s="78" t="s">
        <v>454</v>
      </c>
      <c r="E299" s="13" t="s">
        <v>217</v>
      </c>
      <c r="F299" s="96"/>
      <c r="G299" s="9"/>
      <c r="H299" s="9" t="s">
        <v>207</v>
      </c>
      <c r="I299" s="14"/>
      <c r="J299" s="14"/>
      <c r="K299" s="12">
        <v>35</v>
      </c>
      <c r="L299" s="9"/>
      <c r="M299" s="9"/>
      <c r="N299" s="9"/>
      <c r="O299" s="38">
        <f t="shared" si="22"/>
        <v>35</v>
      </c>
      <c r="P299" s="12"/>
      <c r="Q299" s="42"/>
      <c r="R299" s="15"/>
      <c r="S299" s="44"/>
      <c r="T299" s="15"/>
      <c r="U299" s="44"/>
      <c r="V299" s="15">
        <f t="shared" si="23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4"/>
        <v>0</v>
      </c>
      <c r="AF299" s="15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5"/>
        <v>0</v>
      </c>
      <c r="BA299" s="15"/>
      <c r="BB299" s="44"/>
      <c r="BC299" s="15"/>
      <c r="BD299" s="44"/>
      <c r="BE299" s="15">
        <f t="shared" si="26"/>
        <v>0</v>
      </c>
    </row>
    <row r="300" spans="1:57">
      <c r="A300" s="9"/>
      <c r="B300" s="16" t="s">
        <v>204</v>
      </c>
      <c r="C300" s="89" t="s">
        <v>140</v>
      </c>
      <c r="D300" s="78" t="s">
        <v>455</v>
      </c>
      <c r="E300" s="13" t="s">
        <v>206</v>
      </c>
      <c r="F300" s="96"/>
      <c r="G300" s="9"/>
      <c r="H300" s="9" t="s">
        <v>207</v>
      </c>
      <c r="I300" s="14"/>
      <c r="J300" s="14"/>
      <c r="K300" s="12">
        <v>2756</v>
      </c>
      <c r="L300" s="9"/>
      <c r="M300" s="9"/>
      <c r="N300" s="9"/>
      <c r="O300" s="38">
        <f t="shared" si="22"/>
        <v>2756</v>
      </c>
      <c r="P300" s="12"/>
      <c r="Q300" s="42"/>
      <c r="R300" s="15"/>
      <c r="S300" s="44"/>
      <c r="T300" s="15"/>
      <c r="U300" s="44"/>
      <c r="V300" s="15">
        <f t="shared" si="23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4"/>
        <v>0</v>
      </c>
      <c r="AF300" s="15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5"/>
        <v>0</v>
      </c>
      <c r="BA300" s="15"/>
      <c r="BB300" s="44"/>
      <c r="BC300" s="15"/>
      <c r="BD300" s="44"/>
      <c r="BE300" s="15">
        <f t="shared" si="26"/>
        <v>0</v>
      </c>
    </row>
    <row r="301" spans="1:57">
      <c r="A301" s="9"/>
      <c r="B301" s="16" t="s">
        <v>204</v>
      </c>
      <c r="C301" s="89" t="s">
        <v>140</v>
      </c>
      <c r="D301" s="78" t="s">
        <v>456</v>
      </c>
      <c r="E301" s="13" t="s">
        <v>217</v>
      </c>
      <c r="F301" s="96"/>
      <c r="G301" s="9"/>
      <c r="H301" s="9" t="s">
        <v>207</v>
      </c>
      <c r="I301" s="14"/>
      <c r="J301" s="14"/>
      <c r="K301" s="12">
        <v>74</v>
      </c>
      <c r="L301" s="9"/>
      <c r="M301" s="9"/>
      <c r="N301" s="9"/>
      <c r="O301" s="38">
        <f t="shared" si="22"/>
        <v>74</v>
      </c>
      <c r="P301" s="12"/>
      <c r="Q301" s="42"/>
      <c r="R301" s="15"/>
      <c r="S301" s="44"/>
      <c r="T301" s="15"/>
      <c r="U301" s="44"/>
      <c r="V301" s="15">
        <f t="shared" si="23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4"/>
        <v>0</v>
      </c>
      <c r="AF301" s="15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5"/>
        <v>0</v>
      </c>
      <c r="BA301" s="15"/>
      <c r="BB301" s="44"/>
      <c r="BC301" s="15"/>
      <c r="BD301" s="44"/>
      <c r="BE301" s="15">
        <f t="shared" si="26"/>
        <v>0</v>
      </c>
    </row>
    <row r="302" spans="1:57">
      <c r="A302" s="9"/>
      <c r="B302" s="16" t="s">
        <v>204</v>
      </c>
      <c r="C302" s="89" t="s">
        <v>140</v>
      </c>
      <c r="D302" s="78" t="s">
        <v>457</v>
      </c>
      <c r="E302" s="13" t="s">
        <v>458</v>
      </c>
      <c r="F302" s="96"/>
      <c r="G302" s="9"/>
      <c r="H302" s="9" t="s">
        <v>207</v>
      </c>
      <c r="I302" s="14"/>
      <c r="J302" s="14"/>
      <c r="K302" s="12">
        <v>78</v>
      </c>
      <c r="L302" s="9"/>
      <c r="M302" s="9"/>
      <c r="N302" s="9"/>
      <c r="O302" s="38">
        <f t="shared" si="22"/>
        <v>78</v>
      </c>
      <c r="P302" s="12"/>
      <c r="Q302" s="42"/>
      <c r="R302" s="15"/>
      <c r="S302" s="44"/>
      <c r="T302" s="15"/>
      <c r="U302" s="44"/>
      <c r="V302" s="15">
        <f t="shared" si="23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4"/>
        <v>0</v>
      </c>
      <c r="AF302" s="15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5"/>
        <v>0</v>
      </c>
      <c r="BA302" s="15"/>
      <c r="BB302" s="44"/>
      <c r="BC302" s="15"/>
      <c r="BD302" s="44"/>
      <c r="BE302" s="15">
        <f t="shared" si="26"/>
        <v>0</v>
      </c>
    </row>
    <row r="303" spans="1:57">
      <c r="A303" s="9"/>
      <c r="B303" s="16" t="s">
        <v>204</v>
      </c>
      <c r="C303" s="89" t="s">
        <v>140</v>
      </c>
      <c r="D303" s="78" t="s">
        <v>459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3340</v>
      </c>
      <c r="L303" s="9"/>
      <c r="M303" s="9"/>
      <c r="N303" s="9"/>
      <c r="O303" s="38">
        <f t="shared" si="22"/>
        <v>3340</v>
      </c>
      <c r="P303" s="12"/>
      <c r="Q303" s="42"/>
      <c r="R303" s="15"/>
      <c r="S303" s="44"/>
      <c r="T303" s="15"/>
      <c r="U303" s="44"/>
      <c r="V303" s="15">
        <f t="shared" si="23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4"/>
        <v>0</v>
      </c>
      <c r="AF303" s="15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5"/>
        <v>0</v>
      </c>
      <c r="BA303" s="15"/>
      <c r="BB303" s="44"/>
      <c r="BC303" s="15"/>
      <c r="BD303" s="44"/>
      <c r="BE303" s="15">
        <f t="shared" si="26"/>
        <v>0</v>
      </c>
    </row>
    <row r="304" spans="1:57">
      <c r="A304" s="9"/>
      <c r="B304" s="16" t="s">
        <v>204</v>
      </c>
      <c r="C304" s="89" t="s">
        <v>140</v>
      </c>
      <c r="D304" s="61" t="s">
        <v>460</v>
      </c>
      <c r="E304" s="13" t="s">
        <v>215</v>
      </c>
      <c r="F304" s="96"/>
      <c r="G304" s="9"/>
      <c r="H304" s="9" t="s">
        <v>207</v>
      </c>
      <c r="I304" s="14"/>
      <c r="J304" s="14"/>
      <c r="K304" s="12">
        <v>133</v>
      </c>
      <c r="L304" s="9"/>
      <c r="M304" s="9"/>
      <c r="N304" s="9"/>
      <c r="O304" s="38">
        <f t="shared" si="22"/>
        <v>133</v>
      </c>
      <c r="P304" s="12"/>
      <c r="Q304" s="42"/>
      <c r="R304" s="15"/>
      <c r="S304" s="44"/>
      <c r="T304" s="15"/>
      <c r="U304" s="44"/>
      <c r="V304" s="15">
        <f t="shared" si="23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4"/>
        <v>0</v>
      </c>
      <c r="AF304" s="15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5"/>
        <v>0</v>
      </c>
      <c r="BA304" s="15"/>
      <c r="BB304" s="44"/>
      <c r="BC304" s="15"/>
      <c r="BD304" s="44"/>
      <c r="BE304" s="15">
        <f t="shared" si="26"/>
        <v>0</v>
      </c>
    </row>
    <row r="305" spans="1:57">
      <c r="A305" s="9"/>
      <c r="B305" s="16" t="s">
        <v>204</v>
      </c>
      <c r="C305" s="89" t="s">
        <v>140</v>
      </c>
      <c r="D305" s="61" t="s">
        <v>461</v>
      </c>
      <c r="E305" s="13" t="s">
        <v>215</v>
      </c>
      <c r="F305" s="96"/>
      <c r="G305" s="9"/>
      <c r="H305" s="9" t="s">
        <v>207</v>
      </c>
      <c r="I305" s="14"/>
      <c r="J305" s="14"/>
      <c r="K305" s="12">
        <v>123</v>
      </c>
      <c r="L305" s="9"/>
      <c r="M305" s="9"/>
      <c r="N305" s="9"/>
      <c r="O305" s="38">
        <f t="shared" si="22"/>
        <v>123</v>
      </c>
      <c r="P305" s="12"/>
      <c r="Q305" s="42"/>
      <c r="R305" s="15"/>
      <c r="S305" s="44"/>
      <c r="T305" s="15"/>
      <c r="U305" s="44"/>
      <c r="V305" s="15">
        <f t="shared" si="23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4"/>
        <v>0</v>
      </c>
      <c r="AF305" s="15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5"/>
        <v>0</v>
      </c>
      <c r="BA305" s="15"/>
      <c r="BB305" s="44"/>
      <c r="BC305" s="15"/>
      <c r="BD305" s="44"/>
      <c r="BE305" s="15">
        <f t="shared" si="26"/>
        <v>0</v>
      </c>
    </row>
    <row r="306" spans="1:57">
      <c r="A306" s="9"/>
      <c r="B306" s="16" t="s">
        <v>204</v>
      </c>
      <c r="C306" s="89" t="s">
        <v>140</v>
      </c>
      <c r="D306" s="79" t="s">
        <v>221</v>
      </c>
      <c r="E306" s="13" t="s">
        <v>215</v>
      </c>
      <c r="F306" s="96"/>
      <c r="G306" s="9"/>
      <c r="H306" s="9" t="s">
        <v>207</v>
      </c>
      <c r="I306" s="14"/>
      <c r="J306" s="14"/>
      <c r="K306" s="12">
        <v>134</v>
      </c>
      <c r="L306" s="9"/>
      <c r="M306" s="9"/>
      <c r="N306" s="9"/>
      <c r="O306" s="38">
        <f t="shared" si="22"/>
        <v>134</v>
      </c>
      <c r="P306" s="12"/>
      <c r="Q306" s="42"/>
      <c r="R306" s="15"/>
      <c r="S306" s="44"/>
      <c r="T306" s="15"/>
      <c r="U306" s="44"/>
      <c r="V306" s="15">
        <f t="shared" si="23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4"/>
        <v>0</v>
      </c>
      <c r="AF306" s="15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5"/>
        <v>0</v>
      </c>
      <c r="BA306" s="15"/>
      <c r="BB306" s="44"/>
      <c r="BC306" s="15"/>
      <c r="BD306" s="44"/>
      <c r="BE306" s="15">
        <f t="shared" si="26"/>
        <v>0</v>
      </c>
    </row>
    <row r="307" spans="1:57">
      <c r="A307" s="9"/>
      <c r="B307" s="16" t="s">
        <v>204</v>
      </c>
      <c r="C307" s="89" t="s">
        <v>140</v>
      </c>
      <c r="D307" s="79" t="s">
        <v>223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113</v>
      </c>
      <c r="L307" s="9"/>
      <c r="M307" s="9"/>
      <c r="N307" s="9"/>
      <c r="O307" s="38">
        <f t="shared" si="22"/>
        <v>113</v>
      </c>
      <c r="P307" s="12"/>
      <c r="Q307" s="42"/>
      <c r="R307" s="15"/>
      <c r="S307" s="44"/>
      <c r="T307" s="15"/>
      <c r="U307" s="44"/>
      <c r="V307" s="15">
        <f t="shared" si="23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4"/>
        <v>0</v>
      </c>
      <c r="AF307" s="15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5"/>
        <v>0</v>
      </c>
      <c r="BA307" s="15"/>
      <c r="BB307" s="44"/>
      <c r="BC307" s="15"/>
      <c r="BD307" s="44"/>
      <c r="BE307" s="15">
        <f t="shared" si="26"/>
        <v>0</v>
      </c>
    </row>
    <row r="308" spans="1:57">
      <c r="A308" s="9"/>
      <c r="B308" s="16" t="s">
        <v>155</v>
      </c>
      <c r="C308" s="89" t="s">
        <v>140</v>
      </c>
      <c r="D308" s="80" t="s">
        <v>462</v>
      </c>
      <c r="E308" s="13"/>
      <c r="F308" s="96"/>
      <c r="G308" s="9"/>
      <c r="H308" s="9" t="s">
        <v>314</v>
      </c>
      <c r="I308" s="14"/>
      <c r="J308" s="14"/>
      <c r="K308" s="12">
        <v>59</v>
      </c>
      <c r="L308" s="9"/>
      <c r="M308" s="9"/>
      <c r="N308" s="9"/>
      <c r="O308" s="38">
        <f t="shared" si="22"/>
        <v>59</v>
      </c>
      <c r="P308" s="12"/>
      <c r="Q308" s="42"/>
      <c r="R308" s="15"/>
      <c r="S308" s="44"/>
      <c r="T308" s="15"/>
      <c r="U308" s="44"/>
      <c r="V308" s="15">
        <f t="shared" si="23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4"/>
        <v>0</v>
      </c>
      <c r="AF308" s="15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5"/>
        <v>0</v>
      </c>
      <c r="BA308" s="15"/>
      <c r="BB308" s="44"/>
      <c r="BC308" s="15"/>
      <c r="BD308" s="44"/>
      <c r="BE308" s="15">
        <f t="shared" si="26"/>
        <v>0</v>
      </c>
    </row>
    <row r="309" spans="1:57">
      <c r="A309" s="9"/>
      <c r="B309" s="16" t="s">
        <v>155</v>
      </c>
      <c r="C309" s="89" t="s">
        <v>140</v>
      </c>
      <c r="D309" s="80" t="s">
        <v>463</v>
      </c>
      <c r="E309" s="13"/>
      <c r="F309" s="96"/>
      <c r="G309" s="9"/>
      <c r="H309" s="9" t="s">
        <v>314</v>
      </c>
      <c r="I309" s="14"/>
      <c r="J309" s="14"/>
      <c r="K309" s="12">
        <v>0</v>
      </c>
      <c r="L309" s="9"/>
      <c r="M309" s="9"/>
      <c r="N309" s="9"/>
      <c r="O309" s="38">
        <f t="shared" si="22"/>
        <v>0</v>
      </c>
      <c r="P309" s="12"/>
      <c r="Q309" s="42"/>
      <c r="R309" s="15"/>
      <c r="S309" s="44"/>
      <c r="T309" s="15"/>
      <c r="U309" s="44"/>
      <c r="V309" s="15">
        <f t="shared" si="23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4"/>
        <v>0</v>
      </c>
      <c r="AF309" s="15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5"/>
        <v>0</v>
      </c>
      <c r="BA309" s="15"/>
      <c r="BB309" s="44"/>
      <c r="BC309" s="15"/>
      <c r="BD309" s="44"/>
      <c r="BE309" s="15">
        <f t="shared" si="26"/>
        <v>0</v>
      </c>
    </row>
    <row r="310" spans="1:57">
      <c r="A310" s="9"/>
      <c r="B310" s="16" t="s">
        <v>464</v>
      </c>
      <c r="C310" s="89" t="s">
        <v>140</v>
      </c>
      <c r="D310" s="80" t="s">
        <v>465</v>
      </c>
      <c r="E310" s="13" t="s">
        <v>466</v>
      </c>
      <c r="F310" s="96"/>
      <c r="G310" s="9"/>
      <c r="H310" s="9" t="s">
        <v>467</v>
      </c>
      <c r="I310" s="14"/>
      <c r="J310" s="14"/>
      <c r="K310" s="12">
        <v>54</v>
      </c>
      <c r="L310" s="9"/>
      <c r="M310" s="9"/>
      <c r="N310" s="9"/>
      <c r="O310" s="38">
        <f t="shared" si="22"/>
        <v>54</v>
      </c>
      <c r="P310" s="12"/>
      <c r="Q310" s="42"/>
      <c r="R310" s="15"/>
      <c r="S310" s="44"/>
      <c r="T310" s="15"/>
      <c r="U310" s="44"/>
      <c r="V310" s="15">
        <f t="shared" si="23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4"/>
        <v>0</v>
      </c>
      <c r="AF310" s="15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5"/>
        <v>0</v>
      </c>
      <c r="BA310" s="15"/>
      <c r="BB310" s="44"/>
      <c r="BC310" s="15"/>
      <c r="BD310" s="44"/>
      <c r="BE310" s="15">
        <f t="shared" si="26"/>
        <v>0</v>
      </c>
    </row>
    <row r="311" spans="1:57">
      <c r="A311" s="9"/>
      <c r="B311" s="16" t="s">
        <v>464</v>
      </c>
      <c r="C311" s="89" t="s">
        <v>140</v>
      </c>
      <c r="D311" s="80" t="s">
        <v>468</v>
      </c>
      <c r="E311" s="13" t="s">
        <v>469</v>
      </c>
      <c r="F311" s="96"/>
      <c r="G311" s="9"/>
      <c r="H311" s="9" t="s">
        <v>467</v>
      </c>
      <c r="I311" s="14"/>
      <c r="J311" s="14"/>
      <c r="K311" s="12">
        <v>0</v>
      </c>
      <c r="L311" s="9"/>
      <c r="M311" s="9"/>
      <c r="N311" s="9"/>
      <c r="O311" s="38">
        <f t="shared" si="22"/>
        <v>0</v>
      </c>
      <c r="P311" s="12"/>
      <c r="Q311" s="42"/>
      <c r="R311" s="15"/>
      <c r="S311" s="44"/>
      <c r="T311" s="15"/>
      <c r="U311" s="44"/>
      <c r="V311" s="15">
        <f t="shared" si="23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4"/>
        <v>0</v>
      </c>
      <c r="AF311" s="15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5"/>
        <v>0</v>
      </c>
      <c r="BA311" s="15"/>
      <c r="BB311" s="44"/>
      <c r="BC311" s="15"/>
      <c r="BD311" s="44"/>
      <c r="BE311" s="15">
        <f t="shared" si="26"/>
        <v>0</v>
      </c>
    </row>
    <row r="312" spans="1:57">
      <c r="A312" s="9"/>
      <c r="B312" s="16" t="s">
        <v>470</v>
      </c>
      <c r="C312" s="89" t="s">
        <v>140</v>
      </c>
      <c r="D312" s="80" t="s">
        <v>471</v>
      </c>
      <c r="E312" s="13"/>
      <c r="F312" s="96"/>
      <c r="G312" s="9"/>
      <c r="H312" s="9" t="s">
        <v>467</v>
      </c>
      <c r="I312" s="14"/>
      <c r="J312" s="14"/>
      <c r="K312" s="12">
        <v>71</v>
      </c>
      <c r="L312" s="9"/>
      <c r="M312" s="9"/>
      <c r="N312" s="9"/>
      <c r="O312" s="38">
        <f t="shared" si="22"/>
        <v>71</v>
      </c>
      <c r="P312" s="12"/>
      <c r="Q312" s="42"/>
      <c r="R312" s="15"/>
      <c r="S312" s="44"/>
      <c r="T312" s="15"/>
      <c r="U312" s="44"/>
      <c r="V312" s="15">
        <f t="shared" si="23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4"/>
        <v>0</v>
      </c>
      <c r="AF312" s="15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5"/>
        <v>0</v>
      </c>
      <c r="BA312" s="15"/>
      <c r="BB312" s="44"/>
      <c r="BC312" s="15"/>
      <c r="BD312" s="44"/>
      <c r="BE312" s="15">
        <f t="shared" si="26"/>
        <v>0</v>
      </c>
    </row>
    <row r="313" spans="1:57">
      <c r="A313" s="9"/>
      <c r="B313" s="16" t="s">
        <v>472</v>
      </c>
      <c r="C313" s="89" t="s">
        <v>140</v>
      </c>
      <c r="D313" s="80" t="s">
        <v>473</v>
      </c>
      <c r="E313" s="13" t="s">
        <v>474</v>
      </c>
      <c r="F313" s="96"/>
      <c r="G313" s="9"/>
      <c r="H313" s="9" t="s">
        <v>67</v>
      </c>
      <c r="I313" s="14"/>
      <c r="J313" s="14"/>
      <c r="K313" s="12">
        <v>301</v>
      </c>
      <c r="L313" s="9"/>
      <c r="M313" s="9"/>
      <c r="N313" s="9"/>
      <c r="O313" s="38">
        <f t="shared" si="22"/>
        <v>301</v>
      </c>
      <c r="P313" s="12"/>
      <c r="Q313" s="42"/>
      <c r="R313" s="15"/>
      <c r="S313" s="44"/>
      <c r="T313" s="15"/>
      <c r="U313" s="44"/>
      <c r="V313" s="15">
        <f t="shared" si="23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4"/>
        <v>0</v>
      </c>
      <c r="AF313" s="15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5"/>
        <v>0</v>
      </c>
      <c r="BA313" s="15"/>
      <c r="BB313" s="44"/>
      <c r="BC313" s="15"/>
      <c r="BD313" s="44"/>
      <c r="BE313" s="15">
        <f t="shared" si="26"/>
        <v>0</v>
      </c>
    </row>
    <row r="314" spans="1:57">
      <c r="A314" s="9"/>
      <c r="B314" s="16" t="s">
        <v>472</v>
      </c>
      <c r="C314" s="89" t="s">
        <v>140</v>
      </c>
      <c r="D314" s="80" t="s">
        <v>475</v>
      </c>
      <c r="E314" s="13" t="s">
        <v>476</v>
      </c>
      <c r="F314" s="96"/>
      <c r="G314" s="9"/>
      <c r="H314" s="9" t="s">
        <v>67</v>
      </c>
      <c r="I314" s="14"/>
      <c r="J314" s="14"/>
      <c r="K314" s="12">
        <v>352</v>
      </c>
      <c r="L314" s="9"/>
      <c r="M314" s="9"/>
      <c r="N314" s="9"/>
      <c r="O314" s="38">
        <f t="shared" si="22"/>
        <v>352</v>
      </c>
      <c r="P314" s="12"/>
      <c r="Q314" s="42"/>
      <c r="R314" s="15"/>
      <c r="S314" s="44"/>
      <c r="T314" s="15"/>
      <c r="U314" s="44"/>
      <c r="V314" s="15">
        <f t="shared" si="23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4"/>
        <v>0</v>
      </c>
      <c r="AF314" s="15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5"/>
        <v>0</v>
      </c>
      <c r="BA314" s="15"/>
      <c r="BB314" s="44"/>
      <c r="BC314" s="15"/>
      <c r="BD314" s="44"/>
      <c r="BE314" s="15">
        <f t="shared" si="26"/>
        <v>0</v>
      </c>
    </row>
    <row r="315" spans="1:57">
      <c r="A315" s="9"/>
      <c r="B315" s="16" t="s">
        <v>477</v>
      </c>
      <c r="C315" s="89" t="s">
        <v>140</v>
      </c>
      <c r="D315" s="80" t="s">
        <v>478</v>
      </c>
      <c r="E315" s="13"/>
      <c r="F315" s="96"/>
      <c r="G315" s="9"/>
      <c r="H315" s="9" t="s">
        <v>467</v>
      </c>
      <c r="I315" s="14"/>
      <c r="J315" s="14"/>
      <c r="K315" s="12">
        <v>200</v>
      </c>
      <c r="L315" s="9"/>
      <c r="M315" s="9"/>
      <c r="N315" s="9"/>
      <c r="O315" s="38">
        <f t="shared" si="22"/>
        <v>200</v>
      </c>
      <c r="P315" s="12"/>
      <c r="Q315" s="42"/>
      <c r="R315" s="15"/>
      <c r="S315" s="44"/>
      <c r="T315" s="15"/>
      <c r="U315" s="44"/>
      <c r="V315" s="15">
        <f t="shared" si="23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4"/>
        <v>0</v>
      </c>
      <c r="AF315" s="15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5"/>
        <v>0</v>
      </c>
      <c r="BA315" s="15"/>
      <c r="BB315" s="44"/>
      <c r="BC315" s="15"/>
      <c r="BD315" s="44"/>
      <c r="BE315" s="15">
        <f t="shared" si="26"/>
        <v>0</v>
      </c>
    </row>
    <row r="316" spans="1:57">
      <c r="A316" s="9"/>
      <c r="B316" s="16" t="s">
        <v>477</v>
      </c>
      <c r="C316" s="89" t="s">
        <v>140</v>
      </c>
      <c r="D316" s="80" t="s">
        <v>479</v>
      </c>
      <c r="E316" s="13"/>
      <c r="F316" s="96"/>
      <c r="G316" s="9"/>
      <c r="H316" s="9" t="s">
        <v>467</v>
      </c>
      <c r="I316" s="14"/>
      <c r="J316" s="14"/>
      <c r="K316" s="12">
        <v>35</v>
      </c>
      <c r="L316" s="9"/>
      <c r="M316" s="9"/>
      <c r="N316" s="9"/>
      <c r="O316" s="38">
        <f t="shared" si="22"/>
        <v>35</v>
      </c>
      <c r="P316" s="12"/>
      <c r="Q316" s="42"/>
      <c r="R316" s="15"/>
      <c r="S316" s="44"/>
      <c r="T316" s="15"/>
      <c r="U316" s="44"/>
      <c r="V316" s="15">
        <f t="shared" si="23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4"/>
        <v>0</v>
      </c>
      <c r="AF316" s="15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5"/>
        <v>0</v>
      </c>
      <c r="BA316" s="15"/>
      <c r="BB316" s="44"/>
      <c r="BC316" s="15"/>
      <c r="BD316" s="44"/>
      <c r="BE316" s="15">
        <f t="shared" si="26"/>
        <v>0</v>
      </c>
    </row>
    <row r="317" spans="1:57">
      <c r="A317" s="9"/>
      <c r="B317" s="16" t="s">
        <v>477</v>
      </c>
      <c r="C317" s="89" t="s">
        <v>140</v>
      </c>
      <c r="D317" s="80" t="s">
        <v>480</v>
      </c>
      <c r="E317" s="13" t="s">
        <v>481</v>
      </c>
      <c r="F317" s="96"/>
      <c r="G317" s="9"/>
      <c r="H317" s="9" t="s">
        <v>482</v>
      </c>
      <c r="I317" s="14"/>
      <c r="J317" s="14"/>
      <c r="K317" s="12">
        <v>0</v>
      </c>
      <c r="L317" s="9"/>
      <c r="M317" s="9"/>
      <c r="N317" s="9"/>
      <c r="O317" s="38">
        <f t="shared" si="22"/>
        <v>0</v>
      </c>
      <c r="P317" s="12"/>
      <c r="Q317" s="42"/>
      <c r="R317" s="15"/>
      <c r="S317" s="44"/>
      <c r="T317" s="15"/>
      <c r="U317" s="44"/>
      <c r="V317" s="15">
        <f t="shared" si="23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4"/>
        <v>0</v>
      </c>
      <c r="AF317" s="15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5"/>
        <v>0</v>
      </c>
      <c r="BA317" s="15"/>
      <c r="BB317" s="44"/>
      <c r="BC317" s="15"/>
      <c r="BD317" s="44"/>
      <c r="BE317" s="15">
        <f t="shared" si="26"/>
        <v>0</v>
      </c>
    </row>
    <row r="318" spans="1:57">
      <c r="A318" s="9"/>
      <c r="B318" s="16" t="s">
        <v>483</v>
      </c>
      <c r="C318" s="89" t="s">
        <v>140</v>
      </c>
      <c r="D318" s="80" t="s">
        <v>484</v>
      </c>
      <c r="E318" s="13" t="s">
        <v>485</v>
      </c>
      <c r="F318" s="96"/>
      <c r="G318" s="9"/>
      <c r="H318" s="9" t="s">
        <v>467</v>
      </c>
      <c r="I318" s="14"/>
      <c r="J318" s="14"/>
      <c r="K318" s="12">
        <v>20</v>
      </c>
      <c r="L318" s="9"/>
      <c r="M318" s="9"/>
      <c r="N318" s="9"/>
      <c r="O318" s="38">
        <f t="shared" si="22"/>
        <v>20</v>
      </c>
      <c r="P318" s="12"/>
      <c r="Q318" s="42"/>
      <c r="R318" s="15"/>
      <c r="S318" s="44"/>
      <c r="T318" s="15"/>
      <c r="U318" s="44"/>
      <c r="V318" s="15">
        <f t="shared" si="23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4"/>
        <v>0</v>
      </c>
      <c r="AF318" s="15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5"/>
        <v>0</v>
      </c>
      <c r="BA318" s="15"/>
      <c r="BB318" s="44"/>
      <c r="BC318" s="15"/>
      <c r="BD318" s="44"/>
      <c r="BE318" s="15">
        <f t="shared" si="26"/>
        <v>0</v>
      </c>
    </row>
    <row r="319" spans="1:57">
      <c r="A319" s="9"/>
      <c r="B319" s="16" t="s">
        <v>486</v>
      </c>
      <c r="C319" s="89" t="s">
        <v>140</v>
      </c>
      <c r="D319" s="80" t="s">
        <v>487</v>
      </c>
      <c r="E319" s="13"/>
      <c r="F319" s="96"/>
      <c r="G319" s="9"/>
      <c r="H319" s="9" t="s">
        <v>467</v>
      </c>
      <c r="I319" s="14"/>
      <c r="J319" s="14"/>
      <c r="K319" s="12">
        <v>0</v>
      </c>
      <c r="L319" s="9"/>
      <c r="M319" s="9"/>
      <c r="N319" s="9"/>
      <c r="O319" s="38">
        <f t="shared" si="22"/>
        <v>0</v>
      </c>
      <c r="P319" s="12"/>
      <c r="Q319" s="42"/>
      <c r="R319" s="15"/>
      <c r="S319" s="44"/>
      <c r="T319" s="15"/>
      <c r="U319" s="44"/>
      <c r="V319" s="15">
        <f t="shared" si="23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4"/>
        <v>0</v>
      </c>
      <c r="AF319" s="15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5"/>
        <v>0</v>
      </c>
      <c r="BA319" s="15"/>
      <c r="BB319" s="44"/>
      <c r="BC319" s="15"/>
      <c r="BD319" s="44"/>
      <c r="BE319" s="15">
        <f t="shared" si="26"/>
        <v>0</v>
      </c>
    </row>
    <row r="320" spans="1:57">
      <c r="A320" s="9"/>
      <c r="B320" s="16" t="s">
        <v>486</v>
      </c>
      <c r="C320" s="89" t="s">
        <v>140</v>
      </c>
      <c r="D320" s="80" t="s">
        <v>488</v>
      </c>
      <c r="E320" s="13"/>
      <c r="F320" s="96"/>
      <c r="G320" s="9"/>
      <c r="H320" s="9" t="s">
        <v>467</v>
      </c>
      <c r="I320" s="14"/>
      <c r="J320" s="14"/>
      <c r="K320" s="12">
        <v>0</v>
      </c>
      <c r="L320" s="9"/>
      <c r="M320" s="9"/>
      <c r="N320" s="9"/>
      <c r="O320" s="38">
        <f t="shared" si="22"/>
        <v>0</v>
      </c>
      <c r="P320" s="12"/>
      <c r="Q320" s="42"/>
      <c r="R320" s="15"/>
      <c r="S320" s="44"/>
      <c r="T320" s="15"/>
      <c r="U320" s="44"/>
      <c r="V320" s="15">
        <f t="shared" si="23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4"/>
        <v>0</v>
      </c>
      <c r="AF320" s="15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5"/>
        <v>0</v>
      </c>
      <c r="BA320" s="15"/>
      <c r="BB320" s="44"/>
      <c r="BC320" s="15"/>
      <c r="BD320" s="44"/>
      <c r="BE320" s="15">
        <f t="shared" si="26"/>
        <v>0</v>
      </c>
    </row>
    <row r="321" spans="1:57">
      <c r="A321" s="9"/>
      <c r="B321" s="16" t="s">
        <v>489</v>
      </c>
      <c r="C321" s="89" t="s">
        <v>140</v>
      </c>
      <c r="D321" s="80" t="s">
        <v>490</v>
      </c>
      <c r="E321" s="13" t="s">
        <v>206</v>
      </c>
      <c r="F321" s="96"/>
      <c r="G321" s="9"/>
      <c r="H321" s="9" t="s">
        <v>207</v>
      </c>
      <c r="I321" s="14"/>
      <c r="J321" s="14"/>
      <c r="K321" s="12">
        <v>490</v>
      </c>
      <c r="L321" s="9"/>
      <c r="M321" s="9"/>
      <c r="N321" s="9"/>
      <c r="O321" s="38">
        <f t="shared" si="22"/>
        <v>490</v>
      </c>
      <c r="P321" s="12"/>
      <c r="Q321" s="42"/>
      <c r="R321" s="15"/>
      <c r="S321" s="44"/>
      <c r="T321" s="15"/>
      <c r="U321" s="44"/>
      <c r="V321" s="15">
        <f t="shared" si="23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4"/>
        <v>0</v>
      </c>
      <c r="AF321" s="15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5"/>
        <v>0</v>
      </c>
      <c r="BA321" s="15"/>
      <c r="BB321" s="44"/>
      <c r="BC321" s="15"/>
      <c r="BD321" s="44"/>
      <c r="BE321" s="15">
        <f t="shared" si="26"/>
        <v>0</v>
      </c>
    </row>
    <row r="322" spans="1:57">
      <c r="A322" s="9"/>
      <c r="B322" s="16" t="s">
        <v>244</v>
      </c>
      <c r="C322" s="89" t="s">
        <v>140</v>
      </c>
      <c r="D322" s="80" t="s">
        <v>491</v>
      </c>
      <c r="E322" s="13" t="s">
        <v>492</v>
      </c>
      <c r="F322" s="96"/>
      <c r="G322" s="9"/>
      <c r="H322" s="9" t="s">
        <v>247</v>
      </c>
      <c r="I322" s="14"/>
      <c r="J322" s="14"/>
      <c r="K322" s="12">
        <v>71</v>
      </c>
      <c r="L322" s="9"/>
      <c r="M322" s="9"/>
      <c r="N322" s="9"/>
      <c r="O322" s="38">
        <f t="shared" ref="O322:O385" si="27">K322+V322-AE322-AZ322</f>
        <v>71</v>
      </c>
      <c r="P322" s="12"/>
      <c r="Q322" s="42"/>
      <c r="R322" s="15"/>
      <c r="S322" s="44"/>
      <c r="T322" s="15"/>
      <c r="U322" s="44"/>
      <c r="V322" s="15">
        <f t="shared" ref="V322:V385" si="28">P322+R322+T322</f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ref="AE322:AE385" si="29">(W322+Y322+AA322+AC322)</f>
        <v>0</v>
      </c>
      <c r="AF322" s="15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5"/>
        <v>0</v>
      </c>
      <c r="BA322" s="15"/>
      <c r="BB322" s="44"/>
      <c r="BC322" s="15"/>
      <c r="BD322" s="44"/>
      <c r="BE322" s="15">
        <f t="shared" si="26"/>
        <v>0</v>
      </c>
    </row>
    <row r="323" spans="1:57">
      <c r="A323" s="9"/>
      <c r="B323" s="16" t="s">
        <v>244</v>
      </c>
      <c r="C323" s="89" t="s">
        <v>140</v>
      </c>
      <c r="D323" s="80" t="s">
        <v>493</v>
      </c>
      <c r="E323" s="13" t="s">
        <v>492</v>
      </c>
      <c r="F323" s="96"/>
      <c r="G323" s="9"/>
      <c r="H323" s="9" t="s">
        <v>247</v>
      </c>
      <c r="I323" s="14"/>
      <c r="J323" s="14"/>
      <c r="K323" s="12">
        <v>144</v>
      </c>
      <c r="L323" s="9"/>
      <c r="M323" s="9"/>
      <c r="N323" s="9"/>
      <c r="O323" s="38">
        <f t="shared" si="27"/>
        <v>144</v>
      </c>
      <c r="P323" s="12"/>
      <c r="Q323" s="42"/>
      <c r="R323" s="15"/>
      <c r="S323" s="44"/>
      <c r="T323" s="15"/>
      <c r="U323" s="44"/>
      <c r="V323" s="15">
        <f t="shared" si="28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9"/>
        <v>0</v>
      </c>
      <c r="AF323" s="15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ref="AZ323:AZ386" si="30">AF323+AH323+AJ323+AL323+AN323+AP323+AR323+AT323+AV323+AX323</f>
        <v>0</v>
      </c>
      <c r="BA323" s="15"/>
      <c r="BB323" s="44"/>
      <c r="BC323" s="15"/>
      <c r="BD323" s="44"/>
      <c r="BE323" s="15">
        <f t="shared" si="26"/>
        <v>0</v>
      </c>
    </row>
    <row r="324" spans="1:57">
      <c r="A324" s="9"/>
      <c r="B324" s="18" t="s">
        <v>172</v>
      </c>
      <c r="C324" s="89" t="s">
        <v>494</v>
      </c>
      <c r="D324" s="58" t="s">
        <v>253</v>
      </c>
      <c r="E324" s="35"/>
      <c r="F324" s="96"/>
      <c r="G324" s="21"/>
      <c r="H324" s="21" t="s">
        <v>67</v>
      </c>
      <c r="I324" s="14"/>
      <c r="J324" s="14"/>
      <c r="K324" s="12">
        <v>235</v>
      </c>
      <c r="L324" s="9"/>
      <c r="M324" s="9"/>
      <c r="N324" s="9"/>
      <c r="O324" s="38">
        <f t="shared" si="27"/>
        <v>235</v>
      </c>
      <c r="P324" s="12"/>
      <c r="Q324" s="42"/>
      <c r="R324" s="15"/>
      <c r="S324" s="44"/>
      <c r="T324" s="15"/>
      <c r="U324" s="44"/>
      <c r="V324" s="15">
        <f t="shared" si="28"/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si="29"/>
        <v>0</v>
      </c>
      <c r="AF324" s="15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30"/>
        <v>0</v>
      </c>
      <c r="BA324" s="15"/>
      <c r="BB324" s="44"/>
      <c r="BC324" s="15"/>
      <c r="BD324" s="44"/>
      <c r="BE324" s="15">
        <f t="shared" si="26"/>
        <v>0</v>
      </c>
    </row>
    <row r="325" spans="1:57">
      <c r="A325" s="9"/>
      <c r="B325" s="18" t="s">
        <v>172</v>
      </c>
      <c r="C325" s="89" t="s">
        <v>52</v>
      </c>
      <c r="D325" s="58" t="s">
        <v>495</v>
      </c>
      <c r="E325" s="35" t="s">
        <v>496</v>
      </c>
      <c r="F325" s="96"/>
      <c r="G325" s="21"/>
      <c r="H325" s="21" t="s">
        <v>67</v>
      </c>
      <c r="I325" s="14"/>
      <c r="J325" s="14"/>
      <c r="K325" s="12">
        <v>500</v>
      </c>
      <c r="L325" s="9"/>
      <c r="M325" s="9"/>
      <c r="N325" s="9"/>
      <c r="O325" s="38">
        <f t="shared" si="27"/>
        <v>500</v>
      </c>
      <c r="P325" s="12"/>
      <c r="Q325" s="42"/>
      <c r="R325" s="15"/>
      <c r="S325" s="44"/>
      <c r="T325" s="15"/>
      <c r="U325" s="44"/>
      <c r="V325" s="15">
        <f t="shared" si="28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29"/>
        <v>0</v>
      </c>
      <c r="AF325" s="15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30"/>
        <v>0</v>
      </c>
      <c r="BA325" s="15"/>
      <c r="BB325" s="44"/>
      <c r="BC325" s="15"/>
      <c r="BD325" s="44"/>
      <c r="BE325" s="15">
        <f t="shared" si="26"/>
        <v>0</v>
      </c>
    </row>
    <row r="326" spans="1:57">
      <c r="A326" s="9"/>
      <c r="B326" s="16" t="s">
        <v>172</v>
      </c>
      <c r="C326" s="89" t="s">
        <v>494</v>
      </c>
      <c r="D326" s="61" t="s">
        <v>497</v>
      </c>
      <c r="E326" s="13"/>
      <c r="F326" s="96"/>
      <c r="G326" s="9"/>
      <c r="H326" s="9" t="s">
        <v>67</v>
      </c>
      <c r="I326" s="14"/>
      <c r="J326" s="14"/>
      <c r="K326" s="12">
        <v>205</v>
      </c>
      <c r="L326" s="9"/>
      <c r="M326" s="9"/>
      <c r="N326" s="9"/>
      <c r="O326" s="38">
        <f t="shared" si="27"/>
        <v>205</v>
      </c>
      <c r="P326" s="12"/>
      <c r="Q326" s="42"/>
      <c r="R326" s="15"/>
      <c r="S326" s="44"/>
      <c r="T326" s="15"/>
      <c r="U326" s="44"/>
      <c r="V326" s="15">
        <f t="shared" si="28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29"/>
        <v>0</v>
      </c>
      <c r="AF326" s="15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30"/>
        <v>0</v>
      </c>
      <c r="BA326" s="15"/>
      <c r="BB326" s="44"/>
      <c r="BC326" s="15"/>
      <c r="BD326" s="44"/>
      <c r="BE326" s="15">
        <f t="shared" si="26"/>
        <v>0</v>
      </c>
    </row>
    <row r="327" spans="1:57">
      <c r="A327" s="9"/>
      <c r="B327" s="16" t="s">
        <v>172</v>
      </c>
      <c r="C327" s="89" t="s">
        <v>494</v>
      </c>
      <c r="D327" s="84" t="s">
        <v>498</v>
      </c>
      <c r="E327" s="13" t="s">
        <v>499</v>
      </c>
      <c r="F327" s="96"/>
      <c r="G327" s="9"/>
      <c r="H327" s="9" t="s">
        <v>67</v>
      </c>
      <c r="I327" s="14"/>
      <c r="J327" s="14"/>
      <c r="K327" s="12">
        <v>90</v>
      </c>
      <c r="L327" s="9"/>
      <c r="M327" s="9"/>
      <c r="N327" s="9"/>
      <c r="O327" s="38">
        <f t="shared" si="27"/>
        <v>90</v>
      </c>
      <c r="P327" s="12"/>
      <c r="Q327" s="42"/>
      <c r="R327" s="15"/>
      <c r="S327" s="44"/>
      <c r="T327" s="15"/>
      <c r="U327" s="44"/>
      <c r="V327" s="15">
        <f t="shared" si="28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29"/>
        <v>0</v>
      </c>
      <c r="AF327" s="15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30"/>
        <v>0</v>
      </c>
      <c r="BA327" s="15"/>
      <c r="BB327" s="44"/>
      <c r="BC327" s="15"/>
      <c r="BD327" s="44"/>
      <c r="BE327" s="15">
        <f t="shared" si="26"/>
        <v>0</v>
      </c>
    </row>
    <row r="328" spans="1:57">
      <c r="A328" s="9"/>
      <c r="B328" s="16" t="s">
        <v>172</v>
      </c>
      <c r="C328" s="89" t="s">
        <v>494</v>
      </c>
      <c r="D328" s="80" t="s">
        <v>500</v>
      </c>
      <c r="E328" s="13" t="s">
        <v>501</v>
      </c>
      <c r="F328" s="96"/>
      <c r="G328" s="9"/>
      <c r="H328" s="9" t="s">
        <v>67</v>
      </c>
      <c r="I328" s="14"/>
      <c r="J328" s="14"/>
      <c r="K328" s="12">
        <v>109</v>
      </c>
      <c r="L328" s="9"/>
      <c r="M328" s="9"/>
      <c r="N328" s="9"/>
      <c r="O328" s="38">
        <f t="shared" si="27"/>
        <v>109</v>
      </c>
      <c r="P328" s="12"/>
      <c r="Q328" s="42"/>
      <c r="R328" s="15"/>
      <c r="S328" s="44"/>
      <c r="T328" s="15"/>
      <c r="U328" s="44"/>
      <c r="V328" s="15">
        <f t="shared" si="28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29"/>
        <v>0</v>
      </c>
      <c r="AF328" s="15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30"/>
        <v>0</v>
      </c>
      <c r="BA328" s="15"/>
      <c r="BB328" s="44"/>
      <c r="BC328" s="15"/>
      <c r="BD328" s="44"/>
      <c r="BE328" s="15">
        <f t="shared" si="26"/>
        <v>0</v>
      </c>
    </row>
    <row r="329" spans="1:57">
      <c r="A329" s="9"/>
      <c r="B329" s="16" t="s">
        <v>172</v>
      </c>
      <c r="C329" s="89" t="s">
        <v>52</v>
      </c>
      <c r="D329" s="80" t="s">
        <v>502</v>
      </c>
      <c r="E329" s="13"/>
      <c r="F329" s="96"/>
      <c r="G329" s="9"/>
      <c r="H329" s="9" t="s">
        <v>67</v>
      </c>
      <c r="I329" s="14"/>
      <c r="J329" s="14"/>
      <c r="K329" s="12">
        <v>106</v>
      </c>
      <c r="L329" s="9"/>
      <c r="M329" s="9"/>
      <c r="N329" s="9"/>
      <c r="O329" s="38">
        <f t="shared" si="27"/>
        <v>106</v>
      </c>
      <c r="P329" s="12"/>
      <c r="Q329" s="42"/>
      <c r="R329" s="15"/>
      <c r="S329" s="44"/>
      <c r="T329" s="15"/>
      <c r="U329" s="44"/>
      <c r="V329" s="15">
        <f t="shared" si="28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29"/>
        <v>0</v>
      </c>
      <c r="AF329" s="15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30"/>
        <v>0</v>
      </c>
      <c r="BA329" s="15"/>
      <c r="BB329" s="44"/>
      <c r="BC329" s="15"/>
      <c r="BD329" s="44"/>
      <c r="BE329" s="15">
        <f t="shared" si="26"/>
        <v>0</v>
      </c>
    </row>
    <row r="330" spans="1:57">
      <c r="A330" s="9"/>
      <c r="B330" s="16" t="s">
        <v>172</v>
      </c>
      <c r="C330" s="89" t="s">
        <v>52</v>
      </c>
      <c r="D330" s="80" t="s">
        <v>416</v>
      </c>
      <c r="E330" s="13"/>
      <c r="F330" s="96"/>
      <c r="G330" s="9"/>
      <c r="H330" s="9" t="s">
        <v>67</v>
      </c>
      <c r="I330" s="14"/>
      <c r="J330" s="14"/>
      <c r="K330" s="12">
        <v>108</v>
      </c>
      <c r="L330" s="9"/>
      <c r="M330" s="9"/>
      <c r="N330" s="9"/>
      <c r="O330" s="38">
        <f t="shared" si="27"/>
        <v>108</v>
      </c>
      <c r="P330" s="12"/>
      <c r="Q330" s="42"/>
      <c r="R330" s="15"/>
      <c r="S330" s="44"/>
      <c r="T330" s="15"/>
      <c r="U330" s="44"/>
      <c r="V330" s="15">
        <f t="shared" si="28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29"/>
        <v>0</v>
      </c>
      <c r="AF330" s="15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30"/>
        <v>0</v>
      </c>
      <c r="BA330" s="15"/>
      <c r="BB330" s="44"/>
      <c r="BC330" s="15"/>
      <c r="BD330" s="44"/>
      <c r="BE330" s="15">
        <f t="shared" si="26"/>
        <v>0</v>
      </c>
    </row>
    <row r="331" spans="1:57">
      <c r="A331" s="9"/>
      <c r="B331" s="16" t="s">
        <v>172</v>
      </c>
      <c r="C331" s="89" t="s">
        <v>52</v>
      </c>
      <c r="D331" s="80" t="s">
        <v>503</v>
      </c>
      <c r="E331" s="13"/>
      <c r="F331" s="96"/>
      <c r="G331" s="9"/>
      <c r="H331" s="9" t="s">
        <v>67</v>
      </c>
      <c r="I331" s="14"/>
      <c r="J331" s="14"/>
      <c r="K331" s="12">
        <v>280</v>
      </c>
      <c r="L331" s="9"/>
      <c r="M331" s="9"/>
      <c r="N331" s="9"/>
      <c r="O331" s="38">
        <f t="shared" si="27"/>
        <v>280</v>
      </c>
      <c r="P331" s="12"/>
      <c r="Q331" s="42"/>
      <c r="R331" s="15"/>
      <c r="S331" s="44"/>
      <c r="T331" s="15"/>
      <c r="U331" s="44"/>
      <c r="V331" s="15">
        <f t="shared" si="28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29"/>
        <v>0</v>
      </c>
      <c r="AF331" s="15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30"/>
        <v>0</v>
      </c>
      <c r="BA331" s="15"/>
      <c r="BB331" s="44"/>
      <c r="BC331" s="15"/>
      <c r="BD331" s="44"/>
      <c r="BE331" s="15">
        <f t="shared" si="26"/>
        <v>0</v>
      </c>
    </row>
    <row r="332" spans="1:57">
      <c r="A332" s="9"/>
      <c r="B332" s="16" t="s">
        <v>172</v>
      </c>
      <c r="C332" s="89" t="s">
        <v>52</v>
      </c>
      <c r="D332" s="80" t="s">
        <v>504</v>
      </c>
      <c r="E332" s="13"/>
      <c r="F332" s="96"/>
      <c r="G332" s="9"/>
      <c r="H332" s="9" t="s">
        <v>67</v>
      </c>
      <c r="I332" s="14"/>
      <c r="J332" s="14"/>
      <c r="K332" s="12">
        <v>192</v>
      </c>
      <c r="L332" s="9"/>
      <c r="M332" s="9"/>
      <c r="N332" s="9"/>
      <c r="O332" s="38">
        <f t="shared" si="27"/>
        <v>192</v>
      </c>
      <c r="P332" s="12"/>
      <c r="Q332" s="42"/>
      <c r="R332" s="15"/>
      <c r="S332" s="44"/>
      <c r="T332" s="15"/>
      <c r="U332" s="44"/>
      <c r="V332" s="15">
        <f t="shared" si="28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29"/>
        <v>0</v>
      </c>
      <c r="AF332" s="15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30"/>
        <v>0</v>
      </c>
      <c r="BA332" s="15"/>
      <c r="BB332" s="44"/>
      <c r="BC332" s="15"/>
      <c r="BD332" s="44"/>
      <c r="BE332" s="15">
        <f t="shared" si="26"/>
        <v>0</v>
      </c>
    </row>
    <row r="333" spans="1:57">
      <c r="A333" s="9"/>
      <c r="B333" s="16" t="s">
        <v>172</v>
      </c>
      <c r="C333" s="89" t="s">
        <v>52</v>
      </c>
      <c r="D333" s="80" t="s">
        <v>505</v>
      </c>
      <c r="E333" s="13"/>
      <c r="F333" s="96"/>
      <c r="G333" s="9"/>
      <c r="H333" s="9" t="s">
        <v>67</v>
      </c>
      <c r="I333" s="14"/>
      <c r="J333" s="14"/>
      <c r="K333" s="12">
        <v>194</v>
      </c>
      <c r="L333" s="9"/>
      <c r="M333" s="9"/>
      <c r="N333" s="9"/>
      <c r="O333" s="38">
        <f t="shared" si="27"/>
        <v>194</v>
      </c>
      <c r="P333" s="12"/>
      <c r="Q333" s="42"/>
      <c r="R333" s="15"/>
      <c r="S333" s="44"/>
      <c r="T333" s="15"/>
      <c r="U333" s="44"/>
      <c r="V333" s="15">
        <f t="shared" si="28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29"/>
        <v>0</v>
      </c>
      <c r="AF333" s="15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30"/>
        <v>0</v>
      </c>
      <c r="BA333" s="15"/>
      <c r="BB333" s="44"/>
      <c r="BC333" s="15"/>
      <c r="BD333" s="44"/>
      <c r="BE333" s="15">
        <f t="shared" si="26"/>
        <v>0</v>
      </c>
    </row>
    <row r="334" spans="1:57">
      <c r="A334" s="9"/>
      <c r="B334" s="16" t="s">
        <v>172</v>
      </c>
      <c r="C334" s="89" t="s">
        <v>52</v>
      </c>
      <c r="D334" s="80" t="s">
        <v>506</v>
      </c>
      <c r="E334" s="13"/>
      <c r="F334" s="96"/>
      <c r="G334" s="9"/>
      <c r="H334" s="9" t="s">
        <v>67</v>
      </c>
      <c r="I334" s="14"/>
      <c r="J334" s="14"/>
      <c r="K334" s="12">
        <v>0</v>
      </c>
      <c r="L334" s="9"/>
      <c r="M334" s="9"/>
      <c r="N334" s="9"/>
      <c r="O334" s="38">
        <f t="shared" si="27"/>
        <v>0</v>
      </c>
      <c r="P334" s="12"/>
      <c r="Q334" s="42"/>
      <c r="R334" s="15"/>
      <c r="S334" s="44"/>
      <c r="T334" s="15"/>
      <c r="U334" s="44"/>
      <c r="V334" s="15">
        <f t="shared" si="28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29"/>
        <v>0</v>
      </c>
      <c r="AF334" s="15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30"/>
        <v>0</v>
      </c>
      <c r="BA334" s="15"/>
      <c r="BB334" s="44"/>
      <c r="BC334" s="15"/>
      <c r="BD334" s="44"/>
      <c r="BE334" s="15">
        <f t="shared" si="26"/>
        <v>0</v>
      </c>
    </row>
    <row r="335" spans="1:57" ht="24" customHeight="1">
      <c r="A335" s="9"/>
      <c r="B335" s="16" t="s">
        <v>120</v>
      </c>
      <c r="C335" s="89" t="s">
        <v>507</v>
      </c>
      <c r="D335" s="72" t="s">
        <v>508</v>
      </c>
      <c r="E335" s="13" t="s">
        <v>509</v>
      </c>
      <c r="F335" s="96"/>
      <c r="G335" s="9"/>
      <c r="H335" s="9" t="s">
        <v>67</v>
      </c>
      <c r="I335" s="14"/>
      <c r="J335" s="14"/>
      <c r="K335" s="12">
        <v>157</v>
      </c>
      <c r="L335" s="9"/>
      <c r="M335" s="9"/>
      <c r="N335" s="9"/>
      <c r="O335" s="38">
        <f t="shared" si="27"/>
        <v>157</v>
      </c>
      <c r="P335" s="12"/>
      <c r="Q335" s="42"/>
      <c r="R335" s="15"/>
      <c r="S335" s="44"/>
      <c r="T335" s="15"/>
      <c r="U335" s="44"/>
      <c r="V335" s="15">
        <f t="shared" si="28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29"/>
        <v>0</v>
      </c>
      <c r="AF335" s="15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30"/>
        <v>0</v>
      </c>
      <c r="BA335" s="15"/>
      <c r="BB335" s="44"/>
      <c r="BC335" s="15"/>
      <c r="BD335" s="44"/>
      <c r="BE335" s="15">
        <f t="shared" si="26"/>
        <v>0</v>
      </c>
    </row>
    <row r="336" spans="1:57">
      <c r="A336" s="9"/>
      <c r="B336" s="16" t="s">
        <v>120</v>
      </c>
      <c r="C336" s="89" t="s">
        <v>494</v>
      </c>
      <c r="D336" s="56" t="s">
        <v>194</v>
      </c>
      <c r="E336" s="13" t="s">
        <v>510</v>
      </c>
      <c r="F336" s="96"/>
      <c r="G336" s="9"/>
      <c r="H336" s="9" t="s">
        <v>67</v>
      </c>
      <c r="I336" s="14"/>
      <c r="J336" s="14"/>
      <c r="K336" s="12">
        <v>123</v>
      </c>
      <c r="L336" s="9"/>
      <c r="M336" s="9"/>
      <c r="N336" s="9"/>
      <c r="O336" s="38">
        <f t="shared" si="27"/>
        <v>123</v>
      </c>
      <c r="P336" s="12"/>
      <c r="Q336" s="42"/>
      <c r="R336" s="15"/>
      <c r="S336" s="44"/>
      <c r="T336" s="15"/>
      <c r="U336" s="44"/>
      <c r="V336" s="15">
        <f t="shared" si="28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29"/>
        <v>0</v>
      </c>
      <c r="AF336" s="15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30"/>
        <v>0</v>
      </c>
      <c r="BA336" s="15"/>
      <c r="BB336" s="44"/>
      <c r="BC336" s="15"/>
      <c r="BD336" s="44"/>
      <c r="BE336" s="15">
        <f t="shared" si="26"/>
        <v>0</v>
      </c>
    </row>
    <row r="337" spans="1:57">
      <c r="A337" s="9"/>
      <c r="B337" s="16" t="s">
        <v>120</v>
      </c>
      <c r="C337" s="89" t="s">
        <v>494</v>
      </c>
      <c r="D337" s="80" t="s">
        <v>263</v>
      </c>
      <c r="E337" s="13" t="s">
        <v>511</v>
      </c>
      <c r="F337" s="96"/>
      <c r="G337" s="9"/>
      <c r="H337" s="9" t="s">
        <v>67</v>
      </c>
      <c r="I337" s="14"/>
      <c r="J337" s="14"/>
      <c r="K337" s="12">
        <v>240</v>
      </c>
      <c r="L337" s="9"/>
      <c r="M337" s="9"/>
      <c r="N337" s="9"/>
      <c r="O337" s="38">
        <f t="shared" si="27"/>
        <v>240</v>
      </c>
      <c r="P337" s="12"/>
      <c r="Q337" s="42"/>
      <c r="R337" s="15"/>
      <c r="S337" s="44"/>
      <c r="T337" s="15"/>
      <c r="U337" s="44"/>
      <c r="V337" s="15">
        <f t="shared" si="28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29"/>
        <v>0</v>
      </c>
      <c r="AF337" s="15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30"/>
        <v>0</v>
      </c>
      <c r="BA337" s="15"/>
      <c r="BB337" s="44"/>
      <c r="BC337" s="15"/>
      <c r="BD337" s="44"/>
      <c r="BE337" s="15">
        <f t="shared" si="26"/>
        <v>0</v>
      </c>
    </row>
    <row r="338" spans="1:57">
      <c r="A338" s="9"/>
      <c r="B338" s="16" t="s">
        <v>120</v>
      </c>
      <c r="C338" s="89" t="s">
        <v>52</v>
      </c>
      <c r="D338" s="80" t="s">
        <v>265</v>
      </c>
      <c r="E338" s="13" t="s">
        <v>512</v>
      </c>
      <c r="F338" s="96"/>
      <c r="G338" s="9"/>
      <c r="H338" s="9" t="s">
        <v>67</v>
      </c>
      <c r="I338" s="14"/>
      <c r="J338" s="14"/>
      <c r="K338" s="12">
        <v>203</v>
      </c>
      <c r="L338" s="9"/>
      <c r="M338" s="9"/>
      <c r="N338" s="9"/>
      <c r="O338" s="38">
        <f t="shared" si="27"/>
        <v>203</v>
      </c>
      <c r="P338" s="12"/>
      <c r="Q338" s="42"/>
      <c r="R338" s="15"/>
      <c r="S338" s="44"/>
      <c r="T338" s="15"/>
      <c r="U338" s="44"/>
      <c r="V338" s="15">
        <f t="shared" si="28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29"/>
        <v>0</v>
      </c>
      <c r="AF338" s="15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30"/>
        <v>0</v>
      </c>
      <c r="BA338" s="15"/>
      <c r="BB338" s="44"/>
      <c r="BC338" s="15"/>
      <c r="BD338" s="44"/>
      <c r="BE338" s="15">
        <f t="shared" si="26"/>
        <v>0</v>
      </c>
    </row>
    <row r="339" spans="1:57">
      <c r="A339" s="9"/>
      <c r="B339" s="16" t="s">
        <v>120</v>
      </c>
      <c r="C339" s="89" t="s">
        <v>52</v>
      </c>
      <c r="D339" s="80" t="s">
        <v>198</v>
      </c>
      <c r="E339" s="13" t="s">
        <v>513</v>
      </c>
      <c r="F339" s="96"/>
      <c r="G339" s="9"/>
      <c r="H339" s="9" t="s">
        <v>67</v>
      </c>
      <c r="I339" s="14"/>
      <c r="J339" s="14"/>
      <c r="K339" s="12">
        <v>0</v>
      </c>
      <c r="L339" s="9"/>
      <c r="M339" s="9"/>
      <c r="N339" s="9"/>
      <c r="O339" s="38">
        <f t="shared" si="27"/>
        <v>0</v>
      </c>
      <c r="P339" s="12"/>
      <c r="Q339" s="42"/>
      <c r="R339" s="15"/>
      <c r="S339" s="44"/>
      <c r="T339" s="15"/>
      <c r="U339" s="44"/>
      <c r="V339" s="15">
        <f t="shared" si="28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29"/>
        <v>0</v>
      </c>
      <c r="AF339" s="15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30"/>
        <v>0</v>
      </c>
      <c r="BA339" s="15"/>
      <c r="BB339" s="44"/>
      <c r="BC339" s="15"/>
      <c r="BD339" s="44"/>
      <c r="BE339" s="15">
        <f t="shared" si="26"/>
        <v>0</v>
      </c>
    </row>
    <row r="340" spans="1:57">
      <c r="A340" s="9"/>
      <c r="B340" s="16" t="s">
        <v>120</v>
      </c>
      <c r="C340" s="89" t="s">
        <v>494</v>
      </c>
      <c r="D340" s="80" t="s">
        <v>514</v>
      </c>
      <c r="E340" s="13" t="s">
        <v>515</v>
      </c>
      <c r="F340" s="96"/>
      <c r="G340" s="9"/>
      <c r="H340" s="9" t="s">
        <v>67</v>
      </c>
      <c r="I340" s="14"/>
      <c r="J340" s="14"/>
      <c r="K340" s="12">
        <v>234</v>
      </c>
      <c r="L340" s="9"/>
      <c r="M340" s="9"/>
      <c r="N340" s="9"/>
      <c r="O340" s="38">
        <f t="shared" si="27"/>
        <v>234</v>
      </c>
      <c r="P340" s="12"/>
      <c r="Q340" s="42"/>
      <c r="R340" s="15"/>
      <c r="S340" s="44"/>
      <c r="T340" s="15"/>
      <c r="U340" s="44"/>
      <c r="V340" s="15">
        <f t="shared" si="28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29"/>
        <v>0</v>
      </c>
      <c r="AF340" s="15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30"/>
        <v>0</v>
      </c>
      <c r="BA340" s="15"/>
      <c r="BB340" s="44"/>
      <c r="BC340" s="15"/>
      <c r="BD340" s="44"/>
      <c r="BE340" s="15">
        <f t="shared" si="26"/>
        <v>0</v>
      </c>
    </row>
    <row r="341" spans="1:57">
      <c r="A341" s="9"/>
      <c r="B341" s="16" t="s">
        <v>120</v>
      </c>
      <c r="C341" s="89" t="s">
        <v>494</v>
      </c>
      <c r="D341" s="80" t="s">
        <v>200</v>
      </c>
      <c r="E341" s="13" t="s">
        <v>516</v>
      </c>
      <c r="F341" s="96"/>
      <c r="G341" s="9"/>
      <c r="H341" s="9" t="s">
        <v>67</v>
      </c>
      <c r="I341" s="14"/>
      <c r="J341" s="14"/>
      <c r="K341" s="12">
        <v>512</v>
      </c>
      <c r="L341" s="9"/>
      <c r="M341" s="9"/>
      <c r="N341" s="9"/>
      <c r="O341" s="38">
        <f t="shared" si="27"/>
        <v>512</v>
      </c>
      <c r="P341" s="12"/>
      <c r="Q341" s="42"/>
      <c r="R341" s="15"/>
      <c r="S341" s="44"/>
      <c r="T341" s="15"/>
      <c r="U341" s="44"/>
      <c r="V341" s="15">
        <f t="shared" si="28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29"/>
        <v>0</v>
      </c>
      <c r="AF341" s="15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30"/>
        <v>0</v>
      </c>
      <c r="BA341" s="15"/>
      <c r="BB341" s="44"/>
      <c r="BC341" s="15"/>
      <c r="BD341" s="44"/>
      <c r="BE341" s="15">
        <f t="shared" si="26"/>
        <v>0</v>
      </c>
    </row>
    <row r="342" spans="1:57">
      <c r="A342" s="9"/>
      <c r="B342" s="16" t="s">
        <v>120</v>
      </c>
      <c r="C342" s="89" t="s">
        <v>494</v>
      </c>
      <c r="D342" s="80" t="s">
        <v>517</v>
      </c>
      <c r="E342" s="13" t="s">
        <v>518</v>
      </c>
      <c r="F342" s="96"/>
      <c r="G342" s="9"/>
      <c r="H342" s="9" t="s">
        <v>67</v>
      </c>
      <c r="I342" s="14"/>
      <c r="J342" s="14"/>
      <c r="K342" s="12">
        <v>501</v>
      </c>
      <c r="L342" s="9"/>
      <c r="M342" s="9"/>
      <c r="N342" s="9"/>
      <c r="O342" s="38">
        <f t="shared" si="27"/>
        <v>501</v>
      </c>
      <c r="P342" s="12"/>
      <c r="Q342" s="42"/>
      <c r="R342" s="15"/>
      <c r="S342" s="44"/>
      <c r="T342" s="15"/>
      <c r="U342" s="44"/>
      <c r="V342" s="15">
        <f t="shared" si="28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29"/>
        <v>0</v>
      </c>
      <c r="AF342" s="15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30"/>
        <v>0</v>
      </c>
      <c r="BA342" s="15"/>
      <c r="BB342" s="44"/>
      <c r="BC342" s="15"/>
      <c r="BD342" s="44"/>
      <c r="BE342" s="15">
        <f t="shared" si="26"/>
        <v>0</v>
      </c>
    </row>
    <row r="343" spans="1:57">
      <c r="A343" s="9"/>
      <c r="B343" s="16" t="s">
        <v>120</v>
      </c>
      <c r="C343" s="89" t="s">
        <v>494</v>
      </c>
      <c r="D343" s="80" t="s">
        <v>519</v>
      </c>
      <c r="E343" s="13" t="s">
        <v>520</v>
      </c>
      <c r="F343" s="96"/>
      <c r="G343" s="9"/>
      <c r="H343" s="9" t="s">
        <v>67</v>
      </c>
      <c r="I343" s="14"/>
      <c r="J343" s="14"/>
      <c r="K343" s="12">
        <v>210</v>
      </c>
      <c r="L343" s="9"/>
      <c r="M343" s="9"/>
      <c r="N343" s="9"/>
      <c r="O343" s="38">
        <f t="shared" si="27"/>
        <v>210</v>
      </c>
      <c r="P343" s="12"/>
      <c r="Q343" s="42"/>
      <c r="R343" s="15"/>
      <c r="S343" s="44"/>
      <c r="T343" s="15"/>
      <c r="U343" s="44"/>
      <c r="V343" s="15">
        <f t="shared" si="28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29"/>
        <v>0</v>
      </c>
      <c r="AF343" s="15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30"/>
        <v>0</v>
      </c>
      <c r="BA343" s="15"/>
      <c r="BB343" s="44"/>
      <c r="BC343" s="15"/>
      <c r="BD343" s="44"/>
      <c r="BE343" s="15">
        <f t="shared" si="26"/>
        <v>0</v>
      </c>
    </row>
    <row r="344" spans="1:57">
      <c r="A344" s="9"/>
      <c r="B344" s="16" t="s">
        <v>120</v>
      </c>
      <c r="C344" s="89" t="s">
        <v>52</v>
      </c>
      <c r="D344" s="80" t="s">
        <v>270</v>
      </c>
      <c r="E344" s="13" t="s">
        <v>521</v>
      </c>
      <c r="F344" s="96"/>
      <c r="G344" s="9"/>
      <c r="H344" s="9" t="s">
        <v>67</v>
      </c>
      <c r="I344" s="14"/>
      <c r="J344" s="14"/>
      <c r="K344" s="12">
        <v>354</v>
      </c>
      <c r="L344" s="9"/>
      <c r="M344" s="9"/>
      <c r="N344" s="9"/>
      <c r="O344" s="38">
        <f t="shared" si="27"/>
        <v>354</v>
      </c>
      <c r="P344" s="12"/>
      <c r="Q344" s="42"/>
      <c r="R344" s="15"/>
      <c r="S344" s="44"/>
      <c r="T344" s="15"/>
      <c r="U344" s="44"/>
      <c r="V344" s="15">
        <f t="shared" si="28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29"/>
        <v>0</v>
      </c>
      <c r="AF344" s="15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30"/>
        <v>0</v>
      </c>
      <c r="BA344" s="15"/>
      <c r="BB344" s="44"/>
      <c r="BC344" s="15"/>
      <c r="BD344" s="44"/>
      <c r="BE344" s="15">
        <f t="shared" si="26"/>
        <v>0</v>
      </c>
    </row>
    <row r="345" spans="1:57">
      <c r="A345" s="9"/>
      <c r="B345" s="16" t="s">
        <v>120</v>
      </c>
      <c r="C345" s="89" t="s">
        <v>494</v>
      </c>
      <c r="D345" s="80" t="s">
        <v>522</v>
      </c>
      <c r="E345" s="13" t="s">
        <v>523</v>
      </c>
      <c r="F345" s="96"/>
      <c r="G345" s="9"/>
      <c r="H345" s="9" t="s">
        <v>67</v>
      </c>
      <c r="I345" s="14"/>
      <c r="J345" s="14"/>
      <c r="K345" s="12">
        <v>0</v>
      </c>
      <c r="L345" s="9"/>
      <c r="M345" s="9"/>
      <c r="N345" s="9"/>
      <c r="O345" s="38">
        <f t="shared" si="27"/>
        <v>0</v>
      </c>
      <c r="P345" s="12"/>
      <c r="Q345" s="42"/>
      <c r="R345" s="15"/>
      <c r="S345" s="44"/>
      <c r="T345" s="15"/>
      <c r="U345" s="44"/>
      <c r="V345" s="15">
        <f t="shared" si="28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29"/>
        <v>0</v>
      </c>
      <c r="AF345" s="15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30"/>
        <v>0</v>
      </c>
      <c r="BA345" s="15"/>
      <c r="BB345" s="44"/>
      <c r="BC345" s="15"/>
      <c r="BD345" s="44"/>
      <c r="BE345" s="15">
        <f t="shared" si="26"/>
        <v>0</v>
      </c>
    </row>
    <row r="346" spans="1:57">
      <c r="A346" s="9"/>
      <c r="B346" s="16" t="s">
        <v>120</v>
      </c>
      <c r="C346" s="89" t="s">
        <v>52</v>
      </c>
      <c r="D346" s="81" t="s">
        <v>524</v>
      </c>
      <c r="E346" s="22" t="s">
        <v>525</v>
      </c>
      <c r="F346" s="96"/>
      <c r="G346" s="9"/>
      <c r="H346" s="9" t="s">
        <v>67</v>
      </c>
      <c r="I346" s="14"/>
      <c r="J346" s="14"/>
      <c r="K346" s="12">
        <v>712</v>
      </c>
      <c r="L346" s="9"/>
      <c r="M346" s="9"/>
      <c r="N346" s="9"/>
      <c r="O346" s="38">
        <f t="shared" si="27"/>
        <v>712</v>
      </c>
      <c r="P346" s="12"/>
      <c r="Q346" s="42"/>
      <c r="R346" s="15"/>
      <c r="S346" s="44"/>
      <c r="T346" s="15"/>
      <c r="U346" s="44"/>
      <c r="V346" s="15">
        <f t="shared" si="28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29"/>
        <v>0</v>
      </c>
      <c r="AF346" s="15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30"/>
        <v>0</v>
      </c>
      <c r="BA346" s="15"/>
      <c r="BB346" s="44"/>
      <c r="BC346" s="15"/>
      <c r="BD346" s="44"/>
      <c r="BE346" s="15">
        <f t="shared" si="26"/>
        <v>0</v>
      </c>
    </row>
    <row r="347" spans="1:57">
      <c r="A347" s="9"/>
      <c r="B347" s="16" t="s">
        <v>187</v>
      </c>
      <c r="C347" s="89" t="s">
        <v>494</v>
      </c>
      <c r="D347" s="61" t="s">
        <v>526</v>
      </c>
      <c r="E347" s="13" t="s">
        <v>499</v>
      </c>
      <c r="F347" s="96"/>
      <c r="G347" s="9"/>
      <c r="H347" s="9" t="s">
        <v>527</v>
      </c>
      <c r="I347" s="14"/>
      <c r="J347" s="14"/>
      <c r="K347" s="12">
        <v>0</v>
      </c>
      <c r="L347" s="9"/>
      <c r="M347" s="9"/>
      <c r="N347" s="9"/>
      <c r="O347" s="38">
        <f t="shared" si="27"/>
        <v>0</v>
      </c>
      <c r="P347" s="12"/>
      <c r="Q347" s="42"/>
      <c r="R347" s="15"/>
      <c r="S347" s="44"/>
      <c r="T347" s="15"/>
      <c r="U347" s="44"/>
      <c r="V347" s="15">
        <f t="shared" si="28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29"/>
        <v>0</v>
      </c>
      <c r="AF347" s="15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30"/>
        <v>0</v>
      </c>
      <c r="BA347" s="15"/>
      <c r="BB347" s="44"/>
      <c r="BC347" s="15"/>
      <c r="BD347" s="44"/>
      <c r="BE347" s="15">
        <f t="shared" si="26"/>
        <v>0</v>
      </c>
    </row>
    <row r="348" spans="1:57">
      <c r="A348" s="9"/>
      <c r="B348" s="16" t="s">
        <v>528</v>
      </c>
      <c r="C348" s="89" t="s">
        <v>494</v>
      </c>
      <c r="D348" s="80" t="s">
        <v>529</v>
      </c>
      <c r="E348" s="13" t="s">
        <v>499</v>
      </c>
      <c r="F348" s="96"/>
      <c r="G348" s="9"/>
      <c r="H348" s="9" t="s">
        <v>527</v>
      </c>
      <c r="I348" s="14"/>
      <c r="J348" s="14"/>
      <c r="K348" s="12">
        <v>0</v>
      </c>
      <c r="L348" s="9"/>
      <c r="M348" s="9"/>
      <c r="N348" s="9"/>
      <c r="O348" s="38">
        <f t="shared" si="27"/>
        <v>0</v>
      </c>
      <c r="P348" s="12"/>
      <c r="Q348" s="42"/>
      <c r="R348" s="15"/>
      <c r="S348" s="44"/>
      <c r="T348" s="15"/>
      <c r="U348" s="44"/>
      <c r="V348" s="15">
        <f t="shared" si="28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29"/>
        <v>0</v>
      </c>
      <c r="AF348" s="15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30"/>
        <v>0</v>
      </c>
      <c r="BA348" s="15"/>
      <c r="BB348" s="44"/>
      <c r="BC348" s="15"/>
      <c r="BD348" s="44"/>
      <c r="BE348" s="15">
        <f t="shared" si="26"/>
        <v>0</v>
      </c>
    </row>
    <row r="349" spans="1:57">
      <c r="A349" s="9"/>
      <c r="B349" s="16" t="s">
        <v>204</v>
      </c>
      <c r="C349" s="89" t="s">
        <v>52</v>
      </c>
      <c r="D349" s="80" t="s">
        <v>530</v>
      </c>
      <c r="E349" s="13" t="s">
        <v>531</v>
      </c>
      <c r="F349" s="96"/>
      <c r="G349" s="9"/>
      <c r="H349" s="9" t="s">
        <v>207</v>
      </c>
      <c r="I349" s="14"/>
      <c r="J349" s="14"/>
      <c r="K349" s="12">
        <v>348</v>
      </c>
      <c r="L349" s="9"/>
      <c r="M349" s="9"/>
      <c r="N349" s="9"/>
      <c r="O349" s="38">
        <f t="shared" si="27"/>
        <v>348</v>
      </c>
      <c r="P349" s="12"/>
      <c r="Q349" s="42"/>
      <c r="R349" s="15"/>
      <c r="S349" s="44"/>
      <c r="T349" s="15"/>
      <c r="U349" s="44"/>
      <c r="V349" s="15">
        <f t="shared" si="28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29"/>
        <v>0</v>
      </c>
      <c r="AF349" s="15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30"/>
        <v>0</v>
      </c>
      <c r="BA349" s="15"/>
      <c r="BB349" s="44"/>
      <c r="BC349" s="15"/>
      <c r="BD349" s="44"/>
      <c r="BE349" s="15">
        <f t="shared" si="26"/>
        <v>0</v>
      </c>
    </row>
    <row r="350" spans="1:57">
      <c r="A350" s="9"/>
      <c r="B350" s="16" t="s">
        <v>204</v>
      </c>
      <c r="C350" s="89" t="s">
        <v>52</v>
      </c>
      <c r="D350" s="80" t="s">
        <v>532</v>
      </c>
      <c r="E350" s="13" t="s">
        <v>531</v>
      </c>
      <c r="F350" s="96"/>
      <c r="G350" s="9"/>
      <c r="H350" s="9" t="s">
        <v>207</v>
      </c>
      <c r="I350" s="14"/>
      <c r="J350" s="14"/>
      <c r="K350" s="12">
        <v>326</v>
      </c>
      <c r="L350" s="9"/>
      <c r="M350" s="9"/>
      <c r="N350" s="9"/>
      <c r="O350" s="38">
        <f t="shared" si="27"/>
        <v>326</v>
      </c>
      <c r="P350" s="12"/>
      <c r="Q350" s="42"/>
      <c r="R350" s="15"/>
      <c r="S350" s="44"/>
      <c r="T350" s="15"/>
      <c r="U350" s="44"/>
      <c r="V350" s="15">
        <f t="shared" si="28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29"/>
        <v>0</v>
      </c>
      <c r="AF350" s="15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30"/>
        <v>0</v>
      </c>
      <c r="BA350" s="15"/>
      <c r="BB350" s="44"/>
      <c r="BC350" s="15"/>
      <c r="BD350" s="44"/>
      <c r="BE350" s="15">
        <f t="shared" si="26"/>
        <v>0</v>
      </c>
    </row>
    <row r="351" spans="1:57">
      <c r="A351" s="9"/>
      <c r="B351" s="16" t="s">
        <v>204</v>
      </c>
      <c r="C351" s="89" t="s">
        <v>52</v>
      </c>
      <c r="D351" s="80" t="s">
        <v>533</v>
      </c>
      <c r="E351" s="13" t="s">
        <v>531</v>
      </c>
      <c r="F351" s="96"/>
      <c r="G351" s="9"/>
      <c r="H351" s="9" t="s">
        <v>207</v>
      </c>
      <c r="I351" s="14"/>
      <c r="J351" s="14"/>
      <c r="K351" s="12">
        <v>306</v>
      </c>
      <c r="L351" s="9"/>
      <c r="M351" s="9"/>
      <c r="N351" s="9"/>
      <c r="O351" s="38">
        <f t="shared" si="27"/>
        <v>306</v>
      </c>
      <c r="P351" s="12"/>
      <c r="Q351" s="42"/>
      <c r="R351" s="15"/>
      <c r="S351" s="44"/>
      <c r="T351" s="15"/>
      <c r="U351" s="44"/>
      <c r="V351" s="15">
        <f t="shared" si="28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29"/>
        <v>0</v>
      </c>
      <c r="AF351" s="15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30"/>
        <v>0</v>
      </c>
      <c r="BA351" s="15"/>
      <c r="BB351" s="44"/>
      <c r="BC351" s="15"/>
      <c r="BD351" s="44"/>
      <c r="BE351" s="15">
        <f t="shared" ref="BE351:BE414" si="31">(BA351+BC351)</f>
        <v>0</v>
      </c>
    </row>
    <row r="352" spans="1:57">
      <c r="A352" s="9"/>
      <c r="B352" s="16" t="s">
        <v>204</v>
      </c>
      <c r="C352" s="89" t="s">
        <v>52</v>
      </c>
      <c r="D352" s="80" t="s">
        <v>533</v>
      </c>
      <c r="E352" s="13" t="s">
        <v>534</v>
      </c>
      <c r="F352" s="96"/>
      <c r="G352" s="9"/>
      <c r="H352" s="9" t="s">
        <v>207</v>
      </c>
      <c r="I352" s="14"/>
      <c r="J352" s="14"/>
      <c r="K352" s="12">
        <v>0</v>
      </c>
      <c r="L352" s="9"/>
      <c r="M352" s="9"/>
      <c r="N352" s="9"/>
      <c r="O352" s="38">
        <f t="shared" si="27"/>
        <v>0</v>
      </c>
      <c r="P352" s="12"/>
      <c r="Q352" s="42"/>
      <c r="R352" s="15"/>
      <c r="S352" s="44"/>
      <c r="T352" s="15"/>
      <c r="U352" s="44"/>
      <c r="V352" s="15">
        <f t="shared" si="28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29"/>
        <v>0</v>
      </c>
      <c r="AF352" s="15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30"/>
        <v>0</v>
      </c>
      <c r="BA352" s="15"/>
      <c r="BB352" s="44"/>
      <c r="BC352" s="15"/>
      <c r="BD352" s="44"/>
      <c r="BE352" s="15">
        <f t="shared" si="31"/>
        <v>0</v>
      </c>
    </row>
    <row r="353" spans="1:57">
      <c r="A353" s="9"/>
      <c r="B353" s="16" t="s">
        <v>204</v>
      </c>
      <c r="C353" s="89" t="s">
        <v>52</v>
      </c>
      <c r="D353" s="80" t="s">
        <v>535</v>
      </c>
      <c r="E353" s="13" t="s">
        <v>210</v>
      </c>
      <c r="F353" s="96"/>
      <c r="G353" s="9"/>
      <c r="H353" s="9" t="s">
        <v>231</v>
      </c>
      <c r="I353" s="14"/>
      <c r="J353" s="14"/>
      <c r="K353" s="12">
        <v>0</v>
      </c>
      <c r="L353" s="9"/>
      <c r="M353" s="9"/>
      <c r="N353" s="9"/>
      <c r="O353" s="38">
        <f t="shared" si="27"/>
        <v>0</v>
      </c>
      <c r="P353" s="12"/>
      <c r="Q353" s="42"/>
      <c r="R353" s="15"/>
      <c r="S353" s="44"/>
      <c r="T353" s="15"/>
      <c r="U353" s="44"/>
      <c r="V353" s="15">
        <f t="shared" si="28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29"/>
        <v>0</v>
      </c>
      <c r="AF353" s="15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30"/>
        <v>0</v>
      </c>
      <c r="BA353" s="15"/>
      <c r="BB353" s="44"/>
      <c r="BC353" s="15"/>
      <c r="BD353" s="44"/>
      <c r="BE353" s="15">
        <f t="shared" si="31"/>
        <v>0</v>
      </c>
    </row>
    <row r="354" spans="1:57">
      <c r="A354" s="9"/>
      <c r="B354" s="16" t="s">
        <v>204</v>
      </c>
      <c r="C354" s="89" t="s">
        <v>52</v>
      </c>
      <c r="D354" s="80" t="s">
        <v>536</v>
      </c>
      <c r="E354" s="13" t="s">
        <v>537</v>
      </c>
      <c r="F354" s="96"/>
      <c r="G354" s="9"/>
      <c r="H354" s="9" t="s">
        <v>207</v>
      </c>
      <c r="I354" s="14"/>
      <c r="J354" s="14"/>
      <c r="K354" s="12">
        <v>327</v>
      </c>
      <c r="L354" s="9"/>
      <c r="M354" s="9"/>
      <c r="N354" s="9"/>
      <c r="O354" s="38">
        <f t="shared" si="27"/>
        <v>327</v>
      </c>
      <c r="P354" s="12"/>
      <c r="Q354" s="42"/>
      <c r="R354" s="15"/>
      <c r="S354" s="44"/>
      <c r="T354" s="15"/>
      <c r="U354" s="44"/>
      <c r="V354" s="15">
        <f t="shared" si="28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29"/>
        <v>0</v>
      </c>
      <c r="AF354" s="15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30"/>
        <v>0</v>
      </c>
      <c r="BA354" s="15"/>
      <c r="BB354" s="44"/>
      <c r="BC354" s="15"/>
      <c r="BD354" s="44"/>
      <c r="BE354" s="15">
        <f t="shared" si="31"/>
        <v>0</v>
      </c>
    </row>
    <row r="355" spans="1:57">
      <c r="A355" s="9"/>
      <c r="B355" s="16" t="s">
        <v>204</v>
      </c>
      <c r="C355" s="89" t="s">
        <v>52</v>
      </c>
      <c r="D355" s="80" t="s">
        <v>538</v>
      </c>
      <c r="E355" s="13" t="s">
        <v>531</v>
      </c>
      <c r="F355" s="96"/>
      <c r="G355" s="9"/>
      <c r="H355" s="9" t="s">
        <v>207</v>
      </c>
      <c r="I355" s="14"/>
      <c r="J355" s="14"/>
      <c r="K355" s="12">
        <v>355</v>
      </c>
      <c r="L355" s="9"/>
      <c r="M355" s="9"/>
      <c r="N355" s="9"/>
      <c r="O355" s="38">
        <f t="shared" si="27"/>
        <v>355</v>
      </c>
      <c r="P355" s="12"/>
      <c r="Q355" s="42"/>
      <c r="R355" s="15"/>
      <c r="S355" s="44"/>
      <c r="T355" s="15"/>
      <c r="U355" s="44"/>
      <c r="V355" s="15">
        <f t="shared" si="28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29"/>
        <v>0</v>
      </c>
      <c r="AF355" s="15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30"/>
        <v>0</v>
      </c>
      <c r="BA355" s="15"/>
      <c r="BB355" s="44"/>
      <c r="BC355" s="15"/>
      <c r="BD355" s="44"/>
      <c r="BE355" s="15">
        <f t="shared" si="31"/>
        <v>0</v>
      </c>
    </row>
    <row r="356" spans="1:57">
      <c r="A356" s="9"/>
      <c r="B356" s="16" t="s">
        <v>204</v>
      </c>
      <c r="C356" s="89" t="s">
        <v>52</v>
      </c>
      <c r="D356" s="80" t="s">
        <v>539</v>
      </c>
      <c r="E356" s="13" t="s">
        <v>531</v>
      </c>
      <c r="F356" s="96"/>
      <c r="G356" s="9"/>
      <c r="H356" s="9" t="s">
        <v>207</v>
      </c>
      <c r="I356" s="14"/>
      <c r="J356" s="14"/>
      <c r="K356" s="12">
        <v>0</v>
      </c>
      <c r="L356" s="9"/>
      <c r="M356" s="9"/>
      <c r="N356" s="9"/>
      <c r="O356" s="38">
        <f t="shared" si="27"/>
        <v>0</v>
      </c>
      <c r="P356" s="12"/>
      <c r="Q356" s="42"/>
      <c r="R356" s="15"/>
      <c r="S356" s="44"/>
      <c r="T356" s="15"/>
      <c r="U356" s="44"/>
      <c r="V356" s="15">
        <f t="shared" si="28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29"/>
        <v>0</v>
      </c>
      <c r="AF356" s="15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30"/>
        <v>0</v>
      </c>
      <c r="BA356" s="15"/>
      <c r="BB356" s="44"/>
      <c r="BC356" s="15"/>
      <c r="BD356" s="44"/>
      <c r="BE356" s="15">
        <f t="shared" si="31"/>
        <v>0</v>
      </c>
    </row>
    <row r="357" spans="1:57">
      <c r="A357" s="9"/>
      <c r="B357" s="16" t="s">
        <v>204</v>
      </c>
      <c r="C357" s="89" t="s">
        <v>52</v>
      </c>
      <c r="D357" s="80" t="s">
        <v>540</v>
      </c>
      <c r="E357" s="13" t="s">
        <v>531</v>
      </c>
      <c r="F357" s="96"/>
      <c r="G357" s="9"/>
      <c r="H357" s="9" t="s">
        <v>207</v>
      </c>
      <c r="I357" s="14"/>
      <c r="J357" s="14"/>
      <c r="K357" s="12">
        <v>26</v>
      </c>
      <c r="L357" s="9"/>
      <c r="M357" s="9"/>
      <c r="N357" s="9"/>
      <c r="O357" s="38">
        <f t="shared" si="27"/>
        <v>26</v>
      </c>
      <c r="P357" s="12"/>
      <c r="Q357" s="42"/>
      <c r="R357" s="15"/>
      <c r="S357" s="44"/>
      <c r="T357" s="15"/>
      <c r="U357" s="44"/>
      <c r="V357" s="15">
        <f t="shared" si="28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29"/>
        <v>0</v>
      </c>
      <c r="AF357" s="15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si="30"/>
        <v>0</v>
      </c>
      <c r="BA357" s="15"/>
      <c r="BB357" s="44"/>
      <c r="BC357" s="15"/>
      <c r="BD357" s="44"/>
      <c r="BE357" s="15">
        <f t="shared" si="31"/>
        <v>0</v>
      </c>
    </row>
    <row r="358" spans="1:57">
      <c r="A358" s="9"/>
      <c r="B358" s="16" t="s">
        <v>204</v>
      </c>
      <c r="C358" s="89" t="s">
        <v>52</v>
      </c>
      <c r="D358" s="80" t="s">
        <v>541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1009</v>
      </c>
      <c r="L358" s="9"/>
      <c r="M358" s="9"/>
      <c r="N358" s="9"/>
      <c r="O358" s="38">
        <f t="shared" si="27"/>
        <v>1009</v>
      </c>
      <c r="P358" s="12"/>
      <c r="Q358" s="42"/>
      <c r="R358" s="15"/>
      <c r="S358" s="44"/>
      <c r="T358" s="15"/>
      <c r="U358" s="44"/>
      <c r="V358" s="15">
        <f t="shared" si="28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29"/>
        <v>0</v>
      </c>
      <c r="AF358" s="15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0"/>
        <v>0</v>
      </c>
      <c r="BA358" s="15"/>
      <c r="BB358" s="44"/>
      <c r="BC358" s="15"/>
      <c r="BD358" s="44"/>
      <c r="BE358" s="15">
        <f t="shared" si="31"/>
        <v>0</v>
      </c>
    </row>
    <row r="359" spans="1:57">
      <c r="A359" s="9"/>
      <c r="B359" s="16" t="s">
        <v>204</v>
      </c>
      <c r="C359" s="89" t="s">
        <v>52</v>
      </c>
      <c r="D359" s="81" t="s">
        <v>542</v>
      </c>
      <c r="E359" s="13" t="s">
        <v>206</v>
      </c>
      <c r="F359" s="96"/>
      <c r="G359" s="9"/>
      <c r="H359" s="9" t="s">
        <v>207</v>
      </c>
      <c r="I359" s="14"/>
      <c r="J359" s="14"/>
      <c r="K359" s="12">
        <v>335</v>
      </c>
      <c r="L359" s="9"/>
      <c r="M359" s="9"/>
      <c r="N359" s="9"/>
      <c r="O359" s="38">
        <f t="shared" si="27"/>
        <v>335</v>
      </c>
      <c r="P359" s="12"/>
      <c r="Q359" s="42"/>
      <c r="R359" s="15"/>
      <c r="S359" s="44"/>
      <c r="T359" s="15"/>
      <c r="U359" s="44"/>
      <c r="V359" s="15">
        <f t="shared" si="28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29"/>
        <v>0</v>
      </c>
      <c r="AF359" s="15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0"/>
        <v>0</v>
      </c>
      <c r="BA359" s="15"/>
      <c r="BB359" s="44"/>
      <c r="BC359" s="15"/>
      <c r="BD359" s="44"/>
      <c r="BE359" s="15">
        <f t="shared" si="31"/>
        <v>0</v>
      </c>
    </row>
    <row r="360" spans="1:57">
      <c r="A360" s="9"/>
      <c r="B360" s="16" t="s">
        <v>204</v>
      </c>
      <c r="C360" s="89" t="s">
        <v>52</v>
      </c>
      <c r="D360" s="56" t="s">
        <v>543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0</v>
      </c>
      <c r="L360" s="9"/>
      <c r="M360" s="9"/>
      <c r="N360" s="9"/>
      <c r="O360" s="38">
        <f t="shared" si="27"/>
        <v>0</v>
      </c>
      <c r="P360" s="12"/>
      <c r="Q360" s="42"/>
      <c r="R360" s="15"/>
      <c r="S360" s="44"/>
      <c r="T360" s="15"/>
      <c r="U360" s="44"/>
      <c r="V360" s="15">
        <f t="shared" si="28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29"/>
        <v>0</v>
      </c>
      <c r="AF360" s="15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0"/>
        <v>0</v>
      </c>
      <c r="BA360" s="15"/>
      <c r="BB360" s="44"/>
      <c r="BC360" s="15"/>
      <c r="BD360" s="44"/>
      <c r="BE360" s="15">
        <f t="shared" si="31"/>
        <v>0</v>
      </c>
    </row>
    <row r="361" spans="1:57">
      <c r="A361" s="9"/>
      <c r="B361" s="16" t="s">
        <v>204</v>
      </c>
      <c r="C361" s="89" t="s">
        <v>52</v>
      </c>
      <c r="D361" s="81" t="s">
        <v>544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536</v>
      </c>
      <c r="L361" s="9"/>
      <c r="M361" s="9"/>
      <c r="N361" s="9"/>
      <c r="O361" s="38">
        <f t="shared" si="27"/>
        <v>536</v>
      </c>
      <c r="P361" s="12"/>
      <c r="Q361" s="42"/>
      <c r="R361" s="15"/>
      <c r="S361" s="44"/>
      <c r="T361" s="15"/>
      <c r="U361" s="44"/>
      <c r="V361" s="15">
        <f t="shared" si="28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29"/>
        <v>0</v>
      </c>
      <c r="AF361" s="15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0"/>
        <v>0</v>
      </c>
      <c r="BA361" s="15"/>
      <c r="BB361" s="44"/>
      <c r="BC361" s="15"/>
      <c r="BD361" s="44"/>
      <c r="BE361" s="15">
        <f t="shared" si="31"/>
        <v>0</v>
      </c>
    </row>
    <row r="362" spans="1:57">
      <c r="A362" s="9"/>
      <c r="B362" s="16" t="s">
        <v>204</v>
      </c>
      <c r="C362" s="89" t="s">
        <v>52</v>
      </c>
      <c r="D362" s="97" t="s">
        <v>545</v>
      </c>
      <c r="E362" s="13" t="s">
        <v>531</v>
      </c>
      <c r="F362" s="96"/>
      <c r="G362" s="9"/>
      <c r="H362" s="9" t="s">
        <v>207</v>
      </c>
      <c r="I362" s="14"/>
      <c r="J362" s="14"/>
      <c r="K362" s="12">
        <v>8</v>
      </c>
      <c r="L362" s="9"/>
      <c r="M362" s="9"/>
      <c r="N362" s="9"/>
      <c r="O362" s="38">
        <f t="shared" si="27"/>
        <v>8</v>
      </c>
      <c r="P362" s="12"/>
      <c r="Q362" s="42"/>
      <c r="R362" s="15"/>
      <c r="S362" s="44"/>
      <c r="T362" s="15"/>
      <c r="U362" s="44"/>
      <c r="V362" s="15">
        <f t="shared" si="28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29"/>
        <v>0</v>
      </c>
      <c r="AF362" s="15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0"/>
        <v>0</v>
      </c>
      <c r="BA362" s="15"/>
      <c r="BB362" s="44"/>
      <c r="BC362" s="15"/>
      <c r="BD362" s="44"/>
      <c r="BE362" s="15">
        <f t="shared" si="31"/>
        <v>0</v>
      </c>
    </row>
    <row r="363" spans="1:57">
      <c r="A363" s="9"/>
      <c r="B363" s="16" t="s">
        <v>204</v>
      </c>
      <c r="C363" s="89" t="s">
        <v>52</v>
      </c>
      <c r="D363" s="80" t="s">
        <v>546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586</v>
      </c>
      <c r="L363" s="9"/>
      <c r="M363" s="9"/>
      <c r="N363" s="9"/>
      <c r="O363" s="38">
        <f t="shared" si="27"/>
        <v>586</v>
      </c>
      <c r="P363" s="12"/>
      <c r="Q363" s="42"/>
      <c r="R363" s="15"/>
      <c r="S363" s="44"/>
      <c r="T363" s="15"/>
      <c r="U363" s="44"/>
      <c r="V363" s="15">
        <f t="shared" si="28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29"/>
        <v>0</v>
      </c>
      <c r="AF363" s="15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0"/>
        <v>0</v>
      </c>
      <c r="BA363" s="15"/>
      <c r="BB363" s="44"/>
      <c r="BC363" s="15"/>
      <c r="BD363" s="44"/>
      <c r="BE363" s="15">
        <f t="shared" si="31"/>
        <v>0</v>
      </c>
    </row>
    <row r="364" spans="1:57">
      <c r="A364" s="9"/>
      <c r="B364" s="16" t="s">
        <v>204</v>
      </c>
      <c r="C364" s="89" t="s">
        <v>52</v>
      </c>
      <c r="D364" s="81" t="s">
        <v>547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309</v>
      </c>
      <c r="L364" s="9"/>
      <c r="M364" s="9"/>
      <c r="N364" s="9"/>
      <c r="O364" s="38">
        <f t="shared" si="27"/>
        <v>309</v>
      </c>
      <c r="P364" s="12"/>
      <c r="Q364" s="42"/>
      <c r="R364" s="15"/>
      <c r="S364" s="44"/>
      <c r="T364" s="15"/>
      <c r="U364" s="44"/>
      <c r="V364" s="15">
        <f t="shared" si="28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29"/>
        <v>0</v>
      </c>
      <c r="AF364" s="15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0"/>
        <v>0</v>
      </c>
      <c r="BA364" s="15"/>
      <c r="BB364" s="44"/>
      <c r="BC364" s="15"/>
      <c r="BD364" s="44"/>
      <c r="BE364" s="15">
        <f t="shared" si="31"/>
        <v>0</v>
      </c>
    </row>
    <row r="365" spans="1:57" ht="36" customHeight="1">
      <c r="A365" s="9"/>
      <c r="B365" s="16" t="s">
        <v>204</v>
      </c>
      <c r="C365" s="89" t="s">
        <v>52</v>
      </c>
      <c r="D365" s="82" t="s">
        <v>548</v>
      </c>
      <c r="E365" s="22" t="s">
        <v>531</v>
      </c>
      <c r="F365" s="96"/>
      <c r="G365" s="9"/>
      <c r="H365" s="9" t="s">
        <v>207</v>
      </c>
      <c r="I365" s="14"/>
      <c r="J365" s="14"/>
      <c r="K365" s="12">
        <v>109</v>
      </c>
      <c r="L365" s="9"/>
      <c r="M365" s="9"/>
      <c r="N365" s="9"/>
      <c r="O365" s="38">
        <f t="shared" si="27"/>
        <v>109</v>
      </c>
      <c r="P365" s="12"/>
      <c r="Q365" s="42"/>
      <c r="R365" s="15"/>
      <c r="S365" s="44"/>
      <c r="T365" s="15"/>
      <c r="U365" s="44"/>
      <c r="V365" s="15">
        <f t="shared" si="28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29"/>
        <v>0</v>
      </c>
      <c r="AF365" s="15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0"/>
        <v>0</v>
      </c>
      <c r="BA365" s="15"/>
      <c r="BB365" s="44"/>
      <c r="BC365" s="15"/>
      <c r="BD365" s="44"/>
      <c r="BE365" s="15">
        <f t="shared" si="31"/>
        <v>0</v>
      </c>
    </row>
    <row r="366" spans="1:57" ht="48" customHeight="1">
      <c r="A366" s="9"/>
      <c r="B366" s="16" t="s">
        <v>204</v>
      </c>
      <c r="C366" s="89" t="s">
        <v>52</v>
      </c>
      <c r="D366" s="81" t="s">
        <v>549</v>
      </c>
      <c r="E366" s="22" t="s">
        <v>550</v>
      </c>
      <c r="F366" s="96"/>
      <c r="G366" s="9"/>
      <c r="H366" s="9" t="s">
        <v>207</v>
      </c>
      <c r="I366" s="14"/>
      <c r="J366" s="14"/>
      <c r="K366" s="12">
        <v>21</v>
      </c>
      <c r="L366" s="9"/>
      <c r="M366" s="9"/>
      <c r="N366" s="9"/>
      <c r="O366" s="38">
        <f t="shared" si="27"/>
        <v>21</v>
      </c>
      <c r="P366" s="12"/>
      <c r="Q366" s="42"/>
      <c r="R366" s="15"/>
      <c r="S366" s="44"/>
      <c r="T366" s="15"/>
      <c r="U366" s="44"/>
      <c r="V366" s="15">
        <f t="shared" si="28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29"/>
        <v>0</v>
      </c>
      <c r="AF366" s="15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0"/>
        <v>0</v>
      </c>
      <c r="BA366" s="15"/>
      <c r="BB366" s="44"/>
      <c r="BC366" s="15"/>
      <c r="BD366" s="44"/>
      <c r="BE366" s="15">
        <f t="shared" si="31"/>
        <v>0</v>
      </c>
    </row>
    <row r="367" spans="1:57" ht="36" customHeight="1">
      <c r="A367" s="9"/>
      <c r="B367" s="16" t="s">
        <v>204</v>
      </c>
      <c r="C367" s="89" t="s">
        <v>52</v>
      </c>
      <c r="D367" s="59" t="s">
        <v>551</v>
      </c>
      <c r="E367" s="22" t="s">
        <v>531</v>
      </c>
      <c r="F367" s="96"/>
      <c r="G367" s="9"/>
      <c r="H367" s="9" t="s">
        <v>207</v>
      </c>
      <c r="I367" s="14"/>
      <c r="J367" s="14"/>
      <c r="K367" s="12">
        <v>193</v>
      </c>
      <c r="L367" s="9"/>
      <c r="M367" s="9"/>
      <c r="N367" s="9"/>
      <c r="O367" s="38">
        <f t="shared" si="27"/>
        <v>193</v>
      </c>
      <c r="P367" s="12"/>
      <c r="Q367" s="42"/>
      <c r="R367" s="15"/>
      <c r="S367" s="44"/>
      <c r="T367" s="15"/>
      <c r="U367" s="44"/>
      <c r="V367" s="15">
        <f t="shared" si="28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29"/>
        <v>0</v>
      </c>
      <c r="AF367" s="15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0"/>
        <v>0</v>
      </c>
      <c r="BA367" s="15"/>
      <c r="BB367" s="44"/>
      <c r="BC367" s="15"/>
      <c r="BD367" s="44"/>
      <c r="BE367" s="15">
        <f t="shared" si="31"/>
        <v>0</v>
      </c>
    </row>
    <row r="368" spans="1:57">
      <c r="A368" s="9"/>
      <c r="B368" s="16" t="s">
        <v>204</v>
      </c>
      <c r="C368" s="89" t="s">
        <v>52</v>
      </c>
      <c r="D368" s="59" t="s">
        <v>552</v>
      </c>
      <c r="E368" s="13" t="s">
        <v>206</v>
      </c>
      <c r="F368" s="96"/>
      <c r="G368" s="9"/>
      <c r="H368" s="9" t="s">
        <v>374</v>
      </c>
      <c r="I368" s="14"/>
      <c r="J368" s="14"/>
      <c r="K368" s="12">
        <v>352</v>
      </c>
      <c r="L368" s="9"/>
      <c r="M368" s="9"/>
      <c r="N368" s="9"/>
      <c r="O368" s="38">
        <f t="shared" si="27"/>
        <v>352</v>
      </c>
      <c r="P368" s="12"/>
      <c r="Q368" s="42"/>
      <c r="R368" s="15"/>
      <c r="S368" s="44"/>
      <c r="T368" s="15"/>
      <c r="U368" s="44"/>
      <c r="V368" s="15">
        <f t="shared" si="28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29"/>
        <v>0</v>
      </c>
      <c r="AF368" s="15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0"/>
        <v>0</v>
      </c>
      <c r="BA368" s="15"/>
      <c r="BB368" s="44"/>
      <c r="BC368" s="15"/>
      <c r="BD368" s="44"/>
      <c r="BE368" s="15">
        <f t="shared" si="31"/>
        <v>0</v>
      </c>
    </row>
    <row r="369" spans="1:57" ht="24" customHeight="1">
      <c r="A369" s="9"/>
      <c r="B369" s="16" t="s">
        <v>233</v>
      </c>
      <c r="C369" s="89" t="s">
        <v>52</v>
      </c>
      <c r="D369" s="56" t="s">
        <v>553</v>
      </c>
      <c r="E369" s="22" t="s">
        <v>554</v>
      </c>
      <c r="F369" s="96"/>
      <c r="G369" s="9"/>
      <c r="H369" s="9" t="s">
        <v>207</v>
      </c>
      <c r="I369" s="14"/>
      <c r="J369" s="14"/>
      <c r="K369" s="12">
        <v>379</v>
      </c>
      <c r="L369" s="9"/>
      <c r="M369" s="9"/>
      <c r="N369" s="9"/>
      <c r="O369" s="38">
        <f t="shared" si="27"/>
        <v>379</v>
      </c>
      <c r="P369" s="12"/>
      <c r="Q369" s="42"/>
      <c r="R369" s="15"/>
      <c r="S369" s="44"/>
      <c r="T369" s="15"/>
      <c r="U369" s="44"/>
      <c r="V369" s="15">
        <f t="shared" si="28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29"/>
        <v>0</v>
      </c>
      <c r="AF369" s="15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0"/>
        <v>0</v>
      </c>
      <c r="BA369" s="15"/>
      <c r="BB369" s="44"/>
      <c r="BC369" s="15"/>
      <c r="BD369" s="44"/>
      <c r="BE369" s="15">
        <f t="shared" si="31"/>
        <v>0</v>
      </c>
    </row>
    <row r="370" spans="1:57" ht="24" customHeight="1">
      <c r="A370" s="9"/>
      <c r="B370" s="16" t="s">
        <v>233</v>
      </c>
      <c r="C370" s="89" t="s">
        <v>52</v>
      </c>
      <c r="D370" s="81" t="s">
        <v>555</v>
      </c>
      <c r="E370" s="22" t="s">
        <v>554</v>
      </c>
      <c r="F370" s="96"/>
      <c r="G370" s="9"/>
      <c r="H370" s="9" t="s">
        <v>207</v>
      </c>
      <c r="I370" s="14"/>
      <c r="J370" s="14"/>
      <c r="K370" s="12">
        <v>4</v>
      </c>
      <c r="L370" s="9"/>
      <c r="M370" s="9"/>
      <c r="N370" s="9"/>
      <c r="O370" s="38">
        <f t="shared" si="27"/>
        <v>4</v>
      </c>
      <c r="P370" s="12"/>
      <c r="Q370" s="42"/>
      <c r="R370" s="15"/>
      <c r="S370" s="44"/>
      <c r="T370" s="15"/>
      <c r="U370" s="44"/>
      <c r="V370" s="15">
        <f t="shared" si="28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29"/>
        <v>0</v>
      </c>
      <c r="AF370" s="15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0"/>
        <v>0</v>
      </c>
      <c r="BA370" s="15"/>
      <c r="BB370" s="44"/>
      <c r="BC370" s="15"/>
      <c r="BD370" s="44"/>
      <c r="BE370" s="15">
        <f t="shared" si="31"/>
        <v>0</v>
      </c>
    </row>
    <row r="371" spans="1:57" ht="24" customHeight="1">
      <c r="A371" s="9"/>
      <c r="B371" s="16" t="s">
        <v>233</v>
      </c>
      <c r="C371" s="89" t="s">
        <v>52</v>
      </c>
      <c r="D371" s="80" t="s">
        <v>556</v>
      </c>
      <c r="E371" s="22" t="s">
        <v>554</v>
      </c>
      <c r="F371" s="96"/>
      <c r="G371" s="9"/>
      <c r="H371" s="9" t="s">
        <v>207</v>
      </c>
      <c r="I371" s="14"/>
      <c r="J371" s="14"/>
      <c r="K371" s="12">
        <v>575</v>
      </c>
      <c r="L371" s="9"/>
      <c r="M371" s="9"/>
      <c r="N371" s="9"/>
      <c r="O371" s="38">
        <f t="shared" si="27"/>
        <v>575</v>
      </c>
      <c r="P371" s="12"/>
      <c r="Q371" s="42"/>
      <c r="R371" s="15"/>
      <c r="S371" s="44"/>
      <c r="T371" s="15"/>
      <c r="U371" s="44"/>
      <c r="V371" s="15">
        <f t="shared" si="28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29"/>
        <v>0</v>
      </c>
      <c r="AF371" s="15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0"/>
        <v>0</v>
      </c>
      <c r="BA371" s="15"/>
      <c r="BB371" s="44"/>
      <c r="BC371" s="15"/>
      <c r="BD371" s="44"/>
      <c r="BE371" s="15">
        <f t="shared" si="31"/>
        <v>0</v>
      </c>
    </row>
    <row r="372" spans="1:57" ht="24" customHeight="1">
      <c r="A372" s="9"/>
      <c r="B372" s="16" t="s">
        <v>233</v>
      </c>
      <c r="C372" s="89" t="s">
        <v>52</v>
      </c>
      <c r="D372" s="80" t="s">
        <v>557</v>
      </c>
      <c r="E372" s="22" t="s">
        <v>235</v>
      </c>
      <c r="F372" s="96"/>
      <c r="G372" s="9"/>
      <c r="H372" s="9" t="s">
        <v>558</v>
      </c>
      <c r="I372" s="14"/>
      <c r="J372" s="14"/>
      <c r="K372" s="12">
        <v>56</v>
      </c>
      <c r="L372" s="9"/>
      <c r="M372" s="9"/>
      <c r="N372" s="9"/>
      <c r="O372" s="38">
        <f t="shared" si="27"/>
        <v>56</v>
      </c>
      <c r="P372" s="12"/>
      <c r="Q372" s="42"/>
      <c r="R372" s="15"/>
      <c r="S372" s="44"/>
      <c r="T372" s="15"/>
      <c r="U372" s="44"/>
      <c r="V372" s="15">
        <f t="shared" si="28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29"/>
        <v>0</v>
      </c>
      <c r="AF372" s="15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0"/>
        <v>0</v>
      </c>
      <c r="BA372" s="15"/>
      <c r="BB372" s="44"/>
      <c r="BC372" s="15"/>
      <c r="BD372" s="44"/>
      <c r="BE372" s="15">
        <f t="shared" si="31"/>
        <v>0</v>
      </c>
    </row>
    <row r="373" spans="1:57" ht="24" customHeight="1">
      <c r="A373" s="9"/>
      <c r="B373" s="16" t="s">
        <v>233</v>
      </c>
      <c r="C373" s="89" t="s">
        <v>52</v>
      </c>
      <c r="D373" s="80" t="s">
        <v>559</v>
      </c>
      <c r="E373" s="22" t="s">
        <v>560</v>
      </c>
      <c r="F373" s="96"/>
      <c r="G373" s="9"/>
      <c r="H373" s="9" t="s">
        <v>558</v>
      </c>
      <c r="I373" s="14"/>
      <c r="J373" s="14"/>
      <c r="K373" s="12">
        <v>0</v>
      </c>
      <c r="L373" s="9"/>
      <c r="M373" s="9"/>
      <c r="N373" s="9"/>
      <c r="O373" s="38">
        <f t="shared" si="27"/>
        <v>0</v>
      </c>
      <c r="P373" s="12"/>
      <c r="Q373" s="42"/>
      <c r="R373" s="15"/>
      <c r="S373" s="44"/>
      <c r="T373" s="15"/>
      <c r="U373" s="44"/>
      <c r="V373" s="15">
        <f t="shared" si="28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29"/>
        <v>0</v>
      </c>
      <c r="AF373" s="15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0"/>
        <v>0</v>
      </c>
      <c r="BA373" s="15"/>
      <c r="BB373" s="44"/>
      <c r="BC373" s="15"/>
      <c r="BD373" s="44"/>
      <c r="BE373" s="15">
        <f t="shared" si="31"/>
        <v>0</v>
      </c>
    </row>
    <row r="374" spans="1:57">
      <c r="A374" s="9"/>
      <c r="B374" s="16" t="s">
        <v>249</v>
      </c>
      <c r="C374" s="89" t="s">
        <v>52</v>
      </c>
      <c r="D374" s="80" t="s">
        <v>561</v>
      </c>
      <c r="E374" s="13" t="s">
        <v>562</v>
      </c>
      <c r="F374" s="96"/>
      <c r="G374" s="9"/>
      <c r="H374" s="9" t="s">
        <v>563</v>
      </c>
      <c r="I374" s="14"/>
      <c r="J374" s="14"/>
      <c r="K374" s="12">
        <v>12</v>
      </c>
      <c r="L374" s="9"/>
      <c r="M374" s="9"/>
      <c r="N374" s="9"/>
      <c r="O374" s="38">
        <f t="shared" si="27"/>
        <v>12</v>
      </c>
      <c r="P374" s="12"/>
      <c r="Q374" s="42"/>
      <c r="R374" s="15"/>
      <c r="S374" s="44"/>
      <c r="T374" s="15"/>
      <c r="U374" s="44"/>
      <c r="V374" s="15">
        <f t="shared" si="28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29"/>
        <v>0</v>
      </c>
      <c r="AF374" s="15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0"/>
        <v>0</v>
      </c>
      <c r="BA374" s="15"/>
      <c r="BB374" s="44"/>
      <c r="BC374" s="15"/>
      <c r="BD374" s="44"/>
      <c r="BE374" s="15">
        <f t="shared" si="31"/>
        <v>0</v>
      </c>
    </row>
    <row r="375" spans="1:57">
      <c r="A375" s="9"/>
      <c r="B375" s="16" t="s">
        <v>155</v>
      </c>
      <c r="C375" s="89" t="s">
        <v>52</v>
      </c>
      <c r="D375" s="80" t="s">
        <v>564</v>
      </c>
      <c r="E375" s="13" t="s">
        <v>565</v>
      </c>
      <c r="F375" s="96"/>
      <c r="G375" s="9"/>
      <c r="H375" s="9" t="s">
        <v>566</v>
      </c>
      <c r="I375" s="14"/>
      <c r="J375" s="14"/>
      <c r="K375" s="12">
        <v>0</v>
      </c>
      <c r="L375" s="9"/>
      <c r="M375" s="9"/>
      <c r="N375" s="9"/>
      <c r="O375" s="38">
        <f t="shared" si="27"/>
        <v>0</v>
      </c>
      <c r="P375" s="12"/>
      <c r="Q375" s="42"/>
      <c r="R375" s="15"/>
      <c r="S375" s="44"/>
      <c r="T375" s="15"/>
      <c r="U375" s="44"/>
      <c r="V375" s="15">
        <f t="shared" si="28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29"/>
        <v>0</v>
      </c>
      <c r="AF375" s="15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0"/>
        <v>0</v>
      </c>
      <c r="BA375" s="15"/>
      <c r="BB375" s="44"/>
      <c r="BC375" s="15"/>
      <c r="BD375" s="44"/>
      <c r="BE375" s="15">
        <f t="shared" si="31"/>
        <v>0</v>
      </c>
    </row>
    <row r="376" spans="1:57">
      <c r="A376" s="9"/>
      <c r="B376" s="16" t="s">
        <v>155</v>
      </c>
      <c r="C376" s="89" t="s">
        <v>52</v>
      </c>
      <c r="D376" s="59" t="s">
        <v>567</v>
      </c>
      <c r="E376" s="13" t="s">
        <v>565</v>
      </c>
      <c r="F376" s="96"/>
      <c r="G376" s="9"/>
      <c r="H376" s="9" t="s">
        <v>566</v>
      </c>
      <c r="I376" s="14"/>
      <c r="J376" s="14"/>
      <c r="K376" s="12">
        <v>27</v>
      </c>
      <c r="L376" s="9"/>
      <c r="M376" s="9"/>
      <c r="N376" s="9"/>
      <c r="O376" s="38">
        <f t="shared" si="27"/>
        <v>27</v>
      </c>
      <c r="P376" s="12"/>
      <c r="Q376" s="42"/>
      <c r="R376" s="15"/>
      <c r="S376" s="44"/>
      <c r="T376" s="15"/>
      <c r="U376" s="44"/>
      <c r="V376" s="15">
        <f t="shared" si="28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29"/>
        <v>0</v>
      </c>
      <c r="AF376" s="15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0"/>
        <v>0</v>
      </c>
      <c r="BA376" s="15"/>
      <c r="BB376" s="44"/>
      <c r="BC376" s="15"/>
      <c r="BD376" s="44"/>
      <c r="BE376" s="15">
        <f t="shared" si="31"/>
        <v>0</v>
      </c>
    </row>
    <row r="377" spans="1:57">
      <c r="A377" s="9"/>
      <c r="B377" s="16" t="s">
        <v>155</v>
      </c>
      <c r="C377" s="89" t="s">
        <v>52</v>
      </c>
      <c r="D377" s="59" t="s">
        <v>568</v>
      </c>
      <c r="E377" s="13" t="s">
        <v>569</v>
      </c>
      <c r="F377" s="96"/>
      <c r="G377" s="9"/>
      <c r="H377" s="9" t="s">
        <v>566</v>
      </c>
      <c r="I377" s="14"/>
      <c r="J377" s="14"/>
      <c r="K377" s="12">
        <v>0</v>
      </c>
      <c r="L377" s="9"/>
      <c r="M377" s="9"/>
      <c r="N377" s="9"/>
      <c r="O377" s="38">
        <f t="shared" si="27"/>
        <v>0</v>
      </c>
      <c r="P377" s="12"/>
      <c r="Q377" s="42"/>
      <c r="R377" s="15"/>
      <c r="S377" s="44"/>
      <c r="T377" s="15"/>
      <c r="U377" s="44"/>
      <c r="V377" s="15">
        <f t="shared" si="28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29"/>
        <v>0</v>
      </c>
      <c r="AF377" s="15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0"/>
        <v>0</v>
      </c>
      <c r="BA377" s="15"/>
      <c r="BB377" s="44"/>
      <c r="BC377" s="15"/>
      <c r="BD377" s="44"/>
      <c r="BE377" s="15">
        <f t="shared" si="31"/>
        <v>0</v>
      </c>
    </row>
    <row r="378" spans="1:57">
      <c r="A378" s="9"/>
      <c r="B378" s="16" t="s">
        <v>330</v>
      </c>
      <c r="C378" s="89" t="s">
        <v>52</v>
      </c>
      <c r="D378" s="70" t="s">
        <v>333</v>
      </c>
      <c r="E378" s="13" t="s">
        <v>330</v>
      </c>
      <c r="F378" s="96"/>
      <c r="G378" s="9"/>
      <c r="H378" s="9" t="s">
        <v>332</v>
      </c>
      <c r="I378" s="14"/>
      <c r="J378" s="14"/>
      <c r="K378" s="12">
        <v>3600</v>
      </c>
      <c r="L378" s="9"/>
      <c r="M378" s="9"/>
      <c r="N378" s="9"/>
      <c r="O378" s="38">
        <f t="shared" si="27"/>
        <v>3600</v>
      </c>
      <c r="P378" s="12"/>
      <c r="Q378" s="42"/>
      <c r="R378" s="15"/>
      <c r="S378" s="44"/>
      <c r="T378" s="15"/>
      <c r="U378" s="44"/>
      <c r="V378" s="15">
        <f t="shared" si="28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29"/>
        <v>0</v>
      </c>
      <c r="AF378" s="15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0"/>
        <v>0</v>
      </c>
      <c r="BA378" s="15"/>
      <c r="BB378" s="44"/>
      <c r="BC378" s="15"/>
      <c r="BD378" s="44"/>
      <c r="BE378" s="15">
        <f t="shared" si="31"/>
        <v>0</v>
      </c>
    </row>
    <row r="379" spans="1:57">
      <c r="A379" s="9"/>
      <c r="B379" s="16" t="s">
        <v>570</v>
      </c>
      <c r="C379" s="89" t="s">
        <v>52</v>
      </c>
      <c r="D379" s="59" t="s">
        <v>571</v>
      </c>
      <c r="E379" s="13" t="s">
        <v>562</v>
      </c>
      <c r="F379" s="96"/>
      <c r="G379" s="9"/>
      <c r="H379" s="9" t="s">
        <v>314</v>
      </c>
      <c r="I379" s="14"/>
      <c r="J379" s="14"/>
      <c r="K379" s="12">
        <v>0</v>
      </c>
      <c r="L379" s="9"/>
      <c r="M379" s="9"/>
      <c r="N379" s="9"/>
      <c r="O379" s="38">
        <f t="shared" si="27"/>
        <v>0</v>
      </c>
      <c r="P379" s="12"/>
      <c r="Q379" s="42"/>
      <c r="R379" s="15"/>
      <c r="S379" s="44"/>
      <c r="T379" s="15"/>
      <c r="U379" s="44"/>
      <c r="V379" s="15">
        <f t="shared" si="28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29"/>
        <v>0</v>
      </c>
      <c r="AF379" s="15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0"/>
        <v>0</v>
      </c>
      <c r="BA379" s="15"/>
      <c r="BB379" s="44"/>
      <c r="BC379" s="15"/>
      <c r="BD379" s="44"/>
      <c r="BE379" s="15">
        <f t="shared" si="31"/>
        <v>0</v>
      </c>
    </row>
    <row r="380" spans="1:57">
      <c r="A380" s="9"/>
      <c r="B380" s="16" t="s">
        <v>472</v>
      </c>
      <c r="C380" s="89" t="s">
        <v>52</v>
      </c>
      <c r="D380" s="59" t="s">
        <v>572</v>
      </c>
      <c r="E380" s="13" t="s">
        <v>573</v>
      </c>
      <c r="F380" s="96"/>
      <c r="G380" s="9"/>
      <c r="H380" s="9" t="s">
        <v>67</v>
      </c>
      <c r="I380" s="14"/>
      <c r="J380" s="14"/>
      <c r="K380" s="12">
        <v>384</v>
      </c>
      <c r="L380" s="9"/>
      <c r="M380" s="9"/>
      <c r="N380" s="9"/>
      <c r="O380" s="38">
        <f t="shared" si="27"/>
        <v>384</v>
      </c>
      <c r="P380" s="12"/>
      <c r="Q380" s="42"/>
      <c r="R380" s="15"/>
      <c r="S380" s="44"/>
      <c r="T380" s="15"/>
      <c r="U380" s="44"/>
      <c r="V380" s="15">
        <f t="shared" si="28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29"/>
        <v>0</v>
      </c>
      <c r="AF380" s="15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0"/>
        <v>0</v>
      </c>
      <c r="BA380" s="15"/>
      <c r="BB380" s="44"/>
      <c r="BC380" s="15"/>
      <c r="BD380" s="44"/>
      <c r="BE380" s="15">
        <f t="shared" si="31"/>
        <v>0</v>
      </c>
    </row>
    <row r="381" spans="1:57">
      <c r="A381" s="9"/>
      <c r="B381" s="16" t="s">
        <v>574</v>
      </c>
      <c r="C381" s="89" t="s">
        <v>494</v>
      </c>
      <c r="D381" s="59" t="s">
        <v>575</v>
      </c>
      <c r="E381" s="13"/>
      <c r="F381" s="96"/>
      <c r="G381" s="9"/>
      <c r="H381" s="9" t="s">
        <v>576</v>
      </c>
      <c r="I381" s="14"/>
      <c r="J381" s="14"/>
      <c r="K381" s="12">
        <v>0</v>
      </c>
      <c r="L381" s="9"/>
      <c r="M381" s="9"/>
      <c r="N381" s="9"/>
      <c r="O381" s="38">
        <f t="shared" si="27"/>
        <v>0</v>
      </c>
      <c r="P381" s="12"/>
      <c r="Q381" s="42"/>
      <c r="R381" s="15"/>
      <c r="S381" s="44"/>
      <c r="T381" s="15"/>
      <c r="U381" s="44"/>
      <c r="V381" s="15">
        <f t="shared" si="28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29"/>
        <v>0</v>
      </c>
      <c r="AF381" s="15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0"/>
        <v>0</v>
      </c>
      <c r="BA381" s="15"/>
      <c r="BB381" s="44"/>
      <c r="BC381" s="15"/>
      <c r="BD381" s="44"/>
      <c r="BE381" s="15">
        <f t="shared" si="31"/>
        <v>0</v>
      </c>
    </row>
    <row r="382" spans="1:57">
      <c r="A382" s="9"/>
      <c r="B382" s="16" t="s">
        <v>574</v>
      </c>
      <c r="C382" s="89" t="s">
        <v>494</v>
      </c>
      <c r="D382" s="59" t="s">
        <v>577</v>
      </c>
      <c r="E382" s="13" t="s">
        <v>578</v>
      </c>
      <c r="F382" s="96"/>
      <c r="G382" s="9"/>
      <c r="H382" s="9" t="s">
        <v>576</v>
      </c>
      <c r="I382" s="14"/>
      <c r="J382" s="14"/>
      <c r="K382" s="12">
        <v>0</v>
      </c>
      <c r="L382" s="9"/>
      <c r="M382" s="9"/>
      <c r="N382" s="9"/>
      <c r="O382" s="38">
        <f t="shared" si="27"/>
        <v>0</v>
      </c>
      <c r="P382" s="12"/>
      <c r="Q382" s="42"/>
      <c r="R382" s="15"/>
      <c r="S382" s="44"/>
      <c r="T382" s="15"/>
      <c r="U382" s="44"/>
      <c r="V382" s="15">
        <f t="shared" si="28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29"/>
        <v>0</v>
      </c>
      <c r="AF382" s="15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0"/>
        <v>0</v>
      </c>
      <c r="BA382" s="15"/>
      <c r="BB382" s="44"/>
      <c r="BC382" s="15"/>
      <c r="BD382" s="44"/>
      <c r="BE382" s="15">
        <f t="shared" si="31"/>
        <v>0</v>
      </c>
    </row>
    <row r="383" spans="1:57">
      <c r="A383" s="9"/>
      <c r="B383" s="16" t="s">
        <v>244</v>
      </c>
      <c r="C383" s="89" t="s">
        <v>52</v>
      </c>
      <c r="D383" s="59" t="s">
        <v>579</v>
      </c>
      <c r="E383" s="13" t="s">
        <v>246</v>
      </c>
      <c r="F383" s="96"/>
      <c r="G383" s="9"/>
      <c r="H383" s="9" t="s">
        <v>247</v>
      </c>
      <c r="I383" s="14"/>
      <c r="J383" s="14"/>
      <c r="K383" s="12">
        <v>0</v>
      </c>
      <c r="L383" s="9"/>
      <c r="M383" s="9"/>
      <c r="N383" s="9"/>
      <c r="O383" s="38">
        <f t="shared" si="27"/>
        <v>0</v>
      </c>
      <c r="P383" s="12"/>
      <c r="Q383" s="42"/>
      <c r="R383" s="15"/>
      <c r="S383" s="44"/>
      <c r="T383" s="15"/>
      <c r="U383" s="44"/>
      <c r="V383" s="15">
        <f t="shared" si="28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29"/>
        <v>0</v>
      </c>
      <c r="AF383" s="15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0"/>
        <v>0</v>
      </c>
      <c r="BA383" s="15"/>
      <c r="BB383" s="44"/>
      <c r="BC383" s="15"/>
      <c r="BD383" s="44"/>
      <c r="BE383" s="15">
        <f t="shared" si="31"/>
        <v>0</v>
      </c>
    </row>
    <row r="384" spans="1:57">
      <c r="A384" s="9"/>
      <c r="B384" s="16" t="s">
        <v>244</v>
      </c>
      <c r="C384" s="89" t="s">
        <v>52</v>
      </c>
      <c r="D384" s="56" t="s">
        <v>580</v>
      </c>
      <c r="E384" s="13" t="s">
        <v>246</v>
      </c>
      <c r="F384" s="96"/>
      <c r="G384" s="9"/>
      <c r="H384" s="9" t="s">
        <v>247</v>
      </c>
      <c r="I384" s="14"/>
      <c r="J384" s="14"/>
      <c r="K384" s="12">
        <v>192</v>
      </c>
      <c r="L384" s="9"/>
      <c r="M384" s="9"/>
      <c r="N384" s="9"/>
      <c r="O384" s="38">
        <f t="shared" si="27"/>
        <v>192</v>
      </c>
      <c r="P384" s="12"/>
      <c r="Q384" s="42"/>
      <c r="R384" s="15"/>
      <c r="S384" s="44"/>
      <c r="T384" s="15"/>
      <c r="U384" s="44"/>
      <c r="V384" s="15">
        <f t="shared" si="28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29"/>
        <v>0</v>
      </c>
      <c r="AF384" s="15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0"/>
        <v>0</v>
      </c>
      <c r="BA384" s="15"/>
      <c r="BB384" s="44"/>
      <c r="BC384" s="15"/>
      <c r="BD384" s="44"/>
      <c r="BE384" s="15">
        <f t="shared" si="31"/>
        <v>0</v>
      </c>
    </row>
    <row r="385" spans="1:57">
      <c r="A385" s="9"/>
      <c r="B385" s="16" t="s">
        <v>343</v>
      </c>
      <c r="C385" s="89" t="s">
        <v>52</v>
      </c>
      <c r="D385" s="56" t="s">
        <v>343</v>
      </c>
      <c r="E385" s="13"/>
      <c r="F385" s="96"/>
      <c r="G385" s="9"/>
      <c r="H385" s="9" t="s">
        <v>345</v>
      </c>
      <c r="I385" s="14"/>
      <c r="J385" s="14"/>
      <c r="K385" s="12">
        <v>0</v>
      </c>
      <c r="L385" s="9"/>
      <c r="M385" s="9"/>
      <c r="N385" s="9"/>
      <c r="O385" s="38">
        <f t="shared" si="27"/>
        <v>0</v>
      </c>
      <c r="P385" s="12"/>
      <c r="Q385" s="42"/>
      <c r="R385" s="15"/>
      <c r="S385" s="44"/>
      <c r="T385" s="15"/>
      <c r="U385" s="44"/>
      <c r="V385" s="15">
        <f t="shared" si="28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29"/>
        <v>0</v>
      </c>
      <c r="AF385" s="15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0"/>
        <v>0</v>
      </c>
      <c r="BA385" s="15"/>
      <c r="BB385" s="44"/>
      <c r="BC385" s="15"/>
      <c r="BD385" s="44"/>
      <c r="BE385" s="15">
        <f t="shared" si="31"/>
        <v>0</v>
      </c>
    </row>
    <row r="386" spans="1:57" ht="24" customHeight="1">
      <c r="A386" s="9"/>
      <c r="B386" s="16" t="s">
        <v>581</v>
      </c>
      <c r="C386" s="89" t="s">
        <v>44</v>
      </c>
      <c r="D386" s="59" t="s">
        <v>582</v>
      </c>
      <c r="E386" s="13" t="s">
        <v>583</v>
      </c>
      <c r="F386" s="95"/>
      <c r="G386" s="9"/>
      <c r="H386" s="9" t="s">
        <v>584</v>
      </c>
      <c r="I386" s="14"/>
      <c r="J386" s="14"/>
      <c r="K386" s="12">
        <v>0</v>
      </c>
      <c r="L386" s="9"/>
      <c r="M386" s="9"/>
      <c r="N386" s="9"/>
      <c r="O386" s="38">
        <f t="shared" ref="O386:O449" si="32">K386+V386-AE386-AZ386</f>
        <v>0</v>
      </c>
      <c r="P386" s="12"/>
      <c r="Q386" s="42"/>
      <c r="R386" s="15"/>
      <c r="S386" s="44"/>
      <c r="T386" s="15"/>
      <c r="U386" s="44"/>
      <c r="V386" s="15">
        <f t="shared" ref="V386:V449" si="33">P386+R386+T386</f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ref="AE386:AE449" si="34">(W386+Y386+AA386+AC386)</f>
        <v>0</v>
      </c>
      <c r="AF386" s="15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0"/>
        <v>0</v>
      </c>
      <c r="BA386" s="15"/>
      <c r="BB386" s="44"/>
      <c r="BC386" s="15"/>
      <c r="BD386" s="44"/>
      <c r="BE386" s="15">
        <f t="shared" si="31"/>
        <v>0</v>
      </c>
    </row>
    <row r="387" spans="1:57">
      <c r="A387" s="9"/>
      <c r="B387" s="16" t="s">
        <v>581</v>
      </c>
      <c r="C387" s="89" t="s">
        <v>132</v>
      </c>
      <c r="D387" s="59" t="s">
        <v>585</v>
      </c>
      <c r="E387" s="13" t="s">
        <v>583</v>
      </c>
      <c r="F387" s="95"/>
      <c r="G387" s="9"/>
      <c r="H387" s="9" t="s">
        <v>584</v>
      </c>
      <c r="I387" s="14"/>
      <c r="J387" s="14"/>
      <c r="K387" s="12">
        <v>0</v>
      </c>
      <c r="L387" s="9"/>
      <c r="M387" s="9"/>
      <c r="N387" s="9"/>
      <c r="O387" s="38">
        <f t="shared" si="32"/>
        <v>0</v>
      </c>
      <c r="P387" s="12"/>
      <c r="Q387" s="42"/>
      <c r="R387" s="15"/>
      <c r="S387" s="44"/>
      <c r="T387" s="15"/>
      <c r="U387" s="44"/>
      <c r="V387" s="15">
        <f t="shared" si="33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4"/>
        <v>0</v>
      </c>
      <c r="AF387" s="15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ref="AZ387:AZ450" si="35">AF387+AH387+AJ387+AL387+AN387+AP387+AR387+AT387+AV387+AX387</f>
        <v>0</v>
      </c>
      <c r="BA387" s="15"/>
      <c r="BB387" s="44"/>
      <c r="BC387" s="15"/>
      <c r="BD387" s="44"/>
      <c r="BE387" s="15">
        <f t="shared" si="31"/>
        <v>0</v>
      </c>
    </row>
    <row r="388" spans="1:57">
      <c r="A388" s="9"/>
      <c r="B388" s="16" t="s">
        <v>581</v>
      </c>
      <c r="C388" s="89" t="s">
        <v>48</v>
      </c>
      <c r="D388" s="59" t="s">
        <v>585</v>
      </c>
      <c r="E388" s="13" t="s">
        <v>586</v>
      </c>
      <c r="F388" s="95"/>
      <c r="G388" s="9"/>
      <c r="H388" s="9" t="s">
        <v>584</v>
      </c>
      <c r="I388" s="14"/>
      <c r="J388" s="14"/>
      <c r="K388" s="12">
        <v>0</v>
      </c>
      <c r="L388" s="9"/>
      <c r="M388" s="9"/>
      <c r="N388" s="9"/>
      <c r="O388" s="38">
        <f t="shared" si="32"/>
        <v>0</v>
      </c>
      <c r="P388" s="12"/>
      <c r="Q388" s="42"/>
      <c r="R388" s="15"/>
      <c r="S388" s="44"/>
      <c r="T388" s="15"/>
      <c r="U388" s="44"/>
      <c r="V388" s="15">
        <f t="shared" si="33"/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si="34"/>
        <v>0</v>
      </c>
      <c r="AF388" s="15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5"/>
        <v>0</v>
      </c>
      <c r="BA388" s="15"/>
      <c r="BB388" s="44"/>
      <c r="BC388" s="15"/>
      <c r="BD388" s="44"/>
      <c r="BE388" s="15">
        <f t="shared" si="31"/>
        <v>0</v>
      </c>
    </row>
    <row r="389" spans="1:57">
      <c r="A389" s="9"/>
      <c r="B389" s="16" t="s">
        <v>581</v>
      </c>
      <c r="C389" s="89" t="s">
        <v>48</v>
      </c>
      <c r="D389" s="59" t="s">
        <v>587</v>
      </c>
      <c r="E389" s="13" t="s">
        <v>586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2"/>
        <v>0</v>
      </c>
      <c r="P389" s="12"/>
      <c r="Q389" s="42"/>
      <c r="R389" s="15"/>
      <c r="S389" s="44"/>
      <c r="T389" s="15"/>
      <c r="U389" s="44"/>
      <c r="V389" s="15">
        <f t="shared" si="33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4"/>
        <v>0</v>
      </c>
      <c r="AF389" s="15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5"/>
        <v>0</v>
      </c>
      <c r="BA389" s="15"/>
      <c r="BB389" s="44"/>
      <c r="BC389" s="15"/>
      <c r="BD389" s="44"/>
      <c r="BE389" s="15">
        <f t="shared" si="31"/>
        <v>0</v>
      </c>
    </row>
    <row r="390" spans="1:57">
      <c r="A390" s="9"/>
      <c r="B390" s="16" t="s">
        <v>581</v>
      </c>
      <c r="C390" s="89" t="s">
        <v>132</v>
      </c>
      <c r="D390" s="59" t="s">
        <v>588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2"/>
        <v>0</v>
      </c>
      <c r="P390" s="12"/>
      <c r="Q390" s="42"/>
      <c r="R390" s="15"/>
      <c r="S390" s="44"/>
      <c r="T390" s="15"/>
      <c r="U390" s="44"/>
      <c r="V390" s="15">
        <f t="shared" si="33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4"/>
        <v>0</v>
      </c>
      <c r="AF390" s="15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5"/>
        <v>0</v>
      </c>
      <c r="BA390" s="15"/>
      <c r="BB390" s="44"/>
      <c r="BC390" s="15"/>
      <c r="BD390" s="44"/>
      <c r="BE390" s="15">
        <f t="shared" si="31"/>
        <v>0</v>
      </c>
    </row>
    <row r="391" spans="1:57">
      <c r="A391" s="9"/>
      <c r="B391" s="16" t="s">
        <v>581</v>
      </c>
      <c r="C391" s="89" t="s">
        <v>52</v>
      </c>
      <c r="D391" s="56" t="s">
        <v>582</v>
      </c>
      <c r="E391" s="13" t="s">
        <v>589</v>
      </c>
      <c r="F391" s="95"/>
      <c r="G391" s="9"/>
      <c r="H391" s="9" t="s">
        <v>584</v>
      </c>
      <c r="I391" s="14"/>
      <c r="J391" s="14"/>
      <c r="K391" s="12">
        <v>190</v>
      </c>
      <c r="L391" s="9"/>
      <c r="M391" s="9"/>
      <c r="N391" s="9"/>
      <c r="O391" s="38">
        <f t="shared" si="32"/>
        <v>190</v>
      </c>
      <c r="P391" s="12"/>
      <c r="Q391" s="42"/>
      <c r="R391" s="15"/>
      <c r="S391" s="44"/>
      <c r="T391" s="15"/>
      <c r="U391" s="44"/>
      <c r="V391" s="15">
        <f t="shared" si="33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4"/>
        <v>0</v>
      </c>
      <c r="AF391" s="15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5"/>
        <v>0</v>
      </c>
      <c r="BA391" s="15"/>
      <c r="BB391" s="44"/>
      <c r="BC391" s="15"/>
      <c r="BD391" s="44"/>
      <c r="BE391" s="15">
        <f t="shared" si="31"/>
        <v>0</v>
      </c>
    </row>
    <row r="392" spans="1:57">
      <c r="A392" s="9"/>
      <c r="B392" s="16" t="s">
        <v>581</v>
      </c>
      <c r="C392" s="89" t="s">
        <v>52</v>
      </c>
      <c r="D392" s="59" t="s">
        <v>587</v>
      </c>
      <c r="E392" s="13" t="s">
        <v>590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2"/>
        <v>0</v>
      </c>
      <c r="P392" s="12"/>
      <c r="Q392" s="42"/>
      <c r="R392" s="15"/>
      <c r="S392" s="44"/>
      <c r="T392" s="15"/>
      <c r="U392" s="44"/>
      <c r="V392" s="15">
        <f t="shared" si="33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4"/>
        <v>0</v>
      </c>
      <c r="AF392" s="15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5"/>
        <v>0</v>
      </c>
      <c r="BA392" s="15"/>
      <c r="BB392" s="44"/>
      <c r="BC392" s="15"/>
      <c r="BD392" s="44"/>
      <c r="BE392" s="15">
        <f t="shared" si="31"/>
        <v>0</v>
      </c>
    </row>
    <row r="393" spans="1:57">
      <c r="A393" s="9"/>
      <c r="B393" s="16" t="s">
        <v>591</v>
      </c>
      <c r="C393" s="92" t="s">
        <v>151</v>
      </c>
      <c r="D393" s="85" t="s">
        <v>592</v>
      </c>
      <c r="E393" s="13" t="s">
        <v>593</v>
      </c>
      <c r="F393" s="95"/>
      <c r="G393" s="9"/>
      <c r="H393" s="9" t="s">
        <v>594</v>
      </c>
      <c r="I393" s="14"/>
      <c r="J393" s="14"/>
      <c r="K393" s="12">
        <v>1300</v>
      </c>
      <c r="L393" s="9"/>
      <c r="M393" s="9"/>
      <c r="N393" s="9"/>
      <c r="O393" s="38">
        <f t="shared" si="32"/>
        <v>1300</v>
      </c>
      <c r="P393" s="12"/>
      <c r="Q393" s="42"/>
      <c r="R393" s="15"/>
      <c r="S393" s="44"/>
      <c r="T393" s="15"/>
      <c r="U393" s="44"/>
      <c r="V393" s="15">
        <f t="shared" si="33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4"/>
        <v>0</v>
      </c>
      <c r="AF393" s="15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5"/>
        <v>0</v>
      </c>
      <c r="BA393" s="15"/>
      <c r="BB393" s="44"/>
      <c r="BC393" s="15"/>
      <c r="BD393" s="44"/>
      <c r="BE393" s="15">
        <f t="shared" si="31"/>
        <v>0</v>
      </c>
    </row>
    <row r="394" spans="1:57">
      <c r="A394" s="9"/>
      <c r="B394" s="16" t="s">
        <v>591</v>
      </c>
      <c r="C394" s="92" t="s">
        <v>151</v>
      </c>
      <c r="D394" s="59" t="s">
        <v>595</v>
      </c>
      <c r="E394" s="13" t="s">
        <v>596</v>
      </c>
      <c r="F394" s="95"/>
      <c r="G394" s="9"/>
      <c r="H394" s="9" t="s">
        <v>594</v>
      </c>
      <c r="I394" s="14"/>
      <c r="J394" s="14"/>
      <c r="K394" s="12">
        <v>0</v>
      </c>
      <c r="L394" s="9"/>
      <c r="M394" s="9"/>
      <c r="N394" s="9"/>
      <c r="O394" s="38">
        <f t="shared" si="32"/>
        <v>0</v>
      </c>
      <c r="P394" s="12"/>
      <c r="Q394" s="42"/>
      <c r="R394" s="15"/>
      <c r="S394" s="44"/>
      <c r="T394" s="15"/>
      <c r="U394" s="44"/>
      <c r="V394" s="15">
        <f t="shared" si="33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4"/>
        <v>0</v>
      </c>
      <c r="AF394" s="15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5"/>
        <v>0</v>
      </c>
      <c r="BA394" s="15"/>
      <c r="BB394" s="44"/>
      <c r="BC394" s="15"/>
      <c r="BD394" s="44"/>
      <c r="BE394" s="15">
        <f t="shared" si="31"/>
        <v>0</v>
      </c>
    </row>
    <row r="395" spans="1:57">
      <c r="A395" s="9"/>
      <c r="B395" s="16" t="s">
        <v>591</v>
      </c>
      <c r="C395" s="92" t="s">
        <v>151</v>
      </c>
      <c r="D395" s="59" t="s">
        <v>597</v>
      </c>
      <c r="E395" s="13" t="s">
        <v>598</v>
      </c>
      <c r="F395" s="95"/>
      <c r="G395" s="9"/>
      <c r="H395" s="9" t="s">
        <v>594</v>
      </c>
      <c r="I395" s="14"/>
      <c r="J395" s="14"/>
      <c r="K395" s="12">
        <v>208</v>
      </c>
      <c r="L395" s="9"/>
      <c r="M395" s="9"/>
      <c r="N395" s="9"/>
      <c r="O395" s="38">
        <f t="shared" si="32"/>
        <v>208</v>
      </c>
      <c r="P395" s="12"/>
      <c r="Q395" s="42"/>
      <c r="R395" s="15"/>
      <c r="S395" s="44"/>
      <c r="T395" s="15"/>
      <c r="U395" s="44"/>
      <c r="V395" s="15">
        <f t="shared" si="33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4"/>
        <v>0</v>
      </c>
      <c r="AF395" s="15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5"/>
        <v>0</v>
      </c>
      <c r="BA395" s="15"/>
      <c r="BB395" s="44"/>
      <c r="BC395" s="15"/>
      <c r="BD395" s="44"/>
      <c r="BE395" s="15">
        <f t="shared" si="31"/>
        <v>0</v>
      </c>
    </row>
    <row r="396" spans="1:57">
      <c r="A396" s="9"/>
      <c r="B396" s="16" t="s">
        <v>591</v>
      </c>
      <c r="C396" s="92" t="s">
        <v>151</v>
      </c>
      <c r="D396" s="59" t="s">
        <v>599</v>
      </c>
      <c r="E396" s="13" t="s">
        <v>596</v>
      </c>
      <c r="F396" s="95"/>
      <c r="G396" s="9"/>
      <c r="H396" s="9" t="s">
        <v>594</v>
      </c>
      <c r="I396" s="14"/>
      <c r="J396" s="14"/>
      <c r="K396" s="12">
        <v>96</v>
      </c>
      <c r="L396" s="9"/>
      <c r="M396" s="9"/>
      <c r="N396" s="9"/>
      <c r="O396" s="38">
        <f t="shared" si="32"/>
        <v>96</v>
      </c>
      <c r="P396" s="12"/>
      <c r="Q396" s="42"/>
      <c r="R396" s="15"/>
      <c r="S396" s="44"/>
      <c r="T396" s="15"/>
      <c r="U396" s="44"/>
      <c r="V396" s="15">
        <f t="shared" si="33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4"/>
        <v>0</v>
      </c>
      <c r="AF396" s="15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5"/>
        <v>0</v>
      </c>
      <c r="BA396" s="15"/>
      <c r="BB396" s="44"/>
      <c r="BC396" s="15"/>
      <c r="BD396" s="44"/>
      <c r="BE396" s="15">
        <f t="shared" si="31"/>
        <v>0</v>
      </c>
    </row>
    <row r="397" spans="1:57">
      <c r="A397" s="9"/>
      <c r="B397" s="16" t="s">
        <v>591</v>
      </c>
      <c r="C397" s="92" t="s">
        <v>151</v>
      </c>
      <c r="D397" s="59" t="s">
        <v>600</v>
      </c>
      <c r="E397" s="13" t="s">
        <v>601</v>
      </c>
      <c r="F397" s="95"/>
      <c r="G397" s="9"/>
      <c r="H397" s="9" t="s">
        <v>594</v>
      </c>
      <c r="I397" s="14"/>
      <c r="J397" s="14"/>
      <c r="K397" s="12">
        <v>600</v>
      </c>
      <c r="L397" s="9"/>
      <c r="M397" s="9"/>
      <c r="N397" s="9"/>
      <c r="O397" s="38">
        <f t="shared" si="32"/>
        <v>600</v>
      </c>
      <c r="P397" s="12"/>
      <c r="Q397" s="42"/>
      <c r="R397" s="15"/>
      <c r="S397" s="44"/>
      <c r="T397" s="15"/>
      <c r="U397" s="44"/>
      <c r="V397" s="15">
        <f t="shared" si="33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4"/>
        <v>0</v>
      </c>
      <c r="AF397" s="15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5"/>
        <v>0</v>
      </c>
      <c r="BA397" s="15"/>
      <c r="BB397" s="44"/>
      <c r="BC397" s="15"/>
      <c r="BD397" s="44"/>
      <c r="BE397" s="15">
        <f t="shared" si="31"/>
        <v>0</v>
      </c>
    </row>
    <row r="398" spans="1:57">
      <c r="A398" s="9"/>
      <c r="B398" s="16" t="s">
        <v>591</v>
      </c>
      <c r="C398" s="92" t="s">
        <v>151</v>
      </c>
      <c r="D398" s="59" t="s">
        <v>602</v>
      </c>
      <c r="E398" s="13" t="s">
        <v>603</v>
      </c>
      <c r="F398" s="95"/>
      <c r="G398" s="9"/>
      <c r="H398" s="9" t="s">
        <v>594</v>
      </c>
      <c r="I398" s="14"/>
      <c r="J398" s="14"/>
      <c r="K398" s="12">
        <v>190</v>
      </c>
      <c r="L398" s="9"/>
      <c r="M398" s="9"/>
      <c r="N398" s="9"/>
      <c r="O398" s="38">
        <f t="shared" si="32"/>
        <v>190</v>
      </c>
      <c r="P398" s="12"/>
      <c r="Q398" s="42"/>
      <c r="R398" s="15"/>
      <c r="S398" s="44"/>
      <c r="T398" s="15"/>
      <c r="U398" s="44"/>
      <c r="V398" s="15">
        <f t="shared" si="33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4"/>
        <v>0</v>
      </c>
      <c r="AF398" s="15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5"/>
        <v>0</v>
      </c>
      <c r="BA398" s="15"/>
      <c r="BB398" s="44"/>
      <c r="BC398" s="15"/>
      <c r="BD398" s="44"/>
      <c r="BE398" s="15">
        <f t="shared" si="31"/>
        <v>0</v>
      </c>
    </row>
    <row r="399" spans="1:57">
      <c r="A399" s="9"/>
      <c r="B399" s="16" t="s">
        <v>591</v>
      </c>
      <c r="C399" s="92" t="s">
        <v>151</v>
      </c>
      <c r="D399" s="56" t="s">
        <v>604</v>
      </c>
      <c r="E399" s="13" t="s">
        <v>605</v>
      </c>
      <c r="F399" s="95"/>
      <c r="G399" s="9"/>
      <c r="H399" s="9" t="s">
        <v>594</v>
      </c>
      <c r="I399" s="14"/>
      <c r="J399" s="14"/>
      <c r="K399" s="12">
        <v>300</v>
      </c>
      <c r="L399" s="9"/>
      <c r="M399" s="9"/>
      <c r="N399" s="9"/>
      <c r="O399" s="38">
        <f t="shared" si="32"/>
        <v>300</v>
      </c>
      <c r="P399" s="12"/>
      <c r="Q399" s="42"/>
      <c r="R399" s="15"/>
      <c r="S399" s="44"/>
      <c r="T399" s="15"/>
      <c r="U399" s="44"/>
      <c r="V399" s="15">
        <f t="shared" si="33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4"/>
        <v>0</v>
      </c>
      <c r="AF399" s="15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5"/>
        <v>0</v>
      </c>
      <c r="BA399" s="15"/>
      <c r="BB399" s="44"/>
      <c r="BC399" s="15"/>
      <c r="BD399" s="44"/>
      <c r="BE399" s="15">
        <f t="shared" si="31"/>
        <v>0</v>
      </c>
    </row>
    <row r="400" spans="1:57">
      <c r="A400" s="9"/>
      <c r="B400" s="16" t="s">
        <v>606</v>
      </c>
      <c r="C400" s="92" t="s">
        <v>151</v>
      </c>
      <c r="D400" s="56" t="s">
        <v>607</v>
      </c>
      <c r="E400" s="13" t="s">
        <v>608</v>
      </c>
      <c r="F400" s="95"/>
      <c r="G400" s="9"/>
      <c r="H400" s="9" t="s">
        <v>594</v>
      </c>
      <c r="I400" s="14"/>
      <c r="J400" s="14"/>
      <c r="K400" s="12">
        <v>560</v>
      </c>
      <c r="L400" s="9"/>
      <c r="M400" s="9"/>
      <c r="N400" s="9"/>
      <c r="O400" s="38">
        <f t="shared" si="32"/>
        <v>560</v>
      </c>
      <c r="P400" s="12"/>
      <c r="Q400" s="42"/>
      <c r="R400" s="15"/>
      <c r="S400" s="44"/>
      <c r="T400" s="15"/>
      <c r="U400" s="44"/>
      <c r="V400" s="15">
        <f t="shared" si="33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4"/>
        <v>0</v>
      </c>
      <c r="AF400" s="15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5"/>
        <v>0</v>
      </c>
      <c r="BA400" s="15"/>
      <c r="BB400" s="44"/>
      <c r="BC400" s="15"/>
      <c r="BD400" s="44"/>
      <c r="BE400" s="15">
        <f t="shared" si="31"/>
        <v>0</v>
      </c>
    </row>
    <row r="401" spans="1:57">
      <c r="A401" s="9"/>
      <c r="B401" s="16" t="s">
        <v>606</v>
      </c>
      <c r="C401" s="92" t="s">
        <v>151</v>
      </c>
      <c r="D401" s="56" t="s">
        <v>609</v>
      </c>
      <c r="E401" s="13" t="s">
        <v>610</v>
      </c>
      <c r="F401" s="95"/>
      <c r="G401" s="9"/>
      <c r="H401" s="9" t="s">
        <v>594</v>
      </c>
      <c r="I401" s="14"/>
      <c r="J401" s="14"/>
      <c r="K401" s="12">
        <v>560</v>
      </c>
      <c r="L401" s="9"/>
      <c r="M401" s="9"/>
      <c r="N401" s="9"/>
      <c r="O401" s="38">
        <f t="shared" si="32"/>
        <v>560</v>
      </c>
      <c r="P401" s="12"/>
      <c r="Q401" s="42"/>
      <c r="R401" s="15"/>
      <c r="S401" s="44"/>
      <c r="T401" s="15"/>
      <c r="U401" s="44"/>
      <c r="V401" s="15">
        <f t="shared" si="33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4"/>
        <v>0</v>
      </c>
      <c r="AF401" s="15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5"/>
        <v>0</v>
      </c>
      <c r="BA401" s="15"/>
      <c r="BB401" s="44"/>
      <c r="BC401" s="15"/>
      <c r="BD401" s="44"/>
      <c r="BE401" s="15">
        <f t="shared" si="31"/>
        <v>0</v>
      </c>
    </row>
    <row r="402" spans="1:57">
      <c r="A402" s="9"/>
      <c r="B402" s="16" t="s">
        <v>606</v>
      </c>
      <c r="C402" s="89" t="s">
        <v>52</v>
      </c>
      <c r="D402" s="61" t="s">
        <v>611</v>
      </c>
      <c r="E402" s="13" t="s">
        <v>612</v>
      </c>
      <c r="F402" s="95"/>
      <c r="G402" s="9"/>
      <c r="H402" s="9" t="s">
        <v>594</v>
      </c>
      <c r="I402" s="14"/>
      <c r="J402" s="14"/>
      <c r="K402" s="12">
        <v>1040</v>
      </c>
      <c r="L402" s="9"/>
      <c r="M402" s="9"/>
      <c r="N402" s="9"/>
      <c r="O402" s="38">
        <f t="shared" si="32"/>
        <v>1040</v>
      </c>
      <c r="P402" s="12"/>
      <c r="Q402" s="42"/>
      <c r="R402" s="15"/>
      <c r="S402" s="44"/>
      <c r="T402" s="15"/>
      <c r="U402" s="44"/>
      <c r="V402" s="15">
        <f t="shared" si="33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4"/>
        <v>0</v>
      </c>
      <c r="AF402" s="15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5"/>
        <v>0</v>
      </c>
      <c r="BA402" s="15"/>
      <c r="BB402" s="44"/>
      <c r="BC402" s="15"/>
      <c r="BD402" s="44"/>
      <c r="BE402" s="15">
        <f t="shared" si="31"/>
        <v>0</v>
      </c>
    </row>
    <row r="403" spans="1:57">
      <c r="A403" s="9"/>
      <c r="B403" s="16" t="s">
        <v>606</v>
      </c>
      <c r="C403" s="89" t="s">
        <v>52</v>
      </c>
      <c r="D403" s="56" t="s">
        <v>613</v>
      </c>
      <c r="E403" s="13" t="s">
        <v>614</v>
      </c>
      <c r="F403" s="95"/>
      <c r="G403" s="9"/>
      <c r="H403" s="9" t="s">
        <v>594</v>
      </c>
      <c r="I403" s="14"/>
      <c r="J403" s="14"/>
      <c r="K403" s="12">
        <v>7</v>
      </c>
      <c r="L403" s="9"/>
      <c r="M403" s="9"/>
      <c r="N403" s="9"/>
      <c r="O403" s="38">
        <f t="shared" si="32"/>
        <v>7</v>
      </c>
      <c r="P403" s="12"/>
      <c r="Q403" s="42"/>
      <c r="R403" s="15"/>
      <c r="S403" s="44"/>
      <c r="T403" s="15"/>
      <c r="U403" s="44"/>
      <c r="V403" s="15">
        <f t="shared" si="33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4"/>
        <v>0</v>
      </c>
      <c r="AF403" s="15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5"/>
        <v>0</v>
      </c>
      <c r="BA403" s="15"/>
      <c r="BB403" s="44"/>
      <c r="BC403" s="15"/>
      <c r="BD403" s="44"/>
      <c r="BE403" s="15">
        <f t="shared" si="31"/>
        <v>0</v>
      </c>
    </row>
    <row r="404" spans="1:57">
      <c r="A404" s="9"/>
      <c r="B404" s="16" t="s">
        <v>606</v>
      </c>
      <c r="C404" s="92" t="s">
        <v>151</v>
      </c>
      <c r="D404" s="56" t="s">
        <v>615</v>
      </c>
      <c r="E404" s="13" t="s">
        <v>593</v>
      </c>
      <c r="F404" s="95"/>
      <c r="G404" s="9"/>
      <c r="H404" s="9" t="s">
        <v>594</v>
      </c>
      <c r="I404" s="14"/>
      <c r="J404" s="14"/>
      <c r="K404" s="12">
        <v>0</v>
      </c>
      <c r="L404" s="9"/>
      <c r="M404" s="9"/>
      <c r="N404" s="9"/>
      <c r="O404" s="38">
        <f t="shared" si="32"/>
        <v>0</v>
      </c>
      <c r="P404" s="12"/>
      <c r="Q404" s="42"/>
      <c r="R404" s="15"/>
      <c r="S404" s="44"/>
      <c r="T404" s="15"/>
      <c r="U404" s="44"/>
      <c r="V404" s="15">
        <f t="shared" si="33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4"/>
        <v>0</v>
      </c>
      <c r="AF404" s="15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5"/>
        <v>0</v>
      </c>
      <c r="BA404" s="15"/>
      <c r="BB404" s="44"/>
      <c r="BC404" s="15"/>
      <c r="BD404" s="44"/>
      <c r="BE404" s="15">
        <f t="shared" si="31"/>
        <v>0</v>
      </c>
    </row>
    <row r="405" spans="1:57">
      <c r="A405" s="9"/>
      <c r="B405" s="16" t="s">
        <v>606</v>
      </c>
      <c r="C405" s="92" t="s">
        <v>151</v>
      </c>
      <c r="D405" s="59" t="s">
        <v>615</v>
      </c>
      <c r="E405" s="13" t="s">
        <v>616</v>
      </c>
      <c r="F405" s="95"/>
      <c r="G405" s="9"/>
      <c r="H405" s="9" t="s">
        <v>594</v>
      </c>
      <c r="I405" s="14"/>
      <c r="J405" s="14"/>
      <c r="K405" s="12">
        <v>0</v>
      </c>
      <c r="L405" s="9"/>
      <c r="M405" s="9"/>
      <c r="N405" s="9"/>
      <c r="O405" s="38">
        <f t="shared" si="32"/>
        <v>0</v>
      </c>
      <c r="P405" s="12"/>
      <c r="Q405" s="42"/>
      <c r="R405" s="15"/>
      <c r="S405" s="44"/>
      <c r="T405" s="15"/>
      <c r="U405" s="44"/>
      <c r="V405" s="15">
        <f t="shared" si="33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4"/>
        <v>0</v>
      </c>
      <c r="AF405" s="15"/>
      <c r="AG405" s="42"/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5"/>
        <v>0</v>
      </c>
      <c r="BA405" s="15"/>
      <c r="BB405" s="44"/>
      <c r="BC405" s="15"/>
      <c r="BD405" s="44"/>
      <c r="BE405" s="15">
        <f t="shared" si="31"/>
        <v>0</v>
      </c>
    </row>
    <row r="406" spans="1:57">
      <c r="A406" s="9"/>
      <c r="B406" s="16" t="s">
        <v>617</v>
      </c>
      <c r="C406" s="92" t="s">
        <v>151</v>
      </c>
      <c r="D406" s="59" t="s">
        <v>618</v>
      </c>
      <c r="E406" s="13"/>
      <c r="F406" s="95"/>
      <c r="G406" s="9"/>
      <c r="H406" s="9" t="s">
        <v>467</v>
      </c>
      <c r="I406" s="14"/>
      <c r="J406" s="14"/>
      <c r="K406" s="12">
        <v>0</v>
      </c>
      <c r="L406" s="9"/>
      <c r="M406" s="9"/>
      <c r="N406" s="9"/>
      <c r="O406" s="38">
        <f t="shared" si="32"/>
        <v>0</v>
      </c>
      <c r="P406" s="12"/>
      <c r="Q406" s="42"/>
      <c r="R406" s="15"/>
      <c r="S406" s="44"/>
      <c r="T406" s="15"/>
      <c r="U406" s="44"/>
      <c r="V406" s="15">
        <f t="shared" si="33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4"/>
        <v>0</v>
      </c>
      <c r="AF406" s="15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5"/>
        <v>0</v>
      </c>
      <c r="BA406" s="15"/>
      <c r="BB406" s="44"/>
      <c r="BC406" s="15"/>
      <c r="BD406" s="44"/>
      <c r="BE406" s="15">
        <f t="shared" si="31"/>
        <v>0</v>
      </c>
    </row>
    <row r="407" spans="1:57" ht="24" customHeight="1">
      <c r="A407" s="9"/>
      <c r="B407" s="16" t="s">
        <v>619</v>
      </c>
      <c r="C407" s="89" t="s">
        <v>44</v>
      </c>
      <c r="D407" s="56" t="s">
        <v>620</v>
      </c>
      <c r="E407" s="13" t="s">
        <v>621</v>
      </c>
      <c r="F407" s="95"/>
      <c r="G407" s="9"/>
      <c r="H407" s="9" t="s">
        <v>67</v>
      </c>
      <c r="I407" s="14"/>
      <c r="J407" s="14"/>
      <c r="K407" s="12">
        <v>0</v>
      </c>
      <c r="L407" s="9"/>
      <c r="M407" s="9"/>
      <c r="N407" s="9"/>
      <c r="O407" s="38">
        <f t="shared" si="32"/>
        <v>0</v>
      </c>
      <c r="P407" s="12"/>
      <c r="Q407" s="42"/>
      <c r="R407" s="15"/>
      <c r="S407" s="44"/>
      <c r="T407" s="15"/>
      <c r="U407" s="44"/>
      <c r="V407" s="15">
        <f t="shared" si="33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4"/>
        <v>0</v>
      </c>
      <c r="AF407" s="15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5"/>
        <v>0</v>
      </c>
      <c r="BA407" s="15"/>
      <c r="BB407" s="44"/>
      <c r="BC407" s="15"/>
      <c r="BD407" s="44"/>
      <c r="BE407" s="15">
        <f t="shared" si="31"/>
        <v>0</v>
      </c>
    </row>
    <row r="408" spans="1:57">
      <c r="A408" s="9"/>
      <c r="B408" s="16" t="s">
        <v>120</v>
      </c>
      <c r="C408" s="92" t="s">
        <v>151</v>
      </c>
      <c r="D408" s="59" t="s">
        <v>622</v>
      </c>
      <c r="E408" s="13"/>
      <c r="F408" s="95"/>
      <c r="G408" s="9"/>
      <c r="H408" s="9" t="s">
        <v>67</v>
      </c>
      <c r="I408" s="14"/>
      <c r="J408" s="14"/>
      <c r="K408" s="12">
        <v>0</v>
      </c>
      <c r="L408" s="9"/>
      <c r="M408" s="9"/>
      <c r="N408" s="9"/>
      <c r="O408" s="38">
        <f t="shared" si="32"/>
        <v>0</v>
      </c>
      <c r="P408" s="12"/>
      <c r="Q408" s="42"/>
      <c r="R408" s="15"/>
      <c r="S408" s="44"/>
      <c r="T408" s="15"/>
      <c r="U408" s="44"/>
      <c r="V408" s="15">
        <f t="shared" si="33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4"/>
        <v>0</v>
      </c>
      <c r="AF408" s="15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5"/>
        <v>0</v>
      </c>
      <c r="BA408" s="15"/>
      <c r="BB408" s="44"/>
      <c r="BC408" s="15"/>
      <c r="BD408" s="44"/>
      <c r="BE408" s="15">
        <f t="shared" si="31"/>
        <v>0</v>
      </c>
    </row>
    <row r="409" spans="1:57">
      <c r="A409" s="9"/>
      <c r="B409" s="16" t="s">
        <v>120</v>
      </c>
      <c r="C409" s="89" t="s">
        <v>140</v>
      </c>
      <c r="D409" s="59" t="s">
        <v>623</v>
      </c>
      <c r="E409" s="13" t="s">
        <v>624</v>
      </c>
      <c r="F409" s="95"/>
      <c r="G409" s="9"/>
      <c r="H409" s="9" t="s">
        <v>625</v>
      </c>
      <c r="I409" s="14"/>
      <c r="J409" s="14"/>
      <c r="K409" s="12">
        <v>0</v>
      </c>
      <c r="L409" s="9"/>
      <c r="M409" s="9"/>
      <c r="N409" s="9"/>
      <c r="O409" s="38">
        <f t="shared" si="32"/>
        <v>0</v>
      </c>
      <c r="P409" s="12"/>
      <c r="Q409" s="42"/>
      <c r="R409" s="15"/>
      <c r="S409" s="44"/>
      <c r="T409" s="15"/>
      <c r="U409" s="44"/>
      <c r="V409" s="15">
        <f t="shared" si="33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4"/>
        <v>0</v>
      </c>
      <c r="AF409" s="15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5"/>
        <v>0</v>
      </c>
      <c r="BA409" s="15"/>
      <c r="BB409" s="44"/>
      <c r="BC409" s="15"/>
      <c r="BD409" s="44"/>
      <c r="BE409" s="15">
        <f t="shared" si="31"/>
        <v>0</v>
      </c>
    </row>
    <row r="410" spans="1:57">
      <c r="A410" s="9"/>
      <c r="B410" s="16" t="s">
        <v>120</v>
      </c>
      <c r="C410" s="89" t="s">
        <v>140</v>
      </c>
      <c r="D410" s="56" t="s">
        <v>623</v>
      </c>
      <c r="E410" s="13" t="s">
        <v>626</v>
      </c>
      <c r="F410" s="95"/>
      <c r="G410" s="9"/>
      <c r="H410" s="9" t="s">
        <v>627</v>
      </c>
      <c r="I410" s="14"/>
      <c r="J410" s="14"/>
      <c r="K410" s="12">
        <v>0</v>
      </c>
      <c r="L410" s="9"/>
      <c r="M410" s="9"/>
      <c r="N410" s="9"/>
      <c r="O410" s="38">
        <f t="shared" si="32"/>
        <v>0</v>
      </c>
      <c r="P410" s="12"/>
      <c r="Q410" s="42"/>
      <c r="R410" s="15"/>
      <c r="S410" s="44"/>
      <c r="T410" s="15"/>
      <c r="U410" s="44"/>
      <c r="V410" s="15">
        <f t="shared" si="33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4"/>
        <v>0</v>
      </c>
      <c r="AF410" s="15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5"/>
        <v>0</v>
      </c>
      <c r="BA410" s="15"/>
      <c r="BB410" s="44"/>
      <c r="BC410" s="15"/>
      <c r="BD410" s="44"/>
      <c r="BE410" s="15">
        <f t="shared" si="31"/>
        <v>0</v>
      </c>
    </row>
    <row r="411" spans="1:57">
      <c r="A411" s="9"/>
      <c r="B411" s="16" t="s">
        <v>120</v>
      </c>
      <c r="C411" s="89" t="s">
        <v>140</v>
      </c>
      <c r="D411" s="56" t="s">
        <v>623</v>
      </c>
      <c r="E411" s="13" t="s">
        <v>628</v>
      </c>
      <c r="F411" s="95"/>
      <c r="G411" s="9"/>
      <c r="H411" s="9" t="s">
        <v>627</v>
      </c>
      <c r="I411" s="14"/>
      <c r="J411" s="14"/>
      <c r="K411" s="12">
        <v>0</v>
      </c>
      <c r="L411" s="9"/>
      <c r="M411" s="9"/>
      <c r="N411" s="9"/>
      <c r="O411" s="38">
        <f t="shared" si="32"/>
        <v>0</v>
      </c>
      <c r="P411" s="12"/>
      <c r="Q411" s="42"/>
      <c r="R411" s="15"/>
      <c r="S411" s="44"/>
      <c r="T411" s="15"/>
      <c r="U411" s="44"/>
      <c r="V411" s="15">
        <f t="shared" si="33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4"/>
        <v>0</v>
      </c>
      <c r="AF411" s="15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5"/>
        <v>0</v>
      </c>
      <c r="BA411" s="15"/>
      <c r="BB411" s="44"/>
      <c r="BC411" s="15"/>
      <c r="BD411" s="44"/>
      <c r="BE411" s="15">
        <f t="shared" si="31"/>
        <v>0</v>
      </c>
    </row>
    <row r="412" spans="1:57">
      <c r="A412" s="9"/>
      <c r="B412" s="16" t="s">
        <v>120</v>
      </c>
      <c r="C412" s="89" t="s">
        <v>52</v>
      </c>
      <c r="D412" s="56" t="s">
        <v>629</v>
      </c>
      <c r="E412" s="13"/>
      <c r="F412" s="95"/>
      <c r="G412" s="9"/>
      <c r="H412" s="9" t="s">
        <v>467</v>
      </c>
      <c r="I412" s="14"/>
      <c r="J412" s="14"/>
      <c r="K412" s="12">
        <v>27</v>
      </c>
      <c r="L412" s="9"/>
      <c r="M412" s="9"/>
      <c r="N412" s="9"/>
      <c r="O412" s="38">
        <f t="shared" si="32"/>
        <v>27</v>
      </c>
      <c r="P412" s="12"/>
      <c r="Q412" s="42"/>
      <c r="R412" s="15"/>
      <c r="S412" s="44"/>
      <c r="T412" s="15"/>
      <c r="U412" s="44"/>
      <c r="V412" s="15">
        <f t="shared" si="33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4"/>
        <v>0</v>
      </c>
      <c r="AF412" s="15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5"/>
        <v>0</v>
      </c>
      <c r="BA412" s="15"/>
      <c r="BB412" s="44"/>
      <c r="BC412" s="15"/>
      <c r="BD412" s="44"/>
      <c r="BE412" s="15">
        <f t="shared" si="31"/>
        <v>0</v>
      </c>
    </row>
    <row r="413" spans="1:57">
      <c r="A413" s="9"/>
      <c r="B413" s="16" t="s">
        <v>172</v>
      </c>
      <c r="C413" s="92" t="s">
        <v>151</v>
      </c>
      <c r="D413" s="59" t="s">
        <v>630</v>
      </c>
      <c r="E413" s="13" t="s">
        <v>631</v>
      </c>
      <c r="F413" s="95"/>
      <c r="G413" s="9"/>
      <c r="H413" s="9" t="s">
        <v>67</v>
      </c>
      <c r="I413" s="14"/>
      <c r="J413" s="14"/>
      <c r="K413" s="12">
        <v>0</v>
      </c>
      <c r="L413" s="9"/>
      <c r="M413" s="9"/>
      <c r="N413" s="9"/>
      <c r="O413" s="38">
        <f t="shared" si="32"/>
        <v>0</v>
      </c>
      <c r="P413" s="12"/>
      <c r="Q413" s="42"/>
      <c r="R413" s="15"/>
      <c r="S413" s="44"/>
      <c r="T413" s="15"/>
      <c r="U413" s="44"/>
      <c r="V413" s="15">
        <f t="shared" si="33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4"/>
        <v>0</v>
      </c>
      <c r="AF413" s="15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5"/>
        <v>0</v>
      </c>
      <c r="BA413" s="15"/>
      <c r="BB413" s="44"/>
      <c r="BC413" s="15"/>
      <c r="BD413" s="44"/>
      <c r="BE413" s="15">
        <f t="shared" si="31"/>
        <v>0</v>
      </c>
    </row>
    <row r="414" spans="1:57">
      <c r="A414" s="9"/>
      <c r="B414" s="16" t="s">
        <v>632</v>
      </c>
      <c r="C414" s="89" t="s">
        <v>132</v>
      </c>
      <c r="D414" s="59" t="s">
        <v>633</v>
      </c>
      <c r="E414" s="13"/>
      <c r="F414" s="95"/>
      <c r="G414" s="9"/>
      <c r="H414" s="9" t="s">
        <v>247</v>
      </c>
      <c r="I414" s="14"/>
      <c r="J414" s="14"/>
      <c r="K414" s="12">
        <v>0</v>
      </c>
      <c r="L414" s="9"/>
      <c r="M414" s="9"/>
      <c r="N414" s="9"/>
      <c r="O414" s="38">
        <f t="shared" si="32"/>
        <v>0</v>
      </c>
      <c r="P414" s="12"/>
      <c r="Q414" s="42"/>
      <c r="R414" s="15"/>
      <c r="S414" s="44"/>
      <c r="T414" s="15"/>
      <c r="U414" s="44"/>
      <c r="V414" s="15">
        <f t="shared" si="33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4"/>
        <v>0</v>
      </c>
      <c r="AF414" s="15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5"/>
        <v>0</v>
      </c>
      <c r="BA414" s="15"/>
      <c r="BB414" s="44"/>
      <c r="BC414" s="15"/>
      <c r="BD414" s="44"/>
      <c r="BE414" s="15">
        <f t="shared" si="31"/>
        <v>0</v>
      </c>
    </row>
    <row r="415" spans="1:57">
      <c r="A415" s="9"/>
      <c r="B415" s="16" t="s">
        <v>632</v>
      </c>
      <c r="C415" s="89" t="s">
        <v>132</v>
      </c>
      <c r="D415" s="61" t="s">
        <v>634</v>
      </c>
      <c r="E415" s="13"/>
      <c r="F415" s="95"/>
      <c r="G415" s="9"/>
      <c r="H415" s="9" t="s">
        <v>247</v>
      </c>
      <c r="I415" s="14"/>
      <c r="J415" s="14"/>
      <c r="K415" s="12">
        <v>0</v>
      </c>
      <c r="L415" s="9"/>
      <c r="M415" s="9"/>
      <c r="N415" s="9"/>
      <c r="O415" s="38">
        <f t="shared" si="32"/>
        <v>0</v>
      </c>
      <c r="P415" s="12"/>
      <c r="Q415" s="42"/>
      <c r="R415" s="15"/>
      <c r="S415" s="44"/>
      <c r="T415" s="15"/>
      <c r="U415" s="44"/>
      <c r="V415" s="15">
        <f t="shared" si="33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4"/>
        <v>0</v>
      </c>
      <c r="AF415" s="15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5"/>
        <v>0</v>
      </c>
      <c r="BA415" s="15"/>
      <c r="BB415" s="44"/>
      <c r="BC415" s="15"/>
      <c r="BD415" s="44"/>
      <c r="BE415" s="15">
        <f t="shared" ref="BE415:BE478" si="36">(BA415+BC415)</f>
        <v>0</v>
      </c>
    </row>
    <row r="416" spans="1:57">
      <c r="A416" s="9"/>
      <c r="B416" s="16" t="s">
        <v>632</v>
      </c>
      <c r="C416" s="89" t="s">
        <v>132</v>
      </c>
      <c r="D416" s="61" t="s">
        <v>635</v>
      </c>
      <c r="E416" s="13"/>
      <c r="F416" s="95"/>
      <c r="G416" s="9"/>
      <c r="H416" s="9" t="s">
        <v>247</v>
      </c>
      <c r="I416" s="14"/>
      <c r="J416" s="14"/>
      <c r="K416" s="12">
        <v>0</v>
      </c>
      <c r="L416" s="9"/>
      <c r="M416" s="9"/>
      <c r="N416" s="9"/>
      <c r="O416" s="38">
        <f t="shared" si="32"/>
        <v>0</v>
      </c>
      <c r="P416" s="12"/>
      <c r="Q416" s="42"/>
      <c r="R416" s="15"/>
      <c r="S416" s="44"/>
      <c r="T416" s="15"/>
      <c r="U416" s="44"/>
      <c r="V416" s="15">
        <f t="shared" si="33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4"/>
        <v>0</v>
      </c>
      <c r="AF416" s="15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5"/>
        <v>0</v>
      </c>
      <c r="BA416" s="15"/>
      <c r="BB416" s="44"/>
      <c r="BC416" s="15"/>
      <c r="BD416" s="44"/>
      <c r="BE416" s="15">
        <f t="shared" si="36"/>
        <v>0</v>
      </c>
    </row>
    <row r="417" spans="1:57">
      <c r="A417" s="9"/>
      <c r="B417" s="16" t="s">
        <v>632</v>
      </c>
      <c r="C417" s="89" t="s">
        <v>132</v>
      </c>
      <c r="D417" s="61" t="s">
        <v>636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2"/>
        <v>0</v>
      </c>
      <c r="P417" s="12"/>
      <c r="Q417" s="42"/>
      <c r="R417" s="15"/>
      <c r="S417" s="44"/>
      <c r="T417" s="15"/>
      <c r="U417" s="44"/>
      <c r="V417" s="15">
        <f t="shared" si="33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4"/>
        <v>0</v>
      </c>
      <c r="AF417" s="15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5"/>
        <v>0</v>
      </c>
      <c r="BA417" s="15"/>
      <c r="BB417" s="44"/>
      <c r="BC417" s="15"/>
      <c r="BD417" s="44"/>
      <c r="BE417" s="15">
        <f t="shared" si="36"/>
        <v>0</v>
      </c>
    </row>
    <row r="418" spans="1:57">
      <c r="A418" s="9"/>
      <c r="B418" s="16" t="s">
        <v>632</v>
      </c>
      <c r="C418" s="89" t="s">
        <v>48</v>
      </c>
      <c r="D418" s="61" t="s">
        <v>637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2"/>
        <v>0</v>
      </c>
      <c r="P418" s="12"/>
      <c r="Q418" s="42"/>
      <c r="R418" s="15"/>
      <c r="S418" s="44"/>
      <c r="T418" s="15"/>
      <c r="U418" s="44"/>
      <c r="V418" s="15">
        <f t="shared" si="33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4"/>
        <v>0</v>
      </c>
      <c r="AF418" s="15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5"/>
        <v>0</v>
      </c>
      <c r="BA418" s="15"/>
      <c r="BB418" s="44"/>
      <c r="BC418" s="15"/>
      <c r="BD418" s="44"/>
      <c r="BE418" s="15">
        <f t="shared" si="36"/>
        <v>0</v>
      </c>
    </row>
    <row r="419" spans="1:57">
      <c r="A419" s="9"/>
      <c r="B419" s="16" t="s">
        <v>632</v>
      </c>
      <c r="C419" s="89" t="s">
        <v>48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2"/>
        <v>0</v>
      </c>
      <c r="P419" s="12"/>
      <c r="Q419" s="42"/>
      <c r="R419" s="15"/>
      <c r="S419" s="44"/>
      <c r="T419" s="15"/>
      <c r="U419" s="44"/>
      <c r="V419" s="15">
        <f t="shared" si="33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4"/>
        <v>0</v>
      </c>
      <c r="AF419" s="15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5"/>
        <v>0</v>
      </c>
      <c r="BA419" s="15"/>
      <c r="BB419" s="44"/>
      <c r="BC419" s="15"/>
      <c r="BD419" s="44"/>
      <c r="BE419" s="15">
        <f t="shared" si="36"/>
        <v>0</v>
      </c>
    </row>
    <row r="420" spans="1:57">
      <c r="A420" s="9"/>
      <c r="B420" s="16" t="s">
        <v>632</v>
      </c>
      <c r="C420" s="89" t="s">
        <v>48</v>
      </c>
      <c r="D420" s="59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2"/>
        <v>0</v>
      </c>
      <c r="P420" s="12"/>
      <c r="Q420" s="42"/>
      <c r="R420" s="15"/>
      <c r="S420" s="44"/>
      <c r="T420" s="15"/>
      <c r="U420" s="44"/>
      <c r="V420" s="15">
        <f t="shared" si="33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4"/>
        <v>0</v>
      </c>
      <c r="AF420" s="15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5"/>
        <v>0</v>
      </c>
      <c r="BA420" s="15"/>
      <c r="BB420" s="44"/>
      <c r="BC420" s="15"/>
      <c r="BD420" s="44"/>
      <c r="BE420" s="15">
        <f t="shared" si="36"/>
        <v>0</v>
      </c>
    </row>
    <row r="421" spans="1:57">
      <c r="A421" s="9"/>
      <c r="B421" s="16" t="s">
        <v>632</v>
      </c>
      <c r="C421" s="89" t="s">
        <v>52</v>
      </c>
      <c r="D421" s="59" t="s">
        <v>637</v>
      </c>
      <c r="E421" s="17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2"/>
        <v>0</v>
      </c>
      <c r="P421" s="12"/>
      <c r="Q421" s="42"/>
      <c r="R421" s="15"/>
      <c r="S421" s="44"/>
      <c r="T421" s="15"/>
      <c r="U421" s="44"/>
      <c r="V421" s="15">
        <f t="shared" si="33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4"/>
        <v>0</v>
      </c>
      <c r="AF421" s="15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si="35"/>
        <v>0</v>
      </c>
      <c r="BA421" s="15"/>
      <c r="BB421" s="44"/>
      <c r="BC421" s="15"/>
      <c r="BD421" s="44"/>
      <c r="BE421" s="15">
        <f t="shared" si="36"/>
        <v>0</v>
      </c>
    </row>
    <row r="422" spans="1:57">
      <c r="A422" s="9"/>
      <c r="B422" s="16" t="s">
        <v>632</v>
      </c>
      <c r="C422" s="89" t="s">
        <v>52</v>
      </c>
      <c r="D422" s="59" t="s">
        <v>638</v>
      </c>
      <c r="E422" s="13"/>
      <c r="F422" s="95"/>
      <c r="G422" s="9"/>
      <c r="H422" s="9" t="s">
        <v>639</v>
      </c>
      <c r="I422" s="14"/>
      <c r="J422" s="14"/>
      <c r="K422" s="12">
        <v>0</v>
      </c>
      <c r="L422" s="9"/>
      <c r="M422" s="9"/>
      <c r="N422" s="9"/>
      <c r="O422" s="38">
        <f t="shared" si="32"/>
        <v>0</v>
      </c>
      <c r="P422" s="12"/>
      <c r="Q422" s="42"/>
      <c r="R422" s="15"/>
      <c r="S422" s="44"/>
      <c r="T422" s="15"/>
      <c r="U422" s="44"/>
      <c r="V422" s="15">
        <f t="shared" si="33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4"/>
        <v>0</v>
      </c>
      <c r="AF422" s="15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5"/>
        <v>0</v>
      </c>
      <c r="BA422" s="15"/>
      <c r="BB422" s="44"/>
      <c r="BC422" s="15"/>
      <c r="BD422" s="44"/>
      <c r="BE422" s="15">
        <f t="shared" si="36"/>
        <v>0</v>
      </c>
    </row>
    <row r="423" spans="1:57">
      <c r="A423" s="9"/>
      <c r="B423" s="16" t="s">
        <v>632</v>
      </c>
      <c r="C423" s="89" t="s">
        <v>52</v>
      </c>
      <c r="D423" s="59" t="s">
        <v>640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2"/>
        <v>0</v>
      </c>
      <c r="P423" s="12"/>
      <c r="Q423" s="42"/>
      <c r="R423" s="15"/>
      <c r="S423" s="44"/>
      <c r="T423" s="15"/>
      <c r="U423" s="44"/>
      <c r="V423" s="15">
        <f t="shared" si="33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4"/>
        <v>0</v>
      </c>
      <c r="AF423" s="15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5"/>
        <v>0</v>
      </c>
      <c r="BA423" s="15"/>
      <c r="BB423" s="44"/>
      <c r="BC423" s="15"/>
      <c r="BD423" s="44"/>
      <c r="BE423" s="15">
        <f t="shared" si="36"/>
        <v>0</v>
      </c>
    </row>
    <row r="424" spans="1:57" ht="24" customHeight="1">
      <c r="A424" s="9"/>
      <c r="B424" s="16" t="s">
        <v>641</v>
      </c>
      <c r="C424" s="89" t="s">
        <v>44</v>
      </c>
      <c r="D424" s="61" t="s">
        <v>642</v>
      </c>
      <c r="E424" s="13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2"/>
        <v>0</v>
      </c>
      <c r="P424" s="12"/>
      <c r="Q424" s="42"/>
      <c r="R424" s="15"/>
      <c r="S424" s="44"/>
      <c r="T424" s="15"/>
      <c r="U424" s="44"/>
      <c r="V424" s="15">
        <f t="shared" si="33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4"/>
        <v>0</v>
      </c>
      <c r="AF424" s="15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5"/>
        <v>0</v>
      </c>
      <c r="BA424" s="15"/>
      <c r="BB424" s="44"/>
      <c r="BC424" s="15"/>
      <c r="BD424" s="44"/>
      <c r="BE424" s="15">
        <f t="shared" si="36"/>
        <v>0</v>
      </c>
    </row>
    <row r="425" spans="1:57" ht="24" customHeight="1">
      <c r="A425" s="9"/>
      <c r="B425" s="16" t="s">
        <v>641</v>
      </c>
      <c r="C425" s="89" t="s">
        <v>643</v>
      </c>
      <c r="D425" s="59" t="s">
        <v>642</v>
      </c>
      <c r="E425" s="13"/>
      <c r="F425" s="95"/>
      <c r="G425" s="9"/>
      <c r="H425" s="9" t="s">
        <v>247</v>
      </c>
      <c r="I425" s="14"/>
      <c r="J425" s="14"/>
      <c r="K425" s="12">
        <v>0</v>
      </c>
      <c r="L425" s="9"/>
      <c r="M425" s="9"/>
      <c r="N425" s="9"/>
      <c r="O425" s="38">
        <f t="shared" si="32"/>
        <v>0</v>
      </c>
      <c r="P425" s="12"/>
      <c r="Q425" s="42"/>
      <c r="R425" s="15"/>
      <c r="S425" s="44"/>
      <c r="T425" s="15"/>
      <c r="U425" s="44"/>
      <c r="V425" s="15">
        <f t="shared" si="33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4"/>
        <v>0</v>
      </c>
      <c r="AF425" s="15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5"/>
        <v>0</v>
      </c>
      <c r="BA425" s="15"/>
      <c r="BB425" s="44"/>
      <c r="BC425" s="15"/>
      <c r="BD425" s="44"/>
      <c r="BE425" s="15">
        <f t="shared" si="36"/>
        <v>0</v>
      </c>
    </row>
    <row r="426" spans="1:57">
      <c r="A426" s="9"/>
      <c r="B426" s="16" t="s">
        <v>641</v>
      </c>
      <c r="C426" s="89" t="s">
        <v>132</v>
      </c>
      <c r="D426" s="59" t="s">
        <v>644</v>
      </c>
      <c r="E426" s="13" t="s">
        <v>645</v>
      </c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2"/>
        <v>0</v>
      </c>
      <c r="P426" s="12"/>
      <c r="Q426" s="42"/>
      <c r="R426" s="15"/>
      <c r="S426" s="44"/>
      <c r="T426" s="15"/>
      <c r="U426" s="44"/>
      <c r="V426" s="15">
        <f t="shared" si="33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4"/>
        <v>0</v>
      </c>
      <c r="AF426" s="15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5"/>
        <v>0</v>
      </c>
      <c r="BA426" s="15"/>
      <c r="BB426" s="44"/>
      <c r="BC426" s="15"/>
      <c r="BD426" s="44"/>
      <c r="BE426" s="15">
        <f t="shared" si="36"/>
        <v>0</v>
      </c>
    </row>
    <row r="427" spans="1:57">
      <c r="A427" s="9"/>
      <c r="B427" s="16" t="s">
        <v>641</v>
      </c>
      <c r="C427" s="89" t="s">
        <v>132</v>
      </c>
      <c r="D427" s="86" t="s">
        <v>644</v>
      </c>
      <c r="E427" s="13" t="s">
        <v>646</v>
      </c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2"/>
        <v>0</v>
      </c>
      <c r="P427" s="12"/>
      <c r="Q427" s="42"/>
      <c r="R427" s="15"/>
      <c r="S427" s="44"/>
      <c r="T427" s="15"/>
      <c r="U427" s="44"/>
      <c r="V427" s="15">
        <f t="shared" si="33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4"/>
        <v>0</v>
      </c>
      <c r="AF427" s="15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5"/>
        <v>0</v>
      </c>
      <c r="BA427" s="15"/>
      <c r="BB427" s="44"/>
      <c r="BC427" s="15"/>
      <c r="BD427" s="44"/>
      <c r="BE427" s="15">
        <f t="shared" si="36"/>
        <v>0</v>
      </c>
    </row>
    <row r="428" spans="1:57">
      <c r="A428" s="9"/>
      <c r="B428" s="16" t="s">
        <v>641</v>
      </c>
      <c r="C428" s="89" t="s">
        <v>140</v>
      </c>
      <c r="D428" s="59" t="s">
        <v>644</v>
      </c>
      <c r="E428" s="13" t="s">
        <v>645</v>
      </c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2"/>
        <v>0</v>
      </c>
      <c r="P428" s="12"/>
      <c r="Q428" s="42"/>
      <c r="R428" s="15"/>
      <c r="S428" s="44"/>
      <c r="T428" s="15"/>
      <c r="U428" s="44"/>
      <c r="V428" s="15">
        <f t="shared" si="33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4"/>
        <v>0</v>
      </c>
      <c r="AF428" s="15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5"/>
        <v>0</v>
      </c>
      <c r="BA428" s="15"/>
      <c r="BB428" s="44"/>
      <c r="BC428" s="15"/>
      <c r="BD428" s="44"/>
      <c r="BE428" s="15">
        <f t="shared" si="36"/>
        <v>0</v>
      </c>
    </row>
    <row r="429" spans="1:57">
      <c r="A429" s="9"/>
      <c r="B429" s="16" t="s">
        <v>641</v>
      </c>
      <c r="C429" s="89" t="s">
        <v>140</v>
      </c>
      <c r="D429" s="59" t="s">
        <v>644</v>
      </c>
      <c r="E429" s="13" t="s">
        <v>647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2"/>
        <v>0</v>
      </c>
      <c r="P429" s="12"/>
      <c r="Q429" s="42"/>
      <c r="R429" s="15"/>
      <c r="S429" s="44"/>
      <c r="T429" s="15"/>
      <c r="U429" s="44"/>
      <c r="V429" s="15">
        <f t="shared" si="33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4"/>
        <v>0</v>
      </c>
      <c r="AF429" s="15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5"/>
        <v>0</v>
      </c>
      <c r="BA429" s="15"/>
      <c r="BB429" s="44"/>
      <c r="BC429" s="15"/>
      <c r="BD429" s="44"/>
      <c r="BE429" s="15">
        <f t="shared" si="36"/>
        <v>0</v>
      </c>
    </row>
    <row r="430" spans="1:57">
      <c r="A430" s="9"/>
      <c r="B430" s="16" t="s">
        <v>641</v>
      </c>
      <c r="C430" s="89" t="s">
        <v>48</v>
      </c>
      <c r="D430" s="56" t="s">
        <v>648</v>
      </c>
      <c r="E430" s="13" t="s">
        <v>649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2"/>
        <v>0</v>
      </c>
      <c r="P430" s="12"/>
      <c r="Q430" s="42"/>
      <c r="R430" s="15"/>
      <c r="S430" s="44"/>
      <c r="T430" s="15"/>
      <c r="U430" s="44"/>
      <c r="V430" s="15">
        <f t="shared" si="33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4"/>
        <v>0</v>
      </c>
      <c r="AF430" s="15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5"/>
        <v>0</v>
      </c>
      <c r="BA430" s="15"/>
      <c r="BB430" s="44"/>
      <c r="BC430" s="15"/>
      <c r="BD430" s="44"/>
      <c r="BE430" s="15">
        <f t="shared" si="36"/>
        <v>0</v>
      </c>
    </row>
    <row r="431" spans="1:57">
      <c r="A431" s="9"/>
      <c r="B431" s="16" t="s">
        <v>641</v>
      </c>
      <c r="C431" s="89" t="s">
        <v>48</v>
      </c>
      <c r="D431" s="56" t="s">
        <v>650</v>
      </c>
      <c r="E431" s="13" t="s">
        <v>649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2"/>
        <v>0</v>
      </c>
      <c r="P431" s="12"/>
      <c r="Q431" s="42"/>
      <c r="R431" s="15"/>
      <c r="S431" s="44"/>
      <c r="T431" s="15"/>
      <c r="U431" s="44"/>
      <c r="V431" s="15">
        <f t="shared" si="33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4"/>
        <v>0</v>
      </c>
      <c r="AF431" s="15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5"/>
        <v>0</v>
      </c>
      <c r="BA431" s="15"/>
      <c r="BB431" s="44"/>
      <c r="BC431" s="15"/>
      <c r="BD431" s="44"/>
      <c r="BE431" s="15">
        <f t="shared" si="36"/>
        <v>0</v>
      </c>
    </row>
    <row r="432" spans="1:57">
      <c r="A432" s="9"/>
      <c r="B432" s="16" t="s">
        <v>641</v>
      </c>
      <c r="C432" s="89" t="s">
        <v>48</v>
      </c>
      <c r="D432" s="56" t="s">
        <v>648</v>
      </c>
      <c r="E432" s="13" t="s">
        <v>651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2"/>
        <v>0</v>
      </c>
      <c r="P432" s="12"/>
      <c r="Q432" s="42"/>
      <c r="R432" s="15"/>
      <c r="S432" s="44"/>
      <c r="T432" s="15"/>
      <c r="U432" s="44"/>
      <c r="V432" s="15">
        <f t="shared" si="33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4"/>
        <v>0</v>
      </c>
      <c r="AF432" s="15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5"/>
        <v>0</v>
      </c>
      <c r="BA432" s="15"/>
      <c r="BB432" s="44"/>
      <c r="BC432" s="15"/>
      <c r="BD432" s="44"/>
      <c r="BE432" s="15">
        <f t="shared" si="36"/>
        <v>0</v>
      </c>
    </row>
    <row r="433" spans="1:57">
      <c r="A433" s="9"/>
      <c r="B433" s="16" t="s">
        <v>641</v>
      </c>
      <c r="C433" s="89" t="s">
        <v>48</v>
      </c>
      <c r="D433" s="56" t="s">
        <v>650</v>
      </c>
      <c r="E433" s="13" t="s">
        <v>651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2"/>
        <v>0</v>
      </c>
      <c r="P433" s="12"/>
      <c r="Q433" s="42"/>
      <c r="R433" s="15"/>
      <c r="S433" s="44"/>
      <c r="T433" s="15"/>
      <c r="U433" s="44"/>
      <c r="V433" s="15">
        <f t="shared" si="33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4"/>
        <v>0</v>
      </c>
      <c r="AF433" s="15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5"/>
        <v>0</v>
      </c>
      <c r="BA433" s="15"/>
      <c r="BB433" s="44"/>
      <c r="BC433" s="15"/>
      <c r="BD433" s="44"/>
      <c r="BE433" s="15">
        <f t="shared" si="36"/>
        <v>0</v>
      </c>
    </row>
    <row r="434" spans="1:57">
      <c r="A434" s="9"/>
      <c r="B434" s="16" t="s">
        <v>641</v>
      </c>
      <c r="C434" s="89" t="s">
        <v>652</v>
      </c>
      <c r="D434" s="61" t="s">
        <v>653</v>
      </c>
      <c r="E434" s="13"/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2"/>
        <v>0</v>
      </c>
      <c r="P434" s="12"/>
      <c r="Q434" s="42"/>
      <c r="R434" s="15"/>
      <c r="S434" s="44"/>
      <c r="T434" s="15"/>
      <c r="U434" s="44"/>
      <c r="V434" s="15">
        <f t="shared" si="33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4"/>
        <v>0</v>
      </c>
      <c r="AF434" s="15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5"/>
        <v>0</v>
      </c>
      <c r="BA434" s="15"/>
      <c r="BB434" s="44"/>
      <c r="BC434" s="15"/>
      <c r="BD434" s="44"/>
      <c r="BE434" s="15">
        <f t="shared" si="36"/>
        <v>0</v>
      </c>
    </row>
    <row r="435" spans="1:57">
      <c r="A435" s="9"/>
      <c r="B435" s="16" t="s">
        <v>641</v>
      </c>
      <c r="C435" s="89" t="s">
        <v>652</v>
      </c>
      <c r="D435" s="61" t="s">
        <v>654</v>
      </c>
      <c r="E435" s="13"/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2"/>
        <v>0</v>
      </c>
      <c r="P435" s="12"/>
      <c r="Q435" s="42"/>
      <c r="R435" s="15"/>
      <c r="S435" s="44"/>
      <c r="T435" s="15"/>
      <c r="U435" s="44"/>
      <c r="V435" s="15">
        <f t="shared" si="33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4"/>
        <v>0</v>
      </c>
      <c r="AF435" s="15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5"/>
        <v>0</v>
      </c>
      <c r="BA435" s="15"/>
      <c r="BB435" s="44"/>
      <c r="BC435" s="15"/>
      <c r="BD435" s="44"/>
      <c r="BE435" s="15">
        <f t="shared" si="36"/>
        <v>0</v>
      </c>
    </row>
    <row r="436" spans="1:57">
      <c r="A436" s="9"/>
      <c r="B436" s="16" t="s">
        <v>641</v>
      </c>
      <c r="C436" s="89" t="s">
        <v>652</v>
      </c>
      <c r="D436" s="61" t="s">
        <v>655</v>
      </c>
      <c r="E436" s="13"/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2"/>
        <v>0</v>
      </c>
      <c r="P436" s="12"/>
      <c r="Q436" s="42"/>
      <c r="R436" s="15"/>
      <c r="S436" s="44"/>
      <c r="T436" s="15"/>
      <c r="U436" s="44"/>
      <c r="V436" s="15">
        <f t="shared" si="33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4"/>
        <v>0</v>
      </c>
      <c r="AF436" s="15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5"/>
        <v>0</v>
      </c>
      <c r="BA436" s="15"/>
      <c r="BB436" s="44"/>
      <c r="BC436" s="15"/>
      <c r="BD436" s="44"/>
      <c r="BE436" s="15">
        <f t="shared" si="36"/>
        <v>0</v>
      </c>
    </row>
    <row r="437" spans="1:57">
      <c r="A437" s="9"/>
      <c r="B437" s="16" t="s">
        <v>641</v>
      </c>
      <c r="C437" s="89" t="s">
        <v>52</v>
      </c>
      <c r="D437" s="61" t="s">
        <v>656</v>
      </c>
      <c r="E437" s="13" t="s">
        <v>657</v>
      </c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2"/>
        <v>0</v>
      </c>
      <c r="P437" s="12"/>
      <c r="Q437" s="42"/>
      <c r="R437" s="15"/>
      <c r="S437" s="44"/>
      <c r="T437" s="15"/>
      <c r="U437" s="44"/>
      <c r="V437" s="15">
        <f t="shared" si="33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4"/>
        <v>0</v>
      </c>
      <c r="AF437" s="15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5"/>
        <v>0</v>
      </c>
      <c r="BA437" s="15"/>
      <c r="BB437" s="44"/>
      <c r="BC437" s="15"/>
      <c r="BD437" s="44"/>
      <c r="BE437" s="15">
        <f t="shared" si="36"/>
        <v>0</v>
      </c>
    </row>
    <row r="438" spans="1:57">
      <c r="A438" s="9"/>
      <c r="B438" s="16" t="s">
        <v>641</v>
      </c>
      <c r="C438" s="89" t="s">
        <v>52</v>
      </c>
      <c r="D438" s="61" t="s">
        <v>656</v>
      </c>
      <c r="E438" s="13" t="s">
        <v>658</v>
      </c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2"/>
        <v>0</v>
      </c>
      <c r="P438" s="12"/>
      <c r="Q438" s="42"/>
      <c r="R438" s="15"/>
      <c r="S438" s="44"/>
      <c r="T438" s="15"/>
      <c r="U438" s="44"/>
      <c r="V438" s="15">
        <f t="shared" si="33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4"/>
        <v>0</v>
      </c>
      <c r="AF438" s="15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5"/>
        <v>0</v>
      </c>
      <c r="BA438" s="15"/>
      <c r="BB438" s="44"/>
      <c r="BC438" s="15"/>
      <c r="BD438" s="44"/>
      <c r="BE438" s="15">
        <f t="shared" si="36"/>
        <v>0</v>
      </c>
    </row>
    <row r="439" spans="1:57">
      <c r="A439" s="9"/>
      <c r="B439" s="16" t="s">
        <v>641</v>
      </c>
      <c r="C439" s="89" t="s">
        <v>52</v>
      </c>
      <c r="D439" s="61" t="s">
        <v>656</v>
      </c>
      <c r="E439" s="13" t="s">
        <v>659</v>
      </c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2"/>
        <v>0</v>
      </c>
      <c r="P439" s="12"/>
      <c r="Q439" s="42"/>
      <c r="R439" s="15"/>
      <c r="S439" s="44"/>
      <c r="T439" s="15"/>
      <c r="U439" s="44"/>
      <c r="V439" s="15">
        <f t="shared" si="33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4"/>
        <v>0</v>
      </c>
      <c r="AF439" s="15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5"/>
        <v>0</v>
      </c>
      <c r="BA439" s="15"/>
      <c r="BB439" s="44"/>
      <c r="BC439" s="15"/>
      <c r="BD439" s="44"/>
      <c r="BE439" s="15">
        <f t="shared" si="36"/>
        <v>0</v>
      </c>
    </row>
    <row r="440" spans="1:57">
      <c r="A440" s="9"/>
      <c r="B440" s="16" t="s">
        <v>641</v>
      </c>
      <c r="C440" s="89" t="s">
        <v>151</v>
      </c>
      <c r="D440" s="61" t="s">
        <v>660</v>
      </c>
      <c r="E440" s="13" t="s">
        <v>1816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2"/>
        <v>0</v>
      </c>
      <c r="P440" s="12"/>
      <c r="Q440" s="42"/>
      <c r="R440" s="15"/>
      <c r="S440" s="44"/>
      <c r="T440" s="15"/>
      <c r="U440" s="44"/>
      <c r="V440" s="15">
        <f t="shared" si="33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4"/>
        <v>0</v>
      </c>
      <c r="AF440" s="15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5"/>
        <v>0</v>
      </c>
      <c r="BA440" s="15"/>
      <c r="BB440" s="44"/>
      <c r="BC440" s="15"/>
      <c r="BD440" s="44"/>
      <c r="BE440" s="15">
        <f t="shared" si="36"/>
        <v>0</v>
      </c>
    </row>
    <row r="441" spans="1:57">
      <c r="A441" s="9"/>
      <c r="B441" s="16" t="s">
        <v>641</v>
      </c>
      <c r="C441" s="89" t="s">
        <v>151</v>
      </c>
      <c r="D441" s="56" t="s">
        <v>662</v>
      </c>
      <c r="E441" s="13" t="s">
        <v>663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2"/>
        <v>0</v>
      </c>
      <c r="P441" s="12"/>
      <c r="Q441" s="42"/>
      <c r="R441" s="15"/>
      <c r="S441" s="44"/>
      <c r="T441" s="15"/>
      <c r="U441" s="44"/>
      <c r="V441" s="15">
        <f t="shared" si="33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4"/>
        <v>0</v>
      </c>
      <c r="AF441" s="15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5"/>
        <v>0</v>
      </c>
      <c r="BA441" s="15"/>
      <c r="BB441" s="44"/>
      <c r="BC441" s="15"/>
      <c r="BD441" s="44"/>
      <c r="BE441" s="15">
        <f t="shared" si="36"/>
        <v>0</v>
      </c>
    </row>
    <row r="442" spans="1:57">
      <c r="A442" s="9"/>
      <c r="B442" s="16" t="s">
        <v>641</v>
      </c>
      <c r="C442" s="89" t="s">
        <v>151</v>
      </c>
      <c r="D442" s="56" t="s">
        <v>664</v>
      </c>
      <c r="E442" s="13" t="s">
        <v>665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2"/>
        <v>0</v>
      </c>
      <c r="P442" s="12"/>
      <c r="Q442" s="42"/>
      <c r="R442" s="15"/>
      <c r="S442" s="44"/>
      <c r="T442" s="15"/>
      <c r="U442" s="44"/>
      <c r="V442" s="15">
        <f t="shared" si="33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4"/>
        <v>0</v>
      </c>
      <c r="AF442" s="15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5"/>
        <v>0</v>
      </c>
      <c r="BA442" s="15"/>
      <c r="BB442" s="44"/>
      <c r="BC442" s="15"/>
      <c r="BD442" s="44"/>
      <c r="BE442" s="15">
        <f t="shared" si="36"/>
        <v>0</v>
      </c>
    </row>
    <row r="443" spans="1:57">
      <c r="A443" s="9"/>
      <c r="B443" s="16" t="s">
        <v>666</v>
      </c>
      <c r="C443" s="89" t="s">
        <v>151</v>
      </c>
      <c r="D443" s="56" t="s">
        <v>667</v>
      </c>
      <c r="E443" s="13" t="s">
        <v>668</v>
      </c>
      <c r="F443" s="95"/>
      <c r="G443" s="9"/>
      <c r="H443" s="9" t="s">
        <v>669</v>
      </c>
      <c r="I443" s="14"/>
      <c r="J443" s="14"/>
      <c r="K443" s="12">
        <v>0</v>
      </c>
      <c r="L443" s="9"/>
      <c r="M443" s="9"/>
      <c r="N443" s="9"/>
      <c r="O443" s="38">
        <f t="shared" si="32"/>
        <v>0</v>
      </c>
      <c r="P443" s="12"/>
      <c r="Q443" s="42"/>
      <c r="R443" s="15"/>
      <c r="S443" s="44"/>
      <c r="T443" s="15"/>
      <c r="U443" s="44"/>
      <c r="V443" s="15">
        <f t="shared" si="33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4"/>
        <v>0</v>
      </c>
      <c r="AF443" s="15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5"/>
        <v>0</v>
      </c>
      <c r="BA443" s="15"/>
      <c r="BB443" s="44"/>
      <c r="BC443" s="15"/>
      <c r="BD443" s="44"/>
      <c r="BE443" s="15">
        <f t="shared" si="36"/>
        <v>0</v>
      </c>
    </row>
    <row r="444" spans="1:57">
      <c r="A444" s="9"/>
      <c r="B444" s="16" t="s">
        <v>666</v>
      </c>
      <c r="C444" s="89" t="s">
        <v>151</v>
      </c>
      <c r="D444" s="56" t="s">
        <v>670</v>
      </c>
      <c r="E444" s="13" t="s">
        <v>671</v>
      </c>
      <c r="F444" s="95"/>
      <c r="G444" s="9"/>
      <c r="H444" s="9" t="s">
        <v>669</v>
      </c>
      <c r="I444" s="14"/>
      <c r="J444" s="14"/>
      <c r="K444" s="12">
        <v>0</v>
      </c>
      <c r="L444" s="9"/>
      <c r="M444" s="9"/>
      <c r="N444" s="9"/>
      <c r="O444" s="38">
        <f t="shared" si="32"/>
        <v>0</v>
      </c>
      <c r="P444" s="12"/>
      <c r="Q444" s="42"/>
      <c r="R444" s="15"/>
      <c r="S444" s="44"/>
      <c r="T444" s="15"/>
      <c r="U444" s="44"/>
      <c r="V444" s="15">
        <f t="shared" si="33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4"/>
        <v>0</v>
      </c>
      <c r="AF444" s="15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5"/>
        <v>0</v>
      </c>
      <c r="BA444" s="15"/>
      <c r="BB444" s="44"/>
      <c r="BC444" s="15"/>
      <c r="BD444" s="44"/>
      <c r="BE444" s="15">
        <f t="shared" si="36"/>
        <v>0</v>
      </c>
    </row>
    <row r="445" spans="1:57">
      <c r="A445" s="9"/>
      <c r="B445" s="16" t="s">
        <v>666</v>
      </c>
      <c r="C445" s="89" t="s">
        <v>151</v>
      </c>
      <c r="D445" s="56" t="s">
        <v>672</v>
      </c>
      <c r="E445" s="13" t="s">
        <v>673</v>
      </c>
      <c r="F445" s="95"/>
      <c r="G445" s="9"/>
      <c r="H445" s="9" t="s">
        <v>669</v>
      </c>
      <c r="I445" s="14"/>
      <c r="J445" s="14"/>
      <c r="K445" s="12">
        <v>0</v>
      </c>
      <c r="L445" s="9"/>
      <c r="M445" s="9"/>
      <c r="N445" s="9"/>
      <c r="O445" s="38">
        <f t="shared" si="32"/>
        <v>0</v>
      </c>
      <c r="P445" s="12"/>
      <c r="Q445" s="42"/>
      <c r="R445" s="15"/>
      <c r="S445" s="44"/>
      <c r="T445" s="15"/>
      <c r="U445" s="44"/>
      <c r="V445" s="15">
        <f t="shared" si="33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4"/>
        <v>0</v>
      </c>
      <c r="AF445" s="15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5"/>
        <v>0</v>
      </c>
      <c r="BA445" s="15"/>
      <c r="BB445" s="44"/>
      <c r="BC445" s="15"/>
      <c r="BD445" s="44"/>
      <c r="BE445" s="15">
        <f t="shared" si="36"/>
        <v>0</v>
      </c>
    </row>
    <row r="446" spans="1:57" ht="24" customHeight="1">
      <c r="A446" s="9"/>
      <c r="B446" s="16" t="s">
        <v>674</v>
      </c>
      <c r="C446" s="89" t="s">
        <v>44</v>
      </c>
      <c r="D446" s="56" t="s">
        <v>675</v>
      </c>
      <c r="E446" s="13" t="s">
        <v>676</v>
      </c>
      <c r="F446" s="95"/>
      <c r="G446" s="9"/>
      <c r="H446" s="9" t="s">
        <v>677</v>
      </c>
      <c r="I446" s="14"/>
      <c r="J446" s="14"/>
      <c r="K446" s="12">
        <v>0</v>
      </c>
      <c r="L446" s="9"/>
      <c r="M446" s="9"/>
      <c r="N446" s="9"/>
      <c r="O446" s="38">
        <f t="shared" si="32"/>
        <v>0</v>
      </c>
      <c r="P446" s="12"/>
      <c r="Q446" s="42"/>
      <c r="R446" s="15"/>
      <c r="S446" s="44"/>
      <c r="T446" s="15"/>
      <c r="U446" s="44"/>
      <c r="V446" s="15">
        <f t="shared" si="33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4"/>
        <v>0</v>
      </c>
      <c r="AF446" s="15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5"/>
        <v>0</v>
      </c>
      <c r="BA446" s="15"/>
      <c r="BB446" s="44"/>
      <c r="BC446" s="15"/>
      <c r="BD446" s="44"/>
      <c r="BE446" s="15">
        <f t="shared" si="36"/>
        <v>0</v>
      </c>
    </row>
    <row r="447" spans="1:57" ht="24" customHeight="1">
      <c r="A447" s="9"/>
      <c r="B447" s="16" t="s">
        <v>674</v>
      </c>
      <c r="C447" s="89" t="s">
        <v>44</v>
      </c>
      <c r="D447" s="59" t="s">
        <v>678</v>
      </c>
      <c r="E447" s="13" t="s">
        <v>679</v>
      </c>
      <c r="F447" s="95"/>
      <c r="G447" s="9"/>
      <c r="H447" s="9" t="s">
        <v>677</v>
      </c>
      <c r="I447" s="14"/>
      <c r="J447" s="14"/>
      <c r="K447" s="12">
        <v>0</v>
      </c>
      <c r="L447" s="9"/>
      <c r="M447" s="9"/>
      <c r="N447" s="9"/>
      <c r="O447" s="38">
        <f t="shared" si="32"/>
        <v>0</v>
      </c>
      <c r="P447" s="12"/>
      <c r="Q447" s="42"/>
      <c r="R447" s="15"/>
      <c r="S447" s="44"/>
      <c r="T447" s="15"/>
      <c r="U447" s="44"/>
      <c r="V447" s="15">
        <f t="shared" si="33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4"/>
        <v>0</v>
      </c>
      <c r="AF447" s="15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5"/>
        <v>0</v>
      </c>
      <c r="BA447" s="15"/>
      <c r="BB447" s="44"/>
      <c r="BC447" s="15"/>
      <c r="BD447" s="44"/>
      <c r="BE447" s="15">
        <f t="shared" si="36"/>
        <v>0</v>
      </c>
    </row>
    <row r="448" spans="1:57">
      <c r="A448" s="9"/>
      <c r="B448" s="16" t="s">
        <v>674</v>
      </c>
      <c r="C448" s="89" t="s">
        <v>48</v>
      </c>
      <c r="D448" s="56" t="s">
        <v>675</v>
      </c>
      <c r="E448" s="13" t="s">
        <v>680</v>
      </c>
      <c r="F448" s="95"/>
      <c r="G448" s="9"/>
      <c r="H448" s="9" t="s">
        <v>677</v>
      </c>
      <c r="I448" s="14"/>
      <c r="J448" s="14"/>
      <c r="K448" s="12">
        <v>0</v>
      </c>
      <c r="L448" s="9"/>
      <c r="M448" s="9"/>
      <c r="N448" s="9"/>
      <c r="O448" s="38">
        <f t="shared" si="32"/>
        <v>0</v>
      </c>
      <c r="P448" s="12"/>
      <c r="Q448" s="42"/>
      <c r="R448" s="15"/>
      <c r="S448" s="44"/>
      <c r="T448" s="15"/>
      <c r="U448" s="44"/>
      <c r="V448" s="15">
        <f t="shared" si="33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4"/>
        <v>0</v>
      </c>
      <c r="AF448" s="15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5"/>
        <v>0</v>
      </c>
      <c r="BA448" s="15"/>
      <c r="BB448" s="44"/>
      <c r="BC448" s="15"/>
      <c r="BD448" s="44"/>
      <c r="BE448" s="15">
        <f t="shared" si="36"/>
        <v>0</v>
      </c>
    </row>
    <row r="449" spans="1:57">
      <c r="A449" s="9"/>
      <c r="B449" s="16" t="s">
        <v>674</v>
      </c>
      <c r="C449" s="89" t="s">
        <v>48</v>
      </c>
      <c r="D449" s="59" t="s">
        <v>678</v>
      </c>
      <c r="E449" s="13" t="s">
        <v>681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2"/>
        <v>0</v>
      </c>
      <c r="P449" s="12"/>
      <c r="Q449" s="42"/>
      <c r="R449" s="15"/>
      <c r="S449" s="44"/>
      <c r="T449" s="15"/>
      <c r="U449" s="44"/>
      <c r="V449" s="15">
        <f t="shared" si="33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4"/>
        <v>0</v>
      </c>
      <c r="AF449" s="15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5"/>
        <v>0</v>
      </c>
      <c r="BA449" s="15"/>
      <c r="BB449" s="44"/>
      <c r="BC449" s="15"/>
      <c r="BD449" s="44"/>
      <c r="BE449" s="15">
        <f t="shared" si="36"/>
        <v>0</v>
      </c>
    </row>
    <row r="450" spans="1:57">
      <c r="A450" s="9"/>
      <c r="B450" s="16" t="s">
        <v>674</v>
      </c>
      <c r="C450" s="89" t="s">
        <v>50</v>
      </c>
      <c r="D450" s="59" t="s">
        <v>682</v>
      </c>
      <c r="E450" s="13" t="s">
        <v>683</v>
      </c>
      <c r="F450" s="95"/>
      <c r="G450" s="9"/>
      <c r="H450" s="9" t="s">
        <v>684</v>
      </c>
      <c r="I450" s="14"/>
      <c r="J450" s="14"/>
      <c r="K450" s="12">
        <v>0</v>
      </c>
      <c r="L450" s="9"/>
      <c r="M450" s="9"/>
      <c r="N450" s="9"/>
      <c r="O450" s="38">
        <f t="shared" ref="O450:O513" si="37">K450+V450-AE450-AZ450</f>
        <v>0</v>
      </c>
      <c r="P450" s="12"/>
      <c r="Q450" s="42"/>
      <c r="R450" s="15"/>
      <c r="S450" s="44"/>
      <c r="T450" s="15"/>
      <c r="U450" s="44"/>
      <c r="V450" s="15">
        <f t="shared" ref="V450:V513" si="38">P450+R450+T450</f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ref="AE450:AE513" si="39">(W450+Y450+AA450+AC450)</f>
        <v>0</v>
      </c>
      <c r="AF450" s="15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5"/>
        <v>0</v>
      </c>
      <c r="BA450" s="15"/>
      <c r="BB450" s="44"/>
      <c r="BC450" s="15"/>
      <c r="BD450" s="44"/>
      <c r="BE450" s="15">
        <f t="shared" si="36"/>
        <v>0</v>
      </c>
    </row>
    <row r="451" spans="1:57">
      <c r="A451" s="9"/>
      <c r="B451" s="16" t="s">
        <v>674</v>
      </c>
      <c r="C451" s="89" t="s">
        <v>50</v>
      </c>
      <c r="D451" s="56" t="s">
        <v>685</v>
      </c>
      <c r="E451" s="13" t="s">
        <v>686</v>
      </c>
      <c r="F451" s="95"/>
      <c r="G451" s="9"/>
      <c r="H451" s="9" t="s">
        <v>684</v>
      </c>
      <c r="I451" s="14"/>
      <c r="J451" s="14"/>
      <c r="K451" s="12">
        <v>0</v>
      </c>
      <c r="L451" s="9"/>
      <c r="M451" s="9"/>
      <c r="N451" s="9"/>
      <c r="O451" s="38">
        <f t="shared" si="37"/>
        <v>0</v>
      </c>
      <c r="P451" s="12"/>
      <c r="Q451" s="42"/>
      <c r="R451" s="15"/>
      <c r="S451" s="44"/>
      <c r="T451" s="15"/>
      <c r="U451" s="44"/>
      <c r="V451" s="15">
        <f t="shared" si="38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9"/>
        <v>0</v>
      </c>
      <c r="AF451" s="15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ref="AZ451:AZ514" si="40">AF451+AH451+AJ451+AL451+AN451+AP451+AR451+AT451+AV451+AX451</f>
        <v>0</v>
      </c>
      <c r="BA451" s="15"/>
      <c r="BB451" s="44"/>
      <c r="BC451" s="15"/>
      <c r="BD451" s="44"/>
      <c r="BE451" s="15">
        <f t="shared" si="36"/>
        <v>0</v>
      </c>
    </row>
    <row r="452" spans="1:57">
      <c r="A452" s="9"/>
      <c r="B452" s="16" t="s">
        <v>674</v>
      </c>
      <c r="C452" s="89" t="s">
        <v>52</v>
      </c>
      <c r="D452" s="56" t="s">
        <v>675</v>
      </c>
      <c r="E452" s="13"/>
      <c r="F452" s="95"/>
      <c r="G452" s="9"/>
      <c r="H452" s="9" t="s">
        <v>687</v>
      </c>
      <c r="I452" s="14"/>
      <c r="J452" s="14"/>
      <c r="K452" s="12">
        <v>0</v>
      </c>
      <c r="L452" s="9"/>
      <c r="M452" s="9"/>
      <c r="N452" s="9"/>
      <c r="O452" s="38">
        <f t="shared" si="37"/>
        <v>0</v>
      </c>
      <c r="P452" s="12"/>
      <c r="Q452" s="42"/>
      <c r="R452" s="15"/>
      <c r="S452" s="44"/>
      <c r="T452" s="15"/>
      <c r="U452" s="44"/>
      <c r="V452" s="15">
        <f t="shared" si="38"/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si="39"/>
        <v>0</v>
      </c>
      <c r="AF452" s="15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40"/>
        <v>0</v>
      </c>
      <c r="BA452" s="15"/>
      <c r="BB452" s="44"/>
      <c r="BC452" s="15"/>
      <c r="BD452" s="44"/>
      <c r="BE452" s="15">
        <f t="shared" si="36"/>
        <v>0</v>
      </c>
    </row>
    <row r="453" spans="1:57">
      <c r="A453" s="9"/>
      <c r="B453" s="16" t="s">
        <v>674</v>
      </c>
      <c r="C453" s="89" t="s">
        <v>494</v>
      </c>
      <c r="D453" s="56" t="s">
        <v>675</v>
      </c>
      <c r="E453" s="13"/>
      <c r="F453" s="95"/>
      <c r="G453" s="9"/>
      <c r="H453" s="9" t="s">
        <v>687</v>
      </c>
      <c r="I453" s="14"/>
      <c r="J453" s="14"/>
      <c r="K453" s="12">
        <v>0</v>
      </c>
      <c r="L453" s="9"/>
      <c r="M453" s="9"/>
      <c r="N453" s="9"/>
      <c r="O453" s="38">
        <f t="shared" si="37"/>
        <v>0</v>
      </c>
      <c r="P453" s="12"/>
      <c r="Q453" s="42"/>
      <c r="R453" s="15"/>
      <c r="S453" s="44"/>
      <c r="T453" s="15"/>
      <c r="U453" s="44"/>
      <c r="V453" s="15">
        <f t="shared" si="38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39"/>
        <v>0</v>
      </c>
      <c r="AF453" s="15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40"/>
        <v>0</v>
      </c>
      <c r="BA453" s="15"/>
      <c r="BB453" s="44"/>
      <c r="BC453" s="15"/>
      <c r="BD453" s="44"/>
      <c r="BE453" s="15">
        <f t="shared" si="36"/>
        <v>0</v>
      </c>
    </row>
    <row r="454" spans="1:57">
      <c r="A454" s="9"/>
      <c r="B454" s="16" t="s">
        <v>674</v>
      </c>
      <c r="C454" s="89" t="s">
        <v>494</v>
      </c>
      <c r="D454" s="59" t="s">
        <v>688</v>
      </c>
      <c r="E454" s="13"/>
      <c r="F454" s="95"/>
      <c r="G454" s="9"/>
      <c r="H454" s="9" t="s">
        <v>687</v>
      </c>
      <c r="I454" s="14"/>
      <c r="J454" s="14"/>
      <c r="K454" s="12">
        <v>0</v>
      </c>
      <c r="L454" s="9"/>
      <c r="M454" s="9"/>
      <c r="N454" s="9"/>
      <c r="O454" s="38">
        <f t="shared" si="37"/>
        <v>0</v>
      </c>
      <c r="P454" s="12"/>
      <c r="Q454" s="42"/>
      <c r="R454" s="15"/>
      <c r="S454" s="44"/>
      <c r="T454" s="15"/>
      <c r="U454" s="44"/>
      <c r="V454" s="15">
        <f t="shared" si="38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39"/>
        <v>0</v>
      </c>
      <c r="AF454" s="15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40"/>
        <v>0</v>
      </c>
      <c r="BA454" s="15"/>
      <c r="BB454" s="44"/>
      <c r="BC454" s="15"/>
      <c r="BD454" s="44"/>
      <c r="BE454" s="15">
        <f t="shared" si="36"/>
        <v>0</v>
      </c>
    </row>
    <row r="455" spans="1:57">
      <c r="A455" s="9"/>
      <c r="B455" s="16" t="s">
        <v>674</v>
      </c>
      <c r="C455" s="89" t="s">
        <v>151</v>
      </c>
      <c r="D455" s="59" t="s">
        <v>689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7"/>
        <v>0</v>
      </c>
      <c r="P455" s="12"/>
      <c r="Q455" s="42"/>
      <c r="R455" s="15"/>
      <c r="S455" s="44"/>
      <c r="T455" s="15"/>
      <c r="U455" s="44"/>
      <c r="V455" s="15">
        <f t="shared" si="38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39"/>
        <v>0</v>
      </c>
      <c r="AF455" s="15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40"/>
        <v>0</v>
      </c>
      <c r="BA455" s="15"/>
      <c r="BB455" s="44"/>
      <c r="BC455" s="15"/>
      <c r="BD455" s="44"/>
      <c r="BE455" s="15">
        <f t="shared" si="36"/>
        <v>0</v>
      </c>
    </row>
    <row r="456" spans="1:57">
      <c r="A456" s="9"/>
      <c r="B456" s="16" t="s">
        <v>674</v>
      </c>
      <c r="C456" s="89" t="s">
        <v>151</v>
      </c>
      <c r="D456" s="59" t="s">
        <v>690</v>
      </c>
      <c r="E456" s="13" t="s">
        <v>691</v>
      </c>
      <c r="F456" s="95"/>
      <c r="G456" s="9"/>
      <c r="H456" s="9" t="s">
        <v>692</v>
      </c>
      <c r="I456" s="14"/>
      <c r="J456" s="14"/>
      <c r="K456" s="12">
        <v>0</v>
      </c>
      <c r="L456" s="9"/>
      <c r="M456" s="9"/>
      <c r="N456" s="9"/>
      <c r="O456" s="38">
        <f t="shared" si="37"/>
        <v>0</v>
      </c>
      <c r="P456" s="12"/>
      <c r="Q456" s="42"/>
      <c r="R456" s="15"/>
      <c r="S456" s="44"/>
      <c r="T456" s="15"/>
      <c r="U456" s="44"/>
      <c r="V456" s="15">
        <f t="shared" si="38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39"/>
        <v>0</v>
      </c>
      <c r="AF456" s="15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40"/>
        <v>0</v>
      </c>
      <c r="BA456" s="15"/>
      <c r="BB456" s="44"/>
      <c r="BC456" s="15"/>
      <c r="BD456" s="44"/>
      <c r="BE456" s="15">
        <f t="shared" si="36"/>
        <v>0</v>
      </c>
    </row>
    <row r="457" spans="1:57">
      <c r="A457" s="9"/>
      <c r="B457" s="16" t="s">
        <v>674</v>
      </c>
      <c r="C457" s="89" t="s">
        <v>151</v>
      </c>
      <c r="D457" s="59" t="s">
        <v>693</v>
      </c>
      <c r="E457" s="13" t="s">
        <v>694</v>
      </c>
      <c r="F457" s="95"/>
      <c r="G457" s="9"/>
      <c r="H457" s="9" t="s">
        <v>692</v>
      </c>
      <c r="I457" s="14"/>
      <c r="J457" s="14"/>
      <c r="K457" s="12">
        <v>0</v>
      </c>
      <c r="L457" s="9"/>
      <c r="M457" s="9"/>
      <c r="N457" s="9"/>
      <c r="O457" s="38">
        <f t="shared" si="37"/>
        <v>0</v>
      </c>
      <c r="P457" s="12"/>
      <c r="Q457" s="42"/>
      <c r="R457" s="15"/>
      <c r="S457" s="44"/>
      <c r="T457" s="15"/>
      <c r="U457" s="44"/>
      <c r="V457" s="15">
        <f t="shared" si="38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39"/>
        <v>0</v>
      </c>
      <c r="AF457" s="15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40"/>
        <v>0</v>
      </c>
      <c r="BA457" s="15"/>
      <c r="BB457" s="44"/>
      <c r="BC457" s="15"/>
      <c r="BD457" s="44"/>
      <c r="BE457" s="15">
        <f t="shared" si="36"/>
        <v>0</v>
      </c>
    </row>
    <row r="458" spans="1:57">
      <c r="A458" s="9"/>
      <c r="B458" s="16" t="s">
        <v>674</v>
      </c>
      <c r="C458" s="89" t="s">
        <v>151</v>
      </c>
      <c r="D458" s="59" t="s">
        <v>695</v>
      </c>
      <c r="E458" s="13" t="s">
        <v>696</v>
      </c>
      <c r="F458" s="95"/>
      <c r="G458" s="9"/>
      <c r="H458" s="9" t="s">
        <v>692</v>
      </c>
      <c r="I458" s="14"/>
      <c r="J458" s="14"/>
      <c r="K458" s="12">
        <v>0</v>
      </c>
      <c r="L458" s="9"/>
      <c r="M458" s="9"/>
      <c r="N458" s="9"/>
      <c r="O458" s="38">
        <f t="shared" si="37"/>
        <v>0</v>
      </c>
      <c r="P458" s="12"/>
      <c r="Q458" s="42"/>
      <c r="R458" s="15"/>
      <c r="S458" s="44"/>
      <c r="T458" s="15"/>
      <c r="U458" s="44"/>
      <c r="V458" s="15">
        <f t="shared" si="38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39"/>
        <v>0</v>
      </c>
      <c r="AF458" s="15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40"/>
        <v>0</v>
      </c>
      <c r="BA458" s="15"/>
      <c r="BB458" s="44"/>
      <c r="BC458" s="15"/>
      <c r="BD458" s="44"/>
      <c r="BE458" s="15">
        <f t="shared" si="36"/>
        <v>0</v>
      </c>
    </row>
    <row r="459" spans="1:57">
      <c r="A459" s="9"/>
      <c r="B459" s="16" t="s">
        <v>674</v>
      </c>
      <c r="C459" s="89" t="s">
        <v>151</v>
      </c>
      <c r="D459" s="59" t="s">
        <v>697</v>
      </c>
      <c r="E459" s="13" t="s">
        <v>698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7"/>
        <v>0</v>
      </c>
      <c r="P459" s="12"/>
      <c r="Q459" s="42"/>
      <c r="R459" s="15"/>
      <c r="S459" s="44"/>
      <c r="T459" s="15"/>
      <c r="U459" s="44"/>
      <c r="V459" s="15">
        <f t="shared" si="38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39"/>
        <v>0</v>
      </c>
      <c r="AF459" s="15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40"/>
        <v>0</v>
      </c>
      <c r="BA459" s="15"/>
      <c r="BB459" s="44"/>
      <c r="BC459" s="15"/>
      <c r="BD459" s="44"/>
      <c r="BE459" s="15">
        <f t="shared" si="36"/>
        <v>0</v>
      </c>
    </row>
    <row r="460" spans="1:57">
      <c r="A460" s="9"/>
      <c r="B460" s="16" t="s">
        <v>674</v>
      </c>
      <c r="C460" s="89" t="s">
        <v>151</v>
      </c>
      <c r="D460" s="59" t="s">
        <v>699</v>
      </c>
      <c r="E460" s="13"/>
      <c r="F460" s="95"/>
      <c r="G460" s="9"/>
      <c r="H460" s="9" t="s">
        <v>687</v>
      </c>
      <c r="I460" s="14"/>
      <c r="J460" s="14"/>
      <c r="K460" s="12">
        <v>0</v>
      </c>
      <c r="L460" s="9"/>
      <c r="M460" s="9"/>
      <c r="N460" s="9"/>
      <c r="O460" s="38">
        <f t="shared" si="37"/>
        <v>0</v>
      </c>
      <c r="P460" s="12"/>
      <c r="Q460" s="42"/>
      <c r="R460" s="15"/>
      <c r="S460" s="44"/>
      <c r="T460" s="15"/>
      <c r="U460" s="44"/>
      <c r="V460" s="15">
        <f t="shared" si="38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39"/>
        <v>0</v>
      </c>
      <c r="AF460" s="15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40"/>
        <v>0</v>
      </c>
      <c r="BA460" s="15"/>
      <c r="BB460" s="44"/>
      <c r="BC460" s="15"/>
      <c r="BD460" s="44"/>
      <c r="BE460" s="15">
        <f t="shared" si="36"/>
        <v>0</v>
      </c>
    </row>
    <row r="461" spans="1:57">
      <c r="A461" s="9"/>
      <c r="B461" s="16" t="s">
        <v>674</v>
      </c>
      <c r="C461" s="89" t="s">
        <v>151</v>
      </c>
      <c r="D461" s="59" t="s">
        <v>700</v>
      </c>
      <c r="E461" s="13"/>
      <c r="F461" s="95"/>
      <c r="G461" s="9"/>
      <c r="H461" s="9" t="s">
        <v>687</v>
      </c>
      <c r="I461" s="14"/>
      <c r="J461" s="14"/>
      <c r="K461" s="12">
        <v>0</v>
      </c>
      <c r="L461" s="9"/>
      <c r="M461" s="9"/>
      <c r="N461" s="9"/>
      <c r="O461" s="38">
        <f t="shared" si="37"/>
        <v>0</v>
      </c>
      <c r="P461" s="12"/>
      <c r="Q461" s="42"/>
      <c r="R461" s="15"/>
      <c r="S461" s="44"/>
      <c r="T461" s="15"/>
      <c r="U461" s="44"/>
      <c r="V461" s="15">
        <f t="shared" si="38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39"/>
        <v>0</v>
      </c>
      <c r="AF461" s="15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40"/>
        <v>0</v>
      </c>
      <c r="BA461" s="15"/>
      <c r="BB461" s="44"/>
      <c r="BC461" s="15"/>
      <c r="BD461" s="44"/>
      <c r="BE461" s="15">
        <f t="shared" si="36"/>
        <v>0</v>
      </c>
    </row>
    <row r="462" spans="1:57">
      <c r="A462" s="9"/>
      <c r="B462" s="16" t="s">
        <v>674</v>
      </c>
      <c r="C462" s="89" t="s">
        <v>151</v>
      </c>
      <c r="D462" s="59" t="s">
        <v>701</v>
      </c>
      <c r="E462" s="13"/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7"/>
        <v>0</v>
      </c>
      <c r="P462" s="12"/>
      <c r="Q462" s="42"/>
      <c r="R462" s="15"/>
      <c r="S462" s="44"/>
      <c r="T462" s="15"/>
      <c r="U462" s="44"/>
      <c r="V462" s="15">
        <f t="shared" si="38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39"/>
        <v>0</v>
      </c>
      <c r="AF462" s="15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40"/>
        <v>0</v>
      </c>
      <c r="BA462" s="15"/>
      <c r="BB462" s="44"/>
      <c r="BC462" s="15"/>
      <c r="BD462" s="44"/>
      <c r="BE462" s="15">
        <f t="shared" si="36"/>
        <v>0</v>
      </c>
    </row>
    <row r="463" spans="1:57">
      <c r="A463" s="9"/>
      <c r="B463" s="16" t="s">
        <v>674</v>
      </c>
      <c r="C463" s="89" t="s">
        <v>151</v>
      </c>
      <c r="D463" s="59" t="s">
        <v>702</v>
      </c>
      <c r="E463" s="13" t="s">
        <v>703</v>
      </c>
      <c r="F463" s="95"/>
      <c r="G463" s="9"/>
      <c r="H463" s="9" t="s">
        <v>684</v>
      </c>
      <c r="I463" s="14"/>
      <c r="J463" s="14"/>
      <c r="K463" s="12">
        <v>0</v>
      </c>
      <c r="L463" s="9"/>
      <c r="M463" s="9"/>
      <c r="N463" s="9"/>
      <c r="O463" s="38">
        <f t="shared" si="37"/>
        <v>0</v>
      </c>
      <c r="P463" s="12"/>
      <c r="Q463" s="42"/>
      <c r="R463" s="15"/>
      <c r="S463" s="44"/>
      <c r="T463" s="15"/>
      <c r="U463" s="44"/>
      <c r="V463" s="15">
        <f t="shared" si="38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39"/>
        <v>0</v>
      </c>
      <c r="AF463" s="15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40"/>
        <v>0</v>
      </c>
      <c r="BA463" s="15"/>
      <c r="BB463" s="44"/>
      <c r="BC463" s="15"/>
      <c r="BD463" s="44"/>
      <c r="BE463" s="15">
        <f t="shared" si="36"/>
        <v>0</v>
      </c>
    </row>
    <row r="464" spans="1:57">
      <c r="A464" s="9"/>
      <c r="B464" s="16" t="s">
        <v>704</v>
      </c>
      <c r="C464" s="89" t="s">
        <v>52</v>
      </c>
      <c r="D464" s="56" t="s">
        <v>705</v>
      </c>
      <c r="E464" s="13" t="s">
        <v>706</v>
      </c>
      <c r="F464" s="95"/>
      <c r="G464" s="9"/>
      <c r="H464" s="9" t="s">
        <v>247</v>
      </c>
      <c r="I464" s="14"/>
      <c r="J464" s="14"/>
      <c r="K464" s="12">
        <v>0</v>
      </c>
      <c r="L464" s="9"/>
      <c r="M464" s="9"/>
      <c r="N464" s="9"/>
      <c r="O464" s="38">
        <f t="shared" si="37"/>
        <v>0</v>
      </c>
      <c r="P464" s="12"/>
      <c r="Q464" s="42"/>
      <c r="R464" s="15"/>
      <c r="S464" s="44"/>
      <c r="T464" s="15"/>
      <c r="U464" s="44"/>
      <c r="V464" s="15">
        <f t="shared" si="38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39"/>
        <v>0</v>
      </c>
      <c r="AF464" s="15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40"/>
        <v>0</v>
      </c>
      <c r="BA464" s="15"/>
      <c r="BB464" s="44"/>
      <c r="BC464" s="15"/>
      <c r="BD464" s="44"/>
      <c r="BE464" s="15">
        <f t="shared" si="36"/>
        <v>0</v>
      </c>
    </row>
    <row r="465" spans="1:57">
      <c r="A465" s="9"/>
      <c r="B465" s="16" t="s">
        <v>704</v>
      </c>
      <c r="C465" s="89" t="s">
        <v>52</v>
      </c>
      <c r="D465" s="59" t="s">
        <v>707</v>
      </c>
      <c r="E465" s="13" t="s">
        <v>708</v>
      </c>
      <c r="F465" s="95"/>
      <c r="G465" s="9"/>
      <c r="H465" s="9" t="s">
        <v>247</v>
      </c>
      <c r="I465" s="14"/>
      <c r="J465" s="14"/>
      <c r="K465" s="12">
        <v>0</v>
      </c>
      <c r="L465" s="9"/>
      <c r="M465" s="9"/>
      <c r="N465" s="9"/>
      <c r="O465" s="38">
        <f t="shared" si="37"/>
        <v>0</v>
      </c>
      <c r="P465" s="12"/>
      <c r="Q465" s="42"/>
      <c r="R465" s="15"/>
      <c r="S465" s="44"/>
      <c r="T465" s="15"/>
      <c r="U465" s="44"/>
      <c r="V465" s="15">
        <f t="shared" si="38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39"/>
        <v>0</v>
      </c>
      <c r="AF465" s="15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40"/>
        <v>0</v>
      </c>
      <c r="BA465" s="15"/>
      <c r="BB465" s="44"/>
      <c r="BC465" s="15"/>
      <c r="BD465" s="44"/>
      <c r="BE465" s="15">
        <f t="shared" si="36"/>
        <v>0</v>
      </c>
    </row>
    <row r="466" spans="1:57">
      <c r="A466" s="9"/>
      <c r="B466" s="16" t="s">
        <v>704</v>
      </c>
      <c r="C466" s="89" t="s">
        <v>52</v>
      </c>
      <c r="D466" s="61" t="s">
        <v>709</v>
      </c>
      <c r="E466" s="13" t="s">
        <v>710</v>
      </c>
      <c r="F466" s="95"/>
      <c r="G466" s="9"/>
      <c r="H466" s="9" t="s">
        <v>247</v>
      </c>
      <c r="I466" s="14"/>
      <c r="J466" s="14"/>
      <c r="K466" s="12">
        <v>0</v>
      </c>
      <c r="L466" s="9"/>
      <c r="M466" s="9"/>
      <c r="N466" s="9"/>
      <c r="O466" s="38">
        <f t="shared" si="37"/>
        <v>0</v>
      </c>
      <c r="P466" s="12"/>
      <c r="Q466" s="42"/>
      <c r="R466" s="15"/>
      <c r="S466" s="44"/>
      <c r="T466" s="15"/>
      <c r="U466" s="44"/>
      <c r="V466" s="15">
        <f t="shared" si="38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39"/>
        <v>0</v>
      </c>
      <c r="AF466" s="15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40"/>
        <v>0</v>
      </c>
      <c r="BA466" s="15"/>
      <c r="BB466" s="44"/>
      <c r="BC466" s="15"/>
      <c r="BD466" s="44"/>
      <c r="BE466" s="15">
        <f t="shared" si="36"/>
        <v>0</v>
      </c>
    </row>
    <row r="467" spans="1:57">
      <c r="A467" s="9"/>
      <c r="B467" s="16" t="s">
        <v>704</v>
      </c>
      <c r="C467" s="89" t="s">
        <v>151</v>
      </c>
      <c r="D467" s="61" t="s">
        <v>711</v>
      </c>
      <c r="E467" s="13" t="s">
        <v>712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7"/>
        <v>0</v>
      </c>
      <c r="P467" s="12"/>
      <c r="Q467" s="42"/>
      <c r="R467" s="15"/>
      <c r="S467" s="44"/>
      <c r="T467" s="15"/>
      <c r="U467" s="44"/>
      <c r="V467" s="15">
        <f t="shared" si="38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39"/>
        <v>0</v>
      </c>
      <c r="AF467" s="15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40"/>
        <v>0</v>
      </c>
      <c r="BA467" s="15"/>
      <c r="BB467" s="44"/>
      <c r="BC467" s="15"/>
      <c r="BD467" s="44"/>
      <c r="BE467" s="15">
        <f t="shared" si="36"/>
        <v>0</v>
      </c>
    </row>
    <row r="468" spans="1:57">
      <c r="A468" s="9"/>
      <c r="B468" s="16" t="s">
        <v>713</v>
      </c>
      <c r="C468" s="89" t="s">
        <v>50</v>
      </c>
      <c r="D468" s="61" t="s">
        <v>714</v>
      </c>
      <c r="E468" s="13"/>
      <c r="F468" s="95"/>
      <c r="G468" s="9"/>
      <c r="H468" s="9" t="s">
        <v>669</v>
      </c>
      <c r="I468" s="14"/>
      <c r="J468" s="14"/>
      <c r="K468" s="12">
        <v>0</v>
      </c>
      <c r="L468" s="9"/>
      <c r="M468" s="9"/>
      <c r="N468" s="9"/>
      <c r="O468" s="38">
        <f t="shared" si="37"/>
        <v>0</v>
      </c>
      <c r="P468" s="12"/>
      <c r="Q468" s="42"/>
      <c r="R468" s="15"/>
      <c r="S468" s="44"/>
      <c r="T468" s="15"/>
      <c r="U468" s="44"/>
      <c r="V468" s="15">
        <f t="shared" si="38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39"/>
        <v>0</v>
      </c>
      <c r="AF468" s="15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40"/>
        <v>0</v>
      </c>
      <c r="BA468" s="15"/>
      <c r="BB468" s="44"/>
      <c r="BC468" s="15"/>
      <c r="BD468" s="44"/>
      <c r="BE468" s="15">
        <f t="shared" si="36"/>
        <v>0</v>
      </c>
    </row>
    <row r="469" spans="1:57">
      <c r="A469" s="9"/>
      <c r="B469" s="16" t="s">
        <v>715</v>
      </c>
      <c r="C469" s="89" t="s">
        <v>132</v>
      </c>
      <c r="D469" s="61" t="s">
        <v>716</v>
      </c>
      <c r="E469" s="13" t="s">
        <v>717</v>
      </c>
      <c r="F469" s="95"/>
      <c r="G469" s="9"/>
      <c r="H469" s="9" t="s">
        <v>718</v>
      </c>
      <c r="I469" s="14"/>
      <c r="J469" s="14"/>
      <c r="K469" s="12">
        <v>0</v>
      </c>
      <c r="L469" s="9"/>
      <c r="M469" s="9"/>
      <c r="N469" s="9"/>
      <c r="O469" s="38">
        <f t="shared" si="37"/>
        <v>0</v>
      </c>
      <c r="P469" s="12"/>
      <c r="Q469" s="42"/>
      <c r="R469" s="15"/>
      <c r="S469" s="44"/>
      <c r="T469" s="15"/>
      <c r="U469" s="44"/>
      <c r="V469" s="15">
        <f t="shared" si="38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39"/>
        <v>0</v>
      </c>
      <c r="AF469" s="15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40"/>
        <v>0</v>
      </c>
      <c r="BA469" s="15"/>
      <c r="BB469" s="44"/>
      <c r="BC469" s="15"/>
      <c r="BD469" s="44"/>
      <c r="BE469" s="15">
        <f t="shared" si="36"/>
        <v>0</v>
      </c>
    </row>
    <row r="470" spans="1:57">
      <c r="A470" s="9"/>
      <c r="B470" s="16" t="s">
        <v>715</v>
      </c>
      <c r="C470" s="89" t="s">
        <v>132</v>
      </c>
      <c r="D470" s="61" t="s">
        <v>719</v>
      </c>
      <c r="E470" s="13" t="s">
        <v>720</v>
      </c>
      <c r="F470" s="95"/>
      <c r="G470" s="9"/>
      <c r="H470" s="9" t="s">
        <v>718</v>
      </c>
      <c r="I470" s="14"/>
      <c r="J470" s="14"/>
      <c r="K470" s="12">
        <v>0</v>
      </c>
      <c r="L470" s="9"/>
      <c r="M470" s="9"/>
      <c r="N470" s="9"/>
      <c r="O470" s="38">
        <f t="shared" si="37"/>
        <v>0</v>
      </c>
      <c r="P470" s="12"/>
      <c r="Q470" s="42"/>
      <c r="R470" s="15"/>
      <c r="S470" s="44"/>
      <c r="T470" s="15"/>
      <c r="U470" s="44"/>
      <c r="V470" s="15">
        <f t="shared" si="38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39"/>
        <v>0</v>
      </c>
      <c r="AF470" s="15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40"/>
        <v>0</v>
      </c>
      <c r="BA470" s="15"/>
      <c r="BB470" s="44"/>
      <c r="BC470" s="15"/>
      <c r="BD470" s="44"/>
      <c r="BE470" s="15">
        <f t="shared" si="36"/>
        <v>0</v>
      </c>
    </row>
    <row r="471" spans="1:57">
      <c r="A471" s="9"/>
      <c r="B471" s="16" t="s">
        <v>715</v>
      </c>
      <c r="C471" s="89" t="s">
        <v>48</v>
      </c>
      <c r="D471" s="61" t="s">
        <v>716</v>
      </c>
      <c r="E471" s="13" t="s">
        <v>721</v>
      </c>
      <c r="F471" s="95"/>
      <c r="G471" s="9"/>
      <c r="H471" s="9" t="s">
        <v>722</v>
      </c>
      <c r="I471" s="14"/>
      <c r="J471" s="14"/>
      <c r="K471" s="12">
        <v>0</v>
      </c>
      <c r="L471" s="9"/>
      <c r="M471" s="9"/>
      <c r="N471" s="9"/>
      <c r="O471" s="38">
        <f t="shared" si="37"/>
        <v>0</v>
      </c>
      <c r="P471" s="12"/>
      <c r="Q471" s="42"/>
      <c r="R471" s="15"/>
      <c r="S471" s="44"/>
      <c r="T471" s="15"/>
      <c r="U471" s="44"/>
      <c r="V471" s="15">
        <f t="shared" si="38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39"/>
        <v>0</v>
      </c>
      <c r="AF471" s="15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40"/>
        <v>0</v>
      </c>
      <c r="BA471" s="15"/>
      <c r="BB471" s="44"/>
      <c r="BC471" s="15"/>
      <c r="BD471" s="44"/>
      <c r="BE471" s="15">
        <f t="shared" si="36"/>
        <v>0</v>
      </c>
    </row>
    <row r="472" spans="1:57">
      <c r="A472" s="9"/>
      <c r="B472" s="16" t="s">
        <v>715</v>
      </c>
      <c r="C472" s="89" t="s">
        <v>48</v>
      </c>
      <c r="D472" s="61" t="s">
        <v>719</v>
      </c>
      <c r="E472" s="13" t="s">
        <v>723</v>
      </c>
      <c r="F472" s="95"/>
      <c r="G472" s="9"/>
      <c r="H472" s="9" t="s">
        <v>722</v>
      </c>
      <c r="I472" s="14"/>
      <c r="J472" s="14"/>
      <c r="K472" s="12">
        <v>0</v>
      </c>
      <c r="L472" s="9"/>
      <c r="M472" s="9"/>
      <c r="N472" s="9"/>
      <c r="O472" s="38">
        <f t="shared" si="37"/>
        <v>0</v>
      </c>
      <c r="P472" s="12"/>
      <c r="Q472" s="42"/>
      <c r="R472" s="15"/>
      <c r="S472" s="44"/>
      <c r="T472" s="15"/>
      <c r="U472" s="44"/>
      <c r="V472" s="15">
        <f t="shared" si="38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39"/>
        <v>0</v>
      </c>
      <c r="AF472" s="15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40"/>
        <v>0</v>
      </c>
      <c r="BA472" s="15"/>
      <c r="BB472" s="44"/>
      <c r="BC472" s="15"/>
      <c r="BD472" s="44"/>
      <c r="BE472" s="15">
        <f t="shared" si="36"/>
        <v>0</v>
      </c>
    </row>
    <row r="473" spans="1:57">
      <c r="A473" s="9"/>
      <c r="B473" s="16" t="s">
        <v>715</v>
      </c>
      <c r="C473" s="89" t="s">
        <v>151</v>
      </c>
      <c r="D473" s="61" t="s">
        <v>724</v>
      </c>
      <c r="E473" s="13" t="s">
        <v>725</v>
      </c>
      <c r="F473" s="95"/>
      <c r="G473" s="9"/>
      <c r="H473" s="9" t="s">
        <v>722</v>
      </c>
      <c r="I473" s="14"/>
      <c r="J473" s="14"/>
      <c r="K473" s="12">
        <v>0</v>
      </c>
      <c r="L473" s="9"/>
      <c r="M473" s="9"/>
      <c r="N473" s="9"/>
      <c r="O473" s="38">
        <f t="shared" si="37"/>
        <v>0</v>
      </c>
      <c r="P473" s="12"/>
      <c r="Q473" s="42"/>
      <c r="R473" s="15"/>
      <c r="S473" s="44"/>
      <c r="T473" s="15"/>
      <c r="U473" s="44"/>
      <c r="V473" s="15">
        <f t="shared" si="38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39"/>
        <v>0</v>
      </c>
      <c r="AF473" s="15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40"/>
        <v>0</v>
      </c>
      <c r="BA473" s="15"/>
      <c r="BB473" s="44"/>
      <c r="BC473" s="15"/>
      <c r="BD473" s="44"/>
      <c r="BE473" s="15">
        <f t="shared" si="36"/>
        <v>0</v>
      </c>
    </row>
    <row r="474" spans="1:57">
      <c r="A474" s="9"/>
      <c r="B474" s="16" t="s">
        <v>715</v>
      </c>
      <c r="C474" s="89" t="s">
        <v>151</v>
      </c>
      <c r="D474" s="56" t="s">
        <v>726</v>
      </c>
      <c r="E474" s="13" t="s">
        <v>727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7"/>
        <v>0</v>
      </c>
      <c r="P474" s="12"/>
      <c r="Q474" s="42"/>
      <c r="R474" s="15"/>
      <c r="S474" s="44"/>
      <c r="T474" s="15"/>
      <c r="U474" s="44"/>
      <c r="V474" s="15">
        <f t="shared" si="38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39"/>
        <v>0</v>
      </c>
      <c r="AF474" s="15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40"/>
        <v>0</v>
      </c>
      <c r="BA474" s="15"/>
      <c r="BB474" s="44"/>
      <c r="BC474" s="15"/>
      <c r="BD474" s="44"/>
      <c r="BE474" s="15">
        <f t="shared" si="36"/>
        <v>0</v>
      </c>
    </row>
    <row r="475" spans="1:57">
      <c r="A475" s="9"/>
      <c r="B475" s="16" t="s">
        <v>728</v>
      </c>
      <c r="C475" s="89" t="s">
        <v>151</v>
      </c>
      <c r="D475" s="59" t="s">
        <v>729</v>
      </c>
      <c r="E475" s="13" t="s">
        <v>730</v>
      </c>
      <c r="F475" s="95"/>
      <c r="G475" s="9"/>
      <c r="H475" s="9" t="s">
        <v>731</v>
      </c>
      <c r="I475" s="14"/>
      <c r="J475" s="14"/>
      <c r="K475" s="12">
        <v>0</v>
      </c>
      <c r="L475" s="9"/>
      <c r="M475" s="9"/>
      <c r="N475" s="9"/>
      <c r="O475" s="38">
        <f t="shared" si="37"/>
        <v>0</v>
      </c>
      <c r="P475" s="12"/>
      <c r="Q475" s="42"/>
      <c r="R475" s="15"/>
      <c r="S475" s="44"/>
      <c r="T475" s="15"/>
      <c r="U475" s="44"/>
      <c r="V475" s="15">
        <f t="shared" si="38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39"/>
        <v>0</v>
      </c>
      <c r="AF475" s="15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40"/>
        <v>0</v>
      </c>
      <c r="BA475" s="15"/>
      <c r="BB475" s="44"/>
      <c r="BC475" s="15"/>
      <c r="BD475" s="44"/>
      <c r="BE475" s="15">
        <f t="shared" si="36"/>
        <v>0</v>
      </c>
    </row>
    <row r="476" spans="1:57">
      <c r="A476" s="9"/>
      <c r="B476" s="16" t="s">
        <v>728</v>
      </c>
      <c r="C476" s="89" t="s">
        <v>151</v>
      </c>
      <c r="D476" s="59" t="s">
        <v>729</v>
      </c>
      <c r="E476" s="13" t="s">
        <v>732</v>
      </c>
      <c r="F476" s="95"/>
      <c r="G476" s="9"/>
      <c r="H476" s="9" t="s">
        <v>733</v>
      </c>
      <c r="I476" s="14"/>
      <c r="J476" s="14"/>
      <c r="K476" s="12">
        <v>0</v>
      </c>
      <c r="L476" s="9"/>
      <c r="M476" s="9"/>
      <c r="N476" s="9"/>
      <c r="O476" s="38">
        <f t="shared" si="37"/>
        <v>0</v>
      </c>
      <c r="P476" s="12"/>
      <c r="Q476" s="42"/>
      <c r="R476" s="15"/>
      <c r="S476" s="44"/>
      <c r="T476" s="15"/>
      <c r="U476" s="44"/>
      <c r="V476" s="15">
        <f t="shared" si="38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39"/>
        <v>0</v>
      </c>
      <c r="AF476" s="15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40"/>
        <v>0</v>
      </c>
      <c r="BA476" s="15"/>
      <c r="BB476" s="44"/>
      <c r="BC476" s="15"/>
      <c r="BD476" s="44"/>
      <c r="BE476" s="15">
        <f t="shared" si="36"/>
        <v>0</v>
      </c>
    </row>
    <row r="477" spans="1:57">
      <c r="A477" s="9"/>
      <c r="B477" s="16" t="s">
        <v>728</v>
      </c>
      <c r="C477" s="89" t="s">
        <v>151</v>
      </c>
      <c r="D477" s="61" t="s">
        <v>729</v>
      </c>
      <c r="E477" s="13" t="s">
        <v>734</v>
      </c>
      <c r="F477" s="95"/>
      <c r="G477" s="9"/>
      <c r="H477" s="9" t="s">
        <v>733</v>
      </c>
      <c r="I477" s="14"/>
      <c r="J477" s="14"/>
      <c r="K477" s="12">
        <v>24</v>
      </c>
      <c r="L477" s="9"/>
      <c r="M477" s="9"/>
      <c r="N477" s="9"/>
      <c r="O477" s="38">
        <f t="shared" si="37"/>
        <v>24</v>
      </c>
      <c r="P477" s="12"/>
      <c r="Q477" s="42"/>
      <c r="R477" s="15"/>
      <c r="S477" s="44"/>
      <c r="T477" s="15"/>
      <c r="U477" s="44"/>
      <c r="V477" s="15">
        <f t="shared" si="38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39"/>
        <v>0</v>
      </c>
      <c r="AF477" s="15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40"/>
        <v>0</v>
      </c>
      <c r="BA477" s="15"/>
      <c r="BB477" s="44"/>
      <c r="BC477" s="15"/>
      <c r="BD477" s="44"/>
      <c r="BE477" s="15">
        <f t="shared" si="36"/>
        <v>0</v>
      </c>
    </row>
    <row r="478" spans="1:57">
      <c r="A478" s="9"/>
      <c r="B478" s="16" t="s">
        <v>735</v>
      </c>
      <c r="C478" s="89" t="s">
        <v>132</v>
      </c>
      <c r="D478" s="59" t="s">
        <v>736</v>
      </c>
      <c r="E478" s="13" t="s">
        <v>737</v>
      </c>
      <c r="F478" s="95"/>
      <c r="G478" s="9"/>
      <c r="H478" s="9" t="s">
        <v>247</v>
      </c>
      <c r="I478" s="14"/>
      <c r="J478" s="14"/>
      <c r="K478" s="12">
        <v>77</v>
      </c>
      <c r="L478" s="9"/>
      <c r="M478" s="9"/>
      <c r="N478" s="9"/>
      <c r="O478" s="38">
        <f t="shared" si="37"/>
        <v>77</v>
      </c>
      <c r="P478" s="12"/>
      <c r="Q478" s="42"/>
      <c r="R478" s="15"/>
      <c r="S478" s="44"/>
      <c r="T478" s="15"/>
      <c r="U478" s="44"/>
      <c r="V478" s="15">
        <f t="shared" si="38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39"/>
        <v>0</v>
      </c>
      <c r="AF478" s="15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40"/>
        <v>0</v>
      </c>
      <c r="BA478" s="15"/>
      <c r="BB478" s="44"/>
      <c r="BC478" s="15"/>
      <c r="BD478" s="44"/>
      <c r="BE478" s="15">
        <f t="shared" si="36"/>
        <v>0</v>
      </c>
    </row>
    <row r="479" spans="1:57">
      <c r="A479" s="9"/>
      <c r="B479" s="16" t="s">
        <v>735</v>
      </c>
      <c r="C479" s="89" t="s">
        <v>132</v>
      </c>
      <c r="D479" s="56" t="s">
        <v>738</v>
      </c>
      <c r="E479" s="13" t="s">
        <v>739</v>
      </c>
      <c r="F479" s="95"/>
      <c r="G479" s="9"/>
      <c r="H479" s="9" t="s">
        <v>247</v>
      </c>
      <c r="I479" s="14"/>
      <c r="J479" s="14"/>
      <c r="K479" s="12">
        <v>20</v>
      </c>
      <c r="L479" s="9"/>
      <c r="M479" s="9"/>
      <c r="N479" s="9"/>
      <c r="O479" s="38">
        <f t="shared" si="37"/>
        <v>20</v>
      </c>
      <c r="P479" s="12"/>
      <c r="Q479" s="42"/>
      <c r="R479" s="15"/>
      <c r="S479" s="44"/>
      <c r="T479" s="15"/>
      <c r="U479" s="44"/>
      <c r="V479" s="15">
        <f t="shared" si="38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39"/>
        <v>0</v>
      </c>
      <c r="AF479" s="15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40"/>
        <v>0</v>
      </c>
      <c r="BA479" s="15"/>
      <c r="BB479" s="44"/>
      <c r="BC479" s="15"/>
      <c r="BD479" s="44"/>
      <c r="BE479" s="15">
        <f t="shared" ref="BE479:BE542" si="41">(BA479+BC479)</f>
        <v>0</v>
      </c>
    </row>
    <row r="480" spans="1:57">
      <c r="A480" s="9"/>
      <c r="B480" s="16" t="s">
        <v>740</v>
      </c>
      <c r="C480" s="89" t="s">
        <v>132</v>
      </c>
      <c r="D480" s="59" t="s">
        <v>741</v>
      </c>
      <c r="E480" s="13"/>
      <c r="F480" s="95"/>
      <c r="G480" s="9"/>
      <c r="H480" s="9" t="s">
        <v>247</v>
      </c>
      <c r="I480" s="14"/>
      <c r="J480" s="14"/>
      <c r="K480" s="12">
        <v>0</v>
      </c>
      <c r="L480" s="9"/>
      <c r="M480" s="9"/>
      <c r="N480" s="9"/>
      <c r="O480" s="38">
        <f t="shared" si="37"/>
        <v>0</v>
      </c>
      <c r="P480" s="12"/>
      <c r="Q480" s="42"/>
      <c r="R480" s="15"/>
      <c r="S480" s="44"/>
      <c r="T480" s="15"/>
      <c r="U480" s="44"/>
      <c r="V480" s="15">
        <f t="shared" si="38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39"/>
        <v>0</v>
      </c>
      <c r="AF480" s="15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40"/>
        <v>0</v>
      </c>
      <c r="BA480" s="15"/>
      <c r="BB480" s="44"/>
      <c r="BC480" s="15"/>
      <c r="BD480" s="44"/>
      <c r="BE480" s="15">
        <f t="shared" si="41"/>
        <v>0</v>
      </c>
    </row>
    <row r="481" spans="1:57">
      <c r="A481" s="9"/>
      <c r="B481" s="16" t="s">
        <v>742</v>
      </c>
      <c r="C481" s="89" t="s">
        <v>151</v>
      </c>
      <c r="D481" s="59" t="s">
        <v>743</v>
      </c>
      <c r="E481" s="13" t="s">
        <v>744</v>
      </c>
      <c r="F481" s="95"/>
      <c r="G481" s="9"/>
      <c r="H481" s="9" t="s">
        <v>745</v>
      </c>
      <c r="I481" s="14"/>
      <c r="J481" s="14"/>
      <c r="K481" s="12">
        <v>194</v>
      </c>
      <c r="L481" s="9"/>
      <c r="M481" s="9"/>
      <c r="N481" s="9"/>
      <c r="O481" s="38">
        <f t="shared" si="37"/>
        <v>194</v>
      </c>
      <c r="P481" s="12"/>
      <c r="Q481" s="42"/>
      <c r="R481" s="15"/>
      <c r="S481" s="44"/>
      <c r="T481" s="15"/>
      <c r="U481" s="44"/>
      <c r="V481" s="15">
        <f t="shared" si="38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39"/>
        <v>0</v>
      </c>
      <c r="AF481" s="15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40"/>
        <v>0</v>
      </c>
      <c r="BA481" s="15"/>
      <c r="BB481" s="44"/>
      <c r="BC481" s="15"/>
      <c r="BD481" s="44"/>
      <c r="BE481" s="15">
        <f t="shared" si="41"/>
        <v>0</v>
      </c>
    </row>
    <row r="482" spans="1:57">
      <c r="A482" s="9"/>
      <c r="B482" s="16" t="s">
        <v>742</v>
      </c>
      <c r="C482" s="89" t="s">
        <v>151</v>
      </c>
      <c r="D482" s="59" t="s">
        <v>743</v>
      </c>
      <c r="E482" s="13" t="s">
        <v>744</v>
      </c>
      <c r="F482" s="95"/>
      <c r="G482" s="9"/>
      <c r="H482" s="9" t="s">
        <v>746</v>
      </c>
      <c r="I482" s="14"/>
      <c r="J482" s="14"/>
      <c r="K482" s="12">
        <v>442</v>
      </c>
      <c r="L482" s="9"/>
      <c r="M482" s="9"/>
      <c r="N482" s="9"/>
      <c r="O482" s="38">
        <f t="shared" si="37"/>
        <v>442</v>
      </c>
      <c r="P482" s="12"/>
      <c r="Q482" s="42"/>
      <c r="R482" s="15"/>
      <c r="S482" s="44"/>
      <c r="T482" s="15"/>
      <c r="U482" s="44"/>
      <c r="V482" s="15">
        <f t="shared" si="38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39"/>
        <v>0</v>
      </c>
      <c r="AF482" s="15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40"/>
        <v>0</v>
      </c>
      <c r="BA482" s="15"/>
      <c r="BB482" s="44"/>
      <c r="BC482" s="15"/>
      <c r="BD482" s="44"/>
      <c r="BE482" s="15">
        <f t="shared" si="41"/>
        <v>0</v>
      </c>
    </row>
    <row r="483" spans="1:57">
      <c r="A483" s="9"/>
      <c r="B483" s="16" t="s">
        <v>742</v>
      </c>
      <c r="C483" s="89" t="s">
        <v>151</v>
      </c>
      <c r="D483" s="59" t="s">
        <v>747</v>
      </c>
      <c r="E483" s="13" t="s">
        <v>748</v>
      </c>
      <c r="F483" s="95"/>
      <c r="G483" s="9"/>
      <c r="H483" s="9" t="s">
        <v>745</v>
      </c>
      <c r="I483" s="14"/>
      <c r="J483" s="14"/>
      <c r="K483" s="12">
        <v>24</v>
      </c>
      <c r="L483" s="9"/>
      <c r="M483" s="9"/>
      <c r="N483" s="9"/>
      <c r="O483" s="38">
        <f t="shared" si="37"/>
        <v>24</v>
      </c>
      <c r="P483" s="12"/>
      <c r="Q483" s="42"/>
      <c r="R483" s="15"/>
      <c r="S483" s="44"/>
      <c r="T483" s="15"/>
      <c r="U483" s="44"/>
      <c r="V483" s="15">
        <f t="shared" si="38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39"/>
        <v>0</v>
      </c>
      <c r="AF483" s="15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40"/>
        <v>0</v>
      </c>
      <c r="BA483" s="15"/>
      <c r="BB483" s="44"/>
      <c r="BC483" s="15"/>
      <c r="BD483" s="44"/>
      <c r="BE483" s="15">
        <f t="shared" si="41"/>
        <v>0</v>
      </c>
    </row>
    <row r="484" spans="1:57">
      <c r="A484" s="9"/>
      <c r="B484" s="16" t="s">
        <v>742</v>
      </c>
      <c r="C484" s="89" t="s">
        <v>151</v>
      </c>
      <c r="D484" s="59" t="s">
        <v>747</v>
      </c>
      <c r="E484" s="13" t="s">
        <v>748</v>
      </c>
      <c r="F484" s="95"/>
      <c r="G484" s="9"/>
      <c r="H484" s="9" t="s">
        <v>746</v>
      </c>
      <c r="I484" s="14"/>
      <c r="J484" s="14"/>
      <c r="K484" s="12">
        <v>274</v>
      </c>
      <c r="L484" s="9"/>
      <c r="M484" s="9"/>
      <c r="N484" s="9"/>
      <c r="O484" s="38">
        <f t="shared" si="37"/>
        <v>274</v>
      </c>
      <c r="P484" s="12"/>
      <c r="Q484" s="42"/>
      <c r="R484" s="15"/>
      <c r="S484" s="44"/>
      <c r="T484" s="15"/>
      <c r="U484" s="44"/>
      <c r="V484" s="15">
        <f t="shared" si="38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39"/>
        <v>0</v>
      </c>
      <c r="AF484" s="15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40"/>
        <v>0</v>
      </c>
      <c r="BA484" s="15"/>
      <c r="BB484" s="44"/>
      <c r="BC484" s="15"/>
      <c r="BD484" s="44"/>
      <c r="BE484" s="15">
        <f t="shared" si="41"/>
        <v>0</v>
      </c>
    </row>
    <row r="485" spans="1:57">
      <c r="A485" s="9"/>
      <c r="B485" s="16" t="s">
        <v>742</v>
      </c>
      <c r="C485" s="89" t="s">
        <v>151</v>
      </c>
      <c r="D485" s="56" t="s">
        <v>747</v>
      </c>
      <c r="E485" s="13" t="s">
        <v>749</v>
      </c>
      <c r="F485" s="95"/>
      <c r="G485" s="9"/>
      <c r="H485" s="9" t="s">
        <v>745</v>
      </c>
      <c r="I485" s="14"/>
      <c r="J485" s="14"/>
      <c r="K485" s="12">
        <v>0</v>
      </c>
      <c r="L485" s="9"/>
      <c r="M485" s="9"/>
      <c r="N485" s="9"/>
      <c r="O485" s="38">
        <f t="shared" si="37"/>
        <v>0</v>
      </c>
      <c r="P485" s="12"/>
      <c r="Q485" s="42"/>
      <c r="R485" s="15"/>
      <c r="S485" s="44"/>
      <c r="T485" s="15"/>
      <c r="U485" s="44"/>
      <c r="V485" s="15">
        <f t="shared" si="38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39"/>
        <v>0</v>
      </c>
      <c r="AF485" s="15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si="40"/>
        <v>0</v>
      </c>
      <c r="BA485" s="15"/>
      <c r="BB485" s="44"/>
      <c r="BC485" s="15"/>
      <c r="BD485" s="44"/>
      <c r="BE485" s="15">
        <f t="shared" si="41"/>
        <v>0</v>
      </c>
    </row>
    <row r="486" spans="1:57">
      <c r="A486" s="9"/>
      <c r="B486" s="16" t="s">
        <v>742</v>
      </c>
      <c r="C486" s="89" t="s">
        <v>151</v>
      </c>
      <c r="D486" s="56" t="s">
        <v>747</v>
      </c>
      <c r="E486" s="13" t="s">
        <v>749</v>
      </c>
      <c r="F486" s="95"/>
      <c r="G486" s="9"/>
      <c r="H486" s="9" t="s">
        <v>746</v>
      </c>
      <c r="I486" s="14"/>
      <c r="J486" s="14"/>
      <c r="K486" s="12">
        <v>80</v>
      </c>
      <c r="L486" s="9"/>
      <c r="M486" s="9"/>
      <c r="N486" s="9"/>
      <c r="O486" s="38">
        <f t="shared" si="37"/>
        <v>80</v>
      </c>
      <c r="P486" s="12"/>
      <c r="Q486" s="42"/>
      <c r="R486" s="15"/>
      <c r="S486" s="44"/>
      <c r="T486" s="15"/>
      <c r="U486" s="44"/>
      <c r="V486" s="15">
        <f t="shared" si="38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39"/>
        <v>0</v>
      </c>
      <c r="AF486" s="15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0"/>
        <v>0</v>
      </c>
      <c r="BA486" s="15"/>
      <c r="BB486" s="44"/>
      <c r="BC486" s="15"/>
      <c r="BD486" s="44"/>
      <c r="BE486" s="15">
        <f t="shared" si="41"/>
        <v>0</v>
      </c>
    </row>
    <row r="487" spans="1:57">
      <c r="A487" s="9"/>
      <c r="B487" s="16" t="s">
        <v>742</v>
      </c>
      <c r="C487" s="89" t="s">
        <v>52</v>
      </c>
      <c r="D487" s="56" t="s">
        <v>750</v>
      </c>
      <c r="E487" s="13" t="s">
        <v>751</v>
      </c>
      <c r="F487" s="95"/>
      <c r="G487" s="9"/>
      <c r="H487" s="9" t="s">
        <v>745</v>
      </c>
      <c r="I487" s="14"/>
      <c r="J487" s="14"/>
      <c r="K487" s="12">
        <v>0</v>
      </c>
      <c r="L487" s="9"/>
      <c r="M487" s="9"/>
      <c r="N487" s="9"/>
      <c r="O487" s="38">
        <f t="shared" si="37"/>
        <v>0</v>
      </c>
      <c r="P487" s="12"/>
      <c r="Q487" s="42"/>
      <c r="R487" s="15"/>
      <c r="S487" s="44"/>
      <c r="T487" s="15"/>
      <c r="U487" s="44"/>
      <c r="V487" s="15">
        <f t="shared" si="38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39"/>
        <v>0</v>
      </c>
      <c r="AF487" s="15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0"/>
        <v>0</v>
      </c>
      <c r="BA487" s="15"/>
      <c r="BB487" s="44"/>
      <c r="BC487" s="15"/>
      <c r="BD487" s="44"/>
      <c r="BE487" s="15">
        <f t="shared" si="41"/>
        <v>0</v>
      </c>
    </row>
    <row r="488" spans="1:57">
      <c r="A488" s="9"/>
      <c r="B488" s="16" t="s">
        <v>742</v>
      </c>
      <c r="C488" s="89" t="s">
        <v>52</v>
      </c>
      <c r="D488" s="56" t="s">
        <v>750</v>
      </c>
      <c r="E488" s="13" t="s">
        <v>751</v>
      </c>
      <c r="F488" s="95"/>
      <c r="G488" s="9"/>
      <c r="H488" s="9" t="s">
        <v>746</v>
      </c>
      <c r="I488" s="14"/>
      <c r="J488" s="14"/>
      <c r="K488" s="12">
        <v>59</v>
      </c>
      <c r="L488" s="9"/>
      <c r="M488" s="9"/>
      <c r="N488" s="9"/>
      <c r="O488" s="38">
        <f t="shared" si="37"/>
        <v>59</v>
      </c>
      <c r="P488" s="12"/>
      <c r="Q488" s="42"/>
      <c r="R488" s="15"/>
      <c r="S488" s="44"/>
      <c r="T488" s="15"/>
      <c r="U488" s="44"/>
      <c r="V488" s="15">
        <f t="shared" si="38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39"/>
        <v>0</v>
      </c>
      <c r="AF488" s="15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0"/>
        <v>0</v>
      </c>
      <c r="BA488" s="15"/>
      <c r="BB488" s="44"/>
      <c r="BC488" s="15"/>
      <c r="BD488" s="44"/>
      <c r="BE488" s="15">
        <f t="shared" si="41"/>
        <v>0</v>
      </c>
    </row>
    <row r="489" spans="1:57">
      <c r="A489" s="9"/>
      <c r="B489" s="16" t="s">
        <v>742</v>
      </c>
      <c r="C489" s="89" t="s">
        <v>52</v>
      </c>
      <c r="D489" s="56" t="s">
        <v>750</v>
      </c>
      <c r="E489" s="13" t="s">
        <v>752</v>
      </c>
      <c r="F489" s="95"/>
      <c r="G489" s="9"/>
      <c r="H489" s="9" t="s">
        <v>745</v>
      </c>
      <c r="I489" s="14"/>
      <c r="J489" s="14"/>
      <c r="K489" s="12">
        <v>0</v>
      </c>
      <c r="L489" s="9"/>
      <c r="M489" s="9"/>
      <c r="N489" s="9"/>
      <c r="O489" s="38">
        <f t="shared" si="37"/>
        <v>0</v>
      </c>
      <c r="P489" s="12"/>
      <c r="Q489" s="42"/>
      <c r="R489" s="15"/>
      <c r="S489" s="44"/>
      <c r="T489" s="15"/>
      <c r="U489" s="44"/>
      <c r="V489" s="15">
        <f t="shared" si="38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39"/>
        <v>0</v>
      </c>
      <c r="AF489" s="15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0"/>
        <v>0</v>
      </c>
      <c r="BA489" s="15"/>
      <c r="BB489" s="44"/>
      <c r="BC489" s="15"/>
      <c r="BD489" s="44"/>
      <c r="BE489" s="15">
        <f t="shared" si="41"/>
        <v>0</v>
      </c>
    </row>
    <row r="490" spans="1:57">
      <c r="A490" s="9"/>
      <c r="B490" s="16" t="s">
        <v>161</v>
      </c>
      <c r="C490" s="89" t="s">
        <v>52</v>
      </c>
      <c r="D490" s="56" t="s">
        <v>753</v>
      </c>
      <c r="E490" s="13"/>
      <c r="F490" s="95"/>
      <c r="G490" s="9"/>
      <c r="H490" s="9" t="s">
        <v>467</v>
      </c>
      <c r="I490" s="14"/>
      <c r="J490" s="14"/>
      <c r="K490" s="12">
        <v>50</v>
      </c>
      <c r="L490" s="9"/>
      <c r="M490" s="9"/>
      <c r="N490" s="9"/>
      <c r="O490" s="38">
        <f t="shared" si="37"/>
        <v>50</v>
      </c>
      <c r="P490" s="12"/>
      <c r="Q490" s="42"/>
      <c r="R490" s="15"/>
      <c r="S490" s="44"/>
      <c r="T490" s="15"/>
      <c r="U490" s="44"/>
      <c r="V490" s="15">
        <f t="shared" si="38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39"/>
        <v>0</v>
      </c>
      <c r="AF490" s="15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0"/>
        <v>0</v>
      </c>
      <c r="BA490" s="15"/>
      <c r="BB490" s="44"/>
      <c r="BC490" s="15"/>
      <c r="BD490" s="44"/>
      <c r="BE490" s="15">
        <f t="shared" si="41"/>
        <v>0</v>
      </c>
    </row>
    <row r="491" spans="1:57">
      <c r="A491" s="9"/>
      <c r="B491" s="16" t="s">
        <v>161</v>
      </c>
      <c r="C491" s="89" t="s">
        <v>754</v>
      </c>
      <c r="D491" s="56" t="s">
        <v>753</v>
      </c>
      <c r="E491" s="13"/>
      <c r="F491" s="95"/>
      <c r="G491" s="9"/>
      <c r="H491" s="9" t="s">
        <v>467</v>
      </c>
      <c r="I491" s="14"/>
      <c r="J491" s="14"/>
      <c r="K491" s="12">
        <v>100</v>
      </c>
      <c r="L491" s="9"/>
      <c r="M491" s="9"/>
      <c r="N491" s="9"/>
      <c r="O491" s="38">
        <f t="shared" si="37"/>
        <v>100</v>
      </c>
      <c r="P491" s="12"/>
      <c r="Q491" s="42"/>
      <c r="R491" s="15"/>
      <c r="S491" s="44"/>
      <c r="T491" s="15"/>
      <c r="U491" s="44"/>
      <c r="V491" s="15">
        <f t="shared" si="38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39"/>
        <v>0</v>
      </c>
      <c r="AF491" s="15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0"/>
        <v>0</v>
      </c>
      <c r="BA491" s="15"/>
      <c r="BB491" s="44"/>
      <c r="BC491" s="15"/>
      <c r="BD491" s="44"/>
      <c r="BE491" s="15">
        <f t="shared" si="41"/>
        <v>0</v>
      </c>
    </row>
    <row r="492" spans="1:57">
      <c r="A492" s="9"/>
      <c r="B492" s="16" t="s">
        <v>161</v>
      </c>
      <c r="C492" s="89" t="s">
        <v>140</v>
      </c>
      <c r="D492" s="59" t="s">
        <v>753</v>
      </c>
      <c r="E492" s="13"/>
      <c r="F492" s="95"/>
      <c r="G492" s="9"/>
      <c r="H492" s="9" t="s">
        <v>467</v>
      </c>
      <c r="I492" s="14"/>
      <c r="J492" s="14"/>
      <c r="K492" s="12">
        <v>0</v>
      </c>
      <c r="L492" s="9"/>
      <c r="M492" s="9"/>
      <c r="N492" s="9"/>
      <c r="O492" s="38">
        <f t="shared" si="37"/>
        <v>0</v>
      </c>
      <c r="P492" s="12"/>
      <c r="Q492" s="42"/>
      <c r="R492" s="15"/>
      <c r="S492" s="44"/>
      <c r="T492" s="15"/>
      <c r="U492" s="44"/>
      <c r="V492" s="15">
        <f t="shared" si="38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39"/>
        <v>0</v>
      </c>
      <c r="AF492" s="15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0"/>
        <v>0</v>
      </c>
      <c r="BA492" s="15"/>
      <c r="BB492" s="44"/>
      <c r="BC492" s="15"/>
      <c r="BD492" s="44"/>
      <c r="BE492" s="15">
        <f t="shared" si="41"/>
        <v>0</v>
      </c>
    </row>
    <row r="493" spans="1:57">
      <c r="A493" s="9"/>
      <c r="B493" s="16" t="s">
        <v>755</v>
      </c>
      <c r="C493" s="89" t="s">
        <v>754</v>
      </c>
      <c r="D493" s="59" t="s">
        <v>756</v>
      </c>
      <c r="E493" s="13"/>
      <c r="F493" s="95"/>
      <c r="G493" s="9"/>
      <c r="H493" s="9" t="s">
        <v>757</v>
      </c>
      <c r="I493" s="14"/>
      <c r="J493" s="14"/>
      <c r="K493" s="12">
        <v>0</v>
      </c>
      <c r="L493" s="9"/>
      <c r="M493" s="9"/>
      <c r="N493" s="9"/>
      <c r="O493" s="38">
        <f t="shared" si="37"/>
        <v>0</v>
      </c>
      <c r="P493" s="12"/>
      <c r="Q493" s="42"/>
      <c r="R493" s="15"/>
      <c r="S493" s="44"/>
      <c r="T493" s="15"/>
      <c r="U493" s="44"/>
      <c r="V493" s="15">
        <f t="shared" si="38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39"/>
        <v>0</v>
      </c>
      <c r="AF493" s="15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0"/>
        <v>0</v>
      </c>
      <c r="BA493" s="15"/>
      <c r="BB493" s="44"/>
      <c r="BC493" s="15"/>
      <c r="BD493" s="44"/>
      <c r="BE493" s="15">
        <f t="shared" si="41"/>
        <v>0</v>
      </c>
    </row>
    <row r="494" spans="1:57">
      <c r="A494" s="9"/>
      <c r="B494" s="16" t="s">
        <v>755</v>
      </c>
      <c r="C494" s="89" t="s">
        <v>132</v>
      </c>
      <c r="D494" s="61" t="s">
        <v>758</v>
      </c>
      <c r="E494" s="13"/>
      <c r="F494" s="95"/>
      <c r="G494" s="9"/>
      <c r="H494" s="9" t="s">
        <v>757</v>
      </c>
      <c r="I494" s="14"/>
      <c r="J494" s="14"/>
      <c r="K494" s="12">
        <v>0</v>
      </c>
      <c r="L494" s="9"/>
      <c r="M494" s="9"/>
      <c r="N494" s="9"/>
      <c r="O494" s="38">
        <f t="shared" si="37"/>
        <v>0</v>
      </c>
      <c r="P494" s="12"/>
      <c r="Q494" s="42"/>
      <c r="R494" s="15"/>
      <c r="S494" s="44"/>
      <c r="T494" s="15"/>
      <c r="U494" s="44"/>
      <c r="V494" s="15">
        <f t="shared" si="38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39"/>
        <v>0</v>
      </c>
      <c r="AF494" s="15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0"/>
        <v>0</v>
      </c>
      <c r="BA494" s="15"/>
      <c r="BB494" s="44"/>
      <c r="BC494" s="15"/>
      <c r="BD494" s="44"/>
      <c r="BE494" s="15">
        <f t="shared" si="41"/>
        <v>0</v>
      </c>
    </row>
    <row r="495" spans="1:57">
      <c r="A495" s="9"/>
      <c r="B495" s="16" t="s">
        <v>755</v>
      </c>
      <c r="C495" s="89" t="s">
        <v>132</v>
      </c>
      <c r="D495" s="59" t="s">
        <v>759</v>
      </c>
      <c r="E495" s="13"/>
      <c r="F495" s="95"/>
      <c r="G495" s="9"/>
      <c r="H495" s="9" t="s">
        <v>757</v>
      </c>
      <c r="I495" s="14"/>
      <c r="J495" s="14"/>
      <c r="K495" s="12">
        <v>0</v>
      </c>
      <c r="L495" s="9"/>
      <c r="M495" s="9"/>
      <c r="N495" s="9"/>
      <c r="O495" s="38">
        <f t="shared" si="37"/>
        <v>0</v>
      </c>
      <c r="P495" s="12"/>
      <c r="Q495" s="42"/>
      <c r="R495" s="15"/>
      <c r="S495" s="44"/>
      <c r="T495" s="15"/>
      <c r="U495" s="44"/>
      <c r="V495" s="15">
        <f t="shared" si="38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39"/>
        <v>0</v>
      </c>
      <c r="AF495" s="15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0"/>
        <v>0</v>
      </c>
      <c r="BA495" s="15"/>
      <c r="BB495" s="44"/>
      <c r="BC495" s="15"/>
      <c r="BD495" s="44"/>
      <c r="BE495" s="15">
        <f t="shared" si="41"/>
        <v>0</v>
      </c>
    </row>
    <row r="496" spans="1:57">
      <c r="A496" s="9"/>
      <c r="B496" s="16" t="s">
        <v>755</v>
      </c>
      <c r="C496" s="89" t="s">
        <v>140</v>
      </c>
      <c r="D496" s="59" t="s">
        <v>758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7"/>
        <v>0</v>
      </c>
      <c r="P496" s="12"/>
      <c r="Q496" s="42"/>
      <c r="R496" s="15"/>
      <c r="S496" s="44"/>
      <c r="T496" s="15"/>
      <c r="U496" s="44"/>
      <c r="V496" s="15">
        <f t="shared" si="38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39"/>
        <v>0</v>
      </c>
      <c r="AF496" s="15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0"/>
        <v>0</v>
      </c>
      <c r="BA496" s="15"/>
      <c r="BB496" s="44"/>
      <c r="BC496" s="15"/>
      <c r="BD496" s="44"/>
      <c r="BE496" s="15">
        <f t="shared" si="41"/>
        <v>0</v>
      </c>
    </row>
    <row r="497" spans="1:57">
      <c r="A497" s="9"/>
      <c r="B497" s="16" t="s">
        <v>755</v>
      </c>
      <c r="C497" s="89" t="s">
        <v>52</v>
      </c>
      <c r="D497" s="59" t="s">
        <v>760</v>
      </c>
      <c r="E497" s="13"/>
      <c r="F497" s="95"/>
      <c r="G497" s="9"/>
      <c r="H497" s="9" t="s">
        <v>757</v>
      </c>
      <c r="I497" s="14"/>
      <c r="J497" s="14"/>
      <c r="K497" s="12">
        <v>993</v>
      </c>
      <c r="L497" s="9"/>
      <c r="M497" s="9"/>
      <c r="N497" s="9"/>
      <c r="O497" s="38">
        <f t="shared" si="37"/>
        <v>993</v>
      </c>
      <c r="P497" s="12"/>
      <c r="Q497" s="42"/>
      <c r="R497" s="15"/>
      <c r="S497" s="44"/>
      <c r="T497" s="15"/>
      <c r="U497" s="44"/>
      <c r="V497" s="15">
        <f t="shared" si="38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39"/>
        <v>0</v>
      </c>
      <c r="AF497" s="15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0"/>
        <v>0</v>
      </c>
      <c r="BA497" s="15"/>
      <c r="BB497" s="44"/>
      <c r="BC497" s="15"/>
      <c r="BD497" s="44"/>
      <c r="BE497" s="15">
        <f t="shared" si="41"/>
        <v>0</v>
      </c>
    </row>
    <row r="498" spans="1:57">
      <c r="A498" s="9"/>
      <c r="B498" s="16" t="s">
        <v>755</v>
      </c>
      <c r="C498" s="89" t="s">
        <v>52</v>
      </c>
      <c r="D498" s="75" t="s">
        <v>761</v>
      </c>
      <c r="E498" s="13"/>
      <c r="F498" s="95"/>
      <c r="G498" s="9"/>
      <c r="H498" s="9" t="s">
        <v>757</v>
      </c>
      <c r="I498" s="14"/>
      <c r="J498" s="14"/>
      <c r="K498" s="12">
        <v>789</v>
      </c>
      <c r="L498" s="9"/>
      <c r="M498" s="9"/>
      <c r="N498" s="9"/>
      <c r="O498" s="38">
        <f t="shared" si="37"/>
        <v>789</v>
      </c>
      <c r="P498" s="12"/>
      <c r="Q498" s="42"/>
      <c r="R498" s="15"/>
      <c r="S498" s="44"/>
      <c r="T498" s="15"/>
      <c r="U498" s="44"/>
      <c r="V498" s="15">
        <f t="shared" si="38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39"/>
        <v>0</v>
      </c>
      <c r="AF498" s="15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0"/>
        <v>0</v>
      </c>
      <c r="BA498" s="15"/>
      <c r="BB498" s="44"/>
      <c r="BC498" s="15"/>
      <c r="BD498" s="44"/>
      <c r="BE498" s="15">
        <f t="shared" si="41"/>
        <v>0</v>
      </c>
    </row>
    <row r="499" spans="1:57">
      <c r="A499" s="9"/>
      <c r="B499" s="16" t="s">
        <v>755</v>
      </c>
      <c r="C499" s="89" t="s">
        <v>52</v>
      </c>
      <c r="D499" s="87" t="s">
        <v>762</v>
      </c>
      <c r="E499" s="13"/>
      <c r="F499" s="95"/>
      <c r="G499" s="9"/>
      <c r="H499" s="9" t="s">
        <v>757</v>
      </c>
      <c r="I499" s="14"/>
      <c r="J499" s="14"/>
      <c r="K499" s="12">
        <v>893</v>
      </c>
      <c r="L499" s="9"/>
      <c r="M499" s="9"/>
      <c r="N499" s="9"/>
      <c r="O499" s="38">
        <f t="shared" si="37"/>
        <v>893</v>
      </c>
      <c r="P499" s="12"/>
      <c r="Q499" s="42"/>
      <c r="R499" s="15"/>
      <c r="S499" s="44"/>
      <c r="T499" s="15"/>
      <c r="U499" s="44"/>
      <c r="V499" s="15">
        <f t="shared" si="38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39"/>
        <v>0</v>
      </c>
      <c r="AF499" s="15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0"/>
        <v>0</v>
      </c>
      <c r="BA499" s="15"/>
      <c r="BB499" s="44"/>
      <c r="BC499" s="15"/>
      <c r="BD499" s="44"/>
      <c r="BE499" s="15">
        <f t="shared" si="41"/>
        <v>0</v>
      </c>
    </row>
    <row r="500" spans="1:57">
      <c r="A500" s="9"/>
      <c r="B500" s="16" t="s">
        <v>755</v>
      </c>
      <c r="C500" s="89" t="s">
        <v>52</v>
      </c>
      <c r="D500" s="75" t="s">
        <v>763</v>
      </c>
      <c r="E500" s="13" t="s">
        <v>764</v>
      </c>
      <c r="F500" s="95"/>
      <c r="G500" s="9"/>
      <c r="H500" s="9" t="s">
        <v>757</v>
      </c>
      <c r="I500" s="14"/>
      <c r="J500" s="14"/>
      <c r="K500" s="12">
        <v>216</v>
      </c>
      <c r="L500" s="9"/>
      <c r="M500" s="9"/>
      <c r="N500" s="9"/>
      <c r="O500" s="38">
        <f t="shared" si="37"/>
        <v>216</v>
      </c>
      <c r="P500" s="12"/>
      <c r="Q500" s="42"/>
      <c r="R500" s="15"/>
      <c r="S500" s="44"/>
      <c r="T500" s="15"/>
      <c r="U500" s="44"/>
      <c r="V500" s="15">
        <f t="shared" si="38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39"/>
        <v>0</v>
      </c>
      <c r="AF500" s="15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0"/>
        <v>0</v>
      </c>
      <c r="BA500" s="15"/>
      <c r="BB500" s="44"/>
      <c r="BC500" s="15"/>
      <c r="BD500" s="44"/>
      <c r="BE500" s="15">
        <f t="shared" si="41"/>
        <v>0</v>
      </c>
    </row>
    <row r="501" spans="1:57">
      <c r="A501" s="9"/>
      <c r="B501" s="16" t="s">
        <v>755</v>
      </c>
      <c r="C501" s="89" t="s">
        <v>52</v>
      </c>
      <c r="D501" s="75" t="s">
        <v>763</v>
      </c>
      <c r="E501" s="13" t="s">
        <v>765</v>
      </c>
      <c r="F501" s="95"/>
      <c r="G501" s="9"/>
      <c r="H501" s="9" t="s">
        <v>757</v>
      </c>
      <c r="I501" s="14"/>
      <c r="J501" s="14"/>
      <c r="K501" s="12">
        <v>57</v>
      </c>
      <c r="L501" s="9"/>
      <c r="M501" s="9"/>
      <c r="N501" s="9"/>
      <c r="O501" s="38">
        <f t="shared" si="37"/>
        <v>57</v>
      </c>
      <c r="P501" s="12"/>
      <c r="Q501" s="42"/>
      <c r="R501" s="15"/>
      <c r="S501" s="44"/>
      <c r="T501" s="15"/>
      <c r="U501" s="44"/>
      <c r="V501" s="15">
        <f t="shared" si="38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39"/>
        <v>0</v>
      </c>
      <c r="AF501" s="15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0"/>
        <v>0</v>
      </c>
      <c r="BA501" s="15"/>
      <c r="BB501" s="44"/>
      <c r="BC501" s="15"/>
      <c r="BD501" s="44"/>
      <c r="BE501" s="15">
        <f t="shared" si="41"/>
        <v>0</v>
      </c>
    </row>
    <row r="502" spans="1:57">
      <c r="A502" s="9"/>
      <c r="B502" s="16" t="s">
        <v>755</v>
      </c>
      <c r="C502" s="89" t="s">
        <v>151</v>
      </c>
      <c r="D502" s="75" t="s">
        <v>766</v>
      </c>
      <c r="E502" s="13"/>
      <c r="F502" s="95"/>
      <c r="G502" s="9"/>
      <c r="H502" s="9" t="s">
        <v>757</v>
      </c>
      <c r="I502" s="14"/>
      <c r="J502" s="14"/>
      <c r="K502" s="12">
        <v>0</v>
      </c>
      <c r="L502" s="9"/>
      <c r="M502" s="9"/>
      <c r="N502" s="9"/>
      <c r="O502" s="38">
        <f t="shared" si="37"/>
        <v>0</v>
      </c>
      <c r="P502" s="12"/>
      <c r="Q502" s="42"/>
      <c r="R502" s="15"/>
      <c r="S502" s="44"/>
      <c r="T502" s="15"/>
      <c r="U502" s="44"/>
      <c r="V502" s="15">
        <f t="shared" si="38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39"/>
        <v>0</v>
      </c>
      <c r="AF502" s="15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0"/>
        <v>0</v>
      </c>
      <c r="BA502" s="15"/>
      <c r="BB502" s="44"/>
      <c r="BC502" s="15"/>
      <c r="BD502" s="44"/>
      <c r="BE502" s="15">
        <f t="shared" si="41"/>
        <v>0</v>
      </c>
    </row>
    <row r="503" spans="1:57">
      <c r="A503" s="9"/>
      <c r="B503" s="16" t="s">
        <v>755</v>
      </c>
      <c r="C503" s="89" t="s">
        <v>151</v>
      </c>
      <c r="D503" s="75" t="s">
        <v>763</v>
      </c>
      <c r="E503" s="13" t="s">
        <v>767</v>
      </c>
      <c r="F503" s="95"/>
      <c r="G503" s="9"/>
      <c r="H503" s="9" t="s">
        <v>757</v>
      </c>
      <c r="I503" s="14"/>
      <c r="J503" s="14"/>
      <c r="K503" s="12">
        <v>0</v>
      </c>
      <c r="L503" s="9"/>
      <c r="M503" s="9"/>
      <c r="N503" s="9"/>
      <c r="O503" s="38">
        <f t="shared" si="37"/>
        <v>0</v>
      </c>
      <c r="P503" s="12"/>
      <c r="Q503" s="42"/>
      <c r="R503" s="15"/>
      <c r="S503" s="44"/>
      <c r="T503" s="15"/>
      <c r="U503" s="44"/>
      <c r="V503" s="15">
        <f t="shared" si="38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39"/>
        <v>0</v>
      </c>
      <c r="AF503" s="15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0"/>
        <v>0</v>
      </c>
      <c r="BA503" s="15"/>
      <c r="BB503" s="44"/>
      <c r="BC503" s="15"/>
      <c r="BD503" s="44"/>
      <c r="BE503" s="15">
        <f t="shared" si="41"/>
        <v>0</v>
      </c>
    </row>
    <row r="504" spans="1:57">
      <c r="A504" s="9"/>
      <c r="B504" s="16" t="s">
        <v>755</v>
      </c>
      <c r="C504" s="89" t="s">
        <v>151</v>
      </c>
      <c r="D504" s="75" t="s">
        <v>763</v>
      </c>
      <c r="E504" s="13" t="s">
        <v>768</v>
      </c>
      <c r="F504" s="95"/>
      <c r="G504" s="9"/>
      <c r="H504" s="9" t="s">
        <v>757</v>
      </c>
      <c r="I504" s="14"/>
      <c r="J504" s="14"/>
      <c r="K504" s="12">
        <v>0</v>
      </c>
      <c r="L504" s="9"/>
      <c r="M504" s="9"/>
      <c r="N504" s="9"/>
      <c r="O504" s="38">
        <f t="shared" si="37"/>
        <v>0</v>
      </c>
      <c r="P504" s="12"/>
      <c r="Q504" s="42"/>
      <c r="R504" s="15"/>
      <c r="S504" s="44"/>
      <c r="T504" s="15"/>
      <c r="U504" s="44"/>
      <c r="V504" s="15">
        <f t="shared" si="38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39"/>
        <v>0</v>
      </c>
      <c r="AF504" s="15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0"/>
        <v>0</v>
      </c>
      <c r="BA504" s="15"/>
      <c r="BB504" s="44"/>
      <c r="BC504" s="15"/>
      <c r="BD504" s="44"/>
      <c r="BE504" s="15">
        <f t="shared" si="41"/>
        <v>0</v>
      </c>
    </row>
    <row r="505" spans="1:57">
      <c r="A505" s="9"/>
      <c r="B505" s="16" t="s">
        <v>769</v>
      </c>
      <c r="C505" s="89" t="s">
        <v>494</v>
      </c>
      <c r="D505" s="61" t="s">
        <v>770</v>
      </c>
      <c r="E505" s="13"/>
      <c r="F505" s="95"/>
      <c r="G505" s="9"/>
      <c r="H505" s="23" t="s">
        <v>771</v>
      </c>
      <c r="I505" s="14"/>
      <c r="J505" s="14"/>
      <c r="K505" s="12">
        <v>0</v>
      </c>
      <c r="L505" s="9"/>
      <c r="M505" s="9"/>
      <c r="N505" s="9"/>
      <c r="O505" s="38">
        <f t="shared" si="37"/>
        <v>0</v>
      </c>
      <c r="P505" s="12"/>
      <c r="Q505" s="42"/>
      <c r="R505" s="15"/>
      <c r="S505" s="44"/>
      <c r="T505" s="15"/>
      <c r="U505" s="44"/>
      <c r="V505" s="15">
        <f t="shared" si="38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39"/>
        <v>0</v>
      </c>
      <c r="AF505" s="15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0"/>
        <v>0</v>
      </c>
      <c r="BA505" s="15"/>
      <c r="BB505" s="44"/>
      <c r="BC505" s="15"/>
      <c r="BD505" s="44"/>
      <c r="BE505" s="15">
        <f t="shared" si="41"/>
        <v>0</v>
      </c>
    </row>
    <row r="506" spans="1:57">
      <c r="A506" s="9"/>
      <c r="B506" s="16" t="s">
        <v>772</v>
      </c>
      <c r="C506" s="89" t="s">
        <v>151</v>
      </c>
      <c r="D506" s="61" t="s">
        <v>772</v>
      </c>
      <c r="E506" s="13"/>
      <c r="F506" s="95"/>
      <c r="G506" s="9"/>
      <c r="H506" s="9" t="s">
        <v>773</v>
      </c>
      <c r="I506" s="14"/>
      <c r="J506" s="14"/>
      <c r="K506" s="12">
        <v>0</v>
      </c>
      <c r="L506" s="9"/>
      <c r="M506" s="9"/>
      <c r="N506" s="9"/>
      <c r="O506" s="38">
        <f t="shared" si="37"/>
        <v>0</v>
      </c>
      <c r="P506" s="12"/>
      <c r="Q506" s="42"/>
      <c r="R506" s="15"/>
      <c r="S506" s="44"/>
      <c r="T506" s="15"/>
      <c r="U506" s="44"/>
      <c r="V506" s="15">
        <f t="shared" si="38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39"/>
        <v>0</v>
      </c>
      <c r="AF506" s="15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0"/>
        <v>0</v>
      </c>
      <c r="BA506" s="15"/>
      <c r="BB506" s="44"/>
      <c r="BC506" s="15"/>
      <c r="BD506" s="44"/>
      <c r="BE506" s="15">
        <f t="shared" si="41"/>
        <v>0</v>
      </c>
    </row>
    <row r="507" spans="1:57">
      <c r="A507" s="9"/>
      <c r="B507" s="16" t="s">
        <v>774</v>
      </c>
      <c r="C507" s="89" t="s">
        <v>151</v>
      </c>
      <c r="D507" s="59" t="s">
        <v>775</v>
      </c>
      <c r="E507" s="13"/>
      <c r="F507" s="95"/>
      <c r="G507" s="9"/>
      <c r="H507" s="9"/>
      <c r="I507" s="14"/>
      <c r="J507" s="14"/>
      <c r="K507" s="12">
        <v>0</v>
      </c>
      <c r="L507" s="9"/>
      <c r="M507" s="9"/>
      <c r="N507" s="9"/>
      <c r="O507" s="38">
        <f t="shared" si="37"/>
        <v>0</v>
      </c>
      <c r="P507" s="12"/>
      <c r="Q507" s="42"/>
      <c r="R507" s="15"/>
      <c r="S507" s="44"/>
      <c r="T507" s="15"/>
      <c r="U507" s="44"/>
      <c r="V507" s="15">
        <f t="shared" si="38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39"/>
        <v>0</v>
      </c>
      <c r="AF507" s="15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0"/>
        <v>0</v>
      </c>
      <c r="BA507" s="15"/>
      <c r="BB507" s="44"/>
      <c r="BC507" s="15"/>
      <c r="BD507" s="44"/>
      <c r="BE507" s="15">
        <f t="shared" si="41"/>
        <v>0</v>
      </c>
    </row>
    <row r="508" spans="1:57">
      <c r="A508" s="9"/>
      <c r="B508" s="16" t="s">
        <v>776</v>
      </c>
      <c r="C508" s="89" t="s">
        <v>151</v>
      </c>
      <c r="D508" s="56" t="s">
        <v>777</v>
      </c>
      <c r="E508" s="13"/>
      <c r="F508" s="95"/>
      <c r="G508" s="9"/>
      <c r="H508" s="9" t="s">
        <v>314</v>
      </c>
      <c r="I508" s="14"/>
      <c r="J508" s="14"/>
      <c r="K508" s="12">
        <v>0</v>
      </c>
      <c r="L508" s="9"/>
      <c r="M508" s="9"/>
      <c r="N508" s="9"/>
      <c r="O508" s="38">
        <f t="shared" si="37"/>
        <v>0</v>
      </c>
      <c r="P508" s="12"/>
      <c r="Q508" s="42"/>
      <c r="R508" s="15"/>
      <c r="S508" s="44"/>
      <c r="T508" s="15"/>
      <c r="U508" s="44"/>
      <c r="V508" s="15">
        <f t="shared" si="38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39"/>
        <v>0</v>
      </c>
      <c r="AF508" s="15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0"/>
        <v>0</v>
      </c>
      <c r="BA508" s="15"/>
      <c r="BB508" s="44"/>
      <c r="BC508" s="15"/>
      <c r="BD508" s="44"/>
      <c r="BE508" s="15">
        <f t="shared" si="41"/>
        <v>0</v>
      </c>
    </row>
    <row r="509" spans="1:57">
      <c r="A509" s="9"/>
      <c r="B509" s="16" t="s">
        <v>101</v>
      </c>
      <c r="C509" s="89" t="s">
        <v>151</v>
      </c>
      <c r="D509" s="56" t="s">
        <v>778</v>
      </c>
      <c r="E509" s="13"/>
      <c r="F509" s="95"/>
      <c r="G509" s="9"/>
      <c r="H509" s="9" t="s">
        <v>779</v>
      </c>
      <c r="I509" s="14"/>
      <c r="J509" s="14"/>
      <c r="K509" s="12">
        <v>0</v>
      </c>
      <c r="L509" s="9"/>
      <c r="M509" s="9"/>
      <c r="N509" s="9"/>
      <c r="O509" s="38">
        <f t="shared" si="37"/>
        <v>0</v>
      </c>
      <c r="P509" s="12"/>
      <c r="Q509" s="42"/>
      <c r="R509" s="15"/>
      <c r="S509" s="44"/>
      <c r="T509" s="15"/>
      <c r="U509" s="44"/>
      <c r="V509" s="15">
        <f t="shared" si="38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39"/>
        <v>0</v>
      </c>
      <c r="AF509" s="15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0"/>
        <v>0</v>
      </c>
      <c r="BA509" s="15"/>
      <c r="BB509" s="44"/>
      <c r="BC509" s="15"/>
      <c r="BD509" s="44"/>
      <c r="BE509" s="15">
        <f t="shared" si="41"/>
        <v>0</v>
      </c>
    </row>
    <row r="510" spans="1:57">
      <c r="A510" s="9"/>
      <c r="B510" s="16" t="s">
        <v>101</v>
      </c>
      <c r="C510" s="89" t="s">
        <v>151</v>
      </c>
      <c r="D510" s="56" t="s">
        <v>780</v>
      </c>
      <c r="E510" s="13"/>
      <c r="F510" s="95"/>
      <c r="G510" s="9"/>
      <c r="H510" s="9" t="s">
        <v>779</v>
      </c>
      <c r="I510" s="14"/>
      <c r="J510" s="14"/>
      <c r="K510" s="12">
        <v>0</v>
      </c>
      <c r="L510" s="9"/>
      <c r="M510" s="9"/>
      <c r="N510" s="9"/>
      <c r="O510" s="38">
        <f t="shared" si="37"/>
        <v>0</v>
      </c>
      <c r="P510" s="12"/>
      <c r="Q510" s="42"/>
      <c r="R510" s="15"/>
      <c r="S510" s="44"/>
      <c r="T510" s="15"/>
      <c r="U510" s="44"/>
      <c r="V510" s="15">
        <f t="shared" si="38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39"/>
        <v>0</v>
      </c>
      <c r="AF510" s="15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0"/>
        <v>0</v>
      </c>
      <c r="BA510" s="15"/>
      <c r="BB510" s="44"/>
      <c r="BC510" s="15"/>
      <c r="BD510" s="44"/>
      <c r="BE510" s="15">
        <f t="shared" si="41"/>
        <v>0</v>
      </c>
    </row>
    <row r="511" spans="1:57">
      <c r="A511" s="9"/>
      <c r="B511" s="16" t="s">
        <v>101</v>
      </c>
      <c r="C511" s="89" t="s">
        <v>151</v>
      </c>
      <c r="D511" s="56" t="s">
        <v>781</v>
      </c>
      <c r="E511" s="13"/>
      <c r="F511" s="95"/>
      <c r="G511" s="9"/>
      <c r="H511" s="9" t="s">
        <v>779</v>
      </c>
      <c r="I511" s="14"/>
      <c r="J511" s="14"/>
      <c r="K511" s="12">
        <v>0</v>
      </c>
      <c r="L511" s="9"/>
      <c r="M511" s="9"/>
      <c r="N511" s="9"/>
      <c r="O511" s="38">
        <f t="shared" si="37"/>
        <v>0</v>
      </c>
      <c r="P511" s="12"/>
      <c r="Q511" s="42"/>
      <c r="R511" s="15"/>
      <c r="S511" s="44"/>
      <c r="T511" s="15"/>
      <c r="U511" s="44"/>
      <c r="V511" s="15">
        <f t="shared" si="38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39"/>
        <v>0</v>
      </c>
      <c r="AF511" s="15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0"/>
        <v>0</v>
      </c>
      <c r="BA511" s="15"/>
      <c r="BB511" s="44"/>
      <c r="BC511" s="15"/>
      <c r="BD511" s="44"/>
      <c r="BE511" s="15">
        <f t="shared" si="41"/>
        <v>0</v>
      </c>
    </row>
    <row r="512" spans="1:57">
      <c r="A512" s="9"/>
      <c r="B512" s="16" t="s">
        <v>101</v>
      </c>
      <c r="C512" s="89" t="s">
        <v>151</v>
      </c>
      <c r="D512" s="56" t="s">
        <v>782</v>
      </c>
      <c r="E512" s="13"/>
      <c r="F512" s="95"/>
      <c r="G512" s="9"/>
      <c r="H512" s="9" t="s">
        <v>783</v>
      </c>
      <c r="I512" s="14"/>
      <c r="J512" s="14"/>
      <c r="K512" s="12">
        <v>0</v>
      </c>
      <c r="L512" s="9"/>
      <c r="M512" s="9"/>
      <c r="N512" s="9"/>
      <c r="O512" s="38">
        <f t="shared" si="37"/>
        <v>0</v>
      </c>
      <c r="P512" s="12"/>
      <c r="Q512" s="42"/>
      <c r="R512" s="15"/>
      <c r="S512" s="44"/>
      <c r="T512" s="15"/>
      <c r="U512" s="44"/>
      <c r="V512" s="15">
        <f t="shared" si="38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39"/>
        <v>0</v>
      </c>
      <c r="AF512" s="15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0"/>
        <v>0</v>
      </c>
      <c r="BA512" s="15"/>
      <c r="BB512" s="44"/>
      <c r="BC512" s="15"/>
      <c r="BD512" s="44"/>
      <c r="BE512" s="15">
        <f t="shared" si="41"/>
        <v>0</v>
      </c>
    </row>
    <row r="513" spans="1:57">
      <c r="A513" s="9"/>
      <c r="B513" s="16" t="s">
        <v>101</v>
      </c>
      <c r="C513" s="89" t="s">
        <v>151</v>
      </c>
      <c r="D513" s="56" t="s">
        <v>784</v>
      </c>
      <c r="E513" s="13"/>
      <c r="F513" s="95"/>
      <c r="G513" s="9"/>
      <c r="H513" s="9" t="s">
        <v>783</v>
      </c>
      <c r="I513" s="14"/>
      <c r="J513" s="14"/>
      <c r="K513" s="12">
        <v>0</v>
      </c>
      <c r="L513" s="9"/>
      <c r="M513" s="9"/>
      <c r="N513" s="9"/>
      <c r="O513" s="38">
        <f t="shared" si="37"/>
        <v>0</v>
      </c>
      <c r="P513" s="12"/>
      <c r="Q513" s="42"/>
      <c r="R513" s="15"/>
      <c r="S513" s="44"/>
      <c r="T513" s="15"/>
      <c r="U513" s="44"/>
      <c r="V513" s="15">
        <f t="shared" si="38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39"/>
        <v>0</v>
      </c>
      <c r="AF513" s="15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0"/>
        <v>0</v>
      </c>
      <c r="BA513" s="15"/>
      <c r="BB513" s="44"/>
      <c r="BC513" s="15"/>
      <c r="BD513" s="44"/>
      <c r="BE513" s="15">
        <f t="shared" si="41"/>
        <v>0</v>
      </c>
    </row>
    <row r="514" spans="1:57">
      <c r="A514" s="9"/>
      <c r="B514" s="16" t="s">
        <v>101</v>
      </c>
      <c r="C514" s="89" t="s">
        <v>151</v>
      </c>
      <c r="D514" s="56" t="s">
        <v>785</v>
      </c>
      <c r="E514" s="13"/>
      <c r="F514" s="95"/>
      <c r="G514" s="9"/>
      <c r="H514" s="9" t="s">
        <v>783</v>
      </c>
      <c r="I514" s="14"/>
      <c r="J514" s="14"/>
      <c r="K514" s="12">
        <v>0</v>
      </c>
      <c r="L514" s="9"/>
      <c r="M514" s="9"/>
      <c r="N514" s="9"/>
      <c r="O514" s="38">
        <f t="shared" ref="O514:O564" si="42">K514+V514-AE514-AZ514</f>
        <v>0</v>
      </c>
      <c r="P514" s="12"/>
      <c r="Q514" s="42"/>
      <c r="R514" s="15"/>
      <c r="S514" s="44"/>
      <c r="T514" s="15"/>
      <c r="U514" s="44"/>
      <c r="V514" s="15">
        <f t="shared" ref="V514:V564" si="43">P514+R514+T514</f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ref="AE514:AE564" si="44">(W514+Y514+AA514+AC514)</f>
        <v>0</v>
      </c>
      <c r="AF514" s="15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0"/>
        <v>0</v>
      </c>
      <c r="BA514" s="15"/>
      <c r="BB514" s="44"/>
      <c r="BC514" s="15"/>
      <c r="BD514" s="44"/>
      <c r="BE514" s="15">
        <f t="shared" si="41"/>
        <v>0</v>
      </c>
    </row>
    <row r="515" spans="1:57">
      <c r="A515" s="9"/>
      <c r="B515" s="16" t="s">
        <v>101</v>
      </c>
      <c r="C515" s="89" t="s">
        <v>151</v>
      </c>
      <c r="D515" s="56" t="s">
        <v>786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42"/>
        <v>0</v>
      </c>
      <c r="P515" s="12"/>
      <c r="Q515" s="42"/>
      <c r="R515" s="15"/>
      <c r="S515" s="44"/>
      <c r="T515" s="15"/>
      <c r="U515" s="44"/>
      <c r="V515" s="15">
        <f t="shared" si="43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4"/>
        <v>0</v>
      </c>
      <c r="AF515" s="15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ref="AZ515:AZ564" si="45">AF515+AH515+AJ515+AL515+AN515+AP515+AR515+AT515+AV515+AX515</f>
        <v>0</v>
      </c>
      <c r="BA515" s="15"/>
      <c r="BB515" s="44"/>
      <c r="BC515" s="15"/>
      <c r="BD515" s="44"/>
      <c r="BE515" s="15">
        <f t="shared" si="41"/>
        <v>0</v>
      </c>
    </row>
    <row r="516" spans="1:57">
      <c r="A516" s="9"/>
      <c r="B516" s="16" t="s">
        <v>101</v>
      </c>
      <c r="C516" s="89" t="s">
        <v>151</v>
      </c>
      <c r="D516" s="56" t="s">
        <v>787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si="42"/>
        <v>0</v>
      </c>
      <c r="P516" s="12"/>
      <c r="Q516" s="42"/>
      <c r="R516" s="15"/>
      <c r="S516" s="44"/>
      <c r="T516" s="15"/>
      <c r="U516" s="44"/>
      <c r="V516" s="15">
        <f t="shared" si="43"/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si="44"/>
        <v>0</v>
      </c>
      <c r="AF516" s="15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5"/>
        <v>0</v>
      </c>
      <c r="BA516" s="15"/>
      <c r="BB516" s="44"/>
      <c r="BC516" s="15"/>
      <c r="BD516" s="44"/>
      <c r="BE516" s="15">
        <f t="shared" si="41"/>
        <v>0</v>
      </c>
    </row>
    <row r="517" spans="1:57">
      <c r="A517" s="9"/>
      <c r="B517" s="16" t="s">
        <v>101</v>
      </c>
      <c r="C517" s="89" t="s">
        <v>151</v>
      </c>
      <c r="D517" s="56" t="s">
        <v>788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2"/>
        <v>0</v>
      </c>
      <c r="P517" s="12"/>
      <c r="Q517" s="42"/>
      <c r="R517" s="15"/>
      <c r="S517" s="44"/>
      <c r="T517" s="15"/>
      <c r="U517" s="44"/>
      <c r="V517" s="15">
        <f t="shared" si="43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4"/>
        <v>0</v>
      </c>
      <c r="AF517" s="15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5"/>
        <v>0</v>
      </c>
      <c r="BA517" s="15"/>
      <c r="BB517" s="44"/>
      <c r="BC517" s="15"/>
      <c r="BD517" s="44"/>
      <c r="BE517" s="15">
        <f t="shared" si="41"/>
        <v>0</v>
      </c>
    </row>
    <row r="518" spans="1:57">
      <c r="A518" s="9"/>
      <c r="B518" s="16" t="s">
        <v>101</v>
      </c>
      <c r="C518" s="89" t="s">
        <v>151</v>
      </c>
      <c r="D518" s="56" t="s">
        <v>789</v>
      </c>
      <c r="E518" s="13" t="s">
        <v>790</v>
      </c>
      <c r="F518" s="95"/>
      <c r="G518" s="9"/>
      <c r="H518" s="9" t="s">
        <v>791</v>
      </c>
      <c r="I518" s="14"/>
      <c r="J518" s="14"/>
      <c r="K518" s="12">
        <v>0</v>
      </c>
      <c r="L518" s="9"/>
      <c r="M518" s="9"/>
      <c r="N518" s="9"/>
      <c r="O518" s="38">
        <f t="shared" si="42"/>
        <v>0</v>
      </c>
      <c r="P518" s="12"/>
      <c r="Q518" s="42"/>
      <c r="R518" s="15"/>
      <c r="S518" s="44"/>
      <c r="T518" s="15"/>
      <c r="U518" s="44"/>
      <c r="V518" s="15">
        <f t="shared" si="43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4"/>
        <v>0</v>
      </c>
      <c r="AF518" s="15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5"/>
        <v>0</v>
      </c>
      <c r="BA518" s="15"/>
      <c r="BB518" s="44"/>
      <c r="BC518" s="15"/>
      <c r="BD518" s="44"/>
      <c r="BE518" s="15">
        <f t="shared" si="41"/>
        <v>0</v>
      </c>
    </row>
    <row r="519" spans="1:57">
      <c r="A519" s="9"/>
      <c r="B519" s="16" t="s">
        <v>101</v>
      </c>
      <c r="C519" s="89" t="s">
        <v>151</v>
      </c>
      <c r="D519" s="56" t="s">
        <v>792</v>
      </c>
      <c r="E519" s="13" t="s">
        <v>793</v>
      </c>
      <c r="F519" s="95"/>
      <c r="G519" s="9"/>
      <c r="H519" s="9" t="s">
        <v>791</v>
      </c>
      <c r="I519" s="14"/>
      <c r="J519" s="14"/>
      <c r="K519" s="12">
        <v>0</v>
      </c>
      <c r="L519" s="9"/>
      <c r="M519" s="9"/>
      <c r="N519" s="9"/>
      <c r="O519" s="38">
        <f t="shared" si="42"/>
        <v>0</v>
      </c>
      <c r="P519" s="12"/>
      <c r="Q519" s="42"/>
      <c r="R519" s="15"/>
      <c r="S519" s="44"/>
      <c r="T519" s="15"/>
      <c r="U519" s="44"/>
      <c r="V519" s="15">
        <f t="shared" si="43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4"/>
        <v>0</v>
      </c>
      <c r="AF519" s="15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5"/>
        <v>0</v>
      </c>
      <c r="BA519" s="15"/>
      <c r="BB519" s="44"/>
      <c r="BC519" s="15"/>
      <c r="BD519" s="44"/>
      <c r="BE519" s="15">
        <f t="shared" si="41"/>
        <v>0</v>
      </c>
    </row>
    <row r="520" spans="1:57">
      <c r="A520" s="9"/>
      <c r="B520" s="16" t="s">
        <v>330</v>
      </c>
      <c r="C520" s="89" t="s">
        <v>151</v>
      </c>
      <c r="D520" s="56" t="s">
        <v>794</v>
      </c>
      <c r="E520" s="13" t="s">
        <v>330</v>
      </c>
      <c r="F520" s="95"/>
      <c r="G520" s="9"/>
      <c r="H520" s="9" t="s">
        <v>332</v>
      </c>
      <c r="I520" s="14"/>
      <c r="J520" s="14"/>
      <c r="K520" s="12">
        <v>0</v>
      </c>
      <c r="L520" s="9"/>
      <c r="M520" s="9"/>
      <c r="N520" s="9"/>
      <c r="O520" s="38">
        <f t="shared" si="42"/>
        <v>0</v>
      </c>
      <c r="P520" s="12"/>
      <c r="Q520" s="42"/>
      <c r="R520" s="15"/>
      <c r="S520" s="44"/>
      <c r="T520" s="15"/>
      <c r="U520" s="44"/>
      <c r="V520" s="15">
        <f t="shared" si="43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4"/>
        <v>0</v>
      </c>
      <c r="AF520" s="15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5"/>
        <v>0</v>
      </c>
      <c r="BA520" s="15"/>
      <c r="BB520" s="44"/>
      <c r="BC520" s="15"/>
      <c r="BD520" s="44"/>
      <c r="BE520" s="15">
        <f t="shared" si="41"/>
        <v>0</v>
      </c>
    </row>
    <row r="521" spans="1:57">
      <c r="A521" s="9"/>
      <c r="B521" s="16" t="s">
        <v>330</v>
      </c>
      <c r="C521" s="89" t="s">
        <v>52</v>
      </c>
      <c r="D521" s="56" t="s">
        <v>795</v>
      </c>
      <c r="E521" s="13" t="s">
        <v>796</v>
      </c>
      <c r="F521" s="95"/>
      <c r="G521" s="9"/>
      <c r="H521" s="9" t="s">
        <v>332</v>
      </c>
      <c r="I521" s="14"/>
      <c r="J521" s="14"/>
      <c r="K521" s="12">
        <v>0</v>
      </c>
      <c r="L521" s="9"/>
      <c r="M521" s="9"/>
      <c r="N521" s="9"/>
      <c r="O521" s="38">
        <f t="shared" si="42"/>
        <v>0</v>
      </c>
      <c r="P521" s="12"/>
      <c r="Q521" s="42"/>
      <c r="R521" s="15"/>
      <c r="S521" s="44"/>
      <c r="T521" s="15"/>
      <c r="U521" s="44"/>
      <c r="V521" s="15">
        <f t="shared" si="43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4"/>
        <v>0</v>
      </c>
      <c r="AF521" s="15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5"/>
        <v>0</v>
      </c>
      <c r="BA521" s="15"/>
      <c r="BB521" s="44"/>
      <c r="BC521" s="15"/>
      <c r="BD521" s="44"/>
      <c r="BE521" s="15">
        <f t="shared" si="41"/>
        <v>0</v>
      </c>
    </row>
    <row r="522" spans="1:57">
      <c r="A522" s="9"/>
      <c r="B522" s="16" t="s">
        <v>797</v>
      </c>
      <c r="C522" s="89" t="s">
        <v>151</v>
      </c>
      <c r="D522" s="56" t="s">
        <v>798</v>
      </c>
      <c r="E522" s="13"/>
      <c r="F522" s="95"/>
      <c r="G522" s="9"/>
      <c r="H522" s="9" t="s">
        <v>467</v>
      </c>
      <c r="I522" s="14"/>
      <c r="J522" s="14"/>
      <c r="K522" s="12">
        <v>0</v>
      </c>
      <c r="L522" s="9"/>
      <c r="M522" s="9"/>
      <c r="N522" s="9"/>
      <c r="O522" s="38">
        <f t="shared" si="42"/>
        <v>0</v>
      </c>
      <c r="P522" s="12"/>
      <c r="Q522" s="42"/>
      <c r="R522" s="15"/>
      <c r="S522" s="44"/>
      <c r="T522" s="15"/>
      <c r="U522" s="44"/>
      <c r="V522" s="15">
        <f t="shared" si="43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4"/>
        <v>0</v>
      </c>
      <c r="AF522" s="15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5"/>
        <v>0</v>
      </c>
      <c r="BA522" s="15"/>
      <c r="BB522" s="44"/>
      <c r="BC522" s="15"/>
      <c r="BD522" s="44"/>
      <c r="BE522" s="15">
        <f t="shared" si="41"/>
        <v>0</v>
      </c>
    </row>
    <row r="523" spans="1:57">
      <c r="A523" s="9"/>
      <c r="B523" s="16" t="s">
        <v>799</v>
      </c>
      <c r="C523" s="89"/>
      <c r="D523" s="56" t="s">
        <v>800</v>
      </c>
      <c r="E523" s="13" t="s">
        <v>48</v>
      </c>
      <c r="F523" s="95"/>
      <c r="G523" s="9"/>
      <c r="H523" s="9" t="s">
        <v>687</v>
      </c>
      <c r="I523" s="14"/>
      <c r="J523" s="14"/>
      <c r="K523" s="12">
        <v>240</v>
      </c>
      <c r="L523" s="9"/>
      <c r="M523" s="9"/>
      <c r="N523" s="9"/>
      <c r="O523" s="38">
        <f t="shared" si="42"/>
        <v>240</v>
      </c>
      <c r="P523" s="12"/>
      <c r="Q523" s="42"/>
      <c r="R523" s="15"/>
      <c r="S523" s="44"/>
      <c r="T523" s="15"/>
      <c r="U523" s="44"/>
      <c r="V523" s="15">
        <f t="shared" si="43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4"/>
        <v>0</v>
      </c>
      <c r="AF523" s="15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5"/>
        <v>0</v>
      </c>
      <c r="BA523" s="15"/>
      <c r="BB523" s="44"/>
      <c r="BC523" s="15"/>
      <c r="BD523" s="44"/>
      <c r="BE523" s="15">
        <f t="shared" si="41"/>
        <v>0</v>
      </c>
    </row>
    <row r="524" spans="1:57">
      <c r="A524" s="9"/>
      <c r="B524" s="16" t="s">
        <v>801</v>
      </c>
      <c r="C524" s="89"/>
      <c r="D524" s="56" t="s">
        <v>802</v>
      </c>
      <c r="E524" s="13"/>
      <c r="F524" s="95"/>
      <c r="G524" s="9"/>
      <c r="H524" s="9" t="s">
        <v>687</v>
      </c>
      <c r="I524" s="14"/>
      <c r="J524" s="14"/>
      <c r="K524" s="12">
        <v>0</v>
      </c>
      <c r="L524" s="9"/>
      <c r="M524" s="9"/>
      <c r="N524" s="9"/>
      <c r="O524" s="38">
        <f t="shared" si="42"/>
        <v>0</v>
      </c>
      <c r="P524" s="12"/>
      <c r="Q524" s="42"/>
      <c r="R524" s="15"/>
      <c r="S524" s="44"/>
      <c r="T524" s="15"/>
      <c r="U524" s="44"/>
      <c r="V524" s="15">
        <f t="shared" si="43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4"/>
        <v>0</v>
      </c>
      <c r="AF524" s="15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5"/>
        <v>0</v>
      </c>
      <c r="BA524" s="15"/>
      <c r="BB524" s="44"/>
      <c r="BC524" s="15"/>
      <c r="BD524" s="44"/>
      <c r="BE524" s="15">
        <f t="shared" si="41"/>
        <v>0</v>
      </c>
    </row>
    <row r="525" spans="1:57">
      <c r="A525" s="9"/>
      <c r="B525" s="16" t="s">
        <v>801</v>
      </c>
      <c r="C525" s="89"/>
      <c r="D525" s="59" t="s">
        <v>803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2"/>
        <v>0</v>
      </c>
      <c r="P525" s="12"/>
      <c r="Q525" s="42"/>
      <c r="R525" s="15"/>
      <c r="S525" s="44"/>
      <c r="T525" s="15"/>
      <c r="U525" s="44"/>
      <c r="V525" s="15">
        <f t="shared" si="43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4"/>
        <v>0</v>
      </c>
      <c r="AF525" s="15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5"/>
        <v>0</v>
      </c>
      <c r="BA525" s="15"/>
      <c r="BB525" s="44"/>
      <c r="BC525" s="15"/>
      <c r="BD525" s="44"/>
      <c r="BE525" s="15">
        <f t="shared" si="41"/>
        <v>0</v>
      </c>
    </row>
    <row r="526" spans="1:57">
      <c r="A526" s="9"/>
      <c r="B526" s="16" t="s">
        <v>801</v>
      </c>
      <c r="C526" s="89"/>
      <c r="D526" s="87" t="s">
        <v>804</v>
      </c>
      <c r="E526" s="13"/>
      <c r="F526" s="95"/>
      <c r="G526" s="9"/>
      <c r="H526" s="9" t="s">
        <v>805</v>
      </c>
      <c r="I526" s="14"/>
      <c r="J526" s="14"/>
      <c r="K526" s="12">
        <v>0</v>
      </c>
      <c r="L526" s="9"/>
      <c r="M526" s="9"/>
      <c r="N526" s="9"/>
      <c r="O526" s="38">
        <f t="shared" si="42"/>
        <v>0</v>
      </c>
      <c r="P526" s="12"/>
      <c r="Q526" s="42"/>
      <c r="R526" s="15"/>
      <c r="S526" s="44"/>
      <c r="T526" s="15"/>
      <c r="U526" s="44"/>
      <c r="V526" s="15">
        <f t="shared" si="43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4"/>
        <v>0</v>
      </c>
      <c r="AF526" s="15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5"/>
        <v>0</v>
      </c>
      <c r="BA526" s="15"/>
      <c r="BB526" s="44"/>
      <c r="BC526" s="15"/>
      <c r="BD526" s="44"/>
      <c r="BE526" s="15">
        <f t="shared" si="41"/>
        <v>0</v>
      </c>
    </row>
    <row r="527" spans="1:57">
      <c r="A527" s="9"/>
      <c r="B527" s="16" t="s">
        <v>801</v>
      </c>
      <c r="C527" s="89" t="s">
        <v>52</v>
      </c>
      <c r="D527" s="56" t="s">
        <v>806</v>
      </c>
      <c r="E527" s="13"/>
      <c r="F527" s="95"/>
      <c r="G527" s="9"/>
      <c r="H527" s="9" t="s">
        <v>805</v>
      </c>
      <c r="I527" s="14"/>
      <c r="J527" s="14"/>
      <c r="K527" s="12">
        <v>7</v>
      </c>
      <c r="L527" s="9"/>
      <c r="M527" s="9"/>
      <c r="N527" s="9"/>
      <c r="O527" s="38">
        <f t="shared" si="42"/>
        <v>7</v>
      </c>
      <c r="P527" s="12"/>
      <c r="Q527" s="42"/>
      <c r="R527" s="15"/>
      <c r="S527" s="44"/>
      <c r="T527" s="15"/>
      <c r="U527" s="44"/>
      <c r="V527" s="15">
        <f t="shared" si="43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4"/>
        <v>0</v>
      </c>
      <c r="AF527" s="15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5"/>
        <v>0</v>
      </c>
      <c r="BA527" s="15"/>
      <c r="BB527" s="44"/>
      <c r="BC527" s="15"/>
      <c r="BD527" s="44"/>
      <c r="BE527" s="15">
        <f t="shared" si="41"/>
        <v>0</v>
      </c>
    </row>
    <row r="528" spans="1:57">
      <c r="A528" s="9"/>
      <c r="B528" s="16" t="s">
        <v>570</v>
      </c>
      <c r="C528" s="89" t="s">
        <v>52</v>
      </c>
      <c r="D528" s="56" t="s">
        <v>807</v>
      </c>
      <c r="E528" s="13"/>
      <c r="F528" s="95"/>
      <c r="G528" s="9"/>
      <c r="H528" s="9" t="s">
        <v>805</v>
      </c>
      <c r="I528" s="14"/>
      <c r="J528" s="14"/>
      <c r="K528" s="12">
        <v>10</v>
      </c>
      <c r="L528" s="9"/>
      <c r="M528" s="9"/>
      <c r="N528" s="9"/>
      <c r="O528" s="38">
        <f t="shared" si="42"/>
        <v>10</v>
      </c>
      <c r="P528" s="12"/>
      <c r="Q528" s="42"/>
      <c r="R528" s="15"/>
      <c r="S528" s="44"/>
      <c r="T528" s="15"/>
      <c r="U528" s="44"/>
      <c r="V528" s="15">
        <f t="shared" si="43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4"/>
        <v>0</v>
      </c>
      <c r="AF528" s="15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5"/>
        <v>0</v>
      </c>
      <c r="BA528" s="15"/>
      <c r="BB528" s="44"/>
      <c r="BC528" s="15"/>
      <c r="BD528" s="44"/>
      <c r="BE528" s="15">
        <f t="shared" si="41"/>
        <v>0</v>
      </c>
    </row>
    <row r="529" spans="1:57">
      <c r="A529" s="9"/>
      <c r="B529" s="16" t="s">
        <v>808</v>
      </c>
      <c r="C529" s="89" t="s">
        <v>52</v>
      </c>
      <c r="D529" s="59" t="s">
        <v>809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2"/>
        <v>0</v>
      </c>
      <c r="P529" s="12"/>
      <c r="Q529" s="42"/>
      <c r="R529" s="15"/>
      <c r="S529" s="44"/>
      <c r="T529" s="15"/>
      <c r="U529" s="44"/>
      <c r="V529" s="15">
        <f t="shared" si="43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4"/>
        <v>0</v>
      </c>
      <c r="AF529" s="15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5"/>
        <v>0</v>
      </c>
      <c r="BA529" s="15"/>
      <c r="BB529" s="44"/>
      <c r="BC529" s="15"/>
      <c r="BD529" s="44"/>
      <c r="BE529" s="15">
        <f t="shared" si="41"/>
        <v>0</v>
      </c>
    </row>
    <row r="530" spans="1:57">
      <c r="A530" s="9"/>
      <c r="B530" s="16" t="s">
        <v>808</v>
      </c>
      <c r="C530" s="89" t="s">
        <v>52</v>
      </c>
      <c r="D530" s="59" t="s">
        <v>810</v>
      </c>
      <c r="E530" s="13"/>
      <c r="F530" s="95"/>
      <c r="G530" s="9"/>
      <c r="H530" s="9" t="s">
        <v>314</v>
      </c>
      <c r="I530" s="14"/>
      <c r="J530" s="14"/>
      <c r="K530" s="12">
        <v>0</v>
      </c>
      <c r="L530" s="9"/>
      <c r="M530" s="9"/>
      <c r="N530" s="9"/>
      <c r="O530" s="38">
        <f t="shared" si="42"/>
        <v>0</v>
      </c>
      <c r="P530" s="12"/>
      <c r="Q530" s="42"/>
      <c r="R530" s="15"/>
      <c r="S530" s="44"/>
      <c r="T530" s="15"/>
      <c r="U530" s="44"/>
      <c r="V530" s="15">
        <f t="shared" si="43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4"/>
        <v>0</v>
      </c>
      <c r="AF530" s="15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5"/>
        <v>0</v>
      </c>
      <c r="BA530" s="15"/>
      <c r="BB530" s="44"/>
      <c r="BC530" s="15"/>
      <c r="BD530" s="44"/>
      <c r="BE530" s="15">
        <f t="shared" si="41"/>
        <v>0</v>
      </c>
    </row>
    <row r="531" spans="1:57">
      <c r="A531" s="9"/>
      <c r="B531" s="16" t="s">
        <v>811</v>
      </c>
      <c r="C531" s="89" t="s">
        <v>140</v>
      </c>
      <c r="D531" s="59" t="s">
        <v>812</v>
      </c>
      <c r="E531" s="13" t="s">
        <v>813</v>
      </c>
      <c r="F531" s="95"/>
      <c r="G531" s="9"/>
      <c r="H531" s="9" t="s">
        <v>566</v>
      </c>
      <c r="I531" s="14"/>
      <c r="J531" s="14"/>
      <c r="K531" s="12">
        <v>0</v>
      </c>
      <c r="L531" s="9"/>
      <c r="M531" s="9"/>
      <c r="N531" s="9"/>
      <c r="O531" s="38">
        <f t="shared" si="42"/>
        <v>0</v>
      </c>
      <c r="P531" s="12"/>
      <c r="Q531" s="42"/>
      <c r="R531" s="15"/>
      <c r="S531" s="44"/>
      <c r="T531" s="15"/>
      <c r="U531" s="44"/>
      <c r="V531" s="15">
        <f t="shared" si="43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4"/>
        <v>0</v>
      </c>
      <c r="AF531" s="15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5"/>
        <v>0</v>
      </c>
      <c r="BA531" s="15"/>
      <c r="BB531" s="44"/>
      <c r="BC531" s="15"/>
      <c r="BD531" s="44"/>
      <c r="BE531" s="15">
        <f t="shared" si="41"/>
        <v>0</v>
      </c>
    </row>
    <row r="532" spans="1:57">
      <c r="A532" s="9"/>
      <c r="B532" s="16" t="s">
        <v>811</v>
      </c>
      <c r="C532" s="89" t="s">
        <v>132</v>
      </c>
      <c r="D532" s="59" t="s">
        <v>812</v>
      </c>
      <c r="E532" s="13"/>
      <c r="F532" s="95"/>
      <c r="G532" s="9"/>
      <c r="H532" s="9" t="s">
        <v>566</v>
      </c>
      <c r="I532" s="14"/>
      <c r="J532" s="14"/>
      <c r="K532" s="12">
        <v>0</v>
      </c>
      <c r="L532" s="9"/>
      <c r="M532" s="9"/>
      <c r="N532" s="9"/>
      <c r="O532" s="38">
        <f t="shared" si="42"/>
        <v>0</v>
      </c>
      <c r="P532" s="12"/>
      <c r="Q532" s="42"/>
      <c r="R532" s="15"/>
      <c r="S532" s="44"/>
      <c r="T532" s="15"/>
      <c r="U532" s="44"/>
      <c r="V532" s="15">
        <f t="shared" si="43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4"/>
        <v>0</v>
      </c>
      <c r="AF532" s="15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5"/>
        <v>0</v>
      </c>
      <c r="BA532" s="15"/>
      <c r="BB532" s="44"/>
      <c r="BC532" s="15"/>
      <c r="BD532" s="44"/>
      <c r="BE532" s="15">
        <f t="shared" si="41"/>
        <v>0</v>
      </c>
    </row>
    <row r="533" spans="1:57">
      <c r="A533" s="9"/>
      <c r="B533" s="16" t="s">
        <v>811</v>
      </c>
      <c r="C533" s="89" t="s">
        <v>140</v>
      </c>
      <c r="D533" s="56" t="s">
        <v>814</v>
      </c>
      <c r="E533" s="13" t="s">
        <v>815</v>
      </c>
      <c r="F533" s="95"/>
      <c r="G533" s="9"/>
      <c r="H533" s="9" t="s">
        <v>566</v>
      </c>
      <c r="I533" s="14"/>
      <c r="J533" s="14"/>
      <c r="K533" s="12">
        <v>0</v>
      </c>
      <c r="L533" s="9"/>
      <c r="M533" s="9"/>
      <c r="N533" s="9"/>
      <c r="O533" s="38">
        <f t="shared" si="42"/>
        <v>0</v>
      </c>
      <c r="P533" s="12"/>
      <c r="Q533" s="42"/>
      <c r="R533" s="15"/>
      <c r="S533" s="44"/>
      <c r="T533" s="15"/>
      <c r="U533" s="44"/>
      <c r="V533" s="15">
        <f t="shared" si="43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4"/>
        <v>0</v>
      </c>
      <c r="AF533" s="15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5"/>
        <v>0</v>
      </c>
      <c r="BA533" s="15"/>
      <c r="BB533" s="44"/>
      <c r="BC533" s="15"/>
      <c r="BD533" s="44"/>
      <c r="BE533" s="15">
        <f t="shared" si="41"/>
        <v>0</v>
      </c>
    </row>
    <row r="534" spans="1:57" ht="24" customHeight="1">
      <c r="A534" s="9"/>
      <c r="B534" s="16" t="s">
        <v>204</v>
      </c>
      <c r="C534" s="89" t="s">
        <v>44</v>
      </c>
      <c r="D534" s="56" t="s">
        <v>816</v>
      </c>
      <c r="E534" s="13"/>
      <c r="F534" s="95"/>
      <c r="G534" s="9"/>
      <c r="H534" s="9" t="s">
        <v>817</v>
      </c>
      <c r="I534" s="14"/>
      <c r="J534" s="14"/>
      <c r="K534" s="12">
        <v>0</v>
      </c>
      <c r="L534" s="9"/>
      <c r="M534" s="9"/>
      <c r="N534" s="9"/>
      <c r="O534" s="38">
        <f t="shared" si="42"/>
        <v>0</v>
      </c>
      <c r="P534" s="12"/>
      <c r="Q534" s="42"/>
      <c r="R534" s="15"/>
      <c r="S534" s="44"/>
      <c r="T534" s="15"/>
      <c r="U534" s="44"/>
      <c r="V534" s="15">
        <f t="shared" si="43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4"/>
        <v>0</v>
      </c>
      <c r="AF534" s="15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5"/>
        <v>0</v>
      </c>
      <c r="BA534" s="15"/>
      <c r="BB534" s="44"/>
      <c r="BC534" s="15"/>
      <c r="BD534" s="44"/>
      <c r="BE534" s="15">
        <f t="shared" si="41"/>
        <v>0</v>
      </c>
    </row>
    <row r="535" spans="1:57" ht="24" customHeight="1">
      <c r="A535" s="9"/>
      <c r="B535" s="16" t="s">
        <v>334</v>
      </c>
      <c r="C535" s="89" t="s">
        <v>44</v>
      </c>
      <c r="D535" s="59" t="s">
        <v>818</v>
      </c>
      <c r="E535" s="13"/>
      <c r="F535" s="95"/>
      <c r="G535" s="9"/>
      <c r="H535" s="9" t="s">
        <v>314</v>
      </c>
      <c r="I535" s="14"/>
      <c r="J535" s="14"/>
      <c r="K535" s="12">
        <v>0</v>
      </c>
      <c r="L535" s="9"/>
      <c r="M535" s="9"/>
      <c r="N535" s="9"/>
      <c r="O535" s="38">
        <f t="shared" si="42"/>
        <v>0</v>
      </c>
      <c r="P535" s="12"/>
      <c r="Q535" s="42"/>
      <c r="R535" s="15"/>
      <c r="S535" s="44"/>
      <c r="T535" s="15"/>
      <c r="U535" s="44"/>
      <c r="V535" s="15">
        <f t="shared" si="43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4"/>
        <v>0</v>
      </c>
      <c r="AF535" s="15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5"/>
        <v>0</v>
      </c>
      <c r="BA535" s="15"/>
      <c r="BB535" s="44"/>
      <c r="BC535" s="15"/>
      <c r="BD535" s="44"/>
      <c r="BE535" s="15">
        <f t="shared" si="41"/>
        <v>0</v>
      </c>
    </row>
    <row r="536" spans="1:57">
      <c r="A536" s="9"/>
      <c r="B536" s="16" t="s">
        <v>808</v>
      </c>
      <c r="C536" s="89" t="s">
        <v>151</v>
      </c>
      <c r="D536" s="59" t="s">
        <v>819</v>
      </c>
      <c r="E536" s="13"/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2"/>
        <v>0</v>
      </c>
      <c r="P536" s="12"/>
      <c r="Q536" s="42"/>
      <c r="R536" s="15"/>
      <c r="S536" s="44"/>
      <c r="T536" s="15"/>
      <c r="U536" s="44"/>
      <c r="V536" s="15">
        <f t="shared" si="43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4"/>
        <v>0</v>
      </c>
      <c r="AF536" s="15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5"/>
        <v>0</v>
      </c>
      <c r="BA536" s="15"/>
      <c r="BB536" s="44"/>
      <c r="BC536" s="15"/>
      <c r="BD536" s="44"/>
      <c r="BE536" s="15">
        <f t="shared" si="41"/>
        <v>0</v>
      </c>
    </row>
    <row r="537" spans="1:57">
      <c r="A537" s="9"/>
      <c r="B537" s="16" t="s">
        <v>808</v>
      </c>
      <c r="C537" s="89" t="s">
        <v>151</v>
      </c>
      <c r="D537" s="59" t="s">
        <v>820</v>
      </c>
      <c r="E537" s="13"/>
      <c r="F537" s="95"/>
      <c r="G537" s="9"/>
      <c r="H537" s="9" t="s">
        <v>566</v>
      </c>
      <c r="I537" s="14"/>
      <c r="J537" s="14"/>
      <c r="K537" s="12">
        <v>0</v>
      </c>
      <c r="L537" s="9"/>
      <c r="M537" s="9"/>
      <c r="N537" s="9"/>
      <c r="O537" s="38">
        <f t="shared" si="42"/>
        <v>0</v>
      </c>
      <c r="P537" s="12"/>
      <c r="Q537" s="42"/>
      <c r="R537" s="15"/>
      <c r="S537" s="44"/>
      <c r="T537" s="15"/>
      <c r="U537" s="44"/>
      <c r="V537" s="15">
        <f t="shared" si="43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4"/>
        <v>0</v>
      </c>
      <c r="AF537" s="15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5"/>
        <v>0</v>
      </c>
      <c r="BA537" s="15"/>
      <c r="BB537" s="44"/>
      <c r="BC537" s="15"/>
      <c r="BD537" s="44"/>
      <c r="BE537" s="15">
        <f t="shared" si="41"/>
        <v>0</v>
      </c>
    </row>
    <row r="538" spans="1:57">
      <c r="A538" s="9"/>
      <c r="B538" s="16" t="s">
        <v>808</v>
      </c>
      <c r="C538" s="89" t="s">
        <v>52</v>
      </c>
      <c r="D538" s="59" t="s">
        <v>821</v>
      </c>
      <c r="E538" s="13"/>
      <c r="F538" s="95"/>
      <c r="G538" s="9"/>
      <c r="H538" s="9" t="s">
        <v>566</v>
      </c>
      <c r="I538" s="14"/>
      <c r="J538" s="14"/>
      <c r="K538" s="12">
        <v>0</v>
      </c>
      <c r="L538" s="9"/>
      <c r="M538" s="9"/>
      <c r="N538" s="9"/>
      <c r="O538" s="38">
        <f t="shared" si="42"/>
        <v>0</v>
      </c>
      <c r="P538" s="12"/>
      <c r="Q538" s="42"/>
      <c r="R538" s="15"/>
      <c r="S538" s="44"/>
      <c r="T538" s="15"/>
      <c r="U538" s="44"/>
      <c r="V538" s="15">
        <f t="shared" si="43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4"/>
        <v>0</v>
      </c>
      <c r="AF538" s="15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5"/>
        <v>0</v>
      </c>
      <c r="BA538" s="15"/>
      <c r="BB538" s="44"/>
      <c r="BC538" s="15"/>
      <c r="BD538" s="44"/>
      <c r="BE538" s="15">
        <f t="shared" si="41"/>
        <v>0</v>
      </c>
    </row>
    <row r="539" spans="1:57">
      <c r="A539" s="9"/>
      <c r="B539" s="16" t="s">
        <v>808</v>
      </c>
      <c r="C539" s="89" t="s">
        <v>52</v>
      </c>
      <c r="D539" s="56" t="s">
        <v>822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2"/>
        <v>0</v>
      </c>
      <c r="P539" s="12"/>
      <c r="Q539" s="42"/>
      <c r="R539" s="15"/>
      <c r="S539" s="44"/>
      <c r="T539" s="15"/>
      <c r="U539" s="44"/>
      <c r="V539" s="15">
        <f t="shared" si="43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4"/>
        <v>0</v>
      </c>
      <c r="AF539" s="15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5"/>
        <v>0</v>
      </c>
      <c r="BA539" s="15"/>
      <c r="BB539" s="44"/>
      <c r="BC539" s="15"/>
      <c r="BD539" s="44"/>
      <c r="BE539" s="15">
        <f t="shared" si="41"/>
        <v>0</v>
      </c>
    </row>
    <row r="540" spans="1:57">
      <c r="A540" s="9"/>
      <c r="B540" s="16" t="s">
        <v>808</v>
      </c>
      <c r="C540" s="89" t="s">
        <v>52</v>
      </c>
      <c r="D540" s="56" t="s">
        <v>823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2"/>
        <v>0</v>
      </c>
      <c r="P540" s="12"/>
      <c r="Q540" s="42"/>
      <c r="R540" s="15"/>
      <c r="S540" s="44"/>
      <c r="T540" s="15"/>
      <c r="U540" s="44"/>
      <c r="V540" s="15">
        <f t="shared" si="43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4"/>
        <v>0</v>
      </c>
      <c r="AF540" s="15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5"/>
        <v>0</v>
      </c>
      <c r="BA540" s="15"/>
      <c r="BB540" s="44"/>
      <c r="BC540" s="15"/>
      <c r="BD540" s="44"/>
      <c r="BE540" s="15">
        <f t="shared" si="41"/>
        <v>0</v>
      </c>
    </row>
    <row r="541" spans="1:57">
      <c r="A541" s="9"/>
      <c r="B541" s="16" t="s">
        <v>808</v>
      </c>
      <c r="C541" s="89" t="s">
        <v>52</v>
      </c>
      <c r="D541" s="56" t="s">
        <v>824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2"/>
        <v>0</v>
      </c>
      <c r="P541" s="12"/>
      <c r="Q541" s="42"/>
      <c r="R541" s="15"/>
      <c r="S541" s="44"/>
      <c r="T541" s="15"/>
      <c r="U541" s="44"/>
      <c r="V541" s="15">
        <f t="shared" si="43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4"/>
        <v>0</v>
      </c>
      <c r="AF541" s="15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5"/>
        <v>0</v>
      </c>
      <c r="BA541" s="15"/>
      <c r="BB541" s="44"/>
      <c r="BC541" s="15"/>
      <c r="BD541" s="44"/>
      <c r="BE541" s="15">
        <f t="shared" si="41"/>
        <v>0</v>
      </c>
    </row>
    <row r="542" spans="1:57">
      <c r="A542" s="9"/>
      <c r="B542" s="16" t="s">
        <v>808</v>
      </c>
      <c r="C542" s="89" t="s">
        <v>52</v>
      </c>
      <c r="D542" s="56" t="s">
        <v>825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2"/>
        <v>0</v>
      </c>
      <c r="P542" s="12"/>
      <c r="Q542" s="42"/>
      <c r="R542" s="15"/>
      <c r="S542" s="44"/>
      <c r="T542" s="15"/>
      <c r="U542" s="44"/>
      <c r="V542" s="15">
        <f t="shared" si="43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4"/>
        <v>0</v>
      </c>
      <c r="AF542" s="15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5"/>
        <v>0</v>
      </c>
      <c r="BA542" s="15"/>
      <c r="BB542" s="44"/>
      <c r="BC542" s="15"/>
      <c r="BD542" s="44"/>
      <c r="BE542" s="15">
        <f t="shared" si="41"/>
        <v>0</v>
      </c>
    </row>
    <row r="543" spans="1:57">
      <c r="A543" s="9"/>
      <c r="B543" s="16" t="s">
        <v>808</v>
      </c>
      <c r="C543" s="89" t="s">
        <v>52</v>
      </c>
      <c r="D543" s="59" t="s">
        <v>826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2"/>
        <v>0</v>
      </c>
      <c r="P543" s="12"/>
      <c r="Q543" s="42"/>
      <c r="R543" s="15"/>
      <c r="S543" s="44"/>
      <c r="T543" s="15"/>
      <c r="U543" s="44"/>
      <c r="V543" s="15">
        <f t="shared" si="43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4"/>
        <v>0</v>
      </c>
      <c r="AF543" s="15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5"/>
        <v>0</v>
      </c>
      <c r="BA543" s="15"/>
      <c r="BB543" s="44"/>
      <c r="BC543" s="15"/>
      <c r="BD543" s="44"/>
      <c r="BE543" s="15">
        <f t="shared" ref="BE543:BE564" si="46">(BA543+BC543)</f>
        <v>0</v>
      </c>
    </row>
    <row r="544" spans="1:57">
      <c r="A544" s="9"/>
      <c r="B544" s="16" t="s">
        <v>808</v>
      </c>
      <c r="C544" s="89" t="s">
        <v>52</v>
      </c>
      <c r="D544" s="59" t="s">
        <v>827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2"/>
        <v>0</v>
      </c>
      <c r="P544" s="12"/>
      <c r="Q544" s="42"/>
      <c r="R544" s="15"/>
      <c r="S544" s="44"/>
      <c r="T544" s="15"/>
      <c r="U544" s="44"/>
      <c r="V544" s="15">
        <f t="shared" si="43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4"/>
        <v>0</v>
      </c>
      <c r="AF544" s="15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5"/>
        <v>0</v>
      </c>
      <c r="BA544" s="15"/>
      <c r="BB544" s="44"/>
      <c r="BC544" s="15"/>
      <c r="BD544" s="44"/>
      <c r="BE544" s="15">
        <f t="shared" si="46"/>
        <v>0</v>
      </c>
    </row>
    <row r="545" spans="1:57">
      <c r="A545" s="9"/>
      <c r="B545" s="16" t="s">
        <v>808</v>
      </c>
      <c r="C545" s="89" t="s">
        <v>52</v>
      </c>
      <c r="D545" s="75" t="s">
        <v>828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2"/>
        <v>0</v>
      </c>
      <c r="P545" s="12"/>
      <c r="Q545" s="42"/>
      <c r="R545" s="15"/>
      <c r="S545" s="44"/>
      <c r="T545" s="15"/>
      <c r="U545" s="44"/>
      <c r="V545" s="15">
        <f t="shared" si="43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4"/>
        <v>0</v>
      </c>
      <c r="AF545" s="15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5"/>
        <v>0</v>
      </c>
      <c r="BA545" s="15"/>
      <c r="BB545" s="44"/>
      <c r="BC545" s="15"/>
      <c r="BD545" s="44"/>
      <c r="BE545" s="15">
        <f t="shared" si="46"/>
        <v>0</v>
      </c>
    </row>
    <row r="546" spans="1:57">
      <c r="A546" s="9"/>
      <c r="B546" s="16" t="s">
        <v>808</v>
      </c>
      <c r="C546" s="89" t="s">
        <v>52</v>
      </c>
      <c r="D546" s="87" t="s">
        <v>829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2"/>
        <v>0</v>
      </c>
      <c r="P546" s="12"/>
      <c r="Q546" s="42"/>
      <c r="R546" s="15"/>
      <c r="S546" s="44"/>
      <c r="T546" s="15"/>
      <c r="U546" s="44"/>
      <c r="V546" s="15">
        <f t="shared" si="43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4"/>
        <v>0</v>
      </c>
      <c r="AF546" s="15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5"/>
        <v>0</v>
      </c>
      <c r="BA546" s="15"/>
      <c r="BB546" s="44"/>
      <c r="BC546" s="15"/>
      <c r="BD546" s="44"/>
      <c r="BE546" s="15">
        <f t="shared" si="46"/>
        <v>0</v>
      </c>
    </row>
    <row r="547" spans="1:57">
      <c r="A547" s="9"/>
      <c r="B547" s="16" t="s">
        <v>830</v>
      </c>
      <c r="C547" s="89" t="s">
        <v>494</v>
      </c>
      <c r="D547" s="75" t="s">
        <v>830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2"/>
        <v>0</v>
      </c>
      <c r="P547" s="12"/>
      <c r="Q547" s="42"/>
      <c r="R547" s="15"/>
      <c r="S547" s="44"/>
      <c r="T547" s="15"/>
      <c r="U547" s="44"/>
      <c r="V547" s="15">
        <f t="shared" si="43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4"/>
        <v>0</v>
      </c>
      <c r="AF547" s="15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5"/>
        <v>0</v>
      </c>
      <c r="BA547" s="15"/>
      <c r="BB547" s="44"/>
      <c r="BC547" s="15"/>
      <c r="BD547" s="44"/>
      <c r="BE547" s="15">
        <f t="shared" si="46"/>
        <v>0</v>
      </c>
    </row>
    <row r="548" spans="1:57">
      <c r="A548" s="9"/>
      <c r="B548" s="16" t="s">
        <v>831</v>
      </c>
      <c r="C548" s="89" t="s">
        <v>52</v>
      </c>
      <c r="D548" s="75" t="s">
        <v>832</v>
      </c>
      <c r="E548" s="13"/>
      <c r="F548" s="95"/>
      <c r="G548" s="9"/>
      <c r="H548" s="9" t="s">
        <v>314</v>
      </c>
      <c r="I548" s="14"/>
      <c r="J548" s="14"/>
      <c r="K548" s="12">
        <v>37</v>
      </c>
      <c r="L548" s="9"/>
      <c r="M548" s="9"/>
      <c r="N548" s="9"/>
      <c r="O548" s="38">
        <f t="shared" si="42"/>
        <v>37</v>
      </c>
      <c r="P548" s="12"/>
      <c r="Q548" s="42"/>
      <c r="R548" s="15"/>
      <c r="S548" s="44"/>
      <c r="T548" s="15"/>
      <c r="U548" s="44"/>
      <c r="V548" s="15">
        <f t="shared" si="43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4"/>
        <v>0</v>
      </c>
      <c r="AF548" s="15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5"/>
        <v>0</v>
      </c>
      <c r="BA548" s="15"/>
      <c r="BB548" s="44"/>
      <c r="BC548" s="15"/>
      <c r="BD548" s="44"/>
      <c r="BE548" s="15">
        <f t="shared" si="46"/>
        <v>0</v>
      </c>
    </row>
    <row r="549" spans="1:57">
      <c r="A549" s="9"/>
      <c r="B549" s="16" t="s">
        <v>570</v>
      </c>
      <c r="C549" s="89" t="s">
        <v>52</v>
      </c>
      <c r="D549" s="75" t="s">
        <v>833</v>
      </c>
      <c r="E549" s="13"/>
      <c r="F549" s="95"/>
      <c r="G549" s="9"/>
      <c r="H549" s="9" t="s">
        <v>314</v>
      </c>
      <c r="I549" s="14"/>
      <c r="J549" s="14"/>
      <c r="K549" s="12">
        <v>91</v>
      </c>
      <c r="L549" s="9"/>
      <c r="M549" s="9"/>
      <c r="N549" s="9"/>
      <c r="O549" s="38">
        <f t="shared" si="42"/>
        <v>91</v>
      </c>
      <c r="P549" s="12"/>
      <c r="Q549" s="42"/>
      <c r="R549" s="15"/>
      <c r="S549" s="44"/>
      <c r="T549" s="15"/>
      <c r="U549" s="44"/>
      <c r="V549" s="15">
        <f t="shared" si="43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4"/>
        <v>0</v>
      </c>
      <c r="AF549" s="15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si="45"/>
        <v>0</v>
      </c>
      <c r="BA549" s="15"/>
      <c r="BB549" s="44"/>
      <c r="BC549" s="15"/>
      <c r="BD549" s="44"/>
      <c r="BE549" s="15">
        <f t="shared" si="46"/>
        <v>0</v>
      </c>
    </row>
    <row r="550" spans="1:57">
      <c r="A550" s="9"/>
      <c r="B550" s="16" t="s">
        <v>204</v>
      </c>
      <c r="C550" s="89" t="s">
        <v>52</v>
      </c>
      <c r="D550" s="61" t="s">
        <v>834</v>
      </c>
      <c r="E550" s="13"/>
      <c r="F550" s="95"/>
      <c r="G550" s="9"/>
      <c r="H550" s="23" t="s">
        <v>566</v>
      </c>
      <c r="I550" s="14"/>
      <c r="J550" s="14"/>
      <c r="K550" s="12">
        <v>0</v>
      </c>
      <c r="L550" s="9"/>
      <c r="M550" s="9"/>
      <c r="N550" s="9"/>
      <c r="O550" s="38">
        <f t="shared" si="42"/>
        <v>0</v>
      </c>
      <c r="P550" s="12"/>
      <c r="Q550" s="42"/>
      <c r="R550" s="15"/>
      <c r="S550" s="44"/>
      <c r="T550" s="15"/>
      <c r="U550" s="44"/>
      <c r="V550" s="15">
        <f t="shared" si="43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4"/>
        <v>0</v>
      </c>
      <c r="AF550" s="15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5"/>
        <v>0</v>
      </c>
      <c r="BA550" s="15"/>
      <c r="BB550" s="44"/>
      <c r="BC550" s="15"/>
      <c r="BD550" s="44"/>
      <c r="BE550" s="15">
        <f t="shared" si="46"/>
        <v>0</v>
      </c>
    </row>
    <row r="551" spans="1:57">
      <c r="A551" s="9"/>
      <c r="B551" s="16" t="s">
        <v>233</v>
      </c>
      <c r="C551" s="89" t="s">
        <v>494</v>
      </c>
      <c r="D551" s="61" t="s">
        <v>835</v>
      </c>
      <c r="E551" s="13"/>
      <c r="F551" s="95"/>
      <c r="G551" s="9"/>
      <c r="H551" s="9" t="s">
        <v>558</v>
      </c>
      <c r="I551" s="14"/>
      <c r="J551" s="14"/>
      <c r="K551" s="12">
        <v>53</v>
      </c>
      <c r="L551" s="9"/>
      <c r="M551" s="9"/>
      <c r="N551" s="9"/>
      <c r="O551" s="38">
        <f t="shared" si="42"/>
        <v>53</v>
      </c>
      <c r="P551" s="12"/>
      <c r="Q551" s="42"/>
      <c r="R551" s="15"/>
      <c r="S551" s="44"/>
      <c r="T551" s="15"/>
      <c r="U551" s="44"/>
      <c r="V551" s="15">
        <f t="shared" si="43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4"/>
        <v>0</v>
      </c>
      <c r="AF551" s="15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5"/>
        <v>0</v>
      </c>
      <c r="BA551" s="15"/>
      <c r="BB551" s="44"/>
      <c r="BC551" s="15"/>
      <c r="BD551" s="44"/>
      <c r="BE551" s="15">
        <f t="shared" si="46"/>
        <v>0</v>
      </c>
    </row>
    <row r="552" spans="1:57">
      <c r="A552" s="9"/>
      <c r="B552" s="16" t="s">
        <v>836</v>
      </c>
      <c r="C552" s="89" t="s">
        <v>151</v>
      </c>
      <c r="D552" s="59" t="s">
        <v>837</v>
      </c>
      <c r="E552" s="13"/>
      <c r="F552" s="95"/>
      <c r="G552" s="9"/>
      <c r="H552" s="9" t="s">
        <v>805</v>
      </c>
      <c r="I552" s="14"/>
      <c r="J552" s="14"/>
      <c r="K552" s="12">
        <v>0</v>
      </c>
      <c r="L552" s="9"/>
      <c r="M552" s="9"/>
      <c r="N552" s="9"/>
      <c r="O552" s="38">
        <f t="shared" si="42"/>
        <v>0</v>
      </c>
      <c r="P552" s="12"/>
      <c r="Q552" s="42"/>
      <c r="R552" s="15"/>
      <c r="S552" s="44"/>
      <c r="T552" s="15"/>
      <c r="U552" s="44"/>
      <c r="V552" s="15">
        <f t="shared" si="43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4"/>
        <v>0</v>
      </c>
      <c r="AF552" s="15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5"/>
        <v>0</v>
      </c>
      <c r="BA552" s="15"/>
      <c r="BB552" s="44"/>
      <c r="BC552" s="15"/>
      <c r="BD552" s="44"/>
      <c r="BE552" s="15">
        <f t="shared" si="46"/>
        <v>0</v>
      </c>
    </row>
    <row r="553" spans="1:57">
      <c r="A553" s="9"/>
      <c r="B553" s="16" t="s">
        <v>836</v>
      </c>
      <c r="C553" s="89" t="s">
        <v>151</v>
      </c>
      <c r="D553" s="56" t="s">
        <v>838</v>
      </c>
      <c r="E553" s="13"/>
      <c r="F553" s="95"/>
      <c r="G553" s="9"/>
      <c r="H553" s="9" t="s">
        <v>805</v>
      </c>
      <c r="I553" s="14"/>
      <c r="J553" s="14"/>
      <c r="K553" s="12">
        <v>0</v>
      </c>
      <c r="L553" s="9"/>
      <c r="M553" s="9"/>
      <c r="N553" s="9"/>
      <c r="O553" s="38">
        <f t="shared" si="42"/>
        <v>0</v>
      </c>
      <c r="P553" s="12"/>
      <c r="Q553" s="42"/>
      <c r="R553" s="15"/>
      <c r="S553" s="44"/>
      <c r="T553" s="15"/>
      <c r="U553" s="44"/>
      <c r="V553" s="15">
        <f t="shared" si="43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4"/>
        <v>0</v>
      </c>
      <c r="AF553" s="15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5"/>
        <v>0</v>
      </c>
      <c r="BA553" s="15"/>
      <c r="BB553" s="44"/>
      <c r="BC553" s="15"/>
      <c r="BD553" s="44"/>
      <c r="BE553" s="15">
        <f t="shared" si="46"/>
        <v>0</v>
      </c>
    </row>
    <row r="554" spans="1:57">
      <c r="A554" s="9"/>
      <c r="B554" s="16" t="s">
        <v>836</v>
      </c>
      <c r="C554" s="89" t="s">
        <v>151</v>
      </c>
      <c r="D554" s="59" t="s">
        <v>839</v>
      </c>
      <c r="E554" s="13"/>
      <c r="F554" s="95"/>
      <c r="G554" s="9"/>
      <c r="H554" s="9" t="s">
        <v>840</v>
      </c>
      <c r="I554" s="14"/>
      <c r="J554" s="14"/>
      <c r="K554" s="12">
        <v>0</v>
      </c>
      <c r="L554" s="9"/>
      <c r="M554" s="9"/>
      <c r="N554" s="9"/>
      <c r="O554" s="38">
        <f t="shared" si="42"/>
        <v>0</v>
      </c>
      <c r="P554" s="12"/>
      <c r="Q554" s="42"/>
      <c r="R554" s="15"/>
      <c r="S554" s="44"/>
      <c r="T554" s="15"/>
      <c r="U554" s="44"/>
      <c r="V554" s="15">
        <f t="shared" si="43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4"/>
        <v>0</v>
      </c>
      <c r="AF554" s="15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5"/>
        <v>0</v>
      </c>
      <c r="BA554" s="15"/>
      <c r="BB554" s="44"/>
      <c r="BC554" s="15"/>
      <c r="BD554" s="44"/>
      <c r="BE554" s="15">
        <f t="shared" si="46"/>
        <v>0</v>
      </c>
    </row>
    <row r="555" spans="1:57">
      <c r="A555" s="9"/>
      <c r="B555" s="16" t="s">
        <v>836</v>
      </c>
      <c r="C555" s="89" t="s">
        <v>151</v>
      </c>
      <c r="D555" s="59" t="s">
        <v>841</v>
      </c>
      <c r="E555" s="13"/>
      <c r="F555" s="95"/>
      <c r="G555" s="9"/>
      <c r="H555" s="9" t="s">
        <v>840</v>
      </c>
      <c r="I555" s="14"/>
      <c r="J555" s="14"/>
      <c r="K555" s="12">
        <v>0</v>
      </c>
      <c r="L555" s="9"/>
      <c r="M555" s="9"/>
      <c r="N555" s="9"/>
      <c r="O555" s="38">
        <f t="shared" si="42"/>
        <v>0</v>
      </c>
      <c r="P555" s="12"/>
      <c r="Q555" s="42"/>
      <c r="R555" s="15"/>
      <c r="S555" s="44"/>
      <c r="T555" s="15"/>
      <c r="U555" s="44"/>
      <c r="V555" s="15">
        <f t="shared" si="43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4"/>
        <v>0</v>
      </c>
      <c r="AF555" s="15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5"/>
        <v>0</v>
      </c>
      <c r="BA555" s="15"/>
      <c r="BB555" s="44"/>
      <c r="BC555" s="15"/>
      <c r="BD555" s="44"/>
      <c r="BE555" s="15">
        <f t="shared" si="46"/>
        <v>0</v>
      </c>
    </row>
    <row r="556" spans="1:57">
      <c r="A556" s="9"/>
      <c r="B556" s="16" t="s">
        <v>836</v>
      </c>
      <c r="C556" s="89" t="s">
        <v>151</v>
      </c>
      <c r="D556" s="59" t="s">
        <v>842</v>
      </c>
      <c r="E556" s="13"/>
      <c r="F556" s="95"/>
      <c r="G556" s="9"/>
      <c r="H556" s="9" t="s">
        <v>840</v>
      </c>
      <c r="I556" s="14"/>
      <c r="J556" s="14"/>
      <c r="K556" s="12">
        <v>0</v>
      </c>
      <c r="L556" s="9"/>
      <c r="M556" s="9"/>
      <c r="N556" s="9"/>
      <c r="O556" s="38">
        <f t="shared" si="42"/>
        <v>0</v>
      </c>
      <c r="P556" s="12"/>
      <c r="Q556" s="42"/>
      <c r="R556" s="15"/>
      <c r="S556" s="44"/>
      <c r="T556" s="15"/>
      <c r="U556" s="44"/>
      <c r="V556" s="15">
        <f t="shared" si="43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4"/>
        <v>0</v>
      </c>
      <c r="AF556" s="15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5"/>
        <v>0</v>
      </c>
      <c r="BA556" s="15"/>
      <c r="BB556" s="44"/>
      <c r="BC556" s="15"/>
      <c r="BD556" s="44"/>
      <c r="BE556" s="15">
        <f t="shared" si="46"/>
        <v>0</v>
      </c>
    </row>
    <row r="557" spans="1:57">
      <c r="A557" s="9"/>
      <c r="B557" s="16" t="s">
        <v>836</v>
      </c>
      <c r="C557" s="89" t="s">
        <v>151</v>
      </c>
      <c r="D557" s="59" t="s">
        <v>843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2"/>
        <v>0</v>
      </c>
      <c r="P557" s="12"/>
      <c r="Q557" s="42"/>
      <c r="R557" s="15"/>
      <c r="S557" s="44"/>
      <c r="T557" s="15"/>
      <c r="U557" s="44"/>
      <c r="V557" s="15">
        <f t="shared" si="43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4"/>
        <v>0</v>
      </c>
      <c r="AF557" s="15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5"/>
        <v>0</v>
      </c>
      <c r="BA557" s="15"/>
      <c r="BB557" s="44"/>
      <c r="BC557" s="15"/>
      <c r="BD557" s="44"/>
      <c r="BE557" s="15">
        <f t="shared" si="46"/>
        <v>0</v>
      </c>
    </row>
    <row r="558" spans="1:57">
      <c r="A558" s="9"/>
      <c r="B558" s="16" t="s">
        <v>836</v>
      </c>
      <c r="C558" s="89" t="s">
        <v>151</v>
      </c>
      <c r="D558" s="56" t="s">
        <v>844</v>
      </c>
      <c r="E558" s="13" t="s">
        <v>845</v>
      </c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2"/>
        <v>0</v>
      </c>
      <c r="P558" s="12"/>
      <c r="Q558" s="42"/>
      <c r="R558" s="15"/>
      <c r="S558" s="44"/>
      <c r="T558" s="15"/>
      <c r="U558" s="44"/>
      <c r="V558" s="15">
        <f t="shared" si="43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4"/>
        <v>0</v>
      </c>
      <c r="AF558" s="15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5"/>
        <v>0</v>
      </c>
      <c r="BA558" s="15"/>
      <c r="BB558" s="44"/>
      <c r="BC558" s="15"/>
      <c r="BD558" s="44"/>
      <c r="BE558" s="15">
        <f t="shared" si="46"/>
        <v>0</v>
      </c>
    </row>
    <row r="559" spans="1:57">
      <c r="A559" s="9"/>
      <c r="B559" s="16" t="s">
        <v>846</v>
      </c>
      <c r="C559" s="89" t="s">
        <v>151</v>
      </c>
      <c r="D559" s="56" t="s">
        <v>847</v>
      </c>
      <c r="E559" s="13" t="s">
        <v>848</v>
      </c>
      <c r="F559" s="95"/>
      <c r="G559" s="9"/>
      <c r="H559" s="9" t="s">
        <v>746</v>
      </c>
      <c r="I559" s="14"/>
      <c r="J559" s="14"/>
      <c r="K559" s="12">
        <v>0</v>
      </c>
      <c r="L559" s="9"/>
      <c r="M559" s="9"/>
      <c r="N559" s="9"/>
      <c r="O559" s="38">
        <f t="shared" si="42"/>
        <v>0</v>
      </c>
      <c r="P559" s="12"/>
      <c r="Q559" s="42"/>
      <c r="R559" s="15"/>
      <c r="S559" s="44"/>
      <c r="T559" s="15"/>
      <c r="U559" s="44"/>
      <c r="V559" s="15">
        <f t="shared" si="43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4"/>
        <v>0</v>
      </c>
      <c r="AF559" s="15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5"/>
        <v>0</v>
      </c>
      <c r="BA559" s="15"/>
      <c r="BB559" s="44"/>
      <c r="BC559" s="15"/>
      <c r="BD559" s="44"/>
      <c r="BE559" s="15">
        <f t="shared" si="46"/>
        <v>0</v>
      </c>
    </row>
    <row r="560" spans="1:57">
      <c r="A560" s="9"/>
      <c r="B560" s="16" t="s">
        <v>846</v>
      </c>
      <c r="C560" s="89" t="s">
        <v>151</v>
      </c>
      <c r="D560" s="56" t="s">
        <v>849</v>
      </c>
      <c r="E560" s="13"/>
      <c r="F560" s="95"/>
      <c r="G560" s="9"/>
      <c r="H560" s="9" t="s">
        <v>467</v>
      </c>
      <c r="I560" s="14"/>
      <c r="J560" s="14"/>
      <c r="K560" s="12">
        <v>0</v>
      </c>
      <c r="L560" s="9"/>
      <c r="M560" s="9"/>
      <c r="N560" s="9"/>
      <c r="O560" s="38">
        <f t="shared" si="42"/>
        <v>0</v>
      </c>
      <c r="P560" s="12"/>
      <c r="Q560" s="42"/>
      <c r="R560" s="15"/>
      <c r="S560" s="44"/>
      <c r="T560" s="15"/>
      <c r="U560" s="44"/>
      <c r="V560" s="15">
        <f t="shared" si="43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4"/>
        <v>0</v>
      </c>
      <c r="AF560" s="15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5"/>
        <v>0</v>
      </c>
      <c r="BA560" s="15"/>
      <c r="BB560" s="44"/>
      <c r="BC560" s="15"/>
      <c r="BD560" s="44"/>
      <c r="BE560" s="15">
        <f t="shared" si="46"/>
        <v>0</v>
      </c>
    </row>
    <row r="561" spans="1:57">
      <c r="A561" s="9"/>
      <c r="B561" s="16" t="s">
        <v>850</v>
      </c>
      <c r="C561" s="89" t="s">
        <v>151</v>
      </c>
      <c r="D561" s="56" t="s">
        <v>851</v>
      </c>
      <c r="E561" s="13"/>
      <c r="F561" s="95"/>
      <c r="G561" s="9"/>
      <c r="H561" s="9" t="s">
        <v>67</v>
      </c>
      <c r="I561" s="14"/>
      <c r="J561" s="14"/>
      <c r="K561" s="12">
        <v>0</v>
      </c>
      <c r="L561" s="9"/>
      <c r="M561" s="9"/>
      <c r="N561" s="9"/>
      <c r="O561" s="38">
        <f t="shared" si="42"/>
        <v>0</v>
      </c>
      <c r="P561" s="12"/>
      <c r="Q561" s="42"/>
      <c r="R561" s="15"/>
      <c r="S561" s="44"/>
      <c r="T561" s="15"/>
      <c r="U561" s="44"/>
      <c r="V561" s="15">
        <f t="shared" si="43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4"/>
        <v>0</v>
      </c>
      <c r="AF561" s="15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5"/>
        <v>0</v>
      </c>
      <c r="BA561" s="15"/>
      <c r="BB561" s="44"/>
      <c r="BC561" s="15"/>
      <c r="BD561" s="44"/>
      <c r="BE561" s="15">
        <f t="shared" si="46"/>
        <v>0</v>
      </c>
    </row>
    <row r="562" spans="1:57">
      <c r="A562" s="9"/>
      <c r="B562" s="16" t="s">
        <v>161</v>
      </c>
      <c r="C562" s="89" t="s">
        <v>151</v>
      </c>
      <c r="D562" s="59" t="s">
        <v>852</v>
      </c>
      <c r="E562" s="13" t="s">
        <v>853</v>
      </c>
      <c r="F562" s="95"/>
      <c r="G562" s="9"/>
      <c r="H562" s="9" t="s">
        <v>467</v>
      </c>
      <c r="I562" s="14"/>
      <c r="J562" s="14"/>
      <c r="K562" s="12">
        <v>0</v>
      </c>
      <c r="L562" s="9"/>
      <c r="M562" s="9"/>
      <c r="N562" s="9"/>
      <c r="O562" s="38">
        <f t="shared" si="42"/>
        <v>0</v>
      </c>
      <c r="P562" s="12"/>
      <c r="Q562" s="42"/>
      <c r="R562" s="15"/>
      <c r="S562" s="44"/>
      <c r="T562" s="15"/>
      <c r="U562" s="44"/>
      <c r="V562" s="15">
        <f t="shared" si="43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4"/>
        <v>0</v>
      </c>
      <c r="AF562" s="15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5"/>
        <v>0</v>
      </c>
      <c r="BA562" s="15"/>
      <c r="BB562" s="44"/>
      <c r="BC562" s="15"/>
      <c r="BD562" s="44"/>
      <c r="BE562" s="15">
        <f t="shared" si="46"/>
        <v>0</v>
      </c>
    </row>
    <row r="563" spans="1:57">
      <c r="A563" s="9"/>
      <c r="B563" s="16" t="s">
        <v>854</v>
      </c>
      <c r="C563" s="89" t="s">
        <v>140</v>
      </c>
      <c r="D563" s="86" t="s">
        <v>855</v>
      </c>
      <c r="E563" s="13" t="s">
        <v>856</v>
      </c>
      <c r="F563" s="95"/>
      <c r="G563" s="9"/>
      <c r="H563" s="9" t="s">
        <v>422</v>
      </c>
      <c r="I563" s="14"/>
      <c r="J563" s="14"/>
      <c r="K563" s="12">
        <v>0</v>
      </c>
      <c r="L563" s="9"/>
      <c r="M563" s="9"/>
      <c r="N563" s="9"/>
      <c r="O563" s="38">
        <f t="shared" si="42"/>
        <v>0</v>
      </c>
      <c r="P563" s="12"/>
      <c r="Q563" s="42"/>
      <c r="R563" s="15"/>
      <c r="S563" s="44"/>
      <c r="T563" s="15"/>
      <c r="U563" s="44"/>
      <c r="V563" s="15">
        <f t="shared" si="43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4"/>
        <v>0</v>
      </c>
      <c r="AF563" s="15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5"/>
        <v>0</v>
      </c>
      <c r="BA563" s="15"/>
      <c r="BB563" s="44"/>
      <c r="BC563" s="15"/>
      <c r="BD563" s="44"/>
      <c r="BE563" s="15">
        <f t="shared" si="46"/>
        <v>0</v>
      </c>
    </row>
    <row r="564" spans="1:57">
      <c r="A564" s="9"/>
      <c r="B564" s="16" t="s">
        <v>489</v>
      </c>
      <c r="C564" s="89" t="s">
        <v>132</v>
      </c>
      <c r="D564" s="56" t="s">
        <v>857</v>
      </c>
      <c r="E564" s="13" t="s">
        <v>858</v>
      </c>
      <c r="F564" s="95"/>
      <c r="G564" s="9"/>
      <c r="H564" s="9" t="s">
        <v>859</v>
      </c>
      <c r="I564" s="14"/>
      <c r="J564" s="14"/>
      <c r="K564" s="12">
        <v>1200</v>
      </c>
      <c r="L564" s="9"/>
      <c r="M564" s="9"/>
      <c r="N564" s="9"/>
      <c r="O564" s="38">
        <f t="shared" si="42"/>
        <v>1200</v>
      </c>
      <c r="P564" s="12"/>
      <c r="Q564" s="42"/>
      <c r="R564" s="15"/>
      <c r="S564" s="44"/>
      <c r="T564" s="15"/>
      <c r="U564" s="44"/>
      <c r="V564" s="15">
        <f t="shared" si="43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4"/>
        <v>0</v>
      </c>
      <c r="AF564" s="15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5"/>
        <v>0</v>
      </c>
      <c r="BA564" s="15"/>
      <c r="BB564" s="44"/>
      <c r="BC564" s="15"/>
      <c r="BD564" s="44"/>
      <c r="BE564" s="15">
        <f t="shared" si="46"/>
        <v>0</v>
      </c>
    </row>
    <row r="565" spans="1:57">
      <c r="A565" s="9"/>
      <c r="B565" s="47"/>
      <c r="C565" s="93"/>
      <c r="D565" s="88"/>
      <c r="E565" s="48"/>
      <c r="F565" s="49"/>
      <c r="G565" s="46"/>
      <c r="H565" s="46"/>
      <c r="I565" s="50"/>
      <c r="J565" s="50"/>
      <c r="K565" s="12">
        <v>0</v>
      </c>
      <c r="L565" s="46"/>
      <c r="M565" s="46"/>
      <c r="N565" s="46"/>
      <c r="O565" s="51"/>
      <c r="P565" s="49"/>
      <c r="Q565" s="52"/>
      <c r="R565" s="53"/>
      <c r="S565" s="54"/>
      <c r="T565" s="53"/>
      <c r="U565" s="54"/>
      <c r="V565" s="53"/>
      <c r="W565" s="53"/>
      <c r="X565" s="54"/>
      <c r="Y565" s="53"/>
      <c r="Z565" s="54"/>
      <c r="AA565" s="53"/>
      <c r="AB565" s="54"/>
      <c r="AC565" s="53"/>
      <c r="AD565" s="54"/>
      <c r="AE565" s="53"/>
      <c r="AF565" s="53"/>
      <c r="AG565" s="52"/>
      <c r="AH565" s="53"/>
      <c r="AI565" s="52"/>
      <c r="AJ565" s="53"/>
      <c r="AK565" s="52"/>
      <c r="AL565" s="53"/>
      <c r="AM565" s="52"/>
      <c r="AN565" s="53"/>
      <c r="AO565" s="52"/>
      <c r="AP565" s="53"/>
      <c r="AQ565" s="52"/>
      <c r="AR565" s="53"/>
      <c r="AS565" s="52"/>
      <c r="AT565" s="53"/>
      <c r="AU565" s="52"/>
      <c r="AV565" s="53"/>
      <c r="AW565" s="52"/>
      <c r="AX565" s="53"/>
      <c r="AY565" s="52"/>
      <c r="AZ565" s="53"/>
      <c r="BA565" s="53"/>
      <c r="BB565" s="54"/>
      <c r="BC565" s="53"/>
      <c r="BD565" s="54"/>
      <c r="BE565" s="53"/>
    </row>
    <row r="566" spans="1:57">
      <c r="A566" s="9">
        <v>999</v>
      </c>
      <c r="B566" s="16" t="s">
        <v>204</v>
      </c>
      <c r="C566" s="89" t="s">
        <v>132</v>
      </c>
      <c r="D566" s="56" t="s">
        <v>860</v>
      </c>
      <c r="E566" s="11" t="s">
        <v>861</v>
      </c>
      <c r="F566" s="12"/>
      <c r="G566" s="9"/>
      <c r="H566" s="9" t="s">
        <v>207</v>
      </c>
      <c r="I566" s="14"/>
      <c r="J566" s="14"/>
      <c r="K566" s="12">
        <v>0</v>
      </c>
      <c r="L566" s="9"/>
      <c r="M566" s="9"/>
      <c r="N566" s="9"/>
      <c r="O566" s="38">
        <f t="shared" ref="O566:O597" si="47">K566+V566-AE566-AZ566</f>
        <v>0</v>
      </c>
      <c r="P566" s="12"/>
      <c r="Q566" s="42"/>
      <c r="R566" s="15"/>
      <c r="S566" s="44"/>
      <c r="T566" s="15"/>
      <c r="U566" s="44"/>
      <c r="V566" s="15">
        <f t="shared" ref="V566:V577" si="48">P566+R566+T566</f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ref="AE566:AE577" si="49">(W566+Y566+AA566+AC566)</f>
        <v>0</v>
      </c>
      <c r="AF566" s="15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ref="AZ566:AZ577" si="50">AF566+AH566+AJ566+AL566+AN566+AP566+AR566+AT566+AV566+AX566</f>
        <v>0</v>
      </c>
      <c r="BA566" s="15"/>
      <c r="BB566" s="44"/>
      <c r="BC566" s="15"/>
      <c r="BD566" s="44"/>
      <c r="BE566" s="15">
        <f t="shared" ref="BE566:BE577" si="51">(BA566+BC566)</f>
        <v>0</v>
      </c>
    </row>
    <row r="567" spans="1:57">
      <c r="A567" s="9">
        <v>999</v>
      </c>
      <c r="B567" s="16" t="s">
        <v>204</v>
      </c>
      <c r="C567" s="89" t="s">
        <v>132</v>
      </c>
      <c r="D567" s="56" t="s">
        <v>862</v>
      </c>
      <c r="E567" s="11" t="s">
        <v>861</v>
      </c>
      <c r="F567" s="12"/>
      <c r="G567" s="9"/>
      <c r="H567" s="9" t="s">
        <v>207</v>
      </c>
      <c r="I567" s="14"/>
      <c r="J567" s="14"/>
      <c r="K567" s="12">
        <v>0</v>
      </c>
      <c r="L567" s="9"/>
      <c r="M567" s="9"/>
      <c r="N567" s="9"/>
      <c r="O567" s="38">
        <f t="shared" si="47"/>
        <v>0</v>
      </c>
      <c r="P567" s="12"/>
      <c r="Q567" s="42"/>
      <c r="R567" s="15"/>
      <c r="S567" s="44"/>
      <c r="T567" s="15"/>
      <c r="U567" s="44"/>
      <c r="V567" s="15">
        <f t="shared" si="48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9"/>
        <v>0</v>
      </c>
      <c r="AF567" s="15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50"/>
        <v>0</v>
      </c>
      <c r="BA567" s="15"/>
      <c r="BB567" s="44"/>
      <c r="BC567" s="15"/>
      <c r="BD567" s="44"/>
      <c r="BE567" s="15">
        <f t="shared" si="51"/>
        <v>0</v>
      </c>
    </row>
    <row r="568" spans="1:57">
      <c r="A568" s="9">
        <v>999</v>
      </c>
      <c r="B568" s="16" t="s">
        <v>334</v>
      </c>
      <c r="C568" s="89" t="s">
        <v>151</v>
      </c>
      <c r="D568" s="56" t="s">
        <v>863</v>
      </c>
      <c r="E568" s="11" t="s">
        <v>861</v>
      </c>
      <c r="F568" s="12"/>
      <c r="G568" s="9"/>
      <c r="H568" s="9" t="s">
        <v>147</v>
      </c>
      <c r="I568" s="14"/>
      <c r="J568" s="14"/>
      <c r="K568" s="12">
        <v>0</v>
      </c>
      <c r="L568" s="9"/>
      <c r="M568" s="9"/>
      <c r="N568" s="9"/>
      <c r="O568" s="38">
        <f t="shared" si="47"/>
        <v>0</v>
      </c>
      <c r="P568" s="12"/>
      <c r="Q568" s="42"/>
      <c r="R568" s="15"/>
      <c r="S568" s="44"/>
      <c r="T568" s="15"/>
      <c r="U568" s="44"/>
      <c r="V568" s="15">
        <f t="shared" si="48"/>
        <v>0</v>
      </c>
      <c r="W568" s="15"/>
      <c r="X568" s="44"/>
      <c r="Y568" s="15"/>
      <c r="Z568" s="44"/>
      <c r="AA568" s="15"/>
      <c r="AB568" s="44"/>
      <c r="AC568" s="15"/>
      <c r="AD568" s="44"/>
      <c r="AE568" s="15">
        <f t="shared" si="49"/>
        <v>0</v>
      </c>
      <c r="AF568" s="15"/>
      <c r="AG568" s="42"/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>
        <f t="shared" si="50"/>
        <v>0</v>
      </c>
      <c r="BA568" s="15"/>
      <c r="BB568" s="44"/>
      <c r="BC568" s="15"/>
      <c r="BD568" s="44"/>
      <c r="BE568" s="15">
        <f t="shared" si="51"/>
        <v>0</v>
      </c>
    </row>
    <row r="569" spans="1:57">
      <c r="A569" s="9">
        <v>32</v>
      </c>
      <c r="B569" s="16" t="s">
        <v>129</v>
      </c>
      <c r="C569" s="89" t="s">
        <v>52</v>
      </c>
      <c r="D569" s="60" t="s">
        <v>130</v>
      </c>
      <c r="E569" s="11" t="s">
        <v>864</v>
      </c>
      <c r="F569" s="95"/>
      <c r="G569" s="9"/>
      <c r="H569" s="9" t="s">
        <v>131</v>
      </c>
      <c r="I569" s="14"/>
      <c r="J569" s="14"/>
      <c r="K569" s="12">
        <v>0</v>
      </c>
      <c r="L569" s="9"/>
      <c r="M569" s="9"/>
      <c r="N569" s="9"/>
      <c r="O569" s="38">
        <f t="shared" si="47"/>
        <v>0</v>
      </c>
      <c r="P569" s="12"/>
      <c r="Q569" s="42"/>
      <c r="R569" s="15"/>
      <c r="S569" s="44"/>
      <c r="T569" s="15"/>
      <c r="U569" s="44"/>
      <c r="V569" s="15">
        <f t="shared" si="48"/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si="49"/>
        <v>0</v>
      </c>
      <c r="AF569" s="15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si="50"/>
        <v>0</v>
      </c>
      <c r="BA569" s="15"/>
      <c r="BB569" s="44"/>
      <c r="BC569" s="15"/>
      <c r="BD569" s="44"/>
      <c r="BE569" s="15">
        <f t="shared" si="51"/>
        <v>0</v>
      </c>
    </row>
    <row r="570" spans="1:57">
      <c r="A570" s="9">
        <v>60</v>
      </c>
      <c r="B570" s="18" t="s">
        <v>129</v>
      </c>
      <c r="C570" s="89" t="s">
        <v>52</v>
      </c>
      <c r="D570" s="58" t="s">
        <v>169</v>
      </c>
      <c r="E570" s="35" t="s">
        <v>865</v>
      </c>
      <c r="F570" s="95"/>
      <c r="G570" s="21"/>
      <c r="H570" s="21" t="s">
        <v>131</v>
      </c>
      <c r="I570" s="14"/>
      <c r="J570" s="14"/>
      <c r="K570" s="12">
        <v>0</v>
      </c>
      <c r="L570" s="9"/>
      <c r="M570" s="9"/>
      <c r="N570" s="9"/>
      <c r="O570" s="38">
        <f t="shared" si="47"/>
        <v>0</v>
      </c>
      <c r="P570" s="12"/>
      <c r="Q570" s="42"/>
      <c r="R570" s="15"/>
      <c r="S570" s="44"/>
      <c r="T570" s="15"/>
      <c r="U570" s="44"/>
      <c r="V570" s="15">
        <f t="shared" si="48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49"/>
        <v>0</v>
      </c>
      <c r="AF570" s="15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0"/>
        <v>0</v>
      </c>
      <c r="BA570" s="15"/>
      <c r="BB570" s="44"/>
      <c r="BC570" s="15"/>
      <c r="BD570" s="44"/>
      <c r="BE570" s="15">
        <f t="shared" si="51"/>
        <v>0</v>
      </c>
    </row>
    <row r="571" spans="1:57">
      <c r="A571" s="9">
        <v>999</v>
      </c>
      <c r="B571" s="16" t="s">
        <v>68</v>
      </c>
      <c r="C571" s="89" t="s">
        <v>50</v>
      </c>
      <c r="D571" s="56" t="s">
        <v>69</v>
      </c>
      <c r="E571" s="11" t="s">
        <v>866</v>
      </c>
      <c r="F571" s="12"/>
      <c r="G571" s="9"/>
      <c r="H571" s="9" t="s">
        <v>71</v>
      </c>
      <c r="I571" s="14"/>
      <c r="J571" s="14"/>
      <c r="K571" s="12">
        <v>0</v>
      </c>
      <c r="L571" s="9"/>
      <c r="M571" s="9"/>
      <c r="N571" s="9"/>
      <c r="O571" s="38">
        <f t="shared" si="47"/>
        <v>0</v>
      </c>
      <c r="P571" s="12"/>
      <c r="Q571" s="42"/>
      <c r="R571" s="15"/>
      <c r="S571" s="44"/>
      <c r="T571" s="15"/>
      <c r="U571" s="44"/>
      <c r="V571" s="15">
        <f t="shared" si="48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49"/>
        <v>0</v>
      </c>
      <c r="AF571" s="15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0"/>
        <v>0</v>
      </c>
      <c r="BA571" s="15"/>
      <c r="BB571" s="44"/>
      <c r="BC571" s="15"/>
      <c r="BD571" s="44"/>
      <c r="BE571" s="15">
        <f t="shared" si="51"/>
        <v>0</v>
      </c>
    </row>
    <row r="572" spans="1:57">
      <c r="A572" s="9">
        <v>999</v>
      </c>
      <c r="B572" s="16" t="s">
        <v>34</v>
      </c>
      <c r="C572" s="89" t="s">
        <v>50</v>
      </c>
      <c r="D572" s="56" t="s">
        <v>867</v>
      </c>
      <c r="E572" s="11" t="s">
        <v>868</v>
      </c>
      <c r="F572" s="12"/>
      <c r="G572" s="9"/>
      <c r="H572" s="9" t="s">
        <v>71</v>
      </c>
      <c r="I572" s="14"/>
      <c r="J572" s="14"/>
      <c r="K572" s="12">
        <v>0</v>
      </c>
      <c r="L572" s="9"/>
      <c r="M572" s="9"/>
      <c r="N572" s="9"/>
      <c r="O572" s="38">
        <f t="shared" si="47"/>
        <v>0</v>
      </c>
      <c r="P572" s="12"/>
      <c r="Q572" s="42"/>
      <c r="R572" s="15"/>
      <c r="S572" s="44"/>
      <c r="T572" s="15"/>
      <c r="U572" s="44"/>
      <c r="V572" s="15">
        <f t="shared" si="48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49"/>
        <v>0</v>
      </c>
      <c r="AF572" s="15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0"/>
        <v>0</v>
      </c>
      <c r="BA572" s="15"/>
      <c r="BB572" s="44"/>
      <c r="BC572" s="15"/>
      <c r="BD572" s="44"/>
      <c r="BE572" s="15">
        <f t="shared" si="51"/>
        <v>0</v>
      </c>
    </row>
    <row r="573" spans="1:57">
      <c r="A573" s="9">
        <v>999</v>
      </c>
      <c r="B573" s="18" t="s">
        <v>62</v>
      </c>
      <c r="C573" s="92" t="s">
        <v>50</v>
      </c>
      <c r="D573" s="58" t="s">
        <v>869</v>
      </c>
      <c r="E573" s="35" t="s">
        <v>62</v>
      </c>
      <c r="F573" s="20"/>
      <c r="G573" s="21"/>
      <c r="H573" s="21" t="s">
        <v>61</v>
      </c>
      <c r="I573" s="14"/>
      <c r="J573" s="14"/>
      <c r="K573" s="12">
        <v>0</v>
      </c>
      <c r="L573" s="9"/>
      <c r="M573" s="9"/>
      <c r="N573" s="9"/>
      <c r="O573" s="38">
        <f t="shared" si="47"/>
        <v>0</v>
      </c>
      <c r="P573" s="12"/>
      <c r="Q573" s="42"/>
      <c r="R573" s="15"/>
      <c r="S573" s="44"/>
      <c r="T573" s="15"/>
      <c r="U573" s="44"/>
      <c r="V573" s="15">
        <f t="shared" si="48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49"/>
        <v>0</v>
      </c>
      <c r="AF573" s="15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0"/>
        <v>0</v>
      </c>
      <c r="BA573" s="15"/>
      <c r="BB573" s="44"/>
      <c r="BC573" s="15"/>
      <c r="BD573" s="44"/>
      <c r="BE573" s="15">
        <f t="shared" si="51"/>
        <v>0</v>
      </c>
    </row>
    <row r="574" spans="1:57">
      <c r="A574" s="9">
        <v>999</v>
      </c>
      <c r="B574" s="18" t="s">
        <v>62</v>
      </c>
      <c r="C574" s="92" t="s">
        <v>50</v>
      </c>
      <c r="D574" s="58" t="s">
        <v>870</v>
      </c>
      <c r="E574" s="35" t="s">
        <v>62</v>
      </c>
      <c r="F574" s="20"/>
      <c r="G574" s="21"/>
      <c r="H574" s="21" t="s">
        <v>61</v>
      </c>
      <c r="I574" s="14"/>
      <c r="J574" s="14"/>
      <c r="K574" s="12">
        <v>0</v>
      </c>
      <c r="L574" s="9"/>
      <c r="M574" s="9"/>
      <c r="N574" s="9"/>
      <c r="O574" s="38">
        <f t="shared" si="47"/>
        <v>0</v>
      </c>
      <c r="P574" s="12"/>
      <c r="Q574" s="42"/>
      <c r="R574" s="15"/>
      <c r="S574" s="44"/>
      <c r="T574" s="15"/>
      <c r="U574" s="44"/>
      <c r="V574" s="15">
        <f t="shared" si="48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49"/>
        <v>0</v>
      </c>
      <c r="AF574" s="15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0"/>
        <v>0</v>
      </c>
      <c r="BA574" s="15"/>
      <c r="BB574" s="44"/>
      <c r="BC574" s="15"/>
      <c r="BD574" s="44"/>
      <c r="BE574" s="15">
        <f t="shared" si="51"/>
        <v>0</v>
      </c>
    </row>
    <row r="575" spans="1:57">
      <c r="A575" s="9">
        <v>999</v>
      </c>
      <c r="B575" s="18" t="s">
        <v>62</v>
      </c>
      <c r="C575" s="92" t="s">
        <v>50</v>
      </c>
      <c r="D575" s="58" t="s">
        <v>871</v>
      </c>
      <c r="E575" s="35" t="s">
        <v>62</v>
      </c>
      <c r="F575" s="20"/>
      <c r="G575" s="21"/>
      <c r="H575" s="21" t="s">
        <v>61</v>
      </c>
      <c r="I575" s="14"/>
      <c r="J575" s="14"/>
      <c r="K575" s="12">
        <v>0</v>
      </c>
      <c r="L575" s="9"/>
      <c r="M575" s="9"/>
      <c r="N575" s="9"/>
      <c r="O575" s="38">
        <f t="shared" si="47"/>
        <v>0</v>
      </c>
      <c r="P575" s="12"/>
      <c r="Q575" s="42"/>
      <c r="R575" s="15"/>
      <c r="S575" s="44"/>
      <c r="T575" s="15"/>
      <c r="U575" s="44"/>
      <c r="V575" s="15">
        <f t="shared" si="48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49"/>
        <v>0</v>
      </c>
      <c r="AF575" s="15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0"/>
        <v>0</v>
      </c>
      <c r="BA575" s="15"/>
      <c r="BB575" s="44"/>
      <c r="BC575" s="15"/>
      <c r="BD575" s="44"/>
      <c r="BE575" s="15">
        <f t="shared" si="51"/>
        <v>0</v>
      </c>
    </row>
    <row r="576" spans="1:57">
      <c r="A576" s="9">
        <v>999</v>
      </c>
      <c r="B576" s="16" t="s">
        <v>155</v>
      </c>
      <c r="C576" s="89" t="s">
        <v>50</v>
      </c>
      <c r="D576" s="79" t="s">
        <v>872</v>
      </c>
      <c r="E576" s="13" t="s">
        <v>873</v>
      </c>
      <c r="F576" s="96"/>
      <c r="G576" s="9"/>
      <c r="H576" s="9"/>
      <c r="I576" s="14"/>
      <c r="J576" s="14"/>
      <c r="K576" s="12">
        <v>0</v>
      </c>
      <c r="L576" s="9"/>
      <c r="M576" s="9"/>
      <c r="N576" s="9"/>
      <c r="O576" s="38">
        <f t="shared" si="47"/>
        <v>0</v>
      </c>
      <c r="P576" s="12"/>
      <c r="Q576" s="42"/>
      <c r="R576" s="15"/>
      <c r="S576" s="44"/>
      <c r="T576" s="15"/>
      <c r="U576" s="44"/>
      <c r="V576" s="15">
        <f t="shared" si="48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49"/>
        <v>0</v>
      </c>
      <c r="AF576" s="15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0"/>
        <v>0</v>
      </c>
      <c r="BA576" s="15"/>
      <c r="BB576" s="44"/>
      <c r="BC576" s="15"/>
      <c r="BD576" s="44"/>
      <c r="BE576" s="15">
        <f t="shared" si="51"/>
        <v>0</v>
      </c>
    </row>
    <row r="577" spans="1:57">
      <c r="A577" s="9">
        <v>999</v>
      </c>
      <c r="B577" s="18" t="s">
        <v>172</v>
      </c>
      <c r="C577" s="89" t="s">
        <v>48</v>
      </c>
      <c r="D577" s="66" t="s">
        <v>874</v>
      </c>
      <c r="E577" s="35"/>
      <c r="F577" s="20"/>
      <c r="G577" s="21"/>
      <c r="H577" s="21" t="s">
        <v>67</v>
      </c>
      <c r="I577" s="14"/>
      <c r="J577" s="14"/>
      <c r="K577" s="12">
        <v>0</v>
      </c>
      <c r="L577" s="9"/>
      <c r="M577" s="9"/>
      <c r="N577" s="9"/>
      <c r="O577" s="38">
        <f t="shared" si="47"/>
        <v>0</v>
      </c>
      <c r="P577" s="12"/>
      <c r="Q577" s="42"/>
      <c r="R577" s="15"/>
      <c r="S577" s="44"/>
      <c r="T577" s="15"/>
      <c r="U577" s="44"/>
      <c r="V577" s="15">
        <f t="shared" si="48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49"/>
        <v>0</v>
      </c>
      <c r="AF577" s="15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0"/>
        <v>0</v>
      </c>
      <c r="BA577" s="15"/>
      <c r="BB577" s="44"/>
      <c r="BC577" s="15"/>
      <c r="BD577" s="44"/>
      <c r="BE577" s="15">
        <f t="shared" si="51"/>
        <v>0</v>
      </c>
    </row>
    <row r="578" spans="1:57">
      <c r="A578" s="9">
        <v>999</v>
      </c>
      <c r="B578" s="18" t="s">
        <v>172</v>
      </c>
      <c r="C578" s="89" t="s">
        <v>140</v>
      </c>
      <c r="D578" s="58" t="s">
        <v>875</v>
      </c>
      <c r="E578" s="35"/>
      <c r="F578" s="20"/>
      <c r="G578" s="21"/>
      <c r="H578" s="21"/>
      <c r="I578" s="14"/>
      <c r="J578" s="14"/>
      <c r="K578" s="12">
        <v>0</v>
      </c>
      <c r="L578" s="9"/>
      <c r="M578" s="9"/>
      <c r="N578" s="9"/>
      <c r="O578" s="38">
        <f t="shared" si="47"/>
        <v>0</v>
      </c>
      <c r="P578" s="12"/>
      <c r="Q578" s="42"/>
      <c r="R578" s="15"/>
      <c r="S578" s="44"/>
      <c r="T578" s="15"/>
      <c r="U578" s="44"/>
      <c r="V578" s="15"/>
      <c r="W578" s="15"/>
      <c r="X578" s="44"/>
      <c r="Y578" s="15"/>
      <c r="Z578" s="44"/>
      <c r="AA578" s="15"/>
      <c r="AB578" s="44"/>
      <c r="AC578" s="15"/>
      <c r="AD578" s="44"/>
      <c r="AE578" s="15"/>
      <c r="AF578" s="15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15"/>
      <c r="BB578" s="44"/>
      <c r="BC578" s="15"/>
      <c r="BD578" s="44"/>
      <c r="BE578" s="15"/>
    </row>
    <row r="579" spans="1:57">
      <c r="A579" s="9">
        <v>999</v>
      </c>
      <c r="B579" s="18" t="s">
        <v>187</v>
      </c>
      <c r="C579" s="89" t="s">
        <v>132</v>
      </c>
      <c r="D579" s="58" t="s">
        <v>276</v>
      </c>
      <c r="E579" s="35"/>
      <c r="F579" s="20"/>
      <c r="G579" s="21"/>
      <c r="H579" s="21" t="s">
        <v>67</v>
      </c>
      <c r="I579" s="14"/>
      <c r="J579" s="14"/>
      <c r="K579" s="12">
        <v>0</v>
      </c>
      <c r="L579" s="9"/>
      <c r="M579" s="9"/>
      <c r="N579" s="9"/>
      <c r="O579" s="38">
        <f t="shared" si="47"/>
        <v>0</v>
      </c>
      <c r="P579" s="12"/>
      <c r="Q579" s="42"/>
      <c r="R579" s="15"/>
      <c r="S579" s="44"/>
      <c r="T579" s="15"/>
      <c r="U579" s="44"/>
      <c r="V579" s="15">
        <f t="shared" ref="V579:V610" si="52">P579+R579+T579</f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ref="AE579:AE610" si="53">(W579+Y579+AA579+AC579)</f>
        <v>0</v>
      </c>
      <c r="AF579" s="15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ref="AZ579:AZ610" si="54">AF579+AH579+AJ579+AL579+AN579+AP579+AR579+AT579+AV579+AX579</f>
        <v>0</v>
      </c>
      <c r="BA579" s="15"/>
      <c r="BB579" s="44"/>
      <c r="BC579" s="15"/>
      <c r="BD579" s="44"/>
      <c r="BE579" s="15">
        <f t="shared" ref="BE579:BE610" si="55">(BA579+BC579)</f>
        <v>0</v>
      </c>
    </row>
    <row r="580" spans="1:57">
      <c r="A580" s="9">
        <v>999</v>
      </c>
      <c r="B580" s="18" t="s">
        <v>204</v>
      </c>
      <c r="C580" s="89" t="s">
        <v>132</v>
      </c>
      <c r="D580" s="58" t="s">
        <v>282</v>
      </c>
      <c r="E580" s="35" t="s">
        <v>210</v>
      </c>
      <c r="F580" s="20"/>
      <c r="G580" s="21"/>
      <c r="H580" s="21" t="s">
        <v>876</v>
      </c>
      <c r="I580" s="14"/>
      <c r="J580" s="14"/>
      <c r="K580" s="12">
        <v>0</v>
      </c>
      <c r="L580" s="9"/>
      <c r="M580" s="9"/>
      <c r="N580" s="9"/>
      <c r="O580" s="38">
        <f t="shared" si="47"/>
        <v>0</v>
      </c>
      <c r="P580" s="12"/>
      <c r="Q580" s="42"/>
      <c r="R580" s="15"/>
      <c r="S580" s="44"/>
      <c r="T580" s="15"/>
      <c r="U580" s="44"/>
      <c r="V580" s="15">
        <f t="shared" si="52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3"/>
        <v>0</v>
      </c>
      <c r="AF580" s="15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4"/>
        <v>0</v>
      </c>
      <c r="BA580" s="15"/>
      <c r="BB580" s="44"/>
      <c r="BC580" s="15"/>
      <c r="BD580" s="44"/>
      <c r="BE580" s="15">
        <f t="shared" si="55"/>
        <v>0</v>
      </c>
    </row>
    <row r="581" spans="1:57">
      <c r="A581" s="9">
        <v>999</v>
      </c>
      <c r="B581" s="18" t="s">
        <v>172</v>
      </c>
      <c r="C581" s="89" t="s">
        <v>132</v>
      </c>
      <c r="D581" s="58" t="s">
        <v>877</v>
      </c>
      <c r="E581" s="19"/>
      <c r="F581" s="20"/>
      <c r="G581" s="21"/>
      <c r="H581" s="21" t="s">
        <v>67</v>
      </c>
      <c r="I581" s="14"/>
      <c r="J581" s="14"/>
      <c r="K581" s="12">
        <v>0</v>
      </c>
      <c r="L581" s="9"/>
      <c r="M581" s="9"/>
      <c r="N581" s="9"/>
      <c r="O581" s="38">
        <f t="shared" si="47"/>
        <v>0</v>
      </c>
      <c r="P581" s="12"/>
      <c r="Q581" s="42"/>
      <c r="R581" s="15"/>
      <c r="S581" s="44"/>
      <c r="T581" s="15"/>
      <c r="U581" s="44"/>
      <c r="V581" s="15">
        <f t="shared" si="52"/>
        <v>0</v>
      </c>
      <c r="W581" s="15"/>
      <c r="X581" s="44"/>
      <c r="Y581" s="15"/>
      <c r="Z581" s="44"/>
      <c r="AA581" s="15"/>
      <c r="AB581" s="44"/>
      <c r="AC581" s="15"/>
      <c r="AD581" s="44"/>
      <c r="AE581" s="15">
        <f t="shared" si="53"/>
        <v>0</v>
      </c>
      <c r="AF581" s="15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>
        <f t="shared" si="54"/>
        <v>0</v>
      </c>
      <c r="BA581" s="15"/>
      <c r="BB581" s="44"/>
      <c r="BC581" s="15"/>
      <c r="BD581" s="44"/>
      <c r="BE581" s="15">
        <f t="shared" si="55"/>
        <v>0</v>
      </c>
    </row>
    <row r="582" spans="1:57">
      <c r="A582" s="9">
        <v>999</v>
      </c>
      <c r="B582" s="18" t="s">
        <v>120</v>
      </c>
      <c r="C582" s="89" t="s">
        <v>132</v>
      </c>
      <c r="D582" s="58" t="s">
        <v>878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7"/>
        <v>0</v>
      </c>
      <c r="P582" s="12"/>
      <c r="Q582" s="42"/>
      <c r="R582" s="15"/>
      <c r="S582" s="44"/>
      <c r="T582" s="15"/>
      <c r="U582" s="44"/>
      <c r="V582" s="15">
        <f t="shared" si="52"/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si="53"/>
        <v>0</v>
      </c>
      <c r="AF582" s="15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si="54"/>
        <v>0</v>
      </c>
      <c r="BA582" s="15"/>
      <c r="BB582" s="44"/>
      <c r="BC582" s="15"/>
      <c r="BD582" s="44"/>
      <c r="BE582" s="15">
        <f t="shared" si="55"/>
        <v>0</v>
      </c>
    </row>
    <row r="583" spans="1:57">
      <c r="A583" s="9">
        <v>999</v>
      </c>
      <c r="B583" s="16" t="s">
        <v>120</v>
      </c>
      <c r="C583" s="89" t="s">
        <v>48</v>
      </c>
      <c r="D583" s="74" t="s">
        <v>879</v>
      </c>
      <c r="E583" s="13" t="s">
        <v>880</v>
      </c>
      <c r="F583" s="12"/>
      <c r="G583" s="9"/>
      <c r="H583" s="9" t="s">
        <v>67</v>
      </c>
      <c r="I583" s="14"/>
      <c r="J583" s="14"/>
      <c r="K583" s="12">
        <v>0</v>
      </c>
      <c r="L583" s="9"/>
      <c r="M583" s="9"/>
      <c r="N583" s="9"/>
      <c r="O583" s="38">
        <f t="shared" si="47"/>
        <v>0</v>
      </c>
      <c r="P583" s="12"/>
      <c r="Q583" s="42"/>
      <c r="R583" s="15"/>
      <c r="S583" s="44"/>
      <c r="T583" s="15"/>
      <c r="U583" s="44"/>
      <c r="V583" s="15">
        <f t="shared" si="52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3"/>
        <v>0</v>
      </c>
      <c r="AF583" s="15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4"/>
        <v>0</v>
      </c>
      <c r="BA583" s="15"/>
      <c r="BB583" s="44"/>
      <c r="BC583" s="15"/>
      <c r="BD583" s="44"/>
      <c r="BE583" s="15">
        <f t="shared" si="55"/>
        <v>0</v>
      </c>
    </row>
    <row r="584" spans="1:57">
      <c r="A584" s="9">
        <v>999</v>
      </c>
      <c r="B584" s="16" t="s">
        <v>120</v>
      </c>
      <c r="C584" s="89" t="s">
        <v>48</v>
      </c>
      <c r="D584" s="72" t="s">
        <v>881</v>
      </c>
      <c r="E584" s="13" t="s">
        <v>882</v>
      </c>
      <c r="F584" s="12"/>
      <c r="G584" s="9"/>
      <c r="H584" s="9" t="s">
        <v>67</v>
      </c>
      <c r="I584" s="14"/>
      <c r="J584" s="14"/>
      <c r="K584" s="12">
        <v>0</v>
      </c>
      <c r="L584" s="9"/>
      <c r="M584" s="9"/>
      <c r="N584" s="9"/>
      <c r="O584" s="38">
        <f t="shared" si="47"/>
        <v>0</v>
      </c>
      <c r="P584" s="12"/>
      <c r="Q584" s="42"/>
      <c r="R584" s="15"/>
      <c r="S584" s="44"/>
      <c r="T584" s="15"/>
      <c r="U584" s="44"/>
      <c r="V584" s="15">
        <f t="shared" si="52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3"/>
        <v>0</v>
      </c>
      <c r="AF584" s="15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4"/>
        <v>0</v>
      </c>
      <c r="BA584" s="15"/>
      <c r="BB584" s="44"/>
      <c r="BC584" s="15"/>
      <c r="BD584" s="44"/>
      <c r="BE584" s="15">
        <f t="shared" si="55"/>
        <v>0</v>
      </c>
    </row>
    <row r="585" spans="1:57">
      <c r="A585" s="9">
        <v>999</v>
      </c>
      <c r="B585" s="16" t="s">
        <v>120</v>
      </c>
      <c r="C585" s="89" t="s">
        <v>48</v>
      </c>
      <c r="D585" s="72" t="s">
        <v>883</v>
      </c>
      <c r="E585" s="13" t="s">
        <v>884</v>
      </c>
      <c r="F585" s="12"/>
      <c r="G585" s="9"/>
      <c r="H585" s="9" t="s">
        <v>67</v>
      </c>
      <c r="I585" s="14"/>
      <c r="J585" s="14"/>
      <c r="K585" s="12">
        <v>0</v>
      </c>
      <c r="L585" s="9"/>
      <c r="M585" s="9"/>
      <c r="N585" s="9"/>
      <c r="O585" s="38">
        <f t="shared" si="47"/>
        <v>0</v>
      </c>
      <c r="P585" s="12"/>
      <c r="Q585" s="42"/>
      <c r="R585" s="15"/>
      <c r="S585" s="44"/>
      <c r="T585" s="15"/>
      <c r="U585" s="44"/>
      <c r="V585" s="15">
        <f t="shared" si="52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3"/>
        <v>0</v>
      </c>
      <c r="AF585" s="15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4"/>
        <v>0</v>
      </c>
      <c r="BA585" s="15"/>
      <c r="BB585" s="44"/>
      <c r="BC585" s="15"/>
      <c r="BD585" s="44"/>
      <c r="BE585" s="15">
        <f t="shared" si="55"/>
        <v>0</v>
      </c>
    </row>
    <row r="586" spans="1:57">
      <c r="A586" s="9">
        <v>999</v>
      </c>
      <c r="B586" s="16" t="s">
        <v>172</v>
      </c>
      <c r="C586" s="89" t="s">
        <v>48</v>
      </c>
      <c r="D586" s="72" t="s">
        <v>415</v>
      </c>
      <c r="E586" s="13"/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7"/>
        <v>0</v>
      </c>
      <c r="P586" s="12"/>
      <c r="Q586" s="42"/>
      <c r="R586" s="15"/>
      <c r="S586" s="44"/>
      <c r="T586" s="15"/>
      <c r="U586" s="44"/>
      <c r="V586" s="15">
        <f t="shared" si="52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3"/>
        <v>0</v>
      </c>
      <c r="AF586" s="15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4"/>
        <v>0</v>
      </c>
      <c r="BA586" s="15"/>
      <c r="BB586" s="44"/>
      <c r="BC586" s="15"/>
      <c r="BD586" s="44"/>
      <c r="BE586" s="15">
        <f t="shared" si="55"/>
        <v>0</v>
      </c>
    </row>
    <row r="587" spans="1:57">
      <c r="A587" s="9"/>
      <c r="B587" s="18" t="s">
        <v>172</v>
      </c>
      <c r="C587" s="89" t="s">
        <v>52</v>
      </c>
      <c r="D587" s="58" t="s">
        <v>253</v>
      </c>
      <c r="E587" s="35"/>
      <c r="F587" s="96"/>
      <c r="G587" s="21"/>
      <c r="H587" s="21" t="s">
        <v>67</v>
      </c>
      <c r="I587" s="14"/>
      <c r="J587" s="14"/>
      <c r="K587" s="12">
        <v>0</v>
      </c>
      <c r="L587" s="9"/>
      <c r="M587" s="9"/>
      <c r="N587" s="9"/>
      <c r="O587" s="38">
        <f t="shared" si="47"/>
        <v>0</v>
      </c>
      <c r="P587" s="12"/>
      <c r="Q587" s="42"/>
      <c r="R587" s="15"/>
      <c r="S587" s="44"/>
      <c r="T587" s="15"/>
      <c r="U587" s="44"/>
      <c r="V587" s="15">
        <f t="shared" si="52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3"/>
        <v>0</v>
      </c>
      <c r="AF587" s="15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4"/>
        <v>0</v>
      </c>
      <c r="BA587" s="15"/>
      <c r="BB587" s="44"/>
      <c r="BC587" s="15"/>
      <c r="BD587" s="44"/>
      <c r="BE587" s="15">
        <f t="shared" si="55"/>
        <v>0</v>
      </c>
    </row>
    <row r="588" spans="1:57">
      <c r="A588" s="9"/>
      <c r="B588" s="18" t="s">
        <v>172</v>
      </c>
      <c r="C588" s="89" t="s">
        <v>52</v>
      </c>
      <c r="D588" s="67" t="s">
        <v>885</v>
      </c>
      <c r="E588" s="35"/>
      <c r="F588" s="96"/>
      <c r="G588" s="21"/>
      <c r="H588" s="21" t="s">
        <v>67</v>
      </c>
      <c r="I588" s="14"/>
      <c r="J588" s="14"/>
      <c r="K588" s="12">
        <v>0</v>
      </c>
      <c r="L588" s="9"/>
      <c r="M588" s="9"/>
      <c r="N588" s="9"/>
      <c r="O588" s="38">
        <f t="shared" si="47"/>
        <v>0</v>
      </c>
      <c r="P588" s="12"/>
      <c r="Q588" s="42"/>
      <c r="R588" s="15"/>
      <c r="S588" s="44"/>
      <c r="T588" s="15"/>
      <c r="U588" s="44"/>
      <c r="V588" s="15">
        <f t="shared" si="52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3"/>
        <v>0</v>
      </c>
      <c r="AF588" s="15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4"/>
        <v>0</v>
      </c>
      <c r="BA588" s="15"/>
      <c r="BB588" s="44"/>
      <c r="BC588" s="15"/>
      <c r="BD588" s="44"/>
      <c r="BE588" s="15">
        <f t="shared" si="55"/>
        <v>0</v>
      </c>
    </row>
    <row r="589" spans="1:57">
      <c r="A589" s="9"/>
      <c r="B589" s="16" t="s">
        <v>172</v>
      </c>
      <c r="C589" s="89" t="s">
        <v>52</v>
      </c>
      <c r="D589" s="80" t="s">
        <v>497</v>
      </c>
      <c r="E589" s="13"/>
      <c r="F589" s="96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7"/>
        <v>0</v>
      </c>
      <c r="P589" s="12"/>
      <c r="Q589" s="42"/>
      <c r="R589" s="15"/>
      <c r="S589" s="44"/>
      <c r="T589" s="15"/>
      <c r="U589" s="44"/>
      <c r="V589" s="15">
        <f t="shared" si="52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3"/>
        <v>0</v>
      </c>
      <c r="AF589" s="15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4"/>
        <v>0</v>
      </c>
      <c r="BA589" s="15"/>
      <c r="BB589" s="44"/>
      <c r="BC589" s="15"/>
      <c r="BD589" s="44"/>
      <c r="BE589" s="15">
        <f t="shared" si="55"/>
        <v>0</v>
      </c>
    </row>
    <row r="590" spans="1:57">
      <c r="A590" s="9"/>
      <c r="B590" s="16" t="s">
        <v>172</v>
      </c>
      <c r="C590" s="89" t="s">
        <v>52</v>
      </c>
      <c r="D590" s="61" t="s">
        <v>886</v>
      </c>
      <c r="E590" s="13"/>
      <c r="F590" s="96"/>
      <c r="G590" s="9"/>
      <c r="H590" s="9" t="s">
        <v>420</v>
      </c>
      <c r="I590" s="14"/>
      <c r="J590" s="14"/>
      <c r="K590" s="12">
        <v>0</v>
      </c>
      <c r="L590" s="9"/>
      <c r="M590" s="9"/>
      <c r="N590" s="9"/>
      <c r="O590" s="38">
        <f t="shared" si="47"/>
        <v>0</v>
      </c>
      <c r="P590" s="12"/>
      <c r="Q590" s="42"/>
      <c r="R590" s="15"/>
      <c r="S590" s="44"/>
      <c r="T590" s="15"/>
      <c r="U590" s="44"/>
      <c r="V590" s="15">
        <f t="shared" si="52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3"/>
        <v>0</v>
      </c>
      <c r="AF590" s="15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4"/>
        <v>0</v>
      </c>
      <c r="BA590" s="15"/>
      <c r="BB590" s="44"/>
      <c r="BC590" s="15"/>
      <c r="BD590" s="44"/>
      <c r="BE590" s="15">
        <f t="shared" si="55"/>
        <v>0</v>
      </c>
    </row>
    <row r="591" spans="1:57">
      <c r="A591" s="9"/>
      <c r="B591" s="16" t="s">
        <v>172</v>
      </c>
      <c r="C591" s="89" t="s">
        <v>52</v>
      </c>
      <c r="D591" s="80" t="s">
        <v>887</v>
      </c>
      <c r="E591" s="13"/>
      <c r="F591" s="96"/>
      <c r="G591" s="9"/>
      <c r="H591" s="9" t="s">
        <v>420</v>
      </c>
      <c r="I591" s="14"/>
      <c r="J591" s="14"/>
      <c r="K591" s="12">
        <v>0</v>
      </c>
      <c r="L591" s="9"/>
      <c r="M591" s="9"/>
      <c r="N591" s="9"/>
      <c r="O591" s="38">
        <f t="shared" si="47"/>
        <v>0</v>
      </c>
      <c r="P591" s="12"/>
      <c r="Q591" s="42"/>
      <c r="R591" s="15"/>
      <c r="S591" s="44"/>
      <c r="T591" s="15"/>
      <c r="U591" s="44"/>
      <c r="V591" s="15">
        <f t="shared" si="52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3"/>
        <v>0</v>
      </c>
      <c r="AF591" s="15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4"/>
        <v>0</v>
      </c>
      <c r="BA591" s="15"/>
      <c r="BB591" s="44"/>
      <c r="BC591" s="15"/>
      <c r="BD591" s="44"/>
      <c r="BE591" s="15">
        <f t="shared" si="55"/>
        <v>0</v>
      </c>
    </row>
    <row r="592" spans="1:57">
      <c r="A592" s="9"/>
      <c r="B592" s="16" t="s">
        <v>172</v>
      </c>
      <c r="C592" s="89" t="s">
        <v>494</v>
      </c>
      <c r="D592" s="84" t="s">
        <v>498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7"/>
        <v>0</v>
      </c>
      <c r="P592" s="12"/>
      <c r="Q592" s="42"/>
      <c r="R592" s="15"/>
      <c r="S592" s="44"/>
      <c r="T592" s="15"/>
      <c r="U592" s="44"/>
      <c r="V592" s="15">
        <f t="shared" si="52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3"/>
        <v>0</v>
      </c>
      <c r="AF592" s="15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4"/>
        <v>0</v>
      </c>
      <c r="BA592" s="15"/>
      <c r="BB592" s="44"/>
      <c r="BC592" s="15"/>
      <c r="BD592" s="44"/>
      <c r="BE592" s="15">
        <f t="shared" si="55"/>
        <v>0</v>
      </c>
    </row>
    <row r="593" spans="1:57">
      <c r="A593" s="9"/>
      <c r="B593" s="16" t="s">
        <v>172</v>
      </c>
      <c r="C593" s="89" t="s">
        <v>494</v>
      </c>
      <c r="D593" s="84" t="s">
        <v>888</v>
      </c>
      <c r="E593" s="13"/>
      <c r="F593" s="96"/>
      <c r="G593" s="9"/>
      <c r="H593" s="9" t="s">
        <v>67</v>
      </c>
      <c r="I593" s="14"/>
      <c r="J593" s="14"/>
      <c r="K593" s="12">
        <v>0</v>
      </c>
      <c r="L593" s="9"/>
      <c r="M593" s="9"/>
      <c r="N593" s="9"/>
      <c r="O593" s="38">
        <f t="shared" si="47"/>
        <v>0</v>
      </c>
      <c r="P593" s="12"/>
      <c r="Q593" s="42"/>
      <c r="R593" s="15"/>
      <c r="S593" s="44"/>
      <c r="T593" s="15"/>
      <c r="U593" s="44"/>
      <c r="V593" s="15">
        <f t="shared" si="52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3"/>
        <v>0</v>
      </c>
      <c r="AF593" s="15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4"/>
        <v>0</v>
      </c>
      <c r="BA593" s="15"/>
      <c r="BB593" s="44"/>
      <c r="BC593" s="15"/>
      <c r="BD593" s="44"/>
      <c r="BE593" s="15">
        <f t="shared" si="55"/>
        <v>0</v>
      </c>
    </row>
    <row r="594" spans="1:57">
      <c r="A594" s="9"/>
      <c r="B594" s="16" t="s">
        <v>172</v>
      </c>
      <c r="C594" s="89" t="s">
        <v>52</v>
      </c>
      <c r="D594" s="84" t="s">
        <v>889</v>
      </c>
      <c r="E594" s="13"/>
      <c r="F594" s="96"/>
      <c r="G594" s="9"/>
      <c r="H594" s="9" t="s">
        <v>67</v>
      </c>
      <c r="I594" s="14"/>
      <c r="J594" s="14"/>
      <c r="K594" s="12">
        <v>0</v>
      </c>
      <c r="L594" s="9"/>
      <c r="M594" s="9"/>
      <c r="N594" s="9"/>
      <c r="O594" s="38">
        <f t="shared" si="47"/>
        <v>0</v>
      </c>
      <c r="P594" s="12"/>
      <c r="Q594" s="42"/>
      <c r="R594" s="15"/>
      <c r="S594" s="44"/>
      <c r="T594" s="15"/>
      <c r="U594" s="44"/>
      <c r="V594" s="15">
        <f t="shared" si="52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3"/>
        <v>0</v>
      </c>
      <c r="AF594" s="15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4"/>
        <v>0</v>
      </c>
      <c r="BA594" s="15"/>
      <c r="BB594" s="44"/>
      <c r="BC594" s="15"/>
      <c r="BD594" s="44"/>
      <c r="BE594" s="15">
        <f t="shared" si="55"/>
        <v>0</v>
      </c>
    </row>
    <row r="595" spans="1:57">
      <c r="A595" s="9"/>
      <c r="B595" s="16" t="s">
        <v>172</v>
      </c>
      <c r="C595" s="89" t="s">
        <v>52</v>
      </c>
      <c r="D595" s="84" t="s">
        <v>890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7"/>
        <v>0</v>
      </c>
      <c r="P595" s="12"/>
      <c r="Q595" s="42"/>
      <c r="R595" s="15"/>
      <c r="S595" s="44"/>
      <c r="T595" s="15"/>
      <c r="U595" s="44"/>
      <c r="V595" s="15">
        <f t="shared" si="52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3"/>
        <v>0</v>
      </c>
      <c r="AF595" s="15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4"/>
        <v>0</v>
      </c>
      <c r="BA595" s="15"/>
      <c r="BB595" s="44"/>
      <c r="BC595" s="15"/>
      <c r="BD595" s="44"/>
      <c r="BE595" s="15">
        <f t="shared" si="55"/>
        <v>0</v>
      </c>
    </row>
    <row r="596" spans="1:57">
      <c r="A596" s="9"/>
      <c r="B596" s="16" t="s">
        <v>172</v>
      </c>
      <c r="C596" s="89" t="s">
        <v>494</v>
      </c>
      <c r="D596" s="84" t="s">
        <v>891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7"/>
        <v>0</v>
      </c>
      <c r="P596" s="12"/>
      <c r="Q596" s="42"/>
      <c r="R596" s="15"/>
      <c r="S596" s="44"/>
      <c r="T596" s="15"/>
      <c r="U596" s="44"/>
      <c r="V596" s="15">
        <f t="shared" si="52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3"/>
        <v>0</v>
      </c>
      <c r="AF596" s="15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4"/>
        <v>0</v>
      </c>
      <c r="BA596" s="15"/>
      <c r="BB596" s="44"/>
      <c r="BC596" s="15"/>
      <c r="BD596" s="44"/>
      <c r="BE596" s="15">
        <f t="shared" si="55"/>
        <v>0</v>
      </c>
    </row>
    <row r="597" spans="1:57">
      <c r="A597" s="9"/>
      <c r="B597" s="16" t="s">
        <v>172</v>
      </c>
      <c r="C597" s="89" t="s">
        <v>494</v>
      </c>
      <c r="D597" s="80" t="s">
        <v>500</v>
      </c>
      <c r="E597" s="13" t="s">
        <v>578</v>
      </c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7"/>
        <v>0</v>
      </c>
      <c r="P597" s="12"/>
      <c r="Q597" s="42"/>
      <c r="R597" s="15"/>
      <c r="S597" s="44"/>
      <c r="T597" s="15"/>
      <c r="U597" s="44"/>
      <c r="V597" s="15">
        <f t="shared" si="52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3"/>
        <v>0</v>
      </c>
      <c r="AF597" s="15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4"/>
        <v>0</v>
      </c>
      <c r="BA597" s="15"/>
      <c r="BB597" s="44"/>
      <c r="BC597" s="15"/>
      <c r="BD597" s="44"/>
      <c r="BE597" s="15">
        <f t="shared" si="55"/>
        <v>0</v>
      </c>
    </row>
    <row r="598" spans="1:57">
      <c r="A598" s="9"/>
      <c r="B598" s="16" t="s">
        <v>172</v>
      </c>
      <c r="C598" s="89" t="s">
        <v>52</v>
      </c>
      <c r="D598" s="61" t="s">
        <v>892</v>
      </c>
      <c r="E598" s="13" t="s">
        <v>893</v>
      </c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ref="O598:O629" si="56">K598+V598-AE598-AZ598</f>
        <v>0</v>
      </c>
      <c r="P598" s="12"/>
      <c r="Q598" s="42"/>
      <c r="R598" s="15"/>
      <c r="S598" s="44"/>
      <c r="T598" s="15"/>
      <c r="U598" s="44"/>
      <c r="V598" s="15">
        <f t="shared" si="52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3"/>
        <v>0</v>
      </c>
      <c r="AF598" s="15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4"/>
        <v>0</v>
      </c>
      <c r="BA598" s="15"/>
      <c r="BB598" s="44"/>
      <c r="BC598" s="15"/>
      <c r="BD598" s="44"/>
      <c r="BE598" s="15">
        <f t="shared" si="55"/>
        <v>0</v>
      </c>
    </row>
    <row r="599" spans="1:57">
      <c r="A599" s="9"/>
      <c r="B599" s="16" t="s">
        <v>172</v>
      </c>
      <c r="C599" s="89" t="s">
        <v>52</v>
      </c>
      <c r="D599" s="61" t="s">
        <v>892</v>
      </c>
      <c r="E599" s="13" t="s">
        <v>894</v>
      </c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56"/>
        <v>0</v>
      </c>
      <c r="P599" s="12"/>
      <c r="Q599" s="42"/>
      <c r="R599" s="15"/>
      <c r="S599" s="44"/>
      <c r="T599" s="15"/>
      <c r="U599" s="44"/>
      <c r="V599" s="15">
        <f t="shared" si="52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3"/>
        <v>0</v>
      </c>
      <c r="AF599" s="15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4"/>
        <v>0</v>
      </c>
      <c r="BA599" s="15"/>
      <c r="BB599" s="44"/>
      <c r="BC599" s="15"/>
      <c r="BD599" s="44"/>
      <c r="BE599" s="15">
        <f t="shared" si="55"/>
        <v>0</v>
      </c>
    </row>
    <row r="600" spans="1:57">
      <c r="A600" s="9"/>
      <c r="B600" s="16" t="s">
        <v>172</v>
      </c>
      <c r="C600" s="89" t="s">
        <v>52</v>
      </c>
      <c r="D600" s="80" t="s">
        <v>895</v>
      </c>
      <c r="E600" s="13"/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56"/>
        <v>0</v>
      </c>
      <c r="P600" s="12"/>
      <c r="Q600" s="42"/>
      <c r="R600" s="15"/>
      <c r="S600" s="44"/>
      <c r="T600" s="15"/>
      <c r="U600" s="44"/>
      <c r="V600" s="15">
        <f t="shared" si="52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3"/>
        <v>0</v>
      </c>
      <c r="AF600" s="15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4"/>
        <v>0</v>
      </c>
      <c r="BA600" s="15"/>
      <c r="BB600" s="44"/>
      <c r="BC600" s="15"/>
      <c r="BD600" s="44"/>
      <c r="BE600" s="15">
        <f t="shared" si="55"/>
        <v>0</v>
      </c>
    </row>
    <row r="601" spans="1:57">
      <c r="A601" s="9"/>
      <c r="B601" s="16" t="s">
        <v>172</v>
      </c>
      <c r="C601" s="89" t="s">
        <v>52</v>
      </c>
      <c r="D601" s="80" t="s">
        <v>896</v>
      </c>
      <c r="E601" s="13"/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si="56"/>
        <v>0</v>
      </c>
      <c r="P601" s="12"/>
      <c r="Q601" s="42"/>
      <c r="R601" s="15"/>
      <c r="S601" s="44"/>
      <c r="T601" s="15"/>
      <c r="U601" s="44"/>
      <c r="V601" s="15">
        <f t="shared" si="52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3"/>
        <v>0</v>
      </c>
      <c r="AF601" s="15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4"/>
        <v>0</v>
      </c>
      <c r="BA601" s="15"/>
      <c r="BB601" s="44"/>
      <c r="BC601" s="15"/>
      <c r="BD601" s="44"/>
      <c r="BE601" s="15">
        <f t="shared" si="55"/>
        <v>0</v>
      </c>
    </row>
    <row r="602" spans="1:57">
      <c r="A602" s="9"/>
      <c r="B602" s="16" t="s">
        <v>172</v>
      </c>
      <c r="C602" s="89" t="s">
        <v>52</v>
      </c>
      <c r="D602" s="80" t="s">
        <v>897</v>
      </c>
      <c r="E602" s="13"/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6"/>
        <v>0</v>
      </c>
      <c r="P602" s="12"/>
      <c r="Q602" s="42"/>
      <c r="R602" s="15"/>
      <c r="S602" s="44"/>
      <c r="T602" s="15"/>
      <c r="U602" s="44"/>
      <c r="V602" s="15">
        <f t="shared" si="52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3"/>
        <v>0</v>
      </c>
      <c r="AF602" s="15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4"/>
        <v>0</v>
      </c>
      <c r="BA602" s="15"/>
      <c r="BB602" s="44"/>
      <c r="BC602" s="15"/>
      <c r="BD602" s="44"/>
      <c r="BE602" s="15">
        <f t="shared" si="55"/>
        <v>0</v>
      </c>
    </row>
    <row r="603" spans="1:57">
      <c r="A603" s="9"/>
      <c r="B603" s="16" t="s">
        <v>172</v>
      </c>
      <c r="C603" s="89" t="s">
        <v>52</v>
      </c>
      <c r="D603" s="80" t="s">
        <v>898</v>
      </c>
      <c r="E603" s="13" t="s">
        <v>899</v>
      </c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6"/>
        <v>0</v>
      </c>
      <c r="P603" s="12"/>
      <c r="Q603" s="42"/>
      <c r="R603" s="15"/>
      <c r="S603" s="44"/>
      <c r="T603" s="15"/>
      <c r="U603" s="44"/>
      <c r="V603" s="15">
        <f t="shared" si="52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3"/>
        <v>0</v>
      </c>
      <c r="AF603" s="15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4"/>
        <v>0</v>
      </c>
      <c r="BA603" s="15"/>
      <c r="BB603" s="44"/>
      <c r="BC603" s="15"/>
      <c r="BD603" s="44"/>
      <c r="BE603" s="15">
        <f t="shared" si="55"/>
        <v>0</v>
      </c>
    </row>
    <row r="604" spans="1:57">
      <c r="A604" s="9"/>
      <c r="B604" s="16" t="s">
        <v>172</v>
      </c>
      <c r="C604" s="89" t="s">
        <v>52</v>
      </c>
      <c r="D604" s="80" t="s">
        <v>900</v>
      </c>
      <c r="E604" s="13" t="s">
        <v>737</v>
      </c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6"/>
        <v>0</v>
      </c>
      <c r="P604" s="12"/>
      <c r="Q604" s="42"/>
      <c r="R604" s="15"/>
      <c r="S604" s="44"/>
      <c r="T604" s="15"/>
      <c r="U604" s="44"/>
      <c r="V604" s="15">
        <f t="shared" si="52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3"/>
        <v>0</v>
      </c>
      <c r="AF604" s="15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4"/>
        <v>0</v>
      </c>
      <c r="BA604" s="15"/>
      <c r="BB604" s="44"/>
      <c r="BC604" s="15"/>
      <c r="BD604" s="44"/>
      <c r="BE604" s="15">
        <f t="shared" si="55"/>
        <v>0</v>
      </c>
    </row>
    <row r="605" spans="1:57">
      <c r="A605" s="9"/>
      <c r="B605" s="16" t="s">
        <v>172</v>
      </c>
      <c r="C605" s="89" t="s">
        <v>52</v>
      </c>
      <c r="D605" s="80" t="s">
        <v>900</v>
      </c>
      <c r="E605" s="13" t="s">
        <v>136</v>
      </c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6"/>
        <v>0</v>
      </c>
      <c r="P605" s="12"/>
      <c r="Q605" s="42"/>
      <c r="R605" s="15"/>
      <c r="S605" s="44"/>
      <c r="T605" s="15"/>
      <c r="U605" s="44"/>
      <c r="V605" s="15">
        <f t="shared" si="52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3"/>
        <v>0</v>
      </c>
      <c r="AF605" s="15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4"/>
        <v>0</v>
      </c>
      <c r="BA605" s="15"/>
      <c r="BB605" s="44"/>
      <c r="BC605" s="15"/>
      <c r="BD605" s="44"/>
      <c r="BE605" s="15">
        <f t="shared" si="55"/>
        <v>0</v>
      </c>
    </row>
    <row r="606" spans="1:57">
      <c r="A606" s="9"/>
      <c r="B606" s="16" t="s">
        <v>120</v>
      </c>
      <c r="C606" s="89" t="s">
        <v>52</v>
      </c>
      <c r="D606" s="56" t="s">
        <v>901</v>
      </c>
      <c r="E606" s="13" t="s">
        <v>902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6"/>
        <v>0</v>
      </c>
      <c r="P606" s="12"/>
      <c r="Q606" s="42"/>
      <c r="R606" s="15"/>
      <c r="S606" s="44"/>
      <c r="T606" s="15"/>
      <c r="U606" s="44"/>
      <c r="V606" s="15">
        <f t="shared" si="52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3"/>
        <v>0</v>
      </c>
      <c r="AF606" s="15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4"/>
        <v>0</v>
      </c>
      <c r="BA606" s="15"/>
      <c r="BB606" s="44"/>
      <c r="BC606" s="15"/>
      <c r="BD606" s="44"/>
      <c r="BE606" s="15">
        <f t="shared" si="55"/>
        <v>0</v>
      </c>
    </row>
    <row r="607" spans="1:57">
      <c r="A607" s="9"/>
      <c r="B607" s="16" t="s">
        <v>120</v>
      </c>
      <c r="C607" s="89" t="s">
        <v>52</v>
      </c>
      <c r="D607" s="80" t="s">
        <v>202</v>
      </c>
      <c r="E607" s="13" t="s">
        <v>903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6"/>
        <v>0</v>
      </c>
      <c r="P607" s="12"/>
      <c r="Q607" s="42"/>
      <c r="R607" s="15"/>
      <c r="S607" s="44"/>
      <c r="T607" s="15"/>
      <c r="U607" s="44"/>
      <c r="V607" s="15">
        <f t="shared" si="52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3"/>
        <v>0</v>
      </c>
      <c r="AF607" s="15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4"/>
        <v>0</v>
      </c>
      <c r="BA607" s="15"/>
      <c r="BB607" s="44"/>
      <c r="BC607" s="15"/>
      <c r="BD607" s="44"/>
      <c r="BE607" s="15">
        <f t="shared" si="55"/>
        <v>0</v>
      </c>
    </row>
    <row r="608" spans="1:57">
      <c r="A608" s="9"/>
      <c r="B608" s="16" t="s">
        <v>120</v>
      </c>
      <c r="C608" s="89" t="s">
        <v>494</v>
      </c>
      <c r="D608" s="80" t="s">
        <v>904</v>
      </c>
      <c r="E608" s="13" t="s">
        <v>905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6"/>
        <v>0</v>
      </c>
      <c r="P608" s="12"/>
      <c r="Q608" s="42"/>
      <c r="R608" s="15"/>
      <c r="S608" s="44"/>
      <c r="T608" s="15"/>
      <c r="U608" s="44"/>
      <c r="V608" s="15">
        <f t="shared" si="52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3"/>
        <v>0</v>
      </c>
      <c r="AF608" s="15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4"/>
        <v>0</v>
      </c>
      <c r="BA608" s="15"/>
      <c r="BB608" s="44"/>
      <c r="BC608" s="15"/>
      <c r="BD608" s="44"/>
      <c r="BE608" s="15">
        <f t="shared" si="55"/>
        <v>0</v>
      </c>
    </row>
    <row r="609" spans="1:57">
      <c r="A609" s="9"/>
      <c r="B609" s="16" t="s">
        <v>120</v>
      </c>
      <c r="C609" s="89" t="s">
        <v>52</v>
      </c>
      <c r="D609" s="80" t="s">
        <v>881</v>
      </c>
      <c r="E609" s="13" t="s">
        <v>906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6"/>
        <v>0</v>
      </c>
      <c r="P609" s="12"/>
      <c r="Q609" s="42"/>
      <c r="R609" s="15"/>
      <c r="S609" s="44"/>
      <c r="T609" s="15"/>
      <c r="U609" s="44"/>
      <c r="V609" s="15">
        <f t="shared" si="52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3"/>
        <v>0</v>
      </c>
      <c r="AF609" s="15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4"/>
        <v>0</v>
      </c>
      <c r="BA609" s="15"/>
      <c r="BB609" s="44"/>
      <c r="BC609" s="15"/>
      <c r="BD609" s="44"/>
      <c r="BE609" s="15">
        <f t="shared" si="55"/>
        <v>0</v>
      </c>
    </row>
    <row r="610" spans="1:57">
      <c r="A610" s="9"/>
      <c r="B610" s="16" t="s">
        <v>120</v>
      </c>
      <c r="C610" s="89" t="s">
        <v>52</v>
      </c>
      <c r="D610" s="80" t="s">
        <v>907</v>
      </c>
      <c r="E610" s="13" t="s">
        <v>908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6"/>
        <v>0</v>
      </c>
      <c r="P610" s="12"/>
      <c r="Q610" s="42"/>
      <c r="R610" s="15"/>
      <c r="S610" s="44"/>
      <c r="T610" s="15"/>
      <c r="U610" s="44"/>
      <c r="V610" s="15">
        <f t="shared" si="52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3"/>
        <v>0</v>
      </c>
      <c r="AF610" s="15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4"/>
        <v>0</v>
      </c>
      <c r="BA610" s="15"/>
      <c r="BB610" s="44"/>
      <c r="BC610" s="15"/>
      <c r="BD610" s="44"/>
      <c r="BE610" s="15">
        <f t="shared" si="55"/>
        <v>0</v>
      </c>
    </row>
    <row r="611" spans="1:57" ht="60" customHeight="1">
      <c r="A611" s="9"/>
      <c r="B611" s="16" t="s">
        <v>120</v>
      </c>
      <c r="C611" s="89" t="s">
        <v>52</v>
      </c>
      <c r="D611" s="83" t="s">
        <v>909</v>
      </c>
      <c r="E611" s="13" t="s">
        <v>910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6"/>
        <v>0</v>
      </c>
      <c r="P611" s="12"/>
      <c r="Q611" s="42"/>
      <c r="R611" s="15"/>
      <c r="S611" s="44"/>
      <c r="T611" s="15"/>
      <c r="U611" s="44"/>
      <c r="V611" s="15">
        <f t="shared" ref="V611:V642" si="57">P611+R611+T611</f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ref="AE611:AE642" si="58">(W611+Y611+AA611+AC611)</f>
        <v>0</v>
      </c>
      <c r="AF611" s="15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ref="AZ611:AZ642" si="59">AF611+AH611+AJ611+AL611+AN611+AP611+AR611+AT611+AV611+AX611</f>
        <v>0</v>
      </c>
      <c r="BA611" s="15"/>
      <c r="BB611" s="44"/>
      <c r="BC611" s="15"/>
      <c r="BD611" s="44"/>
      <c r="BE611" s="15">
        <f t="shared" ref="BE611:BE642" si="60">(BA611+BC611)</f>
        <v>0</v>
      </c>
    </row>
    <row r="612" spans="1:57">
      <c r="A612" s="9"/>
      <c r="B612" s="16" t="s">
        <v>120</v>
      </c>
      <c r="C612" s="89" t="s">
        <v>52</v>
      </c>
      <c r="D612" s="56" t="s">
        <v>911</v>
      </c>
      <c r="E612" s="13" t="s">
        <v>525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6"/>
        <v>0</v>
      </c>
      <c r="P612" s="12"/>
      <c r="Q612" s="42"/>
      <c r="R612" s="15"/>
      <c r="S612" s="44"/>
      <c r="T612" s="15"/>
      <c r="U612" s="44"/>
      <c r="V612" s="15">
        <f t="shared" si="57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8"/>
        <v>0</v>
      </c>
      <c r="AF612" s="15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9"/>
        <v>0</v>
      </c>
      <c r="BA612" s="15"/>
      <c r="BB612" s="44"/>
      <c r="BC612" s="15"/>
      <c r="BD612" s="44"/>
      <c r="BE612" s="15">
        <f t="shared" si="60"/>
        <v>0</v>
      </c>
    </row>
    <row r="613" spans="1:57">
      <c r="A613" s="9"/>
      <c r="B613" s="16" t="s">
        <v>120</v>
      </c>
      <c r="C613" s="89" t="s">
        <v>52</v>
      </c>
      <c r="D613" s="56" t="s">
        <v>912</v>
      </c>
      <c r="E613" s="13" t="s">
        <v>913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6"/>
        <v>0</v>
      </c>
      <c r="P613" s="12"/>
      <c r="Q613" s="42"/>
      <c r="R613" s="15"/>
      <c r="S613" s="44"/>
      <c r="T613" s="15"/>
      <c r="U613" s="44"/>
      <c r="V613" s="15">
        <f t="shared" si="57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8"/>
        <v>0</v>
      </c>
      <c r="AF613" s="15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9"/>
        <v>0</v>
      </c>
      <c r="BA613" s="15"/>
      <c r="BB613" s="44"/>
      <c r="BC613" s="15"/>
      <c r="BD613" s="44"/>
      <c r="BE613" s="15">
        <f t="shared" si="60"/>
        <v>0</v>
      </c>
    </row>
    <row r="614" spans="1:57">
      <c r="A614" s="9"/>
      <c r="B614" s="16" t="s">
        <v>120</v>
      </c>
      <c r="C614" s="89" t="s">
        <v>52</v>
      </c>
      <c r="D614" s="56" t="s">
        <v>914</v>
      </c>
      <c r="E614" s="13" t="s">
        <v>915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6"/>
        <v>0</v>
      </c>
      <c r="P614" s="12"/>
      <c r="Q614" s="42"/>
      <c r="R614" s="15"/>
      <c r="S614" s="44"/>
      <c r="T614" s="15"/>
      <c r="U614" s="44"/>
      <c r="V614" s="15">
        <f t="shared" si="57"/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si="58"/>
        <v>0</v>
      </c>
      <c r="AF614" s="15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si="59"/>
        <v>0</v>
      </c>
      <c r="BA614" s="15"/>
      <c r="BB614" s="44"/>
      <c r="BC614" s="15"/>
      <c r="BD614" s="44"/>
      <c r="BE614" s="15">
        <f t="shared" si="60"/>
        <v>0</v>
      </c>
    </row>
    <row r="615" spans="1:57">
      <c r="A615" s="9"/>
      <c r="B615" s="16" t="s">
        <v>187</v>
      </c>
      <c r="C615" s="89" t="s">
        <v>494</v>
      </c>
      <c r="D615" s="80" t="s">
        <v>916</v>
      </c>
      <c r="E615" s="13" t="s">
        <v>917</v>
      </c>
      <c r="F615" s="96"/>
      <c r="G615" s="9"/>
      <c r="H615" s="9" t="s">
        <v>527</v>
      </c>
      <c r="I615" s="14"/>
      <c r="J615" s="14"/>
      <c r="K615" s="12">
        <v>0</v>
      </c>
      <c r="L615" s="9"/>
      <c r="M615" s="9"/>
      <c r="N615" s="9"/>
      <c r="O615" s="38">
        <f t="shared" si="56"/>
        <v>0</v>
      </c>
      <c r="P615" s="12"/>
      <c r="Q615" s="42"/>
      <c r="R615" s="15"/>
      <c r="S615" s="44"/>
      <c r="T615" s="15"/>
      <c r="U615" s="44"/>
      <c r="V615" s="15">
        <f t="shared" si="57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8"/>
        <v>0</v>
      </c>
      <c r="AF615" s="15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59"/>
        <v>0</v>
      </c>
      <c r="BA615" s="15"/>
      <c r="BB615" s="44"/>
      <c r="BC615" s="15"/>
      <c r="BD615" s="44"/>
      <c r="BE615" s="15">
        <f t="shared" si="60"/>
        <v>0</v>
      </c>
    </row>
    <row r="616" spans="1:57">
      <c r="A616" s="9"/>
      <c r="B616" s="16" t="s">
        <v>528</v>
      </c>
      <c r="C616" s="89" t="s">
        <v>494</v>
      </c>
      <c r="D616" s="80" t="s">
        <v>918</v>
      </c>
      <c r="E616" s="13" t="s">
        <v>917</v>
      </c>
      <c r="F616" s="96"/>
      <c r="G616" s="9"/>
      <c r="H616" s="9" t="s">
        <v>527</v>
      </c>
      <c r="I616" s="14"/>
      <c r="J616" s="14"/>
      <c r="K616" s="12">
        <v>0</v>
      </c>
      <c r="L616" s="9"/>
      <c r="M616" s="9"/>
      <c r="N616" s="9"/>
      <c r="O616" s="38">
        <f t="shared" si="56"/>
        <v>0</v>
      </c>
      <c r="P616" s="12"/>
      <c r="Q616" s="42"/>
      <c r="R616" s="15"/>
      <c r="S616" s="44"/>
      <c r="T616" s="15"/>
      <c r="U616" s="44"/>
      <c r="V616" s="15">
        <f t="shared" si="57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8"/>
        <v>0</v>
      </c>
      <c r="AF616" s="15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59"/>
        <v>0</v>
      </c>
      <c r="BA616" s="15"/>
      <c r="BB616" s="44"/>
      <c r="BC616" s="15"/>
      <c r="BD616" s="44"/>
      <c r="BE616" s="15">
        <f t="shared" si="60"/>
        <v>0</v>
      </c>
    </row>
    <row r="617" spans="1:57">
      <c r="A617" s="9"/>
      <c r="B617" s="16" t="s">
        <v>204</v>
      </c>
      <c r="C617" s="89" t="s">
        <v>52</v>
      </c>
      <c r="D617" s="80" t="s">
        <v>919</v>
      </c>
      <c r="E617" s="13" t="s">
        <v>531</v>
      </c>
      <c r="F617" s="96"/>
      <c r="G617" s="9"/>
      <c r="H617" s="9" t="s">
        <v>207</v>
      </c>
      <c r="I617" s="14"/>
      <c r="J617" s="14"/>
      <c r="K617" s="12">
        <v>0</v>
      </c>
      <c r="L617" s="9"/>
      <c r="M617" s="9"/>
      <c r="N617" s="9"/>
      <c r="O617" s="38">
        <f t="shared" si="56"/>
        <v>0</v>
      </c>
      <c r="P617" s="12"/>
      <c r="Q617" s="42"/>
      <c r="R617" s="15"/>
      <c r="S617" s="44"/>
      <c r="T617" s="15"/>
      <c r="U617" s="44"/>
      <c r="V617" s="15">
        <f t="shared" si="57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8"/>
        <v>0</v>
      </c>
      <c r="AF617" s="15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59"/>
        <v>0</v>
      </c>
      <c r="BA617" s="15"/>
      <c r="BB617" s="44"/>
      <c r="BC617" s="15"/>
      <c r="BD617" s="44"/>
      <c r="BE617" s="15">
        <f t="shared" si="60"/>
        <v>0</v>
      </c>
    </row>
    <row r="618" spans="1:57">
      <c r="A618" s="9"/>
      <c r="B618" s="16" t="s">
        <v>204</v>
      </c>
      <c r="C618" s="89" t="s">
        <v>52</v>
      </c>
      <c r="D618" s="80" t="s">
        <v>920</v>
      </c>
      <c r="E618" s="13" t="s">
        <v>531</v>
      </c>
      <c r="F618" s="96"/>
      <c r="G618" s="9"/>
      <c r="H618" s="9" t="s">
        <v>207</v>
      </c>
      <c r="I618" s="14"/>
      <c r="J618" s="14"/>
      <c r="K618" s="12">
        <v>0</v>
      </c>
      <c r="L618" s="9"/>
      <c r="M618" s="9"/>
      <c r="N618" s="9"/>
      <c r="O618" s="38">
        <f t="shared" si="56"/>
        <v>0</v>
      </c>
      <c r="P618" s="12"/>
      <c r="Q618" s="42"/>
      <c r="R618" s="15"/>
      <c r="S618" s="44"/>
      <c r="T618" s="15"/>
      <c r="U618" s="44"/>
      <c r="V618" s="15">
        <f t="shared" si="57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8"/>
        <v>0</v>
      </c>
      <c r="AF618" s="15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59"/>
        <v>0</v>
      </c>
      <c r="BA618" s="15"/>
      <c r="BB618" s="44"/>
      <c r="BC618" s="15"/>
      <c r="BD618" s="44"/>
      <c r="BE618" s="15">
        <f t="shared" si="60"/>
        <v>0</v>
      </c>
    </row>
    <row r="619" spans="1:57">
      <c r="A619" s="9"/>
      <c r="B619" s="16" t="s">
        <v>204</v>
      </c>
      <c r="C619" s="89" t="s">
        <v>52</v>
      </c>
      <c r="D619" s="80" t="s">
        <v>921</v>
      </c>
      <c r="E619" s="13" t="s">
        <v>531</v>
      </c>
      <c r="F619" s="96"/>
      <c r="G619" s="9"/>
      <c r="H619" s="9" t="s">
        <v>207</v>
      </c>
      <c r="I619" s="14"/>
      <c r="J619" s="14"/>
      <c r="K619" s="12">
        <v>0</v>
      </c>
      <c r="L619" s="9"/>
      <c r="M619" s="9"/>
      <c r="N619" s="9"/>
      <c r="O619" s="38">
        <f t="shared" si="56"/>
        <v>0</v>
      </c>
      <c r="P619" s="12"/>
      <c r="Q619" s="42"/>
      <c r="R619" s="15"/>
      <c r="S619" s="44"/>
      <c r="T619" s="15"/>
      <c r="U619" s="44"/>
      <c r="V619" s="15">
        <f t="shared" si="57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8"/>
        <v>0</v>
      </c>
      <c r="AF619" s="15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59"/>
        <v>0</v>
      </c>
      <c r="BA619" s="15"/>
      <c r="BB619" s="44"/>
      <c r="BC619" s="15"/>
      <c r="BD619" s="44"/>
      <c r="BE619" s="15">
        <f t="shared" si="60"/>
        <v>0</v>
      </c>
    </row>
    <row r="620" spans="1:57">
      <c r="A620" s="9"/>
      <c r="B620" s="16" t="s">
        <v>204</v>
      </c>
      <c r="C620" s="89" t="s">
        <v>52</v>
      </c>
      <c r="D620" s="80" t="s">
        <v>922</v>
      </c>
      <c r="E620" s="13" t="s">
        <v>923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6"/>
        <v>0</v>
      </c>
      <c r="P620" s="12"/>
      <c r="Q620" s="42"/>
      <c r="R620" s="15"/>
      <c r="S620" s="44"/>
      <c r="T620" s="15"/>
      <c r="U620" s="44"/>
      <c r="V620" s="15">
        <f t="shared" si="57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8"/>
        <v>0</v>
      </c>
      <c r="AF620" s="15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59"/>
        <v>0</v>
      </c>
      <c r="BA620" s="15"/>
      <c r="BB620" s="44"/>
      <c r="BC620" s="15"/>
      <c r="BD620" s="44"/>
      <c r="BE620" s="15">
        <f t="shared" si="60"/>
        <v>0</v>
      </c>
    </row>
    <row r="621" spans="1:57" ht="36" customHeight="1">
      <c r="A621" s="9"/>
      <c r="B621" s="16" t="s">
        <v>204</v>
      </c>
      <c r="C621" s="89" t="s">
        <v>52</v>
      </c>
      <c r="D621" s="82" t="s">
        <v>924</v>
      </c>
      <c r="E621" s="22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6"/>
        <v>0</v>
      </c>
      <c r="P621" s="12"/>
      <c r="Q621" s="42"/>
      <c r="R621" s="15"/>
      <c r="S621" s="44"/>
      <c r="T621" s="15"/>
      <c r="U621" s="44"/>
      <c r="V621" s="15">
        <f t="shared" si="57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8"/>
        <v>0</v>
      </c>
      <c r="AF621" s="15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59"/>
        <v>0</v>
      </c>
      <c r="BA621" s="15"/>
      <c r="BB621" s="44"/>
      <c r="BC621" s="15"/>
      <c r="BD621" s="44"/>
      <c r="BE621" s="15">
        <f t="shared" si="60"/>
        <v>0</v>
      </c>
    </row>
    <row r="622" spans="1:57" ht="24" customHeight="1">
      <c r="A622" s="9"/>
      <c r="B622" s="16" t="s">
        <v>233</v>
      </c>
      <c r="C622" s="89" t="s">
        <v>52</v>
      </c>
      <c r="D622" s="82" t="s">
        <v>405</v>
      </c>
      <c r="E622" s="22" t="s">
        <v>925</v>
      </c>
      <c r="F622" s="96"/>
      <c r="G622" s="9"/>
      <c r="H622" s="9" t="s">
        <v>558</v>
      </c>
      <c r="I622" s="14"/>
      <c r="J622" s="14"/>
      <c r="K622" s="12">
        <v>0</v>
      </c>
      <c r="L622" s="9"/>
      <c r="M622" s="9"/>
      <c r="N622" s="9"/>
      <c r="O622" s="38">
        <f t="shared" si="56"/>
        <v>0</v>
      </c>
      <c r="P622" s="12"/>
      <c r="Q622" s="42"/>
      <c r="R622" s="15"/>
      <c r="S622" s="44"/>
      <c r="T622" s="15"/>
      <c r="U622" s="44"/>
      <c r="V622" s="15">
        <f t="shared" si="57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8"/>
        <v>0</v>
      </c>
      <c r="AF622" s="15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59"/>
        <v>0</v>
      </c>
      <c r="BA622" s="15"/>
      <c r="BB622" s="44"/>
      <c r="BC622" s="15"/>
      <c r="BD622" s="44"/>
      <c r="BE622" s="15">
        <f t="shared" si="60"/>
        <v>0</v>
      </c>
    </row>
    <row r="623" spans="1:57">
      <c r="A623" s="9"/>
      <c r="B623" s="16" t="s">
        <v>926</v>
      </c>
      <c r="C623" s="89" t="s">
        <v>52</v>
      </c>
      <c r="D623" s="80" t="s">
        <v>927</v>
      </c>
      <c r="E623" s="13" t="s">
        <v>565</v>
      </c>
      <c r="F623" s="96"/>
      <c r="G623" s="9"/>
      <c r="H623" s="9" t="s">
        <v>566</v>
      </c>
      <c r="I623" s="14"/>
      <c r="J623" s="14"/>
      <c r="K623" s="12">
        <v>0</v>
      </c>
      <c r="L623" s="9"/>
      <c r="M623" s="9"/>
      <c r="N623" s="9"/>
      <c r="O623" s="38">
        <f t="shared" si="56"/>
        <v>0</v>
      </c>
      <c r="P623" s="12"/>
      <c r="Q623" s="42"/>
      <c r="R623" s="15"/>
      <c r="S623" s="44"/>
      <c r="T623" s="15"/>
      <c r="U623" s="44"/>
      <c r="V623" s="15">
        <f t="shared" si="57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8"/>
        <v>0</v>
      </c>
      <c r="AF623" s="15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59"/>
        <v>0</v>
      </c>
      <c r="BA623" s="15"/>
      <c r="BB623" s="44"/>
      <c r="BC623" s="15"/>
      <c r="BD623" s="44"/>
      <c r="BE623" s="15">
        <f t="shared" si="60"/>
        <v>0</v>
      </c>
    </row>
    <row r="624" spans="1:57">
      <c r="A624" s="9"/>
      <c r="B624" s="16" t="s">
        <v>926</v>
      </c>
      <c r="C624" s="89" t="s">
        <v>52</v>
      </c>
      <c r="D624" s="56" t="s">
        <v>928</v>
      </c>
      <c r="E624" s="13" t="s">
        <v>929</v>
      </c>
      <c r="F624" s="96"/>
      <c r="G624" s="9"/>
      <c r="H624" s="9" t="s">
        <v>566</v>
      </c>
      <c r="I624" s="14"/>
      <c r="J624" s="14"/>
      <c r="K624" s="12">
        <v>0</v>
      </c>
      <c r="L624" s="9"/>
      <c r="M624" s="9"/>
      <c r="N624" s="9"/>
      <c r="O624" s="38">
        <f t="shared" si="56"/>
        <v>0</v>
      </c>
      <c r="P624" s="12"/>
      <c r="Q624" s="42"/>
      <c r="R624" s="15"/>
      <c r="S624" s="44"/>
      <c r="T624" s="15"/>
      <c r="U624" s="44"/>
      <c r="V624" s="15">
        <f t="shared" si="57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8"/>
        <v>0</v>
      </c>
      <c r="AF624" s="15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59"/>
        <v>0</v>
      </c>
      <c r="BA624" s="15"/>
      <c r="BB624" s="44"/>
      <c r="BC624" s="15"/>
      <c r="BD624" s="44"/>
      <c r="BE624" s="15">
        <f t="shared" si="60"/>
        <v>0</v>
      </c>
    </row>
    <row r="625" spans="1:57">
      <c r="A625" s="9"/>
      <c r="B625" s="16" t="s">
        <v>926</v>
      </c>
      <c r="C625" s="89" t="s">
        <v>52</v>
      </c>
      <c r="D625" s="56" t="s">
        <v>930</v>
      </c>
      <c r="E625" s="13"/>
      <c r="F625" s="96"/>
      <c r="G625" s="9"/>
      <c r="H625" s="9" t="s">
        <v>566</v>
      </c>
      <c r="I625" s="14"/>
      <c r="J625" s="14"/>
      <c r="K625" s="12">
        <v>23</v>
      </c>
      <c r="L625" s="9"/>
      <c r="M625" s="9"/>
      <c r="N625" s="9"/>
      <c r="O625" s="38">
        <f t="shared" si="56"/>
        <v>23</v>
      </c>
      <c r="P625" s="12"/>
      <c r="Q625" s="42"/>
      <c r="R625" s="15"/>
      <c r="S625" s="44"/>
      <c r="T625" s="15"/>
      <c r="U625" s="44"/>
      <c r="V625" s="15">
        <f t="shared" si="57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8"/>
        <v>0</v>
      </c>
      <c r="AF625" s="15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59"/>
        <v>0</v>
      </c>
      <c r="BA625" s="15"/>
      <c r="BB625" s="44"/>
      <c r="BC625" s="15"/>
      <c r="BD625" s="44"/>
      <c r="BE625" s="15">
        <f t="shared" si="60"/>
        <v>0</v>
      </c>
    </row>
    <row r="626" spans="1:57">
      <c r="A626" s="9"/>
      <c r="B626" s="16" t="s">
        <v>155</v>
      </c>
      <c r="C626" s="89" t="s">
        <v>52</v>
      </c>
      <c r="D626" s="56" t="s">
        <v>931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6"/>
        <v>0</v>
      </c>
      <c r="P626" s="12"/>
      <c r="Q626" s="42"/>
      <c r="R626" s="15"/>
      <c r="S626" s="44"/>
      <c r="T626" s="15"/>
      <c r="U626" s="44"/>
      <c r="V626" s="15">
        <f t="shared" si="57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8"/>
        <v>0</v>
      </c>
      <c r="AF626" s="15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59"/>
        <v>0</v>
      </c>
      <c r="BA626" s="15"/>
      <c r="BB626" s="44"/>
      <c r="BC626" s="15"/>
      <c r="BD626" s="44"/>
      <c r="BE626" s="15">
        <f t="shared" si="60"/>
        <v>0</v>
      </c>
    </row>
    <row r="627" spans="1:57">
      <c r="A627" s="9"/>
      <c r="B627" s="16" t="s">
        <v>155</v>
      </c>
      <c r="C627" s="89" t="s">
        <v>52</v>
      </c>
      <c r="D627" s="59" t="s">
        <v>932</v>
      </c>
      <c r="E627" s="13" t="s">
        <v>569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6"/>
        <v>0</v>
      </c>
      <c r="P627" s="12"/>
      <c r="Q627" s="42"/>
      <c r="R627" s="15"/>
      <c r="S627" s="44"/>
      <c r="T627" s="15"/>
      <c r="U627" s="44"/>
      <c r="V627" s="15">
        <f t="shared" si="57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8"/>
        <v>0</v>
      </c>
      <c r="AF627" s="15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59"/>
        <v>0</v>
      </c>
      <c r="BA627" s="15"/>
      <c r="BB627" s="44"/>
      <c r="BC627" s="15"/>
      <c r="BD627" s="44"/>
      <c r="BE627" s="15">
        <f t="shared" si="60"/>
        <v>0</v>
      </c>
    </row>
    <row r="628" spans="1:57">
      <c r="A628" s="9"/>
      <c r="B628" s="16" t="s">
        <v>155</v>
      </c>
      <c r="C628" s="89" t="s">
        <v>52</v>
      </c>
      <c r="D628" s="59" t="s">
        <v>933</v>
      </c>
      <c r="E628" s="13" t="s">
        <v>565</v>
      </c>
      <c r="F628" s="96"/>
      <c r="G628" s="9"/>
      <c r="H628" s="9" t="s">
        <v>314</v>
      </c>
      <c r="I628" s="14"/>
      <c r="J628" s="14"/>
      <c r="K628" s="12">
        <v>0</v>
      </c>
      <c r="L628" s="9"/>
      <c r="M628" s="9"/>
      <c r="N628" s="9"/>
      <c r="O628" s="38">
        <f t="shared" si="56"/>
        <v>0</v>
      </c>
      <c r="P628" s="12"/>
      <c r="Q628" s="42"/>
      <c r="R628" s="15"/>
      <c r="S628" s="44"/>
      <c r="T628" s="15"/>
      <c r="U628" s="44"/>
      <c r="V628" s="15">
        <f t="shared" si="57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8"/>
        <v>0</v>
      </c>
      <c r="AF628" s="15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59"/>
        <v>0</v>
      </c>
      <c r="BA628" s="15"/>
      <c r="BB628" s="44"/>
      <c r="BC628" s="15"/>
      <c r="BD628" s="44"/>
      <c r="BE628" s="15">
        <f t="shared" si="60"/>
        <v>0</v>
      </c>
    </row>
    <row r="629" spans="1:57">
      <c r="A629" s="9"/>
      <c r="B629" s="16" t="s">
        <v>330</v>
      </c>
      <c r="C629" s="89" t="s">
        <v>52</v>
      </c>
      <c r="D629" s="56" t="s">
        <v>934</v>
      </c>
      <c r="E629" s="13" t="s">
        <v>330</v>
      </c>
      <c r="F629" s="96"/>
      <c r="G629" s="9"/>
      <c r="H629" s="9" t="s">
        <v>467</v>
      </c>
      <c r="I629" s="14"/>
      <c r="J629" s="14"/>
      <c r="K629" s="12">
        <v>0</v>
      </c>
      <c r="L629" s="9"/>
      <c r="M629" s="9"/>
      <c r="N629" s="9"/>
      <c r="O629" s="38">
        <f t="shared" si="56"/>
        <v>0</v>
      </c>
      <c r="P629" s="12"/>
      <c r="Q629" s="42"/>
      <c r="R629" s="15"/>
      <c r="S629" s="44"/>
      <c r="T629" s="15"/>
      <c r="U629" s="44"/>
      <c r="V629" s="15">
        <f t="shared" si="57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8"/>
        <v>0</v>
      </c>
      <c r="AF629" s="15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59"/>
        <v>0</v>
      </c>
      <c r="BA629" s="15"/>
      <c r="BB629" s="44"/>
      <c r="BC629" s="15"/>
      <c r="BD629" s="44"/>
      <c r="BE629" s="15">
        <f t="shared" si="60"/>
        <v>0</v>
      </c>
    </row>
    <row r="630" spans="1:57">
      <c r="A630" s="9"/>
      <c r="B630" s="16" t="s">
        <v>330</v>
      </c>
      <c r="C630" s="89" t="s">
        <v>52</v>
      </c>
      <c r="D630" s="56" t="s">
        <v>935</v>
      </c>
      <c r="E630" s="13"/>
      <c r="F630" s="96"/>
      <c r="G630" s="9"/>
      <c r="H630" s="9" t="s">
        <v>467</v>
      </c>
      <c r="I630" s="14"/>
      <c r="J630" s="14"/>
      <c r="K630" s="12">
        <v>0</v>
      </c>
      <c r="L630" s="9"/>
      <c r="M630" s="9"/>
      <c r="N630" s="9"/>
      <c r="O630" s="38">
        <f t="shared" ref="O630:O651" si="61">K630+V630-AE630-AZ630</f>
        <v>0</v>
      </c>
      <c r="P630" s="12"/>
      <c r="Q630" s="42"/>
      <c r="R630" s="15"/>
      <c r="S630" s="44"/>
      <c r="T630" s="15"/>
      <c r="U630" s="44"/>
      <c r="V630" s="15">
        <f t="shared" si="57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8"/>
        <v>0</v>
      </c>
      <c r="AF630" s="15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59"/>
        <v>0</v>
      </c>
      <c r="BA630" s="15"/>
      <c r="BB630" s="44"/>
      <c r="BC630" s="15"/>
      <c r="BD630" s="44"/>
      <c r="BE630" s="15">
        <f t="shared" si="60"/>
        <v>0</v>
      </c>
    </row>
    <row r="631" spans="1:57">
      <c r="A631" s="9"/>
      <c r="B631" s="16" t="s">
        <v>574</v>
      </c>
      <c r="C631" s="89" t="s">
        <v>52</v>
      </c>
      <c r="D631" s="59" t="s">
        <v>577</v>
      </c>
      <c r="E631" s="13"/>
      <c r="F631" s="96"/>
      <c r="G631" s="9"/>
      <c r="H631" s="9" t="s">
        <v>576</v>
      </c>
      <c r="I631" s="14"/>
      <c r="J631" s="14"/>
      <c r="K631" s="12">
        <v>0</v>
      </c>
      <c r="L631" s="9"/>
      <c r="M631" s="9"/>
      <c r="N631" s="9"/>
      <c r="O631" s="38">
        <f t="shared" si="61"/>
        <v>0</v>
      </c>
      <c r="P631" s="12"/>
      <c r="Q631" s="42"/>
      <c r="R631" s="15"/>
      <c r="S631" s="44"/>
      <c r="T631" s="15"/>
      <c r="U631" s="44"/>
      <c r="V631" s="15">
        <f t="shared" si="57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8"/>
        <v>0</v>
      </c>
      <c r="AF631" s="15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59"/>
        <v>0</v>
      </c>
      <c r="BA631" s="15"/>
      <c r="BB631" s="44"/>
      <c r="BC631" s="15"/>
      <c r="BD631" s="44"/>
      <c r="BE631" s="15">
        <f t="shared" si="60"/>
        <v>0</v>
      </c>
    </row>
    <row r="632" spans="1:57">
      <c r="A632" s="9"/>
      <c r="B632" s="16" t="s">
        <v>574</v>
      </c>
      <c r="C632" s="89" t="s">
        <v>494</v>
      </c>
      <c r="D632" s="56" t="s">
        <v>577</v>
      </c>
      <c r="E632" s="13"/>
      <c r="F632" s="96"/>
      <c r="G632" s="9"/>
      <c r="H632" s="9" t="s">
        <v>576</v>
      </c>
      <c r="I632" s="14"/>
      <c r="J632" s="14"/>
      <c r="K632" s="12">
        <v>0</v>
      </c>
      <c r="L632" s="9"/>
      <c r="M632" s="9"/>
      <c r="N632" s="9"/>
      <c r="O632" s="38">
        <f t="shared" si="61"/>
        <v>0</v>
      </c>
      <c r="P632" s="12"/>
      <c r="Q632" s="42"/>
      <c r="R632" s="15"/>
      <c r="S632" s="44"/>
      <c r="T632" s="15"/>
      <c r="U632" s="44"/>
      <c r="V632" s="15">
        <f t="shared" si="57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8"/>
        <v>0</v>
      </c>
      <c r="AF632" s="15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59"/>
        <v>0</v>
      </c>
      <c r="BA632" s="15"/>
      <c r="BB632" s="44"/>
      <c r="BC632" s="15"/>
      <c r="BD632" s="44"/>
      <c r="BE632" s="15">
        <f t="shared" si="60"/>
        <v>0</v>
      </c>
    </row>
    <row r="633" spans="1:57">
      <c r="A633" s="9"/>
      <c r="B633" s="16" t="s">
        <v>574</v>
      </c>
      <c r="C633" s="89" t="s">
        <v>494</v>
      </c>
      <c r="D633" s="59" t="s">
        <v>577</v>
      </c>
      <c r="E633" s="13" t="s">
        <v>936</v>
      </c>
      <c r="F633" s="96"/>
      <c r="G633" s="9"/>
      <c r="H633" s="9" t="s">
        <v>576</v>
      </c>
      <c r="I633" s="14"/>
      <c r="J633" s="14"/>
      <c r="K633" s="12">
        <v>0</v>
      </c>
      <c r="L633" s="9"/>
      <c r="M633" s="9"/>
      <c r="N633" s="9"/>
      <c r="O633" s="38">
        <f t="shared" si="61"/>
        <v>0</v>
      </c>
      <c r="P633" s="12"/>
      <c r="Q633" s="42"/>
      <c r="R633" s="15"/>
      <c r="S633" s="44"/>
      <c r="T633" s="15"/>
      <c r="U633" s="44"/>
      <c r="V633" s="15">
        <f t="shared" si="57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8"/>
        <v>0</v>
      </c>
      <c r="AF633" s="15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59"/>
        <v>0</v>
      </c>
      <c r="BA633" s="15"/>
      <c r="BB633" s="44"/>
      <c r="BC633" s="15"/>
      <c r="BD633" s="44"/>
      <c r="BE633" s="15">
        <f t="shared" si="60"/>
        <v>0</v>
      </c>
    </row>
    <row r="634" spans="1:57">
      <c r="A634" s="9"/>
      <c r="B634" s="16" t="s">
        <v>244</v>
      </c>
      <c r="C634" s="89" t="s">
        <v>52</v>
      </c>
      <c r="D634" s="59" t="s">
        <v>937</v>
      </c>
      <c r="E634" s="13" t="s">
        <v>246</v>
      </c>
      <c r="F634" s="96"/>
      <c r="G634" s="9"/>
      <c r="H634" s="9" t="s">
        <v>247</v>
      </c>
      <c r="I634" s="14"/>
      <c r="J634" s="14"/>
      <c r="K634" s="12">
        <v>0</v>
      </c>
      <c r="L634" s="9"/>
      <c r="M634" s="9"/>
      <c r="N634" s="9"/>
      <c r="O634" s="38">
        <f t="shared" si="61"/>
        <v>0</v>
      </c>
      <c r="P634" s="12"/>
      <c r="Q634" s="42"/>
      <c r="R634" s="15"/>
      <c r="S634" s="44"/>
      <c r="T634" s="15"/>
      <c r="U634" s="44"/>
      <c r="V634" s="15">
        <f t="shared" si="57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8"/>
        <v>0</v>
      </c>
      <c r="AF634" s="15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59"/>
        <v>0</v>
      </c>
      <c r="BA634" s="15"/>
      <c r="BB634" s="44"/>
      <c r="BC634" s="15"/>
      <c r="BD634" s="44"/>
      <c r="BE634" s="15">
        <f t="shared" si="60"/>
        <v>0</v>
      </c>
    </row>
    <row r="635" spans="1:57">
      <c r="A635" s="9"/>
      <c r="B635" s="16" t="s">
        <v>244</v>
      </c>
      <c r="C635" s="89" t="s">
        <v>52</v>
      </c>
      <c r="D635" s="56" t="s">
        <v>938</v>
      </c>
      <c r="E635" s="13" t="s">
        <v>246</v>
      </c>
      <c r="F635" s="96"/>
      <c r="G635" s="9"/>
      <c r="H635" s="9" t="s">
        <v>247</v>
      </c>
      <c r="I635" s="14"/>
      <c r="J635" s="14"/>
      <c r="K635" s="12">
        <v>0</v>
      </c>
      <c r="L635" s="9"/>
      <c r="M635" s="9"/>
      <c r="N635" s="9"/>
      <c r="O635" s="38">
        <f t="shared" si="61"/>
        <v>0</v>
      </c>
      <c r="P635" s="12"/>
      <c r="Q635" s="42"/>
      <c r="R635" s="15"/>
      <c r="S635" s="44"/>
      <c r="T635" s="15"/>
      <c r="U635" s="44"/>
      <c r="V635" s="15">
        <f t="shared" si="57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8"/>
        <v>0</v>
      </c>
      <c r="AF635" s="15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59"/>
        <v>0</v>
      </c>
      <c r="BA635" s="15"/>
      <c r="BB635" s="44"/>
      <c r="BC635" s="15"/>
      <c r="BD635" s="44"/>
      <c r="BE635" s="15">
        <f t="shared" si="60"/>
        <v>0</v>
      </c>
    </row>
    <row r="636" spans="1:57">
      <c r="A636" s="9">
        <v>999</v>
      </c>
      <c r="B636" s="16" t="s">
        <v>204</v>
      </c>
      <c r="C636" s="89" t="s">
        <v>52</v>
      </c>
      <c r="D636" s="56" t="s">
        <v>939</v>
      </c>
      <c r="E636" s="13" t="s">
        <v>940</v>
      </c>
      <c r="F636" s="96"/>
      <c r="G636" s="9"/>
      <c r="H636" s="9" t="s">
        <v>207</v>
      </c>
      <c r="I636" s="14"/>
      <c r="J636" s="14"/>
      <c r="K636" s="12">
        <v>0</v>
      </c>
      <c r="L636" s="9"/>
      <c r="M636" s="9"/>
      <c r="N636" s="9"/>
      <c r="O636" s="38">
        <f t="shared" si="61"/>
        <v>0</v>
      </c>
      <c r="P636" s="12"/>
      <c r="Q636" s="42"/>
      <c r="R636" s="15"/>
      <c r="S636" s="44"/>
      <c r="T636" s="15"/>
      <c r="U636" s="44"/>
      <c r="V636" s="15">
        <f t="shared" si="57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8"/>
        <v>0</v>
      </c>
      <c r="AF636" s="15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59"/>
        <v>0</v>
      </c>
      <c r="BA636" s="15"/>
      <c r="BB636" s="44"/>
      <c r="BC636" s="15"/>
      <c r="BD636" s="44"/>
      <c r="BE636" s="15">
        <f t="shared" si="60"/>
        <v>0</v>
      </c>
    </row>
    <row r="637" spans="1:57">
      <c r="A637" s="9">
        <v>999</v>
      </c>
      <c r="B637" s="16" t="s">
        <v>204</v>
      </c>
      <c r="C637" s="89" t="s">
        <v>52</v>
      </c>
      <c r="D637" s="56" t="s">
        <v>941</v>
      </c>
      <c r="E637" s="13" t="s">
        <v>940</v>
      </c>
      <c r="F637" s="96"/>
      <c r="G637" s="9"/>
      <c r="H637" s="9" t="s">
        <v>207</v>
      </c>
      <c r="I637" s="14"/>
      <c r="J637" s="14"/>
      <c r="K637" s="12">
        <v>0</v>
      </c>
      <c r="L637" s="9"/>
      <c r="M637" s="9"/>
      <c r="N637" s="9"/>
      <c r="O637" s="38">
        <f t="shared" si="61"/>
        <v>0</v>
      </c>
      <c r="P637" s="12"/>
      <c r="Q637" s="42"/>
      <c r="R637" s="15"/>
      <c r="S637" s="44"/>
      <c r="T637" s="15"/>
      <c r="U637" s="44"/>
      <c r="V637" s="15">
        <f t="shared" si="57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8"/>
        <v>0</v>
      </c>
      <c r="AF637" s="15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59"/>
        <v>0</v>
      </c>
      <c r="BA637" s="15"/>
      <c r="BB637" s="44"/>
      <c r="BC637" s="15"/>
      <c r="BD637" s="44"/>
      <c r="BE637" s="15">
        <f t="shared" si="60"/>
        <v>0</v>
      </c>
    </row>
    <row r="638" spans="1:57">
      <c r="A638" s="9">
        <v>999</v>
      </c>
      <c r="B638" s="16" t="s">
        <v>942</v>
      </c>
      <c r="C638" s="89" t="s">
        <v>494</v>
      </c>
      <c r="D638" s="56" t="s">
        <v>943</v>
      </c>
      <c r="E638" s="13" t="s">
        <v>944</v>
      </c>
      <c r="F638" s="12"/>
      <c r="G638" s="9"/>
      <c r="H638" s="9" t="s">
        <v>945</v>
      </c>
      <c r="I638" s="14"/>
      <c r="J638" s="14"/>
      <c r="K638" s="12">
        <v>0</v>
      </c>
      <c r="L638" s="9"/>
      <c r="M638" s="9"/>
      <c r="N638" s="9"/>
      <c r="O638" s="38">
        <f t="shared" si="61"/>
        <v>0</v>
      </c>
      <c r="P638" s="12"/>
      <c r="Q638" s="42"/>
      <c r="R638" s="15"/>
      <c r="S638" s="44"/>
      <c r="T638" s="15"/>
      <c r="U638" s="44"/>
      <c r="V638" s="15">
        <f t="shared" si="57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8"/>
        <v>0</v>
      </c>
      <c r="AF638" s="15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59"/>
        <v>0</v>
      </c>
      <c r="BA638" s="15"/>
      <c r="BB638" s="44"/>
      <c r="BC638" s="15"/>
      <c r="BD638" s="44"/>
      <c r="BE638" s="15">
        <f t="shared" si="60"/>
        <v>0</v>
      </c>
    </row>
    <row r="639" spans="1:57">
      <c r="A639" s="9">
        <v>999</v>
      </c>
      <c r="B639" s="16" t="s">
        <v>942</v>
      </c>
      <c r="C639" s="89" t="s">
        <v>494</v>
      </c>
      <c r="D639" s="56" t="s">
        <v>946</v>
      </c>
      <c r="E639" s="13"/>
      <c r="F639" s="12"/>
      <c r="G639" s="9"/>
      <c r="H639" s="9" t="s">
        <v>945</v>
      </c>
      <c r="I639" s="14"/>
      <c r="J639" s="14"/>
      <c r="K639" s="12">
        <v>0</v>
      </c>
      <c r="L639" s="9"/>
      <c r="M639" s="9"/>
      <c r="N639" s="9"/>
      <c r="O639" s="38">
        <f t="shared" si="61"/>
        <v>0</v>
      </c>
      <c r="P639" s="12"/>
      <c r="Q639" s="42"/>
      <c r="R639" s="15"/>
      <c r="S639" s="44"/>
      <c r="T639" s="15"/>
      <c r="U639" s="44"/>
      <c r="V639" s="15">
        <f t="shared" si="57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8"/>
        <v>0</v>
      </c>
      <c r="AF639" s="15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59"/>
        <v>0</v>
      </c>
      <c r="BA639" s="15"/>
      <c r="BB639" s="44"/>
      <c r="BC639" s="15"/>
      <c r="BD639" s="44"/>
      <c r="BE639" s="15">
        <f t="shared" si="60"/>
        <v>0</v>
      </c>
    </row>
    <row r="640" spans="1:57">
      <c r="A640" s="9">
        <v>999</v>
      </c>
      <c r="B640" s="16" t="s">
        <v>120</v>
      </c>
      <c r="C640" s="89"/>
      <c r="D640" s="80" t="s">
        <v>947</v>
      </c>
      <c r="E640" s="13"/>
      <c r="F640" s="12"/>
      <c r="G640" s="9"/>
      <c r="H640" s="9" t="s">
        <v>67</v>
      </c>
      <c r="I640" s="14"/>
      <c r="J640" s="14"/>
      <c r="K640" s="12">
        <v>0</v>
      </c>
      <c r="L640" s="9"/>
      <c r="M640" s="9"/>
      <c r="N640" s="9"/>
      <c r="O640" s="38">
        <f t="shared" si="61"/>
        <v>0</v>
      </c>
      <c r="P640" s="12"/>
      <c r="Q640" s="42"/>
      <c r="R640" s="15"/>
      <c r="S640" s="44"/>
      <c r="T640" s="15"/>
      <c r="U640" s="44"/>
      <c r="V640" s="15">
        <f t="shared" si="57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8"/>
        <v>0</v>
      </c>
      <c r="AF640" s="15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59"/>
        <v>0</v>
      </c>
      <c r="BA640" s="15"/>
      <c r="BB640" s="44"/>
      <c r="BC640" s="15"/>
      <c r="BD640" s="44"/>
      <c r="BE640" s="15">
        <f t="shared" si="60"/>
        <v>0</v>
      </c>
    </row>
    <row r="641" spans="1:57">
      <c r="A641" s="9">
        <v>999</v>
      </c>
      <c r="B641" s="16" t="s">
        <v>120</v>
      </c>
      <c r="C641" s="89"/>
      <c r="D641" s="80" t="s">
        <v>948</v>
      </c>
      <c r="E641" s="13"/>
      <c r="F641" s="12"/>
      <c r="G641" s="9"/>
      <c r="H641" s="9" t="s">
        <v>67</v>
      </c>
      <c r="I641" s="14"/>
      <c r="J641" s="14"/>
      <c r="K641" s="12">
        <v>0</v>
      </c>
      <c r="L641" s="9"/>
      <c r="M641" s="9"/>
      <c r="N641" s="9"/>
      <c r="O641" s="38">
        <f t="shared" si="61"/>
        <v>0</v>
      </c>
      <c r="P641" s="12"/>
      <c r="Q641" s="42"/>
      <c r="R641" s="15"/>
      <c r="S641" s="44"/>
      <c r="T641" s="15"/>
      <c r="U641" s="44"/>
      <c r="V641" s="15">
        <f t="shared" si="57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8"/>
        <v>0</v>
      </c>
      <c r="AF641" s="15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59"/>
        <v>0</v>
      </c>
      <c r="BA641" s="15"/>
      <c r="BB641" s="44"/>
      <c r="BC641" s="15"/>
      <c r="BD641" s="44"/>
      <c r="BE641" s="15">
        <f t="shared" si="60"/>
        <v>0</v>
      </c>
    </row>
    <row r="642" spans="1:57">
      <c r="A642" s="9">
        <v>999</v>
      </c>
      <c r="B642" s="16" t="s">
        <v>120</v>
      </c>
      <c r="C642" s="89"/>
      <c r="D642" s="80" t="s">
        <v>949</v>
      </c>
      <c r="E642" s="13"/>
      <c r="F642" s="12"/>
      <c r="G642" s="9"/>
      <c r="H642" s="9" t="s">
        <v>67</v>
      </c>
      <c r="I642" s="14"/>
      <c r="J642" s="14"/>
      <c r="K642" s="12">
        <v>0</v>
      </c>
      <c r="L642" s="9"/>
      <c r="M642" s="9"/>
      <c r="N642" s="9"/>
      <c r="O642" s="38">
        <f t="shared" si="61"/>
        <v>0</v>
      </c>
      <c r="P642" s="12"/>
      <c r="Q642" s="42"/>
      <c r="R642" s="15"/>
      <c r="S642" s="44"/>
      <c r="T642" s="15"/>
      <c r="U642" s="44"/>
      <c r="V642" s="15">
        <f t="shared" si="57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8"/>
        <v>0</v>
      </c>
      <c r="AF642" s="15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59"/>
        <v>0</v>
      </c>
      <c r="BA642" s="15"/>
      <c r="BB642" s="44"/>
      <c r="BC642" s="15"/>
      <c r="BD642" s="44"/>
      <c r="BE642" s="15">
        <f t="shared" si="60"/>
        <v>0</v>
      </c>
    </row>
    <row r="643" spans="1:57">
      <c r="A643" s="9">
        <v>999</v>
      </c>
      <c r="B643" s="16" t="s">
        <v>120</v>
      </c>
      <c r="C643" s="89"/>
      <c r="D643" s="80" t="s">
        <v>950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1"/>
        <v>0</v>
      </c>
      <c r="P643" s="12"/>
      <c r="Q643" s="42"/>
      <c r="R643" s="15"/>
      <c r="S643" s="44"/>
      <c r="T643" s="15"/>
      <c r="U643" s="44"/>
      <c r="V643" s="15">
        <f t="shared" ref="V643:V651" si="62">P643+R643+T643</f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ref="AE643:AE651" si="63">(W643+Y643+AA643+AC643)</f>
        <v>0</v>
      </c>
      <c r="AF643" s="15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ref="AZ643:AZ651" si="64">AF643+AH643+AJ643+AL643+AN643+AP643+AR643+AT643+AV643+AX643</f>
        <v>0</v>
      </c>
      <c r="BA643" s="15"/>
      <c r="BB643" s="44"/>
      <c r="BC643" s="15"/>
      <c r="BD643" s="44"/>
      <c r="BE643" s="15">
        <f t="shared" ref="BE643:BE651" si="65">(BA643+BC643)</f>
        <v>0</v>
      </c>
    </row>
    <row r="644" spans="1:57">
      <c r="A644" s="9">
        <v>999</v>
      </c>
      <c r="B644" s="16" t="s">
        <v>120</v>
      </c>
      <c r="C644" s="89"/>
      <c r="D644" s="80" t="s">
        <v>951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1"/>
        <v>0</v>
      </c>
      <c r="P644" s="12"/>
      <c r="Q644" s="42"/>
      <c r="R644" s="15"/>
      <c r="S644" s="44"/>
      <c r="T644" s="15"/>
      <c r="U644" s="44"/>
      <c r="V644" s="15">
        <f t="shared" si="62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63"/>
        <v>0</v>
      </c>
      <c r="AF644" s="15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4"/>
        <v>0</v>
      </c>
      <c r="BA644" s="15"/>
      <c r="BB644" s="44"/>
      <c r="BC644" s="15"/>
      <c r="BD644" s="44"/>
      <c r="BE644" s="15">
        <f t="shared" si="65"/>
        <v>0</v>
      </c>
    </row>
    <row r="645" spans="1:57">
      <c r="A645" s="9">
        <v>999</v>
      </c>
      <c r="B645" s="16" t="s">
        <v>330</v>
      </c>
      <c r="C645" s="89"/>
      <c r="D645" s="56" t="s">
        <v>952</v>
      </c>
      <c r="E645" s="13"/>
      <c r="F645" s="12"/>
      <c r="G645" s="9"/>
      <c r="H645" s="9" t="s">
        <v>467</v>
      </c>
      <c r="I645" s="14"/>
      <c r="J645" s="14"/>
      <c r="K645" s="12">
        <v>0</v>
      </c>
      <c r="L645" s="9"/>
      <c r="M645" s="9"/>
      <c r="N645" s="9"/>
      <c r="O645" s="38">
        <f t="shared" si="61"/>
        <v>0</v>
      </c>
      <c r="P645" s="12"/>
      <c r="Q645" s="42"/>
      <c r="R645" s="15"/>
      <c r="S645" s="44"/>
      <c r="T645" s="15"/>
      <c r="U645" s="44"/>
      <c r="V645" s="15">
        <f t="shared" si="62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63"/>
        <v>0</v>
      </c>
      <c r="AF645" s="15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4"/>
        <v>0</v>
      </c>
      <c r="BA645" s="15"/>
      <c r="BB645" s="44"/>
      <c r="BC645" s="15"/>
      <c r="BD645" s="44"/>
      <c r="BE645" s="15">
        <f t="shared" si="65"/>
        <v>0</v>
      </c>
    </row>
    <row r="646" spans="1:57">
      <c r="A646" s="9">
        <v>999</v>
      </c>
      <c r="B646" s="16" t="s">
        <v>926</v>
      </c>
      <c r="C646" s="89" t="s">
        <v>132</v>
      </c>
      <c r="D646" s="69" t="s">
        <v>953</v>
      </c>
      <c r="E646" s="13"/>
      <c r="F646" s="12"/>
      <c r="G646" s="9"/>
      <c r="H646" s="9" t="s">
        <v>566</v>
      </c>
      <c r="I646" s="14"/>
      <c r="J646" s="14"/>
      <c r="K646" s="12">
        <v>0</v>
      </c>
      <c r="L646" s="9"/>
      <c r="M646" s="9"/>
      <c r="N646" s="9"/>
      <c r="O646" s="38">
        <f t="shared" si="61"/>
        <v>0</v>
      </c>
      <c r="P646" s="12"/>
      <c r="Q646" s="42"/>
      <c r="R646" s="15"/>
      <c r="S646" s="44"/>
      <c r="T646" s="15"/>
      <c r="U646" s="44"/>
      <c r="V646" s="15">
        <f t="shared" si="62"/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si="63"/>
        <v>0</v>
      </c>
      <c r="AF646" s="15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si="64"/>
        <v>0</v>
      </c>
      <c r="BA646" s="15"/>
      <c r="BB646" s="44"/>
      <c r="BC646" s="15"/>
      <c r="BD646" s="44"/>
      <c r="BE646" s="15">
        <f t="shared" si="65"/>
        <v>0</v>
      </c>
    </row>
    <row r="647" spans="1:57">
      <c r="A647" s="9">
        <v>999</v>
      </c>
      <c r="B647" s="16" t="s">
        <v>926</v>
      </c>
      <c r="C647" s="89" t="s">
        <v>132</v>
      </c>
      <c r="D647" s="69" t="s">
        <v>954</v>
      </c>
      <c r="E647" s="13"/>
      <c r="F647" s="12"/>
      <c r="G647" s="9"/>
      <c r="H647" s="9" t="s">
        <v>566</v>
      </c>
      <c r="I647" s="14"/>
      <c r="J647" s="14"/>
      <c r="K647" s="12">
        <v>0</v>
      </c>
      <c r="L647" s="9"/>
      <c r="M647" s="9"/>
      <c r="N647" s="9"/>
      <c r="O647" s="38">
        <f t="shared" si="61"/>
        <v>0</v>
      </c>
      <c r="P647" s="12"/>
      <c r="Q647" s="42"/>
      <c r="R647" s="15"/>
      <c r="S647" s="44"/>
      <c r="T647" s="15"/>
      <c r="U647" s="44"/>
      <c r="V647" s="15">
        <f t="shared" si="62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3"/>
        <v>0</v>
      </c>
      <c r="AF647" s="15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4"/>
        <v>0</v>
      </c>
      <c r="BA647" s="15"/>
      <c r="BB647" s="44"/>
      <c r="BC647" s="15"/>
      <c r="BD647" s="44"/>
      <c r="BE647" s="15">
        <f t="shared" si="65"/>
        <v>0</v>
      </c>
    </row>
    <row r="648" spans="1:57">
      <c r="A648" s="9">
        <v>999</v>
      </c>
      <c r="B648" s="16" t="s">
        <v>606</v>
      </c>
      <c r="C648" s="89"/>
      <c r="D648" s="56" t="s">
        <v>955</v>
      </c>
      <c r="E648" s="13" t="s">
        <v>956</v>
      </c>
      <c r="F648" s="12"/>
      <c r="G648" s="9"/>
      <c r="H648" s="9" t="s">
        <v>957</v>
      </c>
      <c r="I648" s="14"/>
      <c r="J648" s="14"/>
      <c r="K648" s="12">
        <v>0</v>
      </c>
      <c r="L648" s="9"/>
      <c r="M648" s="9"/>
      <c r="N648" s="9"/>
      <c r="O648" s="38">
        <f t="shared" si="61"/>
        <v>0</v>
      </c>
      <c r="P648" s="12"/>
      <c r="Q648" s="42"/>
      <c r="R648" s="15"/>
      <c r="S648" s="44"/>
      <c r="T648" s="15"/>
      <c r="U648" s="44"/>
      <c r="V648" s="15">
        <f t="shared" si="62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3"/>
        <v>0</v>
      </c>
      <c r="AF648" s="15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4"/>
        <v>0</v>
      </c>
      <c r="BA648" s="15"/>
      <c r="BB648" s="44"/>
      <c r="BC648" s="15"/>
      <c r="BD648" s="44"/>
      <c r="BE648" s="15">
        <f t="shared" si="65"/>
        <v>0</v>
      </c>
    </row>
    <row r="649" spans="1:57">
      <c r="A649" s="9">
        <v>999</v>
      </c>
      <c r="B649" s="16" t="s">
        <v>120</v>
      </c>
      <c r="C649" s="89"/>
      <c r="D649" s="56" t="s">
        <v>958</v>
      </c>
      <c r="E649" s="13"/>
      <c r="F649" s="12"/>
      <c r="G649" s="9"/>
      <c r="H649" s="9" t="s">
        <v>67</v>
      </c>
      <c r="I649" s="14"/>
      <c r="J649" s="14"/>
      <c r="K649" s="12">
        <v>0</v>
      </c>
      <c r="L649" s="9"/>
      <c r="M649" s="9"/>
      <c r="N649" s="9"/>
      <c r="O649" s="38">
        <f t="shared" si="61"/>
        <v>0</v>
      </c>
      <c r="P649" s="12"/>
      <c r="Q649" s="42"/>
      <c r="R649" s="15"/>
      <c r="S649" s="44"/>
      <c r="T649" s="15"/>
      <c r="U649" s="44"/>
      <c r="V649" s="15">
        <f t="shared" si="62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3"/>
        <v>0</v>
      </c>
      <c r="AF649" s="15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4"/>
        <v>0</v>
      </c>
      <c r="BA649" s="15"/>
      <c r="BB649" s="44"/>
      <c r="BC649" s="15"/>
      <c r="BD649" s="44"/>
      <c r="BE649" s="15">
        <f t="shared" si="65"/>
        <v>0</v>
      </c>
    </row>
    <row r="650" spans="1:57">
      <c r="A650" s="9">
        <v>999</v>
      </c>
      <c r="B650" s="16" t="s">
        <v>959</v>
      </c>
      <c r="C650" s="89"/>
      <c r="D650" s="56" t="s">
        <v>960</v>
      </c>
      <c r="E650" s="13" t="s">
        <v>961</v>
      </c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1"/>
        <v>0</v>
      </c>
      <c r="P650" s="12"/>
      <c r="Q650" s="42"/>
      <c r="R650" s="15"/>
      <c r="S650" s="44"/>
      <c r="T650" s="15"/>
      <c r="U650" s="44"/>
      <c r="V650" s="15">
        <f t="shared" si="62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3"/>
        <v>0</v>
      </c>
      <c r="AF650" s="15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4"/>
        <v>0</v>
      </c>
      <c r="BA650" s="15"/>
      <c r="BB650" s="44"/>
      <c r="BC650" s="15"/>
      <c r="BD650" s="44"/>
      <c r="BE650" s="15">
        <f t="shared" si="65"/>
        <v>0</v>
      </c>
    </row>
    <row r="651" spans="1:57">
      <c r="A651" s="9">
        <v>999</v>
      </c>
      <c r="B651" s="16" t="s">
        <v>962</v>
      </c>
      <c r="C651" s="89"/>
      <c r="D651" s="56" t="s">
        <v>963</v>
      </c>
      <c r="E651" s="13"/>
      <c r="F651" s="12"/>
      <c r="G651" s="9"/>
      <c r="H651" s="9" t="s">
        <v>964</v>
      </c>
      <c r="I651" s="14"/>
      <c r="J651" s="14"/>
      <c r="K651" s="12">
        <v>0</v>
      </c>
      <c r="L651" s="9"/>
      <c r="M651" s="9"/>
      <c r="N651" s="9"/>
      <c r="O651" s="38">
        <f t="shared" si="61"/>
        <v>0</v>
      </c>
      <c r="P651" s="12"/>
      <c r="Q651" s="42"/>
      <c r="R651" s="15"/>
      <c r="S651" s="44"/>
      <c r="T651" s="15"/>
      <c r="U651" s="44"/>
      <c r="V651" s="15">
        <f t="shared" si="62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3"/>
        <v>0</v>
      </c>
      <c r="AF651" s="15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4"/>
        <v>0</v>
      </c>
      <c r="BA651" s="15"/>
      <c r="BB651" s="44"/>
      <c r="BC651" s="15"/>
      <c r="BD651" s="44"/>
      <c r="BE651" s="15">
        <f t="shared" si="65"/>
        <v>0</v>
      </c>
    </row>
  </sheetData>
  <mergeCells count="4">
    <mergeCell ref="P1:U1"/>
    <mergeCell ref="AF1:AY1"/>
    <mergeCell ref="BA1:BD1"/>
    <mergeCell ref="W1:AD1"/>
  </mergeCells>
  <phoneticPr fontId="130" type="noConversion"/>
  <conditionalFormatting sqref="O2:O651">
    <cfRule type="cellIs" dxfId="0" priority="1" operator="lessThanOrEqual">
      <formula>200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</vt:lpstr>
      <vt:lpstr>26.05월_수정본</vt:lpstr>
      <vt:lpstr>수정본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이황규</dc:creator>
  <cp:lastModifiedBy>승범 유</cp:lastModifiedBy>
  <cp:revision>3</cp:revision>
  <cp:lastPrinted>2024-12-02T00:39:42Z</cp:lastPrinted>
  <dcterms:created xsi:type="dcterms:W3CDTF">2024-01-12T01:53:44Z</dcterms:created>
  <dcterms:modified xsi:type="dcterms:W3CDTF">2026-05-26T07:35:41Z</dcterms:modified>
  <cp:version>9.114.127.49115</cp:version>
</cp:coreProperties>
</file>