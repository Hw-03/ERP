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77E4BF87-BC55-47D4-ADEC-EA6D277B3432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 s="1"/>
  <c r="BE648" i="3"/>
  <c r="AZ648" i="3"/>
  <c r="AE648" i="3"/>
  <c r="V648" i="3"/>
  <c r="O648" i="3" s="1"/>
  <c r="BE647" i="3"/>
  <c r="AZ647" i="3"/>
  <c r="AE647" i="3"/>
  <c r="O647" i="3" s="1"/>
  <c r="V647" i="3"/>
  <c r="BE646" i="3"/>
  <c r="AZ646" i="3"/>
  <c r="AE646" i="3"/>
  <c r="O646" i="3" s="1"/>
  <c r="V646" i="3"/>
  <c r="BE645" i="3"/>
  <c r="AZ645" i="3"/>
  <c r="AE645" i="3"/>
  <c r="O645" i="3" s="1"/>
  <c r="V645" i="3"/>
  <c r="BE644" i="3"/>
  <c r="AZ644" i="3"/>
  <c r="AE644" i="3"/>
  <c r="V644" i="3"/>
  <c r="O644" i="3"/>
  <c r="BE643" i="3"/>
  <c r="AZ643" i="3"/>
  <c r="AE643" i="3"/>
  <c r="V643" i="3"/>
  <c r="O643" i="3"/>
  <c r="BE642" i="3"/>
  <c r="AZ642" i="3"/>
  <c r="O642" i="3" s="1"/>
  <c r="AE642" i="3"/>
  <c r="V642" i="3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V639" i="3"/>
  <c r="O639" i="3" s="1"/>
  <c r="BE638" i="3"/>
  <c r="AZ638" i="3"/>
  <c r="AE638" i="3"/>
  <c r="V638" i="3"/>
  <c r="O638" i="3" s="1"/>
  <c r="BE637" i="3"/>
  <c r="AZ637" i="3"/>
  <c r="AE637" i="3"/>
  <c r="V637" i="3"/>
  <c r="O637" i="3" s="1"/>
  <c r="BE636" i="3"/>
  <c r="AZ636" i="3"/>
  <c r="AE636" i="3"/>
  <c r="V636" i="3"/>
  <c r="O636" i="3" s="1"/>
  <c r="BE635" i="3"/>
  <c r="AZ635" i="3"/>
  <c r="AE635" i="3"/>
  <c r="O635" i="3" s="1"/>
  <c r="V635" i="3"/>
  <c r="BE634" i="3"/>
  <c r="AZ634" i="3"/>
  <c r="AE634" i="3"/>
  <c r="V634" i="3"/>
  <c r="O634" i="3"/>
  <c r="BE633" i="3"/>
  <c r="AZ633" i="3"/>
  <c r="AE633" i="3"/>
  <c r="V633" i="3"/>
  <c r="O633" i="3"/>
  <c r="BE632" i="3"/>
  <c r="AZ632" i="3"/>
  <c r="AE632" i="3"/>
  <c r="V632" i="3"/>
  <c r="O632" i="3"/>
  <c r="BE631" i="3"/>
  <c r="AZ631" i="3"/>
  <c r="O631" i="3" s="1"/>
  <c r="AE631" i="3"/>
  <c r="V631" i="3"/>
  <c r="BE630" i="3"/>
  <c r="AZ630" i="3"/>
  <c r="O630" i="3" s="1"/>
  <c r="AE630" i="3"/>
  <c r="V630" i="3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V627" i="3"/>
  <c r="O627" i="3" s="1"/>
  <c r="BE626" i="3"/>
  <c r="AZ626" i="3"/>
  <c r="AE626" i="3"/>
  <c r="V626" i="3"/>
  <c r="O626" i="3" s="1"/>
  <c r="BE625" i="3"/>
  <c r="AZ625" i="3"/>
  <c r="AE625" i="3"/>
  <c r="V625" i="3"/>
  <c r="O625" i="3" s="1"/>
  <c r="BE624" i="3"/>
  <c r="AZ624" i="3"/>
  <c r="AE624" i="3"/>
  <c r="V624" i="3"/>
  <c r="O624" i="3" s="1"/>
  <c r="BE623" i="3"/>
  <c r="AZ623" i="3"/>
  <c r="AE623" i="3"/>
  <c r="O623" i="3" s="1"/>
  <c r="V623" i="3"/>
  <c r="BE622" i="3"/>
  <c r="AZ622" i="3"/>
  <c r="AE622" i="3"/>
  <c r="V622" i="3"/>
  <c r="O622" i="3"/>
  <c r="BE621" i="3"/>
  <c r="AZ621" i="3"/>
  <c r="AE621" i="3"/>
  <c r="O621" i="3" s="1"/>
  <c r="V621" i="3"/>
  <c r="BE620" i="3"/>
  <c r="AZ620" i="3"/>
  <c r="AE620" i="3"/>
  <c r="V620" i="3"/>
  <c r="O620" i="3"/>
  <c r="BE619" i="3"/>
  <c r="AZ619" i="3"/>
  <c r="AE619" i="3"/>
  <c r="V619" i="3"/>
  <c r="O619" i="3"/>
  <c r="BE618" i="3"/>
  <c r="AZ618" i="3"/>
  <c r="O618" i="3" s="1"/>
  <c r="AE618" i="3"/>
  <c r="V618" i="3"/>
  <c r="BE617" i="3"/>
  <c r="AZ617" i="3"/>
  <c r="AE617" i="3"/>
  <c r="V617" i="3"/>
  <c r="O617" i="3" s="1"/>
  <c r="BE616" i="3"/>
  <c r="AZ616" i="3"/>
  <c r="AE616" i="3"/>
  <c r="V616" i="3"/>
  <c r="O616" i="3" s="1"/>
  <c r="BE615" i="3"/>
  <c r="AZ615" i="3"/>
  <c r="AE615" i="3"/>
  <c r="V615" i="3"/>
  <c r="O615" i="3" s="1"/>
  <c r="BE614" i="3"/>
  <c r="AZ614" i="3"/>
  <c r="AE614" i="3"/>
  <c r="V614" i="3"/>
  <c r="O614" i="3" s="1"/>
  <c r="BE613" i="3"/>
  <c r="AZ613" i="3"/>
  <c r="AE613" i="3"/>
  <c r="V613" i="3"/>
  <c r="O613" i="3" s="1"/>
  <c r="BE612" i="3"/>
  <c r="AZ612" i="3"/>
  <c r="AE612" i="3"/>
  <c r="V612" i="3"/>
  <c r="O612" i="3" s="1"/>
  <c r="BE611" i="3"/>
  <c r="AZ611" i="3"/>
  <c r="AE611" i="3"/>
  <c r="O611" i="3" s="1"/>
  <c r="V611" i="3"/>
  <c r="BE610" i="3"/>
  <c r="AZ610" i="3"/>
  <c r="AE610" i="3"/>
  <c r="O610" i="3" s="1"/>
  <c r="V610" i="3"/>
  <c r="BE609" i="3"/>
  <c r="AZ609" i="3"/>
  <c r="AE609" i="3"/>
  <c r="O609" i="3" s="1"/>
  <c r="V609" i="3"/>
  <c r="BE608" i="3"/>
  <c r="AZ608" i="3"/>
  <c r="AE608" i="3"/>
  <c r="V608" i="3"/>
  <c r="O608" i="3"/>
  <c r="BE607" i="3"/>
  <c r="AZ607" i="3"/>
  <c r="AE607" i="3"/>
  <c r="V607" i="3"/>
  <c r="O607" i="3"/>
  <c r="BE606" i="3"/>
  <c r="AZ606" i="3"/>
  <c r="O606" i="3" s="1"/>
  <c r="AE606" i="3"/>
  <c r="V606" i="3"/>
  <c r="BE605" i="3"/>
  <c r="AZ605" i="3"/>
  <c r="AE605" i="3"/>
  <c r="V605" i="3"/>
  <c r="O605" i="3" s="1"/>
  <c r="BE604" i="3"/>
  <c r="AZ604" i="3"/>
  <c r="AE604" i="3"/>
  <c r="V604" i="3"/>
  <c r="O604" i="3" s="1"/>
  <c r="BE603" i="3"/>
  <c r="AZ603" i="3"/>
  <c r="AE603" i="3"/>
  <c r="V603" i="3"/>
  <c r="O603" i="3" s="1"/>
  <c r="BE602" i="3"/>
  <c r="AZ602" i="3"/>
  <c r="AE602" i="3"/>
  <c r="V602" i="3"/>
  <c r="O602" i="3" s="1"/>
  <c r="BE601" i="3"/>
  <c r="AZ601" i="3"/>
  <c r="AE601" i="3"/>
  <c r="V601" i="3"/>
  <c r="O601" i="3" s="1"/>
  <c r="BE600" i="3"/>
  <c r="AZ600" i="3"/>
  <c r="AE600" i="3"/>
  <c r="V600" i="3"/>
  <c r="O600" i="3" s="1"/>
  <c r="BE599" i="3"/>
  <c r="AZ599" i="3"/>
  <c r="AE599" i="3"/>
  <c r="O599" i="3" s="1"/>
  <c r="V599" i="3"/>
  <c r="BE598" i="3"/>
  <c r="AZ598" i="3"/>
  <c r="AE598" i="3"/>
  <c r="V598" i="3"/>
  <c r="O598" i="3"/>
  <c r="BE597" i="3"/>
  <c r="AZ597" i="3"/>
  <c r="AE597" i="3"/>
  <c r="V597" i="3"/>
  <c r="O597" i="3"/>
  <c r="BE596" i="3"/>
  <c r="AZ596" i="3"/>
  <c r="AE596" i="3"/>
  <c r="V596" i="3"/>
  <c r="O596" i="3"/>
  <c r="BE595" i="3"/>
  <c r="AZ595" i="3"/>
  <c r="O595" i="3" s="1"/>
  <c r="AE595" i="3"/>
  <c r="V595" i="3"/>
  <c r="BE594" i="3"/>
  <c r="AZ594" i="3"/>
  <c r="O594" i="3" s="1"/>
  <c r="AE594" i="3"/>
  <c r="V594" i="3"/>
  <c r="BE593" i="3"/>
  <c r="AZ593" i="3"/>
  <c r="AE593" i="3"/>
  <c r="V593" i="3"/>
  <c r="O593" i="3" s="1"/>
  <c r="BE592" i="3"/>
  <c r="AZ592" i="3"/>
  <c r="AE592" i="3"/>
  <c r="V592" i="3"/>
  <c r="O592" i="3" s="1"/>
  <c r="BE591" i="3"/>
  <c r="AZ591" i="3"/>
  <c r="AE591" i="3"/>
  <c r="V591" i="3"/>
  <c r="O591" i="3" s="1"/>
  <c r="BE590" i="3"/>
  <c r="AZ590" i="3"/>
  <c r="AE590" i="3"/>
  <c r="V590" i="3"/>
  <c r="O590" i="3" s="1"/>
  <c r="BE589" i="3"/>
  <c r="AZ589" i="3"/>
  <c r="AE589" i="3"/>
  <c r="V589" i="3"/>
  <c r="O589" i="3" s="1"/>
  <c r="BE588" i="3"/>
  <c r="AZ588" i="3"/>
  <c r="AE588" i="3"/>
  <c r="V588" i="3"/>
  <c r="O588" i="3" s="1"/>
  <c r="BE587" i="3"/>
  <c r="AZ587" i="3"/>
  <c r="AE587" i="3"/>
  <c r="O587" i="3" s="1"/>
  <c r="V587" i="3"/>
  <c r="BE586" i="3"/>
  <c r="AZ586" i="3"/>
  <c r="AE586" i="3"/>
  <c r="V586" i="3"/>
  <c r="O586" i="3"/>
  <c r="BE585" i="3"/>
  <c r="AZ585" i="3"/>
  <c r="AE585" i="3"/>
  <c r="O585" i="3" s="1"/>
  <c r="V585" i="3"/>
  <c r="BE584" i="3"/>
  <c r="AZ584" i="3"/>
  <c r="AE584" i="3"/>
  <c r="V584" i="3"/>
  <c r="O584" i="3"/>
  <c r="BE583" i="3"/>
  <c r="AZ583" i="3"/>
  <c r="AE583" i="3"/>
  <c r="V583" i="3"/>
  <c r="O583" i="3"/>
  <c r="BE582" i="3"/>
  <c r="AZ582" i="3"/>
  <c r="O582" i="3" s="1"/>
  <c r="AE582" i="3"/>
  <c r="V582" i="3"/>
  <c r="BE581" i="3"/>
  <c r="AZ581" i="3"/>
  <c r="AE581" i="3"/>
  <c r="V581" i="3"/>
  <c r="O581" i="3" s="1"/>
  <c r="BE580" i="3"/>
  <c r="AZ580" i="3"/>
  <c r="AE580" i="3"/>
  <c r="V580" i="3"/>
  <c r="O580" i="3" s="1"/>
  <c r="BE579" i="3"/>
  <c r="AZ579" i="3"/>
  <c r="AE579" i="3"/>
  <c r="V579" i="3"/>
  <c r="O579" i="3" s="1"/>
  <c r="O578" i="3"/>
  <c r="BE577" i="3"/>
  <c r="AZ577" i="3"/>
  <c r="AE577" i="3"/>
  <c r="V577" i="3"/>
  <c r="O577" i="3"/>
  <c r="BE576" i="3"/>
  <c r="AZ576" i="3"/>
  <c r="AE576" i="3"/>
  <c r="V576" i="3"/>
  <c r="O576" i="3"/>
  <c r="BE575" i="3"/>
  <c r="AZ575" i="3"/>
  <c r="O575" i="3" s="1"/>
  <c r="AE575" i="3"/>
  <c r="V575" i="3"/>
  <c r="BE574" i="3"/>
  <c r="AZ574" i="3"/>
  <c r="O574" i="3" s="1"/>
  <c r="AE574" i="3"/>
  <c r="V574" i="3"/>
  <c r="BE573" i="3"/>
  <c r="AZ573" i="3"/>
  <c r="AE573" i="3"/>
  <c r="V573" i="3"/>
  <c r="O573" i="3" s="1"/>
  <c r="BE572" i="3"/>
  <c r="AZ572" i="3"/>
  <c r="AE572" i="3"/>
  <c r="V572" i="3"/>
  <c r="O572" i="3" s="1"/>
  <c r="BE571" i="3"/>
  <c r="AZ571" i="3"/>
  <c r="AE571" i="3"/>
  <c r="V571" i="3"/>
  <c r="O571" i="3" s="1"/>
  <c r="BE570" i="3"/>
  <c r="AZ570" i="3"/>
  <c r="AE570" i="3"/>
  <c r="V570" i="3"/>
  <c r="O570" i="3" s="1"/>
  <c r="BE569" i="3"/>
  <c r="AZ569" i="3"/>
  <c r="AE569" i="3"/>
  <c r="V569" i="3"/>
  <c r="O569" i="3" s="1"/>
  <c r="BE568" i="3"/>
  <c r="AZ568" i="3"/>
  <c r="AE568" i="3"/>
  <c r="V568" i="3"/>
  <c r="O568" i="3" s="1"/>
  <c r="BE567" i="3"/>
  <c r="AZ567" i="3"/>
  <c r="AE567" i="3"/>
  <c r="O567" i="3" s="1"/>
  <c r="V567" i="3"/>
  <c r="BE566" i="3"/>
  <c r="AZ566" i="3"/>
  <c r="AE566" i="3"/>
  <c r="V566" i="3"/>
  <c r="O566" i="3"/>
  <c r="BE564" i="3"/>
  <c r="AZ564" i="3"/>
  <c r="AE564" i="3"/>
  <c r="O564" i="3" s="1"/>
  <c r="V564" i="3"/>
  <c r="BE563" i="3"/>
  <c r="AZ563" i="3"/>
  <c r="AE563" i="3"/>
  <c r="V563" i="3"/>
  <c r="O563" i="3"/>
  <c r="BE562" i="3"/>
  <c r="AZ562" i="3"/>
  <c r="AE562" i="3"/>
  <c r="V562" i="3"/>
  <c r="O562" i="3"/>
  <c r="BE561" i="3"/>
  <c r="AZ561" i="3"/>
  <c r="O561" i="3" s="1"/>
  <c r="AE561" i="3"/>
  <c r="V561" i="3"/>
  <c r="BE560" i="3"/>
  <c r="AZ560" i="3"/>
  <c r="AE560" i="3"/>
  <c r="V560" i="3"/>
  <c r="O560" i="3" s="1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 s="1"/>
  <c r="BE556" i="3"/>
  <c r="AZ556" i="3"/>
  <c r="AE556" i="3"/>
  <c r="V556" i="3"/>
  <c r="O556" i="3" s="1"/>
  <c r="BE555" i="3"/>
  <c r="AZ555" i="3"/>
  <c r="AE555" i="3"/>
  <c r="V555" i="3"/>
  <c r="O555" i="3" s="1"/>
  <c r="BE554" i="3"/>
  <c r="AZ554" i="3"/>
  <c r="AE554" i="3"/>
  <c r="O554" i="3" s="1"/>
  <c r="V554" i="3"/>
  <c r="BE553" i="3"/>
  <c r="AZ553" i="3"/>
  <c r="AE553" i="3"/>
  <c r="O553" i="3" s="1"/>
  <c r="V553" i="3"/>
  <c r="BE552" i="3"/>
  <c r="AZ552" i="3"/>
  <c r="AE552" i="3"/>
  <c r="O552" i="3" s="1"/>
  <c r="V552" i="3"/>
  <c r="BE551" i="3"/>
  <c r="AZ551" i="3"/>
  <c r="AE551" i="3"/>
  <c r="V551" i="3"/>
  <c r="O551" i="3"/>
  <c r="BE550" i="3"/>
  <c r="AZ550" i="3"/>
  <c r="AE550" i="3"/>
  <c r="V550" i="3"/>
  <c r="O550" i="3"/>
  <c r="BE549" i="3"/>
  <c r="AZ549" i="3"/>
  <c r="O549" i="3" s="1"/>
  <c r="AE549" i="3"/>
  <c r="V549" i="3"/>
  <c r="BE548" i="3"/>
  <c r="AZ548" i="3"/>
  <c r="AE548" i="3"/>
  <c r="V548" i="3"/>
  <c r="O548" i="3" s="1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 s="1"/>
  <c r="BE544" i="3"/>
  <c r="AZ544" i="3"/>
  <c r="AE544" i="3"/>
  <c r="V544" i="3"/>
  <c r="O544" i="3" s="1"/>
  <c r="BE543" i="3"/>
  <c r="AZ543" i="3"/>
  <c r="AE543" i="3"/>
  <c r="V543" i="3"/>
  <c r="O543" i="3" s="1"/>
  <c r="BE542" i="3"/>
  <c r="AZ542" i="3"/>
  <c r="AE542" i="3"/>
  <c r="O542" i="3" s="1"/>
  <c r="V542" i="3"/>
  <c r="BE541" i="3"/>
  <c r="AZ541" i="3"/>
  <c r="AE541" i="3"/>
  <c r="V541" i="3"/>
  <c r="O541" i="3"/>
  <c r="BE540" i="3"/>
  <c r="AZ540" i="3"/>
  <c r="AE540" i="3"/>
  <c r="V540" i="3"/>
  <c r="O540" i="3"/>
  <c r="BE539" i="3"/>
  <c r="AZ539" i="3"/>
  <c r="AE539" i="3"/>
  <c r="V539" i="3"/>
  <c r="O539" i="3"/>
  <c r="BE538" i="3"/>
  <c r="AZ538" i="3"/>
  <c r="O538" i="3" s="1"/>
  <c r="AE538" i="3"/>
  <c r="V538" i="3"/>
  <c r="BE537" i="3"/>
  <c r="AZ537" i="3"/>
  <c r="O537" i="3" s="1"/>
  <c r="AE537" i="3"/>
  <c r="V537" i="3"/>
  <c r="BE536" i="3"/>
  <c r="AZ536" i="3"/>
  <c r="AE536" i="3"/>
  <c r="V536" i="3"/>
  <c r="O536" i="3" s="1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 s="1"/>
  <c r="BE532" i="3"/>
  <c r="AZ532" i="3"/>
  <c r="AE532" i="3"/>
  <c r="V532" i="3"/>
  <c r="O532" i="3" s="1"/>
  <c r="BE531" i="3"/>
  <c r="AZ531" i="3"/>
  <c r="AE531" i="3"/>
  <c r="V531" i="3"/>
  <c r="O531" i="3" s="1"/>
  <c r="BE530" i="3"/>
  <c r="AZ530" i="3"/>
  <c r="AE530" i="3"/>
  <c r="O530" i="3" s="1"/>
  <c r="V530" i="3"/>
  <c r="BE529" i="3"/>
  <c r="AZ529" i="3"/>
  <c r="AE529" i="3"/>
  <c r="V529" i="3"/>
  <c r="O529" i="3"/>
  <c r="BE528" i="3"/>
  <c r="AZ528" i="3"/>
  <c r="AE528" i="3"/>
  <c r="O528" i="3" s="1"/>
  <c r="V528" i="3"/>
  <c r="BE527" i="3"/>
  <c r="AZ527" i="3"/>
  <c r="AE527" i="3"/>
  <c r="V527" i="3"/>
  <c r="O527" i="3"/>
  <c r="BE526" i="3"/>
  <c r="AZ526" i="3"/>
  <c r="AE526" i="3"/>
  <c r="V526" i="3"/>
  <c r="O526" i="3"/>
  <c r="BE525" i="3"/>
  <c r="AZ525" i="3"/>
  <c r="O525" i="3" s="1"/>
  <c r="AE525" i="3"/>
  <c r="V525" i="3"/>
  <c r="BE524" i="3"/>
  <c r="AZ524" i="3"/>
  <c r="AE524" i="3"/>
  <c r="V524" i="3"/>
  <c r="O524" i="3" s="1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 s="1"/>
  <c r="BE520" i="3"/>
  <c r="AZ520" i="3"/>
  <c r="AE520" i="3"/>
  <c r="V520" i="3"/>
  <c r="O520" i="3" s="1"/>
  <c r="BE519" i="3"/>
  <c r="AZ519" i="3"/>
  <c r="AE519" i="3"/>
  <c r="V519" i="3"/>
  <c r="O519" i="3" s="1"/>
  <c r="BE518" i="3"/>
  <c r="AZ518" i="3"/>
  <c r="AE518" i="3"/>
  <c r="O518" i="3" s="1"/>
  <c r="V518" i="3"/>
  <c r="BE517" i="3"/>
  <c r="AZ517" i="3"/>
  <c r="AE517" i="3"/>
  <c r="O517" i="3" s="1"/>
  <c r="V517" i="3"/>
  <c r="BE516" i="3"/>
  <c r="AZ516" i="3"/>
  <c r="AE516" i="3"/>
  <c r="O516" i="3" s="1"/>
  <c r="V516" i="3"/>
  <c r="BE515" i="3"/>
  <c r="AZ515" i="3"/>
  <c r="AE515" i="3"/>
  <c r="V515" i="3"/>
  <c r="O515" i="3"/>
  <c r="BE514" i="3"/>
  <c r="AZ514" i="3"/>
  <c r="AE514" i="3"/>
  <c r="V514" i="3"/>
  <c r="O514" i="3"/>
  <c r="BE513" i="3"/>
  <c r="AZ513" i="3"/>
  <c r="O513" i="3" s="1"/>
  <c r="AE513" i="3"/>
  <c r="V513" i="3"/>
  <c r="BE512" i="3"/>
  <c r="AZ512" i="3"/>
  <c r="AE512" i="3"/>
  <c r="V512" i="3"/>
  <c r="O512" i="3" s="1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 s="1"/>
  <c r="BE508" i="3"/>
  <c r="AZ508" i="3"/>
  <c r="AE508" i="3"/>
  <c r="V508" i="3"/>
  <c r="O508" i="3" s="1"/>
  <c r="BE507" i="3"/>
  <c r="AZ507" i="3"/>
  <c r="AE507" i="3"/>
  <c r="V507" i="3"/>
  <c r="O507" i="3" s="1"/>
  <c r="BE506" i="3"/>
  <c r="AZ506" i="3"/>
  <c r="AE506" i="3"/>
  <c r="O506" i="3" s="1"/>
  <c r="V506" i="3"/>
  <c r="BE505" i="3"/>
  <c r="AZ505" i="3"/>
  <c r="AE505" i="3"/>
  <c r="V505" i="3"/>
  <c r="O505" i="3"/>
  <c r="BE504" i="3"/>
  <c r="AZ504" i="3"/>
  <c r="AE504" i="3"/>
  <c r="V504" i="3"/>
  <c r="O504" i="3"/>
  <c r="BE503" i="3"/>
  <c r="AZ503" i="3"/>
  <c r="AE503" i="3"/>
  <c r="V503" i="3"/>
  <c r="O503" i="3"/>
  <c r="BE502" i="3"/>
  <c r="AZ502" i="3"/>
  <c r="O502" i="3" s="1"/>
  <c r="AE502" i="3"/>
  <c r="V502" i="3"/>
  <c r="BE501" i="3"/>
  <c r="AZ501" i="3"/>
  <c r="O501" i="3" s="1"/>
  <c r="AE501" i="3"/>
  <c r="V501" i="3"/>
  <c r="BE500" i="3"/>
  <c r="AZ500" i="3"/>
  <c r="AE500" i="3"/>
  <c r="V500" i="3"/>
  <c r="O500" i="3" s="1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 s="1"/>
  <c r="BE496" i="3"/>
  <c r="AZ496" i="3"/>
  <c r="AE496" i="3"/>
  <c r="V496" i="3"/>
  <c r="O496" i="3" s="1"/>
  <c r="BE495" i="3"/>
  <c r="AZ495" i="3"/>
  <c r="AE495" i="3"/>
  <c r="V495" i="3"/>
  <c r="O495" i="3" s="1"/>
  <c r="BE494" i="3"/>
  <c r="AZ494" i="3"/>
  <c r="AE494" i="3"/>
  <c r="O494" i="3" s="1"/>
  <c r="V494" i="3"/>
  <c r="BE493" i="3"/>
  <c r="AZ493" i="3"/>
  <c r="AE493" i="3"/>
  <c r="V493" i="3"/>
  <c r="O493" i="3"/>
  <c r="BE492" i="3"/>
  <c r="AZ492" i="3"/>
  <c r="AE492" i="3"/>
  <c r="O492" i="3" s="1"/>
  <c r="V492" i="3"/>
  <c r="BE491" i="3"/>
  <c r="AZ491" i="3"/>
  <c r="AE491" i="3"/>
  <c r="V491" i="3"/>
  <c r="O491" i="3"/>
  <c r="BE490" i="3"/>
  <c r="AZ490" i="3"/>
  <c r="AE490" i="3"/>
  <c r="V490" i="3"/>
  <c r="O490" i="3"/>
  <c r="BE489" i="3"/>
  <c r="AZ489" i="3"/>
  <c r="O489" i="3" s="1"/>
  <c r="AE489" i="3"/>
  <c r="V489" i="3"/>
  <c r="BE488" i="3"/>
  <c r="AZ488" i="3"/>
  <c r="AE488" i="3"/>
  <c r="V488" i="3"/>
  <c r="O488" i="3" s="1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 s="1"/>
  <c r="BE484" i="3"/>
  <c r="AZ484" i="3"/>
  <c r="AE484" i="3"/>
  <c r="V484" i="3"/>
  <c r="O484" i="3" s="1"/>
  <c r="BE483" i="3"/>
  <c r="AZ483" i="3"/>
  <c r="AE483" i="3"/>
  <c r="V483" i="3"/>
  <c r="O483" i="3" s="1"/>
  <c r="BE482" i="3"/>
  <c r="AZ482" i="3"/>
  <c r="AE482" i="3"/>
  <c r="O482" i="3" s="1"/>
  <c r="V482" i="3"/>
  <c r="BE481" i="3"/>
  <c r="AZ481" i="3"/>
  <c r="AE481" i="3"/>
  <c r="O481" i="3" s="1"/>
  <c r="V481" i="3"/>
  <c r="BE480" i="3"/>
  <c r="AZ480" i="3"/>
  <c r="AE480" i="3"/>
  <c r="O480" i="3" s="1"/>
  <c r="V480" i="3"/>
  <c r="BE479" i="3"/>
  <c r="AZ479" i="3"/>
  <c r="AE479" i="3"/>
  <c r="V479" i="3"/>
  <c r="O479" i="3"/>
  <c r="BE478" i="3"/>
  <c r="AZ478" i="3"/>
  <c r="AE478" i="3"/>
  <c r="V478" i="3"/>
  <c r="O478" i="3"/>
  <c r="BE477" i="3"/>
  <c r="AZ477" i="3"/>
  <c r="O477" i="3" s="1"/>
  <c r="AE477" i="3"/>
  <c r="V477" i="3"/>
  <c r="BE476" i="3"/>
  <c r="AZ476" i="3"/>
  <c r="AE476" i="3"/>
  <c r="V476" i="3"/>
  <c r="O476" i="3" s="1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 s="1"/>
  <c r="BE472" i="3"/>
  <c r="AZ472" i="3"/>
  <c r="AE472" i="3"/>
  <c r="V472" i="3"/>
  <c r="O472" i="3" s="1"/>
  <c r="BE471" i="3"/>
  <c r="AZ471" i="3"/>
  <c r="AE471" i="3"/>
  <c r="V471" i="3"/>
  <c r="O471" i="3" s="1"/>
  <c r="BE470" i="3"/>
  <c r="AZ470" i="3"/>
  <c r="AE470" i="3"/>
  <c r="O470" i="3" s="1"/>
  <c r="V470" i="3"/>
  <c r="BE469" i="3"/>
  <c r="AZ469" i="3"/>
  <c r="AE469" i="3"/>
  <c r="V469" i="3"/>
  <c r="O469" i="3"/>
  <c r="BE468" i="3"/>
  <c r="AZ468" i="3"/>
  <c r="AE468" i="3"/>
  <c r="V468" i="3"/>
  <c r="O468" i="3"/>
  <c r="BE467" i="3"/>
  <c r="AZ467" i="3"/>
  <c r="AE467" i="3"/>
  <c r="V467" i="3"/>
  <c r="O467" i="3"/>
  <c r="BE466" i="3"/>
  <c r="AZ466" i="3"/>
  <c r="O466" i="3" s="1"/>
  <c r="AE466" i="3"/>
  <c r="V466" i="3"/>
  <c r="BE465" i="3"/>
  <c r="AZ465" i="3"/>
  <c r="O465" i="3" s="1"/>
  <c r="AE465" i="3"/>
  <c r="V465" i="3"/>
  <c r="BE464" i="3"/>
  <c r="AZ464" i="3"/>
  <c r="AE464" i="3"/>
  <c r="V464" i="3"/>
  <c r="O464" i="3" s="1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 s="1"/>
  <c r="BE460" i="3"/>
  <c r="AZ460" i="3"/>
  <c r="AE460" i="3"/>
  <c r="V460" i="3"/>
  <c r="O460" i="3" s="1"/>
  <c r="BE459" i="3"/>
  <c r="AZ459" i="3"/>
  <c r="AE459" i="3"/>
  <c r="V459" i="3"/>
  <c r="O459" i="3" s="1"/>
  <c r="BE458" i="3"/>
  <c r="AZ458" i="3"/>
  <c r="AE458" i="3"/>
  <c r="O458" i="3" s="1"/>
  <c r="V458" i="3"/>
  <c r="BE457" i="3"/>
  <c r="AZ457" i="3"/>
  <c r="AE457" i="3"/>
  <c r="V457" i="3"/>
  <c r="O457" i="3"/>
  <c r="BE456" i="3"/>
  <c r="AZ456" i="3"/>
  <c r="AE456" i="3"/>
  <c r="O456" i="3" s="1"/>
  <c r="V456" i="3"/>
  <c r="BE455" i="3"/>
  <c r="AZ455" i="3"/>
  <c r="AE455" i="3"/>
  <c r="V455" i="3"/>
  <c r="O455" i="3"/>
  <c r="BE454" i="3"/>
  <c r="AZ454" i="3"/>
  <c r="AE454" i="3"/>
  <c r="V454" i="3"/>
  <c r="O454" i="3"/>
  <c r="BE453" i="3"/>
  <c r="AZ453" i="3"/>
  <c r="O453" i="3" s="1"/>
  <c r="AE453" i="3"/>
  <c r="V453" i="3"/>
  <c r="BE452" i="3"/>
  <c r="AZ452" i="3"/>
  <c r="AE452" i="3"/>
  <c r="V452" i="3"/>
  <c r="O452" i="3" s="1"/>
  <c r="BE451" i="3"/>
  <c r="AZ451" i="3"/>
  <c r="AE451" i="3"/>
  <c r="V451" i="3"/>
  <c r="O451" i="3" s="1"/>
  <c r="BE450" i="3"/>
  <c r="AZ450" i="3"/>
  <c r="AE450" i="3"/>
  <c r="V450" i="3"/>
  <c r="O450" i="3" s="1"/>
  <c r="BE449" i="3"/>
  <c r="AZ449" i="3"/>
  <c r="AE449" i="3"/>
  <c r="V449" i="3"/>
  <c r="O449" i="3" s="1"/>
  <c r="BE448" i="3"/>
  <c r="AZ448" i="3"/>
  <c r="AE448" i="3"/>
  <c r="V448" i="3"/>
  <c r="O448" i="3" s="1"/>
  <c r="BE447" i="3"/>
  <c r="AZ447" i="3"/>
  <c r="AE447" i="3"/>
  <c r="V447" i="3"/>
  <c r="O447" i="3" s="1"/>
  <c r="BE446" i="3"/>
  <c r="AZ446" i="3"/>
  <c r="AE446" i="3"/>
  <c r="O446" i="3" s="1"/>
  <c r="V446" i="3"/>
  <c r="BE445" i="3"/>
  <c r="AZ445" i="3"/>
  <c r="AE445" i="3"/>
  <c r="O445" i="3" s="1"/>
  <c r="V445" i="3"/>
  <c r="BE444" i="3"/>
  <c r="AZ444" i="3"/>
  <c r="AE444" i="3"/>
  <c r="O444" i="3" s="1"/>
  <c r="V444" i="3"/>
  <c r="BE443" i="3"/>
  <c r="AZ443" i="3"/>
  <c r="AE443" i="3"/>
  <c r="V443" i="3"/>
  <c r="O443" i="3"/>
  <c r="BE442" i="3"/>
  <c r="AZ442" i="3"/>
  <c r="AE442" i="3"/>
  <c r="V442" i="3"/>
  <c r="O442" i="3"/>
  <c r="BE441" i="3"/>
  <c r="AZ441" i="3"/>
  <c r="O441" i="3" s="1"/>
  <c r="AE441" i="3"/>
  <c r="V441" i="3"/>
  <c r="BE440" i="3"/>
  <c r="AZ440" i="3"/>
  <c r="AE440" i="3"/>
  <c r="V440" i="3"/>
  <c r="O440" i="3" s="1"/>
  <c r="BE439" i="3"/>
  <c r="AZ439" i="3"/>
  <c r="AE439" i="3"/>
  <c r="V439" i="3"/>
  <c r="O439" i="3" s="1"/>
  <c r="BE438" i="3"/>
  <c r="AZ438" i="3"/>
  <c r="AE438" i="3"/>
  <c r="V438" i="3"/>
  <c r="O438" i="3" s="1"/>
  <c r="BE437" i="3"/>
  <c r="AZ437" i="3"/>
  <c r="AE437" i="3"/>
  <c r="V437" i="3"/>
  <c r="O437" i="3" s="1"/>
  <c r="BE436" i="3"/>
  <c r="AZ436" i="3"/>
  <c r="AE436" i="3"/>
  <c r="V436" i="3"/>
  <c r="O436" i="3" s="1"/>
  <c r="BE435" i="3"/>
  <c r="AZ435" i="3"/>
  <c r="AE435" i="3"/>
  <c r="V435" i="3"/>
  <c r="O435" i="3" s="1"/>
  <c r="BE434" i="3"/>
  <c r="AZ434" i="3"/>
  <c r="AE434" i="3"/>
  <c r="O434" i="3" s="1"/>
  <c r="V434" i="3"/>
  <c r="BE433" i="3"/>
  <c r="AZ433" i="3"/>
  <c r="AE433" i="3"/>
  <c r="V433" i="3"/>
  <c r="O433" i="3"/>
  <c r="BE432" i="3"/>
  <c r="AZ432" i="3"/>
  <c r="AE432" i="3"/>
  <c r="V432" i="3"/>
  <c r="O432" i="3"/>
  <c r="BE431" i="3"/>
  <c r="AZ431" i="3"/>
  <c r="AE431" i="3"/>
  <c r="V431" i="3"/>
  <c r="O431" i="3"/>
  <c r="BE430" i="3"/>
  <c r="AZ430" i="3"/>
  <c r="O430" i="3" s="1"/>
  <c r="AE430" i="3"/>
  <c r="V430" i="3"/>
  <c r="BE429" i="3"/>
  <c r="AZ429" i="3"/>
  <c r="O429" i="3" s="1"/>
  <c r="AE429" i="3"/>
  <c r="V429" i="3"/>
  <c r="BE428" i="3"/>
  <c r="AZ428" i="3"/>
  <c r="AE428" i="3"/>
  <c r="V428" i="3"/>
  <c r="O428" i="3" s="1"/>
  <c r="BE427" i="3"/>
  <c r="AZ427" i="3"/>
  <c r="AE427" i="3"/>
  <c r="V427" i="3"/>
  <c r="O427" i="3" s="1"/>
  <c r="BE426" i="3"/>
  <c r="AZ426" i="3"/>
  <c r="AE426" i="3"/>
  <c r="V426" i="3"/>
  <c r="O426" i="3" s="1"/>
  <c r="BE425" i="3"/>
  <c r="AZ425" i="3"/>
  <c r="AE425" i="3"/>
  <c r="V425" i="3"/>
  <c r="O425" i="3" s="1"/>
  <c r="BE424" i="3"/>
  <c r="AZ424" i="3"/>
  <c r="AE424" i="3"/>
  <c r="V424" i="3"/>
  <c r="O424" i="3" s="1"/>
  <c r="BE423" i="3"/>
  <c r="AZ423" i="3"/>
  <c r="AE423" i="3"/>
  <c r="V423" i="3"/>
  <c r="O423" i="3" s="1"/>
  <c r="BE422" i="3"/>
  <c r="AZ422" i="3"/>
  <c r="AE422" i="3"/>
  <c r="O422" i="3" s="1"/>
  <c r="V422" i="3"/>
  <c r="BE421" i="3"/>
  <c r="AZ421" i="3"/>
  <c r="AE421" i="3"/>
  <c r="V421" i="3"/>
  <c r="O421" i="3"/>
  <c r="BE420" i="3"/>
  <c r="AZ420" i="3"/>
  <c r="AE420" i="3"/>
  <c r="O420" i="3" s="1"/>
  <c r="V420" i="3"/>
  <c r="BE419" i="3"/>
  <c r="AZ419" i="3"/>
  <c r="AE419" i="3"/>
  <c r="V419" i="3"/>
  <c r="O419" i="3"/>
  <c r="BE418" i="3"/>
  <c r="AZ418" i="3"/>
  <c r="AE418" i="3"/>
  <c r="V418" i="3"/>
  <c r="O418" i="3"/>
  <c r="BE417" i="3"/>
  <c r="AZ417" i="3"/>
  <c r="O417" i="3" s="1"/>
  <c r="AE417" i="3"/>
  <c r="V417" i="3"/>
  <c r="BE416" i="3"/>
  <c r="AZ416" i="3"/>
  <c r="AE416" i="3"/>
  <c r="V416" i="3"/>
  <c r="O416" i="3" s="1"/>
  <c r="BE415" i="3"/>
  <c r="AZ415" i="3"/>
  <c r="AE415" i="3"/>
  <c r="V415" i="3"/>
  <c r="O415" i="3" s="1"/>
  <c r="BE414" i="3"/>
  <c r="AZ414" i="3"/>
  <c r="AE414" i="3"/>
  <c r="V414" i="3"/>
  <c r="O414" i="3" s="1"/>
  <c r="BE413" i="3"/>
  <c r="AZ413" i="3"/>
  <c r="AE413" i="3"/>
  <c r="V413" i="3"/>
  <c r="O413" i="3" s="1"/>
  <c r="BE412" i="3"/>
  <c r="AZ412" i="3"/>
  <c r="AE412" i="3"/>
  <c r="V412" i="3"/>
  <c r="O412" i="3" s="1"/>
  <c r="BE411" i="3"/>
  <c r="AZ411" i="3"/>
  <c r="AE411" i="3"/>
  <c r="V411" i="3"/>
  <c r="O411" i="3" s="1"/>
  <c r="BE410" i="3"/>
  <c r="AZ410" i="3"/>
  <c r="AE410" i="3"/>
  <c r="O410" i="3" s="1"/>
  <c r="V410" i="3"/>
  <c r="BE409" i="3"/>
  <c r="AZ409" i="3"/>
  <c r="AE409" i="3"/>
  <c r="O409" i="3" s="1"/>
  <c r="V409" i="3"/>
  <c r="BE408" i="3"/>
  <c r="AZ408" i="3"/>
  <c r="AE408" i="3"/>
  <c r="O408" i="3" s="1"/>
  <c r="V408" i="3"/>
  <c r="BE407" i="3"/>
  <c r="AZ407" i="3"/>
  <c r="AE407" i="3"/>
  <c r="V407" i="3"/>
  <c r="O407" i="3"/>
  <c r="BE406" i="3"/>
  <c r="AZ406" i="3"/>
  <c r="AE406" i="3"/>
  <c r="V406" i="3"/>
  <c r="O406" i="3"/>
  <c r="BE405" i="3"/>
  <c r="AZ405" i="3"/>
  <c r="O405" i="3" s="1"/>
  <c r="AE405" i="3"/>
  <c r="V405" i="3"/>
  <c r="BE404" i="3"/>
  <c r="AZ404" i="3"/>
  <c r="AE404" i="3"/>
  <c r="V404" i="3"/>
  <c r="O404" i="3" s="1"/>
  <c r="BE403" i="3"/>
  <c r="AZ403" i="3"/>
  <c r="AE403" i="3"/>
  <c r="V403" i="3"/>
  <c r="O403" i="3" s="1"/>
  <c r="BE402" i="3"/>
  <c r="AZ402" i="3"/>
  <c r="AE402" i="3"/>
  <c r="V402" i="3"/>
  <c r="O402" i="3" s="1"/>
  <c r="BE401" i="3"/>
  <c r="AZ401" i="3"/>
  <c r="AE401" i="3"/>
  <c r="V401" i="3"/>
  <c r="O401" i="3" s="1"/>
  <c r="BE400" i="3"/>
  <c r="AZ400" i="3"/>
  <c r="AE400" i="3"/>
  <c r="V400" i="3"/>
  <c r="O400" i="3" s="1"/>
  <c r="BE399" i="3"/>
  <c r="AZ399" i="3"/>
  <c r="AE399" i="3"/>
  <c r="V399" i="3"/>
  <c r="O399" i="3" s="1"/>
  <c r="BE398" i="3"/>
  <c r="AZ398" i="3"/>
  <c r="AE398" i="3"/>
  <c r="O398" i="3" s="1"/>
  <c r="V398" i="3"/>
  <c r="BE397" i="3"/>
  <c r="AZ397" i="3"/>
  <c r="AE397" i="3"/>
  <c r="V397" i="3"/>
  <c r="O397" i="3"/>
  <c r="BE396" i="3"/>
  <c r="AZ396" i="3"/>
  <c r="AE396" i="3"/>
  <c r="V396" i="3"/>
  <c r="O396" i="3"/>
  <c r="BE395" i="3"/>
  <c r="AZ395" i="3"/>
  <c r="AE395" i="3"/>
  <c r="V395" i="3"/>
  <c r="O395" i="3"/>
  <c r="BE394" i="3"/>
  <c r="AZ394" i="3"/>
  <c r="O394" i="3" s="1"/>
  <c r="AE394" i="3"/>
  <c r="V394" i="3"/>
  <c r="BE393" i="3"/>
  <c r="AZ393" i="3"/>
  <c r="O393" i="3" s="1"/>
  <c r="AE393" i="3"/>
  <c r="V393" i="3"/>
  <c r="BE392" i="3"/>
  <c r="AZ392" i="3"/>
  <c r="AE392" i="3"/>
  <c r="V392" i="3"/>
  <c r="O392" i="3" s="1"/>
  <c r="BE391" i="3"/>
  <c r="AZ391" i="3"/>
  <c r="AE391" i="3"/>
  <c r="V391" i="3"/>
  <c r="O391" i="3" s="1"/>
  <c r="BE390" i="3"/>
  <c r="AZ390" i="3"/>
  <c r="AE390" i="3"/>
  <c r="V390" i="3"/>
  <c r="O390" i="3" s="1"/>
  <c r="BE389" i="3"/>
  <c r="AZ389" i="3"/>
  <c r="AE389" i="3"/>
  <c r="V389" i="3"/>
  <c r="O389" i="3" s="1"/>
  <c r="BE388" i="3"/>
  <c r="AZ388" i="3"/>
  <c r="AE388" i="3"/>
  <c r="V388" i="3"/>
  <c r="O388" i="3" s="1"/>
  <c r="BE387" i="3"/>
  <c r="AZ387" i="3"/>
  <c r="AE387" i="3"/>
  <c r="V387" i="3"/>
  <c r="O387" i="3" s="1"/>
  <c r="BE386" i="3"/>
  <c r="AZ386" i="3"/>
  <c r="AE386" i="3"/>
  <c r="O386" i="3" s="1"/>
  <c r="V386" i="3"/>
  <c r="BE385" i="3"/>
  <c r="AZ385" i="3"/>
  <c r="AE385" i="3"/>
  <c r="V385" i="3"/>
  <c r="O385" i="3"/>
  <c r="BE384" i="3"/>
  <c r="AZ384" i="3"/>
  <c r="AE384" i="3"/>
  <c r="O384" i="3" s="1"/>
  <c r="V384" i="3"/>
  <c r="BE383" i="3"/>
  <c r="AZ383" i="3"/>
  <c r="AE383" i="3"/>
  <c r="V383" i="3"/>
  <c r="O383" i="3"/>
  <c r="BE382" i="3"/>
  <c r="AZ382" i="3"/>
  <c r="AE382" i="3"/>
  <c r="V382" i="3"/>
  <c r="O382" i="3"/>
  <c r="BE381" i="3"/>
  <c r="AZ381" i="3"/>
  <c r="O381" i="3" s="1"/>
  <c r="AE381" i="3"/>
  <c r="V381" i="3"/>
  <c r="BE380" i="3"/>
  <c r="AZ380" i="3"/>
  <c r="AE380" i="3"/>
  <c r="V380" i="3"/>
  <c r="O380" i="3" s="1"/>
  <c r="BE379" i="3"/>
  <c r="AZ379" i="3"/>
  <c r="AE379" i="3"/>
  <c r="V379" i="3"/>
  <c r="O379" i="3" s="1"/>
  <c r="BE378" i="3"/>
  <c r="AZ378" i="3"/>
  <c r="AE378" i="3"/>
  <c r="V378" i="3"/>
  <c r="O378" i="3" s="1"/>
  <c r="BE377" i="3"/>
  <c r="AZ377" i="3"/>
  <c r="AE377" i="3"/>
  <c r="V377" i="3"/>
  <c r="O377" i="3" s="1"/>
  <c r="BE376" i="3"/>
  <c r="AZ376" i="3"/>
  <c r="AE376" i="3"/>
  <c r="V376" i="3"/>
  <c r="O376" i="3" s="1"/>
  <c r="BE375" i="3"/>
  <c r="AZ375" i="3"/>
  <c r="AE375" i="3"/>
  <c r="V375" i="3"/>
  <c r="O375" i="3" s="1"/>
  <c r="BE374" i="3"/>
  <c r="AZ374" i="3"/>
  <c r="AE374" i="3"/>
  <c r="O374" i="3" s="1"/>
  <c r="V374" i="3"/>
  <c r="BE373" i="3"/>
  <c r="AZ373" i="3"/>
  <c r="AE373" i="3"/>
  <c r="O373" i="3" s="1"/>
  <c r="V373" i="3"/>
  <c r="BE372" i="3"/>
  <c r="AZ372" i="3"/>
  <c r="AE372" i="3"/>
  <c r="O372" i="3" s="1"/>
  <c r="V372" i="3"/>
  <c r="BE371" i="3"/>
  <c r="AZ371" i="3"/>
  <c r="AE371" i="3"/>
  <c r="V371" i="3"/>
  <c r="O371" i="3"/>
  <c r="BE370" i="3"/>
  <c r="AZ370" i="3"/>
  <c r="AE370" i="3"/>
  <c r="V370" i="3"/>
  <c r="O370" i="3"/>
  <c r="BE369" i="3"/>
  <c r="AZ369" i="3"/>
  <c r="O369" i="3" s="1"/>
  <c r="AE369" i="3"/>
  <c r="V369" i="3"/>
  <c r="BE368" i="3"/>
  <c r="AZ368" i="3"/>
  <c r="AE368" i="3"/>
  <c r="V368" i="3"/>
  <c r="O368" i="3" s="1"/>
  <c r="BE367" i="3"/>
  <c r="AZ367" i="3"/>
  <c r="AE367" i="3"/>
  <c r="V367" i="3"/>
  <c r="O367" i="3" s="1"/>
  <c r="BE366" i="3"/>
  <c r="AZ366" i="3"/>
  <c r="AE366" i="3"/>
  <c r="V366" i="3"/>
  <c r="O366" i="3" s="1"/>
  <c r="BE365" i="3"/>
  <c r="AZ365" i="3"/>
  <c r="AE365" i="3"/>
  <c r="V365" i="3"/>
  <c r="O365" i="3" s="1"/>
  <c r="BE364" i="3"/>
  <c r="AZ364" i="3"/>
  <c r="AE364" i="3"/>
  <c r="V364" i="3"/>
  <c r="O364" i="3" s="1"/>
  <c r="BE363" i="3"/>
  <c r="AZ363" i="3"/>
  <c r="AE363" i="3"/>
  <c r="V363" i="3"/>
  <c r="O363" i="3" s="1"/>
  <c r="BE362" i="3"/>
  <c r="AZ362" i="3"/>
  <c r="AE362" i="3"/>
  <c r="O362" i="3" s="1"/>
  <c r="V362" i="3"/>
  <c r="BE361" i="3"/>
  <c r="AZ361" i="3"/>
  <c r="AE361" i="3"/>
  <c r="V361" i="3"/>
  <c r="O361" i="3"/>
  <c r="BE360" i="3"/>
  <c r="AZ360" i="3"/>
  <c r="AE360" i="3"/>
  <c r="V360" i="3"/>
  <c r="O360" i="3"/>
  <c r="BE359" i="3"/>
  <c r="AZ359" i="3"/>
  <c r="AE359" i="3"/>
  <c r="V359" i="3"/>
  <c r="O359" i="3"/>
  <c r="BE358" i="3"/>
  <c r="AZ358" i="3"/>
  <c r="O358" i="3" s="1"/>
  <c r="AE358" i="3"/>
  <c r="V358" i="3"/>
  <c r="BE357" i="3"/>
  <c r="AZ357" i="3"/>
  <c r="O357" i="3" s="1"/>
  <c r="AE357" i="3"/>
  <c r="V357" i="3"/>
  <c r="BE356" i="3"/>
  <c r="AZ356" i="3"/>
  <c r="AE356" i="3"/>
  <c r="V356" i="3"/>
  <c r="O356" i="3" s="1"/>
  <c r="BE355" i="3"/>
  <c r="AZ355" i="3"/>
  <c r="AE355" i="3"/>
  <c r="V355" i="3"/>
  <c r="O355" i="3" s="1"/>
  <c r="BE354" i="3"/>
  <c r="AZ354" i="3"/>
  <c r="AE354" i="3"/>
  <c r="V354" i="3"/>
  <c r="O354" i="3" s="1"/>
  <c r="BE353" i="3"/>
  <c r="AZ353" i="3"/>
  <c r="AE353" i="3"/>
  <c r="V353" i="3"/>
  <c r="O353" i="3" s="1"/>
  <c r="BE352" i="3"/>
  <c r="AZ352" i="3"/>
  <c r="AE352" i="3"/>
  <c r="V352" i="3"/>
  <c r="O352" i="3" s="1"/>
  <c r="BE351" i="3"/>
  <c r="AZ351" i="3"/>
  <c r="AE351" i="3"/>
  <c r="V351" i="3"/>
  <c r="O351" i="3" s="1"/>
  <c r="BE350" i="3"/>
  <c r="AZ350" i="3"/>
  <c r="AE350" i="3"/>
  <c r="O350" i="3" s="1"/>
  <c r="V350" i="3"/>
  <c r="BE349" i="3"/>
  <c r="AZ349" i="3"/>
  <c r="AE349" i="3"/>
  <c r="V349" i="3"/>
  <c r="O349" i="3"/>
  <c r="BE348" i="3"/>
  <c r="AZ348" i="3"/>
  <c r="AE348" i="3"/>
  <c r="O348" i="3" s="1"/>
  <c r="V348" i="3"/>
  <c r="BE347" i="3"/>
  <c r="AZ347" i="3"/>
  <c r="AE347" i="3"/>
  <c r="V347" i="3"/>
  <c r="O347" i="3"/>
  <c r="BE346" i="3"/>
  <c r="AZ346" i="3"/>
  <c r="AE346" i="3"/>
  <c r="V346" i="3"/>
  <c r="O346" i="3"/>
  <c r="BE345" i="3"/>
  <c r="AZ345" i="3"/>
  <c r="O345" i="3" s="1"/>
  <c r="AE345" i="3"/>
  <c r="V345" i="3"/>
  <c r="BE344" i="3"/>
  <c r="AZ344" i="3"/>
  <c r="AE344" i="3"/>
  <c r="V344" i="3"/>
  <c r="O344" i="3" s="1"/>
  <c r="BE343" i="3"/>
  <c r="AZ343" i="3"/>
  <c r="AE343" i="3"/>
  <c r="V343" i="3"/>
  <c r="O343" i="3" s="1"/>
  <c r="BE342" i="3"/>
  <c r="AZ342" i="3"/>
  <c r="AE342" i="3"/>
  <c r="V342" i="3"/>
  <c r="O342" i="3" s="1"/>
  <c r="BE341" i="3"/>
  <c r="AZ341" i="3"/>
  <c r="AE341" i="3"/>
  <c r="V341" i="3"/>
  <c r="O341" i="3" s="1"/>
  <c r="BE340" i="3"/>
  <c r="AZ340" i="3"/>
  <c r="AE340" i="3"/>
  <c r="V340" i="3"/>
  <c r="O340" i="3" s="1"/>
  <c r="BE339" i="3"/>
  <c r="AZ339" i="3"/>
  <c r="AE339" i="3"/>
  <c r="V339" i="3"/>
  <c r="O339" i="3" s="1"/>
  <c r="BE338" i="3"/>
  <c r="AZ338" i="3"/>
  <c r="AE338" i="3"/>
  <c r="O338" i="3" s="1"/>
  <c r="V338" i="3"/>
  <c r="BE337" i="3"/>
  <c r="AZ337" i="3"/>
  <c r="AE337" i="3"/>
  <c r="O337" i="3" s="1"/>
  <c r="V337" i="3"/>
  <c r="BE336" i="3"/>
  <c r="AZ336" i="3"/>
  <c r="AE336" i="3"/>
  <c r="O336" i="3" s="1"/>
  <c r="V336" i="3"/>
  <c r="BE335" i="3"/>
  <c r="AZ335" i="3"/>
  <c r="AE335" i="3"/>
  <c r="V335" i="3"/>
  <c r="O335" i="3"/>
  <c r="BE334" i="3"/>
  <c r="AZ334" i="3"/>
  <c r="AE334" i="3"/>
  <c r="V334" i="3"/>
  <c r="O334" i="3"/>
  <c r="BE333" i="3"/>
  <c r="AZ333" i="3"/>
  <c r="O333" i="3" s="1"/>
  <c r="AE333" i="3"/>
  <c r="V333" i="3"/>
  <c r="BE332" i="3"/>
  <c r="AZ332" i="3"/>
  <c r="AE332" i="3"/>
  <c r="V332" i="3"/>
  <c r="O332" i="3" s="1"/>
  <c r="BE331" i="3"/>
  <c r="AZ331" i="3"/>
  <c r="AE331" i="3"/>
  <c r="V331" i="3"/>
  <c r="O331" i="3" s="1"/>
  <c r="BE330" i="3"/>
  <c r="AZ330" i="3"/>
  <c r="AE330" i="3"/>
  <c r="V330" i="3"/>
  <c r="O330" i="3" s="1"/>
  <c r="BE329" i="3"/>
  <c r="AZ329" i="3"/>
  <c r="AE329" i="3"/>
  <c r="V329" i="3"/>
  <c r="O329" i="3" s="1"/>
  <c r="BE328" i="3"/>
  <c r="AZ328" i="3"/>
  <c r="AE328" i="3"/>
  <c r="V328" i="3"/>
  <c r="O328" i="3" s="1"/>
  <c r="BE327" i="3"/>
  <c r="AZ327" i="3"/>
  <c r="AE327" i="3"/>
  <c r="V327" i="3"/>
  <c r="O327" i="3" s="1"/>
  <c r="BE326" i="3"/>
  <c r="AZ326" i="3"/>
  <c r="AE326" i="3"/>
  <c r="O326" i="3" s="1"/>
  <c r="V326" i="3"/>
  <c r="BE325" i="3"/>
  <c r="AZ325" i="3"/>
  <c r="AE325" i="3"/>
  <c r="V325" i="3"/>
  <c r="O325" i="3"/>
  <c r="BE324" i="3"/>
  <c r="AZ324" i="3"/>
  <c r="AE324" i="3"/>
  <c r="V324" i="3"/>
  <c r="O324" i="3"/>
  <c r="BE323" i="3"/>
  <c r="AZ323" i="3"/>
  <c r="AE323" i="3"/>
  <c r="V323" i="3"/>
  <c r="O323" i="3"/>
  <c r="BE322" i="3"/>
  <c r="AZ322" i="3"/>
  <c r="AE322" i="3"/>
  <c r="V322" i="3"/>
  <c r="O322" i="3"/>
  <c r="BE321" i="3"/>
  <c r="AZ321" i="3"/>
  <c r="O321" i="3" s="1"/>
  <c r="AE321" i="3"/>
  <c r="V321" i="3"/>
  <c r="BE320" i="3"/>
  <c r="AZ320" i="3"/>
  <c r="AE320" i="3"/>
  <c r="V320" i="3"/>
  <c r="O320" i="3" s="1"/>
  <c r="BE319" i="3"/>
  <c r="AZ319" i="3"/>
  <c r="AE319" i="3"/>
  <c r="V319" i="3"/>
  <c r="O319" i="3" s="1"/>
  <c r="BE318" i="3"/>
  <c r="AZ318" i="3"/>
  <c r="AE318" i="3"/>
  <c r="V318" i="3"/>
  <c r="O318" i="3" s="1"/>
  <c r="BE317" i="3"/>
  <c r="AZ317" i="3"/>
  <c r="AE317" i="3"/>
  <c r="V317" i="3"/>
  <c r="O317" i="3" s="1"/>
  <c r="BE316" i="3"/>
  <c r="AZ316" i="3"/>
  <c r="AE316" i="3"/>
  <c r="V316" i="3"/>
  <c r="O316" i="3" s="1"/>
  <c r="BE315" i="3"/>
  <c r="AZ315" i="3"/>
  <c r="AE315" i="3"/>
  <c r="V315" i="3"/>
  <c r="O315" i="3" s="1"/>
  <c r="BE314" i="3"/>
  <c r="AZ314" i="3"/>
  <c r="AE314" i="3"/>
  <c r="O314" i="3" s="1"/>
  <c r="V314" i="3"/>
  <c r="BE313" i="3"/>
  <c r="AZ313" i="3"/>
  <c r="AE313" i="3"/>
  <c r="V313" i="3"/>
  <c r="O313" i="3"/>
  <c r="BE312" i="3"/>
  <c r="AZ312" i="3"/>
  <c r="AE312" i="3"/>
  <c r="O312" i="3" s="1"/>
  <c r="V312" i="3"/>
  <c r="BE311" i="3"/>
  <c r="AZ311" i="3"/>
  <c r="AE311" i="3"/>
  <c r="V311" i="3"/>
  <c r="O311" i="3"/>
  <c r="BE310" i="3"/>
  <c r="AZ310" i="3"/>
  <c r="AE310" i="3"/>
  <c r="V310" i="3"/>
  <c r="O310" i="3"/>
  <c r="BE309" i="3"/>
  <c r="AZ309" i="3"/>
  <c r="O309" i="3" s="1"/>
  <c r="AE309" i="3"/>
  <c r="V309" i="3"/>
  <c r="BE308" i="3"/>
  <c r="AZ308" i="3"/>
  <c r="AE308" i="3"/>
  <c r="V308" i="3"/>
  <c r="O308" i="3" s="1"/>
  <c r="BE307" i="3"/>
  <c r="AZ307" i="3"/>
  <c r="AE307" i="3"/>
  <c r="V307" i="3"/>
  <c r="O307" i="3" s="1"/>
  <c r="BE306" i="3"/>
  <c r="AZ306" i="3"/>
  <c r="AE306" i="3"/>
  <c r="V306" i="3"/>
  <c r="O306" i="3" s="1"/>
  <c r="BE305" i="3"/>
  <c r="AZ305" i="3"/>
  <c r="AE305" i="3"/>
  <c r="V305" i="3"/>
  <c r="O305" i="3" s="1"/>
  <c r="BE304" i="3"/>
  <c r="AZ304" i="3"/>
  <c r="AE304" i="3"/>
  <c r="V304" i="3"/>
  <c r="O304" i="3" s="1"/>
  <c r="BE303" i="3"/>
  <c r="AZ303" i="3"/>
  <c r="AE303" i="3"/>
  <c r="V303" i="3"/>
  <c r="O303" i="3" s="1"/>
  <c r="BE302" i="3"/>
  <c r="AZ302" i="3"/>
  <c r="AE302" i="3"/>
  <c r="O302" i="3" s="1"/>
  <c r="V302" i="3"/>
  <c r="BE301" i="3"/>
  <c r="AZ301" i="3"/>
  <c r="AE301" i="3"/>
  <c r="O301" i="3" s="1"/>
  <c r="V301" i="3"/>
  <c r="BE300" i="3"/>
  <c r="AZ300" i="3"/>
  <c r="AE300" i="3"/>
  <c r="O300" i="3" s="1"/>
  <c r="V300" i="3"/>
  <c r="BE299" i="3"/>
  <c r="AZ299" i="3"/>
  <c r="AE299" i="3"/>
  <c r="V299" i="3"/>
  <c r="O299" i="3"/>
  <c r="BE298" i="3"/>
  <c r="AZ298" i="3"/>
  <c r="AE298" i="3"/>
  <c r="V298" i="3"/>
  <c r="O298" i="3"/>
  <c r="BE297" i="3"/>
  <c r="AZ297" i="3"/>
  <c r="O297" i="3" s="1"/>
  <c r="AE297" i="3"/>
  <c r="V297" i="3"/>
  <c r="BE296" i="3"/>
  <c r="AZ296" i="3"/>
  <c r="AE296" i="3"/>
  <c r="V296" i="3"/>
  <c r="O296" i="3" s="1"/>
  <c r="BE295" i="3"/>
  <c r="AZ295" i="3"/>
  <c r="AE295" i="3"/>
  <c r="V295" i="3"/>
  <c r="O295" i="3" s="1"/>
  <c r="BE294" i="3"/>
  <c r="AZ294" i="3"/>
  <c r="AE294" i="3"/>
  <c r="V294" i="3"/>
  <c r="O294" i="3" s="1"/>
  <c r="BE293" i="3"/>
  <c r="AZ293" i="3"/>
  <c r="AE293" i="3"/>
  <c r="V293" i="3"/>
  <c r="O293" i="3" s="1"/>
  <c r="BE292" i="3"/>
  <c r="AZ292" i="3"/>
  <c r="AE292" i="3"/>
  <c r="V292" i="3"/>
  <c r="O292" i="3" s="1"/>
  <c r="BE291" i="3"/>
  <c r="AZ291" i="3"/>
  <c r="AE291" i="3"/>
  <c r="V291" i="3"/>
  <c r="O291" i="3" s="1"/>
  <c r="BE290" i="3"/>
  <c r="AZ290" i="3"/>
  <c r="AE290" i="3"/>
  <c r="O290" i="3" s="1"/>
  <c r="V290" i="3"/>
  <c r="BE289" i="3"/>
  <c r="AZ289" i="3"/>
  <c r="AE289" i="3"/>
  <c r="V289" i="3"/>
  <c r="O289" i="3"/>
  <c r="BE288" i="3"/>
  <c r="AZ288" i="3"/>
  <c r="AE288" i="3"/>
  <c r="V288" i="3"/>
  <c r="O288" i="3"/>
  <c r="BE287" i="3"/>
  <c r="AZ287" i="3"/>
  <c r="AE287" i="3"/>
  <c r="V287" i="3"/>
  <c r="O287" i="3"/>
  <c r="BE286" i="3"/>
  <c r="AZ286" i="3"/>
  <c r="AE286" i="3"/>
  <c r="V286" i="3"/>
  <c r="O286" i="3"/>
  <c r="BE285" i="3"/>
  <c r="AZ285" i="3"/>
  <c r="O285" i="3" s="1"/>
  <c r="AE285" i="3"/>
  <c r="V285" i="3"/>
  <c r="BE284" i="3"/>
  <c r="AZ284" i="3"/>
  <c r="AE284" i="3"/>
  <c r="V284" i="3"/>
  <c r="O284" i="3" s="1"/>
  <c r="BE283" i="3"/>
  <c r="AZ283" i="3"/>
  <c r="AE283" i="3"/>
  <c r="V283" i="3"/>
  <c r="O283" i="3" s="1"/>
  <c r="BE282" i="3"/>
  <c r="AZ282" i="3"/>
  <c r="AE282" i="3"/>
  <c r="V282" i="3"/>
  <c r="O282" i="3" s="1"/>
  <c r="BE281" i="3"/>
  <c r="AZ281" i="3"/>
  <c r="AE281" i="3"/>
  <c r="V281" i="3"/>
  <c r="O281" i="3" s="1"/>
  <c r="BE280" i="3"/>
  <c r="AZ280" i="3"/>
  <c r="AE280" i="3"/>
  <c r="V280" i="3"/>
  <c r="O280" i="3" s="1"/>
  <c r="BE279" i="3"/>
  <c r="AZ279" i="3"/>
  <c r="AE279" i="3"/>
  <c r="V279" i="3"/>
  <c r="O279" i="3" s="1"/>
  <c r="BE278" i="3"/>
  <c r="AZ278" i="3"/>
  <c r="AE278" i="3"/>
  <c r="O278" i="3" s="1"/>
  <c r="V278" i="3"/>
  <c r="BE277" i="3"/>
  <c r="AZ277" i="3"/>
  <c r="AE277" i="3"/>
  <c r="V277" i="3"/>
  <c r="O277" i="3"/>
  <c r="BE276" i="3"/>
  <c r="AZ276" i="3"/>
  <c r="AE276" i="3"/>
  <c r="O276" i="3" s="1"/>
  <c r="V276" i="3"/>
  <c r="BE275" i="3"/>
  <c r="AZ275" i="3"/>
  <c r="AE275" i="3"/>
  <c r="V275" i="3"/>
  <c r="O275" i="3"/>
  <c r="BE274" i="3"/>
  <c r="AZ274" i="3"/>
  <c r="AE274" i="3"/>
  <c r="V274" i="3"/>
  <c r="O274" i="3"/>
  <c r="BE273" i="3"/>
  <c r="AZ273" i="3"/>
  <c r="O273" i="3" s="1"/>
  <c r="AE273" i="3"/>
  <c r="V273" i="3"/>
  <c r="BE272" i="3"/>
  <c r="AZ272" i="3"/>
  <c r="AE272" i="3"/>
  <c r="V272" i="3"/>
  <c r="O272" i="3" s="1"/>
  <c r="BE271" i="3"/>
  <c r="AZ271" i="3"/>
  <c r="AE271" i="3"/>
  <c r="V271" i="3"/>
  <c r="O271" i="3" s="1"/>
  <c r="BE270" i="3"/>
  <c r="AZ270" i="3"/>
  <c r="AE270" i="3"/>
  <c r="V270" i="3"/>
  <c r="O270" i="3" s="1"/>
  <c r="BE269" i="3"/>
  <c r="AZ269" i="3"/>
  <c r="AE269" i="3"/>
  <c r="V269" i="3"/>
  <c r="O269" i="3" s="1"/>
  <c r="BE268" i="3"/>
  <c r="AZ268" i="3"/>
  <c r="AE268" i="3"/>
  <c r="V268" i="3"/>
  <c r="O268" i="3" s="1"/>
  <c r="BE267" i="3"/>
  <c r="AZ267" i="3"/>
  <c r="AE267" i="3"/>
  <c r="V267" i="3"/>
  <c r="O267" i="3" s="1"/>
  <c r="BE266" i="3"/>
  <c r="AZ266" i="3"/>
  <c r="AE266" i="3"/>
  <c r="O266" i="3" s="1"/>
  <c r="V266" i="3"/>
  <c r="BE265" i="3"/>
  <c r="AZ265" i="3"/>
  <c r="AE265" i="3"/>
  <c r="O265" i="3" s="1"/>
  <c r="V265" i="3"/>
  <c r="BE264" i="3"/>
  <c r="AZ264" i="3"/>
  <c r="AE264" i="3"/>
  <c r="O264" i="3" s="1"/>
  <c r="V264" i="3"/>
  <c r="BE263" i="3"/>
  <c r="AZ263" i="3"/>
  <c r="AE263" i="3"/>
  <c r="V263" i="3"/>
  <c r="O263" i="3"/>
  <c r="BE262" i="3"/>
  <c r="AZ262" i="3"/>
  <c r="AE262" i="3"/>
  <c r="V262" i="3"/>
  <c r="O262" i="3"/>
  <c r="BE261" i="3"/>
  <c r="AZ261" i="3"/>
  <c r="O261" i="3" s="1"/>
  <c r="AE261" i="3"/>
  <c r="V261" i="3"/>
  <c r="BE260" i="3"/>
  <c r="AZ260" i="3"/>
  <c r="AE260" i="3"/>
  <c r="V260" i="3"/>
  <c r="O260" i="3" s="1"/>
  <c r="BE259" i="3"/>
  <c r="AZ259" i="3"/>
  <c r="AE259" i="3"/>
  <c r="V259" i="3"/>
  <c r="O259" i="3" s="1"/>
  <c r="BE258" i="3"/>
  <c r="AZ258" i="3"/>
  <c r="AE258" i="3"/>
  <c r="V258" i="3"/>
  <c r="O258" i="3" s="1"/>
  <c r="BE257" i="3"/>
  <c r="AZ257" i="3"/>
  <c r="AE257" i="3"/>
  <c r="V257" i="3"/>
  <c r="O257" i="3" s="1"/>
  <c r="BE256" i="3"/>
  <c r="AZ256" i="3"/>
  <c r="AE256" i="3"/>
  <c r="V256" i="3"/>
  <c r="O256" i="3" s="1"/>
  <c r="BE255" i="3"/>
  <c r="AZ255" i="3"/>
  <c r="AE255" i="3"/>
  <c r="V255" i="3"/>
  <c r="O255" i="3" s="1"/>
  <c r="BE254" i="3"/>
  <c r="AZ254" i="3"/>
  <c r="AE254" i="3"/>
  <c r="O254" i="3" s="1"/>
  <c r="V254" i="3"/>
  <c r="BE253" i="3"/>
  <c r="AZ253" i="3"/>
  <c r="AE253" i="3"/>
  <c r="V253" i="3"/>
  <c r="O253" i="3"/>
  <c r="BE252" i="3"/>
  <c r="AZ252" i="3"/>
  <c r="AE252" i="3"/>
  <c r="V252" i="3"/>
  <c r="O252" i="3"/>
  <c r="BE251" i="3"/>
  <c r="AZ251" i="3"/>
  <c r="AE251" i="3"/>
  <c r="V251" i="3"/>
  <c r="O251" i="3"/>
  <c r="BE250" i="3"/>
  <c r="AZ250" i="3"/>
  <c r="AE250" i="3"/>
  <c r="V250" i="3"/>
  <c r="O250" i="3"/>
  <c r="BE249" i="3"/>
  <c r="AZ249" i="3"/>
  <c r="O249" i="3" s="1"/>
  <c r="AE249" i="3"/>
  <c r="V249" i="3"/>
  <c r="BE248" i="3"/>
  <c r="AZ248" i="3"/>
  <c r="AE248" i="3"/>
  <c r="V248" i="3"/>
  <c r="O248" i="3" s="1"/>
  <c r="BE247" i="3"/>
  <c r="AZ247" i="3"/>
  <c r="AE247" i="3"/>
  <c r="V247" i="3"/>
  <c r="O247" i="3" s="1"/>
  <c r="BE246" i="3"/>
  <c r="AZ246" i="3"/>
  <c r="AE246" i="3"/>
  <c r="V246" i="3"/>
  <c r="O246" i="3" s="1"/>
  <c r="BE245" i="3"/>
  <c r="AZ245" i="3"/>
  <c r="AE245" i="3"/>
  <c r="V245" i="3"/>
  <c r="O245" i="3" s="1"/>
  <c r="BE244" i="3"/>
  <c r="AZ244" i="3"/>
  <c r="AE244" i="3"/>
  <c r="V244" i="3"/>
  <c r="O244" i="3" s="1"/>
  <c r="BE243" i="3"/>
  <c r="AZ243" i="3"/>
  <c r="AE243" i="3"/>
  <c r="V243" i="3"/>
  <c r="O243" i="3" s="1"/>
  <c r="BE242" i="3"/>
  <c r="AZ242" i="3"/>
  <c r="AE242" i="3"/>
  <c r="O242" i="3" s="1"/>
  <c r="V242" i="3"/>
  <c r="BE241" i="3"/>
  <c r="AZ241" i="3"/>
  <c r="AE241" i="3"/>
  <c r="V241" i="3"/>
  <c r="O241" i="3"/>
  <c r="BE240" i="3"/>
  <c r="AZ240" i="3"/>
  <c r="AE240" i="3"/>
  <c r="O240" i="3" s="1"/>
  <c r="V240" i="3"/>
  <c r="BE239" i="3"/>
  <c r="AZ239" i="3"/>
  <c r="AE239" i="3"/>
  <c r="V239" i="3"/>
  <c r="O239" i="3"/>
  <c r="BE238" i="3"/>
  <c r="AZ238" i="3"/>
  <c r="AE238" i="3"/>
  <c r="V238" i="3"/>
  <c r="O238" i="3"/>
  <c r="BE237" i="3"/>
  <c r="AZ237" i="3"/>
  <c r="O237" i="3" s="1"/>
  <c r="AE237" i="3"/>
  <c r="V237" i="3"/>
  <c r="BE236" i="3"/>
  <c r="AZ236" i="3"/>
  <c r="AE236" i="3"/>
  <c r="V236" i="3"/>
  <c r="O236" i="3" s="1"/>
  <c r="BE235" i="3"/>
  <c r="AZ235" i="3"/>
  <c r="AE235" i="3"/>
  <c r="V235" i="3"/>
  <c r="O235" i="3" s="1"/>
  <c r="BE234" i="3"/>
  <c r="AZ234" i="3"/>
  <c r="AE234" i="3"/>
  <c r="V234" i="3"/>
  <c r="O234" i="3" s="1"/>
  <c r="BE233" i="3"/>
  <c r="AZ233" i="3"/>
  <c r="AE233" i="3"/>
  <c r="V233" i="3"/>
  <c r="O233" i="3" s="1"/>
  <c r="BE232" i="3"/>
  <c r="AZ232" i="3"/>
  <c r="AE232" i="3"/>
  <c r="V232" i="3"/>
  <c r="O232" i="3" s="1"/>
  <c r="BE231" i="3"/>
  <c r="AZ231" i="3"/>
  <c r="AE231" i="3"/>
  <c r="V231" i="3"/>
  <c r="O231" i="3" s="1"/>
  <c r="BE230" i="3"/>
  <c r="AZ230" i="3"/>
  <c r="AE230" i="3"/>
  <c r="O230" i="3" s="1"/>
  <c r="V230" i="3"/>
  <c r="BE229" i="3"/>
  <c r="AZ229" i="3"/>
  <c r="AE229" i="3"/>
  <c r="O229" i="3" s="1"/>
  <c r="V229" i="3"/>
  <c r="BE228" i="3"/>
  <c r="AZ228" i="3"/>
  <c r="AE228" i="3"/>
  <c r="O228" i="3" s="1"/>
  <c r="V228" i="3"/>
  <c r="BE227" i="3"/>
  <c r="AZ227" i="3"/>
  <c r="AE227" i="3"/>
  <c r="V227" i="3"/>
  <c r="O227" i="3"/>
  <c r="BE226" i="3"/>
  <c r="AZ226" i="3"/>
  <c r="AE226" i="3"/>
  <c r="V226" i="3"/>
  <c r="O226" i="3"/>
  <c r="BE225" i="3"/>
  <c r="AZ225" i="3"/>
  <c r="O225" i="3" s="1"/>
  <c r="AE225" i="3"/>
  <c r="V225" i="3"/>
  <c r="BE224" i="3"/>
  <c r="AZ224" i="3"/>
  <c r="AE224" i="3"/>
  <c r="V224" i="3"/>
  <c r="O224" i="3" s="1"/>
  <c r="BE223" i="3"/>
  <c r="AZ223" i="3"/>
  <c r="AE223" i="3"/>
  <c r="V223" i="3"/>
  <c r="O223" i="3" s="1"/>
  <c r="BE222" i="3"/>
  <c r="AZ222" i="3"/>
  <c r="AE222" i="3"/>
  <c r="V222" i="3"/>
  <c r="O222" i="3" s="1"/>
  <c r="BE221" i="3"/>
  <c r="AZ221" i="3"/>
  <c r="AE221" i="3"/>
  <c r="V221" i="3"/>
  <c r="O221" i="3" s="1"/>
  <c r="BE220" i="3"/>
  <c r="AZ220" i="3"/>
  <c r="AE220" i="3"/>
  <c r="V220" i="3"/>
  <c r="O220" i="3" s="1"/>
  <c r="BE219" i="3"/>
  <c r="AZ219" i="3"/>
  <c r="AE219" i="3"/>
  <c r="V219" i="3"/>
  <c r="O219" i="3" s="1"/>
  <c r="BE218" i="3"/>
  <c r="AZ218" i="3"/>
  <c r="AE218" i="3"/>
  <c r="O218" i="3" s="1"/>
  <c r="V218" i="3"/>
  <c r="BE217" i="3"/>
  <c r="AZ217" i="3"/>
  <c r="AE217" i="3"/>
  <c r="V217" i="3"/>
  <c r="O217" i="3"/>
  <c r="BE216" i="3"/>
  <c r="AZ216" i="3"/>
  <c r="AE216" i="3"/>
  <c r="V216" i="3"/>
  <c r="O216" i="3"/>
  <c r="BE215" i="3"/>
  <c r="AZ215" i="3"/>
  <c r="AE215" i="3"/>
  <c r="V215" i="3"/>
  <c r="O215" i="3"/>
  <c r="BE214" i="3"/>
  <c r="AZ214" i="3"/>
  <c r="AE214" i="3"/>
  <c r="V214" i="3"/>
  <c r="O214" i="3"/>
  <c r="BE213" i="3"/>
  <c r="AZ213" i="3"/>
  <c r="O213" i="3" s="1"/>
  <c r="AE213" i="3"/>
  <c r="V213" i="3"/>
  <c r="BE212" i="3"/>
  <c r="AZ212" i="3"/>
  <c r="AE212" i="3"/>
  <c r="V212" i="3"/>
  <c r="O212" i="3" s="1"/>
  <c r="BE211" i="3"/>
  <c r="AZ211" i="3"/>
  <c r="AE211" i="3"/>
  <c r="V211" i="3"/>
  <c r="O211" i="3" s="1"/>
  <c r="BE210" i="3"/>
  <c r="AZ210" i="3"/>
  <c r="AE210" i="3"/>
  <c r="V210" i="3"/>
  <c r="O210" i="3" s="1"/>
  <c r="BE209" i="3"/>
  <c r="AZ209" i="3"/>
  <c r="AE209" i="3"/>
  <c r="V209" i="3"/>
  <c r="O209" i="3" s="1"/>
  <c r="BE208" i="3"/>
  <c r="AZ208" i="3"/>
  <c r="AE208" i="3"/>
  <c r="V208" i="3"/>
  <c r="O208" i="3" s="1"/>
  <c r="BE207" i="3"/>
  <c r="AZ207" i="3"/>
  <c r="AE207" i="3"/>
  <c r="V207" i="3"/>
  <c r="O207" i="3" s="1"/>
  <c r="BE206" i="3"/>
  <c r="AZ206" i="3"/>
  <c r="AE206" i="3"/>
  <c r="O206" i="3" s="1"/>
  <c r="V206" i="3"/>
  <c r="BE205" i="3"/>
  <c r="AZ205" i="3"/>
  <c r="AE205" i="3"/>
  <c r="V205" i="3"/>
  <c r="O205" i="3"/>
  <c r="BE204" i="3"/>
  <c r="AZ204" i="3"/>
  <c r="AE204" i="3"/>
  <c r="O204" i="3" s="1"/>
  <c r="V204" i="3"/>
  <c r="BE203" i="3"/>
  <c r="AZ203" i="3"/>
  <c r="AE203" i="3"/>
  <c r="V203" i="3"/>
  <c r="O203" i="3"/>
  <c r="BE202" i="3"/>
  <c r="AZ202" i="3"/>
  <c r="AE202" i="3"/>
  <c r="V202" i="3"/>
  <c r="O202" i="3"/>
  <c r="BE201" i="3"/>
  <c r="AZ201" i="3"/>
  <c r="O201" i="3" s="1"/>
  <c r="AE201" i="3"/>
  <c r="V201" i="3"/>
  <c r="BE200" i="3"/>
  <c r="AZ200" i="3"/>
  <c r="AE200" i="3"/>
  <c r="V200" i="3"/>
  <c r="O200" i="3" s="1"/>
  <c r="BE199" i="3"/>
  <c r="AZ199" i="3"/>
  <c r="AE199" i="3"/>
  <c r="V199" i="3"/>
  <c r="O199" i="3" s="1"/>
  <c r="BE198" i="3"/>
  <c r="AZ198" i="3"/>
  <c r="AE198" i="3"/>
  <c r="V198" i="3"/>
  <c r="O198" i="3" s="1"/>
  <c r="BE197" i="3"/>
  <c r="AZ197" i="3"/>
  <c r="AE197" i="3"/>
  <c r="V197" i="3"/>
  <c r="O197" i="3" s="1"/>
  <c r="BE196" i="3"/>
  <c r="AZ196" i="3"/>
  <c r="AE196" i="3"/>
  <c r="V196" i="3"/>
  <c r="O196" i="3" s="1"/>
  <c r="BE195" i="3"/>
  <c r="AZ195" i="3"/>
  <c r="AE195" i="3"/>
  <c r="V195" i="3"/>
  <c r="O195" i="3" s="1"/>
  <c r="BE194" i="3"/>
  <c r="AZ194" i="3"/>
  <c r="AE194" i="3"/>
  <c r="O194" i="3" s="1"/>
  <c r="V194" i="3"/>
  <c r="BE193" i="3"/>
  <c r="AZ193" i="3"/>
  <c r="AE193" i="3"/>
  <c r="O193" i="3" s="1"/>
  <c r="V193" i="3"/>
  <c r="BE192" i="3"/>
  <c r="AZ192" i="3"/>
  <c r="AE192" i="3"/>
  <c r="O192" i="3" s="1"/>
  <c r="V192" i="3"/>
  <c r="BE191" i="3"/>
  <c r="AZ191" i="3"/>
  <c r="AE191" i="3"/>
  <c r="V191" i="3"/>
  <c r="O191" i="3"/>
  <c r="BE190" i="3"/>
  <c r="AZ190" i="3"/>
  <c r="AE190" i="3"/>
  <c r="V190" i="3"/>
  <c r="O190" i="3"/>
  <c r="BE189" i="3"/>
  <c r="AZ189" i="3"/>
  <c r="O189" i="3" s="1"/>
  <c r="AE189" i="3"/>
  <c r="V189" i="3"/>
  <c r="BE188" i="3"/>
  <c r="AZ188" i="3"/>
  <c r="AE188" i="3"/>
  <c r="V188" i="3"/>
  <c r="O188" i="3" s="1"/>
  <c r="BE187" i="3"/>
  <c r="AZ187" i="3"/>
  <c r="AE187" i="3"/>
  <c r="V187" i="3"/>
  <c r="O187" i="3" s="1"/>
  <c r="BE186" i="3"/>
  <c r="AZ186" i="3"/>
  <c r="AE186" i="3"/>
  <c r="V186" i="3"/>
  <c r="O186" i="3" s="1"/>
  <c r="BE185" i="3"/>
  <c r="AZ185" i="3"/>
  <c r="AE185" i="3"/>
  <c r="V185" i="3"/>
  <c r="O185" i="3" s="1"/>
  <c r="BE184" i="3"/>
  <c r="AZ184" i="3"/>
  <c r="AE184" i="3"/>
  <c r="V184" i="3"/>
  <c r="O184" i="3" s="1"/>
  <c r="BE183" i="3"/>
  <c r="AZ183" i="3"/>
  <c r="AE183" i="3"/>
  <c r="V183" i="3"/>
  <c r="O183" i="3" s="1"/>
  <c r="BE182" i="3"/>
  <c r="AZ182" i="3"/>
  <c r="AE182" i="3"/>
  <c r="O182" i="3" s="1"/>
  <c r="V182" i="3"/>
  <c r="BE181" i="3"/>
  <c r="AZ181" i="3"/>
  <c r="AE181" i="3"/>
  <c r="V181" i="3"/>
  <c r="O181" i="3"/>
  <c r="BE180" i="3"/>
  <c r="AZ180" i="3"/>
  <c r="AE180" i="3"/>
  <c r="V180" i="3"/>
  <c r="O180" i="3"/>
  <c r="BE179" i="3"/>
  <c r="AZ179" i="3"/>
  <c r="AE179" i="3"/>
  <c r="V179" i="3"/>
  <c r="O179" i="3"/>
  <c r="BE178" i="3"/>
  <c r="AZ178" i="3"/>
  <c r="AE178" i="3"/>
  <c r="V178" i="3"/>
  <c r="O178" i="3"/>
  <c r="BE177" i="3"/>
  <c r="AZ177" i="3"/>
  <c r="O177" i="3" s="1"/>
  <c r="AE177" i="3"/>
  <c r="V177" i="3"/>
  <c r="BE176" i="3"/>
  <c r="AZ176" i="3"/>
  <c r="AE176" i="3"/>
  <c r="V176" i="3"/>
  <c r="O176" i="3" s="1"/>
  <c r="BE175" i="3"/>
  <c r="AZ175" i="3"/>
  <c r="AE175" i="3"/>
  <c r="V175" i="3"/>
  <c r="O175" i="3" s="1"/>
  <c r="BE174" i="3"/>
  <c r="AZ174" i="3"/>
  <c r="AE174" i="3"/>
  <c r="V174" i="3"/>
  <c r="O174" i="3" s="1"/>
  <c r="BE173" i="3"/>
  <c r="AZ173" i="3"/>
  <c r="AE173" i="3"/>
  <c r="V173" i="3"/>
  <c r="O173" i="3" s="1"/>
  <c r="BE172" i="3"/>
  <c r="AZ172" i="3"/>
  <c r="AE172" i="3"/>
  <c r="V172" i="3"/>
  <c r="O172" i="3" s="1"/>
  <c r="BE171" i="3"/>
  <c r="AZ171" i="3"/>
  <c r="AE171" i="3"/>
  <c r="O171" i="3" s="1"/>
  <c r="V171" i="3"/>
  <c r="BE170" i="3"/>
  <c r="AZ170" i="3"/>
  <c r="AE170" i="3"/>
  <c r="O170" i="3" s="1"/>
  <c r="V170" i="3"/>
  <c r="BE169" i="3"/>
  <c r="AZ169" i="3"/>
  <c r="AE169" i="3"/>
  <c r="V169" i="3"/>
  <c r="O169" i="3"/>
  <c r="BE168" i="3"/>
  <c r="AZ168" i="3"/>
  <c r="AE168" i="3"/>
  <c r="O168" i="3" s="1"/>
  <c r="V168" i="3"/>
  <c r="BE167" i="3"/>
  <c r="AZ167" i="3"/>
  <c r="AE167" i="3"/>
  <c r="V167" i="3"/>
  <c r="O167" i="3"/>
  <c r="BE166" i="3"/>
  <c r="AZ166" i="3"/>
  <c r="AE166" i="3"/>
  <c r="V166" i="3"/>
  <c r="O166" i="3"/>
  <c r="BE165" i="3"/>
  <c r="AZ165" i="3"/>
  <c r="O165" i="3" s="1"/>
  <c r="AE165" i="3"/>
  <c r="V165" i="3"/>
  <c r="BE164" i="3"/>
  <c r="AZ164" i="3"/>
  <c r="AE164" i="3"/>
  <c r="V164" i="3"/>
  <c r="O164" i="3" s="1"/>
  <c r="BE163" i="3"/>
  <c r="AZ163" i="3"/>
  <c r="AE163" i="3"/>
  <c r="V163" i="3"/>
  <c r="O163" i="3" s="1"/>
  <c r="BE162" i="3"/>
  <c r="AZ162" i="3"/>
  <c r="AE162" i="3"/>
  <c r="V162" i="3"/>
  <c r="O162" i="3" s="1"/>
  <c r="BE161" i="3"/>
  <c r="AZ161" i="3"/>
  <c r="AE161" i="3"/>
  <c r="V161" i="3"/>
  <c r="O161" i="3" s="1"/>
  <c r="BE160" i="3"/>
  <c r="AZ160" i="3"/>
  <c r="AE160" i="3"/>
  <c r="V160" i="3"/>
  <c r="O160" i="3" s="1"/>
  <c r="BE159" i="3"/>
  <c r="AZ159" i="3"/>
  <c r="AE159" i="3"/>
  <c r="O159" i="3" s="1"/>
  <c r="V159" i="3"/>
  <c r="BE158" i="3"/>
  <c r="AZ158" i="3"/>
  <c r="AE158" i="3"/>
  <c r="O158" i="3" s="1"/>
  <c r="V158" i="3"/>
  <c r="BE157" i="3"/>
  <c r="AZ157" i="3"/>
  <c r="AE157" i="3"/>
  <c r="O157" i="3" s="1"/>
  <c r="V157" i="3"/>
  <c r="BE156" i="3"/>
  <c r="AZ156" i="3"/>
  <c r="AE156" i="3"/>
  <c r="O156" i="3" s="1"/>
  <c r="V156" i="3"/>
  <c r="BE155" i="3"/>
  <c r="AZ155" i="3"/>
  <c r="AE155" i="3"/>
  <c r="V155" i="3"/>
  <c r="O155" i="3"/>
  <c r="BE154" i="3"/>
  <c r="AZ154" i="3"/>
  <c r="AE154" i="3"/>
  <c r="V154" i="3"/>
  <c r="O154" i="3"/>
  <c r="BE153" i="3"/>
  <c r="AZ153" i="3"/>
  <c r="O153" i="3" s="1"/>
  <c r="AE153" i="3"/>
  <c r="V153" i="3"/>
  <c r="BE152" i="3"/>
  <c r="AZ152" i="3"/>
  <c r="AE152" i="3"/>
  <c r="V152" i="3"/>
  <c r="O152" i="3" s="1"/>
  <c r="BE151" i="3"/>
  <c r="AZ151" i="3"/>
  <c r="AE151" i="3"/>
  <c r="V151" i="3"/>
  <c r="O151" i="3" s="1"/>
  <c r="BE150" i="3"/>
  <c r="AZ150" i="3"/>
  <c r="AE150" i="3"/>
  <c r="V150" i="3"/>
  <c r="O150" i="3" s="1"/>
  <c r="BE149" i="3"/>
  <c r="AZ149" i="3"/>
  <c r="AE149" i="3"/>
  <c r="V149" i="3"/>
  <c r="O149" i="3" s="1"/>
  <c r="BE148" i="3"/>
  <c r="AZ148" i="3"/>
  <c r="AE148" i="3"/>
  <c r="V148" i="3"/>
  <c r="O148" i="3" s="1"/>
  <c r="BE147" i="3"/>
  <c r="AZ147" i="3"/>
  <c r="AE147" i="3"/>
  <c r="O147" i="3" s="1"/>
  <c r="V147" i="3"/>
  <c r="BE146" i="3"/>
  <c r="AZ146" i="3"/>
  <c r="AE146" i="3"/>
  <c r="O146" i="3" s="1"/>
  <c r="V146" i="3"/>
  <c r="BE145" i="3"/>
  <c r="AZ145" i="3"/>
  <c r="AE145" i="3"/>
  <c r="V145" i="3"/>
  <c r="O145" i="3"/>
  <c r="BE144" i="3"/>
  <c r="AZ144" i="3"/>
  <c r="AE144" i="3"/>
  <c r="V144" i="3"/>
  <c r="O144" i="3"/>
  <c r="BE143" i="3"/>
  <c r="AZ143" i="3"/>
  <c r="AE143" i="3"/>
  <c r="V143" i="3"/>
  <c r="O143" i="3"/>
  <c r="BE142" i="3"/>
  <c r="AZ142" i="3"/>
  <c r="AE142" i="3"/>
  <c r="V142" i="3"/>
  <c r="O142" i="3"/>
  <c r="BE141" i="3"/>
  <c r="AZ141" i="3"/>
  <c r="O141" i="3" s="1"/>
  <c r="AE141" i="3"/>
  <c r="V141" i="3"/>
  <c r="BE140" i="3"/>
  <c r="AZ140" i="3"/>
  <c r="AE140" i="3"/>
  <c r="V140" i="3"/>
  <c r="O140" i="3" s="1"/>
  <c r="BE139" i="3"/>
  <c r="AZ139" i="3"/>
  <c r="AE139" i="3"/>
  <c r="V139" i="3"/>
  <c r="O139" i="3" s="1"/>
  <c r="BE138" i="3"/>
  <c r="AZ138" i="3"/>
  <c r="AE138" i="3"/>
  <c r="V138" i="3"/>
  <c r="O138" i="3" s="1"/>
  <c r="BE137" i="3"/>
  <c r="AZ137" i="3"/>
  <c r="AE137" i="3"/>
  <c r="V137" i="3"/>
  <c r="O137" i="3" s="1"/>
  <c r="BE136" i="3"/>
  <c r="AZ136" i="3"/>
  <c r="AE136" i="3"/>
  <c r="V136" i="3"/>
  <c r="O136" i="3" s="1"/>
  <c r="BE135" i="3"/>
  <c r="AZ135" i="3"/>
  <c r="AE135" i="3"/>
  <c r="O135" i="3" s="1"/>
  <c r="V135" i="3"/>
  <c r="BE134" i="3"/>
  <c r="AZ134" i="3"/>
  <c r="AE134" i="3"/>
  <c r="O134" i="3" s="1"/>
  <c r="V134" i="3"/>
  <c r="BE133" i="3"/>
  <c r="AZ133" i="3"/>
  <c r="AE133" i="3"/>
  <c r="V133" i="3"/>
  <c r="O133" i="3"/>
  <c r="BE132" i="3"/>
  <c r="AZ132" i="3"/>
  <c r="AE132" i="3"/>
  <c r="O132" i="3" s="1"/>
  <c r="V132" i="3"/>
  <c r="BE131" i="3"/>
  <c r="AZ131" i="3"/>
  <c r="AE131" i="3"/>
  <c r="V131" i="3"/>
  <c r="O131" i="3"/>
  <c r="BE130" i="3"/>
  <c r="AZ130" i="3"/>
  <c r="AE130" i="3"/>
  <c r="V130" i="3"/>
  <c r="O130" i="3"/>
  <c r="BE129" i="3"/>
  <c r="AZ129" i="3"/>
  <c r="O129" i="3" s="1"/>
  <c r="AE129" i="3"/>
  <c r="V129" i="3"/>
  <c r="BE128" i="3"/>
  <c r="AZ128" i="3"/>
  <c r="AE128" i="3"/>
  <c r="V128" i="3"/>
  <c r="O128" i="3" s="1"/>
  <c r="BE127" i="3"/>
  <c r="AZ127" i="3"/>
  <c r="AE127" i="3"/>
  <c r="V127" i="3"/>
  <c r="O127" i="3" s="1"/>
  <c r="BE126" i="3"/>
  <c r="AZ126" i="3"/>
  <c r="AE126" i="3"/>
  <c r="V126" i="3"/>
  <c r="O126" i="3" s="1"/>
  <c r="BE125" i="3"/>
  <c r="AZ125" i="3"/>
  <c r="AE125" i="3"/>
  <c r="V125" i="3"/>
  <c r="O125" i="3" s="1"/>
  <c r="BE124" i="3"/>
  <c r="AZ124" i="3"/>
  <c r="AE124" i="3"/>
  <c r="V124" i="3"/>
  <c r="O124" i="3" s="1"/>
  <c r="BE123" i="3"/>
  <c r="AZ123" i="3"/>
  <c r="AE123" i="3"/>
  <c r="O123" i="3" s="1"/>
  <c r="V123" i="3"/>
  <c r="BE122" i="3"/>
  <c r="AZ122" i="3"/>
  <c r="AE122" i="3"/>
  <c r="O122" i="3" s="1"/>
  <c r="V122" i="3"/>
  <c r="BE121" i="3"/>
  <c r="AZ121" i="3"/>
  <c r="AE121" i="3"/>
  <c r="O121" i="3" s="1"/>
  <c r="V121" i="3"/>
  <c r="BE120" i="3"/>
  <c r="AZ120" i="3"/>
  <c r="AE120" i="3"/>
  <c r="O120" i="3" s="1"/>
  <c r="V120" i="3"/>
  <c r="BE119" i="3"/>
  <c r="AZ119" i="3"/>
  <c r="AE119" i="3"/>
  <c r="V119" i="3"/>
  <c r="O119" i="3"/>
  <c r="BE118" i="3"/>
  <c r="AZ118" i="3"/>
  <c r="AE118" i="3"/>
  <c r="V118" i="3"/>
  <c r="O118" i="3"/>
  <c r="BE117" i="3"/>
  <c r="AZ117" i="3"/>
  <c r="O117" i="3" s="1"/>
  <c r="AE117" i="3"/>
  <c r="V117" i="3"/>
  <c r="BE116" i="3"/>
  <c r="AZ116" i="3"/>
  <c r="AE116" i="3"/>
  <c r="V116" i="3"/>
  <c r="O116" i="3" s="1"/>
  <c r="BE115" i="3"/>
  <c r="AZ115" i="3"/>
  <c r="AE115" i="3"/>
  <c r="V115" i="3"/>
  <c r="O115" i="3" s="1"/>
  <c r="BE114" i="3"/>
  <c r="AZ114" i="3"/>
  <c r="AE114" i="3"/>
  <c r="V114" i="3"/>
  <c r="O114" i="3" s="1"/>
  <c r="BE113" i="3"/>
  <c r="AZ113" i="3"/>
  <c r="AE113" i="3"/>
  <c r="V113" i="3"/>
  <c r="O113" i="3" s="1"/>
  <c r="BE112" i="3"/>
  <c r="AZ112" i="3"/>
  <c r="AE112" i="3"/>
  <c r="V112" i="3"/>
  <c r="O112" i="3" s="1"/>
  <c r="BE111" i="3"/>
  <c r="AZ111" i="3"/>
  <c r="AE111" i="3"/>
  <c r="O111" i="3" s="1"/>
  <c r="V111" i="3"/>
  <c r="BE110" i="3"/>
  <c r="AZ110" i="3"/>
  <c r="AE110" i="3"/>
  <c r="O110" i="3" s="1"/>
  <c r="V110" i="3"/>
  <c r="BE109" i="3"/>
  <c r="AZ109" i="3"/>
  <c r="AE109" i="3"/>
  <c r="V109" i="3"/>
  <c r="O109" i="3"/>
  <c r="BE108" i="3"/>
  <c r="AZ108" i="3"/>
  <c r="AE108" i="3"/>
  <c r="V108" i="3"/>
  <c r="O108" i="3"/>
  <c r="BE107" i="3"/>
  <c r="AZ107" i="3"/>
  <c r="AE107" i="3"/>
  <c r="V107" i="3"/>
  <c r="O107" i="3"/>
  <c r="BE106" i="3"/>
  <c r="AZ106" i="3"/>
  <c r="AE106" i="3"/>
  <c r="V106" i="3"/>
  <c r="O106" i="3"/>
  <c r="BE105" i="3"/>
  <c r="AZ105" i="3"/>
  <c r="O105" i="3" s="1"/>
  <c r="AE105" i="3"/>
  <c r="V105" i="3"/>
  <c r="BE104" i="3"/>
  <c r="AZ104" i="3"/>
  <c r="AE104" i="3"/>
  <c r="V104" i="3"/>
  <c r="O104" i="3" s="1"/>
  <c r="BE103" i="3"/>
  <c r="AZ103" i="3"/>
  <c r="AE103" i="3"/>
  <c r="V103" i="3"/>
  <c r="O103" i="3" s="1"/>
  <c r="BE102" i="3"/>
  <c r="AZ102" i="3"/>
  <c r="AE102" i="3"/>
  <c r="V102" i="3"/>
  <c r="O102" i="3" s="1"/>
  <c r="BE101" i="3"/>
  <c r="AZ101" i="3"/>
  <c r="AE101" i="3"/>
  <c r="V101" i="3"/>
  <c r="O101" i="3" s="1"/>
  <c r="BE100" i="3"/>
  <c r="AZ100" i="3"/>
  <c r="AE100" i="3"/>
  <c r="V100" i="3"/>
  <c r="O100" i="3" s="1"/>
  <c r="BE99" i="3"/>
  <c r="AZ99" i="3"/>
  <c r="AE99" i="3"/>
  <c r="O99" i="3" s="1"/>
  <c r="V99" i="3"/>
  <c r="BE98" i="3"/>
  <c r="AZ98" i="3"/>
  <c r="AE98" i="3"/>
  <c r="O98" i="3" s="1"/>
  <c r="V98" i="3"/>
  <c r="BE97" i="3"/>
  <c r="AZ97" i="3"/>
  <c r="AE97" i="3"/>
  <c r="V97" i="3"/>
  <c r="O97" i="3"/>
  <c r="BE96" i="3"/>
  <c r="AZ96" i="3"/>
  <c r="AE96" i="3"/>
  <c r="O96" i="3" s="1"/>
  <c r="V96" i="3"/>
  <c r="BE95" i="3"/>
  <c r="AZ95" i="3"/>
  <c r="AE95" i="3"/>
  <c r="V95" i="3"/>
  <c r="O95" i="3"/>
  <c r="AZ94" i="3"/>
  <c r="AE94" i="3"/>
  <c r="O94" i="3" s="1"/>
  <c r="V94" i="3"/>
  <c r="BE93" i="3"/>
  <c r="AZ93" i="3"/>
  <c r="AE93" i="3"/>
  <c r="O93" i="3" s="1"/>
  <c r="V93" i="3"/>
  <c r="BE92" i="3"/>
  <c r="AZ92" i="3"/>
  <c r="AE92" i="3"/>
  <c r="O92" i="3" s="1"/>
  <c r="V92" i="3"/>
  <c r="BE91" i="3"/>
  <c r="AZ91" i="3"/>
  <c r="AE91" i="3"/>
  <c r="V91" i="3"/>
  <c r="O91" i="3"/>
  <c r="BE90" i="3"/>
  <c r="AZ90" i="3"/>
  <c r="AE90" i="3"/>
  <c r="V90" i="3"/>
  <c r="O90" i="3"/>
  <c r="BE89" i="3"/>
  <c r="AZ89" i="3"/>
  <c r="AE89" i="3"/>
  <c r="V89" i="3"/>
  <c r="O89" i="3"/>
  <c r="BE88" i="3"/>
  <c r="AZ88" i="3"/>
  <c r="O88" i="3" s="1"/>
  <c r="AE88" i="3"/>
  <c r="V88" i="3"/>
  <c r="BE87" i="3"/>
  <c r="AZ87" i="3"/>
  <c r="AE87" i="3"/>
  <c r="V87" i="3"/>
  <c r="BE86" i="3"/>
  <c r="AZ86" i="3"/>
  <c r="AE86" i="3"/>
  <c r="V86" i="3"/>
  <c r="O86" i="3" s="1"/>
  <c r="BE85" i="3"/>
  <c r="AZ85" i="3"/>
  <c r="AE85" i="3"/>
  <c r="V85" i="3"/>
  <c r="O85" i="3" s="1"/>
  <c r="BE84" i="3"/>
  <c r="AZ84" i="3"/>
  <c r="AE84" i="3"/>
  <c r="V84" i="3"/>
  <c r="O84" i="3" s="1"/>
  <c r="BE83" i="3"/>
  <c r="AZ83" i="3"/>
  <c r="AE83" i="3"/>
  <c r="V83" i="3"/>
  <c r="O83" i="3" s="1"/>
  <c r="BE82" i="3"/>
  <c r="AZ82" i="3"/>
  <c r="AE82" i="3"/>
  <c r="O82" i="3" s="1"/>
  <c r="V82" i="3"/>
  <c r="BE81" i="3"/>
  <c r="AZ81" i="3"/>
  <c r="AE81" i="3"/>
  <c r="O81" i="3" s="1"/>
  <c r="V81" i="3"/>
  <c r="BE80" i="3"/>
  <c r="AZ80" i="3"/>
  <c r="AE80" i="3"/>
  <c r="V80" i="3"/>
  <c r="O80" i="3"/>
  <c r="BE79" i="3"/>
  <c r="AZ79" i="3"/>
  <c r="AE79" i="3"/>
  <c r="V79" i="3"/>
  <c r="O79" i="3"/>
  <c r="BE78" i="3"/>
  <c r="AZ78" i="3"/>
  <c r="AE78" i="3"/>
  <c r="V78" i="3"/>
  <c r="O78" i="3"/>
  <c r="BE77" i="3"/>
  <c r="AZ77" i="3"/>
  <c r="O77" i="3" s="1"/>
  <c r="AE77" i="3"/>
  <c r="V77" i="3"/>
  <c r="BE76" i="3"/>
  <c r="AZ76" i="3"/>
  <c r="O76" i="3" s="1"/>
  <c r="AE76" i="3"/>
  <c r="V76" i="3"/>
  <c r="BE75" i="3"/>
  <c r="AZ75" i="3"/>
  <c r="AE75" i="3"/>
  <c r="V75" i="3"/>
  <c r="O75" i="3" s="1"/>
  <c r="BE74" i="3"/>
  <c r="AZ74" i="3"/>
  <c r="AE74" i="3"/>
  <c r="V74" i="3"/>
  <c r="BE73" i="3"/>
  <c r="AZ73" i="3"/>
  <c r="AE73" i="3"/>
  <c r="V73" i="3"/>
  <c r="O73" i="3" s="1"/>
  <c r="BE72" i="3"/>
  <c r="AZ72" i="3"/>
  <c r="AE72" i="3"/>
  <c r="V72" i="3"/>
  <c r="O72" i="3" s="1"/>
  <c r="BE71" i="3"/>
  <c r="AZ71" i="3"/>
  <c r="AE71" i="3"/>
  <c r="V71" i="3"/>
  <c r="O71" i="3" s="1"/>
  <c r="BE70" i="3"/>
  <c r="AZ70" i="3"/>
  <c r="AE70" i="3"/>
  <c r="O70" i="3" s="1"/>
  <c r="V70" i="3"/>
  <c r="BE69" i="3"/>
  <c r="AZ69" i="3"/>
  <c r="AE69" i="3"/>
  <c r="O69" i="3" s="1"/>
  <c r="V69" i="3"/>
  <c r="BE68" i="3"/>
  <c r="AZ68" i="3"/>
  <c r="AE68" i="3"/>
  <c r="V68" i="3"/>
  <c r="O68" i="3"/>
  <c r="BE67" i="3"/>
  <c r="AZ67" i="3"/>
  <c r="AE67" i="3"/>
  <c r="V67" i="3"/>
  <c r="O67" i="3"/>
  <c r="BE66" i="3"/>
  <c r="AZ66" i="3"/>
  <c r="AE66" i="3"/>
  <c r="V66" i="3"/>
  <c r="O66" i="3"/>
  <c r="BE65" i="3"/>
  <c r="AZ65" i="3"/>
  <c r="AE65" i="3"/>
  <c r="V65" i="3"/>
  <c r="O65" i="3"/>
  <c r="BE64" i="3"/>
  <c r="AZ64" i="3"/>
  <c r="O64" i="3" s="1"/>
  <c r="AE64" i="3"/>
  <c r="V64" i="3"/>
  <c r="BE63" i="3"/>
  <c r="AZ63" i="3"/>
  <c r="AE63" i="3"/>
  <c r="V63" i="3"/>
  <c r="BE62" i="3"/>
  <c r="AZ62" i="3"/>
  <c r="AE62" i="3"/>
  <c r="V62" i="3"/>
  <c r="BE61" i="3"/>
  <c r="AZ61" i="3"/>
  <c r="AE61" i="3"/>
  <c r="V61" i="3"/>
  <c r="O61" i="3" s="1"/>
  <c r="BE60" i="3"/>
  <c r="AZ60" i="3"/>
  <c r="AE60" i="3"/>
  <c r="V60" i="3"/>
  <c r="O60" i="3" s="1"/>
  <c r="BE59" i="3"/>
  <c r="AZ59" i="3"/>
  <c r="AE59" i="3"/>
  <c r="V59" i="3"/>
  <c r="O59" i="3" s="1"/>
  <c r="BE58" i="3"/>
  <c r="AZ58" i="3"/>
  <c r="AE58" i="3"/>
  <c r="O58" i="3" s="1"/>
  <c r="V58" i="3"/>
  <c r="BE57" i="3"/>
  <c r="AZ57" i="3"/>
  <c r="AE57" i="3"/>
  <c r="O57" i="3" s="1"/>
  <c r="V57" i="3"/>
  <c r="BE56" i="3"/>
  <c r="AZ56" i="3"/>
  <c r="AE56" i="3"/>
  <c r="O56" i="3" s="1"/>
  <c r="V56" i="3"/>
  <c r="BE55" i="3"/>
  <c r="AZ55" i="3"/>
  <c r="AE55" i="3"/>
  <c r="V55" i="3"/>
  <c r="O55" i="3"/>
  <c r="BE54" i="3"/>
  <c r="AZ54" i="3"/>
  <c r="AE54" i="3"/>
  <c r="V54" i="3"/>
  <c r="O54" i="3"/>
  <c r="BE53" i="3"/>
  <c r="AZ53" i="3"/>
  <c r="AE53" i="3"/>
  <c r="V53" i="3"/>
  <c r="O53" i="3"/>
  <c r="BE52" i="3"/>
  <c r="AZ52" i="3"/>
  <c r="O52" i="3" s="1"/>
  <c r="AE52" i="3"/>
  <c r="V52" i="3"/>
  <c r="BE51" i="3"/>
  <c r="AZ51" i="3"/>
  <c r="AE51" i="3"/>
  <c r="V51" i="3"/>
  <c r="BE50" i="3"/>
  <c r="AZ50" i="3"/>
  <c r="AE50" i="3"/>
  <c r="V50" i="3"/>
  <c r="O50" i="3" s="1"/>
  <c r="BE49" i="3"/>
  <c r="AZ49" i="3"/>
  <c r="AE49" i="3"/>
  <c r="V49" i="3"/>
  <c r="O49" i="3" s="1"/>
  <c r="BE48" i="3"/>
  <c r="AZ48" i="3"/>
  <c r="AE48" i="3"/>
  <c r="V48" i="3"/>
  <c r="O48" i="3" s="1"/>
  <c r="BE47" i="3"/>
  <c r="AZ47" i="3"/>
  <c r="AE47" i="3"/>
  <c r="V47" i="3"/>
  <c r="O47" i="3" s="1"/>
  <c r="BE46" i="3"/>
  <c r="AZ46" i="3"/>
  <c r="AE46" i="3"/>
  <c r="O46" i="3" s="1"/>
  <c r="V46" i="3"/>
  <c r="BE45" i="3"/>
  <c r="AZ45" i="3"/>
  <c r="AE45" i="3"/>
  <c r="O45" i="3" s="1"/>
  <c r="V45" i="3"/>
  <c r="BE44" i="3"/>
  <c r="AZ44" i="3"/>
  <c r="AE44" i="3"/>
  <c r="V44" i="3"/>
  <c r="O44" i="3"/>
  <c r="BE43" i="3"/>
  <c r="AZ43" i="3"/>
  <c r="AE43" i="3"/>
  <c r="V43" i="3"/>
  <c r="O43" i="3"/>
  <c r="BE42" i="3"/>
  <c r="AZ42" i="3"/>
  <c r="AE42" i="3"/>
  <c r="V42" i="3"/>
  <c r="O42" i="3"/>
  <c r="BE41" i="3"/>
  <c r="AZ41" i="3"/>
  <c r="O41" i="3" s="1"/>
  <c r="AE41" i="3"/>
  <c r="V41" i="3"/>
  <c r="BE40" i="3"/>
  <c r="AZ40" i="3"/>
  <c r="O40" i="3" s="1"/>
  <c r="AE40" i="3"/>
  <c r="V40" i="3"/>
  <c r="BE39" i="3"/>
  <c r="AZ39" i="3"/>
  <c r="AE39" i="3"/>
  <c r="V39" i="3"/>
  <c r="O39" i="3" s="1"/>
  <c r="BE38" i="3"/>
  <c r="AZ38" i="3"/>
  <c r="AE38" i="3"/>
  <c r="V38" i="3"/>
  <c r="BE37" i="3"/>
  <c r="AZ37" i="3"/>
  <c r="AE37" i="3"/>
  <c r="V37" i="3"/>
  <c r="O37" i="3" s="1"/>
  <c r="BE36" i="3"/>
  <c r="AZ36" i="3"/>
  <c r="AE36" i="3"/>
  <c r="V36" i="3"/>
  <c r="O36" i="3" s="1"/>
  <c r="BE35" i="3"/>
  <c r="AZ35" i="3"/>
  <c r="AE35" i="3"/>
  <c r="V35" i="3"/>
  <c r="O35" i="3" s="1"/>
  <c r="BE34" i="3"/>
  <c r="AZ34" i="3"/>
  <c r="AE34" i="3"/>
  <c r="O34" i="3" s="1"/>
  <c r="V34" i="3"/>
  <c r="BE33" i="3"/>
  <c r="AZ33" i="3"/>
  <c r="AE33" i="3"/>
  <c r="O33" i="3" s="1"/>
  <c r="V33" i="3"/>
  <c r="BE32" i="3"/>
  <c r="AZ32" i="3"/>
  <c r="AE32" i="3"/>
  <c r="V32" i="3"/>
  <c r="O32" i="3"/>
  <c r="BE31" i="3"/>
  <c r="AZ31" i="3"/>
  <c r="AE31" i="3"/>
  <c r="V31" i="3"/>
  <c r="O31" i="3"/>
  <c r="BE30" i="3"/>
  <c r="AZ30" i="3"/>
  <c r="AE30" i="3"/>
  <c r="V30" i="3"/>
  <c r="O30" i="3"/>
  <c r="BE29" i="3"/>
  <c r="AZ29" i="3"/>
  <c r="AE29" i="3"/>
  <c r="V29" i="3"/>
  <c r="O29" i="3"/>
  <c r="BE28" i="3"/>
  <c r="AZ28" i="3"/>
  <c r="O28" i="3" s="1"/>
  <c r="AE28" i="3"/>
  <c r="V28" i="3"/>
  <c r="BE27" i="3"/>
  <c r="AZ27" i="3"/>
  <c r="AE27" i="3"/>
  <c r="V27" i="3"/>
  <c r="BE26" i="3"/>
  <c r="AZ26" i="3"/>
  <c r="AE26" i="3"/>
  <c r="V26" i="3"/>
  <c r="BE25" i="3"/>
  <c r="AZ25" i="3"/>
  <c r="AE25" i="3"/>
  <c r="V25" i="3"/>
  <c r="O25" i="3" s="1"/>
  <c r="BE24" i="3"/>
  <c r="AZ24" i="3"/>
  <c r="AE24" i="3"/>
  <c r="V24" i="3"/>
  <c r="O24" i="3" s="1"/>
  <c r="BE23" i="3"/>
  <c r="AZ23" i="3"/>
  <c r="AE23" i="3"/>
  <c r="V23" i="3"/>
  <c r="O23" i="3" s="1"/>
  <c r="BE22" i="3"/>
  <c r="AZ22" i="3"/>
  <c r="AE22" i="3"/>
  <c r="O22" i="3" s="1"/>
  <c r="V22" i="3"/>
  <c r="BE21" i="3"/>
  <c r="AZ21" i="3"/>
  <c r="AE21" i="3"/>
  <c r="O21" i="3" s="1"/>
  <c r="V21" i="3"/>
  <c r="BE20" i="3"/>
  <c r="AZ20" i="3"/>
  <c r="AE20" i="3"/>
  <c r="O20" i="3" s="1"/>
  <c r="V20" i="3"/>
  <c r="BE19" i="3"/>
  <c r="AZ19" i="3"/>
  <c r="AE19" i="3"/>
  <c r="V19" i="3"/>
  <c r="O19" i="3"/>
  <c r="BE18" i="3"/>
  <c r="AZ18" i="3"/>
  <c r="AE18" i="3"/>
  <c r="V18" i="3"/>
  <c r="O18" i="3"/>
  <c r="BE17" i="3"/>
  <c r="AZ17" i="3"/>
  <c r="AE17" i="3"/>
  <c r="V17" i="3"/>
  <c r="O17" i="3"/>
  <c r="BE16" i="3"/>
  <c r="AZ16" i="3"/>
  <c r="O16" i="3" s="1"/>
  <c r="AE16" i="3"/>
  <c r="V16" i="3"/>
  <c r="BE15" i="3"/>
  <c r="AZ15" i="3"/>
  <c r="AE15" i="3"/>
  <c r="V15" i="3"/>
  <c r="BE14" i="3"/>
  <c r="AZ14" i="3"/>
  <c r="AE14" i="3"/>
  <c r="V14" i="3"/>
  <c r="O14" i="3" s="1"/>
  <c r="BE13" i="3"/>
  <c r="AZ13" i="3"/>
  <c r="AE13" i="3"/>
  <c r="V13" i="3"/>
  <c r="O13" i="3" s="1"/>
  <c r="BE12" i="3"/>
  <c r="AZ12" i="3"/>
  <c r="AE12" i="3"/>
  <c r="V12" i="3"/>
  <c r="O12" i="3" s="1"/>
  <c r="BE11" i="3"/>
  <c r="AZ11" i="3"/>
  <c r="AE11" i="3"/>
  <c r="V11" i="3"/>
  <c r="O11" i="3" s="1"/>
  <c r="BE10" i="3"/>
  <c r="AZ10" i="3"/>
  <c r="AE10" i="3"/>
  <c r="O10" i="3" s="1"/>
  <c r="V10" i="3"/>
  <c r="BE9" i="3"/>
  <c r="AZ9" i="3"/>
  <c r="AE9" i="3"/>
  <c r="O9" i="3" s="1"/>
  <c r="V9" i="3"/>
  <c r="BE8" i="3"/>
  <c r="AZ8" i="3"/>
  <c r="AE8" i="3"/>
  <c r="V8" i="3"/>
  <c r="O8" i="3"/>
  <c r="BE7" i="3"/>
  <c r="AZ7" i="3"/>
  <c r="AE7" i="3"/>
  <c r="V7" i="3"/>
  <c r="O7" i="3"/>
  <c r="BE6" i="3"/>
  <c r="AZ6" i="3"/>
  <c r="AE6" i="3"/>
  <c r="V6" i="3"/>
  <c r="O6" i="3"/>
  <c r="BE5" i="3"/>
  <c r="AZ5" i="3"/>
  <c r="O5" i="3" s="1"/>
  <c r="AE5" i="3"/>
  <c r="V5" i="3"/>
  <c r="BE4" i="3"/>
  <c r="AZ4" i="3"/>
  <c r="O4" i="3" s="1"/>
  <c r="AE4" i="3"/>
  <c r="V4" i="3"/>
  <c r="BE3" i="3"/>
  <c r="AZ3" i="3"/>
  <c r="AE3" i="3"/>
  <c r="V3" i="3"/>
  <c r="O3" i="3" s="1"/>
  <c r="AE2" i="3"/>
  <c r="V2" i="3"/>
  <c r="O2" i="3" s="1"/>
  <c r="BG676" i="2"/>
  <c r="BB676" i="2"/>
  <c r="AG676" i="2"/>
  <c r="X676" i="2"/>
  <c r="Q676" i="2" s="1"/>
  <c r="BG675" i="2"/>
  <c r="BB675" i="2"/>
  <c r="AG675" i="2"/>
  <c r="Q675" i="2" s="1"/>
  <c r="X675" i="2"/>
  <c r="BG674" i="2"/>
  <c r="BB674" i="2"/>
  <c r="AG674" i="2"/>
  <c r="Q674" i="2" s="1"/>
  <c r="X674" i="2"/>
  <c r="BG673" i="2"/>
  <c r="BB673" i="2"/>
  <c r="AG673" i="2"/>
  <c r="X673" i="2"/>
  <c r="Q673" i="2"/>
  <c r="BG672" i="2"/>
  <c r="BB672" i="2"/>
  <c r="AG672" i="2"/>
  <c r="X672" i="2"/>
  <c r="Q672" i="2"/>
  <c r="BG671" i="2"/>
  <c r="BB671" i="2"/>
  <c r="AG671" i="2"/>
  <c r="X671" i="2"/>
  <c r="Q671" i="2"/>
  <c r="BG670" i="2"/>
  <c r="BB670" i="2"/>
  <c r="AG670" i="2"/>
  <c r="X670" i="2"/>
  <c r="Q670" i="2"/>
  <c r="BG669" i="2"/>
  <c r="BB669" i="2"/>
  <c r="Q669" i="2" s="1"/>
  <c r="AG669" i="2"/>
  <c r="X669" i="2"/>
  <c r="BG668" i="2"/>
  <c r="BB668" i="2"/>
  <c r="AG668" i="2"/>
  <c r="X668" i="2"/>
  <c r="Q668" i="2" s="1"/>
  <c r="BG667" i="2"/>
  <c r="BB667" i="2"/>
  <c r="AG667" i="2"/>
  <c r="X667" i="2"/>
  <c r="Q667" i="2" s="1"/>
  <c r="BG666" i="2"/>
  <c r="BB666" i="2"/>
  <c r="AG666" i="2"/>
  <c r="X666" i="2"/>
  <c r="Q666" i="2" s="1"/>
  <c r="BG665" i="2"/>
  <c r="BB665" i="2"/>
  <c r="AG665" i="2"/>
  <c r="X665" i="2"/>
  <c r="Q665" i="2" s="1"/>
  <c r="BG664" i="2"/>
  <c r="BB664" i="2"/>
  <c r="AG664" i="2"/>
  <c r="X664" i="2"/>
  <c r="Q664" i="2" s="1"/>
  <c r="BG663" i="2"/>
  <c r="BB663" i="2"/>
  <c r="AG663" i="2"/>
  <c r="Q663" i="2" s="1"/>
  <c r="X663" i="2"/>
  <c r="BG662" i="2"/>
  <c r="BB662" i="2"/>
  <c r="AG662" i="2"/>
  <c r="Q662" i="2" s="1"/>
  <c r="X662" i="2"/>
  <c r="AG661" i="2"/>
  <c r="X661" i="2"/>
  <c r="Q661" i="2"/>
  <c r="BG660" i="2"/>
  <c r="BB660" i="2"/>
  <c r="AG660" i="2"/>
  <c r="X660" i="2"/>
  <c r="Q660" i="2"/>
  <c r="BG659" i="2"/>
  <c r="BB659" i="2"/>
  <c r="Q659" i="2" s="1"/>
  <c r="AG659" i="2"/>
  <c r="X659" i="2"/>
  <c r="BG658" i="2"/>
  <c r="BB658" i="2"/>
  <c r="AG658" i="2"/>
  <c r="X658" i="2"/>
  <c r="Q658" i="2" s="1"/>
  <c r="BG657" i="2"/>
  <c r="BB657" i="2"/>
  <c r="AG657" i="2"/>
  <c r="X657" i="2"/>
  <c r="Q657" i="2" s="1"/>
  <c r="BG656" i="2"/>
  <c r="BB656" i="2"/>
  <c r="AG656" i="2"/>
  <c r="X656" i="2"/>
  <c r="Q656" i="2" s="1"/>
  <c r="BG655" i="2"/>
  <c r="BB655" i="2"/>
  <c r="AG655" i="2"/>
  <c r="X655" i="2"/>
  <c r="Q655" i="2" s="1"/>
  <c r="BG654" i="2"/>
  <c r="BB654" i="2"/>
  <c r="AG654" i="2"/>
  <c r="X654" i="2"/>
  <c r="Q654" i="2" s="1"/>
  <c r="BG653" i="2"/>
  <c r="BB653" i="2"/>
  <c r="AG653" i="2"/>
  <c r="Q653" i="2" s="1"/>
  <c r="X653" i="2"/>
  <c r="BG652" i="2"/>
  <c r="BB652" i="2"/>
  <c r="AG652" i="2"/>
  <c r="Q652" i="2" s="1"/>
  <c r="X652" i="2"/>
  <c r="BG651" i="2"/>
  <c r="BB651" i="2"/>
  <c r="AG651" i="2"/>
  <c r="Q651" i="2" s="1"/>
  <c r="X651" i="2"/>
  <c r="BG650" i="2"/>
  <c r="BB650" i="2"/>
  <c r="AG650" i="2"/>
  <c r="Q650" i="2" s="1"/>
  <c r="X650" i="2"/>
  <c r="AG649" i="2"/>
  <c r="X649" i="2"/>
  <c r="Q649" i="2"/>
  <c r="AG648" i="2"/>
  <c r="X648" i="2"/>
  <c r="Q648" i="2" s="1"/>
  <c r="AG647" i="2"/>
  <c r="Q647" i="2" s="1"/>
  <c r="X647" i="2"/>
  <c r="BG646" i="2"/>
  <c r="BB646" i="2"/>
  <c r="AG646" i="2"/>
  <c r="Q646" i="2" s="1"/>
  <c r="X646" i="2"/>
  <c r="BG645" i="2"/>
  <c r="BB645" i="2"/>
  <c r="AG645" i="2"/>
  <c r="X645" i="2"/>
  <c r="Q645" i="2"/>
  <c r="BG644" i="2"/>
  <c r="BB644" i="2"/>
  <c r="AG644" i="2"/>
  <c r="X644" i="2"/>
  <c r="Q644" i="2"/>
  <c r="BG643" i="2"/>
  <c r="BB643" i="2"/>
  <c r="AG643" i="2"/>
  <c r="X643" i="2"/>
  <c r="Q643" i="2"/>
  <c r="BG642" i="2"/>
  <c r="BB642" i="2"/>
  <c r="Q642" i="2" s="1"/>
  <c r="AG642" i="2"/>
  <c r="X642" i="2"/>
  <c r="BG641" i="2"/>
  <c r="BB641" i="2"/>
  <c r="Q641" i="2" s="1"/>
  <c r="AG641" i="2"/>
  <c r="X641" i="2"/>
  <c r="BG640" i="2"/>
  <c r="BB640" i="2"/>
  <c r="AG640" i="2"/>
  <c r="X640" i="2"/>
  <c r="Q640" i="2" s="1"/>
  <c r="BG639" i="2"/>
  <c r="BB639" i="2"/>
  <c r="AG639" i="2"/>
  <c r="X639" i="2"/>
  <c r="BG638" i="2"/>
  <c r="BB638" i="2"/>
  <c r="AG638" i="2"/>
  <c r="X638" i="2"/>
  <c r="Q638" i="2" s="1"/>
  <c r="BG637" i="2"/>
  <c r="BB637" i="2"/>
  <c r="AG637" i="2"/>
  <c r="X637" i="2"/>
  <c r="Q637" i="2" s="1"/>
  <c r="BG636" i="2"/>
  <c r="BB636" i="2"/>
  <c r="AG636" i="2"/>
  <c r="X636" i="2"/>
  <c r="Q636" i="2" s="1"/>
  <c r="BG635" i="2"/>
  <c r="BB635" i="2"/>
  <c r="AG635" i="2"/>
  <c r="Q635" i="2" s="1"/>
  <c r="X635" i="2"/>
  <c r="BG634" i="2"/>
  <c r="BB634" i="2"/>
  <c r="AG634" i="2"/>
  <c r="Q634" i="2" s="1"/>
  <c r="X634" i="2"/>
  <c r="BG633" i="2"/>
  <c r="BB633" i="2"/>
  <c r="AG633" i="2"/>
  <c r="Q633" i="2" s="1"/>
  <c r="X633" i="2"/>
  <c r="BG632" i="2"/>
  <c r="BB632" i="2"/>
  <c r="AG632" i="2"/>
  <c r="Q632" i="2" s="1"/>
  <c r="X632" i="2"/>
  <c r="BG631" i="2"/>
  <c r="BB631" i="2"/>
  <c r="AG631" i="2"/>
  <c r="X631" i="2"/>
  <c r="Q631" i="2"/>
  <c r="BG630" i="2"/>
  <c r="BB630" i="2"/>
  <c r="AG630" i="2"/>
  <c r="X630" i="2"/>
  <c r="Q630" i="2"/>
  <c r="BG629" i="2"/>
  <c r="BB629" i="2"/>
  <c r="Q629" i="2" s="1"/>
  <c r="AG629" i="2"/>
  <c r="X629" i="2"/>
  <c r="BG628" i="2"/>
  <c r="BB628" i="2"/>
  <c r="AG628" i="2"/>
  <c r="X628" i="2"/>
  <c r="BG627" i="2"/>
  <c r="BB627" i="2"/>
  <c r="AG627" i="2"/>
  <c r="X627" i="2"/>
  <c r="Q627" i="2" s="1"/>
  <c r="BG626" i="2"/>
  <c r="BB626" i="2"/>
  <c r="AG626" i="2"/>
  <c r="X626" i="2"/>
  <c r="Q626" i="2" s="1"/>
  <c r="BG625" i="2"/>
  <c r="BB625" i="2"/>
  <c r="AG625" i="2"/>
  <c r="X625" i="2"/>
  <c r="Q625" i="2" s="1"/>
  <c r="BG624" i="2"/>
  <c r="BB624" i="2"/>
  <c r="AG624" i="2"/>
  <c r="X624" i="2"/>
  <c r="Q624" i="2" s="1"/>
  <c r="BG623" i="2"/>
  <c r="BB623" i="2"/>
  <c r="AG623" i="2"/>
  <c r="Q623" i="2" s="1"/>
  <c r="X623" i="2"/>
  <c r="BG622" i="2"/>
  <c r="BB622" i="2"/>
  <c r="AG622" i="2"/>
  <c r="Q622" i="2" s="1"/>
  <c r="X622" i="2"/>
  <c r="BG621" i="2"/>
  <c r="BB621" i="2"/>
  <c r="AG621" i="2"/>
  <c r="Q621" i="2" s="1"/>
  <c r="X621" i="2"/>
  <c r="BG620" i="2"/>
  <c r="BB620" i="2"/>
  <c r="AG620" i="2"/>
  <c r="X620" i="2"/>
  <c r="Q620" i="2"/>
  <c r="BG619" i="2"/>
  <c r="BB619" i="2"/>
  <c r="AG619" i="2"/>
  <c r="X619" i="2"/>
  <c r="Q619" i="2"/>
  <c r="BG618" i="2"/>
  <c r="BB618" i="2"/>
  <c r="AG618" i="2"/>
  <c r="X618" i="2"/>
  <c r="Q618" i="2"/>
  <c r="BG617" i="2"/>
  <c r="BB617" i="2"/>
  <c r="Q617" i="2" s="1"/>
  <c r="AG617" i="2"/>
  <c r="X617" i="2"/>
  <c r="BG616" i="2"/>
  <c r="BB616" i="2"/>
  <c r="AG616" i="2"/>
  <c r="X616" i="2"/>
  <c r="Q616" i="2" s="1"/>
  <c r="BG615" i="2"/>
  <c r="BB615" i="2"/>
  <c r="AG615" i="2"/>
  <c r="X615" i="2"/>
  <c r="Q615" i="2" s="1"/>
  <c r="BG614" i="2"/>
  <c r="BB614" i="2"/>
  <c r="AG614" i="2"/>
  <c r="X614" i="2"/>
  <c r="Q614" i="2" s="1"/>
  <c r="BG613" i="2"/>
  <c r="BB613" i="2"/>
  <c r="AG613" i="2"/>
  <c r="X613" i="2"/>
  <c r="Q613" i="2" s="1"/>
  <c r="BG612" i="2"/>
  <c r="BB612" i="2"/>
  <c r="AG612" i="2"/>
  <c r="X612" i="2"/>
  <c r="Q612" i="2" s="1"/>
  <c r="BG611" i="2"/>
  <c r="BB611" i="2"/>
  <c r="AG611" i="2"/>
  <c r="Q611" i="2" s="1"/>
  <c r="X611" i="2"/>
  <c r="BG610" i="2"/>
  <c r="BB610" i="2"/>
  <c r="AG610" i="2"/>
  <c r="Q610" i="2" s="1"/>
  <c r="X610" i="2"/>
  <c r="BG609" i="2"/>
  <c r="BB609" i="2"/>
  <c r="AG609" i="2"/>
  <c r="X609" i="2"/>
  <c r="Q609" i="2"/>
  <c r="BG608" i="2"/>
  <c r="BB608" i="2"/>
  <c r="AG608" i="2"/>
  <c r="X608" i="2"/>
  <c r="Q608" i="2"/>
  <c r="BG607" i="2"/>
  <c r="BB607" i="2"/>
  <c r="AG607" i="2"/>
  <c r="X607" i="2"/>
  <c r="Q607" i="2"/>
  <c r="BG606" i="2"/>
  <c r="BB606" i="2"/>
  <c r="Q606" i="2" s="1"/>
  <c r="AG606" i="2"/>
  <c r="X606" i="2"/>
  <c r="BG605" i="2"/>
  <c r="BB605" i="2"/>
  <c r="Q605" i="2" s="1"/>
  <c r="AG605" i="2"/>
  <c r="X605" i="2"/>
  <c r="BG604" i="2"/>
  <c r="BB604" i="2"/>
  <c r="AG604" i="2"/>
  <c r="X604" i="2"/>
  <c r="Q604" i="2" s="1"/>
  <c r="BG603" i="2"/>
  <c r="BB603" i="2"/>
  <c r="AG603" i="2"/>
  <c r="X603" i="2"/>
  <c r="BG602" i="2"/>
  <c r="BB602" i="2"/>
  <c r="AG602" i="2"/>
  <c r="X602" i="2"/>
  <c r="Q602" i="2" s="1"/>
  <c r="BG601" i="2"/>
  <c r="BB601" i="2"/>
  <c r="AG601" i="2"/>
  <c r="X601" i="2"/>
  <c r="Q601" i="2" s="1"/>
  <c r="BG600" i="2"/>
  <c r="BB600" i="2"/>
  <c r="AG600" i="2"/>
  <c r="X600" i="2"/>
  <c r="Q600" i="2" s="1"/>
  <c r="BG599" i="2"/>
  <c r="BB599" i="2"/>
  <c r="AG599" i="2"/>
  <c r="Q599" i="2" s="1"/>
  <c r="X599" i="2"/>
  <c r="BG598" i="2"/>
  <c r="BB598" i="2"/>
  <c r="AG598" i="2"/>
  <c r="Q598" i="2" s="1"/>
  <c r="X598" i="2"/>
  <c r="BG597" i="2"/>
  <c r="BB597" i="2"/>
  <c r="AG597" i="2"/>
  <c r="Q597" i="2" s="1"/>
  <c r="X597" i="2"/>
  <c r="BG596" i="2"/>
  <c r="BB596" i="2"/>
  <c r="AG596" i="2"/>
  <c r="Q596" i="2" s="1"/>
  <c r="X596" i="2"/>
  <c r="BG595" i="2"/>
  <c r="BB595" i="2"/>
  <c r="AG595" i="2"/>
  <c r="X595" i="2"/>
  <c r="Q595" i="2"/>
  <c r="BG594" i="2"/>
  <c r="BB594" i="2"/>
  <c r="AG594" i="2"/>
  <c r="X594" i="2"/>
  <c r="Q594" i="2"/>
  <c r="AG593" i="2"/>
  <c r="X593" i="2"/>
  <c r="Q593" i="2" s="1"/>
  <c r="BG592" i="2"/>
  <c r="BB592" i="2"/>
  <c r="AG592" i="2"/>
  <c r="X592" i="2"/>
  <c r="Q592" i="2" s="1"/>
  <c r="BG591" i="2"/>
  <c r="BB591" i="2"/>
  <c r="AG591" i="2"/>
  <c r="X591" i="2"/>
  <c r="Q591" i="2" s="1"/>
  <c r="BG590" i="2"/>
  <c r="BB590" i="2"/>
  <c r="AG590" i="2"/>
  <c r="X590" i="2"/>
  <c r="Q590" i="2" s="1"/>
  <c r="BG589" i="2"/>
  <c r="BB589" i="2"/>
  <c r="AG589" i="2"/>
  <c r="Q589" i="2" s="1"/>
  <c r="X589" i="2"/>
  <c r="BG588" i="2"/>
  <c r="BB588" i="2"/>
  <c r="AG588" i="2"/>
  <c r="Q588" i="2" s="1"/>
  <c r="X588" i="2"/>
  <c r="BG587" i="2"/>
  <c r="BB587" i="2"/>
  <c r="AG587" i="2"/>
  <c r="X587" i="2"/>
  <c r="Q587" i="2"/>
  <c r="AG586" i="2"/>
  <c r="X586" i="2"/>
  <c r="Q586" i="2"/>
  <c r="BG585" i="2"/>
  <c r="BB585" i="2"/>
  <c r="Q585" i="2" s="1"/>
  <c r="AG585" i="2"/>
  <c r="X585" i="2"/>
  <c r="BG584" i="2"/>
  <c r="BB584" i="2"/>
  <c r="AG584" i="2"/>
  <c r="X584" i="2"/>
  <c r="BG583" i="2"/>
  <c r="BB583" i="2"/>
  <c r="AG583" i="2"/>
  <c r="X583" i="2"/>
  <c r="Q583" i="2" s="1"/>
  <c r="BG582" i="2"/>
  <c r="BB582" i="2"/>
  <c r="AG582" i="2"/>
  <c r="X582" i="2"/>
  <c r="Q582" i="2" s="1"/>
  <c r="BG581" i="2"/>
  <c r="BB581" i="2"/>
  <c r="AG581" i="2"/>
  <c r="X581" i="2"/>
  <c r="Q581" i="2" s="1"/>
  <c r="BG580" i="2"/>
  <c r="BB580" i="2"/>
  <c r="AG580" i="2"/>
  <c r="X580" i="2"/>
  <c r="Q580" i="2" s="1"/>
  <c r="BG579" i="2"/>
  <c r="BB579" i="2"/>
  <c r="AG579" i="2"/>
  <c r="Q579" i="2" s="1"/>
  <c r="X579" i="2"/>
  <c r="BG578" i="2"/>
  <c r="BB578" i="2"/>
  <c r="AG578" i="2"/>
  <c r="Q578" i="2" s="1"/>
  <c r="X578" i="2"/>
  <c r="BG577" i="2"/>
  <c r="BB577" i="2"/>
  <c r="AG577" i="2"/>
  <c r="X577" i="2"/>
  <c r="Q577" i="2"/>
  <c r="BG576" i="2"/>
  <c r="BB576" i="2"/>
  <c r="AG576" i="2"/>
  <c r="X576" i="2"/>
  <c r="Q576" i="2"/>
  <c r="BG575" i="2"/>
  <c r="BB575" i="2"/>
  <c r="AG575" i="2"/>
  <c r="X575" i="2"/>
  <c r="Q575" i="2"/>
  <c r="BG574" i="2"/>
  <c r="BB574" i="2"/>
  <c r="Q574" i="2" s="1"/>
  <c r="AG574" i="2"/>
  <c r="X574" i="2"/>
  <c r="BG573" i="2"/>
  <c r="BB573" i="2"/>
  <c r="Q573" i="2" s="1"/>
  <c r="AG573" i="2"/>
  <c r="X573" i="2"/>
  <c r="BG572" i="2"/>
  <c r="BB572" i="2"/>
  <c r="AG572" i="2"/>
  <c r="X572" i="2"/>
  <c r="Q572" i="2" s="1"/>
  <c r="BG571" i="2"/>
  <c r="BB571" i="2"/>
  <c r="AG571" i="2"/>
  <c r="X571" i="2"/>
  <c r="Q571" i="2" s="1"/>
  <c r="BG570" i="2"/>
  <c r="BB570" i="2"/>
  <c r="AG570" i="2"/>
  <c r="X570" i="2"/>
  <c r="Q570" i="2" s="1"/>
  <c r="BG569" i="2"/>
  <c r="BB569" i="2"/>
  <c r="AG569" i="2"/>
  <c r="X569" i="2"/>
  <c r="Q569" i="2" s="1"/>
  <c r="BG568" i="2"/>
  <c r="BB568" i="2"/>
  <c r="AG568" i="2"/>
  <c r="X568" i="2"/>
  <c r="Q568" i="2" s="1"/>
  <c r="BG567" i="2"/>
  <c r="BB567" i="2"/>
  <c r="AG567" i="2"/>
  <c r="Q567" i="2" s="1"/>
  <c r="X567" i="2"/>
  <c r="BG566" i="2"/>
  <c r="BB566" i="2"/>
  <c r="AG566" i="2"/>
  <c r="Q566" i="2" s="1"/>
  <c r="X566" i="2"/>
  <c r="BG565" i="2"/>
  <c r="BB565" i="2"/>
  <c r="AG565" i="2"/>
  <c r="X565" i="2"/>
  <c r="Q565" i="2"/>
  <c r="BG564" i="2"/>
  <c r="BB564" i="2"/>
  <c r="AG564" i="2"/>
  <c r="X564" i="2"/>
  <c r="Q564" i="2"/>
  <c r="BG563" i="2"/>
  <c r="BB563" i="2"/>
  <c r="AG563" i="2"/>
  <c r="X563" i="2"/>
  <c r="Q563" i="2"/>
  <c r="BG562" i="2"/>
  <c r="BB562" i="2"/>
  <c r="Q562" i="2" s="1"/>
  <c r="AG562" i="2"/>
  <c r="X562" i="2"/>
  <c r="BG561" i="2"/>
  <c r="BB561" i="2"/>
  <c r="Q561" i="2" s="1"/>
  <c r="AG561" i="2"/>
  <c r="X561" i="2"/>
  <c r="BG560" i="2"/>
  <c r="BB560" i="2"/>
  <c r="AG560" i="2"/>
  <c r="X560" i="2"/>
  <c r="Q560" i="2" s="1"/>
  <c r="BG559" i="2"/>
  <c r="BB559" i="2"/>
  <c r="AG559" i="2"/>
  <c r="X559" i="2"/>
  <c r="BG558" i="2"/>
  <c r="BB558" i="2"/>
  <c r="AG558" i="2"/>
  <c r="X558" i="2"/>
  <c r="Q558" i="2" s="1"/>
  <c r="BG557" i="2"/>
  <c r="BB557" i="2"/>
  <c r="AG557" i="2"/>
  <c r="X557" i="2"/>
  <c r="Q557" i="2" s="1"/>
  <c r="BG556" i="2"/>
  <c r="BB556" i="2"/>
  <c r="AG556" i="2"/>
  <c r="X556" i="2"/>
  <c r="Q556" i="2" s="1"/>
  <c r="BG555" i="2"/>
  <c r="BB555" i="2"/>
  <c r="AG555" i="2"/>
  <c r="Q555" i="2" s="1"/>
  <c r="X555" i="2"/>
  <c r="BG554" i="2"/>
  <c r="BB554" i="2"/>
  <c r="AG554" i="2"/>
  <c r="Q554" i="2" s="1"/>
  <c r="X554" i="2"/>
  <c r="BG553" i="2"/>
  <c r="BB553" i="2"/>
  <c r="AG553" i="2"/>
  <c r="X553" i="2"/>
  <c r="Q553" i="2"/>
  <c r="BG552" i="2"/>
  <c r="BB552" i="2"/>
  <c r="AG552" i="2"/>
  <c r="Q552" i="2" s="1"/>
  <c r="X552" i="2"/>
  <c r="Q551" i="2"/>
  <c r="BG550" i="2"/>
  <c r="BB550" i="2"/>
  <c r="AG550" i="2"/>
  <c r="X550" i="2"/>
  <c r="Q550" i="2" s="1"/>
  <c r="BG549" i="2"/>
  <c r="BB549" i="2"/>
  <c r="AG549" i="2"/>
  <c r="X549" i="2"/>
  <c r="Q549" i="2" s="1"/>
  <c r="BG548" i="2"/>
  <c r="BB548" i="2"/>
  <c r="AG548" i="2"/>
  <c r="X548" i="2"/>
  <c r="Q548" i="2" s="1"/>
  <c r="BG547" i="2"/>
  <c r="BB547" i="2"/>
  <c r="AG547" i="2"/>
  <c r="Q547" i="2" s="1"/>
  <c r="X547" i="2"/>
  <c r="BG546" i="2"/>
  <c r="BB546" i="2"/>
  <c r="AG546" i="2"/>
  <c r="Q546" i="2" s="1"/>
  <c r="X546" i="2"/>
  <c r="BG545" i="2"/>
  <c r="BB545" i="2"/>
  <c r="AG545" i="2"/>
  <c r="X545" i="2"/>
  <c r="Q545" i="2"/>
  <c r="BG544" i="2"/>
  <c r="BB544" i="2"/>
  <c r="AG544" i="2"/>
  <c r="X544" i="2"/>
  <c r="Q544" i="2"/>
  <c r="BG543" i="2"/>
  <c r="BB543" i="2"/>
  <c r="AG543" i="2"/>
  <c r="X543" i="2"/>
  <c r="Q543" i="2"/>
  <c r="BG542" i="2"/>
  <c r="BB542" i="2"/>
  <c r="AG542" i="2"/>
  <c r="X542" i="2"/>
  <c r="Q542" i="2"/>
  <c r="BG541" i="2"/>
  <c r="BB541" i="2"/>
  <c r="Q541" i="2" s="1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Q538" i="2" s="1"/>
  <c r="BG537" i="2"/>
  <c r="BB537" i="2"/>
  <c r="AG537" i="2"/>
  <c r="X537" i="2"/>
  <c r="Q537" i="2" s="1"/>
  <c r="BG536" i="2"/>
  <c r="BB536" i="2"/>
  <c r="AG536" i="2"/>
  <c r="X536" i="2"/>
  <c r="Q536" i="2" s="1"/>
  <c r="BG535" i="2"/>
  <c r="BB535" i="2"/>
  <c r="AG535" i="2"/>
  <c r="Q535" i="2" s="1"/>
  <c r="X535" i="2"/>
  <c r="BG534" i="2"/>
  <c r="BB534" i="2"/>
  <c r="AG534" i="2"/>
  <c r="Q534" i="2" s="1"/>
  <c r="X534" i="2"/>
  <c r="BG533" i="2"/>
  <c r="BB533" i="2"/>
  <c r="AG533" i="2"/>
  <c r="Q533" i="2" s="1"/>
  <c r="X533" i="2"/>
  <c r="BG532" i="2"/>
  <c r="BB532" i="2"/>
  <c r="AG532" i="2"/>
  <c r="X532" i="2"/>
  <c r="Q532" i="2"/>
  <c r="BG531" i="2"/>
  <c r="BB531" i="2"/>
  <c r="AG531" i="2"/>
  <c r="X531" i="2"/>
  <c r="Q531" i="2"/>
  <c r="BG530" i="2"/>
  <c r="BB530" i="2"/>
  <c r="AG530" i="2"/>
  <c r="X530" i="2"/>
  <c r="Q530" i="2"/>
  <c r="BG529" i="2"/>
  <c r="BB529" i="2"/>
  <c r="Q529" i="2" s="1"/>
  <c r="AG529" i="2"/>
  <c r="X529" i="2"/>
  <c r="BG528" i="2"/>
  <c r="BB528" i="2"/>
  <c r="AG528" i="2"/>
  <c r="X528" i="2"/>
  <c r="BG527" i="2"/>
  <c r="BB527" i="2"/>
  <c r="AG527" i="2"/>
  <c r="X527" i="2"/>
  <c r="Q527" i="2" s="1"/>
  <c r="BG526" i="2"/>
  <c r="BB526" i="2"/>
  <c r="AG526" i="2"/>
  <c r="X526" i="2"/>
  <c r="Q526" i="2" s="1"/>
  <c r="BG525" i="2"/>
  <c r="BB525" i="2"/>
  <c r="AG525" i="2"/>
  <c r="X525" i="2"/>
  <c r="Q525" i="2" s="1"/>
  <c r="BG524" i="2"/>
  <c r="BB524" i="2"/>
  <c r="AG524" i="2"/>
  <c r="X524" i="2"/>
  <c r="Q524" i="2" s="1"/>
  <c r="BG523" i="2"/>
  <c r="BB523" i="2"/>
  <c r="AG523" i="2"/>
  <c r="Q523" i="2" s="1"/>
  <c r="X523" i="2"/>
  <c r="BG522" i="2"/>
  <c r="BB522" i="2"/>
  <c r="AG522" i="2"/>
  <c r="Q522" i="2" s="1"/>
  <c r="X522" i="2"/>
  <c r="BG521" i="2"/>
  <c r="BB521" i="2"/>
  <c r="AG521" i="2"/>
  <c r="X521" i="2"/>
  <c r="Q521" i="2"/>
  <c r="BG520" i="2"/>
  <c r="BB520" i="2"/>
  <c r="AG520" i="2"/>
  <c r="X520" i="2"/>
  <c r="Q520" i="2"/>
  <c r="BG519" i="2"/>
  <c r="BB519" i="2"/>
  <c r="AG519" i="2"/>
  <c r="X519" i="2"/>
  <c r="Q519" i="2"/>
  <c r="BG518" i="2"/>
  <c r="BB518" i="2"/>
  <c r="Q518" i="2" s="1"/>
  <c r="AG518" i="2"/>
  <c r="X518" i="2"/>
  <c r="BG517" i="2"/>
  <c r="BB517" i="2"/>
  <c r="Q517" i="2" s="1"/>
  <c r="AG517" i="2"/>
  <c r="X517" i="2"/>
  <c r="BG516" i="2"/>
  <c r="BB516" i="2"/>
  <c r="AG516" i="2"/>
  <c r="X516" i="2"/>
  <c r="Q516" i="2" s="1"/>
  <c r="BG515" i="2"/>
  <c r="BB515" i="2"/>
  <c r="AG515" i="2"/>
  <c r="X515" i="2"/>
  <c r="BG514" i="2"/>
  <c r="BB514" i="2"/>
  <c r="AG514" i="2"/>
  <c r="X514" i="2"/>
  <c r="Q514" i="2" s="1"/>
  <c r="BG513" i="2"/>
  <c r="BB513" i="2"/>
  <c r="AG513" i="2"/>
  <c r="X513" i="2"/>
  <c r="Q513" i="2" s="1"/>
  <c r="BG512" i="2"/>
  <c r="BB512" i="2"/>
  <c r="AG512" i="2"/>
  <c r="X512" i="2"/>
  <c r="Q512" i="2" s="1"/>
  <c r="BG511" i="2"/>
  <c r="BB511" i="2"/>
  <c r="AG511" i="2"/>
  <c r="Q511" i="2" s="1"/>
  <c r="X511" i="2"/>
  <c r="BG510" i="2"/>
  <c r="BB510" i="2"/>
  <c r="AG510" i="2"/>
  <c r="Q510" i="2" s="1"/>
  <c r="X510" i="2"/>
  <c r="BG509" i="2"/>
  <c r="BB509" i="2"/>
  <c r="AG509" i="2"/>
  <c r="X509" i="2"/>
  <c r="Q509" i="2"/>
  <c r="BG508" i="2"/>
  <c r="BB508" i="2"/>
  <c r="AG508" i="2"/>
  <c r="X508" i="2"/>
  <c r="Q508" i="2"/>
  <c r="BG507" i="2"/>
  <c r="BB507" i="2"/>
  <c r="AG507" i="2"/>
  <c r="X507" i="2"/>
  <c r="Q507" i="2"/>
  <c r="BG506" i="2"/>
  <c r="BB506" i="2"/>
  <c r="AG506" i="2"/>
  <c r="X506" i="2"/>
  <c r="Q506" i="2"/>
  <c r="BG505" i="2"/>
  <c r="BB505" i="2"/>
  <c r="Q505" i="2" s="1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Q502" i="2" s="1"/>
  <c r="BG501" i="2"/>
  <c r="BB501" i="2"/>
  <c r="AG501" i="2"/>
  <c r="X501" i="2"/>
  <c r="Q501" i="2" s="1"/>
  <c r="BG500" i="2"/>
  <c r="BB500" i="2"/>
  <c r="AG500" i="2"/>
  <c r="X500" i="2"/>
  <c r="Q500" i="2" s="1"/>
  <c r="BG499" i="2"/>
  <c r="BB499" i="2"/>
  <c r="AG499" i="2"/>
  <c r="Q499" i="2" s="1"/>
  <c r="X499" i="2"/>
  <c r="BG498" i="2"/>
  <c r="BB498" i="2"/>
  <c r="AG498" i="2"/>
  <c r="Q498" i="2" s="1"/>
  <c r="X498" i="2"/>
  <c r="BG497" i="2"/>
  <c r="BB497" i="2"/>
  <c r="AG497" i="2"/>
  <c r="Q497" i="2" s="1"/>
  <c r="X497" i="2"/>
  <c r="BG496" i="2"/>
  <c r="BB496" i="2"/>
  <c r="AG496" i="2"/>
  <c r="X496" i="2"/>
  <c r="Q496" i="2"/>
  <c r="BG495" i="2"/>
  <c r="BB495" i="2"/>
  <c r="AG495" i="2"/>
  <c r="X495" i="2"/>
  <c r="Q495" i="2"/>
  <c r="BG494" i="2"/>
  <c r="BB494" i="2"/>
  <c r="AG494" i="2"/>
  <c r="X494" i="2"/>
  <c r="Q494" i="2"/>
  <c r="BG493" i="2"/>
  <c r="BB493" i="2"/>
  <c r="Q493" i="2" s="1"/>
  <c r="AG493" i="2"/>
  <c r="X493" i="2"/>
  <c r="BG492" i="2"/>
  <c r="BB492" i="2"/>
  <c r="AG492" i="2"/>
  <c r="X492" i="2"/>
  <c r="BG491" i="2"/>
  <c r="BB491" i="2"/>
  <c r="AG491" i="2"/>
  <c r="X491" i="2"/>
  <c r="Q491" i="2" s="1"/>
  <c r="BG490" i="2"/>
  <c r="BB490" i="2"/>
  <c r="AG490" i="2"/>
  <c r="X490" i="2"/>
  <c r="Q490" i="2" s="1"/>
  <c r="BG489" i="2"/>
  <c r="BB489" i="2"/>
  <c r="AG489" i="2"/>
  <c r="X489" i="2"/>
  <c r="Q489" i="2" s="1"/>
  <c r="BG488" i="2"/>
  <c r="BB488" i="2"/>
  <c r="AG488" i="2"/>
  <c r="X488" i="2"/>
  <c r="Q488" i="2" s="1"/>
  <c r="BG487" i="2"/>
  <c r="BB487" i="2"/>
  <c r="AG487" i="2"/>
  <c r="Q487" i="2" s="1"/>
  <c r="X487" i="2"/>
  <c r="BG486" i="2"/>
  <c r="BB486" i="2"/>
  <c r="AG486" i="2"/>
  <c r="Q486" i="2" s="1"/>
  <c r="X486" i="2"/>
  <c r="BG485" i="2"/>
  <c r="BB485" i="2"/>
  <c r="AG485" i="2"/>
  <c r="X485" i="2"/>
  <c r="Q485" i="2"/>
  <c r="BG484" i="2"/>
  <c r="BB484" i="2"/>
  <c r="AG484" i="2"/>
  <c r="X484" i="2"/>
  <c r="Q484" i="2"/>
  <c r="BG483" i="2"/>
  <c r="BB483" i="2"/>
  <c r="AG483" i="2"/>
  <c r="X483" i="2"/>
  <c r="Q483" i="2"/>
  <c r="BG482" i="2"/>
  <c r="BB482" i="2"/>
  <c r="Q482" i="2" s="1"/>
  <c r="AG482" i="2"/>
  <c r="X482" i="2"/>
  <c r="BG481" i="2"/>
  <c r="BB481" i="2"/>
  <c r="Q481" i="2" s="1"/>
  <c r="AG481" i="2"/>
  <c r="X481" i="2"/>
  <c r="BG480" i="2"/>
  <c r="BB480" i="2"/>
  <c r="AG480" i="2"/>
  <c r="X480" i="2"/>
  <c r="Q480" i="2" s="1"/>
  <c r="BG479" i="2"/>
  <c r="BB479" i="2"/>
  <c r="AG479" i="2"/>
  <c r="X479" i="2"/>
  <c r="BG478" i="2"/>
  <c r="BB478" i="2"/>
  <c r="AG478" i="2"/>
  <c r="X478" i="2"/>
  <c r="Q478" i="2" s="1"/>
  <c r="BG477" i="2"/>
  <c r="BB477" i="2"/>
  <c r="AG477" i="2"/>
  <c r="X477" i="2"/>
  <c r="Q477" i="2" s="1"/>
  <c r="BG476" i="2"/>
  <c r="BB476" i="2"/>
  <c r="AG476" i="2"/>
  <c r="X476" i="2"/>
  <c r="Q476" i="2" s="1"/>
  <c r="BG475" i="2"/>
  <c r="BB475" i="2"/>
  <c r="AG475" i="2"/>
  <c r="Q475" i="2" s="1"/>
  <c r="X475" i="2"/>
  <c r="BG474" i="2"/>
  <c r="BB474" i="2"/>
  <c r="AG474" i="2"/>
  <c r="Q474" i="2" s="1"/>
  <c r="X474" i="2"/>
  <c r="BG473" i="2"/>
  <c r="BB473" i="2"/>
  <c r="AG473" i="2"/>
  <c r="X473" i="2"/>
  <c r="Q473" i="2"/>
  <c r="BG472" i="2"/>
  <c r="BB472" i="2"/>
  <c r="AG472" i="2"/>
  <c r="X472" i="2"/>
  <c r="Q472" i="2"/>
  <c r="BG471" i="2"/>
  <c r="BB471" i="2"/>
  <c r="AG471" i="2"/>
  <c r="X471" i="2"/>
  <c r="Q471" i="2"/>
  <c r="BG470" i="2"/>
  <c r="BB470" i="2"/>
  <c r="AG470" i="2"/>
  <c r="X470" i="2"/>
  <c r="Q470" i="2"/>
  <c r="BG469" i="2"/>
  <c r="BB469" i="2"/>
  <c r="Q469" i="2" s="1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Q466" i="2" s="1"/>
  <c r="BG465" i="2"/>
  <c r="BB465" i="2"/>
  <c r="AG465" i="2"/>
  <c r="X465" i="2"/>
  <c r="Q465" i="2" s="1"/>
  <c r="BG464" i="2"/>
  <c r="BB464" i="2"/>
  <c r="AG464" i="2"/>
  <c r="X464" i="2"/>
  <c r="Q464" i="2" s="1"/>
  <c r="BG463" i="2"/>
  <c r="BB463" i="2"/>
  <c r="AG463" i="2"/>
  <c r="Q463" i="2" s="1"/>
  <c r="X463" i="2"/>
  <c r="BG462" i="2"/>
  <c r="BB462" i="2"/>
  <c r="AG462" i="2"/>
  <c r="Q462" i="2" s="1"/>
  <c r="X462" i="2"/>
  <c r="BG461" i="2"/>
  <c r="BB461" i="2"/>
  <c r="AG461" i="2"/>
  <c r="Q461" i="2" s="1"/>
  <c r="X461" i="2"/>
  <c r="BG460" i="2"/>
  <c r="BB460" i="2"/>
  <c r="AG460" i="2"/>
  <c r="X460" i="2"/>
  <c r="Q460" i="2"/>
  <c r="BG459" i="2"/>
  <c r="BB459" i="2"/>
  <c r="AG459" i="2"/>
  <c r="X459" i="2"/>
  <c r="Q459" i="2"/>
  <c r="BG458" i="2"/>
  <c r="BB458" i="2"/>
  <c r="AG458" i="2"/>
  <c r="X458" i="2"/>
  <c r="Q458" i="2"/>
  <c r="BG457" i="2"/>
  <c r="BB457" i="2"/>
  <c r="Q457" i="2" s="1"/>
  <c r="AG457" i="2"/>
  <c r="X457" i="2"/>
  <c r="BG456" i="2"/>
  <c r="BB456" i="2"/>
  <c r="AG456" i="2"/>
  <c r="X456" i="2"/>
  <c r="BG455" i="2"/>
  <c r="BB455" i="2"/>
  <c r="AG455" i="2"/>
  <c r="X455" i="2"/>
  <c r="Q455" i="2" s="1"/>
  <c r="BG454" i="2"/>
  <c r="BB454" i="2"/>
  <c r="AG454" i="2"/>
  <c r="X454" i="2"/>
  <c r="Q454" i="2" s="1"/>
  <c r="BG453" i="2"/>
  <c r="BB453" i="2"/>
  <c r="AG453" i="2"/>
  <c r="X453" i="2"/>
  <c r="Q453" i="2" s="1"/>
  <c r="BG452" i="2"/>
  <c r="BB452" i="2"/>
  <c r="AG452" i="2"/>
  <c r="X452" i="2"/>
  <c r="Q452" i="2" s="1"/>
  <c r="BG451" i="2"/>
  <c r="BB451" i="2"/>
  <c r="AG451" i="2"/>
  <c r="Q451" i="2" s="1"/>
  <c r="X451" i="2"/>
  <c r="BG450" i="2"/>
  <c r="BB450" i="2"/>
  <c r="AG450" i="2"/>
  <c r="Q450" i="2" s="1"/>
  <c r="X450" i="2"/>
  <c r="BG449" i="2"/>
  <c r="BB449" i="2"/>
  <c r="AG449" i="2"/>
  <c r="X449" i="2"/>
  <c r="Q449" i="2"/>
  <c r="BG448" i="2"/>
  <c r="BB448" i="2"/>
  <c r="AG448" i="2"/>
  <c r="X448" i="2"/>
  <c r="Q448" i="2"/>
  <c r="BG447" i="2"/>
  <c r="BB447" i="2"/>
  <c r="AG447" i="2"/>
  <c r="X447" i="2"/>
  <c r="Q447" i="2"/>
  <c r="BG446" i="2"/>
  <c r="BB446" i="2"/>
  <c r="Q446" i="2" s="1"/>
  <c r="AG446" i="2"/>
  <c r="X446" i="2"/>
  <c r="BG445" i="2"/>
  <c r="BB445" i="2"/>
  <c r="Q445" i="2" s="1"/>
  <c r="AG445" i="2"/>
  <c r="X445" i="2"/>
  <c r="BG444" i="2"/>
  <c r="BB444" i="2"/>
  <c r="AG444" i="2"/>
  <c r="X444" i="2"/>
  <c r="Q444" i="2" s="1"/>
  <c r="BG443" i="2"/>
  <c r="BB443" i="2"/>
  <c r="AG443" i="2"/>
  <c r="X443" i="2"/>
  <c r="BG442" i="2"/>
  <c r="BB442" i="2"/>
  <c r="AG442" i="2"/>
  <c r="X442" i="2"/>
  <c r="Q442" i="2" s="1"/>
  <c r="BG441" i="2"/>
  <c r="BB441" i="2"/>
  <c r="AG441" i="2"/>
  <c r="X441" i="2"/>
  <c r="Q441" i="2" s="1"/>
  <c r="BG440" i="2"/>
  <c r="BB440" i="2"/>
  <c r="AG440" i="2"/>
  <c r="X440" i="2"/>
  <c r="Q440" i="2" s="1"/>
  <c r="BG439" i="2"/>
  <c r="BB439" i="2"/>
  <c r="AG439" i="2"/>
  <c r="Q439" i="2" s="1"/>
  <c r="X439" i="2"/>
  <c r="BG438" i="2"/>
  <c r="BB438" i="2"/>
  <c r="AG438" i="2"/>
  <c r="Q438" i="2" s="1"/>
  <c r="X438" i="2"/>
  <c r="BG437" i="2"/>
  <c r="BB437" i="2"/>
  <c r="AG437" i="2"/>
  <c r="X437" i="2"/>
  <c r="Q437" i="2"/>
  <c r="BG436" i="2"/>
  <c r="BB436" i="2"/>
  <c r="AG436" i="2"/>
  <c r="X436" i="2"/>
  <c r="Q436" i="2"/>
  <c r="BG435" i="2"/>
  <c r="BB435" i="2"/>
  <c r="AG435" i="2"/>
  <c r="X435" i="2"/>
  <c r="Q435" i="2"/>
  <c r="BG434" i="2"/>
  <c r="BB434" i="2"/>
  <c r="AG434" i="2"/>
  <c r="X434" i="2"/>
  <c r="Q434" i="2"/>
  <c r="BG433" i="2"/>
  <c r="BB433" i="2"/>
  <c r="Q433" i="2" s="1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Q430" i="2" s="1"/>
  <c r="BG429" i="2"/>
  <c r="BB429" i="2"/>
  <c r="AG429" i="2"/>
  <c r="X429" i="2"/>
  <c r="Q429" i="2" s="1"/>
  <c r="BG428" i="2"/>
  <c r="BB428" i="2"/>
  <c r="AG428" i="2"/>
  <c r="X428" i="2"/>
  <c r="Q428" i="2" s="1"/>
  <c r="BG427" i="2"/>
  <c r="BB427" i="2"/>
  <c r="AG427" i="2"/>
  <c r="Q427" i="2" s="1"/>
  <c r="X427" i="2"/>
  <c r="BG426" i="2"/>
  <c r="BB426" i="2"/>
  <c r="AG426" i="2"/>
  <c r="Q426" i="2" s="1"/>
  <c r="X426" i="2"/>
  <c r="BG425" i="2"/>
  <c r="BB425" i="2"/>
  <c r="AG425" i="2"/>
  <c r="Q425" i="2" s="1"/>
  <c r="X425" i="2"/>
  <c r="BG424" i="2"/>
  <c r="BB424" i="2"/>
  <c r="AG424" i="2"/>
  <c r="X424" i="2"/>
  <c r="Q424" i="2"/>
  <c r="BG423" i="2"/>
  <c r="BB423" i="2"/>
  <c r="AG423" i="2"/>
  <c r="X423" i="2"/>
  <c r="Q423" i="2"/>
  <c r="BG422" i="2"/>
  <c r="BB422" i="2"/>
  <c r="AG422" i="2"/>
  <c r="X422" i="2"/>
  <c r="Q422" i="2"/>
  <c r="BG421" i="2"/>
  <c r="BB421" i="2"/>
  <c r="Q421" i="2" s="1"/>
  <c r="AG421" i="2"/>
  <c r="X421" i="2"/>
  <c r="BG420" i="2"/>
  <c r="BB420" i="2"/>
  <c r="AG420" i="2"/>
  <c r="X420" i="2"/>
  <c r="BG419" i="2"/>
  <c r="BB419" i="2"/>
  <c r="AG419" i="2"/>
  <c r="X419" i="2"/>
  <c r="Q419" i="2" s="1"/>
  <c r="BG418" i="2"/>
  <c r="BB418" i="2"/>
  <c r="AG418" i="2"/>
  <c r="X418" i="2"/>
  <c r="Q418" i="2" s="1"/>
  <c r="BG417" i="2"/>
  <c r="BB417" i="2"/>
  <c r="AG417" i="2"/>
  <c r="X417" i="2"/>
  <c r="Q417" i="2" s="1"/>
  <c r="BG416" i="2"/>
  <c r="BB416" i="2"/>
  <c r="AG416" i="2"/>
  <c r="X416" i="2"/>
  <c r="Q416" i="2" s="1"/>
  <c r="BG415" i="2"/>
  <c r="BB415" i="2"/>
  <c r="AG415" i="2"/>
  <c r="Q415" i="2" s="1"/>
  <c r="X415" i="2"/>
  <c r="BG414" i="2"/>
  <c r="BB414" i="2"/>
  <c r="AG414" i="2"/>
  <c r="Q414" i="2" s="1"/>
  <c r="X414" i="2"/>
  <c r="BG413" i="2"/>
  <c r="BB413" i="2"/>
  <c r="AG413" i="2"/>
  <c r="X413" i="2"/>
  <c r="Q413" i="2"/>
  <c r="BG412" i="2"/>
  <c r="BB412" i="2"/>
  <c r="AG412" i="2"/>
  <c r="X412" i="2"/>
  <c r="Q412" i="2"/>
  <c r="BG411" i="2"/>
  <c r="BB411" i="2"/>
  <c r="AG411" i="2"/>
  <c r="X411" i="2"/>
  <c r="Q411" i="2"/>
  <c r="BG410" i="2"/>
  <c r="BB410" i="2"/>
  <c r="Q410" i="2" s="1"/>
  <c r="AG410" i="2"/>
  <c r="X410" i="2"/>
  <c r="BG409" i="2"/>
  <c r="BB409" i="2"/>
  <c r="Q409" i="2" s="1"/>
  <c r="AG409" i="2"/>
  <c r="X409" i="2"/>
  <c r="BG408" i="2"/>
  <c r="BB408" i="2"/>
  <c r="AG408" i="2"/>
  <c r="X408" i="2"/>
  <c r="Q408" i="2" s="1"/>
  <c r="BG407" i="2"/>
  <c r="BB407" i="2"/>
  <c r="AG407" i="2"/>
  <c r="X407" i="2"/>
  <c r="BG406" i="2"/>
  <c r="BB406" i="2"/>
  <c r="AG406" i="2"/>
  <c r="X406" i="2"/>
  <c r="Q406" i="2" s="1"/>
  <c r="BG405" i="2"/>
  <c r="BB405" i="2"/>
  <c r="AG405" i="2"/>
  <c r="X405" i="2"/>
  <c r="Q405" i="2" s="1"/>
  <c r="BG404" i="2"/>
  <c r="BB404" i="2"/>
  <c r="AG404" i="2"/>
  <c r="X404" i="2"/>
  <c r="Q404" i="2" s="1"/>
  <c r="BG403" i="2"/>
  <c r="BB403" i="2"/>
  <c r="AG403" i="2"/>
  <c r="Q403" i="2" s="1"/>
  <c r="X403" i="2"/>
  <c r="BG402" i="2"/>
  <c r="BB402" i="2"/>
  <c r="AG402" i="2"/>
  <c r="X402" i="2"/>
  <c r="Q402" i="2" s="1"/>
  <c r="BG401" i="2"/>
  <c r="BB401" i="2"/>
  <c r="AG401" i="2"/>
  <c r="X401" i="2"/>
  <c r="Q401" i="2"/>
  <c r="BG400" i="2"/>
  <c r="BB400" i="2"/>
  <c r="AG400" i="2"/>
  <c r="X400" i="2"/>
  <c r="Q400" i="2"/>
  <c r="BG399" i="2"/>
  <c r="BB399" i="2"/>
  <c r="AG399" i="2"/>
  <c r="X399" i="2"/>
  <c r="Q399" i="2"/>
  <c r="BG398" i="2"/>
  <c r="BB398" i="2"/>
  <c r="AG398" i="2"/>
  <c r="X398" i="2"/>
  <c r="Q398" i="2"/>
  <c r="BG397" i="2"/>
  <c r="BB397" i="2"/>
  <c r="Q397" i="2" s="1"/>
  <c r="AG397" i="2"/>
  <c r="X397" i="2"/>
  <c r="BG396" i="2"/>
  <c r="BB396" i="2"/>
  <c r="AG396" i="2"/>
  <c r="X396" i="2"/>
  <c r="BG395" i="2"/>
  <c r="BB395" i="2"/>
  <c r="AG395" i="2"/>
  <c r="X395" i="2"/>
  <c r="AG394" i="2"/>
  <c r="X394" i="2"/>
  <c r="Q394" i="2" s="1"/>
  <c r="BG393" i="2"/>
  <c r="BB393" i="2"/>
  <c r="AG393" i="2"/>
  <c r="Q393" i="2" s="1"/>
  <c r="X393" i="2"/>
  <c r="BG392" i="2"/>
  <c r="BB392" i="2"/>
  <c r="AG392" i="2"/>
  <c r="Q392" i="2" s="1"/>
  <c r="X392" i="2"/>
  <c r="BG391" i="2"/>
  <c r="BB391" i="2"/>
  <c r="AG391" i="2"/>
  <c r="X391" i="2"/>
  <c r="Q391" i="2"/>
  <c r="BG390" i="2"/>
  <c r="BB390" i="2"/>
  <c r="AG390" i="2"/>
  <c r="Q390" i="2" s="1"/>
  <c r="X390" i="2"/>
  <c r="BG389" i="2"/>
  <c r="BB389" i="2"/>
  <c r="AG389" i="2"/>
  <c r="X389" i="2"/>
  <c r="Q389" i="2"/>
  <c r="BG388" i="2"/>
  <c r="BB388" i="2"/>
  <c r="AG388" i="2"/>
  <c r="X388" i="2"/>
  <c r="Q388" i="2"/>
  <c r="BG387" i="2"/>
  <c r="BB387" i="2"/>
  <c r="Q387" i="2" s="1"/>
  <c r="AG387" i="2"/>
  <c r="X387" i="2"/>
  <c r="BG386" i="2"/>
  <c r="BB386" i="2"/>
  <c r="AG386" i="2"/>
  <c r="X386" i="2"/>
  <c r="Q386" i="2" s="1"/>
  <c r="BG385" i="2"/>
  <c r="BB385" i="2"/>
  <c r="AG385" i="2"/>
  <c r="X385" i="2"/>
  <c r="BG384" i="2"/>
  <c r="BB384" i="2"/>
  <c r="AG384" i="2"/>
  <c r="X384" i="2"/>
  <c r="Q384" i="2" s="1"/>
  <c r="BG383" i="2"/>
  <c r="BB383" i="2"/>
  <c r="AG383" i="2"/>
  <c r="X383" i="2"/>
  <c r="Q383" i="2" s="1"/>
  <c r="BG382" i="2"/>
  <c r="BB382" i="2"/>
  <c r="AG382" i="2"/>
  <c r="X382" i="2"/>
  <c r="Q382" i="2" s="1"/>
  <c r="BG381" i="2"/>
  <c r="BB381" i="2"/>
  <c r="AG381" i="2"/>
  <c r="Q381" i="2" s="1"/>
  <c r="X381" i="2"/>
  <c r="BG380" i="2"/>
  <c r="BB380" i="2"/>
  <c r="AG380" i="2"/>
  <c r="X380" i="2"/>
  <c r="Q380" i="2" s="1"/>
  <c r="BG379" i="2"/>
  <c r="BB379" i="2"/>
  <c r="AG379" i="2"/>
  <c r="Q379" i="2" s="1"/>
  <c r="X379" i="2"/>
  <c r="BG378" i="2"/>
  <c r="BB378" i="2"/>
  <c r="AG378" i="2"/>
  <c r="Q378" i="2" s="1"/>
  <c r="X378" i="2"/>
  <c r="BG377" i="2"/>
  <c r="BB377" i="2"/>
  <c r="AG377" i="2"/>
  <c r="X377" i="2"/>
  <c r="Q377" i="2"/>
  <c r="BG376" i="2"/>
  <c r="BB376" i="2"/>
  <c r="AG376" i="2"/>
  <c r="X376" i="2"/>
  <c r="Q376" i="2"/>
  <c r="BG375" i="2"/>
  <c r="BB375" i="2"/>
  <c r="Q375" i="2" s="1"/>
  <c r="AG375" i="2"/>
  <c r="X375" i="2"/>
  <c r="BG374" i="2"/>
  <c r="BB374" i="2"/>
  <c r="AG374" i="2"/>
  <c r="X374" i="2"/>
  <c r="Q374" i="2" s="1"/>
  <c r="BG373" i="2"/>
  <c r="BB373" i="2"/>
  <c r="AG373" i="2"/>
  <c r="X373" i="2"/>
  <c r="Q373" i="2" s="1"/>
  <c r="BG372" i="2"/>
  <c r="BB372" i="2"/>
  <c r="AG372" i="2"/>
  <c r="X372" i="2"/>
  <c r="Q372" i="2" s="1"/>
  <c r="BG371" i="2"/>
  <c r="BB371" i="2"/>
  <c r="AG371" i="2"/>
  <c r="X371" i="2"/>
  <c r="Q371" i="2" s="1"/>
  <c r="BG370" i="2"/>
  <c r="BB370" i="2"/>
  <c r="AG370" i="2"/>
  <c r="X370" i="2"/>
  <c r="Q370" i="2" s="1"/>
  <c r="BG369" i="2"/>
  <c r="BB369" i="2"/>
  <c r="AG369" i="2"/>
  <c r="X369" i="2"/>
  <c r="Q369" i="2"/>
  <c r="AG368" i="2"/>
  <c r="X368" i="2"/>
  <c r="Q368" i="2"/>
  <c r="BG367" i="2"/>
  <c r="BB367" i="2"/>
  <c r="AG367" i="2"/>
  <c r="X367" i="2"/>
  <c r="Q367" i="2"/>
  <c r="BG366" i="2"/>
  <c r="BB366" i="2"/>
  <c r="AG366" i="2"/>
  <c r="X366" i="2"/>
  <c r="Q366" i="2"/>
  <c r="BG365" i="2"/>
  <c r="BB365" i="2"/>
  <c r="Q365" i="2" s="1"/>
  <c r="AG365" i="2"/>
  <c r="X365" i="2"/>
  <c r="BG364" i="2"/>
  <c r="BB364" i="2"/>
  <c r="AG364" i="2"/>
  <c r="X364" i="2"/>
  <c r="BG363" i="2"/>
  <c r="BB363" i="2"/>
  <c r="AG363" i="2"/>
  <c r="X363" i="2"/>
  <c r="Q363" i="2" s="1"/>
  <c r="BG362" i="2"/>
  <c r="BB362" i="2"/>
  <c r="AG362" i="2"/>
  <c r="X362" i="2"/>
  <c r="Q362" i="2" s="1"/>
  <c r="AG361" i="2"/>
  <c r="X361" i="2"/>
  <c r="Q361" i="2"/>
  <c r="BG360" i="2"/>
  <c r="BB360" i="2"/>
  <c r="AG360" i="2"/>
  <c r="Q360" i="2" s="1"/>
  <c r="X360" i="2"/>
  <c r="BG359" i="2"/>
  <c r="BB359" i="2"/>
  <c r="AG359" i="2"/>
  <c r="Q359" i="2" s="1"/>
  <c r="X359" i="2"/>
  <c r="BG358" i="2"/>
  <c r="BB358" i="2"/>
  <c r="AG358" i="2"/>
  <c r="Q358" i="2" s="1"/>
  <c r="X358" i="2"/>
  <c r="BG357" i="2"/>
  <c r="BB357" i="2"/>
  <c r="AG357" i="2"/>
  <c r="X357" i="2"/>
  <c r="Q357" i="2"/>
  <c r="BG356" i="2"/>
  <c r="BB356" i="2"/>
  <c r="AG356" i="2"/>
  <c r="X356" i="2"/>
  <c r="Q356" i="2" s="1"/>
  <c r="BG355" i="2"/>
  <c r="BB355" i="2"/>
  <c r="Q355" i="2" s="1"/>
  <c r="AG355" i="2"/>
  <c r="X355" i="2"/>
  <c r="BG354" i="2"/>
  <c r="BB354" i="2"/>
  <c r="AG354" i="2"/>
  <c r="X354" i="2"/>
  <c r="BG353" i="2"/>
  <c r="BB353" i="2"/>
  <c r="AG353" i="2"/>
  <c r="X353" i="2"/>
  <c r="Q353" i="2" s="1"/>
  <c r="BG351" i="2"/>
  <c r="BB351" i="2"/>
  <c r="AG351" i="2"/>
  <c r="X351" i="2"/>
  <c r="Q351" i="2" s="1"/>
  <c r="BG350" i="2"/>
  <c r="BB350" i="2"/>
  <c r="AG350" i="2"/>
  <c r="X350" i="2"/>
  <c r="BG349" i="2"/>
  <c r="BB349" i="2"/>
  <c r="AG349" i="2"/>
  <c r="X349" i="2"/>
  <c r="Q349" i="2" s="1"/>
  <c r="BG348" i="2"/>
  <c r="BB348" i="2"/>
  <c r="AG348" i="2"/>
  <c r="X348" i="2"/>
  <c r="Q348" i="2"/>
  <c r="BG347" i="2"/>
  <c r="BB347" i="2"/>
  <c r="AG347" i="2"/>
  <c r="X347" i="2"/>
  <c r="Q347" i="2" s="1"/>
  <c r="BG346" i="2"/>
  <c r="BB346" i="2"/>
  <c r="AG346" i="2"/>
  <c r="Q346" i="2" s="1"/>
  <c r="X346" i="2"/>
  <c r="BG345" i="2"/>
  <c r="BB345" i="2"/>
  <c r="AG345" i="2"/>
  <c r="X345" i="2"/>
  <c r="Q345" i="2"/>
  <c r="BG344" i="2"/>
  <c r="BB344" i="2"/>
  <c r="AG344" i="2"/>
  <c r="X344" i="2"/>
  <c r="Q344" i="2"/>
  <c r="BG343" i="2"/>
  <c r="BB343" i="2"/>
  <c r="AG343" i="2"/>
  <c r="X343" i="2"/>
  <c r="Q343" i="2"/>
  <c r="BG342" i="2"/>
  <c r="BB342" i="2"/>
  <c r="Q342" i="2" s="1"/>
  <c r="AG342" i="2"/>
  <c r="X342" i="2"/>
  <c r="BG341" i="2"/>
  <c r="BB341" i="2"/>
  <c r="AG341" i="2"/>
  <c r="X341" i="2"/>
  <c r="BG340" i="2"/>
  <c r="BB340" i="2"/>
  <c r="AG340" i="2"/>
  <c r="X340" i="2"/>
  <c r="Q340" i="2" s="1"/>
  <c r="BG339" i="2"/>
  <c r="BB339" i="2"/>
  <c r="AG339" i="2"/>
  <c r="X339" i="2"/>
  <c r="Q339" i="2" s="1"/>
  <c r="BG338" i="2"/>
  <c r="BB338" i="2"/>
  <c r="AG338" i="2"/>
  <c r="X338" i="2"/>
  <c r="BG337" i="2"/>
  <c r="BB337" i="2"/>
  <c r="AG337" i="2"/>
  <c r="X337" i="2"/>
  <c r="Q337" i="2" s="1"/>
  <c r="BG336" i="2"/>
  <c r="BB336" i="2"/>
  <c r="AG336" i="2"/>
  <c r="X336" i="2"/>
  <c r="Q336" i="2"/>
  <c r="BG335" i="2"/>
  <c r="BB335" i="2"/>
  <c r="AG335" i="2"/>
  <c r="X335" i="2"/>
  <c r="BG334" i="2"/>
  <c r="BB334" i="2"/>
  <c r="AG334" i="2"/>
  <c r="X334" i="2"/>
  <c r="Q334" i="2"/>
  <c r="BG333" i="2"/>
  <c r="BB333" i="2"/>
  <c r="AG333" i="2"/>
  <c r="X333" i="2"/>
  <c r="Q333" i="2"/>
  <c r="AG332" i="2"/>
  <c r="X332" i="2"/>
  <c r="Q332" i="2" s="1"/>
  <c r="BG331" i="2"/>
  <c r="BB331" i="2"/>
  <c r="AG331" i="2"/>
  <c r="X331" i="2"/>
  <c r="Q331" i="2" s="1"/>
  <c r="BG330" i="2"/>
  <c r="BB330" i="2"/>
  <c r="AG330" i="2"/>
  <c r="X330" i="2"/>
  <c r="Q330" i="2" s="1"/>
  <c r="BG329" i="2"/>
  <c r="BB329" i="2"/>
  <c r="AG329" i="2"/>
  <c r="X329" i="2"/>
  <c r="Q329" i="2" s="1"/>
  <c r="BG328" i="2"/>
  <c r="BB328" i="2"/>
  <c r="AG328" i="2"/>
  <c r="X328" i="2"/>
  <c r="BG327" i="2"/>
  <c r="BB327" i="2"/>
  <c r="AG327" i="2"/>
  <c r="X327" i="2"/>
  <c r="Q327" i="2" s="1"/>
  <c r="AG326" i="2"/>
  <c r="Q326" i="2" s="1"/>
  <c r="X326" i="2"/>
  <c r="AG325" i="2"/>
  <c r="X325" i="2"/>
  <c r="Q325" i="2" s="1"/>
  <c r="BG324" i="2"/>
  <c r="BB324" i="2"/>
  <c r="AG324" i="2"/>
  <c r="X324" i="2"/>
  <c r="BG323" i="2"/>
  <c r="BB323" i="2"/>
  <c r="AG323" i="2"/>
  <c r="X323" i="2"/>
  <c r="Q323" i="2" s="1"/>
  <c r="BG322" i="2"/>
  <c r="BB322" i="2"/>
  <c r="AG322" i="2"/>
  <c r="X322" i="2"/>
  <c r="Q322" i="2" s="1"/>
  <c r="BG321" i="2"/>
  <c r="BB321" i="2"/>
  <c r="AG321" i="2"/>
  <c r="X321" i="2"/>
  <c r="Q321" i="2" s="1"/>
  <c r="BG320" i="2"/>
  <c r="BB320" i="2"/>
  <c r="AG320" i="2"/>
  <c r="X320" i="2"/>
  <c r="BG319" i="2"/>
  <c r="BB319" i="2"/>
  <c r="AG319" i="2"/>
  <c r="X319" i="2"/>
  <c r="Q319" i="2" s="1"/>
  <c r="AG318" i="2"/>
  <c r="X318" i="2"/>
  <c r="Q318" i="2" s="1"/>
  <c r="BG317" i="2"/>
  <c r="BB317" i="2"/>
  <c r="AG317" i="2"/>
  <c r="Q317" i="2" s="1"/>
  <c r="X317" i="2"/>
  <c r="BG316" i="2"/>
  <c r="BB316" i="2"/>
  <c r="AG316" i="2"/>
  <c r="X316" i="2"/>
  <c r="Q316" i="2"/>
  <c r="AG315" i="2"/>
  <c r="Q315" i="2" s="1"/>
  <c r="X315" i="2"/>
  <c r="BG314" i="2"/>
  <c r="BB314" i="2"/>
  <c r="AG314" i="2"/>
  <c r="X314" i="2"/>
  <c r="BG313" i="2"/>
  <c r="BB313" i="2"/>
  <c r="AG313" i="2"/>
  <c r="X313" i="2"/>
  <c r="Q313" i="2" s="1"/>
  <c r="BG312" i="2"/>
  <c r="BB312" i="2"/>
  <c r="AG312" i="2"/>
  <c r="X312" i="2"/>
  <c r="BG311" i="2"/>
  <c r="BB311" i="2"/>
  <c r="AG311" i="2"/>
  <c r="X311" i="2"/>
  <c r="BG310" i="2"/>
  <c r="BB310" i="2"/>
  <c r="AG310" i="2"/>
  <c r="Q310" i="2" s="1"/>
  <c r="X310" i="2"/>
  <c r="BG309" i="2"/>
  <c r="BB309" i="2"/>
  <c r="AG309" i="2"/>
  <c r="X309" i="2"/>
  <c r="Q309" i="2" s="1"/>
  <c r="BG308" i="2"/>
  <c r="BB308" i="2"/>
  <c r="AG308" i="2"/>
  <c r="X308" i="2"/>
  <c r="Q308" i="2"/>
  <c r="BG307" i="2"/>
  <c r="BB307" i="2"/>
  <c r="Q307" i="2" s="1"/>
  <c r="AG307" i="2"/>
  <c r="X307" i="2"/>
  <c r="BG306" i="2"/>
  <c r="BB306" i="2"/>
  <c r="AG306" i="2"/>
  <c r="X306" i="2"/>
  <c r="Q306" i="2"/>
  <c r="BG305" i="2"/>
  <c r="BB305" i="2"/>
  <c r="AG305" i="2"/>
  <c r="X305" i="2"/>
  <c r="Q305" i="2" s="1"/>
  <c r="BG304" i="2"/>
  <c r="BB304" i="2"/>
  <c r="AG304" i="2"/>
  <c r="X304" i="2"/>
  <c r="Q304" i="2" s="1"/>
  <c r="BG303" i="2"/>
  <c r="BB303" i="2"/>
  <c r="AG303" i="2"/>
  <c r="X303" i="2"/>
  <c r="Q303" i="2" s="1"/>
  <c r="BG302" i="2"/>
  <c r="BB302" i="2"/>
  <c r="AG302" i="2"/>
  <c r="X302" i="2"/>
  <c r="Q302" i="2"/>
  <c r="BG301" i="2"/>
  <c r="BB301" i="2"/>
  <c r="AG301" i="2"/>
  <c r="X301" i="2"/>
  <c r="Q301" i="2" s="1"/>
  <c r="BG300" i="2"/>
  <c r="BB300" i="2"/>
  <c r="AG300" i="2"/>
  <c r="X300" i="2"/>
  <c r="BG299" i="2"/>
  <c r="BB299" i="2"/>
  <c r="AG299" i="2"/>
  <c r="X299" i="2"/>
  <c r="Q299" i="2" s="1"/>
  <c r="BG298" i="2"/>
  <c r="BB298" i="2"/>
  <c r="AG298" i="2"/>
  <c r="X298" i="2"/>
  <c r="Q298" i="2" s="1"/>
  <c r="BG297" i="2"/>
  <c r="BB297" i="2"/>
  <c r="AG297" i="2"/>
  <c r="X297" i="2"/>
  <c r="Q297" i="2" s="1"/>
  <c r="BG296" i="2"/>
  <c r="BB296" i="2"/>
  <c r="AG296" i="2"/>
  <c r="X296" i="2"/>
  <c r="Q296" i="2"/>
  <c r="BG295" i="2"/>
  <c r="BB295" i="2"/>
  <c r="AG295" i="2"/>
  <c r="X295" i="2"/>
  <c r="Q295" i="2" s="1"/>
  <c r="BG294" i="2"/>
  <c r="BB294" i="2"/>
  <c r="AG294" i="2"/>
  <c r="X294" i="2"/>
  <c r="Q294" i="2"/>
  <c r="BG293" i="2"/>
  <c r="BB293" i="2"/>
  <c r="AG293" i="2"/>
  <c r="X293" i="2"/>
  <c r="BG292" i="2"/>
  <c r="BB292" i="2"/>
  <c r="AG292" i="2"/>
  <c r="X292" i="2"/>
  <c r="Q292" i="2" s="1"/>
  <c r="BG291" i="2"/>
  <c r="BB291" i="2"/>
  <c r="AG291" i="2"/>
  <c r="X291" i="2"/>
  <c r="Q291" i="2"/>
  <c r="BG290" i="2"/>
  <c r="BB290" i="2"/>
  <c r="AG290" i="2"/>
  <c r="X290" i="2"/>
  <c r="Q290" i="2"/>
  <c r="BG289" i="2"/>
  <c r="BB289" i="2"/>
  <c r="AG289" i="2"/>
  <c r="X289" i="2"/>
  <c r="Q289" i="2" s="1"/>
  <c r="BG288" i="2"/>
  <c r="BB288" i="2"/>
  <c r="AG288" i="2"/>
  <c r="Q288" i="2" s="1"/>
  <c r="X288" i="2"/>
  <c r="BG287" i="2"/>
  <c r="BB287" i="2"/>
  <c r="AG287" i="2"/>
  <c r="X287" i="2"/>
  <c r="Q287" i="2" s="1"/>
  <c r="BG286" i="2"/>
  <c r="BB286" i="2"/>
  <c r="AG286" i="2"/>
  <c r="X286" i="2"/>
  <c r="Q286" i="2"/>
  <c r="BG285" i="2"/>
  <c r="BB285" i="2"/>
  <c r="AG285" i="2"/>
  <c r="X285" i="2"/>
  <c r="Q285" i="2" s="1"/>
  <c r="BG284" i="2"/>
  <c r="BB284" i="2"/>
  <c r="AG284" i="2"/>
  <c r="X284" i="2"/>
  <c r="Q284" i="2"/>
  <c r="BG283" i="2"/>
  <c r="BB283" i="2"/>
  <c r="AG283" i="2"/>
  <c r="X283" i="2"/>
  <c r="BG282" i="2"/>
  <c r="BB282" i="2"/>
  <c r="AG282" i="2"/>
  <c r="X282" i="2"/>
  <c r="Q282" i="2"/>
  <c r="BG281" i="2"/>
  <c r="BB281" i="2"/>
  <c r="AG281" i="2"/>
  <c r="X281" i="2"/>
  <c r="BG280" i="2"/>
  <c r="BB280" i="2"/>
  <c r="AG280" i="2"/>
  <c r="X280" i="2"/>
  <c r="Q280" i="2" s="1"/>
  <c r="BG279" i="2"/>
  <c r="BB279" i="2"/>
  <c r="AG279" i="2"/>
  <c r="X279" i="2"/>
  <c r="Q279" i="2" s="1"/>
  <c r="BG278" i="2"/>
  <c r="BB278" i="2"/>
  <c r="AG278" i="2"/>
  <c r="X278" i="2"/>
  <c r="Q278" i="2"/>
  <c r="BG277" i="2"/>
  <c r="BB277" i="2"/>
  <c r="AG277" i="2"/>
  <c r="X277" i="2"/>
  <c r="Q277" i="2" s="1"/>
  <c r="BG276" i="2"/>
  <c r="BB276" i="2"/>
  <c r="AG276" i="2"/>
  <c r="X276" i="2"/>
  <c r="BG275" i="2"/>
  <c r="BB275" i="2"/>
  <c r="AG275" i="2"/>
  <c r="X275" i="2"/>
  <c r="Q275" i="2" s="1"/>
  <c r="BG274" i="2"/>
  <c r="BB274" i="2"/>
  <c r="AG274" i="2"/>
  <c r="Q274" i="2" s="1"/>
  <c r="X274" i="2"/>
  <c r="BG273" i="2"/>
  <c r="BB273" i="2"/>
  <c r="AG273" i="2"/>
  <c r="X273" i="2"/>
  <c r="Q273" i="2" s="1"/>
  <c r="BG272" i="2"/>
  <c r="BB272" i="2"/>
  <c r="AG272" i="2"/>
  <c r="X272" i="2"/>
  <c r="Q272" i="2"/>
  <c r="AG271" i="2"/>
  <c r="X271" i="2"/>
  <c r="BG270" i="2"/>
  <c r="BB270" i="2"/>
  <c r="AG270" i="2"/>
  <c r="X270" i="2"/>
  <c r="Q270" i="2" s="1"/>
  <c r="BG269" i="2"/>
  <c r="BB269" i="2"/>
  <c r="AG269" i="2"/>
  <c r="X269" i="2"/>
  <c r="Q269" i="2" s="1"/>
  <c r="BG268" i="2"/>
  <c r="BB268" i="2"/>
  <c r="AG268" i="2"/>
  <c r="X268" i="2"/>
  <c r="Q268" i="2"/>
  <c r="BG267" i="2"/>
  <c r="BB267" i="2"/>
  <c r="AG267" i="2"/>
  <c r="X267" i="2"/>
  <c r="Q267" i="2" s="1"/>
  <c r="BG266" i="2"/>
  <c r="BB266" i="2"/>
  <c r="AG266" i="2"/>
  <c r="X266" i="2"/>
  <c r="BG265" i="2"/>
  <c r="BB265" i="2"/>
  <c r="AG265" i="2"/>
  <c r="X265" i="2"/>
  <c r="Q265" i="2" s="1"/>
  <c r="BG264" i="2"/>
  <c r="BB264" i="2"/>
  <c r="AG264" i="2"/>
  <c r="X264" i="2"/>
  <c r="Q264" i="2"/>
  <c r="BG263" i="2"/>
  <c r="BB263" i="2"/>
  <c r="AG263" i="2"/>
  <c r="X263" i="2"/>
  <c r="Q263" i="2" s="1"/>
  <c r="BG262" i="2"/>
  <c r="BB262" i="2"/>
  <c r="AG262" i="2"/>
  <c r="X262" i="2"/>
  <c r="Q262" i="2"/>
  <c r="BG261" i="2"/>
  <c r="BB261" i="2"/>
  <c r="AG261" i="2"/>
  <c r="X261" i="2"/>
  <c r="Q261" i="2" s="1"/>
  <c r="BG260" i="2"/>
  <c r="BB260" i="2"/>
  <c r="AG260" i="2"/>
  <c r="X260" i="2"/>
  <c r="Q260" i="2"/>
  <c r="BG259" i="2"/>
  <c r="BB259" i="2"/>
  <c r="AG259" i="2"/>
  <c r="X259" i="2"/>
  <c r="BG258" i="2"/>
  <c r="BB258" i="2"/>
  <c r="AG258" i="2"/>
  <c r="X258" i="2"/>
  <c r="Q258" i="2" s="1"/>
  <c r="BG257" i="2"/>
  <c r="BB257" i="2"/>
  <c r="AG257" i="2"/>
  <c r="X257" i="2"/>
  <c r="Q257" i="2"/>
  <c r="BG256" i="2"/>
  <c r="BB256" i="2"/>
  <c r="AG256" i="2"/>
  <c r="X256" i="2"/>
  <c r="Q256" i="2"/>
  <c r="BG255" i="2"/>
  <c r="BB255" i="2"/>
  <c r="AG255" i="2"/>
  <c r="X255" i="2"/>
  <c r="Q255" i="2" s="1"/>
  <c r="BG254" i="2"/>
  <c r="BB254" i="2"/>
  <c r="AG254" i="2"/>
  <c r="Q254" i="2" s="1"/>
  <c r="X254" i="2"/>
  <c r="BG253" i="2"/>
  <c r="BB253" i="2"/>
  <c r="AG253" i="2"/>
  <c r="X253" i="2"/>
  <c r="Q253" i="2" s="1"/>
  <c r="BG252" i="2"/>
  <c r="BB252" i="2"/>
  <c r="AG252" i="2"/>
  <c r="X252" i="2"/>
  <c r="Q252" i="2" s="1"/>
  <c r="BG251" i="2"/>
  <c r="BB251" i="2"/>
  <c r="AG251" i="2"/>
  <c r="X251" i="2"/>
  <c r="Q251" i="2" s="1"/>
  <c r="BG250" i="2"/>
  <c r="BB250" i="2"/>
  <c r="AG250" i="2"/>
  <c r="X250" i="2"/>
  <c r="Q250" i="2"/>
  <c r="BG249" i="2"/>
  <c r="BB249" i="2"/>
  <c r="AG249" i="2"/>
  <c r="X249" i="2"/>
  <c r="BG248" i="2"/>
  <c r="BB248" i="2"/>
  <c r="AG248" i="2"/>
  <c r="X248" i="2"/>
  <c r="Q248" i="2"/>
  <c r="BG247" i="2"/>
  <c r="BB247" i="2"/>
  <c r="AG247" i="2"/>
  <c r="X247" i="2"/>
  <c r="BG246" i="2"/>
  <c r="BB246" i="2"/>
  <c r="AG246" i="2"/>
  <c r="X246" i="2"/>
  <c r="Q246" i="2" s="1"/>
  <c r="BG245" i="2"/>
  <c r="BB245" i="2"/>
  <c r="AG245" i="2"/>
  <c r="X245" i="2"/>
  <c r="Q245" i="2"/>
  <c r="BG244" i="2"/>
  <c r="BB244" i="2"/>
  <c r="AG244" i="2"/>
  <c r="X244" i="2"/>
  <c r="Q244" i="2"/>
  <c r="BG243" i="2"/>
  <c r="BB243" i="2"/>
  <c r="AG243" i="2"/>
  <c r="X243" i="2"/>
  <c r="Q243" i="2" s="1"/>
  <c r="BG242" i="2"/>
  <c r="BB242" i="2"/>
  <c r="AG242" i="2"/>
  <c r="Q242" i="2" s="1"/>
  <c r="X242" i="2"/>
  <c r="BG241" i="2"/>
  <c r="BB241" i="2"/>
  <c r="AG241" i="2"/>
  <c r="X241" i="2"/>
  <c r="Q241" i="2" s="1"/>
  <c r="BG240" i="2"/>
  <c r="BB240" i="2"/>
  <c r="AG240" i="2"/>
  <c r="X240" i="2"/>
  <c r="Q240" i="2" s="1"/>
  <c r="BG239" i="2"/>
  <c r="BB239" i="2"/>
  <c r="AG239" i="2"/>
  <c r="X239" i="2"/>
  <c r="Q239" i="2" s="1"/>
  <c r="AG238" i="2"/>
  <c r="X238" i="2"/>
  <c r="Q238" i="2"/>
  <c r="BG237" i="2"/>
  <c r="BB237" i="2"/>
  <c r="AG237" i="2"/>
  <c r="X237" i="2"/>
  <c r="Q237" i="2" s="1"/>
  <c r="BG236" i="2"/>
  <c r="BB236" i="2"/>
  <c r="AG236" i="2"/>
  <c r="X236" i="2"/>
  <c r="Q236" i="2" s="1"/>
  <c r="BG235" i="2"/>
  <c r="BB235" i="2"/>
  <c r="AG235" i="2"/>
  <c r="X235" i="2"/>
  <c r="Q235" i="2"/>
  <c r="BG234" i="2"/>
  <c r="BB234" i="2"/>
  <c r="AG234" i="2"/>
  <c r="X234" i="2"/>
  <c r="Q234" i="2"/>
  <c r="BG233" i="2"/>
  <c r="BB233" i="2"/>
  <c r="AG233" i="2"/>
  <c r="X233" i="2"/>
  <c r="Q233" i="2" s="1"/>
  <c r="BG232" i="2"/>
  <c r="BB232" i="2"/>
  <c r="AG232" i="2"/>
  <c r="Q232" i="2" s="1"/>
  <c r="X232" i="2"/>
  <c r="BG231" i="2"/>
  <c r="BB231" i="2"/>
  <c r="AG231" i="2"/>
  <c r="X231" i="2"/>
  <c r="Q231" i="2" s="1"/>
  <c r="BG230" i="2"/>
  <c r="BB230" i="2"/>
  <c r="AG230" i="2"/>
  <c r="X230" i="2"/>
  <c r="Q230" i="2"/>
  <c r="BG229" i="2"/>
  <c r="BB229" i="2"/>
  <c r="AG229" i="2"/>
  <c r="X229" i="2"/>
  <c r="Q229" i="2" s="1"/>
  <c r="BG228" i="2"/>
  <c r="BB228" i="2"/>
  <c r="AG228" i="2"/>
  <c r="X228" i="2"/>
  <c r="Q228" i="2"/>
  <c r="BG227" i="2"/>
  <c r="BB227" i="2"/>
  <c r="AG227" i="2"/>
  <c r="X227" i="2"/>
  <c r="BG226" i="2"/>
  <c r="BB226" i="2"/>
  <c r="AG226" i="2"/>
  <c r="X226" i="2"/>
  <c r="Q226" i="2"/>
  <c r="BG225" i="2"/>
  <c r="BB225" i="2"/>
  <c r="AG225" i="2"/>
  <c r="X225" i="2"/>
  <c r="BG224" i="2"/>
  <c r="BB224" i="2"/>
  <c r="AG224" i="2"/>
  <c r="X224" i="2"/>
  <c r="Q224" i="2" s="1"/>
  <c r="BG223" i="2"/>
  <c r="BB223" i="2"/>
  <c r="AG223" i="2"/>
  <c r="X223" i="2"/>
  <c r="Q223" i="2"/>
  <c r="BG222" i="2"/>
  <c r="BB222" i="2"/>
  <c r="AG222" i="2"/>
  <c r="X222" i="2"/>
  <c r="Q222" i="2"/>
  <c r="BG221" i="2"/>
  <c r="BB221" i="2"/>
  <c r="AG221" i="2"/>
  <c r="X221" i="2"/>
  <c r="Q221" i="2" s="1"/>
  <c r="BG220" i="2"/>
  <c r="BB220" i="2"/>
  <c r="AG220" i="2"/>
  <c r="Q220" i="2" s="1"/>
  <c r="X220" i="2"/>
  <c r="BG219" i="2"/>
  <c r="BB219" i="2"/>
  <c r="AG219" i="2"/>
  <c r="X219" i="2"/>
  <c r="Q219" i="2" s="1"/>
  <c r="BG218" i="2"/>
  <c r="BB218" i="2"/>
  <c r="AG218" i="2"/>
  <c r="X218" i="2"/>
  <c r="Q218" i="2"/>
  <c r="BG217" i="2"/>
  <c r="BB217" i="2"/>
  <c r="AG217" i="2"/>
  <c r="X217" i="2"/>
  <c r="Q217" i="2" s="1"/>
  <c r="BG216" i="2"/>
  <c r="BB216" i="2"/>
  <c r="AG216" i="2"/>
  <c r="X216" i="2"/>
  <c r="Q216" i="2"/>
  <c r="BG215" i="2"/>
  <c r="BB215" i="2"/>
  <c r="AG215" i="2"/>
  <c r="X215" i="2"/>
  <c r="Q215" i="2" s="1"/>
  <c r="BG214" i="2"/>
  <c r="BB214" i="2"/>
  <c r="AG214" i="2"/>
  <c r="X214" i="2"/>
  <c r="Q214" i="2"/>
  <c r="BG213" i="2"/>
  <c r="BB213" i="2"/>
  <c r="AG213" i="2"/>
  <c r="X213" i="2"/>
  <c r="AG212" i="2"/>
  <c r="X212" i="2"/>
  <c r="Q212" i="2"/>
  <c r="BG211" i="2"/>
  <c r="BB211" i="2"/>
  <c r="AG211" i="2"/>
  <c r="X211" i="2"/>
  <c r="Q211" i="2" s="1"/>
  <c r="BG210" i="2"/>
  <c r="BB210" i="2"/>
  <c r="AG210" i="2"/>
  <c r="X210" i="2"/>
  <c r="BG209" i="2"/>
  <c r="BB209" i="2"/>
  <c r="AG209" i="2"/>
  <c r="X209" i="2"/>
  <c r="Q209" i="2" s="1"/>
  <c r="BG208" i="2"/>
  <c r="BB208" i="2"/>
  <c r="AG208" i="2"/>
  <c r="Q208" i="2" s="1"/>
  <c r="X208" i="2"/>
  <c r="BG207" i="2"/>
  <c r="BB207" i="2"/>
  <c r="AG207" i="2"/>
  <c r="X207" i="2"/>
  <c r="Q207" i="2" s="1"/>
  <c r="BG206" i="2"/>
  <c r="BB206" i="2"/>
  <c r="AG206" i="2"/>
  <c r="X206" i="2"/>
  <c r="Q206" i="2"/>
  <c r="BG205" i="2"/>
  <c r="BB205" i="2"/>
  <c r="AG205" i="2"/>
  <c r="X205" i="2"/>
  <c r="Q205" i="2" s="1"/>
  <c r="BG204" i="2"/>
  <c r="BB204" i="2"/>
  <c r="AG204" i="2"/>
  <c r="X204" i="2"/>
  <c r="Q204" i="2"/>
  <c r="BG203" i="2"/>
  <c r="BB203" i="2"/>
  <c r="AG203" i="2"/>
  <c r="X203" i="2"/>
  <c r="Q203" i="2" s="1"/>
  <c r="BG202" i="2"/>
  <c r="BB202" i="2"/>
  <c r="AG202" i="2"/>
  <c r="X202" i="2"/>
  <c r="Q202" i="2" s="1"/>
  <c r="BG201" i="2"/>
  <c r="BB201" i="2"/>
  <c r="AG201" i="2"/>
  <c r="X201" i="2"/>
  <c r="Q201" i="2" s="1"/>
  <c r="BG200" i="2"/>
  <c r="BB200" i="2"/>
  <c r="AG200" i="2"/>
  <c r="X200" i="2"/>
  <c r="Q200" i="2"/>
  <c r="BG199" i="2"/>
  <c r="BB199" i="2"/>
  <c r="AG199" i="2"/>
  <c r="X199" i="2"/>
  <c r="Q199" i="2" s="1"/>
  <c r="BG198" i="2"/>
  <c r="BB198" i="2"/>
  <c r="AG198" i="2"/>
  <c r="X198" i="2"/>
  <c r="BG197" i="2"/>
  <c r="BB197" i="2"/>
  <c r="AG197" i="2"/>
  <c r="X197" i="2"/>
  <c r="Q197" i="2" s="1"/>
  <c r="BG196" i="2"/>
  <c r="BB196" i="2"/>
  <c r="AG196" i="2"/>
  <c r="X196" i="2"/>
  <c r="Q196" i="2" s="1"/>
  <c r="BG195" i="2"/>
  <c r="BB195" i="2"/>
  <c r="AG195" i="2"/>
  <c r="X195" i="2"/>
  <c r="Q195" i="2" s="1"/>
  <c r="BG194" i="2"/>
  <c r="BB194" i="2"/>
  <c r="AG194" i="2"/>
  <c r="X194" i="2"/>
  <c r="Q194" i="2"/>
  <c r="BG193" i="2"/>
  <c r="BB193" i="2"/>
  <c r="AG193" i="2"/>
  <c r="X193" i="2"/>
  <c r="Q193" i="2" s="1"/>
  <c r="BG192" i="2"/>
  <c r="BB192" i="2"/>
  <c r="AG192" i="2"/>
  <c r="X192" i="2"/>
  <c r="Q192" i="2"/>
  <c r="BG191" i="2"/>
  <c r="BB191" i="2"/>
  <c r="AG191" i="2"/>
  <c r="X191" i="2"/>
  <c r="Q191" i="2" s="1"/>
  <c r="BG190" i="2"/>
  <c r="BB190" i="2"/>
  <c r="AG190" i="2"/>
  <c r="X190" i="2"/>
  <c r="Q190" i="2" s="1"/>
  <c r="BG189" i="2"/>
  <c r="BB189" i="2"/>
  <c r="AG189" i="2"/>
  <c r="X189" i="2"/>
  <c r="Q189" i="2"/>
  <c r="AG188" i="2"/>
  <c r="Q188" i="2" s="1"/>
  <c r="X188" i="2"/>
  <c r="BG187" i="2"/>
  <c r="BB187" i="2"/>
  <c r="AG187" i="2"/>
  <c r="X187" i="2"/>
  <c r="Q187" i="2" s="1"/>
  <c r="BG186" i="2"/>
  <c r="BB186" i="2"/>
  <c r="AG186" i="2"/>
  <c r="X186" i="2"/>
  <c r="Q186" i="2" s="1"/>
  <c r="BG185" i="2"/>
  <c r="BB185" i="2"/>
  <c r="AG185" i="2"/>
  <c r="X185" i="2"/>
  <c r="Q185" i="2" s="1"/>
  <c r="BG184" i="2"/>
  <c r="BB184" i="2"/>
  <c r="AG184" i="2"/>
  <c r="X184" i="2"/>
  <c r="Q184" i="2"/>
  <c r="BG183" i="2"/>
  <c r="BB183" i="2"/>
  <c r="AG183" i="2"/>
  <c r="X183" i="2"/>
  <c r="BG182" i="2"/>
  <c r="BB182" i="2"/>
  <c r="AG182" i="2"/>
  <c r="X182" i="2"/>
  <c r="Q182" i="2"/>
  <c r="BG181" i="2"/>
  <c r="BB181" i="2"/>
  <c r="AG181" i="2"/>
  <c r="X181" i="2"/>
  <c r="Q181" i="2" s="1"/>
  <c r="BG180" i="2"/>
  <c r="BB180" i="2"/>
  <c r="AG180" i="2"/>
  <c r="X180" i="2"/>
  <c r="Q180" i="2" s="1"/>
  <c r="BG179" i="2"/>
  <c r="BB179" i="2"/>
  <c r="AG179" i="2"/>
  <c r="X179" i="2"/>
  <c r="Q179" i="2"/>
  <c r="BG178" i="2"/>
  <c r="BB178" i="2"/>
  <c r="AG178" i="2"/>
  <c r="X178" i="2"/>
  <c r="Q178" i="2"/>
  <c r="BG177" i="2"/>
  <c r="BB177" i="2"/>
  <c r="AG177" i="2"/>
  <c r="X177" i="2"/>
  <c r="Q177" i="2" s="1"/>
  <c r="BG176" i="2"/>
  <c r="BB176" i="2"/>
  <c r="AG176" i="2"/>
  <c r="Q176" i="2" s="1"/>
  <c r="X176" i="2"/>
  <c r="BG175" i="2"/>
  <c r="BB175" i="2"/>
  <c r="AG175" i="2"/>
  <c r="X175" i="2"/>
  <c r="Q175" i="2" s="1"/>
  <c r="BG174" i="2"/>
  <c r="BB174" i="2"/>
  <c r="AG174" i="2"/>
  <c r="X174" i="2"/>
  <c r="Q174" i="2" s="1"/>
  <c r="BG173" i="2"/>
  <c r="BB173" i="2"/>
  <c r="AG173" i="2"/>
  <c r="X173" i="2"/>
  <c r="Q173" i="2" s="1"/>
  <c r="AG172" i="2"/>
  <c r="X172" i="2"/>
  <c r="Q172" i="2"/>
  <c r="BG171" i="2"/>
  <c r="BB171" i="2"/>
  <c r="AG171" i="2"/>
  <c r="X171" i="2"/>
  <c r="Q171" i="2" s="1"/>
  <c r="AG170" i="2"/>
  <c r="X170" i="2"/>
  <c r="Q170" i="2"/>
  <c r="BG169" i="2"/>
  <c r="BB169" i="2"/>
  <c r="AG169" i="2"/>
  <c r="X169" i="2"/>
  <c r="Q169" i="2" s="1"/>
  <c r="BG168" i="2"/>
  <c r="BB168" i="2"/>
  <c r="AG168" i="2"/>
  <c r="Q168" i="2" s="1"/>
  <c r="X168" i="2"/>
  <c r="BG167" i="2"/>
  <c r="BB167" i="2"/>
  <c r="AG167" i="2"/>
  <c r="X167" i="2"/>
  <c r="Q167" i="2" s="1"/>
  <c r="BG166" i="2"/>
  <c r="BB166" i="2"/>
  <c r="AG166" i="2"/>
  <c r="X166" i="2"/>
  <c r="Q166" i="2" s="1"/>
  <c r="BG165" i="2"/>
  <c r="BB165" i="2"/>
  <c r="AG165" i="2"/>
  <c r="X165" i="2"/>
  <c r="Q165" i="2" s="1"/>
  <c r="BG164" i="2"/>
  <c r="BB164" i="2"/>
  <c r="AG164" i="2"/>
  <c r="X164" i="2"/>
  <c r="Q164" i="2"/>
  <c r="BG163" i="2"/>
  <c r="BB163" i="2"/>
  <c r="AG163" i="2"/>
  <c r="X163" i="2"/>
  <c r="BG162" i="2"/>
  <c r="BB162" i="2"/>
  <c r="AG162" i="2"/>
  <c r="X162" i="2"/>
  <c r="Q162" i="2"/>
  <c r="BG161" i="2"/>
  <c r="BB161" i="2"/>
  <c r="AG161" i="2"/>
  <c r="X161" i="2"/>
  <c r="Q161" i="2" s="1"/>
  <c r="BG160" i="2"/>
  <c r="BB160" i="2"/>
  <c r="AG160" i="2"/>
  <c r="X160" i="2"/>
  <c r="Q160" i="2" s="1"/>
  <c r="BG159" i="2"/>
  <c r="BB159" i="2"/>
  <c r="AG159" i="2"/>
  <c r="X159" i="2"/>
  <c r="Q159" i="2"/>
  <c r="BG158" i="2"/>
  <c r="BB158" i="2"/>
  <c r="AG158" i="2"/>
  <c r="X158" i="2"/>
  <c r="Q158" i="2"/>
  <c r="BG157" i="2"/>
  <c r="BB157" i="2"/>
  <c r="AG157" i="2"/>
  <c r="X157" i="2"/>
  <c r="Q157" i="2" s="1"/>
  <c r="BG156" i="2"/>
  <c r="BB156" i="2"/>
  <c r="AG156" i="2"/>
  <c r="Q156" i="2" s="1"/>
  <c r="X156" i="2"/>
  <c r="BG155" i="2"/>
  <c r="BB155" i="2"/>
  <c r="AG155" i="2"/>
  <c r="X155" i="2"/>
  <c r="Q155" i="2" s="1"/>
  <c r="BG154" i="2"/>
  <c r="BB154" i="2"/>
  <c r="AG154" i="2"/>
  <c r="X154" i="2"/>
  <c r="Q154" i="2" s="1"/>
  <c r="BG153" i="2"/>
  <c r="BB153" i="2"/>
  <c r="AG153" i="2"/>
  <c r="X153" i="2"/>
  <c r="Q153" i="2" s="1"/>
  <c r="BG152" i="2"/>
  <c r="BB152" i="2"/>
  <c r="AG152" i="2"/>
  <c r="X152" i="2"/>
  <c r="Q152" i="2"/>
  <c r="BG151" i="2"/>
  <c r="BB151" i="2"/>
  <c r="AG151" i="2"/>
  <c r="X151" i="2"/>
  <c r="BG150" i="2"/>
  <c r="BB150" i="2"/>
  <c r="AG150" i="2"/>
  <c r="X150" i="2"/>
  <c r="Q150" i="2"/>
  <c r="BG149" i="2"/>
  <c r="BB149" i="2"/>
  <c r="AG149" i="2"/>
  <c r="X149" i="2"/>
  <c r="BG148" i="2"/>
  <c r="BB148" i="2"/>
  <c r="AG148" i="2"/>
  <c r="X148" i="2"/>
  <c r="Q148" i="2" s="1"/>
  <c r="BG147" i="2"/>
  <c r="BB147" i="2"/>
  <c r="AG147" i="2"/>
  <c r="X147" i="2"/>
  <c r="Q147" i="2" s="1"/>
  <c r="BG146" i="2"/>
  <c r="BB146" i="2"/>
  <c r="AG146" i="2"/>
  <c r="X146" i="2"/>
  <c r="Q146" i="2"/>
  <c r="BG145" i="2"/>
  <c r="BB145" i="2"/>
  <c r="AG145" i="2"/>
  <c r="X145" i="2"/>
  <c r="Q145" i="2" s="1"/>
  <c r="BG144" i="2"/>
  <c r="BB144" i="2"/>
  <c r="AG144" i="2"/>
  <c r="X144" i="2"/>
  <c r="BG143" i="2"/>
  <c r="BB143" i="2"/>
  <c r="AG143" i="2"/>
  <c r="X143" i="2"/>
  <c r="Q143" i="2" s="1"/>
  <c r="BG142" i="2"/>
  <c r="BB142" i="2"/>
  <c r="AG142" i="2"/>
  <c r="X142" i="2"/>
  <c r="Q142" i="2"/>
  <c r="BG141" i="2"/>
  <c r="BB141" i="2"/>
  <c r="AG141" i="2"/>
  <c r="X141" i="2"/>
  <c r="Q141" i="2" s="1"/>
  <c r="BG140" i="2"/>
  <c r="BB140" i="2"/>
  <c r="AG140" i="2"/>
  <c r="X140" i="2"/>
  <c r="Q140" i="2"/>
  <c r="BG139" i="2"/>
  <c r="BB139" i="2"/>
  <c r="AG139" i="2"/>
  <c r="X139" i="2"/>
  <c r="Q139" i="2" s="1"/>
  <c r="BG138" i="2"/>
  <c r="BB138" i="2"/>
  <c r="AG138" i="2"/>
  <c r="X138" i="2"/>
  <c r="Q138" i="2"/>
  <c r="BG137" i="2"/>
  <c r="BB137" i="2"/>
  <c r="AG137" i="2"/>
  <c r="X137" i="2"/>
  <c r="BG136" i="2"/>
  <c r="BB136" i="2"/>
  <c r="AG136" i="2"/>
  <c r="X136" i="2"/>
  <c r="Q136" i="2" s="1"/>
  <c r="BG135" i="2"/>
  <c r="BB135" i="2"/>
  <c r="AG135" i="2"/>
  <c r="X135" i="2"/>
  <c r="Q135" i="2" s="1"/>
  <c r="BG134" i="2"/>
  <c r="BB134" i="2"/>
  <c r="AG134" i="2"/>
  <c r="X134" i="2"/>
  <c r="Q134" i="2"/>
  <c r="BG133" i="2"/>
  <c r="BB133" i="2"/>
  <c r="AG133" i="2"/>
  <c r="X133" i="2"/>
  <c r="Q133" i="2" s="1"/>
  <c r="BG132" i="2"/>
  <c r="BB132" i="2"/>
  <c r="AG132" i="2"/>
  <c r="X132" i="2"/>
  <c r="BG131" i="2"/>
  <c r="BB131" i="2"/>
  <c r="AG131" i="2"/>
  <c r="X131" i="2"/>
  <c r="Q131" i="2" s="1"/>
  <c r="BG130" i="2"/>
  <c r="BB130" i="2"/>
  <c r="AG130" i="2"/>
  <c r="X130" i="2"/>
  <c r="Q130" i="2" s="1"/>
  <c r="BG129" i="2"/>
  <c r="BB129" i="2"/>
  <c r="AG129" i="2"/>
  <c r="X129" i="2"/>
  <c r="Q129" i="2" s="1"/>
  <c r="BG128" i="2"/>
  <c r="BB128" i="2"/>
  <c r="AG128" i="2"/>
  <c r="X128" i="2"/>
  <c r="Q128" i="2"/>
  <c r="BG127" i="2"/>
  <c r="BB127" i="2"/>
  <c r="AG127" i="2"/>
  <c r="X127" i="2"/>
  <c r="Q127" i="2" s="1"/>
  <c r="BG126" i="2"/>
  <c r="BB126" i="2"/>
  <c r="AG126" i="2"/>
  <c r="X126" i="2"/>
  <c r="Q126" i="2"/>
  <c r="BG125" i="2"/>
  <c r="BB125" i="2"/>
  <c r="AG125" i="2"/>
  <c r="X125" i="2"/>
  <c r="BG124" i="2"/>
  <c r="BB124" i="2"/>
  <c r="AG124" i="2"/>
  <c r="X124" i="2"/>
  <c r="Q124" i="2" s="1"/>
  <c r="BG123" i="2"/>
  <c r="BB123" i="2"/>
  <c r="AG123" i="2"/>
  <c r="X123" i="2"/>
  <c r="Q123" i="2"/>
  <c r="BG122" i="2"/>
  <c r="BB122" i="2"/>
  <c r="AG122" i="2"/>
  <c r="X122" i="2"/>
  <c r="Q122" i="2"/>
  <c r="BG121" i="2"/>
  <c r="BB121" i="2"/>
  <c r="AG121" i="2"/>
  <c r="X121" i="2"/>
  <c r="Q121" i="2" s="1"/>
  <c r="BG120" i="2"/>
  <c r="BB120" i="2"/>
  <c r="AG120" i="2"/>
  <c r="Q120" i="2" s="1"/>
  <c r="X120" i="2"/>
  <c r="BG119" i="2"/>
  <c r="BB119" i="2"/>
  <c r="AG119" i="2"/>
  <c r="X119" i="2"/>
  <c r="Q119" i="2" s="1"/>
  <c r="BG118" i="2"/>
  <c r="BB118" i="2"/>
  <c r="AG118" i="2"/>
  <c r="X118" i="2"/>
  <c r="Q118" i="2" s="1"/>
  <c r="BG117" i="2"/>
  <c r="BB117" i="2"/>
  <c r="AG117" i="2"/>
  <c r="X117" i="2"/>
  <c r="Q117" i="2" s="1"/>
  <c r="BG116" i="2"/>
  <c r="BB116" i="2"/>
  <c r="AG116" i="2"/>
  <c r="X116" i="2"/>
  <c r="Q116" i="2"/>
  <c r="BG115" i="2"/>
  <c r="BB115" i="2"/>
  <c r="AG115" i="2"/>
  <c r="X115" i="2"/>
  <c r="BG114" i="2"/>
  <c r="BB114" i="2"/>
  <c r="AG114" i="2"/>
  <c r="X114" i="2"/>
  <c r="Q114" i="2"/>
  <c r="BG113" i="2"/>
  <c r="BB113" i="2"/>
  <c r="AG113" i="2"/>
  <c r="X113" i="2"/>
  <c r="BG112" i="2"/>
  <c r="BB112" i="2"/>
  <c r="AG112" i="2"/>
  <c r="X112" i="2"/>
  <c r="Q112" i="2" s="1"/>
  <c r="BG111" i="2"/>
  <c r="BB111" i="2"/>
  <c r="AG111" i="2"/>
  <c r="X111" i="2"/>
  <c r="Q111" i="2" s="1"/>
  <c r="BG110" i="2"/>
  <c r="BB110" i="2"/>
  <c r="AG110" i="2"/>
  <c r="X110" i="2"/>
  <c r="Q110" i="2"/>
  <c r="BG109" i="2"/>
  <c r="BB109" i="2"/>
  <c r="AG109" i="2"/>
  <c r="X109" i="2"/>
  <c r="Q109" i="2" s="1"/>
  <c r="BG108" i="2"/>
  <c r="BB108" i="2"/>
  <c r="AG108" i="2"/>
  <c r="X108" i="2"/>
  <c r="BG107" i="2"/>
  <c r="BB107" i="2"/>
  <c r="AG107" i="2"/>
  <c r="X107" i="2"/>
  <c r="Q107" i="2" s="1"/>
  <c r="BG106" i="2"/>
  <c r="BB106" i="2"/>
  <c r="AG106" i="2"/>
  <c r="Q106" i="2" s="1"/>
  <c r="X106" i="2"/>
  <c r="BG105" i="2"/>
  <c r="BB105" i="2"/>
  <c r="AG105" i="2"/>
  <c r="X105" i="2"/>
  <c r="Q105" i="2" s="1"/>
  <c r="BG104" i="2"/>
  <c r="BB104" i="2"/>
  <c r="AG104" i="2"/>
  <c r="X104" i="2"/>
  <c r="Q104" i="2"/>
  <c r="BG103" i="2"/>
  <c r="BB103" i="2"/>
  <c r="AG103" i="2"/>
  <c r="X103" i="2"/>
  <c r="Q103" i="2" s="1"/>
  <c r="BG102" i="2"/>
  <c r="BB102" i="2"/>
  <c r="AG102" i="2"/>
  <c r="X102" i="2"/>
  <c r="Q102" i="2"/>
  <c r="BG101" i="2"/>
  <c r="BB101" i="2"/>
  <c r="AG101" i="2"/>
  <c r="X101" i="2"/>
  <c r="Q101" i="2" s="1"/>
  <c r="BG100" i="2"/>
  <c r="BB100" i="2"/>
  <c r="AG100" i="2"/>
  <c r="X100" i="2"/>
  <c r="Q100" i="2" s="1"/>
  <c r="BB99" i="2"/>
  <c r="AG99" i="2"/>
  <c r="X99" i="2"/>
  <c r="Q99" i="2"/>
  <c r="BG98" i="2"/>
  <c r="BB98" i="2"/>
  <c r="AG98" i="2"/>
  <c r="X98" i="2"/>
  <c r="Q98" i="2" s="1"/>
  <c r="BG97" i="2"/>
  <c r="BB97" i="2"/>
  <c r="AG97" i="2"/>
  <c r="X97" i="2"/>
  <c r="Q97" i="2"/>
  <c r="BG96" i="2"/>
  <c r="BB96" i="2"/>
  <c r="AG96" i="2"/>
  <c r="X96" i="2"/>
  <c r="BG95" i="2"/>
  <c r="BB95" i="2"/>
  <c r="AG95" i="2"/>
  <c r="X95" i="2"/>
  <c r="Q95" i="2" s="1"/>
  <c r="BG94" i="2"/>
  <c r="BB94" i="2"/>
  <c r="AG94" i="2"/>
  <c r="X94" i="2"/>
  <c r="Q94" i="2" s="1"/>
  <c r="BG93" i="2"/>
  <c r="BB93" i="2"/>
  <c r="AG93" i="2"/>
  <c r="X93" i="2"/>
  <c r="Q93" i="2"/>
  <c r="BG92" i="2"/>
  <c r="BB92" i="2"/>
  <c r="AG92" i="2"/>
  <c r="X92" i="2"/>
  <c r="Q92" i="2" s="1"/>
  <c r="BG91" i="2"/>
  <c r="BB91" i="2"/>
  <c r="AG91" i="2"/>
  <c r="X91" i="2"/>
  <c r="BG90" i="2"/>
  <c r="BB90" i="2"/>
  <c r="AG90" i="2"/>
  <c r="X90" i="2"/>
  <c r="Q90" i="2" s="1"/>
  <c r="BG89" i="2"/>
  <c r="BB89" i="2"/>
  <c r="AG89" i="2"/>
  <c r="X89" i="2"/>
  <c r="Q89" i="2" s="1"/>
  <c r="BG88" i="2"/>
  <c r="BB88" i="2"/>
  <c r="AG88" i="2"/>
  <c r="X88" i="2"/>
  <c r="Q88" i="2" s="1"/>
  <c r="BG87" i="2"/>
  <c r="BB87" i="2"/>
  <c r="AG87" i="2"/>
  <c r="X87" i="2"/>
  <c r="Q87" i="2"/>
  <c r="BG86" i="2"/>
  <c r="BB86" i="2"/>
  <c r="AG86" i="2"/>
  <c r="X86" i="2"/>
  <c r="Q86" i="2" s="1"/>
  <c r="BG85" i="2"/>
  <c r="BB85" i="2"/>
  <c r="AG85" i="2"/>
  <c r="X85" i="2"/>
  <c r="Q85" i="2"/>
  <c r="BG84" i="2"/>
  <c r="BB84" i="2"/>
  <c r="AG84" i="2"/>
  <c r="X84" i="2"/>
  <c r="BG83" i="2"/>
  <c r="BB83" i="2"/>
  <c r="AG83" i="2"/>
  <c r="X83" i="2"/>
  <c r="Q83" i="2" s="1"/>
  <c r="BG82" i="2"/>
  <c r="BB82" i="2"/>
  <c r="AG82" i="2"/>
  <c r="X82" i="2"/>
  <c r="Q82" i="2"/>
  <c r="BG81" i="2"/>
  <c r="BB81" i="2"/>
  <c r="AG81" i="2"/>
  <c r="X81" i="2"/>
  <c r="Q81" i="2"/>
  <c r="BG80" i="2"/>
  <c r="BB80" i="2"/>
  <c r="AG80" i="2"/>
  <c r="X80" i="2"/>
  <c r="Q80" i="2" s="1"/>
  <c r="BG79" i="2"/>
  <c r="BB79" i="2"/>
  <c r="AG79" i="2"/>
  <c r="Q79" i="2" s="1"/>
  <c r="X79" i="2"/>
  <c r="BG78" i="2"/>
  <c r="BB78" i="2"/>
  <c r="AG78" i="2"/>
  <c r="X78" i="2"/>
  <c r="Q78" i="2" s="1"/>
  <c r="BG77" i="2"/>
  <c r="BB77" i="2"/>
  <c r="AG77" i="2"/>
  <c r="X77" i="2"/>
  <c r="Q77" i="2" s="1"/>
  <c r="BG76" i="2"/>
  <c r="BB76" i="2"/>
  <c r="AG76" i="2"/>
  <c r="X76" i="2"/>
  <c r="Q76" i="2" s="1"/>
  <c r="BG75" i="2"/>
  <c r="BB75" i="2"/>
  <c r="AG75" i="2"/>
  <c r="X75" i="2"/>
  <c r="Q75" i="2"/>
  <c r="BG74" i="2"/>
  <c r="BB74" i="2"/>
  <c r="AG74" i="2"/>
  <c r="X74" i="2"/>
  <c r="AG73" i="2"/>
  <c r="X73" i="2"/>
  <c r="Q73" i="2" s="1"/>
  <c r="BG72" i="2"/>
  <c r="BB72" i="2"/>
  <c r="AG72" i="2"/>
  <c r="X72" i="2"/>
  <c r="Q72" i="2"/>
  <c r="BG71" i="2"/>
  <c r="BB71" i="2"/>
  <c r="AG71" i="2"/>
  <c r="X71" i="2"/>
  <c r="Q71" i="2"/>
  <c r="BG70" i="2"/>
  <c r="BB70" i="2"/>
  <c r="AG70" i="2"/>
  <c r="X70" i="2"/>
  <c r="Q70" i="2" s="1"/>
  <c r="BG69" i="2"/>
  <c r="BB69" i="2"/>
  <c r="AG69" i="2"/>
  <c r="Q69" i="2" s="1"/>
  <c r="X69" i="2"/>
  <c r="BG68" i="2"/>
  <c r="BB68" i="2"/>
  <c r="AG68" i="2"/>
  <c r="X68" i="2"/>
  <c r="Q68" i="2" s="1"/>
  <c r="BG67" i="2"/>
  <c r="BB67" i="2"/>
  <c r="AG67" i="2"/>
  <c r="X67" i="2"/>
  <c r="Q67" i="2"/>
  <c r="BG66" i="2"/>
  <c r="BB66" i="2"/>
  <c r="AG66" i="2"/>
  <c r="X66" i="2"/>
  <c r="Q66" i="2" s="1"/>
  <c r="BG65" i="2"/>
  <c r="BB65" i="2"/>
  <c r="AG65" i="2"/>
  <c r="X65" i="2"/>
  <c r="Q65" i="2"/>
  <c r="BG64" i="2"/>
  <c r="BB64" i="2"/>
  <c r="AG64" i="2"/>
  <c r="X64" i="2"/>
  <c r="BG63" i="2"/>
  <c r="BB63" i="2"/>
  <c r="AG63" i="2"/>
  <c r="X63" i="2"/>
  <c r="Q63" i="2"/>
  <c r="BG62" i="2"/>
  <c r="BB62" i="2"/>
  <c r="AG62" i="2"/>
  <c r="X62" i="2"/>
  <c r="BG61" i="2"/>
  <c r="BB61" i="2"/>
  <c r="AG61" i="2"/>
  <c r="X61" i="2"/>
  <c r="Q61" i="2" s="1"/>
  <c r="BG60" i="2"/>
  <c r="BB60" i="2"/>
  <c r="AG60" i="2"/>
  <c r="X60" i="2"/>
  <c r="Q60" i="2"/>
  <c r="BG59" i="2"/>
  <c r="BB59" i="2"/>
  <c r="AG59" i="2"/>
  <c r="X59" i="2"/>
  <c r="Q59" i="2"/>
  <c r="BG58" i="2"/>
  <c r="BB58" i="2"/>
  <c r="AG58" i="2"/>
  <c r="X58" i="2"/>
  <c r="Q58" i="2" s="1"/>
  <c r="BG57" i="2"/>
  <c r="BB57" i="2"/>
  <c r="AG57" i="2"/>
  <c r="Q57" i="2" s="1"/>
  <c r="X57" i="2"/>
  <c r="BG56" i="2"/>
  <c r="BB56" i="2"/>
  <c r="AG56" i="2"/>
  <c r="X56" i="2"/>
  <c r="Q56" i="2" s="1"/>
  <c r="BG55" i="2"/>
  <c r="BB55" i="2"/>
  <c r="AG55" i="2"/>
  <c r="X55" i="2"/>
  <c r="Q55" i="2"/>
  <c r="BG54" i="2"/>
  <c r="BB54" i="2"/>
  <c r="AG54" i="2"/>
  <c r="X54" i="2"/>
  <c r="Q54" i="2" s="1"/>
  <c r="BG53" i="2"/>
  <c r="BB53" i="2"/>
  <c r="AG53" i="2"/>
  <c r="X53" i="2"/>
  <c r="Q53" i="2"/>
  <c r="AG52" i="2"/>
  <c r="X52" i="2"/>
  <c r="BG51" i="2"/>
  <c r="BB51" i="2"/>
  <c r="AG51" i="2"/>
  <c r="X51" i="2"/>
  <c r="Q51" i="2" s="1"/>
  <c r="BG50" i="2"/>
  <c r="BB50" i="2"/>
  <c r="AG50" i="2"/>
  <c r="X50" i="2"/>
  <c r="Q50" i="2" s="1"/>
  <c r="BG49" i="2"/>
  <c r="BB49" i="2"/>
  <c r="AG49" i="2"/>
  <c r="X49" i="2"/>
  <c r="Q49" i="2"/>
  <c r="BG48" i="2"/>
  <c r="BB48" i="2"/>
  <c r="AG48" i="2"/>
  <c r="X48" i="2"/>
  <c r="Q48" i="2" s="1"/>
  <c r="BG47" i="2"/>
  <c r="BB47" i="2"/>
  <c r="AG47" i="2"/>
  <c r="X47" i="2"/>
  <c r="BG46" i="2"/>
  <c r="BB46" i="2"/>
  <c r="AG46" i="2"/>
  <c r="X46" i="2"/>
  <c r="Q46" i="2" s="1"/>
  <c r="BG45" i="2"/>
  <c r="BB45" i="2"/>
  <c r="AG45" i="2"/>
  <c r="Q45" i="2" s="1"/>
  <c r="X45" i="2"/>
  <c r="BG44" i="2"/>
  <c r="BB44" i="2"/>
  <c r="AG44" i="2"/>
  <c r="X44" i="2"/>
  <c r="Q44" i="2" s="1"/>
  <c r="BG43" i="2"/>
  <c r="BB43" i="2"/>
  <c r="AG43" i="2"/>
  <c r="X43" i="2"/>
  <c r="Q43" i="2"/>
  <c r="BG42" i="2"/>
  <c r="BB42" i="2"/>
  <c r="AG42" i="2"/>
  <c r="X42" i="2"/>
  <c r="Q42" i="2" s="1"/>
  <c r="BG41" i="2"/>
  <c r="BB41" i="2"/>
  <c r="AG41" i="2"/>
  <c r="X41" i="2"/>
  <c r="Q41" i="2"/>
  <c r="BG40" i="2"/>
  <c r="BB40" i="2"/>
  <c r="AG40" i="2"/>
  <c r="X40" i="2"/>
  <c r="Q40" i="2" s="1"/>
  <c r="BG39" i="2"/>
  <c r="BB39" i="2"/>
  <c r="AG39" i="2"/>
  <c r="X39" i="2"/>
  <c r="Q39" i="2" s="1"/>
  <c r="BG38" i="2"/>
  <c r="BB38" i="2"/>
  <c r="AG38" i="2"/>
  <c r="X38" i="2"/>
  <c r="Q38" i="2" s="1"/>
  <c r="BG37" i="2"/>
  <c r="BB37" i="2"/>
  <c r="AG37" i="2"/>
  <c r="X37" i="2"/>
  <c r="Q37" i="2"/>
  <c r="BG36" i="2"/>
  <c r="BB36" i="2"/>
  <c r="AG36" i="2"/>
  <c r="X36" i="2"/>
  <c r="Q36" i="2" s="1"/>
  <c r="BG35" i="2"/>
  <c r="BB35" i="2"/>
  <c r="AG35" i="2"/>
  <c r="X35" i="2"/>
  <c r="BG34" i="2"/>
  <c r="BB34" i="2"/>
  <c r="AG34" i="2"/>
  <c r="X34" i="2"/>
  <c r="Q34" i="2" s="1"/>
  <c r="BG33" i="2"/>
  <c r="BB33" i="2"/>
  <c r="AG33" i="2"/>
  <c r="X33" i="2"/>
  <c r="Q33" i="2" s="1"/>
  <c r="AG32" i="2"/>
  <c r="X32" i="2"/>
  <c r="Q32" i="2" s="1"/>
  <c r="BG31" i="2"/>
  <c r="BB31" i="2"/>
  <c r="AG31" i="2"/>
  <c r="X31" i="2"/>
  <c r="Q31" i="2"/>
  <c r="BG30" i="2"/>
  <c r="BB30" i="2"/>
  <c r="AG30" i="2"/>
  <c r="X30" i="2"/>
  <c r="BG29" i="2"/>
  <c r="BB29" i="2"/>
  <c r="AG29" i="2"/>
  <c r="X29" i="2"/>
  <c r="Q29" i="2" s="1"/>
  <c r="BG28" i="2"/>
  <c r="BB28" i="2"/>
  <c r="Q28" i="2" s="1"/>
  <c r="AG28" i="2"/>
  <c r="X28" i="2"/>
  <c r="BG27" i="2"/>
  <c r="BB27" i="2"/>
  <c r="AG27" i="2"/>
  <c r="X27" i="2"/>
  <c r="Q27" i="2"/>
  <c r="BG26" i="2"/>
  <c r="BB26" i="2"/>
  <c r="AG26" i="2"/>
  <c r="X26" i="2"/>
  <c r="Q26" i="2" s="1"/>
  <c r="BG25" i="2"/>
  <c r="BB25" i="2"/>
  <c r="AG25" i="2"/>
  <c r="Q25" i="2" s="1"/>
  <c r="X25" i="2"/>
  <c r="BG24" i="2"/>
  <c r="BB24" i="2"/>
  <c r="AG24" i="2"/>
  <c r="X24" i="2"/>
  <c r="Q24" i="2" s="1"/>
  <c r="BG23" i="2"/>
  <c r="BB23" i="2"/>
  <c r="AG23" i="2"/>
  <c r="X23" i="2"/>
  <c r="Q23" i="2" s="1"/>
  <c r="BG22" i="2"/>
  <c r="BB22" i="2"/>
  <c r="AG22" i="2"/>
  <c r="X22" i="2"/>
  <c r="Q22" i="2" s="1"/>
  <c r="BG21" i="2"/>
  <c r="BB21" i="2"/>
  <c r="AG21" i="2"/>
  <c r="Q21" i="2" s="1"/>
  <c r="X21" i="2"/>
  <c r="BG20" i="2"/>
  <c r="BB20" i="2"/>
  <c r="AG20" i="2"/>
  <c r="X20" i="2"/>
  <c r="BG19" i="2"/>
  <c r="BB19" i="2"/>
  <c r="AG19" i="2"/>
  <c r="X19" i="2"/>
  <c r="Q19" i="2"/>
  <c r="BG18" i="2"/>
  <c r="BB18" i="2"/>
  <c r="AG18" i="2"/>
  <c r="X18" i="2"/>
  <c r="Q18" i="2" s="1"/>
  <c r="BG17" i="2"/>
  <c r="BB17" i="2"/>
  <c r="AG17" i="2"/>
  <c r="X17" i="2"/>
  <c r="Q17" i="2" s="1"/>
  <c r="BG16" i="2"/>
  <c r="BB16" i="2"/>
  <c r="AG16" i="2"/>
  <c r="X16" i="2"/>
  <c r="Q16" i="2"/>
  <c r="BG15" i="2"/>
  <c r="BB15" i="2"/>
  <c r="AG15" i="2"/>
  <c r="X15" i="2"/>
  <c r="Q15" i="2"/>
  <c r="BG14" i="2"/>
  <c r="BB14" i="2"/>
  <c r="AG14" i="2"/>
  <c r="X14" i="2"/>
  <c r="Q14" i="2" s="1"/>
  <c r="BG13" i="2"/>
  <c r="BB13" i="2"/>
  <c r="AG13" i="2"/>
  <c r="Q13" i="2" s="1"/>
  <c r="X13" i="2"/>
  <c r="BG12" i="2"/>
  <c r="BB12" i="2"/>
  <c r="AG12" i="2"/>
  <c r="X12" i="2"/>
  <c r="Q12" i="2" s="1"/>
  <c r="BG11" i="2"/>
  <c r="BB11" i="2"/>
  <c r="AG11" i="2"/>
  <c r="X11" i="2"/>
  <c r="Q11" i="2" s="1"/>
  <c r="BG10" i="2"/>
  <c r="BB10" i="2"/>
  <c r="AG10" i="2"/>
  <c r="X10" i="2"/>
  <c r="Q10" i="2" s="1"/>
  <c r="BG9" i="2"/>
  <c r="BB9" i="2"/>
  <c r="AG9" i="2"/>
  <c r="X9" i="2"/>
  <c r="Q9" i="2"/>
  <c r="BG8" i="2"/>
  <c r="BB8" i="2"/>
  <c r="AG8" i="2"/>
  <c r="X8" i="2"/>
  <c r="BG7" i="2"/>
  <c r="BB7" i="2"/>
  <c r="AG7" i="2"/>
  <c r="X7" i="2"/>
  <c r="Q7" i="2"/>
  <c r="BG6" i="2"/>
  <c r="BB6" i="2"/>
  <c r="AG6" i="2"/>
  <c r="X6" i="2"/>
  <c r="BG5" i="2"/>
  <c r="BB5" i="2"/>
  <c r="AG5" i="2"/>
  <c r="X5" i="2"/>
  <c r="Q5" i="2" s="1"/>
  <c r="AG4" i="2"/>
  <c r="X4" i="2"/>
  <c r="Q4" i="2" s="1"/>
  <c r="BE654" i="1"/>
  <c r="AZ654" i="1"/>
  <c r="AE654" i="1"/>
  <c r="V654" i="1"/>
  <c r="BE653" i="1"/>
  <c r="AZ653" i="1"/>
  <c r="AE653" i="1"/>
  <c r="V653" i="1"/>
  <c r="O653" i="1" s="1"/>
  <c r="BE652" i="1"/>
  <c r="AZ652" i="1"/>
  <c r="AE652" i="1"/>
  <c r="V652" i="1"/>
  <c r="O652" i="1"/>
  <c r="BE651" i="1"/>
  <c r="AZ651" i="1"/>
  <c r="AE651" i="1"/>
  <c r="V651" i="1"/>
  <c r="O651" i="1" s="1"/>
  <c r="BE650" i="1"/>
  <c r="AZ650" i="1"/>
  <c r="AE650" i="1"/>
  <c r="V650" i="1"/>
  <c r="O650" i="1"/>
  <c r="BE649" i="1"/>
  <c r="AZ649" i="1"/>
  <c r="AE649" i="1"/>
  <c r="V649" i="1"/>
  <c r="O649" i="1" s="1"/>
  <c r="BE648" i="1"/>
  <c r="AZ648" i="1"/>
  <c r="AE648" i="1"/>
  <c r="V648" i="1"/>
  <c r="O648" i="1"/>
  <c r="BE647" i="1"/>
  <c r="AZ647" i="1"/>
  <c r="AE647" i="1"/>
  <c r="V647" i="1"/>
  <c r="BE646" i="1"/>
  <c r="AZ646" i="1"/>
  <c r="AE646" i="1"/>
  <c r="V646" i="1"/>
  <c r="O646" i="1" s="1"/>
  <c r="BE645" i="1"/>
  <c r="AZ645" i="1"/>
  <c r="AE645" i="1"/>
  <c r="V645" i="1"/>
  <c r="O645" i="1" s="1"/>
  <c r="BE644" i="1"/>
  <c r="AZ644" i="1"/>
  <c r="AE644" i="1"/>
  <c r="V644" i="1"/>
  <c r="O644" i="1"/>
  <c r="BE643" i="1"/>
  <c r="AZ643" i="1"/>
  <c r="AE643" i="1"/>
  <c r="V643" i="1"/>
  <c r="O643" i="1" s="1"/>
  <c r="BE642" i="1"/>
  <c r="AZ642" i="1"/>
  <c r="AE642" i="1"/>
  <c r="V642" i="1"/>
  <c r="BE641" i="1"/>
  <c r="AZ641" i="1"/>
  <c r="AE641" i="1"/>
  <c r="V641" i="1"/>
  <c r="O641" i="1" s="1"/>
  <c r="BE640" i="1"/>
  <c r="AZ640" i="1"/>
  <c r="AE640" i="1"/>
  <c r="V640" i="1"/>
  <c r="O640" i="1" s="1"/>
  <c r="BE639" i="1"/>
  <c r="AZ639" i="1"/>
  <c r="AE639" i="1"/>
  <c r="V639" i="1"/>
  <c r="O639" i="1" s="1"/>
  <c r="BE638" i="1"/>
  <c r="AZ638" i="1"/>
  <c r="AE638" i="1"/>
  <c r="O638" i="1" s="1"/>
  <c r="V638" i="1"/>
  <c r="BE637" i="1"/>
  <c r="AZ637" i="1"/>
  <c r="AE637" i="1"/>
  <c r="V637" i="1"/>
  <c r="O637" i="1" s="1"/>
  <c r="BE636" i="1"/>
  <c r="AZ636" i="1"/>
  <c r="AE636" i="1"/>
  <c r="V636" i="1"/>
  <c r="O636" i="1"/>
  <c r="BE635" i="1"/>
  <c r="AZ635" i="1"/>
  <c r="AE635" i="1"/>
  <c r="V635" i="1"/>
  <c r="BE634" i="1"/>
  <c r="AZ634" i="1"/>
  <c r="AE634" i="1"/>
  <c r="V634" i="1"/>
  <c r="O634" i="1" s="1"/>
  <c r="BE633" i="1"/>
  <c r="AZ633" i="1"/>
  <c r="AE633" i="1"/>
  <c r="V633" i="1"/>
  <c r="O633" i="1"/>
  <c r="BE632" i="1"/>
  <c r="AZ632" i="1"/>
  <c r="AE632" i="1"/>
  <c r="V632" i="1"/>
  <c r="O632" i="1"/>
  <c r="BE631" i="1"/>
  <c r="AZ631" i="1"/>
  <c r="AE631" i="1"/>
  <c r="V631" i="1"/>
  <c r="O631" i="1" s="1"/>
  <c r="BE630" i="1"/>
  <c r="AZ630" i="1"/>
  <c r="AE630" i="1"/>
  <c r="O630" i="1" s="1"/>
  <c r="V630" i="1"/>
  <c r="BE629" i="1"/>
  <c r="AZ629" i="1"/>
  <c r="AE629" i="1"/>
  <c r="V629" i="1"/>
  <c r="O629" i="1" s="1"/>
  <c r="BE628" i="1"/>
  <c r="AZ628" i="1"/>
  <c r="AE628" i="1"/>
  <c r="V628" i="1"/>
  <c r="O628" i="1" s="1"/>
  <c r="BE627" i="1"/>
  <c r="AZ627" i="1"/>
  <c r="AE627" i="1"/>
  <c r="V627" i="1"/>
  <c r="O627" i="1" s="1"/>
  <c r="BE626" i="1"/>
  <c r="AZ626" i="1"/>
  <c r="AE626" i="1"/>
  <c r="V626" i="1"/>
  <c r="O626" i="1"/>
  <c r="BE625" i="1"/>
  <c r="AZ625" i="1"/>
  <c r="AE625" i="1"/>
  <c r="V625" i="1"/>
  <c r="BE624" i="1"/>
  <c r="AZ624" i="1"/>
  <c r="AE624" i="1"/>
  <c r="V624" i="1"/>
  <c r="O624" i="1"/>
  <c r="BE623" i="1"/>
  <c r="AZ623" i="1"/>
  <c r="AE623" i="1"/>
  <c r="V623" i="1"/>
  <c r="BE622" i="1"/>
  <c r="AZ622" i="1"/>
  <c r="AE622" i="1"/>
  <c r="V622" i="1"/>
  <c r="O622" i="1" s="1"/>
  <c r="BE621" i="1"/>
  <c r="AZ621" i="1"/>
  <c r="AE621" i="1"/>
  <c r="V621" i="1"/>
  <c r="O621" i="1" s="1"/>
  <c r="BE620" i="1"/>
  <c r="AZ620" i="1"/>
  <c r="AE620" i="1"/>
  <c r="V620" i="1"/>
  <c r="O620" i="1"/>
  <c r="BE619" i="1"/>
  <c r="AZ619" i="1"/>
  <c r="AE619" i="1"/>
  <c r="V619" i="1"/>
  <c r="O619" i="1" s="1"/>
  <c r="BE618" i="1"/>
  <c r="AZ618" i="1"/>
  <c r="AE618" i="1"/>
  <c r="V618" i="1"/>
  <c r="BE617" i="1"/>
  <c r="AZ617" i="1"/>
  <c r="AE617" i="1"/>
  <c r="V617" i="1"/>
  <c r="O617" i="1" s="1"/>
  <c r="BE616" i="1"/>
  <c r="AZ616" i="1"/>
  <c r="AE616" i="1"/>
  <c r="O616" i="1" s="1"/>
  <c r="V616" i="1"/>
  <c r="BE615" i="1"/>
  <c r="AZ615" i="1"/>
  <c r="AE615" i="1"/>
  <c r="V615" i="1"/>
  <c r="O615" i="1" s="1"/>
  <c r="BE614" i="1"/>
  <c r="AZ614" i="1"/>
  <c r="AE614" i="1"/>
  <c r="V614" i="1"/>
  <c r="O614" i="1"/>
  <c r="BE613" i="1"/>
  <c r="AZ613" i="1"/>
  <c r="AE613" i="1"/>
  <c r="V613" i="1"/>
  <c r="O613" i="1" s="1"/>
  <c r="BE612" i="1"/>
  <c r="AZ612" i="1"/>
  <c r="AE612" i="1"/>
  <c r="V612" i="1"/>
  <c r="O612" i="1"/>
  <c r="BE611" i="1"/>
  <c r="AZ611" i="1"/>
  <c r="AE611" i="1"/>
  <c r="V611" i="1"/>
  <c r="O611" i="1" s="1"/>
  <c r="BE610" i="1"/>
  <c r="AZ610" i="1"/>
  <c r="AE610" i="1"/>
  <c r="V610" i="1"/>
  <c r="BE609" i="1"/>
  <c r="AZ609" i="1"/>
  <c r="AE609" i="1"/>
  <c r="V609" i="1"/>
  <c r="O609" i="1" s="1"/>
  <c r="BE608" i="1"/>
  <c r="AZ608" i="1"/>
  <c r="AE608" i="1"/>
  <c r="V608" i="1"/>
  <c r="O608" i="1"/>
  <c r="BE607" i="1"/>
  <c r="AZ607" i="1"/>
  <c r="AE607" i="1"/>
  <c r="V607" i="1"/>
  <c r="O607" i="1" s="1"/>
  <c r="BE606" i="1"/>
  <c r="AZ606" i="1"/>
  <c r="AE606" i="1"/>
  <c r="V606" i="1"/>
  <c r="BE605" i="1"/>
  <c r="AZ605" i="1"/>
  <c r="AE605" i="1"/>
  <c r="V605" i="1"/>
  <c r="BE604" i="1"/>
  <c r="AZ604" i="1"/>
  <c r="AE604" i="1"/>
  <c r="V604" i="1"/>
  <c r="O604" i="1" s="1"/>
  <c r="BE603" i="1"/>
  <c r="AZ603" i="1"/>
  <c r="AE603" i="1"/>
  <c r="V603" i="1"/>
  <c r="O603" i="1" s="1"/>
  <c r="BE602" i="1"/>
  <c r="AZ602" i="1"/>
  <c r="AE602" i="1"/>
  <c r="O602" i="1" s="1"/>
  <c r="V602" i="1"/>
  <c r="BE601" i="1"/>
  <c r="AZ601" i="1"/>
  <c r="AE601" i="1"/>
  <c r="V601" i="1"/>
  <c r="O601" i="1" s="1"/>
  <c r="BE600" i="1"/>
  <c r="AZ600" i="1"/>
  <c r="AE600" i="1"/>
  <c r="V600" i="1"/>
  <c r="O600" i="1"/>
  <c r="BE599" i="1"/>
  <c r="AZ599" i="1"/>
  <c r="AE599" i="1"/>
  <c r="V599" i="1"/>
  <c r="O599" i="1" s="1"/>
  <c r="BE598" i="1"/>
  <c r="AZ598" i="1"/>
  <c r="AE598" i="1"/>
  <c r="V598" i="1"/>
  <c r="BE597" i="1"/>
  <c r="AZ597" i="1"/>
  <c r="O597" i="1" s="1"/>
  <c r="AE597" i="1"/>
  <c r="V597" i="1"/>
  <c r="BE596" i="1"/>
  <c r="AZ596" i="1"/>
  <c r="AE596" i="1"/>
  <c r="V596" i="1"/>
  <c r="O596" i="1"/>
  <c r="BE595" i="1"/>
  <c r="AZ595" i="1"/>
  <c r="AE595" i="1"/>
  <c r="V595" i="1"/>
  <c r="O595" i="1" s="1"/>
  <c r="BE594" i="1"/>
  <c r="AZ594" i="1"/>
  <c r="AE594" i="1"/>
  <c r="O594" i="1" s="1"/>
  <c r="V594" i="1"/>
  <c r="BE593" i="1"/>
  <c r="AZ593" i="1"/>
  <c r="AE593" i="1"/>
  <c r="V593" i="1"/>
  <c r="BE592" i="1"/>
  <c r="AZ592" i="1"/>
  <c r="AE592" i="1"/>
  <c r="V592" i="1"/>
  <c r="O592" i="1"/>
  <c r="BE591" i="1"/>
  <c r="AZ591" i="1"/>
  <c r="AE591" i="1"/>
  <c r="V591" i="1"/>
  <c r="O591" i="1" s="1"/>
  <c r="BE590" i="1"/>
  <c r="AZ590" i="1"/>
  <c r="AE590" i="1"/>
  <c r="V590" i="1"/>
  <c r="O590" i="1"/>
  <c r="BE589" i="1"/>
  <c r="AZ589" i="1"/>
  <c r="O589" i="1" s="1"/>
  <c r="AE589" i="1"/>
  <c r="V589" i="1"/>
  <c r="BE588" i="1"/>
  <c r="AZ588" i="1"/>
  <c r="AE588" i="1"/>
  <c r="V588" i="1"/>
  <c r="O588" i="1"/>
  <c r="BE587" i="1"/>
  <c r="AZ587" i="1"/>
  <c r="AE587" i="1"/>
  <c r="V587" i="1"/>
  <c r="BE586" i="1"/>
  <c r="AZ586" i="1"/>
  <c r="AE586" i="1"/>
  <c r="V586" i="1"/>
  <c r="O586" i="1" s="1"/>
  <c r="BE585" i="1"/>
  <c r="AZ585" i="1"/>
  <c r="AE585" i="1"/>
  <c r="V585" i="1"/>
  <c r="O585" i="1" s="1"/>
  <c r="BE584" i="1"/>
  <c r="AZ584" i="1"/>
  <c r="AE584" i="1"/>
  <c r="V584" i="1"/>
  <c r="O584" i="1"/>
  <c r="BE583" i="1"/>
  <c r="AZ583" i="1"/>
  <c r="AE583" i="1"/>
  <c r="V583" i="1"/>
  <c r="O583" i="1" s="1"/>
  <c r="BE582" i="1"/>
  <c r="AZ582" i="1"/>
  <c r="AE582" i="1"/>
  <c r="V582" i="1"/>
  <c r="O581" i="1"/>
  <c r="BE580" i="1"/>
  <c r="AZ580" i="1"/>
  <c r="AE580" i="1"/>
  <c r="V580" i="1"/>
  <c r="O580" i="1"/>
  <c r="BE579" i="1"/>
  <c r="AZ579" i="1"/>
  <c r="AE579" i="1"/>
  <c r="V579" i="1"/>
  <c r="BE578" i="1"/>
  <c r="AZ578" i="1"/>
  <c r="AE578" i="1"/>
  <c r="V578" i="1"/>
  <c r="O578" i="1" s="1"/>
  <c r="BE577" i="1"/>
  <c r="AZ577" i="1"/>
  <c r="O577" i="1" s="1"/>
  <c r="AE577" i="1"/>
  <c r="V577" i="1"/>
  <c r="BE576" i="1"/>
  <c r="AZ576" i="1"/>
  <c r="AE576" i="1"/>
  <c r="V576" i="1"/>
  <c r="O576" i="1"/>
  <c r="BE575" i="1"/>
  <c r="AZ575" i="1"/>
  <c r="AE575" i="1"/>
  <c r="V575" i="1"/>
  <c r="O575" i="1" s="1"/>
  <c r="BE574" i="1"/>
  <c r="AZ574" i="1"/>
  <c r="AE574" i="1"/>
  <c r="O574" i="1" s="1"/>
  <c r="V574" i="1"/>
  <c r="BE573" i="1"/>
  <c r="AZ573" i="1"/>
  <c r="AE573" i="1"/>
  <c r="V573" i="1"/>
  <c r="O573" i="1" s="1"/>
  <c r="BE572" i="1"/>
  <c r="AZ572" i="1"/>
  <c r="AE572" i="1"/>
  <c r="V572" i="1"/>
  <c r="O572" i="1" s="1"/>
  <c r="BE571" i="1"/>
  <c r="AZ571" i="1"/>
  <c r="AE571" i="1"/>
  <c r="V571" i="1"/>
  <c r="O571" i="1" s="1"/>
  <c r="BE570" i="1"/>
  <c r="AZ570" i="1"/>
  <c r="AE570" i="1"/>
  <c r="O570" i="1" s="1"/>
  <c r="V570" i="1"/>
  <c r="BE569" i="1"/>
  <c r="AZ569" i="1"/>
  <c r="O569" i="1" s="1"/>
  <c r="AE569" i="1"/>
  <c r="V569" i="1"/>
  <c r="BE567" i="1"/>
  <c r="AZ567" i="1"/>
  <c r="AE567" i="1"/>
  <c r="V567" i="1"/>
  <c r="O567" i="1"/>
  <c r="BE566" i="1"/>
  <c r="AZ566" i="1"/>
  <c r="AE566" i="1"/>
  <c r="V566" i="1"/>
  <c r="O566" i="1" s="1"/>
  <c r="BE565" i="1"/>
  <c r="AZ565" i="1"/>
  <c r="AE565" i="1"/>
  <c r="V565" i="1"/>
  <c r="O565" i="1" s="1"/>
  <c r="BE564" i="1"/>
  <c r="AZ564" i="1"/>
  <c r="AE564" i="1"/>
  <c r="V564" i="1"/>
  <c r="O564" i="1"/>
  <c r="BE563" i="1"/>
  <c r="AZ563" i="1"/>
  <c r="AE563" i="1"/>
  <c r="V563" i="1"/>
  <c r="O563" i="1"/>
  <c r="BE562" i="1"/>
  <c r="AZ562" i="1"/>
  <c r="AE562" i="1"/>
  <c r="V562" i="1"/>
  <c r="O562" i="1" s="1"/>
  <c r="BE561" i="1"/>
  <c r="AZ561" i="1"/>
  <c r="AE561" i="1"/>
  <c r="O561" i="1" s="1"/>
  <c r="V561" i="1"/>
  <c r="BE560" i="1"/>
  <c r="AZ560" i="1"/>
  <c r="AE560" i="1"/>
  <c r="V560" i="1"/>
  <c r="BE559" i="1"/>
  <c r="AZ559" i="1"/>
  <c r="AE559" i="1"/>
  <c r="V559" i="1"/>
  <c r="O559" i="1" s="1"/>
  <c r="BE558" i="1"/>
  <c r="AZ558" i="1"/>
  <c r="AE558" i="1"/>
  <c r="V558" i="1"/>
  <c r="O558" i="1" s="1"/>
  <c r="BE557" i="1"/>
  <c r="AZ557" i="1"/>
  <c r="AE557" i="1"/>
  <c r="V557" i="1"/>
  <c r="O557" i="1"/>
  <c r="BE556" i="1"/>
  <c r="AZ556" i="1"/>
  <c r="O556" i="1" s="1"/>
  <c r="AE556" i="1"/>
  <c r="V556" i="1"/>
  <c r="BE555" i="1"/>
  <c r="AZ555" i="1"/>
  <c r="AE555" i="1"/>
  <c r="V555" i="1"/>
  <c r="O555" i="1"/>
  <c r="BE554" i="1"/>
  <c r="AZ554" i="1"/>
  <c r="AE554" i="1"/>
  <c r="V554" i="1"/>
  <c r="BE553" i="1"/>
  <c r="AZ553" i="1"/>
  <c r="AE553" i="1"/>
  <c r="V553" i="1"/>
  <c r="O553" i="1" s="1"/>
  <c r="BE552" i="1"/>
  <c r="AZ552" i="1"/>
  <c r="AE552" i="1"/>
  <c r="V552" i="1"/>
  <c r="O552" i="1" s="1"/>
  <c r="BE551" i="1"/>
  <c r="AZ551" i="1"/>
  <c r="AE551" i="1"/>
  <c r="V551" i="1"/>
  <c r="O551" i="1"/>
  <c r="BE550" i="1"/>
  <c r="AZ550" i="1"/>
  <c r="AE550" i="1"/>
  <c r="V550" i="1"/>
  <c r="O550" i="1"/>
  <c r="BE549" i="1"/>
  <c r="AZ549" i="1"/>
  <c r="AE549" i="1"/>
  <c r="O549" i="1" s="1"/>
  <c r="V549" i="1"/>
  <c r="BE548" i="1"/>
  <c r="AZ548" i="1"/>
  <c r="AE548" i="1"/>
  <c r="V548" i="1"/>
  <c r="BE547" i="1"/>
  <c r="AZ547" i="1"/>
  <c r="AE547" i="1"/>
  <c r="V547" i="1"/>
  <c r="O547" i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O544" i="1" s="1"/>
  <c r="AE544" i="1"/>
  <c r="V544" i="1"/>
  <c r="BE543" i="1"/>
  <c r="AZ543" i="1"/>
  <c r="AE543" i="1"/>
  <c r="V543" i="1"/>
  <c r="O543" i="1"/>
  <c r="BE542" i="1"/>
  <c r="AZ542" i="1"/>
  <c r="AE542" i="1"/>
  <c r="V542" i="1"/>
  <c r="BE541" i="1"/>
  <c r="AZ541" i="1"/>
  <c r="AE541" i="1"/>
  <c r="V541" i="1"/>
  <c r="O541" i="1" s="1"/>
  <c r="BE540" i="1"/>
  <c r="AZ540" i="1"/>
  <c r="AE540" i="1"/>
  <c r="V540" i="1"/>
  <c r="O540" i="1" s="1"/>
  <c r="BE539" i="1"/>
  <c r="AZ539" i="1"/>
  <c r="AE539" i="1"/>
  <c r="V539" i="1"/>
  <c r="O539" i="1"/>
  <c r="BE538" i="1"/>
  <c r="AZ538" i="1"/>
  <c r="AE538" i="1"/>
  <c r="V538" i="1"/>
  <c r="O538" i="1"/>
  <c r="BE537" i="1"/>
  <c r="AZ537" i="1"/>
  <c r="AE537" i="1"/>
  <c r="O537" i="1" s="1"/>
  <c r="V537" i="1"/>
  <c r="BE536" i="1"/>
  <c r="AZ536" i="1"/>
  <c r="AE536" i="1"/>
  <c r="V536" i="1"/>
  <c r="BE535" i="1"/>
  <c r="AZ535" i="1"/>
  <c r="AE535" i="1"/>
  <c r="V535" i="1"/>
  <c r="O535" i="1" s="1"/>
  <c r="BE534" i="1"/>
  <c r="AZ534" i="1"/>
  <c r="AE534" i="1"/>
  <c r="V534" i="1"/>
  <c r="O534" i="1" s="1"/>
  <c r="BE533" i="1"/>
  <c r="AZ533" i="1"/>
  <c r="AE533" i="1"/>
  <c r="V533" i="1"/>
  <c r="O533" i="1"/>
  <c r="BE532" i="1"/>
  <c r="AZ532" i="1"/>
  <c r="O532" i="1" s="1"/>
  <c r="AE532" i="1"/>
  <c r="V532" i="1"/>
  <c r="BE531" i="1"/>
  <c r="AZ531" i="1"/>
  <c r="AE531" i="1"/>
  <c r="V531" i="1"/>
  <c r="O531" i="1"/>
  <c r="BE530" i="1"/>
  <c r="AZ530" i="1"/>
  <c r="AE530" i="1"/>
  <c r="V530" i="1"/>
  <c r="BE529" i="1"/>
  <c r="AZ529" i="1"/>
  <c r="AE529" i="1"/>
  <c r="V529" i="1"/>
  <c r="O529" i="1" s="1"/>
  <c r="BE528" i="1"/>
  <c r="AZ528" i="1"/>
  <c r="AE528" i="1"/>
  <c r="V528" i="1"/>
  <c r="O528" i="1" s="1"/>
  <c r="BE527" i="1"/>
  <c r="AZ527" i="1"/>
  <c r="AE527" i="1"/>
  <c r="V527" i="1"/>
  <c r="O527" i="1"/>
  <c r="BE526" i="1"/>
  <c r="AZ526" i="1"/>
  <c r="AE526" i="1"/>
  <c r="V526" i="1"/>
  <c r="O526" i="1"/>
  <c r="BE525" i="1"/>
  <c r="AZ525" i="1"/>
  <c r="AE525" i="1"/>
  <c r="O525" i="1" s="1"/>
  <c r="V525" i="1"/>
  <c r="BE524" i="1"/>
  <c r="AZ524" i="1"/>
  <c r="AE524" i="1"/>
  <c r="V524" i="1"/>
  <c r="BE523" i="1"/>
  <c r="AZ523" i="1"/>
  <c r="AE523" i="1"/>
  <c r="V523" i="1"/>
  <c r="O523" i="1"/>
  <c r="BE522" i="1"/>
  <c r="AZ522" i="1"/>
  <c r="AE522" i="1"/>
  <c r="V522" i="1"/>
  <c r="O522" i="1" s="1"/>
  <c r="BE521" i="1"/>
  <c r="AZ521" i="1"/>
  <c r="AE521" i="1"/>
  <c r="V521" i="1"/>
  <c r="O521" i="1" s="1"/>
  <c r="BE520" i="1"/>
  <c r="AZ520" i="1"/>
  <c r="O520" i="1" s="1"/>
  <c r="AE520" i="1"/>
  <c r="V520" i="1"/>
  <c r="BE519" i="1"/>
  <c r="AZ519" i="1"/>
  <c r="AE519" i="1"/>
  <c r="V519" i="1"/>
  <c r="O519" i="1"/>
  <c r="BE518" i="1"/>
  <c r="AZ518" i="1"/>
  <c r="AE518" i="1"/>
  <c r="V518" i="1"/>
  <c r="BE517" i="1"/>
  <c r="AZ517" i="1"/>
  <c r="AE517" i="1"/>
  <c r="V517" i="1"/>
  <c r="O517" i="1" s="1"/>
  <c r="BE516" i="1"/>
  <c r="AZ516" i="1"/>
  <c r="AE516" i="1"/>
  <c r="V516" i="1"/>
  <c r="O516" i="1" s="1"/>
  <c r="BE515" i="1"/>
  <c r="AZ515" i="1"/>
  <c r="AE515" i="1"/>
  <c r="V515" i="1"/>
  <c r="O515" i="1"/>
  <c r="BE514" i="1"/>
  <c r="AZ514" i="1"/>
  <c r="AE514" i="1"/>
  <c r="V514" i="1"/>
  <c r="O514" i="1"/>
  <c r="BE513" i="1"/>
  <c r="AZ513" i="1"/>
  <c r="AE513" i="1"/>
  <c r="O513" i="1" s="1"/>
  <c r="V513" i="1"/>
  <c r="BE512" i="1"/>
  <c r="AZ512" i="1"/>
  <c r="AE512" i="1"/>
  <c r="V512" i="1"/>
  <c r="BE511" i="1"/>
  <c r="AZ511" i="1"/>
  <c r="AE511" i="1"/>
  <c r="V511" i="1"/>
  <c r="O511" i="1" s="1"/>
  <c r="BE510" i="1"/>
  <c r="AZ510" i="1"/>
  <c r="AE510" i="1"/>
  <c r="V510" i="1"/>
  <c r="O510" i="1"/>
  <c r="BE509" i="1"/>
  <c r="AZ509" i="1"/>
  <c r="AE509" i="1"/>
  <c r="V509" i="1"/>
  <c r="O509" i="1" s="1"/>
  <c r="BE508" i="1"/>
  <c r="AZ508" i="1"/>
  <c r="O508" i="1" s="1"/>
  <c r="AE508" i="1"/>
  <c r="V508" i="1"/>
  <c r="BE507" i="1"/>
  <c r="AZ507" i="1"/>
  <c r="O507" i="1" s="1"/>
  <c r="AE507" i="1"/>
  <c r="V507" i="1"/>
  <c r="BE506" i="1"/>
  <c r="AZ506" i="1"/>
  <c r="AE506" i="1"/>
  <c r="V506" i="1"/>
  <c r="O506" i="1" s="1"/>
  <c r="BE505" i="1"/>
  <c r="AZ505" i="1"/>
  <c r="AE505" i="1"/>
  <c r="V505" i="1"/>
  <c r="BE504" i="1"/>
  <c r="AZ504" i="1"/>
  <c r="AE504" i="1"/>
  <c r="O504" i="1" s="1"/>
  <c r="V504" i="1"/>
  <c r="BE503" i="1"/>
  <c r="AZ503" i="1"/>
  <c r="AE503" i="1"/>
  <c r="V503" i="1"/>
  <c r="O503" i="1"/>
  <c r="BE502" i="1"/>
  <c r="AZ502" i="1"/>
  <c r="AE502" i="1"/>
  <c r="V502" i="1"/>
  <c r="O502" i="1"/>
  <c r="BE501" i="1"/>
  <c r="AZ501" i="1"/>
  <c r="AE501" i="1"/>
  <c r="O501" i="1" s="1"/>
  <c r="V501" i="1"/>
  <c r="BE500" i="1"/>
  <c r="AZ500" i="1"/>
  <c r="AE500" i="1"/>
  <c r="V500" i="1"/>
  <c r="O500" i="1" s="1"/>
  <c r="BE499" i="1"/>
  <c r="AZ499" i="1"/>
  <c r="AE499" i="1"/>
  <c r="V499" i="1"/>
  <c r="O499" i="1" s="1"/>
  <c r="BE498" i="1"/>
  <c r="AZ498" i="1"/>
  <c r="AE498" i="1"/>
  <c r="V498" i="1"/>
  <c r="O498" i="1" s="1"/>
  <c r="BE497" i="1"/>
  <c r="AZ497" i="1"/>
  <c r="AE497" i="1"/>
  <c r="V497" i="1"/>
  <c r="O497" i="1"/>
  <c r="BE496" i="1"/>
  <c r="AZ496" i="1"/>
  <c r="O496" i="1" s="1"/>
  <c r="AE496" i="1"/>
  <c r="V496" i="1"/>
  <c r="BE495" i="1"/>
  <c r="AZ495" i="1"/>
  <c r="AE495" i="1"/>
  <c r="V495" i="1"/>
  <c r="O495" i="1"/>
  <c r="BE494" i="1"/>
  <c r="AZ494" i="1"/>
  <c r="AE494" i="1"/>
  <c r="V494" i="1"/>
  <c r="O494" i="1" s="1"/>
  <c r="BE493" i="1"/>
  <c r="AZ493" i="1"/>
  <c r="AE493" i="1"/>
  <c r="V493" i="1"/>
  <c r="BE492" i="1"/>
  <c r="AZ492" i="1"/>
  <c r="AE492" i="1"/>
  <c r="V492" i="1"/>
  <c r="O492" i="1" s="1"/>
  <c r="BE491" i="1"/>
  <c r="AZ491" i="1"/>
  <c r="AE491" i="1"/>
  <c r="V491" i="1"/>
  <c r="O491" i="1"/>
  <c r="BE490" i="1"/>
  <c r="AZ490" i="1"/>
  <c r="AE490" i="1"/>
  <c r="V490" i="1"/>
  <c r="O490" i="1" s="1"/>
  <c r="BE489" i="1"/>
  <c r="AZ489" i="1"/>
  <c r="AE489" i="1"/>
  <c r="O489" i="1" s="1"/>
  <c r="V489" i="1"/>
  <c r="BE488" i="1"/>
  <c r="AZ488" i="1"/>
  <c r="AE488" i="1"/>
  <c r="V488" i="1"/>
  <c r="O488" i="1" s="1"/>
  <c r="BE487" i="1"/>
  <c r="AZ487" i="1"/>
  <c r="AE487" i="1"/>
  <c r="V487" i="1"/>
  <c r="O487" i="1"/>
  <c r="BE486" i="1"/>
  <c r="AZ486" i="1"/>
  <c r="AE486" i="1"/>
  <c r="V486" i="1"/>
  <c r="O486" i="1" s="1"/>
  <c r="BE485" i="1"/>
  <c r="AZ485" i="1"/>
  <c r="AE485" i="1"/>
  <c r="V485" i="1"/>
  <c r="O485" i="1" s="1"/>
  <c r="BE484" i="1"/>
  <c r="AZ484" i="1"/>
  <c r="AE484" i="1"/>
  <c r="V484" i="1"/>
  <c r="O484" i="1"/>
  <c r="BE483" i="1"/>
  <c r="AZ483" i="1"/>
  <c r="AE483" i="1"/>
  <c r="O483" i="1" s="1"/>
  <c r="V483" i="1"/>
  <c r="BE482" i="1"/>
  <c r="AZ482" i="1"/>
  <c r="AE482" i="1"/>
  <c r="V482" i="1"/>
  <c r="O482" i="1" s="1"/>
  <c r="BE481" i="1"/>
  <c r="AZ481" i="1"/>
  <c r="AE481" i="1"/>
  <c r="V481" i="1"/>
  <c r="O481" i="1" s="1"/>
  <c r="BE480" i="1"/>
  <c r="AZ480" i="1"/>
  <c r="AE480" i="1"/>
  <c r="V480" i="1"/>
  <c r="O480" i="1" s="1"/>
  <c r="BE479" i="1"/>
  <c r="AZ479" i="1"/>
  <c r="AE479" i="1"/>
  <c r="V479" i="1"/>
  <c r="O479" i="1"/>
  <c r="BE478" i="1"/>
  <c r="AZ478" i="1"/>
  <c r="AE478" i="1"/>
  <c r="V478" i="1"/>
  <c r="O478" i="1" s="1"/>
  <c r="BE477" i="1"/>
  <c r="AZ477" i="1"/>
  <c r="AE477" i="1"/>
  <c r="V477" i="1"/>
  <c r="BE476" i="1"/>
  <c r="AZ476" i="1"/>
  <c r="AE476" i="1"/>
  <c r="V476" i="1"/>
  <c r="O476" i="1" s="1"/>
  <c r="BE475" i="1"/>
  <c r="AZ475" i="1"/>
  <c r="AE475" i="1"/>
  <c r="V475" i="1"/>
  <c r="O475" i="1"/>
  <c r="BE474" i="1"/>
  <c r="AZ474" i="1"/>
  <c r="AE474" i="1"/>
  <c r="O474" i="1" s="1"/>
  <c r="V474" i="1"/>
  <c r="BE473" i="1"/>
  <c r="AZ473" i="1"/>
  <c r="AE473" i="1"/>
  <c r="V473" i="1"/>
  <c r="O473" i="1"/>
  <c r="BE472" i="1"/>
  <c r="AZ472" i="1"/>
  <c r="AE472" i="1"/>
  <c r="V472" i="1"/>
  <c r="O472" i="1"/>
  <c r="BE471" i="1"/>
  <c r="AZ471" i="1"/>
  <c r="AE471" i="1"/>
  <c r="O471" i="1" s="1"/>
  <c r="V471" i="1"/>
  <c r="BE470" i="1"/>
  <c r="AZ470" i="1"/>
  <c r="AE470" i="1"/>
  <c r="V470" i="1"/>
  <c r="O470" i="1" s="1"/>
  <c r="BE469" i="1"/>
  <c r="AZ469" i="1"/>
  <c r="AE469" i="1"/>
  <c r="O469" i="1" s="1"/>
  <c r="V469" i="1"/>
  <c r="BE468" i="1"/>
  <c r="AZ468" i="1"/>
  <c r="O468" i="1" s="1"/>
  <c r="AE468" i="1"/>
  <c r="V468" i="1"/>
  <c r="BE467" i="1"/>
  <c r="AZ467" i="1"/>
  <c r="AE467" i="1"/>
  <c r="V467" i="1"/>
  <c r="O467" i="1"/>
  <c r="BE466" i="1"/>
  <c r="AZ466" i="1"/>
  <c r="AE466" i="1"/>
  <c r="V466" i="1"/>
  <c r="O466" i="1" s="1"/>
  <c r="BE465" i="1"/>
  <c r="AZ465" i="1"/>
  <c r="AE465" i="1"/>
  <c r="V465" i="1"/>
  <c r="BE464" i="1"/>
  <c r="AZ464" i="1"/>
  <c r="AE464" i="1"/>
  <c r="O464" i="1" s="1"/>
  <c r="V464" i="1"/>
  <c r="BE463" i="1"/>
  <c r="AZ463" i="1"/>
  <c r="O463" i="1" s="1"/>
  <c r="AE463" i="1"/>
  <c r="V463" i="1"/>
  <c r="BE462" i="1"/>
  <c r="AZ462" i="1"/>
  <c r="AE462" i="1"/>
  <c r="V462" i="1"/>
  <c r="O462" i="1"/>
  <c r="BE461" i="1"/>
  <c r="AZ461" i="1"/>
  <c r="AE461" i="1"/>
  <c r="V461" i="1"/>
  <c r="O461" i="1" s="1"/>
  <c r="BE460" i="1"/>
  <c r="AZ460" i="1"/>
  <c r="O460" i="1" s="1"/>
  <c r="AE460" i="1"/>
  <c r="V460" i="1"/>
  <c r="BE459" i="1"/>
  <c r="AZ459" i="1"/>
  <c r="AE459" i="1"/>
  <c r="V459" i="1"/>
  <c r="O459" i="1"/>
  <c r="BE458" i="1"/>
  <c r="AZ458" i="1"/>
  <c r="AE458" i="1"/>
  <c r="V458" i="1"/>
  <c r="O458" i="1" s="1"/>
  <c r="BE457" i="1"/>
  <c r="AZ457" i="1"/>
  <c r="AE457" i="1"/>
  <c r="V457" i="1"/>
  <c r="O457" i="1"/>
  <c r="BE456" i="1"/>
  <c r="AZ456" i="1"/>
  <c r="AE456" i="1"/>
  <c r="V456" i="1"/>
  <c r="O456" i="1" s="1"/>
  <c r="BE455" i="1"/>
  <c r="AZ455" i="1"/>
  <c r="AE455" i="1"/>
  <c r="V455" i="1"/>
  <c r="O455" i="1" s="1"/>
  <c r="BE454" i="1"/>
  <c r="AZ454" i="1"/>
  <c r="AE454" i="1"/>
  <c r="V454" i="1"/>
  <c r="O454" i="1"/>
  <c r="BE453" i="1"/>
  <c r="AZ453" i="1"/>
  <c r="AE453" i="1"/>
  <c r="O453" i="1" s="1"/>
  <c r="V453" i="1"/>
  <c r="BE452" i="1"/>
  <c r="AZ452" i="1"/>
  <c r="AE452" i="1"/>
  <c r="V452" i="1"/>
  <c r="O452" i="1"/>
  <c r="BE451" i="1"/>
  <c r="AZ451" i="1"/>
  <c r="AE451" i="1"/>
  <c r="V451" i="1"/>
  <c r="O451" i="1" s="1"/>
  <c r="BE450" i="1"/>
  <c r="AZ450" i="1"/>
  <c r="AE450" i="1"/>
  <c r="V450" i="1"/>
  <c r="O450" i="1" s="1"/>
  <c r="BE449" i="1"/>
  <c r="AZ449" i="1"/>
  <c r="AE449" i="1"/>
  <c r="V449" i="1"/>
  <c r="O449" i="1"/>
  <c r="BE448" i="1"/>
  <c r="AZ448" i="1"/>
  <c r="AE448" i="1"/>
  <c r="V448" i="1"/>
  <c r="O448" i="1" s="1"/>
  <c r="BE447" i="1"/>
  <c r="AZ447" i="1"/>
  <c r="AE447" i="1"/>
  <c r="V447" i="1"/>
  <c r="O447" i="1" s="1"/>
  <c r="BE446" i="1"/>
  <c r="AZ446" i="1"/>
  <c r="AE446" i="1"/>
  <c r="V446" i="1"/>
  <c r="BE445" i="1"/>
  <c r="AZ445" i="1"/>
  <c r="AE445" i="1"/>
  <c r="V445" i="1"/>
  <c r="O445" i="1" s="1"/>
  <c r="BE444" i="1"/>
  <c r="AZ444" i="1"/>
  <c r="AE444" i="1"/>
  <c r="V444" i="1"/>
  <c r="O444" i="1"/>
  <c r="BE443" i="1"/>
  <c r="AZ443" i="1"/>
  <c r="AE443" i="1"/>
  <c r="V443" i="1"/>
  <c r="O443" i="1" s="1"/>
  <c r="BE442" i="1"/>
  <c r="AZ442" i="1"/>
  <c r="AE442" i="1"/>
  <c r="V442" i="1"/>
  <c r="O442" i="1" s="1"/>
  <c r="BE441" i="1"/>
  <c r="AZ441" i="1"/>
  <c r="AE441" i="1"/>
  <c r="O441" i="1" s="1"/>
  <c r="V441" i="1"/>
  <c r="BE440" i="1"/>
  <c r="AZ440" i="1"/>
  <c r="AE440" i="1"/>
  <c r="V440" i="1"/>
  <c r="O440" i="1" s="1"/>
  <c r="BE439" i="1"/>
  <c r="AZ439" i="1"/>
  <c r="AE439" i="1"/>
  <c r="V439" i="1"/>
  <c r="O439" i="1"/>
  <c r="BE438" i="1"/>
  <c r="AZ438" i="1"/>
  <c r="AE438" i="1"/>
  <c r="V438" i="1"/>
  <c r="O438" i="1"/>
  <c r="BE437" i="1"/>
  <c r="AZ437" i="1"/>
  <c r="AE437" i="1"/>
  <c r="O437" i="1" s="1"/>
  <c r="V437" i="1"/>
  <c r="BE436" i="1"/>
  <c r="AZ436" i="1"/>
  <c r="O436" i="1" s="1"/>
  <c r="AE436" i="1"/>
  <c r="V436" i="1"/>
  <c r="BE435" i="1"/>
  <c r="AZ435" i="1"/>
  <c r="AE435" i="1"/>
  <c r="V435" i="1"/>
  <c r="O435" i="1"/>
  <c r="BE434" i="1"/>
  <c r="AZ434" i="1"/>
  <c r="AE434" i="1"/>
  <c r="V434" i="1"/>
  <c r="O434" i="1" s="1"/>
  <c r="BE433" i="1"/>
  <c r="AZ433" i="1"/>
  <c r="AE433" i="1"/>
  <c r="V433" i="1"/>
  <c r="O433" i="1" s="1"/>
  <c r="BE432" i="1"/>
  <c r="AZ432" i="1"/>
  <c r="AE432" i="1"/>
  <c r="V432" i="1"/>
  <c r="O432" i="1"/>
  <c r="BE431" i="1"/>
  <c r="AZ431" i="1"/>
  <c r="AE431" i="1"/>
  <c r="V431" i="1"/>
  <c r="O431" i="1" s="1"/>
  <c r="BE430" i="1"/>
  <c r="AZ430" i="1"/>
  <c r="AE430" i="1"/>
  <c r="V430" i="1"/>
  <c r="O430" i="1" s="1"/>
  <c r="BE429" i="1"/>
  <c r="AZ429" i="1"/>
  <c r="AE429" i="1"/>
  <c r="O429" i="1" s="1"/>
  <c r="V429" i="1"/>
  <c r="BE428" i="1"/>
  <c r="AZ428" i="1"/>
  <c r="AE428" i="1"/>
  <c r="V428" i="1"/>
  <c r="O428" i="1" s="1"/>
  <c r="BE427" i="1"/>
  <c r="AZ427" i="1"/>
  <c r="AE427" i="1"/>
  <c r="V427" i="1"/>
  <c r="O427" i="1"/>
  <c r="BE426" i="1"/>
  <c r="AZ426" i="1"/>
  <c r="AE426" i="1"/>
  <c r="V426" i="1"/>
  <c r="O426" i="1"/>
  <c r="BE425" i="1"/>
  <c r="AZ425" i="1"/>
  <c r="AE425" i="1"/>
  <c r="O425" i="1" s="1"/>
  <c r="V425" i="1"/>
  <c r="BE424" i="1"/>
  <c r="AZ424" i="1"/>
  <c r="O424" i="1" s="1"/>
  <c r="AE424" i="1"/>
  <c r="V424" i="1"/>
  <c r="BE423" i="1"/>
  <c r="AZ423" i="1"/>
  <c r="AE423" i="1"/>
  <c r="V423" i="1"/>
  <c r="O423" i="1"/>
  <c r="BE422" i="1"/>
  <c r="AZ422" i="1"/>
  <c r="AE422" i="1"/>
  <c r="V422" i="1"/>
  <c r="O422" i="1" s="1"/>
  <c r="BE421" i="1"/>
  <c r="AZ421" i="1"/>
  <c r="AE421" i="1"/>
  <c r="V421" i="1"/>
  <c r="O421" i="1" s="1"/>
  <c r="BE420" i="1"/>
  <c r="AZ420" i="1"/>
  <c r="AE420" i="1"/>
  <c r="V420" i="1"/>
  <c r="O420" i="1"/>
  <c r="BE419" i="1"/>
  <c r="AZ419" i="1"/>
  <c r="AE419" i="1"/>
  <c r="V419" i="1"/>
  <c r="O419" i="1" s="1"/>
  <c r="BE418" i="1"/>
  <c r="AZ418" i="1"/>
  <c r="AE418" i="1"/>
  <c r="V418" i="1"/>
  <c r="O418" i="1" s="1"/>
  <c r="BE417" i="1"/>
  <c r="AZ417" i="1"/>
  <c r="AE417" i="1"/>
  <c r="O417" i="1" s="1"/>
  <c r="V417" i="1"/>
  <c r="BE416" i="1"/>
  <c r="AZ416" i="1"/>
  <c r="AE416" i="1"/>
  <c r="V416" i="1"/>
  <c r="O416" i="1" s="1"/>
  <c r="BE415" i="1"/>
  <c r="AZ415" i="1"/>
  <c r="AE415" i="1"/>
  <c r="V415" i="1"/>
  <c r="O415" i="1"/>
  <c r="BE414" i="1"/>
  <c r="AZ414" i="1"/>
  <c r="AE414" i="1"/>
  <c r="V414" i="1"/>
  <c r="O414" i="1"/>
  <c r="BE413" i="1"/>
  <c r="AZ413" i="1"/>
  <c r="AE413" i="1"/>
  <c r="O413" i="1" s="1"/>
  <c r="V413" i="1"/>
  <c r="BE412" i="1"/>
  <c r="AZ412" i="1"/>
  <c r="O412" i="1" s="1"/>
  <c r="AE412" i="1"/>
  <c r="V412" i="1"/>
  <c r="BE411" i="1"/>
  <c r="AZ411" i="1"/>
  <c r="AE411" i="1"/>
  <c r="V411" i="1"/>
  <c r="O411" i="1"/>
  <c r="BE410" i="1"/>
  <c r="AZ410" i="1"/>
  <c r="AE410" i="1"/>
  <c r="V410" i="1"/>
  <c r="O410" i="1" s="1"/>
  <c r="BE409" i="1"/>
  <c r="AZ409" i="1"/>
  <c r="AE409" i="1"/>
  <c r="V409" i="1"/>
  <c r="O409" i="1" s="1"/>
  <c r="BE408" i="1"/>
  <c r="AZ408" i="1"/>
  <c r="AE408" i="1"/>
  <c r="V408" i="1"/>
  <c r="O408" i="1"/>
  <c r="BE407" i="1"/>
  <c r="AZ407" i="1"/>
  <c r="AE407" i="1"/>
  <c r="V407" i="1"/>
  <c r="O407" i="1" s="1"/>
  <c r="BE406" i="1"/>
  <c r="AZ406" i="1"/>
  <c r="AE406" i="1"/>
  <c r="V406" i="1"/>
  <c r="O406" i="1" s="1"/>
  <c r="BE405" i="1"/>
  <c r="AZ405" i="1"/>
  <c r="AE405" i="1"/>
  <c r="O405" i="1" s="1"/>
  <c r="V405" i="1"/>
  <c r="BE404" i="1"/>
  <c r="AZ404" i="1"/>
  <c r="AE404" i="1"/>
  <c r="V404" i="1"/>
  <c r="O404" i="1" s="1"/>
  <c r="BE403" i="1"/>
  <c r="AZ403" i="1"/>
  <c r="AE403" i="1"/>
  <c r="V403" i="1"/>
  <c r="O403" i="1"/>
  <c r="BE402" i="1"/>
  <c r="AZ402" i="1"/>
  <c r="AE402" i="1"/>
  <c r="V402" i="1"/>
  <c r="O402" i="1"/>
  <c r="BE401" i="1"/>
  <c r="AZ401" i="1"/>
  <c r="AE401" i="1"/>
  <c r="O401" i="1" s="1"/>
  <c r="V401" i="1"/>
  <c r="BE400" i="1"/>
  <c r="AZ400" i="1"/>
  <c r="O400" i="1" s="1"/>
  <c r="AE400" i="1"/>
  <c r="V400" i="1"/>
  <c r="BE399" i="1"/>
  <c r="AZ399" i="1"/>
  <c r="AE399" i="1"/>
  <c r="V399" i="1"/>
  <c r="O399" i="1"/>
  <c r="BE398" i="1"/>
  <c r="AZ398" i="1"/>
  <c r="AE398" i="1"/>
  <c r="V398" i="1"/>
  <c r="O398" i="1" s="1"/>
  <c r="BE397" i="1"/>
  <c r="AZ397" i="1"/>
  <c r="AE397" i="1"/>
  <c r="V397" i="1"/>
  <c r="O397" i="1" s="1"/>
  <c r="BE396" i="1"/>
  <c r="AZ396" i="1"/>
  <c r="AE396" i="1"/>
  <c r="V396" i="1"/>
  <c r="O396" i="1"/>
  <c r="BE395" i="1"/>
  <c r="AZ395" i="1"/>
  <c r="AE395" i="1"/>
  <c r="V395" i="1"/>
  <c r="O395" i="1" s="1"/>
  <c r="BE394" i="1"/>
  <c r="AZ394" i="1"/>
  <c r="AE394" i="1"/>
  <c r="V394" i="1"/>
  <c r="O394" i="1" s="1"/>
  <c r="BE393" i="1"/>
  <c r="AZ393" i="1"/>
  <c r="AE393" i="1"/>
  <c r="O393" i="1" s="1"/>
  <c r="V393" i="1"/>
  <c r="BE392" i="1"/>
  <c r="AZ392" i="1"/>
  <c r="AE392" i="1"/>
  <c r="V392" i="1"/>
  <c r="O392" i="1" s="1"/>
  <c r="BE391" i="1"/>
  <c r="AZ391" i="1"/>
  <c r="AE391" i="1"/>
  <c r="V391" i="1"/>
  <c r="O391" i="1"/>
  <c r="BE390" i="1"/>
  <c r="AZ390" i="1"/>
  <c r="AE390" i="1"/>
  <c r="V390" i="1"/>
  <c r="O390" i="1"/>
  <c r="BE389" i="1"/>
  <c r="AZ389" i="1"/>
  <c r="AE389" i="1"/>
  <c r="O389" i="1" s="1"/>
  <c r="V389" i="1"/>
  <c r="BE388" i="1"/>
  <c r="AZ388" i="1"/>
  <c r="O388" i="1" s="1"/>
  <c r="AE388" i="1"/>
  <c r="V388" i="1"/>
  <c r="BE387" i="1"/>
  <c r="AZ387" i="1"/>
  <c r="AE387" i="1"/>
  <c r="V387" i="1"/>
  <c r="O387" i="1"/>
  <c r="BE386" i="1"/>
  <c r="AZ386" i="1"/>
  <c r="AE386" i="1"/>
  <c r="V386" i="1"/>
  <c r="O386" i="1" s="1"/>
  <c r="BE385" i="1"/>
  <c r="AZ385" i="1"/>
  <c r="AE385" i="1"/>
  <c r="V385" i="1"/>
  <c r="O385" i="1" s="1"/>
  <c r="BE384" i="1"/>
  <c r="AZ384" i="1"/>
  <c r="AE384" i="1"/>
  <c r="V384" i="1"/>
  <c r="O384" i="1"/>
  <c r="BE383" i="1"/>
  <c r="AZ383" i="1"/>
  <c r="AE383" i="1"/>
  <c r="V383" i="1"/>
  <c r="O383" i="1" s="1"/>
  <c r="BE382" i="1"/>
  <c r="AZ382" i="1"/>
  <c r="AE382" i="1"/>
  <c r="V382" i="1"/>
  <c r="O382" i="1" s="1"/>
  <c r="BE381" i="1"/>
  <c r="AZ381" i="1"/>
  <c r="AE381" i="1"/>
  <c r="O381" i="1" s="1"/>
  <c r="V381" i="1"/>
  <c r="BE380" i="1"/>
  <c r="AZ380" i="1"/>
  <c r="AE380" i="1"/>
  <c r="V380" i="1"/>
  <c r="O380" i="1" s="1"/>
  <c r="BE379" i="1"/>
  <c r="AZ379" i="1"/>
  <c r="AE379" i="1"/>
  <c r="V379" i="1"/>
  <c r="O379" i="1"/>
  <c r="BE378" i="1"/>
  <c r="AZ378" i="1"/>
  <c r="AE378" i="1"/>
  <c r="V378" i="1"/>
  <c r="O378" i="1" s="1"/>
  <c r="BE377" i="1"/>
  <c r="AZ377" i="1"/>
  <c r="AE377" i="1"/>
  <c r="O377" i="1" s="1"/>
  <c r="V377" i="1"/>
  <c r="BE376" i="1"/>
  <c r="AZ376" i="1"/>
  <c r="O376" i="1" s="1"/>
  <c r="AE376" i="1"/>
  <c r="V376" i="1"/>
  <c r="BE375" i="1"/>
  <c r="AZ375" i="1"/>
  <c r="AE375" i="1"/>
  <c r="V375" i="1"/>
  <c r="O375" i="1"/>
  <c r="BE374" i="1"/>
  <c r="AZ374" i="1"/>
  <c r="AE374" i="1"/>
  <c r="V374" i="1"/>
  <c r="O374" i="1" s="1"/>
  <c r="BE373" i="1"/>
  <c r="AZ373" i="1"/>
  <c r="AE373" i="1"/>
  <c r="V373" i="1"/>
  <c r="O373" i="1" s="1"/>
  <c r="BE372" i="1"/>
  <c r="AZ372" i="1"/>
  <c r="AE372" i="1"/>
  <c r="V372" i="1"/>
  <c r="O372" i="1"/>
  <c r="BE371" i="1"/>
  <c r="AZ371" i="1"/>
  <c r="AE371" i="1"/>
  <c r="V371" i="1"/>
  <c r="O371" i="1"/>
  <c r="BE370" i="1"/>
  <c r="AZ370" i="1"/>
  <c r="AE370" i="1"/>
  <c r="V370" i="1"/>
  <c r="O370" i="1" s="1"/>
  <c r="BE369" i="1"/>
  <c r="AZ369" i="1"/>
  <c r="AE369" i="1"/>
  <c r="O369" i="1" s="1"/>
  <c r="V369" i="1"/>
  <c r="BE368" i="1"/>
  <c r="AZ368" i="1"/>
  <c r="AE368" i="1"/>
  <c r="V368" i="1"/>
  <c r="O368" i="1" s="1"/>
  <c r="BE367" i="1"/>
  <c r="AZ367" i="1"/>
  <c r="AE367" i="1"/>
  <c r="V367" i="1"/>
  <c r="O367" i="1"/>
  <c r="BE366" i="1"/>
  <c r="AZ366" i="1"/>
  <c r="AE366" i="1"/>
  <c r="V366" i="1"/>
  <c r="O366" i="1" s="1"/>
  <c r="BE365" i="1"/>
  <c r="AZ365" i="1"/>
  <c r="AE365" i="1"/>
  <c r="O365" i="1" s="1"/>
  <c r="V365" i="1"/>
  <c r="BE364" i="1"/>
  <c r="AZ364" i="1"/>
  <c r="O364" i="1" s="1"/>
  <c r="AE364" i="1"/>
  <c r="V364" i="1"/>
  <c r="BE363" i="1"/>
  <c r="AZ363" i="1"/>
  <c r="AE363" i="1"/>
  <c r="V363" i="1"/>
  <c r="O363" i="1"/>
  <c r="BE362" i="1"/>
  <c r="AZ362" i="1"/>
  <c r="AE362" i="1"/>
  <c r="V362" i="1"/>
  <c r="O362" i="1" s="1"/>
  <c r="BE361" i="1"/>
  <c r="AZ361" i="1"/>
  <c r="AE361" i="1"/>
  <c r="V361" i="1"/>
  <c r="O361" i="1" s="1"/>
  <c r="BE360" i="1"/>
  <c r="AZ360" i="1"/>
  <c r="AE360" i="1"/>
  <c r="V360" i="1"/>
  <c r="O360" i="1"/>
  <c r="BE359" i="1"/>
  <c r="AZ359" i="1"/>
  <c r="AE359" i="1"/>
  <c r="V359" i="1"/>
  <c r="O359" i="1"/>
  <c r="BE358" i="1"/>
  <c r="AZ358" i="1"/>
  <c r="AE358" i="1"/>
  <c r="V358" i="1"/>
  <c r="O358" i="1" s="1"/>
  <c r="BE357" i="1"/>
  <c r="AZ357" i="1"/>
  <c r="AE357" i="1"/>
  <c r="O357" i="1" s="1"/>
  <c r="V357" i="1"/>
  <c r="BE356" i="1"/>
  <c r="AZ356" i="1"/>
  <c r="AE356" i="1"/>
  <c r="V356" i="1"/>
  <c r="O356" i="1" s="1"/>
  <c r="BE355" i="1"/>
  <c r="AZ355" i="1"/>
  <c r="AE355" i="1"/>
  <c r="V355" i="1"/>
  <c r="O355" i="1"/>
  <c r="BE354" i="1"/>
  <c r="AZ354" i="1"/>
  <c r="AE354" i="1"/>
  <c r="V354" i="1"/>
  <c r="O354" i="1" s="1"/>
  <c r="BE353" i="1"/>
  <c r="AZ353" i="1"/>
  <c r="AE353" i="1"/>
  <c r="O353" i="1" s="1"/>
  <c r="V353" i="1"/>
  <c r="BE352" i="1"/>
  <c r="AZ352" i="1"/>
  <c r="O352" i="1" s="1"/>
  <c r="AE352" i="1"/>
  <c r="V352" i="1"/>
  <c r="BE351" i="1"/>
  <c r="AZ351" i="1"/>
  <c r="AE351" i="1"/>
  <c r="V351" i="1"/>
  <c r="O351" i="1" s="1"/>
  <c r="BE350" i="1"/>
  <c r="AZ350" i="1"/>
  <c r="AE350" i="1"/>
  <c r="V350" i="1"/>
  <c r="O350" i="1" s="1"/>
  <c r="BE349" i="1"/>
  <c r="AZ349" i="1"/>
  <c r="AE349" i="1"/>
  <c r="V349" i="1"/>
  <c r="O349" i="1" s="1"/>
  <c r="BE348" i="1"/>
  <c r="AZ348" i="1"/>
  <c r="AE348" i="1"/>
  <c r="V348" i="1"/>
  <c r="O348" i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O345" i="1" s="1"/>
  <c r="V345" i="1"/>
  <c r="BE344" i="1"/>
  <c r="AZ344" i="1"/>
  <c r="O344" i="1" s="1"/>
  <c r="AE344" i="1"/>
  <c r="V344" i="1"/>
  <c r="BE343" i="1"/>
  <c r="AZ343" i="1"/>
  <c r="AE343" i="1"/>
  <c r="V343" i="1"/>
  <c r="O343" i="1"/>
  <c r="BE342" i="1"/>
  <c r="AZ342" i="1"/>
  <c r="AE342" i="1"/>
  <c r="V342" i="1"/>
  <c r="O342" i="1" s="1"/>
  <c r="BE341" i="1"/>
  <c r="AZ341" i="1"/>
  <c r="AE341" i="1"/>
  <c r="O341" i="1" s="1"/>
  <c r="V341" i="1"/>
  <c r="BE340" i="1"/>
  <c r="AZ340" i="1"/>
  <c r="O340" i="1" s="1"/>
  <c r="AE340" i="1"/>
  <c r="V340" i="1"/>
  <c r="BE339" i="1"/>
  <c r="AZ339" i="1"/>
  <c r="AE339" i="1"/>
  <c r="V339" i="1"/>
  <c r="O339" i="1" s="1"/>
  <c r="BE338" i="1"/>
  <c r="AZ338" i="1"/>
  <c r="AE338" i="1"/>
  <c r="V338" i="1"/>
  <c r="O338" i="1" s="1"/>
  <c r="BE337" i="1"/>
  <c r="AZ337" i="1"/>
  <c r="AE337" i="1"/>
  <c r="V337" i="1"/>
  <c r="O337" i="1" s="1"/>
  <c r="BE336" i="1"/>
  <c r="AZ336" i="1"/>
  <c r="AE336" i="1"/>
  <c r="V336" i="1"/>
  <c r="O336" i="1"/>
  <c r="BE335" i="1"/>
  <c r="AZ335" i="1"/>
  <c r="AE335" i="1"/>
  <c r="V335" i="1"/>
  <c r="O335" i="1"/>
  <c r="BE334" i="1"/>
  <c r="AZ334" i="1"/>
  <c r="AE334" i="1"/>
  <c r="V334" i="1"/>
  <c r="O334" i="1" s="1"/>
  <c r="BE333" i="1"/>
  <c r="AZ333" i="1"/>
  <c r="AE333" i="1"/>
  <c r="O333" i="1" s="1"/>
  <c r="V333" i="1"/>
  <c r="BE332" i="1"/>
  <c r="AZ332" i="1"/>
  <c r="O332" i="1" s="1"/>
  <c r="AE332" i="1"/>
  <c r="V332" i="1"/>
  <c r="BE331" i="1"/>
  <c r="AZ331" i="1"/>
  <c r="AE331" i="1"/>
  <c r="V331" i="1"/>
  <c r="O331" i="1"/>
  <c r="BE330" i="1"/>
  <c r="AZ330" i="1"/>
  <c r="AE330" i="1"/>
  <c r="V330" i="1"/>
  <c r="O330" i="1" s="1"/>
  <c r="BE329" i="1"/>
  <c r="AZ329" i="1"/>
  <c r="AE329" i="1"/>
  <c r="O329" i="1" s="1"/>
  <c r="V329" i="1"/>
  <c r="BE328" i="1"/>
  <c r="AZ328" i="1"/>
  <c r="O328" i="1" s="1"/>
  <c r="AE328" i="1"/>
  <c r="V328" i="1"/>
  <c r="BE327" i="1"/>
  <c r="AZ327" i="1"/>
  <c r="AE327" i="1"/>
  <c r="V327" i="1"/>
  <c r="O327" i="1" s="1"/>
  <c r="BE326" i="1"/>
  <c r="AZ326" i="1"/>
  <c r="AE326" i="1"/>
  <c r="V326" i="1"/>
  <c r="O326" i="1" s="1"/>
  <c r="BE325" i="1"/>
  <c r="AZ325" i="1"/>
  <c r="AE325" i="1"/>
  <c r="V325" i="1"/>
  <c r="O325" i="1" s="1"/>
  <c r="BE324" i="1"/>
  <c r="AZ324" i="1"/>
  <c r="AE324" i="1"/>
  <c r="V324" i="1"/>
  <c r="O324" i="1"/>
  <c r="BE323" i="1"/>
  <c r="AZ323" i="1"/>
  <c r="AE323" i="1"/>
  <c r="V323" i="1"/>
  <c r="O323" i="1"/>
  <c r="BE322" i="1"/>
  <c r="AZ322" i="1"/>
  <c r="AE322" i="1"/>
  <c r="V322" i="1"/>
  <c r="O322" i="1" s="1"/>
  <c r="BE321" i="1"/>
  <c r="AZ321" i="1"/>
  <c r="AE321" i="1"/>
  <c r="O321" i="1" s="1"/>
  <c r="V321" i="1"/>
  <c r="BE320" i="1"/>
  <c r="AZ320" i="1"/>
  <c r="O320" i="1" s="1"/>
  <c r="AE320" i="1"/>
  <c r="V320" i="1"/>
  <c r="BE319" i="1"/>
  <c r="AZ319" i="1"/>
  <c r="AE319" i="1"/>
  <c r="V319" i="1"/>
  <c r="O319" i="1"/>
  <c r="BE318" i="1"/>
  <c r="AZ318" i="1"/>
  <c r="AE318" i="1"/>
  <c r="V318" i="1"/>
  <c r="O318" i="1" s="1"/>
  <c r="BE317" i="1"/>
  <c r="AZ317" i="1"/>
  <c r="AE317" i="1"/>
  <c r="O317" i="1" s="1"/>
  <c r="V317" i="1"/>
  <c r="BE316" i="1"/>
  <c r="AZ316" i="1"/>
  <c r="O316" i="1" s="1"/>
  <c r="AE316" i="1"/>
  <c r="V316" i="1"/>
  <c r="BE315" i="1"/>
  <c r="AZ315" i="1"/>
  <c r="AE315" i="1"/>
  <c r="V315" i="1"/>
  <c r="O315" i="1" s="1"/>
  <c r="BE314" i="1"/>
  <c r="AZ314" i="1"/>
  <c r="AE314" i="1"/>
  <c r="V314" i="1"/>
  <c r="O314" i="1" s="1"/>
  <c r="BE313" i="1"/>
  <c r="AZ313" i="1"/>
  <c r="AE313" i="1"/>
  <c r="V313" i="1"/>
  <c r="O313" i="1" s="1"/>
  <c r="BE312" i="1"/>
  <c r="AZ312" i="1"/>
  <c r="AE312" i="1"/>
  <c r="V312" i="1"/>
  <c r="O312" i="1"/>
  <c r="BE311" i="1"/>
  <c r="AZ311" i="1"/>
  <c r="AE311" i="1"/>
  <c r="V311" i="1"/>
  <c r="O311" i="1"/>
  <c r="BE310" i="1"/>
  <c r="AZ310" i="1"/>
  <c r="AE310" i="1"/>
  <c r="V310" i="1"/>
  <c r="O310" i="1" s="1"/>
  <c r="BE309" i="1"/>
  <c r="AZ309" i="1"/>
  <c r="AE309" i="1"/>
  <c r="O309" i="1" s="1"/>
  <c r="V309" i="1"/>
  <c r="BE308" i="1"/>
  <c r="AZ308" i="1"/>
  <c r="O308" i="1" s="1"/>
  <c r="AE308" i="1"/>
  <c r="V308" i="1"/>
  <c r="BE307" i="1"/>
  <c r="AZ307" i="1"/>
  <c r="AE307" i="1"/>
  <c r="V307" i="1"/>
  <c r="O307" i="1"/>
  <c r="BE306" i="1"/>
  <c r="AZ306" i="1"/>
  <c r="AE306" i="1"/>
  <c r="V306" i="1"/>
  <c r="O306" i="1" s="1"/>
  <c r="BE305" i="1"/>
  <c r="AZ305" i="1"/>
  <c r="AE305" i="1"/>
  <c r="O305" i="1" s="1"/>
  <c r="V305" i="1"/>
  <c r="BE304" i="1"/>
  <c r="AZ304" i="1"/>
  <c r="O304" i="1" s="1"/>
  <c r="AE304" i="1"/>
  <c r="V304" i="1"/>
  <c r="BE303" i="1"/>
  <c r="AZ303" i="1"/>
  <c r="AE303" i="1"/>
  <c r="V303" i="1"/>
  <c r="O303" i="1" s="1"/>
  <c r="BE302" i="1"/>
  <c r="AZ302" i="1"/>
  <c r="AE302" i="1"/>
  <c r="V302" i="1"/>
  <c r="O302" i="1" s="1"/>
  <c r="BE301" i="1"/>
  <c r="AZ301" i="1"/>
  <c r="AE301" i="1"/>
  <c r="V301" i="1"/>
  <c r="O301" i="1" s="1"/>
  <c r="BE300" i="1"/>
  <c r="AZ300" i="1"/>
  <c r="AE300" i="1"/>
  <c r="V300" i="1"/>
  <c r="O300" i="1"/>
  <c r="BE299" i="1"/>
  <c r="AZ299" i="1"/>
  <c r="AE299" i="1"/>
  <c r="V299" i="1"/>
  <c r="O299" i="1"/>
  <c r="BE298" i="1"/>
  <c r="AZ298" i="1"/>
  <c r="AE298" i="1"/>
  <c r="V298" i="1"/>
  <c r="O298" i="1" s="1"/>
  <c r="BE297" i="1"/>
  <c r="AZ297" i="1"/>
  <c r="AE297" i="1"/>
  <c r="O297" i="1" s="1"/>
  <c r="V297" i="1"/>
  <c r="BE296" i="1"/>
  <c r="AZ296" i="1"/>
  <c r="O296" i="1" s="1"/>
  <c r="AE296" i="1"/>
  <c r="V296" i="1"/>
  <c r="BE295" i="1"/>
  <c r="AZ295" i="1"/>
  <c r="AE295" i="1"/>
  <c r="V295" i="1"/>
  <c r="O295" i="1"/>
  <c r="BE294" i="1"/>
  <c r="AZ294" i="1"/>
  <c r="AE294" i="1"/>
  <c r="V294" i="1"/>
  <c r="O294" i="1" s="1"/>
  <c r="BE293" i="1"/>
  <c r="AZ293" i="1"/>
  <c r="AE293" i="1"/>
  <c r="O293" i="1" s="1"/>
  <c r="V293" i="1"/>
  <c r="BE292" i="1"/>
  <c r="AZ292" i="1"/>
  <c r="O292" i="1" s="1"/>
  <c r="AE292" i="1"/>
  <c r="V292" i="1"/>
  <c r="BE291" i="1"/>
  <c r="AZ291" i="1"/>
  <c r="AE291" i="1"/>
  <c r="V291" i="1"/>
  <c r="O291" i="1" s="1"/>
  <c r="BE290" i="1"/>
  <c r="AZ290" i="1"/>
  <c r="AE290" i="1"/>
  <c r="V290" i="1"/>
  <c r="O290" i="1" s="1"/>
  <c r="BE289" i="1"/>
  <c r="AZ289" i="1"/>
  <c r="AE289" i="1"/>
  <c r="V289" i="1"/>
  <c r="O289" i="1" s="1"/>
  <c r="BE288" i="1"/>
  <c r="AZ288" i="1"/>
  <c r="AE288" i="1"/>
  <c r="V288" i="1"/>
  <c r="O288" i="1"/>
  <c r="BE287" i="1"/>
  <c r="AZ287" i="1"/>
  <c r="AE287" i="1"/>
  <c r="V287" i="1"/>
  <c r="O287" i="1"/>
  <c r="BE286" i="1"/>
  <c r="AZ286" i="1"/>
  <c r="AE286" i="1"/>
  <c r="V286" i="1"/>
  <c r="O286" i="1" s="1"/>
  <c r="BE285" i="1"/>
  <c r="AZ285" i="1"/>
  <c r="AE285" i="1"/>
  <c r="O285" i="1" s="1"/>
  <c r="V285" i="1"/>
  <c r="BE284" i="1"/>
  <c r="AZ284" i="1"/>
  <c r="O284" i="1" s="1"/>
  <c r="AE284" i="1"/>
  <c r="V284" i="1"/>
  <c r="BE283" i="1"/>
  <c r="AZ283" i="1"/>
  <c r="AE283" i="1"/>
  <c r="V283" i="1"/>
  <c r="O283" i="1"/>
  <c r="BE282" i="1"/>
  <c r="AZ282" i="1"/>
  <c r="AE282" i="1"/>
  <c r="V282" i="1"/>
  <c r="O282" i="1" s="1"/>
  <c r="BE281" i="1"/>
  <c r="AZ281" i="1"/>
  <c r="AE281" i="1"/>
  <c r="O281" i="1" s="1"/>
  <c r="V281" i="1"/>
  <c r="BE280" i="1"/>
  <c r="AZ280" i="1"/>
  <c r="O280" i="1" s="1"/>
  <c r="AE280" i="1"/>
  <c r="V280" i="1"/>
  <c r="BE279" i="1"/>
  <c r="AZ279" i="1"/>
  <c r="AE279" i="1"/>
  <c r="V279" i="1"/>
  <c r="O279" i="1" s="1"/>
  <c r="BE278" i="1"/>
  <c r="AZ278" i="1"/>
  <c r="AE278" i="1"/>
  <c r="V278" i="1"/>
  <c r="O278" i="1" s="1"/>
  <c r="BE277" i="1"/>
  <c r="AZ277" i="1"/>
  <c r="AE277" i="1"/>
  <c r="V277" i="1"/>
  <c r="O277" i="1" s="1"/>
  <c r="BE276" i="1"/>
  <c r="AZ276" i="1"/>
  <c r="AE276" i="1"/>
  <c r="V276" i="1"/>
  <c r="O276" i="1"/>
  <c r="BE275" i="1"/>
  <c r="AZ275" i="1"/>
  <c r="AE275" i="1"/>
  <c r="V275" i="1"/>
  <c r="O275" i="1"/>
  <c r="BE274" i="1"/>
  <c r="AZ274" i="1"/>
  <c r="AE274" i="1"/>
  <c r="V274" i="1"/>
  <c r="O274" i="1" s="1"/>
  <c r="BE273" i="1"/>
  <c r="AZ273" i="1"/>
  <c r="AE273" i="1"/>
  <c r="O273" i="1" s="1"/>
  <c r="V273" i="1"/>
  <c r="BE272" i="1"/>
  <c r="AZ272" i="1"/>
  <c r="O272" i="1" s="1"/>
  <c r="AE272" i="1"/>
  <c r="V272" i="1"/>
  <c r="BE271" i="1"/>
  <c r="AZ271" i="1"/>
  <c r="AE271" i="1"/>
  <c r="V271" i="1"/>
  <c r="O271" i="1"/>
  <c r="BE270" i="1"/>
  <c r="AZ270" i="1"/>
  <c r="AE270" i="1"/>
  <c r="V270" i="1"/>
  <c r="O270" i="1" s="1"/>
  <c r="BE269" i="1"/>
  <c r="AZ269" i="1"/>
  <c r="AE269" i="1"/>
  <c r="O269" i="1" s="1"/>
  <c r="V269" i="1"/>
  <c r="BE268" i="1"/>
  <c r="AZ268" i="1"/>
  <c r="O268" i="1" s="1"/>
  <c r="AE268" i="1"/>
  <c r="V268" i="1"/>
  <c r="BE267" i="1"/>
  <c r="AZ267" i="1"/>
  <c r="AE267" i="1"/>
  <c r="V267" i="1"/>
  <c r="O267" i="1" s="1"/>
  <c r="BE266" i="1"/>
  <c r="AZ266" i="1"/>
  <c r="AE266" i="1"/>
  <c r="V266" i="1"/>
  <c r="O266" i="1" s="1"/>
  <c r="BE265" i="1"/>
  <c r="AZ265" i="1"/>
  <c r="AE265" i="1"/>
  <c r="V265" i="1"/>
  <c r="O265" i="1" s="1"/>
  <c r="BE264" i="1"/>
  <c r="AZ264" i="1"/>
  <c r="AE264" i="1"/>
  <c r="V264" i="1"/>
  <c r="O264" i="1"/>
  <c r="BE263" i="1"/>
  <c r="AZ263" i="1"/>
  <c r="AE263" i="1"/>
  <c r="V263" i="1"/>
  <c r="O263" i="1"/>
  <c r="BE262" i="1"/>
  <c r="AZ262" i="1"/>
  <c r="AE262" i="1"/>
  <c r="V262" i="1"/>
  <c r="O262" i="1" s="1"/>
  <c r="BE261" i="1"/>
  <c r="AZ261" i="1"/>
  <c r="AE261" i="1"/>
  <c r="O261" i="1" s="1"/>
  <c r="V261" i="1"/>
  <c r="BE260" i="1"/>
  <c r="AZ260" i="1"/>
  <c r="O260" i="1" s="1"/>
  <c r="AE260" i="1"/>
  <c r="V260" i="1"/>
  <c r="BE259" i="1"/>
  <c r="AZ259" i="1"/>
  <c r="AE259" i="1"/>
  <c r="V259" i="1"/>
  <c r="O259" i="1"/>
  <c r="BE258" i="1"/>
  <c r="AZ258" i="1"/>
  <c r="AE258" i="1"/>
  <c r="V258" i="1"/>
  <c r="O258" i="1" s="1"/>
  <c r="BE257" i="1"/>
  <c r="AZ257" i="1"/>
  <c r="AE257" i="1"/>
  <c r="O257" i="1" s="1"/>
  <c r="V257" i="1"/>
  <c r="BE256" i="1"/>
  <c r="AZ256" i="1"/>
  <c r="O256" i="1" s="1"/>
  <c r="AE256" i="1"/>
  <c r="V256" i="1"/>
  <c r="BE255" i="1"/>
  <c r="AZ255" i="1"/>
  <c r="AE255" i="1"/>
  <c r="V255" i="1"/>
  <c r="O255" i="1" s="1"/>
  <c r="BE254" i="1"/>
  <c r="AZ254" i="1"/>
  <c r="AE254" i="1"/>
  <c r="V254" i="1"/>
  <c r="O254" i="1" s="1"/>
  <c r="BE253" i="1"/>
  <c r="AZ253" i="1"/>
  <c r="AE253" i="1"/>
  <c r="V253" i="1"/>
  <c r="O253" i="1" s="1"/>
  <c r="BE252" i="1"/>
  <c r="AZ252" i="1"/>
  <c r="AE252" i="1"/>
  <c r="V252" i="1"/>
  <c r="O252" i="1"/>
  <c r="BE251" i="1"/>
  <c r="AZ251" i="1"/>
  <c r="AE251" i="1"/>
  <c r="V251" i="1"/>
  <c r="O251" i="1"/>
  <c r="BE250" i="1"/>
  <c r="AZ250" i="1"/>
  <c r="AE250" i="1"/>
  <c r="V250" i="1"/>
  <c r="O250" i="1" s="1"/>
  <c r="BE249" i="1"/>
  <c r="AZ249" i="1"/>
  <c r="AE249" i="1"/>
  <c r="O249" i="1" s="1"/>
  <c r="V249" i="1"/>
  <c r="BE248" i="1"/>
  <c r="AZ248" i="1"/>
  <c r="O248" i="1" s="1"/>
  <c r="AE248" i="1"/>
  <c r="V248" i="1"/>
  <c r="BE247" i="1"/>
  <c r="AZ247" i="1"/>
  <c r="AE247" i="1"/>
  <c r="V247" i="1"/>
  <c r="O247" i="1"/>
  <c r="BE246" i="1"/>
  <c r="AZ246" i="1"/>
  <c r="AE246" i="1"/>
  <c r="V246" i="1"/>
  <c r="O246" i="1" s="1"/>
  <c r="BE245" i="1"/>
  <c r="AZ245" i="1"/>
  <c r="AE245" i="1"/>
  <c r="O245" i="1" s="1"/>
  <c r="V245" i="1"/>
  <c r="BE244" i="1"/>
  <c r="AZ244" i="1"/>
  <c r="O244" i="1" s="1"/>
  <c r="AE244" i="1"/>
  <c r="V244" i="1"/>
  <c r="BE243" i="1"/>
  <c r="AZ243" i="1"/>
  <c r="AE243" i="1"/>
  <c r="V243" i="1"/>
  <c r="O243" i="1" s="1"/>
  <c r="BE242" i="1"/>
  <c r="AZ242" i="1"/>
  <c r="AE242" i="1"/>
  <c r="V242" i="1"/>
  <c r="O242" i="1" s="1"/>
  <c r="BE241" i="1"/>
  <c r="AZ241" i="1"/>
  <c r="AE241" i="1"/>
  <c r="V241" i="1"/>
  <c r="O241" i="1" s="1"/>
  <c r="BE240" i="1"/>
  <c r="AZ240" i="1"/>
  <c r="AE240" i="1"/>
  <c r="V240" i="1"/>
  <c r="O240" i="1"/>
  <c r="BE239" i="1"/>
  <c r="AZ239" i="1"/>
  <c r="AE239" i="1"/>
  <c r="V239" i="1"/>
  <c r="O239" i="1"/>
  <c r="BE238" i="1"/>
  <c r="AZ238" i="1"/>
  <c r="AE238" i="1"/>
  <c r="V238" i="1"/>
  <c r="O238" i="1" s="1"/>
  <c r="BE237" i="1"/>
  <c r="AZ237" i="1"/>
  <c r="AE237" i="1"/>
  <c r="O237" i="1" s="1"/>
  <c r="V237" i="1"/>
  <c r="BE236" i="1"/>
  <c r="AZ236" i="1"/>
  <c r="O236" i="1" s="1"/>
  <c r="AE236" i="1"/>
  <c r="V236" i="1"/>
  <c r="BE235" i="1"/>
  <c r="AZ235" i="1"/>
  <c r="AE235" i="1"/>
  <c r="V235" i="1"/>
  <c r="O235" i="1"/>
  <c r="BE234" i="1"/>
  <c r="AZ234" i="1"/>
  <c r="AE234" i="1"/>
  <c r="V234" i="1"/>
  <c r="O234" i="1" s="1"/>
  <c r="BE233" i="1"/>
  <c r="AZ233" i="1"/>
  <c r="AE233" i="1"/>
  <c r="O233" i="1" s="1"/>
  <c r="V233" i="1"/>
  <c r="BE232" i="1"/>
  <c r="AZ232" i="1"/>
  <c r="O232" i="1" s="1"/>
  <c r="AE232" i="1"/>
  <c r="V232" i="1"/>
  <c r="BE231" i="1"/>
  <c r="AZ231" i="1"/>
  <c r="AE231" i="1"/>
  <c r="V231" i="1"/>
  <c r="O231" i="1" s="1"/>
  <c r="BE230" i="1"/>
  <c r="AZ230" i="1"/>
  <c r="AE230" i="1"/>
  <c r="V230" i="1"/>
  <c r="O230" i="1" s="1"/>
  <c r="BE229" i="1"/>
  <c r="AZ229" i="1"/>
  <c r="AE229" i="1"/>
  <c r="V229" i="1"/>
  <c r="O229" i="1" s="1"/>
  <c r="BE228" i="1"/>
  <c r="AZ228" i="1"/>
  <c r="AE228" i="1"/>
  <c r="V228" i="1"/>
  <c r="O228" i="1"/>
  <c r="BE227" i="1"/>
  <c r="AZ227" i="1"/>
  <c r="AE227" i="1"/>
  <c r="V227" i="1"/>
  <c r="O227" i="1"/>
  <c r="BE226" i="1"/>
  <c r="AZ226" i="1"/>
  <c r="AE226" i="1"/>
  <c r="V226" i="1"/>
  <c r="O226" i="1" s="1"/>
  <c r="BE225" i="1"/>
  <c r="AZ225" i="1"/>
  <c r="AE225" i="1"/>
  <c r="O225" i="1" s="1"/>
  <c r="V225" i="1"/>
  <c r="BE224" i="1"/>
  <c r="AZ224" i="1"/>
  <c r="O224" i="1" s="1"/>
  <c r="AE224" i="1"/>
  <c r="V224" i="1"/>
  <c r="BE223" i="1"/>
  <c r="AZ223" i="1"/>
  <c r="AE223" i="1"/>
  <c r="V223" i="1"/>
  <c r="O223" i="1"/>
  <c r="BE222" i="1"/>
  <c r="AZ222" i="1"/>
  <c r="AE222" i="1"/>
  <c r="V222" i="1"/>
  <c r="O222" i="1" s="1"/>
  <c r="BE221" i="1"/>
  <c r="AZ221" i="1"/>
  <c r="AE221" i="1"/>
  <c r="O221" i="1" s="1"/>
  <c r="V221" i="1"/>
  <c r="BE220" i="1"/>
  <c r="AZ220" i="1"/>
  <c r="O220" i="1" s="1"/>
  <c r="AE220" i="1"/>
  <c r="V220" i="1"/>
  <c r="BE219" i="1"/>
  <c r="AZ219" i="1"/>
  <c r="AE219" i="1"/>
  <c r="V219" i="1"/>
  <c r="O219" i="1" s="1"/>
  <c r="BE218" i="1"/>
  <c r="AZ218" i="1"/>
  <c r="AE218" i="1"/>
  <c r="V218" i="1"/>
  <c r="O218" i="1" s="1"/>
  <c r="BE217" i="1"/>
  <c r="AZ217" i="1"/>
  <c r="AE217" i="1"/>
  <c r="V217" i="1"/>
  <c r="O217" i="1" s="1"/>
  <c r="BE216" i="1"/>
  <c r="AZ216" i="1"/>
  <c r="AE216" i="1"/>
  <c r="V216" i="1"/>
  <c r="O216" i="1"/>
  <c r="BE215" i="1"/>
  <c r="AZ215" i="1"/>
  <c r="AE215" i="1"/>
  <c r="V215" i="1"/>
  <c r="O215" i="1"/>
  <c r="BE214" i="1"/>
  <c r="AZ214" i="1"/>
  <c r="AE214" i="1"/>
  <c r="V214" i="1"/>
  <c r="O214" i="1" s="1"/>
  <c r="BE213" i="1"/>
  <c r="AZ213" i="1"/>
  <c r="AE213" i="1"/>
  <c r="O213" i="1" s="1"/>
  <c r="V213" i="1"/>
  <c r="BE212" i="1"/>
  <c r="AZ212" i="1"/>
  <c r="O212" i="1" s="1"/>
  <c r="AE212" i="1"/>
  <c r="V212" i="1"/>
  <c r="BE211" i="1"/>
  <c r="AZ211" i="1"/>
  <c r="AE211" i="1"/>
  <c r="V211" i="1"/>
  <c r="O211" i="1"/>
  <c r="BE210" i="1"/>
  <c r="AZ210" i="1"/>
  <c r="AE210" i="1"/>
  <c r="V210" i="1"/>
  <c r="O210" i="1" s="1"/>
  <c r="BE209" i="1"/>
  <c r="AZ209" i="1"/>
  <c r="AE209" i="1"/>
  <c r="O209" i="1" s="1"/>
  <c r="V209" i="1"/>
  <c r="BE208" i="1"/>
  <c r="AZ208" i="1"/>
  <c r="O208" i="1" s="1"/>
  <c r="AE208" i="1"/>
  <c r="V208" i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AE205" i="1"/>
  <c r="V205" i="1"/>
  <c r="O205" i="1" s="1"/>
  <c r="BE204" i="1"/>
  <c r="AZ204" i="1"/>
  <c r="AE204" i="1"/>
  <c r="V204" i="1"/>
  <c r="O204" i="1"/>
  <c r="BE203" i="1"/>
  <c r="AZ203" i="1"/>
  <c r="AE203" i="1"/>
  <c r="V203" i="1"/>
  <c r="O203" i="1"/>
  <c r="BE202" i="1"/>
  <c r="AZ202" i="1"/>
  <c r="AE202" i="1"/>
  <c r="V202" i="1"/>
  <c r="O202" i="1" s="1"/>
  <c r="BE201" i="1"/>
  <c r="AZ201" i="1"/>
  <c r="AE201" i="1"/>
  <c r="O201" i="1" s="1"/>
  <c r="V201" i="1"/>
  <c r="BE200" i="1"/>
  <c r="AZ200" i="1"/>
  <c r="O200" i="1" s="1"/>
  <c r="AE200" i="1"/>
  <c r="V200" i="1"/>
  <c r="BE199" i="1"/>
  <c r="AZ199" i="1"/>
  <c r="AE199" i="1"/>
  <c r="V199" i="1"/>
  <c r="O199" i="1"/>
  <c r="BE198" i="1"/>
  <c r="AZ198" i="1"/>
  <c r="AE198" i="1"/>
  <c r="V198" i="1"/>
  <c r="O198" i="1" s="1"/>
  <c r="BE197" i="1"/>
  <c r="AZ197" i="1"/>
  <c r="AE197" i="1"/>
  <c r="O197" i="1" s="1"/>
  <c r="V197" i="1"/>
  <c r="BE196" i="1"/>
  <c r="AZ196" i="1"/>
  <c r="O196" i="1" s="1"/>
  <c r="AE196" i="1"/>
  <c r="V196" i="1"/>
  <c r="BE195" i="1"/>
  <c r="AZ195" i="1"/>
  <c r="AE195" i="1"/>
  <c r="V195" i="1"/>
  <c r="O195" i="1" s="1"/>
  <c r="BE194" i="1"/>
  <c r="AZ194" i="1"/>
  <c r="AE194" i="1"/>
  <c r="V194" i="1"/>
  <c r="O194" i="1" s="1"/>
  <c r="BE193" i="1"/>
  <c r="AZ193" i="1"/>
  <c r="AE193" i="1"/>
  <c r="V193" i="1"/>
  <c r="O193" i="1" s="1"/>
  <c r="BE192" i="1"/>
  <c r="AZ192" i="1"/>
  <c r="AE192" i="1"/>
  <c r="V192" i="1"/>
  <c r="O192" i="1"/>
  <c r="BE191" i="1"/>
  <c r="AZ191" i="1"/>
  <c r="AE191" i="1"/>
  <c r="V191" i="1"/>
  <c r="O191" i="1"/>
  <c r="BE190" i="1"/>
  <c r="AZ190" i="1"/>
  <c r="AE190" i="1"/>
  <c r="V190" i="1"/>
  <c r="O190" i="1" s="1"/>
  <c r="BE189" i="1"/>
  <c r="AZ189" i="1"/>
  <c r="AE189" i="1"/>
  <c r="O189" i="1" s="1"/>
  <c r="V189" i="1"/>
  <c r="BE188" i="1"/>
  <c r="AZ188" i="1"/>
  <c r="O188" i="1" s="1"/>
  <c r="AE188" i="1"/>
  <c r="V188" i="1"/>
  <c r="BE187" i="1"/>
  <c r="AZ187" i="1"/>
  <c r="AE187" i="1"/>
  <c r="V187" i="1"/>
  <c r="O187" i="1"/>
  <c r="BE186" i="1"/>
  <c r="AZ186" i="1"/>
  <c r="AE186" i="1"/>
  <c r="V186" i="1"/>
  <c r="O186" i="1" s="1"/>
  <c r="BE185" i="1"/>
  <c r="AZ185" i="1"/>
  <c r="AE185" i="1"/>
  <c r="O185" i="1" s="1"/>
  <c r="V185" i="1"/>
  <c r="BE184" i="1"/>
  <c r="AZ184" i="1"/>
  <c r="O184" i="1" s="1"/>
  <c r="AE184" i="1"/>
  <c r="V184" i="1"/>
  <c r="BE183" i="1"/>
  <c r="AZ183" i="1"/>
  <c r="AE183" i="1"/>
  <c r="V183" i="1"/>
  <c r="O183" i="1" s="1"/>
  <c r="BE182" i="1"/>
  <c r="AZ182" i="1"/>
  <c r="AE182" i="1"/>
  <c r="V182" i="1"/>
  <c r="O182" i="1" s="1"/>
  <c r="BE181" i="1"/>
  <c r="AZ181" i="1"/>
  <c r="AE181" i="1"/>
  <c r="V181" i="1"/>
  <c r="O181" i="1" s="1"/>
  <c r="BE180" i="1"/>
  <c r="AZ180" i="1"/>
  <c r="AE180" i="1"/>
  <c r="V180" i="1"/>
  <c r="O180" i="1"/>
  <c r="BE179" i="1"/>
  <c r="AZ179" i="1"/>
  <c r="AE179" i="1"/>
  <c r="V179" i="1"/>
  <c r="O179" i="1"/>
  <c r="BE178" i="1"/>
  <c r="AZ178" i="1"/>
  <c r="AE178" i="1"/>
  <c r="V178" i="1"/>
  <c r="O178" i="1" s="1"/>
  <c r="BE177" i="1"/>
  <c r="AZ177" i="1"/>
  <c r="AE177" i="1"/>
  <c r="O177" i="1" s="1"/>
  <c r="V177" i="1"/>
  <c r="BE176" i="1"/>
  <c r="AZ176" i="1"/>
  <c r="O176" i="1" s="1"/>
  <c r="AE176" i="1"/>
  <c r="V176" i="1"/>
  <c r="BE175" i="1"/>
  <c r="AZ175" i="1"/>
  <c r="AE175" i="1"/>
  <c r="V175" i="1"/>
  <c r="O175" i="1"/>
  <c r="BE174" i="1"/>
  <c r="AZ174" i="1"/>
  <c r="AE174" i="1"/>
  <c r="V174" i="1"/>
  <c r="O174" i="1" s="1"/>
  <c r="BE173" i="1"/>
  <c r="AZ173" i="1"/>
  <c r="AE173" i="1"/>
  <c r="O173" i="1" s="1"/>
  <c r="V173" i="1"/>
  <c r="BE172" i="1"/>
  <c r="AZ172" i="1"/>
  <c r="O172" i="1" s="1"/>
  <c r="AE172" i="1"/>
  <c r="V172" i="1"/>
  <c r="BE171" i="1"/>
  <c r="AZ171" i="1"/>
  <c r="AE171" i="1"/>
  <c r="V171" i="1"/>
  <c r="O171" i="1" s="1"/>
  <c r="BE170" i="1"/>
  <c r="AZ170" i="1"/>
  <c r="AE170" i="1"/>
  <c r="V170" i="1"/>
  <c r="O170" i="1" s="1"/>
  <c r="BE169" i="1"/>
  <c r="AZ169" i="1"/>
  <c r="AE169" i="1"/>
  <c r="V169" i="1"/>
  <c r="O169" i="1" s="1"/>
  <c r="BE168" i="1"/>
  <c r="AZ168" i="1"/>
  <c r="AE168" i="1"/>
  <c r="V168" i="1"/>
  <c r="O168" i="1"/>
  <c r="BE167" i="1"/>
  <c r="AZ167" i="1"/>
  <c r="AE167" i="1"/>
  <c r="V167" i="1"/>
  <c r="O167" i="1"/>
  <c r="BE166" i="1"/>
  <c r="AZ166" i="1"/>
  <c r="AE166" i="1"/>
  <c r="V166" i="1"/>
  <c r="O166" i="1" s="1"/>
  <c r="BE165" i="1"/>
  <c r="AZ165" i="1"/>
  <c r="AE165" i="1"/>
  <c r="V165" i="1"/>
  <c r="O165" i="1" s="1"/>
  <c r="BE164" i="1"/>
  <c r="AZ164" i="1"/>
  <c r="O164" i="1" s="1"/>
  <c r="AE164" i="1"/>
  <c r="V164" i="1"/>
  <c r="BE163" i="1"/>
  <c r="AZ163" i="1"/>
  <c r="AE163" i="1"/>
  <c r="V163" i="1"/>
  <c r="O163" i="1"/>
  <c r="BE162" i="1"/>
  <c r="AZ162" i="1"/>
  <c r="AE162" i="1"/>
  <c r="V162" i="1"/>
  <c r="O162" i="1" s="1"/>
  <c r="BE161" i="1"/>
  <c r="AZ161" i="1"/>
  <c r="O161" i="1" s="1"/>
  <c r="AE161" i="1"/>
  <c r="V161" i="1"/>
  <c r="BE160" i="1"/>
  <c r="AZ160" i="1"/>
  <c r="O160" i="1" s="1"/>
  <c r="AE160" i="1"/>
  <c r="V160" i="1"/>
  <c r="BE159" i="1"/>
  <c r="AZ159" i="1"/>
  <c r="AE159" i="1"/>
  <c r="V159" i="1"/>
  <c r="O159" i="1" s="1"/>
  <c r="BE158" i="1"/>
  <c r="AZ158" i="1"/>
  <c r="AE158" i="1"/>
  <c r="V158" i="1"/>
  <c r="O158" i="1" s="1"/>
  <c r="BE157" i="1"/>
  <c r="AZ157" i="1"/>
  <c r="AE157" i="1"/>
  <c r="V157" i="1"/>
  <c r="O157" i="1" s="1"/>
  <c r="BE156" i="1"/>
  <c r="AZ156" i="1"/>
  <c r="AE156" i="1"/>
  <c r="V156" i="1"/>
  <c r="O156" i="1"/>
  <c r="BE155" i="1"/>
  <c r="AZ155" i="1"/>
  <c r="AE155" i="1"/>
  <c r="V155" i="1"/>
  <c r="O155" i="1"/>
  <c r="BE154" i="1"/>
  <c r="AZ154" i="1"/>
  <c r="AE154" i="1"/>
  <c r="V154" i="1"/>
  <c r="O154" i="1" s="1"/>
  <c r="BE153" i="1"/>
  <c r="AZ153" i="1"/>
  <c r="AE153" i="1"/>
  <c r="V153" i="1"/>
  <c r="O153" i="1" s="1"/>
  <c r="BE152" i="1"/>
  <c r="AZ152" i="1"/>
  <c r="O152" i="1" s="1"/>
  <c r="AE152" i="1"/>
  <c r="V152" i="1"/>
  <c r="BE151" i="1"/>
  <c r="AZ151" i="1"/>
  <c r="AE151" i="1"/>
  <c r="V151" i="1"/>
  <c r="O151" i="1"/>
  <c r="BE150" i="1"/>
  <c r="AZ150" i="1"/>
  <c r="AE150" i="1"/>
  <c r="V150" i="1"/>
  <c r="O150" i="1" s="1"/>
  <c r="BE149" i="1"/>
  <c r="AZ149" i="1"/>
  <c r="O149" i="1" s="1"/>
  <c r="AE149" i="1"/>
  <c r="V149" i="1"/>
  <c r="BE148" i="1"/>
  <c r="AZ148" i="1"/>
  <c r="O148" i="1" s="1"/>
  <c r="AE148" i="1"/>
  <c r="V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AE145" i="1"/>
  <c r="V145" i="1"/>
  <c r="O145" i="1" s="1"/>
  <c r="BE144" i="1"/>
  <c r="AZ144" i="1"/>
  <c r="AE144" i="1"/>
  <c r="V144" i="1"/>
  <c r="O144" i="1"/>
  <c r="BE143" i="1"/>
  <c r="AZ143" i="1"/>
  <c r="AE143" i="1"/>
  <c r="V143" i="1"/>
  <c r="O143" i="1"/>
  <c r="BE142" i="1"/>
  <c r="AZ142" i="1"/>
  <c r="AE142" i="1"/>
  <c r="V142" i="1"/>
  <c r="O142" i="1" s="1"/>
  <c r="BE141" i="1"/>
  <c r="AZ141" i="1"/>
  <c r="AE141" i="1"/>
  <c r="V141" i="1"/>
  <c r="O141" i="1" s="1"/>
  <c r="BE140" i="1"/>
  <c r="AZ140" i="1"/>
  <c r="O140" i="1" s="1"/>
  <c r="AE140" i="1"/>
  <c r="V140" i="1"/>
  <c r="BE139" i="1"/>
  <c r="AZ139" i="1"/>
  <c r="AE139" i="1"/>
  <c r="V139" i="1"/>
  <c r="O139" i="1"/>
  <c r="BE138" i="1"/>
  <c r="AZ138" i="1"/>
  <c r="AE138" i="1"/>
  <c r="V138" i="1"/>
  <c r="O138" i="1" s="1"/>
  <c r="BE137" i="1"/>
  <c r="AZ137" i="1"/>
  <c r="O137" i="1" s="1"/>
  <c r="AE137" i="1"/>
  <c r="V137" i="1"/>
  <c r="BE136" i="1"/>
  <c r="AZ136" i="1"/>
  <c r="O136" i="1" s="1"/>
  <c r="AE136" i="1"/>
  <c r="V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AE133" i="1"/>
  <c r="V133" i="1"/>
  <c r="O133" i="1" s="1"/>
  <c r="BE132" i="1"/>
  <c r="AZ132" i="1"/>
  <c r="AE132" i="1"/>
  <c r="V132" i="1"/>
  <c r="O132" i="1"/>
  <c r="BE131" i="1"/>
  <c r="AZ131" i="1"/>
  <c r="AE131" i="1"/>
  <c r="V131" i="1"/>
  <c r="O131" i="1"/>
  <c r="BE130" i="1"/>
  <c r="AZ130" i="1"/>
  <c r="AE130" i="1"/>
  <c r="V130" i="1"/>
  <c r="O130" i="1" s="1"/>
  <c r="BE129" i="1"/>
  <c r="AZ129" i="1"/>
  <c r="AE129" i="1"/>
  <c r="V129" i="1"/>
  <c r="O129" i="1" s="1"/>
  <c r="BE128" i="1"/>
  <c r="AZ128" i="1"/>
  <c r="O128" i="1" s="1"/>
  <c r="AE128" i="1"/>
  <c r="V128" i="1"/>
  <c r="BE127" i="1"/>
  <c r="AZ127" i="1"/>
  <c r="AE127" i="1"/>
  <c r="V127" i="1"/>
  <c r="O127" i="1"/>
  <c r="BE126" i="1"/>
  <c r="AZ126" i="1"/>
  <c r="AE126" i="1"/>
  <c r="V126" i="1"/>
  <c r="O126" i="1" s="1"/>
  <c r="BE125" i="1"/>
  <c r="AZ125" i="1"/>
  <c r="O125" i="1" s="1"/>
  <c r="AE125" i="1"/>
  <c r="V125" i="1"/>
  <c r="BE124" i="1"/>
  <c r="AZ124" i="1"/>
  <c r="O124" i="1" s="1"/>
  <c r="AE124" i="1"/>
  <c r="V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AE121" i="1"/>
  <c r="V121" i="1"/>
  <c r="O121" i="1" s="1"/>
  <c r="BE120" i="1"/>
  <c r="AZ120" i="1"/>
  <c r="AE120" i="1"/>
  <c r="V120" i="1"/>
  <c r="O120" i="1"/>
  <c r="BE119" i="1"/>
  <c r="AZ119" i="1"/>
  <c r="AE119" i="1"/>
  <c r="V119" i="1"/>
  <c r="O119" i="1"/>
  <c r="BE118" i="1"/>
  <c r="AZ118" i="1"/>
  <c r="AE118" i="1"/>
  <c r="V118" i="1"/>
  <c r="O118" i="1" s="1"/>
  <c r="BE117" i="1"/>
  <c r="AZ117" i="1"/>
  <c r="AE117" i="1"/>
  <c r="V117" i="1"/>
  <c r="O117" i="1" s="1"/>
  <c r="BE116" i="1"/>
  <c r="AZ116" i="1"/>
  <c r="O116" i="1" s="1"/>
  <c r="AE116" i="1"/>
  <c r="V116" i="1"/>
  <c r="BE115" i="1"/>
  <c r="AZ115" i="1"/>
  <c r="AE115" i="1"/>
  <c r="V115" i="1"/>
  <c r="O115" i="1"/>
  <c r="BE114" i="1"/>
  <c r="AZ114" i="1"/>
  <c r="AE114" i="1"/>
  <c r="V114" i="1"/>
  <c r="O114" i="1" s="1"/>
  <c r="BE113" i="1"/>
  <c r="AZ113" i="1"/>
  <c r="O113" i="1" s="1"/>
  <c r="AE113" i="1"/>
  <c r="V113" i="1"/>
  <c r="BE112" i="1"/>
  <c r="AZ112" i="1"/>
  <c r="O112" i="1" s="1"/>
  <c r="AE112" i="1"/>
  <c r="V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AE109" i="1"/>
  <c r="V109" i="1"/>
  <c r="O109" i="1" s="1"/>
  <c r="BE108" i="1"/>
  <c r="AZ108" i="1"/>
  <c r="AE108" i="1"/>
  <c r="V108" i="1"/>
  <c r="O108" i="1"/>
  <c r="BE107" i="1"/>
  <c r="AZ107" i="1"/>
  <c r="AE107" i="1"/>
  <c r="V107" i="1"/>
  <c r="O107" i="1"/>
  <c r="BE106" i="1"/>
  <c r="AZ106" i="1"/>
  <c r="AE106" i="1"/>
  <c r="V106" i="1"/>
  <c r="O106" i="1" s="1"/>
  <c r="BE105" i="1"/>
  <c r="AZ105" i="1"/>
  <c r="AE105" i="1"/>
  <c r="V105" i="1"/>
  <c r="O105" i="1" s="1"/>
  <c r="BE104" i="1"/>
  <c r="AZ104" i="1"/>
  <c r="O104" i="1" s="1"/>
  <c r="AE104" i="1"/>
  <c r="V104" i="1"/>
  <c r="BE103" i="1"/>
  <c r="AZ103" i="1"/>
  <c r="AE103" i="1"/>
  <c r="V103" i="1"/>
  <c r="O103" i="1"/>
  <c r="BE102" i="1"/>
  <c r="AZ102" i="1"/>
  <c r="AE102" i="1"/>
  <c r="V102" i="1"/>
  <c r="O102" i="1" s="1"/>
  <c r="BE101" i="1"/>
  <c r="AZ101" i="1"/>
  <c r="O101" i="1" s="1"/>
  <c r="AE101" i="1"/>
  <c r="V101" i="1"/>
  <c r="BE100" i="1"/>
  <c r="AZ100" i="1"/>
  <c r="O100" i="1" s="1"/>
  <c r="AE100" i="1"/>
  <c r="V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 s="1"/>
  <c r="BE96" i="1"/>
  <c r="AZ96" i="1"/>
  <c r="O96" i="1" s="1"/>
  <c r="AE96" i="1"/>
  <c r="V96" i="1"/>
  <c r="BE95" i="1"/>
  <c r="AZ95" i="1"/>
  <c r="O95" i="1" s="1"/>
  <c r="AE95" i="1"/>
  <c r="V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AE92" i="1"/>
  <c r="V92" i="1"/>
  <c r="O92" i="1" s="1"/>
  <c r="BE91" i="1"/>
  <c r="AZ91" i="1"/>
  <c r="AE91" i="1"/>
  <c r="V91" i="1"/>
  <c r="O91" i="1"/>
  <c r="BE90" i="1"/>
  <c r="AZ90" i="1"/>
  <c r="AE90" i="1"/>
  <c r="V90" i="1"/>
  <c r="O90" i="1"/>
  <c r="BE89" i="1"/>
  <c r="AZ89" i="1"/>
  <c r="AE89" i="1"/>
  <c r="V89" i="1"/>
  <c r="O89" i="1" s="1"/>
  <c r="BE88" i="1"/>
  <c r="AZ88" i="1"/>
  <c r="AE88" i="1"/>
  <c r="V88" i="1"/>
  <c r="O88" i="1" s="1"/>
  <c r="BE87" i="1"/>
  <c r="AZ87" i="1"/>
  <c r="O87" i="1" s="1"/>
  <c r="AE87" i="1"/>
  <c r="V87" i="1"/>
  <c r="BE86" i="1"/>
  <c r="AZ86" i="1"/>
  <c r="AE86" i="1"/>
  <c r="V86" i="1"/>
  <c r="O86" i="1"/>
  <c r="BE85" i="1"/>
  <c r="AZ85" i="1"/>
  <c r="AE85" i="1"/>
  <c r="V85" i="1"/>
  <c r="O85" i="1" s="1"/>
  <c r="BE84" i="1"/>
  <c r="AZ84" i="1"/>
  <c r="O84" i="1" s="1"/>
  <c r="AE84" i="1"/>
  <c r="V84" i="1"/>
  <c r="BE83" i="1"/>
  <c r="AZ83" i="1"/>
  <c r="O83" i="1" s="1"/>
  <c r="AE83" i="1"/>
  <c r="V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AE80" i="1"/>
  <c r="V80" i="1"/>
  <c r="O80" i="1" s="1"/>
  <c r="BE79" i="1"/>
  <c r="AZ79" i="1"/>
  <c r="AE79" i="1"/>
  <c r="V79" i="1"/>
  <c r="O79" i="1"/>
  <c r="BE78" i="1"/>
  <c r="AZ78" i="1"/>
  <c r="AE78" i="1"/>
  <c r="V78" i="1"/>
  <c r="O78" i="1"/>
  <c r="BE77" i="1"/>
  <c r="AZ77" i="1"/>
  <c r="AE77" i="1"/>
  <c r="V77" i="1"/>
  <c r="O77" i="1" s="1"/>
  <c r="BE76" i="1"/>
  <c r="AZ76" i="1"/>
  <c r="AE76" i="1"/>
  <c r="V76" i="1"/>
  <c r="O76" i="1" s="1"/>
  <c r="BE75" i="1"/>
  <c r="AZ75" i="1"/>
  <c r="O75" i="1" s="1"/>
  <c r="AE75" i="1"/>
  <c r="V75" i="1"/>
  <c r="BE74" i="1"/>
  <c r="AZ74" i="1"/>
  <c r="AE74" i="1"/>
  <c r="V74" i="1"/>
  <c r="O74" i="1"/>
  <c r="BE73" i="1"/>
  <c r="AZ73" i="1"/>
  <c r="AE73" i="1"/>
  <c r="V73" i="1"/>
  <c r="O73" i="1" s="1"/>
  <c r="BE72" i="1"/>
  <c r="AZ72" i="1"/>
  <c r="O72" i="1" s="1"/>
  <c r="AE72" i="1"/>
  <c r="V72" i="1"/>
  <c r="BE71" i="1"/>
  <c r="AZ71" i="1"/>
  <c r="O71" i="1" s="1"/>
  <c r="AE71" i="1"/>
  <c r="V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V68" i="1"/>
  <c r="O68" i="1" s="1"/>
  <c r="BE67" i="1"/>
  <c r="AZ67" i="1"/>
  <c r="AE67" i="1"/>
  <c r="V67" i="1"/>
  <c r="O67" i="1"/>
  <c r="BE66" i="1"/>
  <c r="AZ66" i="1"/>
  <c r="AE66" i="1"/>
  <c r="V66" i="1"/>
  <c r="O66" i="1"/>
  <c r="BE65" i="1"/>
  <c r="AZ65" i="1"/>
  <c r="AE65" i="1"/>
  <c r="V65" i="1"/>
  <c r="O65" i="1" s="1"/>
  <c r="BE64" i="1"/>
  <c r="AZ64" i="1"/>
  <c r="AE64" i="1"/>
  <c r="V64" i="1"/>
  <c r="O64" i="1" s="1"/>
  <c r="BE63" i="1"/>
  <c r="AZ63" i="1"/>
  <c r="O63" i="1" s="1"/>
  <c r="AE63" i="1"/>
  <c r="V63" i="1"/>
  <c r="BE62" i="1"/>
  <c r="AZ62" i="1"/>
  <c r="AE62" i="1"/>
  <c r="V62" i="1"/>
  <c r="O62" i="1"/>
  <c r="BE61" i="1"/>
  <c r="AZ61" i="1"/>
  <c r="AE61" i="1"/>
  <c r="V61" i="1"/>
  <c r="O61" i="1" s="1"/>
  <c r="BE60" i="1"/>
  <c r="AZ60" i="1"/>
  <c r="O60" i="1" s="1"/>
  <c r="AE60" i="1"/>
  <c r="V60" i="1"/>
  <c r="BE59" i="1"/>
  <c r="AZ59" i="1"/>
  <c r="O59" i="1" s="1"/>
  <c r="AE59" i="1"/>
  <c r="V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AE56" i="1"/>
  <c r="V56" i="1"/>
  <c r="O56" i="1" s="1"/>
  <c r="BE55" i="1"/>
  <c r="AZ55" i="1"/>
  <c r="AE55" i="1"/>
  <c r="V55" i="1"/>
  <c r="O55" i="1"/>
  <c r="BE54" i="1"/>
  <c r="AZ54" i="1"/>
  <c r="AE54" i="1"/>
  <c r="V54" i="1"/>
  <c r="O54" i="1"/>
  <c r="BE53" i="1"/>
  <c r="AZ53" i="1"/>
  <c r="AE53" i="1"/>
  <c r="V53" i="1"/>
  <c r="O53" i="1" s="1"/>
  <c r="BE52" i="1"/>
  <c r="AZ52" i="1"/>
  <c r="AE52" i="1"/>
  <c r="V52" i="1"/>
  <c r="O52" i="1" s="1"/>
  <c r="BE51" i="1"/>
  <c r="AZ51" i="1"/>
  <c r="O51" i="1" s="1"/>
  <c r="AE51" i="1"/>
  <c r="V51" i="1"/>
  <c r="BE50" i="1"/>
  <c r="AZ50" i="1"/>
  <c r="AE50" i="1"/>
  <c r="V50" i="1"/>
  <c r="O50" i="1"/>
  <c r="BE49" i="1"/>
  <c r="AZ49" i="1"/>
  <c r="AE49" i="1"/>
  <c r="V49" i="1"/>
  <c r="O49" i="1" s="1"/>
  <c r="BE48" i="1"/>
  <c r="AZ48" i="1"/>
  <c r="O48" i="1" s="1"/>
  <c r="AE48" i="1"/>
  <c r="V48" i="1"/>
  <c r="BE47" i="1"/>
  <c r="AZ47" i="1"/>
  <c r="O47" i="1" s="1"/>
  <c r="AE47" i="1"/>
  <c r="V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AE44" i="1"/>
  <c r="V44" i="1"/>
  <c r="O44" i="1" s="1"/>
  <c r="BE43" i="1"/>
  <c r="AZ43" i="1"/>
  <c r="AE43" i="1"/>
  <c r="V43" i="1"/>
  <c r="O43" i="1"/>
  <c r="BE42" i="1"/>
  <c r="AZ42" i="1"/>
  <c r="AE42" i="1"/>
  <c r="V42" i="1"/>
  <c r="O42" i="1"/>
  <c r="BE41" i="1"/>
  <c r="AZ41" i="1"/>
  <c r="AE41" i="1"/>
  <c r="V41" i="1"/>
  <c r="O41" i="1" s="1"/>
  <c r="BE40" i="1"/>
  <c r="AZ40" i="1"/>
  <c r="AE40" i="1"/>
  <c r="V40" i="1"/>
  <c r="O40" i="1" s="1"/>
  <c r="BE39" i="1"/>
  <c r="AZ39" i="1"/>
  <c r="O39" i="1" s="1"/>
  <c r="AE39" i="1"/>
  <c r="V39" i="1"/>
  <c r="BE38" i="1"/>
  <c r="AZ38" i="1"/>
  <c r="AE38" i="1"/>
  <c r="V38" i="1"/>
  <c r="O38" i="1"/>
  <c r="BE37" i="1"/>
  <c r="AZ37" i="1"/>
  <c r="AE37" i="1"/>
  <c r="V37" i="1"/>
  <c r="O37" i="1" s="1"/>
  <c r="AE36" i="1"/>
  <c r="V36" i="1"/>
  <c r="O36" i="1" s="1"/>
  <c r="BE35" i="1"/>
  <c r="AZ35" i="1"/>
  <c r="AE35" i="1"/>
  <c r="V35" i="1"/>
  <c r="O35" i="1" s="1"/>
  <c r="BE34" i="1"/>
  <c r="AZ34" i="1"/>
  <c r="AE34" i="1"/>
  <c r="V34" i="1"/>
  <c r="O34" i="1" s="1"/>
  <c r="BE33" i="1"/>
  <c r="AZ33" i="1"/>
  <c r="AE33" i="1"/>
  <c r="V33" i="1"/>
  <c r="O33" i="1"/>
  <c r="BE32" i="1"/>
  <c r="AZ32" i="1"/>
  <c r="AE32" i="1"/>
  <c r="V32" i="1"/>
  <c r="O32" i="1"/>
  <c r="BE31" i="1"/>
  <c r="AZ31" i="1"/>
  <c r="AE31" i="1"/>
  <c r="V31" i="1"/>
  <c r="O31" i="1" s="1"/>
  <c r="BE30" i="1"/>
  <c r="AZ30" i="1"/>
  <c r="AE30" i="1"/>
  <c r="V30" i="1"/>
  <c r="O30" i="1" s="1"/>
  <c r="BE29" i="1"/>
  <c r="AZ29" i="1"/>
  <c r="O29" i="1" s="1"/>
  <c r="AE29" i="1"/>
  <c r="V29" i="1"/>
  <c r="BE28" i="1"/>
  <c r="AZ28" i="1"/>
  <c r="AE28" i="1"/>
  <c r="V28" i="1"/>
  <c r="O28" i="1"/>
  <c r="BE27" i="1"/>
  <c r="AZ27" i="1"/>
  <c r="AE27" i="1"/>
  <c r="V27" i="1"/>
  <c r="O27" i="1" s="1"/>
  <c r="BE26" i="1"/>
  <c r="AZ26" i="1"/>
  <c r="O26" i="1" s="1"/>
  <c r="AE26" i="1"/>
  <c r="V26" i="1"/>
  <c r="BE25" i="1"/>
  <c r="AZ25" i="1"/>
  <c r="O25" i="1" s="1"/>
  <c r="AE25" i="1"/>
  <c r="V25" i="1"/>
  <c r="BE24" i="1"/>
  <c r="AZ24" i="1"/>
  <c r="AE24" i="1"/>
  <c r="V24" i="1"/>
  <c r="O24" i="1" s="1"/>
  <c r="BE23" i="1"/>
  <c r="AZ23" i="1"/>
  <c r="AE23" i="1"/>
  <c r="V23" i="1"/>
  <c r="O23" i="1" s="1"/>
  <c r="BE22" i="1"/>
  <c r="AZ22" i="1"/>
  <c r="AE22" i="1"/>
  <c r="V22" i="1"/>
  <c r="O22" i="1" s="1"/>
  <c r="BE21" i="1"/>
  <c r="AZ21" i="1"/>
  <c r="AE21" i="1"/>
  <c r="V21" i="1"/>
  <c r="O21" i="1"/>
  <c r="BE20" i="1"/>
  <c r="AZ20" i="1"/>
  <c r="AE20" i="1"/>
  <c r="V20" i="1"/>
  <c r="O20" i="1"/>
  <c r="BE19" i="1"/>
  <c r="AZ19" i="1"/>
  <c r="AE19" i="1"/>
  <c r="V19" i="1"/>
  <c r="O19" i="1" s="1"/>
  <c r="BE18" i="1"/>
  <c r="AZ18" i="1"/>
  <c r="AE18" i="1"/>
  <c r="V18" i="1"/>
  <c r="O18" i="1" s="1"/>
  <c r="BE17" i="1"/>
  <c r="AZ17" i="1"/>
  <c r="O17" i="1" s="1"/>
  <c r="AE17" i="1"/>
  <c r="V17" i="1"/>
  <c r="BE16" i="1"/>
  <c r="AZ16" i="1"/>
  <c r="AE16" i="1"/>
  <c r="V16" i="1"/>
  <c r="O16" i="1"/>
  <c r="BE15" i="1"/>
  <c r="AZ15" i="1"/>
  <c r="AE15" i="1"/>
  <c r="V15" i="1"/>
  <c r="O15" i="1" s="1"/>
  <c r="BE14" i="1"/>
  <c r="AZ14" i="1"/>
  <c r="O14" i="1" s="1"/>
  <c r="AE14" i="1"/>
  <c r="V14" i="1"/>
  <c r="BE13" i="1"/>
  <c r="AZ13" i="1"/>
  <c r="O13" i="1" s="1"/>
  <c r="AE13" i="1"/>
  <c r="V13" i="1"/>
  <c r="BE12" i="1"/>
  <c r="AZ12" i="1"/>
  <c r="AE12" i="1"/>
  <c r="V12" i="1"/>
  <c r="O12" i="1" s="1"/>
  <c r="BE11" i="1"/>
  <c r="AZ11" i="1"/>
  <c r="AE11" i="1"/>
  <c r="V11" i="1"/>
  <c r="O11" i="1" s="1"/>
  <c r="BE10" i="1"/>
  <c r="AZ10" i="1"/>
  <c r="AE10" i="1"/>
  <c r="V10" i="1"/>
  <c r="O10" i="1" s="1"/>
  <c r="BE9" i="1"/>
  <c r="AZ9" i="1"/>
  <c r="AE9" i="1"/>
  <c r="V9" i="1"/>
  <c r="O9" i="1"/>
  <c r="BE8" i="1"/>
  <c r="AZ8" i="1"/>
  <c r="AE8" i="1"/>
  <c r="V8" i="1"/>
  <c r="O8" i="1"/>
  <c r="BE7" i="1"/>
  <c r="AZ7" i="1"/>
  <c r="AE7" i="1"/>
  <c r="V7" i="1"/>
  <c r="O7" i="1" s="1"/>
  <c r="BE6" i="1"/>
  <c r="AZ6" i="1"/>
  <c r="AE6" i="1"/>
  <c r="V6" i="1"/>
  <c r="O6" i="1" s="1"/>
  <c r="BE5" i="1"/>
  <c r="AZ5" i="1"/>
  <c r="O5" i="1" s="1"/>
  <c r="AE5" i="1"/>
  <c r="V5" i="1"/>
  <c r="AE4" i="1"/>
  <c r="V4" i="1"/>
  <c r="O4" i="1"/>
  <c r="O518" i="1" l="1"/>
  <c r="O542" i="1"/>
  <c r="O587" i="1"/>
  <c r="O625" i="1"/>
  <c r="Q74" i="2"/>
  <c r="Q115" i="2"/>
  <c r="Q281" i="2"/>
  <c r="O505" i="1"/>
  <c r="O598" i="1"/>
  <c r="O606" i="1"/>
  <c r="O647" i="1"/>
  <c r="Q35" i="2"/>
  <c r="Q96" i="2"/>
  <c r="Q137" i="2"/>
  <c r="Q198" i="2"/>
  <c r="Q259" i="2"/>
  <c r="Q300" i="2"/>
  <c r="O477" i="1"/>
  <c r="O524" i="1"/>
  <c r="O548" i="1"/>
  <c r="O582" i="1"/>
  <c r="O593" i="1"/>
  <c r="O623" i="1"/>
  <c r="Q8" i="2"/>
  <c r="Q52" i="2"/>
  <c r="Q113" i="2"/>
  <c r="Q151" i="2"/>
  <c r="Q276" i="2"/>
  <c r="Q328" i="2"/>
  <c r="O579" i="1"/>
  <c r="O642" i="1"/>
  <c r="Q30" i="2"/>
  <c r="Q91" i="2"/>
  <c r="Q132" i="2"/>
  <c r="Q213" i="2"/>
  <c r="Q249" i="2"/>
  <c r="Q293" i="2"/>
  <c r="O465" i="1"/>
  <c r="O493" i="1"/>
  <c r="O530" i="1"/>
  <c r="O554" i="1"/>
  <c r="O610" i="1"/>
  <c r="O618" i="1"/>
  <c r="Q6" i="2"/>
  <c r="Q47" i="2"/>
  <c r="Q64" i="2"/>
  <c r="Q108" i="2"/>
  <c r="Q149" i="2"/>
  <c r="Q210" i="2"/>
  <c r="Q227" i="2"/>
  <c r="Q271" i="2"/>
  <c r="O605" i="1"/>
  <c r="O635" i="1"/>
  <c r="Q20" i="2"/>
  <c r="Q84" i="2"/>
  <c r="Q125" i="2"/>
  <c r="Q163" i="2"/>
  <c r="Q183" i="2"/>
  <c r="Q247" i="2"/>
  <c r="Q385" i="2"/>
  <c r="O446" i="1"/>
  <c r="O512" i="1"/>
  <c r="O536" i="1"/>
  <c r="O560" i="1"/>
  <c r="O654" i="1"/>
  <c r="Q62" i="2"/>
  <c r="Q144" i="2"/>
  <c r="Q225" i="2"/>
  <c r="Q266" i="2"/>
  <c r="Q283" i="2"/>
  <c r="Q311" i="2"/>
  <c r="Q335" i="2"/>
  <c r="Q559" i="2"/>
  <c r="Q584" i="2"/>
  <c r="Q314" i="2"/>
  <c r="Q320" i="2"/>
  <c r="Q338" i="2"/>
  <c r="Q341" i="2"/>
  <c r="Q364" i="2"/>
  <c r="Q395" i="2"/>
  <c r="Q420" i="2"/>
  <c r="Q431" i="2"/>
  <c r="Q456" i="2"/>
  <c r="Q467" i="2"/>
  <c r="Q492" i="2"/>
  <c r="Q503" i="2"/>
  <c r="Q528" i="2"/>
  <c r="Q539" i="2"/>
  <c r="O15" i="3"/>
  <c r="O26" i="3"/>
  <c r="O51" i="3"/>
  <c r="O62" i="3"/>
  <c r="O87" i="3"/>
  <c r="Q312" i="2"/>
  <c r="Q396" i="2"/>
  <c r="Q407" i="2"/>
  <c r="Q432" i="2"/>
  <c r="Q443" i="2"/>
  <c r="Q468" i="2"/>
  <c r="Q479" i="2"/>
  <c r="Q504" i="2"/>
  <c r="Q515" i="2"/>
  <c r="Q540" i="2"/>
  <c r="O27" i="3"/>
  <c r="O38" i="3"/>
  <c r="O63" i="3"/>
  <c r="O74" i="3"/>
  <c r="Q324" i="2"/>
  <c r="Q350" i="2"/>
  <c r="Q354" i="2"/>
  <c r="Q603" i="2"/>
  <c r="Q628" i="2"/>
  <c r="Q6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<sst xmlns="http://schemas.openxmlformats.org/spreadsheetml/2006/main" count="10350" uniqueCount="2170">
  <si>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</si>
  <si>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</si>
  <si>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</si>
  <si>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</si>
  <si>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</si>
  <si>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</si>
  <si>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</si>
  <si>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</si>
  <si>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</si>
  <si>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</si>
  <si>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</si>
  <si>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</si>
  <si>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</si>
  <si>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</si>
  <si>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</si>
  <si>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</si>
  <si>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</si>
  <si>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</si>
  <si>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</si>
  <si>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</si>
  <si>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</si>
  <si>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</si>
  <si>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</si>
  <si>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</si>
  <si>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</si>
  <si>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</si>
  <si>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</si>
  <si>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</si>
  <si>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</si>
  <si>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</si>
  <si>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</si>
  <si>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</si>
  <si>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</si>
  <si>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</si>
  <si>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</si>
  <si>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</si>
  <si>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</si>
  <si>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</si>
  <si>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</si>
  <si>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</si>
  <si>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</si>
  <si>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</si>
  <si>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</si>
  <si>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</si>
  <si>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</si>
  <si>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</si>
  <si>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</si>
  <si>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</si>
  <si>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</si>
  <si>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</si>
  <si>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</si>
  <si>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</si>
  <si>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</si>
  <si>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</si>
  <si>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</si>
  <si>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</si>
  <si>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</si>
  <si>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</si>
  <si>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</si>
  <si>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</si>
  <si>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</si>
  <si>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</si>
  <si>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</si>
  <si>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</si>
  <si>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</si>
  <si>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</si>
  <si>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</si>
  <si>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</si>
  <si>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</si>
  <si>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</si>
  <si>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</si>
  <si>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</si>
  <si>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</si>
  <si>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</si>
  <si>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</si>
  <si>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</si>
  <si>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</si>
  <si>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</si>
  <si>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</si>
  <si>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</si>
  <si>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</si>
  <si>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</si>
  <si>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</si>
  <si>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</si>
  <si>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</si>
  <si>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</si>
  <si>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</si>
  <si>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</si>
  <si>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</si>
  <si>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</si>
  <si>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</si>
  <si>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</si>
  <si>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</si>
  <si>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</si>
  <si>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</si>
  <si>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</si>
  <si>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</si>
  <si>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</si>
  <si>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</si>
  <si>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</si>
  <si>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</si>
  <si>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</si>
  <si>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</si>
  <si>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</si>
  <si>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</si>
  <si>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</si>
  <si>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</si>
  <si>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</si>
  <si>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</si>
  <si>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</si>
  <si>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</si>
  <si>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</si>
  <si>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</si>
  <si>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</si>
  <si>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</si>
  <si>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</si>
  <si>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</si>
  <si>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</si>
  <si>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</si>
  <si>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</si>
  <si>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</si>
  <si>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</si>
  <si>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</si>
  <si>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</si>
  <si>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</si>
  <si>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</si>
  <si>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</si>
  <si>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</si>
  <si>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</si>
  <si>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</si>
  <si>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</si>
  <si>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</si>
  <si>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</si>
  <si>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</si>
  <si>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</si>
  <si>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</si>
  <si>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</si>
  <si>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</si>
  <si>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</si>
  <si>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</si>
  <si>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</si>
  <si>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</si>
  <si>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</si>
  <si>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</si>
  <si>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</si>
  <si>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</si>
  <si>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</si>
  <si>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</si>
  <si>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</si>
  <si>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</si>
  <si>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</si>
  <si>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</si>
  <si>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</si>
  <si>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</si>
  <si>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</si>
  <si>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</si>
  <si>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</si>
  <si>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</si>
  <si>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</si>
  <si>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</si>
  <si>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</si>
  <si>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</si>
  <si>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</si>
  <si>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</si>
  <si>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</si>
  <si>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</si>
  <si>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</si>
  <si>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</si>
  <si>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</si>
  <si>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</si>
  <si>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</si>
  <si>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</si>
  <si>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</si>
  <si>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</si>
  <si>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</si>
  <si>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</si>
  <si>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</si>
  <si>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</si>
  <si>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</si>
  <si>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</si>
  <si>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</si>
  <si>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</si>
  <si>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</si>
  <si>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</si>
  <si>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</si>
  <si>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</si>
  <si>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</si>
  <si>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</si>
  <si>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</si>
  <si>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</si>
  <si>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</si>
  <si>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</si>
  <si>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</si>
  <si>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</si>
  <si>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</si>
  <si>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</si>
  <si>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</si>
  <si>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</si>
  <si>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</si>
  <si>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</si>
  <si>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</si>
  <si>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</si>
  <si>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</si>
  <si>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</si>
  <si>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</si>
  <si>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</si>
  <si>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</si>
  <si>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</si>
  <si>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</si>
  <si>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</si>
  <si>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</si>
  <si>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</si>
  <si>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</si>
  <si>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</si>
  <si>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</si>
  <si>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</si>
  <si>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</si>
  <si>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</si>
  <si>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</si>
  <si>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</si>
  <si>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</si>
  <si>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</si>
  <si>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</si>
  <si>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</si>
  <si>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</si>
  <si>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</si>
  <si>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</si>
  <si>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</si>
  <si>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</si>
  <si>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</si>
  <si>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</si>
  <si>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</si>
  <si>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</si>
  <si>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</si>
  <si>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</si>
  <si>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</si>
  <si>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</si>
  <si>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</si>
  <si>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</si>
  <si>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</si>
  <si>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</si>
  <si>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</si>
  <si>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</si>
  <si>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</si>
  <si>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</si>
  <si>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</si>
  <si>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</si>
  <si>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</si>
  <si>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</si>
  <si>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</si>
  <si>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</si>
  <si>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</si>
  <si>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</si>
  <si>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</si>
  <si>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</si>
  <si>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</si>
  <si>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</si>
  <si>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</si>
  <si>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</si>
  <si>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</si>
  <si>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</si>
  <si>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</si>
  <si>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</si>
  <si>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</si>
  <si>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</si>
  <si>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</si>
  <si>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</si>
  <si>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</si>
  <si>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</si>
  <si>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</si>
  <si>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</si>
  <si>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</si>
  <si>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</si>
  <si>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</si>
  <si>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</si>
  <si>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</si>
  <si>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</si>
  <si>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</si>
  <si>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</si>
  <si>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</si>
  <si>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</si>
  <si>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</si>
  <si>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</si>
  <si>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</si>
  <si>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</si>
  <si>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</si>
  <si>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</si>
  <si>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</si>
  <si>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</si>
  <si>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</si>
  <si>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</si>
  <si>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</si>
  <si>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</si>
  <si>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</si>
  <si>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</si>
  <si>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</si>
  <si>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</si>
  <si>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</si>
  <si>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</si>
  <si>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</si>
  <si>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</si>
  <si>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</si>
  <si>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</si>
  <si>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</si>
  <si>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</si>
  <si>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</si>
  <si>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</si>
  <si>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</si>
  <si>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</si>
  <si>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</si>
  <si>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</si>
  <si>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</si>
  <si>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</si>
  <si>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</si>
  <si>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</si>
  <si>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</si>
  <si>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</si>
  <si>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</si>
  <si>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</si>
  <si>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</si>
  <si>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</si>
  <si>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</si>
  <si>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</si>
  <si>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</si>
  <si>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</si>
  <si>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</si>
  <si>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</si>
  <si>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</si>
  <si>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</si>
  <si>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</si>
  <si>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</si>
  <si>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</si>
  <si>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</si>
  <si>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</si>
  <si>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</si>
  <si>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</si>
  <si>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</si>
  <si>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</si>
  <si>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</si>
  <si>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</si>
  <si>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</si>
  <si>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</si>
  <si>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</si>
  <si>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</si>
  <si>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</si>
  <si>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</si>
  <si>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</si>
  <si>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</si>
  <si>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</si>
  <si>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</si>
  <si>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</si>
  <si>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</si>
  <si>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</si>
  <si>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</si>
  <si>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</si>
  <si>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</si>
  <si>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</si>
  <si>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</si>
  <si>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</si>
  <si>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</si>
  <si>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</si>
  <si>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</si>
  <si>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</si>
  <si>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</si>
  <si>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</si>
  <si>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</si>
  <si>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</si>
  <si>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</si>
  <si>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</si>
  <si>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</si>
  <si>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</si>
  <si>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</si>
  <si>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</si>
  <si>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</si>
  <si>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</si>
  <si>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</si>
  <si>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</si>
  <si>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</si>
  <si>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</si>
  <si>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</si>
  <si>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</si>
  <si>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</si>
  <si>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</si>
  <si>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</si>
  <si>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</si>
  <si>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</si>
  <si>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</si>
  <si>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</si>
  <si>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</si>
  <si>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</si>
  <si>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</si>
  <si>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</si>
  <si>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</si>
  <si>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</si>
  <si>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</si>
  <si>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</si>
  <si>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</si>
  <si>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</si>
  <si>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</si>
  <si>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</si>
  <si>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</si>
  <si>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</si>
  <si>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</si>
  <si>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</si>
  <si>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</si>
  <si>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</si>
  <si>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</si>
  <si>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</si>
  <si>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</si>
  <si>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</si>
  <si>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</si>
  <si>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</si>
  <si>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</si>
  <si>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</si>
  <si>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</si>
  <si>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</si>
  <si>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</si>
  <si>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</si>
  <si>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</si>
  <si>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</si>
  <si>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</si>
  <si>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</si>
  <si>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</si>
  <si>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</si>
  <si>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</si>
  <si>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</si>
  <si>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</si>
  <si>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</si>
  <si>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</si>
  <si>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</si>
  <si>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</si>
  <si>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</si>
  <si>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</si>
  <si>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</si>
  <si>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</si>
  <si>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</si>
  <si>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</si>
  <si>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</si>
  <si>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</si>
  <si>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</si>
  <si>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</si>
  <si>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</si>
  <si>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</si>
  <si>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</si>
  <si>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</si>
  <si>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</si>
  <si>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</si>
  <si>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</si>
  <si>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</si>
  <si>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</si>
  <si>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</si>
  <si>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</si>
  <si>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</si>
  <si>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</si>
  <si>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</si>
  <si>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</si>
  <si>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</si>
  <si>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</si>
  <si>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</si>
  <si>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</si>
  <si>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</si>
  <si>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</si>
  <si>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</si>
  <si>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</si>
  <si>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</si>
  <si>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</si>
  <si>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</si>
  <si>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</si>
  <si>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</si>
  <si>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</si>
  <si>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</si>
  <si>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</si>
  <si>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</si>
  <si>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</si>
  <si>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</si>
  <si>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</si>
  <si>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</si>
  <si>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</si>
  <si>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</si>
  <si>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</si>
  <si>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</si>
  <si>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</si>
  <si>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</si>
  <si>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</si>
  <si>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</si>
  <si>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</si>
  <si>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</si>
  <si>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</si>
  <si>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</si>
  <si>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</si>
  <si>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</si>
  <si>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</si>
  <si>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</si>
  <si>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</si>
  <si>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</si>
  <si>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</si>
  <si>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</si>
  <si>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</si>
  <si>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</si>
  <si>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</si>
  <si>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</si>
  <si>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</si>
  <si>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</si>
  <si>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</si>
  <si>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</si>
  <si>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</si>
  <si>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</si>
  <si>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</si>
  <si>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</si>
  <si>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</si>
  <si>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</si>
  <si>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</si>
  <si>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</si>
  <si>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</si>
  <si>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</si>
  <si>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</si>
  <si>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</si>
  <si>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</si>
  <si>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</si>
  <si>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</si>
  <si>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</si>
  <si>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</si>
  <si>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</si>
  <si>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</si>
  <si>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</si>
  <si>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</si>
  <si>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</si>
  <si>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</si>
  <si>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</si>
  <si>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</si>
  <si>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</si>
  <si>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</si>
  <si>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</si>
  <si>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</si>
  <si>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</si>
  <si>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</si>
  <si>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</si>
  <si>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</si>
  <si>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</si>
  <si>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</si>
  <si>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</si>
  <si>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</si>
  <si>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</si>
  <si>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</si>
  <si>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</si>
  <si>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</si>
  <si>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</si>
  <si>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</si>
  <si>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</si>
  <si>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</si>
  <si>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</si>
  <si>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</si>
  <si>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</si>
  <si>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</si>
  <si>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</si>
  <si>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</si>
  <si>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</si>
  <si>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</si>
  <si>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</si>
  <si>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</si>
  <si>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</si>
  <si>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</si>
  <si>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</si>
  <si>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</si>
  <si>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</si>
  <si>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</si>
  <si>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</si>
  <si>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</si>
  <si>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</si>
  <si>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</si>
  <si>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</si>
  <si>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</si>
  <si>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</si>
  <si>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</si>
  <si>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</si>
  <si>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</si>
  <si>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</si>
  <si>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</si>
  <si>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</si>
  <si>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</si>
  <si>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</si>
  <si>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</si>
  <si>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</si>
  <si>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</si>
  <si>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</si>
  <si>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</si>
  <si>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</si>
  <si>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</si>
  <si>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</si>
  <si>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</si>
  <si>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</si>
  <si>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</si>
  <si>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</si>
  <si>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</si>
  <si>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</si>
  <si>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</si>
  <si>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</si>
  <si>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</si>
  <si>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</si>
  <si>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</si>
  <si>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</si>
  <si>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</si>
  <si>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</si>
  <si>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</si>
  <si>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</si>
  <si>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</si>
  <si>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</si>
  <si>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</si>
  <si>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</si>
  <si>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</si>
  <si>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</si>
  <si>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</si>
  <si>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</si>
  <si>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</si>
  <si>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</si>
  <si>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</si>
  <si>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</si>
  <si>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</si>
  <si>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</si>
  <si>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</si>
  <si>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</si>
  <si>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</si>
  <si>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</si>
  <si>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</si>
  <si>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</si>
  <si>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</si>
  <si>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</si>
  <si>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</si>
  <si>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</si>
  <si>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</si>
  <si>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</si>
  <si>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</si>
  <si>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</si>
  <si>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</si>
  <si>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</si>
  <si>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</si>
  <si>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</si>
  <si>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</si>
  <si>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</si>
  <si>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</si>
  <si>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</si>
  <si>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</si>
  <si>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</si>
  <si>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</si>
  <si>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</si>
  <si>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</si>
  <si>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</si>
  <si>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</si>
  <si>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</si>
  <si>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</si>
  <si>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</si>
  <si>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</si>
  <si>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</si>
  <si>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</si>
  <si>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</si>
  <si>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</si>
  <si>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</si>
  <si>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</si>
  <si>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</si>
  <si>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</si>
  <si>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</si>
  <si>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</si>
  <si>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</si>
  <si>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</si>
  <si>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</si>
  <si>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</si>
  <si>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</si>
  <si>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</si>
  <si>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</si>
  <si>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</si>
  <si>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</si>
  <si>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</si>
  <si>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</si>
  <si>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</si>
  <si>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</si>
  <si>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</si>
  <si>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</si>
  <si>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</si>
  <si>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</si>
  <si>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</si>
  <si>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</si>
  <si>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</si>
  <si>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</si>
  <si>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</si>
  <si>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</si>
  <si>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</si>
  <si>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</si>
  <si>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</si>
  <si>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</si>
  <si>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</si>
  <si>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</si>
  <si>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</si>
  <si>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</si>
  <si>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</si>
  <si>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</si>
  <si>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</si>
  <si>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</si>
  <si>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</si>
  <si>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</si>
  <si>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</si>
  <si>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</si>
  <si>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</si>
  <si>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</si>
  <si>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</si>
  <si>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</si>
  <si>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</si>
  <si>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</si>
  <si>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</si>
  <si>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</si>
  <si>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</si>
  <si>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</si>
  <si>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</si>
  <si>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</si>
  <si>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</si>
  <si>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</si>
  <si>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</si>
  <si>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</si>
  <si>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</si>
  <si>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</si>
  <si>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</si>
  <si>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</si>
  <si>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</si>
  <si>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</si>
  <si>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</si>
  <si>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</si>
  <si>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</si>
  <si>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</si>
  <si>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</si>
  <si>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</si>
  <si>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</si>
  <si>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</si>
  <si>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</si>
  <si>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</si>
  <si>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</si>
  <si>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</si>
  <si>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</si>
  <si>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</si>
  <si>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</si>
  <si>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</si>
  <si>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</si>
  <si>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</si>
  <si>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</si>
  <si>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</si>
  <si>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</si>
  <si>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</si>
  <si>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</si>
  <si>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</si>
  <si>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</si>
  <si>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</si>
  <si>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</si>
  <si>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</si>
  <si>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</si>
  <si>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</si>
  <si>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</si>
  <si>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</si>
  <si>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</si>
  <si>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</si>
  <si>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</si>
  <si>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</si>
  <si>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</si>
  <si>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</si>
  <si>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</si>
  <si>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</si>
  <si>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</si>
  <si>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</si>
  <si>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</si>
  <si>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</si>
  <si>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</si>
  <si>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</si>
  <si>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</si>
  <si>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</si>
  <si>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</si>
  <si>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</si>
  <si>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</si>
  <si>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</si>
  <si>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</si>
  <si>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</si>
  <si>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</si>
  <si>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</si>
  <si>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</si>
  <si>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</si>
  <si>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</si>
  <si>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</si>
  <si>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</si>
  <si>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</si>
  <si>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</si>
  <si>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</si>
  <si>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</si>
  <si>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</si>
  <si>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</si>
  <si>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</si>
  <si>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</si>
  <si>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</si>
  <si>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</si>
  <si>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</si>
  <si>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</si>
  <si>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</si>
  <si>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</si>
  <si>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</si>
  <si>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</si>
  <si>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</si>
  <si>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</si>
  <si>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</si>
  <si>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</si>
  <si>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</si>
  <si>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</si>
  <si>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</si>
  <si>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</si>
  <si>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</si>
  <si>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</si>
  <si>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</si>
  <si>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</si>
  <si>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</si>
  <si>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</si>
  <si>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</si>
  <si>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</si>
  <si>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</si>
  <si>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</si>
  <si>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</si>
  <si>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</si>
  <si>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</si>
  <si>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</si>
  <si>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</si>
  <si>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</si>
  <si>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</si>
  <si>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</si>
  <si>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</si>
  <si>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</si>
  <si>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</si>
  <si>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</si>
  <si>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</si>
  <si>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</si>
  <si>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</si>
  <si>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</si>
  <si>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</si>
  <si>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</si>
  <si>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</si>
  <si>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</si>
  <si>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</si>
  <si>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</si>
  <si>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</si>
  <si>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</si>
  <si>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</si>
  <si>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</si>
  <si>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</si>
  <si>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</si>
  <si>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</si>
  <si>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</si>
  <si>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</si>
  <si>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</si>
  <si>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</si>
  <si>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</si>
  <si>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</si>
  <si>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</si>
  <si>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</si>
  <si>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</si>
  <si>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</si>
  <si>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</si>
  <si>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</si>
  <si>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</si>
  <si>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</si>
  <si>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</si>
  <si>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</si>
  <si>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</si>
  <si>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</si>
  <si>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</si>
  <si>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</si>
  <si>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</si>
  <si>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</si>
  <si>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</si>
  <si>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</si>
  <si>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</si>
  <si>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</si>
  <si>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</si>
  <si>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</si>
  <si>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</si>
  <si>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</si>
  <si>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</si>
  <si>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</si>
  <si>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</si>
  <si>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</si>
  <si>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</si>
  <si>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</si>
  <si>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</si>
  <si>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</si>
  <si>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</si>
  <si>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</si>
  <si>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</si>
  <si>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</si>
  <si>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</si>
  <si>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</si>
  <si>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</si>
  <si>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</si>
  <si>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</si>
  <si>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</si>
  <si>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</si>
  <si>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</si>
  <si>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</si>
  <si>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</si>
  <si>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</si>
  <si>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</si>
  <si>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</si>
  <si>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</si>
  <si>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</si>
  <si>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</si>
  <si>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</si>
  <si>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</si>
  <si>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</si>
  <si>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</si>
  <si>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</si>
  <si>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</si>
  <si>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</si>
  <si>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</si>
  <si>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</si>
  <si>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</si>
  <si>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</si>
  <si>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</si>
  <si>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</si>
  <si>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</si>
  <si>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</si>
  <si>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</si>
  <si>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</si>
  <si>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</si>
  <si>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</si>
  <si>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</si>
  <si>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</si>
  <si>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</si>
  <si>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</si>
  <si>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</si>
  <si>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</si>
  <si>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</si>
  <si>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</si>
  <si>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</si>
  <si>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</si>
  <si>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</si>
  <si>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</si>
  <si>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</si>
  <si>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</si>
  <si>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</si>
  <si>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</si>
  <si>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</si>
  <si>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</si>
  <si>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</si>
  <si>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</si>
  <si>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</si>
  <si>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</si>
  <si>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</si>
  <si>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</si>
  <si>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</si>
  <si>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</si>
  <si>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</si>
  <si>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</si>
  <si>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</si>
  <si>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</si>
  <si>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</si>
  <si>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</si>
  <si>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</si>
  <si>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</si>
  <si>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</si>
  <si>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</si>
  <si>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</si>
  <si>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</si>
  <si>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</si>
  <si>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</si>
  <si>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</si>
  <si>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</si>
  <si>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</si>
  <si>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</si>
  <si>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</si>
  <si>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</si>
  <si>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</si>
  <si>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</si>
  <si>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</si>
  <si>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</si>
  <si>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</si>
  <si>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</si>
  <si>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</si>
  <si>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</si>
  <si>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</si>
  <si>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</si>
  <si>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</si>
  <si>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</si>
  <si>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</si>
  <si>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</si>
  <si>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</si>
  <si>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</si>
  <si>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</si>
  <si>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</si>
  <si>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</si>
  <si>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</si>
  <si>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</si>
  <si>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</si>
  <si>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</si>
  <si>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</si>
  <si>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</si>
  <si>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</si>
  <si>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</si>
  <si>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</si>
  <si>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</si>
  <si>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</si>
  <si>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</si>
  <si>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</si>
  <si>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</si>
  <si>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</si>
  <si>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</si>
  <si>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</si>
  <si>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</si>
  <si>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</si>
  <si>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</si>
  <si>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</si>
  <si>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</si>
  <si>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</si>
  <si>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</si>
  <si>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</si>
  <si>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</si>
  <si>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</si>
  <si>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</si>
  <si>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</si>
  <si>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</si>
  <si>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</si>
  <si>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</si>
  <si>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</si>
  <si>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</si>
  <si>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</si>
  <si>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</si>
  <si>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</si>
  <si>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</si>
  <si>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</si>
  <si>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</si>
  <si>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</si>
  <si>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</si>
  <si>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</si>
  <si>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</si>
  <si>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</si>
  <si>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</si>
  <si>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</si>
  <si>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</si>
  <si>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</si>
  <si>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</si>
  <si>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</si>
  <si>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</si>
  <si>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</si>
  <si>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</si>
  <si>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</si>
  <si>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</si>
  <si>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</si>
  <si>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</si>
  <si>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</si>
  <si>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</si>
  <si>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</si>
  <si>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</si>
  <si>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</si>
  <si>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</si>
  <si>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</si>
  <si>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</si>
  <si>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</si>
  <si>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</si>
  <si>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</si>
  <si>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</si>
  <si>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</si>
  <si>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</si>
  <si>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</si>
  <si>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</si>
  <si>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</si>
  <si>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</si>
  <si>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</si>
  <si>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</si>
  <si>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</si>
  <si>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</si>
  <si>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</si>
  <si>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</si>
  <si>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</si>
  <si>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</si>
  <si>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</si>
  <si>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</si>
  <si>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</si>
  <si>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</si>
  <si>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</si>
  <si>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</si>
  <si>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</si>
  <si>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</si>
  <si>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</si>
  <si>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</si>
  <si>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</si>
  <si>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</si>
  <si>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</si>
  <si>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</si>
  <si>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</si>
  <si>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</si>
  <si>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</si>
  <si>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</si>
  <si>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</si>
  <si>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</si>
  <si>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</si>
  <si>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</si>
  <si>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</si>
  <si>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</si>
  <si>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</si>
  <si>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</si>
  <si>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</si>
  <si>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</si>
  <si>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</si>
  <si>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</si>
  <si>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</si>
  <si>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</si>
  <si>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</si>
  <si>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</si>
  <si>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</si>
  <si>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</si>
  <si>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</si>
  <si>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</si>
  <si>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</si>
  <si>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</si>
  <si>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</si>
  <si>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</si>
  <si>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</si>
  <si>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</si>
  <si>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</si>
  <si>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</si>
  <si>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</si>
  <si>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</si>
  <si>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</si>
  <si>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</si>
  <si>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</si>
  <si>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</si>
  <si>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</si>
  <si>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</si>
  <si>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</si>
  <si>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</si>
  <si>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</si>
  <si>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</si>
  <si>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</si>
  <si>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</si>
  <si>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</si>
  <si>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</si>
  <si>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</si>
  <si>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</si>
  <si>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</si>
  <si>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</si>
  <si>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</si>
  <si>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</si>
  <si>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</si>
  <si>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</si>
  <si>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</si>
  <si>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(매칭작업에서 삭제됨)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</si>
  <si>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</si>
  <si>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</si>
  <si>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</si>
  <si>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</si>
  <si>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</si>
  <si>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</si>
  <si>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</si>
  <si>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</si>
  <si>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</si>
  <si>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</si>
  <si>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</si>
  <si>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</si>
  <si>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</si>
  <si>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</si>
  <si>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</si>
  <si>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</si>
  <si>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</si>
  <si>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</si>
  <si>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</si>
  <si>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</si>
  <si>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</si>
  <si>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</si>
  <si>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</si>
  <si>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</si>
  <si>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</si>
  <si>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</si>
  <si>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</si>
  <si>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</si>
  <si>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</si>
  <si>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</si>
  <si>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</si>
  <si>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</si>
  <si>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</si>
  <si>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</si>
  <si>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</si>
  <si>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</si>
  <si>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</si>
  <si>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</si>
  <si>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</si>
  <si>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</si>
  <si>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</si>
  <si>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</si>
  <si>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</si>
  <si>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</si>
  <si>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</si>
  <si>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</si>
  <si>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</si>
  <si>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</si>
  <si>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</si>
  <si>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</si>
  <si>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</si>
  <si>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</si>
  <si>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</si>
  <si>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</si>
  <si>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</si>
  <si>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</si>
  <si>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</si>
  <si>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</si>
  <si>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</si>
  <si>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</si>
  <si>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ADX4000W BATTERY COVER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</si>
  <si>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</si>
  <si>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</si>
  <si>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</si>
  <si>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</si>
  <si>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</si>
  <si>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</si>
  <si>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</si>
  <si>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</si>
  <si>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</si>
  <si>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</si>
  <si>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</si>
  <si>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</si>
  <si>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</si>
  <si>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</si>
  <si>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</si>
  <si>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</si>
  <si>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</si>
  <si>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</si>
  <si>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메디컬용 컬리메이터 콘</t>
  </si>
  <si>
    <t>메디컬용 컬리메이터 CAP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</si>
  <si>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</si>
  <si>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</si>
  <si>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</si>
  <si>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</si>
  <si>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</si>
  <si>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</si>
  <si>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</si>
  <si>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</si>
  <si>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</si>
  <si>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</si>
  <si>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</si>
  <si>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</si>
  <si>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</si>
  <si>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</si>
  <si>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</si>
  <si>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</si>
  <si>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</si>
  <si>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</si>
  <si>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</si>
  <si>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</si>
  <si>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</si>
  <si>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</si>
  <si>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</si>
  <si>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</si>
  <si>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</si>
  <si>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</si>
  <si>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</si>
  <si>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</si>
  <si>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</si>
  <si>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</si>
  <si>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</si>
  <si>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</si>
  <si>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</si>
  <si>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</si>
  <si>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</si>
  <si>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</si>
  <si>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</si>
  <si>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</si>
  <si>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</si>
  <si>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</si>
  <si>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</si>
  <si>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</si>
  <si>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</si>
  <si>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</si>
  <si>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</si>
  <si>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</si>
  <si>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</si>
  <si>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</si>
  <si>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</si>
  <si>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</si>
  <si>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</si>
  <si>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</si>
  <si>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</si>
  <si>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</si>
  <si>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</si>
  <si>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</si>
  <si>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</si>
  <si>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</si>
  <si>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</si>
  <si>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</si>
  <si>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</si>
  <si>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</si>
  <si>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</si>
  <si>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</si>
  <si>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화이트 유광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</si>
  <si>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</si>
  <si>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</si>
  <si>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</si>
  <si>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</si>
  <si>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</si>
  <si>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</si>
  <si>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</si>
  <si>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</si>
  <si>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</si>
  <si>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</si>
  <si>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</si>
  <si>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</si>
  <si>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</si>
  <si>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</si>
  <si>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</si>
  <si>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</si>
  <si>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</si>
  <si>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</si>
  <si>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</si>
  <si>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</si>
  <si>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</si>
  <si>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</si>
  <si>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</si>
  <si>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</si>
  <si>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</si>
  <si>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</si>
  <si>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</si>
  <si>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</si>
  <si>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</si>
  <si>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</si>
  <si>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</si>
  <si>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</si>
  <si>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</si>
  <si>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</si>
  <si>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</si>
  <si>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</si>
  <si>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</si>
  <si>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</si>
  <si>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</si>
  <si>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</si>
  <si>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</si>
  <si>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</si>
  <si>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</si>
  <si>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</si>
  <si>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</si>
  <si>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</si>
  <si>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</si>
  <si>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</si>
  <si>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</si>
  <si>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</si>
  <si>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</si>
  <si>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</si>
  <si>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</si>
  <si>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</si>
  <si>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</si>
  <si>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</si>
  <si>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</si>
  <si>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</si>
  <si>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</si>
  <si>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</si>
  <si>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</si>
  <si>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</si>
  <si>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</si>
  <si>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</si>
  <si>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</si>
  <si>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</si>
  <si>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</si>
  <si>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</si>
  <si>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</si>
  <si>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</si>
  <si>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</si>
  <si>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</si>
  <si>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</si>
  <si>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</si>
  <si>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</si>
  <si>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</si>
  <si>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</si>
  <si>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</si>
  <si>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</si>
  <si>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</si>
  <si>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</si>
  <si>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</si>
  <si>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</si>
  <si>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</si>
  <si>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</si>
  <si>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</si>
  <si>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</si>
  <si>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</si>
  <si>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</si>
  <si>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</si>
  <si>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</si>
  <si>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</si>
  <si>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</si>
  <si>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</si>
  <si>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</si>
  <si>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</si>
  <si>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</si>
  <si>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</si>
  <si>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</si>
  <si>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</si>
  <si>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</si>
  <si>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</si>
  <si>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</si>
  <si>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</si>
  <si>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</si>
  <si>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</si>
  <si>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</si>
  <si>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</si>
  <si>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</si>
  <si>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</si>
  <si>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</si>
  <si>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</si>
  <si>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</si>
  <si>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</si>
  <si>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</si>
  <si>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</si>
  <si>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</si>
  <si>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</si>
  <si>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</si>
  <si>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</si>
  <si>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</si>
  <si>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</si>
  <si>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BATCON BD + EXP BD 연결_16AWG 실리콘/150mm</t>
  </si>
  <si>
    <t>SOLO OP to POWER SWITCH 12핀 (12505HS-12) 100mm [하네스 2번]</t>
  </si>
  <si>
    <t>BATCON BD + EXP BD 연결_26AWG / 190mm</t>
  </si>
  <si>
    <t>SOLO BATCON to EXP 4핀 (YH396-04V) 150mm [하네스 4-2번]</t>
  </si>
  <si>
    <t>SOLO OP to CTR 40핀 FFC CABLE 100mm [하네스 3번]</t>
  </si>
  <si>
    <t>SOLO 하네스 4-1번</t>
  </si>
  <si>
    <t>OP BD + CTR BD 연결_0.5mm FFC / 100mm</t>
  </si>
  <si>
    <t>SOLO BATCON to EXP 3핀 (12505HS-03) 190mm [하네스 4-1번]</t>
  </si>
  <si>
    <t>SOLO 하네스 4-2번</t>
  </si>
  <si>
    <t>Main PCB + 리모콘 BD 연결 3핀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</si>
  <si>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</si>
  <si>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</si>
  <si>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</si>
  <si>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</si>
  <si>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</si>
  <si>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</si>
  <si>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</si>
  <si>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</si>
  <si>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</si>
  <si>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</si>
  <si>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</si>
  <si>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</si>
  <si>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</si>
  <si>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</si>
  <si>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</si>
  <si>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</si>
  <si>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</si>
  <si>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</si>
  <si>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</si>
  <si>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</si>
  <si>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</si>
  <si>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</si>
  <si>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</si>
  <si>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</si>
  <si>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</si>
  <si>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</si>
  <si>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</si>
  <si>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</si>
  <si>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</si>
  <si>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</si>
  <si>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</si>
  <si>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</si>
  <si>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</si>
  <si>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</si>
  <si>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</si>
  <si>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</si>
  <si>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</si>
  <si>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</si>
  <si>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</si>
  <si>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</si>
  <si>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</si>
  <si>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</si>
  <si>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</si>
  <si>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</si>
  <si>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</si>
  <si>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</si>
  <si>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</si>
  <si>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</si>
  <si>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</si>
  <si>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</si>
  <si>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</si>
  <si>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</si>
  <si>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</si>
  <si>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</si>
  <si>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</si>
  <si>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</si>
  <si>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</si>
  <si>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</si>
  <si>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</si>
  <si>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</si>
  <si>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</si>
  <si>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</si>
  <si>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</si>
  <si>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</si>
  <si>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</si>
  <si>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</si>
  <si>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</si>
  <si>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</si>
  <si>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</si>
  <si>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</si>
  <si>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</si>
  <si>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</si>
  <si>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</si>
  <si>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</si>
  <si>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</si>
  <si>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</si>
  <si>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</si>
  <si>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</si>
  <si>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</si>
  <si>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</si>
  <si>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</si>
  <si>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</si>
  <si>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</si>
  <si>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</si>
  <si>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</si>
  <si>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</si>
  <si>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</si>
  <si>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</si>
  <si>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</si>
  <si>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</si>
  <si>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</si>
  <si>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</si>
  <si>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</si>
  <si>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</si>
  <si>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</si>
  <si>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</si>
  <si>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</si>
  <si>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</si>
  <si>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</si>
  <si>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</si>
  <si>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</si>
  <si>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</si>
  <si>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</si>
  <si>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</si>
  <si>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</si>
  <si>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</si>
  <si>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</si>
  <si>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</si>
  <si>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</si>
  <si>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</si>
  <si>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</si>
  <si>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</si>
  <si>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</si>
  <si>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</si>
  <si>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</si>
  <si>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</si>
  <si>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</si>
  <si>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</si>
  <si>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</si>
  <si>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</si>
  <si>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</si>
  <si>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</si>
  <si>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</si>
  <si>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</si>
  <si>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</si>
  <si>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</si>
  <si>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</si>
  <si>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</si>
  <si>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</si>
  <si>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</si>
  <si>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</si>
  <si>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</si>
  <si>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</si>
  <si>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</si>
  <si>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</si>
  <si>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</si>
  <si>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</si>
  <si>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</si>
  <si>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</si>
  <si>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</si>
  <si>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</si>
  <si>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</si>
  <si>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</si>
  <si>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</si>
  <si>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</si>
  <si>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</si>
  <si>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</si>
  <si>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</si>
  <si>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</si>
  <si>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</si>
  <si>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FRONT CONE 일체형 스프레이 X</t>
  </si>
  <si>
    <t>ADX4000W FRONT CONE 체결형</t>
  </si>
  <si>
    <t>4-AR-0061</t>
  </si>
  <si>
    <t>ADX4000W 20cm CONE</t>
  </si>
  <si>
    <t>4-AR-0062</t>
  </si>
  <si>
    <t>20cm CONE + 납 차폐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</si>
  <si>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</si>
  <si>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</si>
  <si>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</si>
  <si>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</si>
  <si>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</si>
  <si>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</si>
  <si>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</si>
  <si>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</si>
  <si>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</si>
  <si>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</si>
  <si>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</si>
  <si>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</si>
  <si>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혼합</t>
  </si>
  <si>
    <t>히팅 패드+방열팬 구형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</si>
  <si>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</si>
  <si>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</si>
  <si>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</si>
  <si>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</si>
  <si>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</si>
  <si>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</si>
  <si>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</si>
  <si>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</si>
  <si>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</si>
  <si>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</si>
  <si>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BUFFALO USB 동글 (GNM2)</t>
  </si>
  <si>
    <t>WIFI [WLI-UC-GNM2]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</si>
  <si>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</si>
  <si>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</si>
  <si>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</si>
  <si>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</si>
  <si>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</si>
  <si>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</si>
  <si>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</si>
  <si>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</si>
  <si>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</si>
  <si>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</si>
  <si>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</si>
  <si>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</si>
  <si>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</si>
  <si>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</si>
  <si>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</si>
  <si>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</si>
  <si>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</si>
  <si>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</si>
  <si>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</si>
  <si>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ADX6000FB ETC FRONT BD (리모콘 포트 수정 전)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</si>
  <si>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</si>
  <si>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</si>
  <si>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</si>
  <si>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</si>
  <si>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</si>
  <si>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</si>
  <si>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</si>
  <si>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</si>
  <si>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</si>
  <si>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</si>
  <si>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</si>
  <si>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</si>
  <si>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</si>
  <si>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</si>
  <si>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</si>
  <si>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</si>
  <si>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</si>
  <si>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하네스 1-1번</t>
  </si>
  <si>
    <t>12505HS-06, 12505HS-04, 12505HS-03, 5264-02 (250mm, 140mm, 300mm)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</si>
  <si>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</si>
  <si>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</si>
  <si>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</si>
  <si>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</si>
  <si>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</si>
  <si>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</si>
  <si>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</si>
  <si>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</si>
  <si>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</si>
  <si>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</si>
  <si>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</si>
  <si>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</si>
  <si>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</si>
  <si>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</si>
  <si>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</si>
  <si>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</si>
  <si>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하네스 11-1번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</si>
  <si>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</si>
  <si>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</si>
  <si>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</si>
  <si>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</si>
  <si>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</si>
  <si>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</si>
  <si>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</si>
  <si>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</si>
  <si>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</si>
  <si>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</si>
  <si>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</si>
  <si>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</si>
  <si>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컬리메이터 콘 가이드</t>
  </si>
  <si>
    <t>ABS 난연 화이트 + 스프레이 (블루펄유광)</t>
  </si>
  <si>
    <t>ADX6000 컬리메이터 FRONT 사출</t>
  </si>
  <si>
    <t>6-AR-0110</t>
  </si>
  <si>
    <t>ADX6000 컬리메이터 콘 가이드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</si>
  <si>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</si>
  <si>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</si>
  <si>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</si>
  <si>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</si>
  <si>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</si>
  <si>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</si>
  <si>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</si>
  <si>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</si>
  <si>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</si>
  <si>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</si>
  <si>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</si>
  <si>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</si>
  <si>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</si>
  <si>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</si>
  <si>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</si>
  <si>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</si>
  <si>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</si>
  <si>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</si>
  <si>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</si>
  <si>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</si>
  <si>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</si>
  <si>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</si>
  <si>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</si>
  <si>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</si>
  <si>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</si>
  <si>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</si>
  <si>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</si>
  <si>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</si>
  <si>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</si>
  <si>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</si>
  <si>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</si>
  <si>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</si>
  <si>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</si>
  <si>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</si>
  <si>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</si>
  <si>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</si>
  <si>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</si>
  <si>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</si>
  <si>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</si>
  <si>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</si>
  <si>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</si>
  <si>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</si>
  <si>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</si>
  <si>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</si>
  <si>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</si>
  <si>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Bottom Blcok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</si>
  <si>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</si>
  <si>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</si>
  <si>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</si>
  <si>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</si>
  <si>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</si>
  <si>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</si>
  <si>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</si>
  <si>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</si>
  <si>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</si>
  <si>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</si>
  <si>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</si>
  <si>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</si>
  <si>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</si>
  <si>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</si>
  <si>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</si>
  <si>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</si>
  <si>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</si>
  <si>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</si>
  <si>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</si>
  <si>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</si>
  <si>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</si>
  <si>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</si>
  <si>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</si>
  <si>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배터리 [60C 950mA]</t>
  </si>
  <si>
    <t>60C 950mA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</si>
  <si>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</si>
  <si>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</si>
  <si>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</si>
  <si>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</si>
  <si>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</si>
  <si>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</si>
  <si>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</si>
  <si>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</si>
  <si>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</si>
  <si>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</si>
  <si>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</si>
  <si>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</si>
  <si>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</si>
  <si>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</si>
  <si>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</si>
  <si>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</si>
  <si>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</si>
  <si>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</si>
  <si>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</si>
  <si>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</si>
  <si>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</si>
  <si>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</si>
  <si>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</si>
  <si>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</si>
  <si>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</si>
  <si>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</si>
  <si>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</si>
  <si>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</si>
  <si>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</si>
  <si>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</si>
  <si>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</si>
  <si>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</si>
  <si>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</si>
  <si>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</si>
  <si>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</si>
  <si>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</si>
  <si>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</si>
  <si>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</si>
  <si>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</si>
  <si>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</si>
  <si>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</si>
  <si>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</si>
  <si>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</si>
  <si>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</si>
  <si>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</si>
  <si>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</si>
  <si>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</si>
  <si>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</si>
  <si>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</si>
  <si>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</si>
  <si>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</si>
  <si>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디텍터 가방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</si>
  <si>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</si>
  <si>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</si>
  <si>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</si>
  <si>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</si>
  <si>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</si>
  <si>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</si>
  <si>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</si>
  <si>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</si>
  <si>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</si>
  <si>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</si>
  <si>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</si>
  <si>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</si>
  <si>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</si>
  <si>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</si>
  <si>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</si>
  <si>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</si>
  <si>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</si>
  <si>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</si>
  <si>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</si>
  <si>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</si>
  <si>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</si>
  <si>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</si>
  <si>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</si>
  <si>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</si>
  <si>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</si>
  <si>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</si>
  <si>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</si>
  <si>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</si>
  <si>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</si>
  <si>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</si>
  <si>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</si>
  <si>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</si>
  <si>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</si>
  <si>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</si>
  <si>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</si>
  <si>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</si>
  <si>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</si>
  <si>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</si>
  <si>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</si>
  <si>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</si>
  <si>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</si>
  <si>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</si>
  <si>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</si>
  <si>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</si>
  <si>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</si>
  <si>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</si>
  <si>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</si>
  <si>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</si>
  <si>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</si>
  <si>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</si>
  <si>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</si>
  <si>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</si>
  <si>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</si>
  <si>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</si>
  <si>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</si>
  <si>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 제품 박스</t>
  </si>
  <si>
    <t>ADX6000FB 카톤 박스 [500x460x520 mm]</t>
  </si>
  <si>
    <t>6-PR-0119</t>
  </si>
  <si>
    <t>ADX6000FB 제품 박스 [450x240x490 mm]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</si>
  <si>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</si>
  <si>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</si>
  <si>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</si>
  <si>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</si>
  <si>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</si>
  <si>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</si>
  <si>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</si>
  <si>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</si>
  <si>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</si>
  <si>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</si>
  <si>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</si>
  <si>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</si>
  <si>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</si>
  <si>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</si>
  <si>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뱅가드 46F 포장용 무지 박스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</si>
  <si>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</si>
  <si>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</si>
  <si>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</si>
  <si>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</si>
  <si>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</si>
  <si>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</si>
  <si>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</si>
  <si>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</si>
  <si>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</si>
  <si>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</si>
  <si>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</si>
  <si>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</si>
  <si>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</si>
  <si>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</si>
  <si>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</si>
  <si>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</si>
  <si>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</si>
  <si>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</si>
  <si>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</si>
  <si>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</si>
  <si>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</si>
  <si>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</si>
  <si>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</si>
  <si>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</si>
  <si>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</si>
  <si>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</si>
  <si>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</si>
  <si>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</si>
  <si>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</si>
  <si>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</si>
  <si>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</si>
  <si>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</si>
  <si>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</si>
  <si>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</si>
  <si>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</si>
  <si>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</si>
  <si>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</si>
  <si>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</si>
  <si>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</si>
  <si>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</si>
  <si>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</si>
  <si>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</si>
  <si>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</si>
  <si>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</si>
  <si>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</si>
  <si>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</si>
  <si>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</si>
  <si>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</si>
  <si>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</si>
  <si>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</si>
  <si>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</si>
  <si>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</si>
  <si>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</si>
  <si>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</si>
  <si>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</si>
  <si>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</si>
  <si>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</si>
  <si>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</si>
  <si>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</si>
  <si>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</si>
  <si>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</si>
  <si>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</si>
  <si>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</si>
  <si>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</si>
  <si>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</si>
  <si>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</si>
  <si>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</si>
  <si>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</si>
  <si>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</si>
  <si>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</si>
  <si>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</si>
  <si>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</si>
  <si>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</si>
  <si>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</si>
  <si>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</si>
  <si>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</si>
  <si>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</si>
  <si>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</si>
  <si>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</si>
  <si>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</si>
  <si>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</si>
  <si>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</si>
  <si>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</si>
  <si>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</si>
  <si>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</si>
  <si>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</si>
  <si>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</si>
  <si>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</si>
  <si>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</si>
  <si>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</si>
  <si>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</si>
  <si>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</si>
  <si>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</si>
  <si>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</si>
  <si>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</si>
  <si>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</si>
  <si>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</si>
  <si>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</si>
  <si>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</si>
  <si>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</si>
  <si>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</si>
  <si>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</si>
  <si>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</si>
  <si>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</si>
  <si>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</si>
  <si>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</si>
  <si>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</si>
  <si>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</si>
  <si>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</si>
  <si>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</si>
  <si>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</si>
  <si>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</si>
  <si>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</si>
  <si>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</si>
  <si>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</si>
  <si>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</si>
  <si>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</si>
  <si>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</si>
  <si>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</si>
  <si>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</si>
  <si>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</si>
  <si>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</si>
  <si>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</si>
  <si>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</si>
  <si>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</si>
  <si>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</si>
  <si>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</si>
  <si>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</si>
  <si>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</si>
  <si>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</si>
  <si>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</si>
  <si>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</si>
  <si>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</si>
  <si>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</si>
  <si>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</si>
  <si>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</si>
  <si>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</si>
  <si>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</si>
  <si>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</si>
  <si>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</si>
  <si>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</si>
  <si>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</si>
  <si>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</si>
  <si>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</si>
  <si>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</si>
  <si>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작은 콘덴서</t>
  </si>
  <si>
    <t>Battery Pack [21.0V 5셀]</t>
  </si>
  <si>
    <t>DX3000 기본 Battery Pack (사급자재)</t>
  </si>
  <si>
    <t>348-PR-0174</t>
  </si>
  <si>
    <t>DX3000 기본 Battery Case (사급자재)</t>
  </si>
  <si>
    <t>348-PR-0175</t>
  </si>
  <si>
    <t>Battery Pack Bottom</t>
  </si>
  <si>
    <t>사급자재 (블랙)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</si>
  <si>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</si>
  <si>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</si>
  <si>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</si>
  <si>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</si>
  <si>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</si>
  <si>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</si>
  <si>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[CR-ADX] 크래들 ASS'Y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</si>
  <si>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</si>
  <si>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</si>
  <si>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</si>
  <si>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</si>
  <si>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</si>
  <si>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</si>
  <si>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</si>
  <si>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</si>
  <si>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</si>
  <si>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</si>
  <si>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</si>
  <si>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</si>
  <si>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</si>
  <si>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</si>
  <si>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</si>
  <si>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</si>
  <si>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</si>
  <si>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</si>
  <si>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</si>
  <si>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</si>
  <si>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FFC CABLE (1mm*30P*A) 200mm [하네스 3-1번] (같은 방향)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</si>
  <si>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</si>
  <si>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</si>
  <si>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</si>
  <si>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</si>
  <si>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</si>
  <si>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</si>
  <si>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</si>
  <si>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</si>
  <si>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</si>
  <si>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</si>
  <si>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</si>
  <si>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</si>
  <si>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</si>
  <si>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</si>
  <si>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</si>
  <si>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</si>
  <si>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</si>
  <si>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</si>
  <si>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</si>
  <si>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</si>
  <si>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</si>
  <si>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</si>
  <si>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</si>
  <si>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</si>
  <si>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</si>
  <si>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</si>
  <si>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>(F704에만 있음)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</si>
  <si>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</si>
  <si>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</si>
  <si>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</si>
  <si>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</si>
  <si>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</si>
  <si>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</si>
  <si>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</si>
  <si>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</si>
  <si>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</si>
  <si>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</si>
  <si>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</si>
  <si>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</si>
  <si>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</si>
  <si>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</si>
  <si>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</si>
  <si>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</si>
  <si>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</si>
  <si>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</si>
  <si>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</si>
  <si>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</si>
  <si>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</si>
  <si>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</si>
  <si>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</si>
  <si>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</si>
  <si>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</si>
  <si>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</si>
  <si>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</si>
  <si>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</si>
  <si>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</si>
  <si>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</si>
  <si>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</si>
  <si>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</si>
  <si>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</si>
  <si>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</si>
  <si>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</si>
  <si>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</si>
  <si>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밸크로 스킨가드 FRAME</t>
  </si>
  <si>
    <t>ADX6000 밸크로 스킨가드 BODY</t>
  </si>
  <si>
    <t>ADX6000 밸크로 스킨가드 STICK</t>
  </si>
  <si>
    <t>스킨가드 부속품</t>
  </si>
  <si>
    <t>스킨가드 부속품 (바-부쉬)</t>
  </si>
  <si>
    <t>스킨가드 부속품 (바-부쉬링)</t>
  </si>
  <si>
    <t>ADX6000 Top Block</t>
  </si>
  <si>
    <t>6-AR-0112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</si>
  <si>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</si>
  <si>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</si>
  <si>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</si>
  <si>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</si>
  <si>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</si>
  <si>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</si>
  <si>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</si>
  <si>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</si>
  <si>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</si>
  <si>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</si>
  <si>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</si>
  <si>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</si>
  <si>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</si>
  <si>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</si>
  <si>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</si>
  <si>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</si>
  <si>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</si>
  <si>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</si>
  <si>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</si>
  <si>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</si>
  <si>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 xml:space="preserve">BODY LEFT 사출
(리모컨 포트 가이드+FRONT PORT 스티커) 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</si>
  <si>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</si>
  <si>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</si>
  <si>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</si>
  <si>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</si>
  <si>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</si>
  <si>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</si>
  <si>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ADX6000 BOTTOM BLOCK</t>
  </si>
  <si>
    <t>DX3000 FRONT COVER (듀얼 슬라이드 (외부배터리용 홀)) AS용</t>
  </si>
  <si>
    <t>DX3000 X-CAP 체결형 (구형 폭 좁음) AS용</t>
  </si>
  <si>
    <t>DX3000 X-CAP 체결형 (구형 폭 좁음) AS용 - 스프레이 X</t>
  </si>
  <si>
    <t>DX3000M CONE 젠더</t>
  </si>
  <si>
    <t>DX3000 메디컬용 콘 가이드</t>
  </si>
  <si>
    <t>DX3000 메디컬용 FRONT</t>
  </si>
  <si>
    <t>트랜스포머 [SOLO]</t>
  </si>
  <si>
    <t>NC 케이스</t>
    <phoneticPr fontId="130" type="noConversion"/>
  </si>
  <si>
    <t>NC 케이스 [ADX6000]</t>
    <phoneticPr fontId="130" type="noConversion"/>
  </si>
  <si>
    <t>70kV 튜브 하우징 파이프</t>
    <phoneticPr fontId="130" type="noConversion"/>
  </si>
  <si>
    <t>70KV 튜브 하우징용 파이프 [COCOON, SOLO]</t>
    <phoneticPr fontId="130" type="noConversion"/>
  </si>
  <si>
    <t>8핀 B/D</t>
    <phoneticPr fontId="130" type="noConversion"/>
  </si>
  <si>
    <t>8핀 BD [COCOON]</t>
  </si>
  <si>
    <t>BATTERY COVER</t>
    <phoneticPr fontId="130" type="noConversion"/>
  </si>
  <si>
    <t>DX3000 배터리커버 (G)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</si>
</sst>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3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26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71" borderId="26" xfId="0" applyFont="1" applyFill="1" applyBorder="1">
      <alignment vertical="center"/>
    </xf>
    <xf numFmtId="0" fontId="129" fillId="71" borderId="26" xfId="0" applyFont="1" applyFill="1" applyBorder="1" applyAlignment="1">
      <alignment horizontal="left" vertical="center"/>
    </xf>
    <xf numFmtId="0" fontId="123" fillId="68" borderId="26" xfId="0" applyFont="1" applyFill="1" applyBorder="1">
      <alignment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123" fillId="70" borderId="0" xfId="0" applyFont="1" applyFill="1" applyAlignment="1">
      <alignment horizontal="left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3" fillId="0" borderId="26" xfId="0" applyFont="1" applyFill="1" applyBorder="1" applyAlignment="1">
      <alignment horizontal="left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CE4D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60" width="9" style="1" customWidth="1"/>
    <col min="61" max="16384" width="9" style="1"/>
  </cols>
  <sheetData>
    <row r="1" spans="1:58" ht="27" customHeight="1">
      <c r="B1" s="2"/>
      <c r="C1" s="115" t="s">
        <v>0</v>
      </c>
      <c r="D1" s="116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21" t="s">
        <v>15</v>
      </c>
      <c r="Q3" s="118"/>
      <c r="R3" s="118"/>
      <c r="S3" s="118"/>
      <c r="T3" s="118"/>
      <c r="U3" s="119"/>
      <c r="V3" s="34" t="s">
        <v>16</v>
      </c>
      <c r="W3" s="122" t="s">
        <v>17</v>
      </c>
      <c r="X3" s="123"/>
      <c r="Y3" s="123"/>
      <c r="Z3" s="123"/>
      <c r="AA3" s="123"/>
      <c r="AB3" s="123"/>
      <c r="AC3" s="123"/>
      <c r="AD3" s="124"/>
      <c r="AE3" s="34" t="s">
        <v>18</v>
      </c>
      <c r="AF3" s="117" t="s">
        <v>19</v>
      </c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9"/>
      <c r="AZ3" s="33" t="s">
        <v>20</v>
      </c>
      <c r="BA3" s="120" t="s">
        <v>21</v>
      </c>
      <c r="BB3" s="118"/>
      <c r="BC3" s="118"/>
      <c r="BD3" s="119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83"/>
  <sheetViews>
    <sheetView showGridLines="0" tabSelected="1" zoomScaleNormal="100" workbookViewId="0">
      <pane xSplit="4" ySplit="3" topLeftCell="E130" activePane="bottomRight" state="frozen"/>
      <selection pane="topRight" activeCell="E1" sqref="E1"/>
      <selection pane="bottomLeft" activeCell="A5" sqref="A5"/>
      <selection pane="bottomRight" activeCell="F137" sqref="F137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hidden="1" customWidth="1" outlineLevel="1"/>
    <col min="13" max="13" width="7.5" style="1" customWidth="1" collapsed="1"/>
    <col min="14" max="16" width="8.5" style="8" hidden="1" customWidth="1" outlineLevel="1"/>
    <col min="17" max="17" width="7.5" style="1" customWidth="1" collapsed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" style="1" hidden="1" customWidth="1" outlineLevel="1"/>
    <col min="23" max="23" width="5" style="43" hidden="1" customWidth="1" outlineLevel="1"/>
    <col min="24" max="24" width="5.625" style="1" customWidth="1" collapsed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" style="1" hidden="1" customWidth="1" outlineLevel="1"/>
    <col min="32" max="32" width="5" style="43" hidden="1" customWidth="1" outlineLevel="1"/>
    <col min="33" max="33" width="5.625" style="1" customWidth="1" collapsed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hidden="1" customWidth="1" outlineLevel="1"/>
    <col min="56" max="56" width="5" style="43" hidden="1" customWidth="1" outlineLevel="1"/>
    <col min="57" max="57" width="5" style="1" hidden="1" customWidth="1" outlineLevel="1"/>
    <col min="58" max="58" width="5" style="43" hidden="1" customWidth="1" outlineLevel="1"/>
    <col min="59" max="59" width="5.625" style="1" customWidth="1" collapsed="1"/>
    <col min="60" max="60" width="9" style="8" customWidth="1"/>
    <col min="61" max="62" width="9" style="1" customWidth="1"/>
    <col min="63" max="16384" width="9" style="1"/>
  </cols>
  <sheetData>
    <row r="1" spans="1:60" ht="27" customHeight="1">
      <c r="B1" s="2"/>
      <c r="C1" s="115" t="s">
        <v>965</v>
      </c>
      <c r="D1" s="116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21" t="s">
        <v>15</v>
      </c>
      <c r="S3" s="118"/>
      <c r="T3" s="118"/>
      <c r="U3" s="118"/>
      <c r="V3" s="118"/>
      <c r="W3" s="119"/>
      <c r="X3" s="34" t="s">
        <v>16</v>
      </c>
      <c r="Y3" s="122" t="s">
        <v>17</v>
      </c>
      <c r="Z3" s="123"/>
      <c r="AA3" s="123"/>
      <c r="AB3" s="123"/>
      <c r="AC3" s="123"/>
      <c r="AD3" s="123"/>
      <c r="AE3" s="123"/>
      <c r="AF3" s="124"/>
      <c r="AG3" s="34" t="s">
        <v>18</v>
      </c>
      <c r="AH3" s="117" t="s">
        <v>19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9"/>
      <c r="BB3" s="33" t="s">
        <v>20</v>
      </c>
      <c r="BC3" s="120" t="s">
        <v>21</v>
      </c>
      <c r="BD3" s="118"/>
      <c r="BE3" s="118"/>
      <c r="BF3" s="119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111" t="s">
        <v>25</v>
      </c>
      <c r="E4" s="112" t="s">
        <v>26</v>
      </c>
      <c r="F4" s="113" t="s">
        <v>25</v>
      </c>
      <c r="G4" s="113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111" t="s">
        <v>28</v>
      </c>
      <c r="E5" s="112"/>
      <c r="F5" s="113" t="s">
        <v>28</v>
      </c>
      <c r="G5" s="113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111" t="s">
        <v>28</v>
      </c>
      <c r="E6" s="112"/>
      <c r="F6" s="113" t="s">
        <v>28</v>
      </c>
      <c r="G6" s="113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111" t="s">
        <v>29</v>
      </c>
      <c r="E7" s="112"/>
      <c r="F7" s="113" t="s">
        <v>29</v>
      </c>
      <c r="G7" s="113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111" t="s">
        <v>32</v>
      </c>
      <c r="E8" s="112"/>
      <c r="F8" s="113" t="s">
        <v>971</v>
      </c>
      <c r="G8" s="113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111" t="s">
        <v>33</v>
      </c>
      <c r="E9" s="112"/>
      <c r="F9" s="113" t="s">
        <v>973</v>
      </c>
      <c r="G9" s="113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111" t="s">
        <v>35</v>
      </c>
      <c r="E10" s="112"/>
      <c r="F10" s="113" t="s">
        <v>975</v>
      </c>
      <c r="G10" s="113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111" t="s">
        <v>36</v>
      </c>
      <c r="E11" s="112"/>
      <c r="F11" s="113" t="s">
        <v>977</v>
      </c>
      <c r="G11" s="113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111" t="s">
        <v>37</v>
      </c>
      <c r="E12" s="112"/>
      <c r="F12" s="113" t="s">
        <v>979</v>
      </c>
      <c r="G12" s="113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111" t="s">
        <v>38</v>
      </c>
      <c r="E13" s="112"/>
      <c r="F13" s="113" t="s">
        <v>981</v>
      </c>
      <c r="G13" s="113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111" t="s">
        <v>40</v>
      </c>
      <c r="E14" s="112" t="s">
        <v>26</v>
      </c>
      <c r="F14" s="113" t="s">
        <v>40</v>
      </c>
      <c r="G14" s="113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111" t="s">
        <v>28</v>
      </c>
      <c r="E15" s="112"/>
      <c r="F15" s="113" t="s">
        <v>984</v>
      </c>
      <c r="G15" s="113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111" t="s">
        <v>32</v>
      </c>
      <c r="E16" s="112"/>
      <c r="F16" s="113" t="s">
        <v>986</v>
      </c>
      <c r="G16" s="113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111" t="s">
        <v>41</v>
      </c>
      <c r="E17" s="112"/>
      <c r="F17" s="113" t="s">
        <v>41</v>
      </c>
      <c r="G17" s="113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111" t="s">
        <v>33</v>
      </c>
      <c r="E18" s="112"/>
      <c r="F18" s="113" t="s">
        <v>989</v>
      </c>
      <c r="G18" s="113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111" t="s">
        <v>35</v>
      </c>
      <c r="E19" s="112"/>
      <c r="F19" s="113" t="s">
        <v>991</v>
      </c>
      <c r="G19" s="113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111" t="s">
        <v>42</v>
      </c>
      <c r="E20" s="112"/>
      <c r="F20" s="113" t="s">
        <v>42</v>
      </c>
      <c r="G20" s="113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111" t="s">
        <v>37</v>
      </c>
      <c r="E21" s="112"/>
      <c r="F21" s="113" t="s">
        <v>994</v>
      </c>
      <c r="G21" s="113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111" t="s">
        <v>38</v>
      </c>
      <c r="E22" s="112"/>
      <c r="F22" s="113" t="s">
        <v>996</v>
      </c>
      <c r="G22" s="113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111" t="s">
        <v>45</v>
      </c>
      <c r="E23" s="112" t="s">
        <v>46</v>
      </c>
      <c r="F23" s="113" t="s">
        <v>998</v>
      </c>
      <c r="G23" s="113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111" t="s">
        <v>45</v>
      </c>
      <c r="E24" s="112" t="s">
        <v>49</v>
      </c>
      <c r="F24" s="113" t="s">
        <v>1000</v>
      </c>
      <c r="G24" s="113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111" t="s">
        <v>45</v>
      </c>
      <c r="E25" s="112" t="s">
        <v>51</v>
      </c>
      <c r="F25" s="113" t="s">
        <v>1002</v>
      </c>
      <c r="G25" s="113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111" t="s">
        <v>45</v>
      </c>
      <c r="E26" s="112" t="s">
        <v>53</v>
      </c>
      <c r="F26" s="113" t="s">
        <v>1004</v>
      </c>
      <c r="G26" s="113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111" t="s">
        <v>45</v>
      </c>
      <c r="E27" s="112" t="s">
        <v>54</v>
      </c>
      <c r="F27" s="113" t="s">
        <v>1006</v>
      </c>
      <c r="G27" s="113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111" t="s">
        <v>45</v>
      </c>
      <c r="E28" s="112" t="s">
        <v>57</v>
      </c>
      <c r="F28" s="113" t="s">
        <v>1008</v>
      </c>
      <c r="G28" s="113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111" t="s">
        <v>60</v>
      </c>
      <c r="E29" s="112" t="s">
        <v>58</v>
      </c>
      <c r="F29" s="113" t="s">
        <v>1010</v>
      </c>
      <c r="G29" s="113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111" t="s">
        <v>60</v>
      </c>
      <c r="E30" s="112" t="s">
        <v>62</v>
      </c>
      <c r="F30" s="113" t="s">
        <v>1012</v>
      </c>
      <c r="G30" s="113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111" t="s">
        <v>60</v>
      </c>
      <c r="E31" s="112" t="s">
        <v>62</v>
      </c>
      <c r="F31" s="113" t="s">
        <v>1014</v>
      </c>
      <c r="G31" s="113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111" t="s">
        <v>2164</v>
      </c>
      <c r="E32" s="112" t="s">
        <v>62</v>
      </c>
      <c r="F32" s="113" t="s">
        <v>2165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111" t="s">
        <v>65</v>
      </c>
      <c r="E33" s="112" t="s">
        <v>66</v>
      </c>
      <c r="F33" s="113" t="s">
        <v>1017</v>
      </c>
      <c r="G33" s="113" t="s">
        <v>1018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111" t="s">
        <v>69</v>
      </c>
      <c r="E34" s="112" t="s">
        <v>70</v>
      </c>
      <c r="F34" s="113" t="s">
        <v>1019</v>
      </c>
      <c r="G34" s="113" t="s">
        <v>1020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111" t="s">
        <v>69</v>
      </c>
      <c r="E35" s="112" t="s">
        <v>72</v>
      </c>
      <c r="F35" s="113" t="s">
        <v>1021</v>
      </c>
      <c r="G35" s="113" t="s">
        <v>1022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111" t="s">
        <v>69</v>
      </c>
      <c r="E36" s="112" t="s">
        <v>73</v>
      </c>
      <c r="F36" s="113" t="s">
        <v>1023</v>
      </c>
      <c r="G36" s="113" t="s">
        <v>1024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111" t="s">
        <v>77</v>
      </c>
      <c r="E37" s="112" t="s">
        <v>78</v>
      </c>
      <c r="F37" s="113" t="s">
        <v>1025</v>
      </c>
      <c r="G37" s="113" t="s">
        <v>1026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111" t="s">
        <v>79</v>
      </c>
      <c r="E38" s="112" t="s">
        <v>80</v>
      </c>
      <c r="F38" s="113" t="s">
        <v>1027</v>
      </c>
      <c r="G38" s="113" t="s">
        <v>1028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111" t="s">
        <v>81</v>
      </c>
      <c r="E39" s="112" t="s">
        <v>82</v>
      </c>
      <c r="F39" s="113" t="s">
        <v>1029</v>
      </c>
      <c r="G39" s="113" t="s">
        <v>1030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111" t="s">
        <v>83</v>
      </c>
      <c r="E40" s="112" t="s">
        <v>84</v>
      </c>
      <c r="F40" s="113" t="s">
        <v>1031</v>
      </c>
      <c r="G40" s="113" t="s">
        <v>1032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111" t="s">
        <v>85</v>
      </c>
      <c r="E41" s="112" t="s">
        <v>86</v>
      </c>
      <c r="F41" s="113" t="s">
        <v>1033</v>
      </c>
      <c r="G41" s="113" t="s">
        <v>1034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111" t="s">
        <v>87</v>
      </c>
      <c r="E42" s="112" t="s">
        <v>88</v>
      </c>
      <c r="F42" s="113" t="s">
        <v>88</v>
      </c>
      <c r="G42" s="113" t="s">
        <v>1035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111" t="s">
        <v>89</v>
      </c>
      <c r="E43" s="112" t="s">
        <v>1036</v>
      </c>
      <c r="F43" s="113" t="s">
        <v>1037</v>
      </c>
      <c r="G43" s="113" t="s">
        <v>1038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111" t="s">
        <v>1039</v>
      </c>
      <c r="E44" s="112" t="s">
        <v>92</v>
      </c>
      <c r="F44" s="113" t="s">
        <v>1040</v>
      </c>
      <c r="G44" s="113" t="s">
        <v>1041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111" t="s">
        <v>93</v>
      </c>
      <c r="E45" s="112" t="s">
        <v>94</v>
      </c>
      <c r="F45" s="113" t="s">
        <v>1042</v>
      </c>
      <c r="G45" s="113" t="s">
        <v>1043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111" t="s">
        <v>97</v>
      </c>
      <c r="E46" s="112" t="s">
        <v>98</v>
      </c>
      <c r="F46" s="113" t="s">
        <v>1044</v>
      </c>
      <c r="G46" s="113" t="s">
        <v>1045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111" t="s">
        <v>99</v>
      </c>
      <c r="E47" s="112" t="s">
        <v>100</v>
      </c>
      <c r="F47" s="113" t="s">
        <v>1046</v>
      </c>
      <c r="G47" s="113" t="s">
        <v>1047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111" t="s">
        <v>102</v>
      </c>
      <c r="E48" s="112" t="s">
        <v>103</v>
      </c>
      <c r="F48" s="113" t="s">
        <v>1048</v>
      </c>
      <c r="G48" s="113" t="s">
        <v>1049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111" t="s">
        <v>105</v>
      </c>
      <c r="E49" s="112" t="s">
        <v>106</v>
      </c>
      <c r="F49" s="113" t="s">
        <v>1050</v>
      </c>
      <c r="G49" s="113" t="s">
        <v>1051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111" t="s">
        <v>105</v>
      </c>
      <c r="E50" s="112" t="s">
        <v>108</v>
      </c>
      <c r="F50" s="113" t="s">
        <v>1052</v>
      </c>
      <c r="G50" s="113" t="s">
        <v>1053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111" t="s">
        <v>109</v>
      </c>
      <c r="E51" s="112" t="s">
        <v>110</v>
      </c>
      <c r="F51" s="113" t="s">
        <v>1054</v>
      </c>
      <c r="G51" s="113" t="s">
        <v>1055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111" t="s">
        <v>105</v>
      </c>
      <c r="E52" s="112" t="s">
        <v>108</v>
      </c>
      <c r="F52" s="113" t="s">
        <v>2161</v>
      </c>
      <c r="G52" s="125"/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111" t="s">
        <v>112</v>
      </c>
      <c r="E53" s="112" t="s">
        <v>113</v>
      </c>
      <c r="F53" s="113" t="s">
        <v>1056</v>
      </c>
      <c r="G53" s="113" t="s">
        <v>1057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111" t="s">
        <v>112</v>
      </c>
      <c r="E54" s="112" t="s">
        <v>115</v>
      </c>
      <c r="F54" s="113" t="s">
        <v>1058</v>
      </c>
      <c r="G54" s="113" t="s">
        <v>1059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111" t="s">
        <v>117</v>
      </c>
      <c r="E55" s="112" t="s">
        <v>118</v>
      </c>
      <c r="F55" s="113" t="s">
        <v>1060</v>
      </c>
      <c r="G55" s="113" t="s">
        <v>1061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111" t="s">
        <v>121</v>
      </c>
      <c r="E56" s="112" t="s">
        <v>122</v>
      </c>
      <c r="F56" s="113" t="s">
        <v>1062</v>
      </c>
      <c r="G56" s="113" t="s">
        <v>1063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111" t="s">
        <v>124</v>
      </c>
      <c r="E57" s="112" t="s">
        <v>125</v>
      </c>
      <c r="F57" s="113" t="s">
        <v>1064</v>
      </c>
      <c r="G57" s="113" t="s">
        <v>1065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111" t="s">
        <v>126</v>
      </c>
      <c r="E58" s="112" t="s">
        <v>127</v>
      </c>
      <c r="F58" s="113" t="s">
        <v>1066</v>
      </c>
      <c r="G58" s="113" t="s">
        <v>1067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111" t="s">
        <v>130</v>
      </c>
      <c r="E59" s="112"/>
      <c r="F59" s="113" t="s">
        <v>1068</v>
      </c>
      <c r="G59" s="113" t="s">
        <v>1069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111" t="s">
        <v>133</v>
      </c>
      <c r="E60" s="112" t="s">
        <v>1070</v>
      </c>
      <c r="F60" s="113" t="s">
        <v>1071</v>
      </c>
      <c r="G60" s="113" t="s">
        <v>1072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111" t="s">
        <v>130</v>
      </c>
      <c r="E61" s="112" t="s">
        <v>135</v>
      </c>
      <c r="F61" s="113" t="s">
        <v>1073</v>
      </c>
      <c r="G61" s="113" t="s">
        <v>1074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111" t="s">
        <v>130</v>
      </c>
      <c r="E62" s="112" t="s">
        <v>1075</v>
      </c>
      <c r="F62" s="113" t="s">
        <v>1076</v>
      </c>
      <c r="G62" s="113" t="s">
        <v>1077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111" t="s">
        <v>130</v>
      </c>
      <c r="E63" s="112"/>
      <c r="F63" s="113" t="s">
        <v>1078</v>
      </c>
      <c r="G63" s="113" t="s">
        <v>1079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111" t="s">
        <v>130</v>
      </c>
      <c r="E64" s="112" t="s">
        <v>135</v>
      </c>
      <c r="F64" s="113" t="s">
        <v>1080</v>
      </c>
      <c r="G64" s="113" t="s">
        <v>1081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111" t="s">
        <v>130</v>
      </c>
      <c r="E65" s="112" t="s">
        <v>136</v>
      </c>
      <c r="F65" s="113" t="s">
        <v>1082</v>
      </c>
      <c r="G65" s="113" t="s">
        <v>1083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111" t="s">
        <v>137</v>
      </c>
      <c r="E66" s="112" t="s">
        <v>138</v>
      </c>
      <c r="F66" s="113" t="s">
        <v>1084</v>
      </c>
      <c r="G66" s="113" t="s">
        <v>1085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111" t="s">
        <v>139</v>
      </c>
      <c r="E67" s="112" t="s">
        <v>27</v>
      </c>
      <c r="F67" s="113" t="s">
        <v>1086</v>
      </c>
      <c r="G67" s="113" t="s">
        <v>1087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111" t="s">
        <v>139</v>
      </c>
      <c r="E68" s="112" t="s">
        <v>27</v>
      </c>
      <c r="F68" s="113" t="s">
        <v>1088</v>
      </c>
      <c r="G68" s="113" t="s">
        <v>1089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111" t="s">
        <v>137</v>
      </c>
      <c r="E69" s="112" t="s">
        <v>1090</v>
      </c>
      <c r="F69" s="113" t="s">
        <v>1091</v>
      </c>
      <c r="G69" s="113" t="s">
        <v>1092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111" t="s">
        <v>137</v>
      </c>
      <c r="E70" s="112" t="s">
        <v>138</v>
      </c>
      <c r="F70" s="113" t="s">
        <v>1093</v>
      </c>
      <c r="G70" s="113" t="s">
        <v>1094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111" t="s">
        <v>139</v>
      </c>
      <c r="E71" s="112" t="s">
        <v>27</v>
      </c>
      <c r="F71" s="113" t="s">
        <v>1095</v>
      </c>
      <c r="G71" s="113" t="s">
        <v>1096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111" t="s">
        <v>141</v>
      </c>
      <c r="E72" s="112" t="s">
        <v>58</v>
      </c>
      <c r="F72" s="113" t="s">
        <v>141</v>
      </c>
      <c r="G72" s="113" t="s">
        <v>1097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111" t="s">
        <v>2162</v>
      </c>
      <c r="E73" s="112" t="s">
        <v>62</v>
      </c>
      <c r="F73" s="113" t="s">
        <v>2163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111" t="s">
        <v>142</v>
      </c>
      <c r="E74" s="112" t="s">
        <v>62</v>
      </c>
      <c r="F74" s="113" t="s">
        <v>1098</v>
      </c>
      <c r="G74" s="113" t="s">
        <v>1099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111" t="s">
        <v>142</v>
      </c>
      <c r="E75" s="112" t="s">
        <v>62</v>
      </c>
      <c r="F75" s="113" t="s">
        <v>1100</v>
      </c>
      <c r="G75" s="113" t="s">
        <v>1101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111" t="s">
        <v>143</v>
      </c>
      <c r="E76" s="112" t="s">
        <v>62</v>
      </c>
      <c r="F76" s="113" t="s">
        <v>1102</v>
      </c>
      <c r="G76" s="113" t="s">
        <v>1103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111" t="s">
        <v>145</v>
      </c>
      <c r="E77" s="112" t="s">
        <v>146</v>
      </c>
      <c r="F77" s="113" t="s">
        <v>1104</v>
      </c>
      <c r="G77" s="113" t="s">
        <v>1105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111" t="s">
        <v>145</v>
      </c>
      <c r="E78" s="112" t="s">
        <v>146</v>
      </c>
      <c r="F78" s="113" t="s">
        <v>1106</v>
      </c>
      <c r="G78" s="113" t="s">
        <v>1107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111" t="s">
        <v>145</v>
      </c>
      <c r="E79" s="112" t="s">
        <v>146</v>
      </c>
      <c r="F79" s="113" t="s">
        <v>1108</v>
      </c>
      <c r="G79" s="113" t="s">
        <v>1109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111" t="s">
        <v>145</v>
      </c>
      <c r="E80" s="112" t="s">
        <v>146</v>
      </c>
      <c r="F80" s="113" t="s">
        <v>1110</v>
      </c>
      <c r="G80" s="113" t="s">
        <v>1111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111" t="s">
        <v>1112</v>
      </c>
      <c r="E81" s="112" t="s">
        <v>149</v>
      </c>
      <c r="F81" s="113" t="s">
        <v>1113</v>
      </c>
      <c r="G81" s="113" t="s">
        <v>1114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111" t="s">
        <v>150</v>
      </c>
      <c r="E82" s="112" t="s">
        <v>146</v>
      </c>
      <c r="F82" s="113" t="s">
        <v>1115</v>
      </c>
      <c r="G82" s="113" t="s">
        <v>1116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111" t="s">
        <v>150</v>
      </c>
      <c r="E83" s="112" t="s">
        <v>146</v>
      </c>
      <c r="F83" s="113" t="s">
        <v>1117</v>
      </c>
      <c r="G83" s="113" t="s">
        <v>1118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111" t="s">
        <v>150</v>
      </c>
      <c r="E84" s="112" t="s">
        <v>146</v>
      </c>
      <c r="F84" s="113" t="s">
        <v>1119</v>
      </c>
      <c r="G84" s="113" t="s">
        <v>1120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111" t="s">
        <v>152</v>
      </c>
      <c r="E85" s="112"/>
      <c r="F85" s="113" t="s">
        <v>1121</v>
      </c>
      <c r="G85" s="113" t="s">
        <v>1122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111" t="s">
        <v>152</v>
      </c>
      <c r="E86" s="112" t="s">
        <v>153</v>
      </c>
      <c r="F86" s="113" t="s">
        <v>1123</v>
      </c>
      <c r="G86" s="113" t="s">
        <v>1124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111" t="s">
        <v>154</v>
      </c>
      <c r="E87" s="112"/>
      <c r="F87" s="113" t="s">
        <v>1125</v>
      </c>
      <c r="G87" s="113" t="s">
        <v>1126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111" t="s">
        <v>156</v>
      </c>
      <c r="E88" s="112" t="s">
        <v>157</v>
      </c>
      <c r="F88" s="113" t="s">
        <v>1127</v>
      </c>
      <c r="G88" s="113" t="s">
        <v>1128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111" t="s">
        <v>156</v>
      </c>
      <c r="E89" s="112" t="s">
        <v>159</v>
      </c>
      <c r="F89" s="113" t="s">
        <v>1129</v>
      </c>
      <c r="G89" s="113" t="s">
        <v>1130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111" t="s">
        <v>156</v>
      </c>
      <c r="E90" s="112" t="s">
        <v>160</v>
      </c>
      <c r="F90" s="113" t="s">
        <v>1131</v>
      </c>
      <c r="G90" s="113" t="s">
        <v>1132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111" t="s">
        <v>162</v>
      </c>
      <c r="E91" s="112" t="s">
        <v>163</v>
      </c>
      <c r="F91" s="113" t="s">
        <v>1133</v>
      </c>
      <c r="G91" s="113" t="s">
        <v>1134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111" t="s">
        <v>164</v>
      </c>
      <c r="E92" s="112"/>
      <c r="F92" s="113" t="s">
        <v>1135</v>
      </c>
      <c r="G92" s="113" t="s">
        <v>1136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111" t="s">
        <v>166</v>
      </c>
      <c r="E93" s="112"/>
      <c r="F93" s="113" t="s">
        <v>1137</v>
      </c>
      <c r="G93" s="113" t="s">
        <v>1138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111" t="s">
        <v>167</v>
      </c>
      <c r="E94" s="112" t="s">
        <v>1139</v>
      </c>
      <c r="F94" s="113" t="s">
        <v>1140</v>
      </c>
      <c r="G94" s="113" t="s">
        <v>1141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111" t="s">
        <v>170</v>
      </c>
      <c r="E95" s="112"/>
      <c r="F95" s="113" t="s">
        <v>1142</v>
      </c>
      <c r="G95" s="113" t="s">
        <v>1143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111" t="s">
        <v>2166</v>
      </c>
      <c r="E96" s="112"/>
      <c r="F96" s="113" t="s">
        <v>2167</v>
      </c>
      <c r="G96" s="106"/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111" t="s">
        <v>170</v>
      </c>
      <c r="E97" s="112" t="s">
        <v>1145</v>
      </c>
      <c r="F97" s="113" t="s">
        <v>1146</v>
      </c>
      <c r="G97" s="113" t="s">
        <v>1147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111" t="s">
        <v>171</v>
      </c>
      <c r="E98" s="112"/>
      <c r="F98" s="113" t="s">
        <v>1148</v>
      </c>
      <c r="G98" s="113" t="s">
        <v>1149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111" t="s">
        <v>1150</v>
      </c>
      <c r="E99" s="112"/>
      <c r="F99" s="113" t="s">
        <v>1151</v>
      </c>
      <c r="G99" s="113" t="s">
        <v>1152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111" t="s">
        <v>1153</v>
      </c>
      <c r="E100" s="112"/>
      <c r="F100" s="113" t="s">
        <v>1154</v>
      </c>
      <c r="G100" s="113" t="s">
        <v>1155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111" t="s">
        <v>1156</v>
      </c>
      <c r="E101" s="112" t="s">
        <v>176</v>
      </c>
      <c r="F101" s="113" t="s">
        <v>1157</v>
      </c>
      <c r="G101" s="113" t="s">
        <v>1158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111" t="s">
        <v>177</v>
      </c>
      <c r="E102" s="112"/>
      <c r="F102" s="113" t="s">
        <v>1159</v>
      </c>
      <c r="G102" s="113" t="s">
        <v>1160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111" t="s">
        <v>178</v>
      </c>
      <c r="E103" s="112" t="s">
        <v>179</v>
      </c>
      <c r="F103" s="113" t="s">
        <v>1161</v>
      </c>
      <c r="G103" s="113" t="s">
        <v>1162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111" t="s">
        <v>180</v>
      </c>
      <c r="E104" s="112"/>
      <c r="F104" s="113" t="s">
        <v>1163</v>
      </c>
      <c r="G104" s="113" t="s">
        <v>1164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111" t="s">
        <v>181</v>
      </c>
      <c r="E105" s="112"/>
      <c r="F105" s="113" t="s">
        <v>1165</v>
      </c>
      <c r="G105" s="113" t="s">
        <v>1166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111" t="s">
        <v>182</v>
      </c>
      <c r="E106" s="112"/>
      <c r="F106" s="113" t="s">
        <v>1167</v>
      </c>
      <c r="G106" s="113" t="s">
        <v>1168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111" t="s">
        <v>183</v>
      </c>
      <c r="E107" s="112"/>
      <c r="F107" s="113" t="s">
        <v>1169</v>
      </c>
      <c r="G107" s="113" t="s">
        <v>1170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111" t="s">
        <v>184</v>
      </c>
      <c r="E108" s="112"/>
      <c r="F108" s="113" t="s">
        <v>1171</v>
      </c>
      <c r="G108" s="113" t="s">
        <v>1172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111" t="s">
        <v>185</v>
      </c>
      <c r="E109" s="112"/>
      <c r="F109" s="113" t="s">
        <v>1173</v>
      </c>
      <c r="G109" s="113" t="s">
        <v>1174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111" t="s">
        <v>186</v>
      </c>
      <c r="E110" s="112" t="s">
        <v>179</v>
      </c>
      <c r="F110" s="113" t="s">
        <v>1175</v>
      </c>
      <c r="G110" s="113" t="s">
        <v>1176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111" t="s">
        <v>188</v>
      </c>
      <c r="E111" s="112" t="s">
        <v>189</v>
      </c>
      <c r="F111" s="113" t="s">
        <v>1177</v>
      </c>
      <c r="G111" s="113" t="s">
        <v>1178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111" t="s">
        <v>191</v>
      </c>
      <c r="E112" s="112" t="s">
        <v>192</v>
      </c>
      <c r="F112" s="113" t="s">
        <v>1179</v>
      </c>
      <c r="G112" s="113" t="s">
        <v>1180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111" t="s">
        <v>194</v>
      </c>
      <c r="E113" s="112" t="s">
        <v>195</v>
      </c>
      <c r="F113" s="113" t="s">
        <v>1181</v>
      </c>
      <c r="G113" s="113" t="s">
        <v>1182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111" t="s">
        <v>196</v>
      </c>
      <c r="E114" s="112" t="s">
        <v>197</v>
      </c>
      <c r="F114" s="113" t="s">
        <v>1183</v>
      </c>
      <c r="G114" s="113" t="s">
        <v>1184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111" t="s">
        <v>198</v>
      </c>
      <c r="E115" s="112" t="s">
        <v>199</v>
      </c>
      <c r="F115" s="113" t="s">
        <v>1185</v>
      </c>
      <c r="G115" s="113" t="s">
        <v>1186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111" t="s">
        <v>200</v>
      </c>
      <c r="E116" s="112" t="s">
        <v>201</v>
      </c>
      <c r="F116" s="113" t="s">
        <v>1187</v>
      </c>
      <c r="G116" s="113" t="s">
        <v>1188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111" t="s">
        <v>202</v>
      </c>
      <c r="E117" s="112" t="s">
        <v>203</v>
      </c>
      <c r="F117" s="113" t="s">
        <v>1189</v>
      </c>
      <c r="G117" s="113" t="s">
        <v>1190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111" t="s">
        <v>205</v>
      </c>
      <c r="E118" s="112" t="s">
        <v>206</v>
      </c>
      <c r="F118" s="113" t="s">
        <v>1191</v>
      </c>
      <c r="G118" s="113" t="s">
        <v>1192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111" t="s">
        <v>208</v>
      </c>
      <c r="E119" s="112"/>
      <c r="F119" s="113" t="s">
        <v>1193</v>
      </c>
      <c r="G119" s="113" t="s">
        <v>1194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111" t="s">
        <v>209</v>
      </c>
      <c r="E120" s="112" t="s">
        <v>210</v>
      </c>
      <c r="F120" s="113" t="s">
        <v>1195</v>
      </c>
      <c r="G120" s="113" t="s">
        <v>1196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111" t="s">
        <v>209</v>
      </c>
      <c r="E121" s="112" t="s">
        <v>206</v>
      </c>
      <c r="F121" s="113" t="s">
        <v>1197</v>
      </c>
      <c r="G121" s="113" t="s">
        <v>1198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111" t="s">
        <v>212</v>
      </c>
      <c r="E122" s="112" t="s">
        <v>210</v>
      </c>
      <c r="F122" s="113" t="s">
        <v>1199</v>
      </c>
      <c r="G122" s="113" t="s">
        <v>1200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111" t="s">
        <v>212</v>
      </c>
      <c r="E123" s="112" t="s">
        <v>206</v>
      </c>
      <c r="F123" s="113" t="s">
        <v>1201</v>
      </c>
      <c r="G123" s="113" t="s">
        <v>1202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111" t="s">
        <v>213</v>
      </c>
      <c r="E124" s="112" t="s">
        <v>214</v>
      </c>
      <c r="F124" s="113" t="s">
        <v>1203</v>
      </c>
      <c r="G124" s="113" t="s">
        <v>1204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58" t="s">
        <v>2168</v>
      </c>
      <c r="E125" s="35" t="s">
        <v>206</v>
      </c>
      <c r="F125" s="104" t="s">
        <v>1205</v>
      </c>
      <c r="G125" s="104"/>
      <c r="H125" s="96"/>
      <c r="I125" s="21"/>
      <c r="J125" s="21" t="s">
        <v>207</v>
      </c>
      <c r="K125" s="14"/>
      <c r="L125" s="14"/>
      <c r="M125" s="12">
        <v>0</v>
      </c>
      <c r="N125" s="9"/>
      <c r="O125" s="9"/>
      <c r="P125" s="9"/>
      <c r="Q125" s="38">
        <f t="shared" si="9"/>
        <v>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58" t="s">
        <v>213</v>
      </c>
      <c r="E126" s="35" t="s">
        <v>215</v>
      </c>
      <c r="F126" s="104" t="s">
        <v>2169</v>
      </c>
      <c r="G126" s="104"/>
      <c r="H126" s="96"/>
      <c r="I126" s="21"/>
      <c r="J126" s="21" t="s">
        <v>207</v>
      </c>
      <c r="K126" s="14"/>
      <c r="L126" s="14"/>
      <c r="M126" s="12">
        <v>1797</v>
      </c>
      <c r="N126" s="9"/>
      <c r="O126" s="9"/>
      <c r="P126" s="9"/>
      <c r="Q126" s="38">
        <f t="shared" si="9"/>
        <v>1797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111" t="s">
        <v>216</v>
      </c>
      <c r="E127" s="112" t="s">
        <v>217</v>
      </c>
      <c r="F127" s="113" t="s">
        <v>1206</v>
      </c>
      <c r="G127" s="113" t="s">
        <v>1207</v>
      </c>
      <c r="H127" s="96"/>
      <c r="I127" s="21"/>
      <c r="J127" s="21" t="s">
        <v>207</v>
      </c>
      <c r="K127" s="14"/>
      <c r="L127" s="14"/>
      <c r="M127" s="12">
        <v>520</v>
      </c>
      <c r="N127" s="9"/>
      <c r="O127" s="9"/>
      <c r="P127" s="9"/>
      <c r="Q127" s="38">
        <f t="shared" si="9"/>
        <v>520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111" t="s">
        <v>218</v>
      </c>
      <c r="E128" s="112" t="s">
        <v>217</v>
      </c>
      <c r="F128" s="113" t="s">
        <v>1208</v>
      </c>
      <c r="G128" s="113" t="s">
        <v>1209</v>
      </c>
      <c r="H128" s="96"/>
      <c r="I128" s="21"/>
      <c r="J128" s="21" t="s">
        <v>207</v>
      </c>
      <c r="K128" s="14"/>
      <c r="L128" s="14"/>
      <c r="M128" s="12">
        <v>700</v>
      </c>
      <c r="N128" s="9"/>
      <c r="O128" s="9"/>
      <c r="P128" s="9"/>
      <c r="Q128" s="38">
        <f t="shared" si="9"/>
        <v>700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111" t="s">
        <v>219</v>
      </c>
      <c r="E129" s="112" t="s">
        <v>217</v>
      </c>
      <c r="F129" s="113" t="s">
        <v>1210</v>
      </c>
      <c r="G129" s="113" t="s">
        <v>1211</v>
      </c>
      <c r="H129" s="96"/>
      <c r="I129" s="21"/>
      <c r="J129" s="21" t="s">
        <v>207</v>
      </c>
      <c r="K129" s="14"/>
      <c r="L129" s="14"/>
      <c r="M129" s="12">
        <v>595</v>
      </c>
      <c r="N129" s="9"/>
      <c r="O129" s="9"/>
      <c r="P129" s="9"/>
      <c r="Q129" s="38">
        <f t="shared" si="9"/>
        <v>595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111" t="s">
        <v>220</v>
      </c>
      <c r="E130" s="112" t="s">
        <v>215</v>
      </c>
      <c r="F130" s="113" t="s">
        <v>1212</v>
      </c>
      <c r="G130" s="113" t="s">
        <v>1213</v>
      </c>
      <c r="H130" s="96"/>
      <c r="I130" s="21"/>
      <c r="J130" s="21" t="s">
        <v>207</v>
      </c>
      <c r="K130" s="14"/>
      <c r="L130" s="14"/>
      <c r="M130" s="12">
        <v>265</v>
      </c>
      <c r="N130" s="9"/>
      <c r="O130" s="9"/>
      <c r="P130" s="9"/>
      <c r="Q130" s="38">
        <f t="shared" si="9"/>
        <v>265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111" t="s">
        <v>221</v>
      </c>
      <c r="E131" s="112" t="s">
        <v>222</v>
      </c>
      <c r="F131" s="113" t="s">
        <v>1214</v>
      </c>
      <c r="G131" s="113" t="s">
        <v>1215</v>
      </c>
      <c r="H131" s="96"/>
      <c r="I131" s="21"/>
      <c r="J131" s="21" t="s">
        <v>207</v>
      </c>
      <c r="K131" s="14"/>
      <c r="L131" s="14"/>
      <c r="M131" s="12">
        <v>182</v>
      </c>
      <c r="N131" s="9"/>
      <c r="O131" s="9"/>
      <c r="P131" s="9"/>
      <c r="Q131" s="38">
        <f t="shared" si="9"/>
        <v>182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111" t="s">
        <v>221</v>
      </c>
      <c r="E132" s="112" t="s">
        <v>206</v>
      </c>
      <c r="F132" s="113" t="s">
        <v>1216</v>
      </c>
      <c r="G132" s="113" t="s">
        <v>1217</v>
      </c>
      <c r="H132" s="96"/>
      <c r="I132" s="21"/>
      <c r="J132" s="21" t="s">
        <v>207</v>
      </c>
      <c r="K132" s="14"/>
      <c r="L132" s="14"/>
      <c r="M132" s="12">
        <v>513</v>
      </c>
      <c r="N132" s="9"/>
      <c r="O132" s="9"/>
      <c r="P132" s="9"/>
      <c r="Q132" s="38">
        <f t="shared" ref="Q132:Q195" si="16">M132+X132-AG132-BB132</f>
        <v>513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111" t="s">
        <v>223</v>
      </c>
      <c r="E133" s="112" t="s">
        <v>206</v>
      </c>
      <c r="F133" s="113" t="s">
        <v>1218</v>
      </c>
      <c r="G133" s="113" t="s">
        <v>1219</v>
      </c>
      <c r="H133" s="96"/>
      <c r="I133" s="21"/>
      <c r="J133" s="21" t="s">
        <v>207</v>
      </c>
      <c r="K133" s="14"/>
      <c r="L133" s="14"/>
      <c r="M133" s="12">
        <v>85</v>
      </c>
      <c r="N133" s="9"/>
      <c r="O133" s="9"/>
      <c r="P133" s="9"/>
      <c r="Q133" s="38">
        <f t="shared" si="16"/>
        <v>85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111" t="s">
        <v>224</v>
      </c>
      <c r="E134" s="112" t="s">
        <v>225</v>
      </c>
      <c r="F134" s="113" t="s">
        <v>1220</v>
      </c>
      <c r="G134" s="113" t="s">
        <v>1221</v>
      </c>
      <c r="H134" s="96"/>
      <c r="I134" s="21"/>
      <c r="J134" s="21" t="s">
        <v>207</v>
      </c>
      <c r="K134" s="14"/>
      <c r="L134" s="14"/>
      <c r="M134" s="12">
        <v>50</v>
      </c>
      <c r="N134" s="9"/>
      <c r="O134" s="9"/>
      <c r="P134" s="9"/>
      <c r="Q134" s="38">
        <f t="shared" si="16"/>
        <v>50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204</v>
      </c>
      <c r="C135" s="89" t="s">
        <v>132</v>
      </c>
      <c r="D135" s="111" t="s">
        <v>226</v>
      </c>
      <c r="E135" s="112" t="s">
        <v>215</v>
      </c>
      <c r="F135" s="113" t="s">
        <v>1222</v>
      </c>
      <c r="G135" s="113" t="s">
        <v>1223</v>
      </c>
      <c r="H135" s="96"/>
      <c r="I135" s="21"/>
      <c r="J135" s="21" t="s">
        <v>207</v>
      </c>
      <c r="K135" s="14"/>
      <c r="L135" s="14"/>
      <c r="M135" s="12">
        <v>120</v>
      </c>
      <c r="N135" s="9"/>
      <c r="O135" s="9"/>
      <c r="P135" s="9"/>
      <c r="Q135" s="38">
        <f t="shared" si="16"/>
        <v>120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204</v>
      </c>
      <c r="C136" s="89" t="s">
        <v>132</v>
      </c>
      <c r="D136" s="58" t="s">
        <v>229</v>
      </c>
      <c r="E136" s="35" t="s">
        <v>222</v>
      </c>
      <c r="H136" s="96"/>
      <c r="I136" s="21"/>
      <c r="J136" s="21" t="s">
        <v>207</v>
      </c>
      <c r="K136" s="14"/>
      <c r="L136" s="14"/>
      <c r="M136" s="12"/>
      <c r="N136" s="9"/>
      <c r="O136" s="9"/>
      <c r="P136" s="9"/>
      <c r="Q136" s="38">
        <f t="shared" si="16"/>
        <v>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204</v>
      </c>
      <c r="C137" s="89" t="s">
        <v>132</v>
      </c>
      <c r="D137" s="58" t="s">
        <v>1224</v>
      </c>
      <c r="E137" s="35" t="s">
        <v>210</v>
      </c>
      <c r="H137" s="96"/>
      <c r="I137" s="21"/>
      <c r="J137" s="21" t="s">
        <v>231</v>
      </c>
      <c r="K137" s="14"/>
      <c r="L137" s="14"/>
      <c r="M137" s="12">
        <v>41</v>
      </c>
      <c r="N137" s="9"/>
      <c r="O137" s="9"/>
      <c r="P137" s="9"/>
      <c r="Q137" s="38">
        <f t="shared" si="16"/>
        <v>41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204</v>
      </c>
      <c r="C138" s="89" t="s">
        <v>132</v>
      </c>
      <c r="D138" s="58" t="s">
        <v>1225</v>
      </c>
      <c r="E138" s="35" t="s">
        <v>222</v>
      </c>
      <c r="H138" s="96"/>
      <c r="I138" s="21"/>
      <c r="J138" s="21" t="s">
        <v>231</v>
      </c>
      <c r="K138" s="14"/>
      <c r="L138" s="14"/>
      <c r="M138" s="12">
        <v>0</v>
      </c>
      <c r="N138" s="9"/>
      <c r="O138" s="9"/>
      <c r="P138" s="9"/>
      <c r="Q138" s="38">
        <f t="shared" si="16"/>
        <v>0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111" t="s">
        <v>234</v>
      </c>
      <c r="E139" s="112" t="s">
        <v>235</v>
      </c>
      <c r="F139" s="113" t="s">
        <v>1226</v>
      </c>
      <c r="G139" s="113" t="s">
        <v>1227</v>
      </c>
      <c r="H139" s="96"/>
      <c r="I139" s="21"/>
      <c r="J139" s="21" t="s">
        <v>207</v>
      </c>
      <c r="K139" s="14"/>
      <c r="L139" s="14"/>
      <c r="M139" s="12">
        <v>182</v>
      </c>
      <c r="N139" s="9"/>
      <c r="O139" s="9"/>
      <c r="P139" s="9"/>
      <c r="Q139" s="38">
        <f t="shared" si="16"/>
        <v>182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8" t="s">
        <v>233</v>
      </c>
      <c r="C140" s="89" t="s">
        <v>132</v>
      </c>
      <c r="D140" s="111" t="s">
        <v>236</v>
      </c>
      <c r="E140" s="112" t="s">
        <v>237</v>
      </c>
      <c r="F140" s="113" t="s">
        <v>1228</v>
      </c>
      <c r="G140" s="113" t="s">
        <v>1229</v>
      </c>
      <c r="H140" s="96"/>
      <c r="I140" s="21"/>
      <c r="J140" s="21" t="s">
        <v>207</v>
      </c>
      <c r="K140" s="14"/>
      <c r="L140" s="14"/>
      <c r="M140" s="12">
        <v>400</v>
      </c>
      <c r="N140" s="9"/>
      <c r="O140" s="9"/>
      <c r="P140" s="9"/>
      <c r="Q140" s="38">
        <f t="shared" si="16"/>
        <v>400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8" t="s">
        <v>233</v>
      </c>
      <c r="C141" s="89" t="s">
        <v>132</v>
      </c>
      <c r="D141" s="111" t="s">
        <v>238</v>
      </c>
      <c r="E141" s="112" t="s">
        <v>237</v>
      </c>
      <c r="F141" s="113" t="s">
        <v>1230</v>
      </c>
      <c r="G141" s="113" t="s">
        <v>1231</v>
      </c>
      <c r="H141" s="96"/>
      <c r="I141" s="21"/>
      <c r="J141" s="21" t="s">
        <v>207</v>
      </c>
      <c r="K141" s="14"/>
      <c r="L141" s="14"/>
      <c r="M141" s="12">
        <v>999</v>
      </c>
      <c r="N141" s="9"/>
      <c r="O141" s="9"/>
      <c r="P141" s="9"/>
      <c r="Q141" s="38">
        <f t="shared" si="16"/>
        <v>999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8" t="s">
        <v>233</v>
      </c>
      <c r="C142" s="89" t="s">
        <v>132</v>
      </c>
      <c r="D142" s="111" t="s">
        <v>239</v>
      </c>
      <c r="E142" s="112" t="s">
        <v>237</v>
      </c>
      <c r="F142" s="113" t="s">
        <v>1232</v>
      </c>
      <c r="G142" s="113" t="s">
        <v>1233</v>
      </c>
      <c r="H142" s="96"/>
      <c r="I142" s="21"/>
      <c r="J142" s="21" t="s">
        <v>207</v>
      </c>
      <c r="K142" s="14"/>
      <c r="L142" s="14"/>
      <c r="M142" s="12">
        <v>434</v>
      </c>
      <c r="N142" s="9"/>
      <c r="O142" s="9"/>
      <c r="P142" s="9"/>
      <c r="Q142" s="38">
        <f t="shared" si="16"/>
        <v>434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8" t="s">
        <v>233</v>
      </c>
      <c r="C143" s="89" t="s">
        <v>132</v>
      </c>
      <c r="D143" s="111" t="s">
        <v>240</v>
      </c>
      <c r="E143" s="112" t="s">
        <v>237</v>
      </c>
      <c r="F143" s="113" t="s">
        <v>1234</v>
      </c>
      <c r="G143" s="113" t="s">
        <v>1235</v>
      </c>
      <c r="H143" s="96"/>
      <c r="I143" s="21"/>
      <c r="J143" s="21" t="s">
        <v>207</v>
      </c>
      <c r="K143" s="14"/>
      <c r="L143" s="14"/>
      <c r="M143" s="12">
        <v>482</v>
      </c>
      <c r="N143" s="9"/>
      <c r="O143" s="9"/>
      <c r="P143" s="9"/>
      <c r="Q143" s="38">
        <f t="shared" si="16"/>
        <v>482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233</v>
      </c>
      <c r="C144" s="89" t="s">
        <v>132</v>
      </c>
      <c r="D144" s="111" t="s">
        <v>241</v>
      </c>
      <c r="E144" s="112"/>
      <c r="F144" s="113" t="s">
        <v>1236</v>
      </c>
      <c r="G144" s="113" t="s">
        <v>1237</v>
      </c>
      <c r="H144" s="96"/>
      <c r="I144" s="9"/>
      <c r="J144" s="9"/>
      <c r="K144" s="14"/>
      <c r="L144" s="14"/>
      <c r="M144" s="12">
        <v>0</v>
      </c>
      <c r="N144" s="9"/>
      <c r="O144" s="9"/>
      <c r="P144" s="9"/>
      <c r="Q144" s="38">
        <f t="shared" si="16"/>
        <v>0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155</v>
      </c>
      <c r="C145" s="89" t="s">
        <v>132</v>
      </c>
      <c r="D145" s="111" t="s">
        <v>156</v>
      </c>
      <c r="E145" s="112" t="s">
        <v>242</v>
      </c>
      <c r="F145" s="113" t="s">
        <v>1238</v>
      </c>
      <c r="G145" s="113" t="s">
        <v>1239</v>
      </c>
      <c r="H145" s="96"/>
      <c r="I145" s="9"/>
      <c r="J145" s="9" t="s">
        <v>158</v>
      </c>
      <c r="K145" s="14"/>
      <c r="L145" s="14"/>
      <c r="M145" s="12">
        <v>480</v>
      </c>
      <c r="N145" s="9"/>
      <c r="O145" s="9"/>
      <c r="P145" s="9"/>
      <c r="Q145" s="38">
        <f t="shared" si="16"/>
        <v>480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155</v>
      </c>
      <c r="C146" s="89" t="s">
        <v>132</v>
      </c>
      <c r="D146" s="111" t="s">
        <v>156</v>
      </c>
      <c r="E146" s="112" t="s">
        <v>243</v>
      </c>
      <c r="F146" s="113" t="s">
        <v>1240</v>
      </c>
      <c r="G146" s="113" t="s">
        <v>1241</v>
      </c>
      <c r="H146" s="96"/>
      <c r="I146" s="9"/>
      <c r="J146" s="9" t="s">
        <v>158</v>
      </c>
      <c r="K146" s="14"/>
      <c r="L146" s="14"/>
      <c r="M146" s="12">
        <v>28</v>
      </c>
      <c r="N146" s="9"/>
      <c r="O146" s="9"/>
      <c r="P146" s="9"/>
      <c r="Q146" s="38">
        <f t="shared" si="16"/>
        <v>28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6" t="s">
        <v>244</v>
      </c>
      <c r="C147" s="89" t="s">
        <v>132</v>
      </c>
      <c r="D147" s="111" t="s">
        <v>245</v>
      </c>
      <c r="E147" s="112" t="s">
        <v>246</v>
      </c>
      <c r="F147" s="113" t="s">
        <v>1242</v>
      </c>
      <c r="G147" s="113" t="s">
        <v>1243</v>
      </c>
      <c r="H147" s="96"/>
      <c r="I147" s="9"/>
      <c r="J147" s="9" t="s">
        <v>247</v>
      </c>
      <c r="K147" s="14"/>
      <c r="L147" s="14"/>
      <c r="M147" s="12">
        <v>0</v>
      </c>
      <c r="N147" s="9"/>
      <c r="O147" s="9"/>
      <c r="P147" s="9"/>
      <c r="Q147" s="38">
        <f t="shared" si="16"/>
        <v>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6" t="s">
        <v>244</v>
      </c>
      <c r="C148" s="89" t="s">
        <v>132</v>
      </c>
      <c r="D148" s="111" t="s">
        <v>248</v>
      </c>
      <c r="E148" s="112" t="s">
        <v>246</v>
      </c>
      <c r="F148" s="113" t="s">
        <v>1244</v>
      </c>
      <c r="G148" s="113" t="s">
        <v>1245</v>
      </c>
      <c r="H148" s="96"/>
      <c r="I148" s="9"/>
      <c r="J148" s="9" t="s">
        <v>247</v>
      </c>
      <c r="K148" s="14"/>
      <c r="L148" s="14"/>
      <c r="M148" s="12">
        <v>241</v>
      </c>
      <c r="N148" s="9"/>
      <c r="O148" s="9"/>
      <c r="P148" s="9"/>
      <c r="Q148" s="38">
        <f t="shared" si="16"/>
        <v>241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249</v>
      </c>
      <c r="C149" s="89" t="s">
        <v>44</v>
      </c>
      <c r="D149" s="111" t="s">
        <v>1246</v>
      </c>
      <c r="E149" s="112" t="s">
        <v>251</v>
      </c>
      <c r="F149" s="113" t="s">
        <v>1247</v>
      </c>
      <c r="G149" s="113" t="s">
        <v>1248</v>
      </c>
      <c r="H149" s="96"/>
      <c r="I149" s="9"/>
      <c r="J149" s="9" t="s">
        <v>247</v>
      </c>
      <c r="K149" s="14"/>
      <c r="L149" s="14"/>
      <c r="M149" s="12">
        <v>400</v>
      </c>
      <c r="N149" s="9"/>
      <c r="O149" s="9"/>
      <c r="P149" s="9"/>
      <c r="Q149" s="38">
        <f t="shared" si="16"/>
        <v>400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249</v>
      </c>
      <c r="C150" s="89" t="s">
        <v>132</v>
      </c>
      <c r="D150" s="111" t="s">
        <v>1249</v>
      </c>
      <c r="E150" s="112" t="s">
        <v>251</v>
      </c>
      <c r="F150" s="113" t="s">
        <v>1250</v>
      </c>
      <c r="G150" s="113" t="s">
        <v>1251</v>
      </c>
      <c r="H150" s="96"/>
      <c r="I150" s="9"/>
      <c r="J150" s="9" t="s">
        <v>247</v>
      </c>
      <c r="K150" s="14"/>
      <c r="L150" s="14"/>
      <c r="M150" s="12">
        <v>1000</v>
      </c>
      <c r="N150" s="9"/>
      <c r="O150" s="9"/>
      <c r="P150" s="9"/>
      <c r="Q150" s="38">
        <f t="shared" si="16"/>
        <v>1000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8" t="s">
        <v>172</v>
      </c>
      <c r="C151" s="89" t="s">
        <v>48</v>
      </c>
      <c r="D151" s="111" t="s">
        <v>253</v>
      </c>
      <c r="E151" s="112"/>
      <c r="F151" s="113" t="s">
        <v>1252</v>
      </c>
      <c r="G151" s="113" t="s">
        <v>1253</v>
      </c>
      <c r="H151" s="96"/>
      <c r="I151" s="21"/>
      <c r="J151" s="21" t="s">
        <v>67</v>
      </c>
      <c r="K151" s="14"/>
      <c r="L151" s="14"/>
      <c r="M151" s="12">
        <v>200</v>
      </c>
      <c r="N151" s="9"/>
      <c r="O151" s="9"/>
      <c r="P151" s="9"/>
      <c r="Q151" s="38">
        <f t="shared" si="16"/>
        <v>200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8" t="s">
        <v>172</v>
      </c>
      <c r="C152" s="89" t="s">
        <v>48</v>
      </c>
      <c r="D152" s="111" t="s">
        <v>254</v>
      </c>
      <c r="E152" s="112"/>
      <c r="F152" s="113" t="s">
        <v>1254</v>
      </c>
      <c r="G152" s="113" t="s">
        <v>1255</v>
      </c>
      <c r="H152" s="96"/>
      <c r="I152" s="21"/>
      <c r="J152" s="21" t="s">
        <v>67</v>
      </c>
      <c r="K152" s="14"/>
      <c r="L152" s="14"/>
      <c r="M152" s="12">
        <v>460</v>
      </c>
      <c r="N152" s="9"/>
      <c r="O152" s="9"/>
      <c r="P152" s="9"/>
      <c r="Q152" s="38">
        <f t="shared" si="16"/>
        <v>460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111" t="s">
        <v>256</v>
      </c>
      <c r="E153" s="112"/>
      <c r="F153" s="113" t="s">
        <v>1256</v>
      </c>
      <c r="G153" s="113" t="s">
        <v>1257</v>
      </c>
      <c r="H153" s="96"/>
      <c r="I153" s="9"/>
      <c r="J153" s="9" t="s">
        <v>67</v>
      </c>
      <c r="K153" s="14"/>
      <c r="L153" s="14"/>
      <c r="M153" s="12">
        <v>705</v>
      </c>
      <c r="N153" s="9"/>
      <c r="O153" s="9"/>
      <c r="P153" s="9"/>
      <c r="Q153" s="38">
        <f t="shared" si="16"/>
        <v>705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111" t="s">
        <v>257</v>
      </c>
      <c r="E154" s="112"/>
      <c r="F154" s="113" t="s">
        <v>1258</v>
      </c>
      <c r="G154" s="113" t="s">
        <v>1259</v>
      </c>
      <c r="H154" s="96"/>
      <c r="I154" s="9"/>
      <c r="J154" s="9" t="s">
        <v>67</v>
      </c>
      <c r="K154" s="14"/>
      <c r="L154" s="14"/>
      <c r="M154" s="12">
        <v>196</v>
      </c>
      <c r="N154" s="9"/>
      <c r="O154" s="9"/>
      <c r="P154" s="9"/>
      <c r="Q154" s="38">
        <f t="shared" si="16"/>
        <v>196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172</v>
      </c>
      <c r="C155" s="89" t="s">
        <v>48</v>
      </c>
      <c r="D155" s="111" t="s">
        <v>258</v>
      </c>
      <c r="E155" s="112"/>
      <c r="F155" s="113" t="s">
        <v>1260</v>
      </c>
      <c r="G155" s="113" t="s">
        <v>1261</v>
      </c>
      <c r="H155" s="96"/>
      <c r="I155" s="9"/>
      <c r="J155" s="9" t="s">
        <v>67</v>
      </c>
      <c r="K155" s="14"/>
      <c r="L155" s="14"/>
      <c r="M155" s="12">
        <v>0</v>
      </c>
      <c r="N155" s="9"/>
      <c r="O155" s="9"/>
      <c r="P155" s="9"/>
      <c r="Q155" s="38">
        <f t="shared" si="16"/>
        <v>0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172</v>
      </c>
      <c r="C156" s="89" t="s">
        <v>48</v>
      </c>
      <c r="D156" s="111" t="s">
        <v>259</v>
      </c>
      <c r="E156" s="112"/>
      <c r="F156" s="113" t="s">
        <v>1262</v>
      </c>
      <c r="G156" s="113" t="s">
        <v>1263</v>
      </c>
      <c r="H156" s="96"/>
      <c r="I156" s="9"/>
      <c r="J156" s="9" t="s">
        <v>67</v>
      </c>
      <c r="K156" s="14"/>
      <c r="L156" s="14"/>
      <c r="M156" s="12"/>
      <c r="N156" s="9"/>
      <c r="O156" s="9"/>
      <c r="P156" s="9"/>
      <c r="Q156" s="38">
        <f t="shared" si="16"/>
        <v>0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172</v>
      </c>
      <c r="C157" s="89" t="s">
        <v>48</v>
      </c>
      <c r="D157" s="111" t="s">
        <v>260</v>
      </c>
      <c r="E157" s="112"/>
      <c r="F157" s="113" t="s">
        <v>1264</v>
      </c>
      <c r="G157" s="113" t="s">
        <v>1265</v>
      </c>
      <c r="H157" s="96"/>
      <c r="I157" s="9"/>
      <c r="J157" s="9" t="s">
        <v>67</v>
      </c>
      <c r="K157" s="14"/>
      <c r="L157" s="14"/>
      <c r="M157" s="12">
        <v>348</v>
      </c>
      <c r="N157" s="9"/>
      <c r="O157" s="9"/>
      <c r="P157" s="9"/>
      <c r="Q157" s="38">
        <f t="shared" si="16"/>
        <v>348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172</v>
      </c>
      <c r="C158" s="89" t="s">
        <v>48</v>
      </c>
      <c r="D158" s="111" t="s">
        <v>261</v>
      </c>
      <c r="E158" s="112"/>
      <c r="F158" s="113" t="s">
        <v>1266</v>
      </c>
      <c r="G158" s="113" t="s">
        <v>1267</v>
      </c>
      <c r="H158" s="96"/>
      <c r="I158" s="9"/>
      <c r="J158" s="9" t="s">
        <v>67</v>
      </c>
      <c r="K158" s="14"/>
      <c r="L158" s="14"/>
      <c r="M158" s="12"/>
      <c r="N158" s="9"/>
      <c r="O158" s="9"/>
      <c r="P158" s="9"/>
      <c r="Q158" s="38">
        <f t="shared" si="16"/>
        <v>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111" t="s">
        <v>194</v>
      </c>
      <c r="E159" s="112" t="s">
        <v>262</v>
      </c>
      <c r="F159" s="113" t="s">
        <v>1268</v>
      </c>
      <c r="G159" s="113" t="s">
        <v>1269</v>
      </c>
      <c r="H159" s="96"/>
      <c r="I159" s="9"/>
      <c r="J159" s="9" t="s">
        <v>67</v>
      </c>
      <c r="K159" s="14"/>
      <c r="L159" s="14"/>
      <c r="M159" s="12">
        <v>179</v>
      </c>
      <c r="N159" s="9"/>
      <c r="O159" s="9"/>
      <c r="P159" s="9"/>
      <c r="Q159" s="38">
        <f t="shared" si="16"/>
        <v>179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111" t="s">
        <v>263</v>
      </c>
      <c r="E160" s="112" t="s">
        <v>264</v>
      </c>
      <c r="F160" s="113" t="s">
        <v>1270</v>
      </c>
      <c r="G160" s="113" t="s">
        <v>1271</v>
      </c>
      <c r="H160" s="96"/>
      <c r="I160" s="9"/>
      <c r="J160" s="9" t="s">
        <v>67</v>
      </c>
      <c r="K160" s="14"/>
      <c r="L160" s="14"/>
      <c r="M160" s="12">
        <v>516</v>
      </c>
      <c r="N160" s="9"/>
      <c r="O160" s="9"/>
      <c r="P160" s="9"/>
      <c r="Q160" s="38">
        <f t="shared" si="16"/>
        <v>516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111" t="s">
        <v>265</v>
      </c>
      <c r="E161" s="112" t="s">
        <v>266</v>
      </c>
      <c r="F161" s="113" t="s">
        <v>1272</v>
      </c>
      <c r="G161" s="113" t="s">
        <v>1273</v>
      </c>
      <c r="H161" s="96"/>
      <c r="I161" s="9"/>
      <c r="J161" s="9" t="s">
        <v>67</v>
      </c>
      <c r="K161" s="14"/>
      <c r="L161" s="14"/>
      <c r="M161" s="12">
        <v>148</v>
      </c>
      <c r="N161" s="9"/>
      <c r="O161" s="9"/>
      <c r="P161" s="9"/>
      <c r="Q161" s="38">
        <f t="shared" si="16"/>
        <v>148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111" t="s">
        <v>196</v>
      </c>
      <c r="E162" s="112" t="s">
        <v>267</v>
      </c>
      <c r="F162" s="113" t="s">
        <v>1274</v>
      </c>
      <c r="G162" s="113" t="s">
        <v>1275</v>
      </c>
      <c r="H162" s="96"/>
      <c r="I162" s="9"/>
      <c r="J162" s="9" t="s">
        <v>67</v>
      </c>
      <c r="K162" s="14"/>
      <c r="L162" s="14"/>
      <c r="M162" s="12">
        <v>120</v>
      </c>
      <c r="N162" s="9"/>
      <c r="O162" s="9"/>
      <c r="P162" s="9"/>
      <c r="Q162" s="38">
        <f t="shared" si="16"/>
        <v>120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111" t="s">
        <v>198</v>
      </c>
      <c r="E163" s="112" t="s">
        <v>268</v>
      </c>
      <c r="F163" s="113" t="s">
        <v>1276</v>
      </c>
      <c r="G163" s="113" t="s">
        <v>1277</v>
      </c>
      <c r="H163" s="96"/>
      <c r="I163" s="9"/>
      <c r="J163" s="9" t="s">
        <v>67</v>
      </c>
      <c r="K163" s="14"/>
      <c r="L163" s="14"/>
      <c r="M163" s="12">
        <v>509</v>
      </c>
      <c r="N163" s="9"/>
      <c r="O163" s="9"/>
      <c r="P163" s="9"/>
      <c r="Q163" s="38">
        <f t="shared" si="16"/>
        <v>509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120</v>
      </c>
      <c r="C164" s="89" t="s">
        <v>48</v>
      </c>
      <c r="D164" s="111" t="s">
        <v>200</v>
      </c>
      <c r="E164" s="112" t="s">
        <v>269</v>
      </c>
      <c r="F164" s="113" t="s">
        <v>1278</v>
      </c>
      <c r="G164" s="113" t="s">
        <v>1279</v>
      </c>
      <c r="H164" s="96"/>
      <c r="I164" s="9"/>
      <c r="J164" s="9" t="s">
        <v>67</v>
      </c>
      <c r="K164" s="14"/>
      <c r="L164" s="14"/>
      <c r="M164" s="12">
        <v>506</v>
      </c>
      <c r="N164" s="9"/>
      <c r="O164" s="9"/>
      <c r="P164" s="9"/>
      <c r="Q164" s="38">
        <f t="shared" si="16"/>
        <v>506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69" si="21">(BC164+BE164)</f>
        <v>0</v>
      </c>
    </row>
    <row r="165" spans="1:59" s="8" customFormat="1" ht="22.5" customHeight="1">
      <c r="A165" s="9"/>
      <c r="B165" s="16" t="s">
        <v>120</v>
      </c>
      <c r="C165" s="89" t="s">
        <v>48</v>
      </c>
      <c r="D165" s="111" t="s">
        <v>270</v>
      </c>
      <c r="E165" s="112" t="s">
        <v>271</v>
      </c>
      <c r="F165" s="113" t="s">
        <v>1280</v>
      </c>
      <c r="G165" s="113" t="s">
        <v>1281</v>
      </c>
      <c r="H165" s="96"/>
      <c r="I165" s="9"/>
      <c r="J165" s="9" t="s">
        <v>67</v>
      </c>
      <c r="K165" s="14"/>
      <c r="L165" s="14"/>
      <c r="M165" s="12">
        <v>52</v>
      </c>
      <c r="N165" s="9"/>
      <c r="O165" s="9"/>
      <c r="P165" s="9"/>
      <c r="Q165" s="38">
        <f t="shared" si="16"/>
        <v>52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120</v>
      </c>
      <c r="C166" s="89" t="s">
        <v>48</v>
      </c>
      <c r="D166" s="111" t="s">
        <v>272</v>
      </c>
      <c r="E166" s="112" t="s">
        <v>273</v>
      </c>
      <c r="F166" s="113" t="s">
        <v>1282</v>
      </c>
      <c r="G166" s="113" t="s">
        <v>1283</v>
      </c>
      <c r="H166" s="96"/>
      <c r="I166" s="9"/>
      <c r="J166" s="9" t="s">
        <v>67</v>
      </c>
      <c r="K166" s="14"/>
      <c r="L166" s="14"/>
      <c r="M166" s="12">
        <v>200</v>
      </c>
      <c r="N166" s="9"/>
      <c r="O166" s="9"/>
      <c r="P166" s="9"/>
      <c r="Q166" s="38">
        <f t="shared" si="16"/>
        <v>200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120</v>
      </c>
      <c r="C167" s="89" t="s">
        <v>48</v>
      </c>
      <c r="D167" s="111" t="s">
        <v>274</v>
      </c>
      <c r="E167" s="112" t="s">
        <v>275</v>
      </c>
      <c r="F167" s="113" t="s">
        <v>1284</v>
      </c>
      <c r="G167" s="113" t="s">
        <v>1285</v>
      </c>
      <c r="H167" s="96"/>
      <c r="I167" s="9"/>
      <c r="J167" s="9" t="s">
        <v>67</v>
      </c>
      <c r="K167" s="14"/>
      <c r="L167" s="14"/>
      <c r="M167" s="12">
        <v>278</v>
      </c>
      <c r="N167" s="9"/>
      <c r="O167" s="9"/>
      <c r="P167" s="9"/>
      <c r="Q167" s="38">
        <f t="shared" si="16"/>
        <v>278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187</v>
      </c>
      <c r="C168" s="89" t="s">
        <v>48</v>
      </c>
      <c r="D168" s="111" t="s">
        <v>276</v>
      </c>
      <c r="E168" s="112" t="s">
        <v>277</v>
      </c>
      <c r="F168" s="113" t="s">
        <v>1286</v>
      </c>
      <c r="G168" s="113" t="s">
        <v>1287</v>
      </c>
      <c r="H168" s="96"/>
      <c r="I168" s="9"/>
      <c r="J168" s="9" t="s">
        <v>67</v>
      </c>
      <c r="K168" s="14"/>
      <c r="L168" s="14"/>
      <c r="M168" s="12">
        <v>504</v>
      </c>
      <c r="N168" s="9"/>
      <c r="O168" s="9"/>
      <c r="P168" s="9"/>
      <c r="Q168" s="38">
        <f t="shared" si="16"/>
        <v>504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111" t="s">
        <v>278</v>
      </c>
      <c r="E169" s="112" t="s">
        <v>279</v>
      </c>
      <c r="F169" s="113" t="s">
        <v>1288</v>
      </c>
      <c r="G169" s="113" t="s">
        <v>1289</v>
      </c>
      <c r="H169" s="96"/>
      <c r="I169" s="9"/>
      <c r="J169" s="9" t="s">
        <v>207</v>
      </c>
      <c r="K169" s="14"/>
      <c r="L169" s="14"/>
      <c r="M169" s="12">
        <v>304</v>
      </c>
      <c r="N169" s="9"/>
      <c r="O169" s="9"/>
      <c r="P169" s="9"/>
      <c r="Q169" s="38">
        <f t="shared" si="16"/>
        <v>304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1290</v>
      </c>
      <c r="H170" s="96"/>
      <c r="I170" s="9"/>
      <c r="J170" s="9" t="s">
        <v>207</v>
      </c>
      <c r="K170" s="14"/>
      <c r="L170" s="14"/>
      <c r="M170" s="12">
        <v>101</v>
      </c>
      <c r="N170" s="9"/>
      <c r="O170" s="9"/>
      <c r="P170" s="9"/>
      <c r="Q170" s="38">
        <f t="shared" si="16"/>
        <v>101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/>
      <c r="BC170" s="15"/>
      <c r="BD170" s="44"/>
      <c r="BE170" s="15"/>
      <c r="BF170" s="44"/>
      <c r="BG170" s="15"/>
    </row>
    <row r="171" spans="1:59" s="8" customFormat="1" ht="22.5" customHeight="1">
      <c r="A171" s="9"/>
      <c r="B171" s="16" t="s">
        <v>204</v>
      </c>
      <c r="C171" s="89" t="s">
        <v>48</v>
      </c>
      <c r="D171" s="111" t="s">
        <v>280</v>
      </c>
      <c r="E171" s="112" t="s">
        <v>281</v>
      </c>
      <c r="F171" s="113" t="s">
        <v>1291</v>
      </c>
      <c r="G171" s="113" t="s">
        <v>1292</v>
      </c>
      <c r="H171" s="96"/>
      <c r="I171" s="9"/>
      <c r="J171" s="9" t="s">
        <v>207</v>
      </c>
      <c r="K171" s="14"/>
      <c r="L171" s="14"/>
      <c r="M171" s="12">
        <v>443</v>
      </c>
      <c r="N171" s="9"/>
      <c r="O171" s="9"/>
      <c r="P171" s="9"/>
      <c r="Q171" s="38">
        <f t="shared" si="16"/>
        <v>443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15"/>
      <c r="AD171" s="44"/>
      <c r="AE171" s="15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AH171+AJ171+AL171+AN171+AP171+AR171+AT171+AV171+AX171+AZ171</f>
        <v>0</v>
      </c>
      <c r="BC171" s="15"/>
      <c r="BD171" s="44"/>
      <c r="BE171" s="15"/>
      <c r="BF171" s="44"/>
      <c r="BG171" s="15">
        <f>(BC171+BE171)</f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9" t="s">
        <v>280</v>
      </c>
      <c r="E172" s="13" t="s">
        <v>1290</v>
      </c>
      <c r="H172" s="96"/>
      <c r="I172" s="9"/>
      <c r="J172" s="9" t="s">
        <v>207</v>
      </c>
      <c r="K172" s="14"/>
      <c r="L172" s="14"/>
      <c r="M172" s="12">
        <v>96</v>
      </c>
      <c r="N172" s="9"/>
      <c r="O172" s="9"/>
      <c r="P172" s="9"/>
      <c r="Q172" s="38">
        <f t="shared" si="16"/>
        <v>96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/>
      <c r="BC172" s="15"/>
      <c r="BD172" s="44"/>
      <c r="BE172" s="15"/>
      <c r="BF172" s="44"/>
      <c r="BG172" s="15"/>
    </row>
    <row r="173" spans="1:59" s="8" customFormat="1" ht="22.5" customHeight="1">
      <c r="A173" s="9"/>
      <c r="B173" s="16" t="s">
        <v>204</v>
      </c>
      <c r="C173" s="89" t="s">
        <v>48</v>
      </c>
      <c r="D173" s="111" t="s">
        <v>282</v>
      </c>
      <c r="E173" s="112" t="s">
        <v>206</v>
      </c>
      <c r="F173" s="113" t="s">
        <v>1293</v>
      </c>
      <c r="G173" s="113" t="s">
        <v>1294</v>
      </c>
      <c r="H173" s="96"/>
      <c r="I173" s="9"/>
      <c r="J173" s="9" t="s">
        <v>207</v>
      </c>
      <c r="K173" s="14"/>
      <c r="L173" s="14"/>
      <c r="M173" s="12">
        <v>500</v>
      </c>
      <c r="N173" s="9"/>
      <c r="O173" s="9"/>
      <c r="P173" s="9"/>
      <c r="Q173" s="38">
        <f t="shared" si="16"/>
        <v>500</v>
      </c>
      <c r="R173" s="12"/>
      <c r="S173" s="42"/>
      <c r="T173" s="15"/>
      <c r="U173" s="44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ref="BB173:BB187" si="22">AH173+AJ173+AL173+AN173+AP173+AR173+AT173+AV173+AX173+AZ173</f>
        <v>0</v>
      </c>
      <c r="BC173" s="15"/>
      <c r="BD173" s="44"/>
      <c r="BE173" s="15"/>
      <c r="BF173" s="44"/>
      <c r="BG173" s="15">
        <f t="shared" ref="BG173:BG187" si="23">(BC173+BE173)</f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111" t="s">
        <v>216</v>
      </c>
      <c r="E174" s="112" t="s">
        <v>279</v>
      </c>
      <c r="F174" s="113" t="s">
        <v>1295</v>
      </c>
      <c r="G174" s="113" t="s">
        <v>1296</v>
      </c>
      <c r="H174" s="96"/>
      <c r="I174" s="9"/>
      <c r="J174" s="9" t="s">
        <v>207</v>
      </c>
      <c r="K174" s="14"/>
      <c r="L174" s="14"/>
      <c r="M174" s="12">
        <v>274</v>
      </c>
      <c r="N174" s="9"/>
      <c r="O174" s="9"/>
      <c r="P174" s="9"/>
      <c r="Q174" s="38">
        <f t="shared" si="16"/>
        <v>274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3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111" t="s">
        <v>283</v>
      </c>
      <c r="E175" s="112" t="s">
        <v>206</v>
      </c>
      <c r="F175" s="113" t="s">
        <v>1297</v>
      </c>
      <c r="G175" s="113" t="s">
        <v>1298</v>
      </c>
      <c r="H175" s="96"/>
      <c r="I175" s="9"/>
      <c r="J175" s="9" t="s">
        <v>207</v>
      </c>
      <c r="K175" s="14"/>
      <c r="L175" s="14"/>
      <c r="M175" s="12">
        <v>313</v>
      </c>
      <c r="N175" s="9"/>
      <c r="O175" s="9"/>
      <c r="P175" s="9"/>
      <c r="Q175" s="38">
        <f t="shared" si="16"/>
        <v>313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3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111" t="s">
        <v>284</v>
      </c>
      <c r="E176" s="112" t="s">
        <v>237</v>
      </c>
      <c r="F176" s="113" t="s">
        <v>1299</v>
      </c>
      <c r="G176" s="113" t="s">
        <v>1300</v>
      </c>
      <c r="H176" s="96"/>
      <c r="I176" s="9"/>
      <c r="J176" s="9" t="s">
        <v>207</v>
      </c>
      <c r="K176" s="14"/>
      <c r="L176" s="14"/>
      <c r="M176" s="12">
        <v>260</v>
      </c>
      <c r="N176" s="9"/>
      <c r="O176" s="9"/>
      <c r="P176" s="9"/>
      <c r="Q176" s="38">
        <f t="shared" si="16"/>
        <v>260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3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111" t="s">
        <v>285</v>
      </c>
      <c r="E177" s="112" t="s">
        <v>279</v>
      </c>
      <c r="F177" s="113" t="s">
        <v>1301</v>
      </c>
      <c r="G177" s="113" t="s">
        <v>1302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24"/>
      <c r="AD177" s="44"/>
      <c r="AE177" s="24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3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111" t="s">
        <v>286</v>
      </c>
      <c r="E178" s="112" t="s">
        <v>287</v>
      </c>
      <c r="F178" s="113" t="s">
        <v>1303</v>
      </c>
      <c r="G178" s="113" t="s">
        <v>1304</v>
      </c>
      <c r="H178" s="96"/>
      <c r="I178" s="9"/>
      <c r="J178" s="9" t="s">
        <v>207</v>
      </c>
      <c r="K178" s="14"/>
      <c r="L178" s="14"/>
      <c r="M178" s="12">
        <v>476</v>
      </c>
      <c r="N178" s="9"/>
      <c r="O178" s="9"/>
      <c r="P178" s="9"/>
      <c r="Q178" s="38">
        <f t="shared" si="16"/>
        <v>476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3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111" t="s">
        <v>288</v>
      </c>
      <c r="E179" s="112" t="s">
        <v>281</v>
      </c>
      <c r="F179" s="113" t="s">
        <v>1305</v>
      </c>
      <c r="G179" s="113" t="s">
        <v>1306</v>
      </c>
      <c r="H179" s="96"/>
      <c r="I179" s="9"/>
      <c r="J179" s="9" t="s">
        <v>207</v>
      </c>
      <c r="K179" s="14"/>
      <c r="L179" s="14"/>
      <c r="M179" s="12">
        <v>399</v>
      </c>
      <c r="N179" s="9"/>
      <c r="O179" s="9"/>
      <c r="P179" s="9"/>
      <c r="Q179" s="38">
        <f t="shared" si="16"/>
        <v>399</v>
      </c>
      <c r="R179" s="12"/>
      <c r="S179" s="42"/>
      <c r="T179" s="12"/>
      <c r="U179" s="42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3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111" t="s">
        <v>289</v>
      </c>
      <c r="E180" s="112" t="s">
        <v>290</v>
      </c>
      <c r="F180" s="113" t="s">
        <v>1307</v>
      </c>
      <c r="G180" s="113" t="s">
        <v>1308</v>
      </c>
      <c r="H180" s="96"/>
      <c r="I180" s="9"/>
      <c r="J180" s="9" t="s">
        <v>207</v>
      </c>
      <c r="K180" s="14"/>
      <c r="L180" s="14"/>
      <c r="M180" s="12">
        <v>159</v>
      </c>
      <c r="N180" s="9"/>
      <c r="O180" s="9"/>
      <c r="P180" s="9"/>
      <c r="Q180" s="38">
        <f t="shared" si="16"/>
        <v>159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3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111" t="s">
        <v>291</v>
      </c>
      <c r="E181" s="112" t="s">
        <v>281</v>
      </c>
      <c r="F181" s="113" t="s">
        <v>1309</v>
      </c>
      <c r="G181" s="113" t="s">
        <v>1310</v>
      </c>
      <c r="H181" s="96"/>
      <c r="I181" s="9"/>
      <c r="J181" s="9" t="s">
        <v>207</v>
      </c>
      <c r="K181" s="14"/>
      <c r="L181" s="14"/>
      <c r="M181" s="12">
        <v>393</v>
      </c>
      <c r="N181" s="9"/>
      <c r="O181" s="9"/>
      <c r="P181" s="9"/>
      <c r="Q181" s="38">
        <f t="shared" si="16"/>
        <v>393</v>
      </c>
      <c r="R181" s="12"/>
      <c r="S181" s="42"/>
      <c r="T181" s="15"/>
      <c r="U181" s="44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3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111" t="s">
        <v>1311</v>
      </c>
      <c r="E182" s="112" t="s">
        <v>281</v>
      </c>
      <c r="F182" s="113" t="s">
        <v>1312</v>
      </c>
      <c r="G182" s="113" t="s">
        <v>1313</v>
      </c>
      <c r="H182" s="96"/>
      <c r="I182" s="9"/>
      <c r="J182" s="9" t="s">
        <v>207</v>
      </c>
      <c r="K182" s="14"/>
      <c r="L182" s="14"/>
      <c r="M182" s="12">
        <v>189</v>
      </c>
      <c r="N182" s="9"/>
      <c r="O182" s="9"/>
      <c r="P182" s="9"/>
      <c r="Q182" s="38">
        <f t="shared" si="16"/>
        <v>189</v>
      </c>
      <c r="R182" s="12"/>
      <c r="S182" s="42"/>
      <c r="T182" s="15"/>
      <c r="U182" s="44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>
        <f t="shared" si="22"/>
        <v>0</v>
      </c>
      <c r="BC182" s="15"/>
      <c r="BD182" s="44"/>
      <c r="BE182" s="15"/>
      <c r="BF182" s="44"/>
      <c r="BG182" s="15">
        <f t="shared" si="23"/>
        <v>0</v>
      </c>
    </row>
    <row r="183" spans="1:59" s="8" customFormat="1" ht="22.5" customHeight="1">
      <c r="A183" s="9"/>
      <c r="B183" s="16" t="s">
        <v>204</v>
      </c>
      <c r="C183" s="89" t="s">
        <v>48</v>
      </c>
      <c r="D183" s="111" t="s">
        <v>293</v>
      </c>
      <c r="E183" s="112" t="s">
        <v>206</v>
      </c>
      <c r="F183" s="113" t="s">
        <v>1314</v>
      </c>
      <c r="G183" s="113" t="s">
        <v>1315</v>
      </c>
      <c r="H183" s="96"/>
      <c r="I183" s="9"/>
      <c r="J183" s="9" t="s">
        <v>207</v>
      </c>
      <c r="K183" s="14"/>
      <c r="L183" s="14"/>
      <c r="M183" s="12">
        <v>500</v>
      </c>
      <c r="N183" s="9"/>
      <c r="O183" s="9"/>
      <c r="P183" s="9"/>
      <c r="Q183" s="38">
        <f t="shared" si="16"/>
        <v>500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si="22"/>
        <v>0</v>
      </c>
      <c r="BC183" s="15"/>
      <c r="BD183" s="44"/>
      <c r="BE183" s="15"/>
      <c r="BF183" s="44"/>
      <c r="BG183" s="15">
        <f t="shared" si="23"/>
        <v>0</v>
      </c>
    </row>
    <row r="184" spans="1:59" s="8" customFormat="1" ht="22.5" customHeight="1">
      <c r="A184" s="9"/>
      <c r="B184" s="16" t="s">
        <v>204</v>
      </c>
      <c r="C184" s="89" t="s">
        <v>48</v>
      </c>
      <c r="D184" s="111" t="s">
        <v>294</v>
      </c>
      <c r="E184" s="112" t="s">
        <v>206</v>
      </c>
      <c r="F184" s="113" t="s">
        <v>1316</v>
      </c>
      <c r="G184" s="113" t="s">
        <v>1317</v>
      </c>
      <c r="H184" s="96"/>
      <c r="I184" s="9"/>
      <c r="J184" s="9" t="s">
        <v>207</v>
      </c>
      <c r="K184" s="14"/>
      <c r="L184" s="14"/>
      <c r="M184" s="12">
        <v>495</v>
      </c>
      <c r="N184" s="9"/>
      <c r="O184" s="9"/>
      <c r="P184" s="9"/>
      <c r="Q184" s="38">
        <f t="shared" si="16"/>
        <v>495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2"/>
        <v>0</v>
      </c>
      <c r="BC184" s="15"/>
      <c r="BD184" s="44"/>
      <c r="BE184" s="15"/>
      <c r="BF184" s="44"/>
      <c r="BG184" s="15">
        <f t="shared" si="23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111" t="s">
        <v>295</v>
      </c>
      <c r="E185" s="112" t="s">
        <v>279</v>
      </c>
      <c r="F185" s="113" t="s">
        <v>1318</v>
      </c>
      <c r="G185" s="113" t="s">
        <v>1319</v>
      </c>
      <c r="H185" s="96"/>
      <c r="I185" s="9"/>
      <c r="J185" s="9" t="s">
        <v>207</v>
      </c>
      <c r="K185" s="14"/>
      <c r="L185" s="14"/>
      <c r="M185" s="12"/>
      <c r="N185" s="9"/>
      <c r="O185" s="9"/>
      <c r="P185" s="9"/>
      <c r="Q185" s="38">
        <f t="shared" si="16"/>
        <v>0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2"/>
        <v>0</v>
      </c>
      <c r="BC185" s="15"/>
      <c r="BD185" s="44"/>
      <c r="BE185" s="15"/>
      <c r="BF185" s="44"/>
      <c r="BG185" s="15">
        <f t="shared" si="23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111" t="s">
        <v>296</v>
      </c>
      <c r="E186" s="112" t="s">
        <v>287</v>
      </c>
      <c r="F186" s="113" t="s">
        <v>1320</v>
      </c>
      <c r="G186" s="113" t="s">
        <v>1321</v>
      </c>
      <c r="H186" s="96"/>
      <c r="I186" s="9"/>
      <c r="J186" s="9" t="s">
        <v>207</v>
      </c>
      <c r="K186" s="14"/>
      <c r="L186" s="14"/>
      <c r="M186" s="12">
        <v>302</v>
      </c>
      <c r="N186" s="9"/>
      <c r="O186" s="9"/>
      <c r="P186" s="9"/>
      <c r="Q186" s="38">
        <f t="shared" si="16"/>
        <v>302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2"/>
        <v>0</v>
      </c>
      <c r="BC186" s="15"/>
      <c r="BD186" s="44"/>
      <c r="BE186" s="15"/>
      <c r="BF186" s="44"/>
      <c r="BG186" s="15">
        <f t="shared" si="23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111" t="s">
        <v>297</v>
      </c>
      <c r="E187" s="112" t="s">
        <v>281</v>
      </c>
      <c r="F187" s="113" t="s">
        <v>1322</v>
      </c>
      <c r="G187" s="113" t="s">
        <v>1323</v>
      </c>
      <c r="H187" s="96"/>
      <c r="I187" s="9"/>
      <c r="J187" s="9" t="s">
        <v>207</v>
      </c>
      <c r="K187" s="14"/>
      <c r="L187" s="14"/>
      <c r="M187" s="12">
        <v>570</v>
      </c>
      <c r="N187" s="9"/>
      <c r="O187" s="9"/>
      <c r="P187" s="9"/>
      <c r="Q187" s="38">
        <f t="shared" si="16"/>
        <v>570</v>
      </c>
      <c r="R187" s="12"/>
      <c r="S187" s="42"/>
      <c r="T187" s="12"/>
      <c r="U187" s="42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2"/>
        <v>0</v>
      </c>
      <c r="BC187" s="15"/>
      <c r="BD187" s="44"/>
      <c r="BE187" s="15"/>
      <c r="BF187" s="44"/>
      <c r="BG187" s="15">
        <f t="shared" si="23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111" t="s">
        <v>1324</v>
      </c>
      <c r="E188" s="112" t="s">
        <v>290</v>
      </c>
      <c r="F188" s="113" t="s">
        <v>1325</v>
      </c>
      <c r="G188" s="113" t="s">
        <v>1326</v>
      </c>
      <c r="H188" s="9"/>
      <c r="I188" s="9"/>
      <c r="J188" s="9" t="s">
        <v>207</v>
      </c>
      <c r="K188" s="14"/>
      <c r="L188" s="14"/>
      <c r="M188" s="12">
        <v>288</v>
      </c>
      <c r="N188" s="38">
        <v>0</v>
      </c>
      <c r="O188" s="15">
        <v>0</v>
      </c>
      <c r="P188" s="15">
        <v>0</v>
      </c>
      <c r="Q188" s="38">
        <f t="shared" si="16"/>
        <v>288</v>
      </c>
      <c r="R188" s="42"/>
      <c r="S188" s="15"/>
      <c r="T188" s="42"/>
      <c r="U188" s="15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/>
      <c r="BC188" s="15"/>
      <c r="BD188" s="44"/>
      <c r="BE188" s="15"/>
      <c r="BF188" s="44"/>
      <c r="BG188" s="15"/>
    </row>
    <row r="189" spans="1:59" s="8" customFormat="1" ht="22.5" customHeight="1">
      <c r="A189" s="9"/>
      <c r="B189" s="16" t="s">
        <v>204</v>
      </c>
      <c r="C189" s="89" t="s">
        <v>48</v>
      </c>
      <c r="D189" s="69" t="s">
        <v>298</v>
      </c>
      <c r="E189" s="13" t="s">
        <v>290</v>
      </c>
      <c r="H189" s="96"/>
      <c r="I189" s="9"/>
      <c r="J189" s="9" t="s">
        <v>207</v>
      </c>
      <c r="K189" s="14"/>
      <c r="L189" s="14"/>
      <c r="M189" s="12">
        <v>164</v>
      </c>
      <c r="N189" s="9"/>
      <c r="O189" s="9"/>
      <c r="P189" s="9"/>
      <c r="Q189" s="38">
        <f t="shared" si="16"/>
        <v>164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ref="BB189:BB211" si="24">AH189+AJ189+AL189+AN189+AP189+AR189+AT189+AV189+AX189+AZ189</f>
        <v>0</v>
      </c>
      <c r="BC189" s="15"/>
      <c r="BD189" s="44"/>
      <c r="BE189" s="15"/>
      <c r="BF189" s="44"/>
      <c r="BG189" s="15">
        <f t="shared" ref="BG189:BG211" si="25">(BC189+BE189)</f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111" t="s">
        <v>299</v>
      </c>
      <c r="E190" s="112" t="s">
        <v>281</v>
      </c>
      <c r="F190" s="113" t="s">
        <v>1327</v>
      </c>
      <c r="G190" s="113" t="s">
        <v>1328</v>
      </c>
      <c r="H190" s="96"/>
      <c r="I190" s="9"/>
      <c r="J190" s="9" t="s">
        <v>207</v>
      </c>
      <c r="K190" s="14"/>
      <c r="L190" s="14"/>
      <c r="M190" s="12">
        <v>202</v>
      </c>
      <c r="N190" s="9"/>
      <c r="O190" s="9"/>
      <c r="P190" s="9"/>
      <c r="Q190" s="38">
        <f t="shared" si="16"/>
        <v>202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4"/>
        <v>0</v>
      </c>
      <c r="BC190" s="15"/>
      <c r="BD190" s="44"/>
      <c r="BE190" s="15"/>
      <c r="BF190" s="44"/>
      <c r="BG190" s="15">
        <f t="shared" si="25"/>
        <v>0</v>
      </c>
    </row>
    <row r="191" spans="1:59" s="8" customFormat="1" ht="22.5" customHeight="1">
      <c r="A191" s="9"/>
      <c r="B191" s="16" t="s">
        <v>300</v>
      </c>
      <c r="C191" s="89" t="s">
        <v>48</v>
      </c>
      <c r="D191" s="111" t="s">
        <v>301</v>
      </c>
      <c r="E191" s="112" t="s">
        <v>302</v>
      </c>
      <c r="F191" s="113" t="s">
        <v>1329</v>
      </c>
      <c r="G191" s="113" t="s">
        <v>1330</v>
      </c>
      <c r="H191" s="96"/>
      <c r="I191" s="9"/>
      <c r="J191" s="9" t="s">
        <v>207</v>
      </c>
      <c r="K191" s="14"/>
      <c r="L191" s="14"/>
      <c r="M191" s="12">
        <v>0</v>
      </c>
      <c r="N191" s="9"/>
      <c r="O191" s="9"/>
      <c r="P191" s="9"/>
      <c r="Q191" s="38">
        <f t="shared" si="16"/>
        <v>0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4"/>
        <v>0</v>
      </c>
      <c r="BC191" s="15"/>
      <c r="BD191" s="44"/>
      <c r="BE191" s="15"/>
      <c r="BF191" s="44"/>
      <c r="BG191" s="15">
        <f t="shared" si="25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9" t="s">
        <v>301</v>
      </c>
      <c r="E192" s="13" t="s">
        <v>206</v>
      </c>
      <c r="H192" s="96"/>
      <c r="I192" s="9"/>
      <c r="J192" s="9" t="s">
        <v>207</v>
      </c>
      <c r="K192" s="14"/>
      <c r="L192" s="14"/>
      <c r="M192" s="12">
        <v>216</v>
      </c>
      <c r="N192" s="9"/>
      <c r="O192" s="9"/>
      <c r="P192" s="9"/>
      <c r="Q192" s="38">
        <f t="shared" si="16"/>
        <v>216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4"/>
        <v>0</v>
      </c>
      <c r="BC192" s="15"/>
      <c r="BD192" s="44"/>
      <c r="BE192" s="15"/>
      <c r="BF192" s="44"/>
      <c r="BG192" s="15">
        <f t="shared" si="25"/>
        <v>0</v>
      </c>
    </row>
    <row r="193" spans="1:59" s="8" customFormat="1" ht="22.5" customHeight="1">
      <c r="A193" s="9"/>
      <c r="B193" s="16" t="s">
        <v>204</v>
      </c>
      <c r="C193" s="89" t="s">
        <v>48</v>
      </c>
      <c r="D193" s="111" t="s">
        <v>303</v>
      </c>
      <c r="E193" s="112" t="s">
        <v>304</v>
      </c>
      <c r="F193" s="113" t="s">
        <v>1331</v>
      </c>
      <c r="G193" s="113" t="s">
        <v>1332</v>
      </c>
      <c r="H193" s="96"/>
      <c r="I193" s="9"/>
      <c r="J193" s="9" t="s">
        <v>207</v>
      </c>
      <c r="K193" s="14"/>
      <c r="L193" s="14"/>
      <c r="M193" s="12">
        <v>207</v>
      </c>
      <c r="N193" s="9"/>
      <c r="O193" s="9"/>
      <c r="P193" s="9"/>
      <c r="Q193" s="38">
        <f t="shared" si="16"/>
        <v>207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4"/>
        <v>0</v>
      </c>
      <c r="BC193" s="15"/>
      <c r="BD193" s="44"/>
      <c r="BE193" s="15"/>
      <c r="BF193" s="44"/>
      <c r="BG193" s="15">
        <f t="shared" si="25"/>
        <v>0</v>
      </c>
    </row>
    <row r="194" spans="1:59" s="8" customFormat="1" ht="22.5" customHeight="1">
      <c r="A194" s="9"/>
      <c r="B194" s="16" t="s">
        <v>204</v>
      </c>
      <c r="C194" s="89" t="s">
        <v>48</v>
      </c>
      <c r="D194" s="111" t="s">
        <v>305</v>
      </c>
      <c r="E194" s="112" t="s">
        <v>206</v>
      </c>
      <c r="F194" s="113" t="s">
        <v>1333</v>
      </c>
      <c r="G194" s="113" t="s">
        <v>1334</v>
      </c>
      <c r="H194" s="96"/>
      <c r="I194" s="9"/>
      <c r="J194" s="9" t="s">
        <v>207</v>
      </c>
      <c r="K194" s="14"/>
      <c r="L194" s="14"/>
      <c r="M194" s="12">
        <v>562</v>
      </c>
      <c r="N194" s="9"/>
      <c r="O194" s="9"/>
      <c r="P194" s="9"/>
      <c r="Q194" s="38">
        <f t="shared" si="16"/>
        <v>562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4"/>
        <v>0</v>
      </c>
      <c r="BC194" s="15"/>
      <c r="BD194" s="44"/>
      <c r="BE194" s="15"/>
      <c r="BF194" s="44"/>
      <c r="BG194" s="15">
        <f t="shared" si="25"/>
        <v>0</v>
      </c>
    </row>
    <row r="195" spans="1:59" s="8" customFormat="1" ht="22.5" customHeight="1">
      <c r="A195" s="9"/>
      <c r="B195" s="16" t="s">
        <v>204</v>
      </c>
      <c r="C195" s="89" t="s">
        <v>48</v>
      </c>
      <c r="D195" s="111" t="s">
        <v>306</v>
      </c>
      <c r="E195" s="112" t="s">
        <v>307</v>
      </c>
      <c r="F195" s="113" t="s">
        <v>1335</v>
      </c>
      <c r="G195" s="113" t="s">
        <v>1336</v>
      </c>
      <c r="H195" s="96"/>
      <c r="I195" s="9"/>
      <c r="J195" s="9" t="s">
        <v>207</v>
      </c>
      <c r="K195" s="14"/>
      <c r="L195" s="14"/>
      <c r="M195" s="12">
        <v>416</v>
      </c>
      <c r="N195" s="9"/>
      <c r="O195" s="9"/>
      <c r="P195" s="9"/>
      <c r="Q195" s="38">
        <f t="shared" si="16"/>
        <v>416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4"/>
        <v>0</v>
      </c>
      <c r="BC195" s="15"/>
      <c r="BD195" s="44"/>
      <c r="BE195" s="15"/>
      <c r="BF195" s="44"/>
      <c r="BG195" s="15">
        <f t="shared" si="25"/>
        <v>0</v>
      </c>
    </row>
    <row r="196" spans="1:59" s="8" customFormat="1" ht="22.5" customHeight="1">
      <c r="A196" s="9"/>
      <c r="B196" s="16" t="s">
        <v>204</v>
      </c>
      <c r="C196" s="89" t="s">
        <v>48</v>
      </c>
      <c r="D196" s="111" t="s">
        <v>308</v>
      </c>
      <c r="E196" s="112" t="s">
        <v>307</v>
      </c>
      <c r="F196" s="113" t="s">
        <v>1337</v>
      </c>
      <c r="G196" s="113" t="s">
        <v>1338</v>
      </c>
      <c r="H196" s="96"/>
      <c r="I196" s="9"/>
      <c r="J196" s="9" t="s">
        <v>207</v>
      </c>
      <c r="K196" s="14"/>
      <c r="L196" s="14"/>
      <c r="M196" s="12">
        <v>488</v>
      </c>
      <c r="N196" s="9"/>
      <c r="O196" s="9"/>
      <c r="P196" s="9"/>
      <c r="Q196" s="38">
        <f t="shared" ref="Q196:Q259" si="26">M196+X196-AG196-BB196</f>
        <v>488</v>
      </c>
      <c r="R196" s="12"/>
      <c r="S196" s="42"/>
      <c r="T196" s="15"/>
      <c r="U196" s="44"/>
      <c r="V196" s="15"/>
      <c r="W196" s="44"/>
      <c r="X196" s="15">
        <f t="shared" ref="X196:X259" si="27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8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4"/>
        <v>0</v>
      </c>
      <c r="BC196" s="15"/>
      <c r="BD196" s="44"/>
      <c r="BE196" s="15"/>
      <c r="BF196" s="44"/>
      <c r="BG196" s="15">
        <f t="shared" si="25"/>
        <v>0</v>
      </c>
    </row>
    <row r="197" spans="1:59" s="8" customFormat="1" ht="22.5" customHeight="1">
      <c r="A197" s="9"/>
      <c r="B197" s="16" t="s">
        <v>204</v>
      </c>
      <c r="C197" s="89" t="s">
        <v>48</v>
      </c>
      <c r="D197" s="111" t="s">
        <v>309</v>
      </c>
      <c r="E197" s="112" t="s">
        <v>206</v>
      </c>
      <c r="F197" s="113" t="s">
        <v>1339</v>
      </c>
      <c r="G197" s="113" t="s">
        <v>1340</v>
      </c>
      <c r="H197" s="96"/>
      <c r="I197" s="9"/>
      <c r="J197" s="9" t="s">
        <v>207</v>
      </c>
      <c r="K197" s="14"/>
      <c r="L197" s="14"/>
      <c r="M197" s="12">
        <v>196</v>
      </c>
      <c r="N197" s="9"/>
      <c r="O197" s="9"/>
      <c r="P197" s="9"/>
      <c r="Q197" s="38">
        <f t="shared" si="26"/>
        <v>196</v>
      </c>
      <c r="R197" s="12"/>
      <c r="S197" s="42"/>
      <c r="T197" s="15"/>
      <c r="U197" s="44"/>
      <c r="V197" s="15"/>
      <c r="W197" s="44"/>
      <c r="X197" s="15">
        <f t="shared" si="27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8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4"/>
        <v>0</v>
      </c>
      <c r="BC197" s="15"/>
      <c r="BD197" s="44"/>
      <c r="BE197" s="15"/>
      <c r="BF197" s="44"/>
      <c r="BG197" s="15">
        <f t="shared" si="25"/>
        <v>0</v>
      </c>
    </row>
    <row r="198" spans="1:59" s="8" customFormat="1" ht="22.5" customHeight="1">
      <c r="A198" s="9"/>
      <c r="B198" s="16" t="s">
        <v>204</v>
      </c>
      <c r="C198" s="89" t="s">
        <v>48</v>
      </c>
      <c r="D198" s="111" t="s">
        <v>310</v>
      </c>
      <c r="E198" s="112" t="s">
        <v>1341</v>
      </c>
      <c r="F198" s="113" t="s">
        <v>1342</v>
      </c>
      <c r="G198" s="113" t="s">
        <v>1343</v>
      </c>
      <c r="H198" s="96"/>
      <c r="I198" s="9"/>
      <c r="J198" s="9" t="s">
        <v>311</v>
      </c>
      <c r="K198" s="14"/>
      <c r="L198" s="14"/>
      <c r="M198" s="12">
        <v>659</v>
      </c>
      <c r="N198" s="9"/>
      <c r="O198" s="9"/>
      <c r="P198" s="9"/>
      <c r="Q198" s="38">
        <f t="shared" si="26"/>
        <v>659</v>
      </c>
      <c r="R198" s="12"/>
      <c r="S198" s="42"/>
      <c r="T198" s="15"/>
      <c r="U198" s="44"/>
      <c r="V198" s="15"/>
      <c r="W198" s="44"/>
      <c r="X198" s="15">
        <f t="shared" si="27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8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4"/>
        <v>0</v>
      </c>
      <c r="BC198" s="15"/>
      <c r="BD198" s="44"/>
      <c r="BE198" s="15"/>
      <c r="BF198" s="44"/>
      <c r="BG198" s="15">
        <f t="shared" si="25"/>
        <v>0</v>
      </c>
    </row>
    <row r="199" spans="1:59" s="8" customFormat="1" ht="22.5" customHeight="1">
      <c r="A199" s="9"/>
      <c r="B199" s="16" t="s">
        <v>204</v>
      </c>
      <c r="C199" s="89" t="s">
        <v>48</v>
      </c>
      <c r="D199" s="111" t="s">
        <v>312</v>
      </c>
      <c r="E199" s="112" t="s">
        <v>1344</v>
      </c>
      <c r="F199" s="113" t="s">
        <v>1345</v>
      </c>
      <c r="G199" s="113" t="s">
        <v>1346</v>
      </c>
      <c r="H199" s="96"/>
      <c r="I199" s="9"/>
      <c r="J199" s="9" t="s">
        <v>311</v>
      </c>
      <c r="K199" s="14"/>
      <c r="L199" s="14"/>
      <c r="M199" s="12">
        <v>264</v>
      </c>
      <c r="N199" s="9"/>
      <c r="O199" s="9"/>
      <c r="P199" s="9"/>
      <c r="Q199" s="38">
        <f t="shared" si="26"/>
        <v>264</v>
      </c>
      <c r="R199" s="12"/>
      <c r="S199" s="42"/>
      <c r="T199" s="15"/>
      <c r="U199" s="44"/>
      <c r="V199" s="15"/>
      <c r="W199" s="44"/>
      <c r="X199" s="15">
        <f t="shared" si="27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8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4"/>
        <v>0</v>
      </c>
      <c r="BC199" s="15"/>
      <c r="BD199" s="44"/>
      <c r="BE199" s="15"/>
      <c r="BF199" s="44"/>
      <c r="BG199" s="15">
        <f t="shared" si="25"/>
        <v>0</v>
      </c>
    </row>
    <row r="200" spans="1:59" s="8" customFormat="1" ht="22.5" customHeight="1">
      <c r="A200" s="9"/>
      <c r="B200" s="16" t="s">
        <v>204</v>
      </c>
      <c r="C200" s="89" t="s">
        <v>48</v>
      </c>
      <c r="D200" s="111" t="s">
        <v>313</v>
      </c>
      <c r="E200" s="112" t="s">
        <v>1347</v>
      </c>
      <c r="F200" s="113" t="s">
        <v>1348</v>
      </c>
      <c r="G200" s="113" t="s">
        <v>1349</v>
      </c>
      <c r="H200" s="96"/>
      <c r="I200" s="9"/>
      <c r="J200" s="9" t="s">
        <v>314</v>
      </c>
      <c r="K200" s="14"/>
      <c r="L200" s="14"/>
      <c r="M200" s="12">
        <v>214</v>
      </c>
      <c r="N200" s="9"/>
      <c r="O200" s="9"/>
      <c r="P200" s="9"/>
      <c r="Q200" s="38">
        <f t="shared" si="26"/>
        <v>214</v>
      </c>
      <c r="R200" s="12"/>
      <c r="S200" s="42"/>
      <c r="T200" s="15"/>
      <c r="U200" s="44"/>
      <c r="V200" s="15"/>
      <c r="W200" s="44"/>
      <c r="X200" s="15">
        <f t="shared" si="27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8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4"/>
        <v>0</v>
      </c>
      <c r="BC200" s="15"/>
      <c r="BD200" s="44"/>
      <c r="BE200" s="15"/>
      <c r="BF200" s="44"/>
      <c r="BG200" s="15">
        <f t="shared" si="25"/>
        <v>0</v>
      </c>
    </row>
    <row r="201" spans="1:59" s="8" customFormat="1" ht="22.5" customHeight="1">
      <c r="A201" s="9"/>
      <c r="B201" s="16" t="s">
        <v>233</v>
      </c>
      <c r="C201" s="89" t="s">
        <v>48</v>
      </c>
      <c r="D201" s="111" t="s">
        <v>315</v>
      </c>
      <c r="E201" s="112" t="s">
        <v>316</v>
      </c>
      <c r="F201" s="113" t="s">
        <v>1350</v>
      </c>
      <c r="G201" s="113" t="s">
        <v>1351</v>
      </c>
      <c r="H201" s="96"/>
      <c r="I201" s="9"/>
      <c r="J201" s="9" t="s">
        <v>317</v>
      </c>
      <c r="K201" s="14"/>
      <c r="L201" s="14"/>
      <c r="M201" s="12">
        <v>166</v>
      </c>
      <c r="N201" s="9"/>
      <c r="O201" s="9"/>
      <c r="P201" s="9"/>
      <c r="Q201" s="38">
        <f t="shared" si="26"/>
        <v>166</v>
      </c>
      <c r="R201" s="12"/>
      <c r="S201" s="42"/>
      <c r="T201" s="15"/>
      <c r="U201" s="44"/>
      <c r="V201" s="15"/>
      <c r="W201" s="44"/>
      <c r="X201" s="15">
        <f t="shared" si="27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8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4"/>
        <v>0</v>
      </c>
      <c r="BC201" s="15"/>
      <c r="BD201" s="44"/>
      <c r="BE201" s="15"/>
      <c r="BF201" s="44"/>
      <c r="BG201" s="15">
        <f t="shared" si="25"/>
        <v>0</v>
      </c>
    </row>
    <row r="202" spans="1:59" s="8" customFormat="1" ht="22.5" customHeight="1">
      <c r="A202" s="9"/>
      <c r="B202" s="16" t="s">
        <v>233</v>
      </c>
      <c r="C202" s="89" t="s">
        <v>48</v>
      </c>
      <c r="D202" s="111" t="s">
        <v>315</v>
      </c>
      <c r="E202" s="112" t="s">
        <v>318</v>
      </c>
      <c r="F202" s="113" t="s">
        <v>1352</v>
      </c>
      <c r="G202" s="113" t="s">
        <v>1353</v>
      </c>
      <c r="H202" s="96"/>
      <c r="I202" s="9"/>
      <c r="J202" s="9" t="s">
        <v>317</v>
      </c>
      <c r="K202" s="14"/>
      <c r="L202" s="14"/>
      <c r="M202" s="12">
        <v>318</v>
      </c>
      <c r="N202" s="9"/>
      <c r="O202" s="9"/>
      <c r="P202" s="9"/>
      <c r="Q202" s="38">
        <f t="shared" si="26"/>
        <v>318</v>
      </c>
      <c r="R202" s="12"/>
      <c r="S202" s="42"/>
      <c r="T202" s="15"/>
      <c r="U202" s="44"/>
      <c r="V202" s="15"/>
      <c r="W202" s="44"/>
      <c r="X202" s="15">
        <f t="shared" si="27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8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4"/>
        <v>0</v>
      </c>
      <c r="BC202" s="15"/>
      <c r="BD202" s="44"/>
      <c r="BE202" s="15"/>
      <c r="BF202" s="44"/>
      <c r="BG202" s="15">
        <f t="shared" si="25"/>
        <v>0</v>
      </c>
    </row>
    <row r="203" spans="1:59" s="8" customFormat="1" ht="22.5" customHeight="1">
      <c r="A203" s="9"/>
      <c r="B203" s="16" t="s">
        <v>233</v>
      </c>
      <c r="C203" s="89" t="s">
        <v>48</v>
      </c>
      <c r="D203" s="111" t="s">
        <v>319</v>
      </c>
      <c r="E203" s="112" t="s">
        <v>233</v>
      </c>
      <c r="F203" s="113" t="s">
        <v>1354</v>
      </c>
      <c r="G203" s="113" t="s">
        <v>1355</v>
      </c>
      <c r="H203" s="96"/>
      <c r="I203" s="9"/>
      <c r="J203" s="9"/>
      <c r="K203" s="14"/>
      <c r="L203" s="14"/>
      <c r="M203" s="12"/>
      <c r="N203" s="9"/>
      <c r="O203" s="9"/>
      <c r="P203" s="9"/>
      <c r="Q203" s="38">
        <f t="shared" si="26"/>
        <v>0</v>
      </c>
      <c r="R203" s="12"/>
      <c r="S203" s="42"/>
      <c r="T203" s="15"/>
      <c r="U203" s="44"/>
      <c r="V203" s="15"/>
      <c r="W203" s="44"/>
      <c r="X203" s="15">
        <f t="shared" si="27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8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4"/>
        <v>0</v>
      </c>
      <c r="BC203" s="15"/>
      <c r="BD203" s="44"/>
      <c r="BE203" s="15"/>
      <c r="BF203" s="44"/>
      <c r="BG203" s="15">
        <f t="shared" si="25"/>
        <v>0</v>
      </c>
    </row>
    <row r="204" spans="1:59" s="8" customFormat="1" ht="22.5" customHeight="1">
      <c r="A204" s="9"/>
      <c r="B204" s="16" t="s">
        <v>233</v>
      </c>
      <c r="C204" s="89" t="s">
        <v>48</v>
      </c>
      <c r="D204" s="111" t="s">
        <v>320</v>
      </c>
      <c r="E204" s="112" t="s">
        <v>321</v>
      </c>
      <c r="F204" s="113" t="s">
        <v>1356</v>
      </c>
      <c r="G204" s="113" t="s">
        <v>1357</v>
      </c>
      <c r="H204" s="96"/>
      <c r="I204" s="9"/>
      <c r="J204" s="9"/>
      <c r="K204" s="14"/>
      <c r="L204" s="14"/>
      <c r="M204" s="12">
        <v>57</v>
      </c>
      <c r="N204" s="9"/>
      <c r="O204" s="9"/>
      <c r="P204" s="9"/>
      <c r="Q204" s="38">
        <f t="shared" si="26"/>
        <v>57</v>
      </c>
      <c r="R204" s="12"/>
      <c r="S204" s="42"/>
      <c r="T204" s="15"/>
      <c r="U204" s="44"/>
      <c r="V204" s="15"/>
      <c r="W204" s="44"/>
      <c r="X204" s="15">
        <f t="shared" si="27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8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>
        <f t="shared" si="24"/>
        <v>0</v>
      </c>
      <c r="BC204" s="15"/>
      <c r="BD204" s="44"/>
      <c r="BE204" s="15"/>
      <c r="BF204" s="44"/>
      <c r="BG204" s="15">
        <f t="shared" si="25"/>
        <v>0</v>
      </c>
    </row>
    <row r="205" spans="1:59" s="8" customFormat="1" ht="22.5" customHeight="1">
      <c r="A205" s="9"/>
      <c r="B205" s="16" t="s">
        <v>233</v>
      </c>
      <c r="C205" s="89" t="s">
        <v>48</v>
      </c>
      <c r="D205" s="111" t="s">
        <v>322</v>
      </c>
      <c r="E205" s="112" t="s">
        <v>323</v>
      </c>
      <c r="F205" s="113" t="s">
        <v>1358</v>
      </c>
      <c r="G205" s="113" t="s">
        <v>1359</v>
      </c>
      <c r="H205" s="96"/>
      <c r="I205" s="9"/>
      <c r="J205" s="9"/>
      <c r="K205" s="14"/>
      <c r="L205" s="14"/>
      <c r="M205" s="12">
        <v>154</v>
      </c>
      <c r="N205" s="9"/>
      <c r="O205" s="9"/>
      <c r="P205" s="9"/>
      <c r="Q205" s="38">
        <f t="shared" si="26"/>
        <v>154</v>
      </c>
      <c r="R205" s="12"/>
      <c r="S205" s="42"/>
      <c r="T205" s="15"/>
      <c r="U205" s="44"/>
      <c r="V205" s="15"/>
      <c r="W205" s="44"/>
      <c r="X205" s="15">
        <f t="shared" si="27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8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si="24"/>
        <v>0</v>
      </c>
      <c r="BC205" s="15"/>
      <c r="BD205" s="44"/>
      <c r="BE205" s="15"/>
      <c r="BF205" s="44"/>
      <c r="BG205" s="15">
        <f t="shared" si="25"/>
        <v>0</v>
      </c>
    </row>
    <row r="206" spans="1:59" s="8" customFormat="1" ht="22.5" customHeight="1">
      <c r="A206" s="9"/>
      <c r="B206" s="16" t="s">
        <v>233</v>
      </c>
      <c r="C206" s="89" t="s">
        <v>48</v>
      </c>
      <c r="D206" s="111" t="s">
        <v>324</v>
      </c>
      <c r="E206" s="112" t="s">
        <v>325</v>
      </c>
      <c r="F206" s="113" t="s">
        <v>1360</v>
      </c>
      <c r="G206" s="113" t="s">
        <v>1361</v>
      </c>
      <c r="H206" s="96"/>
      <c r="I206" s="9"/>
      <c r="J206" s="9"/>
      <c r="K206" s="14"/>
      <c r="L206" s="14"/>
      <c r="M206" s="12">
        <v>0</v>
      </c>
      <c r="N206" s="9"/>
      <c r="O206" s="9"/>
      <c r="P206" s="9"/>
      <c r="Q206" s="38">
        <f t="shared" si="26"/>
        <v>0</v>
      </c>
      <c r="R206" s="12"/>
      <c r="S206" s="42"/>
      <c r="T206" s="15"/>
      <c r="U206" s="44"/>
      <c r="V206" s="15"/>
      <c r="W206" s="44"/>
      <c r="X206" s="15">
        <f t="shared" si="27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8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4"/>
        <v>0</v>
      </c>
      <c r="BC206" s="15"/>
      <c r="BD206" s="44"/>
      <c r="BE206" s="15"/>
      <c r="BF206" s="44"/>
      <c r="BG206" s="15">
        <f t="shared" si="25"/>
        <v>0</v>
      </c>
    </row>
    <row r="207" spans="1:59" s="8" customFormat="1" ht="22.5" customHeight="1">
      <c r="A207" s="9"/>
      <c r="B207" s="16" t="s">
        <v>233</v>
      </c>
      <c r="C207" s="89" t="s">
        <v>48</v>
      </c>
      <c r="D207" s="111" t="s">
        <v>326</v>
      </c>
      <c r="E207" s="112" t="s">
        <v>327</v>
      </c>
      <c r="F207" s="113" t="s">
        <v>1362</v>
      </c>
      <c r="G207" s="113" t="s">
        <v>1363</v>
      </c>
      <c r="H207" s="96"/>
      <c r="I207" s="9"/>
      <c r="J207" s="9"/>
      <c r="K207" s="14"/>
      <c r="L207" s="14"/>
      <c r="M207" s="12">
        <v>98</v>
      </c>
      <c r="N207" s="9"/>
      <c r="O207" s="9"/>
      <c r="P207" s="9"/>
      <c r="Q207" s="38">
        <f t="shared" si="26"/>
        <v>98</v>
      </c>
      <c r="R207" s="12"/>
      <c r="S207" s="42"/>
      <c r="T207" s="15"/>
      <c r="U207" s="44"/>
      <c r="V207" s="15"/>
      <c r="W207" s="44"/>
      <c r="X207" s="15">
        <f t="shared" si="27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8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4"/>
        <v>0</v>
      </c>
      <c r="BC207" s="15"/>
      <c r="BD207" s="44"/>
      <c r="BE207" s="15"/>
      <c r="BF207" s="44"/>
      <c r="BG207" s="15">
        <f t="shared" si="25"/>
        <v>0</v>
      </c>
    </row>
    <row r="208" spans="1:59" s="8" customFormat="1" ht="22.5" customHeight="1">
      <c r="A208" s="9"/>
      <c r="B208" s="16" t="s">
        <v>155</v>
      </c>
      <c r="C208" s="89" t="s">
        <v>48</v>
      </c>
      <c r="D208" s="111" t="s">
        <v>328</v>
      </c>
      <c r="E208" s="112" t="s">
        <v>329</v>
      </c>
      <c r="F208" s="113" t="s">
        <v>1364</v>
      </c>
      <c r="G208" s="113" t="s">
        <v>1365</v>
      </c>
      <c r="H208" s="96"/>
      <c r="I208" s="9"/>
      <c r="J208" s="9" t="s">
        <v>158</v>
      </c>
      <c r="K208" s="14"/>
      <c r="L208" s="14"/>
      <c r="M208" s="12">
        <v>400</v>
      </c>
      <c r="N208" s="9"/>
      <c r="O208" s="9"/>
      <c r="P208" s="9"/>
      <c r="Q208" s="38">
        <f t="shared" si="26"/>
        <v>400</v>
      </c>
      <c r="R208" s="12"/>
      <c r="S208" s="42"/>
      <c r="T208" s="15"/>
      <c r="U208" s="44"/>
      <c r="V208" s="15"/>
      <c r="W208" s="44"/>
      <c r="X208" s="15">
        <f t="shared" si="27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8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4"/>
        <v>0</v>
      </c>
      <c r="BC208" s="15"/>
      <c r="BD208" s="44"/>
      <c r="BE208" s="15"/>
      <c r="BF208" s="44"/>
      <c r="BG208" s="15">
        <f t="shared" si="25"/>
        <v>0</v>
      </c>
    </row>
    <row r="209" spans="1:59" s="8" customFormat="1" ht="22.5" customHeight="1">
      <c r="A209" s="9"/>
      <c r="B209" s="16" t="s">
        <v>330</v>
      </c>
      <c r="C209" s="89" t="s">
        <v>48</v>
      </c>
      <c r="D209" s="111" t="s">
        <v>331</v>
      </c>
      <c r="E209" s="112" t="s">
        <v>330</v>
      </c>
      <c r="F209" s="113" t="s">
        <v>1366</v>
      </c>
      <c r="G209" s="113" t="s">
        <v>1367</v>
      </c>
      <c r="H209" s="96"/>
      <c r="I209" s="9"/>
      <c r="J209" s="9" t="s">
        <v>332</v>
      </c>
      <c r="K209" s="14"/>
      <c r="L209" s="14"/>
      <c r="M209" s="12">
        <v>200</v>
      </c>
      <c r="N209" s="9"/>
      <c r="O209" s="9"/>
      <c r="P209" s="9"/>
      <c r="Q209" s="38">
        <f t="shared" si="26"/>
        <v>200</v>
      </c>
      <c r="R209" s="12"/>
      <c r="S209" s="42"/>
      <c r="T209" s="15"/>
      <c r="U209" s="44"/>
      <c r="V209" s="15"/>
      <c r="W209" s="44"/>
      <c r="X209" s="15">
        <f t="shared" si="27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8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4"/>
        <v>0</v>
      </c>
      <c r="BC209" s="15"/>
      <c r="BD209" s="44"/>
      <c r="BE209" s="15"/>
      <c r="BF209" s="44"/>
      <c r="BG209" s="15">
        <f t="shared" si="25"/>
        <v>0</v>
      </c>
    </row>
    <row r="210" spans="1:59" s="8" customFormat="1" ht="22.5" customHeight="1">
      <c r="A210" s="9"/>
      <c r="B210" s="16" t="s">
        <v>330</v>
      </c>
      <c r="C210" s="89" t="s">
        <v>48</v>
      </c>
      <c r="D210" s="111" t="s">
        <v>333</v>
      </c>
      <c r="E210" s="112" t="s">
        <v>330</v>
      </c>
      <c r="F210" s="113" t="s">
        <v>1368</v>
      </c>
      <c r="G210" s="113" t="s">
        <v>1369</v>
      </c>
      <c r="H210" s="96"/>
      <c r="I210" s="9"/>
      <c r="J210" s="9" t="s">
        <v>332</v>
      </c>
      <c r="K210" s="14"/>
      <c r="L210" s="14"/>
      <c r="M210" s="12"/>
      <c r="N210" s="9"/>
      <c r="O210" s="9"/>
      <c r="P210" s="9"/>
      <c r="Q210" s="38">
        <f t="shared" si="26"/>
        <v>0</v>
      </c>
      <c r="R210" s="12"/>
      <c r="S210" s="42"/>
      <c r="T210" s="15"/>
      <c r="U210" s="44"/>
      <c r="V210" s="15"/>
      <c r="W210" s="44"/>
      <c r="X210" s="15">
        <f t="shared" si="27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8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4"/>
        <v>0</v>
      </c>
      <c r="BC210" s="15"/>
      <c r="BD210" s="44"/>
      <c r="BE210" s="15"/>
      <c r="BF210" s="44"/>
      <c r="BG210" s="15">
        <f t="shared" si="25"/>
        <v>0</v>
      </c>
    </row>
    <row r="211" spans="1:59" s="8" customFormat="1" ht="22.5" customHeight="1">
      <c r="A211" s="9"/>
      <c r="B211" s="16" t="s">
        <v>334</v>
      </c>
      <c r="C211" s="89" t="s">
        <v>48</v>
      </c>
      <c r="D211" s="111" t="s">
        <v>335</v>
      </c>
      <c r="E211" s="112" t="s">
        <v>336</v>
      </c>
      <c r="F211" s="113" t="s">
        <v>1370</v>
      </c>
      <c r="G211" s="113" t="s">
        <v>1371</v>
      </c>
      <c r="H211" s="96"/>
      <c r="I211" s="9"/>
      <c r="J211" s="9" t="s">
        <v>314</v>
      </c>
      <c r="K211" s="14"/>
      <c r="L211" s="14"/>
      <c r="M211" s="12"/>
      <c r="N211" s="9"/>
      <c r="O211" s="9"/>
      <c r="P211" s="9"/>
      <c r="Q211" s="38">
        <f t="shared" si="26"/>
        <v>0</v>
      </c>
      <c r="R211" s="12"/>
      <c r="S211" s="42"/>
      <c r="T211" s="15"/>
      <c r="U211" s="44"/>
      <c r="V211" s="15"/>
      <c r="W211" s="44"/>
      <c r="X211" s="15">
        <f t="shared" si="27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8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4"/>
        <v>0</v>
      </c>
      <c r="BC211" s="15"/>
      <c r="BD211" s="44"/>
      <c r="BE211" s="15"/>
      <c r="BF211" s="44"/>
      <c r="BG211" s="15">
        <f t="shared" si="25"/>
        <v>0</v>
      </c>
    </row>
    <row r="212" spans="1:59" s="8" customFormat="1" ht="22.5" customHeight="1">
      <c r="A212" s="9"/>
      <c r="B212" s="16" t="s">
        <v>489</v>
      </c>
      <c r="C212" s="89" t="s">
        <v>48</v>
      </c>
      <c r="D212" s="79" t="s">
        <v>1372</v>
      </c>
      <c r="E212" s="13" t="s">
        <v>1373</v>
      </c>
      <c r="H212" s="96"/>
      <c r="I212" s="9"/>
      <c r="J212" s="9"/>
      <c r="K212" s="14"/>
      <c r="L212" s="14"/>
      <c r="M212" s="12">
        <v>594</v>
      </c>
      <c r="N212" s="9"/>
      <c r="O212" s="9"/>
      <c r="P212" s="9"/>
      <c r="Q212" s="38">
        <f t="shared" si="26"/>
        <v>594</v>
      </c>
      <c r="R212" s="12"/>
      <c r="S212" s="42"/>
      <c r="T212" s="15"/>
      <c r="U212" s="44"/>
      <c r="V212" s="15"/>
      <c r="W212" s="44"/>
      <c r="X212" s="15">
        <f t="shared" si="27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8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/>
      <c r="BC212" s="15"/>
      <c r="BD212" s="44"/>
      <c r="BE212" s="15"/>
      <c r="BF212" s="44"/>
      <c r="BG212" s="15"/>
    </row>
    <row r="213" spans="1:59" s="8" customFormat="1" ht="22.5" customHeight="1">
      <c r="A213" s="9"/>
      <c r="B213" s="16" t="s">
        <v>337</v>
      </c>
      <c r="C213" s="89" t="s">
        <v>48</v>
      </c>
      <c r="D213" s="111" t="s">
        <v>338</v>
      </c>
      <c r="E213" s="112" t="s">
        <v>337</v>
      </c>
      <c r="F213" s="113" t="s">
        <v>1374</v>
      </c>
      <c r="G213" s="113" t="s">
        <v>1375</v>
      </c>
      <c r="H213" s="96"/>
      <c r="I213" s="9"/>
      <c r="J213" s="9" t="s">
        <v>339</v>
      </c>
      <c r="K213" s="14"/>
      <c r="L213" s="14"/>
      <c r="M213" s="12"/>
      <c r="N213" s="9"/>
      <c r="O213" s="9"/>
      <c r="P213" s="9"/>
      <c r="Q213" s="38">
        <f t="shared" si="26"/>
        <v>0</v>
      </c>
      <c r="R213" s="12"/>
      <c r="S213" s="42"/>
      <c r="T213" s="15"/>
      <c r="U213" s="44"/>
      <c r="V213" s="15"/>
      <c r="W213" s="44"/>
      <c r="X213" s="15">
        <f t="shared" si="27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8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ref="BB213:BB237" si="29">AH213+AJ213+AL213+AN213+AP213+AR213+AT213+AV213+AX213+AZ213</f>
        <v>0</v>
      </c>
      <c r="BC213" s="15"/>
      <c r="BD213" s="44"/>
      <c r="BE213" s="15"/>
      <c r="BF213" s="44"/>
      <c r="BG213" s="15">
        <f t="shared" ref="BG213:BG237" si="30">(BC213+BE213)</f>
        <v>0</v>
      </c>
    </row>
    <row r="214" spans="1:59" s="8" customFormat="1" ht="22.5" customHeight="1">
      <c r="A214" s="9"/>
      <c r="B214" s="16" t="s">
        <v>337</v>
      </c>
      <c r="C214" s="89" t="s">
        <v>48</v>
      </c>
      <c r="D214" s="111" t="s">
        <v>340</v>
      </c>
      <c r="E214" s="112" t="s">
        <v>337</v>
      </c>
      <c r="F214" s="113" t="s">
        <v>1376</v>
      </c>
      <c r="G214" s="113" t="s">
        <v>1377</v>
      </c>
      <c r="H214" s="96"/>
      <c r="I214" s="9"/>
      <c r="J214" s="9" t="s">
        <v>339</v>
      </c>
      <c r="K214" s="14"/>
      <c r="L214" s="14"/>
      <c r="M214" s="12"/>
      <c r="N214" s="9"/>
      <c r="O214" s="9"/>
      <c r="P214" s="9"/>
      <c r="Q214" s="38">
        <f t="shared" si="26"/>
        <v>0</v>
      </c>
      <c r="R214" s="12"/>
      <c r="S214" s="42"/>
      <c r="T214" s="15"/>
      <c r="U214" s="44"/>
      <c r="V214" s="15"/>
      <c r="W214" s="44"/>
      <c r="X214" s="15">
        <f t="shared" si="27"/>
        <v>0</v>
      </c>
      <c r="Y214" s="15"/>
      <c r="Z214" s="44"/>
      <c r="AA214" s="15"/>
      <c r="AB214" s="44"/>
      <c r="AC214" s="15"/>
      <c r="AD214" s="44"/>
      <c r="AE214" s="15"/>
      <c r="AF214" s="44"/>
      <c r="AG214" s="15">
        <f t="shared" si="28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9"/>
        <v>0</v>
      </c>
      <c r="BC214" s="15"/>
      <c r="BD214" s="44"/>
      <c r="BE214" s="15"/>
      <c r="BF214" s="44"/>
      <c r="BG214" s="15">
        <f t="shared" si="30"/>
        <v>0</v>
      </c>
    </row>
    <row r="215" spans="1:59" s="8" customFormat="1" ht="22.5" customHeight="1">
      <c r="A215" s="9"/>
      <c r="B215" s="16" t="s">
        <v>249</v>
      </c>
      <c r="C215" s="89" t="s">
        <v>48</v>
      </c>
      <c r="D215" s="111" t="s">
        <v>1378</v>
      </c>
      <c r="E215" s="112" t="s">
        <v>251</v>
      </c>
      <c r="F215" s="113" t="s">
        <v>1379</v>
      </c>
      <c r="G215" s="113" t="s">
        <v>1380</v>
      </c>
      <c r="H215" s="96"/>
      <c r="I215" s="9"/>
      <c r="J215" s="9" t="s">
        <v>247</v>
      </c>
      <c r="K215" s="14"/>
      <c r="L215" s="14"/>
      <c r="M215" s="12">
        <v>599</v>
      </c>
      <c r="N215" s="9"/>
      <c r="O215" s="9"/>
      <c r="P215" s="9"/>
      <c r="Q215" s="38">
        <f t="shared" si="26"/>
        <v>599</v>
      </c>
      <c r="R215" s="12"/>
      <c r="S215" s="42"/>
      <c r="T215" s="15"/>
      <c r="U215" s="44"/>
      <c r="V215" s="15"/>
      <c r="W215" s="44"/>
      <c r="X215" s="15">
        <f t="shared" si="27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8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9"/>
        <v>0</v>
      </c>
      <c r="BC215" s="15"/>
      <c r="BD215" s="44"/>
      <c r="BE215" s="15"/>
      <c r="BF215" s="44"/>
      <c r="BG215" s="15">
        <f t="shared" si="30"/>
        <v>0</v>
      </c>
    </row>
    <row r="216" spans="1:59" s="8" customFormat="1" ht="22.5" customHeight="1">
      <c r="A216" s="9"/>
      <c r="B216" s="16" t="s">
        <v>343</v>
      </c>
      <c r="C216" s="89" t="s">
        <v>48</v>
      </c>
      <c r="D216" s="111" t="s">
        <v>343</v>
      </c>
      <c r="E216" s="112" t="s">
        <v>344</v>
      </c>
      <c r="F216" s="113" t="s">
        <v>1381</v>
      </c>
      <c r="G216" s="113" t="s">
        <v>1382</v>
      </c>
      <c r="H216" s="96"/>
      <c r="I216" s="9"/>
      <c r="J216" s="9" t="s">
        <v>345</v>
      </c>
      <c r="K216" s="14"/>
      <c r="L216" s="14"/>
      <c r="M216" s="12">
        <v>669</v>
      </c>
      <c r="N216" s="9"/>
      <c r="O216" s="9"/>
      <c r="P216" s="9"/>
      <c r="Q216" s="38">
        <f t="shared" si="26"/>
        <v>669</v>
      </c>
      <c r="R216" s="12"/>
      <c r="S216" s="42"/>
      <c r="T216" s="15"/>
      <c r="U216" s="44"/>
      <c r="V216" s="15"/>
      <c r="W216" s="44"/>
      <c r="X216" s="15">
        <f t="shared" si="27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8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9"/>
        <v>0</v>
      </c>
      <c r="BC216" s="15"/>
      <c r="BD216" s="44"/>
      <c r="BE216" s="15"/>
      <c r="BF216" s="44"/>
      <c r="BG216" s="15">
        <f t="shared" si="30"/>
        <v>0</v>
      </c>
    </row>
    <row r="217" spans="1:59" s="8" customFormat="1" ht="22.5" customHeight="1">
      <c r="A217" s="9"/>
      <c r="B217" s="16" t="s">
        <v>204</v>
      </c>
      <c r="C217" s="89" t="s">
        <v>48</v>
      </c>
      <c r="D217" s="111" t="s">
        <v>288</v>
      </c>
      <c r="E217" s="112" t="s">
        <v>222</v>
      </c>
      <c r="F217" s="113" t="s">
        <v>1383</v>
      </c>
      <c r="G217" s="113" t="s">
        <v>1384</v>
      </c>
      <c r="H217" s="96"/>
      <c r="I217" s="9"/>
      <c r="J217" s="9" t="s">
        <v>207</v>
      </c>
      <c r="K217" s="14"/>
      <c r="L217" s="14"/>
      <c r="M217" s="12">
        <v>92</v>
      </c>
      <c r="N217" s="9"/>
      <c r="O217" s="9"/>
      <c r="P217" s="9"/>
      <c r="Q217" s="38">
        <f t="shared" si="26"/>
        <v>92</v>
      </c>
      <c r="R217" s="12"/>
      <c r="S217" s="42"/>
      <c r="T217" s="15"/>
      <c r="U217" s="44"/>
      <c r="V217" s="15"/>
      <c r="W217" s="44"/>
      <c r="X217" s="15">
        <f t="shared" si="27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8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9"/>
        <v>0</v>
      </c>
      <c r="BC217" s="15"/>
      <c r="BD217" s="44"/>
      <c r="BE217" s="15"/>
      <c r="BF217" s="44"/>
      <c r="BG217" s="15">
        <f t="shared" si="30"/>
        <v>0</v>
      </c>
    </row>
    <row r="218" spans="1:59" s="8" customFormat="1" ht="22.5" customHeight="1">
      <c r="A218" s="9"/>
      <c r="B218" s="16" t="s">
        <v>204</v>
      </c>
      <c r="C218" s="89" t="s">
        <v>48</v>
      </c>
      <c r="D218" s="111" t="s">
        <v>289</v>
      </c>
      <c r="E218" s="112" t="s">
        <v>222</v>
      </c>
      <c r="F218" s="113" t="s">
        <v>1385</v>
      </c>
      <c r="G218" s="113" t="s">
        <v>1386</v>
      </c>
      <c r="H218" s="96"/>
      <c r="I218" s="9"/>
      <c r="J218" s="9" t="s">
        <v>207</v>
      </c>
      <c r="K218" s="14"/>
      <c r="L218" s="14"/>
      <c r="M218" s="12">
        <v>241</v>
      </c>
      <c r="N218" s="9"/>
      <c r="O218" s="9"/>
      <c r="P218" s="9"/>
      <c r="Q218" s="38">
        <f t="shared" si="26"/>
        <v>241</v>
      </c>
      <c r="R218" s="12"/>
      <c r="S218" s="42"/>
      <c r="T218" s="15"/>
      <c r="U218" s="44"/>
      <c r="V218" s="15"/>
      <c r="W218" s="44"/>
      <c r="X218" s="15">
        <f t="shared" si="27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8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9"/>
        <v>0</v>
      </c>
      <c r="BC218" s="15"/>
      <c r="BD218" s="44"/>
      <c r="BE218" s="15"/>
      <c r="BF218" s="44"/>
      <c r="BG218" s="15">
        <f t="shared" si="30"/>
        <v>0</v>
      </c>
    </row>
    <row r="219" spans="1:59" s="8" customFormat="1" ht="22.5" customHeight="1">
      <c r="A219" s="9"/>
      <c r="B219" s="16" t="s">
        <v>204</v>
      </c>
      <c r="C219" s="89" t="s">
        <v>48</v>
      </c>
      <c r="D219" s="111" t="s">
        <v>291</v>
      </c>
      <c r="E219" s="112" t="s">
        <v>222</v>
      </c>
      <c r="F219" s="113" t="s">
        <v>1387</v>
      </c>
      <c r="G219" s="113" t="s">
        <v>1388</v>
      </c>
      <c r="H219" s="96"/>
      <c r="I219" s="9"/>
      <c r="J219" s="9" t="s">
        <v>207</v>
      </c>
      <c r="K219" s="14"/>
      <c r="L219" s="14"/>
      <c r="M219" s="12">
        <v>70</v>
      </c>
      <c r="N219" s="9"/>
      <c r="O219" s="9"/>
      <c r="P219" s="9"/>
      <c r="Q219" s="38">
        <f t="shared" si="26"/>
        <v>70</v>
      </c>
      <c r="R219" s="12"/>
      <c r="S219" s="42"/>
      <c r="T219" s="15"/>
      <c r="U219" s="44"/>
      <c r="V219" s="15"/>
      <c r="W219" s="44"/>
      <c r="X219" s="15">
        <f t="shared" si="27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8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9"/>
        <v>0</v>
      </c>
      <c r="BC219" s="15"/>
      <c r="BD219" s="44"/>
      <c r="BE219" s="15"/>
      <c r="BF219" s="44"/>
      <c r="BG219" s="15">
        <f t="shared" si="30"/>
        <v>0</v>
      </c>
    </row>
    <row r="220" spans="1:59" s="8" customFormat="1" ht="22.5" customHeight="1">
      <c r="A220" s="9"/>
      <c r="B220" s="16" t="s">
        <v>204</v>
      </c>
      <c r="C220" s="89" t="s">
        <v>48</v>
      </c>
      <c r="D220" s="111" t="s">
        <v>1311</v>
      </c>
      <c r="E220" s="112" t="s">
        <v>346</v>
      </c>
      <c r="F220" s="113" t="s">
        <v>1389</v>
      </c>
      <c r="G220" s="113" t="s">
        <v>1390</v>
      </c>
      <c r="H220" s="96"/>
      <c r="I220" s="9"/>
      <c r="J220" s="9" t="s">
        <v>207</v>
      </c>
      <c r="K220" s="14"/>
      <c r="L220" s="14"/>
      <c r="M220" s="12">
        <v>488</v>
      </c>
      <c r="N220" s="9"/>
      <c r="O220" s="9"/>
      <c r="P220" s="9"/>
      <c r="Q220" s="38">
        <f t="shared" si="26"/>
        <v>488</v>
      </c>
      <c r="R220" s="12"/>
      <c r="S220" s="42"/>
      <c r="T220" s="15"/>
      <c r="U220" s="44"/>
      <c r="V220" s="15"/>
      <c r="W220" s="44"/>
      <c r="X220" s="15">
        <f t="shared" si="27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8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9"/>
        <v>0</v>
      </c>
      <c r="BC220" s="15"/>
      <c r="BD220" s="44"/>
      <c r="BE220" s="15"/>
      <c r="BF220" s="44"/>
      <c r="BG220" s="15">
        <f t="shared" si="30"/>
        <v>0</v>
      </c>
    </row>
    <row r="221" spans="1:59" s="8" customFormat="1" ht="22.5" customHeight="1">
      <c r="A221" s="9"/>
      <c r="B221" s="16" t="s">
        <v>204</v>
      </c>
      <c r="C221" s="89" t="s">
        <v>48</v>
      </c>
      <c r="D221" s="111" t="s">
        <v>216</v>
      </c>
      <c r="E221" s="112" t="s">
        <v>347</v>
      </c>
      <c r="F221" s="113" t="s">
        <v>1391</v>
      </c>
      <c r="G221" s="113" t="s">
        <v>1392</v>
      </c>
      <c r="H221" s="96"/>
      <c r="I221" s="9"/>
      <c r="J221" s="9" t="s">
        <v>207</v>
      </c>
      <c r="K221" s="14"/>
      <c r="L221" s="14"/>
      <c r="M221" s="12">
        <v>134</v>
      </c>
      <c r="N221" s="9"/>
      <c r="O221" s="9"/>
      <c r="P221" s="9"/>
      <c r="Q221" s="38">
        <f t="shared" si="26"/>
        <v>134</v>
      </c>
      <c r="R221" s="12"/>
      <c r="S221" s="42"/>
      <c r="T221" s="15"/>
      <c r="U221" s="44"/>
      <c r="V221" s="15"/>
      <c r="W221" s="44"/>
      <c r="X221" s="15">
        <f t="shared" si="27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8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9"/>
        <v>0</v>
      </c>
      <c r="BC221" s="15"/>
      <c r="BD221" s="44"/>
      <c r="BE221" s="15"/>
      <c r="BF221" s="44"/>
      <c r="BG221" s="15">
        <f t="shared" si="30"/>
        <v>0</v>
      </c>
    </row>
    <row r="222" spans="1:59" s="8" customFormat="1" ht="22.5" customHeight="1">
      <c r="A222" s="9"/>
      <c r="B222" s="16" t="s">
        <v>204</v>
      </c>
      <c r="C222" s="89" t="s">
        <v>48</v>
      </c>
      <c r="D222" s="111" t="s">
        <v>285</v>
      </c>
      <c r="E222" s="112" t="s">
        <v>347</v>
      </c>
      <c r="F222" s="113" t="s">
        <v>1393</v>
      </c>
      <c r="G222" s="113" t="s">
        <v>1394</v>
      </c>
      <c r="H222" s="96"/>
      <c r="I222" s="9"/>
      <c r="J222" s="9" t="s">
        <v>207</v>
      </c>
      <c r="K222" s="14"/>
      <c r="L222" s="14"/>
      <c r="M222" s="12">
        <v>400</v>
      </c>
      <c r="N222" s="9"/>
      <c r="O222" s="9"/>
      <c r="P222" s="9"/>
      <c r="Q222" s="38">
        <f t="shared" si="26"/>
        <v>400</v>
      </c>
      <c r="R222" s="12"/>
      <c r="S222" s="42"/>
      <c r="T222" s="15"/>
      <c r="U222" s="44"/>
      <c r="V222" s="15"/>
      <c r="W222" s="44"/>
      <c r="X222" s="15">
        <f t="shared" si="27"/>
        <v>0</v>
      </c>
      <c r="Y222" s="15"/>
      <c r="Z222" s="44"/>
      <c r="AA222" s="15"/>
      <c r="AB222" s="44"/>
      <c r="AC222" s="24"/>
      <c r="AD222" s="44"/>
      <c r="AE222" s="24"/>
      <c r="AF222" s="44"/>
      <c r="AG222" s="15">
        <f t="shared" si="28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9"/>
        <v>0</v>
      </c>
      <c r="BC222" s="15"/>
      <c r="BD222" s="44"/>
      <c r="BE222" s="15"/>
      <c r="BF222" s="44"/>
      <c r="BG222" s="15">
        <f t="shared" si="30"/>
        <v>0</v>
      </c>
    </row>
    <row r="223" spans="1:59" s="8" customFormat="1" ht="22.5" customHeight="1">
      <c r="A223" s="9"/>
      <c r="B223" s="16" t="s">
        <v>204</v>
      </c>
      <c r="C223" s="89" t="s">
        <v>48</v>
      </c>
      <c r="D223" s="111" t="s">
        <v>286</v>
      </c>
      <c r="E223" s="112" t="s">
        <v>206</v>
      </c>
      <c r="F223" s="113" t="s">
        <v>1395</v>
      </c>
      <c r="G223" s="113" t="s">
        <v>1396</v>
      </c>
      <c r="H223" s="96"/>
      <c r="I223" s="9"/>
      <c r="J223" s="9" t="s">
        <v>207</v>
      </c>
      <c r="K223" s="14"/>
      <c r="L223" s="14"/>
      <c r="M223" s="12">
        <v>514</v>
      </c>
      <c r="N223" s="9"/>
      <c r="O223" s="9"/>
      <c r="P223" s="9"/>
      <c r="Q223" s="38">
        <f t="shared" si="26"/>
        <v>514</v>
      </c>
      <c r="R223" s="12"/>
      <c r="S223" s="42"/>
      <c r="T223" s="15"/>
      <c r="U223" s="44"/>
      <c r="V223" s="15"/>
      <c r="W223" s="44"/>
      <c r="X223" s="15">
        <f t="shared" si="27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8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9"/>
        <v>0</v>
      </c>
      <c r="BC223" s="15"/>
      <c r="BD223" s="44"/>
      <c r="BE223" s="15"/>
      <c r="BF223" s="44"/>
      <c r="BG223" s="15">
        <f t="shared" si="30"/>
        <v>0</v>
      </c>
    </row>
    <row r="224" spans="1:59" s="8" customFormat="1" ht="22.5" customHeight="1">
      <c r="A224" s="9"/>
      <c r="B224" s="16" t="s">
        <v>204</v>
      </c>
      <c r="C224" s="89" t="s">
        <v>48</v>
      </c>
      <c r="D224" s="72" t="s">
        <v>295</v>
      </c>
      <c r="E224" s="13" t="s">
        <v>348</v>
      </c>
      <c r="F224" s="106" t="s">
        <v>1144</v>
      </c>
      <c r="G224" s="106"/>
      <c r="H224" s="96"/>
      <c r="I224" s="9"/>
      <c r="J224" s="9" t="s">
        <v>207</v>
      </c>
      <c r="K224" s="14"/>
      <c r="L224" s="14"/>
      <c r="M224" s="12">
        <v>142</v>
      </c>
      <c r="N224" s="9"/>
      <c r="O224" s="9"/>
      <c r="P224" s="9"/>
      <c r="Q224" s="38">
        <f t="shared" si="26"/>
        <v>142</v>
      </c>
      <c r="R224" s="12"/>
      <c r="S224" s="42"/>
      <c r="T224" s="15"/>
      <c r="U224" s="44"/>
      <c r="V224" s="15"/>
      <c r="W224" s="44"/>
      <c r="X224" s="15">
        <f t="shared" si="27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8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9"/>
        <v>0</v>
      </c>
      <c r="BC224" s="15"/>
      <c r="BD224" s="44"/>
      <c r="BE224" s="15"/>
      <c r="BF224" s="44"/>
      <c r="BG224" s="15">
        <f t="shared" si="30"/>
        <v>0</v>
      </c>
    </row>
    <row r="225" spans="1:59" s="8" customFormat="1" ht="22.5" customHeight="1">
      <c r="A225" s="9"/>
      <c r="B225" s="16" t="s">
        <v>204</v>
      </c>
      <c r="C225" s="89" t="s">
        <v>48</v>
      </c>
      <c r="D225" s="69" t="s">
        <v>296</v>
      </c>
      <c r="E225" s="13" t="s">
        <v>347</v>
      </c>
      <c r="F225" s="106" t="s">
        <v>1144</v>
      </c>
      <c r="G225" s="106"/>
      <c r="H225" s="96"/>
      <c r="I225" s="9"/>
      <c r="J225" s="9" t="s">
        <v>207</v>
      </c>
      <c r="K225" s="14"/>
      <c r="L225" s="14"/>
      <c r="M225" s="12">
        <v>123</v>
      </c>
      <c r="N225" s="9"/>
      <c r="O225" s="9"/>
      <c r="P225" s="9"/>
      <c r="Q225" s="38">
        <f t="shared" si="26"/>
        <v>123</v>
      </c>
      <c r="R225" s="12"/>
      <c r="S225" s="42"/>
      <c r="T225" s="15"/>
      <c r="U225" s="44"/>
      <c r="V225" s="15"/>
      <c r="W225" s="44"/>
      <c r="X225" s="15">
        <f t="shared" si="27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8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9"/>
        <v>0</v>
      </c>
      <c r="BC225" s="15"/>
      <c r="BD225" s="44"/>
      <c r="BE225" s="15"/>
      <c r="BF225" s="44"/>
      <c r="BG225" s="15">
        <f t="shared" si="30"/>
        <v>0</v>
      </c>
    </row>
    <row r="226" spans="1:59" s="8" customFormat="1" ht="22.5" customHeight="1">
      <c r="A226" s="9"/>
      <c r="B226" s="16" t="s">
        <v>204</v>
      </c>
      <c r="C226" s="89" t="s">
        <v>48</v>
      </c>
      <c r="D226" s="111" t="s">
        <v>297</v>
      </c>
      <c r="E226" s="112" t="s">
        <v>222</v>
      </c>
      <c r="F226" s="113" t="s">
        <v>1397</v>
      </c>
      <c r="G226" s="113" t="s">
        <v>1398</v>
      </c>
      <c r="H226" s="96"/>
      <c r="I226" s="9"/>
      <c r="J226" s="9" t="s">
        <v>207</v>
      </c>
      <c r="K226" s="14"/>
      <c r="L226" s="14"/>
      <c r="M226" s="12">
        <v>181</v>
      </c>
      <c r="N226" s="9"/>
      <c r="O226" s="9"/>
      <c r="P226" s="9"/>
      <c r="Q226" s="38">
        <f t="shared" si="26"/>
        <v>181</v>
      </c>
      <c r="R226" s="12"/>
      <c r="S226" s="42"/>
      <c r="T226" s="15"/>
      <c r="U226" s="44"/>
      <c r="V226" s="15"/>
      <c r="W226" s="44"/>
      <c r="X226" s="15">
        <f t="shared" si="27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8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9"/>
        <v>0</v>
      </c>
      <c r="BC226" s="15"/>
      <c r="BD226" s="44"/>
      <c r="BE226" s="15"/>
      <c r="BF226" s="44"/>
      <c r="BG226" s="15">
        <f t="shared" si="30"/>
        <v>0</v>
      </c>
    </row>
    <row r="227" spans="1:59" s="8" customFormat="1" ht="22.5" customHeight="1">
      <c r="A227" s="9"/>
      <c r="B227" s="18" t="s">
        <v>172</v>
      </c>
      <c r="C227" s="89" t="s">
        <v>50</v>
      </c>
      <c r="D227" s="111" t="s">
        <v>349</v>
      </c>
      <c r="E227" s="112"/>
      <c r="F227" s="113" t="s">
        <v>1399</v>
      </c>
      <c r="G227" s="113" t="s">
        <v>1400</v>
      </c>
      <c r="H227" s="96"/>
      <c r="I227" s="21"/>
      <c r="J227" s="21" t="s">
        <v>67</v>
      </c>
      <c r="K227" s="14"/>
      <c r="L227" s="14"/>
      <c r="M227" s="12">
        <v>186</v>
      </c>
      <c r="N227" s="9"/>
      <c r="O227" s="9"/>
      <c r="P227" s="9"/>
      <c r="Q227" s="38">
        <f t="shared" si="26"/>
        <v>186</v>
      </c>
      <c r="R227" s="12"/>
      <c r="S227" s="42"/>
      <c r="T227" s="15"/>
      <c r="U227" s="44"/>
      <c r="V227" s="15"/>
      <c r="W227" s="44"/>
      <c r="X227" s="15">
        <f t="shared" si="27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8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9"/>
        <v>0</v>
      </c>
      <c r="BC227" s="15"/>
      <c r="BD227" s="44"/>
      <c r="BE227" s="15"/>
      <c r="BF227" s="44"/>
      <c r="BG227" s="15">
        <f t="shared" si="30"/>
        <v>0</v>
      </c>
    </row>
    <row r="228" spans="1:59" s="8" customFormat="1" ht="22.5" customHeight="1">
      <c r="A228" s="9"/>
      <c r="B228" s="18" t="s">
        <v>172</v>
      </c>
      <c r="C228" s="89" t="s">
        <v>50</v>
      </c>
      <c r="D228" s="111" t="s">
        <v>350</v>
      </c>
      <c r="E228" s="112"/>
      <c r="F228" s="113" t="s">
        <v>1401</v>
      </c>
      <c r="G228" s="113" t="s">
        <v>1402</v>
      </c>
      <c r="H228" s="96"/>
      <c r="I228" s="21"/>
      <c r="J228" s="21" t="s">
        <v>67</v>
      </c>
      <c r="K228" s="14"/>
      <c r="L228" s="14"/>
      <c r="M228" s="12"/>
      <c r="N228" s="9"/>
      <c r="O228" s="9"/>
      <c r="P228" s="9"/>
      <c r="Q228" s="38">
        <f t="shared" si="26"/>
        <v>0</v>
      </c>
      <c r="R228" s="12"/>
      <c r="S228" s="42"/>
      <c r="T228" s="15"/>
      <c r="U228" s="44"/>
      <c r="V228" s="15"/>
      <c r="W228" s="44"/>
      <c r="X228" s="15">
        <f t="shared" si="27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8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9"/>
        <v>0</v>
      </c>
      <c r="BC228" s="15"/>
      <c r="BD228" s="44"/>
      <c r="BE228" s="15"/>
      <c r="BF228" s="44"/>
      <c r="BG228" s="15">
        <f t="shared" si="30"/>
        <v>0</v>
      </c>
    </row>
    <row r="229" spans="1:59" s="8" customFormat="1" ht="22.5" customHeight="1">
      <c r="A229" s="9"/>
      <c r="B229" s="16" t="s">
        <v>172</v>
      </c>
      <c r="C229" s="89" t="s">
        <v>50</v>
      </c>
      <c r="D229" s="111" t="s">
        <v>351</v>
      </c>
      <c r="E229" s="112"/>
      <c r="F229" s="113" t="s">
        <v>1403</v>
      </c>
      <c r="G229" s="113" t="s">
        <v>1404</v>
      </c>
      <c r="H229" s="96"/>
      <c r="I229" s="9"/>
      <c r="J229" s="9" t="s">
        <v>67</v>
      </c>
      <c r="K229" s="14"/>
      <c r="L229" s="14"/>
      <c r="M229" s="12">
        <v>278</v>
      </c>
      <c r="N229" s="9"/>
      <c r="O229" s="9"/>
      <c r="P229" s="9"/>
      <c r="Q229" s="38">
        <f t="shared" si="26"/>
        <v>278</v>
      </c>
      <c r="R229" s="12"/>
      <c r="S229" s="42"/>
      <c r="T229" s="15"/>
      <c r="U229" s="44"/>
      <c r="V229" s="15"/>
      <c r="W229" s="44"/>
      <c r="X229" s="15">
        <f t="shared" si="27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8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9"/>
        <v>0</v>
      </c>
      <c r="BC229" s="15"/>
      <c r="BD229" s="44"/>
      <c r="BE229" s="15"/>
      <c r="BF229" s="44"/>
      <c r="BG229" s="15">
        <f t="shared" si="30"/>
        <v>0</v>
      </c>
    </row>
    <row r="230" spans="1:59" s="8" customFormat="1" ht="22.5" customHeight="1">
      <c r="A230" s="9"/>
      <c r="B230" s="16" t="s">
        <v>172</v>
      </c>
      <c r="C230" s="89" t="s">
        <v>50</v>
      </c>
      <c r="D230" s="111" t="s">
        <v>352</v>
      </c>
      <c r="E230" s="112"/>
      <c r="F230" s="113" t="s">
        <v>1405</v>
      </c>
      <c r="G230" s="113" t="s">
        <v>1406</v>
      </c>
      <c r="H230" s="96"/>
      <c r="I230" s="9"/>
      <c r="J230" s="9" t="s">
        <v>67</v>
      </c>
      <c r="K230" s="14"/>
      <c r="L230" s="14"/>
      <c r="M230" s="12">
        <v>210</v>
      </c>
      <c r="N230" s="9"/>
      <c r="O230" s="9"/>
      <c r="P230" s="9"/>
      <c r="Q230" s="38">
        <f t="shared" si="26"/>
        <v>210</v>
      </c>
      <c r="R230" s="12"/>
      <c r="S230" s="42"/>
      <c r="T230" s="15"/>
      <c r="U230" s="44"/>
      <c r="V230" s="15"/>
      <c r="W230" s="44"/>
      <c r="X230" s="15">
        <f t="shared" si="27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8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9"/>
        <v>0</v>
      </c>
      <c r="BC230" s="15"/>
      <c r="BD230" s="44"/>
      <c r="BE230" s="15"/>
      <c r="BF230" s="44"/>
      <c r="BG230" s="15">
        <f t="shared" si="30"/>
        <v>0</v>
      </c>
    </row>
    <row r="231" spans="1:59" s="8" customFormat="1" ht="22.5" customHeight="1">
      <c r="A231" s="9"/>
      <c r="B231" s="16" t="s">
        <v>172</v>
      </c>
      <c r="C231" s="89" t="s">
        <v>50</v>
      </c>
      <c r="D231" s="111" t="s">
        <v>353</v>
      </c>
      <c r="E231" s="112"/>
      <c r="F231" s="113" t="s">
        <v>1407</v>
      </c>
      <c r="G231" s="113" t="s">
        <v>1408</v>
      </c>
      <c r="H231" s="96"/>
      <c r="I231" s="9"/>
      <c r="J231" s="9" t="s">
        <v>67</v>
      </c>
      <c r="K231" s="14"/>
      <c r="L231" s="14"/>
      <c r="M231" s="12">
        <v>277</v>
      </c>
      <c r="N231" s="9"/>
      <c r="O231" s="9"/>
      <c r="P231" s="9"/>
      <c r="Q231" s="38">
        <f t="shared" si="26"/>
        <v>277</v>
      </c>
      <c r="R231" s="12"/>
      <c r="S231" s="42"/>
      <c r="T231" s="15"/>
      <c r="U231" s="44"/>
      <c r="V231" s="15"/>
      <c r="W231" s="44"/>
      <c r="X231" s="15">
        <f t="shared" si="27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8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9"/>
        <v>0</v>
      </c>
      <c r="BC231" s="15"/>
      <c r="BD231" s="44"/>
      <c r="BE231" s="15"/>
      <c r="BF231" s="44"/>
      <c r="BG231" s="15">
        <f t="shared" si="30"/>
        <v>0</v>
      </c>
    </row>
    <row r="232" spans="1:59" s="8" customFormat="1" ht="22.5" customHeight="1">
      <c r="A232" s="9"/>
      <c r="B232" s="16" t="s">
        <v>172</v>
      </c>
      <c r="C232" s="89" t="s">
        <v>50</v>
      </c>
      <c r="D232" s="111" t="s">
        <v>354</v>
      </c>
      <c r="E232" s="112"/>
      <c r="F232" s="113" t="s">
        <v>1409</v>
      </c>
      <c r="G232" s="113" t="s">
        <v>1410</v>
      </c>
      <c r="H232" s="96"/>
      <c r="I232" s="9"/>
      <c r="J232" s="9" t="s">
        <v>67</v>
      </c>
      <c r="K232" s="14"/>
      <c r="L232" s="14"/>
      <c r="M232" s="12">
        <v>157</v>
      </c>
      <c r="N232" s="9"/>
      <c r="O232" s="9"/>
      <c r="P232" s="9"/>
      <c r="Q232" s="38">
        <f t="shared" si="26"/>
        <v>157</v>
      </c>
      <c r="R232" s="12"/>
      <c r="S232" s="42"/>
      <c r="T232" s="15"/>
      <c r="U232" s="44"/>
      <c r="V232" s="15"/>
      <c r="W232" s="44"/>
      <c r="X232" s="15">
        <f t="shared" si="27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8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9"/>
        <v>0</v>
      </c>
      <c r="BC232" s="15"/>
      <c r="BD232" s="44"/>
      <c r="BE232" s="15"/>
      <c r="BF232" s="44"/>
      <c r="BG232" s="15">
        <f t="shared" si="30"/>
        <v>0</v>
      </c>
    </row>
    <row r="233" spans="1:59" s="8" customFormat="1" ht="22.5" customHeight="1">
      <c r="A233" s="9"/>
      <c r="B233" s="16" t="s">
        <v>172</v>
      </c>
      <c r="C233" s="89" t="s">
        <v>50</v>
      </c>
      <c r="D233" s="111" t="s">
        <v>355</v>
      </c>
      <c r="E233" s="112"/>
      <c r="F233" s="113" t="s">
        <v>1411</v>
      </c>
      <c r="G233" s="113" t="s">
        <v>1412</v>
      </c>
      <c r="H233" s="96"/>
      <c r="I233" s="9"/>
      <c r="J233" s="9" t="s">
        <v>67</v>
      </c>
      <c r="K233" s="14"/>
      <c r="L233" s="14"/>
      <c r="M233" s="12">
        <v>187</v>
      </c>
      <c r="N233" s="9"/>
      <c r="O233" s="9"/>
      <c r="P233" s="9"/>
      <c r="Q233" s="38">
        <f t="shared" si="26"/>
        <v>187</v>
      </c>
      <c r="R233" s="12"/>
      <c r="S233" s="42"/>
      <c r="T233" s="15"/>
      <c r="U233" s="44"/>
      <c r="V233" s="15"/>
      <c r="W233" s="44"/>
      <c r="X233" s="15">
        <f t="shared" si="27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8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9"/>
        <v>0</v>
      </c>
      <c r="BC233" s="15"/>
      <c r="BD233" s="44"/>
      <c r="BE233" s="15"/>
      <c r="BF233" s="44"/>
      <c r="BG233" s="15">
        <f t="shared" si="30"/>
        <v>0</v>
      </c>
    </row>
    <row r="234" spans="1:59" s="8" customFormat="1" ht="22.5" customHeight="1">
      <c r="A234" s="9"/>
      <c r="B234" s="16" t="s">
        <v>120</v>
      </c>
      <c r="C234" s="92" t="s">
        <v>50</v>
      </c>
      <c r="D234" s="79" t="s">
        <v>356</v>
      </c>
      <c r="E234" s="13" t="s">
        <v>1413</v>
      </c>
      <c r="F234" s="104" t="s">
        <v>1414</v>
      </c>
      <c r="G234" s="104"/>
      <c r="H234" s="12"/>
      <c r="I234" s="9"/>
      <c r="J234" s="9" t="s">
        <v>67</v>
      </c>
      <c r="K234" s="14"/>
      <c r="L234" s="14"/>
      <c r="M234" s="12">
        <v>149</v>
      </c>
      <c r="N234" s="9"/>
      <c r="O234" s="9"/>
      <c r="P234" s="9"/>
      <c r="Q234" s="38">
        <f t="shared" si="26"/>
        <v>149</v>
      </c>
      <c r="R234" s="12"/>
      <c r="S234" s="42"/>
      <c r="T234" s="15"/>
      <c r="U234" s="44"/>
      <c r="V234" s="15"/>
      <c r="W234" s="44"/>
      <c r="X234" s="15">
        <f t="shared" si="27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8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9"/>
        <v>0</v>
      </c>
      <c r="BC234" s="15"/>
      <c r="BD234" s="44"/>
      <c r="BE234" s="15"/>
      <c r="BF234" s="44"/>
      <c r="BG234" s="15">
        <f t="shared" si="30"/>
        <v>0</v>
      </c>
    </row>
    <row r="235" spans="1:59" s="8" customFormat="1" ht="22.5" customHeight="1">
      <c r="A235" s="9"/>
      <c r="B235" s="16" t="s">
        <v>120</v>
      </c>
      <c r="C235" s="92" t="s">
        <v>50</v>
      </c>
      <c r="D235" s="79" t="s">
        <v>358</v>
      </c>
      <c r="E235" s="13" t="s">
        <v>1415</v>
      </c>
      <c r="F235" s="104" t="s">
        <v>1416</v>
      </c>
      <c r="G235" s="104"/>
      <c r="H235" s="12"/>
      <c r="I235" s="9"/>
      <c r="J235" s="9" t="s">
        <v>67</v>
      </c>
      <c r="K235" s="14"/>
      <c r="L235" s="14"/>
      <c r="M235" s="12">
        <v>12</v>
      </c>
      <c r="N235" s="9"/>
      <c r="O235" s="9"/>
      <c r="P235" s="9"/>
      <c r="Q235" s="38">
        <f t="shared" si="26"/>
        <v>12</v>
      </c>
      <c r="R235" s="12"/>
      <c r="S235" s="42"/>
      <c r="T235" s="15"/>
      <c r="U235" s="44"/>
      <c r="V235" s="15"/>
      <c r="W235" s="44"/>
      <c r="X235" s="15">
        <f t="shared" si="27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8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9"/>
        <v>0</v>
      </c>
      <c r="BC235" s="15"/>
      <c r="BD235" s="44"/>
      <c r="BE235" s="15"/>
      <c r="BF235" s="44"/>
      <c r="BG235" s="15">
        <f t="shared" si="30"/>
        <v>0</v>
      </c>
    </row>
    <row r="236" spans="1:59" s="8" customFormat="1" ht="22.5" customHeight="1">
      <c r="A236" s="9"/>
      <c r="B236" s="16" t="s">
        <v>120</v>
      </c>
      <c r="C236" s="92" t="s">
        <v>50</v>
      </c>
      <c r="D236" s="79" t="s">
        <v>360</v>
      </c>
      <c r="E236" s="13" t="s">
        <v>361</v>
      </c>
      <c r="F236" s="104" t="s">
        <v>1417</v>
      </c>
      <c r="G236" s="104"/>
      <c r="H236" s="12"/>
      <c r="I236" s="9"/>
      <c r="J236" s="9" t="s">
        <v>67</v>
      </c>
      <c r="K236" s="14"/>
      <c r="L236" s="14"/>
      <c r="M236" s="12">
        <v>548</v>
      </c>
      <c r="N236" s="9"/>
      <c r="O236" s="9"/>
      <c r="P236" s="9"/>
      <c r="Q236" s="38">
        <f t="shared" si="26"/>
        <v>548</v>
      </c>
      <c r="R236" s="12"/>
      <c r="S236" s="42"/>
      <c r="T236" s="15"/>
      <c r="U236" s="44"/>
      <c r="V236" s="15"/>
      <c r="W236" s="44"/>
      <c r="X236" s="15">
        <f t="shared" si="27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8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9"/>
        <v>0</v>
      </c>
      <c r="BC236" s="15"/>
      <c r="BD236" s="44"/>
      <c r="BE236" s="15"/>
      <c r="BF236" s="44"/>
      <c r="BG236" s="15">
        <f t="shared" si="30"/>
        <v>0</v>
      </c>
    </row>
    <row r="237" spans="1:59" s="8" customFormat="1" ht="22.5" customHeight="1">
      <c r="A237" s="9"/>
      <c r="B237" s="16" t="s">
        <v>120</v>
      </c>
      <c r="C237" s="92" t="s">
        <v>50</v>
      </c>
      <c r="D237" s="79" t="s">
        <v>1418</v>
      </c>
      <c r="E237" s="13" t="s">
        <v>1419</v>
      </c>
      <c r="F237" s="104" t="s">
        <v>1420</v>
      </c>
      <c r="G237" s="104"/>
      <c r="H237" s="12"/>
      <c r="I237" s="9"/>
      <c r="J237" s="9" t="s">
        <v>67</v>
      </c>
      <c r="K237" s="14"/>
      <c r="L237" s="14"/>
      <c r="M237" s="12">
        <v>102</v>
      </c>
      <c r="N237" s="9"/>
      <c r="O237" s="9"/>
      <c r="P237" s="9"/>
      <c r="Q237" s="38">
        <f t="shared" si="26"/>
        <v>102</v>
      </c>
      <c r="R237" s="12"/>
      <c r="S237" s="42"/>
      <c r="T237" s="15"/>
      <c r="U237" s="44"/>
      <c r="V237" s="15"/>
      <c r="W237" s="44"/>
      <c r="X237" s="15">
        <f t="shared" si="27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8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si="29"/>
        <v>0</v>
      </c>
      <c r="BC237" s="15"/>
      <c r="BD237" s="44"/>
      <c r="BE237" s="15"/>
      <c r="BF237" s="44"/>
      <c r="BG237" s="15">
        <f t="shared" si="30"/>
        <v>0</v>
      </c>
    </row>
    <row r="238" spans="1:59" s="8" customFormat="1" ht="22.5" customHeight="1">
      <c r="A238" s="9"/>
      <c r="B238" s="16" t="s">
        <v>120</v>
      </c>
      <c r="C238" s="92" t="s">
        <v>50</v>
      </c>
      <c r="D238" s="79" t="s">
        <v>1421</v>
      </c>
      <c r="E238" s="13" t="s">
        <v>1422</v>
      </c>
      <c r="H238" s="9"/>
      <c r="I238" s="9"/>
      <c r="J238" s="9" t="s">
        <v>67</v>
      </c>
      <c r="K238" s="38">
        <v>0</v>
      </c>
      <c r="L238" s="15">
        <v>0</v>
      </c>
      <c r="M238" s="12">
        <v>0</v>
      </c>
      <c r="N238" s="38">
        <v>0</v>
      </c>
      <c r="O238" s="15">
        <v>0</v>
      </c>
      <c r="P238" s="15">
        <v>0</v>
      </c>
      <c r="Q238" s="38">
        <f t="shared" si="26"/>
        <v>0</v>
      </c>
      <c r="R238" s="42"/>
      <c r="S238" s="15"/>
      <c r="T238" s="15"/>
      <c r="U238" s="42"/>
      <c r="V238" s="15"/>
      <c r="W238" s="42"/>
      <c r="X238" s="15">
        <f t="shared" si="27"/>
        <v>0</v>
      </c>
      <c r="Y238" s="42"/>
      <c r="Z238" s="15"/>
      <c r="AA238" s="42"/>
      <c r="AB238" s="15"/>
      <c r="AC238" s="42"/>
      <c r="AD238" s="15"/>
      <c r="AE238" s="42"/>
      <c r="AF238" s="15"/>
      <c r="AG238" s="15">
        <f t="shared" si="28"/>
        <v>0</v>
      </c>
      <c r="AH238" s="15"/>
      <c r="AI238" s="15"/>
    </row>
    <row r="239" spans="1:59" s="8" customFormat="1" ht="21.95" customHeight="1">
      <c r="A239" s="9"/>
      <c r="B239" s="16" t="s">
        <v>204</v>
      </c>
      <c r="C239" s="92" t="s">
        <v>50</v>
      </c>
      <c r="D239" s="111" t="s">
        <v>364</v>
      </c>
      <c r="E239" s="112" t="s">
        <v>365</v>
      </c>
      <c r="F239" s="113" t="s">
        <v>1423</v>
      </c>
      <c r="G239" s="113" t="s">
        <v>1424</v>
      </c>
      <c r="H239" s="20"/>
      <c r="I239" s="21"/>
      <c r="J239" s="21" t="s">
        <v>207</v>
      </c>
      <c r="K239" s="14"/>
      <c r="L239" s="14"/>
      <c r="M239" s="12">
        <v>77</v>
      </c>
      <c r="N239" s="9"/>
      <c r="O239" s="9"/>
      <c r="P239" s="9"/>
      <c r="Q239" s="38">
        <f t="shared" si="26"/>
        <v>77</v>
      </c>
      <c r="R239" s="12"/>
      <c r="S239" s="42"/>
      <c r="T239" s="15"/>
      <c r="U239" s="44"/>
      <c r="V239" s="15"/>
      <c r="W239" s="44"/>
      <c r="X239" s="15">
        <f t="shared" si="27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8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ref="BB239:BB270" si="31">AH239+AJ239+AL239+AN239+AP239+AR239+AT239+AV239+AX239+AZ239</f>
        <v>0</v>
      </c>
      <c r="BC239" s="15"/>
      <c r="BD239" s="44"/>
      <c r="BE239" s="15"/>
      <c r="BF239" s="44"/>
      <c r="BG239" s="15">
        <f t="shared" ref="BG239:BG270" si="32">(BC239+BE239)</f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111" t="s">
        <v>366</v>
      </c>
      <c r="E240" s="112" t="s">
        <v>365</v>
      </c>
      <c r="F240" s="113" t="s">
        <v>1425</v>
      </c>
      <c r="G240" s="113" t="s">
        <v>1426</v>
      </c>
      <c r="H240" s="20"/>
      <c r="I240" s="21"/>
      <c r="J240" s="21" t="s">
        <v>207</v>
      </c>
      <c r="K240" s="14"/>
      <c r="L240" s="14"/>
      <c r="M240" s="12">
        <v>95</v>
      </c>
      <c r="N240" s="9"/>
      <c r="O240" s="9"/>
      <c r="P240" s="9"/>
      <c r="Q240" s="38">
        <f t="shared" si="26"/>
        <v>95</v>
      </c>
      <c r="R240" s="12"/>
      <c r="S240" s="42"/>
      <c r="T240" s="15"/>
      <c r="U240" s="44"/>
      <c r="V240" s="15"/>
      <c r="W240" s="44"/>
      <c r="X240" s="15">
        <f t="shared" si="27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8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1"/>
        <v>0</v>
      </c>
      <c r="BC240" s="15"/>
      <c r="BD240" s="44"/>
      <c r="BE240" s="15"/>
      <c r="BF240" s="44"/>
      <c r="BG240" s="15">
        <f t="shared" si="32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111" t="s">
        <v>367</v>
      </c>
      <c r="E241" s="112" t="s">
        <v>368</v>
      </c>
      <c r="F241" s="113" t="s">
        <v>1427</v>
      </c>
      <c r="G241" s="113" t="s">
        <v>1428</v>
      </c>
      <c r="H241" s="20"/>
      <c r="I241" s="21"/>
      <c r="J241" s="21" t="s">
        <v>207</v>
      </c>
      <c r="K241" s="14"/>
      <c r="L241" s="14"/>
      <c r="M241" s="12">
        <v>13</v>
      </c>
      <c r="N241" s="9"/>
      <c r="O241" s="9"/>
      <c r="P241" s="9"/>
      <c r="Q241" s="38">
        <f t="shared" si="26"/>
        <v>13</v>
      </c>
      <c r="R241" s="12"/>
      <c r="S241" s="42"/>
      <c r="T241" s="15"/>
      <c r="U241" s="44"/>
      <c r="V241" s="15"/>
      <c r="W241" s="44"/>
      <c r="X241" s="15">
        <f t="shared" si="27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8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1"/>
        <v>0</v>
      </c>
      <c r="BC241" s="15"/>
      <c r="BD241" s="44"/>
      <c r="BE241" s="15"/>
      <c r="BF241" s="44"/>
      <c r="BG241" s="15">
        <f t="shared" si="32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111" t="s">
        <v>369</v>
      </c>
      <c r="E242" s="112" t="s">
        <v>365</v>
      </c>
      <c r="F242" s="113" t="s">
        <v>1429</v>
      </c>
      <c r="G242" s="113" t="s">
        <v>1430</v>
      </c>
      <c r="H242" s="20"/>
      <c r="I242" s="21"/>
      <c r="J242" s="21" t="s">
        <v>207</v>
      </c>
      <c r="K242" s="14"/>
      <c r="L242" s="14"/>
      <c r="M242" s="12">
        <v>418</v>
      </c>
      <c r="N242" s="9"/>
      <c r="O242" s="9"/>
      <c r="P242" s="9"/>
      <c r="Q242" s="38">
        <f t="shared" si="26"/>
        <v>418</v>
      </c>
      <c r="R242" s="12"/>
      <c r="S242" s="42"/>
      <c r="T242" s="15"/>
      <c r="U242" s="44"/>
      <c r="V242" s="15"/>
      <c r="W242" s="44"/>
      <c r="X242" s="15">
        <f t="shared" si="27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8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1"/>
        <v>0</v>
      </c>
      <c r="BC242" s="15"/>
      <c r="BD242" s="44"/>
      <c r="BE242" s="15"/>
      <c r="BF242" s="44"/>
      <c r="BG242" s="15">
        <f t="shared" si="32"/>
        <v>0</v>
      </c>
    </row>
    <row r="243" spans="1:59" s="8" customFormat="1" ht="21.95" customHeight="1">
      <c r="A243" s="9"/>
      <c r="B243" s="16" t="s">
        <v>204</v>
      </c>
      <c r="C243" s="92" t="s">
        <v>50</v>
      </c>
      <c r="D243" s="111" t="s">
        <v>370</v>
      </c>
      <c r="E243" s="112" t="s">
        <v>365</v>
      </c>
      <c r="F243" s="113" t="s">
        <v>1431</v>
      </c>
      <c r="G243" s="113" t="s">
        <v>1432</v>
      </c>
      <c r="H243" s="20"/>
      <c r="I243" s="21"/>
      <c r="J243" s="21" t="s">
        <v>207</v>
      </c>
      <c r="K243" s="14"/>
      <c r="L243" s="14"/>
      <c r="M243" s="12">
        <v>347</v>
      </c>
      <c r="N243" s="9"/>
      <c r="O243" s="9"/>
      <c r="P243" s="9"/>
      <c r="Q243" s="38">
        <f t="shared" si="26"/>
        <v>347</v>
      </c>
      <c r="R243" s="12"/>
      <c r="S243" s="42"/>
      <c r="T243" s="15"/>
      <c r="U243" s="44"/>
      <c r="V243" s="15"/>
      <c r="W243" s="44"/>
      <c r="X243" s="15">
        <f t="shared" si="27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8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1"/>
        <v>0</v>
      </c>
      <c r="BC243" s="15"/>
      <c r="BD243" s="44"/>
      <c r="BE243" s="15"/>
      <c r="BF243" s="44"/>
      <c r="BG243" s="15">
        <f t="shared" si="32"/>
        <v>0</v>
      </c>
    </row>
    <row r="244" spans="1:59" s="8" customFormat="1" ht="21.95" customHeight="1">
      <c r="A244" s="9"/>
      <c r="B244" s="16" t="s">
        <v>204</v>
      </c>
      <c r="C244" s="92" t="s">
        <v>50</v>
      </c>
      <c r="D244" s="111" t="s">
        <v>371</v>
      </c>
      <c r="E244" s="112" t="s">
        <v>365</v>
      </c>
      <c r="F244" s="113" t="s">
        <v>1433</v>
      </c>
      <c r="G244" s="113" t="s">
        <v>1434</v>
      </c>
      <c r="H244" s="20"/>
      <c r="I244" s="21"/>
      <c r="J244" s="21" t="s">
        <v>207</v>
      </c>
      <c r="K244" s="14"/>
      <c r="L244" s="14"/>
      <c r="M244" s="12">
        <v>458</v>
      </c>
      <c r="N244" s="9"/>
      <c r="O244" s="9"/>
      <c r="P244" s="9"/>
      <c r="Q244" s="38">
        <f t="shared" si="26"/>
        <v>458</v>
      </c>
      <c r="R244" s="12"/>
      <c r="S244" s="42"/>
      <c r="T244" s="15"/>
      <c r="U244" s="44"/>
      <c r="V244" s="15"/>
      <c r="W244" s="44"/>
      <c r="X244" s="15">
        <f t="shared" si="27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8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1"/>
        <v>0</v>
      </c>
      <c r="BC244" s="15"/>
      <c r="BD244" s="44"/>
      <c r="BE244" s="15"/>
      <c r="BF244" s="44"/>
      <c r="BG244" s="15">
        <f t="shared" si="32"/>
        <v>0</v>
      </c>
    </row>
    <row r="245" spans="1:59" s="8" customFormat="1" ht="21.95" customHeight="1">
      <c r="A245" s="9"/>
      <c r="B245" s="16" t="s">
        <v>204</v>
      </c>
      <c r="C245" s="92" t="s">
        <v>50</v>
      </c>
      <c r="D245" s="111" t="s">
        <v>372</v>
      </c>
      <c r="E245" s="112" t="s">
        <v>373</v>
      </c>
      <c r="F245" s="113" t="s">
        <v>1435</v>
      </c>
      <c r="G245" s="113" t="s">
        <v>1436</v>
      </c>
      <c r="H245" s="20"/>
      <c r="I245" s="21"/>
      <c r="J245" s="21" t="s">
        <v>207</v>
      </c>
      <c r="K245" s="14"/>
      <c r="L245" s="14"/>
      <c r="M245" s="12"/>
      <c r="N245" s="9"/>
      <c r="O245" s="9"/>
      <c r="P245" s="9"/>
      <c r="Q245" s="38">
        <f t="shared" si="26"/>
        <v>0</v>
      </c>
      <c r="R245" s="12"/>
      <c r="S245" s="42"/>
      <c r="T245" s="15"/>
      <c r="U245" s="44"/>
      <c r="V245" s="15"/>
      <c r="W245" s="44"/>
      <c r="X245" s="15">
        <f t="shared" si="27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8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1"/>
        <v>0</v>
      </c>
      <c r="BC245" s="15"/>
      <c r="BD245" s="44"/>
      <c r="BE245" s="15"/>
      <c r="BF245" s="44"/>
      <c r="BG245" s="15">
        <f t="shared" si="32"/>
        <v>0</v>
      </c>
    </row>
    <row r="246" spans="1:59" s="8" customFormat="1" ht="21.95" customHeight="1">
      <c r="A246" s="9"/>
      <c r="B246" s="16" t="s">
        <v>204</v>
      </c>
      <c r="C246" s="92" t="s">
        <v>50</v>
      </c>
      <c r="D246" s="111" t="s">
        <v>205</v>
      </c>
      <c r="E246" s="112" t="s">
        <v>373</v>
      </c>
      <c r="F246" s="113" t="s">
        <v>1437</v>
      </c>
      <c r="G246" s="113" t="s">
        <v>1438</v>
      </c>
      <c r="H246" s="20"/>
      <c r="I246" s="21"/>
      <c r="J246" s="21" t="s">
        <v>374</v>
      </c>
      <c r="K246" s="14"/>
      <c r="L246" s="14"/>
      <c r="M246" s="12"/>
      <c r="N246" s="9"/>
      <c r="O246" s="9"/>
      <c r="P246" s="9"/>
      <c r="Q246" s="38">
        <f t="shared" si="26"/>
        <v>0</v>
      </c>
      <c r="R246" s="12"/>
      <c r="S246" s="42"/>
      <c r="T246" s="15"/>
      <c r="U246" s="44"/>
      <c r="V246" s="15"/>
      <c r="W246" s="44"/>
      <c r="X246" s="15">
        <f t="shared" si="27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8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1"/>
        <v>0</v>
      </c>
      <c r="BC246" s="15"/>
      <c r="BD246" s="44"/>
      <c r="BE246" s="15"/>
      <c r="BF246" s="44"/>
      <c r="BG246" s="15">
        <f t="shared" si="32"/>
        <v>0</v>
      </c>
    </row>
    <row r="247" spans="1:59" s="8" customFormat="1" ht="21.95" customHeight="1">
      <c r="A247" s="9"/>
      <c r="B247" s="16" t="s">
        <v>204</v>
      </c>
      <c r="C247" s="92" t="s">
        <v>50</v>
      </c>
      <c r="D247" s="111" t="s">
        <v>375</v>
      </c>
      <c r="E247" s="112" t="s">
        <v>373</v>
      </c>
      <c r="F247" s="113" t="s">
        <v>1439</v>
      </c>
      <c r="G247" s="113" t="s">
        <v>1440</v>
      </c>
      <c r="H247" s="20"/>
      <c r="I247" s="21"/>
      <c r="J247" s="21" t="s">
        <v>207</v>
      </c>
      <c r="K247" s="14"/>
      <c r="L247" s="14"/>
      <c r="M247" s="12">
        <v>485</v>
      </c>
      <c r="N247" s="9"/>
      <c r="O247" s="9"/>
      <c r="P247" s="9"/>
      <c r="Q247" s="38">
        <f t="shared" si="26"/>
        <v>485</v>
      </c>
      <c r="R247" s="12"/>
      <c r="S247" s="42"/>
      <c r="T247" s="15"/>
      <c r="U247" s="44"/>
      <c r="V247" s="15"/>
      <c r="W247" s="44"/>
      <c r="X247" s="15">
        <f t="shared" si="27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8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1"/>
        <v>0</v>
      </c>
      <c r="BC247" s="15"/>
      <c r="BD247" s="44"/>
      <c r="BE247" s="15"/>
      <c r="BF247" s="44"/>
      <c r="BG247" s="15">
        <f t="shared" si="32"/>
        <v>0</v>
      </c>
    </row>
    <row r="248" spans="1:59" s="8" customFormat="1" ht="21.95" customHeight="1">
      <c r="A248" s="9"/>
      <c r="B248" s="16" t="s">
        <v>204</v>
      </c>
      <c r="C248" s="92" t="s">
        <v>50</v>
      </c>
      <c r="D248" s="111" t="s">
        <v>376</v>
      </c>
      <c r="E248" s="112" t="s">
        <v>373</v>
      </c>
      <c r="F248" s="113" t="s">
        <v>1441</v>
      </c>
      <c r="G248" s="113" t="s">
        <v>1442</v>
      </c>
      <c r="H248" s="20"/>
      <c r="I248" s="21"/>
      <c r="J248" s="21" t="s">
        <v>207</v>
      </c>
      <c r="K248" s="14"/>
      <c r="L248" s="14"/>
      <c r="M248" s="12">
        <v>357</v>
      </c>
      <c r="N248" s="9"/>
      <c r="O248" s="9"/>
      <c r="P248" s="9"/>
      <c r="Q248" s="38">
        <f t="shared" si="26"/>
        <v>357</v>
      </c>
      <c r="R248" s="12"/>
      <c r="S248" s="42"/>
      <c r="T248" s="15"/>
      <c r="U248" s="44"/>
      <c r="V248" s="15"/>
      <c r="W248" s="44"/>
      <c r="X248" s="15">
        <f t="shared" si="27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8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1"/>
        <v>0</v>
      </c>
      <c r="BC248" s="15"/>
      <c r="BD248" s="44"/>
      <c r="BE248" s="15"/>
      <c r="BF248" s="44"/>
      <c r="BG248" s="15">
        <f t="shared" si="32"/>
        <v>0</v>
      </c>
    </row>
    <row r="249" spans="1:59" s="8" customFormat="1" ht="21.95" customHeight="1">
      <c r="A249" s="9"/>
      <c r="B249" s="16" t="s">
        <v>204</v>
      </c>
      <c r="C249" s="92" t="s">
        <v>50</v>
      </c>
      <c r="D249" s="111" t="s">
        <v>377</v>
      </c>
      <c r="E249" s="112" t="s">
        <v>365</v>
      </c>
      <c r="F249" s="113" t="s">
        <v>1443</v>
      </c>
      <c r="G249" s="113" t="s">
        <v>1444</v>
      </c>
      <c r="H249" s="20"/>
      <c r="I249" s="21"/>
      <c r="J249" s="21" t="s">
        <v>207</v>
      </c>
      <c r="K249" s="14"/>
      <c r="L249" s="14"/>
      <c r="M249" s="12">
        <v>361</v>
      </c>
      <c r="N249" s="9"/>
      <c r="O249" s="9"/>
      <c r="P249" s="9"/>
      <c r="Q249" s="38">
        <f t="shared" si="26"/>
        <v>361</v>
      </c>
      <c r="R249" s="12"/>
      <c r="S249" s="42"/>
      <c r="T249" s="15"/>
      <c r="U249" s="44"/>
      <c r="V249" s="15"/>
      <c r="W249" s="44"/>
      <c r="X249" s="15">
        <f t="shared" si="27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8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1"/>
        <v>0</v>
      </c>
      <c r="BC249" s="15"/>
      <c r="BD249" s="44"/>
      <c r="BE249" s="15"/>
      <c r="BF249" s="44"/>
      <c r="BG249" s="15">
        <f t="shared" si="32"/>
        <v>0</v>
      </c>
    </row>
    <row r="250" spans="1:59" s="8" customFormat="1" ht="21.95" customHeight="1">
      <c r="A250" s="9"/>
      <c r="B250" s="16" t="s">
        <v>204</v>
      </c>
      <c r="C250" s="92" t="s">
        <v>50</v>
      </c>
      <c r="D250" s="111" t="s">
        <v>378</v>
      </c>
      <c r="E250" s="112" t="s">
        <v>368</v>
      </c>
      <c r="F250" s="113" t="s">
        <v>1445</v>
      </c>
      <c r="G250" s="113" t="s">
        <v>1446</v>
      </c>
      <c r="H250" s="20"/>
      <c r="I250" s="21"/>
      <c r="J250" s="21" t="s">
        <v>207</v>
      </c>
      <c r="K250" s="14"/>
      <c r="L250" s="14"/>
      <c r="M250" s="12">
        <v>395</v>
      </c>
      <c r="N250" s="9"/>
      <c r="O250" s="9"/>
      <c r="P250" s="9"/>
      <c r="Q250" s="38">
        <f t="shared" si="26"/>
        <v>395</v>
      </c>
      <c r="R250" s="12"/>
      <c r="S250" s="42"/>
      <c r="T250" s="15"/>
      <c r="U250" s="44"/>
      <c r="V250" s="15"/>
      <c r="W250" s="44"/>
      <c r="X250" s="15">
        <f t="shared" si="27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8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1"/>
        <v>0</v>
      </c>
      <c r="BC250" s="15"/>
      <c r="BD250" s="44"/>
      <c r="BE250" s="15"/>
      <c r="BF250" s="44"/>
      <c r="BG250" s="15">
        <f t="shared" si="32"/>
        <v>0</v>
      </c>
    </row>
    <row r="251" spans="1:59" s="8" customFormat="1" ht="21.95" customHeight="1">
      <c r="A251" s="9"/>
      <c r="B251" s="16" t="s">
        <v>204</v>
      </c>
      <c r="C251" s="92" t="s">
        <v>50</v>
      </c>
      <c r="D251" s="111" t="s">
        <v>379</v>
      </c>
      <c r="E251" s="112" t="s">
        <v>368</v>
      </c>
      <c r="F251" s="113" t="s">
        <v>1447</v>
      </c>
      <c r="G251" s="113" t="s">
        <v>1448</v>
      </c>
      <c r="H251" s="20"/>
      <c r="I251" s="21"/>
      <c r="J251" s="21" t="s">
        <v>207</v>
      </c>
      <c r="K251" s="14"/>
      <c r="L251" s="14"/>
      <c r="M251" s="12">
        <v>492</v>
      </c>
      <c r="N251" s="9"/>
      <c r="O251" s="9"/>
      <c r="P251" s="9"/>
      <c r="Q251" s="38">
        <f t="shared" si="26"/>
        <v>492</v>
      </c>
      <c r="R251" s="12"/>
      <c r="S251" s="42"/>
      <c r="T251" s="15"/>
      <c r="U251" s="44"/>
      <c r="V251" s="15"/>
      <c r="W251" s="44"/>
      <c r="X251" s="15">
        <f t="shared" si="27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8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1"/>
        <v>0</v>
      </c>
      <c r="BC251" s="15"/>
      <c r="BD251" s="44"/>
      <c r="BE251" s="15"/>
      <c r="BF251" s="44"/>
      <c r="BG251" s="15">
        <f t="shared" si="32"/>
        <v>0</v>
      </c>
    </row>
    <row r="252" spans="1:59" s="8" customFormat="1" ht="21.95" customHeight="1">
      <c r="A252" s="9"/>
      <c r="B252" s="16" t="s">
        <v>204</v>
      </c>
      <c r="C252" s="92" t="s">
        <v>50</v>
      </c>
      <c r="D252" s="111" t="s">
        <v>380</v>
      </c>
      <c r="E252" s="112" t="s">
        <v>373</v>
      </c>
      <c r="F252" s="113" t="s">
        <v>1449</v>
      </c>
      <c r="G252" s="113" t="s">
        <v>1450</v>
      </c>
      <c r="H252" s="20"/>
      <c r="I252" s="21"/>
      <c r="J252" s="21" t="s">
        <v>207</v>
      </c>
      <c r="K252" s="14"/>
      <c r="L252" s="14"/>
      <c r="M252" s="12">
        <v>440</v>
      </c>
      <c r="N252" s="9"/>
      <c r="O252" s="9"/>
      <c r="P252" s="9"/>
      <c r="Q252" s="38">
        <f t="shared" si="26"/>
        <v>440</v>
      </c>
      <c r="R252" s="12"/>
      <c r="S252" s="42"/>
      <c r="T252" s="15"/>
      <c r="U252" s="44"/>
      <c r="V252" s="15"/>
      <c r="W252" s="44"/>
      <c r="X252" s="15">
        <f t="shared" si="27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8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1"/>
        <v>0</v>
      </c>
      <c r="BC252" s="15"/>
      <c r="BD252" s="44"/>
      <c r="BE252" s="15"/>
      <c r="BF252" s="44"/>
      <c r="BG252" s="15">
        <f t="shared" si="32"/>
        <v>0</v>
      </c>
    </row>
    <row r="253" spans="1:59" s="8" customFormat="1" ht="21.95" customHeight="1">
      <c r="A253" s="9"/>
      <c r="B253" s="16" t="s">
        <v>204</v>
      </c>
      <c r="C253" s="92" t="s">
        <v>50</v>
      </c>
      <c r="D253" s="111" t="s">
        <v>381</v>
      </c>
      <c r="E253" s="112" t="s">
        <v>382</v>
      </c>
      <c r="F253" s="113" t="s">
        <v>1451</v>
      </c>
      <c r="G253" s="113" t="s">
        <v>1452</v>
      </c>
      <c r="H253" s="20"/>
      <c r="I253" s="21"/>
      <c r="J253" s="21" t="s">
        <v>207</v>
      </c>
      <c r="K253" s="14"/>
      <c r="L253" s="14"/>
      <c r="M253" s="12">
        <v>437</v>
      </c>
      <c r="N253" s="9"/>
      <c r="O253" s="9"/>
      <c r="P253" s="9"/>
      <c r="Q253" s="38">
        <f t="shared" si="26"/>
        <v>437</v>
      </c>
      <c r="R253" s="12"/>
      <c r="S253" s="42"/>
      <c r="T253" s="15"/>
      <c r="U253" s="44"/>
      <c r="V253" s="15"/>
      <c r="W253" s="44"/>
      <c r="X253" s="15">
        <f t="shared" si="27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8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1"/>
        <v>0</v>
      </c>
      <c r="BC253" s="15"/>
      <c r="BD253" s="44"/>
      <c r="BE253" s="15"/>
      <c r="BF253" s="44"/>
      <c r="BG253" s="15">
        <f t="shared" si="32"/>
        <v>0</v>
      </c>
    </row>
    <row r="254" spans="1:59" s="8" customFormat="1" ht="21.95" customHeight="1">
      <c r="A254" s="9"/>
      <c r="B254" s="16" t="s">
        <v>204</v>
      </c>
      <c r="C254" s="92" t="s">
        <v>50</v>
      </c>
      <c r="D254" s="111" t="s">
        <v>383</v>
      </c>
      <c r="E254" s="112" t="s">
        <v>384</v>
      </c>
      <c r="F254" s="113" t="s">
        <v>1453</v>
      </c>
      <c r="G254" s="113" t="s">
        <v>1454</v>
      </c>
      <c r="H254" s="20"/>
      <c r="I254" s="21"/>
      <c r="J254" s="21" t="s">
        <v>207</v>
      </c>
      <c r="K254" s="14"/>
      <c r="L254" s="14"/>
      <c r="M254" s="12">
        <v>436</v>
      </c>
      <c r="N254" s="9"/>
      <c r="O254" s="9"/>
      <c r="P254" s="9"/>
      <c r="Q254" s="38">
        <f t="shared" si="26"/>
        <v>436</v>
      </c>
      <c r="R254" s="12"/>
      <c r="S254" s="42"/>
      <c r="T254" s="15"/>
      <c r="U254" s="44"/>
      <c r="V254" s="15"/>
      <c r="W254" s="44"/>
      <c r="X254" s="15">
        <f t="shared" si="27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8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1"/>
        <v>0</v>
      </c>
      <c r="BC254" s="15"/>
      <c r="BD254" s="44"/>
      <c r="BE254" s="15"/>
      <c r="BF254" s="44"/>
      <c r="BG254" s="15">
        <f t="shared" si="32"/>
        <v>0</v>
      </c>
    </row>
    <row r="255" spans="1:59" s="8" customFormat="1" ht="21.95" customHeight="1">
      <c r="A255" s="9"/>
      <c r="B255" s="16" t="s">
        <v>204</v>
      </c>
      <c r="C255" s="92" t="s">
        <v>50</v>
      </c>
      <c r="D255" s="111" t="s">
        <v>385</v>
      </c>
      <c r="E255" s="112" t="s">
        <v>368</v>
      </c>
      <c r="F255" s="113" t="s">
        <v>1455</v>
      </c>
      <c r="G255" s="113" t="s">
        <v>1456</v>
      </c>
      <c r="H255" s="20"/>
      <c r="I255" s="21"/>
      <c r="J255" s="21" t="s">
        <v>207</v>
      </c>
      <c r="K255" s="14"/>
      <c r="L255" s="14"/>
      <c r="M255" s="12">
        <v>397</v>
      </c>
      <c r="N255" s="9"/>
      <c r="O255" s="9"/>
      <c r="P255" s="9"/>
      <c r="Q255" s="38">
        <f t="shared" si="26"/>
        <v>397</v>
      </c>
      <c r="R255" s="12"/>
      <c r="S255" s="42"/>
      <c r="T255" s="15"/>
      <c r="U255" s="44"/>
      <c r="V255" s="15"/>
      <c r="W255" s="44"/>
      <c r="X255" s="15">
        <f t="shared" si="27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8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1"/>
        <v>0</v>
      </c>
      <c r="BC255" s="15"/>
      <c r="BD255" s="44"/>
      <c r="BE255" s="15"/>
      <c r="BF255" s="44"/>
      <c r="BG255" s="15">
        <f t="shared" si="32"/>
        <v>0</v>
      </c>
    </row>
    <row r="256" spans="1:59" s="8" customFormat="1" ht="21.95" customHeight="1">
      <c r="A256" s="9"/>
      <c r="B256" s="16" t="s">
        <v>204</v>
      </c>
      <c r="C256" s="92" t="s">
        <v>50</v>
      </c>
      <c r="D256" s="111" t="s">
        <v>386</v>
      </c>
      <c r="E256" s="112"/>
      <c r="F256" s="113" t="s">
        <v>1457</v>
      </c>
      <c r="G256" s="113" t="s">
        <v>1458</v>
      </c>
      <c r="H256" s="20"/>
      <c r="I256" s="21"/>
      <c r="J256" s="21" t="s">
        <v>207</v>
      </c>
      <c r="K256" s="14"/>
      <c r="L256" s="14"/>
      <c r="M256" s="12">
        <v>216</v>
      </c>
      <c r="N256" s="9"/>
      <c r="O256" s="9"/>
      <c r="P256" s="9"/>
      <c r="Q256" s="38">
        <f t="shared" si="26"/>
        <v>216</v>
      </c>
      <c r="R256" s="12"/>
      <c r="S256" s="42"/>
      <c r="T256" s="15"/>
      <c r="U256" s="44"/>
      <c r="V256" s="15"/>
      <c r="W256" s="44"/>
      <c r="X256" s="15">
        <f t="shared" si="27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8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1"/>
        <v>0</v>
      </c>
      <c r="BC256" s="15"/>
      <c r="BD256" s="44"/>
      <c r="BE256" s="15"/>
      <c r="BF256" s="44"/>
      <c r="BG256" s="15">
        <f t="shared" si="32"/>
        <v>0</v>
      </c>
    </row>
    <row r="257" spans="1:59" s="8" customFormat="1" ht="21.95" customHeight="1">
      <c r="A257" s="9"/>
      <c r="B257" s="16" t="s">
        <v>204</v>
      </c>
      <c r="C257" s="92" t="s">
        <v>50</v>
      </c>
      <c r="D257" s="111" t="s">
        <v>1459</v>
      </c>
      <c r="E257" s="112" t="s">
        <v>365</v>
      </c>
      <c r="F257" s="113" t="s">
        <v>1460</v>
      </c>
      <c r="G257" s="113" t="s">
        <v>1461</v>
      </c>
      <c r="H257" s="20"/>
      <c r="I257" s="21"/>
      <c r="J257" s="21" t="s">
        <v>207</v>
      </c>
      <c r="K257" s="14"/>
      <c r="L257" s="14"/>
      <c r="M257" s="12">
        <v>365</v>
      </c>
      <c r="N257" s="9"/>
      <c r="O257" s="9"/>
      <c r="P257" s="9"/>
      <c r="Q257" s="38">
        <f t="shared" si="26"/>
        <v>365</v>
      </c>
      <c r="R257" s="12"/>
      <c r="S257" s="42"/>
      <c r="T257" s="15"/>
      <c r="U257" s="44"/>
      <c r="V257" s="15"/>
      <c r="W257" s="44"/>
      <c r="X257" s="15">
        <f t="shared" si="27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8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1"/>
        <v>0</v>
      </c>
      <c r="BC257" s="15"/>
      <c r="BD257" s="44"/>
      <c r="BE257" s="15"/>
      <c r="BF257" s="44"/>
      <c r="BG257" s="15">
        <f t="shared" si="32"/>
        <v>0</v>
      </c>
    </row>
    <row r="258" spans="1:59" s="8" customFormat="1" ht="21.95" customHeight="1">
      <c r="A258" s="9"/>
      <c r="B258" s="16" t="s">
        <v>233</v>
      </c>
      <c r="C258" s="92" t="s">
        <v>50</v>
      </c>
      <c r="D258" s="111" t="s">
        <v>388</v>
      </c>
      <c r="E258" s="112" t="s">
        <v>389</v>
      </c>
      <c r="F258" s="113" t="s">
        <v>1462</v>
      </c>
      <c r="G258" s="113" t="s">
        <v>1463</v>
      </c>
      <c r="H258" s="20"/>
      <c r="I258" s="21"/>
      <c r="J258" s="21" t="s">
        <v>207</v>
      </c>
      <c r="K258" s="14"/>
      <c r="L258" s="14"/>
      <c r="M258" s="12">
        <v>450</v>
      </c>
      <c r="N258" s="9"/>
      <c r="O258" s="9"/>
      <c r="P258" s="9"/>
      <c r="Q258" s="38">
        <f t="shared" si="26"/>
        <v>450</v>
      </c>
      <c r="R258" s="12"/>
      <c r="S258" s="42"/>
      <c r="T258" s="15"/>
      <c r="U258" s="44"/>
      <c r="V258" s="15"/>
      <c r="W258" s="44"/>
      <c r="X258" s="15">
        <f t="shared" si="27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8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1"/>
        <v>0</v>
      </c>
      <c r="BC258" s="15"/>
      <c r="BD258" s="44"/>
      <c r="BE258" s="15"/>
      <c r="BF258" s="44"/>
      <c r="BG258" s="15">
        <f t="shared" si="32"/>
        <v>0</v>
      </c>
    </row>
    <row r="259" spans="1:59" s="8" customFormat="1" ht="21.95" customHeight="1">
      <c r="A259" s="9"/>
      <c r="B259" s="16" t="s">
        <v>233</v>
      </c>
      <c r="C259" s="92" t="s">
        <v>50</v>
      </c>
      <c r="D259" s="111" t="s">
        <v>390</v>
      </c>
      <c r="E259" s="112" t="s">
        <v>1464</v>
      </c>
      <c r="F259" s="113" t="s">
        <v>1465</v>
      </c>
      <c r="G259" s="113" t="s">
        <v>1466</v>
      </c>
      <c r="H259" s="20"/>
      <c r="I259" s="21"/>
      <c r="J259" s="21" t="s">
        <v>207</v>
      </c>
      <c r="K259" s="14"/>
      <c r="L259" s="14"/>
      <c r="M259" s="12">
        <v>216</v>
      </c>
      <c r="N259" s="9"/>
      <c r="O259" s="9"/>
      <c r="P259" s="9"/>
      <c r="Q259" s="38">
        <f t="shared" si="26"/>
        <v>216</v>
      </c>
      <c r="R259" s="12"/>
      <c r="S259" s="42"/>
      <c r="T259" s="15"/>
      <c r="U259" s="44"/>
      <c r="V259" s="15"/>
      <c r="W259" s="44"/>
      <c r="X259" s="15">
        <f t="shared" si="27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8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1"/>
        <v>0</v>
      </c>
      <c r="BC259" s="15"/>
      <c r="BD259" s="44"/>
      <c r="BE259" s="15"/>
      <c r="BF259" s="44"/>
      <c r="BG259" s="15">
        <f t="shared" si="32"/>
        <v>0</v>
      </c>
    </row>
    <row r="260" spans="1:59" s="8" customFormat="1" ht="21.95" customHeight="1">
      <c r="A260" s="9"/>
      <c r="B260" s="16" t="s">
        <v>233</v>
      </c>
      <c r="C260" s="92" t="s">
        <v>50</v>
      </c>
      <c r="D260" s="58" t="s">
        <v>390</v>
      </c>
      <c r="E260" s="35" t="s">
        <v>1467</v>
      </c>
      <c r="H260" s="20"/>
      <c r="I260" s="21"/>
      <c r="J260" s="21" t="s">
        <v>207</v>
      </c>
      <c r="K260" s="14"/>
      <c r="L260" s="14"/>
      <c r="M260" s="12">
        <v>649</v>
      </c>
      <c r="N260" s="9"/>
      <c r="O260" s="9"/>
      <c r="P260" s="9"/>
      <c r="Q260" s="38">
        <f t="shared" ref="Q260:Q323" si="33">M260+X260-AG260-BB260</f>
        <v>649</v>
      </c>
      <c r="R260" s="12"/>
      <c r="S260" s="42"/>
      <c r="T260" s="15"/>
      <c r="U260" s="44"/>
      <c r="V260" s="15"/>
      <c r="W260" s="44"/>
      <c r="X260" s="15">
        <f t="shared" ref="X260:X323" si="34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5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1"/>
        <v>0</v>
      </c>
      <c r="BC260" s="15"/>
      <c r="BD260" s="44"/>
      <c r="BE260" s="15"/>
      <c r="BF260" s="44"/>
      <c r="BG260" s="15">
        <f t="shared" si="32"/>
        <v>0</v>
      </c>
    </row>
    <row r="261" spans="1:59" s="8" customFormat="1" ht="21.95" customHeight="1">
      <c r="A261" s="9"/>
      <c r="B261" s="16" t="s">
        <v>233</v>
      </c>
      <c r="C261" s="92" t="s">
        <v>50</v>
      </c>
      <c r="D261" s="111" t="s">
        <v>392</v>
      </c>
      <c r="E261" s="112" t="s">
        <v>389</v>
      </c>
      <c r="F261" s="113" t="s">
        <v>1468</v>
      </c>
      <c r="G261" s="113" t="s">
        <v>1469</v>
      </c>
      <c r="H261" s="20"/>
      <c r="I261" s="21"/>
      <c r="J261" s="21" t="s">
        <v>207</v>
      </c>
      <c r="K261" s="14"/>
      <c r="L261" s="14"/>
      <c r="M261" s="12">
        <v>546</v>
      </c>
      <c r="N261" s="9"/>
      <c r="O261" s="9"/>
      <c r="P261" s="9"/>
      <c r="Q261" s="38">
        <f t="shared" si="33"/>
        <v>546</v>
      </c>
      <c r="R261" s="12"/>
      <c r="S261" s="42"/>
      <c r="T261" s="15"/>
      <c r="U261" s="44"/>
      <c r="V261" s="15"/>
      <c r="W261" s="44"/>
      <c r="X261" s="15">
        <f t="shared" si="34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5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1"/>
        <v>0</v>
      </c>
      <c r="BC261" s="15"/>
      <c r="BD261" s="44"/>
      <c r="BE261" s="15"/>
      <c r="BF261" s="44"/>
      <c r="BG261" s="15">
        <f t="shared" si="32"/>
        <v>0</v>
      </c>
    </row>
    <row r="262" spans="1:59" s="8" customFormat="1" ht="21.95" customHeight="1">
      <c r="A262" s="9"/>
      <c r="B262" s="16" t="s">
        <v>233</v>
      </c>
      <c r="C262" s="92" t="s">
        <v>50</v>
      </c>
      <c r="D262" s="111" t="s">
        <v>393</v>
      </c>
      <c r="E262" s="112" t="s">
        <v>394</v>
      </c>
      <c r="F262" s="113" t="s">
        <v>1470</v>
      </c>
      <c r="G262" s="113" t="s">
        <v>1471</v>
      </c>
      <c r="H262" s="20"/>
      <c r="I262" s="21"/>
      <c r="J262" s="21" t="s">
        <v>207</v>
      </c>
      <c r="K262" s="14"/>
      <c r="L262" s="14"/>
      <c r="M262" s="12">
        <v>213</v>
      </c>
      <c r="N262" s="9"/>
      <c r="O262" s="9"/>
      <c r="P262" s="9"/>
      <c r="Q262" s="38">
        <f t="shared" si="33"/>
        <v>213</v>
      </c>
      <c r="R262" s="12"/>
      <c r="S262" s="42"/>
      <c r="T262" s="15"/>
      <c r="U262" s="44"/>
      <c r="V262" s="15"/>
      <c r="W262" s="44"/>
      <c r="X262" s="15">
        <f t="shared" si="34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5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1"/>
        <v>0</v>
      </c>
      <c r="BC262" s="15"/>
      <c r="BD262" s="44"/>
      <c r="BE262" s="15"/>
      <c r="BF262" s="44"/>
      <c r="BG262" s="15">
        <f t="shared" si="32"/>
        <v>0</v>
      </c>
    </row>
    <row r="263" spans="1:59" s="8" customFormat="1" ht="21.95" customHeight="1">
      <c r="A263" s="9"/>
      <c r="B263" s="16" t="s">
        <v>233</v>
      </c>
      <c r="C263" s="92" t="s">
        <v>50</v>
      </c>
      <c r="D263" s="111" t="s">
        <v>395</v>
      </c>
      <c r="E263" s="112" t="s">
        <v>389</v>
      </c>
      <c r="F263" s="113" t="s">
        <v>1472</v>
      </c>
      <c r="G263" s="113" t="s">
        <v>1473</v>
      </c>
      <c r="H263" s="20"/>
      <c r="I263" s="21"/>
      <c r="J263" s="21" t="s">
        <v>207</v>
      </c>
      <c r="K263" s="14"/>
      <c r="L263" s="14"/>
      <c r="M263" s="12">
        <v>425</v>
      </c>
      <c r="N263" s="9"/>
      <c r="O263" s="9"/>
      <c r="P263" s="9"/>
      <c r="Q263" s="38">
        <f t="shared" si="33"/>
        <v>425</v>
      </c>
      <c r="R263" s="12"/>
      <c r="S263" s="42"/>
      <c r="T263" s="15"/>
      <c r="U263" s="44"/>
      <c r="V263" s="15"/>
      <c r="W263" s="44"/>
      <c r="X263" s="15">
        <f t="shared" si="34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5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1"/>
        <v>0</v>
      </c>
      <c r="BC263" s="15"/>
      <c r="BD263" s="44"/>
      <c r="BE263" s="15"/>
      <c r="BF263" s="44"/>
      <c r="BG263" s="15">
        <f t="shared" si="32"/>
        <v>0</v>
      </c>
    </row>
    <row r="264" spans="1:59" s="8" customFormat="1" ht="21.95" customHeight="1">
      <c r="A264" s="9"/>
      <c r="B264" s="16" t="s">
        <v>396</v>
      </c>
      <c r="C264" s="92" t="s">
        <v>50</v>
      </c>
      <c r="D264" s="111" t="s">
        <v>397</v>
      </c>
      <c r="E264" s="112" t="s">
        <v>398</v>
      </c>
      <c r="F264" s="113" t="s">
        <v>1474</v>
      </c>
      <c r="G264" s="113" t="s">
        <v>1475</v>
      </c>
      <c r="H264" s="20"/>
      <c r="I264" s="21"/>
      <c r="J264" s="21"/>
      <c r="K264" s="14"/>
      <c r="L264" s="14"/>
      <c r="M264" s="12"/>
      <c r="N264" s="9"/>
      <c r="O264" s="9"/>
      <c r="P264" s="9"/>
      <c r="Q264" s="38">
        <f t="shared" si="33"/>
        <v>0</v>
      </c>
      <c r="R264" s="12"/>
      <c r="S264" s="42"/>
      <c r="T264" s="15"/>
      <c r="U264" s="44"/>
      <c r="V264" s="15"/>
      <c r="W264" s="44"/>
      <c r="X264" s="15">
        <f t="shared" si="34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5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1"/>
        <v>0</v>
      </c>
      <c r="BC264" s="15"/>
      <c r="BD264" s="44"/>
      <c r="BE264" s="15"/>
      <c r="BF264" s="44"/>
      <c r="BG264" s="15">
        <f t="shared" si="32"/>
        <v>0</v>
      </c>
    </row>
    <row r="265" spans="1:59" s="8" customFormat="1" ht="22.5" customHeight="1">
      <c r="A265" s="9"/>
      <c r="B265" s="16" t="s">
        <v>155</v>
      </c>
      <c r="C265" s="89" t="s">
        <v>50</v>
      </c>
      <c r="D265" s="111" t="s">
        <v>399</v>
      </c>
      <c r="E265" s="112" t="s">
        <v>400</v>
      </c>
      <c r="F265" s="113" t="s">
        <v>1476</v>
      </c>
      <c r="G265" s="113" t="s">
        <v>1477</v>
      </c>
      <c r="H265" s="96"/>
      <c r="I265" s="9"/>
      <c r="J265" s="9"/>
      <c r="K265" s="14"/>
      <c r="L265" s="14"/>
      <c r="M265" s="12">
        <v>108</v>
      </c>
      <c r="N265" s="9"/>
      <c r="O265" s="9"/>
      <c r="P265" s="9"/>
      <c r="Q265" s="38">
        <f t="shared" si="33"/>
        <v>108</v>
      </c>
      <c r="R265" s="12"/>
      <c r="S265" s="42"/>
      <c r="T265" s="15"/>
      <c r="U265" s="44"/>
      <c r="V265" s="15"/>
      <c r="W265" s="44"/>
      <c r="X265" s="15">
        <f t="shared" si="34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5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1"/>
        <v>0</v>
      </c>
      <c r="BC265" s="15"/>
      <c r="BD265" s="44"/>
      <c r="BE265" s="15"/>
      <c r="BF265" s="44"/>
      <c r="BG265" s="15">
        <f t="shared" si="32"/>
        <v>0</v>
      </c>
    </row>
    <row r="266" spans="1:59" s="8" customFormat="1" ht="22.5" customHeight="1">
      <c r="A266" s="9"/>
      <c r="B266" s="16" t="s">
        <v>330</v>
      </c>
      <c r="C266" s="89" t="s">
        <v>50</v>
      </c>
      <c r="D266" s="111" t="s">
        <v>331</v>
      </c>
      <c r="E266" s="112" t="s">
        <v>401</v>
      </c>
      <c r="F266" s="113" t="s">
        <v>1478</v>
      </c>
      <c r="G266" s="113" t="s">
        <v>1479</v>
      </c>
      <c r="H266" s="96"/>
      <c r="I266" s="9"/>
      <c r="J266" s="9" t="s">
        <v>332</v>
      </c>
      <c r="K266" s="14"/>
      <c r="L266" s="14"/>
      <c r="M266" s="12">
        <v>342</v>
      </c>
      <c r="N266" s="9"/>
      <c r="O266" s="9"/>
      <c r="P266" s="9"/>
      <c r="Q266" s="38">
        <f t="shared" si="33"/>
        <v>342</v>
      </c>
      <c r="R266" s="12"/>
      <c r="S266" s="42"/>
      <c r="T266" s="15"/>
      <c r="U266" s="44"/>
      <c r="V266" s="15"/>
      <c r="W266" s="44"/>
      <c r="X266" s="15">
        <f t="shared" si="34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5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1"/>
        <v>0</v>
      </c>
      <c r="BC266" s="15"/>
      <c r="BD266" s="44"/>
      <c r="BE266" s="15"/>
      <c r="BF266" s="44"/>
      <c r="BG266" s="15">
        <f t="shared" si="32"/>
        <v>0</v>
      </c>
    </row>
    <row r="267" spans="1:59" s="8" customFormat="1" ht="22.5" customHeight="1">
      <c r="A267" s="9"/>
      <c r="B267" s="16" t="s">
        <v>204</v>
      </c>
      <c r="C267" s="89" t="s">
        <v>402</v>
      </c>
      <c r="D267" s="111" t="s">
        <v>403</v>
      </c>
      <c r="E267" s="112" t="s">
        <v>404</v>
      </c>
      <c r="F267" s="113" t="s">
        <v>1480</v>
      </c>
      <c r="G267" s="113" t="s">
        <v>1481</v>
      </c>
      <c r="H267" s="96"/>
      <c r="I267" s="9"/>
      <c r="J267" s="9" t="s">
        <v>311</v>
      </c>
      <c r="K267" s="14"/>
      <c r="L267" s="14"/>
      <c r="M267" s="12"/>
      <c r="N267" s="9"/>
      <c r="O267" s="9"/>
      <c r="P267" s="9"/>
      <c r="Q267" s="38">
        <f t="shared" si="33"/>
        <v>0</v>
      </c>
      <c r="R267" s="12"/>
      <c r="S267" s="42"/>
      <c r="T267" s="15"/>
      <c r="U267" s="44"/>
      <c r="V267" s="15"/>
      <c r="W267" s="44"/>
      <c r="X267" s="15">
        <f t="shared" si="34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5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1"/>
        <v>0</v>
      </c>
      <c r="BC267" s="15"/>
      <c r="BD267" s="44"/>
      <c r="BE267" s="15"/>
      <c r="BF267" s="44"/>
      <c r="BG267" s="15">
        <f t="shared" si="32"/>
        <v>0</v>
      </c>
    </row>
    <row r="268" spans="1:59" s="8" customFormat="1" ht="22.5" customHeight="1">
      <c r="A268" s="9"/>
      <c r="B268" s="16" t="s">
        <v>233</v>
      </c>
      <c r="C268" s="89" t="s">
        <v>402</v>
      </c>
      <c r="D268" s="111" t="s">
        <v>405</v>
      </c>
      <c r="E268" s="112" t="s">
        <v>406</v>
      </c>
      <c r="F268" s="113" t="s">
        <v>1482</v>
      </c>
      <c r="G268" s="113" t="s">
        <v>1483</v>
      </c>
      <c r="H268" s="95"/>
      <c r="I268" s="9"/>
      <c r="J268" s="9" t="s">
        <v>407</v>
      </c>
      <c r="K268" s="14"/>
      <c r="L268" s="14"/>
      <c r="M268" s="12"/>
      <c r="N268" s="9"/>
      <c r="O268" s="9"/>
      <c r="P268" s="9"/>
      <c r="Q268" s="38">
        <f t="shared" si="33"/>
        <v>0</v>
      </c>
      <c r="R268" s="12"/>
      <c r="S268" s="42"/>
      <c r="T268" s="15"/>
      <c r="U268" s="44"/>
      <c r="V268" s="15"/>
      <c r="W268" s="44"/>
      <c r="X268" s="15">
        <f t="shared" si="34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5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1"/>
        <v>0</v>
      </c>
      <c r="BC268" s="15"/>
      <c r="BD268" s="44"/>
      <c r="BE268" s="15"/>
      <c r="BF268" s="44"/>
      <c r="BG268" s="15">
        <f t="shared" si="32"/>
        <v>0</v>
      </c>
    </row>
    <row r="269" spans="1:59" s="8" customFormat="1" ht="22.5" customHeight="1">
      <c r="A269" s="9"/>
      <c r="B269" s="16" t="s">
        <v>172</v>
      </c>
      <c r="C269" s="89" t="s">
        <v>402</v>
      </c>
      <c r="D269" s="111" t="s">
        <v>408</v>
      </c>
      <c r="E269" s="112" t="s">
        <v>409</v>
      </c>
      <c r="F269" s="113" t="s">
        <v>1484</v>
      </c>
      <c r="G269" s="113" t="s">
        <v>1485</v>
      </c>
      <c r="H269" s="95"/>
      <c r="I269" s="9"/>
      <c r="J269" s="9" t="s">
        <v>67</v>
      </c>
      <c r="K269" s="14"/>
      <c r="L269" s="14"/>
      <c r="M269" s="12"/>
      <c r="N269" s="9"/>
      <c r="O269" s="9"/>
      <c r="P269" s="9"/>
      <c r="Q269" s="38">
        <f t="shared" si="33"/>
        <v>0</v>
      </c>
      <c r="R269" s="12"/>
      <c r="S269" s="42"/>
      <c r="T269" s="15"/>
      <c r="U269" s="44"/>
      <c r="V269" s="15"/>
      <c r="W269" s="44"/>
      <c r="X269" s="15">
        <f t="shared" si="34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5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si="31"/>
        <v>0</v>
      </c>
      <c r="BC269" s="15"/>
      <c r="BD269" s="44"/>
      <c r="BE269" s="15"/>
      <c r="BF269" s="44"/>
      <c r="BG269" s="15">
        <f t="shared" si="32"/>
        <v>0</v>
      </c>
    </row>
    <row r="270" spans="1:59" s="8" customFormat="1" ht="22.5" customHeight="1">
      <c r="A270" s="9"/>
      <c r="B270" s="16" t="s">
        <v>155</v>
      </c>
      <c r="C270" s="89" t="s">
        <v>402</v>
      </c>
      <c r="D270" s="111" t="s">
        <v>410</v>
      </c>
      <c r="E270" s="112" t="s">
        <v>411</v>
      </c>
      <c r="F270" s="113" t="s">
        <v>1486</v>
      </c>
      <c r="G270" s="113" t="s">
        <v>1487</v>
      </c>
      <c r="H270" s="95"/>
      <c r="I270" s="9"/>
      <c r="J270" s="9" t="s">
        <v>412</v>
      </c>
      <c r="K270" s="14"/>
      <c r="L270" s="14"/>
      <c r="M270" s="12">
        <v>814</v>
      </c>
      <c r="N270" s="9"/>
      <c r="O270" s="9"/>
      <c r="P270" s="9"/>
      <c r="Q270" s="38">
        <f t="shared" si="33"/>
        <v>814</v>
      </c>
      <c r="R270" s="12"/>
      <c r="S270" s="42"/>
      <c r="T270" s="15"/>
      <c r="U270" s="44"/>
      <c r="V270" s="15"/>
      <c r="W270" s="44"/>
      <c r="X270" s="15">
        <f t="shared" si="34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5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1"/>
        <v>0</v>
      </c>
      <c r="BC270" s="15"/>
      <c r="BD270" s="44"/>
      <c r="BE270" s="15"/>
      <c r="BF270" s="44"/>
      <c r="BG270" s="15">
        <f t="shared" si="32"/>
        <v>0</v>
      </c>
    </row>
    <row r="271" spans="1:59" s="8" customFormat="1" ht="22.5" customHeight="1">
      <c r="A271" s="9"/>
      <c r="B271" s="16" t="s">
        <v>204</v>
      </c>
      <c r="C271" s="89" t="s">
        <v>190</v>
      </c>
      <c r="D271" s="82" t="s">
        <v>410</v>
      </c>
      <c r="E271" s="22" t="s">
        <v>346</v>
      </c>
      <c r="H271" s="95"/>
      <c r="I271" s="9"/>
      <c r="J271" s="9"/>
      <c r="K271" s="14"/>
      <c r="L271" s="14"/>
      <c r="M271" s="12">
        <v>206</v>
      </c>
      <c r="N271" s="9"/>
      <c r="O271" s="9"/>
      <c r="P271" s="9"/>
      <c r="Q271" s="38">
        <f t="shared" si="33"/>
        <v>206</v>
      </c>
      <c r="R271" s="12"/>
      <c r="S271" s="42"/>
      <c r="T271" s="15"/>
      <c r="U271" s="44"/>
      <c r="V271" s="15"/>
      <c r="W271" s="44"/>
      <c r="X271" s="15">
        <f t="shared" si="34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5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/>
      <c r="BC271" s="15"/>
      <c r="BD271" s="44"/>
      <c r="BE271" s="15"/>
      <c r="BF271" s="44"/>
      <c r="BG271" s="15"/>
    </row>
    <row r="272" spans="1:59" s="8" customFormat="1" ht="22.5" customHeight="1">
      <c r="A272" s="9"/>
      <c r="B272" s="18" t="s">
        <v>172</v>
      </c>
      <c r="C272" s="89" t="s">
        <v>140</v>
      </c>
      <c r="D272" s="58" t="s">
        <v>253</v>
      </c>
      <c r="E272" s="35" t="s">
        <v>413</v>
      </c>
      <c r="F272" s="106" t="s">
        <v>1144</v>
      </c>
      <c r="G272" s="106"/>
      <c r="H272" s="96"/>
      <c r="I272" s="21"/>
      <c r="J272" s="21" t="s">
        <v>67</v>
      </c>
      <c r="K272" s="14"/>
      <c r="L272" s="14"/>
      <c r="M272" s="12">
        <v>93</v>
      </c>
      <c r="N272" s="9"/>
      <c r="O272" s="9"/>
      <c r="P272" s="9"/>
      <c r="Q272" s="38">
        <f t="shared" si="33"/>
        <v>93</v>
      </c>
      <c r="R272" s="12"/>
      <c r="S272" s="42"/>
      <c r="T272" s="15"/>
      <c r="U272" s="44"/>
      <c r="V272" s="15"/>
      <c r="W272" s="44"/>
      <c r="X272" s="15">
        <f t="shared" si="34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5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ref="BB272:BB314" si="36">AH272+AJ272+AL272+AN272+AP272+AR272+AT272+AV272+AX272+AZ272</f>
        <v>0</v>
      </c>
      <c r="BC272" s="15"/>
      <c r="BD272" s="44"/>
      <c r="BE272" s="15"/>
      <c r="BF272" s="44"/>
      <c r="BG272" s="15">
        <f t="shared" ref="BG272:BG314" si="37">(BC272+BE272)</f>
        <v>0</v>
      </c>
    </row>
    <row r="273" spans="1:59" s="8" customFormat="1" ht="22.5" customHeight="1">
      <c r="A273" s="9"/>
      <c r="B273" s="16" t="s">
        <v>172</v>
      </c>
      <c r="C273" s="89" t="s">
        <v>140</v>
      </c>
      <c r="D273" s="111" t="s">
        <v>414</v>
      </c>
      <c r="E273" s="112"/>
      <c r="F273" s="113" t="s">
        <v>1488</v>
      </c>
      <c r="G273" s="113" t="s">
        <v>1489</v>
      </c>
      <c r="H273" s="96"/>
      <c r="I273" s="9"/>
      <c r="J273" s="9" t="s">
        <v>67</v>
      </c>
      <c r="K273" s="14"/>
      <c r="L273" s="14"/>
      <c r="M273" s="12">
        <v>360</v>
      </c>
      <c r="N273" s="9"/>
      <c r="O273" s="9"/>
      <c r="P273" s="9"/>
      <c r="Q273" s="38">
        <f t="shared" si="33"/>
        <v>360</v>
      </c>
      <c r="R273" s="12"/>
      <c r="S273" s="42"/>
      <c r="T273" s="15"/>
      <c r="U273" s="44"/>
      <c r="V273" s="15"/>
      <c r="W273" s="44"/>
      <c r="X273" s="15">
        <f t="shared" si="34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5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6"/>
        <v>0</v>
      </c>
      <c r="BC273" s="15"/>
      <c r="BD273" s="44"/>
      <c r="BE273" s="15"/>
      <c r="BF273" s="44"/>
      <c r="BG273" s="15">
        <f t="shared" si="37"/>
        <v>0</v>
      </c>
    </row>
    <row r="274" spans="1:59" s="8" customFormat="1" ht="22.5" customHeight="1">
      <c r="A274" s="9"/>
      <c r="B274" s="16" t="s">
        <v>172</v>
      </c>
      <c r="C274" s="89" t="s">
        <v>140</v>
      </c>
      <c r="D274" s="111" t="s">
        <v>415</v>
      </c>
      <c r="E274" s="112"/>
      <c r="F274" s="113" t="s">
        <v>1490</v>
      </c>
      <c r="G274" s="113" t="s">
        <v>1491</v>
      </c>
      <c r="H274" s="96"/>
      <c r="I274" s="9"/>
      <c r="J274" s="9" t="s">
        <v>67</v>
      </c>
      <c r="K274" s="14"/>
      <c r="L274" s="14"/>
      <c r="M274" s="12">
        <v>81</v>
      </c>
      <c r="N274" s="9"/>
      <c r="O274" s="9"/>
      <c r="P274" s="9"/>
      <c r="Q274" s="38">
        <f t="shared" si="33"/>
        <v>81</v>
      </c>
      <c r="R274" s="12"/>
      <c r="S274" s="42"/>
      <c r="T274" s="15"/>
      <c r="U274" s="44"/>
      <c r="V274" s="15"/>
      <c r="W274" s="44"/>
      <c r="X274" s="15">
        <f t="shared" si="34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5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6"/>
        <v>0</v>
      </c>
      <c r="BC274" s="15"/>
      <c r="BD274" s="44"/>
      <c r="BE274" s="15"/>
      <c r="BF274" s="44"/>
      <c r="BG274" s="15">
        <f t="shared" si="37"/>
        <v>0</v>
      </c>
    </row>
    <row r="275" spans="1:59" s="8" customFormat="1" ht="22.5" customHeight="1">
      <c r="A275" s="9"/>
      <c r="B275" s="16" t="s">
        <v>172</v>
      </c>
      <c r="C275" s="89" t="s">
        <v>140</v>
      </c>
      <c r="D275" s="111" t="s">
        <v>416</v>
      </c>
      <c r="E275" s="112"/>
      <c r="F275" s="113" t="s">
        <v>1492</v>
      </c>
      <c r="G275" s="113" t="s">
        <v>1493</v>
      </c>
      <c r="H275" s="96"/>
      <c r="I275" s="9"/>
      <c r="J275" s="9" t="s">
        <v>67</v>
      </c>
      <c r="K275" s="14"/>
      <c r="L275" s="14"/>
      <c r="M275" s="12">
        <v>60</v>
      </c>
      <c r="N275" s="9"/>
      <c r="O275" s="9"/>
      <c r="P275" s="9"/>
      <c r="Q275" s="38">
        <f t="shared" si="33"/>
        <v>60</v>
      </c>
      <c r="R275" s="12"/>
      <c r="S275" s="42"/>
      <c r="T275" s="15"/>
      <c r="U275" s="44"/>
      <c r="V275" s="15"/>
      <c r="W275" s="44"/>
      <c r="X275" s="15">
        <f t="shared" si="34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5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6"/>
        <v>0</v>
      </c>
      <c r="BC275" s="15"/>
      <c r="BD275" s="44"/>
      <c r="BE275" s="15"/>
      <c r="BF275" s="44"/>
      <c r="BG275" s="15">
        <f t="shared" si="37"/>
        <v>0</v>
      </c>
    </row>
    <row r="276" spans="1:59" s="8" customFormat="1" ht="22.5" customHeight="1">
      <c r="A276" s="9"/>
      <c r="B276" s="16" t="s">
        <v>172</v>
      </c>
      <c r="C276" s="89" t="s">
        <v>140</v>
      </c>
      <c r="D276" s="111" t="s">
        <v>417</v>
      </c>
      <c r="E276" s="112"/>
      <c r="F276" s="113" t="s">
        <v>1494</v>
      </c>
      <c r="G276" s="113" t="s">
        <v>1495</v>
      </c>
      <c r="H276" s="96"/>
      <c r="I276" s="9"/>
      <c r="J276" s="9" t="s">
        <v>67</v>
      </c>
      <c r="K276" s="14"/>
      <c r="L276" s="14"/>
      <c r="M276" s="12">
        <v>81</v>
      </c>
      <c r="N276" s="9"/>
      <c r="O276" s="9"/>
      <c r="P276" s="9"/>
      <c r="Q276" s="38">
        <f t="shared" si="33"/>
        <v>81</v>
      </c>
      <c r="R276" s="12"/>
      <c r="S276" s="42"/>
      <c r="T276" s="15"/>
      <c r="U276" s="44"/>
      <c r="V276" s="15"/>
      <c r="W276" s="44"/>
      <c r="X276" s="15">
        <f t="shared" si="34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5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6"/>
        <v>0</v>
      </c>
      <c r="BC276" s="15"/>
      <c r="BD276" s="44"/>
      <c r="BE276" s="15"/>
      <c r="BF276" s="44"/>
      <c r="BG276" s="15">
        <f t="shared" si="37"/>
        <v>0</v>
      </c>
    </row>
    <row r="277" spans="1:59" s="8" customFormat="1" ht="22.5" customHeight="1">
      <c r="A277" s="9"/>
      <c r="B277" s="16" t="s">
        <v>172</v>
      </c>
      <c r="C277" s="89" t="s">
        <v>140</v>
      </c>
      <c r="D277" s="111" t="s">
        <v>418</v>
      </c>
      <c r="E277" s="112"/>
      <c r="F277" s="113" t="s">
        <v>1496</v>
      </c>
      <c r="G277" s="113" t="s">
        <v>1497</v>
      </c>
      <c r="H277" s="96"/>
      <c r="I277" s="9"/>
      <c r="J277" s="9" t="s">
        <v>67</v>
      </c>
      <c r="K277" s="14"/>
      <c r="L277" s="14"/>
      <c r="M277" s="12">
        <v>6</v>
      </c>
      <c r="N277" s="9"/>
      <c r="O277" s="9"/>
      <c r="P277" s="9"/>
      <c r="Q277" s="38">
        <f t="shared" si="33"/>
        <v>6</v>
      </c>
      <c r="R277" s="12"/>
      <c r="S277" s="42"/>
      <c r="T277" s="15"/>
      <c r="U277" s="44"/>
      <c r="V277" s="15"/>
      <c r="W277" s="44"/>
      <c r="X277" s="15">
        <f t="shared" si="34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5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6"/>
        <v>0</v>
      </c>
      <c r="BC277" s="15"/>
      <c r="BD277" s="44"/>
      <c r="BE277" s="15"/>
      <c r="BF277" s="44"/>
      <c r="BG277" s="15">
        <f t="shared" si="37"/>
        <v>0</v>
      </c>
    </row>
    <row r="278" spans="1:59" s="8" customFormat="1" ht="22.5" customHeight="1">
      <c r="A278" s="9"/>
      <c r="B278" s="16" t="s">
        <v>172</v>
      </c>
      <c r="C278" s="89" t="s">
        <v>140</v>
      </c>
      <c r="D278" s="111" t="s">
        <v>419</v>
      </c>
      <c r="E278" s="112"/>
      <c r="F278" s="113" t="s">
        <v>1498</v>
      </c>
      <c r="G278" s="113" t="s">
        <v>1499</v>
      </c>
      <c r="H278" s="96"/>
      <c r="I278" s="9"/>
      <c r="J278" s="9" t="s">
        <v>420</v>
      </c>
      <c r="K278" s="14"/>
      <c r="L278" s="14"/>
      <c r="M278" s="12">
        <v>0</v>
      </c>
      <c r="N278" s="9"/>
      <c r="O278" s="9"/>
      <c r="P278" s="9"/>
      <c r="Q278" s="38">
        <f t="shared" si="33"/>
        <v>0</v>
      </c>
      <c r="R278" s="12"/>
      <c r="S278" s="42"/>
      <c r="T278" s="15"/>
      <c r="U278" s="44"/>
      <c r="V278" s="15"/>
      <c r="W278" s="44"/>
      <c r="X278" s="15">
        <f t="shared" si="34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5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6"/>
        <v>0</v>
      </c>
      <c r="BC278" s="15"/>
      <c r="BD278" s="44"/>
      <c r="BE278" s="15"/>
      <c r="BF278" s="44"/>
      <c r="BG278" s="15">
        <f t="shared" si="37"/>
        <v>0</v>
      </c>
    </row>
    <row r="279" spans="1:59" s="8" customFormat="1" ht="22.5" customHeight="1">
      <c r="A279" s="9"/>
      <c r="B279" s="16" t="s">
        <v>172</v>
      </c>
      <c r="C279" s="89" t="s">
        <v>140</v>
      </c>
      <c r="D279" s="111" t="s">
        <v>421</v>
      </c>
      <c r="E279" s="112"/>
      <c r="F279" s="113" t="s">
        <v>1500</v>
      </c>
      <c r="G279" s="113" t="s">
        <v>1501</v>
      </c>
      <c r="H279" s="96"/>
      <c r="I279" s="9"/>
      <c r="J279" s="9" t="s">
        <v>422</v>
      </c>
      <c r="K279" s="14"/>
      <c r="L279" s="14"/>
      <c r="M279" s="12">
        <v>126</v>
      </c>
      <c r="N279" s="9"/>
      <c r="O279" s="9"/>
      <c r="P279" s="9"/>
      <c r="Q279" s="38">
        <f t="shared" si="33"/>
        <v>126</v>
      </c>
      <c r="R279" s="12"/>
      <c r="S279" s="42"/>
      <c r="T279" s="15"/>
      <c r="U279" s="44"/>
      <c r="V279" s="15"/>
      <c r="W279" s="44"/>
      <c r="X279" s="15">
        <f t="shared" si="34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5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6"/>
        <v>0</v>
      </c>
      <c r="BC279" s="15"/>
      <c r="BD279" s="44"/>
      <c r="BE279" s="15"/>
      <c r="BF279" s="44"/>
      <c r="BG279" s="15">
        <f t="shared" si="37"/>
        <v>0</v>
      </c>
    </row>
    <row r="280" spans="1:59" s="8" customFormat="1" ht="22.5" customHeight="1">
      <c r="A280" s="9"/>
      <c r="B280" s="16" t="s">
        <v>172</v>
      </c>
      <c r="C280" s="89" t="s">
        <v>140</v>
      </c>
      <c r="D280" s="111" t="s">
        <v>423</v>
      </c>
      <c r="E280" s="112"/>
      <c r="F280" s="113" t="s">
        <v>1502</v>
      </c>
      <c r="G280" s="113" t="s">
        <v>1503</v>
      </c>
      <c r="H280" s="96"/>
      <c r="I280" s="9"/>
      <c r="J280" s="9" t="s">
        <v>424</v>
      </c>
      <c r="K280" s="14"/>
      <c r="L280" s="14"/>
      <c r="M280" s="12">
        <v>37</v>
      </c>
      <c r="N280" s="9"/>
      <c r="O280" s="9"/>
      <c r="P280" s="9"/>
      <c r="Q280" s="38">
        <f t="shared" si="33"/>
        <v>37</v>
      </c>
      <c r="R280" s="12"/>
      <c r="S280" s="42"/>
      <c r="T280" s="15"/>
      <c r="U280" s="44"/>
      <c r="V280" s="15"/>
      <c r="W280" s="44"/>
      <c r="X280" s="15">
        <f t="shared" si="34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5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6"/>
        <v>0</v>
      </c>
      <c r="BC280" s="15"/>
      <c r="BD280" s="44"/>
      <c r="BE280" s="15"/>
      <c r="BF280" s="44"/>
      <c r="BG280" s="15">
        <f t="shared" si="37"/>
        <v>0</v>
      </c>
    </row>
    <row r="281" spans="1:59" s="8" customFormat="1" ht="22.5" customHeight="1">
      <c r="A281" s="9"/>
      <c r="B281" s="16" t="s">
        <v>172</v>
      </c>
      <c r="C281" s="89" t="s">
        <v>140</v>
      </c>
      <c r="D281" s="111" t="s">
        <v>425</v>
      </c>
      <c r="E281" s="112"/>
      <c r="F281" s="113" t="s">
        <v>1504</v>
      </c>
      <c r="G281" s="113" t="s">
        <v>1505</v>
      </c>
      <c r="H281" s="96"/>
      <c r="I281" s="9"/>
      <c r="J281" s="9" t="s">
        <v>422</v>
      </c>
      <c r="K281" s="14"/>
      <c r="L281" s="14"/>
      <c r="M281" s="12">
        <v>12</v>
      </c>
      <c r="N281" s="9"/>
      <c r="O281" s="9"/>
      <c r="P281" s="9"/>
      <c r="Q281" s="38">
        <f t="shared" si="33"/>
        <v>12</v>
      </c>
      <c r="R281" s="12"/>
      <c r="S281" s="42"/>
      <c r="T281" s="15"/>
      <c r="U281" s="44"/>
      <c r="V281" s="15"/>
      <c r="W281" s="44"/>
      <c r="X281" s="15">
        <f t="shared" si="34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5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6"/>
        <v>0</v>
      </c>
      <c r="BC281" s="15"/>
      <c r="BD281" s="44"/>
      <c r="BE281" s="15"/>
      <c r="BF281" s="44"/>
      <c r="BG281" s="15">
        <f t="shared" si="37"/>
        <v>0</v>
      </c>
    </row>
    <row r="282" spans="1:59" s="8" customFormat="1" ht="22.5" customHeight="1">
      <c r="A282" s="9"/>
      <c r="B282" s="16" t="s">
        <v>172</v>
      </c>
      <c r="C282" s="89" t="s">
        <v>140</v>
      </c>
      <c r="D282" s="111" t="s">
        <v>1506</v>
      </c>
      <c r="E282" s="112"/>
      <c r="F282" s="113" t="s">
        <v>1507</v>
      </c>
      <c r="G282" s="113" t="s">
        <v>1508</v>
      </c>
      <c r="H282" s="96"/>
      <c r="I282" s="9"/>
      <c r="J282" s="9" t="s">
        <v>67</v>
      </c>
      <c r="K282" s="14"/>
      <c r="L282" s="14"/>
      <c r="M282" s="12">
        <v>36</v>
      </c>
      <c r="N282" s="9"/>
      <c r="O282" s="9"/>
      <c r="P282" s="9"/>
      <c r="Q282" s="38">
        <f t="shared" si="33"/>
        <v>36</v>
      </c>
      <c r="R282" s="12"/>
      <c r="S282" s="42"/>
      <c r="T282" s="15"/>
      <c r="U282" s="44"/>
      <c r="V282" s="15"/>
      <c r="W282" s="44"/>
      <c r="X282" s="15">
        <f t="shared" si="34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5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6"/>
        <v>0</v>
      </c>
      <c r="BC282" s="15"/>
      <c r="BD282" s="44"/>
      <c r="BE282" s="15"/>
      <c r="BF282" s="44"/>
      <c r="BG282" s="15">
        <f t="shared" si="37"/>
        <v>0</v>
      </c>
    </row>
    <row r="283" spans="1:59" s="8" customFormat="1" ht="22.5" customHeight="1">
      <c r="A283" s="9"/>
      <c r="B283" s="16" t="s">
        <v>172</v>
      </c>
      <c r="C283" s="89" t="s">
        <v>140</v>
      </c>
      <c r="D283" s="111" t="s">
        <v>427</v>
      </c>
      <c r="E283" s="112"/>
      <c r="F283" s="113" t="s">
        <v>1509</v>
      </c>
      <c r="G283" s="113" t="s">
        <v>1510</v>
      </c>
      <c r="H283" s="96"/>
      <c r="I283" s="9"/>
      <c r="J283" s="9" t="s">
        <v>67</v>
      </c>
      <c r="K283" s="14"/>
      <c r="L283" s="14"/>
      <c r="M283" s="12">
        <v>0</v>
      </c>
      <c r="N283" s="9"/>
      <c r="O283" s="9"/>
      <c r="P283" s="9"/>
      <c r="Q283" s="38">
        <f t="shared" si="33"/>
        <v>0</v>
      </c>
      <c r="R283" s="12"/>
      <c r="S283" s="42"/>
      <c r="T283" s="15"/>
      <c r="U283" s="44"/>
      <c r="V283" s="15"/>
      <c r="W283" s="44"/>
      <c r="X283" s="15">
        <f t="shared" si="34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5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6"/>
        <v>0</v>
      </c>
      <c r="BC283" s="15"/>
      <c r="BD283" s="44"/>
      <c r="BE283" s="15"/>
      <c r="BF283" s="44"/>
      <c r="BG283" s="15">
        <f t="shared" si="37"/>
        <v>0</v>
      </c>
    </row>
    <row r="284" spans="1:59" s="8" customFormat="1" ht="22.5" customHeight="1">
      <c r="A284" s="9"/>
      <c r="B284" s="16" t="s">
        <v>187</v>
      </c>
      <c r="C284" s="89" t="s">
        <v>140</v>
      </c>
      <c r="D284" s="111" t="s">
        <v>1511</v>
      </c>
      <c r="E284" s="112" t="s">
        <v>429</v>
      </c>
      <c r="F284" s="113" t="s">
        <v>1512</v>
      </c>
      <c r="G284" s="113" t="s">
        <v>1513</v>
      </c>
      <c r="H284" s="96"/>
      <c r="I284" s="9"/>
      <c r="J284" s="9" t="s">
        <v>430</v>
      </c>
      <c r="K284" s="14"/>
      <c r="L284" s="14"/>
      <c r="M284" s="12">
        <v>369</v>
      </c>
      <c r="N284" s="9"/>
      <c r="O284" s="9"/>
      <c r="P284" s="9"/>
      <c r="Q284" s="38">
        <f t="shared" si="33"/>
        <v>369</v>
      </c>
      <c r="R284" s="12"/>
      <c r="S284" s="42"/>
      <c r="T284" s="15"/>
      <c r="U284" s="44"/>
      <c r="V284" s="15"/>
      <c r="W284" s="44"/>
      <c r="X284" s="15">
        <f t="shared" si="34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5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6"/>
        <v>0</v>
      </c>
      <c r="BC284" s="15"/>
      <c r="BD284" s="44"/>
      <c r="BE284" s="15"/>
      <c r="BF284" s="44"/>
      <c r="BG284" s="15">
        <f t="shared" si="37"/>
        <v>0</v>
      </c>
    </row>
    <row r="285" spans="1:59" s="8" customFormat="1" ht="22.5" customHeight="1">
      <c r="A285" s="9"/>
      <c r="B285" s="16" t="s">
        <v>187</v>
      </c>
      <c r="C285" s="89" t="s">
        <v>140</v>
      </c>
      <c r="D285" s="111" t="s">
        <v>1514</v>
      </c>
      <c r="E285" s="112" t="s">
        <v>432</v>
      </c>
      <c r="F285" s="113" t="s">
        <v>1515</v>
      </c>
      <c r="G285" s="113" t="s">
        <v>1516</v>
      </c>
      <c r="H285" s="96"/>
      <c r="I285" s="9"/>
      <c r="J285" s="9" t="s">
        <v>67</v>
      </c>
      <c r="K285" s="14"/>
      <c r="L285" s="14"/>
      <c r="M285" s="12">
        <v>0</v>
      </c>
      <c r="N285" s="9"/>
      <c r="O285" s="9"/>
      <c r="P285" s="9"/>
      <c r="Q285" s="38">
        <f t="shared" si="33"/>
        <v>0</v>
      </c>
      <c r="R285" s="12"/>
      <c r="S285" s="42"/>
      <c r="T285" s="15"/>
      <c r="U285" s="44"/>
      <c r="V285" s="15"/>
      <c r="W285" s="44"/>
      <c r="X285" s="15">
        <f t="shared" si="34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5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6"/>
        <v>0</v>
      </c>
      <c r="BC285" s="15"/>
      <c r="BD285" s="44"/>
      <c r="BE285" s="15"/>
      <c r="BF285" s="44"/>
      <c r="BG285" s="15">
        <f t="shared" si="37"/>
        <v>0</v>
      </c>
    </row>
    <row r="286" spans="1:59" s="8" customFormat="1" ht="22.5" customHeight="1">
      <c r="A286" s="9"/>
      <c r="B286" s="16" t="s">
        <v>120</v>
      </c>
      <c r="C286" s="89" t="s">
        <v>140</v>
      </c>
      <c r="D286" s="111" t="s">
        <v>433</v>
      </c>
      <c r="E286" s="112" t="s">
        <v>434</v>
      </c>
      <c r="F286" s="113" t="s">
        <v>1517</v>
      </c>
      <c r="G286" s="113" t="s">
        <v>1518</v>
      </c>
      <c r="H286" s="96"/>
      <c r="I286" s="9"/>
      <c r="J286" s="9" t="s">
        <v>67</v>
      </c>
      <c r="K286" s="14"/>
      <c r="L286" s="14"/>
      <c r="M286" s="12">
        <v>105</v>
      </c>
      <c r="N286" s="9"/>
      <c r="O286" s="9"/>
      <c r="P286" s="9"/>
      <c r="Q286" s="38">
        <f t="shared" si="33"/>
        <v>105</v>
      </c>
      <c r="R286" s="12"/>
      <c r="S286" s="42"/>
      <c r="T286" s="15"/>
      <c r="U286" s="44"/>
      <c r="V286" s="15"/>
      <c r="W286" s="44"/>
      <c r="X286" s="15">
        <f t="shared" si="34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5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6"/>
        <v>0</v>
      </c>
      <c r="BC286" s="15"/>
      <c r="BD286" s="44"/>
      <c r="BE286" s="15"/>
      <c r="BF286" s="44"/>
      <c r="BG286" s="15">
        <f t="shared" si="37"/>
        <v>0</v>
      </c>
    </row>
    <row r="287" spans="1:59" s="8" customFormat="1" ht="22.5" customHeight="1">
      <c r="A287" s="9"/>
      <c r="B287" s="16" t="s">
        <v>120</v>
      </c>
      <c r="C287" s="89" t="s">
        <v>140</v>
      </c>
      <c r="D287" s="111" t="s">
        <v>435</v>
      </c>
      <c r="E287" s="112"/>
      <c r="F287" s="113" t="s">
        <v>1519</v>
      </c>
      <c r="G287" s="113" t="s">
        <v>1520</v>
      </c>
      <c r="H287" s="96"/>
      <c r="I287" s="9"/>
      <c r="J287" s="9" t="s">
        <v>67</v>
      </c>
      <c r="K287" s="14"/>
      <c r="L287" s="14"/>
      <c r="M287" s="12">
        <v>22</v>
      </c>
      <c r="N287" s="9"/>
      <c r="O287" s="9"/>
      <c r="P287" s="9"/>
      <c r="Q287" s="38">
        <f t="shared" si="33"/>
        <v>22</v>
      </c>
      <c r="R287" s="12"/>
      <c r="S287" s="42"/>
      <c r="T287" s="15"/>
      <c r="U287" s="44"/>
      <c r="V287" s="15"/>
      <c r="W287" s="44"/>
      <c r="X287" s="15">
        <f t="shared" si="34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5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6"/>
        <v>0</v>
      </c>
      <c r="BC287" s="15"/>
      <c r="BD287" s="44"/>
      <c r="BE287" s="15"/>
      <c r="BF287" s="44"/>
      <c r="BG287" s="15">
        <f t="shared" si="37"/>
        <v>0</v>
      </c>
    </row>
    <row r="288" spans="1:59" s="8" customFormat="1" ht="22.5" customHeight="1">
      <c r="A288" s="9"/>
      <c r="B288" s="16" t="s">
        <v>120</v>
      </c>
      <c r="C288" s="89" t="s">
        <v>140</v>
      </c>
      <c r="D288" s="111" t="s">
        <v>436</v>
      </c>
      <c r="E288" s="112"/>
      <c r="F288" s="113" t="s">
        <v>1521</v>
      </c>
      <c r="G288" s="113" t="s">
        <v>1522</v>
      </c>
      <c r="H288" s="96"/>
      <c r="I288" s="9"/>
      <c r="J288" s="9" t="s">
        <v>67</v>
      </c>
      <c r="K288" s="14"/>
      <c r="L288" s="14"/>
      <c r="M288" s="12">
        <v>97</v>
      </c>
      <c r="N288" s="9"/>
      <c r="O288" s="9"/>
      <c r="P288" s="9"/>
      <c r="Q288" s="38">
        <f t="shared" si="33"/>
        <v>97</v>
      </c>
      <c r="R288" s="12"/>
      <c r="S288" s="42"/>
      <c r="T288" s="15"/>
      <c r="U288" s="44"/>
      <c r="V288" s="15"/>
      <c r="W288" s="44"/>
      <c r="X288" s="15">
        <f t="shared" si="34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5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6"/>
        <v>0</v>
      </c>
      <c r="BC288" s="15"/>
      <c r="BD288" s="44"/>
      <c r="BE288" s="15"/>
      <c r="BF288" s="44"/>
      <c r="BG288" s="15">
        <f t="shared" si="37"/>
        <v>0</v>
      </c>
    </row>
    <row r="289" spans="1:59" s="8" customFormat="1" ht="22.5" customHeight="1">
      <c r="A289" s="9"/>
      <c r="B289" s="16" t="s">
        <v>120</v>
      </c>
      <c r="C289" s="89" t="s">
        <v>140</v>
      </c>
      <c r="D289" s="111" t="s">
        <v>437</v>
      </c>
      <c r="E289" s="112"/>
      <c r="F289" s="113" t="s">
        <v>1523</v>
      </c>
      <c r="G289" s="113" t="s">
        <v>1524</v>
      </c>
      <c r="H289" s="96"/>
      <c r="I289" s="9"/>
      <c r="J289" s="9" t="s">
        <v>67</v>
      </c>
      <c r="K289" s="14"/>
      <c r="L289" s="14"/>
      <c r="M289" s="12">
        <v>56</v>
      </c>
      <c r="N289" s="9"/>
      <c r="O289" s="9"/>
      <c r="P289" s="9"/>
      <c r="Q289" s="38">
        <f t="shared" si="33"/>
        <v>56</v>
      </c>
      <c r="R289" s="12"/>
      <c r="S289" s="42"/>
      <c r="T289" s="15"/>
      <c r="U289" s="44"/>
      <c r="V289" s="15"/>
      <c r="W289" s="44"/>
      <c r="X289" s="15">
        <f t="shared" si="34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5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6"/>
        <v>0</v>
      </c>
      <c r="BC289" s="15"/>
      <c r="BD289" s="44"/>
      <c r="BE289" s="15"/>
      <c r="BF289" s="44"/>
      <c r="BG289" s="15">
        <f t="shared" si="37"/>
        <v>0</v>
      </c>
    </row>
    <row r="290" spans="1:59" s="8" customFormat="1" ht="22.5" customHeight="1">
      <c r="A290" s="9"/>
      <c r="B290" s="16" t="s">
        <v>120</v>
      </c>
      <c r="C290" s="89" t="s">
        <v>140</v>
      </c>
      <c r="D290" s="111" t="s">
        <v>438</v>
      </c>
      <c r="E290" s="112"/>
      <c r="F290" s="113" t="s">
        <v>1525</v>
      </c>
      <c r="G290" s="113" t="s">
        <v>1526</v>
      </c>
      <c r="H290" s="96"/>
      <c r="I290" s="9"/>
      <c r="J290" s="9" t="s">
        <v>67</v>
      </c>
      <c r="K290" s="14"/>
      <c r="L290" s="14"/>
      <c r="M290" s="12"/>
      <c r="N290" s="9"/>
      <c r="O290" s="9"/>
      <c r="P290" s="9"/>
      <c r="Q290" s="38">
        <f t="shared" si="33"/>
        <v>0</v>
      </c>
      <c r="R290" s="12"/>
      <c r="S290" s="42"/>
      <c r="T290" s="15"/>
      <c r="U290" s="44"/>
      <c r="V290" s="15"/>
      <c r="W290" s="44"/>
      <c r="X290" s="15">
        <f t="shared" si="34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5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6"/>
        <v>0</v>
      </c>
      <c r="BC290" s="15"/>
      <c r="BD290" s="44"/>
      <c r="BE290" s="15"/>
      <c r="BF290" s="44"/>
      <c r="BG290" s="15">
        <f t="shared" si="37"/>
        <v>0</v>
      </c>
    </row>
    <row r="291" spans="1:59" s="8" customFormat="1" ht="22.5" customHeight="1">
      <c r="A291" s="9"/>
      <c r="B291" s="16" t="s">
        <v>120</v>
      </c>
      <c r="C291" s="89" t="s">
        <v>140</v>
      </c>
      <c r="D291" s="111" t="s">
        <v>439</v>
      </c>
      <c r="E291" s="112"/>
      <c r="F291" s="113" t="s">
        <v>1527</v>
      </c>
      <c r="G291" s="113" t="s">
        <v>1528</v>
      </c>
      <c r="H291" s="96"/>
      <c r="I291" s="9"/>
      <c r="J291" s="9" t="s">
        <v>67</v>
      </c>
      <c r="K291" s="14"/>
      <c r="L291" s="14"/>
      <c r="M291" s="12">
        <v>97</v>
      </c>
      <c r="N291" s="9"/>
      <c r="O291" s="9"/>
      <c r="P291" s="9"/>
      <c r="Q291" s="38">
        <f t="shared" si="33"/>
        <v>97</v>
      </c>
      <c r="R291" s="12"/>
      <c r="S291" s="42"/>
      <c r="T291" s="15"/>
      <c r="U291" s="44"/>
      <c r="V291" s="15"/>
      <c r="W291" s="44"/>
      <c r="X291" s="15">
        <f t="shared" si="34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5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6"/>
        <v>0</v>
      </c>
      <c r="BC291" s="15"/>
      <c r="BD291" s="44"/>
      <c r="BE291" s="15"/>
      <c r="BF291" s="44"/>
      <c r="BG291" s="15">
        <f t="shared" si="37"/>
        <v>0</v>
      </c>
    </row>
    <row r="292" spans="1:59" s="8" customFormat="1" ht="22.5" customHeight="1">
      <c r="A292" s="9"/>
      <c r="B292" s="16" t="s">
        <v>120</v>
      </c>
      <c r="C292" s="89" t="s">
        <v>140</v>
      </c>
      <c r="D292" s="111" t="s">
        <v>440</v>
      </c>
      <c r="E292" s="112"/>
      <c r="F292" s="113" t="s">
        <v>1529</v>
      </c>
      <c r="G292" s="113" t="s">
        <v>1530</v>
      </c>
      <c r="H292" s="96"/>
      <c r="I292" s="9"/>
      <c r="J292" s="9" t="s">
        <v>67</v>
      </c>
      <c r="K292" s="14"/>
      <c r="L292" s="14"/>
      <c r="M292" s="12">
        <v>684</v>
      </c>
      <c r="N292" s="9"/>
      <c r="O292" s="9"/>
      <c r="P292" s="9"/>
      <c r="Q292" s="38">
        <f t="shared" si="33"/>
        <v>684</v>
      </c>
      <c r="R292" s="12"/>
      <c r="S292" s="42"/>
      <c r="T292" s="15"/>
      <c r="U292" s="44"/>
      <c r="V292" s="15"/>
      <c r="W292" s="44"/>
      <c r="X292" s="15">
        <f t="shared" si="34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5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6"/>
        <v>0</v>
      </c>
      <c r="BC292" s="15"/>
      <c r="BD292" s="44"/>
      <c r="BE292" s="15"/>
      <c r="BF292" s="44"/>
      <c r="BG292" s="15">
        <f t="shared" si="37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111" t="s">
        <v>441</v>
      </c>
      <c r="E293" s="112" t="s">
        <v>206</v>
      </c>
      <c r="F293" s="113" t="s">
        <v>1531</v>
      </c>
      <c r="G293" s="113" t="s">
        <v>1532</v>
      </c>
      <c r="H293" s="96"/>
      <c r="I293" s="9"/>
      <c r="J293" s="9" t="s">
        <v>207</v>
      </c>
      <c r="K293" s="14"/>
      <c r="L293" s="14"/>
      <c r="M293" s="12"/>
      <c r="N293" s="9"/>
      <c r="O293" s="9"/>
      <c r="P293" s="9"/>
      <c r="Q293" s="38">
        <f t="shared" si="33"/>
        <v>0</v>
      </c>
      <c r="R293" s="12"/>
      <c r="S293" s="42"/>
      <c r="T293" s="15"/>
      <c r="U293" s="44"/>
      <c r="V293" s="15"/>
      <c r="W293" s="44"/>
      <c r="X293" s="15">
        <f t="shared" si="34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5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6"/>
        <v>0</v>
      </c>
      <c r="BC293" s="15"/>
      <c r="BD293" s="44"/>
      <c r="BE293" s="15"/>
      <c r="BF293" s="44"/>
      <c r="BG293" s="15">
        <f t="shared" si="37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111" t="s">
        <v>442</v>
      </c>
      <c r="E294" s="112" t="s">
        <v>206</v>
      </c>
      <c r="F294" s="113" t="s">
        <v>1533</v>
      </c>
      <c r="G294" s="113" t="s">
        <v>1534</v>
      </c>
      <c r="H294" s="96"/>
      <c r="I294" s="9"/>
      <c r="J294" s="9" t="s">
        <v>207</v>
      </c>
      <c r="K294" s="14"/>
      <c r="L294" s="14"/>
      <c r="M294" s="12"/>
      <c r="N294" s="9"/>
      <c r="O294" s="9"/>
      <c r="P294" s="9"/>
      <c r="Q294" s="38">
        <f t="shared" si="33"/>
        <v>0</v>
      </c>
      <c r="R294" s="12"/>
      <c r="S294" s="42"/>
      <c r="T294" s="15"/>
      <c r="U294" s="44"/>
      <c r="V294" s="15"/>
      <c r="W294" s="44"/>
      <c r="X294" s="15">
        <f t="shared" si="34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5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6"/>
        <v>0</v>
      </c>
      <c r="BC294" s="15"/>
      <c r="BD294" s="44"/>
      <c r="BE294" s="15"/>
      <c r="BF294" s="44"/>
      <c r="BG294" s="15">
        <f t="shared" si="37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111" t="s">
        <v>205</v>
      </c>
      <c r="E295" s="112" t="s">
        <v>206</v>
      </c>
      <c r="F295" s="113" t="s">
        <v>1535</v>
      </c>
      <c r="G295" s="113" t="s">
        <v>1536</v>
      </c>
      <c r="H295" s="96"/>
      <c r="I295" s="9"/>
      <c r="J295" s="9" t="s">
        <v>207</v>
      </c>
      <c r="K295" s="14"/>
      <c r="L295" s="14"/>
      <c r="M295" s="12">
        <v>1888</v>
      </c>
      <c r="N295" s="9"/>
      <c r="O295" s="9"/>
      <c r="P295" s="9"/>
      <c r="Q295" s="38">
        <f t="shared" si="33"/>
        <v>1888</v>
      </c>
      <c r="R295" s="12"/>
      <c r="S295" s="42"/>
      <c r="T295" s="15"/>
      <c r="U295" s="44"/>
      <c r="V295" s="15"/>
      <c r="W295" s="44"/>
      <c r="X295" s="15">
        <f t="shared" si="34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5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6"/>
        <v>0</v>
      </c>
      <c r="BC295" s="15"/>
      <c r="BD295" s="44"/>
      <c r="BE295" s="15"/>
      <c r="BF295" s="44"/>
      <c r="BG295" s="15">
        <f t="shared" si="37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111" t="s">
        <v>278</v>
      </c>
      <c r="E296" s="112" t="s">
        <v>206</v>
      </c>
      <c r="F296" s="113" t="s">
        <v>1537</v>
      </c>
      <c r="G296" s="113" t="s">
        <v>1538</v>
      </c>
      <c r="H296" s="96"/>
      <c r="I296" s="9"/>
      <c r="J296" s="9" t="s">
        <v>207</v>
      </c>
      <c r="K296" s="14"/>
      <c r="L296" s="14"/>
      <c r="M296" s="12">
        <v>99</v>
      </c>
      <c r="N296" s="9"/>
      <c r="O296" s="9"/>
      <c r="P296" s="9"/>
      <c r="Q296" s="38">
        <f t="shared" si="33"/>
        <v>99</v>
      </c>
      <c r="R296" s="12"/>
      <c r="S296" s="42"/>
      <c r="T296" s="15"/>
      <c r="U296" s="44"/>
      <c r="V296" s="15"/>
      <c r="W296" s="44"/>
      <c r="X296" s="15">
        <f t="shared" si="34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5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6"/>
        <v>0</v>
      </c>
      <c r="BC296" s="15"/>
      <c r="BD296" s="44"/>
      <c r="BE296" s="15"/>
      <c r="BF296" s="44"/>
      <c r="BG296" s="15">
        <f t="shared" si="37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111" t="s">
        <v>280</v>
      </c>
      <c r="E297" s="112" t="s">
        <v>206</v>
      </c>
      <c r="F297" s="113" t="s">
        <v>1539</v>
      </c>
      <c r="G297" s="113" t="s">
        <v>1540</v>
      </c>
      <c r="H297" s="96"/>
      <c r="I297" s="9"/>
      <c r="J297" s="9" t="s">
        <v>207</v>
      </c>
      <c r="K297" s="14"/>
      <c r="L297" s="14"/>
      <c r="M297" s="12">
        <v>149</v>
      </c>
      <c r="N297" s="9"/>
      <c r="O297" s="9"/>
      <c r="P297" s="9"/>
      <c r="Q297" s="38">
        <f t="shared" si="33"/>
        <v>149</v>
      </c>
      <c r="R297" s="12"/>
      <c r="S297" s="42"/>
      <c r="T297" s="15"/>
      <c r="U297" s="44"/>
      <c r="V297" s="15"/>
      <c r="W297" s="44"/>
      <c r="X297" s="15">
        <f t="shared" si="34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5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6"/>
        <v>0</v>
      </c>
      <c r="BC297" s="15"/>
      <c r="BD297" s="44"/>
      <c r="BE297" s="15"/>
      <c r="BF297" s="44"/>
      <c r="BG297" s="15">
        <f t="shared" si="37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111" t="s">
        <v>213</v>
      </c>
      <c r="E298" s="112" t="s">
        <v>206</v>
      </c>
      <c r="F298" s="113" t="s">
        <v>1205</v>
      </c>
      <c r="G298" s="113" t="s">
        <v>1541</v>
      </c>
      <c r="H298" s="96"/>
      <c r="I298" s="9"/>
      <c r="J298" s="9" t="s">
        <v>207</v>
      </c>
      <c r="K298" s="14"/>
      <c r="L298" s="14"/>
      <c r="M298" s="12">
        <v>17</v>
      </c>
      <c r="N298" s="9"/>
      <c r="O298" s="9"/>
      <c r="P298" s="9"/>
      <c r="Q298" s="38">
        <f t="shared" si="33"/>
        <v>17</v>
      </c>
      <c r="R298" s="12"/>
      <c r="S298" s="42"/>
      <c r="T298" s="15"/>
      <c r="U298" s="44"/>
      <c r="V298" s="15"/>
      <c r="W298" s="44"/>
      <c r="X298" s="15">
        <f t="shared" si="34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5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6"/>
        <v>0</v>
      </c>
      <c r="BC298" s="15"/>
      <c r="BD298" s="44"/>
      <c r="BE298" s="15"/>
      <c r="BF298" s="44"/>
      <c r="BG298" s="15">
        <f t="shared" si="37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111" t="s">
        <v>445</v>
      </c>
      <c r="E299" s="112" t="s">
        <v>206</v>
      </c>
      <c r="F299" s="113" t="s">
        <v>1542</v>
      </c>
      <c r="G299" s="113" t="s">
        <v>1543</v>
      </c>
      <c r="H299" s="96"/>
      <c r="I299" s="9"/>
      <c r="J299" s="9" t="s">
        <v>207</v>
      </c>
      <c r="K299" s="14"/>
      <c r="L299" s="14"/>
      <c r="M299" s="12">
        <v>0</v>
      </c>
      <c r="N299" s="9"/>
      <c r="O299" s="9"/>
      <c r="P299" s="9"/>
      <c r="Q299" s="38">
        <f t="shared" si="33"/>
        <v>0</v>
      </c>
      <c r="R299" s="12"/>
      <c r="S299" s="42"/>
      <c r="T299" s="15"/>
      <c r="U299" s="44"/>
      <c r="V299" s="15"/>
      <c r="W299" s="44"/>
      <c r="X299" s="15">
        <f t="shared" si="34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5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6"/>
        <v>0</v>
      </c>
      <c r="BC299" s="15"/>
      <c r="BD299" s="44"/>
      <c r="BE299" s="15"/>
      <c r="BF299" s="44"/>
      <c r="BG299" s="15">
        <f t="shared" si="37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111" t="s">
        <v>446</v>
      </c>
      <c r="E300" s="112" t="s">
        <v>237</v>
      </c>
      <c r="F300" s="113" t="s">
        <v>1544</v>
      </c>
      <c r="G300" s="113" t="s">
        <v>1545</v>
      </c>
      <c r="H300" s="96"/>
      <c r="I300" s="9"/>
      <c r="J300" s="9" t="s">
        <v>207</v>
      </c>
      <c r="K300" s="14"/>
      <c r="L300" s="14"/>
      <c r="M300" s="12">
        <v>2209</v>
      </c>
      <c r="N300" s="9"/>
      <c r="O300" s="9"/>
      <c r="P300" s="9"/>
      <c r="Q300" s="38">
        <f t="shared" si="33"/>
        <v>2209</v>
      </c>
      <c r="R300" s="12"/>
      <c r="S300" s="42"/>
      <c r="T300" s="15"/>
      <c r="U300" s="44"/>
      <c r="V300" s="15"/>
      <c r="W300" s="44"/>
      <c r="X300" s="15">
        <f t="shared" si="34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5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6"/>
        <v>0</v>
      </c>
      <c r="BC300" s="15"/>
      <c r="BD300" s="44"/>
      <c r="BE300" s="15"/>
      <c r="BF300" s="44"/>
      <c r="BG300" s="15">
        <f t="shared" si="37"/>
        <v>0</v>
      </c>
    </row>
    <row r="301" spans="1:59" s="8" customFormat="1" ht="22.5" customHeight="1">
      <c r="A301" s="9"/>
      <c r="B301" s="16" t="s">
        <v>204</v>
      </c>
      <c r="C301" s="89" t="s">
        <v>140</v>
      </c>
      <c r="D301" s="111" t="s">
        <v>447</v>
      </c>
      <c r="E301" s="112" t="s">
        <v>237</v>
      </c>
      <c r="F301" s="113" t="s">
        <v>1546</v>
      </c>
      <c r="G301" s="113" t="s">
        <v>1547</v>
      </c>
      <c r="H301" s="96"/>
      <c r="I301" s="9"/>
      <c r="J301" s="9" t="s">
        <v>207</v>
      </c>
      <c r="K301" s="14"/>
      <c r="L301" s="14"/>
      <c r="M301" s="12">
        <v>165</v>
      </c>
      <c r="N301" s="9"/>
      <c r="O301" s="9"/>
      <c r="P301" s="9"/>
      <c r="Q301" s="38">
        <f t="shared" si="33"/>
        <v>165</v>
      </c>
      <c r="R301" s="12"/>
      <c r="S301" s="42"/>
      <c r="T301" s="15"/>
      <c r="U301" s="44"/>
      <c r="V301" s="15"/>
      <c r="W301" s="44"/>
      <c r="X301" s="15">
        <f t="shared" si="34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5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si="36"/>
        <v>0</v>
      </c>
      <c r="BC301" s="15"/>
      <c r="BD301" s="44"/>
      <c r="BE301" s="15"/>
      <c r="BF301" s="44"/>
      <c r="BG301" s="15">
        <f t="shared" si="37"/>
        <v>0</v>
      </c>
    </row>
    <row r="302" spans="1:59" s="8" customFormat="1" ht="22.5" customHeight="1">
      <c r="A302" s="9"/>
      <c r="B302" s="16" t="s">
        <v>204</v>
      </c>
      <c r="C302" s="89" t="s">
        <v>140</v>
      </c>
      <c r="D302" s="111" t="s">
        <v>220</v>
      </c>
      <c r="E302" s="112" t="s">
        <v>215</v>
      </c>
      <c r="F302" s="113" t="s">
        <v>1548</v>
      </c>
      <c r="G302" s="113" t="s">
        <v>1549</v>
      </c>
      <c r="H302" s="96"/>
      <c r="I302" s="9"/>
      <c r="J302" s="9" t="s">
        <v>207</v>
      </c>
      <c r="K302" s="14"/>
      <c r="L302" s="14"/>
      <c r="M302" s="12">
        <v>415</v>
      </c>
      <c r="N302" s="9"/>
      <c r="O302" s="9"/>
      <c r="P302" s="9"/>
      <c r="Q302" s="38">
        <f t="shared" si="33"/>
        <v>415</v>
      </c>
      <c r="R302" s="12"/>
      <c r="S302" s="42"/>
      <c r="T302" s="15"/>
      <c r="U302" s="44"/>
      <c r="V302" s="15"/>
      <c r="W302" s="44"/>
      <c r="X302" s="15">
        <f t="shared" si="34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5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6"/>
        <v>0</v>
      </c>
      <c r="BC302" s="15"/>
      <c r="BD302" s="44"/>
      <c r="BE302" s="15"/>
      <c r="BF302" s="44"/>
      <c r="BG302" s="15">
        <f t="shared" si="37"/>
        <v>0</v>
      </c>
    </row>
    <row r="303" spans="1:59" s="8" customFormat="1" ht="22.5" customHeight="1">
      <c r="A303" s="9"/>
      <c r="B303" s="16" t="s">
        <v>204</v>
      </c>
      <c r="C303" s="89" t="s">
        <v>140</v>
      </c>
      <c r="D303" s="111" t="s">
        <v>449</v>
      </c>
      <c r="E303" s="112" t="s">
        <v>206</v>
      </c>
      <c r="F303" s="113" t="s">
        <v>1550</v>
      </c>
      <c r="G303" s="113" t="s">
        <v>1551</v>
      </c>
      <c r="H303" s="96"/>
      <c r="I303" s="9"/>
      <c r="J303" s="9" t="s">
        <v>207</v>
      </c>
      <c r="K303" s="14"/>
      <c r="L303" s="14"/>
      <c r="M303" s="12">
        <v>2800</v>
      </c>
      <c r="N303" s="9"/>
      <c r="O303" s="9"/>
      <c r="P303" s="9"/>
      <c r="Q303" s="38">
        <f t="shared" si="33"/>
        <v>2800</v>
      </c>
      <c r="R303" s="12"/>
      <c r="S303" s="42"/>
      <c r="T303" s="15"/>
      <c r="U303" s="44"/>
      <c r="V303" s="15"/>
      <c r="W303" s="44"/>
      <c r="X303" s="15">
        <f t="shared" si="34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5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6"/>
        <v>0</v>
      </c>
      <c r="BC303" s="15"/>
      <c r="BD303" s="44"/>
      <c r="BE303" s="15"/>
      <c r="BF303" s="44"/>
      <c r="BG303" s="15">
        <f t="shared" si="37"/>
        <v>0</v>
      </c>
    </row>
    <row r="304" spans="1:59" s="8" customFormat="1" ht="22.5" customHeight="1">
      <c r="A304" s="9"/>
      <c r="B304" s="16" t="s">
        <v>204</v>
      </c>
      <c r="C304" s="89" t="s">
        <v>140</v>
      </c>
      <c r="D304" s="111" t="s">
        <v>450</v>
      </c>
      <c r="E304" s="112" t="s">
        <v>206</v>
      </c>
      <c r="F304" s="113" t="s">
        <v>1552</v>
      </c>
      <c r="G304" s="113" t="s">
        <v>1553</v>
      </c>
      <c r="H304" s="96"/>
      <c r="I304" s="9"/>
      <c r="J304" s="9" t="s">
        <v>207</v>
      </c>
      <c r="K304" s="14"/>
      <c r="L304" s="14"/>
      <c r="M304" s="12">
        <v>165</v>
      </c>
      <c r="N304" s="9"/>
      <c r="O304" s="9"/>
      <c r="P304" s="9"/>
      <c r="Q304" s="38">
        <f t="shared" si="33"/>
        <v>165</v>
      </c>
      <c r="R304" s="12"/>
      <c r="S304" s="42"/>
      <c r="T304" s="15"/>
      <c r="U304" s="44"/>
      <c r="V304" s="15"/>
      <c r="W304" s="44"/>
      <c r="X304" s="15">
        <f t="shared" si="34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5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6"/>
        <v>0</v>
      </c>
      <c r="BC304" s="15"/>
      <c r="BD304" s="44"/>
      <c r="BE304" s="15"/>
      <c r="BF304" s="44"/>
      <c r="BG304" s="15">
        <f t="shared" si="37"/>
        <v>0</v>
      </c>
    </row>
    <row r="305" spans="1:59" s="8" customFormat="1" ht="22.5" customHeight="1">
      <c r="A305" s="9"/>
      <c r="B305" s="16" t="s">
        <v>204</v>
      </c>
      <c r="C305" s="89" t="s">
        <v>140</v>
      </c>
      <c r="D305" s="111" t="s">
        <v>216</v>
      </c>
      <c r="E305" s="112" t="s">
        <v>217</v>
      </c>
      <c r="F305" s="113" t="s">
        <v>1391</v>
      </c>
      <c r="G305" s="113" t="s">
        <v>1392</v>
      </c>
      <c r="H305" s="96"/>
      <c r="I305" s="9"/>
      <c r="J305" s="9" t="s">
        <v>207</v>
      </c>
      <c r="K305" s="14"/>
      <c r="L305" s="14"/>
      <c r="M305" s="12">
        <v>329</v>
      </c>
      <c r="N305" s="9"/>
      <c r="O305" s="9"/>
      <c r="P305" s="9"/>
      <c r="Q305" s="38">
        <f t="shared" si="33"/>
        <v>329</v>
      </c>
      <c r="R305" s="12"/>
      <c r="S305" s="42"/>
      <c r="T305" s="15"/>
      <c r="U305" s="44"/>
      <c r="V305" s="15"/>
      <c r="W305" s="44"/>
      <c r="X305" s="15">
        <f t="shared" si="34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5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6"/>
        <v>0</v>
      </c>
      <c r="BC305" s="15"/>
      <c r="BD305" s="44"/>
      <c r="BE305" s="15"/>
      <c r="BF305" s="44"/>
      <c r="BG305" s="15">
        <f t="shared" si="37"/>
        <v>0</v>
      </c>
    </row>
    <row r="306" spans="1:59" s="8" customFormat="1" ht="22.5" customHeight="1">
      <c r="A306" s="9"/>
      <c r="B306" s="16" t="s">
        <v>204</v>
      </c>
      <c r="C306" s="89" t="s">
        <v>140</v>
      </c>
      <c r="D306" s="111" t="s">
        <v>451</v>
      </c>
      <c r="E306" s="112" t="s">
        <v>206</v>
      </c>
      <c r="F306" s="113" t="s">
        <v>1554</v>
      </c>
      <c r="G306" s="113" t="s">
        <v>1555</v>
      </c>
      <c r="H306" s="96"/>
      <c r="I306" s="9"/>
      <c r="J306" s="9" t="s">
        <v>207</v>
      </c>
      <c r="K306" s="14"/>
      <c r="L306" s="14"/>
      <c r="M306" s="12">
        <v>3031</v>
      </c>
      <c r="N306" s="9"/>
      <c r="O306" s="9"/>
      <c r="P306" s="9"/>
      <c r="Q306" s="38">
        <f t="shared" si="33"/>
        <v>3031</v>
      </c>
      <c r="R306" s="12"/>
      <c r="S306" s="42"/>
      <c r="T306" s="15"/>
      <c r="U306" s="44"/>
      <c r="V306" s="15"/>
      <c r="W306" s="44"/>
      <c r="X306" s="15">
        <f t="shared" si="34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5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6"/>
        <v>0</v>
      </c>
      <c r="BC306" s="15"/>
      <c r="BD306" s="44"/>
      <c r="BE306" s="15"/>
      <c r="BF306" s="44"/>
      <c r="BG306" s="15">
        <f t="shared" si="37"/>
        <v>0</v>
      </c>
    </row>
    <row r="307" spans="1:59" s="8" customFormat="1" ht="22.5" customHeight="1">
      <c r="A307" s="9"/>
      <c r="B307" s="16" t="s">
        <v>204</v>
      </c>
      <c r="C307" s="89" t="s">
        <v>140</v>
      </c>
      <c r="D307" s="111" t="s">
        <v>218</v>
      </c>
      <c r="E307" s="112" t="s">
        <v>217</v>
      </c>
      <c r="F307" s="113" t="s">
        <v>1556</v>
      </c>
      <c r="G307" s="113" t="s">
        <v>1557</v>
      </c>
      <c r="H307" s="96"/>
      <c r="I307" s="9"/>
      <c r="J307" s="9" t="s">
        <v>207</v>
      </c>
      <c r="K307" s="14"/>
      <c r="L307" s="14"/>
      <c r="M307" s="12">
        <v>518</v>
      </c>
      <c r="N307" s="9"/>
      <c r="O307" s="9"/>
      <c r="P307" s="9"/>
      <c r="Q307" s="38">
        <f t="shared" si="33"/>
        <v>518</v>
      </c>
      <c r="R307" s="12"/>
      <c r="S307" s="42"/>
      <c r="T307" s="15"/>
      <c r="U307" s="44"/>
      <c r="V307" s="15"/>
      <c r="W307" s="44"/>
      <c r="X307" s="15">
        <f t="shared" si="34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5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6"/>
        <v>0</v>
      </c>
      <c r="BC307" s="15"/>
      <c r="BD307" s="44"/>
      <c r="BE307" s="15"/>
      <c r="BF307" s="44"/>
      <c r="BG307" s="15">
        <f t="shared" si="37"/>
        <v>0</v>
      </c>
    </row>
    <row r="308" spans="1:59" s="8" customFormat="1" ht="22.5" customHeight="1">
      <c r="A308" s="9"/>
      <c r="B308" s="16" t="s">
        <v>204</v>
      </c>
      <c r="C308" s="89" t="s">
        <v>140</v>
      </c>
      <c r="D308" s="111" t="s">
        <v>1558</v>
      </c>
      <c r="E308" s="112" t="s">
        <v>206</v>
      </c>
      <c r="F308" s="113" t="s">
        <v>1559</v>
      </c>
      <c r="G308" s="113" t="s">
        <v>1560</v>
      </c>
      <c r="H308" s="96"/>
      <c r="I308" s="9"/>
      <c r="J308" s="9" t="s">
        <v>207</v>
      </c>
      <c r="K308" s="14"/>
      <c r="L308" s="14"/>
      <c r="M308" s="12">
        <v>3032</v>
      </c>
      <c r="N308" s="9"/>
      <c r="O308" s="9"/>
      <c r="P308" s="9"/>
      <c r="Q308" s="38">
        <f t="shared" si="33"/>
        <v>3032</v>
      </c>
      <c r="R308" s="12"/>
      <c r="S308" s="42"/>
      <c r="T308" s="15"/>
      <c r="U308" s="44"/>
      <c r="V308" s="15"/>
      <c r="W308" s="44"/>
      <c r="X308" s="15">
        <f t="shared" si="34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5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6"/>
        <v>0</v>
      </c>
      <c r="BC308" s="15"/>
      <c r="BD308" s="44"/>
      <c r="BE308" s="15"/>
      <c r="BF308" s="44"/>
      <c r="BG308" s="15">
        <f t="shared" si="37"/>
        <v>0</v>
      </c>
    </row>
    <row r="309" spans="1:59" s="8" customFormat="1" ht="22.5" customHeight="1">
      <c r="A309" s="9"/>
      <c r="B309" s="16" t="s">
        <v>204</v>
      </c>
      <c r="C309" s="89" t="s">
        <v>140</v>
      </c>
      <c r="D309" s="111" t="s">
        <v>454</v>
      </c>
      <c r="E309" s="112" t="s">
        <v>217</v>
      </c>
      <c r="F309" s="113" t="s">
        <v>1561</v>
      </c>
      <c r="G309" s="113" t="s">
        <v>1562</v>
      </c>
      <c r="H309" s="96"/>
      <c r="I309" s="9"/>
      <c r="J309" s="9" t="s">
        <v>207</v>
      </c>
      <c r="K309" s="14"/>
      <c r="L309" s="14"/>
      <c r="M309" s="12">
        <v>196</v>
      </c>
      <c r="N309" s="9"/>
      <c r="O309" s="9"/>
      <c r="P309" s="9"/>
      <c r="Q309" s="38">
        <f t="shared" si="33"/>
        <v>196</v>
      </c>
      <c r="R309" s="12"/>
      <c r="S309" s="42"/>
      <c r="T309" s="15"/>
      <c r="U309" s="44"/>
      <c r="V309" s="15"/>
      <c r="W309" s="44"/>
      <c r="X309" s="15">
        <f t="shared" si="34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5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6"/>
        <v>0</v>
      </c>
      <c r="BC309" s="15"/>
      <c r="BD309" s="44"/>
      <c r="BE309" s="15"/>
      <c r="BF309" s="44"/>
      <c r="BG309" s="15">
        <f t="shared" si="37"/>
        <v>0</v>
      </c>
    </row>
    <row r="310" spans="1:59" s="8" customFormat="1" ht="22.5" customHeight="1">
      <c r="A310" s="9"/>
      <c r="B310" s="16" t="s">
        <v>204</v>
      </c>
      <c r="C310" s="89" t="s">
        <v>140</v>
      </c>
      <c r="D310" s="111" t="s">
        <v>455</v>
      </c>
      <c r="E310" s="112" t="s">
        <v>206</v>
      </c>
      <c r="F310" s="113" t="s">
        <v>1563</v>
      </c>
      <c r="G310" s="113" t="s">
        <v>1564</v>
      </c>
      <c r="H310" s="96"/>
      <c r="I310" s="9"/>
      <c r="J310" s="9" t="s">
        <v>207</v>
      </c>
      <c r="K310" s="14"/>
      <c r="L310" s="14"/>
      <c r="M310" s="12">
        <v>1556</v>
      </c>
      <c r="N310" s="9"/>
      <c r="O310" s="9"/>
      <c r="P310" s="9"/>
      <c r="Q310" s="38">
        <f t="shared" si="33"/>
        <v>1556</v>
      </c>
      <c r="R310" s="12"/>
      <c r="S310" s="42"/>
      <c r="T310" s="15"/>
      <c r="U310" s="44"/>
      <c r="V310" s="15"/>
      <c r="W310" s="44"/>
      <c r="X310" s="15">
        <f t="shared" si="34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5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6"/>
        <v>0</v>
      </c>
      <c r="BC310" s="15"/>
      <c r="BD310" s="44"/>
      <c r="BE310" s="15"/>
      <c r="BF310" s="44"/>
      <c r="BG310" s="15">
        <f t="shared" si="37"/>
        <v>0</v>
      </c>
    </row>
    <row r="311" spans="1:59" s="8" customFormat="1" ht="22.5" customHeight="1">
      <c r="A311" s="9"/>
      <c r="B311" s="16" t="s">
        <v>204</v>
      </c>
      <c r="C311" s="89" t="s">
        <v>140</v>
      </c>
      <c r="D311" s="111" t="s">
        <v>456</v>
      </c>
      <c r="E311" s="112" t="s">
        <v>217</v>
      </c>
      <c r="F311" s="113" t="s">
        <v>1565</v>
      </c>
      <c r="G311" s="113" t="s">
        <v>1566</v>
      </c>
      <c r="H311" s="96"/>
      <c r="I311" s="9"/>
      <c r="J311" s="9" t="s">
        <v>207</v>
      </c>
      <c r="K311" s="14"/>
      <c r="L311" s="14"/>
      <c r="M311" s="12">
        <v>375</v>
      </c>
      <c r="N311" s="9"/>
      <c r="O311" s="9"/>
      <c r="P311" s="9"/>
      <c r="Q311" s="38">
        <f t="shared" si="33"/>
        <v>375</v>
      </c>
      <c r="R311" s="12"/>
      <c r="S311" s="42"/>
      <c r="T311" s="15"/>
      <c r="U311" s="44"/>
      <c r="V311" s="15"/>
      <c r="W311" s="44"/>
      <c r="X311" s="15">
        <f t="shared" si="34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5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6"/>
        <v>0</v>
      </c>
      <c r="BC311" s="15"/>
      <c r="BD311" s="44"/>
      <c r="BE311" s="15"/>
      <c r="BF311" s="44"/>
      <c r="BG311" s="15">
        <f t="shared" si="37"/>
        <v>0</v>
      </c>
    </row>
    <row r="312" spans="1:59" s="8" customFormat="1" ht="22.5" customHeight="1">
      <c r="A312" s="9"/>
      <c r="B312" s="16" t="s">
        <v>204</v>
      </c>
      <c r="C312" s="89" t="s">
        <v>140</v>
      </c>
      <c r="D312" s="111" t="s">
        <v>457</v>
      </c>
      <c r="E312" s="112" t="s">
        <v>458</v>
      </c>
      <c r="F312" s="113" t="s">
        <v>1567</v>
      </c>
      <c r="G312" s="113" t="s">
        <v>1568</v>
      </c>
      <c r="H312" s="96"/>
      <c r="I312" s="9"/>
      <c r="J312" s="9" t="s">
        <v>207</v>
      </c>
      <c r="K312" s="14"/>
      <c r="L312" s="14"/>
      <c r="M312" s="12">
        <v>78</v>
      </c>
      <c r="N312" s="9"/>
      <c r="O312" s="9"/>
      <c r="P312" s="9"/>
      <c r="Q312" s="38">
        <f t="shared" si="33"/>
        <v>78</v>
      </c>
      <c r="R312" s="12"/>
      <c r="S312" s="42"/>
      <c r="T312" s="15"/>
      <c r="U312" s="44"/>
      <c r="V312" s="15"/>
      <c r="W312" s="44"/>
      <c r="X312" s="15">
        <f t="shared" si="34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5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6"/>
        <v>0</v>
      </c>
      <c r="BC312" s="15"/>
      <c r="BD312" s="44"/>
      <c r="BE312" s="15"/>
      <c r="BF312" s="44"/>
      <c r="BG312" s="15">
        <f t="shared" si="37"/>
        <v>0</v>
      </c>
    </row>
    <row r="313" spans="1:59" s="8" customFormat="1" ht="22.5" customHeight="1">
      <c r="A313" s="9"/>
      <c r="B313" s="16" t="s">
        <v>204</v>
      </c>
      <c r="C313" s="89" t="s">
        <v>140</v>
      </c>
      <c r="D313" s="111" t="s">
        <v>459</v>
      </c>
      <c r="E313" s="112" t="s">
        <v>206</v>
      </c>
      <c r="F313" s="113" t="s">
        <v>1569</v>
      </c>
      <c r="G313" s="113" t="s">
        <v>1570</v>
      </c>
      <c r="H313" s="96"/>
      <c r="I313" s="9"/>
      <c r="J313" s="9" t="s">
        <v>207</v>
      </c>
      <c r="K313" s="14"/>
      <c r="L313" s="14"/>
      <c r="M313" s="12">
        <v>3000</v>
      </c>
      <c r="N313" s="9"/>
      <c r="O313" s="9"/>
      <c r="P313" s="9"/>
      <c r="Q313" s="38">
        <f t="shared" si="33"/>
        <v>3000</v>
      </c>
      <c r="R313" s="12"/>
      <c r="S313" s="42"/>
      <c r="T313" s="15"/>
      <c r="U313" s="44"/>
      <c r="V313" s="15"/>
      <c r="W313" s="44"/>
      <c r="X313" s="15">
        <f t="shared" si="34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5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6"/>
        <v>0</v>
      </c>
      <c r="BC313" s="15"/>
      <c r="BD313" s="44"/>
      <c r="BE313" s="15"/>
      <c r="BF313" s="44"/>
      <c r="BG313" s="15">
        <f t="shared" si="37"/>
        <v>0</v>
      </c>
    </row>
    <row r="314" spans="1:59" s="8" customFormat="1" ht="22.5" customHeight="1">
      <c r="A314" s="9"/>
      <c r="B314" s="16" t="s">
        <v>204</v>
      </c>
      <c r="C314" s="89" t="s">
        <v>140</v>
      </c>
      <c r="D314" s="111" t="s">
        <v>460</v>
      </c>
      <c r="E314" s="112" t="s">
        <v>215</v>
      </c>
      <c r="F314" s="113" t="s">
        <v>1571</v>
      </c>
      <c r="G314" s="113" t="s">
        <v>1572</v>
      </c>
      <c r="H314" s="96"/>
      <c r="I314" s="9"/>
      <c r="J314" s="9" t="s">
        <v>207</v>
      </c>
      <c r="K314" s="14"/>
      <c r="L314" s="14"/>
      <c r="M314" s="12">
        <v>70</v>
      </c>
      <c r="N314" s="9"/>
      <c r="O314" s="9"/>
      <c r="P314" s="9"/>
      <c r="Q314" s="38">
        <f t="shared" si="33"/>
        <v>70</v>
      </c>
      <c r="R314" s="12"/>
      <c r="S314" s="42"/>
      <c r="T314" s="15"/>
      <c r="U314" s="44"/>
      <c r="V314" s="15"/>
      <c r="W314" s="44"/>
      <c r="X314" s="15">
        <f t="shared" si="34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5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6"/>
        <v>0</v>
      </c>
      <c r="BC314" s="15"/>
      <c r="BD314" s="44"/>
      <c r="BE314" s="15"/>
      <c r="BF314" s="44"/>
      <c r="BG314" s="15">
        <f t="shared" si="37"/>
        <v>0</v>
      </c>
    </row>
    <row r="315" spans="1:59" s="8" customFormat="1" ht="22.5" customHeight="1">
      <c r="A315" s="9"/>
      <c r="B315" s="16" t="s">
        <v>204</v>
      </c>
      <c r="C315" s="89" t="s">
        <v>140</v>
      </c>
      <c r="D315" s="61" t="s">
        <v>1573</v>
      </c>
      <c r="E315" s="13" t="s">
        <v>206</v>
      </c>
      <c r="H315" s="96"/>
      <c r="I315" s="9"/>
      <c r="J315" s="9" t="s">
        <v>207</v>
      </c>
      <c r="K315" s="14"/>
      <c r="L315" s="14"/>
      <c r="M315" s="12">
        <v>110</v>
      </c>
      <c r="N315" s="9"/>
      <c r="O315" s="9"/>
      <c r="P315" s="9"/>
      <c r="Q315" s="38">
        <f t="shared" si="33"/>
        <v>110</v>
      </c>
      <c r="R315" s="12"/>
      <c r="S315" s="42"/>
      <c r="T315" s="15"/>
      <c r="U315" s="44"/>
      <c r="V315" s="15"/>
      <c r="W315" s="44"/>
      <c r="X315" s="15">
        <f t="shared" si="34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5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/>
      <c r="BC315" s="15"/>
      <c r="BD315" s="44"/>
      <c r="BE315" s="15"/>
      <c r="BF315" s="44"/>
      <c r="BG315" s="15"/>
    </row>
    <row r="316" spans="1:59" s="8" customFormat="1" ht="22.5" customHeight="1">
      <c r="A316" s="9"/>
      <c r="B316" s="16" t="s">
        <v>204</v>
      </c>
      <c r="C316" s="89" t="s">
        <v>140</v>
      </c>
      <c r="D316" s="111" t="s">
        <v>461</v>
      </c>
      <c r="E316" s="112" t="s">
        <v>215</v>
      </c>
      <c r="F316" s="113" t="s">
        <v>1574</v>
      </c>
      <c r="G316" s="113" t="s">
        <v>1575</v>
      </c>
      <c r="H316" s="96"/>
      <c r="I316" s="9"/>
      <c r="J316" s="9" t="s">
        <v>207</v>
      </c>
      <c r="K316" s="14"/>
      <c r="L316" s="14"/>
      <c r="M316" s="12">
        <v>72</v>
      </c>
      <c r="N316" s="9"/>
      <c r="O316" s="9"/>
      <c r="P316" s="9"/>
      <c r="Q316" s="38">
        <f t="shared" si="33"/>
        <v>72</v>
      </c>
      <c r="R316" s="12"/>
      <c r="S316" s="42"/>
      <c r="T316" s="15"/>
      <c r="U316" s="44"/>
      <c r="V316" s="15"/>
      <c r="W316" s="44"/>
      <c r="X316" s="15">
        <f t="shared" si="34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5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AH316+AJ316+AL316+AN316+AP316+AR316+AT316+AV316+AX316+AZ316</f>
        <v>0</v>
      </c>
      <c r="BC316" s="15"/>
      <c r="BD316" s="44"/>
      <c r="BE316" s="15"/>
      <c r="BF316" s="44"/>
      <c r="BG316" s="15">
        <f>(BC316+BE316)</f>
        <v>0</v>
      </c>
    </row>
    <row r="317" spans="1:59" s="8" customFormat="1" ht="22.5" customHeight="1">
      <c r="A317" s="9"/>
      <c r="B317" s="16" t="s">
        <v>204</v>
      </c>
      <c r="C317" s="89" t="s">
        <v>140</v>
      </c>
      <c r="D317" s="111" t="s">
        <v>221</v>
      </c>
      <c r="E317" s="112" t="s">
        <v>215</v>
      </c>
      <c r="F317" s="113" t="s">
        <v>1576</v>
      </c>
      <c r="G317" s="113" t="s">
        <v>1577</v>
      </c>
      <c r="H317" s="96"/>
      <c r="I317" s="9"/>
      <c r="J317" s="9" t="s">
        <v>207</v>
      </c>
      <c r="K317" s="14"/>
      <c r="L317" s="14"/>
      <c r="M317" s="12">
        <v>118</v>
      </c>
      <c r="N317" s="9"/>
      <c r="O317" s="9"/>
      <c r="P317" s="9"/>
      <c r="Q317" s="38">
        <f t="shared" si="33"/>
        <v>118</v>
      </c>
      <c r="R317" s="12"/>
      <c r="S317" s="42"/>
      <c r="T317" s="15"/>
      <c r="U317" s="44"/>
      <c r="V317" s="15"/>
      <c r="W317" s="44"/>
      <c r="X317" s="15">
        <f t="shared" si="34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5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AH317+AJ317+AL317+AN317+AP317+AR317+AT317+AV317+AX317+AZ317</f>
        <v>0</v>
      </c>
      <c r="BC317" s="15"/>
      <c r="BD317" s="44"/>
      <c r="BE317" s="15"/>
      <c r="BF317" s="44"/>
      <c r="BG317" s="15">
        <f>(BC317+BE317)</f>
        <v>0</v>
      </c>
    </row>
    <row r="318" spans="1:59" s="8" customFormat="1" ht="22.5" customHeight="1">
      <c r="A318" s="9"/>
      <c r="B318" s="16" t="s">
        <v>204</v>
      </c>
      <c r="C318" s="89" t="s">
        <v>140</v>
      </c>
      <c r="D318" s="79" t="s">
        <v>1578</v>
      </c>
      <c r="E318" s="13" t="s">
        <v>215</v>
      </c>
      <c r="H318" s="9"/>
      <c r="I318" s="9"/>
      <c r="J318" s="9" t="s">
        <v>207</v>
      </c>
      <c r="K318" s="14"/>
      <c r="L318" s="14"/>
      <c r="M318" s="12">
        <v>16</v>
      </c>
      <c r="N318" s="9"/>
      <c r="O318" s="9"/>
      <c r="P318" s="9"/>
      <c r="Q318" s="38">
        <f t="shared" si="33"/>
        <v>16</v>
      </c>
      <c r="R318" s="15">
        <v>0</v>
      </c>
      <c r="S318" s="15">
        <v>0</v>
      </c>
      <c r="T318" s="15"/>
      <c r="U318" s="44"/>
      <c r="V318" s="15"/>
      <c r="W318" s="44"/>
      <c r="X318" s="15">
        <f t="shared" si="34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5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/>
      <c r="BC318" s="15"/>
      <c r="BD318" s="44"/>
      <c r="BE318" s="15"/>
      <c r="BF318" s="44"/>
      <c r="BG318" s="15"/>
    </row>
    <row r="319" spans="1:59" s="8" customFormat="1" ht="22.5" customHeight="1">
      <c r="A319" s="9"/>
      <c r="B319" s="16" t="s">
        <v>204</v>
      </c>
      <c r="C319" s="89" t="s">
        <v>140</v>
      </c>
      <c r="D319" s="111" t="s">
        <v>223</v>
      </c>
      <c r="E319" s="112" t="s">
        <v>215</v>
      </c>
      <c r="F319" s="113" t="s">
        <v>1579</v>
      </c>
      <c r="G319" s="113" t="s">
        <v>1580</v>
      </c>
      <c r="H319" s="96"/>
      <c r="I319" s="9"/>
      <c r="J319" s="9" t="s">
        <v>207</v>
      </c>
      <c r="K319" s="14"/>
      <c r="L319" s="14"/>
      <c r="M319" s="12">
        <v>50</v>
      </c>
      <c r="N319" s="9"/>
      <c r="O319" s="9"/>
      <c r="P319" s="9"/>
      <c r="Q319" s="38">
        <f t="shared" si="33"/>
        <v>50</v>
      </c>
      <c r="R319" s="12"/>
      <c r="S319" s="42"/>
      <c r="T319" s="15"/>
      <c r="U319" s="44"/>
      <c r="V319" s="15"/>
      <c r="W319" s="44"/>
      <c r="X319" s="15">
        <f t="shared" si="34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5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ref="BB319:BB324" si="38">AH319+AJ319+AL319+AN319+AP319+AR319+AT319+AV319+AX319+AZ319</f>
        <v>0</v>
      </c>
      <c r="BC319" s="15"/>
      <c r="BD319" s="44"/>
      <c r="BE319" s="15"/>
      <c r="BF319" s="44"/>
      <c r="BG319" s="15">
        <f t="shared" ref="BG319:BG324" si="39">(BC319+BE319)</f>
        <v>0</v>
      </c>
    </row>
    <row r="320" spans="1:59" s="8" customFormat="1" ht="22.5" customHeight="1">
      <c r="A320" s="9"/>
      <c r="B320" s="16" t="s">
        <v>155</v>
      </c>
      <c r="C320" s="89" t="s">
        <v>140</v>
      </c>
      <c r="D320" s="111" t="s">
        <v>462</v>
      </c>
      <c r="E320" s="112"/>
      <c r="F320" s="113" t="s">
        <v>1581</v>
      </c>
      <c r="G320" s="113" t="s">
        <v>1582</v>
      </c>
      <c r="H320" s="96"/>
      <c r="I320" s="9"/>
      <c r="J320" s="9" t="s">
        <v>314</v>
      </c>
      <c r="K320" s="14"/>
      <c r="L320" s="14"/>
      <c r="M320" s="12">
        <v>2</v>
      </c>
      <c r="N320" s="9"/>
      <c r="O320" s="9"/>
      <c r="P320" s="9"/>
      <c r="Q320" s="38">
        <f t="shared" si="33"/>
        <v>2</v>
      </c>
      <c r="R320" s="12"/>
      <c r="S320" s="42"/>
      <c r="T320" s="15"/>
      <c r="U320" s="44"/>
      <c r="V320" s="15"/>
      <c r="W320" s="44"/>
      <c r="X320" s="15">
        <f t="shared" si="34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5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8"/>
        <v>0</v>
      </c>
      <c r="BC320" s="15"/>
      <c r="BD320" s="44"/>
      <c r="BE320" s="15"/>
      <c r="BF320" s="44"/>
      <c r="BG320" s="15">
        <f t="shared" si="39"/>
        <v>0</v>
      </c>
    </row>
    <row r="321" spans="1:59" s="8" customFormat="1" ht="22.5" customHeight="1">
      <c r="A321" s="9"/>
      <c r="B321" s="16" t="s">
        <v>155</v>
      </c>
      <c r="C321" s="89" t="s">
        <v>140</v>
      </c>
      <c r="D321" s="111" t="s">
        <v>463</v>
      </c>
      <c r="E321" s="112"/>
      <c r="F321" s="113" t="s">
        <v>1583</v>
      </c>
      <c r="G321" s="113" t="s">
        <v>1584</v>
      </c>
      <c r="H321" s="96"/>
      <c r="I321" s="9"/>
      <c r="J321" s="9" t="s">
        <v>314</v>
      </c>
      <c r="K321" s="14"/>
      <c r="L321" s="14"/>
      <c r="M321" s="12">
        <v>0</v>
      </c>
      <c r="N321" s="9"/>
      <c r="O321" s="9"/>
      <c r="P321" s="9"/>
      <c r="Q321" s="38">
        <f t="shared" si="33"/>
        <v>0</v>
      </c>
      <c r="R321" s="12"/>
      <c r="S321" s="42"/>
      <c r="T321" s="15"/>
      <c r="U321" s="44"/>
      <c r="V321" s="15"/>
      <c r="W321" s="44"/>
      <c r="X321" s="15">
        <f t="shared" si="34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5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8"/>
        <v>0</v>
      </c>
      <c r="BC321" s="15"/>
      <c r="BD321" s="44"/>
      <c r="BE321" s="15"/>
      <c r="BF321" s="44"/>
      <c r="BG321" s="15">
        <f t="shared" si="39"/>
        <v>0</v>
      </c>
    </row>
    <row r="322" spans="1:59" s="8" customFormat="1" ht="22.5" customHeight="1">
      <c r="A322" s="9"/>
      <c r="B322" s="16" t="s">
        <v>464</v>
      </c>
      <c r="C322" s="89" t="s">
        <v>140</v>
      </c>
      <c r="D322" s="111" t="s">
        <v>465</v>
      </c>
      <c r="E322" s="112" t="s">
        <v>466</v>
      </c>
      <c r="F322" s="113" t="s">
        <v>1585</v>
      </c>
      <c r="G322" s="113" t="s">
        <v>1586</v>
      </c>
      <c r="H322" s="96"/>
      <c r="I322" s="9"/>
      <c r="J322" s="9" t="s">
        <v>467</v>
      </c>
      <c r="K322" s="14"/>
      <c r="L322" s="14"/>
      <c r="M322" s="12">
        <v>0</v>
      </c>
      <c r="N322" s="9"/>
      <c r="O322" s="9"/>
      <c r="P322" s="9"/>
      <c r="Q322" s="38">
        <f t="shared" si="33"/>
        <v>0</v>
      </c>
      <c r="R322" s="12"/>
      <c r="S322" s="42"/>
      <c r="T322" s="15"/>
      <c r="U322" s="44"/>
      <c r="V322" s="15"/>
      <c r="W322" s="44"/>
      <c r="X322" s="15">
        <f t="shared" si="34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5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8"/>
        <v>0</v>
      </c>
      <c r="BC322" s="15"/>
      <c r="BD322" s="44"/>
      <c r="BE322" s="15"/>
      <c r="BF322" s="44"/>
      <c r="BG322" s="15">
        <f t="shared" si="39"/>
        <v>0</v>
      </c>
    </row>
    <row r="323" spans="1:59" s="8" customFormat="1" ht="22.5" customHeight="1">
      <c r="A323" s="9"/>
      <c r="B323" s="16" t="s">
        <v>464</v>
      </c>
      <c r="C323" s="89" t="s">
        <v>140</v>
      </c>
      <c r="D323" s="111" t="s">
        <v>468</v>
      </c>
      <c r="E323" s="112" t="s">
        <v>469</v>
      </c>
      <c r="F323" s="113" t="s">
        <v>1587</v>
      </c>
      <c r="G323" s="113" t="s">
        <v>1588</v>
      </c>
      <c r="H323" s="96"/>
      <c r="I323" s="9"/>
      <c r="J323" s="9" t="s">
        <v>467</v>
      </c>
      <c r="K323" s="14"/>
      <c r="L323" s="14"/>
      <c r="M323" s="12">
        <v>273</v>
      </c>
      <c r="N323" s="9"/>
      <c r="O323" s="9"/>
      <c r="P323" s="9"/>
      <c r="Q323" s="38">
        <f t="shared" si="33"/>
        <v>273</v>
      </c>
      <c r="R323" s="12"/>
      <c r="S323" s="42"/>
      <c r="T323" s="15"/>
      <c r="U323" s="44"/>
      <c r="V323" s="15"/>
      <c r="W323" s="44"/>
      <c r="X323" s="15">
        <f t="shared" si="34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5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8"/>
        <v>0</v>
      </c>
      <c r="BC323" s="15"/>
      <c r="BD323" s="44"/>
      <c r="BE323" s="15"/>
      <c r="BF323" s="44"/>
      <c r="BG323" s="15">
        <f t="shared" si="39"/>
        <v>0</v>
      </c>
    </row>
    <row r="324" spans="1:59" s="8" customFormat="1" ht="22.5" customHeight="1">
      <c r="A324" s="9"/>
      <c r="B324" s="16" t="s">
        <v>470</v>
      </c>
      <c r="C324" s="89" t="s">
        <v>140</v>
      </c>
      <c r="D324" s="111" t="s">
        <v>471</v>
      </c>
      <c r="E324" s="112"/>
      <c r="F324" s="113" t="s">
        <v>1589</v>
      </c>
      <c r="G324" s="113" t="s">
        <v>1590</v>
      </c>
      <c r="H324" s="96"/>
      <c r="I324" s="9"/>
      <c r="J324" s="9" t="s">
        <v>467</v>
      </c>
      <c r="K324" s="14"/>
      <c r="L324" s="14"/>
      <c r="M324" s="12">
        <v>71</v>
      </c>
      <c r="N324" s="9"/>
      <c r="O324" s="9"/>
      <c r="P324" s="9"/>
      <c r="Q324" s="38">
        <f t="shared" ref="Q324:Q351" si="40">M324+X324-AG324-BB324</f>
        <v>71</v>
      </c>
      <c r="R324" s="12"/>
      <c r="S324" s="42"/>
      <c r="T324" s="15"/>
      <c r="U324" s="44"/>
      <c r="V324" s="15"/>
      <c r="W324" s="44"/>
      <c r="X324" s="15">
        <f t="shared" ref="X324:X351" si="41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51" si="42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8"/>
        <v>0</v>
      </c>
      <c r="BC324" s="15"/>
      <c r="BD324" s="44"/>
      <c r="BE324" s="15"/>
      <c r="BF324" s="44"/>
      <c r="BG324" s="15">
        <f t="shared" si="39"/>
        <v>0</v>
      </c>
    </row>
    <row r="325" spans="1:59" s="8" customFormat="1" ht="22.5" customHeight="1">
      <c r="A325" s="9"/>
      <c r="B325" s="16" t="s">
        <v>1591</v>
      </c>
      <c r="C325" s="89" t="s">
        <v>140</v>
      </c>
      <c r="D325" s="80" t="s">
        <v>1592</v>
      </c>
      <c r="E325" s="13"/>
      <c r="H325" s="96"/>
      <c r="I325" s="9"/>
      <c r="J325" s="9"/>
      <c r="K325" s="14"/>
      <c r="L325" s="14"/>
      <c r="M325" s="12">
        <v>53</v>
      </c>
      <c r="N325" s="9"/>
      <c r="O325" s="9"/>
      <c r="P325" s="9"/>
      <c r="Q325" s="38">
        <f t="shared" si="40"/>
        <v>53</v>
      </c>
      <c r="R325" s="12"/>
      <c r="S325" s="42"/>
      <c r="T325" s="15"/>
      <c r="U325" s="44"/>
      <c r="V325" s="15"/>
      <c r="W325" s="44"/>
      <c r="X325" s="15">
        <f t="shared" si="41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2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/>
      <c r="BC325" s="15"/>
      <c r="BD325" s="44"/>
      <c r="BE325" s="15"/>
      <c r="BF325" s="44"/>
      <c r="BG325" s="15"/>
    </row>
    <row r="326" spans="1:59" s="8" customFormat="1" ht="22.5" customHeight="1">
      <c r="A326" s="9"/>
      <c r="B326" s="16" t="s">
        <v>1591</v>
      </c>
      <c r="C326" s="89" t="s">
        <v>140</v>
      </c>
      <c r="D326" s="80" t="s">
        <v>1592</v>
      </c>
      <c r="E326" s="13"/>
      <c r="H326" s="96"/>
      <c r="I326" s="9"/>
      <c r="J326" s="9"/>
      <c r="K326" s="14"/>
      <c r="L326" s="14"/>
      <c r="M326" s="12">
        <v>125</v>
      </c>
      <c r="N326" s="9"/>
      <c r="O326" s="9"/>
      <c r="P326" s="9"/>
      <c r="Q326" s="38">
        <f t="shared" si="40"/>
        <v>125</v>
      </c>
      <c r="R326" s="12"/>
      <c r="S326" s="42"/>
      <c r="T326" s="15"/>
      <c r="U326" s="44"/>
      <c r="V326" s="15"/>
      <c r="W326" s="44"/>
      <c r="X326" s="15">
        <f t="shared" si="41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2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/>
      <c r="BC326" s="15"/>
      <c r="BD326" s="44"/>
      <c r="BE326" s="15"/>
      <c r="BF326" s="44"/>
      <c r="BG326" s="15"/>
    </row>
    <row r="327" spans="1:59" s="8" customFormat="1" ht="22.5" customHeight="1">
      <c r="A327" s="9"/>
      <c r="B327" s="16" t="s">
        <v>472</v>
      </c>
      <c r="C327" s="89" t="s">
        <v>140</v>
      </c>
      <c r="D327" s="111" t="s">
        <v>473</v>
      </c>
      <c r="E327" s="112" t="s">
        <v>474</v>
      </c>
      <c r="F327" s="113" t="s">
        <v>1593</v>
      </c>
      <c r="G327" s="113" t="s">
        <v>1594</v>
      </c>
      <c r="H327" s="96"/>
      <c r="I327" s="9"/>
      <c r="J327" s="9" t="s">
        <v>67</v>
      </c>
      <c r="K327" s="14"/>
      <c r="L327" s="14"/>
      <c r="M327" s="12">
        <v>259</v>
      </c>
      <c r="N327" s="9"/>
      <c r="O327" s="9"/>
      <c r="P327" s="9"/>
      <c r="Q327" s="38">
        <f t="shared" si="40"/>
        <v>259</v>
      </c>
      <c r="R327" s="12"/>
      <c r="S327" s="42"/>
      <c r="T327" s="15"/>
      <c r="U327" s="44"/>
      <c r="V327" s="15"/>
      <c r="W327" s="44"/>
      <c r="X327" s="15">
        <f t="shared" si="41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2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AH327+AJ327+AL327+AN327+AP327+AR327+AT327+AV327+AX327+AZ327</f>
        <v>0</v>
      </c>
      <c r="BC327" s="15"/>
      <c r="BD327" s="44"/>
      <c r="BE327" s="15"/>
      <c r="BF327" s="44"/>
      <c r="BG327" s="15">
        <f>(BC327+BE327)</f>
        <v>0</v>
      </c>
    </row>
    <row r="328" spans="1:59" s="8" customFormat="1" ht="22.5" customHeight="1">
      <c r="A328" s="9"/>
      <c r="B328" s="16" t="s">
        <v>472</v>
      </c>
      <c r="C328" s="89" t="s">
        <v>140</v>
      </c>
      <c r="D328" s="111" t="s">
        <v>475</v>
      </c>
      <c r="E328" s="112" t="s">
        <v>476</v>
      </c>
      <c r="F328" s="113" t="s">
        <v>1595</v>
      </c>
      <c r="G328" s="113" t="s">
        <v>1596</v>
      </c>
      <c r="H328" s="96"/>
      <c r="I328" s="9"/>
      <c r="J328" s="9" t="s">
        <v>67</v>
      </c>
      <c r="K328" s="14"/>
      <c r="L328" s="14"/>
      <c r="M328" s="12">
        <v>349</v>
      </c>
      <c r="N328" s="9"/>
      <c r="O328" s="9"/>
      <c r="P328" s="9"/>
      <c r="Q328" s="38">
        <f t="shared" si="40"/>
        <v>349</v>
      </c>
      <c r="R328" s="12"/>
      <c r="S328" s="42"/>
      <c r="T328" s="15"/>
      <c r="U328" s="44"/>
      <c r="V328" s="15"/>
      <c r="W328" s="44"/>
      <c r="X328" s="15">
        <f t="shared" si="41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2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AH328+AJ328+AL328+AN328+AP328+AR328+AT328+AV328+AX328+AZ328</f>
        <v>0</v>
      </c>
      <c r="BC328" s="15"/>
      <c r="BD328" s="44"/>
      <c r="BE328" s="15"/>
      <c r="BF328" s="44"/>
      <c r="BG328" s="15">
        <f>(BC328+BE328)</f>
        <v>0</v>
      </c>
    </row>
    <row r="329" spans="1:59" s="8" customFormat="1" ht="22.5" customHeight="1">
      <c r="A329" s="9"/>
      <c r="B329" s="16" t="s">
        <v>477</v>
      </c>
      <c r="C329" s="89" t="s">
        <v>140</v>
      </c>
      <c r="D329" s="111" t="s">
        <v>478</v>
      </c>
      <c r="E329" s="112"/>
      <c r="F329" s="113" t="s">
        <v>1597</v>
      </c>
      <c r="G329" s="113" t="s">
        <v>1598</v>
      </c>
      <c r="H329" s="96"/>
      <c r="I329" s="9"/>
      <c r="J329" s="9" t="s">
        <v>467</v>
      </c>
      <c r="K329" s="14"/>
      <c r="L329" s="14"/>
      <c r="M329" s="12">
        <v>70</v>
      </c>
      <c r="N329" s="9"/>
      <c r="O329" s="9"/>
      <c r="P329" s="9"/>
      <c r="Q329" s="38">
        <f t="shared" si="40"/>
        <v>70</v>
      </c>
      <c r="R329" s="12"/>
      <c r="S329" s="42"/>
      <c r="T329" s="15"/>
      <c r="U329" s="44"/>
      <c r="V329" s="15"/>
      <c r="W329" s="44"/>
      <c r="X329" s="15">
        <f t="shared" si="41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2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AH329+AJ329+AL329+AN329+AP329+AR329+AT329+AV329+AX329+AZ329</f>
        <v>0</v>
      </c>
      <c r="BC329" s="15"/>
      <c r="BD329" s="44"/>
      <c r="BE329" s="15"/>
      <c r="BF329" s="44"/>
      <c r="BG329" s="15">
        <f>(BC329+BE329)</f>
        <v>0</v>
      </c>
    </row>
    <row r="330" spans="1:59" s="8" customFormat="1" ht="22.5" customHeight="1">
      <c r="A330" s="9"/>
      <c r="B330" s="16" t="s">
        <v>477</v>
      </c>
      <c r="C330" s="89" t="s">
        <v>140</v>
      </c>
      <c r="D330" s="111" t="s">
        <v>479</v>
      </c>
      <c r="E330" s="112"/>
      <c r="F330" s="113" t="s">
        <v>1599</v>
      </c>
      <c r="G330" s="113" t="s">
        <v>1600</v>
      </c>
      <c r="H330" s="96"/>
      <c r="I330" s="9"/>
      <c r="J330" s="9" t="s">
        <v>467</v>
      </c>
      <c r="K330" s="14"/>
      <c r="L330" s="14"/>
      <c r="M330" s="12">
        <v>67</v>
      </c>
      <c r="N330" s="9"/>
      <c r="O330" s="9"/>
      <c r="P330" s="9"/>
      <c r="Q330" s="38">
        <f t="shared" si="40"/>
        <v>67</v>
      </c>
      <c r="R330" s="12"/>
      <c r="S330" s="42"/>
      <c r="T330" s="15"/>
      <c r="U330" s="44"/>
      <c r="V330" s="15"/>
      <c r="W330" s="44"/>
      <c r="X330" s="15">
        <f t="shared" si="41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2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AH330+AJ330+AL330+AN330+AP330+AR330+AT330+AV330+AX330+AZ330</f>
        <v>0</v>
      </c>
      <c r="BC330" s="15"/>
      <c r="BD330" s="44"/>
      <c r="BE330" s="15"/>
      <c r="BF330" s="44"/>
      <c r="BG330" s="15">
        <f>(BC330+BE330)</f>
        <v>0</v>
      </c>
    </row>
    <row r="331" spans="1:59" s="8" customFormat="1" ht="22.5" customHeight="1">
      <c r="A331" s="9"/>
      <c r="B331" s="16" t="s">
        <v>477</v>
      </c>
      <c r="C331" s="89" t="s">
        <v>140</v>
      </c>
      <c r="D331" s="111" t="s">
        <v>480</v>
      </c>
      <c r="E331" s="112" t="s">
        <v>481</v>
      </c>
      <c r="F331" s="113" t="s">
        <v>1601</v>
      </c>
      <c r="G331" s="113" t="s">
        <v>1602</v>
      </c>
      <c r="H331" s="96"/>
      <c r="I331" s="9"/>
      <c r="J331" s="9" t="s">
        <v>482</v>
      </c>
      <c r="K331" s="14"/>
      <c r="L331" s="14"/>
      <c r="M331" s="12">
        <v>82</v>
      </c>
      <c r="N331" s="9"/>
      <c r="O331" s="9"/>
      <c r="P331" s="9"/>
      <c r="Q331" s="38">
        <f t="shared" si="40"/>
        <v>82</v>
      </c>
      <c r="R331" s="12"/>
      <c r="S331" s="42"/>
      <c r="T331" s="15"/>
      <c r="U331" s="44"/>
      <c r="V331" s="15"/>
      <c r="W331" s="44"/>
      <c r="X331" s="15">
        <f t="shared" si="41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2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AH331+AJ331+AL331+AN331+AP331+AR331+AT331+AV331+AX331+AZ331</f>
        <v>0</v>
      </c>
      <c r="BC331" s="15"/>
      <c r="BD331" s="44"/>
      <c r="BE331" s="15"/>
      <c r="BF331" s="44"/>
      <c r="BG331" s="15">
        <f>(BC331+BE331)</f>
        <v>0</v>
      </c>
    </row>
    <row r="332" spans="1:59" s="8" customFormat="1" ht="22.5" customHeight="1">
      <c r="A332" s="9"/>
      <c r="B332" s="16" t="s">
        <v>477</v>
      </c>
      <c r="C332" s="89" t="s">
        <v>140</v>
      </c>
      <c r="D332" s="80" t="s">
        <v>1603</v>
      </c>
      <c r="E332" s="13" t="s">
        <v>1604</v>
      </c>
      <c r="H332" s="96"/>
      <c r="I332" s="9"/>
      <c r="J332" s="9" t="s">
        <v>482</v>
      </c>
      <c r="K332" s="14"/>
      <c r="L332" s="14"/>
      <c r="M332" s="12">
        <v>3</v>
      </c>
      <c r="N332" s="9"/>
      <c r="O332" s="9"/>
      <c r="P332" s="9"/>
      <c r="Q332" s="38">
        <f t="shared" si="40"/>
        <v>3</v>
      </c>
      <c r="R332" s="12"/>
      <c r="S332" s="42"/>
      <c r="T332" s="15"/>
      <c r="U332" s="44"/>
      <c r="V332" s="15"/>
      <c r="W332" s="44"/>
      <c r="X332" s="15">
        <f t="shared" si="41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2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/>
      <c r="BC332" s="15"/>
      <c r="BD332" s="44"/>
      <c r="BE332" s="15"/>
      <c r="BF332" s="44"/>
      <c r="BG332" s="15"/>
    </row>
    <row r="333" spans="1:59" s="8" customFormat="1" ht="22.5" customHeight="1">
      <c r="A333" s="9"/>
      <c r="B333" s="16" t="s">
        <v>483</v>
      </c>
      <c r="C333" s="89" t="s">
        <v>140</v>
      </c>
      <c r="D333" s="111" t="s">
        <v>484</v>
      </c>
      <c r="E333" s="112" t="s">
        <v>485</v>
      </c>
      <c r="F333" s="113" t="s">
        <v>1605</v>
      </c>
      <c r="G333" s="113" t="s">
        <v>1606</v>
      </c>
      <c r="H333" s="96"/>
      <c r="I333" s="9"/>
      <c r="J333" s="9" t="s">
        <v>467</v>
      </c>
      <c r="K333" s="14"/>
      <c r="L333" s="14"/>
      <c r="M333" s="12">
        <v>0</v>
      </c>
      <c r="N333" s="9"/>
      <c r="O333" s="9"/>
      <c r="P333" s="9"/>
      <c r="Q333" s="38">
        <f t="shared" si="40"/>
        <v>0</v>
      </c>
      <c r="R333" s="12"/>
      <c r="S333" s="42"/>
      <c r="T333" s="15"/>
      <c r="U333" s="44"/>
      <c r="V333" s="15"/>
      <c r="W333" s="44"/>
      <c r="X333" s="15">
        <f t="shared" si="41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2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51" si="43">AH333+AJ333+AL333+AN333+AP333+AR333+AT333+AV333+AX333+AZ333</f>
        <v>0</v>
      </c>
      <c r="BC333" s="15"/>
      <c r="BD333" s="44"/>
      <c r="BE333" s="15"/>
      <c r="BF333" s="44"/>
      <c r="BG333" s="15">
        <f t="shared" ref="BG333:BG351" si="44">(BC333+BE333)</f>
        <v>0</v>
      </c>
    </row>
    <row r="334" spans="1:59" s="8" customFormat="1" ht="22.5" customHeight="1">
      <c r="A334" s="9"/>
      <c r="B334" s="16" t="s">
        <v>486</v>
      </c>
      <c r="C334" s="89" t="s">
        <v>140</v>
      </c>
      <c r="D334" s="111" t="s">
        <v>487</v>
      </c>
      <c r="E334" s="112"/>
      <c r="F334" s="113" t="s">
        <v>1607</v>
      </c>
      <c r="G334" s="113" t="s">
        <v>1608</v>
      </c>
      <c r="H334" s="96"/>
      <c r="I334" s="9"/>
      <c r="J334" s="9" t="s">
        <v>467</v>
      </c>
      <c r="K334" s="14"/>
      <c r="L334" s="14"/>
      <c r="M334" s="12"/>
      <c r="N334" s="9"/>
      <c r="O334" s="9"/>
      <c r="P334" s="9"/>
      <c r="Q334" s="38">
        <f t="shared" si="40"/>
        <v>0</v>
      </c>
      <c r="R334" s="12"/>
      <c r="S334" s="42"/>
      <c r="T334" s="15"/>
      <c r="U334" s="44"/>
      <c r="V334" s="15"/>
      <c r="W334" s="44"/>
      <c r="X334" s="15">
        <f t="shared" si="41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2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3"/>
        <v>0</v>
      </c>
      <c r="BC334" s="15"/>
      <c r="BD334" s="44"/>
      <c r="BE334" s="15"/>
      <c r="BF334" s="44"/>
      <c r="BG334" s="15">
        <f t="shared" si="44"/>
        <v>0</v>
      </c>
    </row>
    <row r="335" spans="1:59" s="8" customFormat="1" ht="22.5" customHeight="1">
      <c r="A335" s="9"/>
      <c r="B335" s="16" t="s">
        <v>486</v>
      </c>
      <c r="C335" s="89" t="s">
        <v>140</v>
      </c>
      <c r="D335" s="111" t="s">
        <v>488</v>
      </c>
      <c r="E335" s="112"/>
      <c r="F335" s="113" t="s">
        <v>1609</v>
      </c>
      <c r="G335" s="113" t="s">
        <v>1610</v>
      </c>
      <c r="H335" s="96"/>
      <c r="I335" s="9"/>
      <c r="J335" s="9" t="s">
        <v>467</v>
      </c>
      <c r="K335" s="14"/>
      <c r="L335" s="14"/>
      <c r="M335" s="12"/>
      <c r="N335" s="9"/>
      <c r="O335" s="9"/>
      <c r="P335" s="9"/>
      <c r="Q335" s="38">
        <f t="shared" si="40"/>
        <v>0</v>
      </c>
      <c r="R335" s="12"/>
      <c r="S335" s="42"/>
      <c r="T335" s="15"/>
      <c r="U335" s="44"/>
      <c r="V335" s="15"/>
      <c r="W335" s="44"/>
      <c r="X335" s="15">
        <f t="shared" si="41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2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3"/>
        <v>0</v>
      </c>
      <c r="BC335" s="15"/>
      <c r="BD335" s="44"/>
      <c r="BE335" s="15"/>
      <c r="BF335" s="44"/>
      <c r="BG335" s="15">
        <f t="shared" si="44"/>
        <v>0</v>
      </c>
    </row>
    <row r="336" spans="1:59" s="8" customFormat="1" ht="22.5" customHeight="1">
      <c r="A336" s="9"/>
      <c r="B336" s="16" t="s">
        <v>489</v>
      </c>
      <c r="C336" s="89" t="s">
        <v>140</v>
      </c>
      <c r="D336" s="111" t="s">
        <v>490</v>
      </c>
      <c r="E336" s="112" t="s">
        <v>206</v>
      </c>
      <c r="F336" s="113" t="s">
        <v>1611</v>
      </c>
      <c r="G336" s="113" t="s">
        <v>1612</v>
      </c>
      <c r="H336" s="96"/>
      <c r="I336" s="9"/>
      <c r="J336" s="9" t="s">
        <v>207</v>
      </c>
      <c r="K336" s="14"/>
      <c r="L336" s="14"/>
      <c r="M336" s="12">
        <v>410</v>
      </c>
      <c r="N336" s="9"/>
      <c r="O336" s="9"/>
      <c r="P336" s="9"/>
      <c r="Q336" s="38">
        <f t="shared" si="40"/>
        <v>410</v>
      </c>
      <c r="R336" s="12"/>
      <c r="S336" s="42"/>
      <c r="T336" s="15"/>
      <c r="U336" s="44"/>
      <c r="V336" s="15"/>
      <c r="W336" s="44"/>
      <c r="X336" s="15">
        <f t="shared" si="41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2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3"/>
        <v>0</v>
      </c>
      <c r="BC336" s="15"/>
      <c r="BD336" s="44"/>
      <c r="BE336" s="15"/>
      <c r="BF336" s="44"/>
      <c r="BG336" s="15">
        <f t="shared" si="44"/>
        <v>0</v>
      </c>
    </row>
    <row r="337" spans="1:59" s="8" customFormat="1" ht="22.5" customHeight="1">
      <c r="A337" s="9"/>
      <c r="B337" s="16" t="s">
        <v>244</v>
      </c>
      <c r="C337" s="89" t="s">
        <v>140</v>
      </c>
      <c r="D337" s="111" t="s">
        <v>491</v>
      </c>
      <c r="E337" s="112" t="s">
        <v>492</v>
      </c>
      <c r="F337" s="113" t="s">
        <v>1613</v>
      </c>
      <c r="G337" s="113" t="s">
        <v>1614</v>
      </c>
      <c r="H337" s="96"/>
      <c r="I337" s="9"/>
      <c r="J337" s="9" t="s">
        <v>247</v>
      </c>
      <c r="K337" s="14"/>
      <c r="L337" s="14"/>
      <c r="M337" s="12">
        <v>9</v>
      </c>
      <c r="N337" s="9"/>
      <c r="O337" s="9"/>
      <c r="P337" s="9"/>
      <c r="Q337" s="38">
        <f t="shared" si="40"/>
        <v>9</v>
      </c>
      <c r="R337" s="12"/>
      <c r="S337" s="42"/>
      <c r="T337" s="15"/>
      <c r="U337" s="44"/>
      <c r="V337" s="15"/>
      <c r="W337" s="44"/>
      <c r="X337" s="15">
        <f t="shared" si="41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2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3"/>
        <v>0</v>
      </c>
      <c r="BC337" s="15"/>
      <c r="BD337" s="44"/>
      <c r="BE337" s="15"/>
      <c r="BF337" s="44"/>
      <c r="BG337" s="15">
        <f t="shared" si="44"/>
        <v>0</v>
      </c>
    </row>
    <row r="338" spans="1:59" s="8" customFormat="1" ht="22.5" customHeight="1">
      <c r="A338" s="9"/>
      <c r="B338" s="16" t="s">
        <v>244</v>
      </c>
      <c r="C338" s="89" t="s">
        <v>140</v>
      </c>
      <c r="D338" s="111" t="s">
        <v>1615</v>
      </c>
      <c r="E338" s="112" t="s">
        <v>492</v>
      </c>
      <c r="F338" s="113" t="s">
        <v>1616</v>
      </c>
      <c r="G338" s="113" t="s">
        <v>1617</v>
      </c>
      <c r="H338" s="96"/>
      <c r="I338" s="9"/>
      <c r="J338" s="9" t="s">
        <v>247</v>
      </c>
      <c r="K338" s="14"/>
      <c r="L338" s="14"/>
      <c r="M338" s="12">
        <v>144</v>
      </c>
      <c r="N338" s="9"/>
      <c r="O338" s="9"/>
      <c r="P338" s="9"/>
      <c r="Q338" s="38">
        <f t="shared" si="40"/>
        <v>144</v>
      </c>
      <c r="R338" s="12"/>
      <c r="S338" s="42"/>
      <c r="T338" s="15"/>
      <c r="U338" s="44"/>
      <c r="V338" s="15"/>
      <c r="W338" s="44"/>
      <c r="X338" s="15">
        <f t="shared" si="41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2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3"/>
        <v>0</v>
      </c>
      <c r="BC338" s="15"/>
      <c r="BD338" s="44"/>
      <c r="BE338" s="15"/>
      <c r="BF338" s="44"/>
      <c r="BG338" s="15">
        <f t="shared" si="44"/>
        <v>0</v>
      </c>
    </row>
    <row r="339" spans="1:59" s="8" customFormat="1" ht="22.5" customHeight="1">
      <c r="A339" s="9"/>
      <c r="B339" s="18" t="s">
        <v>172</v>
      </c>
      <c r="C339" s="89" t="s">
        <v>494</v>
      </c>
      <c r="D339" s="58" t="s">
        <v>253</v>
      </c>
      <c r="E339" s="35"/>
      <c r="F339" s="106" t="s">
        <v>1144</v>
      </c>
      <c r="G339" s="106"/>
      <c r="H339" s="96"/>
      <c r="I339" s="21"/>
      <c r="J339" s="21" t="s">
        <v>67</v>
      </c>
      <c r="K339" s="14"/>
      <c r="L339" s="14"/>
      <c r="M339" s="12"/>
      <c r="N339" s="9"/>
      <c r="O339" s="9"/>
      <c r="P339" s="9"/>
      <c r="Q339" s="38">
        <f t="shared" si="40"/>
        <v>0</v>
      </c>
      <c r="R339" s="12"/>
      <c r="S339" s="42"/>
      <c r="T339" s="15"/>
      <c r="U339" s="44"/>
      <c r="V339" s="15"/>
      <c r="W339" s="44"/>
      <c r="X339" s="15">
        <f t="shared" si="41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2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3"/>
        <v>0</v>
      </c>
      <c r="BC339" s="15"/>
      <c r="BD339" s="44"/>
      <c r="BE339" s="15"/>
      <c r="BF339" s="44"/>
      <c r="BG339" s="15">
        <f t="shared" si="44"/>
        <v>0</v>
      </c>
    </row>
    <row r="340" spans="1:59" s="8" customFormat="1" ht="22.5" customHeight="1">
      <c r="A340" s="9"/>
      <c r="B340" s="18" t="s">
        <v>172</v>
      </c>
      <c r="C340" s="89" t="s">
        <v>52</v>
      </c>
      <c r="D340" s="58" t="s">
        <v>495</v>
      </c>
      <c r="E340" s="35" t="s">
        <v>496</v>
      </c>
      <c r="F340" s="106" t="s">
        <v>1144</v>
      </c>
      <c r="G340" s="106"/>
      <c r="H340" s="96"/>
      <c r="I340" s="21"/>
      <c r="J340" s="21" t="s">
        <v>67</v>
      </c>
      <c r="K340" s="14"/>
      <c r="L340" s="14"/>
      <c r="M340" s="12"/>
      <c r="N340" s="9"/>
      <c r="O340" s="9"/>
      <c r="P340" s="9"/>
      <c r="Q340" s="38">
        <f t="shared" si="40"/>
        <v>0</v>
      </c>
      <c r="R340" s="12"/>
      <c r="S340" s="42"/>
      <c r="T340" s="15"/>
      <c r="U340" s="44"/>
      <c r="V340" s="15"/>
      <c r="W340" s="44"/>
      <c r="X340" s="15">
        <f t="shared" si="41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2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3"/>
        <v>0</v>
      </c>
      <c r="BC340" s="15"/>
      <c r="BD340" s="44"/>
      <c r="BE340" s="15"/>
      <c r="BF340" s="44"/>
      <c r="BG340" s="15">
        <f t="shared" si="44"/>
        <v>0</v>
      </c>
    </row>
    <row r="341" spans="1:59" s="8" customFormat="1" ht="22.5" customHeight="1">
      <c r="A341" s="9"/>
      <c r="B341" s="16" t="s">
        <v>172</v>
      </c>
      <c r="C341" s="89" t="s">
        <v>1618</v>
      </c>
      <c r="D341" s="111" t="s">
        <v>1619</v>
      </c>
      <c r="E341" s="112"/>
      <c r="F341" s="113" t="s">
        <v>1620</v>
      </c>
      <c r="G341" s="113" t="s">
        <v>1621</v>
      </c>
      <c r="H341" s="96"/>
      <c r="I341" s="9"/>
      <c r="J341" s="9" t="s">
        <v>67</v>
      </c>
      <c r="K341" s="14"/>
      <c r="L341" s="14"/>
      <c r="M341" s="12">
        <v>207</v>
      </c>
      <c r="N341" s="9"/>
      <c r="O341" s="9"/>
      <c r="P341" s="9"/>
      <c r="Q341" s="38">
        <f t="shared" si="40"/>
        <v>207</v>
      </c>
      <c r="R341" s="12"/>
      <c r="S341" s="42"/>
      <c r="T341" s="15"/>
      <c r="U341" s="44"/>
      <c r="V341" s="15"/>
      <c r="W341" s="44"/>
      <c r="X341" s="15">
        <f t="shared" si="41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2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3"/>
        <v>0</v>
      </c>
      <c r="BC341" s="15"/>
      <c r="BD341" s="44"/>
      <c r="BE341" s="15"/>
      <c r="BF341" s="44"/>
      <c r="BG341" s="15">
        <f t="shared" si="44"/>
        <v>0</v>
      </c>
    </row>
    <row r="342" spans="1:59" s="8" customFormat="1" ht="22.5" customHeight="1">
      <c r="A342" s="9"/>
      <c r="B342" s="16" t="s">
        <v>172</v>
      </c>
      <c r="C342" s="89" t="s">
        <v>494</v>
      </c>
      <c r="D342" s="111" t="s">
        <v>498</v>
      </c>
      <c r="E342" s="112" t="s">
        <v>499</v>
      </c>
      <c r="F342" s="113" t="s">
        <v>1622</v>
      </c>
      <c r="G342" s="113" t="s">
        <v>1623</v>
      </c>
      <c r="H342" s="96"/>
      <c r="I342" s="9"/>
      <c r="J342" s="9" t="s">
        <v>67</v>
      </c>
      <c r="K342" s="14"/>
      <c r="L342" s="14"/>
      <c r="M342" s="12"/>
      <c r="N342" s="9"/>
      <c r="O342" s="9"/>
      <c r="P342" s="9"/>
      <c r="Q342" s="38">
        <f t="shared" si="40"/>
        <v>0</v>
      </c>
      <c r="R342" s="12"/>
      <c r="S342" s="42"/>
      <c r="T342" s="15"/>
      <c r="U342" s="44"/>
      <c r="V342" s="15"/>
      <c r="W342" s="44"/>
      <c r="X342" s="15">
        <f t="shared" si="41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2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3"/>
        <v>0</v>
      </c>
      <c r="BC342" s="15"/>
      <c r="BD342" s="44"/>
      <c r="BE342" s="15"/>
      <c r="BF342" s="44"/>
      <c r="BG342" s="15">
        <f t="shared" si="44"/>
        <v>0</v>
      </c>
    </row>
    <row r="343" spans="1:59" s="8" customFormat="1" ht="22.5" customHeight="1">
      <c r="A343" s="9"/>
      <c r="B343" s="16" t="s">
        <v>172</v>
      </c>
      <c r="C343" s="89" t="s">
        <v>494</v>
      </c>
      <c r="D343" s="80" t="s">
        <v>500</v>
      </c>
      <c r="E343" s="13" t="s">
        <v>501</v>
      </c>
      <c r="F343" s="105" t="s">
        <v>1624</v>
      </c>
      <c r="G343" s="105"/>
      <c r="H343" s="96"/>
      <c r="I343" s="9"/>
      <c r="J343" s="9" t="s">
        <v>67</v>
      </c>
      <c r="K343" s="14"/>
      <c r="L343" s="14"/>
      <c r="M343" s="12"/>
      <c r="N343" s="9"/>
      <c r="O343" s="9"/>
      <c r="P343" s="9"/>
      <c r="Q343" s="38">
        <f t="shared" si="40"/>
        <v>0</v>
      </c>
      <c r="R343" s="12"/>
      <c r="S343" s="42"/>
      <c r="T343" s="15"/>
      <c r="U343" s="44"/>
      <c r="V343" s="15"/>
      <c r="W343" s="44"/>
      <c r="X343" s="15">
        <f t="shared" si="41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2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3"/>
        <v>0</v>
      </c>
      <c r="BC343" s="15"/>
      <c r="BD343" s="44"/>
      <c r="BE343" s="15"/>
      <c r="BF343" s="44"/>
      <c r="BG343" s="15">
        <f t="shared" si="44"/>
        <v>0</v>
      </c>
    </row>
    <row r="344" spans="1:59" s="8" customFormat="1" ht="22.5" customHeight="1">
      <c r="A344" s="9"/>
      <c r="B344" s="16" t="s">
        <v>172</v>
      </c>
      <c r="C344" s="89" t="s">
        <v>52</v>
      </c>
      <c r="D344" s="111" t="s">
        <v>502</v>
      </c>
      <c r="E344" s="112"/>
      <c r="F344" s="113" t="s">
        <v>1625</v>
      </c>
      <c r="G344" s="113" t="s">
        <v>1626</v>
      </c>
      <c r="H344" s="96"/>
      <c r="I344" s="9"/>
      <c r="J344" s="9" t="s">
        <v>67</v>
      </c>
      <c r="K344" s="14"/>
      <c r="L344" s="14"/>
      <c r="M344" s="12">
        <v>318</v>
      </c>
      <c r="N344" s="9"/>
      <c r="O344" s="9"/>
      <c r="P344" s="9"/>
      <c r="Q344" s="38">
        <f t="shared" si="40"/>
        <v>318</v>
      </c>
      <c r="R344" s="12"/>
      <c r="S344" s="42"/>
      <c r="T344" s="15"/>
      <c r="U344" s="44"/>
      <c r="V344" s="15"/>
      <c r="W344" s="44"/>
      <c r="X344" s="15">
        <f t="shared" si="41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2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3"/>
        <v>0</v>
      </c>
      <c r="BC344" s="15"/>
      <c r="BD344" s="44"/>
      <c r="BE344" s="15"/>
      <c r="BF344" s="44"/>
      <c r="BG344" s="15">
        <f t="shared" si="44"/>
        <v>0</v>
      </c>
    </row>
    <row r="345" spans="1:59" s="8" customFormat="1" ht="22.5" customHeight="1">
      <c r="A345" s="9"/>
      <c r="B345" s="16" t="s">
        <v>172</v>
      </c>
      <c r="C345" s="89" t="s">
        <v>52</v>
      </c>
      <c r="D345" s="111" t="s">
        <v>416</v>
      </c>
      <c r="E345" s="112"/>
      <c r="F345" s="113" t="s">
        <v>1627</v>
      </c>
      <c r="G345" s="113" t="s">
        <v>1628</v>
      </c>
      <c r="H345" s="96"/>
      <c r="I345" s="9"/>
      <c r="J345" s="9" t="s">
        <v>67</v>
      </c>
      <c r="K345" s="14"/>
      <c r="L345" s="14"/>
      <c r="M345" s="12">
        <v>242</v>
      </c>
      <c r="N345" s="9"/>
      <c r="O345" s="9"/>
      <c r="P345" s="9"/>
      <c r="Q345" s="38">
        <f t="shared" si="40"/>
        <v>242</v>
      </c>
      <c r="R345" s="12"/>
      <c r="S345" s="42"/>
      <c r="T345" s="15"/>
      <c r="U345" s="44"/>
      <c r="V345" s="15"/>
      <c r="W345" s="44"/>
      <c r="X345" s="15">
        <f t="shared" si="41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2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3"/>
        <v>0</v>
      </c>
      <c r="BC345" s="15"/>
      <c r="BD345" s="44"/>
      <c r="BE345" s="15"/>
      <c r="BF345" s="44"/>
      <c r="BG345" s="15">
        <f t="shared" si="44"/>
        <v>0</v>
      </c>
    </row>
    <row r="346" spans="1:59" s="8" customFormat="1" ht="22.5" customHeight="1">
      <c r="A346" s="9"/>
      <c r="B346" s="16" t="s">
        <v>172</v>
      </c>
      <c r="C346" s="89" t="s">
        <v>52</v>
      </c>
      <c r="D346" s="111" t="s">
        <v>503</v>
      </c>
      <c r="E346" s="112"/>
      <c r="F346" s="113" t="s">
        <v>1629</v>
      </c>
      <c r="G346" s="113" t="s">
        <v>1630</v>
      </c>
      <c r="H346" s="96"/>
      <c r="I346" s="9"/>
      <c r="J346" s="9" t="s">
        <v>67</v>
      </c>
      <c r="K346" s="14"/>
      <c r="L346" s="14"/>
      <c r="M346" s="12">
        <v>296</v>
      </c>
      <c r="N346" s="9"/>
      <c r="O346" s="9"/>
      <c r="P346" s="9"/>
      <c r="Q346" s="38">
        <f t="shared" si="40"/>
        <v>296</v>
      </c>
      <c r="R346" s="12"/>
      <c r="S346" s="42"/>
      <c r="T346" s="15"/>
      <c r="U346" s="44"/>
      <c r="V346" s="15"/>
      <c r="W346" s="44"/>
      <c r="X346" s="15">
        <f t="shared" si="41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2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3"/>
        <v>0</v>
      </c>
      <c r="BC346" s="15"/>
      <c r="BD346" s="44"/>
      <c r="BE346" s="15"/>
      <c r="BF346" s="44"/>
      <c r="BG346" s="15">
        <f t="shared" si="44"/>
        <v>0</v>
      </c>
    </row>
    <row r="347" spans="1:59" s="8" customFormat="1" ht="22.5" customHeight="1">
      <c r="A347" s="9"/>
      <c r="B347" s="16" t="s">
        <v>172</v>
      </c>
      <c r="C347" s="89" t="s">
        <v>52</v>
      </c>
      <c r="D347" s="111" t="s">
        <v>504</v>
      </c>
      <c r="E347" s="112"/>
      <c r="F347" s="113" t="s">
        <v>1631</v>
      </c>
      <c r="G347" s="113" t="s">
        <v>1632</v>
      </c>
      <c r="H347" s="96"/>
      <c r="I347" s="9"/>
      <c r="J347" s="9" t="s">
        <v>67</v>
      </c>
      <c r="K347" s="14"/>
      <c r="L347" s="14"/>
      <c r="M347" s="12">
        <v>100</v>
      </c>
      <c r="N347" s="9"/>
      <c r="O347" s="9"/>
      <c r="P347" s="9"/>
      <c r="Q347" s="38">
        <f t="shared" si="40"/>
        <v>100</v>
      </c>
      <c r="R347" s="12"/>
      <c r="S347" s="42"/>
      <c r="T347" s="15"/>
      <c r="U347" s="44"/>
      <c r="V347" s="15"/>
      <c r="W347" s="44"/>
      <c r="X347" s="15">
        <f t="shared" si="41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2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3"/>
        <v>0</v>
      </c>
      <c r="BC347" s="15"/>
      <c r="BD347" s="44"/>
      <c r="BE347" s="15"/>
      <c r="BF347" s="44"/>
      <c r="BG347" s="15">
        <f t="shared" si="44"/>
        <v>0</v>
      </c>
    </row>
    <row r="348" spans="1:59" s="8" customFormat="1" ht="22.5" customHeight="1">
      <c r="A348" s="9"/>
      <c r="B348" s="16" t="s">
        <v>172</v>
      </c>
      <c r="C348" s="89" t="s">
        <v>52</v>
      </c>
      <c r="D348" s="111" t="s">
        <v>505</v>
      </c>
      <c r="E348" s="112"/>
      <c r="F348" s="113" t="s">
        <v>1633</v>
      </c>
      <c r="G348" s="113" t="s">
        <v>1634</v>
      </c>
      <c r="H348" s="96"/>
      <c r="I348" s="9"/>
      <c r="J348" s="9" t="s">
        <v>67</v>
      </c>
      <c r="K348" s="14"/>
      <c r="L348" s="14"/>
      <c r="M348" s="12">
        <v>398</v>
      </c>
      <c r="N348" s="9"/>
      <c r="O348" s="9"/>
      <c r="P348" s="9"/>
      <c r="Q348" s="38">
        <f t="shared" si="40"/>
        <v>398</v>
      </c>
      <c r="R348" s="12"/>
      <c r="S348" s="42"/>
      <c r="T348" s="15"/>
      <c r="U348" s="44"/>
      <c r="V348" s="15"/>
      <c r="W348" s="44"/>
      <c r="X348" s="15">
        <f t="shared" si="41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2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3"/>
        <v>0</v>
      </c>
      <c r="BC348" s="15"/>
      <c r="BD348" s="44"/>
      <c r="BE348" s="15"/>
      <c r="BF348" s="44"/>
      <c r="BG348" s="15">
        <f t="shared" si="44"/>
        <v>0</v>
      </c>
    </row>
    <row r="349" spans="1:59" s="8" customFormat="1" ht="22.5" customHeight="1">
      <c r="A349" s="9"/>
      <c r="B349" s="16" t="s">
        <v>172</v>
      </c>
      <c r="C349" s="89" t="s">
        <v>52</v>
      </c>
      <c r="D349" s="111" t="s">
        <v>506</v>
      </c>
      <c r="E349" s="112"/>
      <c r="F349" s="113" t="s">
        <v>1635</v>
      </c>
      <c r="G349" s="113" t="s">
        <v>1636</v>
      </c>
      <c r="H349" s="96"/>
      <c r="I349" s="9"/>
      <c r="J349" s="9" t="s">
        <v>67</v>
      </c>
      <c r="K349" s="14"/>
      <c r="L349" s="14"/>
      <c r="M349" s="12"/>
      <c r="N349" s="9"/>
      <c r="O349" s="9"/>
      <c r="P349" s="9"/>
      <c r="Q349" s="38">
        <f t="shared" si="40"/>
        <v>0</v>
      </c>
      <c r="R349" s="12"/>
      <c r="S349" s="42"/>
      <c r="T349" s="15"/>
      <c r="U349" s="44"/>
      <c r="V349" s="15"/>
      <c r="W349" s="44"/>
      <c r="X349" s="15">
        <f t="shared" si="41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2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3"/>
        <v>0</v>
      </c>
      <c r="BC349" s="15"/>
      <c r="BD349" s="44"/>
      <c r="BE349" s="15"/>
      <c r="BF349" s="44"/>
      <c r="BG349" s="15">
        <f t="shared" si="44"/>
        <v>0</v>
      </c>
    </row>
    <row r="350" spans="1:59" s="8" customFormat="1" ht="22.5" customHeight="1">
      <c r="A350" s="9"/>
      <c r="B350" s="16" t="s">
        <v>120</v>
      </c>
      <c r="C350" s="89" t="s">
        <v>507</v>
      </c>
      <c r="D350" s="111" t="s">
        <v>1637</v>
      </c>
      <c r="E350" s="112" t="s">
        <v>509</v>
      </c>
      <c r="F350" s="113" t="s">
        <v>1638</v>
      </c>
      <c r="G350" s="113" t="s">
        <v>1639</v>
      </c>
      <c r="H350" s="96"/>
      <c r="I350" s="9"/>
      <c r="J350" s="9" t="s">
        <v>67</v>
      </c>
      <c r="K350" s="14"/>
      <c r="L350" s="14"/>
      <c r="M350" s="12">
        <v>169</v>
      </c>
      <c r="N350" s="9"/>
      <c r="O350" s="9"/>
      <c r="P350" s="9"/>
      <c r="Q350" s="38">
        <f t="shared" si="40"/>
        <v>169</v>
      </c>
      <c r="R350" s="12"/>
      <c r="S350" s="42"/>
      <c r="T350" s="15"/>
      <c r="U350" s="44"/>
      <c r="V350" s="15"/>
      <c r="W350" s="44"/>
      <c r="X350" s="15">
        <f t="shared" si="41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2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3"/>
        <v>0</v>
      </c>
      <c r="BC350" s="15"/>
      <c r="BD350" s="44"/>
      <c r="BE350" s="15"/>
      <c r="BF350" s="44"/>
      <c r="BG350" s="15">
        <f t="shared" si="44"/>
        <v>0</v>
      </c>
    </row>
    <row r="351" spans="1:59" s="8" customFormat="1" ht="22.5" customHeight="1">
      <c r="A351" s="9"/>
      <c r="B351" s="16" t="s">
        <v>120</v>
      </c>
      <c r="C351" s="89" t="s">
        <v>1618</v>
      </c>
      <c r="D351" s="111" t="s">
        <v>194</v>
      </c>
      <c r="E351" s="112" t="s">
        <v>510</v>
      </c>
      <c r="F351" s="113" t="s">
        <v>1640</v>
      </c>
      <c r="G351" s="113" t="s">
        <v>1641</v>
      </c>
      <c r="H351" s="96"/>
      <c r="I351" s="9"/>
      <c r="J351" s="9" t="s">
        <v>67</v>
      </c>
      <c r="K351" s="14"/>
      <c r="L351" s="14"/>
      <c r="M351" s="12"/>
      <c r="N351" s="9"/>
      <c r="O351" s="9"/>
      <c r="P351" s="9"/>
      <c r="Q351" s="38">
        <f t="shared" si="40"/>
        <v>0</v>
      </c>
      <c r="R351" s="12"/>
      <c r="S351" s="42"/>
      <c r="T351" s="15"/>
      <c r="U351" s="44"/>
      <c r="V351" s="15"/>
      <c r="W351" s="44"/>
      <c r="X351" s="15">
        <f t="shared" si="41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2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3"/>
        <v>0</v>
      </c>
      <c r="BC351" s="15"/>
      <c r="BD351" s="44"/>
      <c r="BE351" s="15"/>
      <c r="BF351" s="44"/>
      <c r="BG351" s="15">
        <f t="shared" si="44"/>
        <v>0</v>
      </c>
    </row>
    <row r="352" spans="1:59" s="8" customFormat="1" ht="22.5" customHeight="1">
      <c r="A352" s="9"/>
      <c r="B352" s="16" t="s">
        <v>120</v>
      </c>
      <c r="C352" s="89" t="s">
        <v>1618</v>
      </c>
      <c r="D352" s="56" t="s">
        <v>1642</v>
      </c>
      <c r="E352" s="13" t="s">
        <v>1643</v>
      </c>
      <c r="H352" s="9"/>
      <c r="I352" s="9"/>
      <c r="J352" s="9" t="s">
        <v>67</v>
      </c>
      <c r="K352" s="38">
        <v>0</v>
      </c>
      <c r="L352" s="15">
        <v>0</v>
      </c>
      <c r="M352" s="15">
        <v>140</v>
      </c>
      <c r="N352" s="9"/>
      <c r="O352" s="9"/>
      <c r="P352" s="9"/>
      <c r="Q352" s="38"/>
      <c r="R352" s="12"/>
      <c r="S352" s="42"/>
      <c r="T352" s="15"/>
      <c r="U352" s="44"/>
      <c r="V352" s="15"/>
      <c r="W352" s="44"/>
      <c r="X352" s="15"/>
      <c r="Y352" s="15"/>
      <c r="Z352" s="44"/>
      <c r="AA352" s="15"/>
      <c r="AB352" s="44"/>
      <c r="AC352" s="15"/>
      <c r="AD352" s="44"/>
      <c r="AE352" s="15"/>
      <c r="AF352" s="44"/>
      <c r="AG352" s="15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/>
      <c r="BC352" s="15"/>
      <c r="BD352" s="44"/>
      <c r="BE352" s="15"/>
      <c r="BF352" s="44"/>
      <c r="BG352" s="15"/>
    </row>
    <row r="353" spans="1:59" s="8" customFormat="1" ht="22.5" customHeight="1">
      <c r="A353" s="9"/>
      <c r="B353" s="16" t="s">
        <v>120</v>
      </c>
      <c r="C353" s="89" t="s">
        <v>1618</v>
      </c>
      <c r="D353" s="111" t="s">
        <v>263</v>
      </c>
      <c r="E353" s="112" t="s">
        <v>511</v>
      </c>
      <c r="F353" s="113" t="s">
        <v>1644</v>
      </c>
      <c r="G353" s="113" t="s">
        <v>1645</v>
      </c>
      <c r="H353" s="96"/>
      <c r="I353" s="9"/>
      <c r="J353" s="9" t="s">
        <v>67</v>
      </c>
      <c r="K353" s="14"/>
      <c r="L353" s="14"/>
      <c r="M353" s="12">
        <v>200</v>
      </c>
      <c r="N353" s="9"/>
      <c r="O353" s="9"/>
      <c r="P353" s="9"/>
      <c r="Q353" s="38">
        <f t="shared" ref="Q353:Q416" si="45">M353+X353-AG353-BB353</f>
        <v>200</v>
      </c>
      <c r="R353" s="12"/>
      <c r="S353" s="42"/>
      <c r="T353" s="15"/>
      <c r="U353" s="44"/>
      <c r="V353" s="15"/>
      <c r="W353" s="44"/>
      <c r="X353" s="15">
        <f t="shared" ref="X353:X384" si="46">R353+T353+V353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ref="AG353:AG384" si="47">(Y353+AA353+AC353+AE353)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ref="BB353:BB360" si="48">AH353+AJ353+AL353+AN353+AP353+AR353+AT353+AV353+AX353+AZ353</f>
        <v>0</v>
      </c>
      <c r="BC353" s="15"/>
      <c r="BD353" s="44"/>
      <c r="BE353" s="15"/>
      <c r="BF353" s="44"/>
      <c r="BG353" s="15">
        <f t="shared" ref="BG353:BG360" si="49">(BC353+BE353)</f>
        <v>0</v>
      </c>
    </row>
    <row r="354" spans="1:59" s="8" customFormat="1" ht="22.5" customHeight="1">
      <c r="A354" s="9"/>
      <c r="B354" s="16" t="s">
        <v>120</v>
      </c>
      <c r="C354" s="89" t="s">
        <v>52</v>
      </c>
      <c r="D354" s="111" t="s">
        <v>265</v>
      </c>
      <c r="E354" s="112" t="s">
        <v>512</v>
      </c>
      <c r="F354" s="113" t="s">
        <v>1646</v>
      </c>
      <c r="G354" s="113" t="s">
        <v>1647</v>
      </c>
      <c r="H354" s="96"/>
      <c r="I354" s="9"/>
      <c r="J354" s="9" t="s">
        <v>67</v>
      </c>
      <c r="K354" s="14"/>
      <c r="L354" s="14"/>
      <c r="M354" s="12">
        <v>333</v>
      </c>
      <c r="N354" s="9"/>
      <c r="O354" s="9"/>
      <c r="P354" s="9"/>
      <c r="Q354" s="38">
        <f t="shared" si="45"/>
        <v>333</v>
      </c>
      <c r="R354" s="12"/>
      <c r="S354" s="42"/>
      <c r="T354" s="15"/>
      <c r="U354" s="44"/>
      <c r="V354" s="15"/>
      <c r="W354" s="44"/>
      <c r="X354" s="15">
        <f t="shared" si="46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7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8"/>
        <v>0</v>
      </c>
      <c r="BC354" s="15"/>
      <c r="BD354" s="44"/>
      <c r="BE354" s="15"/>
      <c r="BF354" s="44"/>
      <c r="BG354" s="15">
        <f t="shared" si="49"/>
        <v>0</v>
      </c>
    </row>
    <row r="355" spans="1:59" s="8" customFormat="1" ht="22.5" customHeight="1">
      <c r="A355" s="9"/>
      <c r="B355" s="16" t="s">
        <v>120</v>
      </c>
      <c r="C355" s="89" t="s">
        <v>52</v>
      </c>
      <c r="D355" s="111" t="s">
        <v>198</v>
      </c>
      <c r="E355" s="112" t="s">
        <v>513</v>
      </c>
      <c r="F355" s="113" t="s">
        <v>1648</v>
      </c>
      <c r="G355" s="113" t="s">
        <v>1649</v>
      </c>
      <c r="H355" s="96"/>
      <c r="I355" s="9"/>
      <c r="J355" s="9" t="s">
        <v>67</v>
      </c>
      <c r="K355" s="14"/>
      <c r="L355" s="14"/>
      <c r="M355" s="12"/>
      <c r="N355" s="9"/>
      <c r="O355" s="9"/>
      <c r="P355" s="9"/>
      <c r="Q355" s="38">
        <f t="shared" si="45"/>
        <v>0</v>
      </c>
      <c r="R355" s="12"/>
      <c r="S355" s="42"/>
      <c r="T355" s="15"/>
      <c r="U355" s="44"/>
      <c r="V355" s="15"/>
      <c r="W355" s="44"/>
      <c r="X355" s="15">
        <f t="shared" si="46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7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8"/>
        <v>0</v>
      </c>
      <c r="BC355" s="15"/>
      <c r="BD355" s="44"/>
      <c r="BE355" s="15"/>
      <c r="BF355" s="44"/>
      <c r="BG355" s="15">
        <f t="shared" si="49"/>
        <v>0</v>
      </c>
    </row>
    <row r="356" spans="1:59" s="8" customFormat="1" ht="22.5" customHeight="1">
      <c r="A356" s="9"/>
      <c r="B356" s="16" t="s">
        <v>120</v>
      </c>
      <c r="C356" s="89" t="s">
        <v>494</v>
      </c>
      <c r="D356" s="111" t="s">
        <v>514</v>
      </c>
      <c r="E356" s="112" t="s">
        <v>515</v>
      </c>
      <c r="F356" s="113" t="s">
        <v>1650</v>
      </c>
      <c r="G356" s="113" t="s">
        <v>1651</v>
      </c>
      <c r="H356" s="96"/>
      <c r="I356" s="9"/>
      <c r="J356" s="9" t="s">
        <v>67</v>
      </c>
      <c r="K356" s="14"/>
      <c r="L356" s="14"/>
      <c r="M356" s="12">
        <v>234</v>
      </c>
      <c r="N356" s="9"/>
      <c r="O356" s="9"/>
      <c r="P356" s="9"/>
      <c r="Q356" s="38">
        <f t="shared" si="45"/>
        <v>234</v>
      </c>
      <c r="R356" s="12"/>
      <c r="S356" s="42"/>
      <c r="T356" s="15"/>
      <c r="U356" s="44"/>
      <c r="V356" s="15"/>
      <c r="W356" s="44"/>
      <c r="X356" s="15">
        <f t="shared" si="46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7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8"/>
        <v>0</v>
      </c>
      <c r="BC356" s="15"/>
      <c r="BD356" s="44"/>
      <c r="BE356" s="15"/>
      <c r="BF356" s="44"/>
      <c r="BG356" s="15">
        <f t="shared" si="49"/>
        <v>0</v>
      </c>
    </row>
    <row r="357" spans="1:59" s="8" customFormat="1" ht="22.5" customHeight="1">
      <c r="A357" s="9"/>
      <c r="B357" s="16" t="s">
        <v>120</v>
      </c>
      <c r="C357" s="89" t="s">
        <v>494</v>
      </c>
      <c r="D357" s="111" t="s">
        <v>200</v>
      </c>
      <c r="E357" s="112" t="s">
        <v>516</v>
      </c>
      <c r="F357" s="113" t="s">
        <v>1652</v>
      </c>
      <c r="G357" s="113" t="s">
        <v>1653</v>
      </c>
      <c r="H357" s="96"/>
      <c r="I357" s="9"/>
      <c r="J357" s="9" t="s">
        <v>67</v>
      </c>
      <c r="K357" s="14"/>
      <c r="L357" s="14"/>
      <c r="M357" s="12"/>
      <c r="N357" s="9"/>
      <c r="O357" s="9"/>
      <c r="P357" s="9"/>
      <c r="Q357" s="38">
        <f t="shared" si="45"/>
        <v>0</v>
      </c>
      <c r="R357" s="12"/>
      <c r="S357" s="42"/>
      <c r="T357" s="15"/>
      <c r="U357" s="44"/>
      <c r="V357" s="15"/>
      <c r="W357" s="44"/>
      <c r="X357" s="15">
        <f t="shared" si="46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7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8"/>
        <v>0</v>
      </c>
      <c r="BC357" s="15"/>
      <c r="BD357" s="44"/>
      <c r="BE357" s="15"/>
      <c r="BF357" s="44"/>
      <c r="BG357" s="15">
        <f t="shared" si="49"/>
        <v>0</v>
      </c>
    </row>
    <row r="358" spans="1:59" s="8" customFormat="1" ht="22.5" customHeight="1">
      <c r="A358" s="9"/>
      <c r="B358" s="16" t="s">
        <v>120</v>
      </c>
      <c r="C358" s="89" t="s">
        <v>494</v>
      </c>
      <c r="D358" s="111" t="s">
        <v>517</v>
      </c>
      <c r="E358" s="112" t="s">
        <v>518</v>
      </c>
      <c r="F358" s="113" t="s">
        <v>1654</v>
      </c>
      <c r="G358" s="113" t="s">
        <v>1655</v>
      </c>
      <c r="H358" s="96"/>
      <c r="I358" s="9"/>
      <c r="J358" s="9" t="s">
        <v>67</v>
      </c>
      <c r="K358" s="14"/>
      <c r="L358" s="14"/>
      <c r="M358" s="12">
        <v>500</v>
      </c>
      <c r="N358" s="9"/>
      <c r="O358" s="9"/>
      <c r="P358" s="9"/>
      <c r="Q358" s="38">
        <f t="shared" si="45"/>
        <v>500</v>
      </c>
      <c r="R358" s="12"/>
      <c r="S358" s="42"/>
      <c r="T358" s="15"/>
      <c r="U358" s="44"/>
      <c r="V358" s="15"/>
      <c r="W358" s="44"/>
      <c r="X358" s="15">
        <f t="shared" si="46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7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8"/>
        <v>0</v>
      </c>
      <c r="BC358" s="15"/>
      <c r="BD358" s="44"/>
      <c r="BE358" s="15"/>
      <c r="BF358" s="44"/>
      <c r="BG358" s="15">
        <f t="shared" si="49"/>
        <v>0</v>
      </c>
    </row>
    <row r="359" spans="1:59" s="8" customFormat="1" ht="22.5" customHeight="1">
      <c r="A359" s="9"/>
      <c r="B359" s="16" t="s">
        <v>120</v>
      </c>
      <c r="C359" s="89" t="s">
        <v>494</v>
      </c>
      <c r="D359" s="111" t="s">
        <v>519</v>
      </c>
      <c r="E359" s="112" t="s">
        <v>520</v>
      </c>
      <c r="F359" s="113" t="s">
        <v>1656</v>
      </c>
      <c r="G359" s="113" t="s">
        <v>1657</v>
      </c>
      <c r="H359" s="96"/>
      <c r="I359" s="9"/>
      <c r="J359" s="9" t="s">
        <v>67</v>
      </c>
      <c r="K359" s="14"/>
      <c r="L359" s="14"/>
      <c r="M359" s="12">
        <v>483</v>
      </c>
      <c r="N359" s="9"/>
      <c r="O359" s="9"/>
      <c r="P359" s="9"/>
      <c r="Q359" s="38">
        <f t="shared" si="45"/>
        <v>483</v>
      </c>
      <c r="R359" s="12"/>
      <c r="S359" s="42"/>
      <c r="T359" s="15"/>
      <c r="U359" s="44"/>
      <c r="V359" s="15"/>
      <c r="W359" s="44"/>
      <c r="X359" s="15">
        <f t="shared" si="46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7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8"/>
        <v>0</v>
      </c>
      <c r="BC359" s="15"/>
      <c r="BD359" s="44"/>
      <c r="BE359" s="15"/>
      <c r="BF359" s="44"/>
      <c r="BG359" s="15">
        <f t="shared" si="49"/>
        <v>0</v>
      </c>
    </row>
    <row r="360" spans="1:59" s="8" customFormat="1" ht="22.5" customHeight="1">
      <c r="A360" s="9"/>
      <c r="B360" s="16" t="s">
        <v>120</v>
      </c>
      <c r="C360" s="89" t="s">
        <v>52</v>
      </c>
      <c r="D360" s="111" t="s">
        <v>270</v>
      </c>
      <c r="E360" s="112" t="s">
        <v>521</v>
      </c>
      <c r="F360" s="113" t="s">
        <v>1658</v>
      </c>
      <c r="G360" s="113" t="s">
        <v>1659</v>
      </c>
      <c r="H360" s="96"/>
      <c r="I360" s="9"/>
      <c r="J360" s="9" t="s">
        <v>67</v>
      </c>
      <c r="K360" s="14"/>
      <c r="L360" s="14"/>
      <c r="M360" s="12"/>
      <c r="N360" s="9"/>
      <c r="O360" s="9"/>
      <c r="P360" s="9"/>
      <c r="Q360" s="38">
        <f t="shared" si="45"/>
        <v>0</v>
      </c>
      <c r="R360" s="12"/>
      <c r="S360" s="42"/>
      <c r="T360" s="15"/>
      <c r="U360" s="44"/>
      <c r="V360" s="15"/>
      <c r="W360" s="44"/>
      <c r="X360" s="15">
        <f t="shared" si="46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7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8"/>
        <v>0</v>
      </c>
      <c r="BC360" s="15"/>
      <c r="BD360" s="44"/>
      <c r="BE360" s="15"/>
      <c r="BF360" s="44"/>
      <c r="BG360" s="15">
        <f t="shared" si="49"/>
        <v>0</v>
      </c>
    </row>
    <row r="361" spans="1:59" s="8" customFormat="1" ht="22.5" customHeight="1">
      <c r="A361" s="9"/>
      <c r="B361" s="16" t="s">
        <v>120</v>
      </c>
      <c r="C361" s="89" t="s">
        <v>52</v>
      </c>
      <c r="D361" s="80" t="s">
        <v>1660</v>
      </c>
      <c r="E361" s="13"/>
      <c r="H361" s="9"/>
      <c r="I361" s="9"/>
      <c r="J361" s="9" t="s">
        <v>67</v>
      </c>
      <c r="K361" s="38">
        <v>0</v>
      </c>
      <c r="L361" s="15">
        <v>0</v>
      </c>
      <c r="M361" s="15">
        <v>227</v>
      </c>
      <c r="N361" s="15"/>
      <c r="O361" s="42"/>
      <c r="P361" s="15"/>
      <c r="Q361" s="38">
        <f t="shared" si="45"/>
        <v>227</v>
      </c>
      <c r="R361" s="15">
        <v>0</v>
      </c>
      <c r="S361" s="15">
        <v>0</v>
      </c>
      <c r="T361" s="15"/>
      <c r="U361" s="42"/>
      <c r="V361" s="15"/>
      <c r="W361" s="42"/>
      <c r="X361" s="15">
        <f t="shared" si="46"/>
        <v>0</v>
      </c>
      <c r="Y361" s="42"/>
      <c r="Z361" s="15"/>
      <c r="AA361" s="42"/>
      <c r="AB361" s="15"/>
      <c r="AC361" s="42"/>
      <c r="AD361" s="15"/>
      <c r="AE361" s="42"/>
      <c r="AF361" s="15"/>
      <c r="AG361" s="15">
        <f t="shared" si="47"/>
        <v>0</v>
      </c>
      <c r="AH361" s="15"/>
      <c r="AI361" s="15"/>
    </row>
    <row r="362" spans="1:59" s="8" customFormat="1" ht="22.5" customHeight="1">
      <c r="A362" s="9"/>
      <c r="B362" s="16" t="s">
        <v>120</v>
      </c>
      <c r="C362" s="89" t="s">
        <v>494</v>
      </c>
      <c r="D362" s="111" t="s">
        <v>522</v>
      </c>
      <c r="E362" s="112" t="s">
        <v>523</v>
      </c>
      <c r="F362" s="113" t="s">
        <v>1661</v>
      </c>
      <c r="G362" s="113" t="s">
        <v>1662</v>
      </c>
      <c r="H362" s="96"/>
      <c r="I362" s="9"/>
      <c r="J362" s="9" t="s">
        <v>67</v>
      </c>
      <c r="K362" s="14"/>
      <c r="L362" s="14"/>
      <c r="M362" s="12">
        <v>152</v>
      </c>
      <c r="N362" s="9"/>
      <c r="O362" s="9"/>
      <c r="P362" s="9"/>
      <c r="Q362" s="38">
        <f t="shared" si="45"/>
        <v>152</v>
      </c>
      <c r="R362" s="12"/>
      <c r="S362" s="42"/>
      <c r="T362" s="15"/>
      <c r="U362" s="44"/>
      <c r="V362" s="15"/>
      <c r="W362" s="44"/>
      <c r="X362" s="15">
        <f t="shared" si="46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7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ref="BB362:BB367" si="50">AH362+AJ362+AL362+AN362+AP362+AR362+AT362+AV362+AX362+AZ362</f>
        <v>0</v>
      </c>
      <c r="BC362" s="15"/>
      <c r="BD362" s="44"/>
      <c r="BE362" s="15"/>
      <c r="BF362" s="44"/>
      <c r="BG362" s="15">
        <f t="shared" ref="BG362:BG367" si="51">(BC362+BE362)</f>
        <v>0</v>
      </c>
    </row>
    <row r="363" spans="1:59" s="8" customFormat="1" ht="22.5" customHeight="1">
      <c r="A363" s="9"/>
      <c r="B363" s="16" t="s">
        <v>120</v>
      </c>
      <c r="C363" s="89" t="s">
        <v>52</v>
      </c>
      <c r="D363" s="111" t="s">
        <v>524</v>
      </c>
      <c r="E363" s="112" t="s">
        <v>525</v>
      </c>
      <c r="F363" s="113" t="s">
        <v>1663</v>
      </c>
      <c r="G363" s="113" t="s">
        <v>1664</v>
      </c>
      <c r="H363" s="96"/>
      <c r="I363" s="9"/>
      <c r="J363" s="9" t="s">
        <v>67</v>
      </c>
      <c r="K363" s="14"/>
      <c r="L363" s="14"/>
      <c r="M363" s="12">
        <v>620</v>
      </c>
      <c r="N363" s="9"/>
      <c r="O363" s="9"/>
      <c r="P363" s="9"/>
      <c r="Q363" s="38">
        <f t="shared" si="45"/>
        <v>620</v>
      </c>
      <c r="R363" s="12"/>
      <c r="S363" s="42"/>
      <c r="T363" s="15"/>
      <c r="U363" s="44"/>
      <c r="V363" s="15"/>
      <c r="W363" s="44"/>
      <c r="X363" s="15">
        <f t="shared" si="46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7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50"/>
        <v>0</v>
      </c>
      <c r="BC363" s="15"/>
      <c r="BD363" s="44"/>
      <c r="BE363" s="15"/>
      <c r="BF363" s="44"/>
      <c r="BG363" s="15">
        <f t="shared" si="51"/>
        <v>0</v>
      </c>
    </row>
    <row r="364" spans="1:59" s="8" customFormat="1" ht="22.5" customHeight="1">
      <c r="A364" s="9"/>
      <c r="B364" s="16" t="s">
        <v>187</v>
      </c>
      <c r="C364" s="89" t="s">
        <v>494</v>
      </c>
      <c r="D364" s="111" t="s">
        <v>526</v>
      </c>
      <c r="E364" s="112" t="s">
        <v>499</v>
      </c>
      <c r="F364" s="113" t="s">
        <v>1665</v>
      </c>
      <c r="G364" s="113" t="s">
        <v>1666</v>
      </c>
      <c r="H364" s="96"/>
      <c r="I364" s="9"/>
      <c r="J364" s="9" t="s">
        <v>527</v>
      </c>
      <c r="K364" s="14"/>
      <c r="L364" s="14"/>
      <c r="M364" s="12"/>
      <c r="N364" s="9"/>
      <c r="O364" s="9"/>
      <c r="P364" s="9"/>
      <c r="Q364" s="38">
        <f t="shared" si="45"/>
        <v>0</v>
      </c>
      <c r="R364" s="12"/>
      <c r="S364" s="42"/>
      <c r="T364" s="15"/>
      <c r="U364" s="44"/>
      <c r="V364" s="15"/>
      <c r="W364" s="44"/>
      <c r="X364" s="15">
        <f t="shared" si="46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7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>
        <f t="shared" si="50"/>
        <v>0</v>
      </c>
      <c r="BC364" s="15"/>
      <c r="BD364" s="44"/>
      <c r="BE364" s="15"/>
      <c r="BF364" s="44"/>
      <c r="BG364" s="15">
        <f t="shared" si="51"/>
        <v>0</v>
      </c>
    </row>
    <row r="365" spans="1:59" s="8" customFormat="1" ht="22.5" customHeight="1">
      <c r="A365" s="9"/>
      <c r="B365" s="16" t="s">
        <v>528</v>
      </c>
      <c r="C365" s="89" t="s">
        <v>494</v>
      </c>
      <c r="D365" s="111" t="s">
        <v>529</v>
      </c>
      <c r="E365" s="112" t="s">
        <v>499</v>
      </c>
      <c r="F365" s="113" t="s">
        <v>1667</v>
      </c>
      <c r="G365" s="113" t="s">
        <v>1668</v>
      </c>
      <c r="H365" s="96"/>
      <c r="I365" s="9"/>
      <c r="J365" s="9" t="s">
        <v>527</v>
      </c>
      <c r="K365" s="14"/>
      <c r="L365" s="14"/>
      <c r="M365" s="12"/>
      <c r="N365" s="9"/>
      <c r="O365" s="9"/>
      <c r="P365" s="9"/>
      <c r="Q365" s="38">
        <f t="shared" si="45"/>
        <v>0</v>
      </c>
      <c r="R365" s="12"/>
      <c r="S365" s="42"/>
      <c r="T365" s="15"/>
      <c r="U365" s="44"/>
      <c r="V365" s="15"/>
      <c r="W365" s="44"/>
      <c r="X365" s="15">
        <f t="shared" si="46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7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si="50"/>
        <v>0</v>
      </c>
      <c r="BC365" s="15"/>
      <c r="BD365" s="44"/>
      <c r="BE365" s="15"/>
      <c r="BF365" s="44"/>
      <c r="BG365" s="15">
        <f t="shared" si="51"/>
        <v>0</v>
      </c>
    </row>
    <row r="366" spans="1:59" s="8" customFormat="1" ht="22.5" customHeight="1">
      <c r="A366" s="9"/>
      <c r="B366" s="16" t="s">
        <v>204</v>
      </c>
      <c r="C366" s="89" t="s">
        <v>52</v>
      </c>
      <c r="D366" s="111" t="s">
        <v>530</v>
      </c>
      <c r="E366" s="112" t="s">
        <v>531</v>
      </c>
      <c r="F366" s="113" t="s">
        <v>1669</v>
      </c>
      <c r="G366" s="113" t="s">
        <v>1670</v>
      </c>
      <c r="H366" s="96"/>
      <c r="I366" s="9"/>
      <c r="J366" s="9" t="s">
        <v>207</v>
      </c>
      <c r="K366" s="14"/>
      <c r="L366" s="14"/>
      <c r="M366" s="12">
        <v>348</v>
      </c>
      <c r="N366" s="9"/>
      <c r="O366" s="9"/>
      <c r="P366" s="9"/>
      <c r="Q366" s="38">
        <f t="shared" si="45"/>
        <v>348</v>
      </c>
      <c r="R366" s="12"/>
      <c r="S366" s="42"/>
      <c r="T366" s="15"/>
      <c r="U366" s="44"/>
      <c r="V366" s="15"/>
      <c r="W366" s="44"/>
      <c r="X366" s="15">
        <f t="shared" si="46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7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50"/>
        <v>0</v>
      </c>
      <c r="BC366" s="15"/>
      <c r="BD366" s="44"/>
      <c r="BE366" s="15"/>
      <c r="BF366" s="44"/>
      <c r="BG366" s="15">
        <f t="shared" si="51"/>
        <v>0</v>
      </c>
    </row>
    <row r="367" spans="1:59" s="8" customFormat="1" ht="22.5" customHeight="1">
      <c r="A367" s="9"/>
      <c r="B367" s="16" t="s">
        <v>204</v>
      </c>
      <c r="C367" s="89" t="s">
        <v>52</v>
      </c>
      <c r="D367" s="111" t="s">
        <v>532</v>
      </c>
      <c r="E367" s="112" t="s">
        <v>531</v>
      </c>
      <c r="F367" s="113" t="s">
        <v>1671</v>
      </c>
      <c r="G367" s="113" t="s">
        <v>1672</v>
      </c>
      <c r="H367" s="96"/>
      <c r="I367" s="9"/>
      <c r="J367" s="9" t="s">
        <v>207</v>
      </c>
      <c r="K367" s="14"/>
      <c r="L367" s="14"/>
      <c r="M367" s="12">
        <v>326</v>
      </c>
      <c r="N367" s="9"/>
      <c r="O367" s="9"/>
      <c r="P367" s="9"/>
      <c r="Q367" s="38">
        <f t="shared" si="45"/>
        <v>326</v>
      </c>
      <c r="R367" s="12"/>
      <c r="S367" s="42"/>
      <c r="T367" s="15"/>
      <c r="U367" s="44"/>
      <c r="V367" s="15"/>
      <c r="W367" s="44"/>
      <c r="X367" s="15">
        <f t="shared" si="46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7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50"/>
        <v>0</v>
      </c>
      <c r="BC367" s="15"/>
      <c r="BD367" s="44"/>
      <c r="BE367" s="15"/>
      <c r="BF367" s="44"/>
      <c r="BG367" s="15">
        <f t="shared" si="51"/>
        <v>0</v>
      </c>
    </row>
    <row r="368" spans="1:59" s="8" customFormat="1" ht="22.5" customHeight="1">
      <c r="A368" s="9"/>
      <c r="B368" s="16" t="s">
        <v>204</v>
      </c>
      <c r="C368" s="89" t="s">
        <v>52</v>
      </c>
      <c r="D368" s="80" t="s">
        <v>1673</v>
      </c>
      <c r="E368" s="13"/>
      <c r="H368" s="96"/>
      <c r="I368" s="9"/>
      <c r="J368" s="9" t="s">
        <v>207</v>
      </c>
      <c r="K368" s="14"/>
      <c r="L368" s="14"/>
      <c r="M368" s="12">
        <v>34</v>
      </c>
      <c r="N368" s="9"/>
      <c r="O368" s="9"/>
      <c r="P368" s="9"/>
      <c r="Q368" s="38">
        <f t="shared" si="45"/>
        <v>34</v>
      </c>
      <c r="R368" s="12"/>
      <c r="S368" s="42"/>
      <c r="T368" s="15"/>
      <c r="U368" s="44"/>
      <c r="V368" s="15"/>
      <c r="W368" s="44"/>
      <c r="X368" s="15">
        <f t="shared" si="46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7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/>
      <c r="BC368" s="15"/>
      <c r="BD368" s="44"/>
      <c r="BE368" s="15"/>
      <c r="BF368" s="44"/>
      <c r="BG368" s="15"/>
    </row>
    <row r="369" spans="1:59" s="8" customFormat="1" ht="22.5" customHeight="1">
      <c r="A369" s="9"/>
      <c r="B369" s="16" t="s">
        <v>204</v>
      </c>
      <c r="C369" s="89" t="s">
        <v>52</v>
      </c>
      <c r="D369" s="111" t="s">
        <v>533</v>
      </c>
      <c r="E369" s="112" t="s">
        <v>1674</v>
      </c>
      <c r="F369" s="113" t="s">
        <v>1675</v>
      </c>
      <c r="G369" s="113" t="s">
        <v>1676</v>
      </c>
      <c r="H369" s="96"/>
      <c r="I369" s="9"/>
      <c r="J369" s="9" t="s">
        <v>207</v>
      </c>
      <c r="K369" s="14"/>
      <c r="L369" s="14"/>
      <c r="M369" s="12">
        <v>303</v>
      </c>
      <c r="N369" s="9"/>
      <c r="O369" s="9"/>
      <c r="P369" s="9"/>
      <c r="Q369" s="38">
        <f t="shared" si="45"/>
        <v>303</v>
      </c>
      <c r="R369" s="12"/>
      <c r="S369" s="42"/>
      <c r="T369" s="15"/>
      <c r="U369" s="44"/>
      <c r="V369" s="15"/>
      <c r="W369" s="44"/>
      <c r="X369" s="15">
        <f t="shared" si="46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7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ref="BB369:BB393" si="52">AH369+AJ369+AL369+AN369+AP369+AR369+AT369+AV369+AX369+AZ369</f>
        <v>0</v>
      </c>
      <c r="BC369" s="15"/>
      <c r="BD369" s="44"/>
      <c r="BE369" s="15"/>
      <c r="BF369" s="44"/>
      <c r="BG369" s="15">
        <f t="shared" ref="BG369:BG393" si="53">(BC369+BE369)</f>
        <v>0</v>
      </c>
    </row>
    <row r="370" spans="1:59" s="8" customFormat="1" ht="22.5" customHeight="1">
      <c r="A370" s="9"/>
      <c r="B370" s="16" t="s">
        <v>204</v>
      </c>
      <c r="C370" s="89" t="s">
        <v>52</v>
      </c>
      <c r="D370" s="80" t="s">
        <v>533</v>
      </c>
      <c r="E370" s="13" t="s">
        <v>534</v>
      </c>
      <c r="F370" s="105" t="s">
        <v>1675</v>
      </c>
      <c r="G370" s="105"/>
      <c r="H370" s="96"/>
      <c r="I370" s="9"/>
      <c r="J370" s="9" t="s">
        <v>207</v>
      </c>
      <c r="K370" s="14"/>
      <c r="L370" s="14"/>
      <c r="M370" s="12"/>
      <c r="N370" s="9"/>
      <c r="O370" s="9"/>
      <c r="P370" s="9"/>
      <c r="Q370" s="38">
        <f t="shared" si="45"/>
        <v>0</v>
      </c>
      <c r="R370" s="12"/>
      <c r="S370" s="42"/>
      <c r="T370" s="15"/>
      <c r="U370" s="44"/>
      <c r="V370" s="15"/>
      <c r="W370" s="44"/>
      <c r="X370" s="15">
        <f t="shared" si="46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7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52"/>
        <v>0</v>
      </c>
      <c r="BC370" s="15"/>
      <c r="BD370" s="44"/>
      <c r="BE370" s="15"/>
      <c r="BF370" s="44"/>
      <c r="BG370" s="15">
        <f t="shared" si="53"/>
        <v>0</v>
      </c>
    </row>
    <row r="371" spans="1:59" s="8" customFormat="1" ht="22.5" customHeight="1">
      <c r="A371" s="9"/>
      <c r="B371" s="16" t="s">
        <v>204</v>
      </c>
      <c r="C371" s="89" t="s">
        <v>52</v>
      </c>
      <c r="D371" s="80" t="s">
        <v>535</v>
      </c>
      <c r="E371" s="13" t="s">
        <v>210</v>
      </c>
      <c r="F371" s="105" t="s">
        <v>1677</v>
      </c>
      <c r="G371" s="105"/>
      <c r="H371" s="96"/>
      <c r="I371" s="9"/>
      <c r="J371" s="9" t="s">
        <v>231</v>
      </c>
      <c r="K371" s="14"/>
      <c r="L371" s="14"/>
      <c r="M371" s="12"/>
      <c r="N371" s="9"/>
      <c r="O371" s="9"/>
      <c r="P371" s="9"/>
      <c r="Q371" s="38">
        <f t="shared" si="45"/>
        <v>0</v>
      </c>
      <c r="R371" s="12"/>
      <c r="S371" s="42"/>
      <c r="T371" s="15"/>
      <c r="U371" s="44"/>
      <c r="V371" s="15"/>
      <c r="W371" s="44"/>
      <c r="X371" s="15">
        <f t="shared" si="46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7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52"/>
        <v>0</v>
      </c>
      <c r="BC371" s="15"/>
      <c r="BD371" s="44"/>
      <c r="BE371" s="15"/>
      <c r="BF371" s="44"/>
      <c r="BG371" s="15">
        <f t="shared" si="53"/>
        <v>0</v>
      </c>
    </row>
    <row r="372" spans="1:59" s="8" customFormat="1" ht="22.5" customHeight="1">
      <c r="A372" s="9"/>
      <c r="B372" s="16" t="s">
        <v>204</v>
      </c>
      <c r="C372" s="89" t="s">
        <v>52</v>
      </c>
      <c r="D372" s="111" t="s">
        <v>536</v>
      </c>
      <c r="E372" s="112" t="s">
        <v>537</v>
      </c>
      <c r="F372" s="113" t="s">
        <v>1678</v>
      </c>
      <c r="G372" s="113" t="s">
        <v>1679</v>
      </c>
      <c r="H372" s="96"/>
      <c r="I372" s="9"/>
      <c r="J372" s="9" t="s">
        <v>207</v>
      </c>
      <c r="K372" s="14"/>
      <c r="L372" s="14"/>
      <c r="M372" s="12">
        <v>673</v>
      </c>
      <c r="N372" s="9"/>
      <c r="O372" s="9"/>
      <c r="P372" s="9"/>
      <c r="Q372" s="38">
        <f t="shared" si="45"/>
        <v>673</v>
      </c>
      <c r="R372" s="12"/>
      <c r="S372" s="42"/>
      <c r="T372" s="15"/>
      <c r="U372" s="44"/>
      <c r="V372" s="15"/>
      <c r="W372" s="44"/>
      <c r="X372" s="15">
        <f t="shared" si="46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7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52"/>
        <v>0</v>
      </c>
      <c r="BC372" s="15"/>
      <c r="BD372" s="44"/>
      <c r="BE372" s="15"/>
      <c r="BF372" s="44"/>
      <c r="BG372" s="15">
        <f t="shared" si="53"/>
        <v>0</v>
      </c>
    </row>
    <row r="373" spans="1:59" s="8" customFormat="1" ht="22.5" customHeight="1">
      <c r="A373" s="9"/>
      <c r="B373" s="16" t="s">
        <v>204</v>
      </c>
      <c r="C373" s="89" t="s">
        <v>52</v>
      </c>
      <c r="D373" s="111" t="s">
        <v>538</v>
      </c>
      <c r="E373" s="112" t="s">
        <v>531</v>
      </c>
      <c r="F373" s="113" t="s">
        <v>1680</v>
      </c>
      <c r="G373" s="113" t="s">
        <v>1681</v>
      </c>
      <c r="H373" s="96"/>
      <c r="I373" s="9"/>
      <c r="J373" s="9" t="s">
        <v>207</v>
      </c>
      <c r="K373" s="14"/>
      <c r="L373" s="14"/>
      <c r="M373" s="12">
        <v>178</v>
      </c>
      <c r="N373" s="9"/>
      <c r="O373" s="9"/>
      <c r="P373" s="9"/>
      <c r="Q373" s="38">
        <f t="shared" si="45"/>
        <v>178</v>
      </c>
      <c r="R373" s="12"/>
      <c r="S373" s="42"/>
      <c r="T373" s="15"/>
      <c r="U373" s="44"/>
      <c r="V373" s="15"/>
      <c r="W373" s="44"/>
      <c r="X373" s="15">
        <f t="shared" si="46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7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52"/>
        <v>0</v>
      </c>
      <c r="BC373" s="15"/>
      <c r="BD373" s="44"/>
      <c r="BE373" s="15"/>
      <c r="BF373" s="44"/>
      <c r="BG373" s="15">
        <f t="shared" si="53"/>
        <v>0</v>
      </c>
    </row>
    <row r="374" spans="1:59" s="8" customFormat="1" ht="22.5" customHeight="1">
      <c r="A374" s="9"/>
      <c r="B374" s="16" t="s">
        <v>204</v>
      </c>
      <c r="C374" s="89" t="s">
        <v>52</v>
      </c>
      <c r="D374" s="111" t="s">
        <v>539</v>
      </c>
      <c r="E374" s="112" t="s">
        <v>531</v>
      </c>
      <c r="F374" s="113" t="s">
        <v>1682</v>
      </c>
      <c r="G374" s="113" t="s">
        <v>1683</v>
      </c>
      <c r="H374" s="96"/>
      <c r="I374" s="9"/>
      <c r="J374" s="9" t="s">
        <v>207</v>
      </c>
      <c r="K374" s="14"/>
      <c r="L374" s="14"/>
      <c r="M374" s="12">
        <v>263</v>
      </c>
      <c r="N374" s="9"/>
      <c r="O374" s="9"/>
      <c r="P374" s="9"/>
      <c r="Q374" s="38">
        <f t="shared" si="45"/>
        <v>263</v>
      </c>
      <c r="R374" s="12"/>
      <c r="S374" s="42"/>
      <c r="T374" s="15"/>
      <c r="U374" s="44"/>
      <c r="V374" s="15"/>
      <c r="W374" s="44"/>
      <c r="X374" s="15">
        <f t="shared" si="46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7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52"/>
        <v>0</v>
      </c>
      <c r="BC374" s="15"/>
      <c r="BD374" s="44"/>
      <c r="BE374" s="15"/>
      <c r="BF374" s="44"/>
      <c r="BG374" s="15">
        <f t="shared" si="53"/>
        <v>0</v>
      </c>
    </row>
    <row r="375" spans="1:59" s="8" customFormat="1" ht="22.5" customHeight="1">
      <c r="A375" s="9"/>
      <c r="B375" s="16" t="s">
        <v>204</v>
      </c>
      <c r="C375" s="89" t="s">
        <v>52</v>
      </c>
      <c r="D375" s="111" t="s">
        <v>540</v>
      </c>
      <c r="E375" s="112" t="s">
        <v>531</v>
      </c>
      <c r="F375" s="113" t="s">
        <v>1684</v>
      </c>
      <c r="G375" s="113" t="s">
        <v>1685</v>
      </c>
      <c r="H375" s="96"/>
      <c r="I375" s="9"/>
      <c r="J375" s="9" t="s">
        <v>207</v>
      </c>
      <c r="K375" s="14"/>
      <c r="L375" s="14"/>
      <c r="M375" s="12">
        <v>293</v>
      </c>
      <c r="N375" s="9"/>
      <c r="O375" s="9"/>
      <c r="P375" s="9"/>
      <c r="Q375" s="38">
        <f t="shared" si="45"/>
        <v>293</v>
      </c>
      <c r="R375" s="12"/>
      <c r="S375" s="42"/>
      <c r="T375" s="15"/>
      <c r="U375" s="44"/>
      <c r="V375" s="15"/>
      <c r="W375" s="44"/>
      <c r="X375" s="15">
        <f t="shared" si="46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7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52"/>
        <v>0</v>
      </c>
      <c r="BC375" s="15"/>
      <c r="BD375" s="44"/>
      <c r="BE375" s="15"/>
      <c r="BF375" s="44"/>
      <c r="BG375" s="15">
        <f t="shared" si="53"/>
        <v>0</v>
      </c>
    </row>
    <row r="376" spans="1:59" s="8" customFormat="1" ht="22.5" customHeight="1">
      <c r="A376" s="9"/>
      <c r="B376" s="16" t="s">
        <v>204</v>
      </c>
      <c r="C376" s="89" t="s">
        <v>52</v>
      </c>
      <c r="D376" s="111" t="s">
        <v>541</v>
      </c>
      <c r="E376" s="112" t="s">
        <v>531</v>
      </c>
      <c r="F376" s="113" t="s">
        <v>1686</v>
      </c>
      <c r="G376" s="113" t="s">
        <v>1687</v>
      </c>
      <c r="H376" s="96"/>
      <c r="I376" s="9"/>
      <c r="J376" s="9" t="s">
        <v>207</v>
      </c>
      <c r="K376" s="14"/>
      <c r="L376" s="14"/>
      <c r="M376" s="12">
        <v>953</v>
      </c>
      <c r="N376" s="9"/>
      <c r="O376" s="9"/>
      <c r="P376" s="9"/>
      <c r="Q376" s="38">
        <f t="shared" si="45"/>
        <v>953</v>
      </c>
      <c r="R376" s="12"/>
      <c r="S376" s="42"/>
      <c r="T376" s="15"/>
      <c r="U376" s="44"/>
      <c r="V376" s="15"/>
      <c r="W376" s="44"/>
      <c r="X376" s="15">
        <f t="shared" si="46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7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52"/>
        <v>0</v>
      </c>
      <c r="BC376" s="15"/>
      <c r="BD376" s="44"/>
      <c r="BE376" s="15"/>
      <c r="BF376" s="44"/>
      <c r="BG376" s="15">
        <f t="shared" si="53"/>
        <v>0</v>
      </c>
    </row>
    <row r="377" spans="1:59" s="8" customFormat="1" ht="22.5" customHeight="1">
      <c r="A377" s="9"/>
      <c r="B377" s="16" t="s">
        <v>204</v>
      </c>
      <c r="C377" s="89" t="s">
        <v>52</v>
      </c>
      <c r="D377" s="111" t="s">
        <v>542</v>
      </c>
      <c r="E377" s="112" t="s">
        <v>206</v>
      </c>
      <c r="F377" s="113" t="s">
        <v>1688</v>
      </c>
      <c r="G377" s="113" t="s">
        <v>1689</v>
      </c>
      <c r="H377" s="96"/>
      <c r="I377" s="9"/>
      <c r="J377" s="9" t="s">
        <v>207</v>
      </c>
      <c r="K377" s="14"/>
      <c r="L377" s="14"/>
      <c r="M377" s="12">
        <v>329</v>
      </c>
      <c r="N377" s="9"/>
      <c r="O377" s="9"/>
      <c r="P377" s="9"/>
      <c r="Q377" s="38">
        <f t="shared" si="45"/>
        <v>329</v>
      </c>
      <c r="R377" s="12"/>
      <c r="S377" s="42"/>
      <c r="T377" s="15"/>
      <c r="U377" s="44"/>
      <c r="V377" s="15"/>
      <c r="W377" s="44"/>
      <c r="X377" s="15">
        <f t="shared" si="46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7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52"/>
        <v>0</v>
      </c>
      <c r="BC377" s="15"/>
      <c r="BD377" s="44"/>
      <c r="BE377" s="15"/>
      <c r="BF377" s="44"/>
      <c r="BG377" s="15">
        <f t="shared" si="53"/>
        <v>0</v>
      </c>
    </row>
    <row r="378" spans="1:59" s="8" customFormat="1" ht="22.5" customHeight="1">
      <c r="A378" s="9"/>
      <c r="B378" s="16" t="s">
        <v>204</v>
      </c>
      <c r="C378" s="89" t="s">
        <v>52</v>
      </c>
      <c r="D378" s="111" t="s">
        <v>543</v>
      </c>
      <c r="E378" s="112" t="s">
        <v>531</v>
      </c>
      <c r="F378" s="113" t="s">
        <v>1690</v>
      </c>
      <c r="G378" s="113" t="s">
        <v>1691</v>
      </c>
      <c r="H378" s="96"/>
      <c r="I378" s="9"/>
      <c r="J378" s="9" t="s">
        <v>207</v>
      </c>
      <c r="K378" s="14"/>
      <c r="L378" s="14"/>
      <c r="M378" s="12"/>
      <c r="N378" s="9"/>
      <c r="O378" s="9"/>
      <c r="P378" s="9"/>
      <c r="Q378" s="38">
        <f t="shared" si="45"/>
        <v>0</v>
      </c>
      <c r="R378" s="12"/>
      <c r="S378" s="42"/>
      <c r="T378" s="15"/>
      <c r="U378" s="44"/>
      <c r="V378" s="15"/>
      <c r="W378" s="44"/>
      <c r="X378" s="15">
        <f t="shared" si="46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7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52"/>
        <v>0</v>
      </c>
      <c r="BC378" s="15"/>
      <c r="BD378" s="44"/>
      <c r="BE378" s="15"/>
      <c r="BF378" s="44"/>
      <c r="BG378" s="15">
        <f t="shared" si="53"/>
        <v>0</v>
      </c>
    </row>
    <row r="379" spans="1:59" s="8" customFormat="1" ht="22.5" customHeight="1">
      <c r="A379" s="9"/>
      <c r="B379" s="16" t="s">
        <v>204</v>
      </c>
      <c r="C379" s="89" t="s">
        <v>52</v>
      </c>
      <c r="D379" s="111" t="s">
        <v>544</v>
      </c>
      <c r="E379" s="112" t="s">
        <v>531</v>
      </c>
      <c r="F379" s="113" t="s">
        <v>1692</v>
      </c>
      <c r="G379" s="113" t="s">
        <v>1693</v>
      </c>
      <c r="H379" s="96"/>
      <c r="I379" s="9"/>
      <c r="J379" s="9" t="s">
        <v>207</v>
      </c>
      <c r="K379" s="14"/>
      <c r="L379" s="14"/>
      <c r="M379" s="12">
        <v>424</v>
      </c>
      <c r="N379" s="9"/>
      <c r="O379" s="9"/>
      <c r="P379" s="9"/>
      <c r="Q379" s="38">
        <f t="shared" si="45"/>
        <v>424</v>
      </c>
      <c r="R379" s="12"/>
      <c r="S379" s="42"/>
      <c r="T379" s="15"/>
      <c r="U379" s="44"/>
      <c r="V379" s="15"/>
      <c r="W379" s="44"/>
      <c r="X379" s="15">
        <f t="shared" si="46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7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52"/>
        <v>0</v>
      </c>
      <c r="BC379" s="15"/>
      <c r="BD379" s="44"/>
      <c r="BE379" s="15"/>
      <c r="BF379" s="44"/>
      <c r="BG379" s="15">
        <f t="shared" si="53"/>
        <v>0</v>
      </c>
    </row>
    <row r="380" spans="1:59" s="8" customFormat="1" ht="22.5" customHeight="1">
      <c r="A380" s="9"/>
      <c r="B380" s="16" t="s">
        <v>204</v>
      </c>
      <c r="C380" s="89" t="s">
        <v>52</v>
      </c>
      <c r="D380" s="111" t="s">
        <v>545</v>
      </c>
      <c r="E380" s="112" t="s">
        <v>531</v>
      </c>
      <c r="F380" s="113" t="s">
        <v>1694</v>
      </c>
      <c r="G380" s="113" t="s">
        <v>1695</v>
      </c>
      <c r="H380" s="96"/>
      <c r="I380" s="9"/>
      <c r="J380" s="9" t="s">
        <v>207</v>
      </c>
      <c r="K380" s="14"/>
      <c r="L380" s="14"/>
      <c r="M380" s="12">
        <v>8</v>
      </c>
      <c r="N380" s="9"/>
      <c r="O380" s="9"/>
      <c r="P380" s="9"/>
      <c r="Q380" s="38">
        <f t="shared" si="45"/>
        <v>8</v>
      </c>
      <c r="R380" s="12"/>
      <c r="S380" s="42"/>
      <c r="T380" s="15"/>
      <c r="U380" s="44"/>
      <c r="V380" s="15"/>
      <c r="W380" s="44"/>
      <c r="X380" s="15">
        <f t="shared" si="46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7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52"/>
        <v>0</v>
      </c>
      <c r="BC380" s="15"/>
      <c r="BD380" s="44"/>
      <c r="BE380" s="15"/>
      <c r="BF380" s="44"/>
      <c r="BG380" s="15">
        <f t="shared" si="53"/>
        <v>0</v>
      </c>
    </row>
    <row r="381" spans="1:59" s="8" customFormat="1" ht="22.5" customHeight="1">
      <c r="A381" s="9"/>
      <c r="B381" s="16" t="s">
        <v>204</v>
      </c>
      <c r="C381" s="89" t="s">
        <v>52</v>
      </c>
      <c r="D381" s="111" t="s">
        <v>546</v>
      </c>
      <c r="E381" s="112" t="s">
        <v>531</v>
      </c>
      <c r="F381" s="113" t="s">
        <v>1696</v>
      </c>
      <c r="G381" s="113" t="s">
        <v>1697</v>
      </c>
      <c r="H381" s="96"/>
      <c r="I381" s="9"/>
      <c r="J381" s="9" t="s">
        <v>207</v>
      </c>
      <c r="K381" s="14"/>
      <c r="L381" s="14"/>
      <c r="M381" s="12">
        <v>552</v>
      </c>
      <c r="N381" s="9"/>
      <c r="O381" s="9"/>
      <c r="P381" s="9"/>
      <c r="Q381" s="38">
        <f t="shared" si="45"/>
        <v>552</v>
      </c>
      <c r="R381" s="12"/>
      <c r="S381" s="42"/>
      <c r="T381" s="15"/>
      <c r="U381" s="44"/>
      <c r="V381" s="15"/>
      <c r="W381" s="44"/>
      <c r="X381" s="15">
        <f t="shared" si="46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7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52"/>
        <v>0</v>
      </c>
      <c r="BC381" s="15"/>
      <c r="BD381" s="44"/>
      <c r="BE381" s="15"/>
      <c r="BF381" s="44"/>
      <c r="BG381" s="15">
        <f t="shared" si="53"/>
        <v>0</v>
      </c>
    </row>
    <row r="382" spans="1:59" s="8" customFormat="1" ht="22.5" customHeight="1">
      <c r="A382" s="9"/>
      <c r="B382" s="16" t="s">
        <v>204</v>
      </c>
      <c r="C382" s="89" t="s">
        <v>52</v>
      </c>
      <c r="D382" s="111" t="s">
        <v>547</v>
      </c>
      <c r="E382" s="112" t="s">
        <v>531</v>
      </c>
      <c r="F382" s="113" t="s">
        <v>1698</v>
      </c>
      <c r="G382" s="113" t="s">
        <v>1699</v>
      </c>
      <c r="H382" s="96"/>
      <c r="I382" s="9"/>
      <c r="J382" s="9" t="s">
        <v>207</v>
      </c>
      <c r="K382" s="14"/>
      <c r="L382" s="14"/>
      <c r="M382" s="12">
        <v>180</v>
      </c>
      <c r="N382" s="9"/>
      <c r="O382" s="9"/>
      <c r="P382" s="9"/>
      <c r="Q382" s="38">
        <f t="shared" si="45"/>
        <v>180</v>
      </c>
      <c r="R382" s="12"/>
      <c r="S382" s="42"/>
      <c r="T382" s="15"/>
      <c r="U382" s="44"/>
      <c r="V382" s="15"/>
      <c r="W382" s="44"/>
      <c r="X382" s="15">
        <f t="shared" si="46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7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52"/>
        <v>0</v>
      </c>
      <c r="BC382" s="15"/>
      <c r="BD382" s="44"/>
      <c r="BE382" s="15"/>
      <c r="BF382" s="44"/>
      <c r="BG382" s="15">
        <f t="shared" si="53"/>
        <v>0</v>
      </c>
    </row>
    <row r="383" spans="1:59" s="8" customFormat="1" ht="22.5" customHeight="1">
      <c r="A383" s="9"/>
      <c r="B383" s="16" t="s">
        <v>204</v>
      </c>
      <c r="C383" s="89" t="s">
        <v>52</v>
      </c>
      <c r="D383" s="111" t="s">
        <v>548</v>
      </c>
      <c r="E383" s="112" t="s">
        <v>531</v>
      </c>
      <c r="F383" s="113" t="s">
        <v>1700</v>
      </c>
      <c r="G383" s="113" t="s">
        <v>1701</v>
      </c>
      <c r="H383" s="96"/>
      <c r="I383" s="9"/>
      <c r="J383" s="9" t="s">
        <v>207</v>
      </c>
      <c r="K383" s="14"/>
      <c r="L383" s="14"/>
      <c r="M383" s="12">
        <v>0</v>
      </c>
      <c r="N383" s="9"/>
      <c r="O383" s="9"/>
      <c r="P383" s="9"/>
      <c r="Q383" s="38">
        <f t="shared" si="45"/>
        <v>0</v>
      </c>
      <c r="R383" s="12"/>
      <c r="S383" s="42"/>
      <c r="T383" s="15"/>
      <c r="U383" s="44"/>
      <c r="V383" s="15"/>
      <c r="W383" s="44"/>
      <c r="X383" s="15">
        <f t="shared" si="46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7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52"/>
        <v>0</v>
      </c>
      <c r="BC383" s="15"/>
      <c r="BD383" s="44"/>
      <c r="BE383" s="15"/>
      <c r="BF383" s="44"/>
      <c r="BG383" s="15">
        <f t="shared" si="53"/>
        <v>0</v>
      </c>
    </row>
    <row r="384" spans="1:59" s="8" customFormat="1" ht="22.5" customHeight="1">
      <c r="A384" s="9"/>
      <c r="B384" s="16" t="s">
        <v>204</v>
      </c>
      <c r="C384" s="89" t="s">
        <v>52</v>
      </c>
      <c r="D384" s="111" t="s">
        <v>549</v>
      </c>
      <c r="E384" s="112" t="s">
        <v>550</v>
      </c>
      <c r="F384" s="113" t="s">
        <v>1702</v>
      </c>
      <c r="G384" s="113" t="s">
        <v>1703</v>
      </c>
      <c r="H384" s="96"/>
      <c r="I384" s="9"/>
      <c r="J384" s="9" t="s">
        <v>207</v>
      </c>
      <c r="K384" s="14"/>
      <c r="L384" s="14"/>
      <c r="M384" s="12">
        <v>20</v>
      </c>
      <c r="N384" s="9"/>
      <c r="O384" s="9"/>
      <c r="P384" s="9"/>
      <c r="Q384" s="38">
        <f t="shared" si="45"/>
        <v>20</v>
      </c>
      <c r="R384" s="12"/>
      <c r="S384" s="42"/>
      <c r="T384" s="15"/>
      <c r="U384" s="44"/>
      <c r="V384" s="15"/>
      <c r="W384" s="44"/>
      <c r="X384" s="15">
        <f t="shared" si="46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7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52"/>
        <v>0</v>
      </c>
      <c r="BC384" s="15"/>
      <c r="BD384" s="44"/>
      <c r="BE384" s="15"/>
      <c r="BF384" s="44"/>
      <c r="BG384" s="15">
        <f t="shared" si="53"/>
        <v>0</v>
      </c>
    </row>
    <row r="385" spans="1:59" s="8" customFormat="1" ht="22.5" customHeight="1">
      <c r="A385" s="9"/>
      <c r="B385" s="16" t="s">
        <v>204</v>
      </c>
      <c r="C385" s="89" t="s">
        <v>52</v>
      </c>
      <c r="D385" s="111" t="s">
        <v>551</v>
      </c>
      <c r="E385" s="112" t="s">
        <v>531</v>
      </c>
      <c r="F385" s="113" t="s">
        <v>1704</v>
      </c>
      <c r="G385" s="113" t="s">
        <v>1705</v>
      </c>
      <c r="H385" s="96"/>
      <c r="I385" s="9"/>
      <c r="J385" s="9" t="s">
        <v>207</v>
      </c>
      <c r="K385" s="14"/>
      <c r="L385" s="14"/>
      <c r="M385" s="12">
        <v>193</v>
      </c>
      <c r="N385" s="9"/>
      <c r="O385" s="9"/>
      <c r="P385" s="9"/>
      <c r="Q385" s="38">
        <f t="shared" si="45"/>
        <v>193</v>
      </c>
      <c r="R385" s="12"/>
      <c r="S385" s="42"/>
      <c r="T385" s="15"/>
      <c r="U385" s="44"/>
      <c r="V385" s="15"/>
      <c r="W385" s="44"/>
      <c r="X385" s="15">
        <f t="shared" ref="X385:X416" si="54">R385+T385+V385</f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ref="AG385:AG416" si="55">(Y385+AA385+AC385+AE385)</f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52"/>
        <v>0</v>
      </c>
      <c r="BC385" s="15"/>
      <c r="BD385" s="44"/>
      <c r="BE385" s="15"/>
      <c r="BF385" s="44"/>
      <c r="BG385" s="15">
        <f t="shared" si="53"/>
        <v>0</v>
      </c>
    </row>
    <row r="386" spans="1:59" s="8" customFormat="1" ht="22.5" customHeight="1">
      <c r="A386" s="9"/>
      <c r="B386" s="16" t="s">
        <v>204</v>
      </c>
      <c r="C386" s="89" t="s">
        <v>52</v>
      </c>
      <c r="D386" s="111" t="s">
        <v>552</v>
      </c>
      <c r="E386" s="112" t="s">
        <v>206</v>
      </c>
      <c r="F386" s="113" t="s">
        <v>1706</v>
      </c>
      <c r="G386" s="113" t="s">
        <v>1707</v>
      </c>
      <c r="H386" s="96"/>
      <c r="I386" s="9"/>
      <c r="J386" s="9" t="s">
        <v>374</v>
      </c>
      <c r="K386" s="14"/>
      <c r="L386" s="14"/>
      <c r="M386" s="12">
        <v>352</v>
      </c>
      <c r="N386" s="9"/>
      <c r="O386" s="9"/>
      <c r="P386" s="9"/>
      <c r="Q386" s="38">
        <f t="shared" si="45"/>
        <v>352</v>
      </c>
      <c r="R386" s="12"/>
      <c r="S386" s="42"/>
      <c r="T386" s="15"/>
      <c r="U386" s="44"/>
      <c r="V386" s="15"/>
      <c r="W386" s="44"/>
      <c r="X386" s="15">
        <f t="shared" si="54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55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52"/>
        <v>0</v>
      </c>
      <c r="BC386" s="15"/>
      <c r="BD386" s="44"/>
      <c r="BE386" s="15"/>
      <c r="BF386" s="44"/>
      <c r="BG386" s="15">
        <f t="shared" si="53"/>
        <v>0</v>
      </c>
    </row>
    <row r="387" spans="1:59" s="8" customFormat="1" ht="22.5" customHeight="1">
      <c r="A387" s="9"/>
      <c r="B387" s="16" t="s">
        <v>233</v>
      </c>
      <c r="C387" s="89" t="s">
        <v>52</v>
      </c>
      <c r="D387" s="111" t="s">
        <v>553</v>
      </c>
      <c r="E387" s="112" t="s">
        <v>554</v>
      </c>
      <c r="F387" s="113" t="s">
        <v>1708</v>
      </c>
      <c r="G387" s="113" t="s">
        <v>1709</v>
      </c>
      <c r="H387" s="96"/>
      <c r="I387" s="9"/>
      <c r="J387" s="9" t="s">
        <v>207</v>
      </c>
      <c r="K387" s="14"/>
      <c r="L387" s="14"/>
      <c r="M387" s="12">
        <v>486</v>
      </c>
      <c r="N387" s="9"/>
      <c r="O387" s="9"/>
      <c r="P387" s="9"/>
      <c r="Q387" s="38">
        <f t="shared" si="45"/>
        <v>486</v>
      </c>
      <c r="R387" s="12"/>
      <c r="S387" s="42"/>
      <c r="T387" s="15"/>
      <c r="U387" s="44"/>
      <c r="V387" s="15"/>
      <c r="W387" s="44"/>
      <c r="X387" s="15">
        <f t="shared" si="54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55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52"/>
        <v>0</v>
      </c>
      <c r="BC387" s="15"/>
      <c r="BD387" s="44"/>
      <c r="BE387" s="15"/>
      <c r="BF387" s="44"/>
      <c r="BG387" s="15">
        <f t="shared" si="53"/>
        <v>0</v>
      </c>
    </row>
    <row r="388" spans="1:59" s="8" customFormat="1" ht="22.5" customHeight="1">
      <c r="A388" s="9"/>
      <c r="B388" s="16" t="s">
        <v>233</v>
      </c>
      <c r="C388" s="89" t="s">
        <v>52</v>
      </c>
      <c r="D388" s="111" t="s">
        <v>555</v>
      </c>
      <c r="E388" s="112" t="s">
        <v>554</v>
      </c>
      <c r="F388" s="113" t="s">
        <v>1710</v>
      </c>
      <c r="G388" s="113" t="s">
        <v>1711</v>
      </c>
      <c r="H388" s="96"/>
      <c r="I388" s="9"/>
      <c r="J388" s="9" t="s">
        <v>207</v>
      </c>
      <c r="K388" s="14"/>
      <c r="L388" s="14"/>
      <c r="M388" s="12">
        <v>2</v>
      </c>
      <c r="N388" s="9"/>
      <c r="O388" s="9"/>
      <c r="P388" s="9"/>
      <c r="Q388" s="38">
        <f t="shared" si="45"/>
        <v>2</v>
      </c>
      <c r="R388" s="12"/>
      <c r="S388" s="42"/>
      <c r="T388" s="15"/>
      <c r="U388" s="44"/>
      <c r="V388" s="15"/>
      <c r="W388" s="44"/>
      <c r="X388" s="15">
        <f t="shared" si="54"/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si="55"/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52"/>
        <v>0</v>
      </c>
      <c r="BC388" s="15"/>
      <c r="BD388" s="44"/>
      <c r="BE388" s="15"/>
      <c r="BF388" s="44"/>
      <c r="BG388" s="15">
        <f t="shared" si="53"/>
        <v>0</v>
      </c>
    </row>
    <row r="389" spans="1:59" s="8" customFormat="1" ht="22.5" customHeight="1">
      <c r="A389" s="9"/>
      <c r="B389" s="16" t="s">
        <v>233</v>
      </c>
      <c r="C389" s="89" t="s">
        <v>52</v>
      </c>
      <c r="D389" s="111" t="s">
        <v>556</v>
      </c>
      <c r="E389" s="112" t="s">
        <v>554</v>
      </c>
      <c r="F389" s="113" t="s">
        <v>1712</v>
      </c>
      <c r="G389" s="113" t="s">
        <v>1713</v>
      </c>
      <c r="H389" s="96"/>
      <c r="I389" s="9"/>
      <c r="J389" s="9" t="s">
        <v>207</v>
      </c>
      <c r="K389" s="14"/>
      <c r="L389" s="14"/>
      <c r="M389" s="12">
        <v>525</v>
      </c>
      <c r="N389" s="9"/>
      <c r="O389" s="9"/>
      <c r="P389" s="9"/>
      <c r="Q389" s="38">
        <f t="shared" si="45"/>
        <v>525</v>
      </c>
      <c r="R389" s="12"/>
      <c r="S389" s="42"/>
      <c r="T389" s="15"/>
      <c r="U389" s="44"/>
      <c r="V389" s="15"/>
      <c r="W389" s="44"/>
      <c r="X389" s="15">
        <f t="shared" si="54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55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52"/>
        <v>0</v>
      </c>
      <c r="BC389" s="15"/>
      <c r="BD389" s="44"/>
      <c r="BE389" s="15"/>
      <c r="BF389" s="44"/>
      <c r="BG389" s="15">
        <f t="shared" si="53"/>
        <v>0</v>
      </c>
    </row>
    <row r="390" spans="1:59" s="8" customFormat="1" ht="22.5" customHeight="1">
      <c r="A390" s="9"/>
      <c r="B390" s="16" t="s">
        <v>233</v>
      </c>
      <c r="C390" s="89" t="s">
        <v>52</v>
      </c>
      <c r="D390" s="111" t="s">
        <v>557</v>
      </c>
      <c r="E390" s="112" t="s">
        <v>235</v>
      </c>
      <c r="F390" s="113" t="s">
        <v>1714</v>
      </c>
      <c r="G390" s="113" t="s">
        <v>1715</v>
      </c>
      <c r="H390" s="96"/>
      <c r="I390" s="9"/>
      <c r="J390" s="9" t="s">
        <v>558</v>
      </c>
      <c r="K390" s="14"/>
      <c r="L390" s="14"/>
      <c r="M390" s="12">
        <v>56</v>
      </c>
      <c r="N390" s="9"/>
      <c r="O390" s="9"/>
      <c r="P390" s="9"/>
      <c r="Q390" s="38">
        <f t="shared" si="45"/>
        <v>56</v>
      </c>
      <c r="R390" s="12"/>
      <c r="S390" s="42"/>
      <c r="T390" s="15"/>
      <c r="U390" s="44"/>
      <c r="V390" s="15"/>
      <c r="W390" s="44"/>
      <c r="X390" s="15">
        <f t="shared" si="54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55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52"/>
        <v>0</v>
      </c>
      <c r="BC390" s="15"/>
      <c r="BD390" s="44"/>
      <c r="BE390" s="15"/>
      <c r="BF390" s="44"/>
      <c r="BG390" s="15">
        <f t="shared" si="53"/>
        <v>0</v>
      </c>
    </row>
    <row r="391" spans="1:59" s="8" customFormat="1" ht="22.5" customHeight="1">
      <c r="A391" s="9"/>
      <c r="B391" s="16" t="s">
        <v>233</v>
      </c>
      <c r="C391" s="89" t="s">
        <v>52</v>
      </c>
      <c r="D391" s="111" t="s">
        <v>559</v>
      </c>
      <c r="E391" s="112" t="s">
        <v>560</v>
      </c>
      <c r="F391" s="113" t="s">
        <v>1716</v>
      </c>
      <c r="G391" s="113" t="s">
        <v>1717</v>
      </c>
      <c r="H391" s="96"/>
      <c r="I391" s="9"/>
      <c r="J391" s="9" t="s">
        <v>558</v>
      </c>
      <c r="K391" s="14"/>
      <c r="L391" s="14"/>
      <c r="M391" s="12"/>
      <c r="N391" s="9"/>
      <c r="O391" s="9"/>
      <c r="P391" s="9"/>
      <c r="Q391" s="38">
        <f t="shared" si="45"/>
        <v>0</v>
      </c>
      <c r="R391" s="12"/>
      <c r="S391" s="42"/>
      <c r="T391" s="15"/>
      <c r="U391" s="44"/>
      <c r="V391" s="15"/>
      <c r="W391" s="44"/>
      <c r="X391" s="15">
        <f t="shared" si="54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55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52"/>
        <v>0</v>
      </c>
      <c r="BC391" s="15"/>
      <c r="BD391" s="44"/>
      <c r="BE391" s="15"/>
      <c r="BF391" s="44"/>
      <c r="BG391" s="15">
        <f t="shared" si="53"/>
        <v>0</v>
      </c>
    </row>
    <row r="392" spans="1:59" s="8" customFormat="1" ht="22.5" customHeight="1">
      <c r="A392" s="9"/>
      <c r="B392" s="16" t="s">
        <v>249</v>
      </c>
      <c r="C392" s="89" t="s">
        <v>52</v>
      </c>
      <c r="D392" s="111" t="s">
        <v>561</v>
      </c>
      <c r="E392" s="112" t="s">
        <v>562</v>
      </c>
      <c r="F392" s="113" t="s">
        <v>1718</v>
      </c>
      <c r="G392" s="113" t="s">
        <v>1719</v>
      </c>
      <c r="H392" s="96"/>
      <c r="I392" s="9"/>
      <c r="J392" s="9" t="s">
        <v>563</v>
      </c>
      <c r="K392" s="14"/>
      <c r="L392" s="14"/>
      <c r="M392" s="12">
        <v>15</v>
      </c>
      <c r="N392" s="9"/>
      <c r="O392" s="9"/>
      <c r="P392" s="9"/>
      <c r="Q392" s="38">
        <f t="shared" si="45"/>
        <v>15</v>
      </c>
      <c r="R392" s="12"/>
      <c r="S392" s="42"/>
      <c r="T392" s="15"/>
      <c r="U392" s="44"/>
      <c r="V392" s="15"/>
      <c r="W392" s="44"/>
      <c r="X392" s="15">
        <f t="shared" si="54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55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52"/>
        <v>0</v>
      </c>
      <c r="BC392" s="15"/>
      <c r="BD392" s="44"/>
      <c r="BE392" s="15"/>
      <c r="BF392" s="44"/>
      <c r="BG392" s="15">
        <f t="shared" si="53"/>
        <v>0</v>
      </c>
    </row>
    <row r="393" spans="1:59" s="8" customFormat="1" ht="22.5" customHeight="1">
      <c r="A393" s="9"/>
      <c r="B393" s="16" t="s">
        <v>155</v>
      </c>
      <c r="C393" s="89" t="s">
        <v>52</v>
      </c>
      <c r="D393" s="111" t="s">
        <v>564</v>
      </c>
      <c r="E393" s="112" t="s">
        <v>565</v>
      </c>
      <c r="F393" s="113" t="s">
        <v>1720</v>
      </c>
      <c r="G393" s="113" t="s">
        <v>1721</v>
      </c>
      <c r="H393" s="96"/>
      <c r="I393" s="9"/>
      <c r="J393" s="9" t="s">
        <v>566</v>
      </c>
      <c r="K393" s="14"/>
      <c r="L393" s="14"/>
      <c r="M393" s="12">
        <v>0</v>
      </c>
      <c r="N393" s="9"/>
      <c r="O393" s="9"/>
      <c r="P393" s="9"/>
      <c r="Q393" s="38">
        <f t="shared" si="45"/>
        <v>0</v>
      </c>
      <c r="R393" s="12"/>
      <c r="S393" s="42"/>
      <c r="T393" s="15"/>
      <c r="U393" s="44"/>
      <c r="V393" s="15"/>
      <c r="W393" s="44"/>
      <c r="X393" s="15">
        <f t="shared" si="54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55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52"/>
        <v>0</v>
      </c>
      <c r="BC393" s="15"/>
      <c r="BD393" s="44"/>
      <c r="BE393" s="15"/>
      <c r="BF393" s="44"/>
      <c r="BG393" s="15">
        <f t="shared" si="53"/>
        <v>0</v>
      </c>
    </row>
    <row r="394" spans="1:59" s="8" customFormat="1" ht="22.5" customHeight="1">
      <c r="A394" s="9"/>
      <c r="B394" s="16" t="s">
        <v>155</v>
      </c>
      <c r="C394" s="89" t="s">
        <v>52</v>
      </c>
      <c r="D394" s="59" t="s">
        <v>1722</v>
      </c>
      <c r="E394" s="13" t="s">
        <v>565</v>
      </c>
      <c r="H394" s="96"/>
      <c r="I394" s="9"/>
      <c r="J394" s="9" t="s">
        <v>566</v>
      </c>
      <c r="K394" s="14"/>
      <c r="L394" s="14"/>
      <c r="M394" s="12">
        <v>0</v>
      </c>
      <c r="N394" s="9"/>
      <c r="O394" s="9"/>
      <c r="P394" s="9"/>
      <c r="Q394" s="38">
        <f t="shared" si="45"/>
        <v>0</v>
      </c>
      <c r="R394" s="12"/>
      <c r="S394" s="42"/>
      <c r="T394" s="15"/>
      <c r="U394" s="44"/>
      <c r="V394" s="15"/>
      <c r="W394" s="44"/>
      <c r="X394" s="15">
        <f t="shared" si="54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55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/>
      <c r="BC394" s="15"/>
      <c r="BD394" s="44"/>
      <c r="BE394" s="15"/>
      <c r="BF394" s="44"/>
      <c r="BG394" s="15"/>
    </row>
    <row r="395" spans="1:59" s="8" customFormat="1" ht="22.5" customHeight="1">
      <c r="A395" s="9"/>
      <c r="B395" s="16" t="s">
        <v>155</v>
      </c>
      <c r="C395" s="89" t="s">
        <v>52</v>
      </c>
      <c r="D395" s="111" t="s">
        <v>567</v>
      </c>
      <c r="E395" s="112" t="s">
        <v>565</v>
      </c>
      <c r="F395" s="113" t="s">
        <v>1723</v>
      </c>
      <c r="G395" s="113" t="s">
        <v>1724</v>
      </c>
      <c r="H395" s="96"/>
      <c r="I395" s="9"/>
      <c r="J395" s="9" t="s">
        <v>566</v>
      </c>
      <c r="K395" s="14"/>
      <c r="L395" s="14"/>
      <c r="M395" s="12">
        <v>26</v>
      </c>
      <c r="N395" s="9"/>
      <c r="O395" s="9"/>
      <c r="P395" s="9"/>
      <c r="Q395" s="38">
        <f t="shared" si="45"/>
        <v>26</v>
      </c>
      <c r="R395" s="12"/>
      <c r="S395" s="42"/>
      <c r="T395" s="15"/>
      <c r="U395" s="44"/>
      <c r="V395" s="15"/>
      <c r="W395" s="44"/>
      <c r="X395" s="15">
        <f t="shared" si="54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55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ref="BB395:BB426" si="56">AH395+AJ395+AL395+AN395+AP395+AR395+AT395+AV395+AX395+AZ395</f>
        <v>0</v>
      </c>
      <c r="BC395" s="15"/>
      <c r="BD395" s="44"/>
      <c r="BE395" s="15"/>
      <c r="BF395" s="44"/>
      <c r="BG395" s="15">
        <f t="shared" ref="BG395:BG426" si="57">(BC395+BE395)</f>
        <v>0</v>
      </c>
    </row>
    <row r="396" spans="1:59" s="8" customFormat="1" ht="22.5" customHeight="1">
      <c r="A396" s="9"/>
      <c r="B396" s="16" t="s">
        <v>155</v>
      </c>
      <c r="C396" s="89" t="s">
        <v>52</v>
      </c>
      <c r="D396" s="111" t="s">
        <v>568</v>
      </c>
      <c r="E396" s="112" t="s">
        <v>569</v>
      </c>
      <c r="F396" s="113" t="s">
        <v>1725</v>
      </c>
      <c r="G396" s="113" t="s">
        <v>1726</v>
      </c>
      <c r="H396" s="96"/>
      <c r="I396" s="9"/>
      <c r="J396" s="9" t="s">
        <v>566</v>
      </c>
      <c r="K396" s="14"/>
      <c r="L396" s="14"/>
      <c r="M396" s="12">
        <v>203</v>
      </c>
      <c r="N396" s="9"/>
      <c r="O396" s="9"/>
      <c r="P396" s="9"/>
      <c r="Q396" s="38">
        <f t="shared" si="45"/>
        <v>203</v>
      </c>
      <c r="R396" s="12"/>
      <c r="S396" s="42"/>
      <c r="T396" s="15"/>
      <c r="U396" s="44"/>
      <c r="V396" s="15"/>
      <c r="W396" s="44"/>
      <c r="X396" s="15">
        <f t="shared" si="54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55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56"/>
        <v>0</v>
      </c>
      <c r="BC396" s="15"/>
      <c r="BD396" s="44"/>
      <c r="BE396" s="15"/>
      <c r="BF396" s="44"/>
      <c r="BG396" s="15">
        <f t="shared" si="57"/>
        <v>0</v>
      </c>
    </row>
    <row r="397" spans="1:59" s="8" customFormat="1" ht="22.5" customHeight="1">
      <c r="A397" s="9"/>
      <c r="B397" s="16" t="s">
        <v>330</v>
      </c>
      <c r="C397" s="89" t="s">
        <v>52</v>
      </c>
      <c r="D397" s="111" t="s">
        <v>333</v>
      </c>
      <c r="E397" s="112" t="s">
        <v>330</v>
      </c>
      <c r="F397" s="113" t="s">
        <v>1727</v>
      </c>
      <c r="G397" s="113" t="s">
        <v>1728</v>
      </c>
      <c r="H397" s="96"/>
      <c r="I397" s="9"/>
      <c r="J397" s="9" t="s">
        <v>332</v>
      </c>
      <c r="K397" s="14"/>
      <c r="L397" s="14"/>
      <c r="M397" s="12"/>
      <c r="N397" s="9"/>
      <c r="O397" s="9"/>
      <c r="P397" s="9"/>
      <c r="Q397" s="38">
        <f t="shared" si="45"/>
        <v>0</v>
      </c>
      <c r="R397" s="12"/>
      <c r="S397" s="42"/>
      <c r="T397" s="15"/>
      <c r="U397" s="44"/>
      <c r="V397" s="15"/>
      <c r="W397" s="44"/>
      <c r="X397" s="15">
        <f t="shared" si="54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55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56"/>
        <v>0</v>
      </c>
      <c r="BC397" s="15"/>
      <c r="BD397" s="44"/>
      <c r="BE397" s="15"/>
      <c r="BF397" s="44"/>
      <c r="BG397" s="15">
        <f t="shared" si="57"/>
        <v>0</v>
      </c>
    </row>
    <row r="398" spans="1:59" s="8" customFormat="1" ht="22.5" customHeight="1">
      <c r="A398" s="9"/>
      <c r="B398" s="16" t="s">
        <v>570</v>
      </c>
      <c r="C398" s="89" t="s">
        <v>52</v>
      </c>
      <c r="D398" s="111" t="s">
        <v>571</v>
      </c>
      <c r="E398" s="112" t="s">
        <v>562</v>
      </c>
      <c r="F398" s="113" t="s">
        <v>1729</v>
      </c>
      <c r="G398" s="113" t="s">
        <v>1730</v>
      </c>
      <c r="H398" s="96"/>
      <c r="I398" s="9"/>
      <c r="J398" s="9" t="s">
        <v>314</v>
      </c>
      <c r="K398" s="14"/>
      <c r="L398" s="14"/>
      <c r="M398" s="12"/>
      <c r="N398" s="9"/>
      <c r="O398" s="9"/>
      <c r="P398" s="9"/>
      <c r="Q398" s="38">
        <f t="shared" si="45"/>
        <v>0</v>
      </c>
      <c r="R398" s="12"/>
      <c r="S398" s="42"/>
      <c r="T398" s="15"/>
      <c r="U398" s="44"/>
      <c r="V398" s="15"/>
      <c r="W398" s="44"/>
      <c r="X398" s="15">
        <f t="shared" si="54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55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56"/>
        <v>0</v>
      </c>
      <c r="BC398" s="15"/>
      <c r="BD398" s="44"/>
      <c r="BE398" s="15"/>
      <c r="BF398" s="44"/>
      <c r="BG398" s="15">
        <f t="shared" si="57"/>
        <v>0</v>
      </c>
    </row>
    <row r="399" spans="1:59" s="8" customFormat="1" ht="22.5" customHeight="1">
      <c r="A399" s="9"/>
      <c r="B399" s="16" t="s">
        <v>472</v>
      </c>
      <c r="C399" s="89" t="s">
        <v>52</v>
      </c>
      <c r="D399" s="111" t="s">
        <v>1731</v>
      </c>
      <c r="E399" s="112" t="s">
        <v>573</v>
      </c>
      <c r="F399" s="113" t="s">
        <v>1732</v>
      </c>
      <c r="G399" s="113" t="s">
        <v>1733</v>
      </c>
      <c r="H399" s="96"/>
      <c r="I399" s="9"/>
      <c r="J399" s="9" t="s">
        <v>67</v>
      </c>
      <c r="K399" s="14"/>
      <c r="L399" s="14"/>
      <c r="M399" s="12">
        <v>362</v>
      </c>
      <c r="N399" s="9"/>
      <c r="O399" s="9"/>
      <c r="P399" s="9"/>
      <c r="Q399" s="38">
        <f t="shared" si="45"/>
        <v>362</v>
      </c>
      <c r="R399" s="12"/>
      <c r="S399" s="42"/>
      <c r="T399" s="15"/>
      <c r="U399" s="44"/>
      <c r="V399" s="15"/>
      <c r="W399" s="44"/>
      <c r="X399" s="15">
        <f t="shared" si="54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55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56"/>
        <v>0</v>
      </c>
      <c r="BC399" s="15"/>
      <c r="BD399" s="44"/>
      <c r="BE399" s="15"/>
      <c r="BF399" s="44"/>
      <c r="BG399" s="15">
        <f t="shared" si="57"/>
        <v>0</v>
      </c>
    </row>
    <row r="400" spans="1:59" s="8" customFormat="1" ht="22.5" customHeight="1">
      <c r="A400" s="9"/>
      <c r="B400" s="16" t="s">
        <v>574</v>
      </c>
      <c r="C400" s="89" t="s">
        <v>494</v>
      </c>
      <c r="D400" s="111" t="s">
        <v>1734</v>
      </c>
      <c r="E400" s="112"/>
      <c r="F400" s="113" t="s">
        <v>1735</v>
      </c>
      <c r="G400" s="113" t="s">
        <v>1736</v>
      </c>
      <c r="H400" s="96"/>
      <c r="I400" s="9"/>
      <c r="J400" s="9" t="s">
        <v>576</v>
      </c>
      <c r="K400" s="14"/>
      <c r="L400" s="14"/>
      <c r="M400" s="12">
        <v>135</v>
      </c>
      <c r="N400" s="9"/>
      <c r="O400" s="9"/>
      <c r="P400" s="9"/>
      <c r="Q400" s="38">
        <f t="shared" si="45"/>
        <v>135</v>
      </c>
      <c r="R400" s="12"/>
      <c r="S400" s="42"/>
      <c r="T400" s="15"/>
      <c r="U400" s="44"/>
      <c r="V400" s="15"/>
      <c r="W400" s="44"/>
      <c r="X400" s="15">
        <f t="shared" si="54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55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56"/>
        <v>0</v>
      </c>
      <c r="BC400" s="15"/>
      <c r="BD400" s="44"/>
      <c r="BE400" s="15"/>
      <c r="BF400" s="44"/>
      <c r="BG400" s="15">
        <f t="shared" si="57"/>
        <v>0</v>
      </c>
    </row>
    <row r="401" spans="1:59" s="8" customFormat="1" ht="22.5" customHeight="1">
      <c r="A401" s="9"/>
      <c r="B401" s="16" t="s">
        <v>574</v>
      </c>
      <c r="C401" s="89" t="s">
        <v>494</v>
      </c>
      <c r="D401" s="111" t="s">
        <v>577</v>
      </c>
      <c r="E401" s="112" t="s">
        <v>578</v>
      </c>
      <c r="F401" s="113" t="s">
        <v>1737</v>
      </c>
      <c r="G401" s="113" t="s">
        <v>1738</v>
      </c>
      <c r="H401" s="96"/>
      <c r="I401" s="9"/>
      <c r="J401" s="9" t="s">
        <v>576</v>
      </c>
      <c r="K401" s="14"/>
      <c r="L401" s="14"/>
      <c r="M401" s="12"/>
      <c r="N401" s="9"/>
      <c r="O401" s="9"/>
      <c r="P401" s="9"/>
      <c r="Q401" s="38">
        <f t="shared" si="45"/>
        <v>0</v>
      </c>
      <c r="R401" s="12"/>
      <c r="S401" s="42"/>
      <c r="T401" s="15"/>
      <c r="U401" s="44"/>
      <c r="V401" s="15"/>
      <c r="W401" s="44"/>
      <c r="X401" s="15">
        <f t="shared" si="54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55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56"/>
        <v>0</v>
      </c>
      <c r="BC401" s="15"/>
      <c r="BD401" s="44"/>
      <c r="BE401" s="15"/>
      <c r="BF401" s="44"/>
      <c r="BG401" s="15">
        <f t="shared" si="57"/>
        <v>0</v>
      </c>
    </row>
    <row r="402" spans="1:59" s="8" customFormat="1" ht="22.5" customHeight="1">
      <c r="A402" s="9"/>
      <c r="B402" s="16" t="s">
        <v>244</v>
      </c>
      <c r="C402" s="89" t="s">
        <v>52</v>
      </c>
      <c r="D402" s="111" t="s">
        <v>579</v>
      </c>
      <c r="E402" s="112" t="s">
        <v>246</v>
      </c>
      <c r="F402" s="113" t="s">
        <v>1739</v>
      </c>
      <c r="G402" s="113" t="s">
        <v>1740</v>
      </c>
      <c r="H402" s="96"/>
      <c r="I402" s="9"/>
      <c r="J402" s="9" t="s">
        <v>247</v>
      </c>
      <c r="K402" s="14"/>
      <c r="L402" s="14"/>
      <c r="M402" s="12">
        <v>238</v>
      </c>
      <c r="N402" s="9"/>
      <c r="O402" s="9"/>
      <c r="P402" s="9"/>
      <c r="Q402" s="38">
        <f t="shared" si="45"/>
        <v>238</v>
      </c>
      <c r="R402" s="12"/>
      <c r="S402" s="42"/>
      <c r="T402" s="15"/>
      <c r="U402" s="44"/>
      <c r="V402" s="15"/>
      <c r="W402" s="44"/>
      <c r="X402" s="15">
        <f t="shared" si="54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55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56"/>
        <v>0</v>
      </c>
      <c r="BC402" s="15"/>
      <c r="BD402" s="44"/>
      <c r="BE402" s="15"/>
      <c r="BF402" s="44"/>
      <c r="BG402" s="15">
        <f t="shared" si="57"/>
        <v>0</v>
      </c>
    </row>
    <row r="403" spans="1:59" s="8" customFormat="1" ht="22.5" customHeight="1">
      <c r="A403" s="9"/>
      <c r="B403" s="16" t="s">
        <v>244</v>
      </c>
      <c r="C403" s="89" t="s">
        <v>52</v>
      </c>
      <c r="D403" s="111" t="s">
        <v>580</v>
      </c>
      <c r="E403" s="112" t="s">
        <v>246</v>
      </c>
      <c r="F403" s="113" t="s">
        <v>1741</v>
      </c>
      <c r="G403" s="113" t="s">
        <v>1742</v>
      </c>
      <c r="H403" s="96"/>
      <c r="I403" s="9"/>
      <c r="J403" s="9" t="s">
        <v>247</v>
      </c>
      <c r="K403" s="14"/>
      <c r="L403" s="14"/>
      <c r="M403" s="12">
        <v>185</v>
      </c>
      <c r="N403" s="9"/>
      <c r="O403" s="9"/>
      <c r="P403" s="9"/>
      <c r="Q403" s="38">
        <f t="shared" si="45"/>
        <v>185</v>
      </c>
      <c r="R403" s="12"/>
      <c r="S403" s="42"/>
      <c r="T403" s="15"/>
      <c r="U403" s="44"/>
      <c r="V403" s="15"/>
      <c r="W403" s="44"/>
      <c r="X403" s="15">
        <f t="shared" si="54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55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56"/>
        <v>0</v>
      </c>
      <c r="BC403" s="15"/>
      <c r="BD403" s="44"/>
      <c r="BE403" s="15"/>
      <c r="BF403" s="44"/>
      <c r="BG403" s="15">
        <f t="shared" si="57"/>
        <v>0</v>
      </c>
    </row>
    <row r="404" spans="1:59" s="8" customFormat="1" ht="22.5" customHeight="1">
      <c r="A404" s="9"/>
      <c r="B404" s="16" t="s">
        <v>343</v>
      </c>
      <c r="C404" s="89" t="s">
        <v>52</v>
      </c>
      <c r="D404" s="56" t="s">
        <v>343</v>
      </c>
      <c r="E404" s="13"/>
      <c r="F404" s="106" t="s">
        <v>1144</v>
      </c>
      <c r="G404" s="106"/>
      <c r="H404" s="96"/>
      <c r="I404" s="9"/>
      <c r="J404" s="9" t="s">
        <v>345</v>
      </c>
      <c r="K404" s="14"/>
      <c r="L404" s="14"/>
      <c r="M404" s="12"/>
      <c r="N404" s="9"/>
      <c r="O404" s="9"/>
      <c r="P404" s="9"/>
      <c r="Q404" s="38">
        <f t="shared" si="45"/>
        <v>0</v>
      </c>
      <c r="R404" s="12"/>
      <c r="S404" s="42"/>
      <c r="T404" s="15"/>
      <c r="U404" s="44"/>
      <c r="V404" s="15"/>
      <c r="W404" s="44"/>
      <c r="X404" s="15">
        <f t="shared" si="54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55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56"/>
        <v>0</v>
      </c>
      <c r="BC404" s="15"/>
      <c r="BD404" s="44"/>
      <c r="BE404" s="15"/>
      <c r="BF404" s="44"/>
      <c r="BG404" s="15">
        <f t="shared" si="57"/>
        <v>0</v>
      </c>
    </row>
    <row r="405" spans="1:59" s="8" customFormat="1" ht="22.5" customHeight="1">
      <c r="A405" s="9"/>
      <c r="B405" s="16" t="s">
        <v>581</v>
      </c>
      <c r="C405" s="89" t="s">
        <v>44</v>
      </c>
      <c r="D405" s="111" t="s">
        <v>582</v>
      </c>
      <c r="E405" s="112" t="s">
        <v>583</v>
      </c>
      <c r="F405" s="113" t="s">
        <v>1743</v>
      </c>
      <c r="G405" s="113" t="s">
        <v>1744</v>
      </c>
      <c r="H405" s="95"/>
      <c r="I405" s="9"/>
      <c r="J405" s="9" t="s">
        <v>584</v>
      </c>
      <c r="K405" s="14"/>
      <c r="L405" s="14"/>
      <c r="M405" s="12">
        <v>130</v>
      </c>
      <c r="N405" s="9"/>
      <c r="O405" s="9"/>
      <c r="P405" s="9"/>
      <c r="Q405" s="38">
        <f t="shared" si="45"/>
        <v>130</v>
      </c>
      <c r="R405" s="12"/>
      <c r="S405" s="42"/>
      <c r="T405" s="15"/>
      <c r="U405" s="44"/>
      <c r="V405" s="15"/>
      <c r="W405" s="44"/>
      <c r="X405" s="15">
        <f t="shared" si="54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55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56"/>
        <v>0</v>
      </c>
      <c r="BC405" s="15"/>
      <c r="BD405" s="44"/>
      <c r="BE405" s="15"/>
      <c r="BF405" s="44"/>
      <c r="BG405" s="15">
        <f t="shared" si="57"/>
        <v>0</v>
      </c>
    </row>
    <row r="406" spans="1:59" s="8" customFormat="1" ht="22.5" customHeight="1">
      <c r="A406" s="9"/>
      <c r="B406" s="16" t="s">
        <v>581</v>
      </c>
      <c r="C406" s="89" t="s">
        <v>132</v>
      </c>
      <c r="D406" s="111" t="s">
        <v>585</v>
      </c>
      <c r="E406" s="112" t="s">
        <v>583</v>
      </c>
      <c r="F406" s="113" t="s">
        <v>1745</v>
      </c>
      <c r="G406" s="113" t="s">
        <v>1746</v>
      </c>
      <c r="H406" s="95"/>
      <c r="I406" s="9"/>
      <c r="J406" s="9" t="s">
        <v>584</v>
      </c>
      <c r="K406" s="14"/>
      <c r="L406" s="14"/>
      <c r="M406" s="12"/>
      <c r="N406" s="9"/>
      <c r="O406" s="9"/>
      <c r="P406" s="9"/>
      <c r="Q406" s="38">
        <f t="shared" si="45"/>
        <v>0</v>
      </c>
      <c r="R406" s="12"/>
      <c r="S406" s="42"/>
      <c r="T406" s="15"/>
      <c r="U406" s="44"/>
      <c r="V406" s="15"/>
      <c r="W406" s="44"/>
      <c r="X406" s="15">
        <f t="shared" si="54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55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56"/>
        <v>0</v>
      </c>
      <c r="BC406" s="15"/>
      <c r="BD406" s="44"/>
      <c r="BE406" s="15"/>
      <c r="BF406" s="44"/>
      <c r="BG406" s="15">
        <f t="shared" si="57"/>
        <v>0</v>
      </c>
    </row>
    <row r="407" spans="1:59" s="8" customFormat="1" ht="22.5" customHeight="1">
      <c r="A407" s="9"/>
      <c r="B407" s="16" t="s">
        <v>581</v>
      </c>
      <c r="C407" s="89" t="s">
        <v>132</v>
      </c>
      <c r="D407" s="59" t="s">
        <v>1747</v>
      </c>
      <c r="E407" s="13" t="s">
        <v>1748</v>
      </c>
      <c r="H407" s="95"/>
      <c r="I407" s="9"/>
      <c r="J407" s="9" t="s">
        <v>584</v>
      </c>
      <c r="K407" s="14"/>
      <c r="L407" s="14"/>
      <c r="M407" s="12">
        <v>89</v>
      </c>
      <c r="N407" s="9"/>
      <c r="O407" s="9"/>
      <c r="P407" s="9"/>
      <c r="Q407" s="38">
        <f t="shared" si="45"/>
        <v>89</v>
      </c>
      <c r="R407" s="12"/>
      <c r="S407" s="42"/>
      <c r="T407" s="15"/>
      <c r="U407" s="44"/>
      <c r="V407" s="15"/>
      <c r="W407" s="44"/>
      <c r="X407" s="15">
        <f t="shared" si="54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55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56"/>
        <v>0</v>
      </c>
      <c r="BC407" s="15"/>
      <c r="BD407" s="44"/>
      <c r="BE407" s="15"/>
      <c r="BF407" s="44"/>
      <c r="BG407" s="15">
        <f t="shared" si="57"/>
        <v>0</v>
      </c>
    </row>
    <row r="408" spans="1:59" s="8" customFormat="1" ht="22.5" customHeight="1">
      <c r="A408" s="9"/>
      <c r="B408" s="16" t="s">
        <v>581</v>
      </c>
      <c r="C408" s="89" t="s">
        <v>48</v>
      </c>
      <c r="D408" s="111" t="s">
        <v>585</v>
      </c>
      <c r="E408" s="112" t="s">
        <v>586</v>
      </c>
      <c r="F408" s="113" t="s">
        <v>1749</v>
      </c>
      <c r="G408" s="113" t="s">
        <v>1750</v>
      </c>
      <c r="H408" s="95"/>
      <c r="I408" s="9"/>
      <c r="J408" s="9" t="s">
        <v>584</v>
      </c>
      <c r="K408" s="14"/>
      <c r="L408" s="14"/>
      <c r="M408" s="12">
        <v>0</v>
      </c>
      <c r="N408" s="9"/>
      <c r="O408" s="9"/>
      <c r="P408" s="9"/>
      <c r="Q408" s="38">
        <f t="shared" si="45"/>
        <v>0</v>
      </c>
      <c r="R408" s="12"/>
      <c r="S408" s="42"/>
      <c r="T408" s="15"/>
      <c r="U408" s="44"/>
      <c r="V408" s="15"/>
      <c r="W408" s="44"/>
      <c r="X408" s="15">
        <f t="shared" si="54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55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56"/>
        <v>0</v>
      </c>
      <c r="BC408" s="15"/>
      <c r="BD408" s="44"/>
      <c r="BE408" s="15"/>
      <c r="BF408" s="44"/>
      <c r="BG408" s="15">
        <f t="shared" si="57"/>
        <v>0</v>
      </c>
    </row>
    <row r="409" spans="1:59" s="8" customFormat="1" ht="22.5" customHeight="1">
      <c r="A409" s="9"/>
      <c r="B409" s="16" t="s">
        <v>581</v>
      </c>
      <c r="C409" s="89" t="s">
        <v>48</v>
      </c>
      <c r="D409" s="111" t="s">
        <v>587</v>
      </c>
      <c r="E409" s="112" t="s">
        <v>586</v>
      </c>
      <c r="F409" s="113" t="s">
        <v>1751</v>
      </c>
      <c r="G409" s="113" t="s">
        <v>1752</v>
      </c>
      <c r="H409" s="95"/>
      <c r="I409" s="9"/>
      <c r="J409" s="9" t="s">
        <v>584</v>
      </c>
      <c r="K409" s="14"/>
      <c r="L409" s="14"/>
      <c r="M409" s="12"/>
      <c r="N409" s="9"/>
      <c r="O409" s="9"/>
      <c r="P409" s="9"/>
      <c r="Q409" s="38">
        <f t="shared" si="45"/>
        <v>0</v>
      </c>
      <c r="R409" s="12"/>
      <c r="S409" s="42"/>
      <c r="T409" s="15"/>
      <c r="U409" s="44"/>
      <c r="V409" s="15"/>
      <c r="W409" s="44"/>
      <c r="X409" s="15">
        <f t="shared" si="54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55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56"/>
        <v>0</v>
      </c>
      <c r="BC409" s="15"/>
      <c r="BD409" s="44"/>
      <c r="BE409" s="15"/>
      <c r="BF409" s="44"/>
      <c r="BG409" s="15">
        <f t="shared" si="57"/>
        <v>0</v>
      </c>
    </row>
    <row r="410" spans="1:59" s="8" customFormat="1" ht="22.5" customHeight="1">
      <c r="A410" s="9"/>
      <c r="B410" s="16" t="s">
        <v>581</v>
      </c>
      <c r="C410" s="89" t="s">
        <v>132</v>
      </c>
      <c r="D410" s="111" t="s">
        <v>588</v>
      </c>
      <c r="E410" s="112" t="s">
        <v>583</v>
      </c>
      <c r="F410" s="113" t="s">
        <v>1753</v>
      </c>
      <c r="G410" s="113" t="s">
        <v>1754</v>
      </c>
      <c r="H410" s="95"/>
      <c r="I410" s="9"/>
      <c r="J410" s="9" t="s">
        <v>584</v>
      </c>
      <c r="K410" s="14"/>
      <c r="L410" s="14"/>
      <c r="M410" s="12"/>
      <c r="N410" s="9"/>
      <c r="O410" s="9"/>
      <c r="P410" s="9"/>
      <c r="Q410" s="38">
        <f t="shared" si="45"/>
        <v>0</v>
      </c>
      <c r="R410" s="12"/>
      <c r="S410" s="42"/>
      <c r="T410" s="15"/>
      <c r="U410" s="44"/>
      <c r="V410" s="15"/>
      <c r="W410" s="44"/>
      <c r="X410" s="15">
        <f t="shared" si="54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55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56"/>
        <v>0</v>
      </c>
      <c r="BC410" s="15"/>
      <c r="BD410" s="44"/>
      <c r="BE410" s="15"/>
      <c r="BF410" s="44"/>
      <c r="BG410" s="15">
        <f t="shared" si="57"/>
        <v>0</v>
      </c>
    </row>
    <row r="411" spans="1:59" s="8" customFormat="1" ht="22.5" customHeight="1">
      <c r="A411" s="9"/>
      <c r="B411" s="16" t="s">
        <v>581</v>
      </c>
      <c r="C411" s="89" t="s">
        <v>52</v>
      </c>
      <c r="D411" s="111" t="s">
        <v>582</v>
      </c>
      <c r="E411" s="112" t="s">
        <v>944</v>
      </c>
      <c r="F411" s="113" t="s">
        <v>1755</v>
      </c>
      <c r="G411" s="113" t="s">
        <v>1756</v>
      </c>
      <c r="H411" s="95"/>
      <c r="I411" s="9"/>
      <c r="J411" s="9" t="s">
        <v>584</v>
      </c>
      <c r="K411" s="14"/>
      <c r="L411" s="14"/>
      <c r="M411" s="12"/>
      <c r="N411" s="9"/>
      <c r="O411" s="9"/>
      <c r="P411" s="9"/>
      <c r="Q411" s="38">
        <f t="shared" si="45"/>
        <v>0</v>
      </c>
      <c r="R411" s="12"/>
      <c r="S411" s="42"/>
      <c r="T411" s="15"/>
      <c r="U411" s="44"/>
      <c r="V411" s="15"/>
      <c r="W411" s="44"/>
      <c r="X411" s="15">
        <f t="shared" si="54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55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56"/>
        <v>0</v>
      </c>
      <c r="BC411" s="15"/>
      <c r="BD411" s="44"/>
      <c r="BE411" s="15"/>
      <c r="BF411" s="44"/>
      <c r="BG411" s="15">
        <f t="shared" si="57"/>
        <v>0</v>
      </c>
    </row>
    <row r="412" spans="1:59" s="8" customFormat="1" ht="22.5" customHeight="1">
      <c r="A412" s="9"/>
      <c r="B412" s="16" t="s">
        <v>581</v>
      </c>
      <c r="C412" s="89" t="s">
        <v>52</v>
      </c>
      <c r="D412" s="111" t="s">
        <v>587</v>
      </c>
      <c r="E412" s="112" t="s">
        <v>590</v>
      </c>
      <c r="F412" s="113" t="s">
        <v>1757</v>
      </c>
      <c r="G412" s="113" t="s">
        <v>1758</v>
      </c>
      <c r="H412" s="95"/>
      <c r="I412" s="9"/>
      <c r="J412" s="9" t="s">
        <v>584</v>
      </c>
      <c r="K412" s="14"/>
      <c r="L412" s="14"/>
      <c r="M412" s="12"/>
      <c r="N412" s="9"/>
      <c r="O412" s="9"/>
      <c r="P412" s="9"/>
      <c r="Q412" s="38">
        <f t="shared" si="45"/>
        <v>0</v>
      </c>
      <c r="R412" s="12"/>
      <c r="S412" s="42"/>
      <c r="T412" s="15"/>
      <c r="U412" s="44"/>
      <c r="V412" s="15"/>
      <c r="W412" s="44"/>
      <c r="X412" s="15">
        <f t="shared" si="54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55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56"/>
        <v>0</v>
      </c>
      <c r="BC412" s="15"/>
      <c r="BD412" s="44"/>
      <c r="BE412" s="15"/>
      <c r="BF412" s="44"/>
      <c r="BG412" s="15">
        <f t="shared" si="57"/>
        <v>0</v>
      </c>
    </row>
    <row r="413" spans="1:59" s="8" customFormat="1" ht="22.5" customHeight="1">
      <c r="A413" s="9"/>
      <c r="B413" s="16" t="s">
        <v>591</v>
      </c>
      <c r="C413" s="92" t="s">
        <v>151</v>
      </c>
      <c r="D413" s="111" t="s">
        <v>592</v>
      </c>
      <c r="E413" s="112" t="s">
        <v>593</v>
      </c>
      <c r="F413" s="113" t="s">
        <v>1759</v>
      </c>
      <c r="G413" s="113" t="s">
        <v>1760</v>
      </c>
      <c r="H413" s="95"/>
      <c r="I413" s="9"/>
      <c r="J413" s="9" t="s">
        <v>594</v>
      </c>
      <c r="K413" s="14"/>
      <c r="L413" s="14"/>
      <c r="M413" s="12">
        <v>1098</v>
      </c>
      <c r="N413" s="9"/>
      <c r="O413" s="9"/>
      <c r="P413" s="9"/>
      <c r="Q413" s="38">
        <f t="shared" si="45"/>
        <v>1098</v>
      </c>
      <c r="R413" s="12"/>
      <c r="S413" s="42"/>
      <c r="T413" s="15"/>
      <c r="U413" s="44"/>
      <c r="V413" s="15"/>
      <c r="W413" s="44"/>
      <c r="X413" s="15">
        <f t="shared" si="54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55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56"/>
        <v>0</v>
      </c>
      <c r="BC413" s="15"/>
      <c r="BD413" s="44"/>
      <c r="BE413" s="15"/>
      <c r="BF413" s="44"/>
      <c r="BG413" s="15">
        <f t="shared" si="57"/>
        <v>0</v>
      </c>
    </row>
    <row r="414" spans="1:59" s="8" customFormat="1" ht="22.5" customHeight="1">
      <c r="A414" s="9"/>
      <c r="B414" s="16" t="s">
        <v>591</v>
      </c>
      <c r="C414" s="92" t="s">
        <v>151</v>
      </c>
      <c r="D414" s="111" t="s">
        <v>595</v>
      </c>
      <c r="E414" s="112" t="s">
        <v>596</v>
      </c>
      <c r="F414" s="113" t="s">
        <v>1761</v>
      </c>
      <c r="G414" s="113" t="s">
        <v>1762</v>
      </c>
      <c r="H414" s="95"/>
      <c r="I414" s="9"/>
      <c r="J414" s="9" t="s">
        <v>594</v>
      </c>
      <c r="K414" s="14"/>
      <c r="L414" s="14"/>
      <c r="M414" s="12">
        <v>0</v>
      </c>
      <c r="N414" s="9"/>
      <c r="O414" s="9"/>
      <c r="P414" s="9"/>
      <c r="Q414" s="38">
        <f t="shared" si="45"/>
        <v>0</v>
      </c>
      <c r="R414" s="12"/>
      <c r="S414" s="42"/>
      <c r="T414" s="15"/>
      <c r="U414" s="44"/>
      <c r="V414" s="15"/>
      <c r="W414" s="44"/>
      <c r="X414" s="15">
        <f t="shared" si="54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55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56"/>
        <v>0</v>
      </c>
      <c r="BC414" s="15"/>
      <c r="BD414" s="44"/>
      <c r="BE414" s="15"/>
      <c r="BF414" s="44"/>
      <c r="BG414" s="15">
        <f t="shared" si="57"/>
        <v>0</v>
      </c>
    </row>
    <row r="415" spans="1:59" s="8" customFormat="1" ht="22.5" customHeight="1">
      <c r="A415" s="9"/>
      <c r="B415" s="16" t="s">
        <v>591</v>
      </c>
      <c r="C415" s="92" t="s">
        <v>151</v>
      </c>
      <c r="D415" s="111" t="s">
        <v>1763</v>
      </c>
      <c r="E415" s="112" t="s">
        <v>598</v>
      </c>
      <c r="F415" s="113" t="s">
        <v>1764</v>
      </c>
      <c r="G415" s="113" t="s">
        <v>1765</v>
      </c>
      <c r="H415" s="95"/>
      <c r="I415" s="9"/>
      <c r="J415" s="9" t="s">
        <v>594</v>
      </c>
      <c r="K415" s="14"/>
      <c r="L415" s="14"/>
      <c r="M415" s="12">
        <v>100</v>
      </c>
      <c r="N415" s="9"/>
      <c r="O415" s="9"/>
      <c r="P415" s="9"/>
      <c r="Q415" s="38">
        <f t="shared" si="45"/>
        <v>100</v>
      </c>
      <c r="R415" s="12"/>
      <c r="S415" s="42"/>
      <c r="T415" s="15"/>
      <c r="U415" s="44"/>
      <c r="V415" s="15"/>
      <c r="W415" s="44"/>
      <c r="X415" s="15">
        <f t="shared" si="54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55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56"/>
        <v>0</v>
      </c>
      <c r="BC415" s="15"/>
      <c r="BD415" s="44"/>
      <c r="BE415" s="15"/>
      <c r="BF415" s="44"/>
      <c r="BG415" s="15">
        <f t="shared" si="57"/>
        <v>0</v>
      </c>
    </row>
    <row r="416" spans="1:59" s="8" customFormat="1" ht="22.5" customHeight="1">
      <c r="A416" s="9"/>
      <c r="B416" s="16" t="s">
        <v>591</v>
      </c>
      <c r="C416" s="92" t="s">
        <v>151</v>
      </c>
      <c r="D416" s="111" t="s">
        <v>599</v>
      </c>
      <c r="E416" s="112" t="s">
        <v>596</v>
      </c>
      <c r="F416" s="113" t="s">
        <v>1766</v>
      </c>
      <c r="G416" s="113" t="s">
        <v>1767</v>
      </c>
      <c r="H416" s="95"/>
      <c r="I416" s="9"/>
      <c r="J416" s="9" t="s">
        <v>594</v>
      </c>
      <c r="K416" s="14"/>
      <c r="L416" s="14"/>
      <c r="M416" s="12">
        <v>95</v>
      </c>
      <c r="N416" s="9"/>
      <c r="O416" s="9"/>
      <c r="P416" s="9"/>
      <c r="Q416" s="38">
        <f t="shared" si="45"/>
        <v>95</v>
      </c>
      <c r="R416" s="12"/>
      <c r="S416" s="42"/>
      <c r="T416" s="15"/>
      <c r="U416" s="44"/>
      <c r="V416" s="15"/>
      <c r="W416" s="44"/>
      <c r="X416" s="15">
        <f t="shared" si="54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55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56"/>
        <v>0</v>
      </c>
      <c r="BC416" s="15"/>
      <c r="BD416" s="44"/>
      <c r="BE416" s="15"/>
      <c r="BF416" s="44"/>
      <c r="BG416" s="15">
        <f t="shared" si="57"/>
        <v>0</v>
      </c>
    </row>
    <row r="417" spans="1:59" s="8" customFormat="1" ht="22.5" customHeight="1">
      <c r="A417" s="9"/>
      <c r="B417" s="16" t="s">
        <v>591</v>
      </c>
      <c r="C417" s="92" t="s">
        <v>151</v>
      </c>
      <c r="D417" s="111" t="s">
        <v>600</v>
      </c>
      <c r="E417" s="112" t="s">
        <v>601</v>
      </c>
      <c r="F417" s="113" t="s">
        <v>1768</v>
      </c>
      <c r="G417" s="113" t="s">
        <v>1769</v>
      </c>
      <c r="H417" s="95"/>
      <c r="I417" s="9"/>
      <c r="J417" s="9" t="s">
        <v>594</v>
      </c>
      <c r="K417" s="14"/>
      <c r="L417" s="14"/>
      <c r="M417" s="12">
        <v>300</v>
      </c>
      <c r="N417" s="9"/>
      <c r="O417" s="9"/>
      <c r="P417" s="9"/>
      <c r="Q417" s="38">
        <f t="shared" ref="Q417:Q480" si="58">M417+X417-AG417-BB417</f>
        <v>300</v>
      </c>
      <c r="R417" s="12"/>
      <c r="S417" s="42"/>
      <c r="T417" s="15"/>
      <c r="U417" s="44"/>
      <c r="V417" s="15"/>
      <c r="W417" s="44"/>
      <c r="X417" s="15">
        <f t="shared" ref="X417:X448" si="59">R417+T417+V417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ref="AG417:AG448" si="60">(Y417+AA417+AC417+AE417)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56"/>
        <v>0</v>
      </c>
      <c r="BC417" s="15"/>
      <c r="BD417" s="44"/>
      <c r="BE417" s="15"/>
      <c r="BF417" s="44"/>
      <c r="BG417" s="15">
        <f t="shared" si="57"/>
        <v>0</v>
      </c>
    </row>
    <row r="418" spans="1:59" s="8" customFormat="1" ht="22.5" customHeight="1">
      <c r="A418" s="9"/>
      <c r="B418" s="16" t="s">
        <v>591</v>
      </c>
      <c r="C418" s="92" t="s">
        <v>151</v>
      </c>
      <c r="D418" s="111" t="s">
        <v>602</v>
      </c>
      <c r="E418" s="112" t="s">
        <v>603</v>
      </c>
      <c r="F418" s="113" t="s">
        <v>1770</v>
      </c>
      <c r="G418" s="113" t="s">
        <v>1771</v>
      </c>
      <c r="H418" s="95"/>
      <c r="I418" s="9"/>
      <c r="J418" s="9" t="s">
        <v>594</v>
      </c>
      <c r="K418" s="14"/>
      <c r="L418" s="14"/>
      <c r="M418" s="12">
        <v>212</v>
      </c>
      <c r="N418" s="9"/>
      <c r="O418" s="9"/>
      <c r="P418" s="9"/>
      <c r="Q418" s="38">
        <f t="shared" si="58"/>
        <v>212</v>
      </c>
      <c r="R418" s="12"/>
      <c r="S418" s="42"/>
      <c r="T418" s="15"/>
      <c r="U418" s="44"/>
      <c r="V418" s="15"/>
      <c r="W418" s="44"/>
      <c r="X418" s="15">
        <f t="shared" si="59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60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56"/>
        <v>0</v>
      </c>
      <c r="BC418" s="15"/>
      <c r="BD418" s="44"/>
      <c r="BE418" s="15"/>
      <c r="BF418" s="44"/>
      <c r="BG418" s="15">
        <f t="shared" si="57"/>
        <v>0</v>
      </c>
    </row>
    <row r="419" spans="1:59" s="8" customFormat="1" ht="22.5" customHeight="1">
      <c r="A419" s="9"/>
      <c r="B419" s="16" t="s">
        <v>591</v>
      </c>
      <c r="C419" s="92" t="s">
        <v>151</v>
      </c>
      <c r="D419" s="111" t="s">
        <v>604</v>
      </c>
      <c r="E419" s="112" t="s">
        <v>605</v>
      </c>
      <c r="F419" s="113" t="s">
        <v>1772</v>
      </c>
      <c r="G419" s="113" t="s">
        <v>1773</v>
      </c>
      <c r="H419" s="95"/>
      <c r="I419" s="9"/>
      <c r="J419" s="9" t="s">
        <v>594</v>
      </c>
      <c r="K419" s="14"/>
      <c r="L419" s="14"/>
      <c r="M419" s="12">
        <v>240</v>
      </c>
      <c r="N419" s="9"/>
      <c r="O419" s="9"/>
      <c r="P419" s="9"/>
      <c r="Q419" s="38">
        <f t="shared" si="58"/>
        <v>240</v>
      </c>
      <c r="R419" s="12"/>
      <c r="S419" s="42"/>
      <c r="T419" s="15"/>
      <c r="U419" s="44"/>
      <c r="V419" s="15"/>
      <c r="W419" s="44"/>
      <c r="X419" s="15">
        <f t="shared" si="59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60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56"/>
        <v>0</v>
      </c>
      <c r="BC419" s="15"/>
      <c r="BD419" s="44"/>
      <c r="BE419" s="15"/>
      <c r="BF419" s="44"/>
      <c r="BG419" s="15">
        <f t="shared" si="57"/>
        <v>0</v>
      </c>
    </row>
    <row r="420" spans="1:59" s="8" customFormat="1" ht="22.5" customHeight="1">
      <c r="A420" s="9"/>
      <c r="B420" s="16" t="s">
        <v>606</v>
      </c>
      <c r="C420" s="92" t="s">
        <v>151</v>
      </c>
      <c r="D420" s="111" t="s">
        <v>607</v>
      </c>
      <c r="E420" s="112" t="s">
        <v>608</v>
      </c>
      <c r="F420" s="113" t="s">
        <v>1774</v>
      </c>
      <c r="G420" s="113" t="s">
        <v>1775</v>
      </c>
      <c r="H420" s="95"/>
      <c r="I420" s="9"/>
      <c r="J420" s="9" t="s">
        <v>594</v>
      </c>
      <c r="K420" s="14"/>
      <c r="L420" s="14"/>
      <c r="M420" s="12">
        <v>360</v>
      </c>
      <c r="N420" s="9"/>
      <c r="O420" s="9"/>
      <c r="P420" s="9"/>
      <c r="Q420" s="38">
        <f t="shared" si="58"/>
        <v>360</v>
      </c>
      <c r="R420" s="12"/>
      <c r="S420" s="42"/>
      <c r="T420" s="15"/>
      <c r="U420" s="44"/>
      <c r="V420" s="15"/>
      <c r="W420" s="44"/>
      <c r="X420" s="15">
        <f t="shared" si="59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60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56"/>
        <v>0</v>
      </c>
      <c r="BC420" s="15"/>
      <c r="BD420" s="44"/>
      <c r="BE420" s="15"/>
      <c r="BF420" s="44"/>
      <c r="BG420" s="15">
        <f t="shared" si="57"/>
        <v>0</v>
      </c>
    </row>
    <row r="421" spans="1:59" s="8" customFormat="1" ht="22.5" customHeight="1">
      <c r="A421" s="9"/>
      <c r="B421" s="16" t="s">
        <v>606</v>
      </c>
      <c r="C421" s="92" t="s">
        <v>151</v>
      </c>
      <c r="D421" s="111" t="s">
        <v>609</v>
      </c>
      <c r="E421" s="112" t="s">
        <v>610</v>
      </c>
      <c r="F421" s="113" t="s">
        <v>1776</v>
      </c>
      <c r="G421" s="113" t="s">
        <v>1777</v>
      </c>
      <c r="H421" s="95"/>
      <c r="I421" s="9"/>
      <c r="J421" s="9" t="s">
        <v>594</v>
      </c>
      <c r="K421" s="14"/>
      <c r="L421" s="14"/>
      <c r="M421" s="12">
        <v>180</v>
      </c>
      <c r="N421" s="9"/>
      <c r="O421" s="9"/>
      <c r="P421" s="9"/>
      <c r="Q421" s="38">
        <f t="shared" si="58"/>
        <v>180</v>
      </c>
      <c r="R421" s="12"/>
      <c r="S421" s="42"/>
      <c r="T421" s="15"/>
      <c r="U421" s="44"/>
      <c r="V421" s="15"/>
      <c r="W421" s="44"/>
      <c r="X421" s="15">
        <f t="shared" si="59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60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56"/>
        <v>0</v>
      </c>
      <c r="BC421" s="15"/>
      <c r="BD421" s="44"/>
      <c r="BE421" s="15"/>
      <c r="BF421" s="44"/>
      <c r="BG421" s="15">
        <f t="shared" si="57"/>
        <v>0</v>
      </c>
    </row>
    <row r="422" spans="1:59" s="8" customFormat="1" ht="22.5" customHeight="1">
      <c r="A422" s="9"/>
      <c r="B422" s="16" t="s">
        <v>606</v>
      </c>
      <c r="C422" s="89" t="s">
        <v>52</v>
      </c>
      <c r="D422" s="111" t="s">
        <v>611</v>
      </c>
      <c r="E422" s="112" t="s">
        <v>612</v>
      </c>
      <c r="F422" s="113" t="s">
        <v>1778</v>
      </c>
      <c r="G422" s="113" t="s">
        <v>1779</v>
      </c>
      <c r="H422" s="95"/>
      <c r="I422" s="9"/>
      <c r="J422" s="9" t="s">
        <v>594</v>
      </c>
      <c r="K422" s="14"/>
      <c r="L422" s="14"/>
      <c r="M422" s="12">
        <v>420</v>
      </c>
      <c r="N422" s="9"/>
      <c r="O422" s="9"/>
      <c r="P422" s="9"/>
      <c r="Q422" s="38">
        <f t="shared" si="58"/>
        <v>420</v>
      </c>
      <c r="R422" s="12"/>
      <c r="S422" s="42"/>
      <c r="T422" s="15"/>
      <c r="U422" s="44"/>
      <c r="V422" s="15"/>
      <c r="W422" s="44"/>
      <c r="X422" s="15">
        <f t="shared" si="59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60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56"/>
        <v>0</v>
      </c>
      <c r="BC422" s="15"/>
      <c r="BD422" s="44"/>
      <c r="BE422" s="15"/>
      <c r="BF422" s="44"/>
      <c r="BG422" s="15">
        <f t="shared" si="57"/>
        <v>0</v>
      </c>
    </row>
    <row r="423" spans="1:59" s="8" customFormat="1" ht="22.5" customHeight="1">
      <c r="A423" s="9"/>
      <c r="B423" s="16" t="s">
        <v>606</v>
      </c>
      <c r="C423" s="89" t="s">
        <v>52</v>
      </c>
      <c r="D423" s="111" t="s">
        <v>613</v>
      </c>
      <c r="E423" s="112" t="s">
        <v>614</v>
      </c>
      <c r="F423" s="113" t="s">
        <v>1780</v>
      </c>
      <c r="G423" s="113" t="s">
        <v>1781</v>
      </c>
      <c r="H423" s="95"/>
      <c r="I423" s="9"/>
      <c r="J423" s="9" t="s">
        <v>594</v>
      </c>
      <c r="K423" s="14"/>
      <c r="L423" s="14"/>
      <c r="M423" s="12">
        <v>7</v>
      </c>
      <c r="N423" s="9"/>
      <c r="O423" s="9"/>
      <c r="P423" s="9"/>
      <c r="Q423" s="38">
        <f t="shared" si="58"/>
        <v>7</v>
      </c>
      <c r="R423" s="12"/>
      <c r="S423" s="42"/>
      <c r="T423" s="15"/>
      <c r="U423" s="44"/>
      <c r="V423" s="15"/>
      <c r="W423" s="44"/>
      <c r="X423" s="15">
        <f t="shared" si="59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60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56"/>
        <v>0</v>
      </c>
      <c r="BC423" s="15"/>
      <c r="BD423" s="44"/>
      <c r="BE423" s="15"/>
      <c r="BF423" s="44"/>
      <c r="BG423" s="15">
        <f t="shared" si="57"/>
        <v>0</v>
      </c>
    </row>
    <row r="424" spans="1:59" s="8" customFormat="1" ht="22.5" customHeight="1">
      <c r="A424" s="9"/>
      <c r="B424" s="16" t="s">
        <v>606</v>
      </c>
      <c r="C424" s="92" t="s">
        <v>151</v>
      </c>
      <c r="D424" s="111" t="s">
        <v>615</v>
      </c>
      <c r="E424" s="112" t="s">
        <v>593</v>
      </c>
      <c r="F424" s="113" t="s">
        <v>1782</v>
      </c>
      <c r="G424" s="113" t="s">
        <v>1783</v>
      </c>
      <c r="H424" s="95"/>
      <c r="I424" s="9"/>
      <c r="J424" s="9" t="s">
        <v>594</v>
      </c>
      <c r="K424" s="14"/>
      <c r="L424" s="14"/>
      <c r="M424" s="12"/>
      <c r="N424" s="9"/>
      <c r="O424" s="9"/>
      <c r="P424" s="9"/>
      <c r="Q424" s="38">
        <f t="shared" si="58"/>
        <v>0</v>
      </c>
      <c r="R424" s="12"/>
      <c r="S424" s="42"/>
      <c r="T424" s="15"/>
      <c r="U424" s="44"/>
      <c r="V424" s="15"/>
      <c r="W424" s="44"/>
      <c r="X424" s="15">
        <f t="shared" si="59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60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56"/>
        <v>0</v>
      </c>
      <c r="BC424" s="15"/>
      <c r="BD424" s="44"/>
      <c r="BE424" s="15"/>
      <c r="BF424" s="44"/>
      <c r="BG424" s="15">
        <f t="shared" si="57"/>
        <v>0</v>
      </c>
    </row>
    <row r="425" spans="1:59" s="8" customFormat="1" ht="22.5" customHeight="1">
      <c r="A425" s="9"/>
      <c r="B425" s="16" t="s">
        <v>606</v>
      </c>
      <c r="C425" s="92" t="s">
        <v>151</v>
      </c>
      <c r="D425" s="111" t="s">
        <v>615</v>
      </c>
      <c r="E425" s="112" t="s">
        <v>616</v>
      </c>
      <c r="F425" s="113" t="s">
        <v>1784</v>
      </c>
      <c r="G425" s="113" t="s">
        <v>1785</v>
      </c>
      <c r="H425" s="95"/>
      <c r="I425" s="9"/>
      <c r="J425" s="9" t="s">
        <v>594</v>
      </c>
      <c r="K425" s="14"/>
      <c r="L425" s="14"/>
      <c r="M425" s="12"/>
      <c r="N425" s="9"/>
      <c r="O425" s="9"/>
      <c r="P425" s="9"/>
      <c r="Q425" s="38">
        <f t="shared" si="58"/>
        <v>0</v>
      </c>
      <c r="R425" s="12"/>
      <c r="S425" s="42"/>
      <c r="T425" s="15"/>
      <c r="U425" s="44"/>
      <c r="V425" s="15"/>
      <c r="W425" s="44"/>
      <c r="X425" s="15">
        <f t="shared" si="59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60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56"/>
        <v>0</v>
      </c>
      <c r="BC425" s="15"/>
      <c r="BD425" s="44"/>
      <c r="BE425" s="15"/>
      <c r="BF425" s="44"/>
      <c r="BG425" s="15">
        <f t="shared" si="57"/>
        <v>0</v>
      </c>
    </row>
    <row r="426" spans="1:59" s="8" customFormat="1" ht="22.5" customHeight="1">
      <c r="A426" s="9"/>
      <c r="B426" s="16" t="s">
        <v>617</v>
      </c>
      <c r="C426" s="92" t="s">
        <v>151</v>
      </c>
      <c r="D426" s="111" t="s">
        <v>618</v>
      </c>
      <c r="E426" s="112"/>
      <c r="F426" s="113" t="s">
        <v>1786</v>
      </c>
      <c r="G426" s="113" t="s">
        <v>1787</v>
      </c>
      <c r="H426" s="95"/>
      <c r="I426" s="9"/>
      <c r="J426" s="9" t="s">
        <v>467</v>
      </c>
      <c r="K426" s="14"/>
      <c r="L426" s="14"/>
      <c r="M426" s="12"/>
      <c r="N426" s="9"/>
      <c r="O426" s="9"/>
      <c r="P426" s="9"/>
      <c r="Q426" s="38">
        <f t="shared" si="58"/>
        <v>0</v>
      </c>
      <c r="R426" s="12"/>
      <c r="S426" s="42"/>
      <c r="T426" s="15"/>
      <c r="U426" s="44"/>
      <c r="V426" s="15"/>
      <c r="W426" s="44"/>
      <c r="X426" s="15">
        <f t="shared" si="59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60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56"/>
        <v>0</v>
      </c>
      <c r="BC426" s="15"/>
      <c r="BD426" s="44"/>
      <c r="BE426" s="15"/>
      <c r="BF426" s="44"/>
      <c r="BG426" s="15">
        <f t="shared" si="57"/>
        <v>0</v>
      </c>
    </row>
    <row r="427" spans="1:59" s="8" customFormat="1" ht="22.5" customHeight="1">
      <c r="A427" s="9"/>
      <c r="B427" s="16" t="s">
        <v>619</v>
      </c>
      <c r="C427" s="89" t="s">
        <v>44</v>
      </c>
      <c r="D427" s="111" t="s">
        <v>620</v>
      </c>
      <c r="E427" s="112" t="s">
        <v>621</v>
      </c>
      <c r="F427" s="113" t="s">
        <v>1788</v>
      </c>
      <c r="G427" s="113" t="s">
        <v>1789</v>
      </c>
      <c r="H427" s="95"/>
      <c r="I427" s="9"/>
      <c r="J427" s="9" t="s">
        <v>67</v>
      </c>
      <c r="K427" s="14"/>
      <c r="L427" s="14"/>
      <c r="M427" s="12"/>
      <c r="N427" s="9"/>
      <c r="O427" s="9"/>
      <c r="P427" s="9"/>
      <c r="Q427" s="38">
        <f t="shared" si="58"/>
        <v>0</v>
      </c>
      <c r="R427" s="12"/>
      <c r="S427" s="42"/>
      <c r="T427" s="15"/>
      <c r="U427" s="44"/>
      <c r="V427" s="15"/>
      <c r="W427" s="44"/>
      <c r="X427" s="15">
        <f t="shared" si="59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60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ref="BB427:BB458" si="61">AH427+AJ427+AL427+AN427+AP427+AR427+AT427+AV427+AX427+AZ427</f>
        <v>0</v>
      </c>
      <c r="BC427" s="15"/>
      <c r="BD427" s="44"/>
      <c r="BE427" s="15"/>
      <c r="BF427" s="44"/>
      <c r="BG427" s="15">
        <f t="shared" ref="BG427:BG458" si="62">(BC427+BE427)</f>
        <v>0</v>
      </c>
    </row>
    <row r="428" spans="1:59" s="8" customFormat="1" ht="22.5" customHeight="1">
      <c r="A428" s="9"/>
      <c r="B428" s="16" t="s">
        <v>120</v>
      </c>
      <c r="C428" s="92" t="s">
        <v>151</v>
      </c>
      <c r="D428" s="111" t="s">
        <v>622</v>
      </c>
      <c r="E428" s="112"/>
      <c r="F428" s="113" t="s">
        <v>622</v>
      </c>
      <c r="G428" s="113" t="s">
        <v>1790</v>
      </c>
      <c r="H428" s="95"/>
      <c r="I428" s="9"/>
      <c r="J428" s="9" t="s">
        <v>67</v>
      </c>
      <c r="K428" s="14"/>
      <c r="L428" s="14"/>
      <c r="M428" s="12"/>
      <c r="N428" s="9"/>
      <c r="O428" s="9"/>
      <c r="P428" s="9"/>
      <c r="Q428" s="38">
        <f t="shared" si="58"/>
        <v>0</v>
      </c>
      <c r="R428" s="12"/>
      <c r="S428" s="42"/>
      <c r="T428" s="15"/>
      <c r="U428" s="44"/>
      <c r="V428" s="15"/>
      <c r="W428" s="44"/>
      <c r="X428" s="15">
        <f t="shared" si="59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60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61"/>
        <v>0</v>
      </c>
      <c r="BC428" s="15"/>
      <c r="BD428" s="44"/>
      <c r="BE428" s="15"/>
      <c r="BF428" s="44"/>
      <c r="BG428" s="15">
        <f t="shared" si="62"/>
        <v>0</v>
      </c>
    </row>
    <row r="429" spans="1:59" s="8" customFormat="1" ht="22.5" customHeight="1">
      <c r="A429" s="9"/>
      <c r="B429" s="16" t="s">
        <v>120</v>
      </c>
      <c r="C429" s="89" t="s">
        <v>140</v>
      </c>
      <c r="D429" s="111" t="s">
        <v>623</v>
      </c>
      <c r="E429" s="112" t="s">
        <v>624</v>
      </c>
      <c r="F429" s="113" t="s">
        <v>1791</v>
      </c>
      <c r="G429" s="113" t="s">
        <v>1792</v>
      </c>
      <c r="H429" s="95"/>
      <c r="I429" s="9"/>
      <c r="J429" s="9" t="s">
        <v>625</v>
      </c>
      <c r="K429" s="14"/>
      <c r="L429" s="14"/>
      <c r="M429" s="12"/>
      <c r="N429" s="9"/>
      <c r="O429" s="9"/>
      <c r="P429" s="9"/>
      <c r="Q429" s="38">
        <f t="shared" si="58"/>
        <v>0</v>
      </c>
      <c r="R429" s="12"/>
      <c r="S429" s="42"/>
      <c r="T429" s="15"/>
      <c r="U429" s="44"/>
      <c r="V429" s="15"/>
      <c r="W429" s="44"/>
      <c r="X429" s="15">
        <f t="shared" si="59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60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si="61"/>
        <v>0</v>
      </c>
      <c r="BC429" s="15"/>
      <c r="BD429" s="44"/>
      <c r="BE429" s="15"/>
      <c r="BF429" s="44"/>
      <c r="BG429" s="15">
        <f t="shared" si="62"/>
        <v>0</v>
      </c>
    </row>
    <row r="430" spans="1:59" s="8" customFormat="1" ht="22.5" customHeight="1">
      <c r="A430" s="9"/>
      <c r="B430" s="16" t="s">
        <v>120</v>
      </c>
      <c r="C430" s="89" t="s">
        <v>140</v>
      </c>
      <c r="D430" s="111" t="s">
        <v>623</v>
      </c>
      <c r="E430" s="112" t="s">
        <v>626</v>
      </c>
      <c r="F430" s="113" t="s">
        <v>1793</v>
      </c>
      <c r="G430" s="113" t="s">
        <v>1794</v>
      </c>
      <c r="H430" s="95"/>
      <c r="I430" s="9"/>
      <c r="J430" s="9" t="s">
        <v>627</v>
      </c>
      <c r="K430" s="14"/>
      <c r="L430" s="14"/>
      <c r="M430" s="12"/>
      <c r="N430" s="9"/>
      <c r="O430" s="9"/>
      <c r="P430" s="9"/>
      <c r="Q430" s="38">
        <f t="shared" si="58"/>
        <v>0</v>
      </c>
      <c r="R430" s="12"/>
      <c r="S430" s="42"/>
      <c r="T430" s="15"/>
      <c r="U430" s="44"/>
      <c r="V430" s="15"/>
      <c r="W430" s="44"/>
      <c r="X430" s="15">
        <f t="shared" si="59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60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61"/>
        <v>0</v>
      </c>
      <c r="BC430" s="15"/>
      <c r="BD430" s="44"/>
      <c r="BE430" s="15"/>
      <c r="BF430" s="44"/>
      <c r="BG430" s="15">
        <f t="shared" si="62"/>
        <v>0</v>
      </c>
    </row>
    <row r="431" spans="1:59" s="8" customFormat="1" ht="22.5" customHeight="1">
      <c r="A431" s="9"/>
      <c r="B431" s="16" t="s">
        <v>120</v>
      </c>
      <c r="C431" s="89" t="s">
        <v>140</v>
      </c>
      <c r="D431" s="111" t="s">
        <v>623</v>
      </c>
      <c r="E431" s="112" t="s">
        <v>628</v>
      </c>
      <c r="F431" s="113" t="s">
        <v>1795</v>
      </c>
      <c r="G431" s="113" t="s">
        <v>1796</v>
      </c>
      <c r="H431" s="95"/>
      <c r="I431" s="9"/>
      <c r="J431" s="9" t="s">
        <v>627</v>
      </c>
      <c r="K431" s="14"/>
      <c r="L431" s="14"/>
      <c r="M431" s="12"/>
      <c r="N431" s="9"/>
      <c r="O431" s="9"/>
      <c r="P431" s="9"/>
      <c r="Q431" s="38">
        <f t="shared" si="58"/>
        <v>0</v>
      </c>
      <c r="R431" s="12"/>
      <c r="S431" s="42"/>
      <c r="T431" s="15"/>
      <c r="U431" s="44"/>
      <c r="V431" s="15"/>
      <c r="W431" s="44"/>
      <c r="X431" s="15">
        <f t="shared" si="59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60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61"/>
        <v>0</v>
      </c>
      <c r="BC431" s="15"/>
      <c r="BD431" s="44"/>
      <c r="BE431" s="15"/>
      <c r="BF431" s="44"/>
      <c r="BG431" s="15">
        <f t="shared" si="62"/>
        <v>0</v>
      </c>
    </row>
    <row r="432" spans="1:59" s="8" customFormat="1" ht="22.5" customHeight="1">
      <c r="A432" s="9"/>
      <c r="B432" s="16" t="s">
        <v>120</v>
      </c>
      <c r="C432" s="89" t="s">
        <v>52</v>
      </c>
      <c r="D432" s="111" t="s">
        <v>629</v>
      </c>
      <c r="E432" s="112"/>
      <c r="F432" s="113" t="s">
        <v>629</v>
      </c>
      <c r="G432" s="113" t="s">
        <v>1797</v>
      </c>
      <c r="H432" s="95"/>
      <c r="I432" s="9"/>
      <c r="J432" s="9" t="s">
        <v>467</v>
      </c>
      <c r="K432" s="14"/>
      <c r="L432" s="14"/>
      <c r="M432" s="12">
        <v>27</v>
      </c>
      <c r="N432" s="9"/>
      <c r="O432" s="9"/>
      <c r="P432" s="9"/>
      <c r="Q432" s="38">
        <f t="shared" si="58"/>
        <v>27</v>
      </c>
      <c r="R432" s="12"/>
      <c r="S432" s="42"/>
      <c r="T432" s="15"/>
      <c r="U432" s="44"/>
      <c r="V432" s="15"/>
      <c r="W432" s="44"/>
      <c r="X432" s="15">
        <f t="shared" si="59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60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61"/>
        <v>0</v>
      </c>
      <c r="BC432" s="15"/>
      <c r="BD432" s="44"/>
      <c r="BE432" s="15"/>
      <c r="BF432" s="44"/>
      <c r="BG432" s="15">
        <f t="shared" si="62"/>
        <v>0</v>
      </c>
    </row>
    <row r="433" spans="1:59" s="8" customFormat="1" ht="22.5" customHeight="1">
      <c r="A433" s="9"/>
      <c r="B433" s="16" t="s">
        <v>172</v>
      </c>
      <c r="C433" s="92" t="s">
        <v>151</v>
      </c>
      <c r="D433" s="111" t="s">
        <v>630</v>
      </c>
      <c r="E433" s="112" t="s">
        <v>631</v>
      </c>
      <c r="F433" s="113" t="s">
        <v>1798</v>
      </c>
      <c r="G433" s="113" t="s">
        <v>1799</v>
      </c>
      <c r="H433" s="95"/>
      <c r="I433" s="9"/>
      <c r="J433" s="9" t="s">
        <v>67</v>
      </c>
      <c r="K433" s="14"/>
      <c r="L433" s="14"/>
      <c r="M433" s="12"/>
      <c r="N433" s="9"/>
      <c r="O433" s="9"/>
      <c r="P433" s="9"/>
      <c r="Q433" s="38">
        <f t="shared" si="58"/>
        <v>0</v>
      </c>
      <c r="R433" s="12"/>
      <c r="S433" s="42"/>
      <c r="T433" s="15"/>
      <c r="U433" s="44"/>
      <c r="V433" s="15"/>
      <c r="W433" s="44"/>
      <c r="X433" s="15">
        <f t="shared" si="59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60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61"/>
        <v>0</v>
      </c>
      <c r="BC433" s="15"/>
      <c r="BD433" s="44"/>
      <c r="BE433" s="15"/>
      <c r="BF433" s="44"/>
      <c r="BG433" s="15">
        <f t="shared" si="62"/>
        <v>0</v>
      </c>
    </row>
    <row r="434" spans="1:59" s="8" customFormat="1" ht="22.5" customHeight="1">
      <c r="A434" s="9"/>
      <c r="B434" s="16" t="s">
        <v>632</v>
      </c>
      <c r="C434" s="89" t="s">
        <v>151</v>
      </c>
      <c r="D434" s="59" t="s">
        <v>1800</v>
      </c>
      <c r="E434" s="13"/>
      <c r="F434" s="106" t="s">
        <v>1144</v>
      </c>
      <c r="G434" s="106"/>
      <c r="H434" s="95"/>
      <c r="I434" s="9"/>
      <c r="J434" s="9"/>
      <c r="K434" s="14"/>
      <c r="L434" s="14"/>
      <c r="M434" s="12">
        <v>38</v>
      </c>
      <c r="N434" s="9"/>
      <c r="O434" s="9"/>
      <c r="P434" s="9"/>
      <c r="Q434" s="38">
        <f t="shared" si="58"/>
        <v>38</v>
      </c>
      <c r="R434" s="12"/>
      <c r="S434" s="42"/>
      <c r="T434" s="15"/>
      <c r="U434" s="44"/>
      <c r="V434" s="15"/>
      <c r="W434" s="44"/>
      <c r="X434" s="15">
        <f t="shared" si="59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60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61"/>
        <v>0</v>
      </c>
      <c r="BC434" s="15"/>
      <c r="BD434" s="44"/>
      <c r="BE434" s="15"/>
      <c r="BF434" s="44"/>
      <c r="BG434" s="15">
        <f t="shared" si="62"/>
        <v>0</v>
      </c>
    </row>
    <row r="435" spans="1:59" s="8" customFormat="1" ht="22.5" customHeight="1">
      <c r="A435" s="9"/>
      <c r="B435" s="16" t="s">
        <v>632</v>
      </c>
      <c r="C435" s="89" t="s">
        <v>132</v>
      </c>
      <c r="D435" s="59" t="s">
        <v>633</v>
      </c>
      <c r="E435" s="13"/>
      <c r="F435" s="106" t="s">
        <v>1144</v>
      </c>
      <c r="G435" s="106"/>
      <c r="H435" s="95"/>
      <c r="I435" s="9"/>
      <c r="J435" s="9" t="s">
        <v>247</v>
      </c>
      <c r="K435" s="14"/>
      <c r="L435" s="14"/>
      <c r="M435" s="12"/>
      <c r="N435" s="9"/>
      <c r="O435" s="9"/>
      <c r="P435" s="9"/>
      <c r="Q435" s="38">
        <f t="shared" si="58"/>
        <v>0</v>
      </c>
      <c r="R435" s="12"/>
      <c r="S435" s="42"/>
      <c r="T435" s="15"/>
      <c r="U435" s="44"/>
      <c r="V435" s="15"/>
      <c r="W435" s="44"/>
      <c r="X435" s="15">
        <f t="shared" si="59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60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61"/>
        <v>0</v>
      </c>
      <c r="BC435" s="15"/>
      <c r="BD435" s="44"/>
      <c r="BE435" s="15"/>
      <c r="BF435" s="44"/>
      <c r="BG435" s="15">
        <f t="shared" si="62"/>
        <v>0</v>
      </c>
    </row>
    <row r="436" spans="1:59" s="8" customFormat="1" ht="22.5" customHeight="1">
      <c r="A436" s="9"/>
      <c r="B436" s="16" t="s">
        <v>632</v>
      </c>
      <c r="C436" s="89" t="s">
        <v>132</v>
      </c>
      <c r="D436" s="61" t="s">
        <v>634</v>
      </c>
      <c r="E436" s="13"/>
      <c r="F436" s="106" t="s">
        <v>1144</v>
      </c>
      <c r="G436" s="106"/>
      <c r="H436" s="95"/>
      <c r="I436" s="9"/>
      <c r="J436" s="9" t="s">
        <v>247</v>
      </c>
      <c r="K436" s="14"/>
      <c r="L436" s="14"/>
      <c r="M436" s="12"/>
      <c r="N436" s="9"/>
      <c r="O436" s="9"/>
      <c r="P436" s="9"/>
      <c r="Q436" s="38">
        <f t="shared" si="58"/>
        <v>0</v>
      </c>
      <c r="R436" s="12"/>
      <c r="S436" s="42"/>
      <c r="T436" s="15"/>
      <c r="U436" s="44"/>
      <c r="V436" s="15"/>
      <c r="W436" s="44"/>
      <c r="X436" s="15">
        <f t="shared" si="59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60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61"/>
        <v>0</v>
      </c>
      <c r="BC436" s="15"/>
      <c r="BD436" s="44"/>
      <c r="BE436" s="15"/>
      <c r="BF436" s="44"/>
      <c r="BG436" s="15">
        <f t="shared" si="62"/>
        <v>0</v>
      </c>
    </row>
    <row r="437" spans="1:59" s="8" customFormat="1" ht="22.5" customHeight="1">
      <c r="A437" s="9"/>
      <c r="B437" s="16" t="s">
        <v>632</v>
      </c>
      <c r="C437" s="89" t="s">
        <v>132</v>
      </c>
      <c r="D437" s="61" t="s">
        <v>635</v>
      </c>
      <c r="E437" s="13"/>
      <c r="F437" s="106" t="s">
        <v>1144</v>
      </c>
      <c r="G437" s="106"/>
      <c r="H437" s="95"/>
      <c r="I437" s="9"/>
      <c r="J437" s="9" t="s">
        <v>247</v>
      </c>
      <c r="K437" s="14"/>
      <c r="L437" s="14"/>
      <c r="M437" s="12"/>
      <c r="N437" s="9"/>
      <c r="O437" s="9"/>
      <c r="P437" s="9"/>
      <c r="Q437" s="38">
        <f t="shared" si="58"/>
        <v>0</v>
      </c>
      <c r="R437" s="12"/>
      <c r="S437" s="42"/>
      <c r="T437" s="15"/>
      <c r="U437" s="44"/>
      <c r="V437" s="15"/>
      <c r="W437" s="44"/>
      <c r="X437" s="15">
        <f t="shared" si="59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60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61"/>
        <v>0</v>
      </c>
      <c r="BC437" s="15"/>
      <c r="BD437" s="44"/>
      <c r="BE437" s="15"/>
      <c r="BF437" s="44"/>
      <c r="BG437" s="15">
        <f t="shared" si="62"/>
        <v>0</v>
      </c>
    </row>
    <row r="438" spans="1:59" s="8" customFormat="1" ht="22.5" customHeight="1">
      <c r="A438" s="9"/>
      <c r="B438" s="16" t="s">
        <v>632</v>
      </c>
      <c r="C438" s="89" t="s">
        <v>132</v>
      </c>
      <c r="D438" s="61" t="s">
        <v>636</v>
      </c>
      <c r="E438" s="13"/>
      <c r="F438" s="106" t="s">
        <v>1144</v>
      </c>
      <c r="G438" s="106"/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58"/>
        <v>0</v>
      </c>
      <c r="R438" s="12"/>
      <c r="S438" s="42"/>
      <c r="T438" s="15"/>
      <c r="U438" s="44"/>
      <c r="V438" s="15"/>
      <c r="W438" s="44"/>
      <c r="X438" s="15">
        <f t="shared" si="59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60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61"/>
        <v>0</v>
      </c>
      <c r="BC438" s="15"/>
      <c r="BD438" s="44"/>
      <c r="BE438" s="15"/>
      <c r="BF438" s="44"/>
      <c r="BG438" s="15">
        <f t="shared" si="62"/>
        <v>0</v>
      </c>
    </row>
    <row r="439" spans="1:59" s="8" customFormat="1" ht="22.5" customHeight="1">
      <c r="A439" s="9"/>
      <c r="B439" s="16" t="s">
        <v>632</v>
      </c>
      <c r="C439" s="89" t="s">
        <v>48</v>
      </c>
      <c r="D439" s="61" t="s">
        <v>637</v>
      </c>
      <c r="E439" s="13"/>
      <c r="F439" s="106" t="s">
        <v>1144</v>
      </c>
      <c r="G439" s="106"/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58"/>
        <v>0</v>
      </c>
      <c r="R439" s="12"/>
      <c r="S439" s="42"/>
      <c r="T439" s="15"/>
      <c r="U439" s="44"/>
      <c r="V439" s="15"/>
      <c r="W439" s="44"/>
      <c r="X439" s="15">
        <f t="shared" si="59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60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61"/>
        <v>0</v>
      </c>
      <c r="BC439" s="15"/>
      <c r="BD439" s="44"/>
      <c r="BE439" s="15"/>
      <c r="BF439" s="44"/>
      <c r="BG439" s="15">
        <f t="shared" si="62"/>
        <v>0</v>
      </c>
    </row>
    <row r="440" spans="1:59" s="8" customFormat="1" ht="22.5" customHeight="1">
      <c r="A440" s="9"/>
      <c r="B440" s="16" t="s">
        <v>632</v>
      </c>
      <c r="C440" s="89" t="s">
        <v>48</v>
      </c>
      <c r="D440" s="61" t="s">
        <v>635</v>
      </c>
      <c r="E440" s="13"/>
      <c r="F440" s="106" t="s">
        <v>1144</v>
      </c>
      <c r="G440" s="106"/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58"/>
        <v>0</v>
      </c>
      <c r="R440" s="12"/>
      <c r="S440" s="42"/>
      <c r="T440" s="15"/>
      <c r="U440" s="44"/>
      <c r="V440" s="15"/>
      <c r="W440" s="44"/>
      <c r="X440" s="15">
        <f t="shared" si="59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60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61"/>
        <v>0</v>
      </c>
      <c r="BC440" s="15"/>
      <c r="BD440" s="44"/>
      <c r="BE440" s="15"/>
      <c r="BF440" s="44"/>
      <c r="BG440" s="15">
        <f t="shared" si="62"/>
        <v>0</v>
      </c>
    </row>
    <row r="441" spans="1:59" s="8" customFormat="1" ht="22.5" customHeight="1">
      <c r="A441" s="9"/>
      <c r="B441" s="16" t="s">
        <v>632</v>
      </c>
      <c r="C441" s="89" t="s">
        <v>48</v>
      </c>
      <c r="D441" s="59" t="s">
        <v>636</v>
      </c>
      <c r="E441" s="13"/>
      <c r="F441" s="106" t="s">
        <v>1144</v>
      </c>
      <c r="G441" s="106"/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58"/>
        <v>0</v>
      </c>
      <c r="R441" s="12"/>
      <c r="S441" s="42"/>
      <c r="T441" s="15"/>
      <c r="U441" s="44"/>
      <c r="V441" s="15"/>
      <c r="W441" s="44"/>
      <c r="X441" s="15">
        <f t="shared" si="59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60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61"/>
        <v>0</v>
      </c>
      <c r="BC441" s="15"/>
      <c r="BD441" s="44"/>
      <c r="BE441" s="15"/>
      <c r="BF441" s="44"/>
      <c r="BG441" s="15">
        <f t="shared" si="62"/>
        <v>0</v>
      </c>
    </row>
    <row r="442" spans="1:59" s="8" customFormat="1" ht="22.5" customHeight="1">
      <c r="A442" s="9"/>
      <c r="B442" s="16" t="s">
        <v>632</v>
      </c>
      <c r="C442" s="89" t="s">
        <v>52</v>
      </c>
      <c r="D442" s="59" t="s">
        <v>637</v>
      </c>
      <c r="E442" s="17"/>
      <c r="H442" s="95"/>
      <c r="I442" s="9"/>
      <c r="J442" s="9" t="s">
        <v>247</v>
      </c>
      <c r="K442" s="14"/>
      <c r="L442" s="14"/>
      <c r="M442" s="12"/>
      <c r="N442" s="9"/>
      <c r="O442" s="9"/>
      <c r="P442" s="9"/>
      <c r="Q442" s="38">
        <f t="shared" si="58"/>
        <v>0</v>
      </c>
      <c r="R442" s="12"/>
      <c r="S442" s="42"/>
      <c r="T442" s="15"/>
      <c r="U442" s="44"/>
      <c r="V442" s="15"/>
      <c r="W442" s="44"/>
      <c r="X442" s="15">
        <f t="shared" si="59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60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61"/>
        <v>0</v>
      </c>
      <c r="BC442" s="15"/>
      <c r="BD442" s="44"/>
      <c r="BE442" s="15"/>
      <c r="BF442" s="44"/>
      <c r="BG442" s="15">
        <f t="shared" si="62"/>
        <v>0</v>
      </c>
    </row>
    <row r="443" spans="1:59" s="8" customFormat="1" ht="22.5" customHeight="1">
      <c r="A443" s="9"/>
      <c r="B443" s="16" t="s">
        <v>632</v>
      </c>
      <c r="C443" s="89" t="s">
        <v>52</v>
      </c>
      <c r="D443" s="111" t="s">
        <v>638</v>
      </c>
      <c r="E443" s="112"/>
      <c r="F443" s="113" t="s">
        <v>1801</v>
      </c>
      <c r="G443" s="113" t="s">
        <v>1802</v>
      </c>
      <c r="H443" s="95"/>
      <c r="I443" s="9"/>
      <c r="J443" s="9" t="s">
        <v>639</v>
      </c>
      <c r="K443" s="14"/>
      <c r="L443" s="14"/>
      <c r="M443" s="12"/>
      <c r="N443" s="9"/>
      <c r="O443" s="9"/>
      <c r="P443" s="9"/>
      <c r="Q443" s="38">
        <f t="shared" si="58"/>
        <v>0</v>
      </c>
      <c r="R443" s="12"/>
      <c r="S443" s="42"/>
      <c r="T443" s="15"/>
      <c r="U443" s="44"/>
      <c r="V443" s="15"/>
      <c r="W443" s="44"/>
      <c r="X443" s="15">
        <f t="shared" si="59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60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61"/>
        <v>0</v>
      </c>
      <c r="BC443" s="15"/>
      <c r="BD443" s="44"/>
      <c r="BE443" s="15"/>
      <c r="BF443" s="44"/>
      <c r="BG443" s="15">
        <f t="shared" si="62"/>
        <v>0</v>
      </c>
    </row>
    <row r="444" spans="1:59" s="8" customFormat="1" ht="22.5" customHeight="1">
      <c r="A444" s="9"/>
      <c r="B444" s="16" t="s">
        <v>632</v>
      </c>
      <c r="C444" s="89" t="s">
        <v>52</v>
      </c>
      <c r="D444" s="111" t="s">
        <v>640</v>
      </c>
      <c r="E444" s="112"/>
      <c r="F444" s="113" t="s">
        <v>1803</v>
      </c>
      <c r="G444" s="113" t="s">
        <v>1804</v>
      </c>
      <c r="H444" s="95"/>
      <c r="I444" s="9"/>
      <c r="J444" s="9" t="s">
        <v>247</v>
      </c>
      <c r="K444" s="14"/>
      <c r="L444" s="14"/>
      <c r="M444" s="12"/>
      <c r="N444" s="9"/>
      <c r="O444" s="9"/>
      <c r="P444" s="9"/>
      <c r="Q444" s="38">
        <f t="shared" si="58"/>
        <v>0</v>
      </c>
      <c r="R444" s="12"/>
      <c r="S444" s="42"/>
      <c r="T444" s="15"/>
      <c r="U444" s="44"/>
      <c r="V444" s="15"/>
      <c r="W444" s="44"/>
      <c r="X444" s="15">
        <f t="shared" si="59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60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61"/>
        <v>0</v>
      </c>
      <c r="BC444" s="15"/>
      <c r="BD444" s="44"/>
      <c r="BE444" s="15"/>
      <c r="BF444" s="44"/>
      <c r="BG444" s="15">
        <f t="shared" si="62"/>
        <v>0</v>
      </c>
    </row>
    <row r="445" spans="1:59" s="8" customFormat="1" ht="22.5" customHeight="1">
      <c r="A445" s="9"/>
      <c r="B445" s="16" t="s">
        <v>641</v>
      </c>
      <c r="C445" s="89" t="s">
        <v>44</v>
      </c>
      <c r="D445" s="111" t="s">
        <v>642</v>
      </c>
      <c r="E445" s="112"/>
      <c r="F445" s="113" t="s">
        <v>1805</v>
      </c>
      <c r="G445" s="113" t="s">
        <v>1806</v>
      </c>
      <c r="H445" s="95"/>
      <c r="I445" s="9"/>
      <c r="J445" s="9" t="s">
        <v>247</v>
      </c>
      <c r="K445" s="14"/>
      <c r="L445" s="14"/>
      <c r="M445" s="12"/>
      <c r="N445" s="9"/>
      <c r="O445" s="9"/>
      <c r="P445" s="9"/>
      <c r="Q445" s="38">
        <f t="shared" si="58"/>
        <v>0</v>
      </c>
      <c r="R445" s="12"/>
      <c r="S445" s="42"/>
      <c r="T445" s="15"/>
      <c r="U445" s="44"/>
      <c r="V445" s="15"/>
      <c r="W445" s="44"/>
      <c r="X445" s="15">
        <f t="shared" si="59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60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61"/>
        <v>0</v>
      </c>
      <c r="BC445" s="15"/>
      <c r="BD445" s="44"/>
      <c r="BE445" s="15"/>
      <c r="BF445" s="44"/>
      <c r="BG445" s="15">
        <f t="shared" si="62"/>
        <v>0</v>
      </c>
    </row>
    <row r="446" spans="1:59" s="8" customFormat="1" ht="22.5" customHeight="1">
      <c r="A446" s="9"/>
      <c r="B446" s="16" t="s">
        <v>641</v>
      </c>
      <c r="C446" s="89" t="s">
        <v>643</v>
      </c>
      <c r="D446" s="111" t="s">
        <v>642</v>
      </c>
      <c r="E446" s="112"/>
      <c r="F446" s="113" t="s">
        <v>1807</v>
      </c>
      <c r="G446" s="113" t="s">
        <v>1808</v>
      </c>
      <c r="H446" s="95"/>
      <c r="I446" s="9"/>
      <c r="J446" s="9" t="s">
        <v>247</v>
      </c>
      <c r="K446" s="14"/>
      <c r="L446" s="14"/>
      <c r="M446" s="12"/>
      <c r="N446" s="9"/>
      <c r="O446" s="9"/>
      <c r="P446" s="9"/>
      <c r="Q446" s="38">
        <f t="shared" si="58"/>
        <v>0</v>
      </c>
      <c r="R446" s="12"/>
      <c r="S446" s="42"/>
      <c r="T446" s="15"/>
      <c r="U446" s="44"/>
      <c r="V446" s="15"/>
      <c r="W446" s="44"/>
      <c r="X446" s="15">
        <f t="shared" si="59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60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61"/>
        <v>0</v>
      </c>
      <c r="BC446" s="15"/>
      <c r="BD446" s="44"/>
      <c r="BE446" s="15"/>
      <c r="BF446" s="44"/>
      <c r="BG446" s="15">
        <f t="shared" si="62"/>
        <v>0</v>
      </c>
    </row>
    <row r="447" spans="1:59" s="8" customFormat="1" ht="22.5" customHeight="1">
      <c r="A447" s="9"/>
      <c r="B447" s="16" t="s">
        <v>641</v>
      </c>
      <c r="C447" s="89" t="s">
        <v>132</v>
      </c>
      <c r="D447" s="111" t="s">
        <v>644</v>
      </c>
      <c r="E447" s="112" t="s">
        <v>645</v>
      </c>
      <c r="F447" s="113" t="s">
        <v>1809</v>
      </c>
      <c r="G447" s="113" t="s">
        <v>1810</v>
      </c>
      <c r="H447" s="95"/>
      <c r="I447" s="9"/>
      <c r="J447" s="9" t="s">
        <v>247</v>
      </c>
      <c r="K447" s="14"/>
      <c r="L447" s="14"/>
      <c r="M447" s="12"/>
      <c r="N447" s="9"/>
      <c r="O447" s="9"/>
      <c r="P447" s="9"/>
      <c r="Q447" s="38">
        <f t="shared" si="58"/>
        <v>0</v>
      </c>
      <c r="R447" s="12"/>
      <c r="S447" s="42"/>
      <c r="T447" s="15"/>
      <c r="U447" s="44"/>
      <c r="V447" s="15"/>
      <c r="W447" s="44"/>
      <c r="X447" s="15">
        <f t="shared" si="59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60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61"/>
        <v>0</v>
      </c>
      <c r="BC447" s="15"/>
      <c r="BD447" s="44"/>
      <c r="BE447" s="15"/>
      <c r="BF447" s="44"/>
      <c r="BG447" s="15">
        <f t="shared" si="62"/>
        <v>0</v>
      </c>
    </row>
    <row r="448" spans="1:59" s="8" customFormat="1" ht="22.5" customHeight="1">
      <c r="A448" s="9"/>
      <c r="B448" s="16" t="s">
        <v>641</v>
      </c>
      <c r="C448" s="89" t="s">
        <v>132</v>
      </c>
      <c r="D448" s="111" t="s">
        <v>644</v>
      </c>
      <c r="E448" s="112" t="s">
        <v>646</v>
      </c>
      <c r="F448" s="113" t="s">
        <v>1811</v>
      </c>
      <c r="G448" s="113" t="s">
        <v>1812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58"/>
        <v>0</v>
      </c>
      <c r="R448" s="12"/>
      <c r="S448" s="42"/>
      <c r="T448" s="15"/>
      <c r="U448" s="44"/>
      <c r="V448" s="15"/>
      <c r="W448" s="44"/>
      <c r="X448" s="15">
        <f t="shared" si="59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60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61"/>
        <v>0</v>
      </c>
      <c r="BC448" s="15"/>
      <c r="BD448" s="44"/>
      <c r="BE448" s="15"/>
      <c r="BF448" s="44"/>
      <c r="BG448" s="15">
        <f t="shared" si="62"/>
        <v>0</v>
      </c>
    </row>
    <row r="449" spans="1:59" s="8" customFormat="1" ht="22.5" customHeight="1">
      <c r="A449" s="9"/>
      <c r="B449" s="16" t="s">
        <v>641</v>
      </c>
      <c r="C449" s="89" t="s">
        <v>140</v>
      </c>
      <c r="D449" s="111" t="s">
        <v>644</v>
      </c>
      <c r="E449" s="112" t="s">
        <v>645</v>
      </c>
      <c r="F449" s="113" t="s">
        <v>1813</v>
      </c>
      <c r="G449" s="113" t="s">
        <v>1814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58"/>
        <v>0</v>
      </c>
      <c r="R449" s="12"/>
      <c r="S449" s="42"/>
      <c r="T449" s="15"/>
      <c r="U449" s="44"/>
      <c r="V449" s="15"/>
      <c r="W449" s="44"/>
      <c r="X449" s="15">
        <f t="shared" ref="X449:X480" si="63">R449+T449+V449</f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ref="AG449:AG480" si="64">(Y449+AA449+AC449+AE449)</f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61"/>
        <v>0</v>
      </c>
      <c r="BC449" s="15"/>
      <c r="BD449" s="44"/>
      <c r="BE449" s="15"/>
      <c r="BF449" s="44"/>
      <c r="BG449" s="15">
        <f t="shared" si="62"/>
        <v>0</v>
      </c>
    </row>
    <row r="450" spans="1:59" s="8" customFormat="1" ht="22.5" customHeight="1">
      <c r="A450" s="9"/>
      <c r="B450" s="16" t="s">
        <v>641</v>
      </c>
      <c r="C450" s="89" t="s">
        <v>140</v>
      </c>
      <c r="D450" s="111" t="s">
        <v>644</v>
      </c>
      <c r="E450" s="112" t="s">
        <v>647</v>
      </c>
      <c r="F450" s="113" t="s">
        <v>1815</v>
      </c>
      <c r="G450" s="113" t="s">
        <v>1816</v>
      </c>
      <c r="H450" s="95"/>
      <c r="I450" s="9"/>
      <c r="J450" s="9" t="s">
        <v>247</v>
      </c>
      <c r="K450" s="14"/>
      <c r="L450" s="14"/>
      <c r="M450" s="12"/>
      <c r="N450" s="9"/>
      <c r="O450" s="9"/>
      <c r="P450" s="9"/>
      <c r="Q450" s="38">
        <f t="shared" si="58"/>
        <v>0</v>
      </c>
      <c r="R450" s="12"/>
      <c r="S450" s="42"/>
      <c r="T450" s="15"/>
      <c r="U450" s="44"/>
      <c r="V450" s="15"/>
      <c r="W450" s="44"/>
      <c r="X450" s="15">
        <f t="shared" si="63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64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61"/>
        <v>0</v>
      </c>
      <c r="BC450" s="15"/>
      <c r="BD450" s="44"/>
      <c r="BE450" s="15"/>
      <c r="BF450" s="44"/>
      <c r="BG450" s="15">
        <f t="shared" si="62"/>
        <v>0</v>
      </c>
    </row>
    <row r="451" spans="1:59" s="8" customFormat="1" ht="22.5" customHeight="1">
      <c r="A451" s="9"/>
      <c r="B451" s="16" t="s">
        <v>641</v>
      </c>
      <c r="C451" s="89" t="s">
        <v>48</v>
      </c>
      <c r="D451" s="111" t="s">
        <v>648</v>
      </c>
      <c r="E451" s="112" t="s">
        <v>649</v>
      </c>
      <c r="F451" s="113" t="s">
        <v>1817</v>
      </c>
      <c r="G451" s="113" t="s">
        <v>1818</v>
      </c>
      <c r="H451" s="95"/>
      <c r="I451" s="9"/>
      <c r="J451" s="9" t="s">
        <v>247</v>
      </c>
      <c r="K451" s="14"/>
      <c r="L451" s="14"/>
      <c r="M451" s="12"/>
      <c r="N451" s="9"/>
      <c r="O451" s="9"/>
      <c r="P451" s="9"/>
      <c r="Q451" s="38">
        <f t="shared" si="58"/>
        <v>0</v>
      </c>
      <c r="R451" s="12"/>
      <c r="S451" s="42"/>
      <c r="T451" s="15"/>
      <c r="U451" s="44"/>
      <c r="V451" s="15"/>
      <c r="W451" s="44"/>
      <c r="X451" s="15">
        <f t="shared" si="63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64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61"/>
        <v>0</v>
      </c>
      <c r="BC451" s="15"/>
      <c r="BD451" s="44"/>
      <c r="BE451" s="15"/>
      <c r="BF451" s="44"/>
      <c r="BG451" s="15">
        <f t="shared" si="62"/>
        <v>0</v>
      </c>
    </row>
    <row r="452" spans="1:59" s="8" customFormat="1" ht="22.5" customHeight="1">
      <c r="A452" s="9"/>
      <c r="B452" s="16" t="s">
        <v>641</v>
      </c>
      <c r="C452" s="89" t="s">
        <v>48</v>
      </c>
      <c r="D452" s="111" t="s">
        <v>650</v>
      </c>
      <c r="E452" s="112" t="s">
        <v>649</v>
      </c>
      <c r="F452" s="113" t="s">
        <v>1819</v>
      </c>
      <c r="G452" s="113" t="s">
        <v>1820</v>
      </c>
      <c r="H452" s="95"/>
      <c r="I452" s="9"/>
      <c r="J452" s="9" t="s">
        <v>247</v>
      </c>
      <c r="K452" s="14"/>
      <c r="L452" s="14"/>
      <c r="M452" s="12"/>
      <c r="N452" s="9"/>
      <c r="O452" s="9"/>
      <c r="P452" s="9"/>
      <c r="Q452" s="38">
        <f t="shared" si="58"/>
        <v>0</v>
      </c>
      <c r="R452" s="12"/>
      <c r="S452" s="42"/>
      <c r="T452" s="15"/>
      <c r="U452" s="44"/>
      <c r="V452" s="15"/>
      <c r="W452" s="44"/>
      <c r="X452" s="15">
        <f t="shared" si="63"/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si="64"/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61"/>
        <v>0</v>
      </c>
      <c r="BC452" s="15"/>
      <c r="BD452" s="44"/>
      <c r="BE452" s="15"/>
      <c r="BF452" s="44"/>
      <c r="BG452" s="15">
        <f t="shared" si="62"/>
        <v>0</v>
      </c>
    </row>
    <row r="453" spans="1:59" s="8" customFormat="1" ht="22.5" customHeight="1">
      <c r="A453" s="9"/>
      <c r="B453" s="16" t="s">
        <v>641</v>
      </c>
      <c r="C453" s="89" t="s">
        <v>48</v>
      </c>
      <c r="D453" s="111" t="s">
        <v>648</v>
      </c>
      <c r="E453" s="112" t="s">
        <v>651</v>
      </c>
      <c r="F453" s="113" t="s">
        <v>1821</v>
      </c>
      <c r="G453" s="113" t="s">
        <v>1822</v>
      </c>
      <c r="H453" s="95"/>
      <c r="I453" s="9"/>
      <c r="J453" s="9" t="s">
        <v>247</v>
      </c>
      <c r="K453" s="14"/>
      <c r="L453" s="14"/>
      <c r="M453" s="12"/>
      <c r="N453" s="9"/>
      <c r="O453" s="9"/>
      <c r="P453" s="9"/>
      <c r="Q453" s="38">
        <f t="shared" si="58"/>
        <v>0</v>
      </c>
      <c r="R453" s="12"/>
      <c r="S453" s="42"/>
      <c r="T453" s="15"/>
      <c r="U453" s="44"/>
      <c r="V453" s="15"/>
      <c r="W453" s="44"/>
      <c r="X453" s="15">
        <f t="shared" si="63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64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61"/>
        <v>0</v>
      </c>
      <c r="BC453" s="15"/>
      <c r="BD453" s="44"/>
      <c r="BE453" s="15"/>
      <c r="BF453" s="44"/>
      <c r="BG453" s="15">
        <f t="shared" si="62"/>
        <v>0</v>
      </c>
    </row>
    <row r="454" spans="1:59" s="8" customFormat="1" ht="22.5" customHeight="1">
      <c r="A454" s="9"/>
      <c r="B454" s="16" t="s">
        <v>641</v>
      </c>
      <c r="C454" s="89" t="s">
        <v>48</v>
      </c>
      <c r="D454" s="111" t="s">
        <v>650</v>
      </c>
      <c r="E454" s="112" t="s">
        <v>651</v>
      </c>
      <c r="F454" s="113" t="s">
        <v>1823</v>
      </c>
      <c r="G454" s="113" t="s">
        <v>1824</v>
      </c>
      <c r="H454" s="95"/>
      <c r="I454" s="9"/>
      <c r="J454" s="9" t="s">
        <v>247</v>
      </c>
      <c r="K454" s="14"/>
      <c r="L454" s="14"/>
      <c r="M454" s="12"/>
      <c r="N454" s="9"/>
      <c r="O454" s="9"/>
      <c r="P454" s="9"/>
      <c r="Q454" s="38">
        <f t="shared" si="58"/>
        <v>0</v>
      </c>
      <c r="R454" s="12"/>
      <c r="S454" s="42"/>
      <c r="T454" s="15"/>
      <c r="U454" s="44"/>
      <c r="V454" s="15"/>
      <c r="W454" s="44"/>
      <c r="X454" s="15">
        <f t="shared" si="63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64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61"/>
        <v>0</v>
      </c>
      <c r="BC454" s="15"/>
      <c r="BD454" s="44"/>
      <c r="BE454" s="15"/>
      <c r="BF454" s="44"/>
      <c r="BG454" s="15">
        <f t="shared" si="62"/>
        <v>0</v>
      </c>
    </row>
    <row r="455" spans="1:59" s="8" customFormat="1" ht="22.5" customHeight="1">
      <c r="A455" s="9"/>
      <c r="B455" s="16" t="s">
        <v>641</v>
      </c>
      <c r="C455" s="89" t="s">
        <v>652</v>
      </c>
      <c r="D455" s="111" t="s">
        <v>653</v>
      </c>
      <c r="E455" s="112"/>
      <c r="F455" s="113" t="s">
        <v>1825</v>
      </c>
      <c r="G455" s="113" t="s">
        <v>1826</v>
      </c>
      <c r="H455" s="95"/>
      <c r="I455" s="9"/>
      <c r="J455" s="9" t="s">
        <v>247</v>
      </c>
      <c r="K455" s="14"/>
      <c r="L455" s="14"/>
      <c r="M455" s="12"/>
      <c r="N455" s="9"/>
      <c r="O455" s="9"/>
      <c r="P455" s="9"/>
      <c r="Q455" s="38">
        <f t="shared" si="58"/>
        <v>0</v>
      </c>
      <c r="R455" s="12"/>
      <c r="S455" s="42"/>
      <c r="T455" s="15"/>
      <c r="U455" s="44"/>
      <c r="V455" s="15"/>
      <c r="W455" s="44"/>
      <c r="X455" s="15">
        <f t="shared" si="63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64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61"/>
        <v>0</v>
      </c>
      <c r="BC455" s="15"/>
      <c r="BD455" s="44"/>
      <c r="BE455" s="15"/>
      <c r="BF455" s="44"/>
      <c r="BG455" s="15">
        <f t="shared" si="62"/>
        <v>0</v>
      </c>
    </row>
    <row r="456" spans="1:59" s="8" customFormat="1" ht="22.5" customHeight="1">
      <c r="A456" s="9"/>
      <c r="B456" s="16" t="s">
        <v>641</v>
      </c>
      <c r="C456" s="89" t="s">
        <v>652</v>
      </c>
      <c r="D456" s="111" t="s">
        <v>654</v>
      </c>
      <c r="E456" s="112"/>
      <c r="F456" s="113" t="s">
        <v>1827</v>
      </c>
      <c r="G456" s="113" t="s">
        <v>1828</v>
      </c>
      <c r="H456" s="95"/>
      <c r="I456" s="9"/>
      <c r="J456" s="9" t="s">
        <v>247</v>
      </c>
      <c r="K456" s="14"/>
      <c r="L456" s="14"/>
      <c r="M456" s="12"/>
      <c r="N456" s="9"/>
      <c r="O456" s="9"/>
      <c r="P456" s="9"/>
      <c r="Q456" s="38">
        <f t="shared" si="58"/>
        <v>0</v>
      </c>
      <c r="R456" s="12"/>
      <c r="S456" s="42"/>
      <c r="T456" s="15"/>
      <c r="U456" s="44"/>
      <c r="V456" s="15"/>
      <c r="W456" s="44"/>
      <c r="X456" s="15">
        <f t="shared" si="63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64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61"/>
        <v>0</v>
      </c>
      <c r="BC456" s="15"/>
      <c r="BD456" s="44"/>
      <c r="BE456" s="15"/>
      <c r="BF456" s="44"/>
      <c r="BG456" s="15">
        <f t="shared" si="62"/>
        <v>0</v>
      </c>
    </row>
    <row r="457" spans="1:59" s="8" customFormat="1" ht="22.5" customHeight="1">
      <c r="A457" s="9"/>
      <c r="B457" s="16" t="s">
        <v>641</v>
      </c>
      <c r="C457" s="89" t="s">
        <v>652</v>
      </c>
      <c r="D457" s="111" t="s">
        <v>655</v>
      </c>
      <c r="E457" s="112"/>
      <c r="F457" s="113" t="s">
        <v>1829</v>
      </c>
      <c r="G457" s="113" t="s">
        <v>1830</v>
      </c>
      <c r="H457" s="95"/>
      <c r="I457" s="9"/>
      <c r="J457" s="9" t="s">
        <v>247</v>
      </c>
      <c r="K457" s="14"/>
      <c r="L457" s="14"/>
      <c r="M457" s="12"/>
      <c r="N457" s="9"/>
      <c r="O457" s="9"/>
      <c r="P457" s="9"/>
      <c r="Q457" s="38">
        <f t="shared" si="58"/>
        <v>0</v>
      </c>
      <c r="R457" s="12"/>
      <c r="S457" s="42"/>
      <c r="T457" s="15"/>
      <c r="U457" s="44"/>
      <c r="V457" s="15"/>
      <c r="W457" s="44"/>
      <c r="X457" s="15">
        <f t="shared" si="63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64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61"/>
        <v>0</v>
      </c>
      <c r="BC457" s="15"/>
      <c r="BD457" s="44"/>
      <c r="BE457" s="15"/>
      <c r="BF457" s="44"/>
      <c r="BG457" s="15">
        <f t="shared" si="62"/>
        <v>0</v>
      </c>
    </row>
    <row r="458" spans="1:59" s="8" customFormat="1" ht="22.5" customHeight="1">
      <c r="A458" s="9"/>
      <c r="B458" s="16" t="s">
        <v>641</v>
      </c>
      <c r="C458" s="89" t="s">
        <v>52</v>
      </c>
      <c r="D458" s="61" t="s">
        <v>656</v>
      </c>
      <c r="E458" s="13" t="s">
        <v>657</v>
      </c>
      <c r="F458" s="106" t="s">
        <v>1144</v>
      </c>
      <c r="G458" s="106"/>
      <c r="H458" s="95"/>
      <c r="I458" s="9"/>
      <c r="J458" s="9" t="s">
        <v>247</v>
      </c>
      <c r="K458" s="14"/>
      <c r="L458" s="14"/>
      <c r="M458" s="12"/>
      <c r="N458" s="9"/>
      <c r="O458" s="9"/>
      <c r="P458" s="9"/>
      <c r="Q458" s="38">
        <f t="shared" si="58"/>
        <v>0</v>
      </c>
      <c r="R458" s="12"/>
      <c r="S458" s="42"/>
      <c r="T458" s="15"/>
      <c r="U458" s="44"/>
      <c r="V458" s="15"/>
      <c r="W458" s="44"/>
      <c r="X458" s="15">
        <f t="shared" si="63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64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61"/>
        <v>0</v>
      </c>
      <c r="BC458" s="15"/>
      <c r="BD458" s="44"/>
      <c r="BE458" s="15"/>
      <c r="BF458" s="44"/>
      <c r="BG458" s="15">
        <f t="shared" si="62"/>
        <v>0</v>
      </c>
    </row>
    <row r="459" spans="1:59" s="8" customFormat="1" ht="22.5" customHeight="1">
      <c r="A459" s="9"/>
      <c r="B459" s="16" t="s">
        <v>641</v>
      </c>
      <c r="C459" s="89" t="s">
        <v>52</v>
      </c>
      <c r="D459" s="61" t="s">
        <v>656</v>
      </c>
      <c r="E459" s="13" t="s">
        <v>658</v>
      </c>
      <c r="F459" s="106" t="s">
        <v>1144</v>
      </c>
      <c r="G459" s="106"/>
      <c r="H459" s="95"/>
      <c r="I459" s="9"/>
      <c r="J459" s="9" t="s">
        <v>247</v>
      </c>
      <c r="K459" s="14"/>
      <c r="L459" s="14"/>
      <c r="M459" s="12"/>
      <c r="N459" s="9"/>
      <c r="O459" s="9"/>
      <c r="P459" s="9"/>
      <c r="Q459" s="38">
        <f t="shared" si="58"/>
        <v>0</v>
      </c>
      <c r="R459" s="12"/>
      <c r="S459" s="42"/>
      <c r="T459" s="15"/>
      <c r="U459" s="44"/>
      <c r="V459" s="15"/>
      <c r="W459" s="44"/>
      <c r="X459" s="15">
        <f t="shared" si="63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64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ref="BB459:BB490" si="65">AH459+AJ459+AL459+AN459+AP459+AR459+AT459+AV459+AX459+AZ459</f>
        <v>0</v>
      </c>
      <c r="BC459" s="15"/>
      <c r="BD459" s="44"/>
      <c r="BE459" s="15"/>
      <c r="BF459" s="44"/>
      <c r="BG459" s="15">
        <f t="shared" ref="BG459:BG490" si="66">(BC459+BE459)</f>
        <v>0</v>
      </c>
    </row>
    <row r="460" spans="1:59" s="8" customFormat="1" ht="22.5" customHeight="1">
      <c r="A460" s="9"/>
      <c r="B460" s="16" t="s">
        <v>641</v>
      </c>
      <c r="C460" s="89" t="s">
        <v>52</v>
      </c>
      <c r="D460" s="61" t="s">
        <v>656</v>
      </c>
      <c r="E460" s="13" t="s">
        <v>659</v>
      </c>
      <c r="F460" s="106" t="s">
        <v>1144</v>
      </c>
      <c r="G460" s="106"/>
      <c r="H460" s="95"/>
      <c r="I460" s="9"/>
      <c r="J460" s="9" t="s">
        <v>247</v>
      </c>
      <c r="K460" s="14"/>
      <c r="L460" s="14"/>
      <c r="M460" s="12"/>
      <c r="N460" s="9"/>
      <c r="O460" s="9"/>
      <c r="P460" s="9"/>
      <c r="Q460" s="38">
        <f t="shared" si="58"/>
        <v>0</v>
      </c>
      <c r="R460" s="12"/>
      <c r="S460" s="42"/>
      <c r="T460" s="15"/>
      <c r="U460" s="44"/>
      <c r="V460" s="15"/>
      <c r="W460" s="44"/>
      <c r="X460" s="15">
        <f t="shared" si="63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64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65"/>
        <v>0</v>
      </c>
      <c r="BC460" s="15"/>
      <c r="BD460" s="44"/>
      <c r="BE460" s="15"/>
      <c r="BF460" s="44"/>
      <c r="BG460" s="15">
        <f t="shared" si="66"/>
        <v>0</v>
      </c>
    </row>
    <row r="461" spans="1:59" s="8" customFormat="1" ht="22.5" customHeight="1">
      <c r="A461" s="9"/>
      <c r="B461" s="16" t="s">
        <v>641</v>
      </c>
      <c r="C461" s="89" t="s">
        <v>151</v>
      </c>
      <c r="D461" s="111" t="s">
        <v>660</v>
      </c>
      <c r="E461" s="112" t="s">
        <v>1831</v>
      </c>
      <c r="F461" s="113" t="s">
        <v>1832</v>
      </c>
      <c r="G461" s="113" t="s">
        <v>1833</v>
      </c>
      <c r="H461" s="95"/>
      <c r="I461" s="9"/>
      <c r="J461" s="9" t="s">
        <v>247</v>
      </c>
      <c r="K461" s="14"/>
      <c r="L461" s="14"/>
      <c r="M461" s="12"/>
      <c r="N461" s="9"/>
      <c r="O461" s="9"/>
      <c r="P461" s="9"/>
      <c r="Q461" s="38">
        <f t="shared" si="58"/>
        <v>0</v>
      </c>
      <c r="R461" s="12"/>
      <c r="S461" s="42"/>
      <c r="T461" s="15"/>
      <c r="U461" s="44"/>
      <c r="V461" s="15"/>
      <c r="W461" s="44"/>
      <c r="X461" s="15">
        <f t="shared" si="63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64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65"/>
        <v>0</v>
      </c>
      <c r="BC461" s="15"/>
      <c r="BD461" s="44"/>
      <c r="BE461" s="15"/>
      <c r="BF461" s="44"/>
      <c r="BG461" s="15">
        <f t="shared" si="66"/>
        <v>0</v>
      </c>
    </row>
    <row r="462" spans="1:59" s="8" customFormat="1" ht="22.5" customHeight="1">
      <c r="A462" s="9"/>
      <c r="B462" s="16" t="s">
        <v>641</v>
      </c>
      <c r="C462" s="89" t="s">
        <v>151</v>
      </c>
      <c r="D462" s="111" t="s">
        <v>662</v>
      </c>
      <c r="E462" s="112" t="s">
        <v>663</v>
      </c>
      <c r="F462" s="113" t="s">
        <v>1834</v>
      </c>
      <c r="G462" s="113" t="s">
        <v>1835</v>
      </c>
      <c r="H462" s="95"/>
      <c r="I462" s="9"/>
      <c r="J462" s="9" t="s">
        <v>247</v>
      </c>
      <c r="K462" s="14"/>
      <c r="L462" s="14"/>
      <c r="M462" s="12"/>
      <c r="N462" s="9"/>
      <c r="O462" s="9"/>
      <c r="P462" s="9"/>
      <c r="Q462" s="38">
        <f t="shared" si="58"/>
        <v>0</v>
      </c>
      <c r="R462" s="12"/>
      <c r="S462" s="42"/>
      <c r="T462" s="15"/>
      <c r="U462" s="44"/>
      <c r="V462" s="15"/>
      <c r="W462" s="44"/>
      <c r="X462" s="15">
        <f t="shared" si="63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64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65"/>
        <v>0</v>
      </c>
      <c r="BC462" s="15"/>
      <c r="BD462" s="44"/>
      <c r="BE462" s="15"/>
      <c r="BF462" s="44"/>
      <c r="BG462" s="15">
        <f t="shared" si="66"/>
        <v>0</v>
      </c>
    </row>
    <row r="463" spans="1:59" s="8" customFormat="1" ht="22.5" customHeight="1">
      <c r="A463" s="9"/>
      <c r="B463" s="16" t="s">
        <v>641</v>
      </c>
      <c r="C463" s="89" t="s">
        <v>151</v>
      </c>
      <c r="D463" s="111" t="s">
        <v>664</v>
      </c>
      <c r="E463" s="112" t="s">
        <v>665</v>
      </c>
      <c r="F463" s="113" t="s">
        <v>1836</v>
      </c>
      <c r="G463" s="113" t="s">
        <v>1837</v>
      </c>
      <c r="H463" s="95"/>
      <c r="I463" s="9"/>
      <c r="J463" s="9" t="s">
        <v>247</v>
      </c>
      <c r="K463" s="14"/>
      <c r="L463" s="14"/>
      <c r="M463" s="12"/>
      <c r="N463" s="9"/>
      <c r="O463" s="9"/>
      <c r="P463" s="9"/>
      <c r="Q463" s="38">
        <f t="shared" si="58"/>
        <v>0</v>
      </c>
      <c r="R463" s="12"/>
      <c r="S463" s="42"/>
      <c r="T463" s="15"/>
      <c r="U463" s="44"/>
      <c r="V463" s="15"/>
      <c r="W463" s="44"/>
      <c r="X463" s="15">
        <f t="shared" si="63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64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65"/>
        <v>0</v>
      </c>
      <c r="BC463" s="15"/>
      <c r="BD463" s="44"/>
      <c r="BE463" s="15"/>
      <c r="BF463" s="44"/>
      <c r="BG463" s="15">
        <f t="shared" si="66"/>
        <v>0</v>
      </c>
    </row>
    <row r="464" spans="1:59" s="8" customFormat="1" ht="22.5" customHeight="1">
      <c r="A464" s="9"/>
      <c r="B464" s="16" t="s">
        <v>666</v>
      </c>
      <c r="C464" s="89" t="s">
        <v>151</v>
      </c>
      <c r="D464" s="111" t="s">
        <v>667</v>
      </c>
      <c r="E464" s="112" t="s">
        <v>668</v>
      </c>
      <c r="F464" s="113" t="s">
        <v>1838</v>
      </c>
      <c r="G464" s="113" t="s">
        <v>1839</v>
      </c>
      <c r="H464" s="95"/>
      <c r="I464" s="9"/>
      <c r="J464" s="9" t="s">
        <v>669</v>
      </c>
      <c r="K464" s="14"/>
      <c r="L464" s="14"/>
      <c r="M464" s="12"/>
      <c r="N464" s="9"/>
      <c r="O464" s="9"/>
      <c r="P464" s="9"/>
      <c r="Q464" s="38">
        <f t="shared" si="58"/>
        <v>0</v>
      </c>
      <c r="R464" s="12"/>
      <c r="S464" s="42"/>
      <c r="T464" s="15"/>
      <c r="U464" s="44"/>
      <c r="V464" s="15"/>
      <c r="W464" s="44"/>
      <c r="X464" s="15">
        <f t="shared" si="63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64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65"/>
        <v>0</v>
      </c>
      <c r="BC464" s="15"/>
      <c r="BD464" s="44"/>
      <c r="BE464" s="15"/>
      <c r="BF464" s="44"/>
      <c r="BG464" s="15">
        <f t="shared" si="66"/>
        <v>0</v>
      </c>
    </row>
    <row r="465" spans="1:59" s="8" customFormat="1" ht="22.5" customHeight="1">
      <c r="A465" s="9"/>
      <c r="B465" s="16" t="s">
        <v>666</v>
      </c>
      <c r="C465" s="89" t="s">
        <v>151</v>
      </c>
      <c r="D465" s="111" t="s">
        <v>670</v>
      </c>
      <c r="E465" s="112" t="s">
        <v>671</v>
      </c>
      <c r="F465" s="113" t="s">
        <v>1840</v>
      </c>
      <c r="G465" s="113" t="s">
        <v>1841</v>
      </c>
      <c r="H465" s="95"/>
      <c r="I465" s="9"/>
      <c r="J465" s="9" t="s">
        <v>669</v>
      </c>
      <c r="K465" s="14"/>
      <c r="L465" s="14"/>
      <c r="M465" s="12"/>
      <c r="N465" s="9"/>
      <c r="O465" s="9"/>
      <c r="P465" s="9"/>
      <c r="Q465" s="38">
        <f t="shared" si="58"/>
        <v>0</v>
      </c>
      <c r="R465" s="12"/>
      <c r="S465" s="42"/>
      <c r="T465" s="15"/>
      <c r="U465" s="44"/>
      <c r="V465" s="15"/>
      <c r="W465" s="44"/>
      <c r="X465" s="15">
        <f t="shared" si="63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64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65"/>
        <v>0</v>
      </c>
      <c r="BC465" s="15"/>
      <c r="BD465" s="44"/>
      <c r="BE465" s="15"/>
      <c r="BF465" s="44"/>
      <c r="BG465" s="15">
        <f t="shared" si="66"/>
        <v>0</v>
      </c>
    </row>
    <row r="466" spans="1:59" s="8" customFormat="1" ht="22.5" customHeight="1">
      <c r="A466" s="9"/>
      <c r="B466" s="16" t="s">
        <v>666</v>
      </c>
      <c r="C466" s="89" t="s">
        <v>151</v>
      </c>
      <c r="D466" s="111" t="s">
        <v>672</v>
      </c>
      <c r="E466" s="112" t="s">
        <v>673</v>
      </c>
      <c r="F466" s="113" t="s">
        <v>1842</v>
      </c>
      <c r="G466" s="113" t="s">
        <v>1843</v>
      </c>
      <c r="H466" s="95"/>
      <c r="I466" s="9"/>
      <c r="J466" s="9" t="s">
        <v>669</v>
      </c>
      <c r="K466" s="14"/>
      <c r="L466" s="14"/>
      <c r="M466" s="12"/>
      <c r="N466" s="9"/>
      <c r="O466" s="9"/>
      <c r="P466" s="9"/>
      <c r="Q466" s="38">
        <f t="shared" si="58"/>
        <v>0</v>
      </c>
      <c r="R466" s="12"/>
      <c r="S466" s="42"/>
      <c r="T466" s="15"/>
      <c r="U466" s="44"/>
      <c r="V466" s="15"/>
      <c r="W466" s="44"/>
      <c r="X466" s="15">
        <f t="shared" si="63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64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65"/>
        <v>0</v>
      </c>
      <c r="BC466" s="15"/>
      <c r="BD466" s="44"/>
      <c r="BE466" s="15"/>
      <c r="BF466" s="44"/>
      <c r="BG466" s="15">
        <f t="shared" si="66"/>
        <v>0</v>
      </c>
    </row>
    <row r="467" spans="1:59" s="8" customFormat="1" ht="22.5" customHeight="1">
      <c r="A467" s="9"/>
      <c r="B467" s="16" t="s">
        <v>674</v>
      </c>
      <c r="C467" s="89" t="s">
        <v>44</v>
      </c>
      <c r="D467" s="111" t="s">
        <v>675</v>
      </c>
      <c r="E467" s="112" t="s">
        <v>676</v>
      </c>
      <c r="F467" s="113" t="s">
        <v>1844</v>
      </c>
      <c r="G467" s="113" t="s">
        <v>1845</v>
      </c>
      <c r="H467" s="95"/>
      <c r="I467" s="9"/>
      <c r="J467" s="9" t="s">
        <v>677</v>
      </c>
      <c r="K467" s="14"/>
      <c r="L467" s="14"/>
      <c r="M467" s="12"/>
      <c r="N467" s="9"/>
      <c r="O467" s="9"/>
      <c r="P467" s="9"/>
      <c r="Q467" s="38">
        <f t="shared" si="58"/>
        <v>0</v>
      </c>
      <c r="R467" s="12"/>
      <c r="S467" s="42"/>
      <c r="T467" s="15"/>
      <c r="U467" s="44"/>
      <c r="V467" s="15"/>
      <c r="W467" s="44"/>
      <c r="X467" s="15">
        <f t="shared" si="63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64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65"/>
        <v>0</v>
      </c>
      <c r="BC467" s="15"/>
      <c r="BD467" s="44"/>
      <c r="BE467" s="15"/>
      <c r="BF467" s="44"/>
      <c r="BG467" s="15">
        <f t="shared" si="66"/>
        <v>0</v>
      </c>
    </row>
    <row r="468" spans="1:59" s="8" customFormat="1" ht="22.5" customHeight="1">
      <c r="A468" s="9"/>
      <c r="B468" s="16" t="s">
        <v>674</v>
      </c>
      <c r="C468" s="89" t="s">
        <v>44</v>
      </c>
      <c r="D468" s="111" t="s">
        <v>678</v>
      </c>
      <c r="E468" s="112" t="s">
        <v>679</v>
      </c>
      <c r="F468" s="113" t="s">
        <v>1846</v>
      </c>
      <c r="G468" s="113" t="s">
        <v>1847</v>
      </c>
      <c r="H468" s="95"/>
      <c r="I468" s="9"/>
      <c r="J468" s="9" t="s">
        <v>677</v>
      </c>
      <c r="K468" s="14"/>
      <c r="L468" s="14"/>
      <c r="M468" s="12"/>
      <c r="N468" s="9"/>
      <c r="O468" s="9"/>
      <c r="P468" s="9"/>
      <c r="Q468" s="38">
        <f t="shared" si="58"/>
        <v>0</v>
      </c>
      <c r="R468" s="12"/>
      <c r="S468" s="42"/>
      <c r="T468" s="15"/>
      <c r="U468" s="44"/>
      <c r="V468" s="15"/>
      <c r="W468" s="44"/>
      <c r="X468" s="15">
        <f t="shared" si="63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64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65"/>
        <v>0</v>
      </c>
      <c r="BC468" s="15"/>
      <c r="BD468" s="44"/>
      <c r="BE468" s="15"/>
      <c r="BF468" s="44"/>
      <c r="BG468" s="15">
        <f t="shared" si="66"/>
        <v>0</v>
      </c>
    </row>
    <row r="469" spans="1:59" s="8" customFormat="1" ht="22.5" customHeight="1">
      <c r="A469" s="9"/>
      <c r="B469" s="16" t="s">
        <v>674</v>
      </c>
      <c r="C469" s="89" t="s">
        <v>48</v>
      </c>
      <c r="D469" s="111" t="s">
        <v>675</v>
      </c>
      <c r="E469" s="112" t="s">
        <v>680</v>
      </c>
      <c r="F469" s="113" t="s">
        <v>1848</v>
      </c>
      <c r="G469" s="113" t="s">
        <v>1849</v>
      </c>
      <c r="H469" s="95"/>
      <c r="I469" s="9"/>
      <c r="J469" s="9" t="s">
        <v>677</v>
      </c>
      <c r="K469" s="14"/>
      <c r="L469" s="14"/>
      <c r="M469" s="12"/>
      <c r="N469" s="9"/>
      <c r="O469" s="9"/>
      <c r="P469" s="9"/>
      <c r="Q469" s="38">
        <f t="shared" si="58"/>
        <v>0</v>
      </c>
      <c r="R469" s="12"/>
      <c r="S469" s="42"/>
      <c r="T469" s="15"/>
      <c r="U469" s="44"/>
      <c r="V469" s="15"/>
      <c r="W469" s="44"/>
      <c r="X469" s="15">
        <f t="shared" si="63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64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65"/>
        <v>0</v>
      </c>
      <c r="BC469" s="15"/>
      <c r="BD469" s="44"/>
      <c r="BE469" s="15"/>
      <c r="BF469" s="44"/>
      <c r="BG469" s="15">
        <f t="shared" si="66"/>
        <v>0</v>
      </c>
    </row>
    <row r="470" spans="1:59" s="8" customFormat="1" ht="22.5" customHeight="1">
      <c r="A470" s="9"/>
      <c r="B470" s="16" t="s">
        <v>674</v>
      </c>
      <c r="C470" s="89" t="s">
        <v>48</v>
      </c>
      <c r="D470" s="111" t="s">
        <v>678</v>
      </c>
      <c r="E470" s="112" t="s">
        <v>681</v>
      </c>
      <c r="F470" s="113" t="s">
        <v>1850</v>
      </c>
      <c r="G470" s="113" t="s">
        <v>1851</v>
      </c>
      <c r="H470" s="95"/>
      <c r="I470" s="9"/>
      <c r="J470" s="9" t="s">
        <v>677</v>
      </c>
      <c r="K470" s="14"/>
      <c r="L470" s="14"/>
      <c r="M470" s="12"/>
      <c r="N470" s="9"/>
      <c r="O470" s="9"/>
      <c r="P470" s="9"/>
      <c r="Q470" s="38">
        <f t="shared" si="58"/>
        <v>0</v>
      </c>
      <c r="R470" s="12"/>
      <c r="S470" s="42"/>
      <c r="T470" s="15"/>
      <c r="U470" s="44"/>
      <c r="V470" s="15"/>
      <c r="W470" s="44"/>
      <c r="X470" s="15">
        <f t="shared" si="63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64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65"/>
        <v>0</v>
      </c>
      <c r="BC470" s="15"/>
      <c r="BD470" s="44"/>
      <c r="BE470" s="15"/>
      <c r="BF470" s="44"/>
      <c r="BG470" s="15">
        <f t="shared" si="66"/>
        <v>0</v>
      </c>
    </row>
    <row r="471" spans="1:59" s="8" customFormat="1" ht="22.5" customHeight="1">
      <c r="A471" s="9"/>
      <c r="B471" s="16" t="s">
        <v>674</v>
      </c>
      <c r="C471" s="89" t="s">
        <v>50</v>
      </c>
      <c r="D471" s="111" t="s">
        <v>682</v>
      </c>
      <c r="E471" s="112" t="s">
        <v>683</v>
      </c>
      <c r="F471" s="113" t="s">
        <v>1852</v>
      </c>
      <c r="G471" s="113" t="s">
        <v>1853</v>
      </c>
      <c r="H471" s="95"/>
      <c r="I471" s="9"/>
      <c r="J471" s="9" t="s">
        <v>684</v>
      </c>
      <c r="K471" s="14"/>
      <c r="L471" s="14"/>
      <c r="M471" s="12"/>
      <c r="N471" s="9"/>
      <c r="O471" s="9"/>
      <c r="P471" s="9"/>
      <c r="Q471" s="38">
        <f t="shared" si="58"/>
        <v>0</v>
      </c>
      <c r="R471" s="12"/>
      <c r="S471" s="42"/>
      <c r="T471" s="15"/>
      <c r="U471" s="44"/>
      <c r="V471" s="15"/>
      <c r="W471" s="44"/>
      <c r="X471" s="15">
        <f t="shared" si="63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64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65"/>
        <v>0</v>
      </c>
      <c r="BC471" s="15"/>
      <c r="BD471" s="44"/>
      <c r="BE471" s="15"/>
      <c r="BF471" s="44"/>
      <c r="BG471" s="15">
        <f t="shared" si="66"/>
        <v>0</v>
      </c>
    </row>
    <row r="472" spans="1:59" s="8" customFormat="1" ht="22.5" customHeight="1">
      <c r="A472" s="9"/>
      <c r="B472" s="16" t="s">
        <v>674</v>
      </c>
      <c r="C472" s="89" t="s">
        <v>50</v>
      </c>
      <c r="D472" s="111" t="s">
        <v>685</v>
      </c>
      <c r="E472" s="112" t="s">
        <v>686</v>
      </c>
      <c r="F472" s="113" t="s">
        <v>1854</v>
      </c>
      <c r="G472" s="113" t="s">
        <v>1855</v>
      </c>
      <c r="H472" s="95"/>
      <c r="I472" s="9"/>
      <c r="J472" s="9" t="s">
        <v>684</v>
      </c>
      <c r="K472" s="14"/>
      <c r="L472" s="14"/>
      <c r="M472" s="12"/>
      <c r="N472" s="9"/>
      <c r="O472" s="9"/>
      <c r="P472" s="9"/>
      <c r="Q472" s="38">
        <f t="shared" si="58"/>
        <v>0</v>
      </c>
      <c r="R472" s="12"/>
      <c r="S472" s="42"/>
      <c r="T472" s="15"/>
      <c r="U472" s="44"/>
      <c r="V472" s="15"/>
      <c r="W472" s="44"/>
      <c r="X472" s="15">
        <f t="shared" si="63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64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65"/>
        <v>0</v>
      </c>
      <c r="BC472" s="15"/>
      <c r="BD472" s="44"/>
      <c r="BE472" s="15"/>
      <c r="BF472" s="44"/>
      <c r="BG472" s="15">
        <f t="shared" si="66"/>
        <v>0</v>
      </c>
    </row>
    <row r="473" spans="1:59" s="8" customFormat="1" ht="22.5" customHeight="1">
      <c r="A473" s="9"/>
      <c r="B473" s="16" t="s">
        <v>674</v>
      </c>
      <c r="C473" s="89" t="s">
        <v>52</v>
      </c>
      <c r="D473" s="56" t="s">
        <v>675</v>
      </c>
      <c r="E473" s="13"/>
      <c r="F473" s="104" t="s">
        <v>1856</v>
      </c>
      <c r="G473" s="104"/>
      <c r="H473" s="95"/>
      <c r="I473" s="9"/>
      <c r="J473" s="9" t="s">
        <v>687</v>
      </c>
      <c r="K473" s="14"/>
      <c r="L473" s="14"/>
      <c r="M473" s="12"/>
      <c r="N473" s="9"/>
      <c r="O473" s="9"/>
      <c r="P473" s="9"/>
      <c r="Q473" s="38">
        <f t="shared" si="58"/>
        <v>0</v>
      </c>
      <c r="R473" s="12"/>
      <c r="S473" s="42"/>
      <c r="T473" s="15"/>
      <c r="U473" s="44"/>
      <c r="V473" s="15"/>
      <c r="W473" s="44"/>
      <c r="X473" s="15">
        <f t="shared" si="63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64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65"/>
        <v>0</v>
      </c>
      <c r="BC473" s="15"/>
      <c r="BD473" s="44"/>
      <c r="BE473" s="15"/>
      <c r="BF473" s="44"/>
      <c r="BG473" s="15">
        <f t="shared" si="66"/>
        <v>0</v>
      </c>
    </row>
    <row r="474" spans="1:59" s="8" customFormat="1" ht="22.5" customHeight="1">
      <c r="A474" s="9"/>
      <c r="B474" s="16" t="s">
        <v>674</v>
      </c>
      <c r="C474" s="89" t="s">
        <v>494</v>
      </c>
      <c r="D474" s="111" t="s">
        <v>675</v>
      </c>
      <c r="E474" s="112"/>
      <c r="F474" s="113" t="s">
        <v>1857</v>
      </c>
      <c r="G474" s="113" t="s">
        <v>1858</v>
      </c>
      <c r="H474" s="95"/>
      <c r="I474" s="9"/>
      <c r="J474" s="9" t="s">
        <v>687</v>
      </c>
      <c r="K474" s="14"/>
      <c r="L474" s="14"/>
      <c r="M474" s="12"/>
      <c r="N474" s="9"/>
      <c r="O474" s="9"/>
      <c r="P474" s="9"/>
      <c r="Q474" s="38">
        <f t="shared" si="58"/>
        <v>0</v>
      </c>
      <c r="R474" s="12"/>
      <c r="S474" s="42"/>
      <c r="T474" s="15"/>
      <c r="U474" s="44"/>
      <c r="V474" s="15"/>
      <c r="W474" s="44"/>
      <c r="X474" s="15">
        <f t="shared" si="63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64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65"/>
        <v>0</v>
      </c>
      <c r="BC474" s="15"/>
      <c r="BD474" s="44"/>
      <c r="BE474" s="15"/>
      <c r="BF474" s="44"/>
      <c r="BG474" s="15">
        <f t="shared" si="66"/>
        <v>0</v>
      </c>
    </row>
    <row r="475" spans="1:59" s="8" customFormat="1" ht="22.5" customHeight="1">
      <c r="A475" s="9"/>
      <c r="B475" s="16" t="s">
        <v>674</v>
      </c>
      <c r="C475" s="89" t="s">
        <v>494</v>
      </c>
      <c r="D475" s="59" t="s">
        <v>688</v>
      </c>
      <c r="E475" s="13"/>
      <c r="F475" s="104" t="s">
        <v>1859</v>
      </c>
      <c r="G475" s="104"/>
      <c r="H475" s="95"/>
      <c r="I475" s="9"/>
      <c r="J475" s="9" t="s">
        <v>687</v>
      </c>
      <c r="K475" s="14"/>
      <c r="L475" s="14"/>
      <c r="M475" s="12"/>
      <c r="N475" s="9"/>
      <c r="O475" s="9"/>
      <c r="P475" s="9"/>
      <c r="Q475" s="38">
        <f t="shared" si="58"/>
        <v>0</v>
      </c>
      <c r="R475" s="12"/>
      <c r="S475" s="42"/>
      <c r="T475" s="15"/>
      <c r="U475" s="44"/>
      <c r="V475" s="15"/>
      <c r="W475" s="44"/>
      <c r="X475" s="15">
        <f t="shared" si="63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64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65"/>
        <v>0</v>
      </c>
      <c r="BC475" s="15"/>
      <c r="BD475" s="44"/>
      <c r="BE475" s="15"/>
      <c r="BF475" s="44"/>
      <c r="BG475" s="15">
        <f t="shared" si="66"/>
        <v>0</v>
      </c>
    </row>
    <row r="476" spans="1:59" s="8" customFormat="1" ht="22.5" customHeight="1">
      <c r="A476" s="9"/>
      <c r="B476" s="16" t="s">
        <v>674</v>
      </c>
      <c r="C476" s="89" t="s">
        <v>151</v>
      </c>
      <c r="D476" s="111" t="s">
        <v>689</v>
      </c>
      <c r="E476" s="112"/>
      <c r="F476" s="113" t="s">
        <v>1860</v>
      </c>
      <c r="G476" s="113" t="s">
        <v>1861</v>
      </c>
      <c r="H476" s="95"/>
      <c r="I476" s="9"/>
      <c r="J476" s="9" t="s">
        <v>687</v>
      </c>
      <c r="K476" s="14"/>
      <c r="L476" s="14"/>
      <c r="M476" s="12"/>
      <c r="N476" s="9"/>
      <c r="O476" s="9"/>
      <c r="P476" s="9"/>
      <c r="Q476" s="38">
        <f t="shared" si="58"/>
        <v>0</v>
      </c>
      <c r="R476" s="12"/>
      <c r="S476" s="42"/>
      <c r="T476" s="15"/>
      <c r="U476" s="44"/>
      <c r="V476" s="15"/>
      <c r="W476" s="44"/>
      <c r="X476" s="15">
        <f t="shared" si="63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64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65"/>
        <v>0</v>
      </c>
      <c r="BC476" s="15"/>
      <c r="BD476" s="44"/>
      <c r="BE476" s="15"/>
      <c r="BF476" s="44"/>
      <c r="BG476" s="15">
        <f t="shared" si="66"/>
        <v>0</v>
      </c>
    </row>
    <row r="477" spans="1:59" s="8" customFormat="1" ht="22.5" customHeight="1">
      <c r="A477" s="9"/>
      <c r="B477" s="16" t="s">
        <v>674</v>
      </c>
      <c r="C477" s="89" t="s">
        <v>151</v>
      </c>
      <c r="D477" s="111" t="s">
        <v>690</v>
      </c>
      <c r="E477" s="112" t="s">
        <v>691</v>
      </c>
      <c r="F477" s="113" t="s">
        <v>1862</v>
      </c>
      <c r="G477" s="113" t="s">
        <v>1863</v>
      </c>
      <c r="H477" s="95"/>
      <c r="I477" s="9"/>
      <c r="J477" s="9" t="s">
        <v>692</v>
      </c>
      <c r="K477" s="14"/>
      <c r="L477" s="14"/>
      <c r="M477" s="12"/>
      <c r="N477" s="9"/>
      <c r="O477" s="9"/>
      <c r="P477" s="9"/>
      <c r="Q477" s="38">
        <f t="shared" si="58"/>
        <v>0</v>
      </c>
      <c r="R477" s="12"/>
      <c r="S477" s="42"/>
      <c r="T477" s="15"/>
      <c r="U477" s="44"/>
      <c r="V477" s="15"/>
      <c r="W477" s="44"/>
      <c r="X477" s="15">
        <f t="shared" si="63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64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65"/>
        <v>0</v>
      </c>
      <c r="BC477" s="15"/>
      <c r="BD477" s="44"/>
      <c r="BE477" s="15"/>
      <c r="BF477" s="44"/>
      <c r="BG477" s="15">
        <f t="shared" si="66"/>
        <v>0</v>
      </c>
    </row>
    <row r="478" spans="1:59" s="8" customFormat="1" ht="22.5" customHeight="1">
      <c r="A478" s="9"/>
      <c r="B478" s="16" t="s">
        <v>674</v>
      </c>
      <c r="C478" s="89" t="s">
        <v>151</v>
      </c>
      <c r="D478" s="111" t="s">
        <v>693</v>
      </c>
      <c r="E478" s="112" t="s">
        <v>694</v>
      </c>
      <c r="F478" s="113" t="s">
        <v>1864</v>
      </c>
      <c r="G478" s="113" t="s">
        <v>1865</v>
      </c>
      <c r="H478" s="95"/>
      <c r="I478" s="9"/>
      <c r="J478" s="9" t="s">
        <v>692</v>
      </c>
      <c r="K478" s="14"/>
      <c r="L478" s="14"/>
      <c r="M478" s="12"/>
      <c r="N478" s="9"/>
      <c r="O478" s="9"/>
      <c r="P478" s="9"/>
      <c r="Q478" s="38">
        <f t="shared" si="58"/>
        <v>0</v>
      </c>
      <c r="R478" s="12"/>
      <c r="S478" s="42"/>
      <c r="T478" s="15"/>
      <c r="U478" s="44"/>
      <c r="V478" s="15"/>
      <c r="W478" s="44"/>
      <c r="X478" s="15">
        <f t="shared" si="63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64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65"/>
        <v>0</v>
      </c>
      <c r="BC478" s="15"/>
      <c r="BD478" s="44"/>
      <c r="BE478" s="15"/>
      <c r="BF478" s="44"/>
      <c r="BG478" s="15">
        <f t="shared" si="66"/>
        <v>0</v>
      </c>
    </row>
    <row r="479" spans="1:59" s="8" customFormat="1" ht="22.5" customHeight="1">
      <c r="A479" s="9"/>
      <c r="B479" s="16" t="s">
        <v>674</v>
      </c>
      <c r="C479" s="89" t="s">
        <v>151</v>
      </c>
      <c r="D479" s="111" t="s">
        <v>695</v>
      </c>
      <c r="E479" s="112" t="s">
        <v>696</v>
      </c>
      <c r="F479" s="113" t="s">
        <v>1866</v>
      </c>
      <c r="G479" s="113" t="s">
        <v>1867</v>
      </c>
      <c r="H479" s="95"/>
      <c r="I479" s="9"/>
      <c r="J479" s="9" t="s">
        <v>692</v>
      </c>
      <c r="K479" s="14"/>
      <c r="L479" s="14"/>
      <c r="M479" s="12"/>
      <c r="N479" s="9"/>
      <c r="O479" s="9"/>
      <c r="P479" s="9"/>
      <c r="Q479" s="38">
        <f t="shared" si="58"/>
        <v>0</v>
      </c>
      <c r="R479" s="12"/>
      <c r="S479" s="42"/>
      <c r="T479" s="15"/>
      <c r="U479" s="44"/>
      <c r="V479" s="15"/>
      <c r="W479" s="44"/>
      <c r="X479" s="15">
        <f t="shared" si="63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64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65"/>
        <v>0</v>
      </c>
      <c r="BC479" s="15"/>
      <c r="BD479" s="44"/>
      <c r="BE479" s="15"/>
      <c r="BF479" s="44"/>
      <c r="BG479" s="15">
        <f t="shared" si="66"/>
        <v>0</v>
      </c>
    </row>
    <row r="480" spans="1:59" s="8" customFormat="1" ht="22.5" customHeight="1">
      <c r="A480" s="9"/>
      <c r="B480" s="16" t="s">
        <v>674</v>
      </c>
      <c r="C480" s="89" t="s">
        <v>151</v>
      </c>
      <c r="D480" s="111" t="s">
        <v>697</v>
      </c>
      <c r="E480" s="112" t="s">
        <v>698</v>
      </c>
      <c r="F480" s="113" t="s">
        <v>1868</v>
      </c>
      <c r="G480" s="113" t="s">
        <v>1869</v>
      </c>
      <c r="H480" s="95"/>
      <c r="I480" s="9"/>
      <c r="J480" s="9" t="s">
        <v>692</v>
      </c>
      <c r="K480" s="14"/>
      <c r="L480" s="14"/>
      <c r="M480" s="12"/>
      <c r="N480" s="9"/>
      <c r="O480" s="9"/>
      <c r="P480" s="9"/>
      <c r="Q480" s="38">
        <f t="shared" si="58"/>
        <v>0</v>
      </c>
      <c r="R480" s="12"/>
      <c r="S480" s="42"/>
      <c r="T480" s="15"/>
      <c r="U480" s="44"/>
      <c r="V480" s="15"/>
      <c r="W480" s="44"/>
      <c r="X480" s="15">
        <f t="shared" si="63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64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65"/>
        <v>0</v>
      </c>
      <c r="BC480" s="15"/>
      <c r="BD480" s="44"/>
      <c r="BE480" s="15"/>
      <c r="BF480" s="44"/>
      <c r="BG480" s="15">
        <f t="shared" si="66"/>
        <v>0</v>
      </c>
    </row>
    <row r="481" spans="1:59" s="8" customFormat="1" ht="22.5" customHeight="1">
      <c r="A481" s="9"/>
      <c r="B481" s="16" t="s">
        <v>674</v>
      </c>
      <c r="C481" s="89" t="s">
        <v>151</v>
      </c>
      <c r="D481" s="111" t="s">
        <v>699</v>
      </c>
      <c r="E481" s="112"/>
      <c r="F481" s="113" t="s">
        <v>1870</v>
      </c>
      <c r="G481" s="113" t="s">
        <v>1871</v>
      </c>
      <c r="H481" s="95"/>
      <c r="I481" s="9"/>
      <c r="J481" s="9" t="s">
        <v>687</v>
      </c>
      <c r="K481" s="14"/>
      <c r="L481" s="14"/>
      <c r="M481" s="12"/>
      <c r="N481" s="9"/>
      <c r="O481" s="9"/>
      <c r="P481" s="9"/>
      <c r="Q481" s="38">
        <f t="shared" ref="Q481:Q544" si="67">M481+X481-AG481-BB481</f>
        <v>0</v>
      </c>
      <c r="R481" s="12"/>
      <c r="S481" s="42"/>
      <c r="T481" s="15"/>
      <c r="U481" s="44"/>
      <c r="V481" s="15"/>
      <c r="W481" s="44"/>
      <c r="X481" s="15">
        <f t="shared" ref="X481:X512" si="68">R481+T481+V481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ref="AG481:AG512" si="69">(Y481+AA481+AC481+AE481)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65"/>
        <v>0</v>
      </c>
      <c r="BC481" s="15"/>
      <c r="BD481" s="44"/>
      <c r="BE481" s="15"/>
      <c r="BF481" s="44"/>
      <c r="BG481" s="15">
        <f t="shared" si="66"/>
        <v>0</v>
      </c>
    </row>
    <row r="482" spans="1:59" s="8" customFormat="1" ht="22.5" customHeight="1">
      <c r="A482" s="9"/>
      <c r="B482" s="16" t="s">
        <v>674</v>
      </c>
      <c r="C482" s="89" t="s">
        <v>151</v>
      </c>
      <c r="D482" s="111" t="s">
        <v>700</v>
      </c>
      <c r="E482" s="112"/>
      <c r="F482" s="113" t="s">
        <v>1872</v>
      </c>
      <c r="G482" s="113" t="s">
        <v>1873</v>
      </c>
      <c r="H482" s="95"/>
      <c r="I482" s="9"/>
      <c r="J482" s="9" t="s">
        <v>687</v>
      </c>
      <c r="K482" s="14"/>
      <c r="L482" s="14"/>
      <c r="M482" s="12"/>
      <c r="N482" s="9"/>
      <c r="O482" s="9"/>
      <c r="P482" s="9"/>
      <c r="Q482" s="38">
        <f t="shared" si="67"/>
        <v>0</v>
      </c>
      <c r="R482" s="12"/>
      <c r="S482" s="42"/>
      <c r="T482" s="15"/>
      <c r="U482" s="44"/>
      <c r="V482" s="15"/>
      <c r="W482" s="44"/>
      <c r="X482" s="15">
        <f t="shared" si="68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69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65"/>
        <v>0</v>
      </c>
      <c r="BC482" s="15"/>
      <c r="BD482" s="44"/>
      <c r="BE482" s="15"/>
      <c r="BF482" s="44"/>
      <c r="BG482" s="15">
        <f t="shared" si="66"/>
        <v>0</v>
      </c>
    </row>
    <row r="483" spans="1:59" s="8" customFormat="1" ht="22.5" customHeight="1">
      <c r="A483" s="9"/>
      <c r="B483" s="16" t="s">
        <v>674</v>
      </c>
      <c r="C483" s="89" t="s">
        <v>151</v>
      </c>
      <c r="D483" s="59" t="s">
        <v>701</v>
      </c>
      <c r="E483" s="13"/>
      <c r="F483" s="104" t="s">
        <v>1874</v>
      </c>
      <c r="G483" s="104"/>
      <c r="H483" s="95"/>
      <c r="I483" s="9"/>
      <c r="J483" s="9" t="s">
        <v>692</v>
      </c>
      <c r="K483" s="14"/>
      <c r="L483" s="14"/>
      <c r="M483" s="12"/>
      <c r="N483" s="9"/>
      <c r="O483" s="9"/>
      <c r="P483" s="9"/>
      <c r="Q483" s="38">
        <f t="shared" si="67"/>
        <v>0</v>
      </c>
      <c r="R483" s="12"/>
      <c r="S483" s="42"/>
      <c r="T483" s="15"/>
      <c r="U483" s="44"/>
      <c r="V483" s="15"/>
      <c r="W483" s="44"/>
      <c r="X483" s="15">
        <f t="shared" si="68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69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65"/>
        <v>0</v>
      </c>
      <c r="BC483" s="15"/>
      <c r="BD483" s="44"/>
      <c r="BE483" s="15"/>
      <c r="BF483" s="44"/>
      <c r="BG483" s="15">
        <f t="shared" si="66"/>
        <v>0</v>
      </c>
    </row>
    <row r="484" spans="1:59" s="8" customFormat="1" ht="22.5" customHeight="1">
      <c r="A484" s="9"/>
      <c r="B484" s="16" t="s">
        <v>674</v>
      </c>
      <c r="C484" s="89" t="s">
        <v>151</v>
      </c>
      <c r="D484" s="111" t="s">
        <v>702</v>
      </c>
      <c r="E484" s="112" t="s">
        <v>703</v>
      </c>
      <c r="F484" s="113" t="s">
        <v>1875</v>
      </c>
      <c r="G484" s="113" t="s">
        <v>1876</v>
      </c>
      <c r="H484" s="95"/>
      <c r="I484" s="9"/>
      <c r="J484" s="9" t="s">
        <v>684</v>
      </c>
      <c r="K484" s="14"/>
      <c r="L484" s="14"/>
      <c r="M484" s="12"/>
      <c r="N484" s="9"/>
      <c r="O484" s="9"/>
      <c r="P484" s="9"/>
      <c r="Q484" s="38">
        <f t="shared" si="67"/>
        <v>0</v>
      </c>
      <c r="R484" s="12"/>
      <c r="S484" s="42"/>
      <c r="T484" s="15"/>
      <c r="U484" s="44"/>
      <c r="V484" s="15"/>
      <c r="W484" s="44"/>
      <c r="X484" s="15">
        <f t="shared" si="68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69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65"/>
        <v>0</v>
      </c>
      <c r="BC484" s="15"/>
      <c r="BD484" s="44"/>
      <c r="BE484" s="15"/>
      <c r="BF484" s="44"/>
      <c r="BG484" s="15">
        <f t="shared" si="66"/>
        <v>0</v>
      </c>
    </row>
    <row r="485" spans="1:59" s="8" customFormat="1" ht="22.5" customHeight="1">
      <c r="A485" s="9"/>
      <c r="B485" s="16" t="s">
        <v>704</v>
      </c>
      <c r="C485" s="89" t="s">
        <v>52</v>
      </c>
      <c r="D485" s="111" t="s">
        <v>705</v>
      </c>
      <c r="E485" s="112" t="s">
        <v>706</v>
      </c>
      <c r="F485" s="113" t="s">
        <v>1877</v>
      </c>
      <c r="G485" s="113" t="s">
        <v>1878</v>
      </c>
      <c r="H485" s="95"/>
      <c r="I485" s="9"/>
      <c r="J485" s="9" t="s">
        <v>247</v>
      </c>
      <c r="K485" s="14"/>
      <c r="L485" s="14"/>
      <c r="M485" s="12"/>
      <c r="N485" s="9"/>
      <c r="O485" s="9"/>
      <c r="P485" s="9"/>
      <c r="Q485" s="38">
        <f t="shared" si="67"/>
        <v>0</v>
      </c>
      <c r="R485" s="12"/>
      <c r="S485" s="42"/>
      <c r="T485" s="15"/>
      <c r="U485" s="44"/>
      <c r="V485" s="15"/>
      <c r="W485" s="44"/>
      <c r="X485" s="15">
        <f t="shared" si="68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69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65"/>
        <v>0</v>
      </c>
      <c r="BC485" s="15"/>
      <c r="BD485" s="44"/>
      <c r="BE485" s="15"/>
      <c r="BF485" s="44"/>
      <c r="BG485" s="15">
        <f t="shared" si="66"/>
        <v>0</v>
      </c>
    </row>
    <row r="486" spans="1:59" s="8" customFormat="1" ht="22.5" customHeight="1">
      <c r="A486" s="9"/>
      <c r="B486" s="16" t="s">
        <v>704</v>
      </c>
      <c r="C486" s="89" t="s">
        <v>52</v>
      </c>
      <c r="D486" s="111" t="s">
        <v>707</v>
      </c>
      <c r="E486" s="112" t="s">
        <v>708</v>
      </c>
      <c r="F486" s="113" t="s">
        <v>1879</v>
      </c>
      <c r="G486" s="113" t="s">
        <v>1880</v>
      </c>
      <c r="H486" s="95"/>
      <c r="I486" s="9"/>
      <c r="J486" s="9" t="s">
        <v>247</v>
      </c>
      <c r="K486" s="14"/>
      <c r="L486" s="14"/>
      <c r="M486" s="12"/>
      <c r="N486" s="9"/>
      <c r="O486" s="9"/>
      <c r="P486" s="9"/>
      <c r="Q486" s="38">
        <f t="shared" si="67"/>
        <v>0</v>
      </c>
      <c r="R486" s="12"/>
      <c r="S486" s="42"/>
      <c r="T486" s="15"/>
      <c r="U486" s="44"/>
      <c r="V486" s="15"/>
      <c r="W486" s="44"/>
      <c r="X486" s="15">
        <f t="shared" si="68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69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65"/>
        <v>0</v>
      </c>
      <c r="BC486" s="15"/>
      <c r="BD486" s="44"/>
      <c r="BE486" s="15"/>
      <c r="BF486" s="44"/>
      <c r="BG486" s="15">
        <f t="shared" si="66"/>
        <v>0</v>
      </c>
    </row>
    <row r="487" spans="1:59" s="8" customFormat="1" ht="22.5" customHeight="1">
      <c r="A487" s="9"/>
      <c r="B487" s="16" t="s">
        <v>704</v>
      </c>
      <c r="C487" s="89" t="s">
        <v>52</v>
      </c>
      <c r="D487" s="111" t="s">
        <v>709</v>
      </c>
      <c r="E487" s="112" t="s">
        <v>710</v>
      </c>
      <c r="F487" s="113" t="s">
        <v>1881</v>
      </c>
      <c r="G487" s="113" t="s">
        <v>1882</v>
      </c>
      <c r="H487" s="95"/>
      <c r="I487" s="9"/>
      <c r="J487" s="9" t="s">
        <v>247</v>
      </c>
      <c r="K487" s="14"/>
      <c r="L487" s="14"/>
      <c r="M487" s="12"/>
      <c r="N487" s="9"/>
      <c r="O487" s="9"/>
      <c r="P487" s="9"/>
      <c r="Q487" s="38">
        <f t="shared" si="67"/>
        <v>0</v>
      </c>
      <c r="R487" s="12"/>
      <c r="S487" s="42"/>
      <c r="T487" s="15"/>
      <c r="U487" s="44"/>
      <c r="V487" s="15"/>
      <c r="W487" s="44"/>
      <c r="X487" s="15">
        <f t="shared" si="68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69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65"/>
        <v>0</v>
      </c>
      <c r="BC487" s="15"/>
      <c r="BD487" s="44"/>
      <c r="BE487" s="15"/>
      <c r="BF487" s="44"/>
      <c r="BG487" s="15">
        <f t="shared" si="66"/>
        <v>0</v>
      </c>
    </row>
    <row r="488" spans="1:59" s="8" customFormat="1" ht="22.5" customHeight="1">
      <c r="A488" s="9"/>
      <c r="B488" s="16" t="s">
        <v>704</v>
      </c>
      <c r="C488" s="89" t="s">
        <v>151</v>
      </c>
      <c r="D488" s="111" t="s">
        <v>711</v>
      </c>
      <c r="E488" s="112" t="s">
        <v>712</v>
      </c>
      <c r="F488" s="113" t="s">
        <v>1883</v>
      </c>
      <c r="G488" s="113" t="s">
        <v>1884</v>
      </c>
      <c r="H488" s="95"/>
      <c r="I488" s="9"/>
      <c r="J488" s="9" t="s">
        <v>247</v>
      </c>
      <c r="K488" s="14"/>
      <c r="L488" s="14"/>
      <c r="M488" s="12"/>
      <c r="N488" s="9"/>
      <c r="O488" s="9"/>
      <c r="P488" s="9"/>
      <c r="Q488" s="38">
        <f t="shared" si="67"/>
        <v>0</v>
      </c>
      <c r="R488" s="12"/>
      <c r="S488" s="42"/>
      <c r="T488" s="15"/>
      <c r="U488" s="44"/>
      <c r="V488" s="15"/>
      <c r="W488" s="44"/>
      <c r="X488" s="15">
        <f t="shared" si="68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69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65"/>
        <v>0</v>
      </c>
      <c r="BC488" s="15"/>
      <c r="BD488" s="44"/>
      <c r="BE488" s="15"/>
      <c r="BF488" s="44"/>
      <c r="BG488" s="15">
        <f t="shared" si="66"/>
        <v>0</v>
      </c>
    </row>
    <row r="489" spans="1:59" s="8" customFormat="1" ht="22.5" customHeight="1">
      <c r="A489" s="9"/>
      <c r="B489" s="16" t="s">
        <v>713</v>
      </c>
      <c r="C489" s="89" t="s">
        <v>50</v>
      </c>
      <c r="D489" s="111" t="s">
        <v>714</v>
      </c>
      <c r="E489" s="112"/>
      <c r="F489" s="113" t="s">
        <v>1885</v>
      </c>
      <c r="G489" s="113" t="s">
        <v>1886</v>
      </c>
      <c r="H489" s="95"/>
      <c r="I489" s="9"/>
      <c r="J489" s="9" t="s">
        <v>669</v>
      </c>
      <c r="K489" s="14"/>
      <c r="L489" s="14"/>
      <c r="M489" s="12"/>
      <c r="N489" s="9"/>
      <c r="O489" s="9"/>
      <c r="P489" s="9"/>
      <c r="Q489" s="38">
        <f t="shared" si="67"/>
        <v>0</v>
      </c>
      <c r="R489" s="12"/>
      <c r="S489" s="42"/>
      <c r="T489" s="15"/>
      <c r="U489" s="44"/>
      <c r="V489" s="15"/>
      <c r="W489" s="44"/>
      <c r="X489" s="15">
        <f t="shared" si="68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69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65"/>
        <v>0</v>
      </c>
      <c r="BC489" s="15"/>
      <c r="BD489" s="44"/>
      <c r="BE489" s="15"/>
      <c r="BF489" s="44"/>
      <c r="BG489" s="15">
        <f t="shared" si="66"/>
        <v>0</v>
      </c>
    </row>
    <row r="490" spans="1:59" s="8" customFormat="1" ht="22.5" customHeight="1">
      <c r="A490" s="9"/>
      <c r="B490" s="16" t="s">
        <v>715</v>
      </c>
      <c r="C490" s="89" t="s">
        <v>132</v>
      </c>
      <c r="D490" s="61" t="s">
        <v>716</v>
      </c>
      <c r="E490" s="13" t="s">
        <v>717</v>
      </c>
      <c r="F490" s="106" t="s">
        <v>1144</v>
      </c>
      <c r="G490" s="106"/>
      <c r="H490" s="95"/>
      <c r="I490" s="9"/>
      <c r="J490" s="9" t="s">
        <v>718</v>
      </c>
      <c r="K490" s="14"/>
      <c r="L490" s="14"/>
      <c r="M490" s="12"/>
      <c r="N490" s="9"/>
      <c r="O490" s="9"/>
      <c r="P490" s="9"/>
      <c r="Q490" s="38">
        <f t="shared" si="67"/>
        <v>0</v>
      </c>
      <c r="R490" s="12"/>
      <c r="S490" s="42"/>
      <c r="T490" s="15"/>
      <c r="U490" s="44"/>
      <c r="V490" s="15"/>
      <c r="W490" s="44"/>
      <c r="X490" s="15">
        <f t="shared" si="68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69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65"/>
        <v>0</v>
      </c>
      <c r="BC490" s="15"/>
      <c r="BD490" s="44"/>
      <c r="BE490" s="15"/>
      <c r="BF490" s="44"/>
      <c r="BG490" s="15">
        <f t="shared" si="66"/>
        <v>0</v>
      </c>
    </row>
    <row r="491" spans="1:59" s="8" customFormat="1" ht="22.5" customHeight="1">
      <c r="A491" s="9"/>
      <c r="B491" s="16" t="s">
        <v>715</v>
      </c>
      <c r="C491" s="89" t="s">
        <v>132</v>
      </c>
      <c r="D491" s="61" t="s">
        <v>719</v>
      </c>
      <c r="E491" s="13" t="s">
        <v>720</v>
      </c>
      <c r="F491" s="106" t="s">
        <v>1144</v>
      </c>
      <c r="G491" s="106"/>
      <c r="H491" s="95"/>
      <c r="I491" s="9"/>
      <c r="J491" s="9" t="s">
        <v>718</v>
      </c>
      <c r="K491" s="14"/>
      <c r="L491" s="14"/>
      <c r="M491" s="12"/>
      <c r="N491" s="9"/>
      <c r="O491" s="9"/>
      <c r="P491" s="9"/>
      <c r="Q491" s="38">
        <f t="shared" si="67"/>
        <v>0</v>
      </c>
      <c r="R491" s="12"/>
      <c r="S491" s="42"/>
      <c r="T491" s="15"/>
      <c r="U491" s="44"/>
      <c r="V491" s="15"/>
      <c r="W491" s="44"/>
      <c r="X491" s="15">
        <f t="shared" si="68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69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ref="BB491:BB522" si="70">AH491+AJ491+AL491+AN491+AP491+AR491+AT491+AV491+AX491+AZ491</f>
        <v>0</v>
      </c>
      <c r="BC491" s="15"/>
      <c r="BD491" s="44"/>
      <c r="BE491" s="15"/>
      <c r="BF491" s="44"/>
      <c r="BG491" s="15">
        <f t="shared" ref="BG491:BG522" si="71">(BC491+BE491)</f>
        <v>0</v>
      </c>
    </row>
    <row r="492" spans="1:59" s="8" customFormat="1" ht="22.5" customHeight="1">
      <c r="A492" s="9"/>
      <c r="B492" s="16" t="s">
        <v>715</v>
      </c>
      <c r="C492" s="89" t="s">
        <v>48</v>
      </c>
      <c r="D492" s="61" t="s">
        <v>716</v>
      </c>
      <c r="E492" s="13" t="s">
        <v>721</v>
      </c>
      <c r="F492" s="106" t="s">
        <v>1144</v>
      </c>
      <c r="G492" s="106"/>
      <c r="H492" s="95"/>
      <c r="I492" s="9"/>
      <c r="J492" s="9" t="s">
        <v>722</v>
      </c>
      <c r="K492" s="14"/>
      <c r="L492" s="14"/>
      <c r="M492" s="12"/>
      <c r="N492" s="9"/>
      <c r="O492" s="9"/>
      <c r="P492" s="9"/>
      <c r="Q492" s="38">
        <f t="shared" si="67"/>
        <v>0</v>
      </c>
      <c r="R492" s="12"/>
      <c r="S492" s="42"/>
      <c r="T492" s="15"/>
      <c r="U492" s="44"/>
      <c r="V492" s="15"/>
      <c r="W492" s="44"/>
      <c r="X492" s="15">
        <f t="shared" si="68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69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70"/>
        <v>0</v>
      </c>
      <c r="BC492" s="15"/>
      <c r="BD492" s="44"/>
      <c r="BE492" s="15"/>
      <c r="BF492" s="44"/>
      <c r="BG492" s="15">
        <f t="shared" si="71"/>
        <v>0</v>
      </c>
    </row>
    <row r="493" spans="1:59" s="8" customFormat="1" ht="22.5" customHeight="1">
      <c r="A493" s="9"/>
      <c r="B493" s="16" t="s">
        <v>715</v>
      </c>
      <c r="C493" s="89" t="s">
        <v>48</v>
      </c>
      <c r="D493" s="61" t="s">
        <v>719</v>
      </c>
      <c r="E493" s="13" t="s">
        <v>723</v>
      </c>
      <c r="F493" s="106" t="s">
        <v>1144</v>
      </c>
      <c r="G493" s="106"/>
      <c r="H493" s="95"/>
      <c r="I493" s="9"/>
      <c r="J493" s="9" t="s">
        <v>722</v>
      </c>
      <c r="K493" s="14"/>
      <c r="L493" s="14"/>
      <c r="M493" s="12"/>
      <c r="N493" s="9"/>
      <c r="O493" s="9"/>
      <c r="P493" s="9"/>
      <c r="Q493" s="38">
        <f t="shared" si="67"/>
        <v>0</v>
      </c>
      <c r="R493" s="12"/>
      <c r="S493" s="42"/>
      <c r="T493" s="15"/>
      <c r="U493" s="44"/>
      <c r="V493" s="15"/>
      <c r="W493" s="44"/>
      <c r="X493" s="15">
        <f t="shared" si="68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69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si="70"/>
        <v>0</v>
      </c>
      <c r="BC493" s="15"/>
      <c r="BD493" s="44"/>
      <c r="BE493" s="15"/>
      <c r="BF493" s="44"/>
      <c r="BG493" s="15">
        <f t="shared" si="71"/>
        <v>0</v>
      </c>
    </row>
    <row r="494" spans="1:59" s="8" customFormat="1" ht="22.5" customHeight="1">
      <c r="A494" s="9"/>
      <c r="B494" s="16" t="s">
        <v>715</v>
      </c>
      <c r="C494" s="89" t="s">
        <v>151</v>
      </c>
      <c r="D494" s="111" t="s">
        <v>724</v>
      </c>
      <c r="E494" s="112" t="s">
        <v>725</v>
      </c>
      <c r="F494" s="113" t="s">
        <v>1887</v>
      </c>
      <c r="G494" s="113" t="s">
        <v>1888</v>
      </c>
      <c r="H494" s="95"/>
      <c r="I494" s="9"/>
      <c r="J494" s="9" t="s">
        <v>722</v>
      </c>
      <c r="K494" s="14"/>
      <c r="L494" s="14"/>
      <c r="M494" s="12"/>
      <c r="N494" s="9"/>
      <c r="O494" s="9"/>
      <c r="P494" s="9"/>
      <c r="Q494" s="38">
        <f t="shared" si="67"/>
        <v>0</v>
      </c>
      <c r="R494" s="12"/>
      <c r="S494" s="42"/>
      <c r="T494" s="15"/>
      <c r="U494" s="44"/>
      <c r="V494" s="15"/>
      <c r="W494" s="44"/>
      <c r="X494" s="15">
        <f t="shared" si="68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69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70"/>
        <v>0</v>
      </c>
      <c r="BC494" s="15"/>
      <c r="BD494" s="44"/>
      <c r="BE494" s="15"/>
      <c r="BF494" s="44"/>
      <c r="BG494" s="15">
        <f t="shared" si="71"/>
        <v>0</v>
      </c>
    </row>
    <row r="495" spans="1:59" s="8" customFormat="1" ht="22.5" customHeight="1">
      <c r="A495" s="9"/>
      <c r="B495" s="16" t="s">
        <v>715</v>
      </c>
      <c r="C495" s="89" t="s">
        <v>151</v>
      </c>
      <c r="D495" s="56" t="s">
        <v>726</v>
      </c>
      <c r="E495" s="13" t="s">
        <v>727</v>
      </c>
      <c r="F495" s="106" t="s">
        <v>1144</v>
      </c>
      <c r="G495" s="106"/>
      <c r="H495" s="95"/>
      <c r="I495" s="9"/>
      <c r="J495" s="9" t="s">
        <v>722</v>
      </c>
      <c r="K495" s="14"/>
      <c r="L495" s="14"/>
      <c r="M495" s="12"/>
      <c r="N495" s="9"/>
      <c r="O495" s="9"/>
      <c r="P495" s="9"/>
      <c r="Q495" s="38">
        <f t="shared" si="67"/>
        <v>0</v>
      </c>
      <c r="R495" s="12"/>
      <c r="S495" s="42"/>
      <c r="T495" s="15"/>
      <c r="U495" s="44"/>
      <c r="V495" s="15"/>
      <c r="W495" s="44"/>
      <c r="X495" s="15">
        <f t="shared" si="68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69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70"/>
        <v>0</v>
      </c>
      <c r="BC495" s="15"/>
      <c r="BD495" s="44"/>
      <c r="BE495" s="15"/>
      <c r="BF495" s="44"/>
      <c r="BG495" s="15">
        <f t="shared" si="71"/>
        <v>0</v>
      </c>
    </row>
    <row r="496" spans="1:59" s="8" customFormat="1" ht="22.5" customHeight="1">
      <c r="A496" s="9"/>
      <c r="B496" s="16" t="s">
        <v>728</v>
      </c>
      <c r="C496" s="89" t="s">
        <v>151</v>
      </c>
      <c r="D496" s="111" t="s">
        <v>729</v>
      </c>
      <c r="E496" s="112" t="s">
        <v>730</v>
      </c>
      <c r="F496" s="113" t="s">
        <v>1889</v>
      </c>
      <c r="G496" s="113" t="s">
        <v>1890</v>
      </c>
      <c r="H496" s="95"/>
      <c r="I496" s="9"/>
      <c r="J496" s="9" t="s">
        <v>731</v>
      </c>
      <c r="K496" s="14"/>
      <c r="L496" s="14"/>
      <c r="M496" s="12">
        <v>100</v>
      </c>
      <c r="N496" s="9"/>
      <c r="O496" s="9"/>
      <c r="P496" s="9"/>
      <c r="Q496" s="38">
        <f t="shared" si="67"/>
        <v>100</v>
      </c>
      <c r="R496" s="12"/>
      <c r="S496" s="42"/>
      <c r="T496" s="15"/>
      <c r="U496" s="44"/>
      <c r="V496" s="15"/>
      <c r="W496" s="44"/>
      <c r="X496" s="15">
        <f t="shared" si="68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69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70"/>
        <v>0</v>
      </c>
      <c r="BC496" s="15"/>
      <c r="BD496" s="44"/>
      <c r="BE496" s="15"/>
      <c r="BF496" s="44"/>
      <c r="BG496" s="15">
        <f t="shared" si="71"/>
        <v>0</v>
      </c>
    </row>
    <row r="497" spans="1:59" s="8" customFormat="1" ht="22.5" customHeight="1">
      <c r="A497" s="9"/>
      <c r="B497" s="16" t="s">
        <v>728</v>
      </c>
      <c r="C497" s="89" t="s">
        <v>151</v>
      </c>
      <c r="D497" s="111" t="s">
        <v>729</v>
      </c>
      <c r="E497" s="112" t="s">
        <v>732</v>
      </c>
      <c r="F497" s="113" t="s">
        <v>1891</v>
      </c>
      <c r="G497" s="113" t="s">
        <v>1892</v>
      </c>
      <c r="H497" s="95"/>
      <c r="I497" s="9"/>
      <c r="J497" s="9" t="s">
        <v>733</v>
      </c>
      <c r="K497" s="14"/>
      <c r="L497" s="14"/>
      <c r="M497" s="12"/>
      <c r="N497" s="9"/>
      <c r="O497" s="9"/>
      <c r="P497" s="9"/>
      <c r="Q497" s="38">
        <f t="shared" si="67"/>
        <v>0</v>
      </c>
      <c r="R497" s="12"/>
      <c r="S497" s="42"/>
      <c r="T497" s="15"/>
      <c r="U497" s="44"/>
      <c r="V497" s="15"/>
      <c r="W497" s="44"/>
      <c r="X497" s="15">
        <f t="shared" si="68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69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70"/>
        <v>0</v>
      </c>
      <c r="BC497" s="15"/>
      <c r="BD497" s="44"/>
      <c r="BE497" s="15"/>
      <c r="BF497" s="44"/>
      <c r="BG497" s="15">
        <f t="shared" si="71"/>
        <v>0</v>
      </c>
    </row>
    <row r="498" spans="1:59" s="8" customFormat="1" ht="22.5" customHeight="1">
      <c r="A498" s="9"/>
      <c r="B498" s="16" t="s">
        <v>728</v>
      </c>
      <c r="C498" s="89" t="s">
        <v>151</v>
      </c>
      <c r="D498" s="111" t="s">
        <v>729</v>
      </c>
      <c r="E498" s="112" t="s">
        <v>734</v>
      </c>
      <c r="F498" s="113" t="s">
        <v>1893</v>
      </c>
      <c r="G498" s="113" t="s">
        <v>1894</v>
      </c>
      <c r="H498" s="95"/>
      <c r="I498" s="9"/>
      <c r="J498" s="9" t="s">
        <v>733</v>
      </c>
      <c r="K498" s="14"/>
      <c r="L498" s="14"/>
      <c r="M498" s="12"/>
      <c r="N498" s="9"/>
      <c r="O498" s="9"/>
      <c r="P498" s="9"/>
      <c r="Q498" s="38">
        <f t="shared" si="67"/>
        <v>0</v>
      </c>
      <c r="R498" s="12"/>
      <c r="S498" s="42"/>
      <c r="T498" s="15"/>
      <c r="U498" s="44"/>
      <c r="V498" s="15"/>
      <c r="W498" s="44"/>
      <c r="X498" s="15">
        <f t="shared" si="68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69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70"/>
        <v>0</v>
      </c>
      <c r="BC498" s="15"/>
      <c r="BD498" s="44"/>
      <c r="BE498" s="15"/>
      <c r="BF498" s="44"/>
      <c r="BG498" s="15">
        <f t="shared" si="71"/>
        <v>0</v>
      </c>
    </row>
    <row r="499" spans="1:59" s="8" customFormat="1" ht="22.5" customHeight="1">
      <c r="A499" s="9"/>
      <c r="B499" s="16" t="s">
        <v>735</v>
      </c>
      <c r="C499" s="89" t="s">
        <v>132</v>
      </c>
      <c r="D499" s="111" t="s">
        <v>736</v>
      </c>
      <c r="E499" s="112" t="s">
        <v>1895</v>
      </c>
      <c r="F499" s="113" t="s">
        <v>1896</v>
      </c>
      <c r="G499" s="113" t="s">
        <v>1897</v>
      </c>
      <c r="H499" s="95"/>
      <c r="I499" s="9"/>
      <c r="J499" s="9" t="s">
        <v>247</v>
      </c>
      <c r="K499" s="14"/>
      <c r="L499" s="14"/>
      <c r="M499" s="12">
        <v>75</v>
      </c>
      <c r="N499" s="9"/>
      <c r="O499" s="9"/>
      <c r="P499" s="9"/>
      <c r="Q499" s="38">
        <f t="shared" si="67"/>
        <v>75</v>
      </c>
      <c r="R499" s="12"/>
      <c r="S499" s="42"/>
      <c r="T499" s="15"/>
      <c r="U499" s="44"/>
      <c r="V499" s="15"/>
      <c r="W499" s="44"/>
      <c r="X499" s="15">
        <f t="shared" si="68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69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70"/>
        <v>0</v>
      </c>
      <c r="BC499" s="15"/>
      <c r="BD499" s="44"/>
      <c r="BE499" s="15"/>
      <c r="BF499" s="44"/>
      <c r="BG499" s="15">
        <f t="shared" si="71"/>
        <v>0</v>
      </c>
    </row>
    <row r="500" spans="1:59" s="8" customFormat="1" ht="22.5" customHeight="1">
      <c r="A500" s="9"/>
      <c r="B500" s="16" t="s">
        <v>735</v>
      </c>
      <c r="C500" s="89" t="s">
        <v>132</v>
      </c>
      <c r="D500" s="111" t="s">
        <v>738</v>
      </c>
      <c r="E500" s="112" t="s">
        <v>739</v>
      </c>
      <c r="F500" s="113" t="s">
        <v>1898</v>
      </c>
      <c r="G500" s="113" t="s">
        <v>1899</v>
      </c>
      <c r="H500" s="95"/>
      <c r="I500" s="9"/>
      <c r="J500" s="9" t="s">
        <v>247</v>
      </c>
      <c r="K500" s="14"/>
      <c r="L500" s="14"/>
      <c r="M500" s="12"/>
      <c r="N500" s="9"/>
      <c r="O500" s="9"/>
      <c r="P500" s="9"/>
      <c r="Q500" s="38">
        <f t="shared" si="67"/>
        <v>0</v>
      </c>
      <c r="R500" s="12"/>
      <c r="S500" s="42"/>
      <c r="T500" s="15"/>
      <c r="U500" s="44"/>
      <c r="V500" s="15"/>
      <c r="W500" s="44"/>
      <c r="X500" s="15">
        <f t="shared" si="68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69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70"/>
        <v>0</v>
      </c>
      <c r="BC500" s="15"/>
      <c r="BD500" s="44"/>
      <c r="BE500" s="15"/>
      <c r="BF500" s="44"/>
      <c r="BG500" s="15">
        <f t="shared" si="71"/>
        <v>0</v>
      </c>
    </row>
    <row r="501" spans="1:59" s="8" customFormat="1" ht="22.5" customHeight="1">
      <c r="A501" s="9"/>
      <c r="B501" s="16" t="s">
        <v>740</v>
      </c>
      <c r="C501" s="89" t="s">
        <v>132</v>
      </c>
      <c r="D501" s="111" t="s">
        <v>741</v>
      </c>
      <c r="E501" s="112"/>
      <c r="F501" s="113" t="s">
        <v>1900</v>
      </c>
      <c r="G501" s="113" t="s">
        <v>1901</v>
      </c>
      <c r="H501" s="95"/>
      <c r="I501" s="9"/>
      <c r="J501" s="9" t="s">
        <v>247</v>
      </c>
      <c r="K501" s="14"/>
      <c r="L501" s="14"/>
      <c r="M501" s="12"/>
      <c r="N501" s="9"/>
      <c r="O501" s="9"/>
      <c r="P501" s="9"/>
      <c r="Q501" s="38">
        <f t="shared" si="67"/>
        <v>0</v>
      </c>
      <c r="R501" s="12"/>
      <c r="S501" s="42"/>
      <c r="T501" s="15"/>
      <c r="U501" s="44"/>
      <c r="V501" s="15"/>
      <c r="W501" s="44"/>
      <c r="X501" s="15">
        <f t="shared" si="68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69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70"/>
        <v>0</v>
      </c>
      <c r="BC501" s="15"/>
      <c r="BD501" s="44"/>
      <c r="BE501" s="15"/>
      <c r="BF501" s="44"/>
      <c r="BG501" s="15">
        <f t="shared" si="71"/>
        <v>0</v>
      </c>
    </row>
    <row r="502" spans="1:59" s="8" customFormat="1" ht="22.5" customHeight="1">
      <c r="A502" s="9"/>
      <c r="B502" s="16" t="s">
        <v>742</v>
      </c>
      <c r="C502" s="89" t="s">
        <v>151</v>
      </c>
      <c r="D502" s="59" t="s">
        <v>743</v>
      </c>
      <c r="E502" s="13" t="s">
        <v>744</v>
      </c>
      <c r="F502" s="106" t="s">
        <v>1144</v>
      </c>
      <c r="G502" s="106"/>
      <c r="H502" s="95"/>
      <c r="I502" s="9"/>
      <c r="J502" s="9" t="s">
        <v>745</v>
      </c>
      <c r="K502" s="14"/>
      <c r="L502" s="14"/>
      <c r="M502" s="12"/>
      <c r="N502" s="9"/>
      <c r="O502" s="9"/>
      <c r="P502" s="9"/>
      <c r="Q502" s="38">
        <f t="shared" si="67"/>
        <v>0</v>
      </c>
      <c r="R502" s="12"/>
      <c r="S502" s="42"/>
      <c r="T502" s="15"/>
      <c r="U502" s="44"/>
      <c r="V502" s="15"/>
      <c r="W502" s="44"/>
      <c r="X502" s="15">
        <f t="shared" si="68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69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70"/>
        <v>0</v>
      </c>
      <c r="BC502" s="15"/>
      <c r="BD502" s="44"/>
      <c r="BE502" s="15"/>
      <c r="BF502" s="44"/>
      <c r="BG502" s="15">
        <f t="shared" si="71"/>
        <v>0</v>
      </c>
    </row>
    <row r="503" spans="1:59" s="8" customFormat="1" ht="22.5" customHeight="1">
      <c r="A503" s="9"/>
      <c r="B503" s="16" t="s">
        <v>742</v>
      </c>
      <c r="C503" s="89" t="s">
        <v>151</v>
      </c>
      <c r="D503" s="59" t="s">
        <v>743</v>
      </c>
      <c r="E503" s="13" t="s">
        <v>744</v>
      </c>
      <c r="F503" s="106" t="s">
        <v>1144</v>
      </c>
      <c r="G503" s="106"/>
      <c r="H503" s="95"/>
      <c r="I503" s="9"/>
      <c r="J503" s="9" t="s">
        <v>746</v>
      </c>
      <c r="K503" s="14"/>
      <c r="L503" s="14"/>
      <c r="M503" s="12"/>
      <c r="N503" s="9"/>
      <c r="O503" s="9"/>
      <c r="P503" s="9"/>
      <c r="Q503" s="38">
        <f t="shared" si="67"/>
        <v>0</v>
      </c>
      <c r="R503" s="12"/>
      <c r="S503" s="42"/>
      <c r="T503" s="15"/>
      <c r="U503" s="44"/>
      <c r="V503" s="15"/>
      <c r="W503" s="44"/>
      <c r="X503" s="15">
        <f t="shared" si="68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69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70"/>
        <v>0</v>
      </c>
      <c r="BC503" s="15"/>
      <c r="BD503" s="44"/>
      <c r="BE503" s="15"/>
      <c r="BF503" s="44"/>
      <c r="BG503" s="15">
        <f t="shared" si="71"/>
        <v>0</v>
      </c>
    </row>
    <row r="504" spans="1:59" s="8" customFormat="1" ht="22.5" customHeight="1">
      <c r="A504" s="9"/>
      <c r="B504" s="16" t="s">
        <v>742</v>
      </c>
      <c r="C504" s="89" t="s">
        <v>151</v>
      </c>
      <c r="D504" s="59" t="s">
        <v>747</v>
      </c>
      <c r="E504" s="13" t="s">
        <v>748</v>
      </c>
      <c r="F504" s="106" t="s">
        <v>1144</v>
      </c>
      <c r="G504" s="106"/>
      <c r="H504" s="95"/>
      <c r="I504" s="9"/>
      <c r="J504" s="9" t="s">
        <v>745</v>
      </c>
      <c r="K504" s="14"/>
      <c r="L504" s="14"/>
      <c r="M504" s="12"/>
      <c r="N504" s="9"/>
      <c r="O504" s="9"/>
      <c r="P504" s="9"/>
      <c r="Q504" s="38">
        <f t="shared" si="67"/>
        <v>0</v>
      </c>
      <c r="R504" s="12"/>
      <c r="S504" s="42"/>
      <c r="T504" s="15"/>
      <c r="U504" s="44"/>
      <c r="V504" s="15"/>
      <c r="W504" s="44"/>
      <c r="X504" s="15">
        <f t="shared" si="68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69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70"/>
        <v>0</v>
      </c>
      <c r="BC504" s="15"/>
      <c r="BD504" s="44"/>
      <c r="BE504" s="15"/>
      <c r="BF504" s="44"/>
      <c r="BG504" s="15">
        <f t="shared" si="71"/>
        <v>0</v>
      </c>
    </row>
    <row r="505" spans="1:59" s="8" customFormat="1" ht="22.5" customHeight="1">
      <c r="A505" s="9"/>
      <c r="B505" s="16" t="s">
        <v>742</v>
      </c>
      <c r="C505" s="89" t="s">
        <v>151</v>
      </c>
      <c r="D505" s="59" t="s">
        <v>747</v>
      </c>
      <c r="E505" s="13" t="s">
        <v>748</v>
      </c>
      <c r="F505" s="106" t="s">
        <v>1144</v>
      </c>
      <c r="G505" s="106"/>
      <c r="H505" s="95"/>
      <c r="I505" s="9"/>
      <c r="J505" s="9" t="s">
        <v>746</v>
      </c>
      <c r="K505" s="14"/>
      <c r="L505" s="14"/>
      <c r="M505" s="12"/>
      <c r="N505" s="9"/>
      <c r="O505" s="9"/>
      <c r="P505" s="9"/>
      <c r="Q505" s="38">
        <f t="shared" si="67"/>
        <v>0</v>
      </c>
      <c r="R505" s="12"/>
      <c r="S505" s="42"/>
      <c r="T505" s="15"/>
      <c r="U505" s="44"/>
      <c r="V505" s="15"/>
      <c r="W505" s="44"/>
      <c r="X505" s="15">
        <f t="shared" si="68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69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70"/>
        <v>0</v>
      </c>
      <c r="BC505" s="15"/>
      <c r="BD505" s="44"/>
      <c r="BE505" s="15"/>
      <c r="BF505" s="44"/>
      <c r="BG505" s="15">
        <f t="shared" si="71"/>
        <v>0</v>
      </c>
    </row>
    <row r="506" spans="1:59" s="8" customFormat="1" ht="22.5" customHeight="1">
      <c r="A506" s="9"/>
      <c r="B506" s="16" t="s">
        <v>742</v>
      </c>
      <c r="C506" s="89" t="s">
        <v>151</v>
      </c>
      <c r="D506" s="56" t="s">
        <v>747</v>
      </c>
      <c r="E506" s="13" t="s">
        <v>749</v>
      </c>
      <c r="F506" s="106" t="s">
        <v>1144</v>
      </c>
      <c r="G506" s="106"/>
      <c r="H506" s="95"/>
      <c r="I506" s="9"/>
      <c r="J506" s="9" t="s">
        <v>745</v>
      </c>
      <c r="K506" s="14"/>
      <c r="L506" s="14"/>
      <c r="M506" s="12"/>
      <c r="N506" s="9"/>
      <c r="O506" s="9"/>
      <c r="P506" s="9"/>
      <c r="Q506" s="38">
        <f t="shared" si="67"/>
        <v>0</v>
      </c>
      <c r="R506" s="12"/>
      <c r="S506" s="42"/>
      <c r="T506" s="15"/>
      <c r="U506" s="44"/>
      <c r="V506" s="15"/>
      <c r="W506" s="44"/>
      <c r="X506" s="15">
        <f t="shared" si="68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69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70"/>
        <v>0</v>
      </c>
      <c r="BC506" s="15"/>
      <c r="BD506" s="44"/>
      <c r="BE506" s="15"/>
      <c r="BF506" s="44"/>
      <c r="BG506" s="15">
        <f t="shared" si="71"/>
        <v>0</v>
      </c>
    </row>
    <row r="507" spans="1:59" s="8" customFormat="1" ht="22.5" customHeight="1">
      <c r="A507" s="9"/>
      <c r="B507" s="16" t="s">
        <v>742</v>
      </c>
      <c r="C507" s="89" t="s">
        <v>151</v>
      </c>
      <c r="D507" s="56" t="s">
        <v>747</v>
      </c>
      <c r="E507" s="13" t="s">
        <v>749</v>
      </c>
      <c r="F507" s="106" t="s">
        <v>1144</v>
      </c>
      <c r="G507" s="106"/>
      <c r="H507" s="95"/>
      <c r="I507" s="9"/>
      <c r="J507" s="9" t="s">
        <v>746</v>
      </c>
      <c r="K507" s="14"/>
      <c r="L507" s="14"/>
      <c r="M507" s="12"/>
      <c r="N507" s="9"/>
      <c r="O507" s="9"/>
      <c r="P507" s="9"/>
      <c r="Q507" s="38">
        <f t="shared" si="67"/>
        <v>0</v>
      </c>
      <c r="R507" s="12"/>
      <c r="S507" s="42"/>
      <c r="T507" s="15"/>
      <c r="U507" s="44"/>
      <c r="V507" s="15"/>
      <c r="W507" s="44"/>
      <c r="X507" s="15">
        <f t="shared" si="68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69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70"/>
        <v>0</v>
      </c>
      <c r="BC507" s="15"/>
      <c r="BD507" s="44"/>
      <c r="BE507" s="15"/>
      <c r="BF507" s="44"/>
      <c r="BG507" s="15">
        <f t="shared" si="71"/>
        <v>0</v>
      </c>
    </row>
    <row r="508" spans="1:59" s="8" customFormat="1" ht="22.5" customHeight="1">
      <c r="A508" s="9"/>
      <c r="B508" s="16" t="s">
        <v>742</v>
      </c>
      <c r="C508" s="89" t="s">
        <v>52</v>
      </c>
      <c r="D508" s="56" t="s">
        <v>750</v>
      </c>
      <c r="E508" s="13" t="s">
        <v>751</v>
      </c>
      <c r="F508" s="106" t="s">
        <v>1144</v>
      </c>
      <c r="G508" s="106"/>
      <c r="H508" s="95"/>
      <c r="I508" s="9"/>
      <c r="J508" s="9" t="s">
        <v>745</v>
      </c>
      <c r="K508" s="14"/>
      <c r="L508" s="14"/>
      <c r="M508" s="12"/>
      <c r="N508" s="9"/>
      <c r="O508" s="9"/>
      <c r="P508" s="9"/>
      <c r="Q508" s="38">
        <f t="shared" si="67"/>
        <v>0</v>
      </c>
      <c r="R508" s="12"/>
      <c r="S508" s="42"/>
      <c r="T508" s="15"/>
      <c r="U508" s="44"/>
      <c r="V508" s="15"/>
      <c r="W508" s="44"/>
      <c r="X508" s="15">
        <f t="shared" si="68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69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70"/>
        <v>0</v>
      </c>
      <c r="BC508" s="15"/>
      <c r="BD508" s="44"/>
      <c r="BE508" s="15"/>
      <c r="BF508" s="44"/>
      <c r="BG508" s="15">
        <f t="shared" si="71"/>
        <v>0</v>
      </c>
    </row>
    <row r="509" spans="1:59" s="8" customFormat="1" ht="22.5" customHeight="1">
      <c r="A509" s="9"/>
      <c r="B509" s="16" t="s">
        <v>742</v>
      </c>
      <c r="C509" s="89" t="s">
        <v>52</v>
      </c>
      <c r="D509" s="56" t="s">
        <v>750</v>
      </c>
      <c r="E509" s="13" t="s">
        <v>751</v>
      </c>
      <c r="F509" s="106" t="s">
        <v>1144</v>
      </c>
      <c r="G509" s="106"/>
      <c r="H509" s="95"/>
      <c r="I509" s="9"/>
      <c r="J509" s="9" t="s">
        <v>746</v>
      </c>
      <c r="K509" s="14"/>
      <c r="L509" s="14"/>
      <c r="M509" s="12"/>
      <c r="N509" s="9"/>
      <c r="O509" s="9"/>
      <c r="P509" s="9"/>
      <c r="Q509" s="38">
        <f t="shared" si="67"/>
        <v>0</v>
      </c>
      <c r="R509" s="12"/>
      <c r="S509" s="42"/>
      <c r="T509" s="15"/>
      <c r="U509" s="44"/>
      <c r="V509" s="15"/>
      <c r="W509" s="44"/>
      <c r="X509" s="15">
        <f t="shared" si="68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69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70"/>
        <v>0</v>
      </c>
      <c r="BC509" s="15"/>
      <c r="BD509" s="44"/>
      <c r="BE509" s="15"/>
      <c r="BF509" s="44"/>
      <c r="BG509" s="15">
        <f t="shared" si="71"/>
        <v>0</v>
      </c>
    </row>
    <row r="510" spans="1:59" s="8" customFormat="1" ht="22.5" customHeight="1">
      <c r="A510" s="9"/>
      <c r="B510" s="16" t="s">
        <v>742</v>
      </c>
      <c r="C510" s="89" t="s">
        <v>52</v>
      </c>
      <c r="D510" s="111" t="s">
        <v>750</v>
      </c>
      <c r="E510" s="112" t="s">
        <v>752</v>
      </c>
      <c r="F510" s="113" t="s">
        <v>1902</v>
      </c>
      <c r="G510" s="113" t="s">
        <v>1903</v>
      </c>
      <c r="H510" s="95"/>
      <c r="I510" s="9"/>
      <c r="J510" s="9" t="s">
        <v>745</v>
      </c>
      <c r="K510" s="14"/>
      <c r="L510" s="14"/>
      <c r="M510" s="12"/>
      <c r="N510" s="9"/>
      <c r="O510" s="9"/>
      <c r="P510" s="9"/>
      <c r="Q510" s="38">
        <f t="shared" si="67"/>
        <v>0</v>
      </c>
      <c r="R510" s="12"/>
      <c r="S510" s="42"/>
      <c r="T510" s="15"/>
      <c r="U510" s="44"/>
      <c r="V510" s="15"/>
      <c r="W510" s="44"/>
      <c r="X510" s="15">
        <f t="shared" si="68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69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70"/>
        <v>0</v>
      </c>
      <c r="BC510" s="15"/>
      <c r="BD510" s="44"/>
      <c r="BE510" s="15"/>
      <c r="BF510" s="44"/>
      <c r="BG510" s="15">
        <f t="shared" si="71"/>
        <v>0</v>
      </c>
    </row>
    <row r="511" spans="1:59" s="8" customFormat="1" ht="22.5" customHeight="1">
      <c r="A511" s="9"/>
      <c r="B511" s="16" t="s">
        <v>161</v>
      </c>
      <c r="C511" s="89" t="s">
        <v>52</v>
      </c>
      <c r="D511" s="111" t="s">
        <v>753</v>
      </c>
      <c r="E511" s="112"/>
      <c r="F511" s="113" t="s">
        <v>1904</v>
      </c>
      <c r="G511" s="113" t="s">
        <v>1905</v>
      </c>
      <c r="H511" s="95"/>
      <c r="I511" s="9"/>
      <c r="J511" s="9" t="s">
        <v>467</v>
      </c>
      <c r="K511" s="14"/>
      <c r="L511" s="14"/>
      <c r="M511" s="12"/>
      <c r="N511" s="9"/>
      <c r="O511" s="9"/>
      <c r="P511" s="9"/>
      <c r="Q511" s="38">
        <f t="shared" si="67"/>
        <v>0</v>
      </c>
      <c r="R511" s="12"/>
      <c r="S511" s="42"/>
      <c r="T511" s="15"/>
      <c r="U511" s="44"/>
      <c r="V511" s="15"/>
      <c r="W511" s="44"/>
      <c r="X511" s="15">
        <f t="shared" si="68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69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70"/>
        <v>0</v>
      </c>
      <c r="BC511" s="15"/>
      <c r="BD511" s="44"/>
      <c r="BE511" s="15"/>
      <c r="BF511" s="44"/>
      <c r="BG511" s="15">
        <f t="shared" si="71"/>
        <v>0</v>
      </c>
    </row>
    <row r="512" spans="1:59" s="8" customFormat="1" ht="22.5" customHeight="1">
      <c r="A512" s="9"/>
      <c r="B512" s="16" t="s">
        <v>161</v>
      </c>
      <c r="C512" s="89" t="s">
        <v>754</v>
      </c>
      <c r="D512" s="111" t="s">
        <v>1906</v>
      </c>
      <c r="E512" s="112"/>
      <c r="F512" s="113" t="s">
        <v>1907</v>
      </c>
      <c r="G512" s="113" t="s">
        <v>1908</v>
      </c>
      <c r="H512" s="95"/>
      <c r="I512" s="9"/>
      <c r="J512" s="9" t="s">
        <v>467</v>
      </c>
      <c r="K512" s="14"/>
      <c r="L512" s="14"/>
      <c r="M512" s="12">
        <v>100</v>
      </c>
      <c r="N512" s="9"/>
      <c r="O512" s="9"/>
      <c r="P512" s="9"/>
      <c r="Q512" s="38">
        <f t="shared" si="67"/>
        <v>100</v>
      </c>
      <c r="R512" s="12"/>
      <c r="S512" s="42"/>
      <c r="T512" s="15"/>
      <c r="U512" s="44"/>
      <c r="V512" s="15"/>
      <c r="W512" s="44"/>
      <c r="X512" s="15">
        <f t="shared" si="68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69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70"/>
        <v>0</v>
      </c>
      <c r="BC512" s="15"/>
      <c r="BD512" s="44"/>
      <c r="BE512" s="15"/>
      <c r="BF512" s="44"/>
      <c r="BG512" s="15">
        <f t="shared" si="71"/>
        <v>0</v>
      </c>
    </row>
    <row r="513" spans="1:59" s="8" customFormat="1" ht="22.5" customHeight="1">
      <c r="A513" s="9"/>
      <c r="B513" s="16" t="s">
        <v>161</v>
      </c>
      <c r="C513" s="89" t="s">
        <v>140</v>
      </c>
      <c r="D513" s="111" t="s">
        <v>1909</v>
      </c>
      <c r="E513" s="112"/>
      <c r="F513" s="113" t="s">
        <v>1910</v>
      </c>
      <c r="G513" s="113" t="s">
        <v>1911</v>
      </c>
      <c r="H513" s="95"/>
      <c r="I513" s="9"/>
      <c r="J513" s="9" t="s">
        <v>467</v>
      </c>
      <c r="K513" s="14"/>
      <c r="L513" s="14"/>
      <c r="M513" s="12">
        <v>67</v>
      </c>
      <c r="N513" s="9"/>
      <c r="O513" s="9"/>
      <c r="P513" s="9"/>
      <c r="Q513" s="38">
        <f t="shared" si="67"/>
        <v>67</v>
      </c>
      <c r="R513" s="12"/>
      <c r="S513" s="42"/>
      <c r="T513" s="15"/>
      <c r="U513" s="44"/>
      <c r="V513" s="15"/>
      <c r="W513" s="44"/>
      <c r="X513" s="15">
        <f t="shared" ref="X513:X544" si="72">R513+T513+V513</f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ref="AG513:AG544" si="73">(Y513+AA513+AC513+AE513)</f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70"/>
        <v>0</v>
      </c>
      <c r="BC513" s="15"/>
      <c r="BD513" s="44"/>
      <c r="BE513" s="15"/>
      <c r="BF513" s="44"/>
      <c r="BG513" s="15">
        <f t="shared" si="71"/>
        <v>0</v>
      </c>
    </row>
    <row r="514" spans="1:59" s="8" customFormat="1" ht="22.5" customHeight="1">
      <c r="A514" s="9"/>
      <c r="B514" s="16" t="s">
        <v>755</v>
      </c>
      <c r="C514" s="89" t="s">
        <v>754</v>
      </c>
      <c r="D514" s="111" t="s">
        <v>756</v>
      </c>
      <c r="E514" s="112"/>
      <c r="F514" s="113" t="s">
        <v>1912</v>
      </c>
      <c r="G514" s="113" t="s">
        <v>1913</v>
      </c>
      <c r="H514" s="95"/>
      <c r="I514" s="9"/>
      <c r="J514" s="9" t="s">
        <v>757</v>
      </c>
      <c r="K514" s="14"/>
      <c r="L514" s="14"/>
      <c r="M514" s="12"/>
      <c r="N514" s="9"/>
      <c r="O514" s="9"/>
      <c r="P514" s="9"/>
      <c r="Q514" s="38">
        <f t="shared" si="67"/>
        <v>0</v>
      </c>
      <c r="R514" s="12"/>
      <c r="S514" s="42"/>
      <c r="T514" s="15"/>
      <c r="U514" s="44"/>
      <c r="V514" s="15"/>
      <c r="W514" s="44"/>
      <c r="X514" s="15">
        <f t="shared" si="7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7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70"/>
        <v>0</v>
      </c>
      <c r="BC514" s="15"/>
      <c r="BD514" s="44"/>
      <c r="BE514" s="15"/>
      <c r="BF514" s="44"/>
      <c r="BG514" s="15">
        <f t="shared" si="71"/>
        <v>0</v>
      </c>
    </row>
    <row r="515" spans="1:59" s="8" customFormat="1" ht="22.5" customHeight="1">
      <c r="A515" s="9"/>
      <c r="B515" s="16" t="s">
        <v>755</v>
      </c>
      <c r="C515" s="89" t="s">
        <v>132</v>
      </c>
      <c r="D515" s="111" t="s">
        <v>758</v>
      </c>
      <c r="E515" s="112"/>
      <c r="F515" s="113" t="s">
        <v>1914</v>
      </c>
      <c r="G515" s="113" t="s">
        <v>1915</v>
      </c>
      <c r="H515" s="95"/>
      <c r="I515" s="9"/>
      <c r="J515" s="9" t="s">
        <v>757</v>
      </c>
      <c r="K515" s="14"/>
      <c r="L515" s="14"/>
      <c r="M515" s="12"/>
      <c r="N515" s="9"/>
      <c r="O515" s="9"/>
      <c r="P515" s="9"/>
      <c r="Q515" s="38">
        <f t="shared" si="67"/>
        <v>0</v>
      </c>
      <c r="R515" s="12"/>
      <c r="S515" s="42"/>
      <c r="T515" s="15"/>
      <c r="U515" s="44"/>
      <c r="V515" s="15"/>
      <c r="W515" s="44"/>
      <c r="X515" s="15">
        <f t="shared" si="7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7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70"/>
        <v>0</v>
      </c>
      <c r="BC515" s="15"/>
      <c r="BD515" s="44"/>
      <c r="BE515" s="15"/>
      <c r="BF515" s="44"/>
      <c r="BG515" s="15">
        <f t="shared" si="71"/>
        <v>0</v>
      </c>
    </row>
    <row r="516" spans="1:59" s="8" customFormat="1" ht="22.5" customHeight="1">
      <c r="A516" s="9"/>
      <c r="B516" s="16" t="s">
        <v>755</v>
      </c>
      <c r="C516" s="89" t="s">
        <v>132</v>
      </c>
      <c r="D516" s="111" t="s">
        <v>759</v>
      </c>
      <c r="E516" s="112"/>
      <c r="F516" s="113" t="s">
        <v>1916</v>
      </c>
      <c r="G516" s="113" t="s">
        <v>1917</v>
      </c>
      <c r="H516" s="95"/>
      <c r="I516" s="9"/>
      <c r="J516" s="9" t="s">
        <v>757</v>
      </c>
      <c r="K516" s="14"/>
      <c r="L516" s="14"/>
      <c r="M516" s="12"/>
      <c r="N516" s="9"/>
      <c r="O516" s="9"/>
      <c r="P516" s="9"/>
      <c r="Q516" s="38">
        <f t="shared" si="67"/>
        <v>0</v>
      </c>
      <c r="R516" s="12"/>
      <c r="S516" s="42"/>
      <c r="T516" s="15"/>
      <c r="U516" s="44"/>
      <c r="V516" s="15"/>
      <c r="W516" s="44"/>
      <c r="X516" s="15">
        <f t="shared" si="72"/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si="73"/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70"/>
        <v>0</v>
      </c>
      <c r="BC516" s="15"/>
      <c r="BD516" s="44"/>
      <c r="BE516" s="15"/>
      <c r="BF516" s="44"/>
      <c r="BG516" s="15">
        <f t="shared" si="71"/>
        <v>0</v>
      </c>
    </row>
    <row r="517" spans="1:59" s="8" customFormat="1" ht="22.5" customHeight="1">
      <c r="A517" s="9"/>
      <c r="B517" s="16" t="s">
        <v>755</v>
      </c>
      <c r="C517" s="89" t="s">
        <v>140</v>
      </c>
      <c r="D517" s="111" t="s">
        <v>758</v>
      </c>
      <c r="E517" s="112"/>
      <c r="F517" s="113" t="s">
        <v>1918</v>
      </c>
      <c r="G517" s="113" t="s">
        <v>1919</v>
      </c>
      <c r="H517" s="95"/>
      <c r="I517" s="9"/>
      <c r="J517" s="9" t="s">
        <v>757</v>
      </c>
      <c r="K517" s="14"/>
      <c r="L517" s="14"/>
      <c r="M517" s="12"/>
      <c r="N517" s="9"/>
      <c r="O517" s="9"/>
      <c r="P517" s="9"/>
      <c r="Q517" s="38">
        <f t="shared" si="67"/>
        <v>0</v>
      </c>
      <c r="R517" s="12"/>
      <c r="S517" s="42"/>
      <c r="T517" s="15"/>
      <c r="U517" s="44"/>
      <c r="V517" s="15"/>
      <c r="W517" s="44"/>
      <c r="X517" s="15">
        <f t="shared" si="72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73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70"/>
        <v>0</v>
      </c>
      <c r="BC517" s="15"/>
      <c r="BD517" s="44"/>
      <c r="BE517" s="15"/>
      <c r="BF517" s="44"/>
      <c r="BG517" s="15">
        <f t="shared" si="71"/>
        <v>0</v>
      </c>
    </row>
    <row r="518" spans="1:59" s="8" customFormat="1" ht="22.5" customHeight="1">
      <c r="A518" s="9"/>
      <c r="B518" s="16" t="s">
        <v>755</v>
      </c>
      <c r="C518" s="89" t="s">
        <v>52</v>
      </c>
      <c r="D518" s="111" t="s">
        <v>760</v>
      </c>
      <c r="E518" s="112"/>
      <c r="F518" s="113" t="s">
        <v>1920</v>
      </c>
      <c r="G518" s="113" t="s">
        <v>1921</v>
      </c>
      <c r="H518" s="95"/>
      <c r="I518" s="9"/>
      <c r="J518" s="9" t="s">
        <v>757</v>
      </c>
      <c r="K518" s="14"/>
      <c r="L518" s="14"/>
      <c r="M518" s="12">
        <v>987</v>
      </c>
      <c r="N518" s="9"/>
      <c r="O518" s="9"/>
      <c r="P518" s="9"/>
      <c r="Q518" s="38">
        <f t="shared" si="67"/>
        <v>987</v>
      </c>
      <c r="R518" s="12"/>
      <c r="S518" s="42"/>
      <c r="T518" s="15"/>
      <c r="U518" s="44"/>
      <c r="V518" s="15"/>
      <c r="W518" s="44"/>
      <c r="X518" s="15">
        <f t="shared" si="72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73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70"/>
        <v>0</v>
      </c>
      <c r="BC518" s="15"/>
      <c r="BD518" s="44"/>
      <c r="BE518" s="15"/>
      <c r="BF518" s="44"/>
      <c r="BG518" s="15">
        <f t="shared" si="71"/>
        <v>0</v>
      </c>
    </row>
    <row r="519" spans="1:59" s="8" customFormat="1" ht="22.5" customHeight="1">
      <c r="A519" s="9"/>
      <c r="B519" s="16" t="s">
        <v>755</v>
      </c>
      <c r="C519" s="89" t="s">
        <v>52</v>
      </c>
      <c r="D519" s="111" t="s">
        <v>761</v>
      </c>
      <c r="E519" s="112"/>
      <c r="F519" s="113" t="s">
        <v>1922</v>
      </c>
      <c r="G519" s="113" t="s">
        <v>1923</v>
      </c>
      <c r="H519" s="95"/>
      <c r="I519" s="9"/>
      <c r="J519" s="9" t="s">
        <v>757</v>
      </c>
      <c r="K519" s="14"/>
      <c r="L519" s="14"/>
      <c r="M519" s="12">
        <v>629</v>
      </c>
      <c r="N519" s="9"/>
      <c r="O519" s="9"/>
      <c r="P519" s="9"/>
      <c r="Q519" s="38">
        <f t="shared" si="67"/>
        <v>629</v>
      </c>
      <c r="R519" s="12"/>
      <c r="S519" s="42"/>
      <c r="T519" s="15"/>
      <c r="U519" s="44"/>
      <c r="V519" s="15"/>
      <c r="W519" s="44"/>
      <c r="X519" s="15">
        <f t="shared" si="72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73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70"/>
        <v>0</v>
      </c>
      <c r="BC519" s="15"/>
      <c r="BD519" s="44"/>
      <c r="BE519" s="15"/>
      <c r="BF519" s="44"/>
      <c r="BG519" s="15">
        <f t="shared" si="71"/>
        <v>0</v>
      </c>
    </row>
    <row r="520" spans="1:59" s="8" customFormat="1" ht="22.5" customHeight="1">
      <c r="A520" s="9"/>
      <c r="B520" s="16" t="s">
        <v>755</v>
      </c>
      <c r="C520" s="89" t="s">
        <v>52</v>
      </c>
      <c r="D520" s="111" t="s">
        <v>762</v>
      </c>
      <c r="E520" s="112"/>
      <c r="F520" s="113" t="s">
        <v>1924</v>
      </c>
      <c r="G520" s="113" t="s">
        <v>1925</v>
      </c>
      <c r="H520" s="95"/>
      <c r="I520" s="9"/>
      <c r="J520" s="9" t="s">
        <v>757</v>
      </c>
      <c r="K520" s="14"/>
      <c r="L520" s="14"/>
      <c r="M520" s="12">
        <v>893</v>
      </c>
      <c r="N520" s="9"/>
      <c r="O520" s="9"/>
      <c r="P520" s="9"/>
      <c r="Q520" s="38">
        <f t="shared" si="67"/>
        <v>893</v>
      </c>
      <c r="R520" s="12"/>
      <c r="S520" s="42"/>
      <c r="T520" s="15"/>
      <c r="U520" s="44"/>
      <c r="V520" s="15"/>
      <c r="W520" s="44"/>
      <c r="X520" s="15">
        <f t="shared" si="72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73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70"/>
        <v>0</v>
      </c>
      <c r="BC520" s="15"/>
      <c r="BD520" s="44"/>
      <c r="BE520" s="15"/>
      <c r="BF520" s="44"/>
      <c r="BG520" s="15">
        <f t="shared" si="71"/>
        <v>0</v>
      </c>
    </row>
    <row r="521" spans="1:59" s="8" customFormat="1" ht="22.5" customHeight="1">
      <c r="A521" s="9"/>
      <c r="B521" s="16" t="s">
        <v>755</v>
      </c>
      <c r="C521" s="89" t="s">
        <v>52</v>
      </c>
      <c r="D521" s="111" t="s">
        <v>763</v>
      </c>
      <c r="E521" s="112" t="s">
        <v>764</v>
      </c>
      <c r="F521" s="113" t="s">
        <v>1926</v>
      </c>
      <c r="G521" s="113" t="s">
        <v>1927</v>
      </c>
      <c r="H521" s="95"/>
      <c r="I521" s="9"/>
      <c r="J521" s="9" t="s">
        <v>757</v>
      </c>
      <c r="K521" s="14"/>
      <c r="L521" s="14"/>
      <c r="M521" s="12"/>
      <c r="N521" s="9"/>
      <c r="O521" s="9"/>
      <c r="P521" s="9"/>
      <c r="Q521" s="38">
        <f t="shared" si="67"/>
        <v>0</v>
      </c>
      <c r="R521" s="12"/>
      <c r="S521" s="42"/>
      <c r="T521" s="15"/>
      <c r="U521" s="44"/>
      <c r="V521" s="15"/>
      <c r="W521" s="44"/>
      <c r="X521" s="15">
        <f t="shared" si="72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73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70"/>
        <v>0</v>
      </c>
      <c r="BC521" s="15"/>
      <c r="BD521" s="44"/>
      <c r="BE521" s="15"/>
      <c r="BF521" s="44"/>
      <c r="BG521" s="15">
        <f t="shared" si="71"/>
        <v>0</v>
      </c>
    </row>
    <row r="522" spans="1:59" s="8" customFormat="1" ht="22.5" customHeight="1">
      <c r="A522" s="9"/>
      <c r="B522" s="16" t="s">
        <v>755</v>
      </c>
      <c r="C522" s="89" t="s">
        <v>52</v>
      </c>
      <c r="D522" s="111" t="s">
        <v>763</v>
      </c>
      <c r="E522" s="112" t="s">
        <v>765</v>
      </c>
      <c r="F522" s="113" t="s">
        <v>1928</v>
      </c>
      <c r="G522" s="113" t="s">
        <v>1929</v>
      </c>
      <c r="H522" s="95"/>
      <c r="I522" s="9"/>
      <c r="J522" s="9" t="s">
        <v>757</v>
      </c>
      <c r="K522" s="14"/>
      <c r="L522" s="14"/>
      <c r="M522" s="12"/>
      <c r="N522" s="9"/>
      <c r="O522" s="9"/>
      <c r="P522" s="9"/>
      <c r="Q522" s="38">
        <f t="shared" si="67"/>
        <v>0</v>
      </c>
      <c r="R522" s="12"/>
      <c r="S522" s="42"/>
      <c r="T522" s="15"/>
      <c r="U522" s="44"/>
      <c r="V522" s="15"/>
      <c r="W522" s="44"/>
      <c r="X522" s="15">
        <f t="shared" si="72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73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70"/>
        <v>0</v>
      </c>
      <c r="BC522" s="15"/>
      <c r="BD522" s="44"/>
      <c r="BE522" s="15"/>
      <c r="BF522" s="44"/>
      <c r="BG522" s="15">
        <f t="shared" si="71"/>
        <v>0</v>
      </c>
    </row>
    <row r="523" spans="1:59" s="8" customFormat="1" ht="22.5" customHeight="1">
      <c r="A523" s="9"/>
      <c r="B523" s="16" t="s">
        <v>755</v>
      </c>
      <c r="C523" s="89" t="s">
        <v>151</v>
      </c>
      <c r="D523" s="75" t="s">
        <v>766</v>
      </c>
      <c r="E523" s="13"/>
      <c r="F523" s="106" t="s">
        <v>1144</v>
      </c>
      <c r="G523" s="106"/>
      <c r="H523" s="95"/>
      <c r="I523" s="9"/>
      <c r="J523" s="9" t="s">
        <v>757</v>
      </c>
      <c r="K523" s="14"/>
      <c r="L523" s="14"/>
      <c r="M523" s="12"/>
      <c r="N523" s="9"/>
      <c r="O523" s="9"/>
      <c r="P523" s="9"/>
      <c r="Q523" s="38">
        <f t="shared" si="67"/>
        <v>0</v>
      </c>
      <c r="R523" s="12"/>
      <c r="S523" s="42"/>
      <c r="T523" s="15"/>
      <c r="U523" s="44"/>
      <c r="V523" s="15"/>
      <c r="W523" s="44"/>
      <c r="X523" s="15">
        <f t="shared" si="72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73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ref="BB523:BB550" si="74">AH523+AJ523+AL523+AN523+AP523+AR523+AT523+AV523+AX523+AZ523</f>
        <v>0</v>
      </c>
      <c r="BC523" s="15"/>
      <c r="BD523" s="44"/>
      <c r="BE523" s="15"/>
      <c r="BF523" s="44"/>
      <c r="BG523" s="15">
        <f t="shared" ref="BG523:BG550" si="75">(BC523+BE523)</f>
        <v>0</v>
      </c>
    </row>
    <row r="524" spans="1:59" s="8" customFormat="1" ht="22.5" customHeight="1">
      <c r="A524" s="9"/>
      <c r="B524" s="16" t="s">
        <v>755</v>
      </c>
      <c r="C524" s="89" t="s">
        <v>151</v>
      </c>
      <c r="D524" s="75" t="s">
        <v>763</v>
      </c>
      <c r="E524" s="13" t="s">
        <v>767</v>
      </c>
      <c r="F524" s="106" t="s">
        <v>1144</v>
      </c>
      <c r="G524" s="106"/>
      <c r="H524" s="95"/>
      <c r="I524" s="9"/>
      <c r="J524" s="9" t="s">
        <v>757</v>
      </c>
      <c r="K524" s="14"/>
      <c r="L524" s="14"/>
      <c r="M524" s="12"/>
      <c r="N524" s="9"/>
      <c r="O524" s="9"/>
      <c r="P524" s="9"/>
      <c r="Q524" s="38">
        <f t="shared" si="67"/>
        <v>0</v>
      </c>
      <c r="R524" s="12"/>
      <c r="S524" s="42"/>
      <c r="T524" s="15"/>
      <c r="U524" s="44"/>
      <c r="V524" s="15"/>
      <c r="W524" s="44"/>
      <c r="X524" s="15">
        <f t="shared" si="72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73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74"/>
        <v>0</v>
      </c>
      <c r="BC524" s="15"/>
      <c r="BD524" s="44"/>
      <c r="BE524" s="15"/>
      <c r="BF524" s="44"/>
      <c r="BG524" s="15">
        <f t="shared" si="75"/>
        <v>0</v>
      </c>
    </row>
    <row r="525" spans="1:59" s="8" customFormat="1" ht="22.5" customHeight="1">
      <c r="A525" s="9"/>
      <c r="B525" s="16" t="s">
        <v>755</v>
      </c>
      <c r="C525" s="89" t="s">
        <v>151</v>
      </c>
      <c r="D525" s="75" t="s">
        <v>763</v>
      </c>
      <c r="E525" s="13" t="s">
        <v>768</v>
      </c>
      <c r="F525" s="106" t="s">
        <v>1144</v>
      </c>
      <c r="G525" s="106"/>
      <c r="H525" s="95"/>
      <c r="I525" s="9"/>
      <c r="J525" s="9" t="s">
        <v>757</v>
      </c>
      <c r="K525" s="14"/>
      <c r="L525" s="14"/>
      <c r="M525" s="12"/>
      <c r="N525" s="9"/>
      <c r="O525" s="9"/>
      <c r="P525" s="9"/>
      <c r="Q525" s="38">
        <f t="shared" si="67"/>
        <v>0</v>
      </c>
      <c r="R525" s="12"/>
      <c r="S525" s="42"/>
      <c r="T525" s="15"/>
      <c r="U525" s="44"/>
      <c r="V525" s="15"/>
      <c r="W525" s="44"/>
      <c r="X525" s="15">
        <f t="shared" si="72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73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74"/>
        <v>0</v>
      </c>
      <c r="BC525" s="15"/>
      <c r="BD525" s="44"/>
      <c r="BE525" s="15"/>
      <c r="BF525" s="44"/>
      <c r="BG525" s="15">
        <f t="shared" si="75"/>
        <v>0</v>
      </c>
    </row>
    <row r="526" spans="1:59" s="8" customFormat="1" ht="22.5" customHeight="1">
      <c r="A526" s="9"/>
      <c r="B526" s="16" t="s">
        <v>769</v>
      </c>
      <c r="C526" s="89" t="s">
        <v>494</v>
      </c>
      <c r="D526" s="111" t="s">
        <v>770</v>
      </c>
      <c r="E526" s="112"/>
      <c r="F526" s="113" t="s">
        <v>1930</v>
      </c>
      <c r="G526" s="113" t="s">
        <v>1931</v>
      </c>
      <c r="H526" s="95"/>
      <c r="I526" s="9"/>
      <c r="J526" s="23" t="s">
        <v>771</v>
      </c>
      <c r="K526" s="14"/>
      <c r="L526" s="14"/>
      <c r="M526" s="12"/>
      <c r="N526" s="9"/>
      <c r="O526" s="9"/>
      <c r="P526" s="9"/>
      <c r="Q526" s="38">
        <f t="shared" si="67"/>
        <v>0</v>
      </c>
      <c r="R526" s="12"/>
      <c r="S526" s="42"/>
      <c r="T526" s="15"/>
      <c r="U526" s="44"/>
      <c r="V526" s="15"/>
      <c r="W526" s="44"/>
      <c r="X526" s="15">
        <f t="shared" si="72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73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74"/>
        <v>0</v>
      </c>
      <c r="BC526" s="15"/>
      <c r="BD526" s="44"/>
      <c r="BE526" s="15"/>
      <c r="BF526" s="44"/>
      <c r="BG526" s="15">
        <f t="shared" si="75"/>
        <v>0</v>
      </c>
    </row>
    <row r="527" spans="1:59" s="8" customFormat="1" ht="22.5" customHeight="1">
      <c r="A527" s="9"/>
      <c r="B527" s="16" t="s">
        <v>772</v>
      </c>
      <c r="C527" s="89" t="s">
        <v>151</v>
      </c>
      <c r="D527" s="111" t="s">
        <v>772</v>
      </c>
      <c r="E527" s="112"/>
      <c r="F527" s="113" t="s">
        <v>1932</v>
      </c>
      <c r="G527" s="113" t="s">
        <v>1933</v>
      </c>
      <c r="H527" s="95"/>
      <c r="I527" s="9"/>
      <c r="J527" s="9" t="s">
        <v>773</v>
      </c>
      <c r="K527" s="14"/>
      <c r="L527" s="14"/>
      <c r="M527" s="12"/>
      <c r="N527" s="9"/>
      <c r="O527" s="9"/>
      <c r="P527" s="9"/>
      <c r="Q527" s="38">
        <f t="shared" si="67"/>
        <v>0</v>
      </c>
      <c r="R527" s="12"/>
      <c r="S527" s="42"/>
      <c r="T527" s="15"/>
      <c r="U527" s="44"/>
      <c r="V527" s="15"/>
      <c r="W527" s="44"/>
      <c r="X527" s="15">
        <f t="shared" si="72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73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74"/>
        <v>0</v>
      </c>
      <c r="BC527" s="15"/>
      <c r="BD527" s="44"/>
      <c r="BE527" s="15"/>
      <c r="BF527" s="44"/>
      <c r="BG527" s="15">
        <f t="shared" si="75"/>
        <v>0</v>
      </c>
    </row>
    <row r="528" spans="1:59" s="8" customFormat="1" ht="22.5" customHeight="1">
      <c r="A528" s="9"/>
      <c r="B528" s="16" t="s">
        <v>774</v>
      </c>
      <c r="C528" s="89" t="s">
        <v>151</v>
      </c>
      <c r="D528" s="111" t="s">
        <v>775</v>
      </c>
      <c r="E528" s="112"/>
      <c r="F528" s="113" t="s">
        <v>1934</v>
      </c>
      <c r="G528" s="113" t="s">
        <v>1935</v>
      </c>
      <c r="H528" s="95"/>
      <c r="I528" s="9"/>
      <c r="J528" s="9"/>
      <c r="K528" s="14"/>
      <c r="L528" s="14"/>
      <c r="M528" s="12"/>
      <c r="N528" s="9"/>
      <c r="O528" s="9"/>
      <c r="P528" s="9"/>
      <c r="Q528" s="38">
        <f t="shared" si="67"/>
        <v>0</v>
      </c>
      <c r="R528" s="12"/>
      <c r="S528" s="42"/>
      <c r="T528" s="15"/>
      <c r="U528" s="44"/>
      <c r="V528" s="15"/>
      <c r="W528" s="44"/>
      <c r="X528" s="15">
        <f t="shared" si="72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73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74"/>
        <v>0</v>
      </c>
      <c r="BC528" s="15"/>
      <c r="BD528" s="44"/>
      <c r="BE528" s="15"/>
      <c r="BF528" s="44"/>
      <c r="BG528" s="15">
        <f t="shared" si="75"/>
        <v>0</v>
      </c>
    </row>
    <row r="529" spans="1:59" s="8" customFormat="1" ht="22.5" customHeight="1">
      <c r="A529" s="9"/>
      <c r="B529" s="16" t="s">
        <v>776</v>
      </c>
      <c r="C529" s="89" t="s">
        <v>151</v>
      </c>
      <c r="D529" s="111" t="s">
        <v>777</v>
      </c>
      <c r="E529" s="112"/>
      <c r="F529" s="113" t="s">
        <v>1936</v>
      </c>
      <c r="G529" s="113" t="s">
        <v>1937</v>
      </c>
      <c r="H529" s="95"/>
      <c r="I529" s="9"/>
      <c r="J529" s="9" t="s">
        <v>314</v>
      </c>
      <c r="K529" s="14"/>
      <c r="L529" s="14"/>
      <c r="M529" s="12"/>
      <c r="N529" s="9"/>
      <c r="O529" s="9"/>
      <c r="P529" s="9"/>
      <c r="Q529" s="38">
        <f t="shared" si="67"/>
        <v>0</v>
      </c>
      <c r="R529" s="12"/>
      <c r="S529" s="42"/>
      <c r="T529" s="15"/>
      <c r="U529" s="44"/>
      <c r="V529" s="15"/>
      <c r="W529" s="44"/>
      <c r="X529" s="15">
        <f t="shared" si="72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73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74"/>
        <v>0</v>
      </c>
      <c r="BC529" s="15"/>
      <c r="BD529" s="44"/>
      <c r="BE529" s="15"/>
      <c r="BF529" s="44"/>
      <c r="BG529" s="15">
        <f t="shared" si="75"/>
        <v>0</v>
      </c>
    </row>
    <row r="530" spans="1:59" s="8" customFormat="1" ht="22.5" customHeight="1">
      <c r="A530" s="9"/>
      <c r="B530" s="16" t="s">
        <v>101</v>
      </c>
      <c r="C530" s="89" t="s">
        <v>151</v>
      </c>
      <c r="D530" s="111" t="s">
        <v>778</v>
      </c>
      <c r="E530" s="112"/>
      <c r="F530" s="113" t="s">
        <v>1938</v>
      </c>
      <c r="G530" s="113" t="s">
        <v>1939</v>
      </c>
      <c r="H530" s="95"/>
      <c r="I530" s="9"/>
      <c r="J530" s="9" t="s">
        <v>779</v>
      </c>
      <c r="K530" s="14"/>
      <c r="L530" s="14"/>
      <c r="M530" s="12"/>
      <c r="N530" s="9"/>
      <c r="O530" s="9"/>
      <c r="P530" s="9"/>
      <c r="Q530" s="38">
        <f t="shared" si="67"/>
        <v>0</v>
      </c>
      <c r="R530" s="12"/>
      <c r="S530" s="42"/>
      <c r="T530" s="15"/>
      <c r="U530" s="44"/>
      <c r="V530" s="15"/>
      <c r="W530" s="44"/>
      <c r="X530" s="15">
        <f t="shared" si="72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73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74"/>
        <v>0</v>
      </c>
      <c r="BC530" s="15"/>
      <c r="BD530" s="44"/>
      <c r="BE530" s="15"/>
      <c r="BF530" s="44"/>
      <c r="BG530" s="15">
        <f t="shared" si="75"/>
        <v>0</v>
      </c>
    </row>
    <row r="531" spans="1:59" s="8" customFormat="1" ht="22.5" customHeight="1">
      <c r="A531" s="9"/>
      <c r="B531" s="16" t="s">
        <v>101</v>
      </c>
      <c r="C531" s="89" t="s">
        <v>151</v>
      </c>
      <c r="D531" s="111" t="s">
        <v>780</v>
      </c>
      <c r="E531" s="112"/>
      <c r="F531" s="113" t="s">
        <v>1940</v>
      </c>
      <c r="G531" s="113" t="s">
        <v>1941</v>
      </c>
      <c r="H531" s="95"/>
      <c r="I531" s="9"/>
      <c r="J531" s="9" t="s">
        <v>779</v>
      </c>
      <c r="K531" s="14"/>
      <c r="L531" s="14"/>
      <c r="M531" s="12"/>
      <c r="N531" s="9"/>
      <c r="O531" s="9"/>
      <c r="P531" s="9"/>
      <c r="Q531" s="38">
        <f t="shared" si="67"/>
        <v>0</v>
      </c>
      <c r="R531" s="12"/>
      <c r="S531" s="42"/>
      <c r="T531" s="15"/>
      <c r="U531" s="44"/>
      <c r="V531" s="15"/>
      <c r="W531" s="44"/>
      <c r="X531" s="15">
        <f t="shared" si="72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73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74"/>
        <v>0</v>
      </c>
      <c r="BC531" s="15"/>
      <c r="BD531" s="44"/>
      <c r="BE531" s="15"/>
      <c r="BF531" s="44"/>
      <c r="BG531" s="15">
        <f t="shared" si="75"/>
        <v>0</v>
      </c>
    </row>
    <row r="532" spans="1:59" s="8" customFormat="1" ht="22.5" customHeight="1">
      <c r="A532" s="9"/>
      <c r="B532" s="16" t="s">
        <v>101</v>
      </c>
      <c r="C532" s="89" t="s">
        <v>151</v>
      </c>
      <c r="D532" s="111" t="s">
        <v>781</v>
      </c>
      <c r="E532" s="112"/>
      <c r="F532" s="113" t="s">
        <v>1942</v>
      </c>
      <c r="G532" s="113" t="s">
        <v>1943</v>
      </c>
      <c r="H532" s="95"/>
      <c r="I532" s="9"/>
      <c r="J532" s="9" t="s">
        <v>779</v>
      </c>
      <c r="K532" s="14"/>
      <c r="L532" s="14"/>
      <c r="M532" s="12"/>
      <c r="N532" s="9"/>
      <c r="O532" s="9"/>
      <c r="P532" s="9"/>
      <c r="Q532" s="38">
        <f t="shared" si="67"/>
        <v>0</v>
      </c>
      <c r="R532" s="12"/>
      <c r="S532" s="42"/>
      <c r="T532" s="15"/>
      <c r="U532" s="44"/>
      <c r="V532" s="15"/>
      <c r="W532" s="44"/>
      <c r="X532" s="15">
        <f t="shared" si="72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73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74"/>
        <v>0</v>
      </c>
      <c r="BC532" s="15"/>
      <c r="BD532" s="44"/>
      <c r="BE532" s="15"/>
      <c r="BF532" s="44"/>
      <c r="BG532" s="15">
        <f t="shared" si="75"/>
        <v>0</v>
      </c>
    </row>
    <row r="533" spans="1:59" s="8" customFormat="1" ht="22.5" customHeight="1">
      <c r="A533" s="9"/>
      <c r="B533" s="16" t="s">
        <v>101</v>
      </c>
      <c r="C533" s="89" t="s">
        <v>151</v>
      </c>
      <c r="D533" s="111" t="s">
        <v>782</v>
      </c>
      <c r="E533" s="112"/>
      <c r="F533" s="113" t="s">
        <v>1944</v>
      </c>
      <c r="G533" s="113" t="s">
        <v>1945</v>
      </c>
      <c r="H533" s="95"/>
      <c r="I533" s="9"/>
      <c r="J533" s="9" t="s">
        <v>783</v>
      </c>
      <c r="K533" s="14"/>
      <c r="L533" s="14"/>
      <c r="M533" s="12"/>
      <c r="N533" s="9"/>
      <c r="O533" s="9"/>
      <c r="P533" s="9"/>
      <c r="Q533" s="38">
        <f t="shared" si="67"/>
        <v>0</v>
      </c>
      <c r="R533" s="12"/>
      <c r="S533" s="42"/>
      <c r="T533" s="15"/>
      <c r="U533" s="44"/>
      <c r="V533" s="15"/>
      <c r="W533" s="44"/>
      <c r="X533" s="15">
        <f t="shared" si="72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73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74"/>
        <v>0</v>
      </c>
      <c r="BC533" s="15"/>
      <c r="BD533" s="44"/>
      <c r="BE533" s="15"/>
      <c r="BF533" s="44"/>
      <c r="BG533" s="15">
        <f t="shared" si="75"/>
        <v>0</v>
      </c>
    </row>
    <row r="534" spans="1:59" s="8" customFormat="1" ht="22.5" customHeight="1">
      <c r="A534" s="9"/>
      <c r="B534" s="16" t="s">
        <v>101</v>
      </c>
      <c r="C534" s="89" t="s">
        <v>151</v>
      </c>
      <c r="D534" s="111" t="s">
        <v>784</v>
      </c>
      <c r="E534" s="112"/>
      <c r="F534" s="113" t="s">
        <v>1946</v>
      </c>
      <c r="G534" s="113" t="s">
        <v>1947</v>
      </c>
      <c r="H534" s="95"/>
      <c r="I534" s="9"/>
      <c r="J534" s="9" t="s">
        <v>783</v>
      </c>
      <c r="K534" s="14"/>
      <c r="L534" s="14"/>
      <c r="M534" s="12"/>
      <c r="N534" s="9"/>
      <c r="O534" s="9"/>
      <c r="P534" s="9"/>
      <c r="Q534" s="38">
        <f t="shared" si="67"/>
        <v>0</v>
      </c>
      <c r="R534" s="12"/>
      <c r="S534" s="42"/>
      <c r="T534" s="15"/>
      <c r="U534" s="44"/>
      <c r="V534" s="15"/>
      <c r="W534" s="44"/>
      <c r="X534" s="15">
        <f t="shared" si="72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73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74"/>
        <v>0</v>
      </c>
      <c r="BC534" s="15"/>
      <c r="BD534" s="44"/>
      <c r="BE534" s="15"/>
      <c r="BF534" s="44"/>
      <c r="BG534" s="15">
        <f t="shared" si="75"/>
        <v>0</v>
      </c>
    </row>
    <row r="535" spans="1:59" s="8" customFormat="1" ht="22.5" customHeight="1">
      <c r="A535" s="9"/>
      <c r="B535" s="16" t="s">
        <v>101</v>
      </c>
      <c r="C535" s="89" t="s">
        <v>151</v>
      </c>
      <c r="D535" s="111" t="s">
        <v>785</v>
      </c>
      <c r="E535" s="112"/>
      <c r="F535" s="113" t="s">
        <v>1948</v>
      </c>
      <c r="G535" s="113" t="s">
        <v>1949</v>
      </c>
      <c r="H535" s="95"/>
      <c r="I535" s="9"/>
      <c r="J535" s="9" t="s">
        <v>783</v>
      </c>
      <c r="K535" s="14"/>
      <c r="L535" s="14"/>
      <c r="M535" s="12"/>
      <c r="N535" s="9"/>
      <c r="O535" s="9"/>
      <c r="P535" s="9"/>
      <c r="Q535" s="38">
        <f t="shared" si="67"/>
        <v>0</v>
      </c>
      <c r="R535" s="12"/>
      <c r="S535" s="42"/>
      <c r="T535" s="15"/>
      <c r="U535" s="44"/>
      <c r="V535" s="15"/>
      <c r="W535" s="44"/>
      <c r="X535" s="15">
        <f t="shared" si="72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73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74"/>
        <v>0</v>
      </c>
      <c r="BC535" s="15"/>
      <c r="BD535" s="44"/>
      <c r="BE535" s="15"/>
      <c r="BF535" s="44"/>
      <c r="BG535" s="15">
        <f t="shared" si="75"/>
        <v>0</v>
      </c>
    </row>
    <row r="536" spans="1:59" s="8" customFormat="1" ht="22.5" customHeight="1">
      <c r="A536" s="9"/>
      <c r="B536" s="16" t="s">
        <v>101</v>
      </c>
      <c r="C536" s="89" t="s">
        <v>151</v>
      </c>
      <c r="D536" s="111" t="s">
        <v>786</v>
      </c>
      <c r="E536" s="112"/>
      <c r="F536" s="113" t="s">
        <v>786</v>
      </c>
      <c r="G536" s="113" t="s">
        <v>1950</v>
      </c>
      <c r="H536" s="95"/>
      <c r="I536" s="9"/>
      <c r="J536" s="9" t="s">
        <v>783</v>
      </c>
      <c r="K536" s="14"/>
      <c r="L536" s="14"/>
      <c r="M536" s="12"/>
      <c r="N536" s="9"/>
      <c r="O536" s="9"/>
      <c r="P536" s="9"/>
      <c r="Q536" s="38">
        <f t="shared" si="67"/>
        <v>0</v>
      </c>
      <c r="R536" s="12"/>
      <c r="S536" s="42"/>
      <c r="T536" s="15"/>
      <c r="U536" s="44"/>
      <c r="V536" s="15"/>
      <c r="W536" s="44"/>
      <c r="X536" s="15">
        <f t="shared" si="72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73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74"/>
        <v>0</v>
      </c>
      <c r="BC536" s="15"/>
      <c r="BD536" s="44"/>
      <c r="BE536" s="15"/>
      <c r="BF536" s="44"/>
      <c r="BG536" s="15">
        <f t="shared" si="75"/>
        <v>0</v>
      </c>
    </row>
    <row r="537" spans="1:59" s="8" customFormat="1" ht="22.5" customHeight="1">
      <c r="A537" s="9"/>
      <c r="B537" s="16" t="s">
        <v>101</v>
      </c>
      <c r="C537" s="89" t="s">
        <v>151</v>
      </c>
      <c r="D537" s="111" t="s">
        <v>787</v>
      </c>
      <c r="E537" s="112"/>
      <c r="F537" s="113" t="s">
        <v>787</v>
      </c>
      <c r="G537" s="113" t="s">
        <v>1951</v>
      </c>
      <c r="H537" s="95"/>
      <c r="I537" s="9"/>
      <c r="J537" s="9" t="s">
        <v>783</v>
      </c>
      <c r="K537" s="14"/>
      <c r="L537" s="14"/>
      <c r="M537" s="12"/>
      <c r="N537" s="9"/>
      <c r="O537" s="9"/>
      <c r="P537" s="9"/>
      <c r="Q537" s="38">
        <f t="shared" si="67"/>
        <v>0</v>
      </c>
      <c r="R537" s="12"/>
      <c r="S537" s="42"/>
      <c r="T537" s="15"/>
      <c r="U537" s="44"/>
      <c r="V537" s="15"/>
      <c r="W537" s="44"/>
      <c r="X537" s="15">
        <f t="shared" si="72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73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74"/>
        <v>0</v>
      </c>
      <c r="BC537" s="15"/>
      <c r="BD537" s="44"/>
      <c r="BE537" s="15"/>
      <c r="BF537" s="44"/>
      <c r="BG537" s="15">
        <f t="shared" si="75"/>
        <v>0</v>
      </c>
    </row>
    <row r="538" spans="1:59" s="8" customFormat="1" ht="22.5" customHeight="1">
      <c r="A538" s="9"/>
      <c r="B538" s="16" t="s">
        <v>101</v>
      </c>
      <c r="C538" s="89" t="s">
        <v>151</v>
      </c>
      <c r="D538" s="111" t="s">
        <v>788</v>
      </c>
      <c r="E538" s="112"/>
      <c r="F538" s="113" t="s">
        <v>788</v>
      </c>
      <c r="G538" s="113" t="s">
        <v>1952</v>
      </c>
      <c r="H538" s="95"/>
      <c r="I538" s="9"/>
      <c r="J538" s="9" t="s">
        <v>783</v>
      </c>
      <c r="K538" s="14"/>
      <c r="L538" s="14"/>
      <c r="M538" s="12"/>
      <c r="N538" s="9"/>
      <c r="O538" s="9"/>
      <c r="P538" s="9"/>
      <c r="Q538" s="38">
        <f t="shared" si="67"/>
        <v>0</v>
      </c>
      <c r="R538" s="12"/>
      <c r="S538" s="42"/>
      <c r="T538" s="15"/>
      <c r="U538" s="44"/>
      <c r="V538" s="15"/>
      <c r="W538" s="44"/>
      <c r="X538" s="15">
        <f t="shared" si="72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73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74"/>
        <v>0</v>
      </c>
      <c r="BC538" s="15"/>
      <c r="BD538" s="44"/>
      <c r="BE538" s="15"/>
      <c r="BF538" s="44"/>
      <c r="BG538" s="15">
        <f t="shared" si="75"/>
        <v>0</v>
      </c>
    </row>
    <row r="539" spans="1:59" s="8" customFormat="1" ht="22.5" customHeight="1">
      <c r="A539" s="9"/>
      <c r="B539" s="16" t="s">
        <v>101</v>
      </c>
      <c r="C539" s="89" t="s">
        <v>151</v>
      </c>
      <c r="D539" s="111" t="s">
        <v>789</v>
      </c>
      <c r="E539" s="112" t="s">
        <v>790</v>
      </c>
      <c r="F539" s="113" t="s">
        <v>1953</v>
      </c>
      <c r="G539" s="113" t="s">
        <v>1954</v>
      </c>
      <c r="H539" s="95"/>
      <c r="I539" s="9"/>
      <c r="J539" s="9" t="s">
        <v>791</v>
      </c>
      <c r="K539" s="14"/>
      <c r="L539" s="14"/>
      <c r="M539" s="12"/>
      <c r="N539" s="9"/>
      <c r="O539" s="9"/>
      <c r="P539" s="9"/>
      <c r="Q539" s="38">
        <f t="shared" si="67"/>
        <v>0</v>
      </c>
      <c r="R539" s="12"/>
      <c r="S539" s="42"/>
      <c r="T539" s="15"/>
      <c r="U539" s="44"/>
      <c r="V539" s="15"/>
      <c r="W539" s="44"/>
      <c r="X539" s="15">
        <f t="shared" si="72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73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74"/>
        <v>0</v>
      </c>
      <c r="BC539" s="15"/>
      <c r="BD539" s="44"/>
      <c r="BE539" s="15"/>
      <c r="BF539" s="44"/>
      <c r="BG539" s="15">
        <f t="shared" si="75"/>
        <v>0</v>
      </c>
    </row>
    <row r="540" spans="1:59" s="8" customFormat="1" ht="22.5" customHeight="1">
      <c r="A540" s="9"/>
      <c r="B540" s="16" t="s">
        <v>101</v>
      </c>
      <c r="C540" s="89" t="s">
        <v>151</v>
      </c>
      <c r="D540" s="111" t="s">
        <v>792</v>
      </c>
      <c r="E540" s="112" t="s">
        <v>793</v>
      </c>
      <c r="F540" s="113" t="s">
        <v>1955</v>
      </c>
      <c r="G540" s="113" t="s">
        <v>1956</v>
      </c>
      <c r="H540" s="95"/>
      <c r="I540" s="9"/>
      <c r="J540" s="9" t="s">
        <v>791</v>
      </c>
      <c r="K540" s="14"/>
      <c r="L540" s="14"/>
      <c r="M540" s="12"/>
      <c r="N540" s="9"/>
      <c r="O540" s="9"/>
      <c r="P540" s="9"/>
      <c r="Q540" s="38">
        <f t="shared" si="67"/>
        <v>0</v>
      </c>
      <c r="R540" s="12"/>
      <c r="S540" s="42"/>
      <c r="T540" s="15"/>
      <c r="U540" s="44"/>
      <c r="V540" s="15"/>
      <c r="W540" s="44"/>
      <c r="X540" s="15">
        <f t="shared" si="72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73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74"/>
        <v>0</v>
      </c>
      <c r="BC540" s="15"/>
      <c r="BD540" s="44"/>
      <c r="BE540" s="15"/>
      <c r="BF540" s="44"/>
      <c r="BG540" s="15">
        <f t="shared" si="75"/>
        <v>0</v>
      </c>
    </row>
    <row r="541" spans="1:59" s="8" customFormat="1" ht="22.5" customHeight="1">
      <c r="A541" s="9"/>
      <c r="B541" s="16" t="s">
        <v>330</v>
      </c>
      <c r="C541" s="89" t="s">
        <v>151</v>
      </c>
      <c r="D541" s="111" t="s">
        <v>794</v>
      </c>
      <c r="E541" s="112" t="s">
        <v>330</v>
      </c>
      <c r="F541" s="113" t="s">
        <v>794</v>
      </c>
      <c r="G541" s="113" t="s">
        <v>1957</v>
      </c>
      <c r="H541" s="95"/>
      <c r="I541" s="9"/>
      <c r="J541" s="9" t="s">
        <v>332</v>
      </c>
      <c r="K541" s="14"/>
      <c r="L541" s="14"/>
      <c r="M541" s="12"/>
      <c r="N541" s="9"/>
      <c r="O541" s="9"/>
      <c r="P541" s="9"/>
      <c r="Q541" s="38">
        <f t="shared" si="67"/>
        <v>0</v>
      </c>
      <c r="R541" s="12"/>
      <c r="S541" s="42"/>
      <c r="T541" s="15"/>
      <c r="U541" s="44"/>
      <c r="V541" s="15"/>
      <c r="W541" s="44"/>
      <c r="X541" s="15">
        <f t="shared" si="72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73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74"/>
        <v>0</v>
      </c>
      <c r="BC541" s="15"/>
      <c r="BD541" s="44"/>
      <c r="BE541" s="15"/>
      <c r="BF541" s="44"/>
      <c r="BG541" s="15">
        <f t="shared" si="75"/>
        <v>0</v>
      </c>
    </row>
    <row r="542" spans="1:59" s="8" customFormat="1" ht="22.5" customHeight="1">
      <c r="A542" s="9"/>
      <c r="B542" s="16" t="s">
        <v>330</v>
      </c>
      <c r="C542" s="89" t="s">
        <v>52</v>
      </c>
      <c r="D542" s="56" t="s">
        <v>795</v>
      </c>
      <c r="E542" s="13" t="s">
        <v>796</v>
      </c>
      <c r="F542" s="106" t="s">
        <v>1144</v>
      </c>
      <c r="G542" s="106"/>
      <c r="H542" s="95"/>
      <c r="I542" s="9"/>
      <c r="J542" s="9" t="s">
        <v>332</v>
      </c>
      <c r="K542" s="14"/>
      <c r="L542" s="14"/>
      <c r="M542" s="12">
        <v>3840</v>
      </c>
      <c r="N542" s="9"/>
      <c r="O542" s="9"/>
      <c r="P542" s="9"/>
      <c r="Q542" s="38">
        <f t="shared" si="67"/>
        <v>3840</v>
      </c>
      <c r="R542" s="12"/>
      <c r="S542" s="42"/>
      <c r="T542" s="15"/>
      <c r="U542" s="44"/>
      <c r="V542" s="15"/>
      <c r="W542" s="44"/>
      <c r="X542" s="15">
        <f t="shared" si="72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73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74"/>
        <v>0</v>
      </c>
      <c r="BC542" s="15"/>
      <c r="BD542" s="44"/>
      <c r="BE542" s="15"/>
      <c r="BF542" s="44"/>
      <c r="BG542" s="15">
        <f t="shared" si="75"/>
        <v>0</v>
      </c>
    </row>
    <row r="543" spans="1:59" s="8" customFormat="1" ht="22.5" customHeight="1">
      <c r="A543" s="9"/>
      <c r="B543" s="16" t="s">
        <v>797</v>
      </c>
      <c r="C543" s="89" t="s">
        <v>151</v>
      </c>
      <c r="D543" s="56" t="s">
        <v>798</v>
      </c>
      <c r="E543" s="13"/>
      <c r="F543" s="106" t="s">
        <v>1144</v>
      </c>
      <c r="G543" s="106"/>
      <c r="H543" s="95"/>
      <c r="I543" s="9"/>
      <c r="J543" s="9" t="s">
        <v>467</v>
      </c>
      <c r="K543" s="14"/>
      <c r="L543" s="14"/>
      <c r="M543" s="12"/>
      <c r="N543" s="9"/>
      <c r="O543" s="9"/>
      <c r="P543" s="9"/>
      <c r="Q543" s="38">
        <f t="shared" si="67"/>
        <v>0</v>
      </c>
      <c r="R543" s="12"/>
      <c r="S543" s="42"/>
      <c r="T543" s="15"/>
      <c r="U543" s="44"/>
      <c r="V543" s="15"/>
      <c r="W543" s="44"/>
      <c r="X543" s="15">
        <f t="shared" si="72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73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74"/>
        <v>0</v>
      </c>
      <c r="BC543" s="15"/>
      <c r="BD543" s="44"/>
      <c r="BE543" s="15"/>
      <c r="BF543" s="44"/>
      <c r="BG543" s="15">
        <f t="shared" si="75"/>
        <v>0</v>
      </c>
    </row>
    <row r="544" spans="1:59" s="8" customFormat="1" ht="22.5" customHeight="1">
      <c r="A544" s="9"/>
      <c r="B544" s="16" t="s">
        <v>801</v>
      </c>
      <c r="C544" s="89" t="s">
        <v>52</v>
      </c>
      <c r="D544" s="56" t="s">
        <v>806</v>
      </c>
      <c r="E544" s="13"/>
      <c r="F544" s="106" t="s">
        <v>1144</v>
      </c>
      <c r="G544" s="106"/>
      <c r="H544" s="95"/>
      <c r="I544" s="9"/>
      <c r="J544" s="9" t="s">
        <v>805</v>
      </c>
      <c r="K544" s="14"/>
      <c r="L544" s="14"/>
      <c r="M544" s="12"/>
      <c r="N544" s="9"/>
      <c r="O544" s="9"/>
      <c r="P544" s="9"/>
      <c r="Q544" s="38">
        <f t="shared" si="67"/>
        <v>0</v>
      </c>
      <c r="R544" s="12"/>
      <c r="S544" s="42"/>
      <c r="T544" s="15"/>
      <c r="U544" s="44"/>
      <c r="V544" s="15"/>
      <c r="W544" s="44"/>
      <c r="X544" s="15">
        <f t="shared" si="72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73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74"/>
        <v>0</v>
      </c>
      <c r="BC544" s="15"/>
      <c r="BD544" s="44"/>
      <c r="BE544" s="15"/>
      <c r="BF544" s="44"/>
      <c r="BG544" s="15">
        <f t="shared" si="75"/>
        <v>0</v>
      </c>
    </row>
    <row r="545" spans="1:59" s="8" customFormat="1" ht="22.5" customHeight="1">
      <c r="A545" s="9"/>
      <c r="B545" s="16" t="s">
        <v>570</v>
      </c>
      <c r="C545" s="89" t="s">
        <v>52</v>
      </c>
      <c r="D545" s="56" t="s">
        <v>807</v>
      </c>
      <c r="E545" s="13"/>
      <c r="F545" s="106" t="s">
        <v>1144</v>
      </c>
      <c r="G545" s="106"/>
      <c r="H545" s="95"/>
      <c r="I545" s="9"/>
      <c r="J545" s="9" t="s">
        <v>805</v>
      </c>
      <c r="K545" s="14"/>
      <c r="L545" s="14"/>
      <c r="M545" s="12"/>
      <c r="N545" s="9"/>
      <c r="O545" s="9"/>
      <c r="P545" s="9"/>
      <c r="Q545" s="38">
        <f t="shared" ref="Q545:Q608" si="76">M545+X545-AG545-BB545</f>
        <v>0</v>
      </c>
      <c r="R545" s="12"/>
      <c r="S545" s="42"/>
      <c r="T545" s="15"/>
      <c r="U545" s="44"/>
      <c r="V545" s="15"/>
      <c r="W545" s="44"/>
      <c r="X545" s="15">
        <f t="shared" ref="X545:X550" si="77">R545+T545+V545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ref="AG545:AG550" si="78">(Y545+AA545+AC545+AE545)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74"/>
        <v>0</v>
      </c>
      <c r="BC545" s="15"/>
      <c r="BD545" s="44"/>
      <c r="BE545" s="15"/>
      <c r="BF545" s="44"/>
      <c r="BG545" s="15">
        <f t="shared" si="75"/>
        <v>0</v>
      </c>
    </row>
    <row r="546" spans="1:59" s="8" customFormat="1" ht="22.5" customHeight="1">
      <c r="A546" s="9"/>
      <c r="B546" s="16" t="s">
        <v>801</v>
      </c>
      <c r="C546" s="89"/>
      <c r="D546" s="111" t="s">
        <v>803</v>
      </c>
      <c r="E546" s="112"/>
      <c r="F546" s="113" t="s">
        <v>1958</v>
      </c>
      <c r="G546" s="113" t="s">
        <v>1959</v>
      </c>
      <c r="H546" s="95"/>
      <c r="I546" s="9"/>
      <c r="J546" s="9" t="s">
        <v>467</v>
      </c>
      <c r="K546" s="14"/>
      <c r="L546" s="14"/>
      <c r="M546" s="12"/>
      <c r="N546" s="9"/>
      <c r="O546" s="9"/>
      <c r="P546" s="9"/>
      <c r="Q546" s="38">
        <f t="shared" si="76"/>
        <v>0</v>
      </c>
      <c r="R546" s="12"/>
      <c r="S546" s="42"/>
      <c r="T546" s="15"/>
      <c r="U546" s="44"/>
      <c r="V546" s="15"/>
      <c r="W546" s="44"/>
      <c r="X546" s="15">
        <f t="shared" si="7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7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74"/>
        <v>0</v>
      </c>
      <c r="BC546" s="15"/>
      <c r="BD546" s="44"/>
      <c r="BE546" s="15"/>
      <c r="BF546" s="44"/>
      <c r="BG546" s="15">
        <f t="shared" si="75"/>
        <v>0</v>
      </c>
    </row>
    <row r="547" spans="1:59" s="8" customFormat="1" ht="22.5" customHeight="1">
      <c r="A547" s="9"/>
      <c r="B547" s="16" t="s">
        <v>808</v>
      </c>
      <c r="C547" s="89" t="s">
        <v>52</v>
      </c>
      <c r="D547" s="59" t="s">
        <v>809</v>
      </c>
      <c r="E547" s="13"/>
      <c r="F547" s="106" t="s">
        <v>1144</v>
      </c>
      <c r="G547" s="106"/>
      <c r="H547" s="95"/>
      <c r="I547" s="9"/>
      <c r="J547" s="9" t="s">
        <v>805</v>
      </c>
      <c r="K547" s="14"/>
      <c r="L547" s="14"/>
      <c r="M547" s="12"/>
      <c r="N547" s="9"/>
      <c r="O547" s="9"/>
      <c r="P547" s="9"/>
      <c r="Q547" s="38">
        <f t="shared" si="76"/>
        <v>0</v>
      </c>
      <c r="R547" s="12"/>
      <c r="S547" s="42"/>
      <c r="T547" s="15"/>
      <c r="U547" s="44"/>
      <c r="V547" s="15"/>
      <c r="W547" s="44"/>
      <c r="X547" s="15">
        <f t="shared" si="7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7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74"/>
        <v>0</v>
      </c>
      <c r="BC547" s="15"/>
      <c r="BD547" s="44"/>
      <c r="BE547" s="15"/>
      <c r="BF547" s="44"/>
      <c r="BG547" s="15">
        <f t="shared" si="75"/>
        <v>0</v>
      </c>
    </row>
    <row r="548" spans="1:59" s="8" customFormat="1" ht="22.5" customHeight="1">
      <c r="A548" s="9"/>
      <c r="B548" s="16" t="s">
        <v>808</v>
      </c>
      <c r="C548" s="89" t="s">
        <v>52</v>
      </c>
      <c r="D548" s="59" t="s">
        <v>810</v>
      </c>
      <c r="E548" s="13"/>
      <c r="F548" s="106" t="s">
        <v>1144</v>
      </c>
      <c r="G548" s="106"/>
      <c r="H548" s="95"/>
      <c r="I548" s="9"/>
      <c r="J548" s="9" t="s">
        <v>314</v>
      </c>
      <c r="K548" s="14"/>
      <c r="L548" s="14"/>
      <c r="M548" s="12"/>
      <c r="N548" s="9"/>
      <c r="O548" s="9"/>
      <c r="P548" s="9"/>
      <c r="Q548" s="38">
        <f t="shared" si="76"/>
        <v>0</v>
      </c>
      <c r="R548" s="12"/>
      <c r="S548" s="42"/>
      <c r="T548" s="15"/>
      <c r="U548" s="44"/>
      <c r="V548" s="15"/>
      <c r="W548" s="44"/>
      <c r="X548" s="15">
        <f t="shared" si="7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7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74"/>
        <v>0</v>
      </c>
      <c r="BC548" s="15"/>
      <c r="BD548" s="44"/>
      <c r="BE548" s="15"/>
      <c r="BF548" s="44"/>
      <c r="BG548" s="15">
        <f t="shared" si="75"/>
        <v>0</v>
      </c>
    </row>
    <row r="549" spans="1:59" s="8" customFormat="1" ht="22.5" customHeight="1">
      <c r="A549" s="9"/>
      <c r="B549" s="16" t="s">
        <v>204</v>
      </c>
      <c r="C549" s="89" t="s">
        <v>44</v>
      </c>
      <c r="D549" s="56" t="s">
        <v>816</v>
      </c>
      <c r="E549" s="13"/>
      <c r="F549" s="106" t="s">
        <v>1144</v>
      </c>
      <c r="G549" s="106"/>
      <c r="H549" s="95"/>
      <c r="I549" s="9"/>
      <c r="J549" s="9" t="s">
        <v>817</v>
      </c>
      <c r="K549" s="14"/>
      <c r="L549" s="14"/>
      <c r="M549" s="12"/>
      <c r="N549" s="9"/>
      <c r="O549" s="9"/>
      <c r="P549" s="9"/>
      <c r="Q549" s="38">
        <f t="shared" si="76"/>
        <v>0</v>
      </c>
      <c r="R549" s="12"/>
      <c r="S549" s="42"/>
      <c r="T549" s="15"/>
      <c r="U549" s="44"/>
      <c r="V549" s="15"/>
      <c r="W549" s="44"/>
      <c r="X549" s="15">
        <f t="shared" si="7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7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74"/>
        <v>0</v>
      </c>
      <c r="BC549" s="15"/>
      <c r="BD549" s="44"/>
      <c r="BE549" s="15"/>
      <c r="BF549" s="44"/>
      <c r="BG549" s="15">
        <f t="shared" si="75"/>
        <v>0</v>
      </c>
    </row>
    <row r="550" spans="1:59" s="8" customFormat="1" ht="22.5" customHeight="1">
      <c r="A550" s="9"/>
      <c r="B550" s="16" t="s">
        <v>808</v>
      </c>
      <c r="C550" s="89" t="s">
        <v>151</v>
      </c>
      <c r="D550" s="59" t="s">
        <v>819</v>
      </c>
      <c r="E550" s="13"/>
      <c r="F550" s="106" t="s">
        <v>1144</v>
      </c>
      <c r="G550" s="106"/>
      <c r="H550" s="95"/>
      <c r="I550" s="9"/>
      <c r="J550" s="9" t="s">
        <v>566</v>
      </c>
      <c r="K550" s="14"/>
      <c r="L550" s="14"/>
      <c r="M550" s="12"/>
      <c r="N550" s="9"/>
      <c r="O550" s="9"/>
      <c r="P550" s="9"/>
      <c r="Q550" s="38">
        <f t="shared" si="76"/>
        <v>0</v>
      </c>
      <c r="R550" s="12"/>
      <c r="S550" s="42"/>
      <c r="T550" s="15"/>
      <c r="U550" s="44"/>
      <c r="V550" s="15"/>
      <c r="W550" s="44"/>
      <c r="X550" s="15">
        <f t="shared" si="7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7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74"/>
        <v>0</v>
      </c>
      <c r="BC550" s="15"/>
      <c r="BD550" s="44"/>
      <c r="BE550" s="15"/>
      <c r="BF550" s="44"/>
      <c r="BG550" s="15">
        <f t="shared" si="75"/>
        <v>0</v>
      </c>
    </row>
    <row r="551" spans="1:59" s="8" customFormat="1" ht="22.5" customHeight="1">
      <c r="A551" s="9">
        <v>999</v>
      </c>
      <c r="B551" s="18" t="s">
        <v>172</v>
      </c>
      <c r="C551" s="89" t="s">
        <v>140</v>
      </c>
      <c r="D551" s="58" t="s">
        <v>875</v>
      </c>
      <c r="E551" s="35"/>
      <c r="F551" s="106" t="s">
        <v>1144</v>
      </c>
      <c r="G551" s="106"/>
      <c r="H551" s="20"/>
      <c r="I551" s="21"/>
      <c r="J551" s="21"/>
      <c r="K551" s="14"/>
      <c r="L551" s="14"/>
      <c r="M551" s="12"/>
      <c r="N551" s="9"/>
      <c r="O551" s="9"/>
      <c r="P551" s="9"/>
      <c r="Q551" s="38">
        <f t="shared" si="76"/>
        <v>0</v>
      </c>
      <c r="R551" s="12"/>
      <c r="S551" s="42"/>
      <c r="T551" s="15"/>
      <c r="U551" s="44"/>
      <c r="V551" s="15"/>
      <c r="W551" s="44"/>
      <c r="X551" s="15"/>
      <c r="Y551" s="15"/>
      <c r="Z551" s="44"/>
      <c r="AA551" s="15"/>
      <c r="AB551" s="44"/>
      <c r="AC551" s="15"/>
      <c r="AD551" s="44"/>
      <c r="AE551" s="15"/>
      <c r="AF551" s="44"/>
      <c r="AG551" s="15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/>
      <c r="BC551" s="15"/>
      <c r="BD551" s="44"/>
      <c r="BE551" s="15"/>
      <c r="BF551" s="44"/>
      <c r="BG551" s="15"/>
    </row>
    <row r="552" spans="1:59" s="8" customFormat="1" ht="22.5" customHeight="1">
      <c r="A552" s="9"/>
      <c r="B552" s="16" t="s">
        <v>811</v>
      </c>
      <c r="C552" s="89" t="s">
        <v>140</v>
      </c>
      <c r="D552" s="111" t="s">
        <v>1960</v>
      </c>
      <c r="E552" s="112" t="s">
        <v>813</v>
      </c>
      <c r="F552" s="113" t="s">
        <v>1961</v>
      </c>
      <c r="G552" s="113" t="s">
        <v>1962</v>
      </c>
      <c r="H552" s="95"/>
      <c r="I552" s="9"/>
      <c r="J552" s="9" t="s">
        <v>566</v>
      </c>
      <c r="K552" s="14"/>
      <c r="L552" s="14"/>
      <c r="M552" s="12">
        <v>0</v>
      </c>
      <c r="N552" s="9"/>
      <c r="O552" s="9"/>
      <c r="P552" s="9"/>
      <c r="Q552" s="38">
        <f t="shared" si="76"/>
        <v>0</v>
      </c>
      <c r="R552" s="12"/>
      <c r="S552" s="42"/>
      <c r="T552" s="15"/>
      <c r="U552" s="44"/>
      <c r="V552" s="15"/>
      <c r="W552" s="44"/>
      <c r="X552" s="15">
        <f t="shared" ref="X552:X583" si="79">R552+T552+V552</f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ref="AG552:AG583" si="80">(Y552+AA552+AC552+AE552)</f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ref="BB552:BB585" si="81">AH552+AJ552+AL552+AN552+AP552+AR552+AT552+AV552+AX552+AZ552</f>
        <v>0</v>
      </c>
      <c r="BC552" s="15"/>
      <c r="BD552" s="44"/>
      <c r="BE552" s="15"/>
      <c r="BF552" s="44"/>
      <c r="BG552" s="15">
        <f t="shared" ref="BG552:BG585" si="82">(BC552+BE552)</f>
        <v>0</v>
      </c>
    </row>
    <row r="553" spans="1:59" s="8" customFormat="1" ht="22.5" customHeight="1">
      <c r="A553" s="9"/>
      <c r="B553" s="16" t="s">
        <v>811</v>
      </c>
      <c r="C553" s="89" t="s">
        <v>132</v>
      </c>
      <c r="D553" s="111" t="s">
        <v>1960</v>
      </c>
      <c r="E553" s="112"/>
      <c r="F553" s="113" t="s">
        <v>1963</v>
      </c>
      <c r="G553" s="113" t="s">
        <v>1964</v>
      </c>
      <c r="H553" s="95"/>
      <c r="I553" s="9"/>
      <c r="J553" s="9" t="s">
        <v>566</v>
      </c>
      <c r="K553" s="14"/>
      <c r="L553" s="14"/>
      <c r="M553" s="12">
        <v>60</v>
      </c>
      <c r="N553" s="9"/>
      <c r="O553" s="9"/>
      <c r="P553" s="9"/>
      <c r="Q553" s="38">
        <f t="shared" si="76"/>
        <v>60</v>
      </c>
      <c r="R553" s="12"/>
      <c r="S553" s="42"/>
      <c r="T553" s="15"/>
      <c r="U553" s="44"/>
      <c r="V553" s="15"/>
      <c r="W553" s="44"/>
      <c r="X553" s="15">
        <f t="shared" si="79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80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81"/>
        <v>0</v>
      </c>
      <c r="BC553" s="15"/>
      <c r="BD553" s="44"/>
      <c r="BE553" s="15"/>
      <c r="BF553" s="44"/>
      <c r="BG553" s="15">
        <f t="shared" si="82"/>
        <v>0</v>
      </c>
    </row>
    <row r="554" spans="1:59" s="8" customFormat="1" ht="22.5" customHeight="1">
      <c r="A554" s="9"/>
      <c r="B554" s="16" t="s">
        <v>811</v>
      </c>
      <c r="C554" s="89" t="s">
        <v>140</v>
      </c>
      <c r="D554" s="111" t="s">
        <v>1965</v>
      </c>
      <c r="E554" s="112" t="s">
        <v>815</v>
      </c>
      <c r="F554" s="113" t="s">
        <v>1966</v>
      </c>
      <c r="G554" s="113" t="s">
        <v>1967</v>
      </c>
      <c r="H554" s="95"/>
      <c r="I554" s="9"/>
      <c r="J554" s="9" t="s">
        <v>566</v>
      </c>
      <c r="K554" s="14"/>
      <c r="L554" s="14"/>
      <c r="M554" s="12">
        <v>0</v>
      </c>
      <c r="N554" s="9"/>
      <c r="O554" s="9"/>
      <c r="P554" s="9"/>
      <c r="Q554" s="38">
        <f t="shared" si="76"/>
        <v>0</v>
      </c>
      <c r="R554" s="12"/>
      <c r="S554" s="42"/>
      <c r="T554" s="15"/>
      <c r="U554" s="44"/>
      <c r="V554" s="15"/>
      <c r="W554" s="44"/>
      <c r="X554" s="15">
        <f t="shared" si="79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80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81"/>
        <v>0</v>
      </c>
      <c r="BC554" s="15"/>
      <c r="BD554" s="44"/>
      <c r="BE554" s="15"/>
      <c r="BF554" s="44"/>
      <c r="BG554" s="15">
        <f t="shared" si="82"/>
        <v>0</v>
      </c>
    </row>
    <row r="555" spans="1:59" s="8" customFormat="1" ht="22.5" customHeight="1">
      <c r="A555" s="9"/>
      <c r="B555" s="18" t="s">
        <v>172</v>
      </c>
      <c r="C555" s="89" t="s">
        <v>52</v>
      </c>
      <c r="D555" s="58" t="s">
        <v>253</v>
      </c>
      <c r="E555" s="35"/>
      <c r="F555" s="106" t="s">
        <v>1144</v>
      </c>
      <c r="G555" s="106"/>
      <c r="H555" s="96"/>
      <c r="I555" s="21"/>
      <c r="J555" s="21" t="s">
        <v>67</v>
      </c>
      <c r="K555" s="14"/>
      <c r="L555" s="14"/>
      <c r="M555" s="12"/>
      <c r="N555" s="9"/>
      <c r="O555" s="9"/>
      <c r="P555" s="9"/>
      <c r="Q555" s="38">
        <f t="shared" si="76"/>
        <v>0</v>
      </c>
      <c r="R555" s="12"/>
      <c r="S555" s="42"/>
      <c r="T555" s="15"/>
      <c r="U555" s="44"/>
      <c r="V555" s="15"/>
      <c r="W555" s="44"/>
      <c r="X555" s="15">
        <f t="shared" si="79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80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81"/>
        <v>0</v>
      </c>
      <c r="BC555" s="15"/>
      <c r="BD555" s="44"/>
      <c r="BE555" s="15"/>
      <c r="BF555" s="44"/>
      <c r="BG555" s="15">
        <f t="shared" si="82"/>
        <v>0</v>
      </c>
    </row>
    <row r="556" spans="1:59" s="8" customFormat="1" ht="22.5" customHeight="1">
      <c r="A556" s="9"/>
      <c r="B556" s="16" t="s">
        <v>334</v>
      </c>
      <c r="C556" s="89" t="s">
        <v>44</v>
      </c>
      <c r="D556" s="111" t="s">
        <v>818</v>
      </c>
      <c r="E556" s="112"/>
      <c r="F556" s="113" t="s">
        <v>1968</v>
      </c>
      <c r="G556" s="113" t="s">
        <v>1969</v>
      </c>
      <c r="H556" s="95"/>
      <c r="I556" s="9"/>
      <c r="J556" s="9" t="s">
        <v>314</v>
      </c>
      <c r="K556" s="14"/>
      <c r="L556" s="14"/>
      <c r="M556" s="12"/>
      <c r="N556" s="9"/>
      <c r="O556" s="9"/>
      <c r="P556" s="9"/>
      <c r="Q556" s="38">
        <f t="shared" si="76"/>
        <v>0</v>
      </c>
      <c r="R556" s="12"/>
      <c r="S556" s="42"/>
      <c r="T556" s="15"/>
      <c r="U556" s="44"/>
      <c r="V556" s="15"/>
      <c r="W556" s="44"/>
      <c r="X556" s="15">
        <f t="shared" si="79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80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81"/>
        <v>0</v>
      </c>
      <c r="BC556" s="15"/>
      <c r="BD556" s="44"/>
      <c r="BE556" s="15"/>
      <c r="BF556" s="44"/>
      <c r="BG556" s="15">
        <f t="shared" si="82"/>
        <v>0</v>
      </c>
    </row>
    <row r="557" spans="1:59" s="8" customFormat="1" ht="22.5" customHeight="1">
      <c r="A557" s="9"/>
      <c r="B557" s="18" t="s">
        <v>172</v>
      </c>
      <c r="C557" s="89" t="s">
        <v>52</v>
      </c>
      <c r="D557" s="67" t="s">
        <v>885</v>
      </c>
      <c r="E557" s="35"/>
      <c r="F557" s="108" t="s">
        <v>1144</v>
      </c>
      <c r="G557" s="108"/>
      <c r="H557" s="96"/>
      <c r="I557" s="21"/>
      <c r="J557" s="21" t="s">
        <v>67</v>
      </c>
      <c r="K557" s="14"/>
      <c r="L557" s="14"/>
      <c r="M557" s="12"/>
      <c r="N557" s="9"/>
      <c r="O557" s="9"/>
      <c r="P557" s="9"/>
      <c r="Q557" s="38">
        <f t="shared" si="76"/>
        <v>0</v>
      </c>
      <c r="R557" s="12"/>
      <c r="S557" s="42"/>
      <c r="T557" s="15"/>
      <c r="U557" s="44"/>
      <c r="V557" s="15"/>
      <c r="W557" s="44"/>
      <c r="X557" s="15">
        <f t="shared" si="79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80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si="81"/>
        <v>0</v>
      </c>
      <c r="BC557" s="15"/>
      <c r="BD557" s="44"/>
      <c r="BE557" s="15"/>
      <c r="BF557" s="44"/>
      <c r="BG557" s="15">
        <f t="shared" si="82"/>
        <v>0</v>
      </c>
    </row>
    <row r="558" spans="1:59" s="8" customFormat="1" ht="22.5" customHeight="1">
      <c r="A558" s="9"/>
      <c r="B558" s="16" t="s">
        <v>808</v>
      </c>
      <c r="C558" s="89" t="s">
        <v>151</v>
      </c>
      <c r="D558" s="111" t="s">
        <v>820</v>
      </c>
      <c r="E558" s="112"/>
      <c r="F558" s="113" t="s">
        <v>820</v>
      </c>
      <c r="G558" s="113" t="s">
        <v>1970</v>
      </c>
      <c r="H558" s="95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76"/>
        <v>0</v>
      </c>
      <c r="R558" s="12"/>
      <c r="S558" s="42"/>
      <c r="T558" s="15"/>
      <c r="U558" s="44"/>
      <c r="V558" s="15"/>
      <c r="W558" s="44"/>
      <c r="X558" s="15">
        <f t="shared" si="79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80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81"/>
        <v>0</v>
      </c>
      <c r="BC558" s="15"/>
      <c r="BD558" s="44"/>
      <c r="BE558" s="15"/>
      <c r="BF558" s="44"/>
      <c r="BG558" s="15">
        <f t="shared" si="82"/>
        <v>0</v>
      </c>
    </row>
    <row r="559" spans="1:59" s="8" customFormat="1" ht="22.5" customHeight="1">
      <c r="A559" s="9"/>
      <c r="B559" s="16" t="s">
        <v>808</v>
      </c>
      <c r="C559" s="89" t="s">
        <v>52</v>
      </c>
      <c r="D559" s="111" t="s">
        <v>821</v>
      </c>
      <c r="E559" s="112"/>
      <c r="F559" s="113" t="s">
        <v>1971</v>
      </c>
      <c r="G559" s="113" t="s">
        <v>1972</v>
      </c>
      <c r="H559" s="95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76"/>
        <v>0</v>
      </c>
      <c r="R559" s="12"/>
      <c r="S559" s="42"/>
      <c r="T559" s="15"/>
      <c r="U559" s="44"/>
      <c r="V559" s="15"/>
      <c r="W559" s="44"/>
      <c r="X559" s="15">
        <f t="shared" si="79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80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81"/>
        <v>0</v>
      </c>
      <c r="BC559" s="15"/>
      <c r="BD559" s="44"/>
      <c r="BE559" s="15"/>
      <c r="BF559" s="44"/>
      <c r="BG559" s="15">
        <f t="shared" si="82"/>
        <v>0</v>
      </c>
    </row>
    <row r="560" spans="1:59" s="8" customFormat="1" ht="22.5" customHeight="1">
      <c r="A560" s="9"/>
      <c r="B560" s="16" t="s">
        <v>808</v>
      </c>
      <c r="C560" s="89" t="s">
        <v>52</v>
      </c>
      <c r="D560" s="111" t="s">
        <v>822</v>
      </c>
      <c r="E560" s="112"/>
      <c r="F560" s="113" t="s">
        <v>1973</v>
      </c>
      <c r="G560" s="113" t="s">
        <v>1974</v>
      </c>
      <c r="H560" s="95"/>
      <c r="I560" s="9"/>
      <c r="J560" s="9" t="s">
        <v>566</v>
      </c>
      <c r="K560" s="14"/>
      <c r="L560" s="14"/>
      <c r="M560" s="12"/>
      <c r="N560" s="9"/>
      <c r="O560" s="9"/>
      <c r="P560" s="9"/>
      <c r="Q560" s="38">
        <f t="shared" si="76"/>
        <v>0</v>
      </c>
      <c r="R560" s="12"/>
      <c r="S560" s="42"/>
      <c r="T560" s="15"/>
      <c r="U560" s="44"/>
      <c r="V560" s="15"/>
      <c r="W560" s="44"/>
      <c r="X560" s="15">
        <f t="shared" si="79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80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81"/>
        <v>0</v>
      </c>
      <c r="BC560" s="15"/>
      <c r="BD560" s="44"/>
      <c r="BE560" s="15"/>
      <c r="BF560" s="44"/>
      <c r="BG560" s="15">
        <f t="shared" si="82"/>
        <v>0</v>
      </c>
    </row>
    <row r="561" spans="1:59" s="8" customFormat="1" ht="22.5" customHeight="1">
      <c r="A561" s="9"/>
      <c r="B561" s="16" t="s">
        <v>808</v>
      </c>
      <c r="C561" s="89" t="s">
        <v>52</v>
      </c>
      <c r="D561" s="111" t="s">
        <v>823</v>
      </c>
      <c r="E561" s="112"/>
      <c r="F561" s="113" t="s">
        <v>1975</v>
      </c>
      <c r="G561" s="113" t="s">
        <v>1976</v>
      </c>
      <c r="H561" s="95"/>
      <c r="I561" s="9"/>
      <c r="J561" s="9" t="s">
        <v>566</v>
      </c>
      <c r="K561" s="14"/>
      <c r="L561" s="14"/>
      <c r="M561" s="12"/>
      <c r="N561" s="9"/>
      <c r="O561" s="9"/>
      <c r="P561" s="9"/>
      <c r="Q561" s="38">
        <f t="shared" si="76"/>
        <v>0</v>
      </c>
      <c r="R561" s="12"/>
      <c r="S561" s="42"/>
      <c r="T561" s="15"/>
      <c r="U561" s="44"/>
      <c r="V561" s="15"/>
      <c r="W561" s="44"/>
      <c r="X561" s="15">
        <f t="shared" si="79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80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81"/>
        <v>0</v>
      </c>
      <c r="BC561" s="15"/>
      <c r="BD561" s="44"/>
      <c r="BE561" s="15"/>
      <c r="BF561" s="44"/>
      <c r="BG561" s="15">
        <f t="shared" si="82"/>
        <v>0</v>
      </c>
    </row>
    <row r="562" spans="1:59" s="8" customFormat="1" ht="22.5" customHeight="1">
      <c r="A562" s="9"/>
      <c r="B562" s="16" t="s">
        <v>808</v>
      </c>
      <c r="C562" s="89" t="s">
        <v>52</v>
      </c>
      <c r="D562" s="111" t="s">
        <v>824</v>
      </c>
      <c r="E562" s="112"/>
      <c r="F562" s="113" t="s">
        <v>1977</v>
      </c>
      <c r="G562" s="113" t="s">
        <v>1978</v>
      </c>
      <c r="H562" s="95"/>
      <c r="I562" s="9"/>
      <c r="J562" s="9" t="s">
        <v>566</v>
      </c>
      <c r="K562" s="14"/>
      <c r="L562" s="14"/>
      <c r="M562" s="12"/>
      <c r="N562" s="9"/>
      <c r="O562" s="9"/>
      <c r="P562" s="9"/>
      <c r="Q562" s="38">
        <f t="shared" si="76"/>
        <v>0</v>
      </c>
      <c r="R562" s="12"/>
      <c r="S562" s="42"/>
      <c r="T562" s="15"/>
      <c r="U562" s="44"/>
      <c r="V562" s="15"/>
      <c r="W562" s="44"/>
      <c r="X562" s="15">
        <f t="shared" si="79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80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81"/>
        <v>0</v>
      </c>
      <c r="BC562" s="15"/>
      <c r="BD562" s="44"/>
      <c r="BE562" s="15"/>
      <c r="BF562" s="44"/>
      <c r="BG562" s="15">
        <f t="shared" si="82"/>
        <v>0</v>
      </c>
    </row>
    <row r="563" spans="1:59" s="8" customFormat="1" ht="22.5" customHeight="1">
      <c r="A563" s="9"/>
      <c r="B563" s="16" t="s">
        <v>808</v>
      </c>
      <c r="C563" s="89" t="s">
        <v>52</v>
      </c>
      <c r="D563" s="111" t="s">
        <v>825</v>
      </c>
      <c r="E563" s="112"/>
      <c r="F563" s="113" t="s">
        <v>1979</v>
      </c>
      <c r="G563" s="113" t="s">
        <v>1980</v>
      </c>
      <c r="H563" s="95"/>
      <c r="I563" s="9"/>
      <c r="J563" s="9" t="s">
        <v>566</v>
      </c>
      <c r="K563" s="14"/>
      <c r="L563" s="14"/>
      <c r="M563" s="12"/>
      <c r="N563" s="9"/>
      <c r="O563" s="9"/>
      <c r="P563" s="9"/>
      <c r="Q563" s="38">
        <f t="shared" si="76"/>
        <v>0</v>
      </c>
      <c r="R563" s="12"/>
      <c r="S563" s="42"/>
      <c r="T563" s="15"/>
      <c r="U563" s="44"/>
      <c r="V563" s="15"/>
      <c r="W563" s="44"/>
      <c r="X563" s="15">
        <f t="shared" si="79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80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81"/>
        <v>0</v>
      </c>
      <c r="BC563" s="15"/>
      <c r="BD563" s="44"/>
      <c r="BE563" s="15"/>
      <c r="BF563" s="44"/>
      <c r="BG563" s="15">
        <f t="shared" si="82"/>
        <v>0</v>
      </c>
    </row>
    <row r="564" spans="1:59" s="8" customFormat="1" ht="22.5" customHeight="1">
      <c r="A564" s="9"/>
      <c r="B564" s="16" t="s">
        <v>808</v>
      </c>
      <c r="C564" s="89" t="s">
        <v>52</v>
      </c>
      <c r="D564" s="111" t="s">
        <v>826</v>
      </c>
      <c r="E564" s="112"/>
      <c r="F564" s="113" t="s">
        <v>1981</v>
      </c>
      <c r="G564" s="113" t="s">
        <v>1982</v>
      </c>
      <c r="H564" s="95"/>
      <c r="I564" s="9"/>
      <c r="J564" s="9" t="s">
        <v>566</v>
      </c>
      <c r="K564" s="14"/>
      <c r="L564" s="14"/>
      <c r="M564" s="12"/>
      <c r="N564" s="9"/>
      <c r="O564" s="9"/>
      <c r="P564" s="9"/>
      <c r="Q564" s="38">
        <f t="shared" si="76"/>
        <v>0</v>
      </c>
      <c r="R564" s="12"/>
      <c r="S564" s="42"/>
      <c r="T564" s="15"/>
      <c r="U564" s="44"/>
      <c r="V564" s="15"/>
      <c r="W564" s="44"/>
      <c r="X564" s="15">
        <f t="shared" si="79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80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81"/>
        <v>0</v>
      </c>
      <c r="BC564" s="15"/>
      <c r="BD564" s="44"/>
      <c r="BE564" s="15"/>
      <c r="BF564" s="44"/>
      <c r="BG564" s="15">
        <f t="shared" si="82"/>
        <v>0</v>
      </c>
    </row>
    <row r="565" spans="1:59" s="8" customFormat="1" ht="22.5" customHeight="1">
      <c r="A565" s="9"/>
      <c r="B565" s="16" t="s">
        <v>808</v>
      </c>
      <c r="C565" s="89" t="s">
        <v>52</v>
      </c>
      <c r="D565" s="111" t="s">
        <v>827</v>
      </c>
      <c r="E565" s="112"/>
      <c r="F565" s="113" t="s">
        <v>1983</v>
      </c>
      <c r="G565" s="113" t="s">
        <v>1984</v>
      </c>
      <c r="H565" s="95"/>
      <c r="I565" s="9"/>
      <c r="J565" s="9" t="s">
        <v>566</v>
      </c>
      <c r="K565" s="14"/>
      <c r="L565" s="14"/>
      <c r="M565" s="12"/>
      <c r="N565" s="9"/>
      <c r="O565" s="9"/>
      <c r="P565" s="9"/>
      <c r="Q565" s="38">
        <f t="shared" si="76"/>
        <v>0</v>
      </c>
      <c r="R565" s="12"/>
      <c r="S565" s="42"/>
      <c r="T565" s="15"/>
      <c r="U565" s="44"/>
      <c r="V565" s="15"/>
      <c r="W565" s="44"/>
      <c r="X565" s="15">
        <f t="shared" si="79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80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81"/>
        <v>0</v>
      </c>
      <c r="BC565" s="15"/>
      <c r="BD565" s="44"/>
      <c r="BE565" s="15"/>
      <c r="BF565" s="44"/>
      <c r="BG565" s="15">
        <f t="shared" si="82"/>
        <v>0</v>
      </c>
    </row>
    <row r="566" spans="1:59" s="8" customFormat="1" ht="22.5" customHeight="1">
      <c r="A566" s="9"/>
      <c r="B566" s="16" t="s">
        <v>808</v>
      </c>
      <c r="C566" s="89" t="s">
        <v>52</v>
      </c>
      <c r="D566" s="111" t="s">
        <v>828</v>
      </c>
      <c r="E566" s="112"/>
      <c r="F566" s="113" t="s">
        <v>1985</v>
      </c>
      <c r="G566" s="113" t="s">
        <v>1986</v>
      </c>
      <c r="H566" s="95"/>
      <c r="I566" s="9"/>
      <c r="J566" s="9" t="s">
        <v>566</v>
      </c>
      <c r="K566" s="14"/>
      <c r="L566" s="14"/>
      <c r="M566" s="12"/>
      <c r="N566" s="9"/>
      <c r="O566" s="9"/>
      <c r="P566" s="9"/>
      <c r="Q566" s="38">
        <f t="shared" si="76"/>
        <v>0</v>
      </c>
      <c r="R566" s="12"/>
      <c r="S566" s="42"/>
      <c r="T566" s="15"/>
      <c r="U566" s="44"/>
      <c r="V566" s="15"/>
      <c r="W566" s="44"/>
      <c r="X566" s="15">
        <f t="shared" si="79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80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81"/>
        <v>0</v>
      </c>
      <c r="BC566" s="15"/>
      <c r="BD566" s="44"/>
      <c r="BE566" s="15"/>
      <c r="BF566" s="44"/>
      <c r="BG566" s="15">
        <f t="shared" si="82"/>
        <v>0</v>
      </c>
    </row>
    <row r="567" spans="1:59" s="8" customFormat="1" ht="22.5" customHeight="1">
      <c r="A567" s="9"/>
      <c r="B567" s="16" t="s">
        <v>808</v>
      </c>
      <c r="C567" s="89" t="s">
        <v>52</v>
      </c>
      <c r="D567" s="111" t="s">
        <v>829</v>
      </c>
      <c r="E567" s="112"/>
      <c r="F567" s="113" t="s">
        <v>1987</v>
      </c>
      <c r="G567" s="113" t="s">
        <v>1988</v>
      </c>
      <c r="H567" s="95"/>
      <c r="I567" s="9"/>
      <c r="J567" s="9" t="s">
        <v>566</v>
      </c>
      <c r="K567" s="14"/>
      <c r="L567" s="14"/>
      <c r="M567" s="12"/>
      <c r="N567" s="9"/>
      <c r="O567" s="9"/>
      <c r="P567" s="9"/>
      <c r="Q567" s="38">
        <f t="shared" si="76"/>
        <v>0</v>
      </c>
      <c r="R567" s="12"/>
      <c r="S567" s="42"/>
      <c r="T567" s="15"/>
      <c r="U567" s="44"/>
      <c r="V567" s="15"/>
      <c r="W567" s="44"/>
      <c r="X567" s="15">
        <f t="shared" si="79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80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81"/>
        <v>0</v>
      </c>
      <c r="BC567" s="15"/>
      <c r="BD567" s="44"/>
      <c r="BE567" s="15"/>
      <c r="BF567" s="44"/>
      <c r="BG567" s="15">
        <f t="shared" si="82"/>
        <v>0</v>
      </c>
    </row>
    <row r="568" spans="1:59" s="8" customFormat="1" ht="22.5" customHeight="1">
      <c r="A568" s="9"/>
      <c r="B568" s="16" t="s">
        <v>830</v>
      </c>
      <c r="C568" s="89" t="s">
        <v>494</v>
      </c>
      <c r="D568" s="111" t="s">
        <v>830</v>
      </c>
      <c r="E568" s="112"/>
      <c r="F568" s="113" t="s">
        <v>830</v>
      </c>
      <c r="G568" s="113" t="s">
        <v>1989</v>
      </c>
      <c r="H568" s="95"/>
      <c r="I568" s="9"/>
      <c r="J568" s="9" t="s">
        <v>566</v>
      </c>
      <c r="K568" s="14"/>
      <c r="L568" s="14"/>
      <c r="M568" s="12"/>
      <c r="N568" s="9"/>
      <c r="O568" s="9"/>
      <c r="P568" s="9"/>
      <c r="Q568" s="38">
        <f t="shared" si="76"/>
        <v>0</v>
      </c>
      <c r="R568" s="12"/>
      <c r="S568" s="42"/>
      <c r="T568" s="15"/>
      <c r="U568" s="44"/>
      <c r="V568" s="15"/>
      <c r="W568" s="44"/>
      <c r="X568" s="15">
        <f t="shared" si="79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80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81"/>
        <v>0</v>
      </c>
      <c r="BC568" s="15"/>
      <c r="BD568" s="44"/>
      <c r="BE568" s="15"/>
      <c r="BF568" s="44"/>
      <c r="BG568" s="15">
        <f t="shared" si="82"/>
        <v>0</v>
      </c>
    </row>
    <row r="569" spans="1:59" s="8" customFormat="1" ht="22.5" customHeight="1">
      <c r="A569" s="9"/>
      <c r="B569" s="16" t="s">
        <v>831</v>
      </c>
      <c r="C569" s="89" t="s">
        <v>52</v>
      </c>
      <c r="D569" s="111" t="s">
        <v>832</v>
      </c>
      <c r="E569" s="112"/>
      <c r="F569" s="113" t="s">
        <v>832</v>
      </c>
      <c r="G569" s="113" t="s">
        <v>1990</v>
      </c>
      <c r="H569" s="95"/>
      <c r="I569" s="9"/>
      <c r="J569" s="9" t="s">
        <v>314</v>
      </c>
      <c r="K569" s="14"/>
      <c r="L569" s="14"/>
      <c r="M569" s="12">
        <v>37</v>
      </c>
      <c r="N569" s="9"/>
      <c r="O569" s="9"/>
      <c r="P569" s="9"/>
      <c r="Q569" s="38">
        <f t="shared" si="76"/>
        <v>37</v>
      </c>
      <c r="R569" s="12"/>
      <c r="S569" s="42"/>
      <c r="T569" s="15"/>
      <c r="U569" s="44"/>
      <c r="V569" s="15"/>
      <c r="W569" s="44"/>
      <c r="X569" s="15">
        <f t="shared" si="79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80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81"/>
        <v>0</v>
      </c>
      <c r="BC569" s="15"/>
      <c r="BD569" s="44"/>
      <c r="BE569" s="15"/>
      <c r="BF569" s="44"/>
      <c r="BG569" s="15">
        <f t="shared" si="82"/>
        <v>0</v>
      </c>
    </row>
    <row r="570" spans="1:59" s="8" customFormat="1" ht="22.5" customHeight="1">
      <c r="A570" s="9"/>
      <c r="B570" s="16" t="s">
        <v>570</v>
      </c>
      <c r="C570" s="89" t="s">
        <v>52</v>
      </c>
      <c r="D570" s="111" t="s">
        <v>833</v>
      </c>
      <c r="E570" s="112"/>
      <c r="F570" s="113" t="s">
        <v>833</v>
      </c>
      <c r="G570" s="113" t="s">
        <v>1991</v>
      </c>
      <c r="H570" s="95"/>
      <c r="I570" s="9"/>
      <c r="J570" s="9" t="s">
        <v>314</v>
      </c>
      <c r="K570" s="14"/>
      <c r="L570" s="14"/>
      <c r="M570" s="12">
        <v>86</v>
      </c>
      <c r="N570" s="9"/>
      <c r="O570" s="9"/>
      <c r="P570" s="9"/>
      <c r="Q570" s="38">
        <f t="shared" si="76"/>
        <v>86</v>
      </c>
      <c r="R570" s="12"/>
      <c r="S570" s="42"/>
      <c r="T570" s="15"/>
      <c r="U570" s="44"/>
      <c r="V570" s="15"/>
      <c r="W570" s="44"/>
      <c r="X570" s="15">
        <f t="shared" si="79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80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81"/>
        <v>0</v>
      </c>
      <c r="BC570" s="15"/>
      <c r="BD570" s="44"/>
      <c r="BE570" s="15"/>
      <c r="BF570" s="44"/>
      <c r="BG570" s="15">
        <f t="shared" si="82"/>
        <v>0</v>
      </c>
    </row>
    <row r="571" spans="1:59" s="8" customFormat="1" ht="22.5" customHeight="1">
      <c r="A571" s="9"/>
      <c r="B571" s="16" t="s">
        <v>204</v>
      </c>
      <c r="C571" s="89" t="s">
        <v>52</v>
      </c>
      <c r="D571" s="111" t="s">
        <v>834</v>
      </c>
      <c r="E571" s="112"/>
      <c r="F571" s="113" t="s">
        <v>1992</v>
      </c>
      <c r="G571" s="113" t="s">
        <v>1993</v>
      </c>
      <c r="H571" s="95"/>
      <c r="I571" s="9"/>
      <c r="J571" s="23" t="s">
        <v>566</v>
      </c>
      <c r="K571" s="14"/>
      <c r="L571" s="14"/>
      <c r="M571" s="12"/>
      <c r="N571" s="9"/>
      <c r="O571" s="9"/>
      <c r="P571" s="9"/>
      <c r="Q571" s="38">
        <f t="shared" si="76"/>
        <v>0</v>
      </c>
      <c r="R571" s="12"/>
      <c r="S571" s="42"/>
      <c r="T571" s="15"/>
      <c r="U571" s="44"/>
      <c r="V571" s="15"/>
      <c r="W571" s="44"/>
      <c r="X571" s="15">
        <f t="shared" si="79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80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81"/>
        <v>0</v>
      </c>
      <c r="BC571" s="15"/>
      <c r="BD571" s="44"/>
      <c r="BE571" s="15"/>
      <c r="BF571" s="44"/>
      <c r="BG571" s="15">
        <f t="shared" si="82"/>
        <v>0</v>
      </c>
    </row>
    <row r="572" spans="1:59" s="8" customFormat="1" ht="22.5" customHeight="1">
      <c r="A572" s="9"/>
      <c r="B572" s="16" t="s">
        <v>233</v>
      </c>
      <c r="C572" s="89" t="s">
        <v>494</v>
      </c>
      <c r="D572" s="111" t="s">
        <v>835</v>
      </c>
      <c r="E572" s="112"/>
      <c r="F572" s="113" t="s">
        <v>1994</v>
      </c>
      <c r="G572" s="113" t="s">
        <v>1995</v>
      </c>
      <c r="H572" s="95"/>
      <c r="I572" s="9"/>
      <c r="J572" s="9" t="s">
        <v>558</v>
      </c>
      <c r="K572" s="14"/>
      <c r="L572" s="14"/>
      <c r="M572" s="12">
        <v>53</v>
      </c>
      <c r="N572" s="9"/>
      <c r="O572" s="9"/>
      <c r="P572" s="9"/>
      <c r="Q572" s="38">
        <f t="shared" si="76"/>
        <v>53</v>
      </c>
      <c r="R572" s="12"/>
      <c r="S572" s="42"/>
      <c r="T572" s="15"/>
      <c r="U572" s="44"/>
      <c r="V572" s="15"/>
      <c r="W572" s="44"/>
      <c r="X572" s="15">
        <f t="shared" si="79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80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81"/>
        <v>0</v>
      </c>
      <c r="BC572" s="15"/>
      <c r="BD572" s="44"/>
      <c r="BE572" s="15"/>
      <c r="BF572" s="44"/>
      <c r="BG572" s="15">
        <f t="shared" si="82"/>
        <v>0</v>
      </c>
    </row>
    <row r="573" spans="1:59" s="8" customFormat="1" ht="21.95" customHeight="1">
      <c r="A573" s="9"/>
      <c r="B573" s="16" t="s">
        <v>836</v>
      </c>
      <c r="C573" s="89" t="s">
        <v>151</v>
      </c>
      <c r="D573" s="111" t="s">
        <v>837</v>
      </c>
      <c r="E573" s="112"/>
      <c r="F573" s="113" t="s">
        <v>1996</v>
      </c>
      <c r="G573" s="113" t="s">
        <v>1997</v>
      </c>
      <c r="H573" s="95"/>
      <c r="I573" s="9"/>
      <c r="J573" s="9" t="s">
        <v>805</v>
      </c>
      <c r="K573" s="14"/>
      <c r="L573" s="14"/>
      <c r="M573" s="12"/>
      <c r="N573" s="9"/>
      <c r="O573" s="9"/>
      <c r="P573" s="9"/>
      <c r="Q573" s="38">
        <f t="shared" si="76"/>
        <v>0</v>
      </c>
      <c r="R573" s="12"/>
      <c r="S573" s="42"/>
      <c r="T573" s="15"/>
      <c r="U573" s="44"/>
      <c r="V573" s="15"/>
      <c r="W573" s="44"/>
      <c r="X573" s="15">
        <f t="shared" si="79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80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81"/>
        <v>0</v>
      </c>
      <c r="BC573" s="15"/>
      <c r="BD573" s="44"/>
      <c r="BE573" s="15"/>
      <c r="BF573" s="44"/>
      <c r="BG573" s="15">
        <f t="shared" si="82"/>
        <v>0</v>
      </c>
    </row>
    <row r="574" spans="1:59" s="8" customFormat="1" ht="21.95" customHeight="1">
      <c r="A574" s="9"/>
      <c r="B574" s="16" t="s">
        <v>836</v>
      </c>
      <c r="C574" s="89" t="s">
        <v>151</v>
      </c>
      <c r="D574" s="111" t="s">
        <v>838</v>
      </c>
      <c r="E574" s="112"/>
      <c r="F574" s="113" t="s">
        <v>1998</v>
      </c>
      <c r="G574" s="113" t="s">
        <v>1999</v>
      </c>
      <c r="H574" s="95"/>
      <c r="I574" s="9"/>
      <c r="J574" s="9" t="s">
        <v>805</v>
      </c>
      <c r="K574" s="14"/>
      <c r="L574" s="14"/>
      <c r="M574" s="12"/>
      <c r="N574" s="9"/>
      <c r="O574" s="9"/>
      <c r="P574" s="9"/>
      <c r="Q574" s="38">
        <f t="shared" si="76"/>
        <v>0</v>
      </c>
      <c r="R574" s="12"/>
      <c r="S574" s="42"/>
      <c r="T574" s="15"/>
      <c r="U574" s="44"/>
      <c r="V574" s="15"/>
      <c r="W574" s="44"/>
      <c r="X574" s="15">
        <f t="shared" si="79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80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81"/>
        <v>0</v>
      </c>
      <c r="BC574" s="15"/>
      <c r="BD574" s="44"/>
      <c r="BE574" s="15"/>
      <c r="BF574" s="44"/>
      <c r="BG574" s="15">
        <f t="shared" si="82"/>
        <v>0</v>
      </c>
    </row>
    <row r="575" spans="1:59" s="8" customFormat="1" ht="21.95" customHeight="1">
      <c r="A575" s="9"/>
      <c r="B575" s="16" t="s">
        <v>836</v>
      </c>
      <c r="C575" s="89" t="s">
        <v>151</v>
      </c>
      <c r="D575" s="111" t="s">
        <v>839</v>
      </c>
      <c r="E575" s="112"/>
      <c r="F575" s="113" t="s">
        <v>2000</v>
      </c>
      <c r="G575" s="113" t="s">
        <v>2001</v>
      </c>
      <c r="H575" s="95"/>
      <c r="I575" s="9"/>
      <c r="J575" s="9" t="s">
        <v>840</v>
      </c>
      <c r="K575" s="14"/>
      <c r="L575" s="14"/>
      <c r="M575" s="12"/>
      <c r="N575" s="9"/>
      <c r="O575" s="9"/>
      <c r="P575" s="9"/>
      <c r="Q575" s="38">
        <f t="shared" si="76"/>
        <v>0</v>
      </c>
      <c r="R575" s="12"/>
      <c r="S575" s="42"/>
      <c r="T575" s="15"/>
      <c r="U575" s="44"/>
      <c r="V575" s="15"/>
      <c r="W575" s="44"/>
      <c r="X575" s="15">
        <f t="shared" si="79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80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81"/>
        <v>0</v>
      </c>
      <c r="BC575" s="15"/>
      <c r="BD575" s="44"/>
      <c r="BE575" s="15"/>
      <c r="BF575" s="44"/>
      <c r="BG575" s="15">
        <f t="shared" si="82"/>
        <v>0</v>
      </c>
    </row>
    <row r="576" spans="1:59" s="8" customFormat="1" ht="21.95" customHeight="1">
      <c r="A576" s="9"/>
      <c r="B576" s="16" t="s">
        <v>836</v>
      </c>
      <c r="C576" s="89" t="s">
        <v>151</v>
      </c>
      <c r="D576" s="111" t="s">
        <v>841</v>
      </c>
      <c r="E576" s="112"/>
      <c r="F576" s="113" t="s">
        <v>2002</v>
      </c>
      <c r="G576" s="113" t="s">
        <v>2003</v>
      </c>
      <c r="H576" s="95"/>
      <c r="I576" s="9"/>
      <c r="J576" s="9" t="s">
        <v>840</v>
      </c>
      <c r="K576" s="14"/>
      <c r="L576" s="14"/>
      <c r="M576" s="12"/>
      <c r="N576" s="9"/>
      <c r="O576" s="9"/>
      <c r="P576" s="9"/>
      <c r="Q576" s="38">
        <f t="shared" si="76"/>
        <v>0</v>
      </c>
      <c r="R576" s="12"/>
      <c r="S576" s="42"/>
      <c r="T576" s="15"/>
      <c r="U576" s="44"/>
      <c r="V576" s="15"/>
      <c r="W576" s="44"/>
      <c r="X576" s="15">
        <f t="shared" si="79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80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>
        <f t="shared" si="81"/>
        <v>0</v>
      </c>
      <c r="BC576" s="15"/>
      <c r="BD576" s="44"/>
      <c r="BE576" s="15"/>
      <c r="BF576" s="44"/>
      <c r="BG576" s="15">
        <f t="shared" si="82"/>
        <v>0</v>
      </c>
    </row>
    <row r="577" spans="1:59" s="8" customFormat="1" ht="22.5" customHeight="1">
      <c r="A577" s="9"/>
      <c r="B577" s="16" t="s">
        <v>836</v>
      </c>
      <c r="C577" s="89" t="s">
        <v>151</v>
      </c>
      <c r="D577" s="111" t="s">
        <v>842</v>
      </c>
      <c r="E577" s="112"/>
      <c r="F577" s="113" t="s">
        <v>2004</v>
      </c>
      <c r="G577" s="113" t="s">
        <v>2005</v>
      </c>
      <c r="H577" s="95"/>
      <c r="I577" s="9"/>
      <c r="J577" s="9" t="s">
        <v>840</v>
      </c>
      <c r="K577" s="14"/>
      <c r="L577" s="14"/>
      <c r="M577" s="12"/>
      <c r="N577" s="9"/>
      <c r="O577" s="9"/>
      <c r="P577" s="9"/>
      <c r="Q577" s="38">
        <f t="shared" si="76"/>
        <v>0</v>
      </c>
      <c r="R577" s="12"/>
      <c r="S577" s="42"/>
      <c r="T577" s="15"/>
      <c r="U577" s="44"/>
      <c r="V577" s="15"/>
      <c r="W577" s="44"/>
      <c r="X577" s="15">
        <f t="shared" si="79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80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>
        <f t="shared" si="81"/>
        <v>0</v>
      </c>
      <c r="BC577" s="15"/>
      <c r="BD577" s="44"/>
      <c r="BE577" s="15"/>
      <c r="BF577" s="44"/>
      <c r="BG577" s="15">
        <f t="shared" si="82"/>
        <v>0</v>
      </c>
    </row>
    <row r="578" spans="1:59" s="8" customFormat="1" ht="22.5" customHeight="1">
      <c r="A578" s="9"/>
      <c r="B578" s="16" t="s">
        <v>836</v>
      </c>
      <c r="C578" s="89" t="s">
        <v>151</v>
      </c>
      <c r="D578" s="111" t="s">
        <v>843</v>
      </c>
      <c r="E578" s="112"/>
      <c r="F578" s="113" t="s">
        <v>2006</v>
      </c>
      <c r="G578" s="113" t="s">
        <v>2007</v>
      </c>
      <c r="H578" s="95"/>
      <c r="I578" s="9"/>
      <c r="J578" s="9" t="s">
        <v>840</v>
      </c>
      <c r="K578" s="14"/>
      <c r="L578" s="14"/>
      <c r="M578" s="12"/>
      <c r="N578" s="9"/>
      <c r="O578" s="9"/>
      <c r="P578" s="9"/>
      <c r="Q578" s="38">
        <f t="shared" si="76"/>
        <v>0</v>
      </c>
      <c r="R578" s="12"/>
      <c r="S578" s="42"/>
      <c r="T578" s="15"/>
      <c r="U578" s="44"/>
      <c r="V578" s="15"/>
      <c r="W578" s="44"/>
      <c r="X578" s="15">
        <f t="shared" si="79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80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si="81"/>
        <v>0</v>
      </c>
      <c r="BC578" s="15"/>
      <c r="BD578" s="44"/>
      <c r="BE578" s="15"/>
      <c r="BF578" s="44"/>
      <c r="BG578" s="15">
        <f t="shared" si="82"/>
        <v>0</v>
      </c>
    </row>
    <row r="579" spans="1:59" s="8" customFormat="1" ht="22.5" customHeight="1">
      <c r="A579" s="9"/>
      <c r="B579" s="16" t="s">
        <v>836</v>
      </c>
      <c r="C579" s="89" t="s">
        <v>151</v>
      </c>
      <c r="D579" s="111" t="s">
        <v>844</v>
      </c>
      <c r="E579" s="112" t="s">
        <v>845</v>
      </c>
      <c r="F579" s="113" t="s">
        <v>2008</v>
      </c>
      <c r="G579" s="113" t="s">
        <v>2009</v>
      </c>
      <c r="H579" s="95"/>
      <c r="I579" s="9"/>
      <c r="J579" s="9" t="s">
        <v>840</v>
      </c>
      <c r="K579" s="14"/>
      <c r="L579" s="14"/>
      <c r="M579" s="12"/>
      <c r="N579" s="9"/>
      <c r="O579" s="9"/>
      <c r="P579" s="9"/>
      <c r="Q579" s="38">
        <f t="shared" si="76"/>
        <v>0</v>
      </c>
      <c r="R579" s="12"/>
      <c r="S579" s="42"/>
      <c r="T579" s="15"/>
      <c r="U579" s="44"/>
      <c r="V579" s="15"/>
      <c r="W579" s="44"/>
      <c r="X579" s="15">
        <f t="shared" si="79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80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81"/>
        <v>0</v>
      </c>
      <c r="BC579" s="15"/>
      <c r="BD579" s="44"/>
      <c r="BE579" s="15"/>
      <c r="BF579" s="44"/>
      <c r="BG579" s="15">
        <f t="shared" si="82"/>
        <v>0</v>
      </c>
    </row>
    <row r="580" spans="1:59" s="8" customFormat="1" ht="22.5" customHeight="1">
      <c r="A580" s="9"/>
      <c r="B580" s="16" t="s">
        <v>846</v>
      </c>
      <c r="C580" s="89" t="s">
        <v>151</v>
      </c>
      <c r="D580" s="111" t="s">
        <v>847</v>
      </c>
      <c r="E580" s="112" t="s">
        <v>848</v>
      </c>
      <c r="F580" s="113" t="s">
        <v>2010</v>
      </c>
      <c r="G580" s="113" t="s">
        <v>2011</v>
      </c>
      <c r="H580" s="95"/>
      <c r="I580" s="9"/>
      <c r="J580" s="9" t="s">
        <v>746</v>
      </c>
      <c r="K580" s="14"/>
      <c r="L580" s="14"/>
      <c r="M580" s="12">
        <v>248</v>
      </c>
      <c r="N580" s="9"/>
      <c r="O580" s="9"/>
      <c r="P580" s="9"/>
      <c r="Q580" s="38">
        <f t="shared" si="76"/>
        <v>248</v>
      </c>
      <c r="R580" s="12"/>
      <c r="S580" s="42"/>
      <c r="T580" s="15"/>
      <c r="U580" s="44"/>
      <c r="V580" s="15"/>
      <c r="W580" s="44"/>
      <c r="X580" s="15">
        <f t="shared" si="79"/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si="80"/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81"/>
        <v>0</v>
      </c>
      <c r="BC580" s="15"/>
      <c r="BD580" s="44"/>
      <c r="BE580" s="15"/>
      <c r="BF580" s="44"/>
      <c r="BG580" s="15">
        <f t="shared" si="82"/>
        <v>0</v>
      </c>
    </row>
    <row r="581" spans="1:59" s="8" customFormat="1" ht="22.5" customHeight="1">
      <c r="A581" s="9"/>
      <c r="B581" s="16" t="s">
        <v>846</v>
      </c>
      <c r="C581" s="89" t="s">
        <v>151</v>
      </c>
      <c r="D581" s="111" t="s">
        <v>849</v>
      </c>
      <c r="E581" s="112"/>
      <c r="F581" s="113" t="s">
        <v>849</v>
      </c>
      <c r="G581" s="113" t="s">
        <v>2012</v>
      </c>
      <c r="H581" s="95"/>
      <c r="I581" s="9"/>
      <c r="J581" s="9" t="s">
        <v>467</v>
      </c>
      <c r="K581" s="14"/>
      <c r="L581" s="14"/>
      <c r="M581" s="12"/>
      <c r="N581" s="9"/>
      <c r="O581" s="9"/>
      <c r="P581" s="9"/>
      <c r="Q581" s="38">
        <f t="shared" si="76"/>
        <v>0</v>
      </c>
      <c r="R581" s="12"/>
      <c r="S581" s="42"/>
      <c r="T581" s="15"/>
      <c r="U581" s="44"/>
      <c r="V581" s="15"/>
      <c r="W581" s="44"/>
      <c r="X581" s="15">
        <f t="shared" si="79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80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81"/>
        <v>0</v>
      </c>
      <c r="BC581" s="15"/>
      <c r="BD581" s="44"/>
      <c r="BE581" s="15"/>
      <c r="BF581" s="44"/>
      <c r="BG581" s="15">
        <f t="shared" si="82"/>
        <v>0</v>
      </c>
    </row>
    <row r="582" spans="1:59" s="8" customFormat="1" ht="22.5" customHeight="1">
      <c r="A582" s="9"/>
      <c r="B582" s="16" t="s">
        <v>850</v>
      </c>
      <c r="C582" s="89" t="s">
        <v>151</v>
      </c>
      <c r="D582" s="111" t="s">
        <v>851</v>
      </c>
      <c r="E582" s="112"/>
      <c r="F582" s="113" t="s">
        <v>851</v>
      </c>
      <c r="G582" s="113" t="s">
        <v>2013</v>
      </c>
      <c r="H582" s="95"/>
      <c r="I582" s="9"/>
      <c r="J582" s="9" t="s">
        <v>67</v>
      </c>
      <c r="K582" s="14"/>
      <c r="L582" s="14"/>
      <c r="M582" s="12"/>
      <c r="N582" s="9"/>
      <c r="O582" s="9"/>
      <c r="P582" s="9"/>
      <c r="Q582" s="38">
        <f t="shared" si="76"/>
        <v>0</v>
      </c>
      <c r="R582" s="12"/>
      <c r="S582" s="42"/>
      <c r="T582" s="15"/>
      <c r="U582" s="44"/>
      <c r="V582" s="15"/>
      <c r="W582" s="44"/>
      <c r="X582" s="15">
        <f t="shared" si="79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80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81"/>
        <v>0</v>
      </c>
      <c r="BC582" s="15"/>
      <c r="BD582" s="44"/>
      <c r="BE582" s="15"/>
      <c r="BF582" s="44"/>
      <c r="BG582" s="15">
        <f t="shared" si="82"/>
        <v>0</v>
      </c>
    </row>
    <row r="583" spans="1:59" s="8" customFormat="1" ht="22.5" customHeight="1">
      <c r="A583" s="9"/>
      <c r="B583" s="16" t="s">
        <v>161</v>
      </c>
      <c r="C583" s="89" t="s">
        <v>151</v>
      </c>
      <c r="D583" s="111" t="s">
        <v>852</v>
      </c>
      <c r="E583" s="112" t="s">
        <v>853</v>
      </c>
      <c r="F583" s="113" t="s">
        <v>2014</v>
      </c>
      <c r="G583" s="113" t="s">
        <v>2015</v>
      </c>
      <c r="H583" s="95"/>
      <c r="I583" s="9"/>
      <c r="J583" s="9" t="s">
        <v>467</v>
      </c>
      <c r="K583" s="14"/>
      <c r="L583" s="14"/>
      <c r="M583" s="12"/>
      <c r="N583" s="9"/>
      <c r="O583" s="9"/>
      <c r="P583" s="9"/>
      <c r="Q583" s="38">
        <f t="shared" si="76"/>
        <v>0</v>
      </c>
      <c r="R583" s="12"/>
      <c r="S583" s="42"/>
      <c r="T583" s="15"/>
      <c r="U583" s="44"/>
      <c r="V583" s="15"/>
      <c r="W583" s="44"/>
      <c r="X583" s="15">
        <f t="shared" si="79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80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81"/>
        <v>0</v>
      </c>
      <c r="BC583" s="15"/>
      <c r="BD583" s="44"/>
      <c r="BE583" s="15"/>
      <c r="BF583" s="44"/>
      <c r="BG583" s="15">
        <f t="shared" si="82"/>
        <v>0</v>
      </c>
    </row>
    <row r="584" spans="1:59" s="8" customFormat="1" ht="22.5" customHeight="1">
      <c r="A584" s="9"/>
      <c r="B584" s="16" t="s">
        <v>854</v>
      </c>
      <c r="C584" s="89" t="s">
        <v>140</v>
      </c>
      <c r="D584" s="111" t="s">
        <v>855</v>
      </c>
      <c r="E584" s="112" t="s">
        <v>856</v>
      </c>
      <c r="F584" s="113" t="s">
        <v>2016</v>
      </c>
      <c r="G584" s="113" t="s">
        <v>2017</v>
      </c>
      <c r="H584" s="95"/>
      <c r="I584" s="9"/>
      <c r="J584" s="9" t="s">
        <v>422</v>
      </c>
      <c r="K584" s="14"/>
      <c r="L584" s="14"/>
      <c r="M584" s="12"/>
      <c r="N584" s="9"/>
      <c r="O584" s="9"/>
      <c r="P584" s="9"/>
      <c r="Q584" s="38">
        <f t="shared" si="76"/>
        <v>0</v>
      </c>
      <c r="R584" s="12"/>
      <c r="S584" s="42"/>
      <c r="T584" s="15"/>
      <c r="U584" s="44"/>
      <c r="V584" s="15"/>
      <c r="W584" s="44"/>
      <c r="X584" s="15">
        <f t="shared" ref="X584:X615" si="83">R584+T584+V584</f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ref="AG584:AG615" si="84">(Y584+AA584+AC584+AE584)</f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81"/>
        <v>0</v>
      </c>
      <c r="BC584" s="15"/>
      <c r="BD584" s="44"/>
      <c r="BE584" s="15"/>
      <c r="BF584" s="44"/>
      <c r="BG584" s="15">
        <f t="shared" si="82"/>
        <v>0</v>
      </c>
    </row>
    <row r="585" spans="1:59" s="8" customFormat="1" ht="22.5" customHeight="1">
      <c r="A585" s="9"/>
      <c r="B585" s="16" t="s">
        <v>489</v>
      </c>
      <c r="C585" s="89" t="s">
        <v>132</v>
      </c>
      <c r="D585" s="111" t="s">
        <v>857</v>
      </c>
      <c r="E585" s="112" t="s">
        <v>858</v>
      </c>
      <c r="F585" s="113" t="s">
        <v>2018</v>
      </c>
      <c r="G585" s="113" t="s">
        <v>2019</v>
      </c>
      <c r="H585" s="95"/>
      <c r="I585" s="9"/>
      <c r="J585" s="9" t="s">
        <v>859</v>
      </c>
      <c r="K585" s="14"/>
      <c r="L585" s="14"/>
      <c r="M585" s="12">
        <v>1000</v>
      </c>
      <c r="N585" s="9"/>
      <c r="O585" s="9"/>
      <c r="P585" s="9"/>
      <c r="Q585" s="38">
        <f t="shared" si="76"/>
        <v>1000</v>
      </c>
      <c r="R585" s="12"/>
      <c r="S585" s="42"/>
      <c r="T585" s="15"/>
      <c r="U585" s="44"/>
      <c r="V585" s="15"/>
      <c r="W585" s="44"/>
      <c r="X585" s="15">
        <f t="shared" si="83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84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81"/>
        <v>0</v>
      </c>
      <c r="BC585" s="15"/>
      <c r="BD585" s="44"/>
      <c r="BE585" s="15"/>
      <c r="BF585" s="44"/>
      <c r="BG585" s="15">
        <f t="shared" si="82"/>
        <v>0</v>
      </c>
    </row>
    <row r="586" spans="1:59" s="8" customFormat="1" ht="22.5" customHeight="1">
      <c r="A586" s="9"/>
      <c r="B586" s="16" t="s">
        <v>2020</v>
      </c>
      <c r="C586" s="89" t="s">
        <v>48</v>
      </c>
      <c r="D586" s="56" t="s">
        <v>74</v>
      </c>
      <c r="E586" s="13" t="s">
        <v>75</v>
      </c>
      <c r="H586" s="95"/>
      <c r="I586" s="9"/>
      <c r="J586" s="9" t="s">
        <v>67</v>
      </c>
      <c r="K586" s="14"/>
      <c r="L586" s="14"/>
      <c r="M586" s="12">
        <v>1000</v>
      </c>
      <c r="N586" s="9"/>
      <c r="O586" s="9"/>
      <c r="P586" s="9"/>
      <c r="Q586" s="38">
        <f t="shared" si="76"/>
        <v>1000</v>
      </c>
      <c r="R586" s="12"/>
      <c r="S586" s="42"/>
      <c r="T586" s="15"/>
      <c r="U586" s="44"/>
      <c r="V586" s="15"/>
      <c r="W586" s="44"/>
      <c r="X586" s="15">
        <f t="shared" si="83"/>
        <v>0</v>
      </c>
      <c r="Y586" s="15"/>
      <c r="Z586" s="44"/>
      <c r="AA586" s="15"/>
      <c r="AB586" s="44"/>
      <c r="AC586" s="15"/>
      <c r="AD586" s="44"/>
      <c r="AE586" s="15"/>
      <c r="AF586" s="44"/>
      <c r="AG586" s="15">
        <f t="shared" si="84"/>
        <v>0</v>
      </c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/>
      <c r="BA586" s="42"/>
      <c r="BB586" s="15"/>
      <c r="BC586" s="15"/>
      <c r="BD586" s="44"/>
      <c r="BE586" s="15"/>
      <c r="BF586" s="44"/>
      <c r="BG586" s="15"/>
    </row>
    <row r="587" spans="1:59" s="8" customFormat="1" ht="21.95" customHeight="1">
      <c r="A587" s="9">
        <v>999</v>
      </c>
      <c r="B587" s="16" t="s">
        <v>204</v>
      </c>
      <c r="C587" s="89" t="s">
        <v>132</v>
      </c>
      <c r="D587" s="111" t="s">
        <v>2021</v>
      </c>
      <c r="E587" s="112" t="s">
        <v>861</v>
      </c>
      <c r="F587" s="113" t="s">
        <v>2022</v>
      </c>
      <c r="G587" s="113" t="s">
        <v>2023</v>
      </c>
      <c r="H587" s="12"/>
      <c r="I587" s="9"/>
      <c r="J587" s="9" t="s">
        <v>207</v>
      </c>
      <c r="K587" s="14"/>
      <c r="L587" s="14"/>
      <c r="M587" s="12">
        <v>200</v>
      </c>
      <c r="N587" s="9"/>
      <c r="O587" s="9"/>
      <c r="P587" s="9"/>
      <c r="Q587" s="38">
        <f t="shared" si="76"/>
        <v>200</v>
      </c>
      <c r="R587" s="12"/>
      <c r="S587" s="42"/>
      <c r="T587" s="15"/>
      <c r="U587" s="44"/>
      <c r="V587" s="15"/>
      <c r="W587" s="44"/>
      <c r="X587" s="15">
        <f t="shared" si="83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84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>
        <f t="shared" ref="BB587:BB592" si="85">AH587+AJ587+AL587+AN587+AP587+AR587+AT587+AV587+AX587+AZ587</f>
        <v>0</v>
      </c>
      <c r="BC587" s="15"/>
      <c r="BD587" s="44"/>
      <c r="BE587" s="15"/>
      <c r="BF587" s="44"/>
      <c r="BG587" s="15">
        <f t="shared" ref="BG587:BG592" si="86">(BC587+BE587)</f>
        <v>0</v>
      </c>
    </row>
    <row r="588" spans="1:59" s="8" customFormat="1" ht="21.95" customHeight="1">
      <c r="A588" s="9">
        <v>999</v>
      </c>
      <c r="B588" s="16" t="s">
        <v>204</v>
      </c>
      <c r="C588" s="89" t="s">
        <v>132</v>
      </c>
      <c r="D588" s="111" t="s">
        <v>862</v>
      </c>
      <c r="E588" s="112" t="s">
        <v>861</v>
      </c>
      <c r="F588" s="113" t="s">
        <v>2024</v>
      </c>
      <c r="G588" s="113" t="s">
        <v>2025</v>
      </c>
      <c r="H588" s="12"/>
      <c r="I588" s="9"/>
      <c r="J588" s="9" t="s">
        <v>207</v>
      </c>
      <c r="K588" s="14"/>
      <c r="L588" s="14"/>
      <c r="M588" s="12"/>
      <c r="N588" s="9"/>
      <c r="O588" s="9"/>
      <c r="P588" s="9"/>
      <c r="Q588" s="38">
        <f t="shared" si="76"/>
        <v>0</v>
      </c>
      <c r="R588" s="12"/>
      <c r="S588" s="42"/>
      <c r="T588" s="15"/>
      <c r="U588" s="44"/>
      <c r="V588" s="15"/>
      <c r="W588" s="44"/>
      <c r="X588" s="15">
        <f t="shared" si="83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84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 t="shared" si="85"/>
        <v>0</v>
      </c>
      <c r="BC588" s="15"/>
      <c r="BD588" s="44"/>
      <c r="BE588" s="15"/>
      <c r="BF588" s="44"/>
      <c r="BG588" s="15">
        <f t="shared" si="86"/>
        <v>0</v>
      </c>
    </row>
    <row r="589" spans="1:59" s="8" customFormat="1" ht="21.95" customHeight="1">
      <c r="A589" s="9">
        <v>999</v>
      </c>
      <c r="B589" s="16" t="s">
        <v>204</v>
      </c>
      <c r="C589" s="89" t="s">
        <v>132</v>
      </c>
      <c r="D589" s="56" t="s">
        <v>2026</v>
      </c>
      <c r="E589" s="11" t="s">
        <v>2027</v>
      </c>
      <c r="H589" s="12"/>
      <c r="I589" s="9"/>
      <c r="J589" s="9" t="s">
        <v>207</v>
      </c>
      <c r="K589" s="14"/>
      <c r="L589" s="14"/>
      <c r="M589" s="12">
        <v>198</v>
      </c>
      <c r="N589" s="9"/>
      <c r="O589" s="9"/>
      <c r="P589" s="9"/>
      <c r="Q589" s="38">
        <f t="shared" si="76"/>
        <v>198</v>
      </c>
      <c r="R589" s="12"/>
      <c r="S589" s="42"/>
      <c r="T589" s="15"/>
      <c r="U589" s="44"/>
      <c r="V589" s="15"/>
      <c r="W589" s="44"/>
      <c r="X589" s="15">
        <f t="shared" si="83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84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 t="shared" si="85"/>
        <v>0</v>
      </c>
      <c r="BC589" s="15"/>
      <c r="BD589" s="44"/>
      <c r="BE589" s="15"/>
      <c r="BF589" s="44"/>
      <c r="BG589" s="15">
        <f t="shared" si="86"/>
        <v>0</v>
      </c>
    </row>
    <row r="590" spans="1:59" s="8" customFormat="1" ht="21.95" customHeight="1">
      <c r="A590" s="9">
        <v>999</v>
      </c>
      <c r="B590" s="16" t="s">
        <v>334</v>
      </c>
      <c r="C590" s="89" t="s">
        <v>151</v>
      </c>
      <c r="D590" s="111" t="s">
        <v>863</v>
      </c>
      <c r="E590" s="112" t="s">
        <v>861</v>
      </c>
      <c r="F590" s="113" t="s">
        <v>2028</v>
      </c>
      <c r="G590" s="113" t="s">
        <v>2029</v>
      </c>
      <c r="H590" s="12"/>
      <c r="I590" s="9"/>
      <c r="J590" s="9" t="s">
        <v>147</v>
      </c>
      <c r="K590" s="14"/>
      <c r="L590" s="14"/>
      <c r="M590" s="12"/>
      <c r="N590" s="9"/>
      <c r="O590" s="9"/>
      <c r="P590" s="9"/>
      <c r="Q590" s="38">
        <f t="shared" si="76"/>
        <v>0</v>
      </c>
      <c r="R590" s="12"/>
      <c r="S590" s="42"/>
      <c r="T590" s="15"/>
      <c r="U590" s="44"/>
      <c r="V590" s="15"/>
      <c r="W590" s="44"/>
      <c r="X590" s="15">
        <f t="shared" si="83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84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 t="shared" si="85"/>
        <v>0</v>
      </c>
      <c r="BC590" s="15"/>
      <c r="BD590" s="44"/>
      <c r="BE590" s="15"/>
      <c r="BF590" s="44"/>
      <c r="BG590" s="15">
        <f t="shared" si="86"/>
        <v>0</v>
      </c>
    </row>
    <row r="591" spans="1:59" s="8" customFormat="1" ht="22.5" customHeight="1">
      <c r="A591" s="9">
        <v>32</v>
      </c>
      <c r="B591" s="16" t="s">
        <v>129</v>
      </c>
      <c r="C591" s="89" t="s">
        <v>52</v>
      </c>
      <c r="D591" s="111" t="s">
        <v>130</v>
      </c>
      <c r="E591" s="112" t="s">
        <v>864</v>
      </c>
      <c r="F591" s="113" t="s">
        <v>2030</v>
      </c>
      <c r="G591" s="113" t="s">
        <v>2031</v>
      </c>
      <c r="H591" s="95"/>
      <c r="I591" s="9"/>
      <c r="J591" s="9" t="s">
        <v>131</v>
      </c>
      <c r="K591" s="14"/>
      <c r="L591" s="14"/>
      <c r="M591" s="12"/>
      <c r="N591" s="9"/>
      <c r="O591" s="9"/>
      <c r="P591" s="9"/>
      <c r="Q591" s="38">
        <f t="shared" si="76"/>
        <v>0</v>
      </c>
      <c r="R591" s="12"/>
      <c r="S591" s="42"/>
      <c r="T591" s="15"/>
      <c r="U591" s="44"/>
      <c r="V591" s="15"/>
      <c r="W591" s="44"/>
      <c r="X591" s="15">
        <f t="shared" si="83"/>
        <v>0</v>
      </c>
      <c r="Y591" s="15"/>
      <c r="Z591" s="44"/>
      <c r="AA591" s="15"/>
      <c r="AB591" s="44"/>
      <c r="AC591" s="15"/>
      <c r="AD591" s="44"/>
      <c r="AE591" s="15"/>
      <c r="AF591" s="44"/>
      <c r="AG591" s="15">
        <f t="shared" si="84"/>
        <v>0</v>
      </c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>
        <f t="shared" si="85"/>
        <v>0</v>
      </c>
      <c r="BC591" s="15"/>
      <c r="BD591" s="44"/>
      <c r="BE591" s="15"/>
      <c r="BF591" s="44"/>
      <c r="BG591" s="15">
        <f t="shared" si="86"/>
        <v>0</v>
      </c>
    </row>
    <row r="592" spans="1:59" s="8" customFormat="1" ht="22.5" customHeight="1">
      <c r="A592" s="9">
        <v>60</v>
      </c>
      <c r="B592" s="18" t="s">
        <v>129</v>
      </c>
      <c r="C592" s="89" t="s">
        <v>52</v>
      </c>
      <c r="D592" s="111" t="s">
        <v>169</v>
      </c>
      <c r="E592" s="112" t="s">
        <v>865</v>
      </c>
      <c r="F592" s="113" t="s">
        <v>2032</v>
      </c>
      <c r="G592" s="113" t="s">
        <v>2033</v>
      </c>
      <c r="H592" s="95"/>
      <c r="I592" s="21"/>
      <c r="J592" s="21" t="s">
        <v>131</v>
      </c>
      <c r="K592" s="14"/>
      <c r="L592" s="14"/>
      <c r="M592" s="12"/>
      <c r="N592" s="9"/>
      <c r="O592" s="9"/>
      <c r="P592" s="9"/>
      <c r="Q592" s="38">
        <f t="shared" si="76"/>
        <v>0</v>
      </c>
      <c r="R592" s="12"/>
      <c r="S592" s="42"/>
      <c r="T592" s="15"/>
      <c r="U592" s="44"/>
      <c r="V592" s="15"/>
      <c r="W592" s="44"/>
      <c r="X592" s="15">
        <f t="shared" si="83"/>
        <v>0</v>
      </c>
      <c r="Y592" s="15"/>
      <c r="Z592" s="44"/>
      <c r="AA592" s="15"/>
      <c r="AB592" s="44"/>
      <c r="AC592" s="15"/>
      <c r="AD592" s="44"/>
      <c r="AE592" s="15"/>
      <c r="AF592" s="44"/>
      <c r="AG592" s="15">
        <f t="shared" si="84"/>
        <v>0</v>
      </c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/>
      <c r="BA592" s="42"/>
      <c r="BB592" s="15">
        <f t="shared" si="85"/>
        <v>0</v>
      </c>
      <c r="BC592" s="15"/>
      <c r="BD592" s="44"/>
      <c r="BE592" s="15"/>
      <c r="BF592" s="44"/>
      <c r="BG592" s="15">
        <f t="shared" si="86"/>
        <v>0</v>
      </c>
    </row>
    <row r="593" spans="1:59" s="8" customFormat="1" ht="22.5" customHeight="1">
      <c r="A593" s="9">
        <v>999</v>
      </c>
      <c r="B593" s="16" t="s">
        <v>204</v>
      </c>
      <c r="C593" s="89" t="s">
        <v>52</v>
      </c>
      <c r="D593" s="56" t="s">
        <v>2034</v>
      </c>
      <c r="E593" s="11"/>
      <c r="H593" s="12"/>
      <c r="I593" s="9"/>
      <c r="J593" s="9"/>
      <c r="K593" s="14"/>
      <c r="L593" s="14"/>
      <c r="M593" s="12">
        <v>248</v>
      </c>
      <c r="N593" s="9"/>
      <c r="O593" s="9"/>
      <c r="P593" s="9"/>
      <c r="Q593" s="38">
        <f t="shared" si="76"/>
        <v>248</v>
      </c>
      <c r="R593" s="12"/>
      <c r="S593" s="42"/>
      <c r="T593" s="15"/>
      <c r="U593" s="44"/>
      <c r="V593" s="15"/>
      <c r="W593" s="44"/>
      <c r="X593" s="15">
        <f t="shared" si="83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84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>
        <v>999</v>
      </c>
      <c r="B594" s="16" t="s">
        <v>68</v>
      </c>
      <c r="C594" s="89" t="s">
        <v>50</v>
      </c>
      <c r="D594" s="111" t="s">
        <v>69</v>
      </c>
      <c r="E594" s="112" t="s">
        <v>866</v>
      </c>
      <c r="F594" s="113" t="s">
        <v>2035</v>
      </c>
      <c r="G594" s="113" t="s">
        <v>2036</v>
      </c>
      <c r="H594" s="12"/>
      <c r="I594" s="9"/>
      <c r="J594" s="9" t="s">
        <v>71</v>
      </c>
      <c r="K594" s="14"/>
      <c r="L594" s="14"/>
      <c r="M594" s="12"/>
      <c r="N594" s="9"/>
      <c r="O594" s="9"/>
      <c r="P594" s="9"/>
      <c r="Q594" s="38">
        <f t="shared" si="76"/>
        <v>0</v>
      </c>
      <c r="R594" s="12"/>
      <c r="S594" s="42"/>
      <c r="T594" s="15"/>
      <c r="U594" s="44"/>
      <c r="V594" s="15"/>
      <c r="W594" s="44"/>
      <c r="X594" s="15">
        <f t="shared" si="83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84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25" si="87">AH594+AJ594+AL594+AN594+AP594+AR594+AT594+AV594+AX594+AZ594</f>
        <v>0</v>
      </c>
      <c r="BC594" s="15"/>
      <c r="BD594" s="44"/>
      <c r="BE594" s="15"/>
      <c r="BF594" s="44"/>
      <c r="BG594" s="15">
        <f t="shared" ref="BG594:BG625" si="88">(BC594+BE594)</f>
        <v>0</v>
      </c>
    </row>
    <row r="595" spans="1:59" s="8" customFormat="1" ht="21.95" customHeight="1">
      <c r="A595" s="9">
        <v>999</v>
      </c>
      <c r="B595" s="16" t="s">
        <v>34</v>
      </c>
      <c r="C595" s="89" t="s">
        <v>50</v>
      </c>
      <c r="D595" s="111" t="s">
        <v>867</v>
      </c>
      <c r="E595" s="112" t="s">
        <v>868</v>
      </c>
      <c r="F595" s="113" t="s">
        <v>2037</v>
      </c>
      <c r="G595" s="113" t="s">
        <v>2038</v>
      </c>
      <c r="H595" s="12"/>
      <c r="I595" s="9"/>
      <c r="J595" s="9" t="s">
        <v>71</v>
      </c>
      <c r="K595" s="14"/>
      <c r="L595" s="14"/>
      <c r="M595" s="12"/>
      <c r="N595" s="9"/>
      <c r="O595" s="9"/>
      <c r="P595" s="9"/>
      <c r="Q595" s="38">
        <f t="shared" si="76"/>
        <v>0</v>
      </c>
      <c r="R595" s="12"/>
      <c r="S595" s="42"/>
      <c r="T595" s="15"/>
      <c r="U595" s="44"/>
      <c r="V595" s="15"/>
      <c r="W595" s="44"/>
      <c r="X595" s="15">
        <f t="shared" si="83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84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87"/>
        <v>0</v>
      </c>
      <c r="BC595" s="15"/>
      <c r="BD595" s="44"/>
      <c r="BE595" s="15"/>
      <c r="BF595" s="44"/>
      <c r="BG595" s="15">
        <f t="shared" si="88"/>
        <v>0</v>
      </c>
    </row>
    <row r="596" spans="1:59" s="8" customFormat="1" ht="21.95" customHeight="1">
      <c r="A596" s="9">
        <v>999</v>
      </c>
      <c r="B596" s="18" t="s">
        <v>62</v>
      </c>
      <c r="C596" s="92" t="s">
        <v>50</v>
      </c>
      <c r="D596" s="111" t="s">
        <v>869</v>
      </c>
      <c r="E596" s="112" t="s">
        <v>62</v>
      </c>
      <c r="F596" s="113" t="s">
        <v>2039</v>
      </c>
      <c r="G596" s="113" t="s">
        <v>2040</v>
      </c>
      <c r="H596" s="20"/>
      <c r="I596" s="21"/>
      <c r="J596" s="21" t="s">
        <v>61</v>
      </c>
      <c r="K596" s="14"/>
      <c r="L596" s="14"/>
      <c r="M596" s="12"/>
      <c r="N596" s="9"/>
      <c r="O596" s="9"/>
      <c r="P596" s="9"/>
      <c r="Q596" s="38">
        <f t="shared" si="76"/>
        <v>0</v>
      </c>
      <c r="R596" s="12"/>
      <c r="S596" s="42"/>
      <c r="T596" s="15"/>
      <c r="U596" s="44"/>
      <c r="V596" s="15"/>
      <c r="W596" s="44"/>
      <c r="X596" s="15">
        <f t="shared" si="83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84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87"/>
        <v>0</v>
      </c>
      <c r="BC596" s="15"/>
      <c r="BD596" s="44"/>
      <c r="BE596" s="15"/>
      <c r="BF596" s="44"/>
      <c r="BG596" s="15">
        <f t="shared" si="88"/>
        <v>0</v>
      </c>
    </row>
    <row r="597" spans="1:59" s="8" customFormat="1" ht="21.95" customHeight="1">
      <c r="A597" s="9">
        <v>999</v>
      </c>
      <c r="B597" s="18" t="s">
        <v>62</v>
      </c>
      <c r="C597" s="92" t="s">
        <v>50</v>
      </c>
      <c r="D597" s="111" t="s">
        <v>870</v>
      </c>
      <c r="E597" s="112" t="s">
        <v>62</v>
      </c>
      <c r="F597" s="113" t="s">
        <v>2041</v>
      </c>
      <c r="G597" s="113" t="s">
        <v>2042</v>
      </c>
      <c r="H597" s="20"/>
      <c r="I597" s="21"/>
      <c r="J597" s="21" t="s">
        <v>61</v>
      </c>
      <c r="K597" s="14"/>
      <c r="L597" s="14"/>
      <c r="M597" s="12"/>
      <c r="N597" s="9"/>
      <c r="O597" s="9"/>
      <c r="P597" s="9"/>
      <c r="Q597" s="38">
        <f t="shared" si="76"/>
        <v>0</v>
      </c>
      <c r="R597" s="12"/>
      <c r="S597" s="42"/>
      <c r="T597" s="15"/>
      <c r="U597" s="44"/>
      <c r="V597" s="15"/>
      <c r="W597" s="44"/>
      <c r="X597" s="15">
        <f t="shared" si="83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84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87"/>
        <v>0</v>
      </c>
      <c r="BC597" s="15"/>
      <c r="BD597" s="44"/>
      <c r="BE597" s="15"/>
      <c r="BF597" s="44"/>
      <c r="BG597" s="15">
        <f t="shared" si="88"/>
        <v>0</v>
      </c>
    </row>
    <row r="598" spans="1:59" s="8" customFormat="1" ht="21.95" customHeight="1">
      <c r="A598" s="9">
        <v>999</v>
      </c>
      <c r="B598" s="18" t="s">
        <v>62</v>
      </c>
      <c r="C598" s="92" t="s">
        <v>50</v>
      </c>
      <c r="D598" s="111" t="s">
        <v>871</v>
      </c>
      <c r="E598" s="112" t="s">
        <v>62</v>
      </c>
      <c r="F598" s="113" t="s">
        <v>2043</v>
      </c>
      <c r="G598" s="113" t="s">
        <v>2044</v>
      </c>
      <c r="H598" s="20"/>
      <c r="I598" s="21"/>
      <c r="J598" s="21" t="s">
        <v>61</v>
      </c>
      <c r="K598" s="14"/>
      <c r="L598" s="14"/>
      <c r="M598" s="12"/>
      <c r="N598" s="9"/>
      <c r="O598" s="9"/>
      <c r="P598" s="9"/>
      <c r="Q598" s="38">
        <f t="shared" si="76"/>
        <v>0</v>
      </c>
      <c r="R598" s="12"/>
      <c r="S598" s="42"/>
      <c r="T598" s="15"/>
      <c r="U598" s="44"/>
      <c r="V598" s="15"/>
      <c r="W598" s="44"/>
      <c r="X598" s="15">
        <f t="shared" si="83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84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87"/>
        <v>0</v>
      </c>
      <c r="BC598" s="15"/>
      <c r="BD598" s="44"/>
      <c r="BE598" s="15"/>
      <c r="BF598" s="44"/>
      <c r="BG598" s="15">
        <f t="shared" si="88"/>
        <v>0</v>
      </c>
    </row>
    <row r="599" spans="1:59" s="8" customFormat="1" ht="22.5" customHeight="1">
      <c r="A599" s="9">
        <v>999</v>
      </c>
      <c r="B599" s="16" t="s">
        <v>155</v>
      </c>
      <c r="C599" s="89" t="s">
        <v>50</v>
      </c>
      <c r="D599" s="111" t="s">
        <v>872</v>
      </c>
      <c r="E599" s="112" t="s">
        <v>873</v>
      </c>
      <c r="F599" s="113" t="s">
        <v>2045</v>
      </c>
      <c r="G599" s="113" t="s">
        <v>2046</v>
      </c>
      <c r="H599" s="96"/>
      <c r="I599" s="9"/>
      <c r="J599" s="9"/>
      <c r="K599" s="14"/>
      <c r="L599" s="14"/>
      <c r="M599" s="12"/>
      <c r="N599" s="9"/>
      <c r="O599" s="9"/>
      <c r="P599" s="9"/>
      <c r="Q599" s="38">
        <f t="shared" si="76"/>
        <v>0</v>
      </c>
      <c r="R599" s="12"/>
      <c r="S599" s="42"/>
      <c r="T599" s="15"/>
      <c r="U599" s="44"/>
      <c r="V599" s="15"/>
      <c r="W599" s="44"/>
      <c r="X599" s="15">
        <f t="shared" si="83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84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87"/>
        <v>0</v>
      </c>
      <c r="BC599" s="15"/>
      <c r="BD599" s="44"/>
      <c r="BE599" s="15"/>
      <c r="BF599" s="44"/>
      <c r="BG599" s="15">
        <f t="shared" si="88"/>
        <v>0</v>
      </c>
    </row>
    <row r="600" spans="1:59" s="8" customFormat="1" ht="22.5" customHeight="1">
      <c r="A600" s="9">
        <v>999</v>
      </c>
      <c r="B600" s="18" t="s">
        <v>172</v>
      </c>
      <c r="C600" s="89" t="s">
        <v>48</v>
      </c>
      <c r="D600" s="111" t="s">
        <v>874</v>
      </c>
      <c r="E600" s="112"/>
      <c r="F600" s="113" t="s">
        <v>2047</v>
      </c>
      <c r="G600" s="113" t="s">
        <v>2048</v>
      </c>
      <c r="H600" s="20"/>
      <c r="I600" s="21"/>
      <c r="J600" s="21" t="s">
        <v>67</v>
      </c>
      <c r="K600" s="14"/>
      <c r="L600" s="14"/>
      <c r="M600" s="12"/>
      <c r="N600" s="9"/>
      <c r="O600" s="9"/>
      <c r="P600" s="9"/>
      <c r="Q600" s="38">
        <f t="shared" si="76"/>
        <v>0</v>
      </c>
      <c r="R600" s="12"/>
      <c r="S600" s="42"/>
      <c r="T600" s="15"/>
      <c r="U600" s="44"/>
      <c r="V600" s="15"/>
      <c r="W600" s="44"/>
      <c r="X600" s="15">
        <f t="shared" si="83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84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87"/>
        <v>0</v>
      </c>
      <c r="BC600" s="15"/>
      <c r="BD600" s="44"/>
      <c r="BE600" s="15"/>
      <c r="BF600" s="44"/>
      <c r="BG600" s="15">
        <f t="shared" si="88"/>
        <v>0</v>
      </c>
    </row>
    <row r="601" spans="1:59" s="8" customFormat="1" ht="22.5" customHeight="1">
      <c r="A601" s="9"/>
      <c r="B601" s="16" t="s">
        <v>172</v>
      </c>
      <c r="C601" s="89" t="s">
        <v>52</v>
      </c>
      <c r="D601" s="84" t="s">
        <v>890</v>
      </c>
      <c r="E601" s="13"/>
      <c r="F601" s="109" t="s">
        <v>1144</v>
      </c>
      <c r="G601" s="109"/>
      <c r="H601" s="96"/>
      <c r="I601" s="9"/>
      <c r="J601" s="9" t="s">
        <v>67</v>
      </c>
      <c r="K601" s="14"/>
      <c r="L601" s="14"/>
      <c r="M601" s="12"/>
      <c r="N601" s="9"/>
      <c r="O601" s="9"/>
      <c r="P601" s="9"/>
      <c r="Q601" s="38">
        <f t="shared" si="76"/>
        <v>0</v>
      </c>
      <c r="R601" s="12"/>
      <c r="S601" s="42"/>
      <c r="T601" s="15"/>
      <c r="U601" s="44"/>
      <c r="V601" s="15"/>
      <c r="W601" s="44"/>
      <c r="X601" s="15">
        <f t="shared" si="83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84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87"/>
        <v>0</v>
      </c>
      <c r="BC601" s="15"/>
      <c r="BD601" s="44"/>
      <c r="BE601" s="15"/>
      <c r="BF601" s="44"/>
      <c r="BG601" s="15">
        <f t="shared" si="88"/>
        <v>0</v>
      </c>
    </row>
    <row r="602" spans="1:59" s="8" customFormat="1" ht="22.5" customHeight="1">
      <c r="A602" s="9">
        <v>999</v>
      </c>
      <c r="B602" s="18" t="s">
        <v>187</v>
      </c>
      <c r="C602" s="89" t="s">
        <v>132</v>
      </c>
      <c r="D602" s="111" t="s">
        <v>276</v>
      </c>
      <c r="E602" s="112"/>
      <c r="F602" s="113" t="s">
        <v>2049</v>
      </c>
      <c r="G602" s="113" t="s">
        <v>2050</v>
      </c>
      <c r="H602" s="20"/>
      <c r="I602" s="21"/>
      <c r="J602" s="21" t="s">
        <v>67</v>
      </c>
      <c r="K602" s="14"/>
      <c r="L602" s="14"/>
      <c r="M602" s="12"/>
      <c r="N602" s="9"/>
      <c r="O602" s="9"/>
      <c r="P602" s="9"/>
      <c r="Q602" s="38">
        <f t="shared" si="76"/>
        <v>0</v>
      </c>
      <c r="R602" s="12"/>
      <c r="S602" s="42"/>
      <c r="T602" s="15"/>
      <c r="U602" s="44"/>
      <c r="V602" s="15"/>
      <c r="W602" s="44"/>
      <c r="X602" s="15">
        <f t="shared" si="83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84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87"/>
        <v>0</v>
      </c>
      <c r="BC602" s="15"/>
      <c r="BD602" s="44"/>
      <c r="BE602" s="15"/>
      <c r="BF602" s="44"/>
      <c r="BG602" s="15">
        <f t="shared" si="88"/>
        <v>0</v>
      </c>
    </row>
    <row r="603" spans="1:59" s="8" customFormat="1" ht="22.5" customHeight="1">
      <c r="A603" s="9">
        <v>999</v>
      </c>
      <c r="B603" s="18" t="s">
        <v>204</v>
      </c>
      <c r="C603" s="89" t="s">
        <v>132</v>
      </c>
      <c r="D603" s="111" t="s">
        <v>282</v>
      </c>
      <c r="E603" s="112" t="s">
        <v>210</v>
      </c>
      <c r="F603" s="113" t="s">
        <v>2051</v>
      </c>
      <c r="G603" s="113" t="s">
        <v>2052</v>
      </c>
      <c r="H603" s="20"/>
      <c r="I603" s="21"/>
      <c r="J603" s="21" t="s">
        <v>876</v>
      </c>
      <c r="K603" s="14"/>
      <c r="L603" s="14"/>
      <c r="M603" s="12"/>
      <c r="N603" s="9"/>
      <c r="O603" s="9"/>
      <c r="P603" s="9"/>
      <c r="Q603" s="38">
        <f t="shared" si="76"/>
        <v>0</v>
      </c>
      <c r="R603" s="12"/>
      <c r="S603" s="42"/>
      <c r="T603" s="15"/>
      <c r="U603" s="44"/>
      <c r="V603" s="15"/>
      <c r="W603" s="44"/>
      <c r="X603" s="15">
        <f t="shared" si="83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84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87"/>
        <v>0</v>
      </c>
      <c r="BC603" s="15"/>
      <c r="BD603" s="44"/>
      <c r="BE603" s="15"/>
      <c r="BF603" s="44"/>
      <c r="BG603" s="15">
        <f t="shared" si="88"/>
        <v>0</v>
      </c>
    </row>
    <row r="604" spans="1:59" s="8" customFormat="1" ht="22.5" customHeight="1">
      <c r="A604" s="9">
        <v>999</v>
      </c>
      <c r="B604" s="18" t="s">
        <v>120</v>
      </c>
      <c r="C604" s="89" t="s">
        <v>132</v>
      </c>
      <c r="D604" s="111" t="s">
        <v>878</v>
      </c>
      <c r="E604" s="112"/>
      <c r="F604" s="113" t="s">
        <v>2053</v>
      </c>
      <c r="G604" s="113" t="s">
        <v>2054</v>
      </c>
      <c r="H604" s="20"/>
      <c r="I604" s="21"/>
      <c r="J604" s="21" t="s">
        <v>67</v>
      </c>
      <c r="K604" s="14"/>
      <c r="L604" s="14"/>
      <c r="M604" s="12"/>
      <c r="N604" s="9"/>
      <c r="O604" s="9"/>
      <c r="P604" s="9"/>
      <c r="Q604" s="38">
        <f t="shared" si="76"/>
        <v>0</v>
      </c>
      <c r="R604" s="12"/>
      <c r="S604" s="42"/>
      <c r="T604" s="15"/>
      <c r="U604" s="44"/>
      <c r="V604" s="15"/>
      <c r="W604" s="44"/>
      <c r="X604" s="15">
        <f t="shared" si="83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84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87"/>
        <v>0</v>
      </c>
      <c r="BC604" s="15"/>
      <c r="BD604" s="44"/>
      <c r="BE604" s="15"/>
      <c r="BF604" s="44"/>
      <c r="BG604" s="15">
        <f t="shared" si="88"/>
        <v>0</v>
      </c>
    </row>
    <row r="605" spans="1:59" s="8" customFormat="1" ht="22.5" customHeight="1">
      <c r="A605" s="9">
        <v>999</v>
      </c>
      <c r="B605" s="16" t="s">
        <v>120</v>
      </c>
      <c r="C605" s="89" t="s">
        <v>48</v>
      </c>
      <c r="D605" s="74" t="s">
        <v>265</v>
      </c>
      <c r="E605" s="13" t="s">
        <v>880</v>
      </c>
      <c r="F605" s="104" t="s">
        <v>2055</v>
      </c>
      <c r="G605" s="104"/>
      <c r="H605" s="12"/>
      <c r="I605" s="9"/>
      <c r="J605" s="9" t="s">
        <v>67</v>
      </c>
      <c r="K605" s="14"/>
      <c r="L605" s="14"/>
      <c r="M605" s="12"/>
      <c r="N605" s="9"/>
      <c r="O605" s="9"/>
      <c r="P605" s="9"/>
      <c r="Q605" s="38">
        <f t="shared" si="76"/>
        <v>0</v>
      </c>
      <c r="R605" s="12"/>
      <c r="S605" s="42"/>
      <c r="T605" s="15"/>
      <c r="U605" s="44"/>
      <c r="V605" s="15"/>
      <c r="W605" s="44"/>
      <c r="X605" s="15">
        <f t="shared" si="83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84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87"/>
        <v>0</v>
      </c>
      <c r="BC605" s="15"/>
      <c r="BD605" s="44"/>
      <c r="BE605" s="15"/>
      <c r="BF605" s="44"/>
      <c r="BG605" s="15">
        <f t="shared" si="88"/>
        <v>0</v>
      </c>
    </row>
    <row r="606" spans="1:59" s="8" customFormat="1" ht="22.5" customHeight="1">
      <c r="A606" s="9">
        <v>999</v>
      </c>
      <c r="B606" s="16" t="s">
        <v>120</v>
      </c>
      <c r="C606" s="89" t="s">
        <v>48</v>
      </c>
      <c r="D606" s="111" t="s">
        <v>881</v>
      </c>
      <c r="E606" s="112" t="s">
        <v>882</v>
      </c>
      <c r="F606" s="113" t="s">
        <v>2056</v>
      </c>
      <c r="G606" s="113" t="s">
        <v>2057</v>
      </c>
      <c r="H606" s="12"/>
      <c r="I606" s="9"/>
      <c r="J606" s="9" t="s">
        <v>67</v>
      </c>
      <c r="K606" s="14"/>
      <c r="L606" s="14"/>
      <c r="M606" s="12"/>
      <c r="N606" s="9"/>
      <c r="O606" s="9"/>
      <c r="P606" s="9"/>
      <c r="Q606" s="38">
        <f t="shared" si="76"/>
        <v>0</v>
      </c>
      <c r="R606" s="12"/>
      <c r="S606" s="42"/>
      <c r="T606" s="15"/>
      <c r="U606" s="44"/>
      <c r="V606" s="15"/>
      <c r="W606" s="44"/>
      <c r="X606" s="15">
        <f t="shared" si="83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84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87"/>
        <v>0</v>
      </c>
      <c r="BC606" s="15"/>
      <c r="BD606" s="44"/>
      <c r="BE606" s="15"/>
      <c r="BF606" s="44"/>
      <c r="BG606" s="15">
        <f t="shared" si="88"/>
        <v>0</v>
      </c>
    </row>
    <row r="607" spans="1:59" s="8" customFormat="1" ht="22.5" customHeight="1">
      <c r="A607" s="9">
        <v>999</v>
      </c>
      <c r="B607" s="16" t="s">
        <v>120</v>
      </c>
      <c r="C607" s="89" t="s">
        <v>48</v>
      </c>
      <c r="D607" s="111" t="s">
        <v>883</v>
      </c>
      <c r="E607" s="112" t="s">
        <v>884</v>
      </c>
      <c r="F607" s="113" t="s">
        <v>2058</v>
      </c>
      <c r="G607" s="113" t="s">
        <v>2059</v>
      </c>
      <c r="H607" s="12"/>
      <c r="I607" s="9"/>
      <c r="J607" s="9" t="s">
        <v>67</v>
      </c>
      <c r="K607" s="14"/>
      <c r="L607" s="14"/>
      <c r="M607" s="12"/>
      <c r="N607" s="9"/>
      <c r="O607" s="9"/>
      <c r="P607" s="9"/>
      <c r="Q607" s="38">
        <f t="shared" si="76"/>
        <v>0</v>
      </c>
      <c r="R607" s="12"/>
      <c r="S607" s="42"/>
      <c r="T607" s="15"/>
      <c r="U607" s="44"/>
      <c r="V607" s="15"/>
      <c r="W607" s="44"/>
      <c r="X607" s="15">
        <f t="shared" si="83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84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87"/>
        <v>0</v>
      </c>
      <c r="BC607" s="15"/>
      <c r="BD607" s="44"/>
      <c r="BE607" s="15"/>
      <c r="BF607" s="44"/>
      <c r="BG607" s="15">
        <f t="shared" si="88"/>
        <v>0</v>
      </c>
    </row>
    <row r="608" spans="1:59" s="8" customFormat="1" ht="22.5" customHeight="1">
      <c r="A608" s="9">
        <v>999</v>
      </c>
      <c r="B608" s="16" t="s">
        <v>172</v>
      </c>
      <c r="C608" s="89" t="s">
        <v>48</v>
      </c>
      <c r="D608" s="111" t="s">
        <v>415</v>
      </c>
      <c r="E608" s="112"/>
      <c r="F608" s="113" t="s">
        <v>1490</v>
      </c>
      <c r="G608" s="113" t="s">
        <v>1491</v>
      </c>
      <c r="H608" s="12"/>
      <c r="I608" s="9"/>
      <c r="J608" s="9" t="s">
        <v>67</v>
      </c>
      <c r="K608" s="14"/>
      <c r="L608" s="14"/>
      <c r="M608" s="12"/>
      <c r="N608" s="9"/>
      <c r="O608" s="9"/>
      <c r="P608" s="9"/>
      <c r="Q608" s="38">
        <f t="shared" si="76"/>
        <v>0</v>
      </c>
      <c r="R608" s="12"/>
      <c r="S608" s="42"/>
      <c r="T608" s="15"/>
      <c r="U608" s="44"/>
      <c r="V608" s="15"/>
      <c r="W608" s="44"/>
      <c r="X608" s="15">
        <f t="shared" si="83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84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87"/>
        <v>0</v>
      </c>
      <c r="BC608" s="15"/>
      <c r="BD608" s="44"/>
      <c r="BE608" s="15"/>
      <c r="BF608" s="44"/>
      <c r="BG608" s="15">
        <f t="shared" si="88"/>
        <v>0</v>
      </c>
    </row>
    <row r="609" spans="1:59" s="8" customFormat="1" ht="22.5" customHeight="1">
      <c r="A609" s="9"/>
      <c r="B609" s="16" t="s">
        <v>172</v>
      </c>
      <c r="C609" s="89" t="s">
        <v>52</v>
      </c>
      <c r="D609" s="61" t="s">
        <v>892</v>
      </c>
      <c r="E609" s="13" t="s">
        <v>893</v>
      </c>
      <c r="F609" s="106" t="s">
        <v>1144</v>
      </c>
      <c r="G609" s="106"/>
      <c r="H609" s="96"/>
      <c r="I609" s="9"/>
      <c r="J609" s="9" t="s">
        <v>67</v>
      </c>
      <c r="K609" s="14"/>
      <c r="L609" s="14"/>
      <c r="M609" s="12"/>
      <c r="N609" s="9"/>
      <c r="O609" s="9"/>
      <c r="P609" s="9"/>
      <c r="Q609" s="38">
        <f t="shared" ref="Q609:Q676" si="89">M609+X609-AG609-BB609</f>
        <v>0</v>
      </c>
      <c r="R609" s="12"/>
      <c r="S609" s="42"/>
      <c r="T609" s="15"/>
      <c r="U609" s="44"/>
      <c r="V609" s="15"/>
      <c r="W609" s="44"/>
      <c r="X609" s="15">
        <f t="shared" si="83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84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87"/>
        <v>0</v>
      </c>
      <c r="BC609" s="15"/>
      <c r="BD609" s="44"/>
      <c r="BE609" s="15"/>
      <c r="BF609" s="44"/>
      <c r="BG609" s="15">
        <f t="shared" si="88"/>
        <v>0</v>
      </c>
    </row>
    <row r="610" spans="1:59" s="8" customFormat="1" ht="22.5" customHeight="1">
      <c r="A610" s="9"/>
      <c r="B610" s="16" t="s">
        <v>172</v>
      </c>
      <c r="C610" s="89" t="s">
        <v>52</v>
      </c>
      <c r="D610" s="80" t="s">
        <v>898</v>
      </c>
      <c r="E610" s="13" t="s">
        <v>899</v>
      </c>
      <c r="F610" s="108" t="s">
        <v>1144</v>
      </c>
      <c r="G610" s="108"/>
      <c r="H610" s="96"/>
      <c r="I610" s="9"/>
      <c r="J610" s="9" t="s">
        <v>67</v>
      </c>
      <c r="K610" s="14"/>
      <c r="L610" s="14"/>
      <c r="M610" s="12"/>
      <c r="N610" s="9"/>
      <c r="O610" s="9"/>
      <c r="P610" s="9"/>
      <c r="Q610" s="38">
        <f t="shared" si="89"/>
        <v>0</v>
      </c>
      <c r="R610" s="12"/>
      <c r="S610" s="42"/>
      <c r="T610" s="15"/>
      <c r="U610" s="44"/>
      <c r="V610" s="15"/>
      <c r="W610" s="44"/>
      <c r="X610" s="15">
        <f t="shared" si="83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84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87"/>
        <v>0</v>
      </c>
      <c r="BC610" s="15"/>
      <c r="BD610" s="44"/>
      <c r="BE610" s="15"/>
      <c r="BF610" s="44"/>
      <c r="BG610" s="15">
        <f t="shared" si="88"/>
        <v>0</v>
      </c>
    </row>
    <row r="611" spans="1:59" s="8" customFormat="1" ht="22.5" customHeight="1">
      <c r="A611" s="9"/>
      <c r="B611" s="16" t="s">
        <v>172</v>
      </c>
      <c r="C611" s="89" t="s">
        <v>52</v>
      </c>
      <c r="D611" s="111" t="s">
        <v>497</v>
      </c>
      <c r="E611" s="112"/>
      <c r="F611" s="113" t="s">
        <v>2060</v>
      </c>
      <c r="G611" s="113" t="s">
        <v>2061</v>
      </c>
      <c r="H611" s="96"/>
      <c r="I611" s="9"/>
      <c r="J611" s="9" t="s">
        <v>67</v>
      </c>
      <c r="K611" s="14"/>
      <c r="L611" s="14"/>
      <c r="M611" s="12"/>
      <c r="N611" s="9"/>
      <c r="O611" s="9"/>
      <c r="P611" s="9"/>
      <c r="Q611" s="38">
        <f t="shared" si="89"/>
        <v>0</v>
      </c>
      <c r="R611" s="12"/>
      <c r="S611" s="42"/>
      <c r="T611" s="15"/>
      <c r="U611" s="44"/>
      <c r="V611" s="15"/>
      <c r="W611" s="44"/>
      <c r="X611" s="15">
        <f t="shared" si="83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84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87"/>
        <v>0</v>
      </c>
      <c r="BC611" s="15"/>
      <c r="BD611" s="44"/>
      <c r="BE611" s="15"/>
      <c r="BF611" s="44"/>
      <c r="BG611" s="15">
        <f t="shared" si="88"/>
        <v>0</v>
      </c>
    </row>
    <row r="612" spans="1:59" s="8" customFormat="1" ht="22.5" customHeight="1">
      <c r="A612" s="9"/>
      <c r="B612" s="16" t="s">
        <v>172</v>
      </c>
      <c r="C612" s="89" t="s">
        <v>52</v>
      </c>
      <c r="D612" s="111" t="s">
        <v>886</v>
      </c>
      <c r="E612" s="112"/>
      <c r="F612" s="113" t="s">
        <v>2062</v>
      </c>
      <c r="G612" s="113" t="s">
        <v>2063</v>
      </c>
      <c r="H612" s="96"/>
      <c r="I612" s="9"/>
      <c r="J612" s="9" t="s">
        <v>420</v>
      </c>
      <c r="K612" s="14"/>
      <c r="L612" s="14"/>
      <c r="M612" s="12"/>
      <c r="N612" s="9"/>
      <c r="O612" s="9"/>
      <c r="P612" s="9"/>
      <c r="Q612" s="38">
        <f t="shared" si="89"/>
        <v>0</v>
      </c>
      <c r="R612" s="12"/>
      <c r="S612" s="42"/>
      <c r="T612" s="15"/>
      <c r="U612" s="44"/>
      <c r="V612" s="15"/>
      <c r="W612" s="44"/>
      <c r="X612" s="15">
        <f t="shared" si="83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84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87"/>
        <v>0</v>
      </c>
      <c r="BC612" s="15"/>
      <c r="BD612" s="44"/>
      <c r="BE612" s="15"/>
      <c r="BF612" s="44"/>
      <c r="BG612" s="15">
        <f t="shared" si="88"/>
        <v>0</v>
      </c>
    </row>
    <row r="613" spans="1:59" s="8" customFormat="1" ht="22.5" customHeight="1">
      <c r="A613" s="9"/>
      <c r="B613" s="16" t="s">
        <v>172</v>
      </c>
      <c r="C613" s="89" t="s">
        <v>52</v>
      </c>
      <c r="D613" s="111" t="s">
        <v>887</v>
      </c>
      <c r="E613" s="112"/>
      <c r="F613" s="113" t="s">
        <v>2064</v>
      </c>
      <c r="G613" s="113" t="s">
        <v>2065</v>
      </c>
      <c r="H613" s="96"/>
      <c r="I613" s="9"/>
      <c r="J613" s="9" t="s">
        <v>420</v>
      </c>
      <c r="K613" s="14"/>
      <c r="L613" s="14"/>
      <c r="M613" s="12"/>
      <c r="N613" s="9"/>
      <c r="O613" s="9"/>
      <c r="P613" s="9"/>
      <c r="Q613" s="38">
        <f t="shared" si="89"/>
        <v>0</v>
      </c>
      <c r="R613" s="12"/>
      <c r="S613" s="42"/>
      <c r="T613" s="15"/>
      <c r="U613" s="44"/>
      <c r="V613" s="15"/>
      <c r="W613" s="44"/>
      <c r="X613" s="15">
        <f t="shared" si="83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84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87"/>
        <v>0</v>
      </c>
      <c r="BC613" s="15"/>
      <c r="BD613" s="44"/>
      <c r="BE613" s="15"/>
      <c r="BF613" s="44"/>
      <c r="BG613" s="15">
        <f t="shared" si="88"/>
        <v>0</v>
      </c>
    </row>
    <row r="614" spans="1:59" s="8" customFormat="1" ht="22.5" customHeight="1">
      <c r="A614" s="9"/>
      <c r="B614" s="16" t="s">
        <v>172</v>
      </c>
      <c r="C614" s="89" t="s">
        <v>494</v>
      </c>
      <c r="D614" s="111" t="s">
        <v>498</v>
      </c>
      <c r="E614" s="112"/>
      <c r="F614" s="113" t="s">
        <v>2066</v>
      </c>
      <c r="G614" s="113" t="s">
        <v>2067</v>
      </c>
      <c r="H614" s="96"/>
      <c r="I614" s="9"/>
      <c r="J614" s="9" t="s">
        <v>67</v>
      </c>
      <c r="K614" s="14"/>
      <c r="L614" s="14"/>
      <c r="M614" s="12"/>
      <c r="N614" s="9"/>
      <c r="O614" s="9"/>
      <c r="P614" s="9"/>
      <c r="Q614" s="38">
        <f t="shared" si="89"/>
        <v>0</v>
      </c>
      <c r="R614" s="12"/>
      <c r="S614" s="42"/>
      <c r="T614" s="15"/>
      <c r="U614" s="44"/>
      <c r="V614" s="15"/>
      <c r="W614" s="44"/>
      <c r="X614" s="15">
        <f t="shared" si="83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84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87"/>
        <v>0</v>
      </c>
      <c r="BC614" s="15"/>
      <c r="BD614" s="44"/>
      <c r="BE614" s="15"/>
      <c r="BF614" s="44"/>
      <c r="BG614" s="15">
        <f t="shared" si="88"/>
        <v>0</v>
      </c>
    </row>
    <row r="615" spans="1:59" s="8" customFormat="1" ht="22.5" customHeight="1">
      <c r="A615" s="9"/>
      <c r="B615" s="16" t="s">
        <v>172</v>
      </c>
      <c r="C615" s="89" t="s">
        <v>1618</v>
      </c>
      <c r="D615" s="111" t="s">
        <v>888</v>
      </c>
      <c r="E615" s="112"/>
      <c r="F615" s="113" t="s">
        <v>2068</v>
      </c>
      <c r="G615" s="113" t="s">
        <v>2069</v>
      </c>
      <c r="H615" s="96"/>
      <c r="I615" s="9"/>
      <c r="J615" s="9" t="s">
        <v>67</v>
      </c>
      <c r="K615" s="14"/>
      <c r="L615" s="14"/>
      <c r="M615" s="12">
        <v>104</v>
      </c>
      <c r="N615" s="9"/>
      <c r="O615" s="9"/>
      <c r="P615" s="9"/>
      <c r="Q615" s="38">
        <f t="shared" si="89"/>
        <v>104</v>
      </c>
      <c r="R615" s="12"/>
      <c r="S615" s="42"/>
      <c r="T615" s="15"/>
      <c r="U615" s="44"/>
      <c r="V615" s="15"/>
      <c r="W615" s="44"/>
      <c r="X615" s="15">
        <f t="shared" si="83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84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87"/>
        <v>0</v>
      </c>
      <c r="BC615" s="15"/>
      <c r="BD615" s="44"/>
      <c r="BE615" s="15"/>
      <c r="BF615" s="44"/>
      <c r="BG615" s="15">
        <f t="shared" si="88"/>
        <v>0</v>
      </c>
    </row>
    <row r="616" spans="1:59" s="8" customFormat="1" ht="22.5" customHeight="1">
      <c r="A616" s="9"/>
      <c r="B616" s="16" t="s">
        <v>172</v>
      </c>
      <c r="C616" s="89" t="s">
        <v>52</v>
      </c>
      <c r="D616" s="111" t="s">
        <v>889</v>
      </c>
      <c r="E616" s="112"/>
      <c r="F616" s="113" t="s">
        <v>2070</v>
      </c>
      <c r="G616" s="113" t="s">
        <v>2071</v>
      </c>
      <c r="H616" s="96"/>
      <c r="I616" s="9"/>
      <c r="J616" s="9" t="s">
        <v>67</v>
      </c>
      <c r="K616" s="14"/>
      <c r="L616" s="14"/>
      <c r="M616" s="12"/>
      <c r="N616" s="9"/>
      <c r="O616" s="9"/>
      <c r="P616" s="9"/>
      <c r="Q616" s="38">
        <f t="shared" si="89"/>
        <v>0</v>
      </c>
      <c r="R616" s="12"/>
      <c r="S616" s="42"/>
      <c r="T616" s="15"/>
      <c r="U616" s="44"/>
      <c r="V616" s="15"/>
      <c r="W616" s="44"/>
      <c r="X616" s="15">
        <f t="shared" ref="X616:X647" si="90">R616+T616+V616</f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ref="AG616:AG647" si="91">(Y616+AA616+AC616+AE616)</f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87"/>
        <v>0</v>
      </c>
      <c r="BC616" s="15"/>
      <c r="BD616" s="44"/>
      <c r="BE616" s="15"/>
      <c r="BF616" s="44"/>
      <c r="BG616" s="15">
        <f t="shared" si="88"/>
        <v>0</v>
      </c>
    </row>
    <row r="617" spans="1:59" s="8" customFormat="1" ht="22.5" customHeight="1">
      <c r="A617" s="9"/>
      <c r="B617" s="16" t="s">
        <v>187</v>
      </c>
      <c r="C617" s="89" t="s">
        <v>494</v>
      </c>
      <c r="D617" s="80" t="s">
        <v>916</v>
      </c>
      <c r="E617" s="13" t="s">
        <v>917</v>
      </c>
      <c r="F617" s="108" t="s">
        <v>1144</v>
      </c>
      <c r="G617" s="108"/>
      <c r="H617" s="96"/>
      <c r="I617" s="9"/>
      <c r="J617" s="9" t="s">
        <v>527</v>
      </c>
      <c r="K617" s="14"/>
      <c r="L617" s="14"/>
      <c r="M617" s="12"/>
      <c r="N617" s="9"/>
      <c r="O617" s="9"/>
      <c r="P617" s="9"/>
      <c r="Q617" s="38">
        <f t="shared" si="89"/>
        <v>0</v>
      </c>
      <c r="R617" s="12"/>
      <c r="S617" s="42"/>
      <c r="T617" s="15"/>
      <c r="U617" s="44"/>
      <c r="V617" s="15"/>
      <c r="W617" s="44"/>
      <c r="X617" s="15">
        <f t="shared" si="90"/>
        <v>0</v>
      </c>
      <c r="Y617" s="15"/>
      <c r="Z617" s="44"/>
      <c r="AA617" s="15"/>
      <c r="AB617" s="44"/>
      <c r="AC617" s="15"/>
      <c r="AD617" s="44"/>
      <c r="AE617" s="15"/>
      <c r="AF617" s="44"/>
      <c r="AG617" s="15">
        <f t="shared" si="91"/>
        <v>0</v>
      </c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>
        <f t="shared" si="87"/>
        <v>0</v>
      </c>
      <c r="BC617" s="15"/>
      <c r="BD617" s="44"/>
      <c r="BE617" s="15"/>
      <c r="BF617" s="44"/>
      <c r="BG617" s="15">
        <f t="shared" si="88"/>
        <v>0</v>
      </c>
    </row>
    <row r="618" spans="1:59" s="8" customFormat="1" ht="22.5" customHeight="1">
      <c r="A618" s="9"/>
      <c r="B618" s="16" t="s">
        <v>172</v>
      </c>
      <c r="C618" s="89" t="s">
        <v>1618</v>
      </c>
      <c r="D618" s="111" t="s">
        <v>500</v>
      </c>
      <c r="E618" s="112" t="s">
        <v>578</v>
      </c>
      <c r="F618" s="113" t="s">
        <v>2072</v>
      </c>
      <c r="G618" s="113" t="s">
        <v>2073</v>
      </c>
      <c r="H618" s="96"/>
      <c r="I618" s="9"/>
      <c r="J618" s="9" t="s">
        <v>67</v>
      </c>
      <c r="K618" s="14"/>
      <c r="L618" s="14"/>
      <c r="M618" s="12">
        <v>0</v>
      </c>
      <c r="N618" s="9"/>
      <c r="O618" s="9"/>
      <c r="P618" s="9"/>
      <c r="Q618" s="38">
        <f t="shared" si="89"/>
        <v>0</v>
      </c>
      <c r="R618" s="12"/>
      <c r="S618" s="42"/>
      <c r="T618" s="15"/>
      <c r="U618" s="44"/>
      <c r="V618" s="15"/>
      <c r="W618" s="44"/>
      <c r="X618" s="15">
        <f t="shared" si="90"/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si="91"/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 t="shared" si="87"/>
        <v>0</v>
      </c>
      <c r="BC618" s="15"/>
      <c r="BD618" s="44"/>
      <c r="BE618" s="15"/>
      <c r="BF618" s="44"/>
      <c r="BG618" s="15">
        <f t="shared" si="88"/>
        <v>0</v>
      </c>
    </row>
    <row r="619" spans="1:59" s="8" customFormat="1" ht="22.5" customHeight="1">
      <c r="A619" s="9">
        <v>999</v>
      </c>
      <c r="B619" s="16" t="s">
        <v>926</v>
      </c>
      <c r="C619" s="89" t="s">
        <v>132</v>
      </c>
      <c r="D619" s="69" t="s">
        <v>953</v>
      </c>
      <c r="E619" s="13"/>
      <c r="F619" s="106" t="s">
        <v>1144</v>
      </c>
      <c r="G619" s="106"/>
      <c r="H619" s="12"/>
      <c r="I619" s="9"/>
      <c r="J619" s="9" t="s">
        <v>566</v>
      </c>
      <c r="K619" s="14"/>
      <c r="L619" s="14"/>
      <c r="M619" s="12"/>
      <c r="N619" s="9"/>
      <c r="O619" s="9"/>
      <c r="P619" s="9"/>
      <c r="Q619" s="38">
        <f t="shared" si="89"/>
        <v>0</v>
      </c>
      <c r="R619" s="12"/>
      <c r="S619" s="42"/>
      <c r="T619" s="15"/>
      <c r="U619" s="44"/>
      <c r="V619" s="15"/>
      <c r="W619" s="44"/>
      <c r="X619" s="15">
        <f t="shared" si="90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91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 t="shared" si="87"/>
        <v>0</v>
      </c>
      <c r="BC619" s="15"/>
      <c r="BD619" s="44"/>
      <c r="BE619" s="15"/>
      <c r="BF619" s="44"/>
      <c r="BG619" s="15">
        <f t="shared" si="88"/>
        <v>0</v>
      </c>
    </row>
    <row r="620" spans="1:59" s="8" customFormat="1" ht="22.5" customHeight="1">
      <c r="A620" s="9"/>
      <c r="B620" s="16" t="s">
        <v>172</v>
      </c>
      <c r="C620" s="89" t="s">
        <v>52</v>
      </c>
      <c r="D620" s="111" t="s">
        <v>892</v>
      </c>
      <c r="E620" s="112" t="s">
        <v>894</v>
      </c>
      <c r="F620" s="113" t="s">
        <v>2074</v>
      </c>
      <c r="G620" s="113" t="s">
        <v>2075</v>
      </c>
      <c r="H620" s="96"/>
      <c r="I620" s="9"/>
      <c r="J620" s="9" t="s">
        <v>67</v>
      </c>
      <c r="K620" s="14"/>
      <c r="L620" s="14"/>
      <c r="M620" s="12"/>
      <c r="N620" s="9"/>
      <c r="O620" s="9"/>
      <c r="P620" s="9"/>
      <c r="Q620" s="38">
        <f t="shared" si="89"/>
        <v>0</v>
      </c>
      <c r="R620" s="12"/>
      <c r="S620" s="42"/>
      <c r="T620" s="15"/>
      <c r="U620" s="44"/>
      <c r="V620" s="15"/>
      <c r="W620" s="44"/>
      <c r="X620" s="15">
        <f t="shared" si="90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91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>
        <f t="shared" si="87"/>
        <v>0</v>
      </c>
      <c r="BC620" s="15"/>
      <c r="BD620" s="44"/>
      <c r="BE620" s="15"/>
      <c r="BF620" s="44"/>
      <c r="BG620" s="15">
        <f t="shared" si="88"/>
        <v>0</v>
      </c>
    </row>
    <row r="621" spans="1:59" s="8" customFormat="1" ht="22.5" customHeight="1">
      <c r="A621" s="9"/>
      <c r="B621" s="16" t="s">
        <v>172</v>
      </c>
      <c r="C621" s="89" t="s">
        <v>52</v>
      </c>
      <c r="D621" s="111" t="s">
        <v>895</v>
      </c>
      <c r="E621" s="112"/>
      <c r="F621" s="113" t="s">
        <v>2076</v>
      </c>
      <c r="G621" s="113" t="s">
        <v>2077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89"/>
        <v>0</v>
      </c>
      <c r="R621" s="12"/>
      <c r="S621" s="42"/>
      <c r="T621" s="15"/>
      <c r="U621" s="44"/>
      <c r="V621" s="15"/>
      <c r="W621" s="44"/>
      <c r="X621" s="15">
        <f t="shared" si="90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91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si="87"/>
        <v>0</v>
      </c>
      <c r="BC621" s="15"/>
      <c r="BD621" s="44"/>
      <c r="BE621" s="15"/>
      <c r="BF621" s="44"/>
      <c r="BG621" s="15">
        <f t="shared" si="88"/>
        <v>0</v>
      </c>
    </row>
    <row r="622" spans="1:59" s="8" customFormat="1" ht="22.5" customHeight="1">
      <c r="A622" s="9"/>
      <c r="B622" s="16" t="s">
        <v>172</v>
      </c>
      <c r="C622" s="89" t="s">
        <v>52</v>
      </c>
      <c r="D622" s="111" t="s">
        <v>896</v>
      </c>
      <c r="E622" s="112"/>
      <c r="F622" s="113" t="s">
        <v>2078</v>
      </c>
      <c r="G622" s="113" t="s">
        <v>2079</v>
      </c>
      <c r="H622" s="96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89"/>
        <v>0</v>
      </c>
      <c r="R622" s="12"/>
      <c r="S622" s="42"/>
      <c r="T622" s="15"/>
      <c r="U622" s="44"/>
      <c r="V622" s="15"/>
      <c r="W622" s="44"/>
      <c r="X622" s="15">
        <f t="shared" si="90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91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87"/>
        <v>0</v>
      </c>
      <c r="BC622" s="15"/>
      <c r="BD622" s="44"/>
      <c r="BE622" s="15"/>
      <c r="BF622" s="44"/>
      <c r="BG622" s="15">
        <f t="shared" si="88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11" t="s">
        <v>897</v>
      </c>
      <c r="E623" s="112"/>
      <c r="F623" s="113" t="s">
        <v>2080</v>
      </c>
      <c r="G623" s="113" t="s">
        <v>2081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89"/>
        <v>0</v>
      </c>
      <c r="R623" s="12"/>
      <c r="S623" s="42"/>
      <c r="T623" s="15"/>
      <c r="U623" s="44"/>
      <c r="V623" s="15"/>
      <c r="W623" s="44"/>
      <c r="X623" s="15">
        <f t="shared" si="90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91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87"/>
        <v>0</v>
      </c>
      <c r="BC623" s="15"/>
      <c r="BD623" s="44"/>
      <c r="BE623" s="15"/>
      <c r="BF623" s="44"/>
      <c r="BG623" s="15">
        <f t="shared" si="88"/>
        <v>0</v>
      </c>
    </row>
    <row r="624" spans="1:59" s="8" customFormat="1" ht="22.5" customHeight="1">
      <c r="A624" s="9"/>
      <c r="B624" s="16" t="s">
        <v>799</v>
      </c>
      <c r="C624" s="89"/>
      <c r="D624" s="56" t="s">
        <v>800</v>
      </c>
      <c r="E624" s="13" t="s">
        <v>48</v>
      </c>
      <c r="F624" s="107" t="s">
        <v>2082</v>
      </c>
      <c r="G624" s="107"/>
      <c r="H624" s="95"/>
      <c r="I624" s="9"/>
      <c r="J624" s="9" t="s">
        <v>687</v>
      </c>
      <c r="K624" s="14"/>
      <c r="L624" s="14"/>
      <c r="M624" s="12"/>
      <c r="N624" s="9"/>
      <c r="O624" s="9"/>
      <c r="P624" s="9"/>
      <c r="Q624" s="38">
        <f t="shared" si="89"/>
        <v>0</v>
      </c>
      <c r="R624" s="12"/>
      <c r="S624" s="42"/>
      <c r="T624" s="15"/>
      <c r="U624" s="44"/>
      <c r="V624" s="15"/>
      <c r="W624" s="44"/>
      <c r="X624" s="15">
        <f t="shared" si="90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91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87"/>
        <v>0</v>
      </c>
      <c r="BC624" s="15"/>
      <c r="BD624" s="44"/>
      <c r="BE624" s="15"/>
      <c r="BF624" s="44"/>
      <c r="BG624" s="15">
        <f t="shared" si="88"/>
        <v>0</v>
      </c>
    </row>
    <row r="625" spans="1:59" s="8" customFormat="1" ht="22.5" customHeight="1">
      <c r="A625" s="9"/>
      <c r="B625" s="16" t="s">
        <v>172</v>
      </c>
      <c r="C625" s="89" t="s">
        <v>52</v>
      </c>
      <c r="D625" s="111" t="s">
        <v>900</v>
      </c>
      <c r="E625" s="112" t="s">
        <v>737</v>
      </c>
      <c r="F625" s="113" t="s">
        <v>2083</v>
      </c>
      <c r="G625" s="113" t="s">
        <v>2084</v>
      </c>
      <c r="H625" s="96"/>
      <c r="I625" s="9"/>
      <c r="J625" s="9" t="s">
        <v>67</v>
      </c>
      <c r="K625" s="14"/>
      <c r="L625" s="14"/>
      <c r="M625" s="12"/>
      <c r="N625" s="9"/>
      <c r="O625" s="9"/>
      <c r="P625" s="9"/>
      <c r="Q625" s="38">
        <f t="shared" si="89"/>
        <v>0</v>
      </c>
      <c r="R625" s="12"/>
      <c r="S625" s="42"/>
      <c r="T625" s="15"/>
      <c r="U625" s="44"/>
      <c r="V625" s="15"/>
      <c r="W625" s="44"/>
      <c r="X625" s="15">
        <f t="shared" si="90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91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87"/>
        <v>0</v>
      </c>
      <c r="BC625" s="15"/>
      <c r="BD625" s="44"/>
      <c r="BE625" s="15"/>
      <c r="BF625" s="44"/>
      <c r="BG625" s="15">
        <f t="shared" si="88"/>
        <v>0</v>
      </c>
    </row>
    <row r="626" spans="1:59" s="8" customFormat="1" ht="22.5" customHeight="1">
      <c r="A626" s="9"/>
      <c r="B626" s="16" t="s">
        <v>172</v>
      </c>
      <c r="C626" s="89" t="s">
        <v>52</v>
      </c>
      <c r="D626" s="111" t="s">
        <v>900</v>
      </c>
      <c r="E626" s="112" t="s">
        <v>136</v>
      </c>
      <c r="F626" s="113" t="s">
        <v>2085</v>
      </c>
      <c r="G626" s="113" t="s">
        <v>2086</v>
      </c>
      <c r="H626" s="96"/>
      <c r="I626" s="9"/>
      <c r="J626" s="9" t="s">
        <v>67</v>
      </c>
      <c r="K626" s="14"/>
      <c r="L626" s="14"/>
      <c r="M626" s="12"/>
      <c r="N626" s="9"/>
      <c r="O626" s="9"/>
      <c r="P626" s="9"/>
      <c r="Q626" s="38">
        <f t="shared" si="89"/>
        <v>0</v>
      </c>
      <c r="R626" s="12"/>
      <c r="S626" s="42"/>
      <c r="T626" s="15"/>
      <c r="U626" s="44"/>
      <c r="V626" s="15"/>
      <c r="W626" s="44"/>
      <c r="X626" s="15">
        <f t="shared" si="90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91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ref="BB626:BB646" si="92">AH626+AJ626+AL626+AN626+AP626+AR626+AT626+AV626+AX626+AZ626</f>
        <v>0</v>
      </c>
      <c r="BC626" s="15"/>
      <c r="BD626" s="44"/>
      <c r="BE626" s="15"/>
      <c r="BF626" s="44"/>
      <c r="BG626" s="15">
        <f t="shared" ref="BG626:BG646" si="93">(BC626+BE626)</f>
        <v>0</v>
      </c>
    </row>
    <row r="627" spans="1:59" s="8" customFormat="1" ht="22.5" customHeight="1">
      <c r="A627" s="9"/>
      <c r="B627" s="16" t="s">
        <v>120</v>
      </c>
      <c r="C627" s="89" t="s">
        <v>52</v>
      </c>
      <c r="D627" s="111" t="s">
        <v>901</v>
      </c>
      <c r="E627" s="112" t="s">
        <v>902</v>
      </c>
      <c r="F627" s="113" t="s">
        <v>2087</v>
      </c>
      <c r="G627" s="113" t="s">
        <v>2088</v>
      </c>
      <c r="H627" s="96"/>
      <c r="I627" s="9"/>
      <c r="J627" s="9" t="s">
        <v>67</v>
      </c>
      <c r="K627" s="14"/>
      <c r="L627" s="14"/>
      <c r="M627" s="12"/>
      <c r="N627" s="9"/>
      <c r="O627" s="9"/>
      <c r="P627" s="9"/>
      <c r="Q627" s="38">
        <f t="shared" si="89"/>
        <v>0</v>
      </c>
      <c r="R627" s="12"/>
      <c r="S627" s="42"/>
      <c r="T627" s="15"/>
      <c r="U627" s="44"/>
      <c r="V627" s="15"/>
      <c r="W627" s="44"/>
      <c r="X627" s="15">
        <f t="shared" si="90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91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92"/>
        <v>0</v>
      </c>
      <c r="BC627" s="15"/>
      <c r="BD627" s="44"/>
      <c r="BE627" s="15"/>
      <c r="BF627" s="44"/>
      <c r="BG627" s="15">
        <f t="shared" si="93"/>
        <v>0</v>
      </c>
    </row>
    <row r="628" spans="1:59" s="8" customFormat="1" ht="22.5" customHeight="1">
      <c r="A628" s="9"/>
      <c r="B628" s="16" t="s">
        <v>120</v>
      </c>
      <c r="C628" s="89" t="s">
        <v>52</v>
      </c>
      <c r="D628" s="111" t="s">
        <v>202</v>
      </c>
      <c r="E628" s="112" t="s">
        <v>903</v>
      </c>
      <c r="F628" s="113" t="s">
        <v>2089</v>
      </c>
      <c r="G628" s="113" t="s">
        <v>2090</v>
      </c>
      <c r="H628" s="96"/>
      <c r="I628" s="9"/>
      <c r="J628" s="9" t="s">
        <v>67</v>
      </c>
      <c r="K628" s="14"/>
      <c r="L628" s="14"/>
      <c r="M628" s="12"/>
      <c r="N628" s="9"/>
      <c r="O628" s="9"/>
      <c r="P628" s="9"/>
      <c r="Q628" s="38">
        <f t="shared" si="89"/>
        <v>0</v>
      </c>
      <c r="R628" s="12"/>
      <c r="S628" s="42"/>
      <c r="T628" s="15"/>
      <c r="U628" s="44"/>
      <c r="V628" s="15"/>
      <c r="W628" s="44"/>
      <c r="X628" s="15">
        <f t="shared" si="90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91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92"/>
        <v>0</v>
      </c>
      <c r="BC628" s="15"/>
      <c r="BD628" s="44"/>
      <c r="BE628" s="15"/>
      <c r="BF628" s="44"/>
      <c r="BG628" s="15">
        <f t="shared" si="93"/>
        <v>0</v>
      </c>
    </row>
    <row r="629" spans="1:59" s="8" customFormat="1" ht="22.5" customHeight="1">
      <c r="A629" s="9"/>
      <c r="B629" s="16" t="s">
        <v>120</v>
      </c>
      <c r="C629" s="89" t="s">
        <v>494</v>
      </c>
      <c r="D629" s="111" t="s">
        <v>904</v>
      </c>
      <c r="E629" s="112" t="s">
        <v>905</v>
      </c>
      <c r="F629" s="113" t="s">
        <v>2091</v>
      </c>
      <c r="G629" s="113" t="s">
        <v>2092</v>
      </c>
      <c r="H629" s="96"/>
      <c r="I629" s="9"/>
      <c r="J629" s="9" t="s">
        <v>67</v>
      </c>
      <c r="K629" s="14"/>
      <c r="L629" s="14"/>
      <c r="M629" s="12"/>
      <c r="N629" s="9"/>
      <c r="O629" s="9"/>
      <c r="P629" s="9"/>
      <c r="Q629" s="38">
        <f t="shared" si="89"/>
        <v>0</v>
      </c>
      <c r="R629" s="12"/>
      <c r="S629" s="42"/>
      <c r="T629" s="15"/>
      <c r="U629" s="44"/>
      <c r="V629" s="15"/>
      <c r="W629" s="44"/>
      <c r="X629" s="15">
        <f t="shared" si="90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91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92"/>
        <v>0</v>
      </c>
      <c r="BC629" s="15"/>
      <c r="BD629" s="44"/>
      <c r="BE629" s="15"/>
      <c r="BF629" s="44"/>
      <c r="BG629" s="15">
        <f t="shared" si="93"/>
        <v>0</v>
      </c>
    </row>
    <row r="630" spans="1:59" s="8" customFormat="1" ht="22.5" customHeight="1">
      <c r="A630" s="9"/>
      <c r="B630" s="16" t="s">
        <v>120</v>
      </c>
      <c r="C630" s="89" t="s">
        <v>52</v>
      </c>
      <c r="D630" s="111" t="s">
        <v>881</v>
      </c>
      <c r="E630" s="112" t="s">
        <v>906</v>
      </c>
      <c r="F630" s="113" t="s">
        <v>2093</v>
      </c>
      <c r="G630" s="113" t="s">
        <v>2094</v>
      </c>
      <c r="H630" s="96"/>
      <c r="I630" s="9"/>
      <c r="J630" s="9" t="s">
        <v>67</v>
      </c>
      <c r="K630" s="14"/>
      <c r="L630" s="14"/>
      <c r="M630" s="12"/>
      <c r="N630" s="9"/>
      <c r="O630" s="9"/>
      <c r="P630" s="9"/>
      <c r="Q630" s="38">
        <f t="shared" si="89"/>
        <v>0</v>
      </c>
      <c r="R630" s="12"/>
      <c r="S630" s="42"/>
      <c r="T630" s="15"/>
      <c r="U630" s="44"/>
      <c r="V630" s="15"/>
      <c r="W630" s="44"/>
      <c r="X630" s="15">
        <f t="shared" si="90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91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92"/>
        <v>0</v>
      </c>
      <c r="BC630" s="15"/>
      <c r="BD630" s="44"/>
      <c r="BE630" s="15"/>
      <c r="BF630" s="44"/>
      <c r="BG630" s="15">
        <f t="shared" si="93"/>
        <v>0</v>
      </c>
    </row>
    <row r="631" spans="1:59" s="8" customFormat="1" ht="22.5" customHeight="1">
      <c r="A631" s="9"/>
      <c r="B631" s="16" t="s">
        <v>120</v>
      </c>
      <c r="C631" s="89" t="s">
        <v>52</v>
      </c>
      <c r="D631" s="111" t="s">
        <v>907</v>
      </c>
      <c r="E631" s="112" t="s">
        <v>908</v>
      </c>
      <c r="F631" s="113" t="s">
        <v>2095</v>
      </c>
      <c r="G631" s="113" t="s">
        <v>2096</v>
      </c>
      <c r="H631" s="96"/>
      <c r="I631" s="9"/>
      <c r="J631" s="9" t="s">
        <v>67</v>
      </c>
      <c r="K631" s="14"/>
      <c r="L631" s="14"/>
      <c r="M631" s="12"/>
      <c r="N631" s="9"/>
      <c r="O631" s="9"/>
      <c r="P631" s="9"/>
      <c r="Q631" s="38">
        <f t="shared" si="89"/>
        <v>0</v>
      </c>
      <c r="R631" s="12"/>
      <c r="S631" s="42"/>
      <c r="T631" s="15"/>
      <c r="U631" s="44"/>
      <c r="V631" s="15"/>
      <c r="W631" s="44"/>
      <c r="X631" s="15">
        <f t="shared" si="90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91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92"/>
        <v>0</v>
      </c>
      <c r="BC631" s="15"/>
      <c r="BD631" s="44"/>
      <c r="BE631" s="15"/>
      <c r="BF631" s="44"/>
      <c r="BG631" s="15">
        <f t="shared" si="93"/>
        <v>0</v>
      </c>
    </row>
    <row r="632" spans="1:59" s="8" customFormat="1" ht="22.5" customHeight="1">
      <c r="A632" s="9"/>
      <c r="B632" s="16" t="s">
        <v>120</v>
      </c>
      <c r="C632" s="89" t="s">
        <v>52</v>
      </c>
      <c r="D632" s="111" t="s">
        <v>909</v>
      </c>
      <c r="E632" s="112" t="s">
        <v>910</v>
      </c>
      <c r="F632" s="113" t="s">
        <v>2097</v>
      </c>
      <c r="G632" s="113" t="s">
        <v>2098</v>
      </c>
      <c r="H632" s="96"/>
      <c r="I632" s="9"/>
      <c r="J632" s="9" t="s">
        <v>67</v>
      </c>
      <c r="K632" s="14"/>
      <c r="L632" s="14"/>
      <c r="M632" s="12"/>
      <c r="N632" s="9"/>
      <c r="O632" s="9"/>
      <c r="P632" s="9"/>
      <c r="Q632" s="38">
        <f t="shared" si="89"/>
        <v>0</v>
      </c>
      <c r="R632" s="12"/>
      <c r="S632" s="42"/>
      <c r="T632" s="15"/>
      <c r="U632" s="44"/>
      <c r="V632" s="15"/>
      <c r="W632" s="44"/>
      <c r="X632" s="15">
        <f t="shared" si="90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91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>
        <f t="shared" si="92"/>
        <v>0</v>
      </c>
      <c r="BC632" s="15"/>
      <c r="BD632" s="44"/>
      <c r="BE632" s="15"/>
      <c r="BF632" s="44"/>
      <c r="BG632" s="15">
        <f t="shared" si="93"/>
        <v>0</v>
      </c>
    </row>
    <row r="633" spans="1:59" s="8" customFormat="1" ht="22.5" customHeight="1">
      <c r="A633" s="9"/>
      <c r="B633" s="16" t="s">
        <v>120</v>
      </c>
      <c r="C633" s="89" t="s">
        <v>52</v>
      </c>
      <c r="D633" s="111" t="s">
        <v>911</v>
      </c>
      <c r="E633" s="112" t="s">
        <v>525</v>
      </c>
      <c r="F633" s="113" t="s">
        <v>2099</v>
      </c>
      <c r="G633" s="113" t="s">
        <v>2100</v>
      </c>
      <c r="H633" s="96"/>
      <c r="I633" s="9"/>
      <c r="J633" s="9" t="s">
        <v>67</v>
      </c>
      <c r="K633" s="14"/>
      <c r="L633" s="14"/>
      <c r="M633" s="12"/>
      <c r="N633" s="9"/>
      <c r="O633" s="9"/>
      <c r="P633" s="9"/>
      <c r="Q633" s="38">
        <f t="shared" si="89"/>
        <v>0</v>
      </c>
      <c r="R633" s="12"/>
      <c r="S633" s="42"/>
      <c r="T633" s="15"/>
      <c r="U633" s="44"/>
      <c r="V633" s="15"/>
      <c r="W633" s="44"/>
      <c r="X633" s="15">
        <f t="shared" si="90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91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 t="shared" si="92"/>
        <v>0</v>
      </c>
      <c r="BC633" s="15"/>
      <c r="BD633" s="44"/>
      <c r="BE633" s="15"/>
      <c r="BF633" s="44"/>
      <c r="BG633" s="15">
        <f t="shared" si="93"/>
        <v>0</v>
      </c>
    </row>
    <row r="634" spans="1:59" s="8" customFormat="1" ht="22.5" customHeight="1">
      <c r="A634" s="9"/>
      <c r="B634" s="16" t="s">
        <v>120</v>
      </c>
      <c r="C634" s="89" t="s">
        <v>52</v>
      </c>
      <c r="D634" s="111" t="s">
        <v>912</v>
      </c>
      <c r="E634" s="112" t="s">
        <v>913</v>
      </c>
      <c r="F634" s="113" t="s">
        <v>2101</v>
      </c>
      <c r="G634" s="113" t="s">
        <v>2102</v>
      </c>
      <c r="H634" s="96"/>
      <c r="I634" s="9"/>
      <c r="J634" s="9" t="s">
        <v>67</v>
      </c>
      <c r="K634" s="14"/>
      <c r="L634" s="14"/>
      <c r="M634" s="12"/>
      <c r="N634" s="9"/>
      <c r="O634" s="9"/>
      <c r="P634" s="9"/>
      <c r="Q634" s="38">
        <f t="shared" si="89"/>
        <v>0</v>
      </c>
      <c r="R634" s="12"/>
      <c r="S634" s="42"/>
      <c r="T634" s="15"/>
      <c r="U634" s="44"/>
      <c r="V634" s="15"/>
      <c r="W634" s="44"/>
      <c r="X634" s="15">
        <f t="shared" si="90"/>
        <v>0</v>
      </c>
      <c r="Y634" s="15"/>
      <c r="Z634" s="44"/>
      <c r="AA634" s="15"/>
      <c r="AB634" s="44"/>
      <c r="AC634" s="15"/>
      <c r="AD634" s="44"/>
      <c r="AE634" s="15"/>
      <c r="AF634" s="44"/>
      <c r="AG634" s="15">
        <f t="shared" si="91"/>
        <v>0</v>
      </c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>
        <f t="shared" si="92"/>
        <v>0</v>
      </c>
      <c r="BC634" s="15"/>
      <c r="BD634" s="44"/>
      <c r="BE634" s="15"/>
      <c r="BF634" s="44"/>
      <c r="BG634" s="15">
        <f t="shared" si="93"/>
        <v>0</v>
      </c>
    </row>
    <row r="635" spans="1:59" s="8" customFormat="1" ht="22.5" customHeight="1">
      <c r="A635" s="9"/>
      <c r="B635" s="16" t="s">
        <v>120</v>
      </c>
      <c r="C635" s="89" t="s">
        <v>52</v>
      </c>
      <c r="D635" s="111" t="s">
        <v>914</v>
      </c>
      <c r="E635" s="112" t="s">
        <v>915</v>
      </c>
      <c r="F635" s="113" t="s">
        <v>2103</v>
      </c>
      <c r="G635" s="113" t="s">
        <v>2104</v>
      </c>
      <c r="H635" s="96"/>
      <c r="I635" s="9"/>
      <c r="J635" s="9" t="s">
        <v>67</v>
      </c>
      <c r="K635" s="14"/>
      <c r="L635" s="14"/>
      <c r="M635" s="12"/>
      <c r="N635" s="9"/>
      <c r="O635" s="9"/>
      <c r="P635" s="9"/>
      <c r="Q635" s="38">
        <f t="shared" si="89"/>
        <v>0</v>
      </c>
      <c r="R635" s="12"/>
      <c r="S635" s="42"/>
      <c r="T635" s="15"/>
      <c r="U635" s="44"/>
      <c r="V635" s="15"/>
      <c r="W635" s="44"/>
      <c r="X635" s="15">
        <f t="shared" si="90"/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 t="shared" si="91"/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 t="shared" si="92"/>
        <v>0</v>
      </c>
      <c r="BC635" s="15"/>
      <c r="BD635" s="44"/>
      <c r="BE635" s="15"/>
      <c r="BF635" s="44"/>
      <c r="BG635" s="15">
        <f t="shared" si="93"/>
        <v>0</v>
      </c>
    </row>
    <row r="636" spans="1:59" s="8" customFormat="1" ht="22.5" customHeight="1">
      <c r="A636" s="9"/>
      <c r="B636" s="16" t="s">
        <v>801</v>
      </c>
      <c r="C636" s="89"/>
      <c r="D636" s="56" t="s">
        <v>802</v>
      </c>
      <c r="E636" s="13"/>
      <c r="F636" s="107" t="s">
        <v>2082</v>
      </c>
      <c r="G636" s="107"/>
      <c r="H636" s="95"/>
      <c r="I636" s="9"/>
      <c r="J636" s="9" t="s">
        <v>687</v>
      </c>
      <c r="K636" s="14"/>
      <c r="L636" s="14"/>
      <c r="M636" s="12"/>
      <c r="N636" s="9"/>
      <c r="O636" s="9"/>
      <c r="P636" s="9"/>
      <c r="Q636" s="38">
        <f t="shared" si="89"/>
        <v>0</v>
      </c>
      <c r="R636" s="12"/>
      <c r="S636" s="42"/>
      <c r="T636" s="15"/>
      <c r="U636" s="44"/>
      <c r="V636" s="15"/>
      <c r="W636" s="44"/>
      <c r="X636" s="15">
        <f t="shared" si="90"/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 t="shared" si="91"/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 t="shared" si="92"/>
        <v>0</v>
      </c>
      <c r="BC636" s="15"/>
      <c r="BD636" s="44"/>
      <c r="BE636" s="15"/>
      <c r="BF636" s="44"/>
      <c r="BG636" s="15">
        <f t="shared" si="93"/>
        <v>0</v>
      </c>
    </row>
    <row r="637" spans="1:59" s="8" customFormat="1" ht="22.5" customHeight="1">
      <c r="A637" s="9"/>
      <c r="B637" s="16" t="s">
        <v>528</v>
      </c>
      <c r="C637" s="89" t="s">
        <v>494</v>
      </c>
      <c r="D637" s="111" t="s">
        <v>918</v>
      </c>
      <c r="E637" s="112" t="s">
        <v>917</v>
      </c>
      <c r="F637" s="113" t="s">
        <v>2105</v>
      </c>
      <c r="G637" s="113" t="s">
        <v>2106</v>
      </c>
      <c r="H637" s="96"/>
      <c r="I637" s="9"/>
      <c r="J637" s="9" t="s">
        <v>527</v>
      </c>
      <c r="K637" s="14"/>
      <c r="L637" s="14"/>
      <c r="M637" s="12"/>
      <c r="N637" s="9"/>
      <c r="O637" s="9"/>
      <c r="P637" s="9"/>
      <c r="Q637" s="38">
        <f t="shared" si="89"/>
        <v>0</v>
      </c>
      <c r="R637" s="12"/>
      <c r="S637" s="42"/>
      <c r="T637" s="15"/>
      <c r="U637" s="44"/>
      <c r="V637" s="15"/>
      <c r="W637" s="44"/>
      <c r="X637" s="15">
        <f t="shared" si="90"/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 t="shared" si="91"/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 t="shared" si="92"/>
        <v>0</v>
      </c>
      <c r="BC637" s="15"/>
      <c r="BD637" s="44"/>
      <c r="BE637" s="15"/>
      <c r="BF637" s="44"/>
      <c r="BG637" s="15">
        <f t="shared" si="93"/>
        <v>0</v>
      </c>
    </row>
    <row r="638" spans="1:59" s="8" customFormat="1" ht="22.5" customHeight="1">
      <c r="A638" s="9"/>
      <c r="B638" s="16" t="s">
        <v>204</v>
      </c>
      <c r="C638" s="89" t="s">
        <v>52</v>
      </c>
      <c r="D638" s="111" t="s">
        <v>919</v>
      </c>
      <c r="E638" s="112" t="s">
        <v>531</v>
      </c>
      <c r="F638" s="113" t="s">
        <v>2107</v>
      </c>
      <c r="G638" s="113" t="s">
        <v>2108</v>
      </c>
      <c r="H638" s="96"/>
      <c r="I638" s="9"/>
      <c r="J638" s="9" t="s">
        <v>207</v>
      </c>
      <c r="K638" s="14"/>
      <c r="L638" s="14"/>
      <c r="M638" s="12"/>
      <c r="N638" s="9"/>
      <c r="O638" s="9"/>
      <c r="P638" s="9"/>
      <c r="Q638" s="38">
        <f t="shared" si="89"/>
        <v>0</v>
      </c>
      <c r="R638" s="12"/>
      <c r="S638" s="42"/>
      <c r="T638" s="15"/>
      <c r="U638" s="44"/>
      <c r="V638" s="15"/>
      <c r="W638" s="44"/>
      <c r="X638" s="15">
        <f t="shared" si="90"/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 t="shared" si="91"/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 t="shared" si="92"/>
        <v>0</v>
      </c>
      <c r="BC638" s="15"/>
      <c r="BD638" s="44"/>
      <c r="BE638" s="15"/>
      <c r="BF638" s="44"/>
      <c r="BG638" s="15">
        <f t="shared" si="93"/>
        <v>0</v>
      </c>
    </row>
    <row r="639" spans="1:59" s="8" customFormat="1" ht="22.5" customHeight="1">
      <c r="A639" s="9"/>
      <c r="B639" s="16" t="s">
        <v>204</v>
      </c>
      <c r="C639" s="89" t="s">
        <v>52</v>
      </c>
      <c r="D639" s="111" t="s">
        <v>920</v>
      </c>
      <c r="E639" s="112" t="s">
        <v>531</v>
      </c>
      <c r="F639" s="113" t="s">
        <v>2109</v>
      </c>
      <c r="G639" s="113" t="s">
        <v>2110</v>
      </c>
      <c r="H639" s="96"/>
      <c r="I639" s="9"/>
      <c r="J639" s="9" t="s">
        <v>207</v>
      </c>
      <c r="K639" s="14"/>
      <c r="L639" s="14"/>
      <c r="M639" s="12">
        <v>0</v>
      </c>
      <c r="N639" s="9"/>
      <c r="O639" s="9"/>
      <c r="P639" s="9"/>
      <c r="Q639" s="38">
        <f t="shared" si="89"/>
        <v>0</v>
      </c>
      <c r="R639" s="12"/>
      <c r="S639" s="42"/>
      <c r="T639" s="15"/>
      <c r="U639" s="44"/>
      <c r="V639" s="15"/>
      <c r="W639" s="44"/>
      <c r="X639" s="15">
        <f t="shared" si="90"/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 t="shared" si="91"/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 t="shared" si="92"/>
        <v>0</v>
      </c>
      <c r="BC639" s="15"/>
      <c r="BD639" s="44"/>
      <c r="BE639" s="15"/>
      <c r="BF639" s="44"/>
      <c r="BG639" s="15">
        <f t="shared" si="93"/>
        <v>0</v>
      </c>
    </row>
    <row r="640" spans="1:59" s="8" customFormat="1" ht="22.5" customHeight="1">
      <c r="A640" s="9"/>
      <c r="B640" s="16" t="s">
        <v>204</v>
      </c>
      <c r="C640" s="89" t="s">
        <v>52</v>
      </c>
      <c r="D640" s="111" t="s">
        <v>921</v>
      </c>
      <c r="E640" s="112" t="s">
        <v>531</v>
      </c>
      <c r="F640" s="113" t="s">
        <v>2111</v>
      </c>
      <c r="G640" s="113" t="s">
        <v>2112</v>
      </c>
      <c r="H640" s="96"/>
      <c r="I640" s="9"/>
      <c r="J640" s="9" t="s">
        <v>207</v>
      </c>
      <c r="K640" s="14"/>
      <c r="L640" s="14"/>
      <c r="M640" s="12">
        <v>0</v>
      </c>
      <c r="N640" s="9"/>
      <c r="O640" s="9"/>
      <c r="P640" s="9"/>
      <c r="Q640" s="38">
        <f t="shared" si="89"/>
        <v>0</v>
      </c>
      <c r="R640" s="12"/>
      <c r="S640" s="42"/>
      <c r="T640" s="15"/>
      <c r="U640" s="44"/>
      <c r="V640" s="15"/>
      <c r="W640" s="44"/>
      <c r="X640" s="15">
        <f t="shared" si="90"/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 t="shared" si="91"/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>
        <f t="shared" si="92"/>
        <v>0</v>
      </c>
      <c r="BC640" s="15"/>
      <c r="BD640" s="44"/>
      <c r="BE640" s="15"/>
      <c r="BF640" s="44"/>
      <c r="BG640" s="15">
        <f t="shared" si="93"/>
        <v>0</v>
      </c>
    </row>
    <row r="641" spans="1:59" s="8" customFormat="1" ht="22.5" customHeight="1">
      <c r="A641" s="9"/>
      <c r="B641" s="16" t="s">
        <v>204</v>
      </c>
      <c r="C641" s="89" t="s">
        <v>52</v>
      </c>
      <c r="D641" s="111" t="s">
        <v>922</v>
      </c>
      <c r="E641" s="112" t="s">
        <v>923</v>
      </c>
      <c r="F641" s="113" t="s">
        <v>2113</v>
      </c>
      <c r="G641" s="113" t="s">
        <v>2114</v>
      </c>
      <c r="H641" s="96"/>
      <c r="I641" s="9"/>
      <c r="J641" s="9" t="s">
        <v>207</v>
      </c>
      <c r="K641" s="14"/>
      <c r="L641" s="14"/>
      <c r="M641" s="12"/>
      <c r="N641" s="9"/>
      <c r="O641" s="9"/>
      <c r="P641" s="9"/>
      <c r="Q641" s="38">
        <f t="shared" si="89"/>
        <v>0</v>
      </c>
      <c r="R641" s="12"/>
      <c r="S641" s="42"/>
      <c r="T641" s="15"/>
      <c r="U641" s="44"/>
      <c r="V641" s="15"/>
      <c r="W641" s="44"/>
      <c r="X641" s="15">
        <f t="shared" si="90"/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 t="shared" si="91"/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 t="shared" si="92"/>
        <v>0</v>
      </c>
      <c r="BC641" s="15"/>
      <c r="BD641" s="44"/>
      <c r="BE641" s="15"/>
      <c r="BF641" s="44"/>
      <c r="BG641" s="15">
        <f t="shared" si="93"/>
        <v>0</v>
      </c>
    </row>
    <row r="642" spans="1:59" s="8" customFormat="1" ht="22.5" customHeight="1">
      <c r="A642" s="9"/>
      <c r="B642" s="16" t="s">
        <v>204</v>
      </c>
      <c r="C642" s="89" t="s">
        <v>52</v>
      </c>
      <c r="D642" s="111" t="s">
        <v>924</v>
      </c>
      <c r="E642" s="112" t="s">
        <v>531</v>
      </c>
      <c r="F642" s="113" t="s">
        <v>2115</v>
      </c>
      <c r="G642" s="113" t="s">
        <v>2116</v>
      </c>
      <c r="H642" s="96"/>
      <c r="I642" s="9"/>
      <c r="J642" s="9" t="s">
        <v>207</v>
      </c>
      <c r="K642" s="14"/>
      <c r="L642" s="14"/>
      <c r="M642" s="12"/>
      <c r="N642" s="9"/>
      <c r="O642" s="9"/>
      <c r="P642" s="9"/>
      <c r="Q642" s="38">
        <f t="shared" si="89"/>
        <v>0</v>
      </c>
      <c r="R642" s="12"/>
      <c r="S642" s="42"/>
      <c r="T642" s="15"/>
      <c r="U642" s="44"/>
      <c r="V642" s="15"/>
      <c r="W642" s="44"/>
      <c r="X642" s="15">
        <f t="shared" si="90"/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 t="shared" si="91"/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 t="shared" si="92"/>
        <v>0</v>
      </c>
      <c r="BC642" s="15"/>
      <c r="BD642" s="44"/>
      <c r="BE642" s="15"/>
      <c r="BF642" s="44"/>
      <c r="BG642" s="15">
        <f t="shared" si="93"/>
        <v>0</v>
      </c>
    </row>
    <row r="643" spans="1:59" s="8" customFormat="1" ht="22.5" customHeight="1">
      <c r="A643" s="9"/>
      <c r="B643" s="16" t="s">
        <v>233</v>
      </c>
      <c r="C643" s="89" t="s">
        <v>52</v>
      </c>
      <c r="D643" s="111" t="s">
        <v>405</v>
      </c>
      <c r="E643" s="112" t="s">
        <v>925</v>
      </c>
      <c r="F643" s="113" t="s">
        <v>2117</v>
      </c>
      <c r="G643" s="113" t="s">
        <v>2118</v>
      </c>
      <c r="H643" s="96"/>
      <c r="I643" s="9"/>
      <c r="J643" s="9" t="s">
        <v>558</v>
      </c>
      <c r="K643" s="14"/>
      <c r="L643" s="14"/>
      <c r="M643" s="12"/>
      <c r="N643" s="9"/>
      <c r="O643" s="9"/>
      <c r="P643" s="9"/>
      <c r="Q643" s="38">
        <f t="shared" si="89"/>
        <v>0</v>
      </c>
      <c r="R643" s="12"/>
      <c r="S643" s="42"/>
      <c r="T643" s="15"/>
      <c r="U643" s="44"/>
      <c r="V643" s="15"/>
      <c r="W643" s="44"/>
      <c r="X643" s="15">
        <f t="shared" si="90"/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 t="shared" si="91"/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 t="shared" si="92"/>
        <v>0</v>
      </c>
      <c r="BC643" s="15"/>
      <c r="BD643" s="44"/>
      <c r="BE643" s="15"/>
      <c r="BF643" s="44"/>
      <c r="BG643" s="15">
        <f t="shared" si="93"/>
        <v>0</v>
      </c>
    </row>
    <row r="644" spans="1:59" s="8" customFormat="1" ht="22.5" customHeight="1">
      <c r="A644" s="9"/>
      <c r="B644" s="16" t="s">
        <v>926</v>
      </c>
      <c r="C644" s="89" t="s">
        <v>52</v>
      </c>
      <c r="D644" s="80" t="s">
        <v>960</v>
      </c>
      <c r="E644" s="13" t="s">
        <v>565</v>
      </c>
      <c r="F644" s="105" t="s">
        <v>2119</v>
      </c>
      <c r="G644" s="105"/>
      <c r="H644" s="96"/>
      <c r="I644" s="9"/>
      <c r="J644" s="9" t="s">
        <v>566</v>
      </c>
      <c r="K644" s="14"/>
      <c r="L644" s="14"/>
      <c r="M644" s="12">
        <v>320</v>
      </c>
      <c r="N644" s="9"/>
      <c r="O644" s="9"/>
      <c r="P644" s="9"/>
      <c r="Q644" s="38">
        <f t="shared" si="89"/>
        <v>320</v>
      </c>
      <c r="R644" s="12"/>
      <c r="S644" s="42"/>
      <c r="T644" s="15"/>
      <c r="U644" s="44"/>
      <c r="V644" s="15"/>
      <c r="W644" s="44"/>
      <c r="X644" s="15">
        <f t="shared" si="90"/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 t="shared" si="91"/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 t="shared" si="92"/>
        <v>0</v>
      </c>
      <c r="BC644" s="15"/>
      <c r="BD644" s="44"/>
      <c r="BE644" s="15"/>
      <c r="BF644" s="44"/>
      <c r="BG644" s="15">
        <f t="shared" si="93"/>
        <v>0</v>
      </c>
    </row>
    <row r="645" spans="1:59" s="8" customFormat="1" ht="22.5" customHeight="1">
      <c r="A645" s="9"/>
      <c r="B645" s="16" t="s">
        <v>926</v>
      </c>
      <c r="C645" s="89" t="s">
        <v>52</v>
      </c>
      <c r="D645" s="56" t="s">
        <v>928</v>
      </c>
      <c r="E645" s="13" t="s">
        <v>929</v>
      </c>
      <c r="F645" s="104" t="s">
        <v>2120</v>
      </c>
      <c r="G645" s="104"/>
      <c r="H645" s="96"/>
      <c r="I645" s="9"/>
      <c r="J645" s="9" t="s">
        <v>566</v>
      </c>
      <c r="K645" s="14"/>
      <c r="L645" s="14"/>
      <c r="M645" s="12"/>
      <c r="N645" s="9"/>
      <c r="O645" s="9"/>
      <c r="P645" s="9"/>
      <c r="Q645" s="38">
        <f t="shared" si="89"/>
        <v>0</v>
      </c>
      <c r="R645" s="12"/>
      <c r="S645" s="42"/>
      <c r="T645" s="15"/>
      <c r="U645" s="44"/>
      <c r="V645" s="15"/>
      <c r="W645" s="44"/>
      <c r="X645" s="15">
        <f t="shared" si="90"/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 t="shared" si="91"/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 t="shared" si="92"/>
        <v>0</v>
      </c>
      <c r="BC645" s="15"/>
      <c r="BD645" s="44"/>
      <c r="BE645" s="15"/>
      <c r="BF645" s="44"/>
      <c r="BG645" s="15">
        <f t="shared" si="93"/>
        <v>0</v>
      </c>
    </row>
    <row r="646" spans="1:59" s="8" customFormat="1" ht="22.5" customHeight="1">
      <c r="A646" s="9"/>
      <c r="B646" s="16" t="s">
        <v>926</v>
      </c>
      <c r="C646" s="89" t="s">
        <v>52</v>
      </c>
      <c r="D646" s="56" t="s">
        <v>930</v>
      </c>
      <c r="E646" s="13"/>
      <c r="F646" s="104" t="s">
        <v>2121</v>
      </c>
      <c r="G646" s="104"/>
      <c r="H646" s="96"/>
      <c r="I646" s="9"/>
      <c r="J646" s="9" t="s">
        <v>566</v>
      </c>
      <c r="K646" s="14"/>
      <c r="L646" s="14"/>
      <c r="M646" s="12">
        <v>23</v>
      </c>
      <c r="N646" s="9"/>
      <c r="O646" s="9"/>
      <c r="P646" s="9"/>
      <c r="Q646" s="38">
        <f t="shared" si="89"/>
        <v>23</v>
      </c>
      <c r="R646" s="12"/>
      <c r="S646" s="42"/>
      <c r="T646" s="15"/>
      <c r="U646" s="44"/>
      <c r="V646" s="15"/>
      <c r="W646" s="44"/>
      <c r="X646" s="15">
        <f t="shared" si="90"/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 t="shared" si="91"/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 t="shared" si="92"/>
        <v>0</v>
      </c>
      <c r="BC646" s="15"/>
      <c r="BD646" s="44"/>
      <c r="BE646" s="15"/>
      <c r="BF646" s="44"/>
      <c r="BG646" s="15">
        <f t="shared" si="93"/>
        <v>0</v>
      </c>
    </row>
    <row r="647" spans="1:59" s="8" customFormat="1" ht="22.5" customHeight="1">
      <c r="A647" s="9"/>
      <c r="B647" s="16" t="s">
        <v>926</v>
      </c>
      <c r="C647" s="89" t="s">
        <v>52</v>
      </c>
      <c r="D647" s="56" t="s">
        <v>2122</v>
      </c>
      <c r="E647" s="13"/>
      <c r="H647" s="96"/>
      <c r="I647" s="9"/>
      <c r="J647" s="9"/>
      <c r="K647" s="14"/>
      <c r="L647" s="14"/>
      <c r="M647" s="12">
        <v>299</v>
      </c>
      <c r="N647" s="9"/>
      <c r="O647" s="9"/>
      <c r="P647" s="9"/>
      <c r="Q647" s="38">
        <f t="shared" si="89"/>
        <v>299</v>
      </c>
      <c r="R647" s="12"/>
      <c r="S647" s="42"/>
      <c r="T647" s="15"/>
      <c r="U647" s="44"/>
      <c r="V647" s="15"/>
      <c r="W647" s="44"/>
      <c r="X647" s="15">
        <f t="shared" si="90"/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 t="shared" si="91"/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/>
      <c r="BC647" s="15"/>
      <c r="BD647" s="44"/>
      <c r="BE647" s="15"/>
      <c r="BF647" s="44"/>
      <c r="BG647" s="15"/>
    </row>
    <row r="648" spans="1:59" s="8" customFormat="1" ht="22.5" customHeight="1">
      <c r="A648" s="9"/>
      <c r="B648" s="16" t="s">
        <v>926</v>
      </c>
      <c r="C648" s="89" t="s">
        <v>52</v>
      </c>
      <c r="D648" s="56" t="s">
        <v>2123</v>
      </c>
      <c r="E648" s="13"/>
      <c r="H648" s="96"/>
      <c r="I648" s="9"/>
      <c r="J648" s="9"/>
      <c r="K648" s="14"/>
      <c r="L648" s="14"/>
      <c r="M648" s="12">
        <v>7</v>
      </c>
      <c r="N648" s="9"/>
      <c r="O648" s="9"/>
      <c r="P648" s="9"/>
      <c r="Q648" s="38">
        <f t="shared" si="89"/>
        <v>7</v>
      </c>
      <c r="R648" s="12"/>
      <c r="S648" s="42"/>
      <c r="T648" s="15"/>
      <c r="U648" s="44"/>
      <c r="V648" s="15"/>
      <c r="W648" s="44"/>
      <c r="X648" s="15">
        <f t="shared" ref="X648:X676" si="94">R648+T648+V648</f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 t="shared" ref="AG648:AG676" si="95">(Y648+AA648+AC648+AE648)</f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/>
      <c r="BC648" s="15"/>
      <c r="BD648" s="44"/>
      <c r="BE648" s="15"/>
      <c r="BF648" s="44"/>
      <c r="BG648" s="15"/>
    </row>
    <row r="649" spans="1:59" s="8" customFormat="1" ht="22.5" customHeight="1">
      <c r="A649" s="9"/>
      <c r="B649" s="16" t="s">
        <v>926</v>
      </c>
      <c r="C649" s="89" t="s">
        <v>52</v>
      </c>
      <c r="D649" s="56" t="s">
        <v>2124</v>
      </c>
      <c r="E649" s="13"/>
      <c r="H649" s="96"/>
      <c r="I649" s="9"/>
      <c r="J649" s="9"/>
      <c r="K649" s="14"/>
      <c r="L649" s="14"/>
      <c r="M649" s="12">
        <v>10</v>
      </c>
      <c r="N649" s="9"/>
      <c r="O649" s="9"/>
      <c r="P649" s="9"/>
      <c r="Q649" s="38">
        <f t="shared" si="89"/>
        <v>10</v>
      </c>
      <c r="R649" s="12"/>
      <c r="S649" s="42"/>
      <c r="T649" s="15"/>
      <c r="U649" s="44"/>
      <c r="V649" s="15"/>
      <c r="W649" s="44"/>
      <c r="X649" s="15">
        <f t="shared" si="94"/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 t="shared" si="95"/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/>
      <c r="BC649" s="15"/>
      <c r="BD649" s="44"/>
      <c r="BE649" s="15"/>
      <c r="BF649" s="44"/>
      <c r="BG649" s="15"/>
    </row>
    <row r="650" spans="1:59" s="8" customFormat="1" ht="22.5" customHeight="1">
      <c r="A650" s="9"/>
      <c r="B650" s="16" t="s">
        <v>155</v>
      </c>
      <c r="C650" s="89" t="s">
        <v>52</v>
      </c>
      <c r="D650" s="111" t="s">
        <v>931</v>
      </c>
      <c r="E650" s="112" t="s">
        <v>565</v>
      </c>
      <c r="F650" s="113" t="s">
        <v>2125</v>
      </c>
      <c r="G650" s="113" t="s">
        <v>2126</v>
      </c>
      <c r="H650" s="96"/>
      <c r="I650" s="9"/>
      <c r="J650" s="9" t="s">
        <v>566</v>
      </c>
      <c r="K650" s="14"/>
      <c r="L650" s="14"/>
      <c r="M650" s="12"/>
      <c r="N650" s="9"/>
      <c r="O650" s="9"/>
      <c r="P650" s="9"/>
      <c r="Q650" s="38">
        <f t="shared" si="89"/>
        <v>0</v>
      </c>
      <c r="R650" s="12"/>
      <c r="S650" s="42"/>
      <c r="T650" s="15"/>
      <c r="U650" s="44"/>
      <c r="V650" s="15"/>
      <c r="W650" s="44"/>
      <c r="X650" s="15">
        <f t="shared" si="94"/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 t="shared" si="95"/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 t="shared" ref="BB650:BB660" si="96">AH650+AJ650+AL650+AN650+AP650+AR650+AT650+AV650+AX650+AZ650</f>
        <v>0</v>
      </c>
      <c r="BC650" s="15"/>
      <c r="BD650" s="44"/>
      <c r="BE650" s="15"/>
      <c r="BF650" s="44"/>
      <c r="BG650" s="15">
        <f t="shared" ref="BG650:BG660" si="97">(BC650+BE650)</f>
        <v>0</v>
      </c>
    </row>
    <row r="651" spans="1:59" s="8" customFormat="1" ht="22.5" customHeight="1">
      <c r="A651" s="9"/>
      <c r="B651" s="16" t="s">
        <v>155</v>
      </c>
      <c r="C651" s="89" t="s">
        <v>52</v>
      </c>
      <c r="D651" s="111" t="s">
        <v>932</v>
      </c>
      <c r="E651" s="112" t="s">
        <v>569</v>
      </c>
      <c r="F651" s="113" t="s">
        <v>2127</v>
      </c>
      <c r="G651" s="113" t="s">
        <v>2128</v>
      </c>
      <c r="H651" s="96"/>
      <c r="I651" s="9"/>
      <c r="J651" s="9" t="s">
        <v>566</v>
      </c>
      <c r="K651" s="14"/>
      <c r="L651" s="14"/>
      <c r="M651" s="12"/>
      <c r="N651" s="9"/>
      <c r="O651" s="9"/>
      <c r="P651" s="9"/>
      <c r="Q651" s="38">
        <f t="shared" si="89"/>
        <v>0</v>
      </c>
      <c r="R651" s="12"/>
      <c r="S651" s="42"/>
      <c r="T651" s="15"/>
      <c r="U651" s="44"/>
      <c r="V651" s="15"/>
      <c r="W651" s="44"/>
      <c r="X651" s="15">
        <f t="shared" si="94"/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 t="shared" si="95"/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 t="shared" si="96"/>
        <v>0</v>
      </c>
      <c r="BC651" s="15"/>
      <c r="BD651" s="44"/>
      <c r="BE651" s="15"/>
      <c r="BF651" s="44"/>
      <c r="BG651" s="15">
        <f t="shared" si="97"/>
        <v>0</v>
      </c>
    </row>
    <row r="652" spans="1:59" s="8" customFormat="1" ht="22.5" customHeight="1">
      <c r="A652" s="9"/>
      <c r="B652" s="16" t="s">
        <v>155</v>
      </c>
      <c r="C652" s="89" t="s">
        <v>52</v>
      </c>
      <c r="D652" s="111" t="s">
        <v>933</v>
      </c>
      <c r="E652" s="112" t="s">
        <v>565</v>
      </c>
      <c r="F652" s="113" t="s">
        <v>2129</v>
      </c>
      <c r="G652" s="113" t="s">
        <v>2130</v>
      </c>
      <c r="H652" s="96"/>
      <c r="I652" s="9"/>
      <c r="J652" s="9" t="s">
        <v>314</v>
      </c>
      <c r="K652" s="14"/>
      <c r="L652" s="14"/>
      <c r="M652" s="12"/>
      <c r="N652" s="9"/>
      <c r="O652" s="9"/>
      <c r="P652" s="9"/>
      <c r="Q652" s="38">
        <f t="shared" si="89"/>
        <v>0</v>
      </c>
      <c r="R652" s="12"/>
      <c r="S652" s="42"/>
      <c r="T652" s="15"/>
      <c r="U652" s="44"/>
      <c r="V652" s="15"/>
      <c r="W652" s="44"/>
      <c r="X652" s="15">
        <f t="shared" si="94"/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 t="shared" si="95"/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 t="shared" si="96"/>
        <v>0</v>
      </c>
      <c r="BC652" s="15"/>
      <c r="BD652" s="44"/>
      <c r="BE652" s="15"/>
      <c r="BF652" s="44"/>
      <c r="BG652" s="15">
        <f t="shared" si="97"/>
        <v>0</v>
      </c>
    </row>
    <row r="653" spans="1:59" s="8" customFormat="1" ht="22.5" customHeight="1">
      <c r="A653" s="9"/>
      <c r="B653" s="16" t="s">
        <v>330</v>
      </c>
      <c r="C653" s="89" t="s">
        <v>52</v>
      </c>
      <c r="D653" s="111" t="s">
        <v>934</v>
      </c>
      <c r="E653" s="112" t="s">
        <v>330</v>
      </c>
      <c r="F653" s="113" t="s">
        <v>2131</v>
      </c>
      <c r="G653" s="113" t="s">
        <v>2132</v>
      </c>
      <c r="H653" s="96"/>
      <c r="I653" s="9"/>
      <c r="J653" s="9" t="s">
        <v>467</v>
      </c>
      <c r="K653" s="14"/>
      <c r="L653" s="14"/>
      <c r="M653" s="12"/>
      <c r="N653" s="9"/>
      <c r="O653" s="9"/>
      <c r="P653" s="9"/>
      <c r="Q653" s="38">
        <f t="shared" si="89"/>
        <v>0</v>
      </c>
      <c r="R653" s="12"/>
      <c r="S653" s="42"/>
      <c r="T653" s="15"/>
      <c r="U653" s="44"/>
      <c r="V653" s="15"/>
      <c r="W653" s="44"/>
      <c r="X653" s="15">
        <f t="shared" si="94"/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 t="shared" si="95"/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 t="shared" si="96"/>
        <v>0</v>
      </c>
      <c r="BC653" s="15"/>
      <c r="BD653" s="44"/>
      <c r="BE653" s="15"/>
      <c r="BF653" s="44"/>
      <c r="BG653" s="15">
        <f t="shared" si="97"/>
        <v>0</v>
      </c>
    </row>
    <row r="654" spans="1:59" s="8" customFormat="1" ht="22.5" customHeight="1">
      <c r="A654" s="9"/>
      <c r="B654" s="16" t="s">
        <v>330</v>
      </c>
      <c r="C654" s="89" t="s">
        <v>52</v>
      </c>
      <c r="D654" s="111" t="s">
        <v>935</v>
      </c>
      <c r="E654" s="112"/>
      <c r="F654" s="113" t="s">
        <v>2133</v>
      </c>
      <c r="G654" s="113" t="s">
        <v>2134</v>
      </c>
      <c r="H654" s="96"/>
      <c r="I654" s="9"/>
      <c r="J654" s="9" t="s">
        <v>467</v>
      </c>
      <c r="K654" s="14"/>
      <c r="L654" s="14"/>
      <c r="M654" s="12"/>
      <c r="N654" s="9"/>
      <c r="O654" s="9"/>
      <c r="P654" s="9"/>
      <c r="Q654" s="38">
        <f t="shared" si="89"/>
        <v>0</v>
      </c>
      <c r="R654" s="12"/>
      <c r="S654" s="42"/>
      <c r="T654" s="15"/>
      <c r="U654" s="44"/>
      <c r="V654" s="15"/>
      <c r="W654" s="44"/>
      <c r="X654" s="15">
        <f t="shared" si="94"/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 t="shared" si="95"/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 t="shared" si="96"/>
        <v>0</v>
      </c>
      <c r="BC654" s="15"/>
      <c r="BD654" s="44"/>
      <c r="BE654" s="15"/>
      <c r="BF654" s="44"/>
      <c r="BG654" s="15">
        <f t="shared" si="97"/>
        <v>0</v>
      </c>
    </row>
    <row r="655" spans="1:59" s="8" customFormat="1" ht="22.5" customHeight="1">
      <c r="A655" s="9"/>
      <c r="B655" s="16" t="s">
        <v>574</v>
      </c>
      <c r="C655" s="89" t="s">
        <v>52</v>
      </c>
      <c r="D655" s="111" t="s">
        <v>577</v>
      </c>
      <c r="E655" s="112"/>
      <c r="F655" s="113" t="s">
        <v>2135</v>
      </c>
      <c r="G655" s="113" t="s">
        <v>2136</v>
      </c>
      <c r="H655" s="96"/>
      <c r="I655" s="9"/>
      <c r="J655" s="9" t="s">
        <v>576</v>
      </c>
      <c r="K655" s="14"/>
      <c r="L655" s="14"/>
      <c r="M655" s="12"/>
      <c r="N655" s="9"/>
      <c r="O655" s="9"/>
      <c r="P655" s="9"/>
      <c r="Q655" s="38">
        <f t="shared" si="89"/>
        <v>0</v>
      </c>
      <c r="R655" s="12"/>
      <c r="S655" s="42"/>
      <c r="T655" s="15"/>
      <c r="U655" s="44"/>
      <c r="V655" s="15"/>
      <c r="W655" s="44"/>
      <c r="X655" s="15">
        <f t="shared" si="94"/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 t="shared" si="95"/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 t="shared" si="96"/>
        <v>0</v>
      </c>
      <c r="BC655" s="15"/>
      <c r="BD655" s="44"/>
      <c r="BE655" s="15"/>
      <c r="BF655" s="44"/>
      <c r="BG655" s="15">
        <f t="shared" si="97"/>
        <v>0</v>
      </c>
    </row>
    <row r="656" spans="1:59" s="8" customFormat="1" ht="22.5" customHeight="1">
      <c r="A656" s="9"/>
      <c r="B656" s="16" t="s">
        <v>574</v>
      </c>
      <c r="C656" s="89" t="s">
        <v>494</v>
      </c>
      <c r="D656" s="111" t="s">
        <v>577</v>
      </c>
      <c r="E656" s="112"/>
      <c r="F656" s="113" t="s">
        <v>2137</v>
      </c>
      <c r="G656" s="113" t="s">
        <v>2138</v>
      </c>
      <c r="H656" s="96"/>
      <c r="I656" s="9"/>
      <c r="J656" s="9" t="s">
        <v>576</v>
      </c>
      <c r="K656" s="14"/>
      <c r="L656" s="14"/>
      <c r="M656" s="12"/>
      <c r="N656" s="9"/>
      <c r="O656" s="9"/>
      <c r="P656" s="9"/>
      <c r="Q656" s="38">
        <f t="shared" si="89"/>
        <v>0</v>
      </c>
      <c r="R656" s="12"/>
      <c r="S656" s="42"/>
      <c r="T656" s="15"/>
      <c r="U656" s="44"/>
      <c r="V656" s="15"/>
      <c r="W656" s="44"/>
      <c r="X656" s="15">
        <f t="shared" si="94"/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 t="shared" si="95"/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 t="shared" si="96"/>
        <v>0</v>
      </c>
      <c r="BC656" s="15"/>
      <c r="BD656" s="44"/>
      <c r="BE656" s="15"/>
      <c r="BF656" s="44"/>
      <c r="BG656" s="15">
        <f t="shared" si="97"/>
        <v>0</v>
      </c>
    </row>
    <row r="657" spans="1:59" s="8" customFormat="1" ht="22.5" customHeight="1">
      <c r="A657" s="9"/>
      <c r="B657" s="16" t="s">
        <v>574</v>
      </c>
      <c r="C657" s="89" t="s">
        <v>494</v>
      </c>
      <c r="D657" s="111" t="s">
        <v>577</v>
      </c>
      <c r="E657" s="112" t="s">
        <v>936</v>
      </c>
      <c r="F657" s="113" t="s">
        <v>2139</v>
      </c>
      <c r="G657" s="113" t="s">
        <v>2140</v>
      </c>
      <c r="H657" s="96"/>
      <c r="I657" s="9"/>
      <c r="J657" s="9" t="s">
        <v>576</v>
      </c>
      <c r="K657" s="14"/>
      <c r="L657" s="14"/>
      <c r="M657" s="12"/>
      <c r="N657" s="9"/>
      <c r="O657" s="9"/>
      <c r="P657" s="9"/>
      <c r="Q657" s="38">
        <f t="shared" si="89"/>
        <v>0</v>
      </c>
      <c r="R657" s="12"/>
      <c r="S657" s="42"/>
      <c r="T657" s="15"/>
      <c r="U657" s="44"/>
      <c r="V657" s="15"/>
      <c r="W657" s="44"/>
      <c r="X657" s="15">
        <f t="shared" si="94"/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 t="shared" si="95"/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 t="shared" si="96"/>
        <v>0</v>
      </c>
      <c r="BC657" s="15"/>
      <c r="BD657" s="44"/>
      <c r="BE657" s="15"/>
      <c r="BF657" s="44"/>
      <c r="BG657" s="15">
        <f t="shared" si="97"/>
        <v>0</v>
      </c>
    </row>
    <row r="658" spans="1:59" s="8" customFormat="1" ht="22.5" customHeight="1">
      <c r="A658" s="9"/>
      <c r="B658" s="16" t="s">
        <v>244</v>
      </c>
      <c r="C658" s="89" t="s">
        <v>52</v>
      </c>
      <c r="D658" s="111" t="s">
        <v>937</v>
      </c>
      <c r="E658" s="112" t="s">
        <v>246</v>
      </c>
      <c r="F658" s="113" t="s">
        <v>2141</v>
      </c>
      <c r="G658" s="113" t="s">
        <v>2142</v>
      </c>
      <c r="H658" s="96"/>
      <c r="I658" s="9"/>
      <c r="J658" s="9" t="s">
        <v>247</v>
      </c>
      <c r="K658" s="14"/>
      <c r="L658" s="14"/>
      <c r="M658" s="12"/>
      <c r="N658" s="9"/>
      <c r="O658" s="9"/>
      <c r="P658" s="9"/>
      <c r="Q658" s="38">
        <f t="shared" si="89"/>
        <v>0</v>
      </c>
      <c r="R658" s="12"/>
      <c r="S658" s="42"/>
      <c r="T658" s="15"/>
      <c r="U658" s="44"/>
      <c r="V658" s="15"/>
      <c r="W658" s="44"/>
      <c r="X658" s="15">
        <f t="shared" si="94"/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 t="shared" si="95"/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 t="shared" si="96"/>
        <v>0</v>
      </c>
      <c r="BC658" s="15"/>
      <c r="BD658" s="44"/>
      <c r="BE658" s="15"/>
      <c r="BF658" s="44"/>
      <c r="BG658" s="15">
        <f t="shared" si="97"/>
        <v>0</v>
      </c>
    </row>
    <row r="659" spans="1:59" s="8" customFormat="1" ht="22.5" customHeight="1">
      <c r="A659" s="9"/>
      <c r="B659" s="16" t="s">
        <v>244</v>
      </c>
      <c r="C659" s="89" t="s">
        <v>52</v>
      </c>
      <c r="D659" s="111" t="s">
        <v>938</v>
      </c>
      <c r="E659" s="112" t="s">
        <v>246</v>
      </c>
      <c r="F659" s="113" t="s">
        <v>2143</v>
      </c>
      <c r="G659" s="113" t="s">
        <v>2144</v>
      </c>
      <c r="H659" s="96"/>
      <c r="I659" s="9"/>
      <c r="J659" s="9" t="s">
        <v>247</v>
      </c>
      <c r="K659" s="14"/>
      <c r="L659" s="14"/>
      <c r="M659" s="12"/>
      <c r="N659" s="9"/>
      <c r="O659" s="9"/>
      <c r="P659" s="9"/>
      <c r="Q659" s="38">
        <f t="shared" si="89"/>
        <v>0</v>
      </c>
      <c r="R659" s="12"/>
      <c r="S659" s="42"/>
      <c r="T659" s="15"/>
      <c r="U659" s="44"/>
      <c r="V659" s="15"/>
      <c r="W659" s="44"/>
      <c r="X659" s="15">
        <f t="shared" si="94"/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 t="shared" si="95"/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 t="shared" si="96"/>
        <v>0</v>
      </c>
      <c r="BC659" s="15"/>
      <c r="BD659" s="44"/>
      <c r="BE659" s="15"/>
      <c r="BF659" s="44"/>
      <c r="BG659" s="15">
        <f t="shared" si="97"/>
        <v>0</v>
      </c>
    </row>
    <row r="660" spans="1:59" s="8" customFormat="1" ht="22.5" customHeight="1">
      <c r="A660" s="9">
        <v>999</v>
      </c>
      <c r="B660" s="16" t="s">
        <v>204</v>
      </c>
      <c r="C660" s="89" t="s">
        <v>52</v>
      </c>
      <c r="D660" s="111" t="s">
        <v>939</v>
      </c>
      <c r="E660" s="112" t="s">
        <v>940</v>
      </c>
      <c r="F660" s="113" t="s">
        <v>2145</v>
      </c>
      <c r="G660" s="113" t="s">
        <v>2146</v>
      </c>
      <c r="H660" s="96"/>
      <c r="I660" s="9"/>
      <c r="J660" s="9" t="s">
        <v>207</v>
      </c>
      <c r="K660" s="14"/>
      <c r="L660" s="14"/>
      <c r="M660" s="12"/>
      <c r="N660" s="9"/>
      <c r="O660" s="9"/>
      <c r="P660" s="9"/>
      <c r="Q660" s="38">
        <f t="shared" si="89"/>
        <v>0</v>
      </c>
      <c r="R660" s="12"/>
      <c r="S660" s="42"/>
      <c r="T660" s="15"/>
      <c r="U660" s="44"/>
      <c r="V660" s="15"/>
      <c r="W660" s="44"/>
      <c r="X660" s="15">
        <f t="shared" si="94"/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 t="shared" si="95"/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 t="shared" si="96"/>
        <v>0</v>
      </c>
      <c r="BC660" s="15"/>
      <c r="BD660" s="44"/>
      <c r="BE660" s="15"/>
      <c r="BF660" s="44"/>
      <c r="BG660" s="15">
        <f t="shared" si="97"/>
        <v>0</v>
      </c>
    </row>
    <row r="661" spans="1:59" s="8" customFormat="1" ht="22.5" customHeight="1">
      <c r="A661" s="9">
        <v>999</v>
      </c>
      <c r="B661" s="16" t="s">
        <v>204</v>
      </c>
      <c r="C661" s="89" t="s">
        <v>52</v>
      </c>
      <c r="D661" s="64" t="s">
        <v>2147</v>
      </c>
      <c r="E661" s="13" t="s">
        <v>206</v>
      </c>
      <c r="H661" s="96"/>
      <c r="I661" s="9"/>
      <c r="J661" s="9" t="s">
        <v>207</v>
      </c>
      <c r="K661" s="14"/>
      <c r="L661" s="14"/>
      <c r="M661" s="12">
        <v>78</v>
      </c>
      <c r="N661" s="9"/>
      <c r="O661" s="9"/>
      <c r="P661" s="9"/>
      <c r="Q661" s="38">
        <f t="shared" si="89"/>
        <v>78</v>
      </c>
      <c r="R661" s="12"/>
      <c r="S661" s="42"/>
      <c r="T661" s="15"/>
      <c r="U661" s="44"/>
      <c r="V661" s="15"/>
      <c r="W661" s="44"/>
      <c r="X661" s="15">
        <f t="shared" si="94"/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 t="shared" si="95"/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>
        <v>999</v>
      </c>
      <c r="B662" s="16" t="s">
        <v>204</v>
      </c>
      <c r="C662" s="89" t="s">
        <v>52</v>
      </c>
      <c r="D662" s="111" t="s">
        <v>941</v>
      </c>
      <c r="E662" s="112" t="s">
        <v>940</v>
      </c>
      <c r="F662" s="113" t="s">
        <v>2148</v>
      </c>
      <c r="G662" s="113" t="s">
        <v>2149</v>
      </c>
      <c r="H662" s="96"/>
      <c r="I662" s="9"/>
      <c r="J662" s="9" t="s">
        <v>207</v>
      </c>
      <c r="K662" s="14"/>
      <c r="L662" s="14"/>
      <c r="M662" s="12"/>
      <c r="N662" s="9"/>
      <c r="O662" s="9"/>
      <c r="P662" s="9"/>
      <c r="Q662" s="38">
        <f t="shared" si="89"/>
        <v>0</v>
      </c>
      <c r="R662" s="12"/>
      <c r="S662" s="42"/>
      <c r="T662" s="15"/>
      <c r="U662" s="44"/>
      <c r="V662" s="15"/>
      <c r="W662" s="44"/>
      <c r="X662" s="15">
        <f t="shared" si="94"/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 t="shared" si="95"/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 t="shared" ref="BB662:BB676" si="98">AH662+AJ662+AL662+AN662+AP662+AR662+AT662+AV662+AX662+AZ662</f>
        <v>0</v>
      </c>
      <c r="BC662" s="15"/>
      <c r="BD662" s="44"/>
      <c r="BE662" s="15"/>
      <c r="BF662" s="44"/>
      <c r="BG662" s="15">
        <f t="shared" ref="BG662:BG676" si="99">(BC662+BE662)</f>
        <v>0</v>
      </c>
    </row>
    <row r="663" spans="1:59" s="8" customFormat="1" ht="22.5" customHeight="1">
      <c r="A663" s="9">
        <v>999</v>
      </c>
      <c r="B663" s="16" t="s">
        <v>942</v>
      </c>
      <c r="C663" s="89" t="s">
        <v>494</v>
      </c>
      <c r="D663" s="111" t="s">
        <v>943</v>
      </c>
      <c r="E663" s="112" t="s">
        <v>944</v>
      </c>
      <c r="F663" s="113" t="s">
        <v>2150</v>
      </c>
      <c r="G663" s="113" t="s">
        <v>2151</v>
      </c>
      <c r="H663" s="12"/>
      <c r="I663" s="9"/>
      <c r="J663" s="9" t="s">
        <v>945</v>
      </c>
      <c r="K663" s="14"/>
      <c r="L663" s="14"/>
      <c r="M663" s="12"/>
      <c r="N663" s="9"/>
      <c r="O663" s="9"/>
      <c r="P663" s="9"/>
      <c r="Q663" s="38">
        <f t="shared" si="89"/>
        <v>0</v>
      </c>
      <c r="R663" s="12"/>
      <c r="S663" s="42"/>
      <c r="T663" s="15"/>
      <c r="U663" s="44"/>
      <c r="V663" s="15"/>
      <c r="W663" s="44"/>
      <c r="X663" s="15">
        <f t="shared" si="94"/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 t="shared" si="95"/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 t="shared" si="98"/>
        <v>0</v>
      </c>
      <c r="BC663" s="15"/>
      <c r="BD663" s="44"/>
      <c r="BE663" s="15"/>
      <c r="BF663" s="44"/>
      <c r="BG663" s="15">
        <f t="shared" si="99"/>
        <v>0</v>
      </c>
    </row>
    <row r="664" spans="1:59" s="8" customFormat="1" ht="22.5" customHeight="1">
      <c r="A664" s="9">
        <v>999</v>
      </c>
      <c r="B664" s="16" t="s">
        <v>942</v>
      </c>
      <c r="C664" s="89" t="s">
        <v>494</v>
      </c>
      <c r="D664" s="111" t="s">
        <v>946</v>
      </c>
      <c r="E664" s="112"/>
      <c r="F664" s="113" t="s">
        <v>2152</v>
      </c>
      <c r="G664" s="113" t="s">
        <v>2153</v>
      </c>
      <c r="H664" s="12"/>
      <c r="I664" s="9"/>
      <c r="J664" s="9" t="s">
        <v>945</v>
      </c>
      <c r="K664" s="14"/>
      <c r="L664" s="14"/>
      <c r="M664" s="12"/>
      <c r="N664" s="9"/>
      <c r="O664" s="9"/>
      <c r="P664" s="9"/>
      <c r="Q664" s="38">
        <f t="shared" si="89"/>
        <v>0</v>
      </c>
      <c r="R664" s="12"/>
      <c r="S664" s="42"/>
      <c r="T664" s="15"/>
      <c r="U664" s="44"/>
      <c r="V664" s="15"/>
      <c r="W664" s="44"/>
      <c r="X664" s="15">
        <f t="shared" si="94"/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 t="shared" si="95"/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 t="shared" si="98"/>
        <v>0</v>
      </c>
      <c r="BC664" s="15"/>
      <c r="BD664" s="44"/>
      <c r="BE664" s="15"/>
      <c r="BF664" s="44"/>
      <c r="BG664" s="15">
        <f t="shared" si="99"/>
        <v>0</v>
      </c>
    </row>
    <row r="665" spans="1:59" s="8" customFormat="1" ht="22.5" customHeight="1">
      <c r="A665" s="9"/>
      <c r="B665" s="16" t="s">
        <v>801</v>
      </c>
      <c r="C665" s="89"/>
      <c r="D665" s="87" t="s">
        <v>804</v>
      </c>
      <c r="E665" s="13"/>
      <c r="F665" s="107" t="s">
        <v>2082</v>
      </c>
      <c r="G665" s="107"/>
      <c r="H665" s="95"/>
      <c r="I665" s="9"/>
      <c r="J665" s="9" t="s">
        <v>805</v>
      </c>
      <c r="K665" s="14"/>
      <c r="L665" s="14"/>
      <c r="M665" s="12"/>
      <c r="N665" s="9"/>
      <c r="O665" s="9"/>
      <c r="P665" s="9"/>
      <c r="Q665" s="38">
        <f t="shared" si="89"/>
        <v>0</v>
      </c>
      <c r="R665" s="12"/>
      <c r="S665" s="42"/>
      <c r="T665" s="15"/>
      <c r="U665" s="44"/>
      <c r="V665" s="15"/>
      <c r="W665" s="44"/>
      <c r="X665" s="15">
        <f t="shared" si="94"/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 t="shared" si="95"/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 t="shared" si="98"/>
        <v>0</v>
      </c>
      <c r="BC665" s="15"/>
      <c r="BD665" s="44"/>
      <c r="BE665" s="15"/>
      <c r="BF665" s="44"/>
      <c r="BG665" s="15">
        <f t="shared" si="99"/>
        <v>0</v>
      </c>
    </row>
    <row r="666" spans="1:59" s="8" customFormat="1" ht="22.5" customHeight="1">
      <c r="A666" s="9">
        <v>999</v>
      </c>
      <c r="B666" s="16" t="s">
        <v>120</v>
      </c>
      <c r="C666" s="89"/>
      <c r="D666" s="80" t="s">
        <v>947</v>
      </c>
      <c r="E666" s="13"/>
      <c r="F666" s="110" t="s">
        <v>2082</v>
      </c>
      <c r="G666" s="110"/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 t="shared" si="89"/>
        <v>0</v>
      </c>
      <c r="R666" s="12"/>
      <c r="S666" s="42"/>
      <c r="T666" s="15"/>
      <c r="U666" s="44"/>
      <c r="V666" s="15"/>
      <c r="W666" s="44"/>
      <c r="X666" s="15">
        <f t="shared" si="94"/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 t="shared" si="95"/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 t="shared" si="98"/>
        <v>0</v>
      </c>
      <c r="BC666" s="15"/>
      <c r="BD666" s="44"/>
      <c r="BE666" s="15"/>
      <c r="BF666" s="44"/>
      <c r="BG666" s="15">
        <f t="shared" si="99"/>
        <v>0</v>
      </c>
    </row>
    <row r="667" spans="1:59" s="8" customFormat="1" ht="22.5" customHeight="1">
      <c r="A667" s="9">
        <v>999</v>
      </c>
      <c r="B667" s="16" t="s">
        <v>120</v>
      </c>
      <c r="C667" s="89"/>
      <c r="D667" s="80" t="s">
        <v>948</v>
      </c>
      <c r="E667" s="13"/>
      <c r="F667" s="110" t="s">
        <v>2082</v>
      </c>
      <c r="G667" s="110"/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 t="shared" si="89"/>
        <v>0</v>
      </c>
      <c r="R667" s="12"/>
      <c r="S667" s="42"/>
      <c r="T667" s="15"/>
      <c r="U667" s="44"/>
      <c r="V667" s="15"/>
      <c r="W667" s="44"/>
      <c r="X667" s="15">
        <f t="shared" si="94"/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 t="shared" si="95"/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 t="shared" si="98"/>
        <v>0</v>
      </c>
      <c r="BC667" s="15"/>
      <c r="BD667" s="44"/>
      <c r="BE667" s="15"/>
      <c r="BF667" s="44"/>
      <c r="BG667" s="15">
        <f t="shared" si="99"/>
        <v>0</v>
      </c>
    </row>
    <row r="668" spans="1:59" s="8" customFormat="1" ht="22.5" customHeight="1">
      <c r="A668" s="9">
        <v>999</v>
      </c>
      <c r="B668" s="16" t="s">
        <v>120</v>
      </c>
      <c r="C668" s="89"/>
      <c r="D668" s="80" t="s">
        <v>949</v>
      </c>
      <c r="E668" s="13"/>
      <c r="F668" s="110" t="s">
        <v>2082</v>
      </c>
      <c r="G668" s="110"/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 t="shared" si="89"/>
        <v>0</v>
      </c>
      <c r="R668" s="12"/>
      <c r="S668" s="42"/>
      <c r="T668" s="15"/>
      <c r="U668" s="44"/>
      <c r="V668" s="15"/>
      <c r="W668" s="44"/>
      <c r="X668" s="15">
        <f t="shared" si="94"/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 t="shared" si="95"/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 t="shared" si="98"/>
        <v>0</v>
      </c>
      <c r="BC668" s="15"/>
      <c r="BD668" s="44"/>
      <c r="BE668" s="15"/>
      <c r="BF668" s="44"/>
      <c r="BG668" s="15">
        <f t="shared" si="99"/>
        <v>0</v>
      </c>
    </row>
    <row r="669" spans="1:59" s="8" customFormat="1" ht="22.5" customHeight="1">
      <c r="A669" s="9">
        <v>999</v>
      </c>
      <c r="B669" s="16" t="s">
        <v>120</v>
      </c>
      <c r="C669" s="89"/>
      <c r="D669" s="80" t="s">
        <v>950</v>
      </c>
      <c r="E669" s="13"/>
      <c r="F669" s="110" t="s">
        <v>2082</v>
      </c>
      <c r="G669" s="110"/>
      <c r="H669" s="12"/>
      <c r="I669" s="9"/>
      <c r="J669" s="9" t="s">
        <v>67</v>
      </c>
      <c r="K669" s="14"/>
      <c r="L669" s="14"/>
      <c r="M669" s="12"/>
      <c r="N669" s="9"/>
      <c r="O669" s="9"/>
      <c r="P669" s="9"/>
      <c r="Q669" s="38">
        <f t="shared" si="89"/>
        <v>0</v>
      </c>
      <c r="R669" s="12"/>
      <c r="S669" s="42"/>
      <c r="T669" s="15"/>
      <c r="U669" s="44"/>
      <c r="V669" s="15"/>
      <c r="W669" s="44"/>
      <c r="X669" s="15">
        <f t="shared" si="94"/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 t="shared" si="95"/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 t="shared" si="98"/>
        <v>0</v>
      </c>
      <c r="BC669" s="15"/>
      <c r="BD669" s="44"/>
      <c r="BE669" s="15"/>
      <c r="BF669" s="44"/>
      <c r="BG669" s="15">
        <f t="shared" si="99"/>
        <v>0</v>
      </c>
    </row>
    <row r="670" spans="1:59" s="8" customFormat="1" ht="22.5" customHeight="1">
      <c r="A670" s="9">
        <v>999</v>
      </c>
      <c r="B670" s="16" t="s">
        <v>120</v>
      </c>
      <c r="C670" s="89"/>
      <c r="D670" s="80" t="s">
        <v>951</v>
      </c>
      <c r="E670" s="13"/>
      <c r="F670" s="110" t="s">
        <v>2082</v>
      </c>
      <c r="G670" s="110"/>
      <c r="H670" s="12"/>
      <c r="I670" s="9"/>
      <c r="J670" s="9" t="s">
        <v>67</v>
      </c>
      <c r="K670" s="14"/>
      <c r="L670" s="14"/>
      <c r="M670" s="12"/>
      <c r="N670" s="9"/>
      <c r="O670" s="9"/>
      <c r="P670" s="9"/>
      <c r="Q670" s="38">
        <f t="shared" si="89"/>
        <v>0</v>
      </c>
      <c r="R670" s="12"/>
      <c r="S670" s="42"/>
      <c r="T670" s="15"/>
      <c r="U670" s="44"/>
      <c r="V670" s="15"/>
      <c r="W670" s="44"/>
      <c r="X670" s="15">
        <f t="shared" si="94"/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 t="shared" si="95"/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 t="shared" si="98"/>
        <v>0</v>
      </c>
      <c r="BC670" s="15"/>
      <c r="BD670" s="44"/>
      <c r="BE670" s="15"/>
      <c r="BF670" s="44"/>
      <c r="BG670" s="15">
        <f t="shared" si="99"/>
        <v>0</v>
      </c>
    </row>
    <row r="671" spans="1:59" s="8" customFormat="1" ht="22.5" customHeight="1">
      <c r="A671" s="9">
        <v>999</v>
      </c>
      <c r="B671" s="16" t="s">
        <v>330</v>
      </c>
      <c r="C671" s="89"/>
      <c r="D671" s="56" t="s">
        <v>952</v>
      </c>
      <c r="E671" s="13"/>
      <c r="F671" s="107" t="s">
        <v>2082</v>
      </c>
      <c r="G671" s="107"/>
      <c r="H671" s="12"/>
      <c r="I671" s="9"/>
      <c r="J671" s="9" t="s">
        <v>467</v>
      </c>
      <c r="K671" s="14"/>
      <c r="L671" s="14"/>
      <c r="M671" s="12"/>
      <c r="N671" s="9"/>
      <c r="O671" s="9"/>
      <c r="P671" s="9"/>
      <c r="Q671" s="38">
        <f t="shared" si="89"/>
        <v>0</v>
      </c>
      <c r="R671" s="12"/>
      <c r="S671" s="42"/>
      <c r="T671" s="15"/>
      <c r="U671" s="44"/>
      <c r="V671" s="15"/>
      <c r="W671" s="44"/>
      <c r="X671" s="15">
        <f t="shared" si="94"/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 t="shared" si="95"/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 t="shared" si="98"/>
        <v>0</v>
      </c>
      <c r="BC671" s="15"/>
      <c r="BD671" s="44"/>
      <c r="BE671" s="15"/>
      <c r="BF671" s="44"/>
      <c r="BG671" s="15">
        <f t="shared" si="99"/>
        <v>0</v>
      </c>
    </row>
    <row r="672" spans="1:59" s="8" customFormat="1" ht="22.5" customHeight="1">
      <c r="A672" s="9">
        <v>999</v>
      </c>
      <c r="B672" s="16" t="s">
        <v>926</v>
      </c>
      <c r="C672" s="89" t="s">
        <v>132</v>
      </c>
      <c r="D672" s="111" t="s">
        <v>954</v>
      </c>
      <c r="E672" s="112"/>
      <c r="F672" s="113" t="s">
        <v>2154</v>
      </c>
      <c r="G672" s="113" t="s">
        <v>1724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 t="shared" si="89"/>
        <v>0</v>
      </c>
      <c r="R672" s="12"/>
      <c r="S672" s="42"/>
      <c r="T672" s="15"/>
      <c r="U672" s="44"/>
      <c r="V672" s="15"/>
      <c r="W672" s="44"/>
      <c r="X672" s="15">
        <f t="shared" si="94"/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 t="shared" si="95"/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 t="shared" si="98"/>
        <v>0</v>
      </c>
      <c r="BC672" s="15"/>
      <c r="BD672" s="44"/>
      <c r="BE672" s="15"/>
      <c r="BF672" s="44"/>
      <c r="BG672" s="15">
        <f t="shared" si="99"/>
        <v>0</v>
      </c>
    </row>
    <row r="673" spans="1:59" s="8" customFormat="1" ht="22.5" customHeight="1">
      <c r="A673" s="9">
        <v>999</v>
      </c>
      <c r="B673" s="16" t="s">
        <v>606</v>
      </c>
      <c r="C673" s="89"/>
      <c r="D673" s="56" t="s">
        <v>955</v>
      </c>
      <c r="E673" s="13" t="s">
        <v>956</v>
      </c>
      <c r="F673" s="107" t="s">
        <v>2082</v>
      </c>
      <c r="G673" s="107"/>
      <c r="H673" s="12"/>
      <c r="I673" s="9"/>
      <c r="J673" s="9" t="s">
        <v>957</v>
      </c>
      <c r="K673" s="14"/>
      <c r="L673" s="14"/>
      <c r="M673" s="12"/>
      <c r="N673" s="9"/>
      <c r="O673" s="9"/>
      <c r="P673" s="9"/>
      <c r="Q673" s="38">
        <f t="shared" si="89"/>
        <v>0</v>
      </c>
      <c r="R673" s="12"/>
      <c r="S673" s="42"/>
      <c r="T673" s="15"/>
      <c r="U673" s="44"/>
      <c r="V673" s="15"/>
      <c r="W673" s="44"/>
      <c r="X673" s="15">
        <f t="shared" si="94"/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 t="shared" si="95"/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 t="shared" si="98"/>
        <v>0</v>
      </c>
      <c r="BC673" s="15"/>
      <c r="BD673" s="44"/>
      <c r="BE673" s="15"/>
      <c r="BF673" s="44"/>
      <c r="BG673" s="15">
        <f t="shared" si="99"/>
        <v>0</v>
      </c>
    </row>
    <row r="674" spans="1:59" s="8" customFormat="1" ht="22.5" customHeight="1">
      <c r="A674" s="9">
        <v>999</v>
      </c>
      <c r="B674" s="16" t="s">
        <v>120</v>
      </c>
      <c r="C674" s="89"/>
      <c r="D674" s="56" t="s">
        <v>958</v>
      </c>
      <c r="E674" s="13"/>
      <c r="F674" s="107" t="s">
        <v>2082</v>
      </c>
      <c r="G674" s="107"/>
      <c r="H674" s="12"/>
      <c r="I674" s="9"/>
      <c r="J674" s="9" t="s">
        <v>67</v>
      </c>
      <c r="K674" s="14"/>
      <c r="L674" s="14"/>
      <c r="M674" s="12"/>
      <c r="N674" s="9"/>
      <c r="O674" s="9"/>
      <c r="P674" s="9"/>
      <c r="Q674" s="38">
        <f t="shared" si="89"/>
        <v>0</v>
      </c>
      <c r="R674" s="12"/>
      <c r="S674" s="42"/>
      <c r="T674" s="15"/>
      <c r="U674" s="44"/>
      <c r="V674" s="15"/>
      <c r="W674" s="44"/>
      <c r="X674" s="15">
        <f t="shared" si="94"/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 t="shared" si="95"/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 t="shared" si="98"/>
        <v>0</v>
      </c>
      <c r="BC674" s="15"/>
      <c r="BD674" s="44"/>
      <c r="BE674" s="15"/>
      <c r="BF674" s="44"/>
      <c r="BG674" s="15">
        <f t="shared" si="99"/>
        <v>0</v>
      </c>
    </row>
    <row r="675" spans="1:59" s="8" customFormat="1" ht="22.5" customHeight="1">
      <c r="A675" s="9">
        <v>999</v>
      </c>
      <c r="B675" s="16" t="s">
        <v>959</v>
      </c>
      <c r="C675" s="89"/>
      <c r="D675" s="56" t="s">
        <v>960</v>
      </c>
      <c r="E675" s="13" t="s">
        <v>961</v>
      </c>
      <c r="F675" s="107" t="s">
        <v>2082</v>
      </c>
      <c r="G675" s="107"/>
      <c r="H675" s="12"/>
      <c r="I675" s="9"/>
      <c r="J675" s="9" t="s">
        <v>566</v>
      </c>
      <c r="K675" s="14"/>
      <c r="L675" s="14"/>
      <c r="M675" s="12"/>
      <c r="N675" s="9"/>
      <c r="O675" s="9"/>
      <c r="P675" s="9"/>
      <c r="Q675" s="38">
        <f t="shared" si="89"/>
        <v>0</v>
      </c>
      <c r="R675" s="12"/>
      <c r="S675" s="42"/>
      <c r="T675" s="15"/>
      <c r="U675" s="44"/>
      <c r="V675" s="15"/>
      <c r="W675" s="44"/>
      <c r="X675" s="15">
        <f t="shared" si="94"/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 t="shared" si="95"/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 t="shared" si="98"/>
        <v>0</v>
      </c>
      <c r="BC675" s="15"/>
      <c r="BD675" s="44"/>
      <c r="BE675" s="15"/>
      <c r="BF675" s="44"/>
      <c r="BG675" s="15">
        <f t="shared" si="99"/>
        <v>0</v>
      </c>
    </row>
    <row r="676" spans="1:59" s="8" customFormat="1" ht="22.5" customHeight="1">
      <c r="A676" s="9">
        <v>999</v>
      </c>
      <c r="B676" s="16" t="s">
        <v>962</v>
      </c>
      <c r="C676" s="89"/>
      <c r="D676" s="56" t="s">
        <v>963</v>
      </c>
      <c r="E676" s="13"/>
      <c r="F676" s="107" t="s">
        <v>2082</v>
      </c>
      <c r="G676" s="107"/>
      <c r="H676" s="12"/>
      <c r="I676" s="9"/>
      <c r="J676" s="9" t="s">
        <v>964</v>
      </c>
      <c r="K676" s="14"/>
      <c r="L676" s="14"/>
      <c r="M676" s="12"/>
      <c r="N676" s="9"/>
      <c r="O676" s="9"/>
      <c r="P676" s="9"/>
      <c r="Q676" s="38">
        <f t="shared" si="89"/>
        <v>0</v>
      </c>
      <c r="R676" s="12"/>
      <c r="S676" s="42"/>
      <c r="T676" s="15"/>
      <c r="U676" s="44"/>
      <c r="V676" s="15"/>
      <c r="W676" s="44"/>
      <c r="X676" s="15">
        <f t="shared" si="94"/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 t="shared" si="95"/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 t="shared" si="98"/>
        <v>0</v>
      </c>
      <c r="BC676" s="15"/>
      <c r="BD676" s="44"/>
      <c r="BE676" s="15"/>
      <c r="BF676" s="44"/>
      <c r="BG676" s="15">
        <f t="shared" si="99"/>
        <v>0</v>
      </c>
    </row>
    <row r="677" spans="1:59">
      <c r="F677" s="104" t="s">
        <v>2155</v>
      </c>
      <c r="G677" s="114"/>
    </row>
    <row r="679" spans="1:59">
      <c r="F679" s="104" t="s">
        <v>2156</v>
      </c>
      <c r="G679" s="114"/>
    </row>
    <row r="680" spans="1:59">
      <c r="F680" s="104" t="s">
        <v>2157</v>
      </c>
      <c r="G680" s="114"/>
    </row>
    <row r="681" spans="1:59">
      <c r="F681" s="104" t="s">
        <v>2158</v>
      </c>
      <c r="G681" s="114"/>
    </row>
    <row r="682" spans="1:59">
      <c r="F682" s="104" t="s">
        <v>2159</v>
      </c>
      <c r="G682" s="114"/>
    </row>
    <row r="683" spans="1:59">
      <c r="F683" s="104" t="s">
        <v>2160</v>
      </c>
      <c r="G683" s="114"/>
    </row>
  </sheetData>
  <autoFilter ref="A3:BG677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96:BG676">
      <sortCondition sortBy="cellColor" ref="F3:F677" dxfId="7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6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21" t="s">
        <v>15</v>
      </c>
      <c r="Q1" s="118"/>
      <c r="R1" s="118"/>
      <c r="S1" s="118"/>
      <c r="T1" s="118"/>
      <c r="U1" s="119"/>
      <c r="V1" s="34" t="s">
        <v>16</v>
      </c>
      <c r="W1" s="122" t="s">
        <v>17</v>
      </c>
      <c r="X1" s="123"/>
      <c r="Y1" s="123"/>
      <c r="Z1" s="123"/>
      <c r="AA1" s="123"/>
      <c r="AB1" s="123"/>
      <c r="AC1" s="123"/>
      <c r="AD1" s="124"/>
      <c r="AE1" s="34" t="s">
        <v>18</v>
      </c>
      <c r="AF1" s="117" t="s">
        <v>19</v>
      </c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9"/>
      <c r="AZ1" s="33" t="s">
        <v>20</v>
      </c>
      <c r="BA1" s="120" t="s">
        <v>21</v>
      </c>
      <c r="BB1" s="118"/>
      <c r="BC1" s="118"/>
      <c r="BD1" s="119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1506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1831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2026-05-21T02:09:54Z</dcterms:modified>
  <cp:version>9.114.127.49115</cp:version>
</cp:coreProperties>
</file>